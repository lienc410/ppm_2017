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definedNames>
    <definedName name="Query_from_Agency_5" localSheetId="4" hidden="1">'ppm risk premium'!$H$3:$J$266</definedName>
    <definedName name="Query_from_Agency_5" localSheetId="2" hidden="1">'Realized Vol'!$A$1:$B$1634</definedName>
    <definedName name="Query_from_Agency_6" localSheetId="5" hidden="1">'LIBOR 1m'!$B$2:$F$1718</definedName>
    <definedName name="Query_from_Agency_6" localSheetId="4" hidden="1">'ppm risk premium'!$L$3:$P$3789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O60" i="1" l="1"/>
  <c r="N60" i="1"/>
  <c r="J60" i="1" l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H60" i="1" l="1"/>
  <c r="D59" i="4"/>
  <c r="F59" i="4" s="1"/>
  <c r="E59" i="4"/>
  <c r="M4" i="4"/>
  <c r="M5" i="4"/>
  <c r="M6" i="4"/>
  <c r="M7" i="4"/>
  <c r="E18" i="4" s="1"/>
  <c r="M8" i="4"/>
  <c r="M9" i="4"/>
  <c r="M10" i="4"/>
  <c r="E13" i="4" s="1"/>
  <c r="M11" i="4"/>
  <c r="E58" i="4" s="1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I4" i="4"/>
  <c r="I5" i="4"/>
  <c r="D58" i="4" s="1"/>
  <c r="I6" i="4"/>
  <c r="I7" i="4"/>
  <c r="D57" i="4" s="1"/>
  <c r="I8" i="4"/>
  <c r="I9" i="4"/>
  <c r="D54" i="4" s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G60" i="1"/>
  <c r="G60" i="3"/>
  <c r="F60" i="1"/>
  <c r="I59" i="2"/>
  <c r="J59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D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D738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D790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D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D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D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D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D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D1137" i="2"/>
  <c r="C1138" i="2"/>
  <c r="C1139" i="2"/>
  <c r="C1140" i="2"/>
  <c r="C1141" i="2"/>
  <c r="C1142" i="2"/>
  <c r="C1143" i="2"/>
  <c r="C1144" i="2"/>
  <c r="C1145" i="2"/>
  <c r="D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D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D1173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D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D1221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D1245" i="2"/>
  <c r="C1250" i="2"/>
  <c r="C1251" i="2"/>
  <c r="C1252" i="2"/>
  <c r="C1253" i="2"/>
  <c r="C1254" i="2"/>
  <c r="C1255" i="2"/>
  <c r="C1256" i="2"/>
  <c r="C1257" i="2"/>
  <c r="D1252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D1269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D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D1423" i="2"/>
  <c r="C1425" i="2"/>
  <c r="C1426" i="2"/>
  <c r="C1427" i="2"/>
  <c r="C1428" i="2"/>
  <c r="C1429" i="2"/>
  <c r="C1430" i="2"/>
  <c r="C1431" i="2"/>
  <c r="C1432" i="2"/>
  <c r="D1429" i="2"/>
  <c r="C1433" i="2"/>
  <c r="C1434" i="2"/>
  <c r="C1435" i="2"/>
  <c r="C1436" i="2"/>
  <c r="C1437" i="2"/>
  <c r="C1438" i="2"/>
  <c r="C1439" i="2"/>
  <c r="C1440" i="2"/>
  <c r="C1441" i="2"/>
  <c r="D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D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D1478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D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D1515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D1570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D1609" i="2"/>
  <c r="C1610" i="2"/>
  <c r="C1611" i="2"/>
  <c r="C1612" i="2"/>
  <c r="C1613" i="2"/>
  <c r="C1614" i="2"/>
  <c r="C1615" i="2"/>
  <c r="C1616" i="2"/>
  <c r="C1617" i="2"/>
  <c r="D1617" i="2"/>
  <c r="C1618" i="2"/>
  <c r="C1619" i="2"/>
  <c r="C1620" i="2"/>
  <c r="C1621" i="2"/>
  <c r="C1622" i="2"/>
  <c r="C1623" i="2"/>
  <c r="C1624" i="2"/>
  <c r="C1625" i="2"/>
  <c r="D1625" i="2"/>
  <c r="C1626" i="2"/>
  <c r="C1627" i="2"/>
  <c r="C1628" i="2"/>
  <c r="C1629" i="2"/>
  <c r="C1630" i="2"/>
  <c r="C1631" i="2"/>
  <c r="C1632" i="2"/>
  <c r="C1633" i="2"/>
  <c r="D1633" i="2"/>
  <c r="C1634" i="2"/>
  <c r="D558" i="2"/>
  <c r="D833" i="2"/>
  <c r="D970" i="2"/>
  <c r="D1081" i="2"/>
  <c r="D1192" i="2"/>
  <c r="D1294" i="2"/>
  <c r="D1382" i="2"/>
  <c r="D1460" i="2"/>
  <c r="D1533" i="2"/>
  <c r="D1597" i="2"/>
  <c r="D1634" i="2"/>
  <c r="E60" i="1"/>
  <c r="D60" i="1"/>
  <c r="C60" i="1"/>
  <c r="C58" i="6"/>
  <c r="D58" i="6"/>
  <c r="D1585" i="2"/>
  <c r="D1561" i="2"/>
  <c r="D1521" i="2"/>
  <c r="D1481" i="2"/>
  <c r="D1473" i="2"/>
  <c r="D1401" i="2"/>
  <c r="D1369" i="2"/>
  <c r="D1345" i="2"/>
  <c r="D1297" i="2"/>
  <c r="D1281" i="2"/>
  <c r="D1265" i="2"/>
  <c r="D1241" i="2"/>
  <c r="D1193" i="2"/>
  <c r="D1185" i="2"/>
  <c r="D1121" i="2"/>
  <c r="D1105" i="2"/>
  <c r="D1057" i="2"/>
  <c r="D1049" i="2"/>
  <c r="D1009" i="2"/>
  <c r="D953" i="2"/>
  <c r="D945" i="2"/>
  <c r="D913" i="2"/>
  <c r="D785" i="2"/>
  <c r="D777" i="2"/>
  <c r="D753" i="2"/>
  <c r="D721" i="2"/>
  <c r="D681" i="2"/>
  <c r="D657" i="2"/>
  <c r="D601" i="2"/>
  <c r="D593" i="2"/>
  <c r="D561" i="2"/>
  <c r="D553" i="2"/>
  <c r="D529" i="2"/>
  <c r="D505" i="2"/>
  <c r="D457" i="2"/>
  <c r="D449" i="2"/>
  <c r="D409" i="2"/>
  <c r="D377" i="2"/>
  <c r="D361" i="2"/>
  <c r="D337" i="2"/>
  <c r="D313" i="2"/>
  <c r="D265" i="2"/>
  <c r="D257" i="2"/>
  <c r="D201" i="2"/>
  <c r="D153" i="2"/>
  <c r="D145" i="2"/>
  <c r="D105" i="2"/>
  <c r="D89" i="2"/>
  <c r="D65" i="2"/>
  <c r="D49" i="2"/>
  <c r="D9" i="2"/>
  <c r="D1367" i="2"/>
  <c r="D951" i="2"/>
  <c r="D1632" i="2"/>
  <c r="D1628" i="2"/>
  <c r="D1592" i="2"/>
  <c r="D1568" i="2"/>
  <c r="D1564" i="2"/>
  <c r="D1528" i="2"/>
  <c r="D1504" i="2"/>
  <c r="D1472" i="2"/>
  <c r="D1440" i="2"/>
  <c r="D1408" i="2"/>
  <c r="D1376" i="2"/>
  <c r="D1344" i="2"/>
  <c r="D1338" i="2"/>
  <c r="D1288" i="2"/>
  <c r="D1242" i="2"/>
  <c r="D1160" i="2"/>
  <c r="D1120" i="2"/>
  <c r="D996" i="2"/>
  <c r="D952" i="2"/>
  <c r="D920" i="2"/>
  <c r="D848" i="2"/>
  <c r="D696" i="2"/>
  <c r="D432" i="2"/>
  <c r="D224" i="2"/>
  <c r="D1626" i="2"/>
  <c r="D1511" i="2"/>
  <c r="D1493" i="2"/>
  <c r="D1420" i="2"/>
  <c r="D1389" i="2"/>
  <c r="D1266" i="2"/>
  <c r="D1188" i="2"/>
  <c r="D1047" i="2"/>
  <c r="D982" i="2"/>
  <c r="D938" i="2"/>
  <c r="D814" i="2"/>
  <c r="D274" i="2"/>
  <c r="D742" i="2"/>
  <c r="D1629" i="2"/>
  <c r="D1340" i="2"/>
  <c r="D909" i="2"/>
  <c r="D336" i="2"/>
  <c r="D1593" i="2"/>
  <c r="D1553" i="2"/>
  <c r="D1529" i="2"/>
  <c r="D1497" i="2"/>
  <c r="D1449" i="2"/>
  <c r="D1417" i="2"/>
  <c r="D1361" i="2"/>
  <c r="D1353" i="2"/>
  <c r="D1305" i="2"/>
  <c r="D1257" i="2"/>
  <c r="D1233" i="2"/>
  <c r="D1217" i="2"/>
  <c r="D1169" i="2"/>
  <c r="D1129" i="2"/>
  <c r="D1113" i="2"/>
  <c r="D1065" i="2"/>
  <c r="D1041" i="2"/>
  <c r="D1001" i="2"/>
  <c r="D961" i="2"/>
  <c r="D937" i="2"/>
  <c r="D889" i="2"/>
  <c r="D881" i="2"/>
  <c r="D825" i="2"/>
  <c r="D809" i="2"/>
  <c r="D737" i="2"/>
  <c r="D729" i="2"/>
  <c r="D673" i="2"/>
  <c r="D641" i="2"/>
  <c r="D609" i="2"/>
  <c r="D585" i="2"/>
  <c r="D545" i="2"/>
  <c r="D537" i="2"/>
  <c r="D489" i="2"/>
  <c r="D481" i="2"/>
  <c r="D441" i="2"/>
  <c r="D417" i="2"/>
  <c r="D385" i="2"/>
  <c r="D369" i="2"/>
  <c r="D297" i="2"/>
  <c r="D289" i="2"/>
  <c r="D233" i="2"/>
  <c r="D225" i="2"/>
  <c r="D177" i="2"/>
  <c r="D1520" i="2"/>
  <c r="D1062" i="2"/>
  <c r="D1624" i="2"/>
  <c r="D1600" i="2"/>
  <c r="D1596" i="2"/>
  <c r="D1560" i="2"/>
  <c r="D1536" i="2"/>
  <c r="D1532" i="2"/>
  <c r="D1495" i="2"/>
  <c r="D1456" i="2"/>
  <c r="D1424" i="2"/>
  <c r="D1422" i="2"/>
  <c r="D1392" i="2"/>
  <c r="D1352" i="2"/>
  <c r="D1304" i="2"/>
  <c r="D1272" i="2"/>
  <c r="D1191" i="2"/>
  <c r="D1096" i="2"/>
  <c r="D1008" i="2"/>
  <c r="D936" i="2"/>
  <c r="D942" i="2"/>
  <c r="D1594" i="2"/>
  <c r="D1503" i="2"/>
  <c r="D1430" i="2"/>
  <c r="D1378" i="2"/>
  <c r="D1076" i="2"/>
  <c r="D886" i="2"/>
  <c r="D1601" i="2"/>
  <c r="D1545" i="2"/>
  <c r="D1537" i="2"/>
  <c r="D1489" i="2"/>
  <c r="D1457" i="2"/>
  <c r="D1393" i="2"/>
  <c r="D1385" i="2"/>
  <c r="D1329" i="2"/>
  <c r="D1321" i="2"/>
  <c r="D1289" i="2"/>
  <c r="D1249" i="2"/>
  <c r="D1033" i="2"/>
  <c r="D985" i="2"/>
  <c r="D977" i="2"/>
  <c r="D929" i="2"/>
  <c r="D897" i="2"/>
  <c r="D865" i="2"/>
  <c r="D849" i="2"/>
  <c r="D801" i="2"/>
  <c r="D769" i="2"/>
  <c r="D761" i="2"/>
  <c r="D705" i="2"/>
  <c r="D697" i="2"/>
  <c r="D649" i="2"/>
  <c r="D625" i="2"/>
  <c r="D569" i="2"/>
  <c r="D521" i="2"/>
  <c r="D465" i="2"/>
  <c r="D401" i="2"/>
  <c r="D345" i="2"/>
  <c r="D305" i="2"/>
  <c r="D273" i="2"/>
  <c r="D249" i="2"/>
  <c r="D217" i="2"/>
  <c r="D185" i="2"/>
  <c r="D169" i="2"/>
  <c r="D129" i="2"/>
  <c r="D121" i="2"/>
  <c r="D73" i="2"/>
  <c r="D57" i="2"/>
  <c r="D17" i="2"/>
  <c r="D1447" i="2"/>
  <c r="D475" i="2"/>
  <c r="D1616" i="2"/>
  <c r="D1612" i="2"/>
  <c r="D1584" i="2"/>
  <c r="D1580" i="2"/>
  <c r="D1552" i="2"/>
  <c r="D1548" i="2"/>
  <c r="D1488" i="2"/>
  <c r="D1448" i="2"/>
  <c r="D1416" i="2"/>
  <c r="D1384" i="2"/>
  <c r="D1380" i="2"/>
  <c r="D1359" i="2"/>
  <c r="D1328" i="2"/>
  <c r="D1320" i="2"/>
  <c r="D1316" i="2"/>
  <c r="D1296" i="2"/>
  <c r="D1292" i="2"/>
  <c r="D1264" i="2"/>
  <c r="D1232" i="2"/>
  <c r="D1064" i="2"/>
  <c r="D968" i="2"/>
  <c r="D908" i="2"/>
  <c r="D864" i="2"/>
  <c r="D768" i="2"/>
  <c r="D632" i="2"/>
  <c r="D440" i="2"/>
  <c r="D151" i="2"/>
  <c r="D1581" i="2"/>
  <c r="D1165" i="2"/>
  <c r="D474" i="2"/>
  <c r="D1578" i="2"/>
  <c r="D1485" i="2"/>
  <c r="D1439" i="2"/>
  <c r="D1398" i="2"/>
  <c r="D1358" i="2"/>
  <c r="D1215" i="2"/>
  <c r="D1149" i="2"/>
  <c r="D1020" i="2"/>
  <c r="D956" i="2"/>
  <c r="D826" i="2"/>
  <c r="D631" i="2"/>
  <c r="D63" i="2"/>
  <c r="D1502" i="2"/>
  <c r="D338" i="2"/>
  <c r="D1618" i="2"/>
  <c r="D1484" i="2"/>
  <c r="D1325" i="2"/>
  <c r="D1006" i="2"/>
  <c r="D213" i="2"/>
  <c r="D1613" i="2"/>
  <c r="D1549" i="2"/>
  <c r="D1402" i="2"/>
  <c r="D1318" i="2"/>
  <c r="D1109" i="2"/>
  <c r="D998" i="2"/>
  <c r="D668" i="2"/>
  <c r="D152" i="2"/>
  <c r="D1577" i="2"/>
  <c r="D1569" i="2"/>
  <c r="D1513" i="2"/>
  <c r="D1505" i="2"/>
  <c r="D1433" i="2"/>
  <c r="D1425" i="2"/>
  <c r="D1377" i="2"/>
  <c r="D1337" i="2"/>
  <c r="D1313" i="2"/>
  <c r="D1273" i="2"/>
  <c r="D1225" i="2"/>
  <c r="D1209" i="2"/>
  <c r="D1177" i="2"/>
  <c r="D1153" i="2"/>
  <c r="D1097" i="2"/>
  <c r="D1017" i="2"/>
  <c r="D993" i="2"/>
  <c r="D969" i="2"/>
  <c r="D921" i="2"/>
  <c r="D905" i="2"/>
  <c r="D857" i="2"/>
  <c r="D841" i="2"/>
  <c r="D793" i="2"/>
  <c r="D745" i="2"/>
  <c r="D713" i="2"/>
  <c r="D689" i="2"/>
  <c r="D665" i="2"/>
  <c r="D633" i="2"/>
  <c r="D617" i="2"/>
  <c r="D577" i="2"/>
  <c r="D513" i="2"/>
  <c r="D497" i="2"/>
  <c r="D473" i="2"/>
  <c r="D433" i="2"/>
  <c r="D425" i="2"/>
  <c r="D393" i="2"/>
  <c r="D353" i="2"/>
  <c r="D329" i="2"/>
  <c r="D321" i="2"/>
  <c r="D281" i="2"/>
  <c r="D241" i="2"/>
  <c r="D209" i="2"/>
  <c r="D193" i="2"/>
  <c r="D161" i="2"/>
  <c r="D137" i="2"/>
  <c r="D113" i="2"/>
  <c r="D97" i="2"/>
  <c r="D81" i="2"/>
  <c r="D41" i="2"/>
  <c r="D25" i="2"/>
  <c r="D1586" i="2"/>
  <c r="D1277" i="2"/>
  <c r="D802" i="2"/>
  <c r="D1608" i="2"/>
  <c r="D1576" i="2"/>
  <c r="D1544" i="2"/>
  <c r="D1512" i="2"/>
  <c r="D1480" i="2"/>
  <c r="D1477" i="2"/>
  <c r="D1464" i="2"/>
  <c r="D1459" i="2"/>
  <c r="D1432" i="2"/>
  <c r="D1400" i="2"/>
  <c r="D1368" i="2"/>
  <c r="D1336" i="2"/>
  <c r="D1312" i="2"/>
  <c r="D1280" i="2"/>
  <c r="D1240" i="2"/>
  <c r="D1176" i="2"/>
  <c r="D1108" i="2"/>
  <c r="D1024" i="2"/>
  <c r="D992" i="2"/>
  <c r="D941" i="2"/>
  <c r="D888" i="2"/>
  <c r="D760" i="2"/>
  <c r="D592" i="2"/>
  <c r="D335" i="2"/>
  <c r="D72" i="2"/>
  <c r="D1360" i="2"/>
  <c r="D1054" i="2"/>
  <c r="D1611" i="2"/>
  <c r="D1547" i="2"/>
  <c r="D1475" i="2"/>
  <c r="D1412" i="2"/>
  <c r="D1370" i="2"/>
  <c r="D1103" i="2"/>
  <c r="D1050" i="2"/>
  <c r="D964" i="2"/>
  <c r="D634" i="2"/>
  <c r="D1346" i="2"/>
  <c r="D1034" i="2"/>
  <c r="D919" i="2"/>
  <c r="D1565" i="2"/>
  <c r="D1554" i="2"/>
  <c r="D1228" i="2"/>
  <c r="D1118" i="2"/>
  <c r="D669" i="2"/>
  <c r="D1602" i="2"/>
  <c r="D1538" i="2"/>
  <c r="D1388" i="2"/>
  <c r="D1301" i="2"/>
  <c r="D978" i="2"/>
  <c r="D846" i="2"/>
  <c r="D591" i="2"/>
  <c r="D1256" i="2"/>
  <c r="D1200" i="2"/>
  <c r="D1168" i="2"/>
  <c r="D1136" i="2"/>
  <c r="D1104" i="2"/>
  <c r="D1072" i="2"/>
  <c r="D1040" i="2"/>
  <c r="D928" i="2"/>
  <c r="D904" i="2"/>
  <c r="D872" i="2"/>
  <c r="D824" i="2"/>
  <c r="D792" i="2"/>
  <c r="D736" i="2"/>
  <c r="D704" i="2"/>
  <c r="D672" i="2"/>
  <c r="D640" i="2"/>
  <c r="D608" i="2"/>
  <c r="D576" i="2"/>
  <c r="D544" i="2"/>
  <c r="D512" i="2"/>
  <c r="D480" i="2"/>
  <c r="D448" i="2"/>
  <c r="D416" i="2"/>
  <c r="D384" i="2"/>
  <c r="D368" i="2"/>
  <c r="D304" i="2"/>
  <c r="D280" i="2"/>
  <c r="D256" i="2"/>
  <c r="D216" i="2"/>
  <c r="D192" i="2"/>
  <c r="D176" i="2"/>
  <c r="D128" i="2"/>
  <c r="D96" i="2"/>
  <c r="D80" i="2"/>
  <c r="D56" i="2"/>
  <c r="D40" i="2"/>
  <c r="D8" i="2"/>
  <c r="D1268" i="2"/>
  <c r="D870" i="2"/>
  <c r="D1623" i="2"/>
  <c r="D1591" i="2"/>
  <c r="D1567" i="2"/>
  <c r="D1535" i="2"/>
  <c r="D1463" i="2"/>
  <c r="D1407" i="2"/>
  <c r="D1351" i="2"/>
  <c r="D1317" i="2"/>
  <c r="D1319" i="2"/>
  <c r="D1293" i="2"/>
  <c r="D1295" i="2"/>
  <c r="D1262" i="2"/>
  <c r="D1258" i="2"/>
  <c r="D1260" i="2"/>
  <c r="D1261" i="2"/>
  <c r="D1263" i="2"/>
  <c r="D1234" i="2"/>
  <c r="D1238" i="2"/>
  <c r="D1236" i="2"/>
  <c r="D1237" i="2"/>
  <c r="D1239" i="2"/>
  <c r="D1205" i="2"/>
  <c r="D1206" i="2"/>
  <c r="D1178" i="2"/>
  <c r="D1181" i="2"/>
  <c r="D1182" i="2"/>
  <c r="D1183" i="2"/>
  <c r="D1164" i="2"/>
  <c r="D1167" i="2"/>
  <c r="D1166" i="2"/>
  <c r="D1132" i="2"/>
  <c r="D1133" i="2"/>
  <c r="D1111" i="2"/>
  <c r="D1110" i="2"/>
  <c r="D1086" i="2"/>
  <c r="D1084" i="2"/>
  <c r="D1082" i="2"/>
  <c r="D1085" i="2"/>
  <c r="D1087" i="2"/>
  <c r="D1038" i="2"/>
  <c r="D1013" i="2"/>
  <c r="D1010" i="2"/>
  <c r="D1014" i="2"/>
  <c r="D1015" i="2"/>
  <c r="D994" i="2"/>
  <c r="D997" i="2"/>
  <c r="D999" i="2"/>
  <c r="D975" i="2"/>
  <c r="D972" i="2"/>
  <c r="D973" i="2"/>
  <c r="D974" i="2"/>
  <c r="D949" i="2"/>
  <c r="D948" i="2"/>
  <c r="D946" i="2"/>
  <c r="D950" i="2"/>
  <c r="D924" i="2"/>
  <c r="D925" i="2"/>
  <c r="D927" i="2"/>
  <c r="D903" i="2"/>
  <c r="D902" i="2"/>
  <c r="D898" i="2"/>
  <c r="D900" i="2"/>
  <c r="D877" i="2"/>
  <c r="D879" i="2"/>
  <c r="D874" i="2"/>
  <c r="D876" i="2"/>
  <c r="D878" i="2"/>
  <c r="D853" i="2"/>
  <c r="D850" i="2"/>
  <c r="D855" i="2"/>
  <c r="D854" i="2"/>
  <c r="D821" i="2"/>
  <c r="D818" i="2"/>
  <c r="D820" i="2"/>
  <c r="D823" i="2"/>
  <c r="D822" i="2"/>
  <c r="D788" i="2"/>
  <c r="D789" i="2"/>
  <c r="D791" i="2"/>
  <c r="D756" i="2"/>
  <c r="D757" i="2"/>
  <c r="D758" i="2"/>
  <c r="D759" i="2"/>
  <c r="D754" i="2"/>
  <c r="D724" i="2"/>
  <c r="D725" i="2"/>
  <c r="D722" i="2"/>
  <c r="D726" i="2"/>
  <c r="D727" i="2"/>
  <c r="D700" i="2"/>
  <c r="D701" i="2"/>
  <c r="D703" i="2"/>
  <c r="D698" i="2"/>
  <c r="D702" i="2"/>
  <c r="D675" i="2"/>
  <c r="D676" i="2"/>
  <c r="D679" i="2"/>
  <c r="D677" i="2"/>
  <c r="D678" i="2"/>
  <c r="D655" i="2"/>
  <c r="D651" i="2"/>
  <c r="D654" i="2"/>
  <c r="D650" i="2"/>
  <c r="D653" i="2"/>
  <c r="D652" i="2"/>
  <c r="D618" i="2"/>
  <c r="D619" i="2"/>
  <c r="D621" i="2"/>
  <c r="D622" i="2"/>
  <c r="D623" i="2"/>
  <c r="D586" i="2"/>
  <c r="D587" i="2"/>
  <c r="D589" i="2"/>
  <c r="D590" i="2"/>
  <c r="D565" i="2"/>
  <c r="D566" i="2"/>
  <c r="D562" i="2"/>
  <c r="D567" i="2"/>
  <c r="D550" i="2"/>
  <c r="D546" i="2"/>
  <c r="D547" i="2"/>
  <c r="D549" i="2"/>
  <c r="D517" i="2"/>
  <c r="D519" i="2"/>
  <c r="D490" i="2"/>
  <c r="D491" i="2"/>
  <c r="D493" i="2"/>
  <c r="D494" i="2"/>
  <c r="D495" i="2"/>
  <c r="D458" i="2"/>
  <c r="D459" i="2"/>
  <c r="D463" i="2"/>
  <c r="D462" i="2"/>
  <c r="D461" i="2"/>
  <c r="D447" i="2"/>
  <c r="D443" i="2"/>
  <c r="D445" i="2"/>
  <c r="D442" i="2"/>
  <c r="D419" i="2"/>
  <c r="D422" i="2"/>
  <c r="D423" i="2"/>
  <c r="D421" i="2"/>
  <c r="D418" i="2"/>
  <c r="D386" i="2"/>
  <c r="D387" i="2"/>
  <c r="D373" i="2"/>
  <c r="D374" i="2"/>
  <c r="D375" i="2"/>
  <c r="D370" i="2"/>
  <c r="D351" i="2"/>
  <c r="D346" i="2"/>
  <c r="D347" i="2"/>
  <c r="D349" i="2"/>
  <c r="D319" i="2"/>
  <c r="D314" i="2"/>
  <c r="D315" i="2"/>
  <c r="D317" i="2"/>
  <c r="D287" i="2"/>
  <c r="D282" i="2"/>
  <c r="D261" i="2"/>
  <c r="D262" i="2"/>
  <c r="D263" i="2"/>
  <c r="D259" i="2"/>
  <c r="D243" i="2"/>
  <c r="D245" i="2"/>
  <c r="D246" i="2"/>
  <c r="D247" i="2"/>
  <c r="D227" i="2"/>
  <c r="D229" i="2"/>
  <c r="D230" i="2"/>
  <c r="D231" i="2"/>
  <c r="D198" i="2"/>
  <c r="D199" i="2"/>
  <c r="D197" i="2"/>
  <c r="D195" i="2"/>
  <c r="D179" i="2"/>
  <c r="D181" i="2"/>
  <c r="D182" i="2"/>
  <c r="D183" i="2"/>
  <c r="D165" i="2"/>
  <c r="D166" i="2"/>
  <c r="D167" i="2"/>
  <c r="D149" i="2"/>
  <c r="D150" i="2"/>
  <c r="D133" i="2"/>
  <c r="D134" i="2"/>
  <c r="D135" i="2"/>
  <c r="D117" i="2"/>
  <c r="D118" i="2"/>
  <c r="D119" i="2"/>
  <c r="D101" i="2"/>
  <c r="D102" i="2"/>
  <c r="D103" i="2"/>
  <c r="D85" i="2"/>
  <c r="D86" i="2"/>
  <c r="D87" i="2"/>
  <c r="D69" i="2"/>
  <c r="D70" i="2"/>
  <c r="D45" i="2"/>
  <c r="D46" i="2"/>
  <c r="D47" i="2"/>
  <c r="D5" i="2"/>
  <c r="D6" i="2"/>
  <c r="D7" i="2"/>
  <c r="D1595" i="2"/>
  <c r="D1563" i="2"/>
  <c r="D1494" i="2"/>
  <c r="D1421" i="2"/>
  <c r="D1314" i="2"/>
  <c r="D285" i="2"/>
  <c r="D1622" i="2"/>
  <c r="D1606" i="2"/>
  <c r="D1590" i="2"/>
  <c r="D1582" i="2"/>
  <c r="D1558" i="2"/>
  <c r="D1550" i="2"/>
  <c r="D1542" i="2"/>
  <c r="D1517" i="2"/>
  <c r="D1499" i="2"/>
  <c r="D1483" i="2"/>
  <c r="D1454" i="2"/>
  <c r="D1386" i="2"/>
  <c r="D1610" i="2"/>
  <c r="D1562" i="2"/>
  <c r="D1546" i="2"/>
  <c r="D1438" i="2"/>
  <c r="D1357" i="2"/>
  <c r="D1130" i="2"/>
  <c r="D901" i="2"/>
  <c r="D518" i="2"/>
  <c r="D283" i="2"/>
  <c r="D1208" i="2"/>
  <c r="D1144" i="2"/>
  <c r="D1088" i="2"/>
  <c r="D1032" i="2"/>
  <c r="D984" i="2"/>
  <c r="D944" i="2"/>
  <c r="D880" i="2"/>
  <c r="D832" i="2"/>
  <c r="D800" i="2"/>
  <c r="D752" i="2"/>
  <c r="D720" i="2"/>
  <c r="D664" i="2"/>
  <c r="D600" i="2"/>
  <c r="D568" i="2"/>
  <c r="D536" i="2"/>
  <c r="D504" i="2"/>
  <c r="D472" i="2"/>
  <c r="D424" i="2"/>
  <c r="D392" i="2"/>
  <c r="D352" i="2"/>
  <c r="D312" i="2"/>
  <c r="D288" i="2"/>
  <c r="D248" i="2"/>
  <c r="D208" i="2"/>
  <c r="D160" i="2"/>
  <c r="D112" i="2"/>
  <c r="D24" i="2"/>
  <c r="D1135" i="2"/>
  <c r="D786" i="2"/>
  <c r="D1607" i="2"/>
  <c r="D1575" i="2"/>
  <c r="D1543" i="2"/>
  <c r="D1471" i="2"/>
  <c r="D1399" i="2"/>
  <c r="D1362" i="2"/>
  <c r="D1365" i="2"/>
  <c r="D1364" i="2"/>
  <c r="D1366" i="2"/>
  <c r="D1326" i="2"/>
  <c r="D1322" i="2"/>
  <c r="D1324" i="2"/>
  <c r="D1284" i="2"/>
  <c r="D1282" i="2"/>
  <c r="D1285" i="2"/>
  <c r="D1286" i="2"/>
  <c r="D1287" i="2"/>
  <c r="D1253" i="2"/>
  <c r="D1250" i="2"/>
  <c r="D1214" i="2"/>
  <c r="D1210" i="2"/>
  <c r="D1212" i="2"/>
  <c r="D1213" i="2"/>
  <c r="D1174" i="2"/>
  <c r="D1170" i="2"/>
  <c r="D1172" i="2"/>
  <c r="D1141" i="2"/>
  <c r="D1143" i="2"/>
  <c r="D1138" i="2"/>
  <c r="D1140" i="2"/>
  <c r="D1142" i="2"/>
  <c r="D1101" i="2"/>
  <c r="D1098" i="2"/>
  <c r="D1100" i="2"/>
  <c r="D1102" i="2"/>
  <c r="D1068" i="2"/>
  <c r="D1070" i="2"/>
  <c r="D1069" i="2"/>
  <c r="D1071" i="2"/>
  <c r="D1053" i="2"/>
  <c r="D1055" i="2"/>
  <c r="D1022" i="2"/>
  <c r="D1021" i="2"/>
  <c r="D1018" i="2"/>
  <c r="D986" i="2"/>
  <c r="D990" i="2"/>
  <c r="D988" i="2"/>
  <c r="D989" i="2"/>
  <c r="D991" i="2"/>
  <c r="D967" i="2"/>
  <c r="D965" i="2"/>
  <c r="D962" i="2"/>
  <c r="D930" i="2"/>
  <c r="D934" i="2"/>
  <c r="D935" i="2"/>
  <c r="D932" i="2"/>
  <c r="D933" i="2"/>
  <c r="D893" i="2"/>
  <c r="D894" i="2"/>
  <c r="D890" i="2"/>
  <c r="D892" i="2"/>
  <c r="D895" i="2"/>
  <c r="D861" i="2"/>
  <c r="D862" i="2"/>
  <c r="D858" i="2"/>
  <c r="D860" i="2"/>
  <c r="D863" i="2"/>
  <c r="D829" i="2"/>
  <c r="D830" i="2"/>
  <c r="D831" i="2"/>
  <c r="D796" i="2"/>
  <c r="D797" i="2"/>
  <c r="D794" i="2"/>
  <c r="D798" i="2"/>
  <c r="D799" i="2"/>
  <c r="D764" i="2"/>
  <c r="D765" i="2"/>
  <c r="D762" i="2"/>
  <c r="D767" i="2"/>
  <c r="D740" i="2"/>
  <c r="D741" i="2"/>
  <c r="D708" i="2"/>
  <c r="D709" i="2"/>
  <c r="D710" i="2"/>
  <c r="D706" i="2"/>
  <c r="D711" i="2"/>
  <c r="D666" i="2"/>
  <c r="D667" i="2"/>
  <c r="D671" i="2"/>
  <c r="D670" i="2"/>
  <c r="D638" i="2"/>
  <c r="D639" i="2"/>
  <c r="D635" i="2"/>
  <c r="D636" i="2"/>
  <c r="D607" i="2"/>
  <c r="D602" i="2"/>
  <c r="D603" i="2"/>
  <c r="D605" i="2"/>
  <c r="D575" i="2"/>
  <c r="D570" i="2"/>
  <c r="D571" i="2"/>
  <c r="D573" i="2"/>
  <c r="D533" i="2"/>
  <c r="D534" i="2"/>
  <c r="D535" i="2"/>
  <c r="D530" i="2"/>
  <c r="D511" i="2"/>
  <c r="D506" i="2"/>
  <c r="D507" i="2"/>
  <c r="D509" i="2"/>
  <c r="D483" i="2"/>
  <c r="D485" i="2"/>
  <c r="D486" i="2"/>
  <c r="D487" i="2"/>
  <c r="D482" i="2"/>
  <c r="D450" i="2"/>
  <c r="D451" i="2"/>
  <c r="D453" i="2"/>
  <c r="D454" i="2"/>
  <c r="D455" i="2"/>
  <c r="D415" i="2"/>
  <c r="D413" i="2"/>
  <c r="D410" i="2"/>
  <c r="D411" i="2"/>
  <c r="D383" i="2"/>
  <c r="D379" i="2"/>
  <c r="D381" i="2"/>
  <c r="D378" i="2"/>
  <c r="D330" i="2"/>
  <c r="D331" i="2"/>
  <c r="D333" i="2"/>
  <c r="D334" i="2"/>
  <c r="D309" i="2"/>
  <c r="D310" i="2"/>
  <c r="D306" i="2"/>
  <c r="D311" i="2"/>
  <c r="D266" i="2"/>
  <c r="D267" i="2"/>
  <c r="D269" i="2"/>
  <c r="D270" i="2"/>
  <c r="D271" i="2"/>
  <c r="D214" i="2"/>
  <c r="D215" i="2"/>
  <c r="D211" i="2"/>
  <c r="D13" i="2"/>
  <c r="D14" i="2"/>
  <c r="D15" i="2"/>
  <c r="D1531" i="2"/>
  <c r="D1106" i="2"/>
  <c r="D1630" i="2"/>
  <c r="D1605" i="2"/>
  <c r="D1541" i="2"/>
  <c r="D1469" i="2"/>
  <c r="D1151" i="2"/>
  <c r="D1039" i="2"/>
  <c r="D1012" i="2"/>
  <c r="D983" i="2"/>
  <c r="D766" i="2"/>
  <c r="D515" i="2"/>
  <c r="D391" i="2"/>
  <c r="D71" i="2"/>
  <c r="D1224" i="2"/>
  <c r="D1184" i="2"/>
  <c r="D1128" i="2"/>
  <c r="D1080" i="2"/>
  <c r="D1048" i="2"/>
  <c r="D1000" i="2"/>
  <c r="D960" i="2"/>
  <c r="D896" i="2"/>
  <c r="D856" i="2"/>
  <c r="D816" i="2"/>
  <c r="D784" i="2"/>
  <c r="D744" i="2"/>
  <c r="D712" i="2"/>
  <c r="D680" i="2"/>
  <c r="D648" i="2"/>
  <c r="D616" i="2"/>
  <c r="D560" i="2"/>
  <c r="D520" i="2"/>
  <c r="D488" i="2"/>
  <c r="D456" i="2"/>
  <c r="D400" i="2"/>
  <c r="D360" i="2"/>
  <c r="D320" i="2"/>
  <c r="D272" i="2"/>
  <c r="D240" i="2"/>
  <c r="D184" i="2"/>
  <c r="D144" i="2"/>
  <c r="D120" i="2"/>
  <c r="D32" i="2"/>
  <c r="D1218" i="2"/>
  <c r="D1079" i="2"/>
  <c r="D557" i="2"/>
  <c r="D1631" i="2"/>
  <c r="D1599" i="2"/>
  <c r="D1559" i="2"/>
  <c r="D1527" i="2"/>
  <c r="D1455" i="2"/>
  <c r="D1375" i="2"/>
  <c r="D1341" i="2"/>
  <c r="D1343" i="2"/>
  <c r="D1342" i="2"/>
  <c r="D1308" i="2"/>
  <c r="D1311" i="2"/>
  <c r="D1306" i="2"/>
  <c r="D1309" i="2"/>
  <c r="D1310" i="2"/>
  <c r="D1274" i="2"/>
  <c r="D1276" i="2"/>
  <c r="D1229" i="2"/>
  <c r="D1226" i="2"/>
  <c r="D1196" i="2"/>
  <c r="D1194" i="2"/>
  <c r="D1199" i="2"/>
  <c r="D1197" i="2"/>
  <c r="D1198" i="2"/>
  <c r="D1159" i="2"/>
  <c r="D1157" i="2"/>
  <c r="D1154" i="2"/>
  <c r="D1156" i="2"/>
  <c r="D1158" i="2"/>
  <c r="D1122" i="2"/>
  <c r="D1126" i="2"/>
  <c r="D1125" i="2"/>
  <c r="D1127" i="2"/>
  <c r="D1095" i="2"/>
  <c r="D1090" i="2"/>
  <c r="D1094" i="2"/>
  <c r="D1058" i="2"/>
  <c r="D1060" i="2"/>
  <c r="D1063" i="2"/>
  <c r="D1061" i="2"/>
  <c r="D1031" i="2"/>
  <c r="D1028" i="2"/>
  <c r="D1026" i="2"/>
  <c r="D1029" i="2"/>
  <c r="D1030" i="2"/>
  <c r="D1004" i="2"/>
  <c r="D1007" i="2"/>
  <c r="D1002" i="2"/>
  <c r="D1005" i="2"/>
  <c r="D958" i="2"/>
  <c r="D954" i="2"/>
  <c r="D959" i="2"/>
  <c r="D957" i="2"/>
  <c r="D914" i="2"/>
  <c r="D917" i="2"/>
  <c r="D916" i="2"/>
  <c r="D918" i="2"/>
  <c r="D885" i="2"/>
  <c r="D882" i="2"/>
  <c r="D884" i="2"/>
  <c r="D845" i="2"/>
  <c r="D842" i="2"/>
  <c r="D844" i="2"/>
  <c r="D847" i="2"/>
  <c r="D813" i="2"/>
  <c r="D810" i="2"/>
  <c r="D815" i="2"/>
  <c r="D772" i="2"/>
  <c r="D773" i="2"/>
  <c r="D770" i="2"/>
  <c r="D774" i="2"/>
  <c r="D775" i="2"/>
  <c r="D732" i="2"/>
  <c r="D733" i="2"/>
  <c r="D730" i="2"/>
  <c r="D734" i="2"/>
  <c r="D735" i="2"/>
  <c r="D692" i="2"/>
  <c r="D693" i="2"/>
  <c r="D694" i="2"/>
  <c r="D695" i="2"/>
  <c r="D658" i="2"/>
  <c r="D663" i="2"/>
  <c r="D659" i="2"/>
  <c r="D660" i="2"/>
  <c r="D661" i="2"/>
  <c r="D629" i="2"/>
  <c r="D630" i="2"/>
  <c r="D626" i="2"/>
  <c r="D597" i="2"/>
  <c r="D598" i="2"/>
  <c r="D599" i="2"/>
  <c r="D554" i="2"/>
  <c r="D555" i="2"/>
  <c r="D559" i="2"/>
  <c r="D522" i="2"/>
  <c r="D523" i="2"/>
  <c r="D525" i="2"/>
  <c r="D526" i="2"/>
  <c r="D527" i="2"/>
  <c r="D501" i="2"/>
  <c r="D502" i="2"/>
  <c r="D498" i="2"/>
  <c r="D503" i="2"/>
  <c r="D469" i="2"/>
  <c r="D470" i="2"/>
  <c r="D466" i="2"/>
  <c r="D471" i="2"/>
  <c r="D437" i="2"/>
  <c r="D438" i="2"/>
  <c r="D434" i="2"/>
  <c r="D405" i="2"/>
  <c r="D406" i="2"/>
  <c r="D402" i="2"/>
  <c r="D407" i="2"/>
  <c r="D354" i="2"/>
  <c r="D355" i="2"/>
  <c r="D357" i="2"/>
  <c r="D358" i="2"/>
  <c r="D359" i="2"/>
  <c r="D294" i="2"/>
  <c r="D295" i="2"/>
  <c r="D291" i="2"/>
  <c r="D293" i="2"/>
  <c r="D290" i="2"/>
  <c r="D29" i="2"/>
  <c r="D30" i="2"/>
  <c r="D31" i="2"/>
  <c r="D966" i="2"/>
  <c r="D1574" i="2"/>
  <c r="D1573" i="2"/>
  <c r="D1524" i="2"/>
  <c r="D1451" i="2"/>
  <c r="D1413" i="2"/>
  <c r="D1207" i="2"/>
  <c r="D926" i="2"/>
  <c r="D1620" i="2"/>
  <c r="D1572" i="2"/>
  <c r="D1540" i="2"/>
  <c r="D1468" i="2"/>
  <c r="D1255" i="2"/>
  <c r="D922" i="2"/>
  <c r="D812" i="2"/>
  <c r="D594" i="2"/>
  <c r="D390" i="2"/>
  <c r="D1248" i="2"/>
  <c r="D1216" i="2"/>
  <c r="D1152" i="2"/>
  <c r="D1112" i="2"/>
  <c r="D1056" i="2"/>
  <c r="D1016" i="2"/>
  <c r="D976" i="2"/>
  <c r="D912" i="2"/>
  <c r="D840" i="2"/>
  <c r="D808" i="2"/>
  <c r="D776" i="2"/>
  <c r="D728" i="2"/>
  <c r="D688" i="2"/>
  <c r="D656" i="2"/>
  <c r="D624" i="2"/>
  <c r="D584" i="2"/>
  <c r="D552" i="2"/>
  <c r="D528" i="2"/>
  <c r="D496" i="2"/>
  <c r="D464" i="2"/>
  <c r="D408" i="2"/>
  <c r="D376" i="2"/>
  <c r="D344" i="2"/>
  <c r="D328" i="2"/>
  <c r="D296" i="2"/>
  <c r="D264" i="2"/>
  <c r="D232" i="2"/>
  <c r="D200" i="2"/>
  <c r="D168" i="2"/>
  <c r="D136" i="2"/>
  <c r="D104" i="2"/>
  <c r="D88" i="2"/>
  <c r="D64" i="2"/>
  <c r="D48" i="2"/>
  <c r="D16" i="2"/>
  <c r="D1162" i="2"/>
  <c r="D1052" i="2"/>
  <c r="D828" i="2"/>
  <c r="D662" i="2"/>
  <c r="D1615" i="2"/>
  <c r="D1583" i="2"/>
  <c r="D1551" i="2"/>
  <c r="D1519" i="2"/>
  <c r="D1479" i="2"/>
  <c r="D1415" i="2"/>
  <c r="D1383" i="2"/>
  <c r="D1354" i="2"/>
  <c r="D1356" i="2"/>
  <c r="D1335" i="2"/>
  <c r="D1330" i="2"/>
  <c r="D1332" i="2"/>
  <c r="D1333" i="2"/>
  <c r="D1334" i="2"/>
  <c r="D1298" i="2"/>
  <c r="D1302" i="2"/>
  <c r="D1300" i="2"/>
  <c r="D1271" i="2"/>
  <c r="D1270" i="2"/>
  <c r="D1244" i="2"/>
  <c r="D1247" i="2"/>
  <c r="D1246" i="2"/>
  <c r="D1220" i="2"/>
  <c r="D1222" i="2"/>
  <c r="D1223" i="2"/>
  <c r="D1186" i="2"/>
  <c r="D1189" i="2"/>
  <c r="D1150" i="2"/>
  <c r="D1146" i="2"/>
  <c r="D1116" i="2"/>
  <c r="D1114" i="2"/>
  <c r="D1117" i="2"/>
  <c r="D1077" i="2"/>
  <c r="D1074" i="2"/>
  <c r="D1042" i="2"/>
  <c r="D1044" i="2"/>
  <c r="D1045" i="2"/>
  <c r="D1046" i="2"/>
  <c r="D980" i="2"/>
  <c r="D940" i="2"/>
  <c r="D943" i="2"/>
  <c r="D906" i="2"/>
  <c r="D910" i="2"/>
  <c r="D911" i="2"/>
  <c r="D869" i="2"/>
  <c r="D866" i="2"/>
  <c r="D868" i="2"/>
  <c r="D871" i="2"/>
  <c r="D837" i="2"/>
  <c r="D834" i="2"/>
  <c r="D836" i="2"/>
  <c r="D838" i="2"/>
  <c r="D839" i="2"/>
  <c r="D804" i="2"/>
  <c r="D805" i="2"/>
  <c r="D806" i="2"/>
  <c r="D807" i="2"/>
  <c r="D780" i="2"/>
  <c r="D781" i="2"/>
  <c r="D783" i="2"/>
  <c r="D782" i="2"/>
  <c r="D778" i="2"/>
  <c r="D748" i="2"/>
  <c r="D749" i="2"/>
  <c r="D746" i="2"/>
  <c r="D750" i="2"/>
  <c r="D751" i="2"/>
  <c r="D716" i="2"/>
  <c r="D717" i="2"/>
  <c r="D719" i="2"/>
  <c r="D718" i="2"/>
  <c r="D684" i="2"/>
  <c r="D685" i="2"/>
  <c r="D687" i="2"/>
  <c r="D682" i="2"/>
  <c r="D686" i="2"/>
  <c r="D647" i="2"/>
  <c r="D642" i="2"/>
  <c r="D643" i="2"/>
  <c r="D644" i="2"/>
  <c r="D645" i="2"/>
  <c r="D610" i="2"/>
  <c r="D611" i="2"/>
  <c r="D615" i="2"/>
  <c r="D613" i="2"/>
  <c r="D614" i="2"/>
  <c r="D583" i="2"/>
  <c r="D581" i="2"/>
  <c r="D582" i="2"/>
  <c r="D579" i="2"/>
  <c r="D578" i="2"/>
  <c r="D543" i="2"/>
  <c r="D541" i="2"/>
  <c r="D538" i="2"/>
  <c r="D539" i="2"/>
  <c r="D479" i="2"/>
  <c r="D426" i="2"/>
  <c r="D427" i="2"/>
  <c r="D431" i="2"/>
  <c r="D429" i="2"/>
  <c r="D430" i="2"/>
  <c r="D394" i="2"/>
  <c r="D395" i="2"/>
  <c r="D398" i="2"/>
  <c r="D399" i="2"/>
  <c r="D397" i="2"/>
  <c r="D362" i="2"/>
  <c r="D363" i="2"/>
  <c r="D365" i="2"/>
  <c r="D366" i="2"/>
  <c r="D367" i="2"/>
  <c r="D341" i="2"/>
  <c r="D342" i="2"/>
  <c r="D343" i="2"/>
  <c r="D327" i="2"/>
  <c r="D322" i="2"/>
  <c r="D323" i="2"/>
  <c r="D325" i="2"/>
  <c r="D326" i="2"/>
  <c r="D298" i="2"/>
  <c r="D299" i="2"/>
  <c r="D301" i="2"/>
  <c r="D302" i="2"/>
  <c r="D303" i="2"/>
  <c r="D277" i="2"/>
  <c r="D278" i="2"/>
  <c r="D279" i="2"/>
  <c r="D253" i="2"/>
  <c r="D254" i="2"/>
  <c r="D255" i="2"/>
  <c r="D251" i="2"/>
  <c r="D239" i="2"/>
  <c r="D238" i="2"/>
  <c r="D235" i="2"/>
  <c r="D237" i="2"/>
  <c r="D221" i="2"/>
  <c r="D222" i="2"/>
  <c r="D223" i="2"/>
  <c r="D203" i="2"/>
  <c r="D205" i="2"/>
  <c r="D206" i="2"/>
  <c r="D207" i="2"/>
  <c r="D189" i="2"/>
  <c r="D190" i="2"/>
  <c r="D191" i="2"/>
  <c r="D187" i="2"/>
  <c r="D175" i="2"/>
  <c r="D171" i="2"/>
  <c r="D173" i="2"/>
  <c r="D174" i="2"/>
  <c r="D157" i="2"/>
  <c r="D158" i="2"/>
  <c r="D159" i="2"/>
  <c r="D141" i="2"/>
  <c r="D142" i="2"/>
  <c r="D127" i="2"/>
  <c r="D125" i="2"/>
  <c r="D126" i="2"/>
  <c r="D109" i="2"/>
  <c r="D110" i="2"/>
  <c r="D111" i="2"/>
  <c r="D93" i="2"/>
  <c r="D94" i="2"/>
  <c r="D95" i="2"/>
  <c r="D78" i="2"/>
  <c r="D79" i="2"/>
  <c r="D77" i="2"/>
  <c r="D61" i="2"/>
  <c r="D62" i="2"/>
  <c r="D53" i="2"/>
  <c r="D54" i="2"/>
  <c r="D55" i="2"/>
  <c r="D37" i="2"/>
  <c r="D38" i="2"/>
  <c r="D39" i="2"/>
  <c r="D21" i="2"/>
  <c r="D22" i="2"/>
  <c r="D23" i="2"/>
  <c r="D1627" i="2"/>
  <c r="D1579" i="2"/>
  <c r="D1476" i="2"/>
  <c r="D1290" i="2"/>
  <c r="D1190" i="2"/>
  <c r="D1134" i="2"/>
  <c r="D1078" i="2"/>
  <c r="D1023" i="2"/>
  <c r="D714" i="2"/>
  <c r="D551" i="2"/>
  <c r="D439" i="2"/>
  <c r="D143" i="2"/>
  <c r="D1614" i="2"/>
  <c r="D1598" i="2"/>
  <c r="D1566" i="2"/>
  <c r="D1621" i="2"/>
  <c r="D1589" i="2"/>
  <c r="D1557" i="2"/>
  <c r="D1487" i="2"/>
  <c r="D1350" i="2"/>
  <c r="D1180" i="2"/>
  <c r="D1124" i="2"/>
  <c r="D1066" i="2"/>
  <c r="D852" i="2"/>
  <c r="D1604" i="2"/>
  <c r="D1588" i="2"/>
  <c r="D1556" i="2"/>
  <c r="D1523" i="2"/>
  <c r="D1486" i="2"/>
  <c r="D1431" i="2"/>
  <c r="D1391" i="2"/>
  <c r="D1349" i="2"/>
  <c r="D1279" i="2"/>
  <c r="D1231" i="2"/>
  <c r="D1204" i="2"/>
  <c r="D1093" i="2"/>
  <c r="D1037" i="2"/>
  <c r="D514" i="2"/>
  <c r="D1619" i="2"/>
  <c r="D1603" i="2"/>
  <c r="D1587" i="2"/>
  <c r="D1571" i="2"/>
  <c r="D1555" i="2"/>
  <c r="D1539" i="2"/>
  <c r="D1467" i="2"/>
  <c r="D1410" i="2"/>
  <c r="D1348" i="2"/>
  <c r="D1327" i="2"/>
  <c r="D1303" i="2"/>
  <c r="D1278" i="2"/>
  <c r="D1254" i="2"/>
  <c r="D1230" i="2"/>
  <c r="D1202" i="2"/>
  <c r="D1175" i="2"/>
  <c r="D1148" i="2"/>
  <c r="D1119" i="2"/>
  <c r="D1092" i="2"/>
  <c r="D1036" i="2"/>
  <c r="D981" i="2"/>
  <c r="D887" i="2"/>
  <c r="D743" i="2"/>
  <c r="D690" i="2"/>
  <c r="D477" i="2"/>
  <c r="D389" i="2"/>
  <c r="D219" i="2"/>
  <c r="D1530" i="2"/>
  <c r="D1506" i="2"/>
  <c r="D1490" i="2"/>
  <c r="D1474" i="2"/>
  <c r="D1466" i="2"/>
  <c r="D1458" i="2"/>
  <c r="D1442" i="2"/>
  <c r="D1434" i="2"/>
  <c r="D1426" i="2"/>
  <c r="D1419" i="2"/>
  <c r="D1411" i="2"/>
  <c r="D1403" i="2"/>
  <c r="D1395" i="2"/>
  <c r="D1379" i="2"/>
  <c r="D1381" i="2"/>
  <c r="D1355" i="2"/>
  <c r="D1347" i="2"/>
  <c r="D1339" i="2"/>
  <c r="D1510" i="2"/>
  <c r="D1501" i="2"/>
  <c r="D1492" i="2"/>
  <c r="D1446" i="2"/>
  <c r="D1437" i="2"/>
  <c r="D1428" i="2"/>
  <c r="D1418" i="2"/>
  <c r="D1397" i="2"/>
  <c r="D1387" i="2"/>
  <c r="D1390" i="2"/>
  <c r="D1500" i="2"/>
  <c r="D1445" i="2"/>
  <c r="D1396" i="2"/>
  <c r="D1522" i="2"/>
  <c r="D1371" i="2"/>
  <c r="D1372" i="2"/>
  <c r="D1518" i="2"/>
  <c r="D1491" i="2"/>
  <c r="D1427" i="2"/>
  <c r="D1406" i="2"/>
  <c r="D1444" i="2"/>
  <c r="D1405" i="2"/>
  <c r="D1514" i="2"/>
  <c r="D1498" i="2"/>
  <c r="D1482" i="2"/>
  <c r="D1450" i="2"/>
  <c r="D1363" i="2"/>
  <c r="D1509" i="2"/>
  <c r="D1436" i="2"/>
  <c r="D1526" i="2"/>
  <c r="D1508" i="2"/>
  <c r="D1462" i="2"/>
  <c r="D1453" i="2"/>
  <c r="D1435" i="2"/>
  <c r="D1394" i="2"/>
  <c r="D1374" i="2"/>
  <c r="D1534" i="2"/>
  <c r="D1525" i="2"/>
  <c r="D1516" i="2"/>
  <c r="D1507" i="2"/>
  <c r="D1470" i="2"/>
  <c r="D1461" i="2"/>
  <c r="D1452" i="2"/>
  <c r="D1443" i="2"/>
  <c r="D1414" i="2"/>
  <c r="D1404" i="2"/>
  <c r="D1373" i="2"/>
  <c r="D1331" i="2"/>
  <c r="D1323" i="2"/>
  <c r="D1315" i="2"/>
  <c r="D1307" i="2"/>
  <c r="D1299" i="2"/>
  <c r="D1291" i="2"/>
  <c r="D1283" i="2"/>
  <c r="D1275" i="2"/>
  <c r="D1267" i="2"/>
  <c r="D1259" i="2"/>
  <c r="D1251" i="2"/>
  <c r="D1243" i="2"/>
  <c r="D1235" i="2"/>
  <c r="D1227" i="2"/>
  <c r="D1219" i="2"/>
  <c r="D1211" i="2"/>
  <c r="D1203" i="2"/>
  <c r="D1195" i="2"/>
  <c r="D1187" i="2"/>
  <c r="D1179" i="2"/>
  <c r="D1171" i="2"/>
  <c r="D1163" i="2"/>
  <c r="D1155" i="2"/>
  <c r="D1147" i="2"/>
  <c r="D1139" i="2"/>
  <c r="D1131" i="2"/>
  <c r="D1123" i="2"/>
  <c r="D1115" i="2"/>
  <c r="D1107" i="2"/>
  <c r="D1099" i="2"/>
  <c r="D1091" i="2"/>
  <c r="D1083" i="2"/>
  <c r="D1075" i="2"/>
  <c r="D1067" i="2"/>
  <c r="D1059" i="2"/>
  <c r="D1051" i="2"/>
  <c r="D1043" i="2"/>
  <c r="D1035" i="2"/>
  <c r="D1027" i="2"/>
  <c r="D1019" i="2"/>
  <c r="D1011" i="2"/>
  <c r="D1003" i="2"/>
  <c r="D995" i="2"/>
  <c r="D987" i="2"/>
  <c r="D979" i="2"/>
  <c r="D971" i="2"/>
  <c r="D963" i="2"/>
  <c r="D955" i="2"/>
  <c r="D947" i="2"/>
  <c r="D939" i="2"/>
  <c r="D931" i="2"/>
  <c r="D923" i="2"/>
  <c r="D915" i="2"/>
  <c r="D907" i="2"/>
  <c r="D899" i="2"/>
  <c r="D891" i="2"/>
  <c r="D883" i="2"/>
  <c r="D875" i="2"/>
  <c r="D867" i="2"/>
  <c r="D859" i="2"/>
  <c r="D851" i="2"/>
  <c r="D843" i="2"/>
  <c r="D835" i="2"/>
  <c r="D827" i="2"/>
  <c r="D819" i="2"/>
  <c r="D811" i="2"/>
  <c r="D803" i="2"/>
  <c r="D795" i="2"/>
  <c r="D787" i="2"/>
  <c r="D779" i="2"/>
  <c r="D771" i="2"/>
  <c r="D763" i="2"/>
  <c r="D755" i="2"/>
  <c r="D747" i="2"/>
  <c r="D739" i="2"/>
  <c r="D731" i="2"/>
  <c r="D723" i="2"/>
  <c r="D715" i="2"/>
  <c r="D707" i="2"/>
  <c r="D699" i="2"/>
  <c r="D691" i="2"/>
  <c r="D683" i="2"/>
  <c r="D674" i="2"/>
  <c r="D646" i="2"/>
  <c r="D637" i="2"/>
  <c r="D628" i="2"/>
  <c r="D620" i="2"/>
  <c r="D612" i="2"/>
  <c r="D604" i="2"/>
  <c r="D596" i="2"/>
  <c r="D588" i="2"/>
  <c r="D580" i="2"/>
  <c r="D572" i="2"/>
  <c r="D564" i="2"/>
  <c r="D556" i="2"/>
  <c r="D548" i="2"/>
  <c r="D540" i="2"/>
  <c r="D532" i="2"/>
  <c r="D524" i="2"/>
  <c r="D516" i="2"/>
  <c r="D508" i="2"/>
  <c r="D500" i="2"/>
  <c r="D492" i="2"/>
  <c r="D484" i="2"/>
  <c r="D476" i="2"/>
  <c r="D468" i="2"/>
  <c r="D460" i="2"/>
  <c r="D452" i="2"/>
  <c r="D444" i="2"/>
  <c r="D436" i="2"/>
  <c r="D428" i="2"/>
  <c r="D420" i="2"/>
  <c r="D412" i="2"/>
  <c r="D404" i="2"/>
  <c r="D396" i="2"/>
  <c r="D388" i="2"/>
  <c r="D380" i="2"/>
  <c r="D372" i="2"/>
  <c r="D364" i="2"/>
  <c r="D356" i="2"/>
  <c r="D348" i="2"/>
  <c r="D340" i="2"/>
  <c r="D332" i="2"/>
  <c r="D324" i="2"/>
  <c r="D316" i="2"/>
  <c r="D308" i="2"/>
  <c r="D300" i="2"/>
  <c r="D292" i="2"/>
  <c r="D284" i="2"/>
  <c r="D276" i="2"/>
  <c r="D268" i="2"/>
  <c r="D258" i="2"/>
  <c r="D260" i="2"/>
  <c r="D250" i="2"/>
  <c r="D252" i="2"/>
  <c r="D242" i="2"/>
  <c r="D244" i="2"/>
  <c r="D234" i="2"/>
  <c r="D236" i="2"/>
  <c r="D226" i="2"/>
  <c r="D228" i="2"/>
  <c r="D218" i="2"/>
  <c r="D220" i="2"/>
  <c r="D210" i="2"/>
  <c r="D212" i="2"/>
  <c r="D202" i="2"/>
  <c r="D204" i="2"/>
  <c r="D194" i="2"/>
  <c r="D196" i="2"/>
  <c r="D186" i="2"/>
  <c r="D188" i="2"/>
  <c r="D178" i="2"/>
  <c r="D180" i="2"/>
  <c r="D170" i="2"/>
  <c r="D172" i="2"/>
  <c r="D162" i="2"/>
  <c r="D163" i="2"/>
  <c r="D164" i="2"/>
  <c r="D154" i="2"/>
  <c r="D155" i="2"/>
  <c r="D156" i="2"/>
  <c r="D146" i="2"/>
  <c r="D147" i="2"/>
  <c r="D148" i="2"/>
  <c r="D138" i="2"/>
  <c r="D139" i="2"/>
  <c r="D140" i="2"/>
  <c r="D130" i="2"/>
  <c r="D131" i="2"/>
  <c r="D132" i="2"/>
  <c r="D122" i="2"/>
  <c r="D123" i="2"/>
  <c r="D124" i="2"/>
  <c r="D114" i="2"/>
  <c r="D115" i="2"/>
  <c r="D116" i="2"/>
  <c r="D106" i="2"/>
  <c r="D107" i="2"/>
  <c r="D108" i="2"/>
  <c r="D98" i="2"/>
  <c r="D99" i="2"/>
  <c r="D100" i="2"/>
  <c r="D90" i="2"/>
  <c r="D91" i="2"/>
  <c r="D92" i="2"/>
  <c r="D82" i="2"/>
  <c r="D83" i="2"/>
  <c r="D84" i="2"/>
  <c r="D74" i="2"/>
  <c r="D75" i="2"/>
  <c r="D76" i="2"/>
  <c r="D66" i="2"/>
  <c r="D67" i="2"/>
  <c r="D68" i="2"/>
  <c r="D58" i="2"/>
  <c r="D59" i="2"/>
  <c r="D60" i="2"/>
  <c r="D50" i="2"/>
  <c r="D51" i="2"/>
  <c r="D52" i="2"/>
  <c r="D42" i="2"/>
  <c r="D43" i="2"/>
  <c r="D44" i="2"/>
  <c r="D34" i="2"/>
  <c r="D35" i="2"/>
  <c r="D36" i="2"/>
  <c r="D26" i="2"/>
  <c r="D27" i="2"/>
  <c r="D28" i="2"/>
  <c r="D18" i="2"/>
  <c r="D19" i="2"/>
  <c r="D20" i="2"/>
  <c r="D10" i="2"/>
  <c r="D11" i="2"/>
  <c r="D12" i="2"/>
  <c r="D2" i="2"/>
  <c r="D3" i="2"/>
  <c r="D4" i="2"/>
  <c r="D627" i="2"/>
  <c r="D606" i="2"/>
  <c r="D595" i="2"/>
  <c r="D574" i="2"/>
  <c r="D563" i="2"/>
  <c r="D542" i="2"/>
  <c r="D531" i="2"/>
  <c r="D510" i="2"/>
  <c r="D499" i="2"/>
  <c r="D478" i="2"/>
  <c r="D467" i="2"/>
  <c r="D446" i="2"/>
  <c r="D435" i="2"/>
  <c r="D414" i="2"/>
  <c r="D403" i="2"/>
  <c r="D382" i="2"/>
  <c r="D371" i="2"/>
  <c r="D350" i="2"/>
  <c r="D339" i="2"/>
  <c r="D318" i="2"/>
  <c r="D307" i="2"/>
  <c r="D286" i="2"/>
  <c r="D275" i="2"/>
  <c r="I3" i="2"/>
  <c r="I12" i="2"/>
  <c r="I15" i="2"/>
  <c r="J15" i="2"/>
  <c r="I27" i="2"/>
  <c r="I28" i="2"/>
  <c r="J28" i="2"/>
  <c r="I31" i="2"/>
  <c r="I35" i="2"/>
  <c r="I43" i="2"/>
  <c r="I51" i="2"/>
  <c r="I52" i="2"/>
  <c r="J52" i="2"/>
  <c r="I55" i="2"/>
  <c r="J55" i="2"/>
  <c r="I57" i="2"/>
  <c r="H5" i="2"/>
  <c r="H6" i="2"/>
  <c r="I6" i="2"/>
  <c r="H7" i="2"/>
  <c r="I7" i="2"/>
  <c r="H8" i="2"/>
  <c r="I8" i="2"/>
  <c r="H9" i="2"/>
  <c r="H10" i="2"/>
  <c r="I10" i="2"/>
  <c r="H11" i="2"/>
  <c r="I11" i="2"/>
  <c r="H12" i="2"/>
  <c r="H13" i="2"/>
  <c r="I13" i="2"/>
  <c r="H14" i="2"/>
  <c r="I14" i="2"/>
  <c r="J14" i="2"/>
  <c r="H15" i="2"/>
  <c r="H16" i="2"/>
  <c r="I16" i="2"/>
  <c r="J16" i="2"/>
  <c r="H17" i="2"/>
  <c r="I17" i="2"/>
  <c r="H18" i="2"/>
  <c r="I18" i="2"/>
  <c r="J18" i="2"/>
  <c r="H19" i="2"/>
  <c r="I19" i="2"/>
  <c r="H20" i="2"/>
  <c r="I20" i="2"/>
  <c r="H21" i="2"/>
  <c r="I21" i="2"/>
  <c r="H22" i="2"/>
  <c r="I22" i="2"/>
  <c r="J22" i="2"/>
  <c r="H23" i="2"/>
  <c r="I23" i="2"/>
  <c r="H24" i="2"/>
  <c r="I24" i="2"/>
  <c r="H25" i="2"/>
  <c r="I25" i="2"/>
  <c r="H26" i="2"/>
  <c r="I26" i="2"/>
  <c r="J26" i="2"/>
  <c r="H27" i="2"/>
  <c r="H28" i="2"/>
  <c r="H29" i="2"/>
  <c r="I29" i="2"/>
  <c r="H30" i="2"/>
  <c r="I30" i="2"/>
  <c r="J30" i="2"/>
  <c r="H31" i="2"/>
  <c r="H32" i="2"/>
  <c r="I32" i="2"/>
  <c r="H33" i="2"/>
  <c r="I33" i="2"/>
  <c r="H34" i="2"/>
  <c r="I34" i="2"/>
  <c r="J34" i="2"/>
  <c r="H35" i="2"/>
  <c r="H36" i="2"/>
  <c r="I36" i="2"/>
  <c r="J36" i="2"/>
  <c r="H37" i="2"/>
  <c r="I37" i="2"/>
  <c r="H38" i="2"/>
  <c r="I38" i="2"/>
  <c r="J38" i="2"/>
  <c r="H39" i="2"/>
  <c r="I39" i="2"/>
  <c r="J39" i="2"/>
  <c r="H40" i="2"/>
  <c r="I40" i="2"/>
  <c r="H41" i="2"/>
  <c r="I41" i="2"/>
  <c r="H42" i="2"/>
  <c r="I42" i="2"/>
  <c r="J42" i="2"/>
  <c r="H43" i="2"/>
  <c r="H44" i="2"/>
  <c r="I44" i="2"/>
  <c r="J44" i="2"/>
  <c r="H45" i="2"/>
  <c r="I45" i="2"/>
  <c r="H46" i="2"/>
  <c r="I46" i="2"/>
  <c r="J46" i="2"/>
  <c r="H47" i="2"/>
  <c r="I47" i="2"/>
  <c r="H48" i="2"/>
  <c r="I48" i="2"/>
  <c r="H49" i="2"/>
  <c r="I49" i="2"/>
  <c r="H50" i="2"/>
  <c r="I50" i="2"/>
  <c r="J50" i="2"/>
  <c r="H51" i="2"/>
  <c r="H52" i="2"/>
  <c r="H53" i="2"/>
  <c r="I53" i="2"/>
  <c r="H54" i="2"/>
  <c r="I54" i="2"/>
  <c r="J54" i="2"/>
  <c r="H55" i="2"/>
  <c r="H56" i="2"/>
  <c r="I56" i="2"/>
  <c r="H57" i="2"/>
  <c r="H58" i="2"/>
  <c r="I58" i="2"/>
  <c r="J58" i="2"/>
  <c r="H4" i="2"/>
  <c r="J20" i="2"/>
  <c r="J19" i="2"/>
  <c r="J11" i="2"/>
  <c r="O12" i="1"/>
  <c r="N20" i="1"/>
  <c r="N37" i="1"/>
  <c r="N13" i="1"/>
  <c r="N28" i="1"/>
  <c r="J56" i="2"/>
  <c r="J24" i="2"/>
  <c r="J27" i="2"/>
  <c r="O28" i="1"/>
  <c r="N51" i="1"/>
  <c r="N19" i="1"/>
  <c r="J51" i="2"/>
  <c r="O52" i="1"/>
  <c r="N42" i="1"/>
  <c r="N57" i="1"/>
  <c r="N49" i="1"/>
  <c r="N41" i="1"/>
  <c r="N33" i="1"/>
  <c r="N25" i="1"/>
  <c r="N17" i="1"/>
  <c r="N9" i="1"/>
  <c r="J43" i="2"/>
  <c r="N45" i="1"/>
  <c r="N21" i="1"/>
  <c r="N36" i="1"/>
  <c r="N12" i="1"/>
  <c r="J48" i="2"/>
  <c r="N59" i="1"/>
  <c r="N27" i="1"/>
  <c r="J12" i="2"/>
  <c r="N34" i="1"/>
  <c r="J37" i="2"/>
  <c r="J21" i="2"/>
  <c r="O22" i="1"/>
  <c r="O59" i="1"/>
  <c r="N56" i="1"/>
  <c r="N48" i="1"/>
  <c r="N24" i="1"/>
  <c r="N16" i="1"/>
  <c r="N8" i="1"/>
  <c r="N53" i="1"/>
  <c r="N44" i="1"/>
  <c r="J32" i="2"/>
  <c r="N43" i="1"/>
  <c r="N11" i="1"/>
  <c r="N58" i="1"/>
  <c r="N26" i="1"/>
  <c r="J45" i="2"/>
  <c r="J13" i="2"/>
  <c r="N40" i="1"/>
  <c r="I4" i="2"/>
  <c r="I9" i="2"/>
  <c r="N10" i="1"/>
  <c r="N55" i="1"/>
  <c r="N47" i="1"/>
  <c r="N39" i="1"/>
  <c r="N31" i="1"/>
  <c r="N23" i="1"/>
  <c r="N15" i="1"/>
  <c r="N7" i="1"/>
  <c r="N29" i="1"/>
  <c r="N52" i="1"/>
  <c r="J40" i="2"/>
  <c r="J8" i="2"/>
  <c r="N35" i="1"/>
  <c r="N50" i="1"/>
  <c r="N18" i="1"/>
  <c r="J53" i="2"/>
  <c r="J29" i="2"/>
  <c r="O30" i="1"/>
  <c r="J35" i="2"/>
  <c r="O36" i="1"/>
  <c r="N32" i="1"/>
  <c r="N54" i="1"/>
  <c r="N46" i="1"/>
  <c r="N38" i="1"/>
  <c r="N30" i="1"/>
  <c r="N22" i="1"/>
  <c r="N14" i="1"/>
  <c r="J25" i="2"/>
  <c r="O26" i="1"/>
  <c r="J49" i="2"/>
  <c r="O50" i="1"/>
  <c r="J23" i="2"/>
  <c r="J47" i="2"/>
  <c r="O48" i="1"/>
  <c r="J41" i="2"/>
  <c r="O42" i="1"/>
  <c r="J17" i="2"/>
  <c r="J33" i="2"/>
  <c r="O34" i="1"/>
  <c r="J7" i="2"/>
  <c r="O8" i="1"/>
  <c r="J57" i="2"/>
  <c r="O58" i="1"/>
  <c r="J31" i="2"/>
  <c r="O43" i="1"/>
  <c r="O27" i="1"/>
  <c r="O18" i="1"/>
  <c r="O47" i="1"/>
  <c r="O39" i="1"/>
  <c r="O23" i="1"/>
  <c r="O15" i="1"/>
  <c r="I5" i="2"/>
  <c r="J5" i="2"/>
  <c r="O6" i="1"/>
  <c r="O53" i="1"/>
  <c r="O45" i="1"/>
  <c r="O37" i="1"/>
  <c r="O29" i="1"/>
  <c r="O21" i="1"/>
  <c r="O13" i="1"/>
  <c r="O44" i="1"/>
  <c r="O51" i="1"/>
  <c r="O35" i="1"/>
  <c r="O19" i="1"/>
  <c r="O57" i="1"/>
  <c r="O49" i="1"/>
  <c r="O41" i="1"/>
  <c r="O33" i="1"/>
  <c r="O25" i="1"/>
  <c r="O17" i="1"/>
  <c r="O9" i="1"/>
  <c r="O56" i="1"/>
  <c r="O40" i="1"/>
  <c r="O32" i="1"/>
  <c r="O24" i="1"/>
  <c r="O16" i="1"/>
  <c r="O20" i="1"/>
  <c r="O55" i="1"/>
  <c r="O31" i="1"/>
  <c r="O54" i="1"/>
  <c r="O46" i="1"/>
  <c r="O38" i="1"/>
  <c r="O14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5" i="1"/>
  <c r="J4" i="2"/>
  <c r="O5" i="1"/>
  <c r="N5" i="1"/>
  <c r="J10" i="2"/>
  <c r="O11" i="1"/>
  <c r="J9" i="2"/>
  <c r="O10" i="1"/>
  <c r="N6" i="1"/>
  <c r="J6" i="2"/>
  <c r="O7" i="1"/>
  <c r="E12" i="4"/>
  <c r="D30" i="4"/>
  <c r="G59" i="3"/>
  <c r="D57" i="6"/>
  <c r="C57" i="6"/>
  <c r="C59" i="1"/>
  <c r="G59" i="1"/>
  <c r="E59" i="1"/>
  <c r="D59" i="1"/>
  <c r="F59" i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E52" i="1"/>
  <c r="D51" i="6"/>
  <c r="D52" i="6"/>
  <c r="D53" i="6"/>
  <c r="E55" i="1"/>
  <c r="D54" i="6"/>
  <c r="E56" i="1"/>
  <c r="D55" i="6"/>
  <c r="E57" i="1"/>
  <c r="D56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1" i="1"/>
  <c r="C50" i="6"/>
  <c r="C52" i="1"/>
  <c r="C51" i="6"/>
  <c r="C52" i="6"/>
  <c r="C54" i="1"/>
  <c r="C53" i="6"/>
  <c r="C55" i="1"/>
  <c r="C54" i="6"/>
  <c r="C56" i="1"/>
  <c r="C55" i="6"/>
  <c r="C57" i="1"/>
  <c r="C56" i="6"/>
  <c r="C58" i="1"/>
  <c r="C3" i="6"/>
  <c r="D58" i="1"/>
  <c r="E58" i="1"/>
  <c r="F58" i="1"/>
  <c r="G239" i="8"/>
  <c r="H239" i="8"/>
  <c r="I239" i="8"/>
  <c r="J239" i="8"/>
  <c r="P239" i="8"/>
  <c r="O239" i="8"/>
  <c r="K239" i="8"/>
  <c r="L239" i="8"/>
  <c r="N239" i="8"/>
  <c r="M239" i="8"/>
  <c r="G58" i="1"/>
  <c r="G58" i="3"/>
  <c r="F28" i="1"/>
  <c r="F57" i="1"/>
  <c r="F5" i="1"/>
  <c r="F8" i="1"/>
  <c r="F11" i="1"/>
  <c r="F13" i="1"/>
  <c r="F31" i="1"/>
  <c r="F34" i="1"/>
  <c r="F7" i="1"/>
  <c r="F40" i="1"/>
  <c r="F41" i="1"/>
  <c r="F38" i="1"/>
  <c r="F39" i="1"/>
  <c r="F56" i="1"/>
  <c r="F54" i="1"/>
  <c r="F32" i="1"/>
  <c r="F42" i="1"/>
  <c r="F49" i="1"/>
  <c r="F50" i="1"/>
  <c r="F52" i="1"/>
  <c r="F55" i="1"/>
  <c r="G57" i="1"/>
  <c r="G57" i="3"/>
  <c r="D57" i="1"/>
  <c r="D56" i="1"/>
  <c r="B54" i="6"/>
  <c r="G237" i="8"/>
  <c r="H237" i="8"/>
  <c r="I237" i="8"/>
  <c r="J237" i="8"/>
  <c r="P237" i="8"/>
  <c r="AC237" i="8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6" i="3"/>
  <c r="P8" i="8"/>
  <c r="P9" i="8"/>
  <c r="P10" i="8"/>
  <c r="P12" i="8"/>
  <c r="P13" i="8"/>
  <c r="P14" i="8"/>
  <c r="P15" i="8"/>
  <c r="P17" i="8"/>
  <c r="P18" i="8"/>
  <c r="P19" i="8"/>
  <c r="P21" i="8"/>
  <c r="P22" i="8"/>
  <c r="P23" i="8"/>
  <c r="P25" i="8"/>
  <c r="P26" i="8"/>
  <c r="P27" i="8"/>
  <c r="P28" i="8"/>
  <c r="P30" i="8"/>
  <c r="P31" i="8"/>
  <c r="P32" i="8"/>
  <c r="P34" i="8"/>
  <c r="P35" i="8"/>
  <c r="P36" i="8"/>
  <c r="P38" i="8"/>
  <c r="P39" i="8"/>
  <c r="P40" i="8"/>
  <c r="P41" i="8"/>
  <c r="P43" i="8"/>
  <c r="P44" i="8"/>
  <c r="P45" i="8"/>
  <c r="P47" i="8"/>
  <c r="P48" i="8"/>
  <c r="P49" i="8"/>
  <c r="P51" i="8"/>
  <c r="P52" i="8"/>
  <c r="P53" i="8"/>
  <c r="P54" i="8"/>
  <c r="P56" i="8"/>
  <c r="P57" i="8"/>
  <c r="P58" i="8"/>
  <c r="P60" i="8"/>
  <c r="P61" i="8"/>
  <c r="P62" i="8"/>
  <c r="P64" i="8"/>
  <c r="P65" i="8"/>
  <c r="P66" i="8"/>
  <c r="P67" i="8"/>
  <c r="P69" i="8"/>
  <c r="P70" i="8"/>
  <c r="P71" i="8"/>
  <c r="P73" i="8"/>
  <c r="P74" i="8"/>
  <c r="P75" i="8"/>
  <c r="P76" i="8"/>
  <c r="P78" i="8"/>
  <c r="P79" i="8"/>
  <c r="P80" i="8"/>
  <c r="P82" i="8"/>
  <c r="P83" i="8"/>
  <c r="P84" i="8"/>
  <c r="P86" i="8"/>
  <c r="P87" i="8"/>
  <c r="P88" i="8"/>
  <c r="P89" i="8"/>
  <c r="P91" i="8"/>
  <c r="P92" i="8"/>
  <c r="P93" i="8"/>
  <c r="P95" i="8"/>
  <c r="P96" i="8"/>
  <c r="P97" i="8"/>
  <c r="P99" i="8"/>
  <c r="P100" i="8"/>
  <c r="P101" i="8"/>
  <c r="P102" i="8"/>
  <c r="P104" i="8"/>
  <c r="P105" i="8"/>
  <c r="P106" i="8"/>
  <c r="P108" i="8"/>
  <c r="P109" i="8"/>
  <c r="P110" i="8"/>
  <c r="P111" i="8"/>
  <c r="P113" i="8"/>
  <c r="P114" i="8"/>
  <c r="P115" i="8"/>
  <c r="P117" i="8"/>
  <c r="P118" i="8"/>
  <c r="P119" i="8"/>
  <c r="P121" i="8"/>
  <c r="P122" i="8"/>
  <c r="P123" i="8"/>
  <c r="P125" i="8"/>
  <c r="P126" i="8"/>
  <c r="P127" i="8"/>
  <c r="P128" i="8"/>
  <c r="P130" i="8"/>
  <c r="P131" i="8"/>
  <c r="P132" i="8"/>
  <c r="P134" i="8"/>
  <c r="P135" i="8"/>
  <c r="P136" i="8"/>
  <c r="P138" i="8"/>
  <c r="P139" i="8"/>
  <c r="P140" i="8"/>
  <c r="P141" i="8"/>
  <c r="P143" i="8"/>
  <c r="P144" i="8"/>
  <c r="P145" i="8"/>
  <c r="P147" i="8"/>
  <c r="P148" i="8"/>
  <c r="P149" i="8"/>
  <c r="P150" i="8"/>
  <c r="P152" i="8"/>
  <c r="P153" i="8"/>
  <c r="P154" i="8"/>
  <c r="P156" i="8"/>
  <c r="P157" i="8"/>
  <c r="P158" i="8"/>
  <c r="P160" i="8"/>
  <c r="P161" i="8"/>
  <c r="P162" i="8"/>
  <c r="P163" i="8"/>
  <c r="P165" i="8"/>
  <c r="P166" i="8"/>
  <c r="P167" i="8"/>
  <c r="P169" i="8"/>
  <c r="P170" i="8"/>
  <c r="P171" i="8"/>
  <c r="P173" i="8"/>
  <c r="P174" i="8"/>
  <c r="P175" i="8"/>
  <c r="P177" i="8"/>
  <c r="P178" i="8"/>
  <c r="P179" i="8"/>
  <c r="P180" i="8"/>
  <c r="P182" i="8"/>
  <c r="P183" i="8"/>
  <c r="P184" i="8"/>
  <c r="P186" i="8"/>
  <c r="P187" i="8"/>
  <c r="P188" i="8"/>
  <c r="P189" i="8"/>
  <c r="P191" i="8"/>
  <c r="P192" i="8"/>
  <c r="P193" i="8"/>
  <c r="P195" i="8"/>
  <c r="P196" i="8"/>
  <c r="P197" i="8"/>
  <c r="P199" i="8"/>
  <c r="P200" i="8"/>
  <c r="P201" i="8"/>
  <c r="P202" i="8"/>
  <c r="P204" i="8"/>
  <c r="P205" i="8"/>
  <c r="P206" i="8"/>
  <c r="P208" i="8"/>
  <c r="P209" i="8"/>
  <c r="P210" i="8"/>
  <c r="P211" i="8"/>
  <c r="P213" i="8"/>
  <c r="P214" i="8"/>
  <c r="P215" i="8"/>
  <c r="P217" i="8"/>
  <c r="P218" i="8"/>
  <c r="P219" i="8"/>
  <c r="P221" i="8"/>
  <c r="P222" i="8"/>
  <c r="P223" i="8"/>
  <c r="P225" i="8"/>
  <c r="P226" i="8"/>
  <c r="P227" i="8"/>
  <c r="P228" i="8"/>
  <c r="P230" i="8"/>
  <c r="P231" i="8"/>
  <c r="P232" i="8"/>
  <c r="P234" i="8"/>
  <c r="P235" i="8"/>
  <c r="G8" i="8"/>
  <c r="G11" i="8"/>
  <c r="P11" i="8"/>
  <c r="G16" i="8"/>
  <c r="P16" i="8"/>
  <c r="G19" i="8"/>
  <c r="G24" i="8"/>
  <c r="P24" i="8"/>
  <c r="G27" i="8"/>
  <c r="G32" i="8"/>
  <c r="G35" i="8"/>
  <c r="G40" i="8"/>
  <c r="G43" i="8"/>
  <c r="G48" i="8"/>
  <c r="G51" i="8"/>
  <c r="G56" i="8"/>
  <c r="G59" i="8"/>
  <c r="P59" i="8"/>
  <c r="G64" i="8"/>
  <c r="G67" i="8"/>
  <c r="G72" i="8"/>
  <c r="P72" i="8"/>
  <c r="G75" i="8"/>
  <c r="G80" i="8"/>
  <c r="G83" i="8"/>
  <c r="G88" i="8"/>
  <c r="G91" i="8"/>
  <c r="G96" i="8"/>
  <c r="G99" i="8"/>
  <c r="G104" i="8"/>
  <c r="G107" i="8"/>
  <c r="P107" i="8"/>
  <c r="G112" i="8"/>
  <c r="P112" i="8"/>
  <c r="G115" i="8"/>
  <c r="G120" i="8"/>
  <c r="P120" i="8"/>
  <c r="G123" i="8"/>
  <c r="G128" i="8"/>
  <c r="G131" i="8"/>
  <c r="G136" i="8"/>
  <c r="G139" i="8"/>
  <c r="G144" i="8"/>
  <c r="G147" i="8"/>
  <c r="G152" i="8"/>
  <c r="G155" i="8"/>
  <c r="P155" i="8"/>
  <c r="G160" i="8"/>
  <c r="G163" i="8"/>
  <c r="G168" i="8"/>
  <c r="P168" i="8"/>
  <c r="G171" i="8"/>
  <c r="G176" i="8"/>
  <c r="P176" i="8"/>
  <c r="G179" i="8"/>
  <c r="G184" i="8"/>
  <c r="G187" i="8"/>
  <c r="G192" i="8"/>
  <c r="G195" i="8"/>
  <c r="G200" i="8"/>
  <c r="G203" i="8"/>
  <c r="P203" i="8"/>
  <c r="G208" i="8"/>
  <c r="G211" i="8"/>
  <c r="G216" i="8"/>
  <c r="P216" i="8"/>
  <c r="G219" i="8"/>
  <c r="G224" i="8"/>
  <c r="P224" i="8"/>
  <c r="G227" i="8"/>
  <c r="G232" i="8"/>
  <c r="G235" i="8"/>
  <c r="AC5" i="8"/>
  <c r="G5" i="8"/>
  <c r="AC6" i="8"/>
  <c r="G6" i="8"/>
  <c r="AC7" i="8"/>
  <c r="G7" i="8"/>
  <c r="P7" i="8"/>
  <c r="AC8" i="8"/>
  <c r="AC9" i="8"/>
  <c r="G9" i="8"/>
  <c r="AC10" i="8"/>
  <c r="G10" i="8"/>
  <c r="AC11" i="8"/>
  <c r="AC12" i="8"/>
  <c r="G12" i="8"/>
  <c r="AC13" i="8"/>
  <c r="G13" i="8"/>
  <c r="AC14" i="8"/>
  <c r="G14" i="8"/>
  <c r="AC15" i="8"/>
  <c r="G15" i="8"/>
  <c r="AC16" i="8"/>
  <c r="AC17" i="8"/>
  <c r="G17" i="8"/>
  <c r="AC18" i="8"/>
  <c r="G18" i="8"/>
  <c r="AC19" i="8"/>
  <c r="AC20" i="8"/>
  <c r="G20" i="8"/>
  <c r="P20" i="8"/>
  <c r="AC21" i="8"/>
  <c r="G21" i="8"/>
  <c r="AC22" i="8"/>
  <c r="G22" i="8"/>
  <c r="AC23" i="8"/>
  <c r="G23" i="8"/>
  <c r="AC24" i="8"/>
  <c r="AC25" i="8"/>
  <c r="G25" i="8"/>
  <c r="AC26" i="8"/>
  <c r="G26" i="8"/>
  <c r="AC27" i="8"/>
  <c r="AC28" i="8"/>
  <c r="G28" i="8"/>
  <c r="AC29" i="8"/>
  <c r="G29" i="8"/>
  <c r="P29" i="8"/>
  <c r="AC30" i="8"/>
  <c r="G30" i="8"/>
  <c r="AC31" i="8"/>
  <c r="G31" i="8"/>
  <c r="AC32" i="8"/>
  <c r="AC33" i="8"/>
  <c r="G33" i="8"/>
  <c r="P33" i="8"/>
  <c r="AC34" i="8"/>
  <c r="G34" i="8"/>
  <c r="AC35" i="8"/>
  <c r="AC36" i="8"/>
  <c r="G36" i="8"/>
  <c r="AC37" i="8"/>
  <c r="G37" i="8"/>
  <c r="P37" i="8"/>
  <c r="AC38" i="8"/>
  <c r="G38" i="8"/>
  <c r="AC39" i="8"/>
  <c r="G39" i="8"/>
  <c r="AC40" i="8"/>
  <c r="AC41" i="8"/>
  <c r="G41" i="8"/>
  <c r="AC42" i="8"/>
  <c r="G42" i="8"/>
  <c r="P42" i="8"/>
  <c r="AC43" i="8"/>
  <c r="AC44" i="8"/>
  <c r="G44" i="8"/>
  <c r="AC45" i="8"/>
  <c r="G45" i="8"/>
  <c r="AC46" i="8"/>
  <c r="G46" i="8"/>
  <c r="P46" i="8"/>
  <c r="AC47" i="8"/>
  <c r="G47" i="8"/>
  <c r="AC48" i="8"/>
  <c r="AC49" i="8"/>
  <c r="G49" i="8"/>
  <c r="AC50" i="8"/>
  <c r="G50" i="8"/>
  <c r="P50" i="8"/>
  <c r="AC51" i="8"/>
  <c r="AC52" i="8"/>
  <c r="G52" i="8"/>
  <c r="AC53" i="8"/>
  <c r="G53" i="8"/>
  <c r="AC54" i="8"/>
  <c r="G54" i="8"/>
  <c r="AC55" i="8"/>
  <c r="G55" i="8"/>
  <c r="P55" i="8"/>
  <c r="AC56" i="8"/>
  <c r="AC57" i="8"/>
  <c r="G57" i="8"/>
  <c r="AC58" i="8"/>
  <c r="G58" i="8"/>
  <c r="AC59" i="8"/>
  <c r="AC60" i="8"/>
  <c r="G60" i="8"/>
  <c r="AC61" i="8"/>
  <c r="G61" i="8"/>
  <c r="AC62" i="8"/>
  <c r="G62" i="8"/>
  <c r="AC63" i="8"/>
  <c r="G63" i="8"/>
  <c r="P63" i="8"/>
  <c r="AC64" i="8"/>
  <c r="AC65" i="8"/>
  <c r="G65" i="8"/>
  <c r="AC66" i="8"/>
  <c r="G66" i="8"/>
  <c r="AC67" i="8"/>
  <c r="AC68" i="8"/>
  <c r="G68" i="8"/>
  <c r="P68" i="8"/>
  <c r="AC69" i="8"/>
  <c r="G69" i="8"/>
  <c r="AC70" i="8"/>
  <c r="G70" i="8"/>
  <c r="AC71" i="8"/>
  <c r="G71" i="8"/>
  <c r="AC72" i="8"/>
  <c r="AC73" i="8"/>
  <c r="G73" i="8"/>
  <c r="AC74" i="8"/>
  <c r="G74" i="8"/>
  <c r="AC75" i="8"/>
  <c r="AC76" i="8"/>
  <c r="G76" i="8"/>
  <c r="AC77" i="8"/>
  <c r="G77" i="8"/>
  <c r="P77" i="8"/>
  <c r="AC78" i="8"/>
  <c r="G78" i="8"/>
  <c r="AC79" i="8"/>
  <c r="G79" i="8"/>
  <c r="AC80" i="8"/>
  <c r="AC81" i="8"/>
  <c r="G81" i="8"/>
  <c r="P81" i="8"/>
  <c r="AC82" i="8"/>
  <c r="G82" i="8"/>
  <c r="AC83" i="8"/>
  <c r="AC84" i="8"/>
  <c r="G84" i="8"/>
  <c r="AC85" i="8"/>
  <c r="G85" i="8"/>
  <c r="P85" i="8"/>
  <c r="AC86" i="8"/>
  <c r="G86" i="8"/>
  <c r="AC87" i="8"/>
  <c r="G87" i="8"/>
  <c r="AC88" i="8"/>
  <c r="AC89" i="8"/>
  <c r="G89" i="8"/>
  <c r="AC90" i="8"/>
  <c r="G90" i="8"/>
  <c r="P90" i="8"/>
  <c r="AC91" i="8"/>
  <c r="AC92" i="8"/>
  <c r="G92" i="8"/>
  <c r="AC93" i="8"/>
  <c r="G93" i="8"/>
  <c r="AC94" i="8"/>
  <c r="G94" i="8"/>
  <c r="P94" i="8"/>
  <c r="AC95" i="8"/>
  <c r="G95" i="8"/>
  <c r="AC96" i="8"/>
  <c r="AC97" i="8"/>
  <c r="G97" i="8"/>
  <c r="AC98" i="8"/>
  <c r="G98" i="8"/>
  <c r="P98" i="8"/>
  <c r="AC99" i="8"/>
  <c r="AC100" i="8"/>
  <c r="G100" i="8"/>
  <c r="AC101" i="8"/>
  <c r="G101" i="8"/>
  <c r="AC102" i="8"/>
  <c r="G102" i="8"/>
  <c r="AC103" i="8"/>
  <c r="G103" i="8"/>
  <c r="P103" i="8"/>
  <c r="AC104" i="8"/>
  <c r="AC105" i="8"/>
  <c r="G105" i="8"/>
  <c r="AC106" i="8"/>
  <c r="G106" i="8"/>
  <c r="AC107" i="8"/>
  <c r="AC108" i="8"/>
  <c r="G108" i="8"/>
  <c r="AC109" i="8"/>
  <c r="G109" i="8"/>
  <c r="AC110" i="8"/>
  <c r="G110" i="8"/>
  <c r="AC111" i="8"/>
  <c r="G111" i="8"/>
  <c r="AC112" i="8"/>
  <c r="AC113" i="8"/>
  <c r="G113" i="8"/>
  <c r="AC114" i="8"/>
  <c r="G114" i="8"/>
  <c r="AC115" i="8"/>
  <c r="AC116" i="8"/>
  <c r="G116" i="8"/>
  <c r="P116" i="8"/>
  <c r="AC117" i="8"/>
  <c r="G117" i="8"/>
  <c r="AC118" i="8"/>
  <c r="G118" i="8"/>
  <c r="AC119" i="8"/>
  <c r="G119" i="8"/>
  <c r="AC120" i="8"/>
  <c r="AC121" i="8"/>
  <c r="G121" i="8"/>
  <c r="AC122" i="8"/>
  <c r="G122" i="8"/>
  <c r="AC123" i="8"/>
  <c r="AC124" i="8"/>
  <c r="G124" i="8"/>
  <c r="P124" i="8"/>
  <c r="AC125" i="8"/>
  <c r="G125" i="8"/>
  <c r="AC126" i="8"/>
  <c r="G126" i="8"/>
  <c r="AC127" i="8"/>
  <c r="G127" i="8"/>
  <c r="AC128" i="8"/>
  <c r="AC129" i="8"/>
  <c r="G129" i="8"/>
  <c r="P129" i="8"/>
  <c r="AC130" i="8"/>
  <c r="G130" i="8"/>
  <c r="AC131" i="8"/>
  <c r="AC132" i="8"/>
  <c r="G132" i="8"/>
  <c r="AC133" i="8"/>
  <c r="G133" i="8"/>
  <c r="P133" i="8"/>
  <c r="AC134" i="8"/>
  <c r="G134" i="8"/>
  <c r="AC135" i="8"/>
  <c r="G135" i="8"/>
  <c r="AC136" i="8"/>
  <c r="AC137" i="8"/>
  <c r="G137" i="8"/>
  <c r="P137" i="8"/>
  <c r="AC138" i="8"/>
  <c r="G138" i="8"/>
  <c r="AC139" i="8"/>
  <c r="AC140" i="8"/>
  <c r="G140" i="8"/>
  <c r="AC141" i="8"/>
  <c r="G141" i="8"/>
  <c r="AC142" i="8"/>
  <c r="G142" i="8"/>
  <c r="P142" i="8"/>
  <c r="AC143" i="8"/>
  <c r="G143" i="8"/>
  <c r="AC144" i="8"/>
  <c r="AC145" i="8"/>
  <c r="G145" i="8"/>
  <c r="AC146" i="8"/>
  <c r="G146" i="8"/>
  <c r="P146" i="8"/>
  <c r="AC147" i="8"/>
  <c r="AC148" i="8"/>
  <c r="G148" i="8"/>
  <c r="AC149" i="8"/>
  <c r="G149" i="8"/>
  <c r="AC150" i="8"/>
  <c r="G150" i="8"/>
  <c r="AC151" i="8"/>
  <c r="G151" i="8"/>
  <c r="P151" i="8"/>
  <c r="AC152" i="8"/>
  <c r="AC153" i="8"/>
  <c r="G153" i="8"/>
  <c r="AC154" i="8"/>
  <c r="G154" i="8"/>
  <c r="AC155" i="8"/>
  <c r="AC156" i="8"/>
  <c r="G156" i="8"/>
  <c r="AC157" i="8"/>
  <c r="G157" i="8"/>
  <c r="AC158" i="8"/>
  <c r="G158" i="8"/>
  <c r="AC159" i="8"/>
  <c r="G159" i="8"/>
  <c r="P159" i="8"/>
  <c r="AC160" i="8"/>
  <c r="AC161" i="8"/>
  <c r="G161" i="8"/>
  <c r="AC162" i="8"/>
  <c r="G162" i="8"/>
  <c r="AC163" i="8"/>
  <c r="AC164" i="8"/>
  <c r="G164" i="8"/>
  <c r="P164" i="8"/>
  <c r="AC165" i="8"/>
  <c r="G165" i="8"/>
  <c r="AC166" i="8"/>
  <c r="G166" i="8"/>
  <c r="AC167" i="8"/>
  <c r="G167" i="8"/>
  <c r="AC168" i="8"/>
  <c r="AC169" i="8"/>
  <c r="G169" i="8"/>
  <c r="AC170" i="8"/>
  <c r="G170" i="8"/>
  <c r="AC171" i="8"/>
  <c r="AC172" i="8"/>
  <c r="G172" i="8"/>
  <c r="P172" i="8"/>
  <c r="AC173" i="8"/>
  <c r="G173" i="8"/>
  <c r="AC174" i="8"/>
  <c r="G174" i="8"/>
  <c r="AC175" i="8"/>
  <c r="G175" i="8"/>
  <c r="AC176" i="8"/>
  <c r="AC177" i="8"/>
  <c r="G177" i="8"/>
  <c r="AC178" i="8"/>
  <c r="G178" i="8"/>
  <c r="AC179" i="8"/>
  <c r="AC180" i="8"/>
  <c r="G180" i="8"/>
  <c r="AC181" i="8"/>
  <c r="G181" i="8"/>
  <c r="P181" i="8"/>
  <c r="AC182" i="8"/>
  <c r="G182" i="8"/>
  <c r="AC183" i="8"/>
  <c r="G183" i="8"/>
  <c r="AC184" i="8"/>
  <c r="AC185" i="8"/>
  <c r="G185" i="8"/>
  <c r="P185" i="8"/>
  <c r="AC186" i="8"/>
  <c r="G186" i="8"/>
  <c r="AC187" i="8"/>
  <c r="AC188" i="8"/>
  <c r="G188" i="8"/>
  <c r="AC189" i="8"/>
  <c r="G189" i="8"/>
  <c r="AC190" i="8"/>
  <c r="G190" i="8"/>
  <c r="P190" i="8"/>
  <c r="AC191" i="8"/>
  <c r="G191" i="8"/>
  <c r="AC192" i="8"/>
  <c r="AC193" i="8"/>
  <c r="G193" i="8"/>
  <c r="AC194" i="8"/>
  <c r="G194" i="8"/>
  <c r="P194" i="8"/>
  <c r="AC195" i="8"/>
  <c r="AC196" i="8"/>
  <c r="G196" i="8"/>
  <c r="AC197" i="8"/>
  <c r="G197" i="8"/>
  <c r="AC198" i="8"/>
  <c r="G198" i="8"/>
  <c r="P198" i="8"/>
  <c r="AC199" i="8"/>
  <c r="G199" i="8"/>
  <c r="AC200" i="8"/>
  <c r="AC201" i="8"/>
  <c r="G201" i="8"/>
  <c r="AC202" i="8"/>
  <c r="G202" i="8"/>
  <c r="AC203" i="8"/>
  <c r="AC204" i="8"/>
  <c r="G204" i="8"/>
  <c r="AC205" i="8"/>
  <c r="G205" i="8"/>
  <c r="AC206" i="8"/>
  <c r="G206" i="8"/>
  <c r="AC207" i="8"/>
  <c r="G207" i="8"/>
  <c r="P207" i="8"/>
  <c r="AC208" i="8"/>
  <c r="AC209" i="8"/>
  <c r="G209" i="8"/>
  <c r="AC210" i="8"/>
  <c r="G210" i="8"/>
  <c r="AC211" i="8"/>
  <c r="AC212" i="8"/>
  <c r="G212" i="8"/>
  <c r="P212" i="8"/>
  <c r="AC213" i="8"/>
  <c r="G213" i="8"/>
  <c r="AC214" i="8"/>
  <c r="G214" i="8"/>
  <c r="AC215" i="8"/>
  <c r="G215" i="8"/>
  <c r="AC216" i="8"/>
  <c r="AC217" i="8"/>
  <c r="G217" i="8"/>
  <c r="AC218" i="8"/>
  <c r="G218" i="8"/>
  <c r="AC219" i="8"/>
  <c r="AC220" i="8"/>
  <c r="G220" i="8"/>
  <c r="P220" i="8"/>
  <c r="AC221" i="8"/>
  <c r="G221" i="8"/>
  <c r="AC222" i="8"/>
  <c r="G222" i="8"/>
  <c r="AC223" i="8"/>
  <c r="G223" i="8"/>
  <c r="AC224" i="8"/>
  <c r="AC225" i="8"/>
  <c r="G225" i="8"/>
  <c r="AC226" i="8"/>
  <c r="G226" i="8"/>
  <c r="AC227" i="8"/>
  <c r="AC228" i="8"/>
  <c r="G228" i="8"/>
  <c r="AC229" i="8"/>
  <c r="G229" i="8"/>
  <c r="P229" i="8"/>
  <c r="AC230" i="8"/>
  <c r="G230" i="8"/>
  <c r="AC231" i="8"/>
  <c r="G231" i="8"/>
  <c r="AC232" i="8"/>
  <c r="AC233" i="8"/>
  <c r="G233" i="8"/>
  <c r="P233" i="8"/>
  <c r="AC234" i="8"/>
  <c r="G234" i="8"/>
  <c r="AC235" i="8"/>
  <c r="AC236" i="8"/>
  <c r="G236" i="8"/>
  <c r="AC4" i="8"/>
  <c r="G4" i="8"/>
  <c r="O8" i="8"/>
  <c r="O9" i="8"/>
  <c r="O10" i="8"/>
  <c r="O12" i="8"/>
  <c r="O13" i="8"/>
  <c r="O14" i="8"/>
  <c r="O15" i="8"/>
  <c r="O17" i="8"/>
  <c r="O18" i="8"/>
  <c r="O19" i="8"/>
  <c r="O21" i="8"/>
  <c r="O22" i="8"/>
  <c r="O23" i="8"/>
  <c r="O25" i="8"/>
  <c r="O26" i="8"/>
  <c r="O27" i="8"/>
  <c r="O28" i="8"/>
  <c r="O30" i="8"/>
  <c r="O31" i="8"/>
  <c r="O32" i="8"/>
  <c r="O34" i="8"/>
  <c r="O35" i="8"/>
  <c r="O36" i="8"/>
  <c r="O38" i="8"/>
  <c r="O39" i="8"/>
  <c r="O40" i="8"/>
  <c r="O41" i="8"/>
  <c r="O43" i="8"/>
  <c r="O44" i="8"/>
  <c r="O45" i="8"/>
  <c r="O47" i="8"/>
  <c r="O48" i="8"/>
  <c r="O49" i="8"/>
  <c r="O51" i="8"/>
  <c r="O52" i="8"/>
  <c r="O53" i="8"/>
  <c r="O54" i="8"/>
  <c r="O56" i="8"/>
  <c r="O57" i="8"/>
  <c r="O58" i="8"/>
  <c r="O60" i="8"/>
  <c r="O61" i="8"/>
  <c r="O62" i="8"/>
  <c r="O64" i="8"/>
  <c r="O65" i="8"/>
  <c r="O66" i="8"/>
  <c r="O67" i="8"/>
  <c r="O69" i="8"/>
  <c r="O70" i="8"/>
  <c r="O71" i="8"/>
  <c r="O73" i="8"/>
  <c r="O74" i="8"/>
  <c r="O75" i="8"/>
  <c r="O76" i="8"/>
  <c r="O78" i="8"/>
  <c r="O79" i="8"/>
  <c r="O80" i="8"/>
  <c r="O82" i="8"/>
  <c r="O83" i="8"/>
  <c r="O84" i="8"/>
  <c r="O86" i="8"/>
  <c r="O87" i="8"/>
  <c r="O88" i="8"/>
  <c r="O89" i="8"/>
  <c r="O91" i="8"/>
  <c r="O92" i="8"/>
  <c r="O93" i="8"/>
  <c r="O95" i="8"/>
  <c r="O96" i="8"/>
  <c r="O97" i="8"/>
  <c r="O99" i="8"/>
  <c r="O100" i="8"/>
  <c r="O101" i="8"/>
  <c r="O102" i="8"/>
  <c r="O104" i="8"/>
  <c r="O105" i="8"/>
  <c r="O106" i="8"/>
  <c r="O108" i="8"/>
  <c r="O109" i="8"/>
  <c r="O110" i="8"/>
  <c r="O111" i="8"/>
  <c r="O113" i="8"/>
  <c r="O114" i="8"/>
  <c r="O115" i="8"/>
  <c r="O117" i="8"/>
  <c r="O118" i="8"/>
  <c r="O119" i="8"/>
  <c r="O121" i="8"/>
  <c r="O122" i="8"/>
  <c r="O123" i="8"/>
  <c r="O125" i="8"/>
  <c r="O126" i="8"/>
  <c r="O127" i="8"/>
  <c r="O128" i="8"/>
  <c r="O130" i="8"/>
  <c r="O131" i="8"/>
  <c r="O132" i="8"/>
  <c r="O134" i="8"/>
  <c r="O135" i="8"/>
  <c r="O136" i="8"/>
  <c r="O138" i="8"/>
  <c r="O139" i="8"/>
  <c r="O140" i="8"/>
  <c r="O141" i="8"/>
  <c r="O143" i="8"/>
  <c r="O144" i="8"/>
  <c r="O145" i="8"/>
  <c r="O147" i="8"/>
  <c r="O148" i="8"/>
  <c r="O149" i="8"/>
  <c r="O150" i="8"/>
  <c r="O152" i="8"/>
  <c r="O153" i="8"/>
  <c r="O154" i="8"/>
  <c r="O156" i="8"/>
  <c r="O157" i="8"/>
  <c r="O158" i="8"/>
  <c r="O160" i="8"/>
  <c r="O161" i="8"/>
  <c r="O162" i="8"/>
  <c r="O163" i="8"/>
  <c r="O165" i="8"/>
  <c r="O166" i="8"/>
  <c r="O167" i="8"/>
  <c r="O169" i="8"/>
  <c r="O170" i="8"/>
  <c r="O171" i="8"/>
  <c r="O173" i="8"/>
  <c r="O174" i="8"/>
  <c r="O175" i="8"/>
  <c r="O177" i="8"/>
  <c r="O178" i="8"/>
  <c r="O179" i="8"/>
  <c r="O180" i="8"/>
  <c r="O182" i="8"/>
  <c r="O183" i="8"/>
  <c r="O184" i="8"/>
  <c r="O186" i="8"/>
  <c r="O187" i="8"/>
  <c r="O188" i="8"/>
  <c r="O189" i="8"/>
  <c r="O191" i="8"/>
  <c r="O192" i="8"/>
  <c r="O193" i="8"/>
  <c r="O195" i="8"/>
  <c r="O196" i="8"/>
  <c r="O197" i="8"/>
  <c r="O199" i="8"/>
  <c r="O200" i="8"/>
  <c r="O201" i="8"/>
  <c r="O202" i="8"/>
  <c r="O204" i="8"/>
  <c r="O205" i="8"/>
  <c r="O206" i="8"/>
  <c r="O208" i="8"/>
  <c r="O209" i="8"/>
  <c r="O210" i="8"/>
  <c r="O211" i="8"/>
  <c r="O213" i="8"/>
  <c r="O214" i="8"/>
  <c r="O215" i="8"/>
  <c r="O217" i="8"/>
  <c r="O218" i="8"/>
  <c r="O219" i="8"/>
  <c r="O221" i="8"/>
  <c r="O222" i="8"/>
  <c r="O223" i="8"/>
  <c r="O225" i="8"/>
  <c r="O226" i="8"/>
  <c r="O227" i="8"/>
  <c r="O228" i="8"/>
  <c r="O230" i="8"/>
  <c r="O231" i="8"/>
  <c r="O232" i="8"/>
  <c r="O234" i="8"/>
  <c r="O235" i="8"/>
  <c r="O236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7" i="8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" i="1"/>
  <c r="L120" i="8"/>
  <c r="L7" i="8"/>
  <c r="L8" i="8"/>
  <c r="L9" i="8"/>
  <c r="L10" i="8"/>
  <c r="L11" i="8"/>
  <c r="L12" i="8"/>
  <c r="K9" i="1"/>
  <c r="L13" i="8"/>
  <c r="K51" i="1"/>
  <c r="L14" i="8"/>
  <c r="K18" i="1"/>
  <c r="L15" i="8"/>
  <c r="K44" i="1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K8" i="1"/>
  <c r="K20" i="1"/>
  <c r="K34" i="1"/>
  <c r="K46" i="1"/>
  <c r="K55" i="1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7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P236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4" i="8"/>
  <c r="K54" i="1"/>
  <c r="K13" i="1"/>
  <c r="K43" i="1"/>
  <c r="K31" i="1"/>
  <c r="K50" i="1"/>
  <c r="K41" i="1"/>
  <c r="K28" i="1"/>
  <c r="K12" i="1"/>
  <c r="K19" i="1"/>
  <c r="K32" i="1"/>
  <c r="K42" i="1"/>
  <c r="K49" i="1"/>
  <c r="K40" i="1"/>
  <c r="K26" i="1"/>
  <c r="K11" i="1"/>
  <c r="K33" i="1"/>
  <c r="K16" i="1"/>
  <c r="K48" i="1"/>
  <c r="K39" i="1"/>
  <c r="K24" i="1"/>
  <c r="K10" i="1"/>
  <c r="K52" i="1"/>
  <c r="K5" i="1"/>
  <c r="K47" i="1"/>
  <c r="K36" i="1"/>
  <c r="K23" i="1"/>
  <c r="K27" i="1"/>
  <c r="K17" i="1"/>
  <c r="K7" i="1"/>
  <c r="K53" i="1"/>
  <c r="K45" i="1"/>
  <c r="K35" i="1"/>
  <c r="K25" i="1"/>
  <c r="K15" i="1"/>
  <c r="K38" i="1"/>
  <c r="K30" i="1"/>
  <c r="K22" i="1"/>
  <c r="K14" i="1"/>
  <c r="K6" i="1"/>
  <c r="K37" i="1"/>
  <c r="K29" i="1"/>
  <c r="K21" i="1"/>
  <c r="E54" i="1"/>
  <c r="G54" i="3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" i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G53" i="3"/>
  <c r="M236" i="8"/>
  <c r="K236" i="8"/>
  <c r="L236" i="8"/>
  <c r="N236" i="8"/>
  <c r="F15" i="1"/>
  <c r="F33" i="1"/>
  <c r="F22" i="1"/>
  <c r="F51" i="1"/>
  <c r="F45" i="1"/>
  <c r="F19" i="1"/>
  <c r="F26" i="1"/>
  <c r="F16" i="1"/>
  <c r="F53" i="1"/>
  <c r="F30" i="1"/>
  <c r="F36" i="1"/>
  <c r="F14" i="1"/>
  <c r="F23" i="1"/>
  <c r="F6" i="1"/>
  <c r="F10" i="1"/>
  <c r="F37" i="1"/>
  <c r="F17" i="1"/>
  <c r="F25" i="1"/>
  <c r="F20" i="1"/>
  <c r="F35" i="1"/>
  <c r="F29" i="1"/>
  <c r="F48" i="1"/>
  <c r="F24" i="1"/>
  <c r="F18" i="1"/>
  <c r="F27" i="1"/>
  <c r="F46" i="1"/>
  <c r="F12" i="1"/>
  <c r="F43" i="1"/>
  <c r="F9" i="1"/>
  <c r="F21" i="1"/>
  <c r="F47" i="1"/>
  <c r="F44" i="1"/>
  <c r="G55" i="3"/>
  <c r="M237" i="8"/>
  <c r="O237" i="8"/>
  <c r="N237" i="8"/>
  <c r="K237" i="8"/>
  <c r="L237" i="8"/>
  <c r="M56" i="1"/>
  <c r="K56" i="1"/>
  <c r="L56" i="1"/>
  <c r="W4" i="8"/>
  <c r="F58" i="4" l="1"/>
  <c r="H59" i="1" s="1"/>
  <c r="F54" i="4"/>
  <c r="H55" i="1" s="1"/>
  <c r="D4" i="4"/>
  <c r="E16" i="4"/>
  <c r="D39" i="4"/>
  <c r="D9" i="4"/>
  <c r="E7" i="4"/>
  <c r="E14" i="4"/>
  <c r="E54" i="4"/>
  <c r="D52" i="4"/>
  <c r="E33" i="4"/>
  <c r="D29" i="4"/>
  <c r="F29" i="4" s="1"/>
  <c r="H30" i="1" s="1"/>
  <c r="D18" i="4"/>
  <c r="F18" i="4" s="1"/>
  <c r="H19" i="1" s="1"/>
  <c r="E51" i="4"/>
  <c r="E30" i="4"/>
  <c r="F30" i="4" s="1"/>
  <c r="H31" i="1" s="1"/>
  <c r="E29" i="4"/>
  <c r="D32" i="4"/>
  <c r="D51" i="4"/>
  <c r="E34" i="4"/>
  <c r="E17" i="4"/>
  <c r="D46" i="4"/>
  <c r="F46" i="4" s="1"/>
  <c r="H47" i="1" s="1"/>
  <c r="D40" i="4"/>
  <c r="D13" i="4"/>
  <c r="F13" i="4" s="1"/>
  <c r="H14" i="1" s="1"/>
  <c r="D11" i="4"/>
  <c r="E35" i="4"/>
  <c r="D15" i="4"/>
  <c r="D21" i="4"/>
  <c r="D56" i="4"/>
  <c r="D38" i="4"/>
  <c r="D35" i="4"/>
  <c r="F35" i="4" s="1"/>
  <c r="H36" i="1" s="1"/>
  <c r="D10" i="4"/>
  <c r="E38" i="4"/>
  <c r="E21" i="4"/>
  <c r="E46" i="4"/>
  <c r="E25" i="4"/>
  <c r="E43" i="4"/>
  <c r="E26" i="4"/>
  <c r="D17" i="4"/>
  <c r="D24" i="4"/>
  <c r="D34" i="4"/>
  <c r="E40" i="4"/>
  <c r="D55" i="4"/>
  <c r="D43" i="4"/>
  <c r="D28" i="4"/>
  <c r="D48" i="4"/>
  <c r="D53" i="4"/>
  <c r="D6" i="4"/>
  <c r="D31" i="4"/>
  <c r="D33" i="4"/>
  <c r="F33" i="4" s="1"/>
  <c r="H34" i="1" s="1"/>
  <c r="D42" i="4"/>
  <c r="E36" i="4"/>
  <c r="E39" i="4"/>
  <c r="F39" i="4" s="1"/>
  <c r="H40" i="1" s="1"/>
  <c r="E53" i="4"/>
  <c r="E55" i="4"/>
  <c r="E57" i="4"/>
  <c r="F57" i="4" s="1"/>
  <c r="H58" i="1" s="1"/>
  <c r="E48" i="4"/>
  <c r="E4" i="4"/>
  <c r="F4" i="4" s="1"/>
  <c r="H5" i="1" s="1"/>
  <c r="D37" i="4"/>
  <c r="D27" i="4"/>
  <c r="D26" i="4"/>
  <c r="E20" i="4"/>
  <c r="E37" i="4"/>
  <c r="E31" i="4"/>
  <c r="E41" i="4"/>
  <c r="E42" i="4"/>
  <c r="D20" i="4"/>
  <c r="D45" i="4"/>
  <c r="D7" i="4"/>
  <c r="D25" i="4"/>
  <c r="F25" i="4" s="1"/>
  <c r="H26" i="1" s="1"/>
  <c r="E28" i="4"/>
  <c r="E23" i="4"/>
  <c r="E45" i="4"/>
  <c r="E47" i="4"/>
  <c r="E49" i="4"/>
  <c r="E50" i="4"/>
  <c r="D36" i="4"/>
  <c r="F36" i="4" s="1"/>
  <c r="H37" i="1" s="1"/>
  <c r="D19" i="4"/>
  <c r="F19" i="4" s="1"/>
  <c r="H20" i="1" s="1"/>
  <c r="D23" i="4"/>
  <c r="D14" i="4"/>
  <c r="F14" i="4" s="1"/>
  <c r="H15" i="1" s="1"/>
  <c r="D47" i="4"/>
  <c r="D41" i="4"/>
  <c r="D50" i="4"/>
  <c r="E44" i="4"/>
  <c r="E24" i="4"/>
  <c r="E6" i="4"/>
  <c r="E32" i="4"/>
  <c r="F32" i="4" s="1"/>
  <c r="H33" i="1" s="1"/>
  <c r="E11" i="4"/>
  <c r="F11" i="4" s="1"/>
  <c r="H12" i="1" s="1"/>
  <c r="E56" i="4"/>
  <c r="E19" i="4"/>
  <c r="D12" i="4"/>
  <c r="F12" i="4" s="1"/>
  <c r="H13" i="1" s="1"/>
  <c r="E15" i="4"/>
  <c r="E8" i="4"/>
  <c r="D44" i="4"/>
  <c r="F44" i="4" s="1"/>
  <c r="H45" i="1" s="1"/>
  <c r="D5" i="4"/>
  <c r="D8" i="4"/>
  <c r="D22" i="4"/>
  <c r="D16" i="4"/>
  <c r="D49" i="4"/>
  <c r="E52" i="4"/>
  <c r="F52" i="4" s="1"/>
  <c r="H53" i="1" s="1"/>
  <c r="E5" i="4"/>
  <c r="E22" i="4"/>
  <c r="E9" i="4"/>
  <c r="E27" i="4"/>
  <c r="E10" i="4"/>
  <c r="F121" i="8"/>
  <c r="F231" i="8"/>
  <c r="F13" i="8"/>
  <c r="F119" i="8"/>
  <c r="F205" i="8"/>
  <c r="F157" i="8"/>
  <c r="F10" i="8"/>
  <c r="F183" i="8"/>
  <c r="F201" i="8"/>
  <c r="F33" i="8"/>
  <c r="O33" i="8" s="1"/>
  <c r="M9" i="1" s="1"/>
  <c r="F77" i="8"/>
  <c r="O77" i="8" s="1"/>
  <c r="M19" i="1" s="1"/>
  <c r="F38" i="8"/>
  <c r="F199" i="8"/>
  <c r="F139" i="8"/>
  <c r="F178" i="8"/>
  <c r="F73" i="8"/>
  <c r="F78" i="8"/>
  <c r="F122" i="8"/>
  <c r="F115" i="8"/>
  <c r="F65" i="8"/>
  <c r="F46" i="8"/>
  <c r="O46" i="8" s="1"/>
  <c r="M12" i="1" s="1"/>
  <c r="F133" i="8"/>
  <c r="O133" i="8" s="1"/>
  <c r="M32" i="1" s="1"/>
  <c r="F84" i="8"/>
  <c r="F207" i="8"/>
  <c r="O207" i="8" s="1"/>
  <c r="M49" i="1" s="1"/>
  <c r="F127" i="8"/>
  <c r="F214" i="8"/>
  <c r="F164" i="8"/>
  <c r="O164" i="8" s="1"/>
  <c r="M39" i="1" s="1"/>
  <c r="F193" i="8"/>
  <c r="F35" i="8"/>
  <c r="F26" i="8"/>
  <c r="F67" i="8"/>
  <c r="F76" i="8"/>
  <c r="F194" i="8"/>
  <c r="O194" i="8" s="1"/>
  <c r="M46" i="1" s="1"/>
  <c r="F203" i="8"/>
  <c r="O203" i="8" s="1"/>
  <c r="M48" i="1" s="1"/>
  <c r="F152" i="8"/>
  <c r="F104" i="8"/>
  <c r="F234" i="8"/>
  <c r="F19" i="8"/>
  <c r="F212" i="8"/>
  <c r="O212" i="8" s="1"/>
  <c r="M50" i="1" s="1"/>
  <c r="F34" i="8"/>
  <c r="F166" i="8"/>
  <c r="F6" i="8"/>
  <c r="F123" i="8"/>
  <c r="F51" i="8"/>
  <c r="F100" i="8"/>
  <c r="F162" i="8"/>
  <c r="F64" i="8"/>
  <c r="F232" i="8"/>
  <c r="F93" i="8"/>
  <c r="F160" i="8"/>
  <c r="F4" i="8"/>
  <c r="F148" i="8"/>
  <c r="F69" i="8"/>
  <c r="F61" i="8"/>
  <c r="F68" i="8"/>
  <c r="O68" i="8" s="1"/>
  <c r="M17" i="1" s="1"/>
  <c r="F9" i="8"/>
  <c r="F174" i="8"/>
  <c r="F30" i="8"/>
  <c r="F85" i="8"/>
  <c r="O85" i="8" s="1"/>
  <c r="M21" i="1" s="1"/>
  <c r="F233" i="8"/>
  <c r="O233" i="8" s="1"/>
  <c r="M55" i="1" s="1"/>
  <c r="F81" i="8"/>
  <c r="O81" i="8" s="1"/>
  <c r="M20" i="1" s="1"/>
  <c r="F149" i="8"/>
  <c r="F117" i="8"/>
  <c r="F216" i="8"/>
  <c r="O216" i="8" s="1"/>
  <c r="M51" i="1" s="1"/>
  <c r="F16" i="8"/>
  <c r="O16" i="8" s="1"/>
  <c r="M5" i="1" s="1"/>
  <c r="F17" i="8"/>
  <c r="F31" i="8"/>
  <c r="F129" i="8"/>
  <c r="O129" i="8" s="1"/>
  <c r="M31" i="1" s="1"/>
  <c r="F198" i="8"/>
  <c r="O198" i="8" s="1"/>
  <c r="M47" i="1" s="1"/>
  <c r="F213" i="8"/>
  <c r="F50" i="8"/>
  <c r="O50" i="8" s="1"/>
  <c r="M13" i="1" s="1"/>
  <c r="F167" i="8"/>
  <c r="F142" i="8"/>
  <c r="O142" i="8" s="1"/>
  <c r="M34" i="1" s="1"/>
  <c r="F218" i="8"/>
  <c r="F226" i="8"/>
  <c r="F96" i="8"/>
  <c r="F165" i="8"/>
  <c r="F169" i="8"/>
  <c r="F187" i="8"/>
  <c r="F87" i="8"/>
  <c r="F147" i="8"/>
  <c r="F58" i="8"/>
  <c r="F135" i="8"/>
  <c r="F29" i="8"/>
  <c r="O29" i="8" s="1"/>
  <c r="M8" i="1" s="1"/>
  <c r="F227" i="8"/>
  <c r="F208" i="8"/>
  <c r="F224" i="8"/>
  <c r="O224" i="8" s="1"/>
  <c r="M53" i="1" s="1"/>
  <c r="F151" i="8"/>
  <c r="O151" i="8" s="1"/>
  <c r="M36" i="1" s="1"/>
  <c r="F53" i="8"/>
  <c r="F60" i="8"/>
  <c r="F108" i="8"/>
  <c r="F71" i="8"/>
  <c r="F109" i="8"/>
  <c r="F197" i="8"/>
  <c r="F48" i="8"/>
  <c r="F37" i="8"/>
  <c r="O37" i="8" s="1"/>
  <c r="M10" i="1" s="1"/>
  <c r="F138" i="8"/>
  <c r="F40" i="8"/>
  <c r="F141" i="8"/>
  <c r="F185" i="8"/>
  <c r="O185" i="8" s="1"/>
  <c r="M44" i="1" s="1"/>
  <c r="F54" i="8"/>
  <c r="F191" i="8"/>
  <c r="F32" i="8"/>
  <c r="F145" i="8"/>
  <c r="F47" i="8"/>
  <c r="F21" i="8"/>
  <c r="F210" i="8"/>
  <c r="F36" i="8"/>
  <c r="F75" i="8"/>
  <c r="F20" i="8"/>
  <c r="O20" i="8" s="1"/>
  <c r="M6" i="1" s="1"/>
  <c r="F39" i="8"/>
  <c r="F107" i="8"/>
  <c r="O107" i="8" s="1"/>
  <c r="M26" i="1" s="1"/>
  <c r="F150" i="8"/>
  <c r="F94" i="8"/>
  <c r="O94" i="8" s="1"/>
  <c r="M23" i="1" s="1"/>
  <c r="F8" i="8"/>
  <c r="F223" i="8"/>
  <c r="F52" i="8"/>
  <c r="F177" i="8"/>
  <c r="F143" i="8"/>
  <c r="F136" i="8"/>
  <c r="F102" i="8"/>
  <c r="F192" i="8"/>
  <c r="F25" i="8"/>
  <c r="F49" i="8"/>
  <c r="F184" i="8"/>
  <c r="F97" i="8"/>
  <c r="F217" i="8"/>
  <c r="F126" i="8"/>
  <c r="F23" i="8"/>
  <c r="F72" i="8"/>
  <c r="O72" i="8" s="1"/>
  <c r="M18" i="1" s="1"/>
  <c r="F15" i="8"/>
  <c r="F182" i="8"/>
  <c r="F57" i="8"/>
  <c r="F5" i="8"/>
  <c r="F132" i="8"/>
  <c r="F140" i="8"/>
  <c r="F22" i="8"/>
  <c r="F92" i="8"/>
  <c r="F158" i="8"/>
  <c r="F90" i="8"/>
  <c r="O90" i="8" s="1"/>
  <c r="M22" i="1" s="1"/>
  <c r="F204" i="8"/>
  <c r="F12" i="8"/>
  <c r="F110" i="8"/>
  <c r="F124" i="8"/>
  <c r="O124" i="8" s="1"/>
  <c r="M30" i="1" s="1"/>
  <c r="F189" i="8"/>
  <c r="F24" i="8"/>
  <c r="O24" i="8" s="1"/>
  <c r="M7" i="1" s="1"/>
  <c r="F43" i="8"/>
  <c r="F179" i="8"/>
  <c r="F144" i="8"/>
  <c r="F18" i="8"/>
  <c r="F156" i="8"/>
  <c r="F209" i="8"/>
  <c r="F45" i="8"/>
  <c r="F112" i="8"/>
  <c r="O112" i="8" s="1"/>
  <c r="M27" i="1" s="1"/>
  <c r="F130" i="8"/>
  <c r="F98" i="8"/>
  <c r="O98" i="8" s="1"/>
  <c r="M24" i="1" s="1"/>
  <c r="F211" i="8"/>
  <c r="F229" i="8"/>
  <c r="O229" i="8" s="1"/>
  <c r="M54" i="1" s="1"/>
  <c r="F7" i="8"/>
  <c r="O7" i="8" s="1"/>
  <c r="F70" i="8"/>
  <c r="F125" i="8"/>
  <c r="F228" i="8"/>
  <c r="F134" i="8"/>
  <c r="F120" i="8"/>
  <c r="O120" i="8" s="1"/>
  <c r="M29" i="1" s="1"/>
  <c r="F79" i="8"/>
  <c r="F59" i="8"/>
  <c r="O59" i="8" s="1"/>
  <c r="M15" i="1" s="1"/>
  <c r="F95" i="8"/>
  <c r="F27" i="8"/>
  <c r="F153" i="8"/>
  <c r="F146" i="8"/>
  <c r="O146" i="8" s="1"/>
  <c r="M35" i="1" s="1"/>
  <c r="F235" i="8"/>
  <c r="F206" i="8"/>
  <c r="F63" i="8"/>
  <c r="O63" i="8" s="1"/>
  <c r="M16" i="1" s="1"/>
  <c r="F221" i="8"/>
  <c r="F42" i="8"/>
  <c r="O42" i="8" s="1"/>
  <c r="M11" i="1" s="1"/>
  <c r="F82" i="8"/>
  <c r="F86" i="8"/>
  <c r="F62" i="8"/>
  <c r="F118" i="8"/>
  <c r="F168" i="8"/>
  <c r="O168" i="8" s="1"/>
  <c r="M40" i="1" s="1"/>
  <c r="F106" i="8"/>
  <c r="F202" i="8"/>
  <c r="F131" i="8"/>
  <c r="F175" i="8"/>
  <c r="F105" i="8"/>
  <c r="F80" i="8"/>
  <c r="F186" i="8"/>
  <c r="F154" i="8"/>
  <c r="F101" i="8"/>
  <c r="F230" i="8"/>
  <c r="F181" i="8"/>
  <c r="O181" i="8" s="1"/>
  <c r="M43" i="1" s="1"/>
  <c r="F103" i="8"/>
  <c r="O103" i="8" s="1"/>
  <c r="M25" i="1" s="1"/>
  <c r="F215" i="8"/>
  <c r="F163" i="8"/>
  <c r="F116" i="8"/>
  <c r="O116" i="8" s="1"/>
  <c r="M28" i="1" s="1"/>
  <c r="F219" i="8"/>
  <c r="F28" i="8"/>
  <c r="F225" i="8"/>
  <c r="F176" i="8"/>
  <c r="O176" i="8" s="1"/>
  <c r="M42" i="1" s="1"/>
  <c r="F159" i="8"/>
  <c r="O159" i="8" s="1"/>
  <c r="M38" i="1" s="1"/>
  <c r="F88" i="8"/>
  <c r="F114" i="8"/>
  <c r="F195" i="8"/>
  <c r="F137" i="8"/>
  <c r="O137" i="8" s="1"/>
  <c r="M33" i="1" s="1"/>
  <c r="F56" i="8"/>
  <c r="F190" i="8"/>
  <c r="O190" i="8" s="1"/>
  <c r="M45" i="1" s="1"/>
  <c r="F66" i="8"/>
  <c r="F113" i="8"/>
  <c r="F41" i="8"/>
  <c r="F11" i="8"/>
  <c r="O11" i="8" s="1"/>
  <c r="F111" i="8"/>
  <c r="F170" i="8"/>
  <c r="F155" i="8"/>
  <c r="O155" i="8" s="1"/>
  <c r="M37" i="1" s="1"/>
  <c r="F91" i="8"/>
  <c r="F220" i="8"/>
  <c r="O220" i="8" s="1"/>
  <c r="M52" i="1" s="1"/>
  <c r="F171" i="8"/>
  <c r="F200" i="8"/>
  <c r="F222" i="8"/>
  <c r="F172" i="8"/>
  <c r="O172" i="8" s="1"/>
  <c r="M41" i="1" s="1"/>
  <c r="F44" i="8"/>
  <c r="F128" i="8"/>
  <c r="F99" i="8"/>
  <c r="F173" i="8"/>
  <c r="F161" i="8"/>
  <c r="F188" i="8"/>
  <c r="F83" i="8"/>
  <c r="F74" i="8"/>
  <c r="F89" i="8"/>
  <c r="F55" i="8"/>
  <c r="O55" i="8" s="1"/>
  <c r="M14" i="1" s="1"/>
  <c r="F180" i="8"/>
  <c r="F14" i="8"/>
  <c r="F196" i="8"/>
  <c r="F16" i="4" l="1"/>
  <c r="H17" i="1" s="1"/>
  <c r="F40" i="4"/>
  <c r="H41" i="1" s="1"/>
  <c r="F22" i="4"/>
  <c r="H23" i="1" s="1"/>
  <c r="F47" i="4"/>
  <c r="H48" i="1" s="1"/>
  <c r="F31" i="4"/>
  <c r="H32" i="1" s="1"/>
  <c r="F34" i="4"/>
  <c r="H35" i="1" s="1"/>
  <c r="F51" i="4"/>
  <c r="H52" i="1" s="1"/>
  <c r="F7" i="4"/>
  <c r="H8" i="1" s="1"/>
  <c r="F8" i="4"/>
  <c r="H9" i="1" s="1"/>
  <c r="F6" i="4"/>
  <c r="H7" i="1" s="1"/>
  <c r="F24" i="4"/>
  <c r="H25" i="1" s="1"/>
  <c r="F49" i="4"/>
  <c r="H50" i="1" s="1"/>
  <c r="F50" i="4"/>
  <c r="H51" i="1" s="1"/>
  <c r="F9" i="4"/>
  <c r="H10" i="1" s="1"/>
  <c r="F5" i="4"/>
  <c r="H6" i="1" s="1"/>
  <c r="F53" i="4"/>
  <c r="H54" i="1" s="1"/>
  <c r="F17" i="4"/>
  <c r="H18" i="1" s="1"/>
  <c r="F23" i="4"/>
  <c r="H24" i="1" s="1"/>
  <c r="F48" i="4"/>
  <c r="H49" i="1" s="1"/>
  <c r="F26" i="4"/>
  <c r="H27" i="1" s="1"/>
  <c r="F28" i="4"/>
  <c r="H29" i="1" s="1"/>
  <c r="F56" i="4"/>
  <c r="H57" i="1" s="1"/>
  <c r="F38" i="4"/>
  <c r="H39" i="1" s="1"/>
  <c r="F45" i="4"/>
  <c r="H46" i="1" s="1"/>
  <c r="F27" i="4"/>
  <c r="H28" i="1" s="1"/>
  <c r="F43" i="4"/>
  <c r="H44" i="1" s="1"/>
  <c r="F21" i="4"/>
  <c r="H22" i="1" s="1"/>
  <c r="F10" i="4"/>
  <c r="H11" i="1" s="1"/>
  <c r="F20" i="4"/>
  <c r="H21" i="1" s="1"/>
  <c r="F37" i="4"/>
  <c r="H38" i="1" s="1"/>
  <c r="F42" i="4"/>
  <c r="H43" i="1" s="1"/>
  <c r="F55" i="4"/>
  <c r="H56" i="1" s="1"/>
  <c r="F15" i="4"/>
  <c r="H16" i="1" s="1"/>
  <c r="F41" i="4"/>
  <c r="H42" i="1" s="1"/>
</calcChain>
</file>

<file path=xl/connections.xml><?xml version="1.0" encoding="utf-8"?>
<connections xmlns="http://schemas.openxmlformats.org/spreadsheetml/2006/main">
  <connection id="1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2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010101'_x000d__x000a__x0009_--and asOf &lt;= '20150311'_x000d__x000a__x0009_order by asOf DESC"/>
  </connection>
  <connection id="3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4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5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6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7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8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9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<sst xmlns="http://schemas.openxmlformats.org/spreadsheetml/2006/main" count="10640" uniqueCount="3832">
  <si>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</si>
  <si>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</si>
  <si>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</si>
  <si>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</si>
  <si>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</si>
  <si>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</si>
  <si>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</si>
  <si>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</si>
  <si>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</si>
  <si>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</si>
  <si>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</si>
  <si>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</si>
  <si>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</si>
  <si>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</si>
  <si>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Risk Premium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</si>
  <si>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</si>
  <si>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</si>
  <si>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</si>
  <si>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</si>
  <si>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</si>
  <si>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</si>
  <si>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</si>
  <si>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</si>
  <si>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</si>
  <si>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</si>
  <si>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</si>
  <si>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</si>
  <si>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</si>
  <si>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</si>
  <si>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</si>
  <si>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</si>
  <si>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</si>
  <si>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</si>
  <si>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</si>
  <si>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</si>
  <si>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</si>
  <si>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</si>
  <si>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</si>
  <si>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</si>
  <si>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</si>
  <si>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</si>
  <si>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</si>
  <si>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</si>
  <si>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</si>
  <si>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</si>
  <si>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</si>
  <si>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</si>
  <si>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</si>
  <si>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</si>
  <si>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</si>
  <si>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</si>
  <si>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</si>
  <si>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</si>
  <si>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</si>
  <si>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</si>
  <si>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</si>
  <si>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</si>
  <si>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</si>
  <si>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</si>
  <si>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</si>
  <si>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</si>
  <si>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</si>
  <si>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</si>
  <si>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</si>
  <si>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</si>
  <si>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</si>
  <si>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</si>
  <si>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</si>
  <si>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</si>
  <si>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</si>
  <si>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</si>
  <si>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</si>
  <si>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</si>
  <si>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</si>
  <si>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</si>
  <si>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</si>
  <si>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</si>
  <si>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</si>
  <si>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</si>
  <si>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</si>
  <si>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</si>
  <si>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</si>
  <si>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</si>
  <si>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</si>
  <si>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</si>
  <si>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</si>
  <si>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</si>
  <si>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</si>
  <si>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</si>
  <si>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</si>
  <si>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</si>
  <si>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</si>
  <si>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</si>
  <si>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</si>
  <si>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</si>
  <si>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</si>
  <si>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</si>
  <si>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</si>
  <si>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</si>
  <si>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</si>
  <si>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</si>
  <si>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</si>
  <si>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</si>
  <si>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</si>
  <si>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</si>
  <si>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</si>
  <si>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</si>
  <si>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</si>
  <si>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</si>
  <si>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</si>
  <si>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</si>
  <si>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</si>
  <si>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</si>
  <si>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</si>
  <si>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</si>
  <si>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</si>
  <si>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</si>
  <si>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</si>
  <si>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</si>
  <si>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</si>
  <si>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</si>
  <si>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</si>
  <si>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</si>
  <si>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</si>
  <si>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</si>
  <si>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</si>
  <si>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</si>
  <si>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</si>
  <si>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</si>
  <si>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</si>
  <si>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</si>
  <si>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</si>
  <si>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</si>
  <si>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</si>
  <si>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</si>
  <si>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</si>
  <si>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</si>
  <si>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</si>
  <si>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</si>
  <si>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</si>
  <si>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</si>
  <si>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</si>
  <si>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</si>
  <si>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</si>
  <si>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</si>
  <si>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</si>
  <si>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</si>
  <si>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</si>
  <si>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</si>
  <si>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</si>
  <si>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</si>
  <si>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</si>
  <si>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</si>
  <si>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</si>
  <si>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</si>
  <si>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</si>
  <si>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</si>
  <si>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</si>
  <si>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</si>
  <si>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</si>
  <si>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</si>
  <si>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</si>
  <si>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</si>
  <si>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</si>
  <si>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</si>
  <si>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</si>
  <si>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</si>
  <si>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</si>
  <si>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</si>
  <si>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</si>
  <si>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</si>
  <si>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</si>
  <si>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</si>
  <si>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</si>
  <si>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</si>
  <si>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</si>
  <si>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</si>
  <si>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</si>
  <si>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</si>
  <si>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</si>
  <si>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</si>
  <si>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</si>
  <si>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</si>
  <si>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</si>
  <si>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</si>
  <si>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</si>
  <si>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</si>
  <si>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</si>
  <si>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</si>
  <si>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</si>
  <si>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</si>
  <si>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</si>
  <si>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</si>
  <si>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</si>
  <si>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</si>
  <si>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</si>
  <si>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</si>
  <si>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</si>
  <si>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</si>
  <si>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</si>
  <si>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</si>
  <si>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</si>
  <si>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</si>
  <si>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</si>
  <si>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</si>
  <si>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</si>
  <si>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</si>
  <si>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</si>
  <si>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</si>
  <si>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</si>
  <si>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</si>
  <si>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</si>
  <si>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</si>
  <si>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</si>
  <si>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</si>
  <si>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</si>
  <si>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</si>
  <si>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</si>
  <si>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</si>
  <si>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</si>
  <si>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</si>
  <si>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</si>
  <si>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</si>
  <si>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</si>
  <si>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</si>
  <si>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</si>
  <si>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</si>
  <si>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</si>
  <si>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</si>
  <si>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</si>
  <si>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</si>
  <si>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</si>
  <si>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</si>
  <si>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</si>
  <si>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</si>
  <si>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</si>
  <si>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</si>
  <si>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</si>
  <si>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</si>
  <si>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</si>
  <si>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</si>
  <si>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</si>
  <si>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</si>
  <si>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</si>
  <si>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</si>
  <si>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</si>
  <si>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</si>
  <si>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</si>
  <si>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</si>
  <si>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</si>
  <si>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</si>
  <si>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</si>
  <si>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</si>
  <si>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</si>
  <si>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</si>
  <si>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</si>
  <si>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</si>
  <si>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</si>
  <si>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</si>
  <si>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</si>
  <si>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</si>
  <si>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</si>
  <si>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</si>
  <si>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</si>
  <si>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</si>
  <si>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</si>
  <si>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</si>
  <si>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</si>
  <si>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</si>
  <si>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</si>
  <si>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</si>
  <si>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</si>
  <si>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</si>
  <si>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</si>
  <si>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</si>
  <si>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</si>
  <si>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</si>
  <si>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</si>
  <si>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</si>
  <si>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</si>
  <si>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</si>
  <si>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</si>
  <si>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</si>
  <si>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</si>
  <si>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</si>
  <si>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</si>
  <si>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</si>
  <si>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</si>
  <si>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</si>
  <si>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</si>
  <si>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</si>
  <si>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</si>
  <si>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</si>
  <si>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</si>
  <si>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</si>
  <si>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</si>
  <si>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</si>
  <si>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</si>
  <si>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</si>
  <si>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</si>
  <si>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</si>
  <si>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</si>
  <si>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</si>
  <si>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</si>
  <si>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</si>
  <si>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</si>
  <si>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</si>
  <si>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</si>
  <si>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</si>
  <si>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</si>
  <si>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</si>
  <si>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</si>
  <si>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</si>
  <si>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</si>
  <si>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</si>
  <si>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</si>
  <si>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</si>
  <si>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</si>
  <si>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</si>
  <si>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</si>
  <si>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</si>
  <si>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</si>
  <si>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</si>
  <si>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</si>
  <si>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</si>
  <si>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</si>
  <si>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</si>
  <si>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</si>
  <si>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</si>
  <si>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</si>
  <si>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</si>
  <si>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</si>
  <si>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</si>
  <si>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</si>
  <si>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</si>
  <si>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</si>
  <si>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</si>
  <si>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</si>
  <si>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</si>
  <si>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</si>
  <si>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</si>
  <si>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</si>
  <si>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</si>
  <si>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</si>
  <si>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</si>
  <si>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</si>
  <si>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</si>
  <si>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</si>
  <si>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</si>
  <si>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</si>
  <si>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</si>
  <si>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</si>
  <si>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</si>
  <si>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</si>
  <si>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</si>
  <si>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</si>
  <si>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</si>
  <si>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</si>
  <si>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</si>
  <si>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</si>
  <si>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</si>
  <si>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</si>
  <si>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</si>
  <si>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</si>
  <si>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</si>
  <si>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</si>
  <si>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</si>
  <si>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</si>
  <si>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</si>
  <si>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</si>
  <si>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</si>
  <si>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</si>
  <si>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</si>
  <si>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</si>
  <si>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</si>
  <si>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</si>
  <si>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</si>
  <si>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</si>
  <si>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</si>
  <si>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</si>
  <si>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</si>
  <si>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</si>
  <si>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</si>
  <si>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</si>
  <si>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</si>
  <si>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</si>
  <si>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</si>
  <si>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</si>
  <si>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</si>
  <si>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</si>
  <si>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</si>
  <si>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</si>
  <si>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</si>
  <si>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</si>
  <si>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</si>
  <si>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</si>
  <si>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</si>
  <si>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</si>
  <si>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</si>
  <si>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</si>
  <si>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</si>
  <si>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</si>
  <si>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</si>
  <si>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</si>
  <si>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</si>
  <si>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</si>
  <si>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</si>
  <si>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</si>
  <si>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</si>
  <si>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</si>
  <si>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</si>
  <si>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</si>
  <si>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</si>
  <si>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</si>
  <si>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</si>
  <si>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</si>
  <si>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</si>
  <si>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</si>
  <si>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</si>
  <si>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</si>
  <si>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</si>
  <si>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</si>
  <si>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</si>
  <si>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</si>
  <si>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</si>
  <si>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</si>
  <si>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</si>
  <si>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</si>
  <si>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</si>
  <si>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</si>
  <si>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</si>
  <si>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</si>
  <si>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</si>
  <si>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</si>
  <si>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</si>
  <si>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</si>
  <si>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</si>
  <si>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</si>
  <si>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</si>
  <si>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</si>
  <si>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</si>
  <si>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</si>
  <si>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</si>
  <si>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</si>
  <si>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</si>
  <si>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</si>
  <si>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</si>
  <si>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</si>
  <si>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</si>
  <si>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</si>
  <si>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</si>
  <si>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</si>
  <si>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</si>
  <si>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</si>
  <si>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</si>
  <si>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</si>
  <si>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</si>
  <si>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</si>
  <si>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</si>
  <si>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</si>
  <si>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</si>
  <si>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</si>
  <si>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</si>
  <si>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</si>
  <si>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</si>
  <si>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</si>
  <si>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</si>
  <si>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</si>
  <si>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</si>
  <si>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</si>
  <si>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</si>
  <si>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</si>
  <si>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</si>
  <si>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</si>
  <si>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</si>
  <si>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</si>
  <si>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</si>
  <si>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</si>
  <si>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</si>
  <si>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</si>
  <si>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</si>
  <si>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</si>
  <si>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</si>
  <si>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</si>
  <si>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</si>
  <si>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</si>
  <si>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</si>
  <si>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</si>
  <si>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</si>
  <si>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</si>
  <si>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</si>
  <si>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</si>
  <si>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</si>
  <si>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</si>
  <si>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</si>
  <si>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</si>
  <si>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</si>
  <si>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</si>
  <si>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</si>
  <si>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</si>
  <si>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</si>
  <si>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</si>
  <si>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</si>
  <si>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</si>
  <si>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</si>
  <si>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</si>
  <si>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</si>
  <si>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</si>
  <si>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</si>
  <si>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</si>
  <si>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</si>
  <si>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</si>
  <si>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</si>
  <si>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</si>
  <si>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</si>
  <si>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</si>
  <si>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</si>
  <si>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</si>
  <si>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</si>
  <si>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</si>
  <si>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</si>
  <si>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</si>
  <si>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</si>
  <si>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</si>
  <si>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</si>
  <si>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</si>
  <si>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</si>
  <si>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</si>
  <si>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</si>
  <si>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</si>
  <si>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</si>
  <si>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</si>
  <si>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</si>
  <si>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</si>
  <si>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</si>
  <si>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</si>
  <si>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</si>
  <si>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</si>
  <si>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</si>
  <si>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</si>
  <si>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</si>
  <si>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</si>
  <si>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</si>
  <si>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</si>
  <si>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</si>
  <si>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</si>
  <si>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</si>
  <si>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</si>
  <si>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</si>
  <si>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</si>
  <si>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</si>
  <si>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</si>
  <si>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</si>
  <si>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</si>
  <si>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</si>
  <si>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</si>
  <si>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</si>
  <si>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</si>
  <si>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</si>
  <si>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</si>
  <si>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</si>
  <si>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</si>
  <si>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</si>
  <si>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</si>
  <si>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</si>
  <si>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</si>
  <si>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</si>
  <si>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</si>
  <si>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</si>
  <si>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</si>
  <si>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</si>
  <si>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</si>
  <si>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</si>
  <si>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</si>
  <si>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</si>
  <si>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</si>
  <si>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</si>
  <si>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</si>
  <si>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</si>
  <si>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</si>
  <si>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</si>
  <si>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</si>
  <si>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</si>
  <si>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</si>
  <si>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</si>
  <si>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</si>
  <si>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</si>
  <si>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</si>
  <si>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</si>
  <si>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</si>
  <si>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</si>
  <si>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</si>
  <si>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</si>
  <si>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</si>
  <si>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</si>
  <si>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</si>
  <si>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</si>
  <si>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</si>
  <si>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</si>
  <si>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</si>
  <si>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</si>
  <si>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</si>
  <si>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</si>
  <si>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</si>
  <si>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</si>
  <si>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</si>
  <si>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</si>
  <si>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</si>
  <si>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</si>
  <si>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</si>
  <si>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</si>
  <si>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</si>
  <si>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</si>
  <si>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</si>
  <si>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</si>
  <si>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</si>
  <si>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</si>
  <si>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</si>
  <si>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</si>
  <si>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</si>
  <si>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</si>
  <si>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</si>
  <si>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</si>
  <si>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</si>
  <si>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</si>
  <si>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</si>
  <si>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</si>
  <si>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</si>
  <si>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</si>
  <si>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</si>
  <si>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</si>
  <si>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</si>
  <si>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</si>
  <si>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</si>
  <si>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</si>
  <si>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</si>
  <si>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</si>
  <si>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</si>
  <si>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</si>
  <si>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</si>
  <si>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</si>
  <si>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</si>
  <si>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</si>
  <si>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</si>
  <si>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</si>
  <si>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</si>
  <si>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</si>
  <si>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</si>
  <si>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</si>
  <si>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</si>
  <si>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</si>
  <si>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</si>
  <si>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</si>
  <si>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</si>
  <si>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</si>
  <si>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</si>
  <si>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</si>
  <si>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</si>
  <si>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</si>
  <si>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</si>
  <si>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</si>
  <si>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</si>
  <si>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</si>
  <si>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</si>
  <si>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</si>
  <si>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</si>
  <si>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</si>
  <si>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</si>
  <si>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</si>
  <si>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</si>
  <si>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</si>
  <si>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</si>
  <si>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</si>
  <si>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</si>
  <si>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</si>
  <si>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</si>
  <si>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</si>
  <si>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</si>
  <si>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</si>
  <si>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</si>
  <si>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</si>
  <si>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</si>
  <si>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</si>
  <si>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</si>
  <si>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</si>
  <si>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</si>
  <si>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</si>
  <si>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</si>
  <si>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</si>
  <si>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</si>
  <si>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</si>
  <si>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</si>
  <si>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</si>
  <si>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</si>
  <si>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</si>
  <si>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</si>
  <si>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</si>
  <si>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</si>
  <si>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</si>
  <si>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</si>
  <si>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</si>
  <si>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</si>
  <si>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</si>
  <si>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</si>
  <si>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</si>
  <si>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</si>
  <si>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</si>
  <si>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</si>
  <si>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</si>
  <si>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</si>
  <si>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</si>
  <si>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</si>
  <si>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</si>
  <si>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</si>
  <si>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</si>
  <si>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</si>
  <si>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</si>
  <si>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</si>
  <si>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</si>
  <si>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</si>
  <si>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</si>
  <si>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</si>
  <si>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</si>
  <si>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</si>
  <si>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</si>
  <si>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</si>
  <si>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</si>
  <si>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</si>
  <si>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</si>
  <si>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</si>
  <si>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</si>
  <si>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</si>
  <si>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</si>
  <si>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</si>
  <si>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</si>
  <si>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</si>
  <si>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</si>
  <si>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</si>
  <si>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</si>
  <si>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</si>
  <si>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</si>
  <si>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</si>
  <si>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</si>
  <si>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</si>
  <si>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</si>
  <si>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</si>
  <si>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</si>
  <si>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</si>
  <si>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</si>
  <si>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</si>
  <si>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</si>
  <si>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</si>
  <si>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</si>
  <si>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</si>
  <si>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</si>
  <si>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</si>
  <si>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</si>
  <si>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</si>
  <si>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</si>
  <si>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</si>
  <si>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</si>
  <si>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</si>
  <si>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</si>
  <si>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</si>
  <si>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</si>
  <si>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</si>
  <si>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</si>
  <si>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</si>
  <si>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</si>
  <si>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</si>
  <si>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</si>
  <si>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</si>
  <si>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</si>
  <si>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</si>
  <si>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</si>
  <si>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</si>
  <si>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</si>
  <si>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</si>
  <si>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</si>
  <si>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</si>
  <si>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</si>
  <si>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</si>
  <si>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</si>
  <si>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</si>
  <si>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</si>
  <si>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</si>
  <si>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</si>
  <si>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</si>
  <si>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</si>
  <si>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</si>
  <si>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</si>
  <si>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</si>
  <si>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</si>
  <si>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</si>
  <si>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</si>
  <si>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</si>
  <si>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</si>
  <si>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</si>
  <si>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</si>
  <si>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</si>
  <si>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</si>
  <si>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</si>
  <si>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</si>
  <si>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</si>
  <si>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</si>
  <si>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</si>
  <si>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</si>
  <si>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</si>
  <si>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</si>
  <si>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</si>
  <si>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</si>
  <si>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</si>
  <si>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</si>
  <si>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</si>
  <si>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</si>
  <si>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</si>
  <si>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</si>
  <si>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</si>
  <si>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</si>
  <si>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</si>
  <si>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</si>
  <si>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</si>
  <si>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</si>
  <si>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</si>
  <si>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</si>
  <si>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</si>
  <si>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</si>
  <si>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</si>
  <si>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</si>
  <si>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</si>
  <si>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</si>
  <si>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</si>
  <si>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</si>
  <si>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</si>
  <si>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</si>
  <si>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</si>
  <si>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</si>
  <si>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</si>
  <si>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</si>
  <si>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</si>
  <si>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</si>
  <si>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</si>
  <si>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</si>
  <si>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</si>
  <si>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</si>
  <si>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</si>
  <si>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</si>
  <si>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</si>
  <si>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</si>
  <si>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</si>
  <si>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</si>
  <si>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</si>
  <si>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</si>
  <si>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</si>
  <si>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</si>
  <si>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</si>
  <si>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</si>
  <si>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</si>
  <si>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</si>
  <si>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</si>
  <si>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</si>
  <si>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</si>
  <si>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</si>
  <si>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</si>
  <si>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</si>
  <si>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</si>
  <si>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</si>
  <si>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</si>
  <si>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</si>
  <si>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</si>
  <si>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</si>
  <si>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</si>
  <si>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</si>
  <si>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</si>
  <si>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</si>
  <si>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</si>
  <si>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</si>
  <si>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</si>
  <si>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</si>
  <si>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</si>
  <si>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</si>
  <si>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</si>
  <si>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</si>
  <si>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</si>
  <si>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</si>
  <si>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</si>
  <si>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</si>
  <si>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</si>
  <si>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</si>
  <si>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</si>
  <si>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</si>
  <si>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</si>
  <si>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</si>
  <si>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</si>
  <si>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</si>
  <si>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</si>
  <si>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</si>
  <si>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</si>
  <si>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</si>
  <si>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</si>
  <si>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</si>
  <si>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</si>
  <si>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</si>
  <si>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</si>
  <si>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</si>
  <si>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</si>
  <si>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</si>
  <si>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</si>
  <si>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</si>
  <si>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</si>
  <si>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</si>
  <si>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</si>
  <si>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</si>
  <si>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</si>
  <si>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</si>
  <si>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</si>
  <si>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</si>
  <si>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</si>
  <si>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</si>
  <si>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</si>
  <si>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</si>
  <si>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</si>
  <si>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</si>
  <si>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</si>
  <si>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</si>
  <si>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</si>
  <si>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</si>
  <si>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</si>
  <si>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</si>
  <si>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</si>
  <si>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</si>
  <si>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</si>
  <si>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</si>
  <si>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</si>
  <si>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</si>
  <si>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</si>
  <si>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</si>
  <si>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</si>
  <si>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</si>
  <si>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</si>
  <si>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</si>
  <si>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</si>
  <si>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</si>
  <si>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</si>
  <si>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</si>
  <si>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</si>
  <si>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</si>
  <si>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</si>
  <si>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</si>
  <si>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</si>
  <si>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</si>
  <si>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</si>
  <si>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</si>
  <si>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</si>
  <si>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</si>
  <si>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</si>
  <si>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</si>
  <si>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</si>
  <si>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</si>
  <si>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</si>
  <si>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</si>
  <si>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</si>
  <si>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</si>
  <si>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</si>
  <si>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</si>
  <si>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</si>
  <si>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</si>
  <si>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</si>
  <si>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</si>
  <si>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</si>
  <si>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</si>
  <si>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</si>
  <si>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</si>
  <si>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</si>
  <si>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</si>
  <si>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</si>
  <si>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</si>
  <si>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</si>
  <si>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</si>
  <si>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</si>
  <si>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</si>
  <si>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</si>
  <si>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</si>
  <si>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</si>
  <si>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</si>
  <si>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</si>
  <si>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</si>
  <si>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</si>
  <si>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</si>
  <si>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</si>
  <si>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</si>
  <si>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</si>
  <si>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</si>
  <si>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</si>
  <si>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</si>
  <si>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</si>
  <si>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</si>
  <si>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</si>
  <si>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</si>
  <si>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</si>
  <si>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</si>
  <si>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</si>
  <si>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</si>
  <si>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</si>
  <si>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</si>
  <si>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</si>
  <si>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</si>
  <si>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</si>
  <si>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</si>
  <si>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</si>
  <si>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</si>
  <si>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</si>
  <si>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</si>
  <si>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</si>
  <si>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</si>
  <si>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</si>
  <si>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</si>
  <si>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</si>
  <si>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</si>
  <si>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</si>
  <si>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</si>
  <si>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</si>
  <si>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</si>
  <si>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</si>
  <si>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</si>
  <si>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</si>
  <si>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</si>
  <si>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</si>
  <si>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</si>
  <si>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</si>
  <si>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</si>
  <si>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</si>
  <si>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</si>
  <si>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</si>
  <si>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</si>
  <si>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</si>
  <si>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</si>
  <si>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</si>
  <si>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</si>
  <si>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</si>
  <si>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</si>
  <si>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</si>
  <si>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</si>
  <si>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</si>
  <si>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</si>
  <si>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</si>
  <si>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</si>
  <si>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</si>
  <si>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</si>
  <si>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</si>
  <si>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</si>
  <si>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</si>
  <si>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</si>
  <si>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</si>
  <si>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</si>
  <si>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</si>
  <si>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</si>
  <si>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</si>
  <si>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</si>
  <si>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</si>
  <si>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</si>
  <si>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</si>
  <si>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</si>
  <si>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</si>
  <si>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</si>
  <si>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</si>
  <si>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</si>
  <si>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</si>
  <si>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</si>
  <si>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</si>
  <si>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</si>
  <si>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</si>
  <si>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</si>
  <si>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</si>
  <si>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</si>
  <si>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</si>
  <si>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</si>
  <si>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</si>
  <si>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</si>
  <si>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</si>
  <si>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</si>
  <si>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</si>
  <si>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</si>
  <si>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</si>
  <si>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</si>
  <si>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</si>
  <si>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</si>
  <si>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</si>
  <si>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</si>
  <si>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</si>
  <si>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</si>
  <si>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</si>
  <si>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</si>
  <si>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</si>
  <si>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</si>
  <si>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</si>
  <si>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</si>
  <si>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</si>
  <si>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</si>
  <si>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</si>
  <si>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</si>
  <si>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</si>
  <si>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</si>
  <si>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</si>
  <si>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</si>
  <si>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</si>
  <si>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</si>
  <si>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</si>
  <si>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</si>
  <si>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</si>
  <si>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</si>
  <si>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</si>
  <si>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</si>
  <si>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</si>
  <si>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</si>
  <si>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</si>
  <si>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</si>
  <si>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</si>
  <si>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</si>
  <si>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</si>
  <si>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</si>
  <si>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</si>
  <si>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</si>
  <si>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</si>
  <si>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</si>
  <si>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</si>
  <si>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</si>
  <si>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</si>
  <si>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</si>
  <si>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</si>
  <si>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</si>
  <si>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</si>
  <si>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</si>
  <si>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</si>
  <si>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</si>
  <si>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</si>
  <si>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</si>
  <si>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</si>
  <si>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</si>
  <si>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</si>
  <si>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</si>
  <si>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</si>
  <si>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</si>
  <si>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</si>
  <si>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</si>
  <si>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</si>
  <si>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</si>
  <si>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</si>
  <si>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</si>
  <si>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</si>
  <si>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</si>
  <si>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</si>
  <si>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</si>
  <si>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</si>
  <si>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</si>
  <si>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</si>
  <si>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</si>
  <si>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</si>
  <si>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</si>
  <si>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</si>
  <si>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</si>
  <si>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</si>
  <si>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</si>
  <si>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</si>
  <si>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</si>
  <si>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</si>
  <si>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</si>
  <si>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</si>
  <si>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</si>
  <si>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</si>
  <si>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</si>
  <si>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</si>
  <si>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</si>
  <si>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</si>
  <si>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</si>
  <si>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</si>
  <si>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</si>
  <si>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</si>
  <si>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</si>
  <si>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</si>
  <si>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</si>
  <si>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</si>
  <si>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</si>
  <si>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</si>
  <si>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</si>
  <si>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</si>
  <si>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</si>
  <si>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</si>
  <si>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</si>
  <si>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</si>
  <si>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</si>
  <si>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</si>
  <si>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</si>
  <si>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</si>
  <si>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</si>
  <si>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</si>
  <si>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</si>
  <si>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</si>
  <si>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</si>
  <si>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</si>
  <si>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</si>
  <si>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</si>
  <si>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</si>
  <si>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</si>
  <si>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</si>
  <si>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</si>
  <si>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</si>
  <si>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</si>
  <si>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</si>
  <si>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</si>
  <si>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</si>
  <si>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</si>
  <si>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</si>
  <si>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</si>
  <si>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</si>
  <si>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</si>
  <si>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</si>
  <si>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</si>
  <si>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</si>
  <si>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</si>
  <si>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</si>
  <si>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</si>
  <si>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</si>
  <si>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</si>
  <si>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</si>
  <si>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</si>
  <si>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</si>
  <si>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</si>
  <si>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</si>
  <si>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</si>
  <si>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</si>
  <si>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</si>
  <si>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</si>
  <si>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</si>
  <si>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</si>
  <si>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</si>
  <si>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</si>
  <si>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</si>
  <si>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</si>
  <si>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</si>
  <si>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</si>
  <si>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</si>
  <si>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</si>
  <si>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</si>
  <si>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</si>
  <si>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</si>
  <si>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</si>
  <si>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</si>
  <si>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</si>
  <si>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</si>
  <si>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</si>
  <si>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</si>
  <si>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</si>
  <si>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</si>
  <si>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</si>
  <si>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</si>
  <si>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</si>
  <si>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</si>
  <si>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</si>
  <si>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</si>
  <si>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</si>
  <si>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</si>
  <si>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</si>
  <si>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</si>
  <si>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</si>
  <si>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</si>
  <si>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</si>
  <si>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</si>
  <si>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</si>
  <si>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</si>
  <si>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</si>
  <si>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</si>
  <si>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</si>
  <si>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</si>
  <si>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</si>
  <si>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</si>
  <si>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</si>
  <si>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</si>
  <si>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</si>
  <si>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</si>
  <si>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</si>
  <si>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</si>
  <si>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</si>
  <si>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</si>
  <si>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</si>
  <si>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</si>
  <si>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</si>
  <si>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</si>
  <si>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</si>
  <si>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</si>
  <si>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</si>
  <si>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</si>
  <si>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</si>
  <si>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</si>
  <si>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</si>
  <si>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</si>
  <si>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</si>
  <si>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</si>
  <si>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</si>
  <si>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</si>
  <si>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</si>
  <si>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</si>
  <si>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</si>
  <si>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</si>
  <si>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</si>
  <si>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</si>
  <si>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</si>
  <si>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</si>
  <si>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</si>
  <si>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</si>
  <si>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</si>
  <si>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</si>
  <si>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</si>
  <si>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</si>
  <si>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</si>
  <si>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</si>
  <si>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</si>
  <si>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</si>
  <si>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</si>
  <si>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</si>
  <si>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</si>
  <si>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</si>
  <si>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</si>
  <si>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</si>
  <si>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</si>
  <si>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</si>
  <si>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</si>
  <si>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</si>
  <si>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</si>
  <si>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</si>
  <si>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</si>
  <si>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</si>
  <si>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</si>
  <si>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</si>
  <si>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</si>
  <si>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</si>
  <si>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</si>
  <si>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</si>
  <si>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</si>
  <si>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</si>
  <si>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</si>
  <si>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</si>
  <si>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</si>
  <si>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</si>
  <si>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</si>
  <si>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</si>
  <si>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</si>
  <si>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</si>
  <si>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</si>
  <si>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</si>
  <si>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</si>
  <si>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</si>
  <si>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</si>
  <si>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</si>
  <si>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</si>
  <si>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</si>
  <si>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</si>
  <si>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</si>
  <si>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</si>
  <si>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</si>
  <si>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</si>
  <si>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</si>
  <si>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</si>
  <si>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</si>
  <si>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</si>
  <si>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</si>
  <si>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</si>
  <si>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</si>
  <si>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</si>
  <si>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</si>
  <si>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</si>
  <si>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</si>
  <si>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</si>
  <si>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</si>
  <si>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</si>
  <si>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</si>
  <si>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</si>
  <si>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</si>
  <si>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</si>
  <si>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</si>
  <si>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</si>
  <si>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</si>
  <si>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</si>
  <si>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</si>
  <si>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</si>
  <si>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</si>
  <si>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</si>
  <si>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</si>
  <si>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</si>
  <si>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</si>
  <si>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</si>
  <si>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</si>
  <si>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</si>
  <si>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</si>
  <si>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</si>
  <si>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</si>
  <si>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</si>
  <si>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</si>
  <si>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</si>
  <si>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</si>
  <si>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</si>
  <si>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</si>
  <si>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</si>
  <si>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</si>
  <si>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</si>
  <si>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</si>
  <si>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</si>
  <si>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</si>
  <si>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</si>
  <si>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</si>
  <si>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</si>
  <si>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</si>
  <si>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</si>
  <si>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</si>
  <si>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</si>
  <si>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</si>
  <si>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</si>
  <si>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</si>
  <si>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</si>
  <si>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</si>
  <si>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</si>
  <si>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</si>
  <si>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</si>
  <si>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</si>
  <si>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</si>
  <si>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</si>
  <si>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</si>
  <si>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</si>
  <si>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</si>
  <si>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</si>
  <si>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</si>
  <si>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</si>
  <si>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</si>
  <si>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</si>
  <si>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</si>
  <si>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</si>
  <si>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</si>
  <si>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</si>
  <si>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</si>
  <si>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</si>
  <si>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</si>
  <si>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</si>
  <si>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</si>
  <si>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</si>
  <si>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</si>
  <si>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</si>
  <si>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</si>
  <si>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</si>
  <si>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</si>
  <si>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</si>
  <si>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</si>
  <si>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</si>
  <si>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</si>
  <si>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</si>
  <si>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</si>
  <si>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</si>
  <si>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</si>
  <si>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</si>
  <si>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</si>
  <si>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</si>
  <si>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</si>
  <si>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</si>
  <si>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</si>
  <si>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</si>
  <si>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</si>
  <si>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</si>
  <si>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</si>
  <si>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</si>
  <si>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</si>
  <si>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</si>
  <si>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</si>
  <si>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</si>
  <si>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</si>
  <si>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</si>
  <si>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</si>
  <si>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</si>
  <si>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</si>
  <si>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</si>
  <si>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</si>
  <si>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</si>
  <si>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</si>
  <si>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</si>
  <si>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</si>
  <si>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</si>
  <si>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</si>
  <si>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</si>
  <si>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</si>
  <si>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</si>
  <si>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</si>
  <si>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</si>
  <si>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</si>
  <si>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</si>
  <si>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</si>
  <si>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</si>
  <si>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</si>
  <si>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</si>
  <si>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</si>
  <si>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</si>
  <si>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</si>
  <si>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</si>
  <si>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</si>
  <si>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</si>
  <si>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</si>
  <si>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</si>
  <si>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</si>
  <si>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</si>
  <si>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</si>
  <si>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</si>
  <si>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</si>
  <si>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</si>
  <si>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</si>
  <si>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</si>
  <si>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</si>
  <si>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</si>
  <si>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</si>
  <si>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</si>
  <si>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</si>
  <si>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</si>
  <si>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</si>
  <si>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</si>
  <si>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</si>
  <si>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</si>
  <si>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</si>
  <si>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</si>
  <si>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</si>
  <si>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</si>
  <si>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</si>
  <si>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</si>
  <si>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</si>
  <si>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</si>
  <si>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</si>
  <si>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</si>
  <si>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</si>
  <si>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</si>
  <si>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</si>
  <si>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</si>
  <si>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</si>
  <si>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</si>
  <si>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</si>
  <si>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</si>
  <si>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</si>
  <si>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</si>
  <si>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</si>
  <si>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</si>
  <si>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</si>
  <si>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</si>
  <si>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</si>
  <si>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</si>
  <si>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</si>
  <si>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</si>
  <si>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</si>
  <si>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</si>
  <si>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</si>
  <si>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</si>
  <si>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</si>
  <si>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</si>
  <si>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</si>
  <si>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</si>
  <si>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</si>
  <si>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</si>
  <si>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</si>
  <si>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</si>
  <si>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</si>
  <si>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</si>
  <si>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</si>
  <si>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</si>
  <si>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</si>
  <si>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</si>
  <si>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</si>
  <si>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</si>
  <si>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</si>
  <si>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</si>
  <si>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</si>
  <si>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</si>
  <si>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</si>
  <si>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</si>
  <si>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</si>
  <si>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</si>
  <si>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</si>
  <si>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</si>
  <si>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</si>
  <si>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</si>
  <si>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</si>
  <si>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</si>
  <si>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</si>
  <si>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</si>
  <si>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</si>
  <si>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</si>
  <si>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</si>
  <si>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</si>
  <si>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</si>
  <si>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</si>
  <si>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</si>
  <si>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</si>
  <si>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</si>
  <si>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</si>
  <si>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</si>
  <si>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</si>
  <si>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</si>
  <si>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</si>
  <si>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</si>
  <si>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</si>
  <si>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</si>
  <si>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</si>
  <si>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</si>
  <si>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</si>
  <si>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</si>
  <si>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</si>
  <si>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</si>
  <si>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</si>
  <si>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</si>
  <si>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</si>
  <si>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</si>
  <si>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</si>
  <si>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</si>
  <si>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</si>
  <si>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</si>
  <si>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</si>
  <si>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</si>
  <si>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</si>
  <si>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</si>
  <si>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</si>
  <si>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</si>
  <si>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</si>
  <si>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</si>
  <si>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</si>
  <si>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</si>
  <si>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</si>
  <si>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</si>
  <si>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</si>
  <si>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</si>
  <si>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</si>
  <si>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</si>
  <si>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</si>
  <si>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</si>
  <si>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</si>
  <si>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</si>
  <si>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</si>
  <si>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</si>
  <si>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</si>
  <si>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</si>
  <si>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</si>
  <si>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</si>
  <si>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</si>
  <si>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</si>
  <si>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</si>
  <si>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</si>
  <si>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</si>
  <si>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</si>
  <si>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</si>
  <si>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</si>
  <si>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</si>
  <si>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</si>
  <si>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</si>
  <si>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</si>
  <si>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</si>
  <si>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</si>
  <si>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</si>
  <si>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</si>
  <si>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</si>
  <si>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</si>
  <si>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</si>
  <si>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</si>
  <si>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</si>
  <si>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</si>
  <si>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</si>
  <si>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</si>
  <si>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</si>
  <si>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</si>
  <si>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</si>
  <si>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</si>
  <si>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</si>
  <si>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</si>
  <si>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</si>
  <si>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</si>
  <si>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</si>
  <si>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</si>
  <si>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</si>
  <si>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</si>
  <si>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</si>
  <si>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</si>
  <si>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</si>
  <si>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</si>
  <si>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</si>
  <si>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</si>
  <si>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</si>
  <si>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</si>
  <si>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</si>
  <si>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</si>
  <si>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</si>
  <si>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</si>
  <si>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</si>
  <si>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</si>
  <si>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</si>
  <si>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</si>
  <si>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</si>
  <si>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</si>
  <si>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</si>
  <si>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</si>
  <si>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</si>
  <si>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</si>
  <si>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</si>
  <si>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</si>
  <si>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</si>
  <si>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</si>
  <si>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</si>
  <si>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</si>
  <si>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</si>
  <si>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</si>
  <si>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</si>
  <si>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</si>
  <si>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</si>
  <si>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</si>
  <si>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</si>
  <si>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</si>
  <si>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</si>
  <si>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</si>
  <si>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</si>
  <si>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</si>
  <si>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</si>
  <si>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</si>
  <si>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</si>
  <si>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</si>
  <si>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</si>
  <si>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</si>
  <si>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</si>
  <si>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</si>
  <si>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</si>
  <si>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</si>
  <si>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</si>
  <si>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</si>
  <si>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</si>
  <si>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</si>
  <si>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</si>
  <si>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</si>
  <si>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</si>
  <si>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2008-12-30</t>
  </si>
  <si>
    <t>2008-12-29</t>
  </si>
  <si>
    <t>2008-12-26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</si>
  <si>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</si>
  <si>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</si>
  <si>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</si>
  <si>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</si>
  <si>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</si>
  <si>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</si>
  <si>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</si>
  <si>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</si>
  <si>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</si>
  <si>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</si>
  <si>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</si>
  <si>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</si>
  <si>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</si>
  <si>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</si>
  <si>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</si>
  <si>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</si>
  <si>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</si>
  <si>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</si>
  <si>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</si>
  <si>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</si>
  <si>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</si>
  <si>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</si>
  <si>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</si>
  <si>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</si>
  <si>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</si>
  <si>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</si>
  <si>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</si>
  <si>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</si>
  <si>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</si>
  <si>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</si>
  <si>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</si>
  <si>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</si>
  <si>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</si>
  <si>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</si>
  <si>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</si>
  <si>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</si>
  <si>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</si>
  <si>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</si>
  <si>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</si>
  <si>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</si>
  <si>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</si>
  <si>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</si>
  <si>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</si>
  <si>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</si>
  <si>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</si>
  <si>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</si>
  <si>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</si>
  <si>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</si>
  <si>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</si>
  <si>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2008-10-10</t>
  </si>
  <si>
    <t>2008-10-09</t>
  </si>
  <si>
    <t>2008-10-08</t>
  </si>
  <si>
    <t>2008-10-07</t>
  </si>
  <si>
    <t>2008-10-06</t>
  </si>
  <si>
    <t>2008-10-03</t>
  </si>
  <si>
    <t>2008-10-02</t>
  </si>
  <si>
    <t>2008-10-01</t>
  </si>
  <si>
    <t>2008-09-30</t>
  </si>
  <si>
    <t>2008-09-29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</si>
  <si>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</si>
  <si>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</si>
  <si>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</si>
  <si>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</si>
  <si>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</si>
  <si>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</si>
  <si>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</si>
  <si>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</si>
  <si>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</si>
  <si>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2008-09-15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</si>
  <si>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</si>
  <si>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</si>
  <si>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</si>
  <si>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</si>
  <si>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</si>
  <si>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</si>
  <si>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</si>
  <si>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</si>
  <si>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</si>
  <si>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</si>
  <si>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</si>
  <si>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</si>
  <si>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</si>
  <si>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</si>
  <si>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</si>
  <si>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</si>
  <si>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</si>
  <si>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</si>
  <si>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</si>
  <si>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</si>
  <si>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</si>
  <si>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</si>
  <si>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</si>
  <si>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</si>
  <si>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</si>
  <si>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</si>
  <si>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</si>
  <si>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</si>
  <si>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</si>
  <si>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</si>
  <si>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</si>
  <si>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</si>
  <si>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</si>
  <si>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</si>
  <si>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</si>
  <si>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</si>
  <si>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</si>
  <si>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</si>
  <si>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</si>
  <si>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</si>
  <si>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</si>
  <si>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</si>
  <si>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</si>
  <si>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</si>
  <si>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</si>
  <si>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</si>
  <si>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</si>
  <si>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</si>
  <si>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</si>
  <si>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</si>
  <si>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</si>
  <si>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</si>
  <si>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</si>
  <si>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</si>
  <si>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</si>
  <si>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</si>
  <si>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</si>
  <si>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</si>
  <si>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</si>
  <si>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</si>
  <si>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</si>
  <si>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</si>
  <si>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</si>
  <si>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</si>
  <si>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</si>
  <si>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</si>
  <si>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</si>
  <si>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2008-06-09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</si>
  <si>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</si>
  <si>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</si>
  <si>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</si>
  <si>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</si>
  <si>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</si>
  <si>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</si>
  <si>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</si>
  <si>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</si>
  <si>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</si>
  <si>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</si>
  <si>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</si>
  <si>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</si>
  <si>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</si>
  <si>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</si>
  <si>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</si>
  <si>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</si>
  <si>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</si>
  <si>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</si>
  <si>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</si>
  <si>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</si>
  <si>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</si>
  <si>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</si>
  <si>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</si>
  <si>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</si>
  <si>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2008-05-02</t>
  </si>
  <si>
    <t>2008-05-01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</si>
  <si>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</si>
  <si>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</si>
  <si>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</si>
  <si>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</si>
  <si>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</si>
  <si>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</si>
  <si>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</si>
  <si>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</si>
  <si>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</si>
  <si>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</si>
  <si>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</si>
  <si>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</si>
  <si>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</si>
  <si>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</si>
  <si>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</si>
  <si>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</si>
  <si>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</si>
  <si>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</si>
  <si>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2008-04-04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</si>
  <si>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</si>
  <si>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</si>
  <si>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</si>
  <si>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</si>
  <si>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</si>
  <si>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</si>
  <si>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</si>
  <si>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</si>
  <si>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</si>
  <si>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</si>
  <si>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</si>
  <si>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</si>
  <si>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</si>
  <si>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</si>
  <si>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</si>
  <si>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</si>
  <si>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</si>
  <si>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</si>
  <si>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</si>
  <si>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</si>
  <si>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</si>
  <si>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</si>
  <si>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</si>
  <si>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</si>
  <si>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</si>
  <si>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</si>
  <si>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</si>
  <si>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</si>
  <si>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</si>
  <si>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</si>
  <si>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</si>
  <si>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</si>
  <si>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2008-02-15</t>
  </si>
  <si>
    <t>2008-02-14</t>
  </si>
  <si>
    <t>2008-02-13</t>
  </si>
  <si>
    <t>2008-02-12</t>
  </si>
  <si>
    <t>2008-02-11</t>
  </si>
  <si>
    <t>2008-02-08</t>
  </si>
  <si>
    <t>2008-02-07</t>
  </si>
  <si>
    <t>2008-02-06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</si>
  <si>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</si>
  <si>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</si>
  <si>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</si>
  <si>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</si>
  <si>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</si>
  <si>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</si>
  <si>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</si>
  <si>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</si>
  <si>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</si>
  <si>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</si>
  <si>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</si>
  <si>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</si>
  <si>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</si>
  <si>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</si>
  <si>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</si>
  <si>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</si>
  <si>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</si>
  <si>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</si>
  <si>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</si>
  <si>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</si>
  <si>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</si>
  <si>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</si>
  <si>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</si>
  <si>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</si>
  <si>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2007-12-31</t>
  </si>
  <si>
    <t>2007-12-28</t>
  </si>
  <si>
    <t>2007-12-27</t>
  </si>
  <si>
    <t>2007-12-26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</si>
  <si>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</si>
  <si>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</si>
  <si>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</si>
  <si>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</si>
  <si>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</si>
  <si>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</si>
  <si>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</si>
  <si>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</si>
  <si>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</si>
  <si>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</si>
  <si>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</si>
  <si>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</si>
  <si>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</si>
  <si>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</si>
  <si>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</si>
  <si>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</si>
  <si>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</si>
  <si>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</si>
  <si>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</si>
  <si>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</si>
  <si>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</si>
  <si>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</si>
  <si>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2007-11-20</t>
  </si>
  <si>
    <t>2007-11-19</t>
  </si>
  <si>
    <t>2007-11-16</t>
  </si>
  <si>
    <t>2007-11-15</t>
  </si>
  <si>
    <t>2007-11-14</t>
  </si>
  <si>
    <t>2007-11-13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</si>
  <si>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</si>
  <si>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</si>
  <si>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</si>
  <si>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</si>
  <si>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</si>
  <si>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</si>
  <si>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</si>
  <si>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</si>
  <si>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</si>
  <si>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</si>
  <si>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</si>
  <si>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</si>
  <si>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</si>
  <si>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</si>
  <si>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</si>
  <si>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</si>
  <si>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</si>
  <si>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</si>
  <si>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</si>
  <si>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</si>
  <si>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</si>
  <si>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</si>
  <si>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</si>
  <si>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</si>
  <si>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2007-10-05</t>
  </si>
  <si>
    <t>2007-10-04</t>
  </si>
  <si>
    <t>2007-10-03</t>
  </si>
  <si>
    <t>2007-10-02</t>
  </si>
  <si>
    <t>2007-10-01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</si>
  <si>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</si>
  <si>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</si>
  <si>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</si>
  <si>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</si>
  <si>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</si>
  <si>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</si>
  <si>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</si>
  <si>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</si>
  <si>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</si>
  <si>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</si>
  <si>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</si>
  <si>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</si>
  <si>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</si>
  <si>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</si>
  <si>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</si>
  <si>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</si>
  <si>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</si>
  <si>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</si>
  <si>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</si>
  <si>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</si>
  <si>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</si>
  <si>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</si>
  <si>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</si>
  <si>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</si>
  <si>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</si>
  <si>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</si>
  <si>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</si>
  <si>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</si>
  <si>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</si>
  <si>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</si>
  <si>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</si>
  <si>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</si>
  <si>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</si>
  <si>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</si>
  <si>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</si>
  <si>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</si>
  <si>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</si>
  <si>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</si>
  <si>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</si>
  <si>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</si>
  <si>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</si>
  <si>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</si>
  <si>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</si>
  <si>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</si>
  <si>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</si>
  <si>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</si>
  <si>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</si>
  <si>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</si>
  <si>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</si>
  <si>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</si>
  <si>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</si>
  <si>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</si>
  <si>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</si>
  <si>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</si>
  <si>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</si>
  <si>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</si>
  <si>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</si>
  <si>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</si>
  <si>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</si>
  <si>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</si>
  <si>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</si>
  <si>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</si>
  <si>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</si>
  <si>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</si>
  <si>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</si>
  <si>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</si>
  <si>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</si>
  <si>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</si>
  <si>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</si>
  <si>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</si>
  <si>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</si>
  <si>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</si>
  <si>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</si>
  <si>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</si>
  <si>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</si>
  <si>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</si>
  <si>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</si>
  <si>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</si>
  <si>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</si>
  <si>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</si>
  <si>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</si>
  <si>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</si>
  <si>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</si>
  <si>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</si>
  <si>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</si>
  <si>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</si>
  <si>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</si>
  <si>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</si>
  <si>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</si>
  <si>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</si>
  <si>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</si>
  <si>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</si>
  <si>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</si>
  <si>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</si>
  <si>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</si>
  <si>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</si>
  <si>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</si>
  <si>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</si>
  <si>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</si>
  <si>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</si>
  <si>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</si>
  <si>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2007-05-07</t>
  </si>
  <si>
    <t>2007-05-04</t>
  </si>
  <si>
    <t>2007-05-03</t>
  </si>
  <si>
    <t>2007-05-02</t>
  </si>
  <si>
    <t>2007-05-01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</si>
  <si>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</si>
  <si>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</si>
  <si>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</si>
  <si>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</si>
  <si>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</si>
  <si>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</si>
  <si>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</si>
  <si>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</si>
  <si>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</si>
  <si>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</si>
  <si>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</si>
  <si>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</si>
  <si>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</si>
  <si>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</si>
  <si>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</si>
  <si>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</si>
  <si>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</si>
  <si>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</si>
  <si>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</si>
  <si>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</si>
  <si>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</si>
  <si>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</si>
  <si>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</si>
  <si>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</si>
  <si>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</si>
  <si>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</si>
  <si>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</si>
  <si>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</si>
  <si>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</si>
  <si>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</si>
  <si>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</si>
  <si>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</si>
  <si>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</si>
  <si>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</si>
  <si>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</si>
  <si>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</si>
  <si>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</si>
  <si>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</si>
  <si>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</si>
  <si>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</si>
  <si>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</si>
  <si>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</si>
  <si>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</si>
  <si>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</si>
  <si>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</si>
  <si>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</si>
  <si>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2007-02-23</t>
  </si>
  <si>
    <t>2007-02-22</t>
  </si>
  <si>
    <t>2007-02-21</t>
  </si>
  <si>
    <t>2007-02-20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</si>
  <si>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</si>
  <si>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</si>
  <si>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</si>
  <si>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</si>
  <si>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</si>
  <si>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</si>
  <si>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</si>
  <si>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</si>
  <si>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</si>
  <si>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</si>
  <si>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</si>
  <si>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</si>
  <si>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</si>
  <si>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</si>
  <si>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</si>
  <si>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</si>
  <si>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</si>
  <si>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</si>
  <si>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</si>
  <si>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</si>
  <si>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</si>
  <si>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</si>
  <si>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</si>
  <si>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</si>
  <si>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</si>
  <si>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</si>
  <si>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</si>
  <si>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</si>
  <si>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</si>
  <si>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</si>
  <si>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</si>
  <si>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2007-01-03</t>
  </si>
  <si>
    <t>2007-01-02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</si>
  <si>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</si>
  <si>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</si>
  <si>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</si>
  <si>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</si>
  <si>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</si>
  <si>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</si>
  <si>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</si>
  <si>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</si>
  <si>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</si>
  <si>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</si>
  <si>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</si>
  <si>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</si>
  <si>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</si>
  <si>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</si>
  <si>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</si>
  <si>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</si>
  <si>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</si>
  <si>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</si>
  <si>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</si>
  <si>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</si>
  <si>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</si>
  <si>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</si>
  <si>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</si>
  <si>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</si>
  <si>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</si>
  <si>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</si>
  <si>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</si>
  <si>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</si>
  <si>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</si>
  <si>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</si>
  <si>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</si>
  <si>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</si>
  <si>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</si>
  <si>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</si>
  <si>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</si>
  <si>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</si>
  <si>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</si>
  <si>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</si>
  <si>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</si>
  <si>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</si>
  <si>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</si>
  <si>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</si>
  <si>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</si>
  <si>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</si>
  <si>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</si>
  <si>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</si>
  <si>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</si>
  <si>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</si>
  <si>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</si>
  <si>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</si>
  <si>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</si>
  <si>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</si>
  <si>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</si>
  <si>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</si>
  <si>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</si>
  <si>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</si>
  <si>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</si>
  <si>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</si>
  <si>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</si>
  <si>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2006-10-06</t>
  </si>
  <si>
    <t>2006-10-05</t>
  </si>
  <si>
    <t>2006-10-04</t>
  </si>
  <si>
    <t>2006-10-03</t>
  </si>
  <si>
    <t>2006-10-02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</si>
  <si>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</si>
  <si>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</si>
  <si>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</si>
  <si>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</si>
  <si>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</si>
  <si>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</si>
  <si>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</si>
  <si>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</si>
  <si>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</si>
  <si>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</si>
  <si>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</si>
  <si>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</si>
  <si>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</si>
  <si>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</si>
  <si>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</si>
  <si>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</si>
  <si>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</si>
  <si>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</si>
  <si>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</si>
  <si>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</si>
  <si>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</si>
  <si>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</si>
  <si>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</si>
  <si>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</si>
  <si>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</si>
  <si>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</si>
  <si>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</si>
  <si>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</si>
  <si>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</si>
  <si>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</si>
  <si>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</si>
  <si>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</si>
  <si>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</si>
  <si>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</si>
  <si>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</si>
  <si>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</si>
  <si>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</si>
  <si>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</si>
  <si>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</si>
  <si>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</si>
  <si>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</si>
  <si>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</si>
  <si>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</si>
  <si>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</si>
  <si>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</si>
  <si>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</si>
  <si>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</si>
  <si>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</si>
  <si>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</si>
  <si>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</si>
  <si>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</si>
  <si>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</si>
  <si>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</si>
  <si>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</si>
  <si>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</si>
  <si>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</si>
  <si>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</si>
  <si>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</si>
  <si>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</si>
  <si>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</si>
  <si>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</si>
  <si>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</si>
  <si>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</si>
  <si>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</si>
  <si>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</si>
  <si>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</si>
  <si>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</si>
  <si>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</si>
  <si>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</si>
  <si>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</si>
  <si>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</si>
  <si>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</si>
  <si>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</si>
  <si>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</si>
  <si>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</si>
  <si>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</si>
  <si>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</si>
  <si>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</si>
  <si>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</si>
  <si>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</si>
  <si>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</si>
  <si>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</si>
  <si>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</si>
  <si>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</si>
  <si>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</si>
  <si>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</si>
  <si>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</si>
  <si>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</si>
  <si>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</si>
  <si>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</si>
  <si>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</si>
  <si>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</si>
  <si>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</si>
  <si>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</si>
  <si>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</si>
  <si>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</si>
  <si>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</si>
  <si>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</si>
  <si>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</si>
  <si>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</si>
  <si>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</si>
  <si>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</si>
  <si>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</si>
  <si>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</si>
  <si>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</si>
  <si>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2006-05-05</t>
  </si>
  <si>
    <t>2006-05-04</t>
  </si>
  <si>
    <t>2006-05-03</t>
  </si>
  <si>
    <t>2006-05-02</t>
  </si>
  <si>
    <t>2006-05-01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</si>
  <si>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</si>
  <si>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</si>
  <si>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</si>
  <si>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</si>
  <si>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</si>
  <si>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</si>
  <si>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</si>
  <si>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</si>
  <si>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</si>
  <si>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</si>
  <si>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</si>
  <si>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</si>
  <si>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</si>
  <si>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</si>
  <si>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</si>
  <si>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</si>
  <si>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</si>
  <si>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</si>
  <si>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</si>
  <si>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</si>
  <si>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</si>
  <si>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</si>
  <si>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</si>
  <si>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</si>
  <si>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</si>
  <si>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</si>
  <si>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</si>
  <si>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</si>
  <si>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</si>
  <si>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</si>
  <si>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</si>
  <si>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</si>
  <si>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</si>
  <si>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</si>
  <si>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</si>
  <si>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</si>
  <si>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</si>
  <si>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</si>
  <si>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</si>
  <si>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</si>
  <si>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</si>
  <si>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</si>
  <si>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</si>
  <si>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</si>
  <si>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</si>
  <si>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</si>
  <si>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</si>
  <si>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</si>
  <si>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</si>
  <si>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</si>
  <si>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</si>
  <si>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</si>
  <si>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</si>
  <si>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</si>
  <si>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</si>
  <si>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</si>
  <si>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</si>
  <si>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</si>
  <si>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</si>
  <si>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</si>
  <si>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2006-02-03</t>
  </si>
  <si>
    <t>2006-02-02</t>
  </si>
  <si>
    <t>2006-02-01</t>
  </si>
  <si>
    <t>2006-01-31</t>
  </si>
  <si>
    <t>2006-01-30</t>
  </si>
  <si>
    <t>2006-01-27</t>
  </si>
  <si>
    <t>2006-01-26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</si>
  <si>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</si>
  <si>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</si>
  <si>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</si>
  <si>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</si>
  <si>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</si>
  <si>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</si>
  <si>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</si>
  <si>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</si>
  <si>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</si>
  <si>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</si>
  <si>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</si>
  <si>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</si>
  <si>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</si>
  <si>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</si>
  <si>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</si>
  <si>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</si>
  <si>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2006-01-03</t>
  </si>
  <si>
    <t>2006-01-02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</si>
  <si>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</si>
  <si>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</si>
  <si>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</si>
  <si>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</si>
  <si>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</si>
  <si>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</si>
  <si>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</si>
  <si>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</si>
  <si>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</si>
  <si>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</si>
  <si>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</si>
  <si>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</si>
  <si>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</si>
  <si>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</si>
  <si>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</si>
  <si>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</si>
  <si>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</si>
  <si>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</si>
  <si>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</si>
  <si>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</si>
  <si>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</si>
  <si>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</si>
  <si>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</si>
  <si>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</si>
  <si>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</si>
  <si>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</si>
  <si>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</si>
  <si>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</si>
  <si>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</si>
  <si>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</si>
  <si>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</si>
  <si>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</si>
  <si>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</si>
  <si>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</si>
  <si>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</si>
  <si>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</si>
  <si>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</si>
  <si>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</si>
  <si>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</si>
  <si>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</si>
  <si>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</si>
  <si>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</si>
  <si>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</si>
  <si>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</si>
  <si>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</si>
  <si>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</si>
  <si>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</si>
  <si>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</si>
  <si>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</si>
  <si>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</si>
  <si>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</si>
  <si>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</si>
  <si>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</si>
  <si>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</si>
  <si>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</si>
  <si>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</si>
  <si>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</si>
  <si>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</si>
  <si>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</si>
  <si>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2005-10-07</t>
  </si>
  <si>
    <t>2005-10-06</t>
  </si>
  <si>
    <t>2005-10-05</t>
  </si>
  <si>
    <t>2005-10-04</t>
  </si>
  <si>
    <t>2005-10-03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</si>
  <si>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</si>
  <si>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</si>
  <si>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</si>
  <si>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</si>
  <si>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</si>
  <si>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</si>
  <si>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</si>
  <si>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</si>
  <si>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</si>
  <si>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</si>
  <si>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</si>
  <si>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</si>
  <si>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</si>
  <si>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</si>
  <si>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</si>
  <si>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</si>
  <si>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</si>
  <si>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</si>
  <si>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</si>
  <si>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</si>
  <si>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</si>
  <si>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</si>
  <si>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</si>
  <si>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</si>
  <si>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</si>
  <si>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</si>
  <si>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</si>
  <si>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</si>
  <si>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</si>
  <si>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</si>
  <si>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</si>
  <si>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</si>
  <si>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</si>
  <si>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</si>
  <si>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</si>
  <si>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</si>
  <si>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</si>
  <si>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</si>
  <si>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</si>
  <si>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</si>
  <si>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</si>
  <si>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</si>
  <si>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</si>
  <si>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</si>
  <si>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</si>
  <si>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</si>
  <si>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</si>
  <si>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</si>
  <si>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</si>
  <si>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</si>
  <si>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</si>
  <si>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</si>
  <si>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</si>
  <si>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</si>
  <si>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</si>
  <si>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</si>
  <si>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</si>
  <si>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</si>
  <si>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</si>
  <si>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</si>
  <si>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</si>
  <si>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</si>
  <si>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</si>
  <si>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</si>
  <si>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</si>
  <si>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</si>
  <si>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</si>
  <si>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</si>
  <si>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</si>
  <si>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</si>
  <si>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</si>
  <si>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</si>
  <si>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</si>
  <si>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</si>
  <si>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</si>
  <si>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</si>
  <si>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</si>
  <si>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</si>
  <si>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</si>
  <si>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</si>
  <si>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</si>
  <si>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</si>
  <si>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</si>
  <si>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</si>
  <si>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</si>
  <si>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</si>
  <si>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</si>
  <si>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</si>
  <si>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</si>
  <si>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</si>
  <si>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</si>
  <si>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</si>
  <si>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</si>
  <si>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</si>
  <si>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</si>
  <si>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</si>
  <si>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</si>
  <si>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</si>
  <si>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</si>
  <si>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</si>
  <si>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</si>
  <si>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</si>
  <si>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</si>
  <si>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</si>
  <si>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</si>
  <si>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2005-05-06</t>
  </si>
  <si>
    <t>2005-05-05</t>
  </si>
  <si>
    <t>2005-05-04</t>
  </si>
  <si>
    <t>2005-05-03</t>
  </si>
  <si>
    <t>2005-05-02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</si>
  <si>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</si>
  <si>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</si>
  <si>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</si>
  <si>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</si>
  <si>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</si>
  <si>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</si>
  <si>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</si>
  <si>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</si>
  <si>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</si>
  <si>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</si>
  <si>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</si>
  <si>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</si>
  <si>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</si>
  <si>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</si>
  <si>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</si>
  <si>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</si>
  <si>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</si>
  <si>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</si>
  <si>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</si>
  <si>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</si>
  <si>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</si>
  <si>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</si>
  <si>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</si>
  <si>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</si>
  <si>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</si>
  <si>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</si>
  <si>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</si>
  <si>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</si>
  <si>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</si>
  <si>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</si>
  <si>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</si>
  <si>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</si>
  <si>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</si>
  <si>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</si>
  <si>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</si>
  <si>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</si>
  <si>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</si>
  <si>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</si>
  <si>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</si>
  <si>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</si>
  <si>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</si>
  <si>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</si>
  <si>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</si>
  <si>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</si>
  <si>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</si>
  <si>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</si>
  <si>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</si>
  <si>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</si>
  <si>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</si>
  <si>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</si>
  <si>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</si>
  <si>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</si>
  <si>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</si>
  <si>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2005-02-15</t>
  </si>
  <si>
    <t>2005-02-14</t>
  </si>
  <si>
    <t>2005-02-11</t>
  </si>
  <si>
    <t>2005-02-10</t>
  </si>
  <si>
    <t>2005-02-09</t>
  </si>
  <si>
    <t>2005-02-08</t>
  </si>
  <si>
    <t>2005-02-07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</si>
  <si>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</si>
  <si>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</si>
  <si>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</si>
  <si>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</si>
  <si>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</si>
  <si>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</si>
  <si>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</si>
  <si>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</si>
  <si>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</si>
  <si>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</si>
  <si>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</si>
  <si>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</si>
  <si>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</si>
  <si>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</si>
  <si>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</si>
  <si>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</si>
  <si>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</si>
  <si>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</si>
  <si>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</si>
  <si>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</si>
  <si>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</si>
  <si>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</si>
  <si>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</si>
  <si>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</si>
  <si>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2005-01-03</t>
  </si>
  <si>
    <t>2004-12-31</t>
  </si>
  <si>
    <t>2004-12-30</t>
  </si>
  <si>
    <t>2004-12-28</t>
  </si>
  <si>
    <t>2004-12-27</t>
  </si>
  <si>
    <t>2004-12-24</t>
  </si>
  <si>
    <t>2004-12-23</t>
  </si>
  <si>
    <t>2004-12-22</t>
  </si>
  <si>
    <t>2004-12-21</t>
  </si>
  <si>
    <t>2004-12-20</t>
  </si>
  <si>
    <t>2004-12-17</t>
  </si>
  <si>
    <t>2004-12-16</t>
  </si>
  <si>
    <t>2004-12-15</t>
  </si>
  <si>
    <t>2004-12-14</t>
  </si>
  <si>
    <t>2004-12-13</t>
  </si>
  <si>
    <t>2004-12-10</t>
  </si>
  <si>
    <t>2004-12-09</t>
  </si>
  <si>
    <t>2004-12-08</t>
  </si>
  <si>
    <t>2004-12-07</t>
  </si>
  <si>
    <t>2004-12-06</t>
  </si>
  <si>
    <t>2004-12-03</t>
  </si>
  <si>
    <t>2004-12-02</t>
  </si>
  <si>
    <t>2004-12-01</t>
  </si>
  <si>
    <t>2004-11-30</t>
  </si>
  <si>
    <t>2004-11-29</t>
  </si>
  <si>
    <t>2004-11-26</t>
  </si>
  <si>
    <t>2004-11-25</t>
  </si>
  <si>
    <t>2004-11-23</t>
  </si>
  <si>
    <t>2004-11-22</t>
  </si>
  <si>
    <t>2004-11-19</t>
  </si>
  <si>
    <t>2004-11-18</t>
  </si>
  <si>
    <t>2004-11-17</t>
  </si>
  <si>
    <t>2004-11-16</t>
  </si>
  <si>
    <t>2004-11-15</t>
  </si>
  <si>
    <t>2004-11-12</t>
  </si>
  <si>
    <t>2004-11-11</t>
  </si>
  <si>
    <t>2004-11-10</t>
  </si>
  <si>
    <t>2004-11-09</t>
  </si>
  <si>
    <t>2004-11-08</t>
  </si>
  <si>
    <t>2004-11-05</t>
  </si>
  <si>
    <t>2004-11-04</t>
  </si>
  <si>
    <t>2004-11-03</t>
  </si>
  <si>
    <t>2004-11-02</t>
  </si>
  <si>
    <t>2004-11-01</t>
  </si>
  <si>
    <t>2004-10-29</t>
  </si>
  <si>
    <t>2004-10-28</t>
  </si>
  <si>
    <t>2004-10-27</t>
  </si>
  <si>
    <t>2004-10-26</t>
  </si>
  <si>
    <t>2004-10-25</t>
  </si>
  <si>
    <t>2004-10-22</t>
  </si>
  <si>
    <t>2004-10-21</t>
  </si>
  <si>
    <t>2004-10-20</t>
  </si>
  <si>
    <t>2004-10-19</t>
  </si>
  <si>
    <t>2004-10-18</t>
  </si>
  <si>
    <t>2004-10-15</t>
  </si>
  <si>
    <t>2004-10-14</t>
  </si>
  <si>
    <t>2004-10-13</t>
  </si>
  <si>
    <t>2004-10-12</t>
  </si>
  <si>
    <t>2004-10-11</t>
  </si>
  <si>
    <t>2004-10-08</t>
  </si>
  <si>
    <t>2004-10-07</t>
  </si>
  <si>
    <t>2004-10-06</t>
  </si>
  <si>
    <t>2004-10-05</t>
  </si>
  <si>
    <t>2004-10-04</t>
  </si>
  <si>
    <t>2004-10-01</t>
  </si>
  <si>
    <t>2004-09-30</t>
  </si>
  <si>
    <t>2004-09-29</t>
  </si>
  <si>
    <t>2004-09-28</t>
  </si>
  <si>
    <t>2004-09-27</t>
  </si>
  <si>
    <t>2004-09-24</t>
  </si>
  <si>
    <t>2004-09-23</t>
  </si>
  <si>
    <t>2004-09-22</t>
  </si>
  <si>
    <t>2004-09-21</t>
  </si>
  <si>
    <t>2004-09-20</t>
  </si>
  <si>
    <t>2004-09-17</t>
  </si>
  <si>
    <t>2004-09-16</t>
  </si>
  <si>
    <t>2004-09-15</t>
  </si>
  <si>
    <t>2004-09-14</t>
  </si>
  <si>
    <t>2004-09-13</t>
  </si>
  <si>
    <t>2004-09-10</t>
  </si>
  <si>
    <t>2004-09-09</t>
  </si>
  <si>
    <t>2004-09-08</t>
  </si>
  <si>
    <t>2004-09-07</t>
  </si>
  <si>
    <t>2004-09-06</t>
  </si>
  <si>
    <t>2004-09-03</t>
  </si>
  <si>
    <t>2004-09-02</t>
  </si>
  <si>
    <t>2004-09-01</t>
  </si>
  <si>
    <t>2004-08-31</t>
  </si>
  <si>
    <t>2004-08-30</t>
  </si>
  <si>
    <t>2004-08-27</t>
  </si>
  <si>
    <t>2004-08-26</t>
  </si>
  <si>
    <t>2004-08-25</t>
  </si>
  <si>
    <t>2004-08-24</t>
  </si>
  <si>
    <t>2004-08-23</t>
  </si>
  <si>
    <t>2004-08-20</t>
  </si>
  <si>
    <t>2004-08-19</t>
  </si>
  <si>
    <t>2004-08-18</t>
  </si>
  <si>
    <t>2004-08-17</t>
  </si>
  <si>
    <t>2004-08-16</t>
  </si>
  <si>
    <t>2004-08-13</t>
  </si>
  <si>
    <t>2004-08-12</t>
  </si>
  <si>
    <t>2004-08-11</t>
  </si>
  <si>
    <t>2004-08-10</t>
  </si>
  <si>
    <t>2004-08-09</t>
  </si>
  <si>
    <t>2004-08-06</t>
  </si>
  <si>
    <t>2004-08-05</t>
  </si>
  <si>
    <t>2004-08-04</t>
  </si>
  <si>
    <t>2004-08-03</t>
  </si>
  <si>
    <t>2004-08-02</t>
  </si>
  <si>
    <t>2004-07-30</t>
  </si>
  <si>
    <t>2004-07-29</t>
  </si>
  <si>
    <t>2004-07-28</t>
  </si>
  <si>
    <t>2004-07-27</t>
  </si>
  <si>
    <t>2004-07-26</t>
  </si>
  <si>
    <t>2004-07-23</t>
  </si>
  <si>
    <t>2004-07-22</t>
  </si>
  <si>
    <t>2004-07-21</t>
  </si>
  <si>
    <t>2004-07-20</t>
  </si>
  <si>
    <t>2004-07-19</t>
  </si>
  <si>
    <t>2004-07-16</t>
  </si>
  <si>
    <t>2004-07-15</t>
  </si>
  <si>
    <t>2004-07-14</t>
  </si>
  <si>
    <t>2004-07-13</t>
  </si>
  <si>
    <t>2004-07-12</t>
  </si>
  <si>
    <t>2004-07-09</t>
  </si>
  <si>
    <t>2004-07-08</t>
  </si>
  <si>
    <t>2004-07-07</t>
  </si>
  <si>
    <t>2004-07-06</t>
  </si>
  <si>
    <t>2004-07-05</t>
  </si>
  <si>
    <t>2004-07-02</t>
  </si>
  <si>
    <t>2004-07-01</t>
  </si>
  <si>
    <t>2004-06-30</t>
  </si>
  <si>
    <t>2004-06-29</t>
  </si>
  <si>
    <t>2004-06-28</t>
  </si>
  <si>
    <t>2004-06-25</t>
  </si>
  <si>
    <t>2004-06-24</t>
  </si>
  <si>
    <t>2004-06-23</t>
  </si>
  <si>
    <t>2004-06-22</t>
  </si>
  <si>
    <t>2004-06-21</t>
  </si>
  <si>
    <t>2004-06-18</t>
  </si>
  <si>
    <t>2004-06-17</t>
  </si>
  <si>
    <t>2004-06-16</t>
  </si>
  <si>
    <t>2004-06-15</t>
  </si>
  <si>
    <t>2004-06-14</t>
  </si>
  <si>
    <t>2004-06-11</t>
  </si>
  <si>
    <t>2004-06-10</t>
  </si>
  <si>
    <t>2004-06-09</t>
  </si>
  <si>
    <t>2004-06-08</t>
  </si>
  <si>
    <t>2004-06-07</t>
  </si>
  <si>
    <t>2004-06-04</t>
  </si>
  <si>
    <t>2004-06-03</t>
  </si>
  <si>
    <t>2004-06-02</t>
  </si>
  <si>
    <t>2004-06-01</t>
  </si>
  <si>
    <t>2004-05-31</t>
  </si>
  <si>
    <t>2004-05-28</t>
  </si>
  <si>
    <t>2004-05-27</t>
  </si>
  <si>
    <t>2004-05-26</t>
  </si>
  <si>
    <t>2004-05-25</t>
  </si>
  <si>
    <t>2004-05-24</t>
  </si>
  <si>
    <t>2004-05-21</t>
  </si>
  <si>
    <t>2004-05-20</t>
  </si>
  <si>
    <t>2004-05-19</t>
  </si>
  <si>
    <t>2004-05-18</t>
  </si>
  <si>
    <t>2004-05-17</t>
  </si>
  <si>
    <t>2004-05-14</t>
  </si>
  <si>
    <t>2004-05-13</t>
  </si>
  <si>
    <t>2004-05-12</t>
  </si>
  <si>
    <t>2004-05-11</t>
  </si>
  <si>
    <t>2004-05-10</t>
  </si>
  <si>
    <t>2004-05-07</t>
  </si>
  <si>
    <t>2004-05-06</t>
  </si>
  <si>
    <t>2004-05-05</t>
  </si>
  <si>
    <t>2004-05-04</t>
  </si>
  <si>
    <t>2004-05-03</t>
  </si>
  <si>
    <t>2004-04-30</t>
  </si>
  <si>
    <t>2004-04-29</t>
  </si>
  <si>
    <t>2004-04-28</t>
  </si>
  <si>
    <t>2004-04-27</t>
  </si>
  <si>
    <t>2004-04-26</t>
  </si>
  <si>
    <t>2004-04-23</t>
  </si>
  <si>
    <t>2004-04-22</t>
  </si>
  <si>
    <t>2004-04-21</t>
  </si>
  <si>
    <t>2004-04-20</t>
  </si>
  <si>
    <t>2004-04-19</t>
  </si>
  <si>
    <t>2004-04-16</t>
  </si>
  <si>
    <t>2004-04-15</t>
  </si>
  <si>
    <t>2004-04-14</t>
  </si>
  <si>
    <t>2004-04-13</t>
  </si>
  <si>
    <t>2004-04-12</t>
  </si>
  <si>
    <t>2004-04-09</t>
  </si>
  <si>
    <t>2004-04-08</t>
  </si>
  <si>
    <t>2004-04-07</t>
  </si>
  <si>
    <t>2004-04-06</t>
  </si>
  <si>
    <t>2004-04-05</t>
  </si>
  <si>
    <t>2004-04-02</t>
  </si>
  <si>
    <t>2004-04-01</t>
  </si>
  <si>
    <t>2004-03-31</t>
  </si>
  <si>
    <t>2004-03-30</t>
  </si>
  <si>
    <t>2004-03-29</t>
  </si>
  <si>
    <t>2004-03-26</t>
  </si>
  <si>
    <t>2004-03-25</t>
  </si>
  <si>
    <t>2004-03-24</t>
  </si>
  <si>
    <t>2004-03-23</t>
  </si>
  <si>
    <t>2004-03-22</t>
  </si>
  <si>
    <t>2004-03-19</t>
  </si>
  <si>
    <t>2004-03-18</t>
  </si>
  <si>
    <t>2004-03-17</t>
  </si>
  <si>
    <t>2004-03-16</t>
  </si>
  <si>
    <t>2004-03-15</t>
  </si>
  <si>
    <t>2004-03-12</t>
  </si>
  <si>
    <t>2004-03-11</t>
  </si>
  <si>
    <t>2004-03-10</t>
  </si>
  <si>
    <t>2004-03-09</t>
  </si>
  <si>
    <t>2004-03-08</t>
  </si>
  <si>
    <t>2004-03-05</t>
  </si>
  <si>
    <t>2004-03-04</t>
  </si>
  <si>
    <t>2004-03-03</t>
  </si>
  <si>
    <t>2004-03-02</t>
  </si>
  <si>
    <t>2004-03-01</t>
  </si>
  <si>
    <t>2004-02-27</t>
  </si>
  <si>
    <t>2004-02-26</t>
  </si>
  <si>
    <t>2004-02-25</t>
  </si>
  <si>
    <t>2004-02-24</t>
  </si>
  <si>
    <t>2004-02-23</t>
  </si>
  <si>
    <t>2004-02-20</t>
  </si>
  <si>
    <t>2004-02-19</t>
  </si>
  <si>
    <t>2004-02-18</t>
  </si>
  <si>
    <t>2004-02-17</t>
  </si>
  <si>
    <t>2004-02-16</t>
  </si>
  <si>
    <t>2004-02-13</t>
  </si>
  <si>
    <t>2004-02-12</t>
  </si>
  <si>
    <t>2004-02-11</t>
  </si>
  <si>
    <t>2004-02-10</t>
  </si>
  <si>
    <t>2004-02-09</t>
  </si>
  <si>
    <t>2004-02-06</t>
  </si>
  <si>
    <t>2004-02-05</t>
  </si>
  <si>
    <t>2004-02-04</t>
  </si>
  <si>
    <t>2004-02-03</t>
  </si>
  <si>
    <t>2004-02-02</t>
  </si>
  <si>
    <t>2004-01-30</t>
  </si>
  <si>
    <t>2004-01-29</t>
  </si>
  <si>
    <t>2004-01-28</t>
  </si>
  <si>
    <t>2004-01-27</t>
  </si>
  <si>
    <t>2004-01-26</t>
  </si>
  <si>
    <t>2004-01-23</t>
  </si>
  <si>
    <t>2004-01-22</t>
  </si>
  <si>
    <t>2004-01-21</t>
  </si>
  <si>
    <t>2004-01-20</t>
  </si>
  <si>
    <t>2004-01-19</t>
  </si>
  <si>
    <t>2004-01-16</t>
  </si>
  <si>
    <t>2004-01-15</t>
  </si>
  <si>
    <t>2004-01-14</t>
  </si>
  <si>
    <t>2004-01-13</t>
  </si>
  <si>
    <t>2004-01-12</t>
  </si>
  <si>
    <t>2004-01-09</t>
  </si>
  <si>
    <t>2004-01-08</t>
  </si>
  <si>
    <t>2004-01-07</t>
  </si>
  <si>
    <t>2004-01-06</t>
  </si>
  <si>
    <t>2004-01-05</t>
  </si>
  <si>
    <t>2004-01-02</t>
  </si>
  <si>
    <t>2004-01-01</t>
  </si>
  <si>
    <t>2003-12-30</t>
  </si>
  <si>
    <t>2003-12-29</t>
  </si>
  <si>
    <t>2003-12-26</t>
  </si>
  <si>
    <t>2003-12-25</t>
  </si>
  <si>
    <t>2003-12-24</t>
  </si>
  <si>
    <t>2003-12-23</t>
  </si>
  <si>
    <t>2003-12-22</t>
  </si>
  <si>
    <t>2003-12-19</t>
  </si>
  <si>
    <t>2003-12-18</t>
  </si>
  <si>
    <t>2003-12-17</t>
  </si>
  <si>
    <t>2003-12-16</t>
  </si>
  <si>
    <t>2003-12-15</t>
  </si>
  <si>
    <t>2003-12-12</t>
  </si>
  <si>
    <t>2003-12-11</t>
  </si>
  <si>
    <t>2003-12-10</t>
  </si>
  <si>
    <t>2003-12-09</t>
  </si>
  <si>
    <t>2003-12-08</t>
  </si>
  <si>
    <t>2003-12-05</t>
  </si>
  <si>
    <t>2003-12-04</t>
  </si>
  <si>
    <t>2003-12-03</t>
  </si>
  <si>
    <t>2003-12-02</t>
  </si>
  <si>
    <t>2003-12-01</t>
  </si>
  <si>
    <t>2003-11-28</t>
  </si>
  <si>
    <t>2003-11-27</t>
  </si>
  <si>
    <t>2003-11-26</t>
  </si>
  <si>
    <t>2003-11-25</t>
  </si>
  <si>
    <t>2003-11-24</t>
  </si>
  <si>
    <t>2003-11-21</t>
  </si>
  <si>
    <t>2003-11-20</t>
  </si>
  <si>
    <t>2003-11-19</t>
  </si>
  <si>
    <t>2003-11-18</t>
  </si>
  <si>
    <t>2003-11-17</t>
  </si>
  <si>
    <t>2003-11-14</t>
  </si>
  <si>
    <t>2003-11-13</t>
  </si>
  <si>
    <t>2003-11-12</t>
  </si>
  <si>
    <t>2003-11-11</t>
  </si>
  <si>
    <t>2003-11-10</t>
  </si>
  <si>
    <t>2003-11-07</t>
  </si>
  <si>
    <t>2003-11-06</t>
  </si>
  <si>
    <t>2003-11-05</t>
  </si>
  <si>
    <t>2003-11-04</t>
  </si>
  <si>
    <t>2003-11-03</t>
  </si>
  <si>
    <t>2003-10-31</t>
  </si>
  <si>
    <t>2003-10-30</t>
  </si>
  <si>
    <t>2003-10-29</t>
  </si>
  <si>
    <t>2003-10-28</t>
  </si>
  <si>
    <t>2003-10-27</t>
  </si>
  <si>
    <t>2003-10-24</t>
  </si>
  <si>
    <t>2003-10-23</t>
  </si>
  <si>
    <t>2003-10-22</t>
  </si>
  <si>
    <t>2003-10-21</t>
  </si>
  <si>
    <t>2003-10-20</t>
  </si>
  <si>
    <t>2003-10-17</t>
  </si>
  <si>
    <t>2003-10-16</t>
  </si>
  <si>
    <t>2003-10-15</t>
  </si>
  <si>
    <t>2003-10-14</t>
  </si>
  <si>
    <t>2003-10-13</t>
  </si>
  <si>
    <t>2003-10-10</t>
  </si>
  <si>
    <t>2003-10-09</t>
  </si>
  <si>
    <t>2003-10-08</t>
  </si>
  <si>
    <t>2003-10-07</t>
  </si>
  <si>
    <t>2003-10-06</t>
  </si>
  <si>
    <t>2003-10-03</t>
  </si>
  <si>
    <t>2003-10-02</t>
  </si>
  <si>
    <t>2003-10-01</t>
  </si>
  <si>
    <t>2003-09-30</t>
  </si>
  <si>
    <t>2003-09-29</t>
  </si>
  <si>
    <t>2003-09-26</t>
  </si>
  <si>
    <t>2003-09-25</t>
  </si>
  <si>
    <t>2003-09-24</t>
  </si>
  <si>
    <t>2003-09-23</t>
  </si>
  <si>
    <t>2003-09-22</t>
  </si>
  <si>
    <t>2003-09-19</t>
  </si>
  <si>
    <t>2003-09-18</t>
  </si>
  <si>
    <t>2003-09-17</t>
  </si>
  <si>
    <t>2003-09-16</t>
  </si>
  <si>
    <t>2003-09-15</t>
  </si>
  <si>
    <t>2003-09-12</t>
  </si>
  <si>
    <t>2003-09-11</t>
  </si>
  <si>
    <t>2003-09-10</t>
  </si>
  <si>
    <t>2003-09-09</t>
  </si>
  <si>
    <t>2003-09-08</t>
  </si>
  <si>
    <t>2003-09-05</t>
  </si>
  <si>
    <t>2003-09-04</t>
  </si>
  <si>
    <t>2003-09-03</t>
  </si>
  <si>
    <t>2003-09-02</t>
  </si>
  <si>
    <t>2003-09-01</t>
  </si>
  <si>
    <t>2003-08-29</t>
  </si>
  <si>
    <t>2003-08-28</t>
  </si>
  <si>
    <t>2003-08-27</t>
  </si>
  <si>
    <t>2003-08-26</t>
  </si>
  <si>
    <t>2003-08-25</t>
  </si>
  <si>
    <t>2003-08-22</t>
  </si>
  <si>
    <t>2003-08-21</t>
  </si>
  <si>
    <t>2003-08-20</t>
  </si>
  <si>
    <t>2003-08-19</t>
  </si>
  <si>
    <t>2003-08-18</t>
  </si>
  <si>
    <t>2003-08-15</t>
  </si>
  <si>
    <t>2003-08-14</t>
  </si>
  <si>
    <t>2003-08-13</t>
  </si>
  <si>
    <t>2003-08-12</t>
  </si>
  <si>
    <t>2003-08-11</t>
  </si>
  <si>
    <t>2003-08-08</t>
  </si>
  <si>
    <t>2003-08-07</t>
  </si>
  <si>
    <t>2003-08-06</t>
  </si>
  <si>
    <t>2003-08-05</t>
  </si>
  <si>
    <t>2003-08-04</t>
  </si>
  <si>
    <t>2003-08-01</t>
  </si>
  <si>
    <t>2003-07-31</t>
  </si>
  <si>
    <t>2003-07-30</t>
  </si>
  <si>
    <t>2003-07-29</t>
  </si>
  <si>
    <t>2003-07-28</t>
  </si>
  <si>
    <t>2003-07-25</t>
  </si>
  <si>
    <t>2003-07-24</t>
  </si>
  <si>
    <t>2003-07-23</t>
  </si>
  <si>
    <t>2003-07-22</t>
  </si>
  <si>
    <t>2003-07-21</t>
  </si>
  <si>
    <t>2003-07-18</t>
  </si>
  <si>
    <t>2003-07-17</t>
  </si>
  <si>
    <t>2003-07-16</t>
  </si>
  <si>
    <t>2003-07-15</t>
  </si>
  <si>
    <t>2003-07-14</t>
  </si>
  <si>
    <t>2003-07-11</t>
  </si>
  <si>
    <t>2003-07-10</t>
  </si>
  <si>
    <t>2003-07-09</t>
  </si>
  <si>
    <t>2003-07-08</t>
  </si>
  <si>
    <t>2003-07-07</t>
  </si>
  <si>
    <t>2003-07-04</t>
  </si>
  <si>
    <t>2003-07-03</t>
  </si>
  <si>
    <t>2003-07-02</t>
  </si>
  <si>
    <t>2003-07-01</t>
  </si>
  <si>
    <t>2003-06-30</t>
  </si>
  <si>
    <t>2003-06-27</t>
  </si>
  <si>
    <t>2003-06-26</t>
  </si>
  <si>
    <t>2003-06-25</t>
  </si>
  <si>
    <t>2003-06-24</t>
  </si>
  <si>
    <t>2003-06-23</t>
  </si>
  <si>
    <t>2003-06-20</t>
  </si>
  <si>
    <t>2003-06-19</t>
  </si>
  <si>
    <t>2003-06-18</t>
  </si>
  <si>
    <t>2003-06-17</t>
  </si>
  <si>
    <t>2003-06-16</t>
  </si>
  <si>
    <t>2003-06-13</t>
  </si>
  <si>
    <t>2003-06-12</t>
  </si>
  <si>
    <t>2003-06-11</t>
  </si>
  <si>
    <t>2003-06-10</t>
  </si>
  <si>
    <t>2003-06-09</t>
  </si>
  <si>
    <t>2003-06-06</t>
  </si>
  <si>
    <t>2003-06-05</t>
  </si>
  <si>
    <t>2003-06-04</t>
  </si>
  <si>
    <t>2003-06-03</t>
  </si>
  <si>
    <t>2003-06-02</t>
  </si>
  <si>
    <t>2003-05-30</t>
  </si>
  <si>
    <t>2003-05-29</t>
  </si>
  <si>
    <t>2003-05-28</t>
  </si>
  <si>
    <t>2003-05-27</t>
  </si>
  <si>
    <t>2003-05-26</t>
  </si>
  <si>
    <t>2003-05-23</t>
  </si>
  <si>
    <t>2003-05-22</t>
  </si>
  <si>
    <t>2003-05-21</t>
  </si>
  <si>
    <t>2003-05-20</t>
  </si>
  <si>
    <t>2003-05-19</t>
  </si>
  <si>
    <t>2003-05-16</t>
  </si>
  <si>
    <t>2003-05-15</t>
  </si>
  <si>
    <t>2003-05-14</t>
  </si>
  <si>
    <t>2003-05-13</t>
  </si>
  <si>
    <t>2003-05-12</t>
  </si>
  <si>
    <t>2003-05-09</t>
  </si>
  <si>
    <t>2003-05-08</t>
  </si>
  <si>
    <t>2003-05-07</t>
  </si>
  <si>
    <t>2003-05-06</t>
  </si>
  <si>
    <t>2003-05-05</t>
  </si>
  <si>
    <t>2003-05-02</t>
  </si>
  <si>
    <t>2003-05-01</t>
  </si>
  <si>
    <t>2003-04-30</t>
  </si>
  <si>
    <t>2003-04-29</t>
  </si>
  <si>
    <t>2003-04-28</t>
  </si>
  <si>
    <t>2003-04-25</t>
  </si>
  <si>
    <t>2003-04-24</t>
  </si>
  <si>
    <t>2003-04-23</t>
  </si>
  <si>
    <t>2003-04-22</t>
  </si>
  <si>
    <t>2003-04-21</t>
  </si>
  <si>
    <t>2003-04-18</t>
  </si>
  <si>
    <t>2003-04-17</t>
  </si>
  <si>
    <t>2003-04-16</t>
  </si>
  <si>
    <t>2003-04-15</t>
  </si>
  <si>
    <t>2003-04-14</t>
  </si>
  <si>
    <t>2003-04-11</t>
  </si>
  <si>
    <t>2003-04-10</t>
  </si>
  <si>
    <t>2003-04-09</t>
  </si>
  <si>
    <t>2003-04-08</t>
  </si>
  <si>
    <t>2003-04-07</t>
  </si>
  <si>
    <t>2003-04-04</t>
  </si>
  <si>
    <t>2003-04-03</t>
  </si>
  <si>
    <t>2003-04-02</t>
  </si>
  <si>
    <t>2003-04-01</t>
  </si>
  <si>
    <t>2003-03-31</t>
  </si>
  <si>
    <t>2003-03-28</t>
  </si>
  <si>
    <t>2003-03-27</t>
  </si>
  <si>
    <t>2003-03-26</t>
  </si>
  <si>
    <t>2003-03-25</t>
  </si>
  <si>
    <t>2003-03-24</t>
  </si>
  <si>
    <t>2003-03-21</t>
  </si>
  <si>
    <t>2003-03-20</t>
  </si>
  <si>
    <t>2003-03-19</t>
  </si>
  <si>
    <t>2003-03-18</t>
  </si>
  <si>
    <t>2003-03-17</t>
  </si>
  <si>
    <t>2003-03-14</t>
  </si>
  <si>
    <t>2003-03-13</t>
  </si>
  <si>
    <t>2003-03-12</t>
  </si>
  <si>
    <t>2003-03-11</t>
  </si>
  <si>
    <t>2003-03-10</t>
  </si>
  <si>
    <t>2003-03-07</t>
  </si>
  <si>
    <t>2003-03-06</t>
  </si>
  <si>
    <t>2003-03-05</t>
  </si>
  <si>
    <t>2003-03-04</t>
  </si>
  <si>
    <t>2003-03-03</t>
  </si>
  <si>
    <t>2003-02-28</t>
  </si>
  <si>
    <t>2003-02-27</t>
  </si>
  <si>
    <t>2003-02-26</t>
  </si>
  <si>
    <t>2003-02-25</t>
  </si>
  <si>
    <t>2003-02-24</t>
  </si>
  <si>
    <t>2003-02-21</t>
  </si>
  <si>
    <t>2003-02-20</t>
  </si>
  <si>
    <t>2003-02-19</t>
  </si>
  <si>
    <t>2003-02-18</t>
  </si>
  <si>
    <t>2003-02-17</t>
  </si>
  <si>
    <t>2003-02-14</t>
  </si>
  <si>
    <t>2003-02-13</t>
  </si>
  <si>
    <t>2003-02-12</t>
  </si>
  <si>
    <t>2003-02-11</t>
  </si>
  <si>
    <t>2003-02-10</t>
  </si>
  <si>
    <t>2003-02-07</t>
  </si>
  <si>
    <t>2003-02-06</t>
  </si>
  <si>
    <t>2003-02-05</t>
  </si>
  <si>
    <t>2003-02-04</t>
  </si>
  <si>
    <t>2003-02-03</t>
  </si>
  <si>
    <t>2003-01-31</t>
  </si>
  <si>
    <t>2003-01-30</t>
  </si>
  <si>
    <t>2003-01-29</t>
  </si>
  <si>
    <t>2003-01-28</t>
  </si>
  <si>
    <t>2003-01-27</t>
  </si>
  <si>
    <t>2003-01-24</t>
  </si>
  <si>
    <t>2003-01-23</t>
  </si>
  <si>
    <t>2003-01-22</t>
  </si>
  <si>
    <t>2003-01-21</t>
  </si>
  <si>
    <t>2003-01-20</t>
  </si>
  <si>
    <t>2003-01-17</t>
  </si>
  <si>
    <t>2003-01-16</t>
  </si>
  <si>
    <t>2003-01-15</t>
  </si>
  <si>
    <t>2003-01-14</t>
  </si>
  <si>
    <t>2003-01-13</t>
  </si>
  <si>
    <t>2003-01-10</t>
  </si>
  <si>
    <t>2003-01-09</t>
  </si>
  <si>
    <t>2003-01-08</t>
  </si>
  <si>
    <t>2003-01-07</t>
  </si>
  <si>
    <t>2003-01-06</t>
  </si>
  <si>
    <t>2003-01-03</t>
  </si>
  <si>
    <t>2003-01-02</t>
  </si>
  <si>
    <t>2003-01-01</t>
  </si>
  <si>
    <t>2002-12-31</t>
  </si>
  <si>
    <t>2002-12-30</t>
  </si>
  <si>
    <t>2002-12-27</t>
  </si>
  <si>
    <t>2002-12-26</t>
  </si>
  <si>
    <t>2002-12-25</t>
  </si>
  <si>
    <t>2002-12-24</t>
  </si>
  <si>
    <t>2002-12-23</t>
  </si>
  <si>
    <t>2002-12-20</t>
  </si>
  <si>
    <t>2002-12-19</t>
  </si>
  <si>
    <t>2002-12-18</t>
  </si>
  <si>
    <t>2002-12-17</t>
  </si>
  <si>
    <t>2002-12-16</t>
  </si>
  <si>
    <t>2002-12-13</t>
  </si>
  <si>
    <t>2002-12-12</t>
  </si>
  <si>
    <t>2002-12-11</t>
  </si>
  <si>
    <t>2002-12-10</t>
  </si>
  <si>
    <t>2002-12-09</t>
  </si>
  <si>
    <t>2002-12-06</t>
  </si>
  <si>
    <t>2002-12-05</t>
  </si>
  <si>
    <t>2002-12-04</t>
  </si>
  <si>
    <t>2002-12-03</t>
  </si>
  <si>
    <t>2002-12-02</t>
  </si>
  <si>
    <t>2002-11-29</t>
  </si>
  <si>
    <t>2002-11-28</t>
  </si>
  <si>
    <t>2002-11-27</t>
  </si>
  <si>
    <t>2002-11-26</t>
  </si>
  <si>
    <t>2002-11-25</t>
  </si>
  <si>
    <t>2002-11-22</t>
  </si>
  <si>
    <t>2002-11-21</t>
  </si>
  <si>
    <t>2002-11-20</t>
  </si>
  <si>
    <t>2002-11-19</t>
  </si>
  <si>
    <t>2002-11-18</t>
  </si>
  <si>
    <t>2002-11-15</t>
  </si>
  <si>
    <t>2002-11-14</t>
  </si>
  <si>
    <t>2002-11-13</t>
  </si>
  <si>
    <t>2002-11-12</t>
  </si>
  <si>
    <t>2002-11-11</t>
  </si>
  <si>
    <t>2002-11-08</t>
  </si>
  <si>
    <t>2002-11-07</t>
  </si>
  <si>
    <t>2002-11-06</t>
  </si>
  <si>
    <t>2002-11-05</t>
  </si>
  <si>
    <t>2002-11-04</t>
  </si>
  <si>
    <t>2002-11-01</t>
  </si>
  <si>
    <t>2002-10-31</t>
  </si>
  <si>
    <t>2002-10-30</t>
  </si>
  <si>
    <t>2002-10-29</t>
  </si>
  <si>
    <t>2002-10-28</t>
  </si>
  <si>
    <t>2002-10-25</t>
  </si>
  <si>
    <t>2002-10-24</t>
  </si>
  <si>
    <t>2002-10-23</t>
  </si>
  <si>
    <t>2002-10-22</t>
  </si>
  <si>
    <t>2002-10-21</t>
  </si>
  <si>
    <t>2002-10-18</t>
  </si>
  <si>
    <t>2002-10-17</t>
  </si>
  <si>
    <t>2002-10-16</t>
  </si>
  <si>
    <t>2002-10-15</t>
  </si>
  <si>
    <t>2002-10-14</t>
  </si>
  <si>
    <t>2002-10-11</t>
  </si>
  <si>
    <t>2002-10-10</t>
  </si>
  <si>
    <t>2002-10-09</t>
  </si>
  <si>
    <t>2002-10-08</t>
  </si>
  <si>
    <t>2002-10-07</t>
  </si>
  <si>
    <t>2002-10-04</t>
  </si>
  <si>
    <t>2002-10-03</t>
  </si>
  <si>
    <t>2002-10-02</t>
  </si>
  <si>
    <t>2002-10-01</t>
  </si>
  <si>
    <t>2002-09-30</t>
  </si>
  <si>
    <t>2002-09-27</t>
  </si>
  <si>
    <t>2002-09-26</t>
  </si>
  <si>
    <t>2002-09-25</t>
  </si>
  <si>
    <t>2002-09-24</t>
  </si>
  <si>
    <t>2002-09-23</t>
  </si>
  <si>
    <t>2002-09-20</t>
  </si>
  <si>
    <t>2002-09-19</t>
  </si>
  <si>
    <t>2002-09-18</t>
  </si>
  <si>
    <t>2002-09-17</t>
  </si>
  <si>
    <t>2002-09-16</t>
  </si>
  <si>
    <t>2002-09-13</t>
  </si>
  <si>
    <t>2002-09-12</t>
  </si>
  <si>
    <t>2002-09-11</t>
  </si>
  <si>
    <t>2002-09-10</t>
  </si>
  <si>
    <t>2002-09-09</t>
  </si>
  <si>
    <t>2002-09-06</t>
  </si>
  <si>
    <t>2002-09-05</t>
  </si>
  <si>
    <t>2002-09-04</t>
  </si>
  <si>
    <t>2002-09-03</t>
  </si>
  <si>
    <t>2002-09-02</t>
  </si>
  <si>
    <t>2002-08-30</t>
  </si>
  <si>
    <t>2002-08-29</t>
  </si>
  <si>
    <t>2002-08-28</t>
  </si>
  <si>
    <t>2002-08-27</t>
  </si>
  <si>
    <t>2002-08-26</t>
  </si>
  <si>
    <t>2002-08-23</t>
  </si>
  <si>
    <t>2002-08-22</t>
  </si>
  <si>
    <t>2002-08-21</t>
  </si>
  <si>
    <t>2002-08-20</t>
  </si>
  <si>
    <t>2002-08-19</t>
  </si>
  <si>
    <t>2002-08-16</t>
  </si>
  <si>
    <t>2002-08-15</t>
  </si>
  <si>
    <t>2002-08-14</t>
  </si>
  <si>
    <t>2002-08-13</t>
  </si>
  <si>
    <t>2002-08-12</t>
  </si>
  <si>
    <t>2002-08-09</t>
  </si>
  <si>
    <t>2002-08-08</t>
  </si>
  <si>
    <t>2002-08-07</t>
  </si>
  <si>
    <t>2002-08-06</t>
  </si>
  <si>
    <t>2002-08-05</t>
  </si>
  <si>
    <t>2002-08-02</t>
  </si>
  <si>
    <t>2002-08-01</t>
  </si>
  <si>
    <t>2002-07-31</t>
  </si>
  <si>
    <t>2002-07-30</t>
  </si>
  <si>
    <t>2002-07-29</t>
  </si>
  <si>
    <t>2002-07-26</t>
  </si>
  <si>
    <t>2002-07-25</t>
  </si>
  <si>
    <t>2002-07-24</t>
  </si>
  <si>
    <t>2002-07-23</t>
  </si>
  <si>
    <t>2002-07-22</t>
  </si>
  <si>
    <t>2002-07-19</t>
  </si>
  <si>
    <t>2002-07-18</t>
  </si>
  <si>
    <t>2002-07-17</t>
  </si>
  <si>
    <t>2002-07-16</t>
  </si>
  <si>
    <t>2002-07-15</t>
  </si>
  <si>
    <t>2002-07-12</t>
  </si>
  <si>
    <t>2002-07-11</t>
  </si>
  <si>
    <t>2002-07-10</t>
  </si>
  <si>
    <t>2002-07-09</t>
  </si>
  <si>
    <t>2002-07-08</t>
  </si>
  <si>
    <t>2002-07-05</t>
  </si>
  <si>
    <t>2002-07-04</t>
  </si>
  <si>
    <t>2002-07-03</t>
  </si>
  <si>
    <t>2002-07-02</t>
  </si>
  <si>
    <t>2002-07-01</t>
  </si>
  <si>
    <t>2002-06-28</t>
  </si>
  <si>
    <t>2002-06-27</t>
  </si>
  <si>
    <t>2002-06-26</t>
  </si>
  <si>
    <t>2002-06-25</t>
  </si>
  <si>
    <t>2002-06-24</t>
  </si>
  <si>
    <t>2002-06-21</t>
  </si>
  <si>
    <t>2002-06-20</t>
  </si>
  <si>
    <t>2002-06-19</t>
  </si>
  <si>
    <t>2002-06-18</t>
  </si>
  <si>
    <t>2002-06-17</t>
  </si>
  <si>
    <t>2002-06-14</t>
  </si>
  <si>
    <t>2002-06-13</t>
  </si>
  <si>
    <t>2002-06-12</t>
  </si>
  <si>
    <t>2002-06-11</t>
  </si>
  <si>
    <t>2002-06-10</t>
  </si>
  <si>
    <t>2002-06-07</t>
  </si>
  <si>
    <t>2002-06-06</t>
  </si>
  <si>
    <t>2002-06-05</t>
  </si>
  <si>
    <t>2002-06-04</t>
  </si>
  <si>
    <t>2002-06-03</t>
  </si>
  <si>
    <t>2002-05-31</t>
  </si>
  <si>
    <t>2002-05-30</t>
  </si>
  <si>
    <t>2002-05-29</t>
  </si>
  <si>
    <t>2002-05-28</t>
  </si>
  <si>
    <t>2002-05-27</t>
  </si>
  <si>
    <t>2002-05-24</t>
  </si>
  <si>
    <t>2002-05-23</t>
  </si>
  <si>
    <t>2002-05-22</t>
  </si>
  <si>
    <t>2002-05-21</t>
  </si>
  <si>
    <t>2002-05-20</t>
  </si>
  <si>
    <t>2002-05-17</t>
  </si>
  <si>
    <t>2002-05-16</t>
  </si>
  <si>
    <t>2002-05-15</t>
  </si>
  <si>
    <t>2002-05-14</t>
  </si>
  <si>
    <t>2002-05-13</t>
  </si>
  <si>
    <t>2002-05-10</t>
  </si>
  <si>
    <t>2002-05-09</t>
  </si>
  <si>
    <t>2002-05-08</t>
  </si>
  <si>
    <t>2002-05-07</t>
  </si>
  <si>
    <t>2002-05-06</t>
  </si>
  <si>
    <t>2002-05-03</t>
  </si>
  <si>
    <t>2002-05-02</t>
  </si>
  <si>
    <t>2002-05-01</t>
  </si>
  <si>
    <t>2002-04-30</t>
  </si>
  <si>
    <t>2002-04-29</t>
  </si>
  <si>
    <t>2002-04-26</t>
  </si>
  <si>
    <t>2002-04-25</t>
  </si>
  <si>
    <t>2002-04-24</t>
  </si>
  <si>
    <t>2002-04-23</t>
  </si>
  <si>
    <t>2002-04-22</t>
  </si>
  <si>
    <t>2002-04-19</t>
  </si>
  <si>
    <t>2002-04-18</t>
  </si>
  <si>
    <t>2002-04-17</t>
  </si>
  <si>
    <t>2002-04-16</t>
  </si>
  <si>
    <t>2002-04-15</t>
  </si>
  <si>
    <t>2002-04-12</t>
  </si>
  <si>
    <t>2002-04-11</t>
  </si>
  <si>
    <t>2002-04-10</t>
  </si>
  <si>
    <t>2002-04-09</t>
  </si>
  <si>
    <t>2002-04-08</t>
  </si>
  <si>
    <t>2002-04-05</t>
  </si>
  <si>
    <t>2002-04-04</t>
  </si>
  <si>
    <t>2002-04-03</t>
  </si>
  <si>
    <t>2002-04-02</t>
  </si>
  <si>
    <t>2002-04-01</t>
  </si>
  <si>
    <t>2002-03-29</t>
  </si>
  <si>
    <t>2002-03-28</t>
  </si>
  <si>
    <t>2002-03-27</t>
  </si>
  <si>
    <t>2002-03-26</t>
  </si>
  <si>
    <t>2002-03-25</t>
  </si>
  <si>
    <t>2002-03-22</t>
  </si>
  <si>
    <t>2002-03-21</t>
  </si>
  <si>
    <t>2002-03-20</t>
  </si>
  <si>
    <t>2002-03-19</t>
  </si>
  <si>
    <t>2002-03-18</t>
  </si>
  <si>
    <t>2002-03-15</t>
  </si>
  <si>
    <t>2002-03-14</t>
  </si>
  <si>
    <t>2002-03-13</t>
  </si>
  <si>
    <t>2002-03-12</t>
  </si>
  <si>
    <t>2002-03-11</t>
  </si>
  <si>
    <t>2002-03-08</t>
  </si>
  <si>
    <t>2002-03-07</t>
  </si>
  <si>
    <t>2002-03-06</t>
  </si>
  <si>
    <t>2002-03-05</t>
  </si>
  <si>
    <t>2002-03-04</t>
  </si>
  <si>
    <t>2002-03-01</t>
  </si>
  <si>
    <t>2002-02-28</t>
  </si>
  <si>
    <t>2002-02-27</t>
  </si>
  <si>
    <t>2002-02-26</t>
  </si>
  <si>
    <t>2002-02-25</t>
  </si>
  <si>
    <t>2002-02-22</t>
  </si>
  <si>
    <t>2002-02-21</t>
  </si>
  <si>
    <t>2002-02-20</t>
  </si>
  <si>
    <t>2002-02-19</t>
  </si>
  <si>
    <t>2002-02-18</t>
  </si>
  <si>
    <t>2002-02-15</t>
  </si>
  <si>
    <t>2002-02-14</t>
  </si>
  <si>
    <t>2002-02-13</t>
  </si>
  <si>
    <t>2002-02-12</t>
  </si>
  <si>
    <t>2002-02-11</t>
  </si>
  <si>
    <t>2002-02-08</t>
  </si>
  <si>
    <t>2002-02-07</t>
  </si>
  <si>
    <t>2002-02-06</t>
  </si>
  <si>
    <t>2002-02-05</t>
  </si>
  <si>
    <t>2002-02-04</t>
  </si>
  <si>
    <t>2002-02-01</t>
  </si>
  <si>
    <t>2002-01-31</t>
  </si>
  <si>
    <t>2002-01-30</t>
  </si>
  <si>
    <t>2002-01-29</t>
  </si>
  <si>
    <t>2002-01-28</t>
  </si>
  <si>
    <t>2002-01-25</t>
  </si>
  <si>
    <t>2002-01-24</t>
  </si>
  <si>
    <t>2002-01-23</t>
  </si>
  <si>
    <t>2002-01-22</t>
  </si>
  <si>
    <t>2002-01-21</t>
  </si>
  <si>
    <t>2002-01-18</t>
  </si>
  <si>
    <t>2002-01-17</t>
  </si>
  <si>
    <t>2002-01-16</t>
  </si>
  <si>
    <t>2002-01-15</t>
  </si>
  <si>
    <t>2002-01-14</t>
  </si>
  <si>
    <t>2002-01-11</t>
  </si>
  <si>
    <t>2002-01-10</t>
  </si>
  <si>
    <t>2002-01-09</t>
  </si>
  <si>
    <t>2002-01-08</t>
  </si>
  <si>
    <t>2002-01-07</t>
  </si>
  <si>
    <t>2002-01-04</t>
  </si>
  <si>
    <t>2002-01-03</t>
  </si>
  <si>
    <t>2002-01-02</t>
  </si>
  <si>
    <t>2002-01-01</t>
  </si>
  <si>
    <t>2001-12-31</t>
  </si>
  <si>
    <t>2001-12-28</t>
  </si>
  <si>
    <t>2001-12-27</t>
  </si>
  <si>
    <t>2001-12-26</t>
  </si>
  <si>
    <t>2001-12-25</t>
  </si>
  <si>
    <t>2001-12-24</t>
  </si>
  <si>
    <t>2001-12-21</t>
  </si>
  <si>
    <t>2001-12-20</t>
  </si>
  <si>
    <t>2001-12-19</t>
  </si>
  <si>
    <t>2001-12-18</t>
  </si>
  <si>
    <t>2001-12-17</t>
  </si>
  <si>
    <t>2001-12-14</t>
  </si>
  <si>
    <t>2001-12-13</t>
  </si>
  <si>
    <t>2001-12-12</t>
  </si>
  <si>
    <t>2001-12-11</t>
  </si>
  <si>
    <t>2001-12-10</t>
  </si>
  <si>
    <t>2001-12-07</t>
  </si>
  <si>
    <t>2001-12-06</t>
  </si>
  <si>
    <t>2001-12-05</t>
  </si>
  <si>
    <t>2001-12-04</t>
  </si>
  <si>
    <t>2001-12-03</t>
  </si>
  <si>
    <t>2001-11-30</t>
  </si>
  <si>
    <t>2001-11-29</t>
  </si>
  <si>
    <t>2001-11-28</t>
  </si>
  <si>
    <t>2001-11-27</t>
  </si>
  <si>
    <t>2001-11-26</t>
  </si>
  <si>
    <t>2001-11-23</t>
  </si>
  <si>
    <t>2001-11-22</t>
  </si>
  <si>
    <t>2001-11-21</t>
  </si>
  <si>
    <t>2001-11-20</t>
  </si>
  <si>
    <t>2001-11-19</t>
  </si>
  <si>
    <t>2001-11-16</t>
  </si>
  <si>
    <t>2001-11-15</t>
  </si>
  <si>
    <t>2001-11-14</t>
  </si>
  <si>
    <t>2001-11-13</t>
  </si>
  <si>
    <t>2001-11-12</t>
  </si>
  <si>
    <t>2001-11-09</t>
  </si>
  <si>
    <t>2001-11-08</t>
  </si>
  <si>
    <t>2001-11-07</t>
  </si>
  <si>
    <t>2001-11-06</t>
  </si>
  <si>
    <t>2001-11-05</t>
  </si>
  <si>
    <t>2001-11-02</t>
  </si>
  <si>
    <t>2001-11-01</t>
  </si>
  <si>
    <t>2001-10-31</t>
  </si>
  <si>
    <t>2001-10-30</t>
  </si>
  <si>
    <t>2001-10-29</t>
  </si>
  <si>
    <t>2001-10-26</t>
  </si>
  <si>
    <t>2001-10-25</t>
  </si>
  <si>
    <t>2001-10-24</t>
  </si>
  <si>
    <t>2001-10-23</t>
  </si>
  <si>
    <t>2001-10-22</t>
  </si>
  <si>
    <t>2001-10-19</t>
  </si>
  <si>
    <t>2001-10-18</t>
  </si>
  <si>
    <t>2001-10-17</t>
  </si>
  <si>
    <t>2001-10-16</t>
  </si>
  <si>
    <t>2001-10-15</t>
  </si>
  <si>
    <t>2001-10-12</t>
  </si>
  <si>
    <t>2001-10-11</t>
  </si>
  <si>
    <t>2001-10-10</t>
  </si>
  <si>
    <t>2001-10-09</t>
  </si>
  <si>
    <t>2001-10-08</t>
  </si>
  <si>
    <t>2001-10-05</t>
  </si>
  <si>
    <t>2001-10-04</t>
  </si>
  <si>
    <t>2001-10-03</t>
  </si>
  <si>
    <t>2001-10-02</t>
  </si>
  <si>
    <t>2001-10-01</t>
  </si>
  <si>
    <t>2001-09-28</t>
  </si>
  <si>
    <t>2001-09-27</t>
  </si>
  <si>
    <t>2001-09-26</t>
  </si>
  <si>
    <t>2001-09-25</t>
  </si>
  <si>
    <t>2001-09-24</t>
  </si>
  <si>
    <t>2001-09-21</t>
  </si>
  <si>
    <t>2001-09-20</t>
  </si>
  <si>
    <t>2001-09-19</t>
  </si>
  <si>
    <t>2001-09-18</t>
  </si>
  <si>
    <t>2001-09-17</t>
  </si>
  <si>
    <t>2001-09-14</t>
  </si>
  <si>
    <t>2001-09-13</t>
  </si>
  <si>
    <t>2001-09-12</t>
  </si>
  <si>
    <t>2001-09-11</t>
  </si>
  <si>
    <t>2001-09-10</t>
  </si>
  <si>
    <t>2001-09-07</t>
  </si>
  <si>
    <t>2001-09-06</t>
  </si>
  <si>
    <t>2001-09-05</t>
  </si>
  <si>
    <t>2001-09-04</t>
  </si>
  <si>
    <t>2001-09-03</t>
  </si>
  <si>
    <t>2001-08-31</t>
  </si>
  <si>
    <t>2001-08-30</t>
  </si>
  <si>
    <t>2001-08-29</t>
  </si>
  <si>
    <t>2001-08-28</t>
  </si>
  <si>
    <t>2001-08-27</t>
  </si>
  <si>
    <t>2001-08-24</t>
  </si>
  <si>
    <t>2001-08-23</t>
  </si>
  <si>
    <t>2001-08-22</t>
  </si>
  <si>
    <t>2001-08-21</t>
  </si>
  <si>
    <t>2001-08-20</t>
  </si>
  <si>
    <t>2001-08-17</t>
  </si>
  <si>
    <t>2001-08-16</t>
  </si>
  <si>
    <t>2001-08-15</t>
  </si>
  <si>
    <t>2001-08-14</t>
  </si>
  <si>
    <t>2001-08-13</t>
  </si>
  <si>
    <t>2001-08-10</t>
  </si>
  <si>
    <t>2001-08-09</t>
  </si>
  <si>
    <t>2001-08-08</t>
  </si>
  <si>
    <t>2001-08-07</t>
  </si>
  <si>
    <t>2001-08-06</t>
  </si>
  <si>
    <t>2001-08-03</t>
  </si>
  <si>
    <t>2001-08-02</t>
  </si>
  <si>
    <t>2001-08-01</t>
  </si>
  <si>
    <t>2001-07-31</t>
  </si>
  <si>
    <t>2001-07-30</t>
  </si>
  <si>
    <t>2001-07-27</t>
  </si>
  <si>
    <t>2001-07-26</t>
  </si>
  <si>
    <t>2001-07-25</t>
  </si>
  <si>
    <t>2001-07-24</t>
  </si>
  <si>
    <t>2001-07-23</t>
  </si>
  <si>
    <t>2001-07-20</t>
  </si>
  <si>
    <t>2001-07-19</t>
  </si>
  <si>
    <t>2001-07-18</t>
  </si>
  <si>
    <t>2001-07-17</t>
  </si>
  <si>
    <t>2001-07-16</t>
  </si>
  <si>
    <t>2001-07-13</t>
  </si>
  <si>
    <t>2001-07-12</t>
  </si>
  <si>
    <t>2001-07-11</t>
  </si>
  <si>
    <t>2001-07-10</t>
  </si>
  <si>
    <t>2001-07-09</t>
  </si>
  <si>
    <t>2001-07-06</t>
  </si>
  <si>
    <t>2001-07-05</t>
  </si>
  <si>
    <t>2001-07-04</t>
  </si>
  <si>
    <t>2001-07-03</t>
  </si>
  <si>
    <t>2001-07-02</t>
  </si>
  <si>
    <t>2001-06-29</t>
  </si>
  <si>
    <t>2001-06-28</t>
  </si>
  <si>
    <t>2001-06-27</t>
  </si>
  <si>
    <t>2001-06-26</t>
  </si>
  <si>
    <t>2001-06-25</t>
  </si>
  <si>
    <t>2001-06-22</t>
  </si>
  <si>
    <t>2001-06-21</t>
  </si>
  <si>
    <t>2001-06-20</t>
  </si>
  <si>
    <t>2001-06-19</t>
  </si>
  <si>
    <t>2001-06-18</t>
  </si>
  <si>
    <t>2001-06-15</t>
  </si>
  <si>
    <t>2001-06-14</t>
  </si>
  <si>
    <t>2001-06-13</t>
  </si>
  <si>
    <t>2001-06-12</t>
  </si>
  <si>
    <t>2001-06-11</t>
  </si>
  <si>
    <t>2001-06-08</t>
  </si>
  <si>
    <t>2001-06-07</t>
  </si>
  <si>
    <t>2001-06-06</t>
  </si>
  <si>
    <t>2001-06-05</t>
  </si>
  <si>
    <t>2001-06-04</t>
  </si>
  <si>
    <t>2001-06-01</t>
  </si>
  <si>
    <t>2001-05-31</t>
  </si>
  <si>
    <t>2001-05-30</t>
  </si>
  <si>
    <t>2001-05-29</t>
  </si>
  <si>
    <t>2001-05-28</t>
  </si>
  <si>
    <t>2001-05-25</t>
  </si>
  <si>
    <t>2001-05-24</t>
  </si>
  <si>
    <t>2001-05-23</t>
  </si>
  <si>
    <t>2001-05-22</t>
  </si>
  <si>
    <t>2001-05-21</t>
  </si>
  <si>
    <t>2001-05-18</t>
  </si>
  <si>
    <t>2001-05-17</t>
  </si>
  <si>
    <t>2001-05-16</t>
  </si>
  <si>
    <t>2001-05-15</t>
  </si>
  <si>
    <t>2001-05-14</t>
  </si>
  <si>
    <t>2001-05-11</t>
  </si>
  <si>
    <t>2001-05-10</t>
  </si>
  <si>
    <t>2001-05-09</t>
  </si>
  <si>
    <t>2001-05-08</t>
  </si>
  <si>
    <t>2001-05-07</t>
  </si>
  <si>
    <t>2001-05-04</t>
  </si>
  <si>
    <t>2001-05-03</t>
  </si>
  <si>
    <t>2001-05-02</t>
  </si>
  <si>
    <t>2001-05-01</t>
  </si>
  <si>
    <t>2001-04-30</t>
  </si>
  <si>
    <t>2001-04-27</t>
  </si>
  <si>
    <t>2001-04-26</t>
  </si>
  <si>
    <t>2001-04-25</t>
  </si>
  <si>
    <t>2001-04-24</t>
  </si>
  <si>
    <t>2001-04-23</t>
  </si>
  <si>
    <t>2001-04-20</t>
  </si>
  <si>
    <t>2001-04-19</t>
  </si>
  <si>
    <t>2001-04-18</t>
  </si>
  <si>
    <t>2001-04-17</t>
  </si>
  <si>
    <t>2001-04-16</t>
  </si>
  <si>
    <t>2001-04-13</t>
  </si>
  <si>
    <t>2001-04-12</t>
  </si>
  <si>
    <t>2001-04-11</t>
  </si>
  <si>
    <t>2001-04-10</t>
  </si>
  <si>
    <t>2001-04-09</t>
  </si>
  <si>
    <t>2001-04-06</t>
  </si>
  <si>
    <t>2001-04-05</t>
  </si>
  <si>
    <t>2001-04-04</t>
  </si>
  <si>
    <t>2001-04-03</t>
  </si>
  <si>
    <t>2001-04-02</t>
  </si>
  <si>
    <t>2001-03-30</t>
  </si>
  <si>
    <t>2001-03-29</t>
  </si>
  <si>
    <t>2001-03-28</t>
  </si>
  <si>
    <t>2001-03-27</t>
  </si>
  <si>
    <t>2001-03-26</t>
  </si>
  <si>
    <t>2001-03-23</t>
  </si>
  <si>
    <t>2001-03-22</t>
  </si>
  <si>
    <t>2001-03-21</t>
  </si>
  <si>
    <t>2001-03-20</t>
  </si>
  <si>
    <t>2001-03-19</t>
  </si>
  <si>
    <t>2001-03-16</t>
  </si>
  <si>
    <t>2001-03-15</t>
  </si>
  <si>
    <t>2001-03-14</t>
  </si>
  <si>
    <t>2001-03-13</t>
  </si>
  <si>
    <t>2001-03-12</t>
  </si>
  <si>
    <t>2001-03-09</t>
  </si>
  <si>
    <t>2001-03-08</t>
  </si>
  <si>
    <t>2001-03-07</t>
  </si>
  <si>
    <t>2001-03-06</t>
  </si>
  <si>
    <t>2001-03-05</t>
  </si>
  <si>
    <t>2001-03-02</t>
  </si>
  <si>
    <t>2001-03-01</t>
  </si>
  <si>
    <t>2001-02-28</t>
  </si>
  <si>
    <t>2001-02-27</t>
  </si>
  <si>
    <t>2001-02-26</t>
  </si>
  <si>
    <t>2001-02-23</t>
  </si>
  <si>
    <t>2001-02-22</t>
  </si>
  <si>
    <t>2001-02-21</t>
  </si>
  <si>
    <t>2001-02-20</t>
  </si>
  <si>
    <t>2001-02-19</t>
  </si>
  <si>
    <t>2001-02-16</t>
  </si>
  <si>
    <t>2001-02-15</t>
  </si>
  <si>
    <t>2001-02-14</t>
  </si>
  <si>
    <t>2001-02-13</t>
  </si>
  <si>
    <t>2001-02-12</t>
  </si>
  <si>
    <t>2001-02-09</t>
  </si>
  <si>
    <t>2001-02-08</t>
  </si>
  <si>
    <t>2001-02-07</t>
  </si>
  <si>
    <t>2001-02-06</t>
  </si>
  <si>
    <t>2001-02-05</t>
  </si>
  <si>
    <t>2001-02-02</t>
  </si>
  <si>
    <t>2001-02-01</t>
  </si>
  <si>
    <t>2001-01-31</t>
  </si>
  <si>
    <t>2001-01-30</t>
  </si>
  <si>
    <t>2001-01-29</t>
  </si>
  <si>
    <t>2001-01-26</t>
  </si>
  <si>
    <t>2001-01-25</t>
  </si>
  <si>
    <t>2001-01-24</t>
  </si>
  <si>
    <t>2001-01-23</t>
  </si>
  <si>
    <t>2001-01-22</t>
  </si>
  <si>
    <t>2001-01-19</t>
  </si>
  <si>
    <t>2001-01-18</t>
  </si>
  <si>
    <t>2001-01-17</t>
  </si>
  <si>
    <t>2001-01-16</t>
  </si>
  <si>
    <t>2001-01-15</t>
  </si>
  <si>
    <t>2001-01-12</t>
  </si>
  <si>
    <t>2001-01-11</t>
  </si>
  <si>
    <t>2001-01-10</t>
  </si>
  <si>
    <t>2001-01-09</t>
  </si>
  <si>
    <t>2001-01-08</t>
  </si>
  <si>
    <t>2001-01-05</t>
  </si>
  <si>
    <t>2001-01-04</t>
  </si>
  <si>
    <t>2001-01-03</t>
  </si>
  <si>
    <t>2001-01-02</t>
  </si>
  <si>
    <t>2001-01-01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</si>
  <si>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</si>
  <si>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</si>
  <si>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</si>
  <si>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</si>
  <si>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</si>
  <si>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</si>
  <si>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</si>
  <si>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</si>
  <si>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</si>
  <si>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</si>
  <si>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</si>
  <si>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</si>
  <si>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</si>
  <si>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</si>
  <si>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</si>
  <si>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</si>
  <si>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</si>
  <si>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</si>
  <si>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</si>
  <si>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</si>
  <si>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</si>
  <si>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</si>
  <si>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</si>
  <si>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</si>
  <si>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</si>
  <si>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</si>
  <si>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</si>
  <si>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</si>
  <si>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</si>
  <si>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</si>
  <si>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</si>
  <si>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</si>
  <si>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</si>
  <si>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2015-10-07</t>
  </si>
  <si>
    <t>2015-10-06</t>
  </si>
  <si>
    <t>2015-10-05</t>
  </si>
  <si>
    <t>2015-10-02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</si>
</sst>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9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</numFmts>
  <fonts count="1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scheme val="minor"/>
    </font>
    <font>
      <sz val="10"/>
      <color theme="1"/>
      <name val="Calibri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164" fontId="0" fillId="2" borderId="2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0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144" fillId="4" borderId="0" xfId="5" applyFont="1"/>
    <xf numFmtId="0" fontId="144" fillId="4" borderId="0" xfId="5" applyNumberFormat="1" applyFont="1"/>
    <xf numFmtId="10" fontId="145" fillId="0" borderId="0" xfId="1" applyNumberFormat="1" applyFont="1"/>
    <xf numFmtId="14" fontId="145" fillId="0" borderId="0" xfId="0" applyNumberFormat="1" applyFont="1"/>
    <xf numFmtId="2" fontId="145" fillId="0" borderId="0" xfId="0" applyNumberFormat="1" applyFont="1"/>
    <xf numFmtId="0" fontId="145" fillId="0" borderId="0" xfId="0" applyFont="1"/>
    <xf numFmtId="0" fontId="145" fillId="0" borderId="0" xfId="0" applyNumberFormat="1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40"/>
      <tableStyleElement type="headerRow" dxfId="39"/>
      <tableStyleElement type="firstColumn" dxfId="38"/>
      <tableStyleElement type="firstColumnStripe" size="2" dxfId="37"/>
      <tableStyleElement type="secondColumnStripe" size="2" dxfId="36"/>
      <tableStyleElement type="firstSubtotalColumn" dxfId="35"/>
      <tableStyleElement type="firstRowSubheading" dxfId="34"/>
      <tableStyleElement type="secondRowSubheading" dxfId="33"/>
      <tableStyleElement type="thirdRowSubheading" dxfId="32"/>
      <tableStyleElement type="pageFieldValues" dxfId="31"/>
    </tableStyle>
    <tableStyle name="Cell Pivot Table 2" table="0" count="6">
      <tableStyleElement type="headerRow" dxfId="30"/>
      <tableStyleElement type="firstRowStripe" dxfId="29"/>
      <tableStyleElement type="firstColumnStripe" dxfId="28"/>
      <tableStyleElement type="firstSubtotalRow" dxfId="27"/>
      <tableStyleElement type="firstRowSubheading" dxfId="26"/>
      <tableStyleElement type="secondRowSubheading" dxfId="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Agency_5" backgroundRefresh="0" adjustColumnWidth="0" connectionId="1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4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2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5.xml><?xml version="1.0" encoding="utf-8"?>
<queryTable xmlns="http://schemas.openxmlformats.org/spreadsheetml/2006/main" name="temp" connectionId="8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OneWeekMtgRatesDataTable7" displayName="OneWeekMtgRatesDataTable7" ref="A1:D1634" tableType="queryTable" totalsRowShown="0" headerRowDxfId="24" dataDxfId="23">
  <tableColumns count="4">
    <tableColumn id="6" uniqueName="6" name="AsOfDate" queryTableFieldId="61" dataDxfId="22" dataCellStyle="Normal 2 7"/>
    <tableColumn id="7" uniqueName="7" name="SeriesNumValue" queryTableFieldId="62" dataDxfId="21" dataCellStyle="Normal 2 7"/>
    <tableColumn id="1" uniqueName="1" name="dy" queryTableFieldId="63" dataDxfId="20" dataCellStyle="Normal 2 7">
      <calculatedColumnFormula>B2-B3</calculatedColumnFormula>
    </tableColumn>
    <tableColumn id="2" uniqueName="2" name="vol1" queryTableFieldId="64" dataDxfId="19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H3:J266" tableType="queryTable" totalsRowShown="0" headerRowDxfId="18" dataDxfId="17">
  <tableColumns count="3">
    <tableColumn id="2" uniqueName="2" name="asOf" queryTableFieldId="57" dataDxfId="16"/>
    <tableColumn id="3" uniqueName="3" name="MonthEnd" queryTableFieldId="61" dataDxfId="15">
      <calculatedColumnFormula>IF(WEEKDAY(DATE(YEAR(H4),MONTH(H4)+1,0),2)=6,DATE(YEAR(H4),MONTH(H4)+1,0)-1,IF(WEEKDAY(DATE(YEAR(H4),MONTH(H4)+1,0),2)=7,DATE(YEAR(H4),MONTH(H4)+1,0)-2,DATE(YEAR(H4),MONTH(H4)+1,0)))</calculatedColumnFormula>
    </tableColumn>
    <tableColumn id="1" uniqueName="1" name="AVGWAC" queryTableFieldId="60" dataDxfId="1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L3:P3789" tableType="queryTable" totalsRowShown="0" headerRowDxfId="13" dataDxfId="12">
  <tableColumns count="5">
    <tableColumn id="1" uniqueName="1" name="asOf" queryTableFieldId="66" dataDxfId="11"/>
    <tableColumn id="5" uniqueName="5" name="Column1" queryTableFieldId="70" dataDxfId="10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9"/>
    <tableColumn id="3" uniqueName="3" name="Points" queryTableFieldId="68" dataDxfId="8"/>
    <tableColumn id="4" uniqueName="4" name="Rate" queryTableFieldId="69" dataDxfId="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5" name="OneWeekMtgRatesDataTable756" displayName="OneWeekMtgRatesDataTable756" ref="B2:F1718" tableType="queryTable" totalsRowShown="0" headerRowDxfId="6" dataDxfId="5">
  <tableColumns count="5">
    <tableColumn id="6" uniqueName="6" name="TickerName" queryTableFieldId="71" dataDxfId="4"/>
    <tableColumn id="7" uniqueName="7" name="asofdate" queryTableFieldId="72" dataDxfId="3"/>
    <tableColumn id="10" uniqueName="10" name="Column1" queryTableFieldId="75" dataDxfId="2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1"/>
    <tableColumn id="9" uniqueName="9" name="SeriesNumValue" queryTableFieldId="7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O60"/>
  <sheetViews>
    <sheetView tabSelected="1" workbookViewId="0">
      <selection activeCell="AG11" sqref="AG11"/>
    </sheetView>
  </sheetViews>
  <sheetFormatPr defaultRowHeight="15"/>
  <cols>
    <col min="2" max="2" width="9.7109375" bestFit="1" customWidth="1"/>
    <col min="12" max="12" width="9.140625" customWidth="1"/>
    <col min="14" max="14" width="9.140625" style="24"/>
  </cols>
  <sheetData>
    <row r="3" spans="2:15">
      <c r="B3" s="68" t="s">
        <v>0</v>
      </c>
      <c r="C3" s="69"/>
      <c r="D3" s="69"/>
      <c r="E3" s="70"/>
    </row>
    <row r="4" spans="2:15" ht="60">
      <c r="B4" s="13" t="s">
        <v>1</v>
      </c>
      <c r="C4" s="16" t="s">
        <v>15</v>
      </c>
      <c r="D4" s="13" t="s">
        <v>2</v>
      </c>
      <c r="E4" s="13" t="s">
        <v>3</v>
      </c>
      <c r="F4" s="13" t="s">
        <v>17</v>
      </c>
      <c r="G4" s="13" t="s">
        <v>18</v>
      </c>
      <c r="H4" s="13" t="s">
        <v>19</v>
      </c>
      <c r="I4" s="13" t="s">
        <v>16</v>
      </c>
      <c r="J4" s="13" t="s">
        <v>20</v>
      </c>
      <c r="K4" s="13" t="s">
        <v>1546</v>
      </c>
      <c r="L4" s="13" t="s">
        <v>1547</v>
      </c>
      <c r="M4" s="13" t="s">
        <v>1550</v>
      </c>
      <c r="N4" s="13" t="s">
        <v>3801</v>
      </c>
      <c r="O4" s="13" t="s">
        <v>3802</v>
      </c>
    </row>
    <row r="5" spans="2:15">
      <c r="B5" s="14">
        <v>40633</v>
      </c>
      <c r="C5" s="58">
        <f>'Return&amp;Carry'!C3*100</f>
        <v>3.2147753175075939</v>
      </c>
      <c r="D5" s="15">
        <v>12.454245092935345</v>
      </c>
      <c r="E5" s="58">
        <f>'Return&amp;Carry'!D3*100</f>
        <v>1.0991113530483745</v>
      </c>
      <c r="F5" s="20">
        <f>VLOOKUP(TEXT(B5,"yyyy-mm-dd"),OneWeekMtgRatesDataTable7[],4,0)*SQRT(225)*100</f>
        <v>74.358831882797247</v>
      </c>
      <c r="G5" s="17">
        <f>VLOOKUP(B5,'Yield Curve'!B5:G52,6,0)*100</f>
        <v>266.40000000000003</v>
      </c>
      <c r="H5" s="17">
        <f>VLOOKUP(B5,'ppm risk premium'!$C$3:$F$51,4,0)*100</f>
        <v>74.369809247865959</v>
      </c>
      <c r="I5" s="17">
        <v>5.4040030648877693</v>
      </c>
      <c r="J5" s="17">
        <f>VLOOKUP(B5,'LIBOR 1m'!D:F,3,0)</f>
        <v>0.24345</v>
      </c>
      <c r="K5" s="17">
        <f>VLOOKUP(B5,'Refi%'!L:N,2,0)</f>
        <v>0.593225708201635</v>
      </c>
      <c r="L5" s="17">
        <f>VLOOKUP(B5,'Refi%'!L:N,3,0)</f>
        <v>0.42282958858632702</v>
      </c>
      <c r="M5" s="17">
        <f ca="1">VLOOKUP(B5,'Refi%'!L:P,4,0)</f>
        <v>2194.4</v>
      </c>
      <c r="N5" s="17">
        <f>VLOOKUP(B5,'Realized Vol'!H:J,2,0)</f>
        <v>4.26321220258097</v>
      </c>
      <c r="O5" s="17">
        <f>VLOOKUP(B5,'Realized Vol'!H:J,3,0)</f>
        <v>3.2379962181749988</v>
      </c>
    </row>
    <row r="6" spans="2:15">
      <c r="B6" s="14">
        <v>40662</v>
      </c>
      <c r="C6" s="58">
        <f>'Return&amp;Carry'!C4*100</f>
        <v>3.9945300504856651</v>
      </c>
      <c r="D6" s="15">
        <v>-13.523941730477457</v>
      </c>
      <c r="E6" s="58">
        <f>'Return&amp;Carry'!D4*100</f>
        <v>1.0984369457682011</v>
      </c>
      <c r="F6" s="20">
        <f>VLOOKUP(TEXT(B6,"yyyy-mm-dd"),OneWeekMtgRatesDataTable7[],4,0)*SQRT(225)*100</f>
        <v>60.151041929580515</v>
      </c>
      <c r="G6" s="17">
        <f>VLOOKUP(B6,'Yield Curve'!B6:G53,6,0)*100</f>
        <v>268.7</v>
      </c>
      <c r="H6" s="17">
        <f>VLOOKUP(B6,'ppm risk premium'!$C$3:$F$51,4,0)*100</f>
        <v>89.192469707674064</v>
      </c>
      <c r="I6" s="17">
        <v>5.4712822921760953</v>
      </c>
      <c r="J6" s="17">
        <f>VLOOKUP(B6,'LIBOR 1m'!D:F,3,0)</f>
        <v>0.21024999999999999</v>
      </c>
      <c r="K6" s="17">
        <f>VLOOKUP(B6,'Refi%'!L:N,2,0)</f>
        <v>0.59445921362542997</v>
      </c>
      <c r="L6" s="17">
        <f>VLOOKUP(B6,'Refi%'!L:N,3,0)</f>
        <v>0.44565511936132601</v>
      </c>
      <c r="M6" s="17">
        <f ca="1">VLOOKUP(B6,'Refi%'!L:P,4,0)</f>
        <v>2220.1</v>
      </c>
      <c r="N6" s="17">
        <f>VLOOKUP(B6,'Realized Vol'!H:J,2,0)</f>
        <v>4.0911415079480502</v>
      </c>
      <c r="O6" s="17">
        <f>VLOOKUP(B6,'Realized Vol'!H:J,3,0)</f>
        <v>-17.20706946329198</v>
      </c>
    </row>
    <row r="7" spans="2:15">
      <c r="B7" s="14">
        <v>40694</v>
      </c>
      <c r="C7" s="58">
        <f>'Return&amp;Carry'!C5*100</f>
        <v>3.6836948680963522</v>
      </c>
      <c r="D7" s="15">
        <v>-39.195910729297935</v>
      </c>
      <c r="E7" s="58">
        <f>'Return&amp;Carry'!D5*100</f>
        <v>1.2359978510225116</v>
      </c>
      <c r="F7" s="20">
        <f>VLOOKUP(TEXT(B7,"yyyy-mm-dd"),OneWeekMtgRatesDataTable7[],4,0)*SQRT(225)*100</f>
        <v>48.820059111137653</v>
      </c>
      <c r="G7" s="17">
        <f>VLOOKUP(B7,'Yield Curve'!B7:G54,6,0)*100</f>
        <v>258.5</v>
      </c>
      <c r="H7" s="17">
        <f>VLOOKUP(B7,'ppm risk premium'!$C$3:$F$51,4,0)*100</f>
        <v>106.68959579912816</v>
      </c>
      <c r="I7" s="17">
        <v>5.4954374413528742</v>
      </c>
      <c r="J7" s="17">
        <f>VLOOKUP(B7,'LIBOR 1m'!D:F,3,0)</f>
        <v>0.19042999999999999</v>
      </c>
      <c r="K7" s="17">
        <f>VLOOKUP(B7,'Refi%'!L:N,2,0)</f>
        <v>0.61599363608099678</v>
      </c>
      <c r="L7" s="17">
        <f>VLOOKUP(B7,'Refi%'!L:N,3,0)</f>
        <v>0.50568534347274297</v>
      </c>
      <c r="M7" s="17">
        <f ca="1">VLOOKUP(B7,'Refi%'!L:P,4,0)</f>
        <v>2619.6999999999998</v>
      </c>
      <c r="N7" s="17">
        <f>VLOOKUP(B7,'Realized Vol'!H:J,2,0)</f>
        <v>3.93235427092598</v>
      </c>
      <c r="O7" s="17">
        <f>VLOOKUP(B7,'Realized Vol'!H:J,3,0)</f>
        <v>-15.87872370220702</v>
      </c>
    </row>
    <row r="8" spans="2:15">
      <c r="B8" s="14">
        <v>40724</v>
      </c>
      <c r="C8" s="58">
        <f>'Return&amp;Carry'!C6*100</f>
        <v>-0.89725230837073866</v>
      </c>
      <c r="D8" s="15">
        <v>-71.812762532091284</v>
      </c>
      <c r="E8" s="58">
        <f>'Return&amp;Carry'!D6*100</f>
        <v>1.1611305017469562</v>
      </c>
      <c r="F8" s="20">
        <f>VLOOKUP(TEXT(B8,"yyyy-mm-dd"),OneWeekMtgRatesDataTable7[],4,0)*SQRT(225)*100</f>
        <v>51.642384254590226</v>
      </c>
      <c r="G8" s="17">
        <f>VLOOKUP(B8,'Yield Curve'!B8:G55,6,0)*100</f>
        <v>270</v>
      </c>
      <c r="H8" s="17">
        <f>VLOOKUP(B8,'ppm risk premium'!$C$3:$F$51,4,0)*100</f>
        <v>98.145252215578083</v>
      </c>
      <c r="I8" s="17">
        <v>5.5415672382992183</v>
      </c>
      <c r="J8" s="17">
        <f>VLOOKUP(B8,'LIBOR 1m'!D:F,3,0)</f>
        <v>0.18554999999999999</v>
      </c>
      <c r="K8" s="17">
        <f>VLOOKUP(B8,'Refi%'!L:N,2,0)</f>
        <v>0.69050447134038251</v>
      </c>
      <c r="L8" s="17">
        <f>VLOOKUP(B8,'Refi%'!L:N,3,0)</f>
        <v>0.55445082777023702</v>
      </c>
      <c r="M8" s="17">
        <f ca="1">VLOOKUP(B8,'Refi%'!L:P,4,0)</f>
        <v>2527.5</v>
      </c>
      <c r="N8" s="17">
        <f>VLOOKUP(B8,'Realized Vol'!H:J,2,0)</f>
        <v>4.0210177977435997</v>
      </c>
      <c r="O8" s="17">
        <f>VLOOKUP(B8,'Realized Vol'!H:J,3,0)</f>
        <v>8.8663526817619687</v>
      </c>
    </row>
    <row r="9" spans="2:15">
      <c r="B9" s="14">
        <v>40753</v>
      </c>
      <c r="C9" s="58">
        <f>'Return&amp;Carry'!C7*100</f>
        <v>-0.70542451766380854</v>
      </c>
      <c r="D9" s="15">
        <v>14.555567089358632</v>
      </c>
      <c r="E9" s="58">
        <f>'Return&amp;Carry'!D7*100</f>
        <v>0.94859999077979362</v>
      </c>
      <c r="F9" s="20">
        <f>VLOOKUP(TEXT(B9,"yyyy-mm-dd"),OneWeekMtgRatesDataTable7[],4,0)*SQRT(225)*100</f>
        <v>60.008169089606966</v>
      </c>
      <c r="G9" s="17">
        <f>VLOOKUP(B9,'Yield Curve'!B9:G56,6,0)*100</f>
        <v>243.9</v>
      </c>
      <c r="H9" s="17">
        <f>VLOOKUP(B9,'ppm risk premium'!$C$3:$F$51,4,0)*100</f>
        <v>115.6604680611462</v>
      </c>
      <c r="I9" s="17">
        <v>5.2080148934442247</v>
      </c>
      <c r="J9" s="17">
        <f>VLOOKUP(B9,'LIBOR 1m'!D:F,3,0)</f>
        <v>0.19109999999999999</v>
      </c>
      <c r="K9" s="17">
        <f>VLOOKUP(B9,'Refi%'!L:N,2,0)</f>
        <v>0.61660059317974736</v>
      </c>
      <c r="L9" s="17">
        <f>VLOOKUP(B9,'Refi%'!L:N,3,0)</f>
        <v>0.52333294764067595</v>
      </c>
      <c r="M9" s="17">
        <f ca="1">VLOOKUP(B9,'Refi%'!L:P,4,0)</f>
        <v>2974.1</v>
      </c>
      <c r="N9" s="17">
        <f>VLOOKUP(B9,'Realized Vol'!H:J,2,0)</f>
        <v>3.8088238659156599</v>
      </c>
      <c r="O9" s="17">
        <f>VLOOKUP(B9,'Realized Vol'!H:J,3,0)</f>
        <v>-21.219393182793979</v>
      </c>
    </row>
    <row r="10" spans="2:15">
      <c r="B10" s="14">
        <v>40786</v>
      </c>
      <c r="C10" s="58">
        <f>'Return&amp;Carry'!C8*100</f>
        <v>-12.940148616743233</v>
      </c>
      <c r="D10" s="15">
        <v>413.1307634556174</v>
      </c>
      <c r="E10" s="58">
        <f>'Return&amp;Carry'!D8*100</f>
        <v>0.98897455980434257</v>
      </c>
      <c r="F10" s="20">
        <f>VLOOKUP(TEXT(B10,"yyyy-mm-dd"),OneWeekMtgRatesDataTable7[],4,0)*SQRT(225)*100</f>
        <v>99.218155472222577</v>
      </c>
      <c r="G10" s="17">
        <f>VLOOKUP(B10,'Yield Curve'!B10:G57,6,0)*100</f>
        <v>202.2</v>
      </c>
      <c r="H10" s="17">
        <f>VLOOKUP(B10,'ppm risk premium'!$C$3:$F$51,4,0)*100</f>
        <v>134.03483193438427</v>
      </c>
      <c r="I10" s="17">
        <v>4.1199717618441696</v>
      </c>
      <c r="J10" s="17">
        <f>VLOOKUP(B10,'LIBOR 1m'!D:F,3,0)</f>
        <v>0.2215</v>
      </c>
      <c r="K10" s="17">
        <f>VLOOKUP(B10,'Refi%'!L:N,2,0)</f>
        <v>0.84714025108084823</v>
      </c>
      <c r="L10" s="17">
        <f>VLOOKUP(B10,'Refi%'!L:N,3,0)</f>
        <v>0.73013076231760698</v>
      </c>
      <c r="M10" s="17">
        <f ca="1">VLOOKUP(B10,'Refi%'!L:P,4,0)</f>
        <v>3601.3</v>
      </c>
      <c r="N10" s="17">
        <f>VLOOKUP(B10,'Realized Vol'!H:J,2,0)</f>
        <v>3.4273948025536498</v>
      </c>
      <c r="O10" s="17">
        <f>VLOOKUP(B10,'Realized Vol'!H:J,3,0)</f>
        <v>-38.142906336201008</v>
      </c>
    </row>
    <row r="11" spans="2:15">
      <c r="B11" s="14">
        <v>40816</v>
      </c>
      <c r="C11" s="58">
        <f>'Return&amp;Carry'!C9*100</f>
        <v>-10.646399375777179</v>
      </c>
      <c r="D11" s="15">
        <v>707.36595401615773</v>
      </c>
      <c r="E11" s="58">
        <f>'Return&amp;Carry'!D9*100</f>
        <v>1.4023413556404363</v>
      </c>
      <c r="F11" s="20">
        <f>VLOOKUP(TEXT(B11,"yyyy-mm-dd"),OneWeekMtgRatesDataTable7[],4,0)*SQRT(225)*100</f>
        <v>121.17161432290366</v>
      </c>
      <c r="G11" s="17">
        <f>VLOOKUP(B11,'Yield Curve'!B11:G58,6,0)*100</f>
        <v>167.3</v>
      </c>
      <c r="H11" s="17">
        <f>VLOOKUP(B11,'ppm risk premium'!$C$3:$F$51,4,0)*100</f>
        <v>158.05693261233552</v>
      </c>
      <c r="I11" s="17">
        <v>3.3173716098718331</v>
      </c>
      <c r="J11" s="17">
        <f>VLOOKUP(B11,'LIBOR 1m'!D:F,3,0)</f>
        <v>0.23943999999999999</v>
      </c>
      <c r="K11" s="17">
        <f>VLOOKUP(B11,'Refi%'!L:N,2,0)</f>
        <v>0.94644262124543443</v>
      </c>
      <c r="L11" s="17">
        <f>VLOOKUP(B11,'Refi%'!L:N,3,0)</f>
        <v>0.83535228019697605</v>
      </c>
      <c r="M11" s="17">
        <f ca="1">VLOOKUP(B11,'Refi%'!L:P,4,0)</f>
        <v>4241.8</v>
      </c>
      <c r="N11" s="17">
        <f>VLOOKUP(B11,'Realized Vol'!H:J,2,0)</f>
        <v>3.0385261527896099</v>
      </c>
      <c r="O11" s="17">
        <f>VLOOKUP(B11,'Realized Vol'!H:J,3,0)</f>
        <v>-38.886864976403992</v>
      </c>
    </row>
    <row r="12" spans="2:15">
      <c r="B12" s="14">
        <v>40847</v>
      </c>
      <c r="C12" s="58">
        <f>'Return&amp;Carry'!C10*100</f>
        <v>2.3593584560071421</v>
      </c>
      <c r="D12" s="15">
        <v>688.11426559475387</v>
      </c>
      <c r="E12" s="58">
        <f>'Return&amp;Carry'!D10*100</f>
        <v>1.2905991827933825</v>
      </c>
      <c r="F12" s="20">
        <f>VLOOKUP(TEXT(B12,"yyyy-mm-dd"),OneWeekMtgRatesDataTable7[],4,0)*SQRT(225)*100</f>
        <v>126.48880223316846</v>
      </c>
      <c r="G12" s="17">
        <f>VLOOKUP(B12,'Yield Curve'!B12:G59,6,0)*100</f>
        <v>190.79999999999998</v>
      </c>
      <c r="H12" s="17">
        <f>VLOOKUP(B12,'ppm risk premium'!$C$3:$F$51,4,0)*100</f>
        <v>153.14253789048874</v>
      </c>
      <c r="I12" s="17">
        <v>3.4720778473195062</v>
      </c>
      <c r="J12" s="17">
        <f>VLOOKUP(B12,'LIBOR 1m'!D:F,3,0)</f>
        <v>0.24528</v>
      </c>
      <c r="K12" s="17">
        <f>VLOOKUP(B12,'Refi%'!L:N,2,0)</f>
        <v>0.86512672485653175</v>
      </c>
      <c r="L12" s="17">
        <f>VLOOKUP(B12,'Refi%'!L:N,3,0)</f>
        <v>0.77033919514702098</v>
      </c>
      <c r="M12" s="17">
        <f ca="1">VLOOKUP(B12,'Refi%'!L:P,4,0)</f>
        <v>3695</v>
      </c>
      <c r="N12" s="17">
        <f>VLOOKUP(B12,'Realized Vol'!H:J,2,0)</f>
        <v>3.2515769978966</v>
      </c>
      <c r="O12" s="17">
        <f>VLOOKUP(B12,'Realized Vol'!H:J,3,0)</f>
        <v>21.305084510699011</v>
      </c>
    </row>
    <row r="13" spans="2:15">
      <c r="B13" s="14">
        <v>40877</v>
      </c>
      <c r="C13" s="58">
        <f>'Return&amp;Carry'!C11*100</f>
        <v>1.4407938862063665</v>
      </c>
      <c r="D13" s="15">
        <v>623.10168528876363</v>
      </c>
      <c r="E13" s="58">
        <f>'Return&amp;Carry'!D11*100</f>
        <v>0.70135917459659247</v>
      </c>
      <c r="F13" s="20">
        <f>VLOOKUP(TEXT(B13,"yyyy-mm-dd"),OneWeekMtgRatesDataTable7[],4,0)*SQRT(225)*100</f>
        <v>107.84839079435224</v>
      </c>
      <c r="G13" s="17">
        <f>VLOOKUP(B13,'Yield Curve'!B13:G60,6,0)*100</f>
        <v>180.9</v>
      </c>
      <c r="H13" s="17">
        <f>VLOOKUP(B13,'ppm risk premium'!$C$3:$F$51,4,0)*100</f>
        <v>151.14668645164951</v>
      </c>
      <c r="I13" s="17">
        <v>3.4446942866817243</v>
      </c>
      <c r="J13" s="17">
        <f>VLOOKUP(B13,'LIBOR 1m'!D:F,3,0)</f>
        <v>0.27144000000000001</v>
      </c>
      <c r="K13" s="17">
        <f>VLOOKUP(B13,'Refi%'!L:N,2,0)</f>
        <v>0.94997170807452469</v>
      </c>
      <c r="L13" s="17">
        <f>VLOOKUP(B13,'Refi%'!L:N,3,0)</f>
        <v>0.80850149462655696</v>
      </c>
      <c r="M13" s="17">
        <f ca="1">VLOOKUP(B13,'Refi%'!L:P,4,0)</f>
        <v>2941.3</v>
      </c>
      <c r="N13" s="17">
        <f>VLOOKUP(B13,'Realized Vol'!H:J,2,0)</f>
        <v>3.1770193190764999</v>
      </c>
      <c r="O13" s="17">
        <f>VLOOKUP(B13,'Realized Vol'!H:J,3,0)</f>
        <v>-7.4557678820100115</v>
      </c>
    </row>
    <row r="14" spans="2:15">
      <c r="B14" s="14">
        <v>40907</v>
      </c>
      <c r="C14" s="58">
        <f>'Return&amp;Carry'!C12*100</f>
        <v>0.58326880120871183</v>
      </c>
      <c r="D14" s="15">
        <v>610.59817697721678</v>
      </c>
      <c r="E14" s="58">
        <f>'Return&amp;Carry'!D12*100</f>
        <v>0.39545840537859589</v>
      </c>
      <c r="F14" s="20">
        <f>VLOOKUP(TEXT(B14,"yyyy-mm-dd"),OneWeekMtgRatesDataTable7[],4,0)*SQRT(225)*100</f>
        <v>84.157329778157802</v>
      </c>
      <c r="G14" s="17">
        <f>VLOOKUP(B14,'Yield Curve'!B14:G61,6,0)*100</f>
        <v>162.9</v>
      </c>
      <c r="H14" s="17">
        <f>VLOOKUP(B14,'ppm risk premium'!$C$3:$F$51,4,0)*100</f>
        <v>154.70810969259156</v>
      </c>
      <c r="I14" s="17">
        <v>3.3659589104974583</v>
      </c>
      <c r="J14" s="17">
        <f>VLOOKUP(B14,'LIBOR 1m'!D:F,3,0)</f>
        <v>0.29530000000000001</v>
      </c>
      <c r="K14" s="17">
        <f>VLOOKUP(B14,'Refi%'!L:N,2,0)</f>
        <v>0.94762260030460288</v>
      </c>
      <c r="L14" s="17">
        <f>VLOOKUP(B14,'Refi%'!L:N,3,0)</f>
        <v>0.81734633197465201</v>
      </c>
      <c r="M14" s="17">
        <f ca="1">VLOOKUP(B14,'Refi%'!L:P,4,0)</f>
        <v>3608.1</v>
      </c>
      <c r="N14" s="17">
        <f>VLOOKUP(B14,'Realized Vol'!H:J,2,0)</f>
        <v>3.0169008574553802</v>
      </c>
      <c r="O14" s="17">
        <f>VLOOKUP(B14,'Realized Vol'!H:J,3,0)</f>
        <v>-16.011846162111976</v>
      </c>
    </row>
    <row r="15" spans="2:15">
      <c r="B15" s="14">
        <v>40939</v>
      </c>
      <c r="C15" s="58">
        <f>'Return&amp;Carry'!C13*100</f>
        <v>-3.0247514562330222</v>
      </c>
      <c r="D15" s="15">
        <v>465.33199143048387</v>
      </c>
      <c r="E15" s="58">
        <f>'Return&amp;Carry'!D13*100</f>
        <v>0.93155584712633765</v>
      </c>
      <c r="F15" s="20">
        <f>VLOOKUP(TEXT(B15,"yyyy-mm-dd"),OneWeekMtgRatesDataTable7[],4,0)*SQRT(225)*100</f>
        <v>67.218530932369276</v>
      </c>
      <c r="G15" s="17">
        <f>VLOOKUP(B15,'Yield Curve'!B15:G62,6,0)*100</f>
        <v>158.39999999999998</v>
      </c>
      <c r="H15" s="17">
        <f>VLOOKUP(B15,'ppm risk premium'!$C$3:$F$51,4,0)*100</f>
        <v>156.41264551661172</v>
      </c>
      <c r="I15" s="17">
        <v>3.0653812029775778</v>
      </c>
      <c r="J15" s="17">
        <f>VLOOKUP(B15,'LIBOR 1m'!D:F,3,0)</f>
        <v>0.26474999999999999</v>
      </c>
      <c r="K15" s="17">
        <f>VLOOKUP(B15,'Refi%'!L:N,2,0)</f>
        <v>0.91861521434498927</v>
      </c>
      <c r="L15" s="17">
        <f>VLOOKUP(B15,'Refi%'!L:N,3,0)</f>
        <v>0.78339393568549298</v>
      </c>
      <c r="M15" s="17">
        <f ca="1">VLOOKUP(B15,'Refi%'!L:P,4,0)</f>
        <v>4184.3</v>
      </c>
      <c r="N15" s="17">
        <f>VLOOKUP(B15,'Realized Vol'!H:J,2,0)</f>
        <v>2.7762952709571298</v>
      </c>
      <c r="O15" s="17">
        <f>VLOOKUP(B15,'Realized Vol'!H:J,3,0)</f>
        <v>-24.060558649825037</v>
      </c>
    </row>
    <row r="16" spans="2:15">
      <c r="B16" s="14">
        <v>40968</v>
      </c>
      <c r="C16" s="58">
        <f>'Return&amp;Carry'!C14*100</f>
        <v>11.557043677865355</v>
      </c>
      <c r="D16" s="15">
        <v>220.00245023070019</v>
      </c>
      <c r="E16" s="58">
        <f>'Return&amp;Carry'!D14*100</f>
        <v>1.7106233225619445</v>
      </c>
      <c r="F16" s="20">
        <f>VLOOKUP(TEXT(B16,"yyyy-mm-dd"),OneWeekMtgRatesDataTable7[],4,0)*SQRT(225)*100</f>
        <v>70.470812963070983</v>
      </c>
      <c r="G16" s="17">
        <f>VLOOKUP(B16,'Yield Curve'!B16:G63,6,0)*100</f>
        <v>167.8</v>
      </c>
      <c r="H16" s="17">
        <f>VLOOKUP(B16,'ppm risk premium'!$C$3:$F$51,4,0)*100</f>
        <v>150.94348559219068</v>
      </c>
      <c r="I16" s="17">
        <v>3.4491554374648876</v>
      </c>
      <c r="J16" s="17">
        <f>VLOOKUP(B16,'LIBOR 1m'!D:F,3,0)</f>
        <v>0.24349999999999999</v>
      </c>
      <c r="K16" s="17">
        <f>VLOOKUP(B16,'Refi%'!L:N,2,0)</f>
        <v>0.90921329115869776</v>
      </c>
      <c r="L16" s="17">
        <f>VLOOKUP(B16,'Refi%'!L:N,3,0)</f>
        <v>0.76669716579457303</v>
      </c>
      <c r="M16" s="17">
        <f ca="1">VLOOKUP(B16,'Refi%'!L:P,4,0)</f>
        <v>4379.1000000000004</v>
      </c>
      <c r="N16" s="17">
        <f>VLOOKUP(B16,'Realized Vol'!H:J,2,0)</f>
        <v>2.8817315463419</v>
      </c>
      <c r="O16" s="17">
        <f>VLOOKUP(B16,'Realized Vol'!H:J,3,0)</f>
        <v>10.543627538477018</v>
      </c>
    </row>
    <row r="17" spans="2:15">
      <c r="B17" s="14">
        <v>40998</v>
      </c>
      <c r="C17" s="58">
        <f>'Return&amp;Carry'!C15*100</f>
        <v>7.1400249822738751</v>
      </c>
      <c r="D17" s="15">
        <v>105.2548909642519</v>
      </c>
      <c r="E17" s="58">
        <f>'Return&amp;Carry'!D15*100</f>
        <v>1.0372252911672173</v>
      </c>
      <c r="F17" s="20">
        <f>VLOOKUP(TEXT(B17,"yyyy-mm-dd"),OneWeekMtgRatesDataTable7[],4,0)*SQRT(225)*100</f>
        <v>75.771275275546074</v>
      </c>
      <c r="G17" s="17">
        <f>VLOOKUP(B17,'Yield Curve'!B17:G64,6,0)*100</f>
        <v>187.60000000000002</v>
      </c>
      <c r="H17" s="17">
        <f>VLOOKUP(B17,'ppm risk premium'!$C$3:$F$51,4,0)*100</f>
        <v>141.29671663260334</v>
      </c>
      <c r="I17" s="17">
        <v>4.0219850657200737</v>
      </c>
      <c r="J17" s="17">
        <f>VLOOKUP(B17,'LIBOR 1m'!D:F,3,0)</f>
        <v>0.24124999999999999</v>
      </c>
      <c r="K17" s="17">
        <f>VLOOKUP(B17,'Refi%'!L:N,2,0)</f>
        <v>0.87490910290764468</v>
      </c>
      <c r="L17" s="17">
        <f>VLOOKUP(B17,'Refi%'!L:N,3,0)</f>
        <v>0.749723434167341</v>
      </c>
      <c r="M17" s="17">
        <f ca="1">VLOOKUP(B17,'Refi%'!L:P,4,0)</f>
        <v>3699.5</v>
      </c>
      <c r="N17" s="17">
        <f>VLOOKUP(B17,'Realized Vol'!H:J,2,0)</f>
        <v>3.0669215754139501</v>
      </c>
      <c r="O17" s="17">
        <f>VLOOKUP(B17,'Realized Vol'!H:J,3,0)</f>
        <v>18.519002907205007</v>
      </c>
    </row>
    <row r="18" spans="2:15">
      <c r="B18" s="14">
        <v>41029</v>
      </c>
      <c r="C18" s="58">
        <f>'Return&amp;Carry'!C16*100</f>
        <v>-2.0065317048366831</v>
      </c>
      <c r="D18" s="15">
        <v>167.57420337750975</v>
      </c>
      <c r="E18" s="58">
        <f>'Return&amp;Carry'!D16*100</f>
        <v>0.24221036505354493</v>
      </c>
      <c r="F18" s="20">
        <f>VLOOKUP(TEXT(B18,"yyyy-mm-dd"),OneWeekMtgRatesDataTable7[],4,0)*SQRT(225)*100</f>
        <v>76.62744460326428</v>
      </c>
      <c r="G18" s="17">
        <f>VLOOKUP(B18,'Yield Curve'!B18:G65,6,0)*100</f>
        <v>165.5</v>
      </c>
      <c r="H18" s="17">
        <f>VLOOKUP(B18,'ppm risk premium'!$C$3:$F$51,4,0)*100</f>
        <v>150.53192445801881</v>
      </c>
      <c r="I18" s="17">
        <v>3.7693448806995429</v>
      </c>
      <c r="J18" s="17">
        <f>VLOOKUP(B18,'LIBOR 1m'!D:F,3,0)</f>
        <v>0.23874999999999999</v>
      </c>
      <c r="K18" s="17">
        <f>VLOOKUP(B18,'Refi%'!L:N,2,0)</f>
        <v>0.90849340717481886</v>
      </c>
      <c r="L18" s="17">
        <f>VLOOKUP(B18,'Refi%'!L:N,3,0)</f>
        <v>0.80193881910043296</v>
      </c>
      <c r="M18" s="17">
        <f ca="1">VLOOKUP(B18,'Refi%'!L:P,4,0)</f>
        <v>3856</v>
      </c>
      <c r="N18" s="17">
        <f>VLOOKUP(B18,'Realized Vol'!H:J,2,0)</f>
        <v>2.8585941716778001</v>
      </c>
      <c r="O18" s="17">
        <f>VLOOKUP(B18,'Realized Vol'!H:J,3,0)</f>
        <v>-20.832740373615</v>
      </c>
    </row>
    <row r="19" spans="2:15">
      <c r="B19" s="14">
        <v>41060</v>
      </c>
      <c r="C19" s="58">
        <f>'Return&amp;Carry'!C17*100</f>
        <v>-7.1845658545824849</v>
      </c>
      <c r="D19" s="15">
        <v>286.25597142369679</v>
      </c>
      <c r="E19" s="58">
        <f>'Return&amp;Carry'!D17*100</f>
        <v>0.83669300797166035</v>
      </c>
      <c r="F19" s="20">
        <f>VLOOKUP(TEXT(B19,"yyyy-mm-dd"),OneWeekMtgRatesDataTable7[],4,0)*SQRT(225)*100</f>
        <v>73.16928504765356</v>
      </c>
      <c r="G19" s="17">
        <f>VLOOKUP(B19,'Yield Curve'!B19:G66,6,0)*100</f>
        <v>131.6</v>
      </c>
      <c r="H19" s="17">
        <f>VLOOKUP(B19,'ppm risk premium'!$C$3:$F$51,4,0)*100</f>
        <v>166.79157013000071</v>
      </c>
      <c r="I19" s="17">
        <v>3.2895728813018721</v>
      </c>
      <c r="J19" s="17">
        <f>VLOOKUP(B19,'LIBOR 1m'!D:F,3,0)</f>
        <v>0.23874999999999999</v>
      </c>
      <c r="K19" s="17">
        <f>VLOOKUP(B19,'Refi%'!L:N,2,0)</f>
        <v>0.89512122084695944</v>
      </c>
      <c r="L19" s="17">
        <f>VLOOKUP(B19,'Refi%'!L:N,3,0)</f>
        <v>0.83268888035603505</v>
      </c>
      <c r="M19" s="17">
        <f ca="1">VLOOKUP(B19,'Refi%'!L:P,4,0)</f>
        <v>4736</v>
      </c>
      <c r="N19" s="17">
        <f>VLOOKUP(B19,'Realized Vol'!H:J,2,0)</f>
        <v>2.6463905286345102</v>
      </c>
      <c r="O19" s="17">
        <f>VLOOKUP(B19,'Realized Vol'!H:J,3,0)</f>
        <v>-21.220364304328989</v>
      </c>
    </row>
    <row r="20" spans="2:15">
      <c r="B20" s="14">
        <v>41089</v>
      </c>
      <c r="C20" s="58">
        <f>'Return&amp;Carry'!C18*100</f>
        <v>4.3888393396695449</v>
      </c>
      <c r="D20" s="15">
        <v>293.96700252585657</v>
      </c>
      <c r="E20" s="58">
        <f>'Return&amp;Carry'!D18*100</f>
        <v>1.4315087535371649</v>
      </c>
      <c r="F20" s="20">
        <f>VLOOKUP(TEXT(B20,"yyyy-mm-dd"),OneWeekMtgRatesDataTable7[],4,0)*SQRT(225)*100</f>
        <v>63.355130556356201</v>
      </c>
      <c r="G20" s="17">
        <f>VLOOKUP(B20,'Yield Curve'!B20:G67,6,0)*100</f>
        <v>134.60000000000002</v>
      </c>
      <c r="H20" s="17">
        <f>VLOOKUP(B20,'ppm risk premium'!$C$3:$F$51,4,0)*100</f>
        <v>166.43159846207772</v>
      </c>
      <c r="I20" s="17">
        <v>3.3792318994706405</v>
      </c>
      <c r="J20" s="17">
        <f>VLOOKUP(B20,'LIBOR 1m'!D:F,3,0)</f>
        <v>0.24575</v>
      </c>
      <c r="K20" s="17">
        <f>VLOOKUP(B20,'Refi%'!L:N,2,0)</f>
        <v>0.89407594990163874</v>
      </c>
      <c r="L20" s="17">
        <f>VLOOKUP(B20,'Refi%'!L:N,3,0)</f>
        <v>0.86306170802286497</v>
      </c>
      <c r="M20" s="17">
        <f ca="1">VLOOKUP(B20,'Refi%'!L:P,4,0)</f>
        <v>4372.2</v>
      </c>
      <c r="N20" s="17">
        <f>VLOOKUP(B20,'Realized Vol'!H:J,2,0)</f>
        <v>2.6237188553228199</v>
      </c>
      <c r="O20" s="17">
        <f>VLOOKUP(B20,'Realized Vol'!H:J,3,0)</f>
        <v>-2.2671673311690288</v>
      </c>
    </row>
    <row r="21" spans="2:15">
      <c r="B21" s="14">
        <v>41121</v>
      </c>
      <c r="C21" s="58">
        <f>'Return&amp;Carry'!C19*100</f>
        <v>6.2058842757472306</v>
      </c>
      <c r="D21" s="15">
        <v>171.71550081323352</v>
      </c>
      <c r="E21" s="58">
        <f>'Return&amp;Carry'!D19*100</f>
        <v>1.1971428116081351</v>
      </c>
      <c r="F21" s="20">
        <f>VLOOKUP(TEXT(B21,"yyyy-mm-dd"),OneWeekMtgRatesDataTable7[],4,0)*SQRT(225)*100</f>
        <v>78.601415012872124</v>
      </c>
      <c r="G21" s="17">
        <f>VLOOKUP(B21,'Yield Curve'!B21:G68,6,0)*100</f>
        <v>127.1</v>
      </c>
      <c r="H21" s="17">
        <f>VLOOKUP(B21,'ppm risk premium'!$C$3:$F$51,4,0)*100</f>
        <v>172.46687925293475</v>
      </c>
      <c r="I21" s="17">
        <v>3.3233893523865246</v>
      </c>
      <c r="J21" s="17">
        <f>VLOOKUP(B21,'LIBOR 1m'!D:F,3,0)</f>
        <v>0.2457</v>
      </c>
      <c r="K21" s="17">
        <f>VLOOKUP(B21,'Refi%'!L:N,2,0)</f>
        <v>0.98451993370244106</v>
      </c>
      <c r="L21" s="17">
        <f>VLOOKUP(B21,'Refi%'!L:N,3,0)</f>
        <v>0.89814744996460805</v>
      </c>
      <c r="M21" s="17">
        <f ca="1">VLOOKUP(B21,'Refi%'!L:P,4,0)</f>
        <v>5492.1</v>
      </c>
      <c r="N21" s="17">
        <f>VLOOKUP(B21,'Realized Vol'!H:J,2,0)</f>
        <v>2.3145960727619199</v>
      </c>
      <c r="O21" s="17">
        <f>VLOOKUP(B21,'Realized Vol'!H:J,3,0)</f>
        <v>-30.912278256089998</v>
      </c>
    </row>
    <row r="22" spans="2:15">
      <c r="B22" s="14">
        <v>41152</v>
      </c>
      <c r="C22" s="58">
        <f>'Return&amp;Carry'!C20*100</f>
        <v>6.0125210413104186</v>
      </c>
      <c r="D22" s="15">
        <v>79.354763942629233</v>
      </c>
      <c r="E22" s="58">
        <f>'Return&amp;Carry'!D20*100</f>
        <v>0.838377417320047</v>
      </c>
      <c r="F22" s="20">
        <f>VLOOKUP(TEXT(B22,"yyyy-mm-dd"),OneWeekMtgRatesDataTable7[],4,0)*SQRT(225)*100</f>
        <v>84.442873213559807</v>
      </c>
      <c r="G22" s="17">
        <f>VLOOKUP(B22,'Yield Curve'!B22:G69,6,0)*100</f>
        <v>133.80000000000001</v>
      </c>
      <c r="H22" s="17">
        <f>VLOOKUP(B22,'ppm risk premium'!$C$3:$F$51,4,0)*100</f>
        <v>168.53138017448092</v>
      </c>
      <c r="I22" s="17">
        <v>3.5430709306301758</v>
      </c>
      <c r="J22" s="17">
        <f>VLOOKUP(B22,'LIBOR 1m'!D:F,3,0)</f>
        <v>0.23050000000000001</v>
      </c>
      <c r="K22" s="17">
        <f>VLOOKUP(B22,'Refi%'!L:N,2,0)</f>
        <v>0.92408794393225557</v>
      </c>
      <c r="L22" s="17">
        <f>VLOOKUP(B22,'Refi%'!L:N,3,0)</f>
        <v>0.86745968477328095</v>
      </c>
      <c r="M22" s="17">
        <f ca="1">VLOOKUP(B22,'Refi%'!L:P,4,0)</f>
        <v>4274.8</v>
      </c>
      <c r="N22" s="17">
        <f>VLOOKUP(B22,'Realized Vol'!H:J,2,0)</f>
        <v>2.3689486742097801</v>
      </c>
      <c r="O22" s="17">
        <f>VLOOKUP(B22,'Realized Vol'!H:J,3,0)</f>
        <v>5.4352601447860138</v>
      </c>
    </row>
    <row r="23" spans="2:15">
      <c r="B23" s="14">
        <v>41180</v>
      </c>
      <c r="C23" s="58">
        <f>'Return&amp;Carry'!C21*100</f>
        <v>-3.983709824182522</v>
      </c>
      <c r="D23" s="15">
        <v>247.78680771652574</v>
      </c>
      <c r="E23" s="58">
        <f>'Return&amp;Carry'!D21*100</f>
        <v>-0.20653799591469671</v>
      </c>
      <c r="F23" s="20">
        <f>VLOOKUP(TEXT(B23,"yyyy-mm-dd"),OneWeekMtgRatesDataTable7[],4,0)*SQRT(225)*100</f>
        <v>94.746297024583441</v>
      </c>
      <c r="G23" s="17">
        <f>VLOOKUP(B23,'Yield Curve'!B23:G70,6,0)*100</f>
        <v>140.5</v>
      </c>
      <c r="H23" s="17">
        <f>VLOOKUP(B23,'ppm risk premium'!$C$3:$F$51,4,0)*100</f>
        <v>185.80011299138732</v>
      </c>
      <c r="I23" s="17">
        <v>3.0962675417986052</v>
      </c>
      <c r="J23" s="17">
        <f>VLOOKUP(B23,'LIBOR 1m'!D:F,3,0)</f>
        <v>0.21425</v>
      </c>
      <c r="K23" s="17">
        <f>VLOOKUP(B23,'Refi%'!L:N,2,0)</f>
        <v>0.96459917415866681</v>
      </c>
      <c r="L23" s="17">
        <f>VLOOKUP(B23,'Refi%'!L:N,3,0)</f>
        <v>0.91259028169208301</v>
      </c>
      <c r="M23" s="17">
        <f ca="1">VLOOKUP(B23,'Refi%'!L:P,4,0)</f>
        <v>5965.5</v>
      </c>
      <c r="N23" s="17">
        <f>VLOOKUP(B23,'Realized Vol'!H:J,2,0)</f>
        <v>2.0399140401394802</v>
      </c>
      <c r="O23" s="17">
        <f>VLOOKUP(B23,'Realized Vol'!H:J,3,0)</f>
        <v>-32.903463407029989</v>
      </c>
    </row>
    <row r="24" spans="2:15">
      <c r="B24" s="14">
        <v>41213</v>
      </c>
      <c r="C24" s="58">
        <f>'Return&amp;Carry'!C22*100</f>
        <v>0.15619117433484145</v>
      </c>
      <c r="D24" s="15">
        <v>309.68943904644351</v>
      </c>
      <c r="E24" s="58">
        <f>'Return&amp;Carry'!D22*100</f>
        <v>0.62727320444405665</v>
      </c>
      <c r="F24" s="20">
        <f>VLOOKUP(TEXT(B24,"yyyy-mm-dd"),OneWeekMtgRatesDataTable7[],4,0)*SQRT(225)*100</f>
        <v>89.651563507206617</v>
      </c>
      <c r="G24" s="17">
        <f>VLOOKUP(B24,'Yield Curve'!B24:G71,6,0)*100</f>
        <v>140.49999999999997</v>
      </c>
      <c r="H24" s="17">
        <f>VLOOKUP(B24,'ppm risk premium'!$C$3:$F$51,4,0)*100</f>
        <v>177.20014693775971</v>
      </c>
      <c r="I24" s="17">
        <v>3.1695730406656621</v>
      </c>
      <c r="J24" s="17">
        <f>VLOOKUP(B24,'LIBOR 1m'!D:F,3,0)</f>
        <v>0.21199999999999999</v>
      </c>
      <c r="K24" s="17">
        <f>VLOOKUP(B24,'Refi%'!L:N,2,0)</f>
        <v>0.95079229345734595</v>
      </c>
      <c r="L24" s="17">
        <f>VLOOKUP(B24,'Refi%'!L:N,3,0)</f>
        <v>0.87683234085301398</v>
      </c>
      <c r="M24" s="17">
        <f ca="1">VLOOKUP(B24,'Refi%'!L:P,4,0)</f>
        <v>4550.7</v>
      </c>
      <c r="N24" s="17">
        <f>VLOOKUP(B24,'Realized Vol'!H:J,2,0)</f>
        <v>2.1423497452898399</v>
      </c>
      <c r="O24" s="17">
        <f>VLOOKUP(B24,'Realized Vol'!H:J,3,0)</f>
        <v>10.243570515035971</v>
      </c>
    </row>
    <row r="25" spans="2:15">
      <c r="B25" s="14">
        <v>41243</v>
      </c>
      <c r="C25" s="58">
        <f>'Return&amp;Carry'!C23*100</f>
        <v>-3.7250678881232226</v>
      </c>
      <c r="D25" s="15">
        <v>312.18893683514722</v>
      </c>
      <c r="E25" s="58">
        <f>'Return&amp;Carry'!D23*100</f>
        <v>-0.28508675740747547</v>
      </c>
      <c r="F25" s="20">
        <f>VLOOKUP(TEXT(B25,"yyyy-mm-dd"),OneWeekMtgRatesDataTable7[],4,0)*SQRT(225)*100</f>
        <v>93.740889163237611</v>
      </c>
      <c r="G25" s="17">
        <f>VLOOKUP(B25,'Yield Curve'!B25:G72,6,0)*100</f>
        <v>136</v>
      </c>
      <c r="H25" s="17">
        <f>VLOOKUP(B25,'ppm risk premium'!$C$3:$F$51,4,0)*100</f>
        <v>176.23809883485561</v>
      </c>
      <c r="I25" s="17">
        <v>3.0258975439472406</v>
      </c>
      <c r="J25" s="17">
        <f>VLOOKUP(B25,'LIBOR 1m'!D:F,3,0)</f>
        <v>0.2145</v>
      </c>
      <c r="K25" s="17">
        <f>VLOOKUP(B25,'Refi%'!L:N,2,0)</f>
        <v>0.92756020040727527</v>
      </c>
      <c r="L25" s="17">
        <f>VLOOKUP(B25,'Refi%'!L:N,3,0)</f>
        <v>0.86996445945149903</v>
      </c>
      <c r="M25" s="17">
        <f ca="1">VLOOKUP(B25,'Refi%'!L:P,4,0)</f>
        <v>4943</v>
      </c>
      <c r="N25" s="17">
        <f>VLOOKUP(B25,'Realized Vol'!H:J,2,0)</f>
        <v>2.0725335490580301</v>
      </c>
      <c r="O25" s="17">
        <f>VLOOKUP(B25,'Realized Vol'!H:J,3,0)</f>
        <v>-6.9816196231809791</v>
      </c>
    </row>
    <row r="26" spans="2:15">
      <c r="B26" s="14">
        <v>41274</v>
      </c>
      <c r="C26" s="58">
        <f>'Return&amp;Carry'!C24*100</f>
        <v>2.6619862655127955</v>
      </c>
      <c r="D26" s="15">
        <v>327.64421827416106</v>
      </c>
      <c r="E26" s="58">
        <f>'Return&amp;Carry'!D24*100</f>
        <v>7.03284891745274E-2</v>
      </c>
      <c r="F26" s="20">
        <f>VLOOKUP(TEXT(B26,"yyyy-mm-dd"),OneWeekMtgRatesDataTable7[],4,0)*SQRT(225)*100</f>
        <v>77.697858654920822</v>
      </c>
      <c r="G26" s="17">
        <f>VLOOKUP(B26,'Yield Curve'!B26:G73,6,0)*100</f>
        <v>149.19999999999999</v>
      </c>
      <c r="H26" s="17">
        <f>VLOOKUP(B26,'ppm risk premium'!$C$3:$F$51,4,0)*100</f>
        <v>172.46715644186122</v>
      </c>
      <c r="I26" s="17">
        <v>3.1411403847262451</v>
      </c>
      <c r="J26" s="17">
        <f>VLOOKUP(B26,'LIBOR 1m'!D:F,3,0)</f>
        <v>0.2087</v>
      </c>
      <c r="K26" s="17">
        <f>VLOOKUP(B26,'Refi%'!L:N,2,0)</f>
        <v>0.91018597538933266</v>
      </c>
      <c r="L26" s="17">
        <f>VLOOKUP(B26,'Refi%'!L:N,3,0)</f>
        <v>0.85626060279274896</v>
      </c>
      <c r="M26" s="17">
        <f ca="1">VLOOKUP(B26,'Refi%'!L:P,4,0)</f>
        <v>3488.9</v>
      </c>
      <c r="N26" s="17">
        <f>VLOOKUP(B26,'Realized Vol'!H:J,2,0)</f>
        <v>2.1517307112587098</v>
      </c>
      <c r="O26" s="17">
        <f>VLOOKUP(B26,'Realized Vol'!H:J,3,0)</f>
        <v>7.9197162200679738</v>
      </c>
    </row>
    <row r="27" spans="2:15">
      <c r="B27" s="14">
        <v>41305</v>
      </c>
      <c r="C27" s="58">
        <f>'Return&amp;Carry'!C25*100</f>
        <v>2.8918724279014372</v>
      </c>
      <c r="D27" s="15">
        <v>428.37292591191772</v>
      </c>
      <c r="E27" s="58">
        <f>'Return&amp;Carry'!D25*100</f>
        <v>-0.45343840325552881</v>
      </c>
      <c r="F27" s="20">
        <f>VLOOKUP(TEXT(B27,"yyyy-mm-dd"),OneWeekMtgRatesDataTable7[],4,0)*SQRT(225)*100</f>
        <v>73.886216771110682</v>
      </c>
      <c r="G27" s="17">
        <f>VLOOKUP(B27,'Yield Curve'!B27:G74,6,0)*100</f>
        <v>171.8</v>
      </c>
      <c r="H27" s="17">
        <f>VLOOKUP(B27,'ppm risk premium'!$C$3:$F$51,4,0)*100</f>
        <v>146.07582426292791</v>
      </c>
      <c r="I27" s="17">
        <v>3.4308576348472699</v>
      </c>
      <c r="J27" s="17">
        <f>VLOOKUP(B27,'LIBOR 1m'!D:F,3,0)</f>
        <v>0.19969999999999999</v>
      </c>
      <c r="K27" s="17">
        <f>VLOOKUP(B27,'Refi%'!L:N,2,0)</f>
        <v>0.84748759806752005</v>
      </c>
      <c r="L27" s="17">
        <f>VLOOKUP(B27,'Refi%'!L:N,3,0)</f>
        <v>0.77322369572310801</v>
      </c>
      <c r="M27" s="17">
        <f ca="1">VLOOKUP(B27,'Refi%'!L:P,4,0)</f>
        <v>4579</v>
      </c>
      <c r="N27" s="17">
        <f>VLOOKUP(B27,'Realized Vol'!H:J,2,0)</f>
        <v>2.57376759097352</v>
      </c>
      <c r="O27" s="17">
        <f>VLOOKUP(B27,'Realized Vol'!H:J,3,0)</f>
        <v>42.203687971481017</v>
      </c>
    </row>
    <row r="28" spans="2:15">
      <c r="B28" s="14">
        <v>41333</v>
      </c>
      <c r="C28" s="58">
        <f>'Return&amp;Carry'!C26*100</f>
        <v>-0.18837838201561088</v>
      </c>
      <c r="D28" s="15">
        <v>447.98054231586696</v>
      </c>
      <c r="E28" s="58">
        <f>'Return&amp;Carry'!D26*100</f>
        <v>-0.44958851549103168</v>
      </c>
      <c r="F28" s="20">
        <f>VLOOKUP(TEXT(B28,"yyyy-mm-dd"),OneWeekMtgRatesDataTable7[],4,0)*SQRT(225)*100</f>
        <v>58.653056717787258</v>
      </c>
      <c r="G28" s="17">
        <f>VLOOKUP(B28,'Yield Curve'!B28:G75,6,0)*100</f>
        <v>165</v>
      </c>
      <c r="H28" s="17">
        <f>VLOOKUP(B28,'ppm risk premium'!$C$3:$F$51,4,0)*100</f>
        <v>144.79881644935762</v>
      </c>
      <c r="I28" s="17">
        <v>3.4146508064675025</v>
      </c>
      <c r="J28" s="17">
        <f>VLOOKUP(B28,'LIBOR 1m'!D:F,3,0)</f>
        <v>0.20369999999999999</v>
      </c>
      <c r="K28" s="17">
        <f>VLOOKUP(B28,'Refi%'!L:N,2,0)</f>
        <v>0.81599621049204552</v>
      </c>
      <c r="L28" s="17">
        <f>VLOOKUP(B28,'Refi%'!L:N,3,0)</f>
        <v>0.75332777657917305</v>
      </c>
      <c r="M28" s="17">
        <f ca="1">VLOOKUP(B28,'Refi%'!L:P,4,0)</f>
        <v>4724.8999999999996</v>
      </c>
      <c r="N28" s="17">
        <f>VLOOKUP(B28,'Realized Vol'!H:J,2,0)</f>
        <v>2.5448374323223399</v>
      </c>
      <c r="O28" s="17">
        <f>VLOOKUP(B28,'Realized Vol'!H:J,3,0)</f>
        <v>-2.8930158651180093</v>
      </c>
    </row>
    <row r="29" spans="2:15">
      <c r="B29" s="14">
        <v>41361</v>
      </c>
      <c r="C29" s="58">
        <f>'Return&amp;Carry'!C27*100</f>
        <v>4.4045395668783867</v>
      </c>
      <c r="D29" s="15">
        <v>342.66581343894296</v>
      </c>
      <c r="E29" s="58">
        <f>'Return&amp;Carry'!D27*100</f>
        <v>0.37234474488990615</v>
      </c>
      <c r="F29" s="20">
        <f>VLOOKUP(TEXT(B29,"yyyy-mm-dd"),OneWeekMtgRatesDataTable7[],4,0)*SQRT(225)*100</f>
        <v>59.498817261238088</v>
      </c>
      <c r="G29" s="17">
        <f>VLOOKUP(B29,'Yield Curve'!B29:G76,6,0)*100</f>
        <v>160.9</v>
      </c>
      <c r="H29" s="17" t="e">
        <f>VLOOKUP(B29,'ppm risk premium'!$C$3:$F$51,4,0)*100</f>
        <v>#N/A</v>
      </c>
      <c r="I29" s="17">
        <v>4.4592698063448344</v>
      </c>
      <c r="J29" s="17">
        <f>VLOOKUP(B29,'LIBOR 1m'!D:F,3,0)</f>
        <v>0.20369999999999999</v>
      </c>
      <c r="K29" s="17">
        <f>VLOOKUP(B29,'Refi%'!L:N,2,0)</f>
        <v>0.73085022058809757</v>
      </c>
      <c r="L29" s="17">
        <f>VLOOKUP(B29,'Refi%'!L:N,3,0)</f>
        <v>0.712062870316722</v>
      </c>
      <c r="M29" s="17">
        <f ca="1">VLOOKUP(B29,'Refi%'!L:P,4,0)</f>
        <v>4119.2</v>
      </c>
      <c r="N29" s="17">
        <f>VLOOKUP(B29,'Realized Vol'!H:J,2,0)</f>
        <v>2.6143335780898398</v>
      </c>
      <c r="O29" s="17">
        <f>VLOOKUP(B29,'Realized Vol'!H:J,3,0)</f>
        <v>6.9496145767499851</v>
      </c>
    </row>
    <row r="30" spans="2:15">
      <c r="B30" s="14">
        <v>41394</v>
      </c>
      <c r="C30" s="58">
        <f>'Return&amp;Carry'!C28*100</f>
        <v>-9.0801513932905831</v>
      </c>
      <c r="D30" s="15">
        <v>522.24020429541497</v>
      </c>
      <c r="E30" s="58">
        <f>'Return&amp;Carry'!D28*100</f>
        <v>0.25360137802357469</v>
      </c>
      <c r="F30" s="20">
        <f>VLOOKUP(TEXT(B30,"yyyy-mm-dd"),OneWeekMtgRatesDataTable7[],4,0)*SQRT(225)*100</f>
        <v>52.140172277231386</v>
      </c>
      <c r="G30" s="17">
        <f>VLOOKUP(B30,'Yield Curve'!B30:G77,6,0)*100</f>
        <v>146.4</v>
      </c>
      <c r="H30" s="17">
        <f>VLOOKUP(B30,'ppm risk premium'!$C$3:$F$51,4,0)*100</f>
        <v>154.04791000097711</v>
      </c>
      <c r="I30" s="17">
        <v>3.9097834380284753</v>
      </c>
      <c r="J30" s="17">
        <f>VLOOKUP(B30,'LIBOR 1m'!D:F,3,0)</f>
        <v>0.19819999999999999</v>
      </c>
      <c r="K30" s="17">
        <f>VLOOKUP(B30,'Refi%'!L:N,2,0)</f>
        <v>0.82478602429419701</v>
      </c>
      <c r="L30" s="17">
        <f>VLOOKUP(B30,'Refi%'!L:N,3,0)</f>
        <v>0.759939269856726</v>
      </c>
      <c r="M30" s="17">
        <f ca="1">VLOOKUP(B30,'Refi%'!L:P,4,0)</f>
        <v>4854.1000000000004</v>
      </c>
      <c r="N30" s="17">
        <f>VLOOKUP(B30,'Realized Vol'!H:J,2,0)</f>
        <v>2.3535373905486399</v>
      </c>
      <c r="O30" s="17">
        <f>VLOOKUP(B30,'Realized Vol'!H:J,3,0)</f>
        <v>-26.079618754119991</v>
      </c>
    </row>
    <row r="31" spans="2:15">
      <c r="B31" s="14">
        <v>41425</v>
      </c>
      <c r="C31" s="58">
        <f>'Return&amp;Carry'!C29*100</f>
        <v>7.8437853172549072</v>
      </c>
      <c r="D31" s="15">
        <v>459.7873533470638</v>
      </c>
      <c r="E31" s="58">
        <f>'Return&amp;Carry'!D29*100</f>
        <v>0.5124810691805799</v>
      </c>
      <c r="F31" s="20">
        <f>VLOOKUP(TEXT(B31,"yyyy-mm-dd"),OneWeekMtgRatesDataTable7[],4,0)*SQRT(225)*100</f>
        <v>73.191194882509734</v>
      </c>
      <c r="G31" s="17">
        <f>VLOOKUP(B31,'Yield Curve'!B31:G78,6,0)*100</f>
        <v>185.7</v>
      </c>
      <c r="H31" s="17">
        <f>VLOOKUP(B31,'ppm risk premium'!$C$3:$F$51,4,0)*100</f>
        <v>93.885054394902753</v>
      </c>
      <c r="I31" s="17">
        <v>4.7140274811031571</v>
      </c>
      <c r="J31" s="17">
        <f>VLOOKUP(B31,'LIBOR 1m'!D:F,3,0)</f>
        <v>0.19428000000000001</v>
      </c>
      <c r="K31" s="17">
        <f>VLOOKUP(B31,'Refi%'!L:N,2,0)</f>
        <v>0.63267241864898449</v>
      </c>
      <c r="L31" s="17">
        <f>VLOOKUP(B31,'Refi%'!L:N,3,0)</f>
        <v>0.61546645850988302</v>
      </c>
      <c r="M31" s="17">
        <f ca="1">VLOOKUP(B31,'Refi%'!L:P,4,0)</f>
        <v>3163.6</v>
      </c>
      <c r="N31" s="17">
        <f>VLOOKUP(B31,'Realized Vol'!H:J,2,0)</f>
        <v>2.95731349620652</v>
      </c>
      <c r="O31" s="17">
        <f>VLOOKUP(B31,'Realized Vol'!H:J,3,0)</f>
        <v>60.377610565788011</v>
      </c>
    </row>
    <row r="32" spans="2:15">
      <c r="B32" s="14">
        <v>41453</v>
      </c>
      <c r="C32" s="58">
        <f>'Return&amp;Carry'!C30*100</f>
        <v>4.903376486255123</v>
      </c>
      <c r="D32" s="15">
        <v>381.68905385820221</v>
      </c>
      <c r="E32" s="58">
        <f>'Return&amp;Carry'!D30*100</f>
        <v>-0.3514015023900961</v>
      </c>
      <c r="F32" s="20">
        <f>VLOOKUP(TEXT(B32,"yyyy-mm-dd"),OneWeekMtgRatesDataTable7[],4,0)*SQRT(225)*100</f>
        <v>88.427000358681639</v>
      </c>
      <c r="G32" s="17">
        <f>VLOOKUP(B32,'Yield Curve'!B32:G79,6,0)*100</f>
        <v>213.10000000000002</v>
      </c>
      <c r="H32" s="17">
        <f>VLOOKUP(B32,'ppm risk premium'!$C$3:$F$51,4,0)*100</f>
        <v>52.044355899375731</v>
      </c>
      <c r="I32" s="17">
        <v>5.1497959936630808</v>
      </c>
      <c r="J32" s="17">
        <f>VLOOKUP(B32,'LIBOR 1m'!D:F,3,0)</f>
        <v>0.19464999999999999</v>
      </c>
      <c r="K32" s="17">
        <f>VLOOKUP(B32,'Refi%'!L:N,2,0)</f>
        <v>0.39082116641682313</v>
      </c>
      <c r="L32" s="17">
        <f>VLOOKUP(B32,'Refi%'!L:N,3,0)</f>
        <v>0.35042164075900101</v>
      </c>
      <c r="M32" s="17">
        <f ca="1">VLOOKUP(B32,'Refi%'!L:P,4,0)</f>
        <v>2573.4</v>
      </c>
      <c r="N32" s="17">
        <f>VLOOKUP(B32,'Realized Vol'!H:J,2,0)</f>
        <v>3.3094496735702101</v>
      </c>
      <c r="O32" s="17">
        <f>VLOOKUP(B32,'Realized Vol'!H:J,3,0)</f>
        <v>35.213617736369017</v>
      </c>
    </row>
    <row r="33" spans="2:15">
      <c r="B33" s="14">
        <v>41486</v>
      </c>
      <c r="C33" s="58">
        <f>'Return&amp;Carry'!C31*100</f>
        <v>4.5699741276733663</v>
      </c>
      <c r="D33" s="15">
        <v>333.34538926140164</v>
      </c>
      <c r="E33" s="58">
        <f>'Return&amp;Carry'!D31*100</f>
        <v>-0.44551318867113693</v>
      </c>
      <c r="F33" s="20">
        <f>VLOOKUP(TEXT(B33,"yyyy-mm-dd"),OneWeekMtgRatesDataTable7[],4,0)*SQRT(225)*100</f>
        <v>111.39247651589004</v>
      </c>
      <c r="G33" s="17">
        <f>VLOOKUP(B33,'Yield Curve'!B33:G80,6,0)*100</f>
        <v>228.29999999999998</v>
      </c>
      <c r="H33" s="17">
        <f>VLOOKUP(B33,'ppm risk premium'!$C$3:$F$51,4,0)*100</f>
        <v>38.297102677047867</v>
      </c>
      <c r="I33" s="17">
        <v>5.4757380784004202</v>
      </c>
      <c r="J33" s="17">
        <f>VLOOKUP(B33,'LIBOR 1m'!D:F,3,0)</f>
        <v>0.18673000000000001</v>
      </c>
      <c r="K33" s="17">
        <f>VLOOKUP(B33,'Refi%'!L:N,2,0)</f>
        <v>0.42922629610906576</v>
      </c>
      <c r="L33" s="17">
        <f>VLOOKUP(B33,'Refi%'!L:N,3,0)</f>
        <v>0.40895553727695599</v>
      </c>
      <c r="M33" s="17">
        <f ca="1">VLOOKUP(B33,'Refi%'!L:P,4,0)</f>
        <v>2218.3000000000002</v>
      </c>
      <c r="N33" s="17">
        <f>VLOOKUP(B33,'Realized Vol'!H:J,2,0)</f>
        <v>3.4095392657433901</v>
      </c>
      <c r="O33" s="17">
        <f>VLOOKUP(B33,'Realized Vol'!H:J,3,0)</f>
        <v>10.008959217317992</v>
      </c>
    </row>
    <row r="34" spans="2:15">
      <c r="B34" s="14">
        <v>41516</v>
      </c>
      <c r="C34" s="58">
        <f>'Return&amp;Carry'!C32*100</f>
        <v>2.4720201222230638</v>
      </c>
      <c r="D34" s="15">
        <v>273.22545878341941</v>
      </c>
      <c r="E34" s="58">
        <f>'Return&amp;Carry'!D32*100</f>
        <v>-0.24630779528221847</v>
      </c>
      <c r="F34" s="20">
        <f>VLOOKUP(TEXT(B34,"yyyy-mm-dd"),OneWeekMtgRatesDataTable7[],4,0)*SQRT(225)*100</f>
        <v>116.17425312662482</v>
      </c>
      <c r="G34" s="17">
        <f>VLOOKUP(B34,'Yield Curve'!B34:G81,6,0)*100</f>
        <v>236.60000000000002</v>
      </c>
      <c r="H34" s="17">
        <f>VLOOKUP(B34,'ppm risk premium'!$C$3:$F$51,4,0)*100</f>
        <v>17.550400544902889</v>
      </c>
      <c r="I34" s="17">
        <v>5.6687392818165394</v>
      </c>
      <c r="J34" s="17">
        <f>VLOOKUP(B34,'LIBOR 1m'!D:F,3,0)</f>
        <v>0.18206</v>
      </c>
      <c r="K34" s="17">
        <f>VLOOKUP(B34,'Refi%'!L:N,2,0)</f>
        <v>0.32707732602530493</v>
      </c>
      <c r="L34" s="17">
        <f>VLOOKUP(B34,'Refi%'!L:N,3,0)</f>
        <v>0.32738957382411199</v>
      </c>
      <c r="M34" s="17">
        <f ca="1">VLOOKUP(B34,'Refi%'!L:P,4,0)</f>
        <v>1909</v>
      </c>
      <c r="N34" s="17">
        <f>VLOOKUP(B34,'Realized Vol'!H:J,2,0)</f>
        <v>3.5181082868119602</v>
      </c>
      <c r="O34" s="17">
        <f>VLOOKUP(B34,'Realized Vol'!H:J,3,0)</f>
        <v>10.856902106857014</v>
      </c>
    </row>
    <row r="35" spans="2:15">
      <c r="B35" s="14">
        <v>41547</v>
      </c>
      <c r="C35" s="58">
        <f>'Return&amp;Carry'!C33*100</f>
        <v>1.8592263834684393</v>
      </c>
      <c r="D35" s="15">
        <v>225.37600805135614</v>
      </c>
      <c r="E35" s="58">
        <f>'Return&amp;Carry'!D33*100</f>
        <v>0.24923593019947959</v>
      </c>
      <c r="F35" s="20">
        <f>VLOOKUP(TEXT(B35,"yyyy-mm-dd"),OneWeekMtgRatesDataTable7[],4,0)*SQRT(225)*100</f>
        <v>96.642036758773102</v>
      </c>
      <c r="G35" s="17">
        <f>VLOOKUP(B35,'Yield Curve'!B35:G82,6,0)*100</f>
        <v>229.4</v>
      </c>
      <c r="H35" s="17">
        <f>VLOOKUP(B35,'ppm risk premium'!$C$3:$F$51,4,0)*100</f>
        <v>50.842898008104243</v>
      </c>
      <c r="I35" s="17">
        <v>5.6889585169897465</v>
      </c>
      <c r="J35" s="17">
        <f>VLOOKUP(B35,'LIBOR 1m'!D:F,3,0)</f>
        <v>0.17885000000000001</v>
      </c>
      <c r="K35" s="17">
        <f>VLOOKUP(B35,'Refi%'!L:N,2,0)</f>
        <v>0.40445747526612724</v>
      </c>
      <c r="L35" s="17">
        <f>VLOOKUP(B35,'Refi%'!L:N,3,0)</f>
        <v>0.41607421536967498</v>
      </c>
      <c r="M35" s="17">
        <f ca="1">VLOOKUP(B35,'Refi%'!L:P,4,0)</f>
        <v>1956.6</v>
      </c>
      <c r="N35" s="17">
        <f>VLOOKUP(B35,'Realized Vol'!H:J,2,0)</f>
        <v>3.2952489842634298</v>
      </c>
      <c r="O35" s="17">
        <f>VLOOKUP(B35,'Realized Vol'!H:J,3,0)</f>
        <v>-22.285930254853035</v>
      </c>
    </row>
    <row r="36" spans="2:15">
      <c r="B36" s="14">
        <v>41578</v>
      </c>
      <c r="C36" s="58">
        <f>'Return&amp;Carry'!C34*100</f>
        <v>-0.6416683246264655</v>
      </c>
      <c r="D36" s="15">
        <v>233.9023628112142</v>
      </c>
      <c r="E36" s="58">
        <f>'Return&amp;Carry'!D34*100</f>
        <v>0.76568844511756018</v>
      </c>
      <c r="F36" s="20">
        <f>VLOOKUP(TEXT(B36,"yyyy-mm-dd"),OneWeekMtgRatesDataTable7[],4,0)*SQRT(225)*100</f>
        <v>81.686241393329468</v>
      </c>
      <c r="G36" s="17">
        <f>VLOOKUP(B36,'Yield Curve'!B36:G83,6,0)*100</f>
        <v>223.59999999999997</v>
      </c>
      <c r="H36" s="17">
        <f>VLOOKUP(B36,'ppm risk premium'!$C$3:$F$51,4,0)*100</f>
        <v>53.365359210332208</v>
      </c>
      <c r="I36" s="17">
        <v>5.5567778624431039</v>
      </c>
      <c r="J36" s="17">
        <f>VLOOKUP(B36,'LIBOR 1m'!D:F,3,0)</f>
        <v>0.16800000000000001</v>
      </c>
      <c r="K36" s="17">
        <f>VLOOKUP(B36,'Refi%'!L:N,2,0)</f>
        <v>0.4605405147219428</v>
      </c>
      <c r="L36" s="17">
        <f>VLOOKUP(B36,'Refi%'!L:N,3,0)</f>
        <v>0.47501022290439499</v>
      </c>
      <c r="M36" s="17">
        <f ca="1">VLOOKUP(B36,'Refi%'!L:P,4,0)</f>
        <v>2105.6</v>
      </c>
      <c r="N36" s="17">
        <f>VLOOKUP(B36,'Realized Vol'!H:J,2,0)</f>
        <v>3.1803565883984102</v>
      </c>
      <c r="O36" s="17">
        <f>VLOOKUP(B36,'Realized Vol'!H:J,3,0)</f>
        <v>-11.489239586501965</v>
      </c>
    </row>
    <row r="37" spans="2:15">
      <c r="B37" s="14">
        <v>41607</v>
      </c>
      <c r="C37" s="58">
        <f>'Return&amp;Carry'!C35*100</f>
        <v>4.9738644252027004</v>
      </c>
      <c r="D37" s="15">
        <v>180.5090255081054</v>
      </c>
      <c r="E37" s="58">
        <f>'Return&amp;Carry'!D35*100</f>
        <v>0.77706553488175134</v>
      </c>
      <c r="F37" s="20">
        <f>VLOOKUP(TEXT(B37,"yyyy-mm-dd"),OneWeekMtgRatesDataTable7[],4,0)*SQRT(225)*100</f>
        <v>73.439013123205882</v>
      </c>
      <c r="G37" s="17">
        <f>VLOOKUP(B37,'Yield Curve'!B37:G84,6,0)*100</f>
        <v>246.4</v>
      </c>
      <c r="H37" s="17">
        <f>VLOOKUP(B37,'ppm risk premium'!$C$3:$F$51,4,0)*100</f>
        <v>29.965583645737937</v>
      </c>
      <c r="I37" s="17">
        <v>5.9577026269555571</v>
      </c>
      <c r="J37" s="17">
        <f>VLOOKUP(B37,'LIBOR 1m'!D:F,3,0)</f>
        <v>0.16825000000000001</v>
      </c>
      <c r="K37" s="17">
        <f>VLOOKUP(B37,'Refi%'!L:N,2,0)</f>
        <v>0.3969981593322805</v>
      </c>
      <c r="L37" s="17">
        <f>VLOOKUP(B37,'Refi%'!L:N,3,0)</f>
        <v>0.401262959025458</v>
      </c>
      <c r="M37" s="17">
        <f ca="1">VLOOKUP(B37,'Refi%'!L:P,4,0)</f>
        <v>1561.6</v>
      </c>
      <c r="N37" s="17">
        <f>VLOOKUP(B37,'Realized Vol'!H:J,2,0)</f>
        <v>3.4152065149267101</v>
      </c>
      <c r="O37" s="17">
        <f>VLOOKUP(B37,'Realized Vol'!H:J,3,0)</f>
        <v>23.484992652829995</v>
      </c>
    </row>
    <row r="38" spans="2:15">
      <c r="B38" s="14">
        <v>41639</v>
      </c>
      <c r="C38" s="58">
        <f>'Return&amp;Carry'!C36*100</f>
        <v>4.9663667583236766</v>
      </c>
      <c r="D38" s="15">
        <v>106.61579764411411</v>
      </c>
      <c r="E38" s="58">
        <f>'Return&amp;Carry'!D36*100</f>
        <v>0.705367439077763</v>
      </c>
      <c r="F38" s="20">
        <f>VLOOKUP(TEXT(B38,"yyyy-mm-dd"),OneWeekMtgRatesDataTable7[],4,0)*SQRT(225)*100</f>
        <v>61.180466485688669</v>
      </c>
      <c r="G38" s="17">
        <f>VLOOKUP(B38,'Yield Curve'!B38:G85,6,0)*100</f>
        <v>262.59999999999997</v>
      </c>
      <c r="H38" s="17">
        <f>VLOOKUP(B38,'ppm risk premium'!$C$3:$F$51,4,0)*100</f>
        <v>14.597517067379506</v>
      </c>
      <c r="I38" s="17">
        <v>6.2713675347454272</v>
      </c>
      <c r="J38" s="17" t="e">
        <f>VLOOKUP(B38,'LIBOR 1m'!D:F,3,0)</f>
        <v>#N/A</v>
      </c>
      <c r="K38" s="17">
        <f>VLOOKUP(B38,'Refi%'!L:N,2,0)</f>
        <v>0.33029809597210952</v>
      </c>
      <c r="L38" s="17">
        <f>VLOOKUP(B38,'Refi%'!L:N,3,0)</f>
        <v>0.29162362501885603</v>
      </c>
      <c r="M38" s="17">
        <f ca="1">VLOOKUP(B38,'Refi%'!L:P,4,0)</f>
        <v>1277.8</v>
      </c>
      <c r="N38" s="17">
        <f>VLOOKUP(B38,'Realized Vol'!H:J,2,0)</f>
        <v>3.5930254960618</v>
      </c>
      <c r="O38" s="17">
        <f>VLOOKUP(B38,'Realized Vol'!H:J,3,0)</f>
        <v>17.781898113508987</v>
      </c>
    </row>
    <row r="39" spans="2:15">
      <c r="B39" s="14">
        <v>41670</v>
      </c>
      <c r="C39" s="58">
        <f>'Return&amp;Carry'!C37*100</f>
        <v>-0.6046175270055355</v>
      </c>
      <c r="D39" s="15">
        <v>94.950156430588521</v>
      </c>
      <c r="E39" s="58">
        <f>'Return&amp;Carry'!D37*100</f>
        <v>0.64418591402733527</v>
      </c>
      <c r="F39" s="20">
        <f>VLOOKUP(TEXT(B39,"yyyy-mm-dd"),OneWeekMtgRatesDataTable7[],4,0)*SQRT(225)*100</f>
        <v>62.826433322715793</v>
      </c>
      <c r="G39" s="17">
        <f>VLOOKUP(B39,'Yield Curve'!B39:G86,6,0)*100</f>
        <v>232.6</v>
      </c>
      <c r="H39" s="17">
        <f>VLOOKUP(B39,'ppm risk premium'!$C$3:$F$51,4,0)*100</f>
        <v>46.311048887773154</v>
      </c>
      <c r="I39" s="17">
        <v>6.0737547716886793</v>
      </c>
      <c r="J39" s="17">
        <f>VLOOKUP(B39,'LIBOR 1m'!D:F,3,0)</f>
        <v>0.1565</v>
      </c>
      <c r="K39" s="17">
        <f>VLOOKUP(B39,'Refi%'!L:N,2,0)</f>
        <v>0.38160196936392621</v>
      </c>
      <c r="L39" s="17">
        <f>VLOOKUP(B39,'Refi%'!L:N,3,0)</f>
        <v>0.38449844249950499</v>
      </c>
      <c r="M39" s="17">
        <f ca="1">VLOOKUP(B39,'Refi%'!L:P,4,0)</f>
        <v>1667.5</v>
      </c>
      <c r="N39" s="17">
        <f>VLOOKUP(B39,'Realized Vol'!H:J,2,0)</f>
        <v>3.3406752567006799</v>
      </c>
      <c r="O39" s="17">
        <f>VLOOKUP(B39,'Realized Vol'!H:J,3,0)</f>
        <v>-25.235023936112011</v>
      </c>
    </row>
    <row r="40" spans="2:15">
      <c r="B40" s="14">
        <v>41698</v>
      </c>
      <c r="C40" s="58">
        <f>'Return&amp;Carry'!C38*100</f>
        <v>2.4008316230912188</v>
      </c>
      <c r="D40" s="15">
        <v>61.235127244121664</v>
      </c>
      <c r="E40" s="58">
        <f>'Return&amp;Carry'!D38*100</f>
        <v>0.92566743417696828</v>
      </c>
      <c r="F40" s="20">
        <f>VLOOKUP(TEXT(B40,"yyyy-mm-dd"),OneWeekMtgRatesDataTable7[],4,0)*SQRT(225)*100</f>
        <v>56.805163145824565</v>
      </c>
      <c r="G40" s="17">
        <f>VLOOKUP(B40,'Yield Curve'!B40:G87,6,0)*100</f>
        <v>233.2</v>
      </c>
      <c r="H40" s="17">
        <f>VLOOKUP(B40,'ppm risk premium'!$C$3:$F$51,4,0)*100</f>
        <v>40.731612569651965</v>
      </c>
      <c r="I40" s="17">
        <v>6.1668878804692788</v>
      </c>
      <c r="J40" s="17">
        <f>VLOOKUP(B40,'LIBOR 1m'!D:F,3,0)</f>
        <v>0.1555</v>
      </c>
      <c r="K40" s="17">
        <f>VLOOKUP(B40,'Refi%'!L:N,2,0)</f>
        <v>0.36967404481869215</v>
      </c>
      <c r="L40" s="17">
        <f>VLOOKUP(B40,'Refi%'!L:N,3,0)</f>
        <v>0.34853875137296803</v>
      </c>
      <c r="M40" s="17">
        <f ca="1">VLOOKUP(B40,'Refi%'!L:P,4,0)</f>
        <v>1600.6</v>
      </c>
      <c r="N40" s="17">
        <f>VLOOKUP(B40,'Realized Vol'!H:J,2,0)</f>
        <v>3.3514861848067001</v>
      </c>
      <c r="O40" s="17">
        <f>VLOOKUP(B40,'Realized Vol'!H:J,3,0)</f>
        <v>1.0810928106020246</v>
      </c>
    </row>
    <row r="41" spans="2:15">
      <c r="B41" s="14">
        <v>41729</v>
      </c>
      <c r="C41" s="58">
        <f>'Return&amp;Carry'!C39*100</f>
        <v>1.6295809607463407</v>
      </c>
      <c r="D41" s="15">
        <v>55.945192208047438</v>
      </c>
      <c r="E41" s="58">
        <f>'Return&amp;Carry'!D39*100</f>
        <v>0.90707922325997548</v>
      </c>
      <c r="F41" s="20">
        <f>VLOOKUP(TEXT(B41,"yyyy-mm-dd"),OneWeekMtgRatesDataTable7[],4,0)*SQRT(225)*100</f>
        <v>56.833962700453924</v>
      </c>
      <c r="G41" s="17">
        <f>VLOOKUP(B41,'Yield Curve'!B41:G88,6,0)*100</f>
        <v>229.69999999999996</v>
      </c>
      <c r="H41" s="17">
        <f>VLOOKUP(B41,'ppm risk premium'!$C$3:$F$51,4,0)*100</f>
        <v>27.247321095813781</v>
      </c>
      <c r="I41" s="17">
        <v>6.6284507551886458</v>
      </c>
      <c r="J41" s="17">
        <f>VLOOKUP(B41,'LIBOR 1m'!D:F,3,0)</f>
        <v>0.152</v>
      </c>
      <c r="K41" s="17">
        <f>VLOOKUP(B41,'Refi%'!L:N,2,0)</f>
        <v>0.36565400061256043</v>
      </c>
      <c r="L41" s="17">
        <f>VLOOKUP(B41,'Refi%'!L:N,3,0)</f>
        <v>0.34373332978073601</v>
      </c>
      <c r="M41" s="17">
        <f ca="1">VLOOKUP(B41,'Refi%'!L:P,4,0)</f>
        <v>1383.5</v>
      </c>
      <c r="N41" s="17">
        <f>VLOOKUP(B41,'Realized Vol'!H:J,2,0)</f>
        <v>3.44685935064701</v>
      </c>
      <c r="O41" s="17">
        <f>VLOOKUP(B41,'Realized Vol'!H:J,3,0)</f>
        <v>9.5373165840309859</v>
      </c>
    </row>
    <row r="42" spans="2:15">
      <c r="B42" s="14">
        <v>41759</v>
      </c>
      <c r="C42" s="58">
        <f>'Return&amp;Carry'!C40*100</f>
        <v>0.67848038432565938</v>
      </c>
      <c r="D42" s="15">
        <v>41.829857551285244</v>
      </c>
      <c r="E42" s="58">
        <f>'Return&amp;Carry'!D40*100</f>
        <v>0.72662252048615017</v>
      </c>
      <c r="F42" s="20">
        <f>VLOOKUP(TEXT(B42,"yyyy-mm-dd"),OneWeekMtgRatesDataTable7[],4,0)*SQRT(225)*100</f>
        <v>49.260858552354101</v>
      </c>
      <c r="G42" s="17">
        <f>VLOOKUP(B42,'Yield Curve'!B42:G89,6,0)*100</f>
        <v>223.2</v>
      </c>
      <c r="H42" s="17">
        <f>VLOOKUP(B42,'ppm risk premium'!$C$3:$F$51,4,0)*100</f>
        <v>38.705143875823737</v>
      </c>
      <c r="I42" s="17">
        <v>6.5566374526722671</v>
      </c>
      <c r="J42" s="17">
        <f>VLOOKUP(B42,'LIBOR 1m'!D:F,3,0)</f>
        <v>0.15049999999999999</v>
      </c>
      <c r="K42" s="17">
        <f>VLOOKUP(B42,'Refi%'!L:N,2,0)</f>
        <v>0.37393962817107157</v>
      </c>
      <c r="L42" s="17">
        <f>VLOOKUP(B42,'Refi%'!L:N,3,0)</f>
        <v>0.37394334466633</v>
      </c>
      <c r="M42" s="17">
        <f ca="1">VLOOKUP(B42,'Refi%'!L:P,4,0)</f>
        <v>1298.0999999999999</v>
      </c>
      <c r="N42" s="17">
        <f>VLOOKUP(B42,'Realized Vol'!H:J,2,0)</f>
        <v>3.3274269650204</v>
      </c>
      <c r="O42" s="17">
        <f>VLOOKUP(B42,'Realized Vol'!H:J,3,0)</f>
        <v>-11.943238562660996</v>
      </c>
    </row>
    <row r="43" spans="2:15">
      <c r="B43" s="14">
        <v>41789</v>
      </c>
      <c r="C43" s="58">
        <f>'Return&amp;Carry'!C41*100</f>
        <v>-1.0696001897399792</v>
      </c>
      <c r="D43" s="15">
        <v>27.53135237199016</v>
      </c>
      <c r="E43" s="58">
        <f>'Return&amp;Carry'!D41*100</f>
        <v>0.87548162238832095</v>
      </c>
      <c r="F43" s="20">
        <f>VLOOKUP(TEXT(B43,"yyyy-mm-dd"),OneWeekMtgRatesDataTable7[],4,0)*SQRT(225)*100</f>
        <v>48.963222646528294</v>
      </c>
      <c r="G43" s="17">
        <f>VLOOKUP(B43,'Yield Curve'!B43:G90,6,0)*100</f>
        <v>208.8</v>
      </c>
      <c r="H43" s="17">
        <f>VLOOKUP(B43,'ppm risk premium'!$C$3:$F$51,4,0)*100</f>
        <v>58.198082990563108</v>
      </c>
      <c r="I43" s="17">
        <v>6.3584978149705247</v>
      </c>
      <c r="J43" s="17">
        <f>VLOOKUP(B43,'LIBOR 1m'!D:F,3,0)</f>
        <v>0.151</v>
      </c>
      <c r="K43" s="17">
        <f>VLOOKUP(B43,'Refi%'!L:N,2,0)</f>
        <v>0.46362020494951672</v>
      </c>
      <c r="L43" s="17">
        <f>VLOOKUP(B43,'Refi%'!L:N,3,0)</f>
        <v>0.44740081291084099</v>
      </c>
      <c r="M43" s="17">
        <f ca="1">VLOOKUP(B43,'Refi%'!L:P,4,0)</f>
        <v>1382.6</v>
      </c>
      <c r="N43" s="17">
        <f>VLOOKUP(B43,'Realized Vol'!H:J,2,0)</f>
        <v>3.1327170492887499</v>
      </c>
      <c r="O43" s="17">
        <f>VLOOKUP(B43,'Realized Vol'!H:J,3,0)</f>
        <v>-19.470991573165009</v>
      </c>
    </row>
    <row r="44" spans="2:15">
      <c r="B44" s="14">
        <v>41820</v>
      </c>
      <c r="C44" s="58">
        <f>'Return&amp;Carry'!C42*100</f>
        <v>2.8037930402820397</v>
      </c>
      <c r="D44" s="15">
        <v>-6.8831389142531894</v>
      </c>
      <c r="E44" s="58">
        <f>'Return&amp;Carry'!D42*100</f>
        <v>0.86109888830040782</v>
      </c>
      <c r="F44" s="20">
        <f>VLOOKUP(TEXT(B44,"yyyy-mm-dd"),OneWeekMtgRatesDataTable7[],4,0)*SQRT(225)*100</f>
        <v>47.443011682060451</v>
      </c>
      <c r="G44" s="17">
        <f>VLOOKUP(B44,'Yield Curve'!B44:G91,6,0)*100</f>
        <v>206.1</v>
      </c>
      <c r="H44" s="17">
        <f>VLOOKUP(B44,'ppm risk premium'!$C$3:$F$51,4,0)*100</f>
        <v>59.688339197693182</v>
      </c>
      <c r="I44" s="17">
        <v>6.4962240248257341</v>
      </c>
      <c r="J44" s="17">
        <f>VLOOKUP(B44,'LIBOR 1m'!D:F,3,0)</f>
        <v>0.1552</v>
      </c>
      <c r="K44" s="17">
        <f>VLOOKUP(B44,'Refi%'!L:N,2,0)</f>
        <v>0.46847875373528863</v>
      </c>
      <c r="L44" s="17">
        <f>VLOOKUP(B44,'Refi%'!L:N,3,0)</f>
        <v>0.447997908024105</v>
      </c>
      <c r="M44" s="17">
        <f ca="1">VLOOKUP(B44,'Refi%'!L:P,4,0)</f>
        <v>1341.8</v>
      </c>
      <c r="N44" s="17">
        <f>VLOOKUP(B44,'Realized Vol'!H:J,2,0)</f>
        <v>3.16005861973392</v>
      </c>
      <c r="O44" s="17">
        <f>VLOOKUP(B44,'Realized Vol'!H:J,3,0)</f>
        <v>2.7341570445170049</v>
      </c>
    </row>
    <row r="45" spans="2:15">
      <c r="B45" s="14">
        <v>41851</v>
      </c>
      <c r="C45" s="58">
        <f>'Return&amp;Carry'!C43*100</f>
        <v>-0.2327545264738822</v>
      </c>
      <c r="D45" s="15">
        <v>-9.2666841525615986</v>
      </c>
      <c r="E45" s="58">
        <f>'Return&amp;Carry'!D43*100</f>
        <v>0.58393975407138754</v>
      </c>
      <c r="F45" s="20">
        <f>VLOOKUP(TEXT(B45,"yyyy-mm-dd"),OneWeekMtgRatesDataTable7[],4,0)*SQRT(225)*100</f>
        <v>49.801058413822716</v>
      </c>
      <c r="G45" s="17">
        <f>VLOOKUP(B45,'Yield Curve'!B45:G92,6,0)*100</f>
        <v>202.29999999999995</v>
      </c>
      <c r="H45" s="17">
        <f>VLOOKUP(B45,'ppm risk premium'!$C$3:$F$51,4,0)*100</f>
        <v>52.083124377355006</v>
      </c>
      <c r="I45" s="17">
        <v>6.5239826420015659</v>
      </c>
      <c r="J45" s="17">
        <f>VLOOKUP(B45,'LIBOR 1m'!D:F,3,0)</f>
        <v>0.156</v>
      </c>
      <c r="K45" s="17">
        <f>VLOOKUP(B45,'Refi%'!L:N,2,0)</f>
        <v>0.45923072088835232</v>
      </c>
      <c r="L45" s="17">
        <f>VLOOKUP(B45,'Refi%'!L:N,3,0)</f>
        <v>0.44366576481104603</v>
      </c>
      <c r="M45" s="17">
        <f ca="1">VLOOKUP(B45,'Refi%'!L:P,4,0)</f>
        <v>1373.9</v>
      </c>
      <c r="N45" s="17">
        <f>VLOOKUP(B45,'Realized Vol'!H:J,2,0)</f>
        <v>3.2761065930147799</v>
      </c>
      <c r="O45" s="17">
        <f>VLOOKUP(B45,'Realized Vol'!H:J,3,0)</f>
        <v>11.604797328085992</v>
      </c>
    </row>
    <row r="46" spans="2:15">
      <c r="B46" s="14">
        <v>41880</v>
      </c>
      <c r="C46" s="58">
        <f>'Return&amp;Carry'!C44*100</f>
        <v>-1.7827173821292217</v>
      </c>
      <c r="D46" s="15">
        <v>-5.386986735314931</v>
      </c>
      <c r="E46" s="58">
        <f>'Return&amp;Carry'!D44*100</f>
        <v>0.6125172413559441</v>
      </c>
      <c r="F46" s="20">
        <f>VLOOKUP(TEXT(B46,"yyyy-mm-dd"),OneWeekMtgRatesDataTable7[],4,0)*SQRT(225)*100</f>
        <v>42.285726053550711</v>
      </c>
      <c r="G46" s="17">
        <f>VLOOKUP(B46,'Yield Curve'!B46:G93,6,0)*100</f>
        <v>185.5</v>
      </c>
      <c r="H46" s="17">
        <f>VLOOKUP(B46,'ppm risk premium'!$C$3:$F$51,4,0)*100</f>
        <v>60.429787743608273</v>
      </c>
      <c r="I46" s="17">
        <v>6.2252331789015392</v>
      </c>
      <c r="J46" s="17">
        <f>VLOOKUP(B46,'LIBOR 1m'!D:F,3,0)</f>
        <v>0.157</v>
      </c>
      <c r="K46" s="17">
        <f>VLOOKUP(B46,'Refi%'!L:N,2,0)</f>
        <v>0.49084413664233395</v>
      </c>
      <c r="L46" s="17">
        <f>VLOOKUP(B46,'Refi%'!L:N,3,0)</f>
        <v>0.46725416935729103</v>
      </c>
      <c r="M46" s="17">
        <f ca="1">VLOOKUP(B46,'Refi%'!L:P,4,0)</f>
        <v>1436</v>
      </c>
      <c r="N46" s="17">
        <f>VLOOKUP(B46,'Realized Vol'!H:J,2,0)</f>
        <v>3.0803371977218901</v>
      </c>
      <c r="O46" s="17">
        <f>VLOOKUP(B46,'Realized Vol'!H:J,3,0)</f>
        <v>-19.576939529288985</v>
      </c>
    </row>
    <row r="47" spans="2:15">
      <c r="B47" s="14">
        <v>41912</v>
      </c>
      <c r="C47" s="58">
        <f>'Return&amp;Carry'!C45*100</f>
        <v>2.9347490686823088</v>
      </c>
      <c r="D47" s="15">
        <v>-45.021233160825901</v>
      </c>
      <c r="E47" s="58">
        <f>'Return&amp;Carry'!D45*100</f>
        <v>0.78697356644138128</v>
      </c>
      <c r="F47" s="20">
        <f>VLOOKUP(TEXT(B47,"yyyy-mm-dd"),OneWeekMtgRatesDataTable7[],4,0)*SQRT(225)*100</f>
        <v>42.935889583307393</v>
      </c>
      <c r="G47" s="17">
        <f>VLOOKUP(B47,'Yield Curve'!B47:G94,6,0)*100</f>
        <v>191.89999999999998</v>
      </c>
      <c r="H47" s="17">
        <f>VLOOKUP(B47,'ppm risk premium'!$C$3:$F$51,4,0)*100</f>
        <v>53.225681571698132</v>
      </c>
      <c r="I47" s="17">
        <v>6.4640970434601881</v>
      </c>
      <c r="J47" s="17">
        <f>VLOOKUP(B47,'LIBOR 1m'!D:F,3,0)</f>
        <v>0.1565</v>
      </c>
      <c r="K47" s="17">
        <f>VLOOKUP(B47,'Refi%'!L:N,2,0)</f>
        <v>0.41373230170663788</v>
      </c>
      <c r="L47" s="17">
        <f>VLOOKUP(B47,'Refi%'!L:N,3,0)</f>
        <v>0.40569534905697002</v>
      </c>
      <c r="M47" s="17">
        <f ca="1">VLOOKUP(B47,'Refi%'!L:P,4,0)</f>
        <v>1326.2</v>
      </c>
      <c r="N47" s="17">
        <f>VLOOKUP(B47,'Realized Vol'!H:J,2,0)</f>
        <v>3.2078957125058598</v>
      </c>
      <c r="O47" s="17">
        <f>VLOOKUP(B47,'Realized Vol'!H:J,3,0)</f>
        <v>12.755851478396973</v>
      </c>
    </row>
    <row r="48" spans="2:15">
      <c r="B48" s="14">
        <v>41943</v>
      </c>
      <c r="C48" s="58">
        <f>'Return&amp;Carry'!C46*100</f>
        <v>-0.89203972294613632</v>
      </c>
      <c r="D48" s="15">
        <v>-45.98502665383706</v>
      </c>
      <c r="E48" s="58">
        <f>'Return&amp;Carry'!D46*100</f>
        <v>0.77528402645097438</v>
      </c>
      <c r="F48" s="20">
        <f>VLOOKUP(TEXT(B48,"yyyy-mm-dd"),OneWeekMtgRatesDataTable7[],4,0)*SQRT(225)*100</f>
        <v>54.466781665320482</v>
      </c>
      <c r="G48" s="17">
        <f>VLOOKUP(B48,'Yield Curve'!B48:G95,6,0)*100</f>
        <v>183.9</v>
      </c>
      <c r="H48" s="17">
        <f>VLOOKUP(B48,'ppm risk premium'!$C$3:$F$51,4,0)*100</f>
        <v>67.089439066643308</v>
      </c>
      <c r="I48" s="17">
        <v>6.2141128537043446</v>
      </c>
      <c r="J48" s="17">
        <f>VLOOKUP(B48,'LIBOR 1m'!D:F,3,0)</f>
        <v>0.15590000000000001</v>
      </c>
      <c r="K48" s="17">
        <f>VLOOKUP(B48,'Refi%'!L:N,2,0)</f>
        <v>0.57181297396619646</v>
      </c>
      <c r="L48" s="17">
        <f>VLOOKUP(B48,'Refi%'!L:N,3,0)</f>
        <v>0.519221652370358</v>
      </c>
      <c r="M48" s="17">
        <f ca="1">VLOOKUP(B48,'Refi%'!L:P,4,0)</f>
        <v>1604.8</v>
      </c>
      <c r="N48" s="17">
        <f>VLOOKUP(B48,'Realized Vol'!H:J,2,0)</f>
        <v>3.0097405474457601</v>
      </c>
      <c r="O48" s="17">
        <f>VLOOKUP(B48,'Realized Vol'!H:J,3,0)</f>
        <v>-19.815516506009967</v>
      </c>
    </row>
    <row r="49" spans="2:15">
      <c r="B49" s="14">
        <v>41971</v>
      </c>
      <c r="C49" s="58">
        <f>'Return&amp;Carry'!C47*100</f>
        <v>-0.2938588702512</v>
      </c>
      <c r="D49" s="15">
        <v>-67.68150624217175</v>
      </c>
      <c r="E49" s="58">
        <f>'Return&amp;Carry'!D47*100</f>
        <v>1.0005318206497076</v>
      </c>
      <c r="F49" s="20">
        <f>VLOOKUP(TEXT(B49,"yyyy-mm-dd"),OneWeekMtgRatesDataTable7[],4,0)*SQRT(225)*100</f>
        <v>54.084441277578613</v>
      </c>
      <c r="G49" s="17">
        <f>VLOOKUP(B49,'Yield Curve'!B49:G96,6,0)*100</f>
        <v>170.4</v>
      </c>
      <c r="H49" s="17">
        <f>VLOOKUP(B49,'ppm risk premium'!$C$3:$F$51,4,0)*100</f>
        <v>79.52421215425791</v>
      </c>
      <c r="I49" s="17">
        <v>6.0065700483008229</v>
      </c>
      <c r="J49" s="17">
        <f>VLOOKUP(B49,'LIBOR 1m'!D:F,3,0)</f>
        <v>0.154</v>
      </c>
      <c r="K49" s="17">
        <f>VLOOKUP(B49,'Refi%'!L:N,2,0)</f>
        <v>0.57290983086857539</v>
      </c>
      <c r="L49" s="17">
        <f>VLOOKUP(B49,'Refi%'!L:N,3,0)</f>
        <v>0.51222876537846296</v>
      </c>
      <c r="M49" s="17">
        <f ca="1">VLOOKUP(B49,'Refi%'!L:P,4,0)</f>
        <v>1366.6</v>
      </c>
      <c r="N49" s="17">
        <f>VLOOKUP(B49,'Realized Vol'!H:J,2,0)</f>
        <v>2.84568526355815</v>
      </c>
      <c r="O49" s="17">
        <f>VLOOKUP(B49,'Realized Vol'!H:J,3,0)</f>
        <v>-16.405528388761013</v>
      </c>
    </row>
    <row r="50" spans="2:15">
      <c r="B50" s="14">
        <v>42004</v>
      </c>
      <c r="C50" s="58">
        <f>'Return&amp;Carry'!C48*100</f>
        <v>-1.5828849942557011</v>
      </c>
      <c r="D50" s="15">
        <v>-82.306011671367912</v>
      </c>
      <c r="E50" s="58">
        <f>'Return&amp;Carry'!D48*100</f>
        <v>1.1149482364602561</v>
      </c>
      <c r="F50" s="20">
        <f>VLOOKUP(TEXT(B50,"yyyy-mm-dd"),OneWeekMtgRatesDataTable7[],4,0)*SQRT(225)*100</f>
        <v>56.938653710194473</v>
      </c>
      <c r="G50" s="17">
        <f>VLOOKUP(B50,'Yield Curve'!B50:G97,6,0)*100</f>
        <v>149.79999999999998</v>
      </c>
      <c r="H50" s="17" t="e">
        <f>VLOOKUP(B50,'ppm risk premium'!$C$3:$F$51,4,0)*100</f>
        <v>#N/A</v>
      </c>
      <c r="I50" s="17">
        <v>5.8275205102004231</v>
      </c>
      <c r="J50" s="17">
        <f>VLOOKUP(B50,'LIBOR 1m'!D:F,3,0)</f>
        <v>0.17125000000000001</v>
      </c>
      <c r="K50" s="17">
        <f>VLOOKUP(B50,'Refi%'!L:N,2,0)</f>
        <v>0.59072795930158906</v>
      </c>
      <c r="L50" s="17">
        <f>VLOOKUP(B50,'Refi%'!L:N,3,0)</f>
        <v>0.53680415412734395</v>
      </c>
      <c r="M50" s="17">
        <f ca="1">VLOOKUP(B50,'Refi%'!L:P,4,0)</f>
        <v>1347.6</v>
      </c>
      <c r="N50" s="17">
        <f>VLOOKUP(B50,'Realized Vol'!H:J,2,0)</f>
        <v>2.8338661414623698</v>
      </c>
      <c r="O50" s="17">
        <f>VLOOKUP(B50,'Realized Vol'!H:J,3,0)</f>
        <v>-1.1819122095780177</v>
      </c>
    </row>
    <row r="51" spans="2:15">
      <c r="B51" s="14">
        <v>42034</v>
      </c>
      <c r="C51" s="58">
        <f>'Return&amp;Carry'!C49*100</f>
        <v>-11.821020000000001</v>
      </c>
      <c r="D51" s="15">
        <v>64.72540859605499</v>
      </c>
      <c r="E51" s="58">
        <f>'Return&amp;Carry'!D49*100</f>
        <v>1.10378</v>
      </c>
      <c r="F51" s="20">
        <f>VLOOKUP(TEXT(B51,"yyyy-mm-dd"),OneWeekMtgRatesDataTable7[],4,0)*SQRT(225)*100</f>
        <v>60.215273067942157</v>
      </c>
      <c r="G51" s="17">
        <f>VLOOKUP(B51,'Yield Curve'!B51:G98,6,0)*100</f>
        <v>120.8</v>
      </c>
      <c r="H51" s="17">
        <f>VLOOKUP(B51,'ppm risk premium'!$C$3:$F$51,4,0)*100</f>
        <v>102.96755242495452</v>
      </c>
      <c r="I51" s="17">
        <v>4.7819496796371066</v>
      </c>
      <c r="J51" s="17">
        <f>VLOOKUP(B51,'LIBOR 1m'!D:F,3,0)</f>
        <v>0.17125000000000001</v>
      </c>
      <c r="K51" s="17">
        <f>VLOOKUP(B51,'Refi%'!L:N,2,0)</f>
        <v>0.66264885680249008</v>
      </c>
      <c r="L51" s="17">
        <f>VLOOKUP(B51,'Refi%'!L:N,3,0)</f>
        <v>0.65582330233583797</v>
      </c>
      <c r="M51" s="17">
        <f ca="1">VLOOKUP(B51,'Refi%'!L:P,4,0)</f>
        <v>2584.8000000000002</v>
      </c>
      <c r="N51" s="17">
        <f>VLOOKUP(B51,'Realized Vol'!H:J,2,0)</f>
        <v>2.4526687901347302</v>
      </c>
      <c r="O51" s="17">
        <f>VLOOKUP(B51,'Realized Vol'!H:J,3,0)</f>
        <v>-38.119735132763964</v>
      </c>
    </row>
    <row r="52" spans="2:15">
      <c r="B52" s="14">
        <v>42062</v>
      </c>
      <c r="C52" s="58">
        <f>'Return&amp;Carry'!C50*100</f>
        <v>11.15765</v>
      </c>
      <c r="D52" s="15">
        <v>-86.739530977079625</v>
      </c>
      <c r="E52" s="58">
        <f>'Return&amp;Carry'!D50*100</f>
        <v>1.6224400000000001</v>
      </c>
      <c r="F52" s="20">
        <f>VLOOKUP(TEXT(B52,"yyyy-mm-dd"),OneWeekMtgRatesDataTable7[],4,0)*SQRT(225)*100</f>
        <v>73.252678383658733</v>
      </c>
      <c r="G52" s="17">
        <f>VLOOKUP(B52,'Yield Curve'!B52:G99,6,0)*100</f>
        <v>137.6</v>
      </c>
      <c r="H52" s="17">
        <f>VLOOKUP(B52,'ppm risk premium'!$C$3:$F$51,4,0)*100</f>
        <v>88.61865866627619</v>
      </c>
      <c r="I52" s="17">
        <v>5.5060134782937995</v>
      </c>
      <c r="J52" s="17">
        <f>VLOOKUP(B52,'LIBOR 1m'!D:F,3,0)</f>
        <v>0.17299999999999999</v>
      </c>
      <c r="K52" s="17">
        <f>VLOOKUP(B52,'Refi%'!L:N,2,0)</f>
        <v>0.61098575112407738</v>
      </c>
      <c r="L52" s="17">
        <f>VLOOKUP(B52,'Refi%'!L:N,3,0)</f>
        <v>0.56144623129586702</v>
      </c>
      <c r="M52" s="17">
        <f ca="1">VLOOKUP(B52,'Refi%'!L:P,4,0)</f>
        <v>1740.3</v>
      </c>
      <c r="N52" s="17">
        <f>VLOOKUP(B52,'Realized Vol'!H:J,2,0)</f>
        <v>2.7365985708724101</v>
      </c>
      <c r="O52" s="17">
        <f>VLOOKUP(B52,'Realized Vol'!H:J,3,0)</f>
        <v>28.392978073767992</v>
      </c>
    </row>
    <row r="53" spans="2:15">
      <c r="B53" s="14">
        <v>42094</v>
      </c>
      <c r="C53" s="58">
        <v>-0.7</v>
      </c>
      <c r="D53" s="18">
        <v>-96.81451688649824</v>
      </c>
      <c r="E53" s="58">
        <f>'Return&amp;Carry'!D51*100</f>
        <v>0.98971000000000009</v>
      </c>
      <c r="F53" s="20">
        <f>VLOOKUP(TEXT(B53,"yyyy-mm-dd"),OneWeekMtgRatesDataTable7[],4,0)*SQRT(225)*100</f>
        <v>78.458334250589758</v>
      </c>
      <c r="G53" s="17">
        <f>VLOOKUP(B53,'Yield Curve'!B53:G100,6,0)*100</f>
        <v>137.9</v>
      </c>
      <c r="H53" s="17">
        <f>VLOOKUP(B53,'ppm risk premium'!$C$3:$F$52,4,0)*100</f>
        <v>92.381279483806495</v>
      </c>
      <c r="I53" s="17">
        <v>5.3690219008891651</v>
      </c>
      <c r="J53" s="17">
        <f>VLOOKUP(B53,'LIBOR 1m'!D:F,3,0)</f>
        <v>0.17624999999999999</v>
      </c>
      <c r="K53" s="17">
        <f>VLOOKUP(B53,'Refi%'!L:N,2,0)</f>
        <v>0.64195316325793905</v>
      </c>
      <c r="L53" s="17">
        <f>VLOOKUP(B53,'Refi%'!L:N,3,0)</f>
        <v>0.61985540937113104</v>
      </c>
      <c r="M53" s="17">
        <f ca="1">VLOOKUP(B53,'Refi%'!L:P,4,0)</f>
        <v>1941.6</v>
      </c>
      <c r="N53" s="17">
        <f>VLOOKUP(B53,'Realized Vol'!H:J,2,0)</f>
        <v>2.66103516127894</v>
      </c>
      <c r="O53" s="17">
        <f>VLOOKUP(B53,'Realized Vol'!H:J,3,0)</f>
        <v>-7.5563409593470077</v>
      </c>
    </row>
    <row r="54" spans="2:15">
      <c r="B54" s="14">
        <v>42124</v>
      </c>
      <c r="C54" s="58">
        <f>'Return&amp;Carry'!C52*100</f>
        <v>5.2069600000000005</v>
      </c>
      <c r="D54" s="18">
        <v>27.78209099475113</v>
      </c>
      <c r="E54" s="58">
        <f>'Return&amp;Carry'!D52*100</f>
        <v>0.23841999999999999</v>
      </c>
      <c r="F54" s="20">
        <f>VLOOKUP(TEXT(B54,"yyyy-mm-dd"),OneWeekMtgRatesDataTable7[],4,0)*SQRT(225)*100</f>
        <v>69.088668025320771</v>
      </c>
      <c r="G54" s="17">
        <f>VLOOKUP(B54,'Yield Curve'!B54:G101,6,0)*100</f>
        <v>146.69999999999999</v>
      </c>
      <c r="H54" s="17">
        <f>VLOOKUP(B54,'ppm risk premium'!$C$3:$F$53,4,0)*100</f>
        <v>80.976701039274388</v>
      </c>
      <c r="I54" s="17">
        <v>5.5645995400440684</v>
      </c>
      <c r="J54" s="17">
        <f>VLOOKUP(B54,'LIBOR 1m'!D:F,3,0)</f>
        <v>0.18099999999999999</v>
      </c>
      <c r="K54" s="17">
        <f>VLOOKUP(B54,'Refi%'!L:N,2,0)</f>
        <v>0.63639402671923606</v>
      </c>
      <c r="L54" s="17">
        <f>VLOOKUP(B54,'Refi%'!L:N,3,0)</f>
        <v>0.608876308109219</v>
      </c>
      <c r="M54" s="17">
        <f ca="1">VLOOKUP(B54,'Refi%'!L:P,4,0)</f>
        <v>1559.4</v>
      </c>
      <c r="N54" s="17">
        <f>VLOOKUP(B54,'Realized Vol'!H:J,2,0)</f>
        <v>2.7480147229669498</v>
      </c>
      <c r="O54" s="17">
        <f>VLOOKUP(B54,'Realized Vol'!H:J,3,0)</f>
        <v>8.6979561688009799</v>
      </c>
    </row>
    <row r="55" spans="2:15">
      <c r="B55" s="14">
        <v>42153</v>
      </c>
      <c r="C55" s="58">
        <f>'Return&amp;Carry'!C53*100</f>
        <v>1.2501099999999998</v>
      </c>
      <c r="D55" s="18">
        <v>27</v>
      </c>
      <c r="E55" s="58">
        <f>'Return&amp;Carry'!D53*100</f>
        <v>0.36718000000000001</v>
      </c>
      <c r="F55" s="20">
        <f>VLOOKUP(TEXT(B55,"yyyy-mm-dd"),OneWeekMtgRatesDataTable7[],4,0)*SQRT(225)*100</f>
        <v>68.401578285219188</v>
      </c>
      <c r="G55" s="17">
        <f>VLOOKUP(B55,'Yield Curve'!B55:G102,6,0)*100</f>
        <v>149.19999999999999</v>
      </c>
      <c r="H55" s="17">
        <f>VLOOKUP(B55,'ppm risk premium'!$C$3:$F$54,4,0)*100</f>
        <v>72.745830765210727</v>
      </c>
      <c r="I55" s="17">
        <v>5.6626091841359365</v>
      </c>
      <c r="J55" s="17">
        <f>VLOOKUP(B55,'LIBOR 1m'!D:F,3,0)</f>
        <v>0.184</v>
      </c>
      <c r="K55" s="17">
        <f>VLOOKUP(B55,'Refi%'!L:N,2,0)</f>
        <v>0.54951676769042945</v>
      </c>
      <c r="L55" s="17">
        <f>VLOOKUP(B55,'Refi%'!L:N,3,0)</f>
        <v>0.49518214427458052</v>
      </c>
      <c r="M55" s="17">
        <f ca="1">VLOOKUP(B55,'Refi%'!L:P,4,0)</f>
        <v>1233.9000000000001</v>
      </c>
      <c r="N55" s="17">
        <f>VLOOKUP(B55,'Realized Vol'!H:J,2,0)</f>
        <v>2.8125589424365498</v>
      </c>
      <c r="O55" s="17">
        <f>VLOOKUP(B55,'Realized Vol'!H:J,3,0)</f>
        <v>6.4544219469599984</v>
      </c>
    </row>
    <row r="56" spans="2:15" s="24" customFormat="1">
      <c r="B56" s="14">
        <v>42185</v>
      </c>
      <c r="C56" s="58">
        <f>'Return&amp;Carry'!C54*100</f>
        <v>4.6789900000000006</v>
      </c>
      <c r="D56" s="18">
        <f>'Return&amp;Carry'!I55</f>
        <v>10</v>
      </c>
      <c r="E56" s="58">
        <f>'Return&amp;Carry'!D54*100</f>
        <v>0.32145000000000001</v>
      </c>
      <c r="F56" s="20">
        <f>VLOOKUP(TEXT(B56,"yyyy-mm-dd"),OneWeekMtgRatesDataTable7[],4,0)*SQRT(225)*100</f>
        <v>75.446781065746876</v>
      </c>
      <c r="G56" s="17">
        <f>VLOOKUP(B56,'Yield Curve'!B56:G103,6,0)*100</f>
        <v>169.79999999999998</v>
      </c>
      <c r="H56" s="17">
        <f>VLOOKUP(B56,'ppm risk premium'!C:F,4,0)*100</f>
        <v>50.563256517622477</v>
      </c>
      <c r="I56" s="17">
        <v>6.1637474082384536</v>
      </c>
      <c r="J56" s="17">
        <f>VLOOKUP(B56,'LIBOR 1m'!D:F,3,0)</f>
        <v>0.1865</v>
      </c>
      <c r="K56" s="17">
        <f>VLOOKUP(B56,'Refi%'!L:N,2,0)</f>
        <v>0.44996575693530583</v>
      </c>
      <c r="L56" s="17">
        <f>VLOOKUP(B56,'Refi%'!L:N,3,0)</f>
        <v>0.39696021691334338</v>
      </c>
      <c r="M56" s="17">
        <f>VLOOKUP(B56,'Refi%'!L:P,4,0)</f>
        <v>1246.0999999999999</v>
      </c>
      <c r="N56" s="17">
        <f>VLOOKUP(B56,'Realized Vol'!H:J,2,0)</f>
        <v>3.0732804432921599</v>
      </c>
      <c r="O56" s="17">
        <f>VLOOKUP(B56,'Realized Vol'!H:J,3,0)</f>
        <v>26.072150085561006</v>
      </c>
    </row>
    <row r="57" spans="2:15" s="24" customFormat="1">
      <c r="B57" s="14">
        <v>42216</v>
      </c>
      <c r="C57" s="58">
        <f>'Return&amp;Carry'!C55*100</f>
        <v>-1.54512</v>
      </c>
      <c r="D57" s="18">
        <f>'Return&amp;Carry'!I56</f>
        <v>14</v>
      </c>
      <c r="E57" s="58">
        <f>'Return&amp;Carry'!D55*100</f>
        <v>0.18509999999999999</v>
      </c>
      <c r="F57" s="20">
        <f>VLOOKUP(TEXT(B57,"yyyy-mm-dd"),OneWeekMtgRatesDataTable7[],4,0)*SQRT(225)*100</f>
        <v>82.061649768663358</v>
      </c>
      <c r="G57" s="17">
        <f>VLOOKUP(B57,'Yield Curve'!B57:G104,6,0)*100</f>
        <v>153.09999999999997</v>
      </c>
      <c r="H57" s="17">
        <f>VLOOKUP(B57,'ppm risk premium'!C:F,4,0)*100</f>
        <v>66.456346459234922</v>
      </c>
      <c r="I57" s="17">
        <v>5.9295802181733217</v>
      </c>
      <c r="J57" s="17">
        <f>VLOOKUP(B57,'LIBOR 1m'!D:F,3,0)</f>
        <v>0.19175</v>
      </c>
      <c r="K57" s="17">
        <v>0.49912270122048025</v>
      </c>
      <c r="L57" s="17">
        <v>0.42269076065729377</v>
      </c>
      <c r="M57" s="17">
        <v>1418</v>
      </c>
      <c r="N57" s="17">
        <f>VLOOKUP(B57,'Realized Vol'!H:J,2,0)</f>
        <v>2.9155081259623699</v>
      </c>
      <c r="O57" s="17">
        <f>VLOOKUP(B57,'Realized Vol'!H:J,3,0)</f>
        <v>-15.777231732979002</v>
      </c>
    </row>
    <row r="58" spans="2:15" s="24" customFormat="1">
      <c r="B58" s="14">
        <v>42247</v>
      </c>
      <c r="C58" s="58">
        <f>'Return&amp;Carry'!C56*100</f>
        <v>0.1421</v>
      </c>
      <c r="D58" s="18">
        <f>'Return&amp;Carry'!I57</f>
        <v>21</v>
      </c>
      <c r="E58" s="58">
        <f>'Return&amp;Carry'!D56*100</f>
        <v>0.48585</v>
      </c>
      <c r="F58" s="20">
        <f>VLOOKUP(TEXT(B58,"yyyy-mm-dd"),OneWeekMtgRatesDataTable7[],4,0)*SQRT(225)*100</f>
        <v>76.130204770863571</v>
      </c>
      <c r="G58" s="17">
        <f>VLOOKUP(B58,'Yield Curve'!B58:G105,6,0)*100</f>
        <v>146.19999999999999</v>
      </c>
      <c r="H58" s="17">
        <f>VLOOKUP(B58,'ppm risk premium'!C:F,4,0)*100</f>
        <v>67.716228624596823</v>
      </c>
      <c r="I58" s="17">
        <v>5.924689418299149</v>
      </c>
      <c r="J58" s="17">
        <f>VLOOKUP(B58,'LIBOR 1m'!D:F,3,0)</f>
        <v>0.19855</v>
      </c>
      <c r="K58" s="17">
        <v>0.54776588117858471</v>
      </c>
      <c r="L58" s="17">
        <v>0.53237291122190666</v>
      </c>
      <c r="M58" s="17">
        <v>1545.5</v>
      </c>
      <c r="N58" s="17">
        <f>VLOOKUP(B58,'Realized Vol'!H:J,2,0)</f>
        <v>2.9344470402340699</v>
      </c>
      <c r="O58" s="17">
        <f>VLOOKUP(B58,'Realized Vol'!H:J,3,0)</f>
        <v>1.8938914271700025</v>
      </c>
    </row>
    <row r="59" spans="2:15" s="24" customFormat="1">
      <c r="B59" s="14">
        <v>42277</v>
      </c>
      <c r="C59" s="58">
        <f>'Return&amp;Carry'!C57*100</f>
        <v>-1.24888</v>
      </c>
      <c r="D59" s="18">
        <f>'Return&amp;Carry'!I58</f>
        <v>40</v>
      </c>
      <c r="E59" s="58">
        <f>'Return&amp;Carry'!D57*100</f>
        <v>0.60951</v>
      </c>
      <c r="F59" s="20">
        <f>VLOOKUP(TEXT(B59,"yyyy-mm-dd"),OneWeekMtgRatesDataTable7[],4,0)*SQRT(225)*100</f>
        <v>67.083680411517804</v>
      </c>
      <c r="G59" s="17">
        <f>VLOOKUP(B59,'Yield Curve'!B59:G106,6,0)*100</f>
        <v>141.5</v>
      </c>
      <c r="H59" s="17">
        <f>VLOOKUP(B59,'ppm risk premium'!C:F,4,0)*100</f>
        <v>70.972281438281911</v>
      </c>
      <c r="I59" s="17">
        <v>5.7022764468856204</v>
      </c>
      <c r="J59" s="17">
        <f>VLOOKUP(B59,'LIBOR 1m'!D:F,3,0)</f>
        <v>0.193</v>
      </c>
      <c r="K59" s="17">
        <v>0.51886914028697095</v>
      </c>
      <c r="L59" s="17">
        <v>0.48860274852887836</v>
      </c>
      <c r="M59" s="17">
        <v>1589.5</v>
      </c>
      <c r="N59" s="17">
        <f>VLOOKUP(B59,'Realized Vol'!H:J,2,0)</f>
        <v>2.8018988061488499</v>
      </c>
      <c r="O59" s="17">
        <f>VLOOKUP(B59,'Realized Vol'!H:J,3,0)</f>
        <v>-13.254823408521998</v>
      </c>
    </row>
    <row r="60" spans="2:15">
      <c r="B60" s="14">
        <v>42307</v>
      </c>
      <c r="C60" s="58">
        <f>'Return&amp;Carry'!C58*100</f>
        <v>0.19308466977959696</v>
      </c>
      <c r="D60" s="18">
        <f>'Return&amp;Carry'!I59</f>
        <v>42.35417736823841</v>
      </c>
      <c r="E60" s="58">
        <f>'Return&amp;Carry'!D58*100</f>
        <v>0.55736056170427151</v>
      </c>
      <c r="F60" s="20">
        <f>VLOOKUP(TEXT(B60,"yyyy-mm-dd"),OneWeekMtgRatesDataTable7[],4,0)*SQRT(225)*100</f>
        <v>66.169247665133071</v>
      </c>
      <c r="G60" s="17">
        <f>VLOOKUP(B60,'Yield Curve'!B60:G107,6,0)*100</f>
        <v>141.60000000000002</v>
      </c>
      <c r="H60" s="17">
        <f>VLOOKUP(B60,'ppm risk premium'!C:F,4,0)*100</f>
        <v>68.255604026480881</v>
      </c>
      <c r="I60" s="17">
        <v>5.6929226403176711</v>
      </c>
      <c r="J60" s="17">
        <f>VLOOKUP(B60,'LIBOR 1m'!D:F,3,0)</f>
        <v>0.192</v>
      </c>
      <c r="K60" s="17">
        <v>0.57894029457192531</v>
      </c>
      <c r="L60" s="17">
        <v>0.55255659565598092</v>
      </c>
      <c r="M60" s="17">
        <v>1534.5</v>
      </c>
      <c r="N60" s="17">
        <f>VLOOKUP(B60,'Realized Vol'!H:J,2,0)</f>
        <v>2.8444181025455899</v>
      </c>
      <c r="O60" s="17">
        <f>VLOOKUP(B60,'Realized Vol'!H:J,3,0)</f>
        <v>4.2519296396740014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59"/>
  <sheetViews>
    <sheetView topLeftCell="A19" workbookViewId="0">
      <selection activeCell="G59" sqref="G59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5" t="s">
        <v>1577</v>
      </c>
      <c r="H1" s="36"/>
      <c r="I1" s="36"/>
      <c r="J1" s="36"/>
      <c r="K1" s="35"/>
    </row>
    <row r="2" spans="2:11" ht="45">
      <c r="B2" s="13" t="s">
        <v>1</v>
      </c>
      <c r="C2" s="16" t="s">
        <v>15</v>
      </c>
      <c r="D2" s="13" t="s">
        <v>3</v>
      </c>
      <c r="G2" s="71" t="s">
        <v>1578</v>
      </c>
      <c r="H2" s="72"/>
      <c r="I2" s="72"/>
      <c r="J2" s="73"/>
      <c r="K2" s="37" t="s">
        <v>1579</v>
      </c>
    </row>
    <row r="3" spans="2:11" ht="45">
      <c r="B3" s="14">
        <v>40633</v>
      </c>
      <c r="C3" s="19">
        <f>K4</f>
        <v>3.2147753175075941E-2</v>
      </c>
      <c r="D3" s="19">
        <f>J4</f>
        <v>1.0991113530483746E-2</v>
      </c>
      <c r="G3" s="38" t="s">
        <v>1</v>
      </c>
      <c r="H3" s="39" t="s">
        <v>1580</v>
      </c>
      <c r="I3" s="39" t="s">
        <v>2</v>
      </c>
      <c r="J3" s="39" t="s">
        <v>3</v>
      </c>
      <c r="K3" s="39" t="s">
        <v>1580</v>
      </c>
    </row>
    <row r="4" spans="2:11">
      <c r="B4" s="14">
        <v>40662</v>
      </c>
      <c r="C4" s="19">
        <f t="shared" ref="C4:C56" si="0">K5</f>
        <v>3.9945300504856653E-2</v>
      </c>
      <c r="D4" s="19">
        <f t="shared" ref="D4:D56" si="1">J5</f>
        <v>1.0984369457682011E-2</v>
      </c>
      <c r="G4" s="40">
        <v>40633</v>
      </c>
      <c r="H4" s="41">
        <v>3.688520807018085E-2</v>
      </c>
      <c r="I4" s="42">
        <v>12.454245092935345</v>
      </c>
      <c r="J4" s="41">
        <v>1.0991113530483746E-2</v>
      </c>
      <c r="K4" s="41">
        <v>3.2147753175075941E-2</v>
      </c>
    </row>
    <row r="5" spans="2:11">
      <c r="B5" s="14">
        <v>40694</v>
      </c>
      <c r="C5" s="19">
        <f t="shared" si="0"/>
        <v>3.6836948680963523E-2</v>
      </c>
      <c r="D5" s="19">
        <f t="shared" si="1"/>
        <v>1.2359978510225116E-2</v>
      </c>
      <c r="G5" s="40">
        <v>40662</v>
      </c>
      <c r="H5" s="43">
        <v>1.824176957431662E-2</v>
      </c>
      <c r="I5" s="42">
        <v>-13.523941730477457</v>
      </c>
      <c r="J5" s="43">
        <v>1.0984369457682011E-2</v>
      </c>
      <c r="K5" s="43">
        <v>3.9945300504856653E-2</v>
      </c>
    </row>
    <row r="6" spans="2:11">
      <c r="B6" s="14">
        <v>40724</v>
      </c>
      <c r="C6" s="19">
        <f t="shared" si="0"/>
        <v>-8.9725230837073861E-3</v>
      </c>
      <c r="D6" s="19">
        <f t="shared" si="1"/>
        <v>1.1611305017469561E-2</v>
      </c>
      <c r="G6" s="40">
        <v>40694</v>
      </c>
      <c r="H6" s="43">
        <v>9.513688870633372E-3</v>
      </c>
      <c r="I6" s="42">
        <v>-39.195910729297935</v>
      </c>
      <c r="J6" s="43">
        <v>1.2359978510225116E-2</v>
      </c>
      <c r="K6" s="43">
        <v>3.6836948680963523E-2</v>
      </c>
    </row>
    <row r="7" spans="2:11">
      <c r="B7" s="14">
        <v>40753</v>
      </c>
      <c r="C7" s="19">
        <f t="shared" si="0"/>
        <v>-7.0542451766380859E-3</v>
      </c>
      <c r="D7" s="19">
        <f t="shared" si="1"/>
        <v>9.4859999077979359E-3</v>
      </c>
      <c r="G7" s="40">
        <v>40724</v>
      </c>
      <c r="H7" s="43">
        <v>1.4594354068344891E-2</v>
      </c>
      <c r="I7" s="42">
        <v>-71.812762532091284</v>
      </c>
      <c r="J7" s="43">
        <v>1.1611305017469561E-2</v>
      </c>
      <c r="K7" s="43">
        <v>-8.9725230837073861E-3</v>
      </c>
    </row>
    <row r="8" spans="2:11">
      <c r="B8" s="14">
        <v>40786</v>
      </c>
      <c r="C8" s="19">
        <f t="shared" si="0"/>
        <v>-0.12940148616743233</v>
      </c>
      <c r="D8" s="19">
        <f t="shared" si="1"/>
        <v>9.8897455980434257E-3</v>
      </c>
      <c r="G8" s="40">
        <v>40753</v>
      </c>
      <c r="H8" s="43">
        <v>-5.6499117749605927E-2</v>
      </c>
      <c r="I8" s="42">
        <v>14.555567089358632</v>
      </c>
      <c r="J8" s="43">
        <v>9.4859999077979359E-3</v>
      </c>
      <c r="K8" s="43">
        <v>-7.0542451766380859E-3</v>
      </c>
    </row>
    <row r="9" spans="2:11">
      <c r="B9" s="14">
        <v>40816</v>
      </c>
      <c r="C9" s="19">
        <f t="shared" si="0"/>
        <v>-0.1064639937577718</v>
      </c>
      <c r="D9" s="19">
        <f t="shared" si="1"/>
        <v>1.4023413556404364E-2</v>
      </c>
      <c r="G9" s="40">
        <v>40786</v>
      </c>
      <c r="H9" s="43">
        <v>-0.20415554691478441</v>
      </c>
      <c r="I9" s="42">
        <v>413.1307634556174</v>
      </c>
      <c r="J9" s="43">
        <v>9.8897455980434257E-3</v>
      </c>
      <c r="K9" s="43">
        <v>-0.12940148616743233</v>
      </c>
    </row>
    <row r="10" spans="2:11">
      <c r="B10" s="14">
        <v>40847</v>
      </c>
      <c r="C10" s="19">
        <f t="shared" si="0"/>
        <v>2.3593584560071421E-2</v>
      </c>
      <c r="D10" s="19">
        <f t="shared" si="1"/>
        <v>1.2905991827933824E-2</v>
      </c>
      <c r="G10" s="40">
        <v>40816</v>
      </c>
      <c r="H10" s="43">
        <v>-0.18608869129036565</v>
      </c>
      <c r="I10" s="42">
        <v>707.3659540161575</v>
      </c>
      <c r="J10" s="43">
        <v>1.4023413556404364E-2</v>
      </c>
      <c r="K10" s="43">
        <v>-0.1064639937577718</v>
      </c>
    </row>
    <row r="11" spans="2:11">
      <c r="B11" s="14">
        <v>40877</v>
      </c>
      <c r="C11" s="19">
        <f t="shared" si="0"/>
        <v>1.4407938862063666E-2</v>
      </c>
      <c r="D11" s="19">
        <f t="shared" si="1"/>
        <v>7.0135917459659249E-3</v>
      </c>
      <c r="G11" s="40">
        <v>40847</v>
      </c>
      <c r="H11" s="43">
        <v>5.2849339196914737E-2</v>
      </c>
      <c r="I11" s="42">
        <v>688.11426559475387</v>
      </c>
      <c r="J11" s="43">
        <v>1.2905991827933824E-2</v>
      </c>
      <c r="K11" s="43">
        <v>2.3593584560071421E-2</v>
      </c>
    </row>
    <row r="12" spans="2:11">
      <c r="B12" s="14">
        <v>40907</v>
      </c>
      <c r="C12" s="19">
        <f t="shared" si="0"/>
        <v>5.8326880120871186E-3</v>
      </c>
      <c r="D12" s="19">
        <f t="shared" si="1"/>
        <v>3.9545840537859589E-3</v>
      </c>
      <c r="G12" s="40">
        <v>40877</v>
      </c>
      <c r="H12" s="43">
        <v>-7.0201412794057283E-3</v>
      </c>
      <c r="I12" s="42">
        <v>623.10168528876363</v>
      </c>
      <c r="J12" s="43">
        <v>7.0135917459659249E-3</v>
      </c>
      <c r="K12" s="43">
        <v>1.4407938862063666E-2</v>
      </c>
    </row>
    <row r="13" spans="2:11">
      <c r="B13" s="14">
        <v>40939</v>
      </c>
      <c r="C13" s="19">
        <f t="shared" si="0"/>
        <v>-3.024751456233022E-2</v>
      </c>
      <c r="D13" s="19">
        <f t="shared" si="1"/>
        <v>9.3155584712633771E-3</v>
      </c>
      <c r="G13" s="40">
        <v>40907</v>
      </c>
      <c r="H13" s="43">
        <v>-2.7877513927723988E-2</v>
      </c>
      <c r="I13" s="42">
        <v>610.59817697721667</v>
      </c>
      <c r="J13" s="43">
        <v>3.9545840537859589E-3</v>
      </c>
      <c r="K13" s="43">
        <v>5.8326880120871186E-3</v>
      </c>
    </row>
    <row r="14" spans="2:11">
      <c r="B14" s="14">
        <v>40968</v>
      </c>
      <c r="C14" s="19">
        <f t="shared" si="0"/>
        <v>0.11557043677865356</v>
      </c>
      <c r="D14" s="19">
        <f t="shared" si="1"/>
        <v>1.7106233225619445E-2</v>
      </c>
      <c r="G14" s="40">
        <v>40939</v>
      </c>
      <c r="H14" s="43">
        <v>-8.8730633004441312E-2</v>
      </c>
      <c r="I14" s="42">
        <v>465.33199143048387</v>
      </c>
      <c r="J14" s="43">
        <v>9.3155584712633771E-3</v>
      </c>
      <c r="K14" s="43">
        <v>-3.024751456233022E-2</v>
      </c>
    </row>
    <row r="15" spans="2:11">
      <c r="B15" s="14">
        <v>40998</v>
      </c>
      <c r="C15" s="19">
        <f t="shared" si="0"/>
        <v>7.1400249822738751E-2</v>
      </c>
      <c r="D15" s="19">
        <f t="shared" si="1"/>
        <v>1.0372252911672174E-2</v>
      </c>
      <c r="G15" s="40">
        <v>40968</v>
      </c>
      <c r="H15" s="43">
        <v>0.12672609655781239</v>
      </c>
      <c r="I15" s="42">
        <v>220.00245023070022</v>
      </c>
      <c r="J15" s="43">
        <v>1.7106233225619445E-2</v>
      </c>
      <c r="K15" s="43">
        <v>0.11557043677865356</v>
      </c>
    </row>
    <row r="16" spans="2:11">
      <c r="B16" s="14">
        <v>41029</v>
      </c>
      <c r="C16" s="19">
        <f t="shared" si="0"/>
        <v>-2.0065317048366831E-2</v>
      </c>
      <c r="D16" s="19">
        <f t="shared" si="1"/>
        <v>2.4221036505354494E-3</v>
      </c>
      <c r="G16" s="40">
        <v>40998</v>
      </c>
      <c r="H16" s="43">
        <v>0.10050253558313642</v>
      </c>
      <c r="I16" s="42">
        <v>105.2548909642519</v>
      </c>
      <c r="J16" s="43">
        <v>1.0372252911672174E-2</v>
      </c>
      <c r="K16" s="43">
        <v>7.1400249822738751E-2</v>
      </c>
    </row>
    <row r="17" spans="2:11">
      <c r="B17" s="14">
        <v>41060</v>
      </c>
      <c r="C17" s="19">
        <f t="shared" si="0"/>
        <v>-7.184565854582485E-2</v>
      </c>
      <c r="D17" s="19">
        <f t="shared" si="1"/>
        <v>8.366930079716603E-3</v>
      </c>
      <c r="G17" s="44">
        <v>41029</v>
      </c>
      <c r="H17" s="43">
        <v>-6.9145834011835106E-2</v>
      </c>
      <c r="I17" s="42">
        <v>167.57420337750975</v>
      </c>
      <c r="J17" s="43">
        <v>2.4221036505354494E-3</v>
      </c>
      <c r="K17" s="43">
        <v>-2.0065317048366831E-2</v>
      </c>
    </row>
    <row r="18" spans="2:11">
      <c r="B18" s="14">
        <v>41089</v>
      </c>
      <c r="C18" s="19">
        <f t="shared" si="0"/>
        <v>4.3888393396695445E-2</v>
      </c>
      <c r="D18" s="19">
        <f t="shared" si="1"/>
        <v>1.4315087535371649E-2</v>
      </c>
      <c r="G18" s="40">
        <v>41060</v>
      </c>
      <c r="H18" s="43">
        <v>-0.12851627707292324</v>
      </c>
      <c r="I18" s="42">
        <v>286.25597142369679</v>
      </c>
      <c r="J18" s="43">
        <v>8.366930079716603E-3</v>
      </c>
      <c r="K18" s="43">
        <v>-7.184565854582485E-2</v>
      </c>
    </row>
    <row r="19" spans="2:11">
      <c r="B19" s="14">
        <v>41121</v>
      </c>
      <c r="C19" s="19">
        <f t="shared" si="0"/>
        <v>6.2058842757472303E-2</v>
      </c>
      <c r="D19" s="19">
        <f t="shared" si="1"/>
        <v>1.197142811608135E-2</v>
      </c>
      <c r="G19" s="40">
        <v>41089</v>
      </c>
      <c r="H19" s="43">
        <v>3.0132718760613676E-2</v>
      </c>
      <c r="I19" s="42">
        <v>293.96700252585651</v>
      </c>
      <c r="J19" s="43">
        <v>1.4315087535371649E-2</v>
      </c>
      <c r="K19" s="43">
        <v>4.3888393396695445E-2</v>
      </c>
    </row>
    <row r="20" spans="2:11">
      <c r="B20" s="14">
        <v>41152</v>
      </c>
      <c r="C20" s="19">
        <f t="shared" si="0"/>
        <v>6.0125210413104188E-2</v>
      </c>
      <c r="D20" s="19">
        <f t="shared" si="1"/>
        <v>8.3837741732004697E-3</v>
      </c>
      <c r="G20" s="40">
        <v>41121</v>
      </c>
      <c r="H20" s="43">
        <v>-1.5907642368620453E-2</v>
      </c>
      <c r="I20" s="42">
        <v>171.71550081323352</v>
      </c>
      <c r="J20" s="43">
        <v>1.197142811608135E-2</v>
      </c>
      <c r="K20" s="43">
        <v>6.2058842757472303E-2</v>
      </c>
    </row>
    <row r="21" spans="2:11">
      <c r="B21" s="14">
        <v>41180</v>
      </c>
      <c r="C21" s="19">
        <f t="shared" si="0"/>
        <v>-3.9837098241825221E-2</v>
      </c>
      <c r="D21" s="19">
        <f t="shared" si="1"/>
        <v>-2.0653799591469671E-3</v>
      </c>
      <c r="G21" s="40">
        <v>41152</v>
      </c>
      <c r="H21" s="43">
        <v>5.8693092581460653E-2</v>
      </c>
      <c r="I21" s="42">
        <v>79.354763942629205</v>
      </c>
      <c r="J21" s="43">
        <v>8.3837741732004697E-3</v>
      </c>
      <c r="K21" s="43">
        <v>6.0125210413104188E-2</v>
      </c>
    </row>
    <row r="22" spans="2:11">
      <c r="B22" s="14">
        <v>41213</v>
      </c>
      <c r="C22" s="19">
        <f t="shared" si="0"/>
        <v>1.5619117433484145E-3</v>
      </c>
      <c r="D22" s="19">
        <f t="shared" si="1"/>
        <v>6.2727320444405663E-3</v>
      </c>
      <c r="G22" s="40">
        <v>41180</v>
      </c>
      <c r="H22" s="43">
        <v>-0.13606250669448994</v>
      </c>
      <c r="I22" s="42">
        <v>247.78680771652574</v>
      </c>
      <c r="J22" s="43">
        <v>-2.0653799591469671E-3</v>
      </c>
      <c r="K22" s="43">
        <v>-3.9837098241825221E-2</v>
      </c>
    </row>
    <row r="23" spans="2:11">
      <c r="B23" s="14">
        <v>41243</v>
      </c>
      <c r="C23" s="19">
        <f t="shared" si="0"/>
        <v>-3.7250678881232228E-2</v>
      </c>
      <c r="D23" s="19">
        <f t="shared" si="1"/>
        <v>-2.8508675740747547E-3</v>
      </c>
      <c r="G23" s="40">
        <v>41213</v>
      </c>
      <c r="H23" s="43">
        <v>1.7655999043972182E-2</v>
      </c>
      <c r="I23" s="42">
        <v>309.68943904644357</v>
      </c>
      <c r="J23" s="43">
        <v>6.2727320444405663E-3</v>
      </c>
      <c r="K23" s="43">
        <v>1.5619117433484145E-3</v>
      </c>
    </row>
    <row r="24" spans="2:11">
      <c r="B24" s="14">
        <v>41274</v>
      </c>
      <c r="C24" s="19">
        <f t="shared" si="0"/>
        <v>2.6619862655127953E-2</v>
      </c>
      <c r="D24" s="19">
        <f t="shared" si="1"/>
        <v>7.0328489174527396E-4</v>
      </c>
      <c r="G24" s="40">
        <v>41243</v>
      </c>
      <c r="H24" s="43">
        <v>-5.8156333129240345E-2</v>
      </c>
      <c r="I24" s="42">
        <v>312.18893683514722</v>
      </c>
      <c r="J24" s="43">
        <v>-2.8508675740747547E-3</v>
      </c>
      <c r="K24" s="43">
        <v>-3.7250678881232228E-2</v>
      </c>
    </row>
    <row r="25" spans="2:11">
      <c r="B25" s="14">
        <v>41305</v>
      </c>
      <c r="C25" s="19">
        <f t="shared" si="0"/>
        <v>2.8918724279014374E-2</v>
      </c>
      <c r="D25" s="19">
        <f t="shared" si="1"/>
        <v>-4.5343840325552881E-3</v>
      </c>
      <c r="G25" s="40">
        <v>41274</v>
      </c>
      <c r="H25" s="43">
        <v>3.1244329246387082E-2</v>
      </c>
      <c r="I25" s="42">
        <v>327.64421827416101</v>
      </c>
      <c r="J25" s="43">
        <v>7.0328489174527396E-4</v>
      </c>
      <c r="K25" s="43">
        <v>2.6619862655127953E-2</v>
      </c>
    </row>
    <row r="26" spans="2:11">
      <c r="B26" s="14">
        <v>41333</v>
      </c>
      <c r="C26" s="19">
        <f t="shared" si="0"/>
        <v>-1.8837838201561088E-3</v>
      </c>
      <c r="D26" s="19">
        <f t="shared" si="1"/>
        <v>-4.495885154910317E-3</v>
      </c>
      <c r="G26" s="40">
        <v>41305</v>
      </c>
      <c r="H26" s="43">
        <v>7.6720092823496705E-2</v>
      </c>
      <c r="I26" s="42">
        <v>428.37292591191766</v>
      </c>
      <c r="J26" s="43">
        <v>-4.5343840325552881E-3</v>
      </c>
      <c r="K26" s="43">
        <v>2.8918724279014374E-2</v>
      </c>
    </row>
    <row r="27" spans="2:11">
      <c r="B27" s="14">
        <v>41361</v>
      </c>
      <c r="C27" s="19">
        <f t="shared" si="0"/>
        <v>4.404539566878387E-2</v>
      </c>
      <c r="D27" s="19">
        <f t="shared" si="1"/>
        <v>3.7234474488990615E-3</v>
      </c>
      <c r="G27" s="40">
        <v>41333</v>
      </c>
      <c r="H27" s="43">
        <v>-1.7108062596615532E-2</v>
      </c>
      <c r="I27" s="42">
        <v>447.98054231586701</v>
      </c>
      <c r="J27" s="43">
        <v>-4.495885154910317E-3</v>
      </c>
      <c r="K27" s="43">
        <v>-1.8837838201561088E-3</v>
      </c>
    </row>
    <row r="28" spans="2:11">
      <c r="B28" s="14">
        <v>41394</v>
      </c>
      <c r="C28" s="19">
        <f t="shared" si="0"/>
        <v>-9.0801513932905822E-2</v>
      </c>
      <c r="D28" s="19">
        <f t="shared" si="1"/>
        <v>2.5360137802357468E-3</v>
      </c>
      <c r="G28" s="40">
        <v>41361</v>
      </c>
      <c r="H28" s="43">
        <v>4.7163211473699472E-2</v>
      </c>
      <c r="I28" s="42">
        <v>342.66581343894296</v>
      </c>
      <c r="J28" s="43">
        <v>3.7234474488990615E-3</v>
      </c>
      <c r="K28" s="43">
        <v>4.404539566878387E-2</v>
      </c>
    </row>
    <row r="29" spans="2:11">
      <c r="B29" s="14">
        <v>41425</v>
      </c>
      <c r="C29" s="19">
        <f t="shared" si="0"/>
        <v>7.8437853172549074E-2</v>
      </c>
      <c r="D29" s="19">
        <f t="shared" si="1"/>
        <v>5.1248106918057989E-3</v>
      </c>
      <c r="G29" s="40">
        <v>41394</v>
      </c>
      <c r="H29" s="43">
        <v>-0.1375545320631599</v>
      </c>
      <c r="I29" s="42">
        <v>522.24020429541497</v>
      </c>
      <c r="J29" s="43">
        <v>2.5360137802357468E-3</v>
      </c>
      <c r="K29" s="43">
        <v>-9.0801513932905822E-2</v>
      </c>
    </row>
    <row r="30" spans="2:11">
      <c r="B30" s="14">
        <v>41453</v>
      </c>
      <c r="C30" s="19">
        <f t="shared" si="0"/>
        <v>4.9033764862551232E-2</v>
      </c>
      <c r="D30" s="19">
        <f t="shared" si="1"/>
        <v>-3.5140150239009612E-3</v>
      </c>
      <c r="G30" s="44">
        <v>41425</v>
      </c>
      <c r="H30" s="43">
        <v>0.20085392209736166</v>
      </c>
      <c r="I30" s="42">
        <v>459.7873533470638</v>
      </c>
      <c r="J30" s="43">
        <v>5.1248106918057989E-3</v>
      </c>
      <c r="K30" s="43">
        <v>7.8437853172549074E-2</v>
      </c>
    </row>
    <row r="31" spans="2:11">
      <c r="B31" s="14">
        <v>41486</v>
      </c>
      <c r="C31" s="19">
        <f t="shared" si="0"/>
        <v>4.5699741276733666E-2</v>
      </c>
      <c r="D31" s="19">
        <f t="shared" si="1"/>
        <v>-4.4551318867113695E-3</v>
      </c>
      <c r="G31" s="40">
        <v>41453</v>
      </c>
      <c r="H31" s="43">
        <v>9.7209580368906881E-2</v>
      </c>
      <c r="I31" s="42">
        <v>381.68905385820221</v>
      </c>
      <c r="J31" s="43">
        <v>-3.5140150239009612E-3</v>
      </c>
      <c r="K31" s="43">
        <v>4.9033764862551232E-2</v>
      </c>
    </row>
    <row r="32" spans="2:11">
      <c r="B32" s="14">
        <v>41516</v>
      </c>
      <c r="C32" s="19">
        <f t="shared" si="0"/>
        <v>2.4720201222230637E-2</v>
      </c>
      <c r="D32" s="19">
        <f t="shared" si="1"/>
        <v>-2.4630779528221846E-3</v>
      </c>
      <c r="G32" s="40">
        <v>41486</v>
      </c>
      <c r="H32" s="43">
        <v>5.3115329310679589E-2</v>
      </c>
      <c r="I32" s="42">
        <v>333.34538926140152</v>
      </c>
      <c r="J32" s="43">
        <v>-4.4551318867113695E-3</v>
      </c>
      <c r="K32" s="43">
        <v>4.5699741276733666E-2</v>
      </c>
    </row>
    <row r="33" spans="2:11">
      <c r="B33" s="14">
        <v>41547</v>
      </c>
      <c r="C33" s="19">
        <f t="shared" si="0"/>
        <v>1.8592263834684392E-2</v>
      </c>
      <c r="D33" s="19">
        <f t="shared" si="1"/>
        <v>2.4923593019947959E-3</v>
      </c>
      <c r="G33" s="40">
        <v>41516</v>
      </c>
      <c r="H33" s="43">
        <v>3.3668875494796441E-2</v>
      </c>
      <c r="I33" s="42">
        <v>273.22545878341941</v>
      </c>
      <c r="J33" s="43">
        <v>-2.4630779528221846E-3</v>
      </c>
      <c r="K33" s="43">
        <v>2.4720201222230637E-2</v>
      </c>
    </row>
    <row r="34" spans="2:11">
      <c r="B34" s="14">
        <v>41578</v>
      </c>
      <c r="C34" s="19">
        <f t="shared" si="0"/>
        <v>-6.4166832462646548E-3</v>
      </c>
      <c r="D34" s="19">
        <f t="shared" si="1"/>
        <v>7.6568844511756022E-3</v>
      </c>
      <c r="G34" s="40">
        <v>41547</v>
      </c>
      <c r="H34" s="43">
        <v>-3.2124263956386633E-3</v>
      </c>
      <c r="I34" s="42">
        <v>225.37600805135619</v>
      </c>
      <c r="J34" s="43">
        <v>2.4923593019947959E-3</v>
      </c>
      <c r="K34" s="43">
        <v>1.8592263834684392E-2</v>
      </c>
    </row>
    <row r="35" spans="2:11">
      <c r="B35" s="14">
        <v>41607</v>
      </c>
      <c r="C35" s="19">
        <f t="shared" si="0"/>
        <v>4.9738644252027002E-2</v>
      </c>
      <c r="D35" s="19">
        <f t="shared" si="1"/>
        <v>7.7706553488175135E-3</v>
      </c>
      <c r="G35" s="40">
        <v>41578</v>
      </c>
      <c r="H35" s="43">
        <v>-2.3217150723686644E-2</v>
      </c>
      <c r="I35" s="42">
        <v>233.90236281121423</v>
      </c>
      <c r="J35" s="43">
        <v>7.6568844511756022E-3</v>
      </c>
      <c r="K35" s="43">
        <v>-6.4166832462646548E-3</v>
      </c>
    </row>
    <row r="36" spans="2:11">
      <c r="B36" s="14">
        <v>41639</v>
      </c>
      <c r="C36" s="19">
        <f t="shared" si="0"/>
        <v>4.9663667583236766E-2</v>
      </c>
      <c r="D36" s="19">
        <f t="shared" si="1"/>
        <v>7.0536743907776301E-3</v>
      </c>
      <c r="G36" s="40">
        <v>41607</v>
      </c>
      <c r="H36" s="43">
        <v>7.9306297728596223E-2</v>
      </c>
      <c r="I36" s="42">
        <v>180.50902550810542</v>
      </c>
      <c r="J36" s="43">
        <v>7.7706553488175135E-3</v>
      </c>
      <c r="K36" s="43">
        <v>4.9738644252027002E-2</v>
      </c>
    </row>
    <row r="37" spans="2:11">
      <c r="B37" s="14">
        <v>41670</v>
      </c>
      <c r="C37" s="19">
        <f t="shared" si="0"/>
        <v>-6.0461752700553548E-3</v>
      </c>
      <c r="D37" s="19">
        <f t="shared" si="1"/>
        <v>6.4418591402733523E-3</v>
      </c>
      <c r="G37" s="40">
        <v>41639</v>
      </c>
      <c r="H37" s="43">
        <v>6.3918956307837907E-2</v>
      </c>
      <c r="I37" s="42">
        <v>106.61579764411411</v>
      </c>
      <c r="J37" s="43">
        <v>7.0536743907776301E-3</v>
      </c>
      <c r="K37" s="43">
        <v>4.9663667583236766E-2</v>
      </c>
    </row>
    <row r="38" spans="2:11">
      <c r="B38" s="14">
        <v>41698</v>
      </c>
      <c r="C38" s="19">
        <f t="shared" si="0"/>
        <v>2.4008316230912187E-2</v>
      </c>
      <c r="D38" s="19">
        <f t="shared" si="1"/>
        <v>9.2566743417696832E-3</v>
      </c>
      <c r="G38" s="40">
        <v>41670</v>
      </c>
      <c r="H38" s="43">
        <v>-3.1266771542105019E-2</v>
      </c>
      <c r="I38" s="42">
        <v>94.950156430588507</v>
      </c>
      <c r="J38" s="43">
        <v>6.4418591402733523E-3</v>
      </c>
      <c r="K38" s="43">
        <v>-6.0461752700553548E-3</v>
      </c>
    </row>
    <row r="39" spans="2:11">
      <c r="B39" s="14">
        <v>41729</v>
      </c>
      <c r="C39" s="19">
        <f t="shared" si="0"/>
        <v>1.6295809607463407E-2</v>
      </c>
      <c r="D39" s="19">
        <f t="shared" si="1"/>
        <v>9.0707922325997548E-3</v>
      </c>
      <c r="G39" s="40">
        <v>41698</v>
      </c>
      <c r="H39" s="45">
        <v>2.1801735188962244E-2</v>
      </c>
      <c r="I39" s="46">
        <v>61.235127244121678</v>
      </c>
      <c r="J39" s="45">
        <v>9.2566743417696832E-3</v>
      </c>
      <c r="K39" s="45">
        <v>2.4008316230912187E-2</v>
      </c>
    </row>
    <row r="40" spans="2:11">
      <c r="B40" s="14">
        <v>41759</v>
      </c>
      <c r="C40" s="19">
        <f t="shared" si="0"/>
        <v>6.7848038432565937E-3</v>
      </c>
      <c r="D40" s="19">
        <f t="shared" si="1"/>
        <v>7.2662252048615022E-3</v>
      </c>
      <c r="G40" s="40">
        <v>41729</v>
      </c>
      <c r="H40" s="43">
        <v>2.1192306923944065E-2</v>
      </c>
      <c r="I40" s="42">
        <v>55.945192208047438</v>
      </c>
      <c r="J40" s="43">
        <v>9.0707922325997548E-3</v>
      </c>
      <c r="K40" s="43">
        <v>1.6295809607463407E-2</v>
      </c>
    </row>
    <row r="41" spans="2:11">
      <c r="B41" s="14">
        <v>41789</v>
      </c>
      <c r="C41" s="19">
        <f t="shared" si="0"/>
        <v>-1.0696001897399792E-2</v>
      </c>
      <c r="D41" s="19">
        <f t="shared" si="1"/>
        <v>8.7548162238832092E-3</v>
      </c>
      <c r="G41" s="40">
        <v>41759</v>
      </c>
      <c r="H41" s="43">
        <v>-7.8448556933493809E-3</v>
      </c>
      <c r="I41" s="42">
        <v>41.829857551285244</v>
      </c>
      <c r="J41" s="43">
        <v>7.2662252048615022E-3</v>
      </c>
      <c r="K41" s="43">
        <v>6.7848038432565937E-3</v>
      </c>
    </row>
    <row r="42" spans="2:11">
      <c r="B42" s="14">
        <v>41820</v>
      </c>
      <c r="C42" s="19">
        <f t="shared" si="0"/>
        <v>2.8037930402820398E-2</v>
      </c>
      <c r="D42" s="19">
        <f t="shared" si="1"/>
        <v>8.6109888830040778E-3</v>
      </c>
      <c r="G42" s="40">
        <v>41789</v>
      </c>
      <c r="H42" s="43">
        <v>-2.9344377458100555E-2</v>
      </c>
      <c r="I42" s="42">
        <v>27.53135237199016</v>
      </c>
      <c r="J42" s="43">
        <v>8.7548162238832092E-3</v>
      </c>
      <c r="K42" s="43">
        <v>-1.0696001897399792E-2</v>
      </c>
    </row>
    <row r="43" spans="2:11">
      <c r="B43" s="14">
        <v>41851</v>
      </c>
      <c r="C43" s="19">
        <f t="shared" si="0"/>
        <v>-2.3275452647388219E-3</v>
      </c>
      <c r="D43" s="19">
        <f t="shared" si="1"/>
        <v>5.8393975407138752E-3</v>
      </c>
      <c r="G43" s="44">
        <v>41820</v>
      </c>
      <c r="H43" s="43">
        <v>2.7757434832433595E-2</v>
      </c>
      <c r="I43" s="42">
        <v>-6.8831389142531938</v>
      </c>
      <c r="J43" s="43">
        <v>8.6109888830040778E-3</v>
      </c>
      <c r="K43" s="43">
        <v>2.8037930402820398E-2</v>
      </c>
    </row>
    <row r="44" spans="2:11">
      <c r="B44" s="14">
        <v>41880</v>
      </c>
      <c r="C44" s="19">
        <f t="shared" si="0"/>
        <v>-1.7827173821292217E-2</v>
      </c>
      <c r="D44" s="19">
        <f t="shared" si="1"/>
        <v>6.1251724135594409E-3</v>
      </c>
      <c r="G44" s="40">
        <v>41851</v>
      </c>
      <c r="H44" s="43">
        <v>7.4645314168620231E-3</v>
      </c>
      <c r="I44" s="42">
        <v>-9.2666841525615986</v>
      </c>
      <c r="J44" s="43">
        <v>5.8393975407138752E-3</v>
      </c>
      <c r="K44" s="43">
        <v>-2.3275452647388219E-3</v>
      </c>
    </row>
    <row r="45" spans="2:11">
      <c r="B45" s="14">
        <v>41912</v>
      </c>
      <c r="C45" s="19">
        <f t="shared" si="0"/>
        <v>2.9347490686823088E-2</v>
      </c>
      <c r="D45" s="19">
        <f t="shared" si="1"/>
        <v>7.8697356644138131E-3</v>
      </c>
      <c r="G45" s="40">
        <v>41880</v>
      </c>
      <c r="H45" s="43">
        <v>-4.731302329905912E-2</v>
      </c>
      <c r="I45" s="42">
        <v>-5.3869867353149345</v>
      </c>
      <c r="J45" s="43">
        <v>6.1251724135594409E-3</v>
      </c>
      <c r="K45" s="43">
        <v>-1.7827173821292217E-2</v>
      </c>
    </row>
    <row r="46" spans="2:11">
      <c r="B46" s="14">
        <v>41943</v>
      </c>
      <c r="C46" s="19">
        <f t="shared" si="0"/>
        <v>-8.9203972294613632E-3</v>
      </c>
      <c r="D46" s="19">
        <f t="shared" si="1"/>
        <v>7.7528402645097435E-3</v>
      </c>
      <c r="G46" s="40">
        <v>41912</v>
      </c>
      <c r="H46" s="43">
        <v>4.3121934944080051E-2</v>
      </c>
      <c r="I46" s="42">
        <v>-45.021233160825908</v>
      </c>
      <c r="J46" s="43">
        <v>7.8697356644138131E-3</v>
      </c>
      <c r="K46" s="43">
        <v>2.9347490686823088E-2</v>
      </c>
    </row>
    <row r="47" spans="2:11">
      <c r="B47" s="14">
        <v>41971</v>
      </c>
      <c r="C47" s="19">
        <f t="shared" si="0"/>
        <v>-2.9385887025119998E-3</v>
      </c>
      <c r="D47" s="19">
        <f t="shared" si="1"/>
        <v>1.0005318206497076E-2</v>
      </c>
      <c r="G47" s="40">
        <v>41943</v>
      </c>
      <c r="H47" s="43">
        <v>-3.9672604856606661E-2</v>
      </c>
      <c r="I47" s="42">
        <v>-45.98502665383706</v>
      </c>
      <c r="J47" s="43">
        <v>7.7528402645097435E-3</v>
      </c>
      <c r="K47" s="43">
        <v>-8.9203972294613632E-3</v>
      </c>
    </row>
    <row r="48" spans="2:11">
      <c r="B48" s="14">
        <v>42004</v>
      </c>
      <c r="C48" s="19">
        <f t="shared" si="0"/>
        <v>-1.5828849942557011E-2</v>
      </c>
      <c r="D48" s="19">
        <f t="shared" si="1"/>
        <v>1.114948236460256E-2</v>
      </c>
      <c r="G48" s="40">
        <v>41971</v>
      </c>
      <c r="H48" s="43">
        <v>-3.3127566680121533E-2</v>
      </c>
      <c r="I48" s="42">
        <v>-67.681506242171764</v>
      </c>
      <c r="J48" s="43">
        <v>1.0005318206497076E-2</v>
      </c>
      <c r="K48" s="43">
        <v>-2.9385887025119998E-3</v>
      </c>
    </row>
    <row r="49" spans="2:14">
      <c r="B49" s="14">
        <v>42034</v>
      </c>
      <c r="C49" s="19">
        <f t="shared" si="0"/>
        <v>-0.1182102</v>
      </c>
      <c r="D49" s="19">
        <f t="shared" si="1"/>
        <v>1.10378E-2</v>
      </c>
      <c r="G49" s="40">
        <v>42004</v>
      </c>
      <c r="H49" s="43">
        <v>-2.6017101954365161E-2</v>
      </c>
      <c r="I49" s="42">
        <v>-82.306011671367912</v>
      </c>
      <c r="J49" s="43">
        <v>1.114948236460256E-2</v>
      </c>
      <c r="K49" s="43">
        <v>-1.5828849942557011E-2</v>
      </c>
    </row>
    <row r="50" spans="2:14">
      <c r="B50" s="14">
        <v>42062</v>
      </c>
      <c r="C50" s="19">
        <f t="shared" si="0"/>
        <v>0.1115765</v>
      </c>
      <c r="D50" s="19">
        <f t="shared" si="1"/>
        <v>1.62244E-2</v>
      </c>
      <c r="G50" s="40">
        <v>42034</v>
      </c>
      <c r="H50" s="59">
        <v>-0.187301</v>
      </c>
      <c r="I50" s="42">
        <v>65</v>
      </c>
      <c r="J50" s="59">
        <v>1.10378E-2</v>
      </c>
      <c r="K50" s="59">
        <v>-0.1182102</v>
      </c>
    </row>
    <row r="51" spans="2:14">
      <c r="B51" s="14">
        <v>42094</v>
      </c>
      <c r="C51" s="19">
        <f t="shared" si="0"/>
        <v>-7.0143999999999996E-3</v>
      </c>
      <c r="D51" s="19">
        <f t="shared" si="1"/>
        <v>9.8971000000000007E-3</v>
      </c>
      <c r="G51" s="44">
        <v>42062</v>
      </c>
      <c r="H51" s="59">
        <v>0.16728899999999999</v>
      </c>
      <c r="I51" s="42">
        <v>-87</v>
      </c>
      <c r="J51" s="59">
        <v>1.62244E-2</v>
      </c>
      <c r="K51" s="59">
        <v>0.1115765</v>
      </c>
    </row>
    <row r="52" spans="2:14">
      <c r="B52" s="14">
        <v>42124</v>
      </c>
      <c r="C52" s="19">
        <f t="shared" si="0"/>
        <v>5.2069600000000001E-2</v>
      </c>
      <c r="D52" s="19">
        <f t="shared" si="1"/>
        <v>2.3841999999999999E-3</v>
      </c>
      <c r="G52" s="44">
        <v>42094</v>
      </c>
      <c r="H52" s="59">
        <v>-2.6037000000000001E-2</v>
      </c>
      <c r="I52" s="42">
        <v>-97</v>
      </c>
      <c r="J52" s="59">
        <v>9.8971000000000007E-3</v>
      </c>
      <c r="K52" s="59">
        <v>-7.0143999999999996E-3</v>
      </c>
    </row>
    <row r="53" spans="2:14">
      <c r="B53" s="14">
        <v>42153</v>
      </c>
      <c r="C53" s="19">
        <f t="shared" si="0"/>
        <v>1.2501099999999999E-2</v>
      </c>
      <c r="D53" s="19">
        <f t="shared" si="1"/>
        <v>3.6717999999999998E-3</v>
      </c>
      <c r="G53" s="44">
        <v>42124</v>
      </c>
      <c r="H53" s="59">
        <v>6.0750999999999999E-2</v>
      </c>
      <c r="I53" s="42">
        <v>28</v>
      </c>
      <c r="J53" s="59">
        <v>2.3841999999999999E-3</v>
      </c>
      <c r="K53" s="59">
        <v>5.2069600000000001E-2</v>
      </c>
    </row>
    <row r="54" spans="2:14">
      <c r="B54" s="14">
        <f>G55</f>
        <v>42185</v>
      </c>
      <c r="C54" s="19">
        <f t="shared" si="0"/>
        <v>4.6789900000000002E-2</v>
      </c>
      <c r="D54" s="19">
        <f t="shared" si="1"/>
        <v>3.2144999999999999E-3</v>
      </c>
      <c r="G54" s="44">
        <v>42153</v>
      </c>
      <c r="H54" s="59">
        <v>1.7461000000000001E-2</v>
      </c>
      <c r="I54" s="42">
        <v>27</v>
      </c>
      <c r="J54" s="59">
        <v>3.6717999999999998E-3</v>
      </c>
      <c r="K54" s="59">
        <v>1.2501099999999999E-2</v>
      </c>
    </row>
    <row r="55" spans="2:14">
      <c r="B55" s="47">
        <v>42216</v>
      </c>
      <c r="C55" s="19">
        <f t="shared" si="0"/>
        <v>-1.54512E-2</v>
      </c>
      <c r="D55" s="19">
        <f t="shared" si="1"/>
        <v>1.851E-3</v>
      </c>
      <c r="G55" s="44">
        <v>42185</v>
      </c>
      <c r="H55" s="59">
        <v>9.1753000000000001E-2</v>
      </c>
      <c r="I55" s="42">
        <v>10</v>
      </c>
      <c r="J55" s="59">
        <v>3.2144999999999999E-3</v>
      </c>
      <c r="K55" s="59">
        <v>4.6789900000000002E-2</v>
      </c>
      <c r="N55">
        <v>3.1759822414505223E-3</v>
      </c>
    </row>
    <row r="56" spans="2:14" s="24" customFormat="1">
      <c r="B56" s="47">
        <v>42247</v>
      </c>
      <c r="C56" s="19">
        <f t="shared" si="0"/>
        <v>1.421E-3</v>
      </c>
      <c r="D56" s="19">
        <f t="shared" si="1"/>
        <v>4.8585E-3</v>
      </c>
      <c r="G56" s="44">
        <v>42216</v>
      </c>
      <c r="H56" s="59">
        <v>-4.3298999999999997E-2</v>
      </c>
      <c r="I56" s="42">
        <v>14</v>
      </c>
      <c r="J56" s="59">
        <v>1.851E-3</v>
      </c>
      <c r="K56" s="59">
        <v>-1.54512E-2</v>
      </c>
    </row>
    <row r="57" spans="2:14" s="24" customFormat="1">
      <c r="B57" s="47">
        <v>42277</v>
      </c>
      <c r="C57" s="19">
        <f t="shared" ref="C57" si="2">K58</f>
        <v>-1.24888E-2</v>
      </c>
      <c r="D57" s="19">
        <f>J58</f>
        <v>6.0951E-3</v>
      </c>
      <c r="G57" s="47">
        <v>42247</v>
      </c>
      <c r="H57" s="60">
        <v>-2.052E-3</v>
      </c>
      <c r="I57" s="48">
        <v>21</v>
      </c>
      <c r="J57" s="60">
        <v>4.8585E-3</v>
      </c>
      <c r="K57" s="60">
        <v>1.421E-3</v>
      </c>
    </row>
    <row r="58" spans="2:14">
      <c r="B58" s="47">
        <v>42278</v>
      </c>
      <c r="C58" s="19">
        <f t="shared" ref="C58" si="3">K59</f>
        <v>1.9308466977959696E-3</v>
      </c>
      <c r="D58" s="19">
        <f>J59</f>
        <v>5.5736056170427152E-3</v>
      </c>
      <c r="G58" s="47">
        <v>42277</v>
      </c>
      <c r="H58" s="60">
        <v>-3.9848000000000001E-2</v>
      </c>
      <c r="I58" s="48">
        <v>40</v>
      </c>
      <c r="J58" s="60">
        <v>6.0951E-3</v>
      </c>
      <c r="K58" s="60">
        <v>-1.24888E-2</v>
      </c>
    </row>
    <row r="59" spans="2:14">
      <c r="G59" s="47">
        <v>42307</v>
      </c>
      <c r="H59" s="60">
        <v>3.6548713343869483E-3</v>
      </c>
      <c r="I59" s="48">
        <v>42.35417736823841</v>
      </c>
      <c r="J59" s="60">
        <v>5.5736056170427152E-3</v>
      </c>
      <c r="K59" s="60">
        <v>1.9308466977959696E-3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634"/>
  <sheetViews>
    <sheetView workbookViewId="0">
      <selection activeCell="J62" sqref="J62"/>
    </sheetView>
  </sheetViews>
  <sheetFormatPr defaultRowHeight="15"/>
  <cols>
    <col min="1" max="1" width="10.7109375" bestFit="1" customWidth="1"/>
    <col min="3" max="4" width="9.140625" style="24"/>
    <col min="6" max="6" width="9.140625" style="24"/>
    <col min="8" max="8" width="9.7109375" bestFit="1" customWidth="1"/>
  </cols>
  <sheetData>
    <row r="1" spans="1:10">
      <c r="A1" s="21" t="s">
        <v>22</v>
      </c>
      <c r="B1" s="21" t="s">
        <v>23</v>
      </c>
      <c r="C1" s="24" t="s">
        <v>4</v>
      </c>
      <c r="D1" s="24" t="s">
        <v>5</v>
      </c>
      <c r="H1" t="s">
        <v>3798</v>
      </c>
    </row>
    <row r="2" spans="1:10">
      <c r="A2" s="22" t="s">
        <v>3803</v>
      </c>
      <c r="B2" s="21">
        <v>3.0415503408748101</v>
      </c>
      <c r="C2" s="21">
        <f t="shared" ref="C2:C65" si="0">B2-B3</f>
        <v>1.7462237392920077E-2</v>
      </c>
      <c r="D2" s="23">
        <f t="shared" ref="D2:D65" si="1">STDEV(C2:C61)</f>
        <v>4.2656770823753354E-2</v>
      </c>
      <c r="H2" s="13" t="s">
        <v>1</v>
      </c>
      <c r="I2" t="s">
        <v>3799</v>
      </c>
      <c r="J2" t="s">
        <v>3800</v>
      </c>
    </row>
    <row r="3" spans="1:10">
      <c r="A3" s="21" t="s">
        <v>3804</v>
      </c>
      <c r="B3" s="21">
        <v>3.0240881034818901</v>
      </c>
      <c r="C3" s="21">
        <f t="shared" si="0"/>
        <v>-1.5383295561440136E-2</v>
      </c>
      <c r="D3" s="23">
        <f t="shared" si="1"/>
        <v>4.270614693203293E-2</v>
      </c>
      <c r="H3" s="14">
        <v>40602</v>
      </c>
      <c r="I3" s="24">
        <f t="shared" ref="I3:I34" si="2">VLOOKUP(TEXT(H3,"yyyy-mm-dd"),A:B,2,0)</f>
        <v>4.23083224039922</v>
      </c>
    </row>
    <row r="4" spans="1:10">
      <c r="A4" s="21" t="s">
        <v>3805</v>
      </c>
      <c r="B4" s="21">
        <v>3.0394713990433302</v>
      </c>
      <c r="C4" s="21">
        <f t="shared" si="0"/>
        <v>2.6773403609370305E-2</v>
      </c>
      <c r="D4" s="23">
        <f t="shared" si="1"/>
        <v>4.2804953707963923E-2</v>
      </c>
      <c r="H4" s="14">
        <f>'Data Set'!B5</f>
        <v>40633</v>
      </c>
      <c r="I4">
        <f t="shared" si="2"/>
        <v>4.26321220258097</v>
      </c>
      <c r="J4">
        <f>(I4-I3)*100</f>
        <v>3.2379962181749988</v>
      </c>
    </row>
    <row r="5" spans="1:10">
      <c r="A5" s="21" t="s">
        <v>3806</v>
      </c>
      <c r="B5" s="21">
        <v>3.0126979954339599</v>
      </c>
      <c r="C5" s="21">
        <f t="shared" si="0"/>
        <v>7.3895310050709817E-2</v>
      </c>
      <c r="D5" s="23">
        <f t="shared" si="1"/>
        <v>4.2751077095630675E-2</v>
      </c>
      <c r="H5" s="14">
        <f>'Data Set'!B6</f>
        <v>40662</v>
      </c>
      <c r="I5" s="24">
        <f t="shared" si="2"/>
        <v>4.0911415079480502</v>
      </c>
      <c r="J5" s="24">
        <f t="shared" ref="J5:J58" si="3">(I5-I4)*100</f>
        <v>-17.20706946329198</v>
      </c>
    </row>
    <row r="6" spans="1:10">
      <c r="A6" s="21" t="s">
        <v>3807</v>
      </c>
      <c r="B6" s="21">
        <v>2.9388026853832501</v>
      </c>
      <c r="C6" s="21">
        <f t="shared" si="0"/>
        <v>4.7396519164601969E-3</v>
      </c>
      <c r="D6" s="23">
        <f t="shared" si="1"/>
        <v>4.227778321628782E-2</v>
      </c>
      <c r="H6" s="14">
        <f>'Data Set'!B7</f>
        <v>40694</v>
      </c>
      <c r="I6" s="24">
        <f t="shared" si="2"/>
        <v>3.93235427092598</v>
      </c>
      <c r="J6" s="24">
        <f t="shared" si="3"/>
        <v>-15.87872370220702</v>
      </c>
    </row>
    <row r="7" spans="1:10">
      <c r="A7" s="21" t="s">
        <v>3808</v>
      </c>
      <c r="B7" s="21">
        <v>2.9340630334667899</v>
      </c>
      <c r="C7" s="21">
        <f t="shared" si="0"/>
        <v>3.5764648221409789E-2</v>
      </c>
      <c r="D7" s="23">
        <f t="shared" si="1"/>
        <v>4.2277762330504086E-2</v>
      </c>
      <c r="H7" s="14">
        <f>'Data Set'!B8</f>
        <v>40724</v>
      </c>
      <c r="I7" s="24">
        <f t="shared" si="2"/>
        <v>4.0210177977435997</v>
      </c>
      <c r="J7" s="24">
        <f t="shared" si="3"/>
        <v>8.8663526817619687</v>
      </c>
    </row>
    <row r="8" spans="1:10">
      <c r="A8" s="21" t="s">
        <v>3809</v>
      </c>
      <c r="B8" s="21">
        <v>2.8982983852453801</v>
      </c>
      <c r="C8" s="21">
        <f t="shared" si="0"/>
        <v>3.3251564452600135E-2</v>
      </c>
      <c r="D8" s="23">
        <f t="shared" si="1"/>
        <v>4.3468741992311002E-2</v>
      </c>
      <c r="H8" s="14">
        <f>'Data Set'!B9</f>
        <v>40753</v>
      </c>
      <c r="I8" s="24">
        <f t="shared" si="2"/>
        <v>3.8088238659156599</v>
      </c>
      <c r="J8" s="24">
        <f t="shared" si="3"/>
        <v>-21.219393182793979</v>
      </c>
    </row>
    <row r="9" spans="1:10">
      <c r="A9" s="21" t="s">
        <v>3810</v>
      </c>
      <c r="B9" s="21">
        <v>2.8650468207927799</v>
      </c>
      <c r="C9" s="21">
        <f t="shared" si="0"/>
        <v>2.0628718247190037E-2</v>
      </c>
      <c r="D9" s="23">
        <f t="shared" si="1"/>
        <v>4.3783296635834808E-2</v>
      </c>
      <c r="H9" s="14">
        <f>'Data Set'!B10</f>
        <v>40786</v>
      </c>
      <c r="I9" s="24">
        <f t="shared" si="2"/>
        <v>3.4273948025536498</v>
      </c>
      <c r="J9" s="24">
        <f t="shared" si="3"/>
        <v>-38.142906336201008</v>
      </c>
    </row>
    <row r="10" spans="1:10">
      <c r="A10" s="21" t="s">
        <v>3811</v>
      </c>
      <c r="B10" s="21">
        <v>2.8444181025455899</v>
      </c>
      <c r="C10" s="21">
        <f t="shared" si="0"/>
        <v>-3.1624884506249895E-2</v>
      </c>
      <c r="D10" s="23">
        <f t="shared" si="1"/>
        <v>4.411283177675538E-2</v>
      </c>
      <c r="H10" s="14">
        <f>'Data Set'!B11</f>
        <v>40816</v>
      </c>
      <c r="I10" s="24">
        <f t="shared" si="2"/>
        <v>3.0385261527896099</v>
      </c>
      <c r="J10" s="24">
        <f t="shared" si="3"/>
        <v>-38.886864976403992</v>
      </c>
    </row>
    <row r="11" spans="1:10">
      <c r="A11" s="21" t="s">
        <v>3812</v>
      </c>
      <c r="B11" s="21">
        <v>2.8760429870518398</v>
      </c>
      <c r="C11" s="21">
        <f t="shared" si="0"/>
        <v>8.0230941839379621E-2</v>
      </c>
      <c r="D11" s="23">
        <f t="shared" si="1"/>
        <v>4.4178451002958433E-2</v>
      </c>
      <c r="H11" s="14">
        <f>'Data Set'!B12</f>
        <v>40847</v>
      </c>
      <c r="I11" s="24">
        <f t="shared" si="2"/>
        <v>3.2515769978966</v>
      </c>
      <c r="J11" s="24">
        <f t="shared" si="3"/>
        <v>21.305084510699011</v>
      </c>
    </row>
    <row r="12" spans="1:10">
      <c r="A12" s="21" t="s">
        <v>3813</v>
      </c>
      <c r="B12" s="21">
        <v>2.7958120452124602</v>
      </c>
      <c r="C12" s="21">
        <f t="shared" si="0"/>
        <v>7.1828736145409966E-2</v>
      </c>
      <c r="D12" s="23">
        <f t="shared" si="1"/>
        <v>4.3380458550547209E-2</v>
      </c>
      <c r="H12" s="14">
        <f>'Data Set'!B13</f>
        <v>40877</v>
      </c>
      <c r="I12" s="24">
        <f t="shared" si="2"/>
        <v>3.1770193190764999</v>
      </c>
      <c r="J12" s="24">
        <f t="shared" si="3"/>
        <v>-7.4557678820100115</v>
      </c>
    </row>
    <row r="13" spans="1:10">
      <c r="A13" s="21" t="s">
        <v>3814</v>
      </c>
      <c r="B13" s="21">
        <v>2.7239833090670502</v>
      </c>
      <c r="C13" s="21">
        <f t="shared" si="0"/>
        <v>-3.1874277367899939E-2</v>
      </c>
      <c r="D13" s="23">
        <f t="shared" si="1"/>
        <v>4.3423644076941617E-2</v>
      </c>
      <c r="H13" s="14">
        <f>'Data Set'!B14</f>
        <v>40907</v>
      </c>
      <c r="I13" s="24">
        <f t="shared" si="2"/>
        <v>3.0169008574553802</v>
      </c>
      <c r="J13" s="24">
        <f t="shared" si="3"/>
        <v>-16.011846162111976</v>
      </c>
    </row>
    <row r="14" spans="1:10">
      <c r="A14" s="21" t="s">
        <v>3815</v>
      </c>
      <c r="B14" s="21">
        <v>2.7558575864349502</v>
      </c>
      <c r="C14" s="21">
        <f t="shared" si="0"/>
        <v>-1.5417786496879859E-2</v>
      </c>
      <c r="D14" s="23">
        <f t="shared" si="1"/>
        <v>4.3398197730520144E-2</v>
      </c>
      <c r="H14" s="14">
        <f>'Data Set'!B15</f>
        <v>40939</v>
      </c>
      <c r="I14" s="24">
        <f t="shared" si="2"/>
        <v>2.7762952709571298</v>
      </c>
      <c r="J14" s="24">
        <f t="shared" si="3"/>
        <v>-24.060558649825037</v>
      </c>
    </row>
    <row r="15" spans="1:10">
      <c r="A15" s="21" t="s">
        <v>3816</v>
      </c>
      <c r="B15" s="21">
        <v>2.77127537293183</v>
      </c>
      <c r="C15" s="21">
        <f t="shared" si="0"/>
        <v>5.3911107619879939E-2</v>
      </c>
      <c r="D15" s="23">
        <f t="shared" si="1"/>
        <v>4.4476034583139694E-2</v>
      </c>
      <c r="H15" s="14">
        <f>'Data Set'!B16</f>
        <v>40968</v>
      </c>
      <c r="I15" s="24">
        <f t="shared" si="2"/>
        <v>2.8817315463419</v>
      </c>
      <c r="J15" s="24">
        <f t="shared" si="3"/>
        <v>10.543627538477018</v>
      </c>
    </row>
    <row r="16" spans="1:10">
      <c r="A16" s="21" t="s">
        <v>3817</v>
      </c>
      <c r="B16" s="21">
        <v>2.7173642653119501</v>
      </c>
      <c r="C16" s="21">
        <f t="shared" si="0"/>
        <v>-2.7312041381760022E-2</v>
      </c>
      <c r="D16" s="23">
        <f t="shared" si="1"/>
        <v>4.383066631076106E-2</v>
      </c>
      <c r="H16" s="14">
        <f>'Data Set'!B17</f>
        <v>40998</v>
      </c>
      <c r="I16" s="24">
        <f t="shared" si="2"/>
        <v>3.0669215754139501</v>
      </c>
      <c r="J16" s="24">
        <f t="shared" si="3"/>
        <v>18.519002907205007</v>
      </c>
    </row>
    <row r="17" spans="1:10">
      <c r="A17" s="21" t="s">
        <v>3818</v>
      </c>
      <c r="B17" s="21">
        <v>2.7446763066937101</v>
      </c>
      <c r="C17" s="21">
        <f t="shared" si="0"/>
        <v>-2.8258689482060007E-2</v>
      </c>
      <c r="D17" s="23">
        <f t="shared" si="1"/>
        <v>4.3894206365353704E-2</v>
      </c>
      <c r="H17" s="14">
        <f>'Data Set'!B18</f>
        <v>41029</v>
      </c>
      <c r="I17" s="24">
        <f t="shared" si="2"/>
        <v>2.8585941716778001</v>
      </c>
      <c r="J17" s="24">
        <f t="shared" si="3"/>
        <v>-20.832740373615</v>
      </c>
    </row>
    <row r="18" spans="1:10">
      <c r="A18" s="21" t="s">
        <v>3819</v>
      </c>
      <c r="B18" s="21">
        <v>2.7729349961757701</v>
      </c>
      <c r="C18" s="21">
        <f t="shared" si="0"/>
        <v>3.7732836477569975E-2</v>
      </c>
      <c r="D18" s="23">
        <f t="shared" si="1"/>
        <v>4.3778517570401958E-2</v>
      </c>
      <c r="H18" s="14">
        <f>'Data Set'!B19</f>
        <v>41060</v>
      </c>
      <c r="I18" s="24">
        <f t="shared" si="2"/>
        <v>2.6463905286345102</v>
      </c>
      <c r="J18" s="24">
        <f t="shared" si="3"/>
        <v>-21.220364304328989</v>
      </c>
    </row>
    <row r="19" spans="1:10">
      <c r="A19" s="21" t="s">
        <v>3820</v>
      </c>
      <c r="B19" s="21">
        <v>2.7352021596982001</v>
      </c>
      <c r="C19" s="21">
        <f t="shared" si="0"/>
        <v>1.7293249770800045E-3</v>
      </c>
      <c r="D19" s="23">
        <f t="shared" si="1"/>
        <v>4.3592488897867133E-2</v>
      </c>
      <c r="H19" s="14">
        <f>'Data Set'!B20</f>
        <v>41089</v>
      </c>
      <c r="I19" s="24">
        <f t="shared" si="2"/>
        <v>2.6237188553228199</v>
      </c>
      <c r="J19" s="24">
        <f t="shared" si="3"/>
        <v>-2.2671673311690288</v>
      </c>
    </row>
    <row r="20" spans="1:10">
      <c r="A20" s="21" t="s">
        <v>3821</v>
      </c>
      <c r="B20" s="21">
        <v>2.7334728347211201</v>
      </c>
      <c r="C20" s="21">
        <f t="shared" si="0"/>
        <v>3.0289119859401303E-3</v>
      </c>
      <c r="D20" s="23">
        <f t="shared" si="1"/>
        <v>4.3611961861968154E-2</v>
      </c>
      <c r="H20" s="14">
        <f>'Data Set'!B21</f>
        <v>41121</v>
      </c>
      <c r="I20" s="24">
        <f t="shared" si="2"/>
        <v>2.3145960727619199</v>
      </c>
      <c r="J20" s="24">
        <f t="shared" si="3"/>
        <v>-30.912278256089998</v>
      </c>
    </row>
    <row r="21" spans="1:10">
      <c r="A21" s="21" t="s">
        <v>3822</v>
      </c>
      <c r="B21" s="21">
        <v>2.73044392273518</v>
      </c>
      <c r="C21" s="21">
        <f t="shared" si="0"/>
        <v>2.2340340023680128E-2</v>
      </c>
      <c r="D21" s="23">
        <f t="shared" si="1"/>
        <v>4.3686294343815567E-2</v>
      </c>
      <c r="H21" s="14">
        <f>'Data Set'!B22</f>
        <v>41152</v>
      </c>
      <c r="I21" s="24">
        <f t="shared" si="2"/>
        <v>2.3689486742097801</v>
      </c>
      <c r="J21" s="24">
        <f t="shared" si="3"/>
        <v>5.4352601447860138</v>
      </c>
    </row>
    <row r="22" spans="1:10">
      <c r="A22" s="21" t="s">
        <v>3823</v>
      </c>
      <c r="B22" s="21">
        <v>2.7081035827114999</v>
      </c>
      <c r="C22" s="21">
        <f t="shared" si="0"/>
        <v>-8.1096357342900216E-2</v>
      </c>
      <c r="D22" s="23">
        <f t="shared" si="1"/>
        <v>4.3552390784688776E-2</v>
      </c>
      <c r="H22" s="14">
        <f>'Data Set'!B23</f>
        <v>41180</v>
      </c>
      <c r="I22" s="24">
        <f t="shared" si="2"/>
        <v>2.0399140401394802</v>
      </c>
      <c r="J22" s="24">
        <f t="shared" si="3"/>
        <v>-32.903463407029989</v>
      </c>
    </row>
    <row r="23" spans="1:10">
      <c r="A23" s="21" t="s">
        <v>3824</v>
      </c>
      <c r="B23" s="21">
        <v>2.7891999400544001</v>
      </c>
      <c r="C23" s="21">
        <f t="shared" si="0"/>
        <v>-3.1053286399759905E-2</v>
      </c>
      <c r="D23" s="23">
        <f t="shared" si="1"/>
        <v>4.253060178655256E-2</v>
      </c>
      <c r="H23" s="14">
        <f>'Data Set'!B24</f>
        <v>41213</v>
      </c>
      <c r="I23" s="24">
        <f t="shared" si="2"/>
        <v>2.1423497452898399</v>
      </c>
      <c r="J23" s="24">
        <f t="shared" si="3"/>
        <v>10.243570515035971</v>
      </c>
    </row>
    <row r="24" spans="1:10">
      <c r="A24" s="21" t="s">
        <v>3825</v>
      </c>
      <c r="B24" s="21">
        <v>2.82025322645416</v>
      </c>
      <c r="C24" s="21">
        <f t="shared" si="0"/>
        <v>3.6857103847998118E-3</v>
      </c>
      <c r="D24" s="23">
        <f t="shared" si="1"/>
        <v>4.2499205453791787E-2</v>
      </c>
      <c r="H24" s="14">
        <f>'Data Set'!B25</f>
        <v>41243</v>
      </c>
      <c r="I24" s="24">
        <f t="shared" si="2"/>
        <v>2.0725335490580301</v>
      </c>
      <c r="J24" s="24">
        <f t="shared" si="3"/>
        <v>-6.9816196231809791</v>
      </c>
    </row>
    <row r="25" spans="1:10">
      <c r="A25" s="21" t="s">
        <v>3826</v>
      </c>
      <c r="B25" s="21">
        <v>2.8165675160693602</v>
      </c>
      <c r="C25" s="21">
        <f t="shared" si="0"/>
        <v>1.6981440623902166E-3</v>
      </c>
      <c r="D25" s="23">
        <f t="shared" si="1"/>
        <v>4.2505038773959079E-2</v>
      </c>
      <c r="H25" s="14">
        <f>'Data Set'!B26</f>
        <v>41274</v>
      </c>
      <c r="I25" s="24">
        <f t="shared" si="2"/>
        <v>2.1517307112587098</v>
      </c>
      <c r="J25" s="24">
        <f t="shared" si="3"/>
        <v>7.9197162200679738</v>
      </c>
    </row>
    <row r="26" spans="1:10">
      <c r="A26" s="21" t="s">
        <v>3827</v>
      </c>
      <c r="B26" s="21">
        <v>2.81486937200697</v>
      </c>
      <c r="C26" s="21">
        <f t="shared" si="0"/>
        <v>4.4766614576019936E-2</v>
      </c>
      <c r="D26" s="23">
        <f t="shared" si="1"/>
        <v>4.2500260035729293E-2</v>
      </c>
      <c r="H26" s="14">
        <f>'Data Set'!B27</f>
        <v>41305</v>
      </c>
      <c r="I26" s="24">
        <f t="shared" si="2"/>
        <v>2.57376759097352</v>
      </c>
      <c r="J26" s="24">
        <f t="shared" si="3"/>
        <v>42.203687971481017</v>
      </c>
    </row>
    <row r="27" spans="1:10">
      <c r="A27" s="21" t="s">
        <v>3828</v>
      </c>
      <c r="B27" s="21">
        <v>2.77010275743095</v>
      </c>
      <c r="C27" s="21">
        <f t="shared" si="0"/>
        <v>1.3070671481070217E-2</v>
      </c>
      <c r="D27" s="23">
        <f t="shared" si="1"/>
        <v>4.2296013141797588E-2</v>
      </c>
      <c r="H27" s="14">
        <f>'Data Set'!B28</f>
        <v>41333</v>
      </c>
      <c r="I27" s="24">
        <f t="shared" si="2"/>
        <v>2.5448374323223399</v>
      </c>
      <c r="J27" s="24">
        <f t="shared" si="3"/>
        <v>-2.8930158651180093</v>
      </c>
    </row>
    <row r="28" spans="1:10">
      <c r="A28" s="21" t="s">
        <v>3829</v>
      </c>
      <c r="B28" s="21">
        <v>2.7570320859498798</v>
      </c>
      <c r="C28" s="21">
        <f t="shared" si="0"/>
        <v>-1.6389137606420245E-2</v>
      </c>
      <c r="D28" s="23">
        <f t="shared" si="1"/>
        <v>4.2402192177032352E-2</v>
      </c>
      <c r="H28" s="14">
        <f>'Data Set'!B29</f>
        <v>41361</v>
      </c>
      <c r="I28" s="24">
        <f t="shared" si="2"/>
        <v>2.6143335780898398</v>
      </c>
      <c r="J28" s="24">
        <f t="shared" si="3"/>
        <v>6.9496145767499851</v>
      </c>
    </row>
    <row r="29" spans="1:10">
      <c r="A29" s="21" t="s">
        <v>3830</v>
      </c>
      <c r="B29" s="21">
        <v>2.7734212235563001</v>
      </c>
      <c r="C29" s="21">
        <f t="shared" si="0"/>
        <v>4.3787768385250114E-2</v>
      </c>
      <c r="D29" s="23">
        <f t="shared" si="1"/>
        <v>4.2384449952299334E-2</v>
      </c>
      <c r="H29" s="14">
        <f>'Data Set'!B30</f>
        <v>41394</v>
      </c>
      <c r="I29" s="24">
        <f t="shared" si="2"/>
        <v>2.3535373905486399</v>
      </c>
      <c r="J29" s="24">
        <f t="shared" si="3"/>
        <v>-26.079618754119991</v>
      </c>
    </row>
    <row r="30" spans="1:10">
      <c r="A30" s="21" t="s">
        <v>3831</v>
      </c>
      <c r="B30" s="21">
        <v>2.7296334551710499</v>
      </c>
      <c r="C30" s="21">
        <f t="shared" si="0"/>
        <v>-4.8776771859820212E-2</v>
      </c>
      <c r="D30" s="23">
        <f t="shared" si="1"/>
        <v>4.3894295392883302E-2</v>
      </c>
      <c r="H30" s="14">
        <f>'Data Set'!B31</f>
        <v>41425</v>
      </c>
      <c r="I30" s="24">
        <f t="shared" si="2"/>
        <v>2.95731349620652</v>
      </c>
      <c r="J30" s="24">
        <f t="shared" si="3"/>
        <v>60.377610565788011</v>
      </c>
    </row>
    <row r="31" spans="1:10">
      <c r="A31" s="21" t="s">
        <v>1624</v>
      </c>
      <c r="B31" s="21">
        <v>2.7784102270308701</v>
      </c>
      <c r="C31" s="21">
        <f t="shared" si="0"/>
        <v>-2.3488579117979747E-2</v>
      </c>
      <c r="D31" s="23">
        <f t="shared" si="1"/>
        <v>4.465759782277031E-2</v>
      </c>
      <c r="H31" s="14">
        <f>'Data Set'!B32</f>
        <v>41453</v>
      </c>
      <c r="I31" s="24">
        <f t="shared" si="2"/>
        <v>3.3094496735702101</v>
      </c>
      <c r="J31" s="24">
        <f t="shared" si="3"/>
        <v>35.213617736369017</v>
      </c>
    </row>
    <row r="32" spans="1:10">
      <c r="A32" s="21" t="s">
        <v>1625</v>
      </c>
      <c r="B32" s="21">
        <v>2.8018988061488499</v>
      </c>
      <c r="C32" s="21">
        <f t="shared" si="0"/>
        <v>-1.0552775275439963E-2</v>
      </c>
      <c r="D32" s="23">
        <f t="shared" si="1"/>
        <v>4.4722453607678542E-2</v>
      </c>
      <c r="H32" s="14">
        <f>'Data Set'!B33</f>
        <v>41486</v>
      </c>
      <c r="I32" s="24">
        <f t="shared" si="2"/>
        <v>3.4095392657433901</v>
      </c>
      <c r="J32" s="24">
        <f t="shared" si="3"/>
        <v>10.008959217317992</v>
      </c>
    </row>
    <row r="33" spans="1:10">
      <c r="A33" s="21" t="s">
        <v>1626</v>
      </c>
      <c r="B33" s="21">
        <v>2.8124515814242899</v>
      </c>
      <c r="C33" s="21">
        <f t="shared" si="0"/>
        <v>-4.2183232127700254E-2</v>
      </c>
      <c r="D33" s="23">
        <f t="shared" si="1"/>
        <v>4.485621990708176E-2</v>
      </c>
      <c r="H33" s="14">
        <f>'Data Set'!B34</f>
        <v>41516</v>
      </c>
      <c r="I33" s="24">
        <f t="shared" si="2"/>
        <v>3.5181082868119602</v>
      </c>
      <c r="J33" s="24">
        <f t="shared" si="3"/>
        <v>10.856902106857014</v>
      </c>
    </row>
    <row r="34" spans="1:10">
      <c r="A34" s="21" t="s">
        <v>1627</v>
      </c>
      <c r="B34" s="21">
        <v>2.8546348135519901</v>
      </c>
      <c r="C34" s="21">
        <f t="shared" si="0"/>
        <v>-4.4115830781390031E-2</v>
      </c>
      <c r="D34" s="23">
        <f t="shared" si="1"/>
        <v>4.6023847551096474E-2</v>
      </c>
      <c r="H34" s="14">
        <f>'Data Set'!B35</f>
        <v>41547</v>
      </c>
      <c r="I34" s="24">
        <f t="shared" si="2"/>
        <v>3.2952489842634298</v>
      </c>
      <c r="J34" s="24">
        <f t="shared" si="3"/>
        <v>-22.285930254853035</v>
      </c>
    </row>
    <row r="35" spans="1:10">
      <c r="A35" s="21" t="s">
        <v>1628</v>
      </c>
      <c r="B35" s="21">
        <v>2.8987506443333801</v>
      </c>
      <c r="C35" s="21">
        <f t="shared" si="0"/>
        <v>2.7481135634350284E-2</v>
      </c>
      <c r="D35" s="23">
        <f t="shared" si="1"/>
        <v>4.5852695808873106E-2</v>
      </c>
      <c r="H35" s="14">
        <f>'Data Set'!B36</f>
        <v>41578</v>
      </c>
      <c r="I35" s="24">
        <f t="shared" ref="I35:I66" si="4">VLOOKUP(TEXT(H35,"yyyy-mm-dd"),A:B,2,0)</f>
        <v>3.1803565883984102</v>
      </c>
      <c r="J35" s="24">
        <f t="shared" si="3"/>
        <v>-11.489239586501965</v>
      </c>
    </row>
    <row r="36" spans="1:10">
      <c r="A36" s="21" t="s">
        <v>1629</v>
      </c>
      <c r="B36" s="21">
        <v>2.8712695086990299</v>
      </c>
      <c r="C36" s="21">
        <f t="shared" si="0"/>
        <v>-2.2255477374302224E-3</v>
      </c>
      <c r="D36" s="23">
        <f t="shared" si="1"/>
        <v>4.7260478985326683E-2</v>
      </c>
      <c r="H36" s="14">
        <f>'Data Set'!B37</f>
        <v>41607</v>
      </c>
      <c r="I36" s="24">
        <f t="shared" si="4"/>
        <v>3.4152065149267101</v>
      </c>
      <c r="J36" s="24">
        <f t="shared" si="3"/>
        <v>23.484992652829995</v>
      </c>
    </row>
    <row r="37" spans="1:10">
      <c r="A37" s="21" t="s">
        <v>1630</v>
      </c>
      <c r="B37" s="21">
        <v>2.8734950564364601</v>
      </c>
      <c r="C37" s="21">
        <f t="shared" si="0"/>
        <v>1.4059834812929939E-2</v>
      </c>
      <c r="D37" s="23">
        <f t="shared" si="1"/>
        <v>4.7273040338705781E-2</v>
      </c>
      <c r="H37" s="14">
        <f>'Data Set'!B38</f>
        <v>41639</v>
      </c>
      <c r="I37" s="24">
        <f t="shared" si="4"/>
        <v>3.5930254960618</v>
      </c>
      <c r="J37" s="24">
        <f t="shared" si="3"/>
        <v>17.781898113508987</v>
      </c>
    </row>
    <row r="38" spans="1:10">
      <c r="A38" s="21" t="s">
        <v>1631</v>
      </c>
      <c r="B38" s="21">
        <v>2.8594352216235301</v>
      </c>
      <c r="C38" s="21">
        <f t="shared" si="0"/>
        <v>-5.5429538474749851E-2</v>
      </c>
      <c r="D38" s="23">
        <f t="shared" si="1"/>
        <v>4.9428623945394282E-2</v>
      </c>
      <c r="H38" s="14">
        <f>'Data Set'!B39</f>
        <v>41670</v>
      </c>
      <c r="I38" s="24">
        <f t="shared" si="4"/>
        <v>3.3406752567006799</v>
      </c>
      <c r="J38" s="24">
        <f t="shared" si="3"/>
        <v>-25.235023936112011</v>
      </c>
    </row>
    <row r="39" spans="1:10">
      <c r="A39" s="21" t="s">
        <v>1632</v>
      </c>
      <c r="B39" s="21">
        <v>2.91486476009828</v>
      </c>
      <c r="C39" s="21">
        <f t="shared" si="0"/>
        <v>7.8576558225759818E-2</v>
      </c>
      <c r="D39" s="23">
        <f t="shared" si="1"/>
        <v>5.0392020239140189E-2</v>
      </c>
      <c r="H39" s="14">
        <f>'Data Set'!B40</f>
        <v>41698</v>
      </c>
      <c r="I39" s="24">
        <f t="shared" si="4"/>
        <v>3.3514861848067001</v>
      </c>
      <c r="J39" s="24">
        <f t="shared" si="3"/>
        <v>1.0810928106020246</v>
      </c>
    </row>
    <row r="40" spans="1:10">
      <c r="A40" s="21" t="s">
        <v>1633</v>
      </c>
      <c r="B40" s="21">
        <v>2.8362882018725202</v>
      </c>
      <c r="C40" s="21">
        <f t="shared" si="0"/>
        <v>-5.8331737347749879E-2</v>
      </c>
      <c r="D40" s="23">
        <f t="shared" si="1"/>
        <v>4.9376528188188981E-2</v>
      </c>
      <c r="H40" s="14">
        <f>'Data Set'!B41</f>
        <v>41729</v>
      </c>
      <c r="I40" s="24">
        <f t="shared" si="4"/>
        <v>3.44685935064701</v>
      </c>
      <c r="J40" s="24">
        <f t="shared" si="3"/>
        <v>9.5373165840309859</v>
      </c>
    </row>
    <row r="41" spans="1:10">
      <c r="A41" s="21" t="s">
        <v>1634</v>
      </c>
      <c r="B41" s="21">
        <v>2.8946199392202701</v>
      </c>
      <c r="C41" s="21">
        <f t="shared" si="0"/>
        <v>-9.8042221938010155E-2</v>
      </c>
      <c r="D41" s="23">
        <f t="shared" si="1"/>
        <v>4.8990392076077444E-2</v>
      </c>
      <c r="H41" s="14">
        <f>'Data Set'!B42</f>
        <v>41759</v>
      </c>
      <c r="I41" s="24">
        <f t="shared" si="4"/>
        <v>3.3274269650204</v>
      </c>
      <c r="J41" s="24">
        <f t="shared" si="3"/>
        <v>-11.943238562660996</v>
      </c>
    </row>
    <row r="42" spans="1:10">
      <c r="A42" s="21" t="s">
        <v>1635</v>
      </c>
      <c r="B42" s="21">
        <v>2.9926621611582802</v>
      </c>
      <c r="C42" s="21">
        <f t="shared" si="0"/>
        <v>1.4512493069100962E-3</v>
      </c>
      <c r="D42" s="23">
        <f t="shared" si="1"/>
        <v>4.7804120607273057E-2</v>
      </c>
      <c r="H42" s="14">
        <f>'Data Set'!B43</f>
        <v>41789</v>
      </c>
      <c r="I42" s="24">
        <f t="shared" si="4"/>
        <v>3.1327170492887499</v>
      </c>
      <c r="J42" s="24">
        <f t="shared" si="3"/>
        <v>-19.470991573165009</v>
      </c>
    </row>
    <row r="43" spans="1:10">
      <c r="A43" s="21" t="s">
        <v>1636</v>
      </c>
      <c r="B43" s="21">
        <v>2.9912109118513701</v>
      </c>
      <c r="C43" s="21">
        <f t="shared" si="0"/>
        <v>8.3205844533920104E-2</v>
      </c>
      <c r="D43" s="23">
        <f t="shared" si="1"/>
        <v>4.9363090067299525E-2</v>
      </c>
      <c r="H43" s="14">
        <f>'Data Set'!B44</f>
        <v>41820</v>
      </c>
      <c r="I43" s="24">
        <f t="shared" si="4"/>
        <v>3.16005861973392</v>
      </c>
      <c r="J43" s="24">
        <f t="shared" si="3"/>
        <v>2.7341570445170049</v>
      </c>
    </row>
    <row r="44" spans="1:10">
      <c r="A44" s="21" t="s">
        <v>1637</v>
      </c>
      <c r="B44" s="21">
        <v>2.90800506731745</v>
      </c>
      <c r="C44" s="21">
        <f t="shared" si="0"/>
        <v>-7.4595156368801874E-3</v>
      </c>
      <c r="D44" s="23">
        <f t="shared" si="1"/>
        <v>4.8832884029635273E-2</v>
      </c>
      <c r="H44" s="14">
        <f>'Data Set'!B45</f>
        <v>41851</v>
      </c>
      <c r="I44" s="24">
        <f t="shared" si="4"/>
        <v>3.2761065930147799</v>
      </c>
      <c r="J44" s="24">
        <f t="shared" si="3"/>
        <v>11.604797328085992</v>
      </c>
    </row>
    <row r="45" spans="1:10">
      <c r="A45" s="21" t="s">
        <v>1638</v>
      </c>
      <c r="B45" s="21">
        <v>2.9154645829543302</v>
      </c>
      <c r="C45" s="21">
        <f t="shared" si="0"/>
        <v>-1.7258406193749742E-2</v>
      </c>
      <c r="D45" s="23">
        <f t="shared" si="1"/>
        <v>4.8876736393420876E-2</v>
      </c>
      <c r="H45" s="14">
        <f>'Data Set'!B46</f>
        <v>41880</v>
      </c>
      <c r="I45" s="24">
        <f t="shared" si="4"/>
        <v>3.0803371977218901</v>
      </c>
      <c r="J45" s="24">
        <f t="shared" si="3"/>
        <v>-19.576939529288985</v>
      </c>
    </row>
    <row r="46" spans="1:10">
      <c r="A46" s="21" t="s">
        <v>1639</v>
      </c>
      <c r="B46" s="21">
        <v>2.9327229891480799</v>
      </c>
      <c r="C46" s="21">
        <f t="shared" si="0"/>
        <v>2.9971637045009825E-2</v>
      </c>
      <c r="D46" s="23">
        <f t="shared" si="1"/>
        <v>4.8902854232923156E-2</v>
      </c>
      <c r="H46" s="14">
        <f>'Data Set'!B47</f>
        <v>41912</v>
      </c>
      <c r="I46" s="24">
        <f t="shared" si="4"/>
        <v>3.2078957125058598</v>
      </c>
      <c r="J46" s="24">
        <f t="shared" si="3"/>
        <v>12.755851478396973</v>
      </c>
    </row>
    <row r="47" spans="1:10">
      <c r="A47" s="21" t="s">
        <v>1640</v>
      </c>
      <c r="B47" s="21">
        <v>2.9027513521030701</v>
      </c>
      <c r="C47" s="21">
        <f t="shared" si="0"/>
        <v>-1.581137056540971E-2</v>
      </c>
      <c r="D47" s="23">
        <f t="shared" si="1"/>
        <v>4.8861393768799215E-2</v>
      </c>
      <c r="H47" s="14">
        <f>'Data Set'!B48</f>
        <v>41943</v>
      </c>
      <c r="I47" s="24">
        <f t="shared" si="4"/>
        <v>3.0097405474457601</v>
      </c>
      <c r="J47" s="24">
        <f t="shared" si="3"/>
        <v>-19.815516506009967</v>
      </c>
    </row>
    <row r="48" spans="1:10">
      <c r="A48" s="21" t="s">
        <v>1641</v>
      </c>
      <c r="B48" s="21">
        <v>2.9185627226684798</v>
      </c>
      <c r="C48" s="21">
        <f t="shared" si="0"/>
        <v>3.9788295377449767E-2</v>
      </c>
      <c r="D48" s="23">
        <f t="shared" si="1"/>
        <v>4.8835709485699916E-2</v>
      </c>
      <c r="H48" s="14">
        <f>'Data Set'!B49</f>
        <v>41971</v>
      </c>
      <c r="I48" s="24">
        <f t="shared" si="4"/>
        <v>2.84568526355815</v>
      </c>
      <c r="J48" s="24">
        <f t="shared" si="3"/>
        <v>-16.405528388761013</v>
      </c>
    </row>
    <row r="49" spans="1:10">
      <c r="A49" s="21" t="s">
        <v>1642</v>
      </c>
      <c r="B49" s="21">
        <v>2.8787744272910301</v>
      </c>
      <c r="C49" s="21">
        <f t="shared" si="0"/>
        <v>-2.6214996488779896E-2</v>
      </c>
      <c r="D49" s="23">
        <f t="shared" si="1"/>
        <v>4.8578072645364401E-2</v>
      </c>
      <c r="H49" s="14">
        <f>'Data Set'!B50</f>
        <v>42004</v>
      </c>
      <c r="I49" s="24">
        <f t="shared" si="4"/>
        <v>2.8338661414623698</v>
      </c>
      <c r="J49" s="24">
        <f t="shared" si="3"/>
        <v>-1.1819122095780177</v>
      </c>
    </row>
    <row r="50" spans="1:10">
      <c r="A50" s="21" t="s">
        <v>1643</v>
      </c>
      <c r="B50" s="21">
        <v>2.90498942377981</v>
      </c>
      <c r="C50" s="21">
        <f t="shared" si="0"/>
        <v>-3.0903720811230162E-2</v>
      </c>
      <c r="D50" s="23">
        <f t="shared" si="1"/>
        <v>5.0118984627932579E-2</v>
      </c>
      <c r="H50" s="14">
        <f>'Data Set'!B51</f>
        <v>42034</v>
      </c>
      <c r="I50" s="24">
        <f t="shared" si="4"/>
        <v>2.4526687901347302</v>
      </c>
      <c r="J50" s="24">
        <f t="shared" si="3"/>
        <v>-38.119735132763964</v>
      </c>
    </row>
    <row r="51" spans="1:10">
      <c r="A51" s="21" t="s">
        <v>1644</v>
      </c>
      <c r="B51" s="21">
        <v>2.9358931445910401</v>
      </c>
      <c r="C51" s="21">
        <f t="shared" si="0"/>
        <v>2.6213178306470297E-2</v>
      </c>
      <c r="D51" s="23">
        <f t="shared" si="1"/>
        <v>5.045034334676908E-2</v>
      </c>
      <c r="H51" s="14">
        <f>'Data Set'!B52</f>
        <v>42062</v>
      </c>
      <c r="I51" s="24">
        <f t="shared" si="4"/>
        <v>2.7365985708724101</v>
      </c>
      <c r="J51" s="24">
        <f t="shared" si="3"/>
        <v>28.392978073767992</v>
      </c>
    </row>
    <row r="52" spans="1:10">
      <c r="A52" s="21" t="s">
        <v>1645</v>
      </c>
      <c r="B52" s="21">
        <v>2.9096799662845698</v>
      </c>
      <c r="C52" s="21">
        <f t="shared" si="0"/>
        <v>-2.4767073949500062E-2</v>
      </c>
      <c r="D52" s="23">
        <f t="shared" si="1"/>
        <v>5.0679112434265254E-2</v>
      </c>
      <c r="H52" s="14">
        <f>'Data Set'!B53</f>
        <v>42094</v>
      </c>
      <c r="I52" s="24">
        <f t="shared" si="4"/>
        <v>2.66103516127894</v>
      </c>
      <c r="J52" s="24">
        <f t="shared" si="3"/>
        <v>-7.5563409593470077</v>
      </c>
    </row>
    <row r="53" spans="1:10">
      <c r="A53" s="21" t="s">
        <v>1603</v>
      </c>
      <c r="B53" s="21">
        <v>2.9344470402340699</v>
      </c>
      <c r="C53" s="21">
        <f t="shared" si="0"/>
        <v>2.1365611277839758E-2</v>
      </c>
      <c r="D53" s="23">
        <f t="shared" si="1"/>
        <v>5.0753469847242383E-2</v>
      </c>
      <c r="H53" s="14">
        <f>'Data Set'!B54</f>
        <v>42124</v>
      </c>
      <c r="I53" s="24">
        <f t="shared" si="4"/>
        <v>2.7480147229669498</v>
      </c>
      <c r="J53" s="24">
        <f t="shared" si="3"/>
        <v>8.6979561688009799</v>
      </c>
    </row>
    <row r="54" spans="1:10">
      <c r="A54" s="21" t="s">
        <v>1604</v>
      </c>
      <c r="B54" s="21">
        <v>2.9130814289562301</v>
      </c>
      <c r="C54" s="21">
        <f t="shared" si="0"/>
        <v>4.5356977806902954E-3</v>
      </c>
      <c r="D54" s="23">
        <f t="shared" si="1"/>
        <v>5.2156829070955237E-2</v>
      </c>
      <c r="H54" s="14">
        <f>'Data Set'!B55</f>
        <v>42153</v>
      </c>
      <c r="I54" s="24">
        <f t="shared" si="4"/>
        <v>2.8125589424365498</v>
      </c>
      <c r="J54" s="24">
        <f t="shared" si="3"/>
        <v>6.4544219469599984</v>
      </c>
    </row>
    <row r="55" spans="1:10">
      <c r="A55" s="21" t="s">
        <v>1605</v>
      </c>
      <c r="B55" s="21">
        <v>2.9085457311755398</v>
      </c>
      <c r="C55" s="21">
        <f t="shared" si="0"/>
        <v>-3.2485149717302875E-3</v>
      </c>
      <c r="D55" s="23">
        <f t="shared" si="1"/>
        <v>5.2498179925167865E-2</v>
      </c>
      <c r="H55" s="14">
        <f>'Data Set'!B56</f>
        <v>42185</v>
      </c>
      <c r="I55" s="24">
        <f t="shared" si="4"/>
        <v>3.0732804432921599</v>
      </c>
      <c r="J55" s="24">
        <f t="shared" si="3"/>
        <v>26.072150085561006</v>
      </c>
    </row>
    <row r="56" spans="1:10">
      <c r="A56" s="21" t="s">
        <v>1606</v>
      </c>
      <c r="B56" s="21">
        <v>2.9117942461472701</v>
      </c>
      <c r="C56" s="21">
        <f t="shared" si="0"/>
        <v>3.7173749857499772E-3</v>
      </c>
      <c r="D56" s="23">
        <f t="shared" si="1"/>
        <v>5.4590040267311638E-2</v>
      </c>
      <c r="H56" s="14">
        <f>'Data Set'!B57</f>
        <v>42216</v>
      </c>
      <c r="I56" s="24">
        <f t="shared" si="4"/>
        <v>2.9155081259623699</v>
      </c>
      <c r="J56" s="24">
        <f t="shared" si="3"/>
        <v>-15.777231732979002</v>
      </c>
    </row>
    <row r="57" spans="1:10">
      <c r="A57" s="21" t="s">
        <v>1607</v>
      </c>
      <c r="B57" s="21">
        <v>2.9080768711615201</v>
      </c>
      <c r="C57" s="21">
        <f t="shared" si="0"/>
        <v>0.11803336010687016</v>
      </c>
      <c r="D57" s="23">
        <f t="shared" si="1"/>
        <v>5.5434980930382863E-2</v>
      </c>
      <c r="H57" s="14">
        <f>'Data Set'!B58</f>
        <v>42247</v>
      </c>
      <c r="I57" s="24">
        <f t="shared" si="4"/>
        <v>2.9344470402340699</v>
      </c>
      <c r="J57" s="24">
        <f t="shared" si="3"/>
        <v>1.8938914271700025</v>
      </c>
    </row>
    <row r="58" spans="1:10">
      <c r="A58" s="21" t="s">
        <v>1608</v>
      </c>
      <c r="B58" s="21">
        <v>2.79004351105465</v>
      </c>
      <c r="C58" s="21">
        <f t="shared" si="0"/>
        <v>-4.4436877711759859E-2</v>
      </c>
      <c r="D58" s="23">
        <f t="shared" si="1"/>
        <v>5.4144113639932663E-2</v>
      </c>
      <c r="H58" s="14">
        <f>'Data Set'!B59</f>
        <v>42277</v>
      </c>
      <c r="I58" s="24">
        <f t="shared" si="4"/>
        <v>2.8018988061488499</v>
      </c>
      <c r="J58" s="24">
        <f t="shared" si="3"/>
        <v>-13.254823408521998</v>
      </c>
    </row>
    <row r="59" spans="1:10">
      <c r="A59" s="21" t="s">
        <v>1609</v>
      </c>
      <c r="B59" s="21">
        <v>2.8344803887664098</v>
      </c>
      <c r="C59" s="21">
        <f t="shared" si="0"/>
        <v>-2.5386990858680125E-2</v>
      </c>
      <c r="D59" s="23">
        <f t="shared" si="1"/>
        <v>5.396584867251774E-2</v>
      </c>
      <c r="H59" s="47">
        <v>42307</v>
      </c>
      <c r="I59" s="24">
        <f t="shared" si="4"/>
        <v>2.8444181025455899</v>
      </c>
      <c r="J59" s="24">
        <f t="shared" ref="J59" si="5">(I59-I58)*100</f>
        <v>4.2519296396740014</v>
      </c>
    </row>
    <row r="60" spans="1:10">
      <c r="A60" s="21" t="s">
        <v>1610</v>
      </c>
      <c r="B60" s="21">
        <v>2.85986737962509</v>
      </c>
      <c r="C60" s="21">
        <f t="shared" si="0"/>
        <v>-3.0017996196329833E-2</v>
      </c>
      <c r="D60" s="23">
        <f t="shared" si="1"/>
        <v>5.3867643337416345E-2</v>
      </c>
    </row>
    <row r="61" spans="1:10">
      <c r="A61" s="21" t="s">
        <v>1611</v>
      </c>
      <c r="B61" s="21">
        <v>2.8898853758214198</v>
      </c>
      <c r="C61" s="21">
        <f t="shared" si="0"/>
        <v>-6.9772916752170122E-2</v>
      </c>
      <c r="D61" s="23">
        <f t="shared" si="1"/>
        <v>5.3724558344222288E-2</v>
      </c>
    </row>
    <row r="62" spans="1:10">
      <c r="A62" s="21" t="s">
        <v>1612</v>
      </c>
      <c r="B62" s="21">
        <v>2.9596582925735899</v>
      </c>
      <c r="C62" s="21">
        <f t="shared" si="0"/>
        <v>2.3914760319689865E-2</v>
      </c>
      <c r="D62" s="23">
        <f t="shared" si="1"/>
        <v>5.3217222708066572E-2</v>
      </c>
    </row>
    <row r="63" spans="1:10">
      <c r="A63" s="21" t="s">
        <v>1613</v>
      </c>
      <c r="B63" s="21">
        <v>2.9357435322539001</v>
      </c>
      <c r="C63" s="21">
        <f t="shared" si="0"/>
        <v>-2.6539815541370082E-2</v>
      </c>
      <c r="D63" s="23">
        <f t="shared" si="1"/>
        <v>5.3281657079650359E-2</v>
      </c>
    </row>
    <row r="64" spans="1:10">
      <c r="A64" s="21" t="s">
        <v>1614</v>
      </c>
      <c r="B64" s="21">
        <v>2.9622833477952701</v>
      </c>
      <c r="C64" s="21">
        <f t="shared" si="0"/>
        <v>2.0734680897810165E-2</v>
      </c>
      <c r="D64" s="23">
        <f t="shared" si="1"/>
        <v>5.3579038362269328E-2</v>
      </c>
    </row>
    <row r="65" spans="1:4">
      <c r="A65" s="21" t="s">
        <v>1615</v>
      </c>
      <c r="B65" s="21">
        <v>2.94154866689746</v>
      </c>
      <c r="C65" s="21">
        <f t="shared" si="0"/>
        <v>5.5205418487640046E-2</v>
      </c>
      <c r="D65" s="23">
        <f t="shared" si="1"/>
        <v>5.3536880589151133E-2</v>
      </c>
    </row>
    <row r="66" spans="1:4">
      <c r="A66" s="21" t="s">
        <v>1616</v>
      </c>
      <c r="B66" s="21">
        <v>2.8863432484098199</v>
      </c>
      <c r="C66" s="21">
        <f t="shared" ref="C66:C129" si="6">B66-B67</f>
        <v>-3.108530801740006E-3</v>
      </c>
      <c r="D66" s="23">
        <f t="shared" ref="D66:D129" si="7">STDEV(C66:C125)</f>
        <v>5.3214277447480939E-2</v>
      </c>
    </row>
    <row r="67" spans="1:4">
      <c r="A67" s="21" t="s">
        <v>1617</v>
      </c>
      <c r="B67" s="21">
        <v>2.8894517792115599</v>
      </c>
      <c r="C67" s="21">
        <f t="shared" si="6"/>
        <v>-8.5848591399349861E-2</v>
      </c>
      <c r="D67" s="23">
        <f t="shared" si="7"/>
        <v>5.3837921845648069E-2</v>
      </c>
    </row>
    <row r="68" spans="1:4">
      <c r="A68" s="21" t="s">
        <v>1618</v>
      </c>
      <c r="B68" s="21">
        <v>2.9753003706109098</v>
      </c>
      <c r="C68" s="21">
        <f t="shared" si="6"/>
        <v>5.1798467361449774E-2</v>
      </c>
      <c r="D68" s="23">
        <f t="shared" si="7"/>
        <v>5.3697739763488822E-2</v>
      </c>
    </row>
    <row r="69" spans="1:4">
      <c r="A69" s="21" t="s">
        <v>1619</v>
      </c>
      <c r="B69" s="21">
        <v>2.92350190324946</v>
      </c>
      <c r="C69" s="21">
        <f t="shared" si="6"/>
        <v>-4.8462946730779777E-2</v>
      </c>
      <c r="D69" s="23">
        <f t="shared" si="7"/>
        <v>5.370550405478839E-2</v>
      </c>
    </row>
    <row r="70" spans="1:4">
      <c r="A70" s="21" t="s">
        <v>1620</v>
      </c>
      <c r="B70" s="21">
        <v>2.9719648499802398</v>
      </c>
      <c r="C70" s="21">
        <f t="shared" si="6"/>
        <v>-3.6946634500260256E-2</v>
      </c>
      <c r="D70" s="23">
        <f t="shared" si="7"/>
        <v>5.3412596556682186E-2</v>
      </c>
    </row>
    <row r="71" spans="1:4">
      <c r="A71" s="21" t="s">
        <v>1621</v>
      </c>
      <c r="B71" s="21">
        <v>3.0089114844805001</v>
      </c>
      <c r="C71" s="21">
        <f t="shared" si="6"/>
        <v>4.9654772807710135E-2</v>
      </c>
      <c r="D71" s="23">
        <f t="shared" si="7"/>
        <v>5.3220317263894611E-2</v>
      </c>
    </row>
    <row r="72" spans="1:4">
      <c r="A72" s="21" t="s">
        <v>1622</v>
      </c>
      <c r="B72" s="21">
        <v>2.9592567116727899</v>
      </c>
      <c r="C72" s="21">
        <f t="shared" si="6"/>
        <v>7.3297828311519986E-2</v>
      </c>
      <c r="D72" s="23">
        <f t="shared" si="7"/>
        <v>5.4691655923931277E-2</v>
      </c>
    </row>
    <row r="73" spans="1:4">
      <c r="A73" s="21" t="s">
        <v>1623</v>
      </c>
      <c r="B73" s="21">
        <v>2.8859588833612699</v>
      </c>
      <c r="C73" s="21">
        <f t="shared" si="6"/>
        <v>-2.9549242601099923E-2</v>
      </c>
      <c r="D73" s="23">
        <f t="shared" si="7"/>
        <v>5.4327586709030845E-2</v>
      </c>
    </row>
    <row r="74" spans="1:4">
      <c r="A74" s="21" t="s">
        <v>1581</v>
      </c>
      <c r="B74" s="21">
        <v>2.9155081259623699</v>
      </c>
      <c r="C74" s="21">
        <f t="shared" si="6"/>
        <v>-7.8937420841159955E-2</v>
      </c>
      <c r="D74" s="23">
        <f t="shared" si="7"/>
        <v>5.4707766512442239E-2</v>
      </c>
    </row>
    <row r="75" spans="1:4">
      <c r="A75" s="21" t="s">
        <v>1582</v>
      </c>
      <c r="B75" s="21">
        <v>2.9944455468035298</v>
      </c>
      <c r="C75" s="21">
        <f t="shared" si="6"/>
        <v>-7.7114109373033202E-4</v>
      </c>
      <c r="D75" s="23">
        <f t="shared" si="7"/>
        <v>5.3996745681605979E-2</v>
      </c>
    </row>
    <row r="76" spans="1:4">
      <c r="A76" s="21" t="s">
        <v>1583</v>
      </c>
      <c r="B76" s="21">
        <v>2.9952166878972601</v>
      </c>
      <c r="C76" s="21">
        <f t="shared" si="6"/>
        <v>2.5189317327130034E-2</v>
      </c>
      <c r="D76" s="23">
        <f t="shared" si="7"/>
        <v>5.4152812376058408E-2</v>
      </c>
    </row>
    <row r="77" spans="1:4">
      <c r="A77" s="21" t="s">
        <v>1584</v>
      </c>
      <c r="B77" s="21">
        <v>2.9700273705701301</v>
      </c>
      <c r="C77" s="21">
        <f t="shared" si="6"/>
        <v>-6.85461078035976E-3</v>
      </c>
      <c r="D77" s="23">
        <f t="shared" si="7"/>
        <v>5.4239742239054596E-2</v>
      </c>
    </row>
    <row r="78" spans="1:4">
      <c r="A78" s="21" t="s">
        <v>1585</v>
      </c>
      <c r="B78" s="21">
        <v>2.9768819813504899</v>
      </c>
      <c r="C78" s="21">
        <f t="shared" si="6"/>
        <v>-3.1925448065320161E-2</v>
      </c>
      <c r="D78" s="23">
        <f t="shared" si="7"/>
        <v>5.4696576705527918E-2</v>
      </c>
    </row>
    <row r="79" spans="1:4">
      <c r="A79" s="21" t="s">
        <v>1586</v>
      </c>
      <c r="B79" s="21">
        <v>3.00880742941581</v>
      </c>
      <c r="C79" s="21">
        <f t="shared" si="6"/>
        <v>7.2830705683299968E-3</v>
      </c>
      <c r="D79" s="23">
        <f t="shared" si="7"/>
        <v>5.4496460747909724E-2</v>
      </c>
    </row>
    <row r="80" spans="1:4">
      <c r="A80" s="21" t="s">
        <v>1587</v>
      </c>
      <c r="B80" s="21">
        <v>3.00152435884748</v>
      </c>
      <c r="C80" s="21">
        <f t="shared" si="6"/>
        <v>-2.5747915518489872E-2</v>
      </c>
      <c r="D80" s="23">
        <f t="shared" si="7"/>
        <v>5.4780889878762402E-2</v>
      </c>
    </row>
    <row r="81" spans="1:4">
      <c r="A81" s="21" t="s">
        <v>1588</v>
      </c>
      <c r="B81" s="21">
        <v>3.0272722743659699</v>
      </c>
      <c r="C81" s="21">
        <f t="shared" si="6"/>
        <v>-1.3726314925750049E-2</v>
      </c>
      <c r="D81" s="23">
        <f t="shared" si="7"/>
        <v>5.5009257096399006E-2</v>
      </c>
    </row>
    <row r="82" spans="1:4">
      <c r="A82" s="21" t="s">
        <v>1589</v>
      </c>
      <c r="B82" s="21">
        <v>3.04099858929172</v>
      </c>
      <c r="C82" s="21">
        <f t="shared" si="6"/>
        <v>-2.9270013175120013E-2</v>
      </c>
      <c r="D82" s="23">
        <f t="shared" si="7"/>
        <v>5.4954205105977004E-2</v>
      </c>
    </row>
    <row r="83" spans="1:4">
      <c r="A83" s="21" t="s">
        <v>1590</v>
      </c>
      <c r="B83" s="21">
        <v>3.07026860246684</v>
      </c>
      <c r="C83" s="21">
        <f t="shared" si="6"/>
        <v>1.9403651277590139E-2</v>
      </c>
      <c r="D83" s="23">
        <f t="shared" si="7"/>
        <v>5.4926857550399485E-2</v>
      </c>
    </row>
    <row r="84" spans="1:4">
      <c r="A84" s="21" t="s">
        <v>1591</v>
      </c>
      <c r="B84" s="21">
        <v>3.0508649511892498</v>
      </c>
      <c r="C84" s="21">
        <f t="shared" si="6"/>
        <v>-1.3372144063650282E-2</v>
      </c>
      <c r="D84" s="23">
        <f t="shared" si="7"/>
        <v>5.5002688398679257E-2</v>
      </c>
    </row>
    <row r="85" spans="1:4">
      <c r="A85" s="21" t="s">
        <v>1592</v>
      </c>
      <c r="B85" s="21">
        <v>3.0642370952529001</v>
      </c>
      <c r="C85" s="21">
        <f t="shared" si="6"/>
        <v>-9.5103022380982338E-4</v>
      </c>
      <c r="D85" s="23">
        <f t="shared" si="7"/>
        <v>5.526525247620398E-2</v>
      </c>
    </row>
    <row r="86" spans="1:4">
      <c r="A86" s="21" t="s">
        <v>1593</v>
      </c>
      <c r="B86" s="21">
        <v>3.0651881254767099</v>
      </c>
      <c r="C86" s="21">
        <f t="shared" si="6"/>
        <v>-4.2918427543010118E-2</v>
      </c>
      <c r="D86" s="23">
        <f t="shared" si="7"/>
        <v>5.5295167538257854E-2</v>
      </c>
    </row>
    <row r="87" spans="1:4">
      <c r="A87" s="21" t="s">
        <v>1594</v>
      </c>
      <c r="B87" s="21">
        <v>3.1081065530197201</v>
      </c>
      <c r="C87" s="21">
        <f t="shared" si="6"/>
        <v>-3.5973608113379907E-2</v>
      </c>
      <c r="D87" s="23">
        <f t="shared" si="7"/>
        <v>5.4972239598876246E-2</v>
      </c>
    </row>
    <row r="88" spans="1:4">
      <c r="A88" s="21" t="s">
        <v>1595</v>
      </c>
      <c r="B88" s="21">
        <v>3.1440801611331</v>
      </c>
      <c r="C88" s="21">
        <f t="shared" si="6"/>
        <v>-2.8343354926199105E-3</v>
      </c>
      <c r="D88" s="23">
        <f t="shared" si="7"/>
        <v>5.4706498346029871E-2</v>
      </c>
    </row>
    <row r="89" spans="1:4">
      <c r="A89" s="21" t="s">
        <v>1596</v>
      </c>
      <c r="B89" s="21">
        <v>3.1469144966257199</v>
      </c>
      <c r="C89" s="21">
        <f t="shared" si="6"/>
        <v>9.4921690904929967E-2</v>
      </c>
      <c r="D89" s="23">
        <f t="shared" si="7"/>
        <v>5.4734600853052338E-2</v>
      </c>
    </row>
    <row r="90" spans="1:4">
      <c r="A90" s="21" t="s">
        <v>1597</v>
      </c>
      <c r="B90" s="21">
        <v>3.0519928057207899</v>
      </c>
      <c r="C90" s="21">
        <f t="shared" si="6"/>
        <v>7.2847409480830017E-2</v>
      </c>
      <c r="D90" s="23">
        <f t="shared" si="7"/>
        <v>5.3632512208860499E-2</v>
      </c>
    </row>
    <row r="91" spans="1:4">
      <c r="A91" s="21" t="s">
        <v>1598</v>
      </c>
      <c r="B91" s="21">
        <v>2.9791453962399599</v>
      </c>
      <c r="C91" s="21">
        <f t="shared" si="6"/>
        <v>-3.0706515702000114E-2</v>
      </c>
      <c r="D91" s="23">
        <f t="shared" si="7"/>
        <v>5.3350899607179467E-2</v>
      </c>
    </row>
    <row r="92" spans="1:4">
      <c r="A92" s="21" t="s">
        <v>1599</v>
      </c>
      <c r="B92" s="21">
        <v>3.00985191194196</v>
      </c>
      <c r="C92" s="21">
        <f t="shared" si="6"/>
        <v>-3.111080764456009E-2</v>
      </c>
      <c r="D92" s="23">
        <f t="shared" si="7"/>
        <v>5.330055011598455E-2</v>
      </c>
    </row>
    <row r="93" spans="1:4">
      <c r="A93" s="21" t="s">
        <v>1600</v>
      </c>
      <c r="B93" s="21">
        <v>3.0409627195865201</v>
      </c>
      <c r="C93" s="21">
        <f t="shared" si="6"/>
        <v>-9.1982678192169764E-2</v>
      </c>
      <c r="D93" s="23">
        <f t="shared" si="7"/>
        <v>5.3109111545622673E-2</v>
      </c>
    </row>
    <row r="94" spans="1:4">
      <c r="A94" s="21" t="s">
        <v>1601</v>
      </c>
      <c r="B94" s="21">
        <v>3.1329453977786899</v>
      </c>
      <c r="C94" s="21">
        <f t="shared" si="6"/>
        <v>-2.9819854583870153E-2</v>
      </c>
      <c r="D94" s="23">
        <f t="shared" si="7"/>
        <v>5.1568448944280053E-2</v>
      </c>
    </row>
    <row r="95" spans="1:4">
      <c r="A95" s="21" t="s">
        <v>1602</v>
      </c>
      <c r="B95" s="21">
        <v>3.16276525236256</v>
      </c>
      <c r="C95" s="21">
        <f t="shared" si="6"/>
        <v>8.9484809070400129E-2</v>
      </c>
      <c r="D95" s="23">
        <f t="shared" si="7"/>
        <v>5.1372481858648796E-2</v>
      </c>
    </row>
    <row r="96" spans="1:4">
      <c r="A96" s="21" t="s">
        <v>1555</v>
      </c>
      <c r="B96" s="21">
        <v>3.0732804432921599</v>
      </c>
      <c r="C96" s="21">
        <f t="shared" si="6"/>
        <v>-1.1906476676150302E-2</v>
      </c>
      <c r="D96" s="23">
        <f t="shared" si="7"/>
        <v>5.0297854043831247E-2</v>
      </c>
    </row>
    <row r="97" spans="1:4">
      <c r="A97" s="21" t="s">
        <v>1556</v>
      </c>
      <c r="B97" s="21">
        <v>3.0851869199683102</v>
      </c>
      <c r="C97" s="21">
        <f t="shared" si="6"/>
        <v>-0.1170818744650397</v>
      </c>
      <c r="D97" s="23">
        <f t="shared" si="7"/>
        <v>5.0441681173799512E-2</v>
      </c>
    </row>
    <row r="98" spans="1:4">
      <c r="A98" s="21" t="s">
        <v>1557</v>
      </c>
      <c r="B98" s="21">
        <v>3.2022687944333499</v>
      </c>
      <c r="C98" s="21">
        <f t="shared" si="6"/>
        <v>8.6376486878809722E-2</v>
      </c>
      <c r="D98" s="23">
        <f t="shared" si="7"/>
        <v>4.8550017895876665E-2</v>
      </c>
    </row>
    <row r="99" spans="1:4">
      <c r="A99" s="21" t="s">
        <v>1558</v>
      </c>
      <c r="B99" s="21">
        <v>3.1158923075545402</v>
      </c>
      <c r="C99" s="21">
        <f t="shared" si="6"/>
        <v>2.463169712943003E-2</v>
      </c>
      <c r="D99" s="23">
        <f t="shared" si="7"/>
        <v>4.7821239983162032E-2</v>
      </c>
    </row>
    <row r="100" spans="1:4">
      <c r="A100" s="21" t="s">
        <v>1559</v>
      </c>
      <c r="B100" s="21">
        <v>3.0912606104251101</v>
      </c>
      <c r="C100" s="21">
        <f t="shared" si="6"/>
        <v>-3.064391065476979E-2</v>
      </c>
      <c r="D100" s="23">
        <f t="shared" si="7"/>
        <v>4.8624749416240537E-2</v>
      </c>
    </row>
    <row r="101" spans="1:4">
      <c r="A101" s="21" t="s">
        <v>1560</v>
      </c>
      <c r="B101" s="21">
        <v>3.1219045210798799</v>
      </c>
      <c r="C101" s="21">
        <f t="shared" si="6"/>
        <v>4.5747632364269819E-2</v>
      </c>
      <c r="D101" s="23">
        <f t="shared" si="7"/>
        <v>4.8610998447722598E-2</v>
      </c>
    </row>
    <row r="102" spans="1:4">
      <c r="A102" s="21" t="s">
        <v>1561</v>
      </c>
      <c r="B102" s="21">
        <v>3.0761568887156101</v>
      </c>
      <c r="C102" s="21">
        <f t="shared" si="6"/>
        <v>9.3939484823879926E-2</v>
      </c>
      <c r="D102" s="23">
        <f t="shared" si="7"/>
        <v>4.836189463102928E-2</v>
      </c>
    </row>
    <row r="103" spans="1:4">
      <c r="A103" s="21" t="s">
        <v>1562</v>
      </c>
      <c r="B103" s="21">
        <v>2.9822174038917302</v>
      </c>
      <c r="C103" s="21">
        <f t="shared" si="6"/>
        <v>-6.4584508831439624E-2</v>
      </c>
      <c r="D103" s="23">
        <f t="shared" si="7"/>
        <v>4.7683682757346413E-2</v>
      </c>
    </row>
    <row r="104" spans="1:4">
      <c r="A104" s="21" t="s">
        <v>1563</v>
      </c>
      <c r="B104" s="21">
        <v>3.0468019127231698</v>
      </c>
      <c r="C104" s="21">
        <f t="shared" si="6"/>
        <v>1.4640388488239786E-2</v>
      </c>
      <c r="D104" s="23">
        <f t="shared" si="7"/>
        <v>4.8035366149137435E-2</v>
      </c>
    </row>
    <row r="105" spans="1:4">
      <c r="A105" s="21" t="s">
        <v>1564</v>
      </c>
      <c r="B105" s="21">
        <v>3.03216152423493</v>
      </c>
      <c r="C105" s="21">
        <f t="shared" si="6"/>
        <v>-2.1578766021829843E-2</v>
      </c>
      <c r="D105" s="23">
        <f t="shared" si="7"/>
        <v>4.8422685371797579E-2</v>
      </c>
    </row>
    <row r="106" spans="1:4">
      <c r="A106" s="21" t="s">
        <v>1565</v>
      </c>
      <c r="B106" s="21">
        <v>3.0537402902567599</v>
      </c>
      <c r="C106" s="21">
        <f t="shared" si="6"/>
        <v>-3.1108215693540053E-2</v>
      </c>
      <c r="D106" s="23">
        <f t="shared" si="7"/>
        <v>4.879958596947348E-2</v>
      </c>
    </row>
    <row r="107" spans="1:4">
      <c r="A107" s="21" t="s">
        <v>1566</v>
      </c>
      <c r="B107" s="21">
        <v>3.0848485059502999</v>
      </c>
      <c r="C107" s="21">
        <f t="shared" si="6"/>
        <v>-7.0916220232599692E-3</v>
      </c>
      <c r="D107" s="23">
        <f t="shared" si="7"/>
        <v>4.8627099164602318E-2</v>
      </c>
    </row>
    <row r="108" spans="1:4">
      <c r="A108" s="21" t="s">
        <v>1567</v>
      </c>
      <c r="B108" s="21">
        <v>3.0919401279735599</v>
      </c>
      <c r="C108" s="21">
        <f t="shared" si="6"/>
        <v>1.5824814768500062E-2</v>
      </c>
      <c r="D108" s="23">
        <f t="shared" si="7"/>
        <v>4.8937058633084382E-2</v>
      </c>
    </row>
    <row r="109" spans="1:4">
      <c r="A109" s="21" t="s">
        <v>1568</v>
      </c>
      <c r="B109" s="21">
        <v>3.0761153132050598</v>
      </c>
      <c r="C109" s="21">
        <f t="shared" si="6"/>
        <v>-0.10122936278778027</v>
      </c>
      <c r="D109" s="23">
        <f t="shared" si="7"/>
        <v>4.8940081328385322E-2</v>
      </c>
    </row>
    <row r="110" spans="1:4">
      <c r="A110" s="21" t="s">
        <v>1569</v>
      </c>
      <c r="B110" s="21">
        <v>3.1773446759928401</v>
      </c>
      <c r="C110" s="21">
        <f t="shared" si="6"/>
        <v>4.8045096368200202E-2</v>
      </c>
      <c r="D110" s="23">
        <f t="shared" si="7"/>
        <v>4.9006263926847336E-2</v>
      </c>
    </row>
    <row r="111" spans="1:4">
      <c r="A111" s="21" t="s">
        <v>1570</v>
      </c>
      <c r="B111" s="21">
        <v>3.1292995796246399</v>
      </c>
      <c r="C111" s="21">
        <f t="shared" si="6"/>
        <v>4.4071508087559774E-2</v>
      </c>
      <c r="D111" s="23">
        <f t="shared" si="7"/>
        <v>4.8896967978357547E-2</v>
      </c>
    </row>
    <row r="112" spans="1:4">
      <c r="A112" s="21" t="s">
        <v>1571</v>
      </c>
      <c r="B112" s="21">
        <v>3.0852280715370801</v>
      </c>
      <c r="C112" s="21">
        <f t="shared" si="6"/>
        <v>-3.3310853574789689E-2</v>
      </c>
      <c r="D112" s="23">
        <f t="shared" si="7"/>
        <v>4.8652008473901581E-2</v>
      </c>
    </row>
    <row r="113" spans="1:4">
      <c r="A113" s="21" t="s">
        <v>1572</v>
      </c>
      <c r="B113" s="21">
        <v>3.1185389251118698</v>
      </c>
      <c r="C113" s="21">
        <f t="shared" si="6"/>
        <v>9.2864061496869876E-2</v>
      </c>
      <c r="D113" s="23">
        <f t="shared" si="7"/>
        <v>4.8430031573661866E-2</v>
      </c>
    </row>
    <row r="114" spans="1:4">
      <c r="A114" s="21" t="s">
        <v>1573</v>
      </c>
      <c r="B114" s="21">
        <v>3.0256748636149999</v>
      </c>
      <c r="C114" s="21">
        <f t="shared" si="6"/>
        <v>-4.8739567958750118E-2</v>
      </c>
      <c r="D114" s="23">
        <f t="shared" si="7"/>
        <v>4.7093588247015504E-2</v>
      </c>
    </row>
    <row r="115" spans="1:4">
      <c r="A115" s="21" t="s">
        <v>1574</v>
      </c>
      <c r="B115" s="21">
        <v>3.0744144315737501</v>
      </c>
      <c r="C115" s="21">
        <f t="shared" si="6"/>
        <v>0.11317930414747002</v>
      </c>
      <c r="D115" s="23">
        <f t="shared" si="7"/>
        <v>4.6687433888654734E-2</v>
      </c>
    </row>
    <row r="116" spans="1:4">
      <c r="A116" s="21" t="s">
        <v>1575</v>
      </c>
      <c r="B116" s="21">
        <v>2.96123512742628</v>
      </c>
      <c r="C116" s="21">
        <f t="shared" si="6"/>
        <v>7.3926855906059963E-2</v>
      </c>
      <c r="D116" s="23">
        <f t="shared" si="7"/>
        <v>4.5047024992321542E-2</v>
      </c>
    </row>
    <row r="117" spans="1:4">
      <c r="A117" s="21" t="s">
        <v>1527</v>
      </c>
      <c r="B117" s="21">
        <v>2.8873082715202201</v>
      </c>
      <c r="C117" s="21">
        <f t="shared" si="6"/>
        <v>7.4749329083670268E-2</v>
      </c>
      <c r="D117" s="23">
        <f t="shared" si="7"/>
        <v>4.4163769736525429E-2</v>
      </c>
    </row>
    <row r="118" spans="1:4">
      <c r="A118" s="21" t="s">
        <v>1528</v>
      </c>
      <c r="B118" s="21">
        <v>2.8125589424365498</v>
      </c>
      <c r="C118" s="21">
        <f t="shared" si="6"/>
        <v>-2.8808272780890043E-2</v>
      </c>
      <c r="D118" s="23">
        <f t="shared" si="7"/>
        <v>4.5601052190146124E-2</v>
      </c>
    </row>
    <row r="119" spans="1:4">
      <c r="A119" s="21" t="s">
        <v>1529</v>
      </c>
      <c r="B119" s="21">
        <v>2.8413672152174398</v>
      </c>
      <c r="C119" s="21">
        <f t="shared" si="6"/>
        <v>-4.699318275450004E-3</v>
      </c>
      <c r="D119" s="23">
        <f t="shared" si="7"/>
        <v>4.5459528582604505E-2</v>
      </c>
    </row>
    <row r="120" spans="1:4">
      <c r="A120" s="21" t="s">
        <v>1530</v>
      </c>
      <c r="B120" s="21">
        <v>2.8460665334928898</v>
      </c>
      <c r="C120" s="21">
        <f t="shared" si="6"/>
        <v>-4.0039051206899323E-3</v>
      </c>
      <c r="D120" s="23">
        <f t="shared" si="7"/>
        <v>4.5474591692681379E-2</v>
      </c>
    </row>
    <row r="121" spans="1:4">
      <c r="A121" s="21" t="s">
        <v>1531</v>
      </c>
      <c r="B121" s="21">
        <v>2.8500704386135798</v>
      </c>
      <c r="C121" s="21">
        <f t="shared" si="6"/>
        <v>-4.145057721679013E-2</v>
      </c>
      <c r="D121" s="23">
        <f t="shared" si="7"/>
        <v>4.5797926196727179E-2</v>
      </c>
    </row>
    <row r="122" spans="1:4">
      <c r="A122" s="21" t="s">
        <v>1532</v>
      </c>
      <c r="B122" s="21">
        <v>2.8915210158303699</v>
      </c>
      <c r="C122" s="21">
        <f t="shared" si="6"/>
        <v>3.1544972245759695E-2</v>
      </c>
      <c r="D122" s="23">
        <f t="shared" si="7"/>
        <v>4.5976652461913979E-2</v>
      </c>
    </row>
    <row r="123" spans="1:4">
      <c r="A123" s="21" t="s">
        <v>1533</v>
      </c>
      <c r="B123" s="21">
        <v>2.8599760435846102</v>
      </c>
      <c r="C123" s="21">
        <f t="shared" si="6"/>
        <v>-5.0286282926449655E-2</v>
      </c>
      <c r="D123" s="23">
        <f t="shared" si="7"/>
        <v>4.5979146837641122E-2</v>
      </c>
    </row>
    <row r="124" spans="1:4">
      <c r="A124" s="21" t="s">
        <v>1534</v>
      </c>
      <c r="B124" s="21">
        <v>2.9102623265110599</v>
      </c>
      <c r="C124" s="21">
        <f t="shared" si="6"/>
        <v>-1.1186028867629982E-2</v>
      </c>
      <c r="D124" s="23">
        <f t="shared" si="7"/>
        <v>4.5701929519374199E-2</v>
      </c>
    </row>
    <row r="125" spans="1:4">
      <c r="A125" s="21" t="s">
        <v>1535</v>
      </c>
      <c r="B125" s="21">
        <v>2.9214483553786899</v>
      </c>
      <c r="C125" s="21">
        <f t="shared" si="6"/>
        <v>3.1768424584039945E-2</v>
      </c>
      <c r="D125" s="23">
        <f t="shared" si="7"/>
        <v>4.5758004792653816E-2</v>
      </c>
    </row>
    <row r="126" spans="1:4">
      <c r="A126" s="21" t="s">
        <v>1536</v>
      </c>
      <c r="B126" s="21">
        <v>2.8896799307946499</v>
      </c>
      <c r="C126" s="21">
        <f t="shared" si="6"/>
        <v>6.3363231754419935E-2</v>
      </c>
      <c r="D126" s="23">
        <f t="shared" si="7"/>
        <v>4.6296574412356663E-2</v>
      </c>
    </row>
    <row r="127" spans="1:4">
      <c r="A127" s="21" t="s">
        <v>1537</v>
      </c>
      <c r="B127" s="21">
        <v>2.82631669904023</v>
      </c>
      <c r="C127" s="21">
        <f t="shared" si="6"/>
        <v>-8.0573849753129867E-2</v>
      </c>
      <c r="D127" s="23">
        <f t="shared" si="7"/>
        <v>4.5940715657167307E-2</v>
      </c>
    </row>
    <row r="128" spans="1:4">
      <c r="A128" s="21" t="s">
        <v>1538</v>
      </c>
      <c r="B128" s="21">
        <v>2.9068905487933598</v>
      </c>
      <c r="C128" s="21">
        <f t="shared" si="6"/>
        <v>-5.1718716479959959E-2</v>
      </c>
      <c r="D128" s="23">
        <f t="shared" si="7"/>
        <v>4.4775139138174741E-2</v>
      </c>
    </row>
    <row r="129" spans="1:4">
      <c r="A129" s="21" t="s">
        <v>1539</v>
      </c>
      <c r="B129" s="21">
        <v>2.9586092652733198</v>
      </c>
      <c r="C129" s="21">
        <f t="shared" si="6"/>
        <v>2.2319520160919648E-2</v>
      </c>
      <c r="D129" s="23">
        <f t="shared" si="7"/>
        <v>4.4324976857277522E-2</v>
      </c>
    </row>
    <row r="130" spans="1:4">
      <c r="A130" s="21" t="s">
        <v>1540</v>
      </c>
      <c r="B130" s="21">
        <v>2.9362897451124002</v>
      </c>
      <c r="C130" s="21">
        <f t="shared" ref="C130:C193" si="8">B130-B131</f>
        <v>1.6308154683920328E-2</v>
      </c>
      <c r="D130" s="23">
        <f t="shared" ref="D130:D193" si="9">STDEV(C130:C189)</f>
        <v>4.4928489928004259E-2</v>
      </c>
    </row>
    <row r="131" spans="1:4">
      <c r="A131" s="21" t="s">
        <v>1541</v>
      </c>
      <c r="B131" s="21">
        <v>2.9199815904284798</v>
      </c>
      <c r="C131" s="21">
        <f t="shared" si="8"/>
        <v>0.10987389717521001</v>
      </c>
      <c r="D131" s="23">
        <f t="shared" si="9"/>
        <v>4.7476933158671249E-2</v>
      </c>
    </row>
    <row r="132" spans="1:4">
      <c r="A132" s="21" t="s">
        <v>1526</v>
      </c>
      <c r="B132" s="21">
        <v>2.8101076932532698</v>
      </c>
      <c r="C132" s="21">
        <f t="shared" si="8"/>
        <v>-5.1670274790850179E-2</v>
      </c>
      <c r="D132" s="23">
        <f t="shared" si="9"/>
        <v>4.5435114970744282E-2</v>
      </c>
    </row>
    <row r="133" spans="1:4">
      <c r="A133" s="21" t="s">
        <v>24</v>
      </c>
      <c r="B133" s="21">
        <v>2.86177796804412</v>
      </c>
      <c r="C133" s="21">
        <f t="shared" si="8"/>
        <v>-5.7527228912459982E-2</v>
      </c>
      <c r="D133" s="23">
        <f t="shared" si="9"/>
        <v>4.4968352341139113E-2</v>
      </c>
    </row>
    <row r="134" spans="1:4">
      <c r="A134" s="21" t="s">
        <v>1525</v>
      </c>
      <c r="B134" s="21">
        <v>2.91930519695658</v>
      </c>
      <c r="C134" s="21">
        <f t="shared" si="8"/>
        <v>4.3656721521890152E-2</v>
      </c>
      <c r="D134" s="23">
        <f t="shared" si="9"/>
        <v>4.4298310828526019E-2</v>
      </c>
    </row>
    <row r="135" spans="1:4">
      <c r="A135" s="21" t="s">
        <v>1524</v>
      </c>
      <c r="B135" s="21">
        <v>2.8756484754346898</v>
      </c>
      <c r="C135" s="21">
        <f t="shared" si="8"/>
        <v>3.3972469820039652E-2</v>
      </c>
      <c r="D135" s="23">
        <f t="shared" si="9"/>
        <v>4.4589394617845501E-2</v>
      </c>
    </row>
    <row r="136" spans="1:4">
      <c r="A136" s="21" t="s">
        <v>1523</v>
      </c>
      <c r="B136" s="21">
        <v>2.8416760056146502</v>
      </c>
      <c r="C136" s="21">
        <f t="shared" si="8"/>
        <v>3.526609855049001E-2</v>
      </c>
      <c r="D136" s="23">
        <f t="shared" si="9"/>
        <v>4.4418096643407005E-2</v>
      </c>
    </row>
    <row r="137" spans="1:4">
      <c r="A137" s="21" t="s">
        <v>1522</v>
      </c>
      <c r="B137" s="21">
        <v>2.8064099070641602</v>
      </c>
      <c r="C137" s="21">
        <f t="shared" si="8"/>
        <v>5.839518409721034E-2</v>
      </c>
      <c r="D137" s="23">
        <f t="shared" si="9"/>
        <v>4.6587164212315325E-2</v>
      </c>
    </row>
    <row r="138" spans="1:4">
      <c r="A138" s="21" t="s">
        <v>1521</v>
      </c>
      <c r="B138" s="21">
        <v>2.7480147229669498</v>
      </c>
      <c r="C138" s="21">
        <f t="shared" si="8"/>
        <v>1.2688514096299564E-3</v>
      </c>
      <c r="D138" s="23">
        <f t="shared" si="9"/>
        <v>4.6059112016880517E-2</v>
      </c>
    </row>
    <row r="139" spans="1:4">
      <c r="A139" s="21" t="s">
        <v>1520</v>
      </c>
      <c r="B139" s="21">
        <v>2.7467458715573199</v>
      </c>
      <c r="C139" s="21">
        <f t="shared" si="8"/>
        <v>4.7604416926769755E-2</v>
      </c>
      <c r="D139" s="23">
        <f t="shared" si="9"/>
        <v>4.6167318226541784E-2</v>
      </c>
    </row>
    <row r="140" spans="1:4">
      <c r="A140" s="21" t="s">
        <v>1519</v>
      </c>
      <c r="B140" s="21">
        <v>2.6991414546305501</v>
      </c>
      <c r="C140" s="21">
        <f t="shared" si="8"/>
        <v>5.5407604211860306E-2</v>
      </c>
      <c r="D140" s="23">
        <f t="shared" si="9"/>
        <v>4.7179218887090014E-2</v>
      </c>
    </row>
    <row r="141" spans="1:4">
      <c r="A141" s="21" t="s">
        <v>1518</v>
      </c>
      <c r="B141" s="21">
        <v>2.6437338504186898</v>
      </c>
      <c r="C141" s="21">
        <f t="shared" si="8"/>
        <v>1.4174632649449848E-2</v>
      </c>
      <c r="D141" s="23">
        <f t="shared" si="9"/>
        <v>4.6708107539903822E-2</v>
      </c>
    </row>
    <row r="142" spans="1:4">
      <c r="A142" s="21" t="s">
        <v>1517</v>
      </c>
      <c r="B142" s="21">
        <v>2.62955921776924</v>
      </c>
      <c r="C142" s="21">
        <f t="shared" si="8"/>
        <v>-2.6728363760100127E-2</v>
      </c>
      <c r="D142" s="23">
        <f t="shared" si="9"/>
        <v>4.7404343255888853E-2</v>
      </c>
    </row>
    <row r="143" spans="1:4">
      <c r="A143" s="21" t="s">
        <v>1516</v>
      </c>
      <c r="B143" s="21">
        <v>2.6562875815293401</v>
      </c>
      <c r="C143" s="21">
        <f t="shared" si="8"/>
        <v>-1.9038832217389778E-2</v>
      </c>
      <c r="D143" s="23">
        <f t="shared" si="9"/>
        <v>4.7256705256542977E-2</v>
      </c>
    </row>
    <row r="144" spans="1:4">
      <c r="A144" s="21" t="s">
        <v>1515</v>
      </c>
      <c r="B144" s="21">
        <v>2.6753264137467299</v>
      </c>
      <c r="C144" s="21">
        <f t="shared" si="8"/>
        <v>5.2805333661659848E-2</v>
      </c>
      <c r="D144" s="23">
        <f t="shared" si="9"/>
        <v>4.8315264943955112E-2</v>
      </c>
    </row>
    <row r="145" spans="1:4">
      <c r="A145" s="21" t="s">
        <v>1514</v>
      </c>
      <c r="B145" s="21">
        <v>2.62252108008507</v>
      </c>
      <c r="C145" s="21">
        <f t="shared" si="8"/>
        <v>2.3931863014809984E-2</v>
      </c>
      <c r="D145" s="23">
        <f t="shared" si="9"/>
        <v>4.7865865689240575E-2</v>
      </c>
    </row>
    <row r="146" spans="1:4">
      <c r="A146" s="21" t="s">
        <v>1513</v>
      </c>
      <c r="B146" s="21">
        <v>2.59858921707026</v>
      </c>
      <c r="C146" s="21">
        <f t="shared" si="8"/>
        <v>3.1468796612490024E-2</v>
      </c>
      <c r="D146" s="23">
        <f t="shared" si="9"/>
        <v>4.7898833496792616E-2</v>
      </c>
    </row>
    <row r="147" spans="1:4">
      <c r="A147" s="21" t="s">
        <v>1512</v>
      </c>
      <c r="B147" s="21">
        <v>2.56712042045777</v>
      </c>
      <c r="C147" s="21">
        <f t="shared" si="8"/>
        <v>-8.7825213409797875E-3</v>
      </c>
      <c r="D147" s="23">
        <f t="shared" si="9"/>
        <v>4.8129624283717885E-2</v>
      </c>
    </row>
    <row r="148" spans="1:4">
      <c r="A148" s="21" t="s">
        <v>1511</v>
      </c>
      <c r="B148" s="21">
        <v>2.5759029417987498</v>
      </c>
      <c r="C148" s="21">
        <f t="shared" si="8"/>
        <v>-8.7906427710402468E-3</v>
      </c>
      <c r="D148" s="23">
        <f t="shared" si="9"/>
        <v>4.8133032922734853E-2</v>
      </c>
    </row>
    <row r="149" spans="1:4">
      <c r="A149" s="21" t="s">
        <v>1510</v>
      </c>
      <c r="B149" s="21">
        <v>2.58469358456979</v>
      </c>
      <c r="C149" s="21">
        <f t="shared" si="8"/>
        <v>-1.2165182691600052E-2</v>
      </c>
      <c r="D149" s="23">
        <f t="shared" si="9"/>
        <v>4.8578445027368224E-2</v>
      </c>
    </row>
    <row r="150" spans="1:4">
      <c r="A150" s="21" t="s">
        <v>1509</v>
      </c>
      <c r="B150" s="21">
        <v>2.5968587672613901</v>
      </c>
      <c r="C150" s="21">
        <f t="shared" si="8"/>
        <v>-4.4481683155519924E-2</v>
      </c>
      <c r="D150" s="23">
        <f t="shared" si="9"/>
        <v>4.8571794401842144E-2</v>
      </c>
    </row>
    <row r="151" spans="1:4">
      <c r="A151" s="21" t="s">
        <v>1508</v>
      </c>
      <c r="B151" s="21">
        <v>2.64134045041691</v>
      </c>
      <c r="C151" s="21">
        <f t="shared" si="8"/>
        <v>-2.6054112115000194E-2</v>
      </c>
      <c r="D151" s="23">
        <f t="shared" si="9"/>
        <v>4.9541911091635221E-2</v>
      </c>
    </row>
    <row r="152" spans="1:4">
      <c r="A152" s="21" t="s">
        <v>1507</v>
      </c>
      <c r="B152" s="21">
        <v>2.6673945625319102</v>
      </c>
      <c r="C152" s="21">
        <f t="shared" si="8"/>
        <v>1.9736284103810231E-2</v>
      </c>
      <c r="D152" s="23">
        <f t="shared" si="9"/>
        <v>4.9654127894161793E-2</v>
      </c>
    </row>
    <row r="153" spans="1:4">
      <c r="A153" s="21" t="s">
        <v>1506</v>
      </c>
      <c r="B153" s="21">
        <v>2.6476582784281</v>
      </c>
      <c r="C153" s="21">
        <f t="shared" si="8"/>
        <v>2.7336766776909993E-2</v>
      </c>
      <c r="D153" s="23">
        <f t="shared" si="9"/>
        <v>5.098123062617281E-2</v>
      </c>
    </row>
    <row r="154" spans="1:4">
      <c r="A154" s="21" t="s">
        <v>1505</v>
      </c>
      <c r="B154" s="21">
        <v>2.62032151165119</v>
      </c>
      <c r="C154" s="21">
        <f t="shared" si="8"/>
        <v>-8.4609472273298181E-3</v>
      </c>
      <c r="D154" s="23">
        <f t="shared" si="9"/>
        <v>5.0900754645999316E-2</v>
      </c>
    </row>
    <row r="155" spans="1:4">
      <c r="A155" s="21" t="s">
        <v>1504</v>
      </c>
      <c r="B155" s="21">
        <v>2.6287824588785198</v>
      </c>
      <c r="C155" s="21">
        <f t="shared" si="8"/>
        <v>-5.134644862000215E-3</v>
      </c>
      <c r="D155" s="23">
        <f t="shared" si="9"/>
        <v>5.1349905477378568E-2</v>
      </c>
    </row>
    <row r="156" spans="1:4">
      <c r="A156" s="21" t="s">
        <v>1503</v>
      </c>
      <c r="B156" s="21">
        <v>2.63391710374052</v>
      </c>
      <c r="C156" s="21">
        <f t="shared" si="8"/>
        <v>4.3028682204710123E-2</v>
      </c>
      <c r="D156" s="23">
        <f t="shared" si="9"/>
        <v>5.1500973920222307E-2</v>
      </c>
    </row>
    <row r="157" spans="1:4">
      <c r="A157" s="21" t="s">
        <v>1502</v>
      </c>
      <c r="B157" s="21">
        <v>2.5908884215358099</v>
      </c>
      <c r="C157" s="21">
        <f t="shared" si="8"/>
        <v>-6.0394246464800183E-2</v>
      </c>
      <c r="D157" s="23">
        <f t="shared" si="9"/>
        <v>5.1653152037348424E-2</v>
      </c>
    </row>
    <row r="158" spans="1:4">
      <c r="A158" s="21" t="s">
        <v>1501</v>
      </c>
      <c r="B158" s="21">
        <v>2.6512826680006101</v>
      </c>
      <c r="C158" s="21">
        <f t="shared" si="8"/>
        <v>5.2016892610319942E-2</v>
      </c>
      <c r="D158" s="23">
        <f t="shared" si="9"/>
        <v>5.1062964454997355E-2</v>
      </c>
    </row>
    <row r="159" spans="1:4">
      <c r="A159" s="21" t="s">
        <v>1500</v>
      </c>
      <c r="B159" s="21">
        <v>2.5992657753902901</v>
      </c>
      <c r="C159" s="21">
        <f t="shared" si="8"/>
        <v>-6.1769385888649886E-2</v>
      </c>
      <c r="D159" s="23">
        <f t="shared" si="9"/>
        <v>5.1647565557648038E-2</v>
      </c>
    </row>
    <row r="160" spans="1:4">
      <c r="A160" s="21" t="s">
        <v>1499</v>
      </c>
      <c r="B160" s="21">
        <v>2.66103516127894</v>
      </c>
      <c r="C160" s="21">
        <f t="shared" si="8"/>
        <v>-2.9586269164330048E-2</v>
      </c>
      <c r="D160" s="23">
        <f t="shared" si="9"/>
        <v>5.2305556167059834E-2</v>
      </c>
    </row>
    <row r="161" spans="1:4">
      <c r="A161" s="21" t="s">
        <v>1498</v>
      </c>
      <c r="B161" s="21">
        <v>2.6906214304432701</v>
      </c>
      <c r="C161" s="21">
        <f t="shared" si="8"/>
        <v>-2.8618158563897822E-3</v>
      </c>
      <c r="D161" s="23">
        <f t="shared" si="9"/>
        <v>5.2529510292846429E-2</v>
      </c>
    </row>
    <row r="162" spans="1:4">
      <c r="A162" s="21" t="s">
        <v>1497</v>
      </c>
      <c r="B162" s="21">
        <v>2.6934832462996599</v>
      </c>
      <c r="C162" s="21">
        <f t="shared" si="8"/>
        <v>-5.8515813978840203E-2</v>
      </c>
      <c r="D162" s="23">
        <f t="shared" si="9"/>
        <v>5.2568824336332379E-2</v>
      </c>
    </row>
    <row r="163" spans="1:4">
      <c r="A163" s="21" t="s">
        <v>1496</v>
      </c>
      <c r="B163" s="21">
        <v>2.7519990602785001</v>
      </c>
      <c r="C163" s="21">
        <f t="shared" si="8"/>
        <v>8.7829664233180171E-2</v>
      </c>
      <c r="D163" s="23">
        <f t="shared" si="9"/>
        <v>5.2063000189669403E-2</v>
      </c>
    </row>
    <row r="164" spans="1:4">
      <c r="A164" s="21" t="s">
        <v>1495</v>
      </c>
      <c r="B164" s="21">
        <v>2.6641693960453199</v>
      </c>
      <c r="C164" s="21">
        <f t="shared" si="8"/>
        <v>5.4322680498939846E-2</v>
      </c>
      <c r="D164" s="23">
        <f t="shared" si="9"/>
        <v>5.0834255640575129E-2</v>
      </c>
    </row>
    <row r="165" spans="1:4">
      <c r="A165" s="21" t="s">
        <v>1494</v>
      </c>
      <c r="B165" s="21">
        <v>2.60984671554638</v>
      </c>
      <c r="C165" s="21">
        <f t="shared" si="8"/>
        <v>-4.7662762445280116E-2</v>
      </c>
      <c r="D165" s="23">
        <f t="shared" si="9"/>
        <v>5.028986318675964E-2</v>
      </c>
    </row>
    <row r="166" spans="1:4">
      <c r="A166" s="21" t="s">
        <v>1493</v>
      </c>
      <c r="B166" s="21">
        <v>2.6575094779916602</v>
      </c>
      <c r="C166" s="21">
        <f t="shared" si="8"/>
        <v>-1.4263460552039753E-2</v>
      </c>
      <c r="D166" s="23">
        <f t="shared" si="9"/>
        <v>4.9979240085224877E-2</v>
      </c>
    </row>
    <row r="167" spans="1:4">
      <c r="A167" s="21" t="s">
        <v>1492</v>
      </c>
      <c r="B167" s="21">
        <v>2.6717729385436999</v>
      </c>
      <c r="C167" s="21">
        <f t="shared" si="8"/>
        <v>-3.7783625217580052E-2</v>
      </c>
      <c r="D167" s="23">
        <f t="shared" si="9"/>
        <v>5.1257985488287174E-2</v>
      </c>
    </row>
    <row r="168" spans="1:4">
      <c r="A168" s="21" t="s">
        <v>1491</v>
      </c>
      <c r="B168" s="21">
        <v>2.70955656376128</v>
      </c>
      <c r="C168" s="21">
        <f t="shared" si="8"/>
        <v>1.6707660665860047E-2</v>
      </c>
      <c r="D168" s="23">
        <f t="shared" si="9"/>
        <v>5.105513837458095E-2</v>
      </c>
    </row>
    <row r="169" spans="1:4">
      <c r="A169" s="21" t="s">
        <v>1490</v>
      </c>
      <c r="B169" s="21">
        <v>2.6928489030954199</v>
      </c>
      <c r="C169" s="21">
        <f t="shared" si="8"/>
        <v>-0.10299210620924004</v>
      </c>
      <c r="D169" s="23">
        <f t="shared" si="9"/>
        <v>5.1075351440029074E-2</v>
      </c>
    </row>
    <row r="170" spans="1:4">
      <c r="A170" s="21" t="s">
        <v>1489</v>
      </c>
      <c r="B170" s="21">
        <v>2.79584100930466</v>
      </c>
      <c r="C170" s="21">
        <f t="shared" si="8"/>
        <v>-2.8335842523260268E-2</v>
      </c>
      <c r="D170" s="23">
        <f t="shared" si="9"/>
        <v>4.9433604663992513E-2</v>
      </c>
    </row>
    <row r="171" spans="1:4">
      <c r="A171" s="21" t="s">
        <v>1488</v>
      </c>
      <c r="B171" s="21">
        <v>2.8241768518279202</v>
      </c>
      <c r="C171" s="21">
        <f t="shared" si="8"/>
        <v>-7.328897314579752E-3</v>
      </c>
      <c r="D171" s="23">
        <f t="shared" si="9"/>
        <v>4.972298024627448E-2</v>
      </c>
    </row>
    <row r="172" spans="1:4">
      <c r="A172" s="21" t="s">
        <v>1487</v>
      </c>
      <c r="B172" s="21">
        <v>2.8315057491425</v>
      </c>
      <c r="C172" s="21">
        <f t="shared" si="8"/>
        <v>1.7686638888520179E-2</v>
      </c>
      <c r="D172" s="23">
        <f t="shared" si="9"/>
        <v>5.0016408280578802E-2</v>
      </c>
    </row>
    <row r="173" spans="1:4">
      <c r="A173" s="21" t="s">
        <v>1486</v>
      </c>
      <c r="B173" s="21">
        <v>2.8138191102539798</v>
      </c>
      <c r="C173" s="21">
        <f t="shared" si="8"/>
        <v>-1.4016193064140037E-2</v>
      </c>
      <c r="D173" s="23">
        <f t="shared" si="9"/>
        <v>5.0101418365163755E-2</v>
      </c>
    </row>
    <row r="174" spans="1:4">
      <c r="A174" s="21" t="s">
        <v>1485</v>
      </c>
      <c r="B174" s="21">
        <v>2.8278353033181198</v>
      </c>
      <c r="C174" s="21">
        <f t="shared" si="8"/>
        <v>-1.8515033488640142E-2</v>
      </c>
      <c r="D174" s="23">
        <f t="shared" si="9"/>
        <v>5.0729469681339956E-2</v>
      </c>
    </row>
    <row r="175" spans="1:4">
      <c r="A175" s="21" t="s">
        <v>1484</v>
      </c>
      <c r="B175" s="21">
        <v>2.84635033680676</v>
      </c>
      <c r="C175" s="21">
        <f t="shared" si="8"/>
        <v>-5.5877186723169991E-2</v>
      </c>
      <c r="D175" s="23">
        <f t="shared" si="9"/>
        <v>5.0699413076051386E-2</v>
      </c>
    </row>
    <row r="176" spans="1:4">
      <c r="A176" s="21" t="s">
        <v>1483</v>
      </c>
      <c r="B176" s="21">
        <v>2.90222752352993</v>
      </c>
      <c r="C176" s="21">
        <f t="shared" si="8"/>
        <v>-2.8089487371969923E-2</v>
      </c>
      <c r="D176" s="23">
        <f t="shared" si="9"/>
        <v>5.0374968930745459E-2</v>
      </c>
    </row>
    <row r="177" spans="1:4">
      <c r="A177" s="21" t="s">
        <v>1482</v>
      </c>
      <c r="B177" s="21">
        <v>2.9303170109018999</v>
      </c>
      <c r="C177" s="21">
        <f t="shared" si="8"/>
        <v>0.11475543592522985</v>
      </c>
      <c r="D177" s="23">
        <f t="shared" si="9"/>
        <v>5.0328597652899563E-2</v>
      </c>
    </row>
    <row r="178" spans="1:4">
      <c r="A178" s="21" t="s">
        <v>1481</v>
      </c>
      <c r="B178" s="21">
        <v>2.81556157497667</v>
      </c>
      <c r="C178" s="21">
        <f t="shared" si="8"/>
        <v>-8.6221477767698396E-3</v>
      </c>
      <c r="D178" s="23">
        <f t="shared" si="9"/>
        <v>4.8374651260484278E-2</v>
      </c>
    </row>
    <row r="179" spans="1:4">
      <c r="A179" s="21" t="s">
        <v>1480</v>
      </c>
      <c r="B179" s="21">
        <v>2.8241837227534399</v>
      </c>
      <c r="C179" s="21">
        <f t="shared" si="8"/>
        <v>-1.0016217275850003E-2</v>
      </c>
      <c r="D179" s="23">
        <f t="shared" si="9"/>
        <v>4.8873598650616391E-2</v>
      </c>
    </row>
    <row r="180" spans="1:4">
      <c r="A180" s="21" t="s">
        <v>1479</v>
      </c>
      <c r="B180" s="21">
        <v>2.8341999400292899</v>
      </c>
      <c r="C180" s="21">
        <f t="shared" si="8"/>
        <v>4.2564983082550079E-2</v>
      </c>
      <c r="D180" s="23">
        <f t="shared" si="9"/>
        <v>4.8999995156893128E-2</v>
      </c>
    </row>
    <row r="181" spans="1:4">
      <c r="A181" s="21" t="s">
        <v>1478</v>
      </c>
      <c r="B181" s="21">
        <v>2.7916349569467398</v>
      </c>
      <c r="C181" s="21">
        <f t="shared" si="8"/>
        <v>5.5036386074329702E-2</v>
      </c>
      <c r="D181" s="23">
        <f t="shared" si="9"/>
        <v>4.8671144863370444E-2</v>
      </c>
    </row>
    <row r="182" spans="1:4">
      <c r="A182" s="21" t="s">
        <v>1477</v>
      </c>
      <c r="B182" s="21">
        <v>2.7365985708724101</v>
      </c>
      <c r="C182" s="21">
        <f t="shared" si="8"/>
        <v>-2.7595391396399993E-2</v>
      </c>
      <c r="D182" s="23">
        <f t="shared" si="9"/>
        <v>4.8835118922439157E-2</v>
      </c>
    </row>
    <row r="183" spans="1:4">
      <c r="A183" s="21" t="s">
        <v>1476</v>
      </c>
      <c r="B183" s="21">
        <v>2.7641939622688101</v>
      </c>
      <c r="C183" s="21">
        <f t="shared" si="8"/>
        <v>3.795665390006997E-2</v>
      </c>
      <c r="D183" s="23">
        <f t="shared" si="9"/>
        <v>4.8777204966250189E-2</v>
      </c>
    </row>
    <row r="184" spans="1:4">
      <c r="A184" s="21" t="s">
        <v>1475</v>
      </c>
      <c r="B184" s="21">
        <v>2.7262373083687401</v>
      </c>
      <c r="C184" s="21">
        <f t="shared" si="8"/>
        <v>-1.9446876118589973E-2</v>
      </c>
      <c r="D184" s="23">
        <f t="shared" si="9"/>
        <v>4.8730269650620842E-2</v>
      </c>
    </row>
    <row r="185" spans="1:4">
      <c r="A185" s="21" t="s">
        <v>1474</v>
      </c>
      <c r="B185" s="21">
        <v>2.7456841844873301</v>
      </c>
      <c r="C185" s="21">
        <f t="shared" si="8"/>
        <v>-5.9485066782420049E-2</v>
      </c>
      <c r="D185" s="23">
        <f t="shared" si="9"/>
        <v>4.8706051121354101E-2</v>
      </c>
    </row>
    <row r="186" spans="1:4">
      <c r="A186" s="21" t="s">
        <v>1473</v>
      </c>
      <c r="B186" s="21">
        <v>2.8051692512697501</v>
      </c>
      <c r="C186" s="21">
        <f t="shared" si="8"/>
        <v>-4.4365142381239675E-2</v>
      </c>
      <c r="D186" s="23">
        <f t="shared" si="9"/>
        <v>4.8614203119420829E-2</v>
      </c>
    </row>
    <row r="187" spans="1:4">
      <c r="A187" s="21" t="s">
        <v>1472</v>
      </c>
      <c r="B187" s="21">
        <v>2.8495343936509898</v>
      </c>
      <c r="C187" s="21">
        <f t="shared" si="8"/>
        <v>1.8452754343909916E-2</v>
      </c>
      <c r="D187" s="23">
        <f t="shared" si="9"/>
        <v>4.8318934244069009E-2</v>
      </c>
    </row>
    <row r="188" spans="1:4">
      <c r="A188" s="21" t="s">
        <v>1471</v>
      </c>
      <c r="B188" s="21">
        <v>2.8310816393070799</v>
      </c>
      <c r="C188" s="21">
        <f t="shared" si="8"/>
        <v>2.4443887319999913E-2</v>
      </c>
      <c r="D188" s="23">
        <f t="shared" si="9"/>
        <v>4.8284458751208729E-2</v>
      </c>
    </row>
    <row r="189" spans="1:4">
      <c r="A189" s="21" t="s">
        <v>1470</v>
      </c>
      <c r="B189" s="21">
        <v>2.80663775198708</v>
      </c>
      <c r="C189" s="21">
        <f t="shared" si="8"/>
        <v>-5.8108678008930159E-2</v>
      </c>
      <c r="D189" s="23">
        <f t="shared" si="9"/>
        <v>4.8213802976306563E-2</v>
      </c>
    </row>
    <row r="190" spans="1:4">
      <c r="A190" s="21" t="s">
        <v>1469</v>
      </c>
      <c r="B190" s="21">
        <v>2.8647464299960101</v>
      </c>
      <c r="C190" s="21">
        <f t="shared" si="8"/>
        <v>0.12079316985187027</v>
      </c>
      <c r="D190" s="23">
        <f t="shared" si="9"/>
        <v>4.7774632124184847E-2</v>
      </c>
    </row>
    <row r="191" spans="1:4">
      <c r="A191" s="21" t="s">
        <v>1468</v>
      </c>
      <c r="B191" s="21">
        <v>2.7439532601441399</v>
      </c>
      <c r="C191" s="21">
        <f t="shared" si="8"/>
        <v>2.2205975577179959E-2</v>
      </c>
      <c r="D191" s="23">
        <f t="shared" si="9"/>
        <v>4.4985681726900435E-2</v>
      </c>
    </row>
    <row r="192" spans="1:4">
      <c r="A192" s="21" t="s">
        <v>1467</v>
      </c>
      <c r="B192" s="21">
        <v>2.7217472845669599</v>
      </c>
      <c r="C192" s="21">
        <f t="shared" si="8"/>
        <v>-1.7347179969899873E-2</v>
      </c>
      <c r="D192" s="23">
        <f t="shared" si="9"/>
        <v>4.4872328078617019E-2</v>
      </c>
    </row>
    <row r="193" spans="1:4">
      <c r="A193" s="21" t="s">
        <v>1466</v>
      </c>
      <c r="B193" s="21">
        <v>2.7390944645368598</v>
      </c>
      <c r="C193" s="21">
        <f t="shared" si="8"/>
        <v>-5.9674368390703059E-3</v>
      </c>
      <c r="D193" s="23">
        <f t="shared" si="9"/>
        <v>4.5025013859554035E-2</v>
      </c>
    </row>
    <row r="194" spans="1:4">
      <c r="A194" s="21" t="s">
        <v>1465</v>
      </c>
      <c r="B194" s="21">
        <v>2.7450619013759301</v>
      </c>
      <c r="C194" s="21">
        <f t="shared" ref="C194:C257" si="10">B194-B195</f>
        <v>5.9397077375229923E-2</v>
      </c>
      <c r="D194" s="23">
        <f t="shared" ref="D194:D257" si="11">STDEV(C194:C253)</f>
        <v>4.5035608664267382E-2</v>
      </c>
    </row>
    <row r="195" spans="1:4">
      <c r="A195" s="21" t="s">
        <v>1464</v>
      </c>
      <c r="B195" s="21">
        <v>2.6856648240007002</v>
      </c>
      <c r="C195" s="21">
        <f t="shared" si="10"/>
        <v>1.0808124104940031E-2</v>
      </c>
      <c r="D195" s="23">
        <f t="shared" si="11"/>
        <v>4.4245483467881958E-2</v>
      </c>
    </row>
    <row r="196" spans="1:4">
      <c r="A196" s="21" t="s">
        <v>1463</v>
      </c>
      <c r="B196" s="21">
        <v>2.6748566998957601</v>
      </c>
      <c r="C196" s="21">
        <f t="shared" si="10"/>
        <v>0.11596271941853997</v>
      </c>
      <c r="D196" s="23">
        <f t="shared" si="11"/>
        <v>4.4508871341636246E-2</v>
      </c>
    </row>
    <row r="197" spans="1:4">
      <c r="A197" s="21" t="s">
        <v>1462</v>
      </c>
      <c r="B197" s="21">
        <v>2.5588939804772202</v>
      </c>
      <c r="C197" s="21">
        <f t="shared" si="10"/>
        <v>-7.3104605452298799E-3</v>
      </c>
      <c r="D197" s="23">
        <f t="shared" si="11"/>
        <v>4.1928794734256765E-2</v>
      </c>
    </row>
    <row r="198" spans="1:4">
      <c r="A198" s="21" t="s">
        <v>1461</v>
      </c>
      <c r="B198" s="21">
        <v>2.56620444102245</v>
      </c>
      <c r="C198" s="21">
        <f t="shared" si="10"/>
        <v>2.7595236635180154E-2</v>
      </c>
      <c r="D198" s="23">
        <f t="shared" si="11"/>
        <v>4.1978182766690166E-2</v>
      </c>
    </row>
    <row r="199" spans="1:4">
      <c r="A199" s="21" t="s">
        <v>1460</v>
      </c>
      <c r="B199" s="21">
        <v>2.5386092043872699</v>
      </c>
      <c r="C199" s="21">
        <f t="shared" si="10"/>
        <v>9.0367772242049949E-2</v>
      </c>
      <c r="D199" s="23">
        <f t="shared" si="11"/>
        <v>4.1733080024083408E-2</v>
      </c>
    </row>
    <row r="200" spans="1:4">
      <c r="A200" s="21" t="s">
        <v>1459</v>
      </c>
      <c r="B200" s="21">
        <v>2.4482414321452199</v>
      </c>
      <c r="C200" s="21">
        <f t="shared" si="10"/>
        <v>-4.4273579895102166E-3</v>
      </c>
      <c r="D200" s="23">
        <f t="shared" si="11"/>
        <v>3.9676778566298351E-2</v>
      </c>
    </row>
    <row r="201" spans="1:4">
      <c r="A201" s="21" t="s">
        <v>1458</v>
      </c>
      <c r="B201" s="21">
        <v>2.4526687901347302</v>
      </c>
      <c r="C201" s="21">
        <f t="shared" si="10"/>
        <v>-6.0691580805549705E-2</v>
      </c>
      <c r="D201" s="23">
        <f t="shared" si="11"/>
        <v>4.0143515378628106E-2</v>
      </c>
    </row>
    <row r="202" spans="1:4">
      <c r="A202" s="21" t="s">
        <v>1457</v>
      </c>
      <c r="B202" s="21">
        <v>2.5133603709402799</v>
      </c>
      <c r="C202" s="21">
        <f t="shared" si="10"/>
        <v>5.7748827323300667E-3</v>
      </c>
      <c r="D202" s="23">
        <f t="shared" si="11"/>
        <v>3.9757918546835878E-2</v>
      </c>
    </row>
    <row r="203" spans="1:4">
      <c r="A203" s="21" t="s">
        <v>1456</v>
      </c>
      <c r="B203" s="21">
        <v>2.5075854882079498</v>
      </c>
      <c r="C203" s="21">
        <f t="shared" si="10"/>
        <v>-7.8082427514220232E-2</v>
      </c>
      <c r="D203" s="23">
        <f t="shared" si="11"/>
        <v>3.9750209998650643E-2</v>
      </c>
    </row>
    <row r="204" spans="1:4">
      <c r="A204" s="21" t="s">
        <v>1455</v>
      </c>
      <c r="B204" s="21">
        <v>2.58566791572217</v>
      </c>
      <c r="C204" s="21">
        <f t="shared" si="10"/>
        <v>-1.0750876200657622E-2</v>
      </c>
      <c r="D204" s="23">
        <f t="shared" si="11"/>
        <v>3.9078409681371384E-2</v>
      </c>
    </row>
    <row r="205" spans="1:4">
      <c r="A205" s="21" t="s">
        <v>1454</v>
      </c>
      <c r="B205" s="21">
        <v>2.5964187919228277</v>
      </c>
      <c r="C205" s="21">
        <f t="shared" si="10"/>
        <v>2.7612206981508791E-2</v>
      </c>
      <c r="D205" s="23">
        <f t="shared" si="11"/>
        <v>3.925352183409251E-2</v>
      </c>
    </row>
    <row r="206" spans="1:4">
      <c r="A206" s="21" t="s">
        <v>1453</v>
      </c>
      <c r="B206" s="21">
        <v>2.5688065849413189</v>
      </c>
      <c r="C206" s="21">
        <f t="shared" si="10"/>
        <v>-4.8213988411841324E-2</v>
      </c>
      <c r="D206" s="23">
        <f t="shared" si="11"/>
        <v>3.9027314195075054E-2</v>
      </c>
    </row>
    <row r="207" spans="1:4">
      <c r="A207" s="21" t="s">
        <v>1452</v>
      </c>
      <c r="B207" s="21">
        <v>2.6170205733531602</v>
      </c>
      <c r="C207" s="21">
        <f t="shared" si="10"/>
        <v>8.5261385200503526E-3</v>
      </c>
      <c r="D207" s="23">
        <f t="shared" si="11"/>
        <v>3.8699044111572226E-2</v>
      </c>
    </row>
    <row r="208" spans="1:4">
      <c r="A208" s="21" t="s">
        <v>1451</v>
      </c>
      <c r="B208" s="21">
        <v>2.6084944348331098</v>
      </c>
      <c r="C208" s="21">
        <f t="shared" si="10"/>
        <v>5.112264301887981E-2</v>
      </c>
      <c r="D208" s="23">
        <f t="shared" si="11"/>
        <v>3.9132938174154155E-2</v>
      </c>
    </row>
    <row r="209" spans="1:4">
      <c r="A209" s="21" t="s">
        <v>1450</v>
      </c>
      <c r="B209" s="21">
        <v>2.55737179181423</v>
      </c>
      <c r="C209" s="21">
        <f t="shared" si="10"/>
        <v>1.1892309749669927E-2</v>
      </c>
      <c r="D209" s="23">
        <f t="shared" si="11"/>
        <v>3.850883723427715E-2</v>
      </c>
    </row>
    <row r="210" spans="1:4">
      <c r="A210" s="21" t="s">
        <v>1449</v>
      </c>
      <c r="B210" s="21">
        <v>2.5454794820645601</v>
      </c>
      <c r="C210" s="21">
        <f t="shared" si="10"/>
        <v>9.0149950076189977E-2</v>
      </c>
      <c r="D210" s="23">
        <f t="shared" si="11"/>
        <v>3.8589614779699077E-2</v>
      </c>
    </row>
    <row r="211" spans="1:4">
      <c r="A211" s="21" t="s">
        <v>1448</v>
      </c>
      <c r="B211" s="21">
        <v>2.4553295319883701</v>
      </c>
      <c r="C211" s="21">
        <f t="shared" si="10"/>
        <v>-3.5736548494909925E-2</v>
      </c>
      <c r="D211" s="23">
        <f t="shared" si="11"/>
        <v>3.657039827726697E-2</v>
      </c>
    </row>
    <row r="212" spans="1:4">
      <c r="A212" s="21" t="s">
        <v>1447</v>
      </c>
      <c r="B212" s="21">
        <v>2.49106608048328</v>
      </c>
      <c r="C212" s="21">
        <f t="shared" si="10"/>
        <v>-8.8477713734659957E-2</v>
      </c>
      <c r="D212" s="23">
        <f t="shared" si="11"/>
        <v>3.6538219418835567E-2</v>
      </c>
    </row>
    <row r="213" spans="1:4">
      <c r="A213" s="21" t="s">
        <v>1446</v>
      </c>
      <c r="B213" s="21">
        <v>2.57954379421794</v>
      </c>
      <c r="C213" s="21">
        <f t="shared" si="10"/>
        <v>-1.4075228090470127E-2</v>
      </c>
      <c r="D213" s="23">
        <f t="shared" si="11"/>
        <v>3.6969910765682928E-2</v>
      </c>
    </row>
    <row r="214" spans="1:4">
      <c r="A214" s="21" t="s">
        <v>1445</v>
      </c>
      <c r="B214" s="21">
        <v>2.5936190223084101</v>
      </c>
      <c r="C214" s="21">
        <f t="shared" si="10"/>
        <v>-5.2673008604519733E-2</v>
      </c>
      <c r="D214" s="23">
        <f t="shared" si="11"/>
        <v>3.9620884818353977E-2</v>
      </c>
    </row>
    <row r="215" spans="1:4">
      <c r="A215" s="21" t="s">
        <v>1444</v>
      </c>
      <c r="B215" s="21">
        <v>2.6462920309129299</v>
      </c>
      <c r="C215" s="21">
        <f t="shared" si="10"/>
        <v>-3.1137175314603027E-2</v>
      </c>
      <c r="D215" s="23">
        <f t="shared" si="11"/>
        <v>4.0683848859350634E-2</v>
      </c>
    </row>
    <row r="216" spans="1:4">
      <c r="A216" s="21" t="s">
        <v>1443</v>
      </c>
      <c r="B216" s="21">
        <v>2.6774292062275329</v>
      </c>
      <c r="C216" s="21">
        <f t="shared" si="10"/>
        <v>5.2586101040574817E-2</v>
      </c>
      <c r="D216" s="23">
        <f t="shared" si="11"/>
        <v>4.0551301828243867E-2</v>
      </c>
    </row>
    <row r="217" spans="1:4">
      <c r="A217" s="21" t="s">
        <v>1442</v>
      </c>
      <c r="B217" s="21">
        <v>2.6248431051869581</v>
      </c>
      <c r="C217" s="21">
        <f t="shared" si="10"/>
        <v>8.4785680934680308E-3</v>
      </c>
      <c r="D217" s="23">
        <f t="shared" si="11"/>
        <v>3.9843592371344654E-2</v>
      </c>
    </row>
    <row r="218" spans="1:4">
      <c r="A218" s="21" t="s">
        <v>1441</v>
      </c>
      <c r="B218" s="21">
        <v>2.61636453709349</v>
      </c>
      <c r="C218" s="21">
        <f t="shared" si="10"/>
        <v>-7.9905589575259839E-2</v>
      </c>
      <c r="D218" s="23">
        <f t="shared" si="11"/>
        <v>4.019176979917824E-2</v>
      </c>
    </row>
    <row r="219" spans="1:4">
      <c r="A219" s="21" t="s">
        <v>1440</v>
      </c>
      <c r="B219" s="21">
        <v>2.6962701266687499</v>
      </c>
      <c r="C219" s="21">
        <f t="shared" si="10"/>
        <v>-8.9175115728910015E-2</v>
      </c>
      <c r="D219" s="23">
        <f t="shared" si="11"/>
        <v>3.9799811186183129E-2</v>
      </c>
    </row>
    <row r="220" spans="1:4">
      <c r="A220" s="21" t="s">
        <v>1439</v>
      </c>
      <c r="B220" s="21">
        <v>2.7854452423976599</v>
      </c>
      <c r="C220" s="21">
        <f t="shared" si="10"/>
        <v>-4.8420899064709921E-2</v>
      </c>
      <c r="D220" s="23">
        <f t="shared" si="11"/>
        <v>3.8345660999403459E-2</v>
      </c>
    </row>
    <row r="221" spans="1:4">
      <c r="A221" s="21" t="s">
        <v>1438</v>
      </c>
      <c r="B221" s="21">
        <v>2.8338661414623698</v>
      </c>
      <c r="C221" s="21">
        <f t="shared" si="10"/>
        <v>-1.8131932255370131E-2</v>
      </c>
      <c r="D221" s="23">
        <f t="shared" si="11"/>
        <v>3.7959102473462986E-2</v>
      </c>
    </row>
    <row r="222" spans="1:4">
      <c r="A222" s="21" t="s">
        <v>1437</v>
      </c>
      <c r="B222" s="21">
        <v>2.8519980737177399</v>
      </c>
      <c r="C222" s="21">
        <f t="shared" si="10"/>
        <v>-8.9817518207402358E-3</v>
      </c>
      <c r="D222" s="23">
        <f t="shared" si="11"/>
        <v>3.802762713005909E-2</v>
      </c>
    </row>
    <row r="223" spans="1:4">
      <c r="A223" s="21" t="s">
        <v>1436</v>
      </c>
      <c r="B223" s="21">
        <v>2.8609798255384802</v>
      </c>
      <c r="C223" s="21">
        <f t="shared" si="10"/>
        <v>-3.0262891342709874E-2</v>
      </c>
      <c r="D223" s="23">
        <f t="shared" si="11"/>
        <v>3.9565456314958843E-2</v>
      </c>
    </row>
    <row r="224" spans="1:4">
      <c r="A224" s="21" t="s">
        <v>1435</v>
      </c>
      <c r="B224" s="21">
        <v>2.8912427168811901</v>
      </c>
      <c r="C224" s="21">
        <f t="shared" si="10"/>
        <v>-1.8510033397189929E-2</v>
      </c>
      <c r="D224" s="23">
        <f t="shared" si="11"/>
        <v>3.9524089086147698E-2</v>
      </c>
    </row>
    <row r="225" spans="1:4">
      <c r="A225" s="21" t="s">
        <v>1434</v>
      </c>
      <c r="B225" s="21">
        <v>2.90975275027838</v>
      </c>
      <c r="C225" s="21">
        <f t="shared" si="10"/>
        <v>-5.7165407914006039E-4</v>
      </c>
      <c r="D225" s="23">
        <f t="shared" si="11"/>
        <v>3.9550399452483689E-2</v>
      </c>
    </row>
    <row r="226" spans="1:4">
      <c r="A226" s="21" t="s">
        <v>1433</v>
      </c>
      <c r="B226" s="21">
        <v>2.91032440435752</v>
      </c>
      <c r="C226" s="21">
        <f t="shared" si="10"/>
        <v>8.4680207248629902E-2</v>
      </c>
      <c r="D226" s="23">
        <f t="shared" si="11"/>
        <v>3.9663743746241445E-2</v>
      </c>
    </row>
    <row r="227" spans="1:4">
      <c r="A227" s="21" t="s">
        <v>1432</v>
      </c>
      <c r="B227" s="21">
        <v>2.8256441971088901</v>
      </c>
      <c r="C227" s="21">
        <f t="shared" si="10"/>
        <v>-8.0956601932897776E-3</v>
      </c>
      <c r="D227" s="23">
        <f t="shared" si="11"/>
        <v>3.8189062387787798E-2</v>
      </c>
    </row>
    <row r="228" spans="1:4">
      <c r="A228" s="21" t="s">
        <v>1431</v>
      </c>
      <c r="B228" s="21">
        <v>2.8337398573021799</v>
      </c>
      <c r="C228" s="21">
        <f t="shared" si="10"/>
        <v>-2.4490149494340141E-2</v>
      </c>
      <c r="D228" s="23">
        <f t="shared" si="11"/>
        <v>3.8416827935437492E-2</v>
      </c>
    </row>
    <row r="229" spans="1:4">
      <c r="A229" s="21" t="s">
        <v>1430</v>
      </c>
      <c r="B229" s="21">
        <v>2.8582300067965201</v>
      </c>
      <c r="C229" s="21">
        <f t="shared" si="10"/>
        <v>2.1079875526280212E-2</v>
      </c>
      <c r="D229" s="23">
        <f t="shared" si="11"/>
        <v>3.8421355666461841E-2</v>
      </c>
    </row>
    <row r="230" spans="1:4">
      <c r="A230" s="21" t="s">
        <v>1429</v>
      </c>
      <c r="B230" s="21">
        <v>2.8371501312702399</v>
      </c>
      <c r="C230" s="21">
        <f t="shared" si="10"/>
        <v>4.990113420623965E-2</v>
      </c>
      <c r="D230" s="23">
        <f t="shared" si="11"/>
        <v>3.827350091635847E-2</v>
      </c>
    </row>
    <row r="231" spans="1:4">
      <c r="A231" s="21" t="s">
        <v>1428</v>
      </c>
      <c r="B231" s="21">
        <v>2.7872489970640002</v>
      </c>
      <c r="C231" s="21">
        <f t="shared" si="10"/>
        <v>-4.1925995901509694E-2</v>
      </c>
      <c r="D231" s="23">
        <f t="shared" si="11"/>
        <v>3.7819871623247701E-2</v>
      </c>
    </row>
    <row r="232" spans="1:4">
      <c r="A232" s="21" t="s">
        <v>1427</v>
      </c>
      <c r="B232" s="21">
        <v>2.8291749929655099</v>
      </c>
      <c r="C232" s="21">
        <f t="shared" si="10"/>
        <v>2.8597190921559879E-2</v>
      </c>
      <c r="D232" s="23">
        <f t="shared" si="11"/>
        <v>3.7646930210114213E-2</v>
      </c>
    </row>
    <row r="233" spans="1:4">
      <c r="A233" s="21" t="s">
        <v>1426</v>
      </c>
      <c r="B233" s="21">
        <v>2.80057780204395</v>
      </c>
      <c r="C233" s="21">
        <f t="shared" si="10"/>
        <v>-6.2856537704409909E-2</v>
      </c>
      <c r="D233" s="23">
        <f t="shared" si="11"/>
        <v>3.7383241473699244E-2</v>
      </c>
    </row>
    <row r="234" spans="1:4">
      <c r="A234" s="21" t="s">
        <v>1425</v>
      </c>
      <c r="B234" s="21">
        <v>2.8634343397483599</v>
      </c>
      <c r="C234" s="21">
        <f t="shared" si="10"/>
        <v>1.1927291005609852E-2</v>
      </c>
      <c r="D234" s="23">
        <f t="shared" si="11"/>
        <v>3.6706576369274872E-2</v>
      </c>
    </row>
    <row r="235" spans="1:4">
      <c r="A235" s="21" t="s">
        <v>1424</v>
      </c>
      <c r="B235" s="21">
        <v>2.8515070487427501</v>
      </c>
      <c r="C235" s="21">
        <f t="shared" si="10"/>
        <v>-3.4516754097070113E-2</v>
      </c>
      <c r="D235" s="23">
        <f t="shared" si="11"/>
        <v>3.6659240843625887E-2</v>
      </c>
    </row>
    <row r="236" spans="1:4">
      <c r="A236" s="21" t="s">
        <v>1423</v>
      </c>
      <c r="B236" s="21">
        <v>2.8860238028398202</v>
      </c>
      <c r="C236" s="21">
        <f t="shared" si="10"/>
        <v>-2.2734860883669938E-2</v>
      </c>
      <c r="D236" s="23">
        <f t="shared" si="11"/>
        <v>3.7583590672207075E-2</v>
      </c>
    </row>
    <row r="237" spans="1:4">
      <c r="A237" s="21" t="s">
        <v>1422</v>
      </c>
      <c r="B237" s="21">
        <v>2.9087586637234901</v>
      </c>
      <c r="C237" s="21">
        <f t="shared" si="10"/>
        <v>-4.5876246667779785E-2</v>
      </c>
      <c r="D237" s="23">
        <f t="shared" si="11"/>
        <v>3.7522780753941096E-2</v>
      </c>
    </row>
    <row r="238" spans="1:4">
      <c r="A238" s="21" t="s">
        <v>1421</v>
      </c>
      <c r="B238" s="21">
        <v>2.9546349103912699</v>
      </c>
      <c r="C238" s="21">
        <f t="shared" si="10"/>
        <v>5.2125028013259911E-2</v>
      </c>
      <c r="D238" s="23">
        <f t="shared" si="11"/>
        <v>3.7508107830465827E-2</v>
      </c>
    </row>
    <row r="239" spans="1:4">
      <c r="A239" s="21" t="s">
        <v>1420</v>
      </c>
      <c r="B239" s="21">
        <v>2.90250988237801</v>
      </c>
      <c r="C239" s="21">
        <f t="shared" si="10"/>
        <v>-2.9806084462260074E-2</v>
      </c>
      <c r="D239" s="23">
        <f t="shared" si="11"/>
        <v>3.7023386758112821E-2</v>
      </c>
    </row>
    <row r="240" spans="1:4">
      <c r="A240" s="21" t="s">
        <v>1419</v>
      </c>
      <c r="B240" s="21">
        <v>2.9323159668402701</v>
      </c>
      <c r="C240" s="21">
        <f t="shared" si="10"/>
        <v>7.2746756426300685E-3</v>
      </c>
      <c r="D240" s="23">
        <f t="shared" si="11"/>
        <v>3.6907392521607518E-2</v>
      </c>
    </row>
    <row r="241" spans="1:4">
      <c r="A241" s="21" t="s">
        <v>1418</v>
      </c>
      <c r="B241" s="21">
        <v>2.92504129119764</v>
      </c>
      <c r="C241" s="21">
        <f t="shared" si="10"/>
        <v>6.2761201406940081E-2</v>
      </c>
      <c r="D241" s="23">
        <f t="shared" si="11"/>
        <v>3.6963658618803914E-2</v>
      </c>
    </row>
    <row r="242" spans="1:4">
      <c r="A242" s="21" t="s">
        <v>1417</v>
      </c>
      <c r="B242" s="21">
        <v>2.8622800897906999</v>
      </c>
      <c r="C242" s="21">
        <f t="shared" si="10"/>
        <v>1.6594826232549931E-2</v>
      </c>
      <c r="D242" s="23">
        <f t="shared" si="11"/>
        <v>3.6158719637817367E-2</v>
      </c>
    </row>
    <row r="243" spans="1:4">
      <c r="A243" s="21" t="s">
        <v>1416</v>
      </c>
      <c r="B243" s="21">
        <v>2.84568526355815</v>
      </c>
      <c r="C243" s="21">
        <f t="shared" si="10"/>
        <v>-3.8410024279449839E-2</v>
      </c>
      <c r="D243" s="23">
        <f t="shared" si="11"/>
        <v>3.6056294185052407E-2</v>
      </c>
    </row>
    <row r="244" spans="1:4">
      <c r="A244" s="21" t="s">
        <v>1415</v>
      </c>
      <c r="B244" s="21">
        <v>2.8840952878375998</v>
      </c>
      <c r="C244" s="21">
        <f t="shared" si="10"/>
        <v>-1.4628287001710039E-2</v>
      </c>
      <c r="D244" s="23">
        <f t="shared" si="11"/>
        <v>3.6543332416857116E-2</v>
      </c>
    </row>
    <row r="245" spans="1:4">
      <c r="A245" s="21" t="s">
        <v>1414</v>
      </c>
      <c r="B245" s="21">
        <v>2.8987235748393099</v>
      </c>
      <c r="C245" s="21">
        <f t="shared" si="10"/>
        <v>-5.4651854407870015E-2</v>
      </c>
      <c r="D245" s="23">
        <f t="shared" si="11"/>
        <v>3.6519291349701152E-2</v>
      </c>
    </row>
    <row r="246" spans="1:4">
      <c r="A246" s="21" t="s">
        <v>1413</v>
      </c>
      <c r="B246" s="21">
        <v>2.9533754292471799</v>
      </c>
      <c r="C246" s="21">
        <f t="shared" si="10"/>
        <v>-1.1655286849260094E-2</v>
      </c>
      <c r="D246" s="23">
        <f t="shared" si="11"/>
        <v>3.5964457248524193E-2</v>
      </c>
    </row>
    <row r="247" spans="1:4">
      <c r="A247" s="21" t="s">
        <v>1412</v>
      </c>
      <c r="B247" s="21">
        <v>2.96503071609644</v>
      </c>
      <c r="C247" s="21">
        <f t="shared" si="10"/>
        <v>-1.7423506940649869E-2</v>
      </c>
      <c r="D247" s="23">
        <f t="shared" si="11"/>
        <v>3.6129214996356782E-2</v>
      </c>
    </row>
    <row r="248" spans="1:4">
      <c r="A248" s="21" t="s">
        <v>1411</v>
      </c>
      <c r="B248" s="21">
        <v>2.9824542230370898</v>
      </c>
      <c r="C248" s="21">
        <f t="shared" si="10"/>
        <v>-2.1499571598450284E-2</v>
      </c>
      <c r="D248" s="23">
        <f t="shared" si="11"/>
        <v>3.6087903965425022E-2</v>
      </c>
    </row>
    <row r="249" spans="1:4">
      <c r="A249" s="21" t="s">
        <v>1410</v>
      </c>
      <c r="B249" s="21">
        <v>3.0039537946355401</v>
      </c>
      <c r="C249" s="21">
        <f t="shared" si="10"/>
        <v>2.1695852010600092E-2</v>
      </c>
      <c r="D249" s="23">
        <f t="shared" si="11"/>
        <v>3.6025567653629319E-2</v>
      </c>
    </row>
    <row r="250" spans="1:4">
      <c r="A250" s="21" t="s">
        <v>1409</v>
      </c>
      <c r="B250" s="21">
        <v>2.98225794262494</v>
      </c>
      <c r="C250" s="21">
        <f t="shared" si="10"/>
        <v>-1.1839790757810054E-2</v>
      </c>
      <c r="D250" s="23">
        <f t="shared" si="11"/>
        <v>3.5888081616786152E-2</v>
      </c>
    </row>
    <row r="251" spans="1:4">
      <c r="A251" s="21" t="s">
        <v>1408</v>
      </c>
      <c r="B251" s="21">
        <v>2.9940977333827501</v>
      </c>
      <c r="C251" s="21">
        <f t="shared" si="10"/>
        <v>5.789670002219971E-3</v>
      </c>
      <c r="D251" s="23">
        <f t="shared" si="11"/>
        <v>3.5995337339573899E-2</v>
      </c>
    </row>
    <row r="252" spans="1:4">
      <c r="A252" s="21" t="s">
        <v>1407</v>
      </c>
      <c r="B252" s="21">
        <v>2.9883080633805301</v>
      </c>
      <c r="C252" s="21">
        <f t="shared" si="10"/>
        <v>-3.5779967797910039E-2</v>
      </c>
      <c r="D252" s="23">
        <f t="shared" si="11"/>
        <v>3.6081578240200432E-2</v>
      </c>
    </row>
    <row r="253" spans="1:4">
      <c r="A253" s="21" t="s">
        <v>1406</v>
      </c>
      <c r="B253" s="21">
        <v>3.0240880311784402</v>
      </c>
      <c r="C253" s="21">
        <f t="shared" si="10"/>
        <v>-1.2396301056179837E-2</v>
      </c>
      <c r="D253" s="23">
        <f t="shared" si="11"/>
        <v>3.5995356928727483E-2</v>
      </c>
    </row>
    <row r="254" spans="1:4">
      <c r="A254" s="21" t="s">
        <v>1405</v>
      </c>
      <c r="B254" s="21">
        <v>3.03648433223462</v>
      </c>
      <c r="C254" s="21">
        <f t="shared" si="10"/>
        <v>1.4779985008983587E-4</v>
      </c>
      <c r="D254" s="23">
        <f t="shared" si="11"/>
        <v>3.6502448439253127E-2</v>
      </c>
    </row>
    <row r="255" spans="1:4">
      <c r="A255" s="21" t="s">
        <v>1404</v>
      </c>
      <c r="B255" s="21">
        <v>3.0363365323845302</v>
      </c>
      <c r="C255" s="21">
        <f t="shared" si="10"/>
        <v>3.4975535976620176E-2</v>
      </c>
      <c r="D255" s="23">
        <f t="shared" si="11"/>
        <v>3.6969900659750386E-2</v>
      </c>
    </row>
    <row r="256" spans="1:4">
      <c r="A256" s="21" t="s">
        <v>1403</v>
      </c>
      <c r="B256" s="21">
        <v>3.00136099640791</v>
      </c>
      <c r="C256" s="21">
        <f t="shared" si="10"/>
        <v>-5.0649841039219989E-2</v>
      </c>
      <c r="D256" s="23">
        <f t="shared" si="11"/>
        <v>3.6735271392222928E-2</v>
      </c>
    </row>
    <row r="257" spans="1:4">
      <c r="A257" s="21" t="s">
        <v>1402</v>
      </c>
      <c r="B257" s="21">
        <v>3.05201083744713</v>
      </c>
      <c r="C257" s="21">
        <f t="shared" si="10"/>
        <v>7.5613397192899612E-3</v>
      </c>
      <c r="D257" s="23">
        <f t="shared" si="11"/>
        <v>3.6385664281636275E-2</v>
      </c>
    </row>
    <row r="258" spans="1:4">
      <c r="A258" s="21" t="s">
        <v>1401</v>
      </c>
      <c r="B258" s="21">
        <v>3.04444949772784</v>
      </c>
      <c r="C258" s="21">
        <f t="shared" ref="C258:C321" si="12">B258-B259</f>
        <v>2.0769727959990547E-4</v>
      </c>
      <c r="D258" s="23">
        <f t="shared" ref="D258:D321" si="13">STDEV(C258:C317)</f>
        <v>3.6395341720631649E-2</v>
      </c>
    </row>
    <row r="259" spans="1:4">
      <c r="A259" s="21" t="s">
        <v>1400</v>
      </c>
      <c r="B259" s="21">
        <v>3.0442418004482401</v>
      </c>
      <c r="C259" s="21">
        <f t="shared" si="12"/>
        <v>-3.0361204051798651E-3</v>
      </c>
      <c r="D259" s="23">
        <f t="shared" si="13"/>
        <v>3.6431426135568643E-2</v>
      </c>
    </row>
    <row r="260" spans="1:4">
      <c r="A260" s="21" t="s">
        <v>1399</v>
      </c>
      <c r="B260" s="21">
        <v>3.04727792085342</v>
      </c>
      <c r="C260" s="21">
        <f t="shared" si="12"/>
        <v>3.7537373407659835E-2</v>
      </c>
      <c r="D260" s="23">
        <f t="shared" si="13"/>
        <v>3.6442444066505708E-2</v>
      </c>
    </row>
    <row r="261" spans="1:4">
      <c r="A261" s="21" t="s">
        <v>1398</v>
      </c>
      <c r="B261" s="21">
        <v>3.0097405474457601</v>
      </c>
      <c r="C261" s="21">
        <f t="shared" si="12"/>
        <v>2.1326350870110033E-2</v>
      </c>
      <c r="D261" s="23">
        <f t="shared" si="13"/>
        <v>3.6311187776880326E-2</v>
      </c>
    </row>
    <row r="262" spans="1:4">
      <c r="A262" s="21" t="s">
        <v>1397</v>
      </c>
      <c r="B262" s="21">
        <v>2.9884141965756501</v>
      </c>
      <c r="C262" s="21">
        <f t="shared" si="12"/>
        <v>-2.0684341935520045E-2</v>
      </c>
      <c r="D262" s="23">
        <f t="shared" si="13"/>
        <v>3.616954633921262E-2</v>
      </c>
    </row>
    <row r="263" spans="1:4">
      <c r="A263" s="21" t="s">
        <v>1396</v>
      </c>
      <c r="B263" s="21">
        <v>3.0090985385111702</v>
      </c>
      <c r="C263" s="21">
        <f t="shared" si="12"/>
        <v>3.5836973834470154E-2</v>
      </c>
      <c r="D263" s="23">
        <f t="shared" si="13"/>
        <v>3.6102480377113617E-2</v>
      </c>
    </row>
    <row r="264" spans="1:4">
      <c r="A264" s="21" t="s">
        <v>1395</v>
      </c>
      <c r="B264" s="21">
        <v>2.9732615646767</v>
      </c>
      <c r="C264" s="21">
        <f t="shared" si="12"/>
        <v>2.2631007271689985E-2</v>
      </c>
      <c r="D264" s="23">
        <f t="shared" si="13"/>
        <v>3.5741308918750048E-2</v>
      </c>
    </row>
    <row r="265" spans="1:4">
      <c r="A265" s="21" t="s">
        <v>1394</v>
      </c>
      <c r="B265" s="21">
        <v>2.95063055740501</v>
      </c>
      <c r="C265" s="21">
        <f t="shared" si="12"/>
        <v>-1.6433621586959823E-2</v>
      </c>
      <c r="D265" s="23">
        <f t="shared" si="13"/>
        <v>3.59967232300017E-2</v>
      </c>
    </row>
    <row r="266" spans="1:4">
      <c r="A266" s="21" t="s">
        <v>1393</v>
      </c>
      <c r="B266" s="21">
        <v>2.9670641789919698</v>
      </c>
      <c r="C266" s="21">
        <f t="shared" si="12"/>
        <v>1.009118178733992E-2</v>
      </c>
      <c r="D266" s="23">
        <f t="shared" si="13"/>
        <v>3.6023691330213971E-2</v>
      </c>
    </row>
    <row r="267" spans="1:4">
      <c r="A267" s="21" t="s">
        <v>1392</v>
      </c>
      <c r="B267" s="21">
        <v>2.9569729972046299</v>
      </c>
      <c r="C267" s="21">
        <f t="shared" si="12"/>
        <v>4.1364597412969939E-2</v>
      </c>
      <c r="D267" s="23">
        <f t="shared" si="13"/>
        <v>3.7746181525318938E-2</v>
      </c>
    </row>
    <row r="268" spans="1:4">
      <c r="A268" s="21" t="s">
        <v>1391</v>
      </c>
      <c r="B268" s="21">
        <v>2.91560839979166</v>
      </c>
      <c r="C268" s="21">
        <f t="shared" si="12"/>
        <v>1.3002437574940018E-2</v>
      </c>
      <c r="D268" s="23">
        <f t="shared" si="13"/>
        <v>3.7351303319638561E-2</v>
      </c>
    </row>
    <row r="269" spans="1:4">
      <c r="A269" s="21" t="s">
        <v>1390</v>
      </c>
      <c r="B269" s="21">
        <v>2.90260596221672</v>
      </c>
      <c r="C269" s="21">
        <f t="shared" si="12"/>
        <v>2.0323195956799989E-2</v>
      </c>
      <c r="D269" s="23">
        <f t="shared" si="13"/>
        <v>3.7354798544498996E-2</v>
      </c>
    </row>
    <row r="270" spans="1:4">
      <c r="A270" s="21" t="s">
        <v>1389</v>
      </c>
      <c r="B270" s="21">
        <v>2.88228276625992</v>
      </c>
      <c r="C270" s="21">
        <f t="shared" si="12"/>
        <v>-2.668538903667983E-2</v>
      </c>
      <c r="D270" s="23">
        <f t="shared" si="13"/>
        <v>3.7550476878037815E-2</v>
      </c>
    </row>
    <row r="271" spans="1:4">
      <c r="A271" s="21" t="s">
        <v>1388</v>
      </c>
      <c r="B271" s="21">
        <v>2.9089681552965998</v>
      </c>
      <c r="C271" s="21">
        <f t="shared" si="12"/>
        <v>1.8991188676409809E-2</v>
      </c>
      <c r="D271" s="23">
        <f t="shared" si="13"/>
        <v>3.8168114917544058E-2</v>
      </c>
    </row>
    <row r="272" spans="1:4">
      <c r="A272" s="21" t="s">
        <v>1387</v>
      </c>
      <c r="B272" s="21">
        <v>2.88997696662019</v>
      </c>
      <c r="C272" s="21">
        <f t="shared" si="12"/>
        <v>8.8700617840590024E-2</v>
      </c>
      <c r="D272" s="23">
        <f t="shared" si="13"/>
        <v>3.8113873242403624E-2</v>
      </c>
    </row>
    <row r="273" spans="1:4">
      <c r="A273" s="21" t="s">
        <v>1386</v>
      </c>
      <c r="B273" s="21">
        <v>2.8012763487796</v>
      </c>
      <c r="C273" s="21">
        <f t="shared" si="12"/>
        <v>-0.1143971772691601</v>
      </c>
      <c r="D273" s="23">
        <f t="shared" si="13"/>
        <v>3.6088929507024671E-2</v>
      </c>
    </row>
    <row r="274" spans="1:4">
      <c r="A274" s="21" t="s">
        <v>1385</v>
      </c>
      <c r="B274" s="21">
        <v>2.9156735260487601</v>
      </c>
      <c r="C274" s="21">
        <f t="shared" si="12"/>
        <v>-9.079784312810979E-2</v>
      </c>
      <c r="D274" s="23">
        <f t="shared" si="13"/>
        <v>3.3181932413889476E-2</v>
      </c>
    </row>
    <row r="275" spans="1:4">
      <c r="A275" s="21" t="s">
        <v>1384</v>
      </c>
      <c r="B275" s="21">
        <v>3.0064713691768699</v>
      </c>
      <c r="C275" s="21">
        <f t="shared" si="12"/>
        <v>-2.87983830764027E-3</v>
      </c>
      <c r="D275" s="23">
        <f t="shared" si="13"/>
        <v>3.1187593910979153E-2</v>
      </c>
    </row>
    <row r="276" spans="1:4">
      <c r="A276" s="21" t="s">
        <v>1383</v>
      </c>
      <c r="B276" s="21">
        <v>3.0093512074845101</v>
      </c>
      <c r="C276" s="21">
        <f t="shared" si="12"/>
        <v>2.394319714670079E-3</v>
      </c>
      <c r="D276" s="23">
        <f t="shared" si="13"/>
        <v>3.1820637003298527E-2</v>
      </c>
    </row>
    <row r="277" spans="1:4">
      <c r="A277" s="21" t="s">
        <v>1382</v>
      </c>
      <c r="B277" s="21">
        <v>3.00695688776984</v>
      </c>
      <c r="C277" s="21">
        <f t="shared" si="12"/>
        <v>-5.0208779761589994E-2</v>
      </c>
      <c r="D277" s="23">
        <f t="shared" si="13"/>
        <v>3.1823153913728017E-2</v>
      </c>
    </row>
    <row r="278" spans="1:4">
      <c r="A278" s="21" t="s">
        <v>1381</v>
      </c>
      <c r="B278" s="21">
        <v>3.05716566753143</v>
      </c>
      <c r="C278" s="21">
        <f t="shared" si="12"/>
        <v>-6.5812528868649967E-2</v>
      </c>
      <c r="D278" s="23">
        <f t="shared" si="13"/>
        <v>3.1271410830401199E-2</v>
      </c>
    </row>
    <row r="279" spans="1:4">
      <c r="A279" s="21" t="s">
        <v>1380</v>
      </c>
      <c r="B279" s="21">
        <v>3.12297819640008</v>
      </c>
      <c r="C279" s="21">
        <f t="shared" si="12"/>
        <v>-1.7824258937439996E-2</v>
      </c>
      <c r="D279" s="23">
        <f t="shared" si="13"/>
        <v>3.0555343423683514E-2</v>
      </c>
    </row>
    <row r="280" spans="1:4">
      <c r="A280" s="21" t="s">
        <v>1379</v>
      </c>
      <c r="B280" s="21">
        <v>3.14080245533752</v>
      </c>
      <c r="C280" s="21">
        <f t="shared" si="12"/>
        <v>4.7007695378500358E-3</v>
      </c>
      <c r="D280" s="23">
        <f t="shared" si="13"/>
        <v>3.0520813970077224E-2</v>
      </c>
    </row>
    <row r="281" spans="1:4">
      <c r="A281" s="21" t="s">
        <v>1378</v>
      </c>
      <c r="B281" s="21">
        <v>3.13610168579967</v>
      </c>
      <c r="C281" s="21">
        <f t="shared" si="12"/>
        <v>1.7314984042290149E-2</v>
      </c>
      <c r="D281" s="23">
        <f t="shared" si="13"/>
        <v>3.0585195238212924E-2</v>
      </c>
    </row>
    <row r="282" spans="1:4">
      <c r="A282" s="21" t="s">
        <v>1377</v>
      </c>
      <c r="B282" s="21">
        <v>3.1187867017573798</v>
      </c>
      <c r="C282" s="21">
        <f t="shared" si="12"/>
        <v>-8.9109010748479989E-2</v>
      </c>
      <c r="D282" s="23">
        <f t="shared" si="13"/>
        <v>3.0530978500973239E-2</v>
      </c>
    </row>
    <row r="283" spans="1:4">
      <c r="A283" s="21" t="s">
        <v>1376</v>
      </c>
      <c r="B283" s="21">
        <v>3.2078957125058598</v>
      </c>
      <c r="C283" s="21">
        <f t="shared" si="12"/>
        <v>1.521217620367965E-2</v>
      </c>
      <c r="D283" s="23">
        <f t="shared" si="13"/>
        <v>2.8623926388871596E-2</v>
      </c>
    </row>
    <row r="284" spans="1:4">
      <c r="A284" s="21" t="s">
        <v>1375</v>
      </c>
      <c r="B284" s="21">
        <v>3.1926835363021802</v>
      </c>
      <c r="C284" s="21">
        <f t="shared" si="12"/>
        <v>-2.2484950289579864E-2</v>
      </c>
      <c r="D284" s="23">
        <f t="shared" si="13"/>
        <v>2.8601835261423601E-2</v>
      </c>
    </row>
    <row r="285" spans="1:4">
      <c r="A285" s="21" t="s">
        <v>1374</v>
      </c>
      <c r="B285" s="21">
        <v>3.21516848659176</v>
      </c>
      <c r="C285" s="21">
        <f t="shared" si="12"/>
        <v>1.8493753042529981E-2</v>
      </c>
      <c r="D285" s="23">
        <f t="shared" si="13"/>
        <v>2.864775252698613E-2</v>
      </c>
    </row>
    <row r="286" spans="1:4">
      <c r="A286" s="21" t="s">
        <v>1373</v>
      </c>
      <c r="B286" s="21">
        <v>3.19667473354923</v>
      </c>
      <c r="C286" s="21">
        <f t="shared" si="12"/>
        <v>-4.3529070041349982E-2</v>
      </c>
      <c r="D286" s="23">
        <f t="shared" si="13"/>
        <v>2.9210074922564222E-2</v>
      </c>
    </row>
    <row r="287" spans="1:4">
      <c r="A287" s="21" t="s">
        <v>1372</v>
      </c>
      <c r="B287" s="21">
        <v>3.24020380359058</v>
      </c>
      <c r="C287" s="21">
        <f t="shared" si="12"/>
        <v>2.5488959227359942E-2</v>
      </c>
      <c r="D287" s="23">
        <f t="shared" si="13"/>
        <v>2.9376199296060956E-2</v>
      </c>
    </row>
    <row r="288" spans="1:4">
      <c r="A288" s="21" t="s">
        <v>1371</v>
      </c>
      <c r="B288" s="21">
        <v>3.2147148443632201</v>
      </c>
      <c r="C288" s="21">
        <f t="shared" si="12"/>
        <v>-2.5047486224009763E-2</v>
      </c>
      <c r="D288" s="23">
        <f t="shared" si="13"/>
        <v>2.9254561928496264E-2</v>
      </c>
    </row>
    <row r="289" spans="1:4">
      <c r="A289" s="21" t="s">
        <v>1370</v>
      </c>
      <c r="B289" s="21">
        <v>3.2397623305872298</v>
      </c>
      <c r="C289" s="21">
        <f t="shared" si="12"/>
        <v>-1.6735582422140016E-2</v>
      </c>
      <c r="D289" s="23">
        <f t="shared" si="13"/>
        <v>2.9058677322509666E-2</v>
      </c>
    </row>
    <row r="290" spans="1:4">
      <c r="A290" s="21" t="s">
        <v>1369</v>
      </c>
      <c r="B290" s="21">
        <v>3.2564979130093699</v>
      </c>
      <c r="C290" s="21">
        <f t="shared" si="12"/>
        <v>-4.3675253514760204E-2</v>
      </c>
      <c r="D290" s="23">
        <f t="shared" si="13"/>
        <v>2.9155260821326003E-2</v>
      </c>
    </row>
    <row r="291" spans="1:4">
      <c r="A291" s="21" t="s">
        <v>1368</v>
      </c>
      <c r="B291" s="21">
        <v>3.3001731665241301</v>
      </c>
      <c r="C291" s="21">
        <f t="shared" si="12"/>
        <v>1.1227537082839856E-2</v>
      </c>
      <c r="D291" s="23">
        <f t="shared" si="13"/>
        <v>2.8739389691942303E-2</v>
      </c>
    </row>
    <row r="292" spans="1:4">
      <c r="A292" s="21" t="s">
        <v>1367</v>
      </c>
      <c r="B292" s="21">
        <v>3.2889456294412902</v>
      </c>
      <c r="C292" s="21">
        <f t="shared" si="12"/>
        <v>4.862606594050245E-3</v>
      </c>
      <c r="D292" s="23">
        <f t="shared" si="13"/>
        <v>2.8893312734423443E-2</v>
      </c>
    </row>
    <row r="293" spans="1:4">
      <c r="A293" s="21" t="s">
        <v>1366</v>
      </c>
      <c r="B293" s="21">
        <v>3.28408302284724</v>
      </c>
      <c r="C293" s="21">
        <f t="shared" si="12"/>
        <v>2.7419170763200995E-3</v>
      </c>
      <c r="D293" s="23">
        <f t="shared" si="13"/>
        <v>2.8890271686135987E-2</v>
      </c>
    </row>
    <row r="294" spans="1:4">
      <c r="A294" s="21" t="s">
        <v>1365</v>
      </c>
      <c r="B294" s="21">
        <v>3.2813411057709199</v>
      </c>
      <c r="C294" s="21">
        <f t="shared" si="12"/>
        <v>-1.9964280591719952E-2</v>
      </c>
      <c r="D294" s="23">
        <f t="shared" si="13"/>
        <v>2.8891218463128466E-2</v>
      </c>
    </row>
    <row r="295" spans="1:4">
      <c r="A295" s="21" t="s">
        <v>1364</v>
      </c>
      <c r="B295" s="21">
        <v>3.3013053863626398</v>
      </c>
      <c r="C295" s="21">
        <f t="shared" si="12"/>
        <v>6.2765526465869748E-2</v>
      </c>
      <c r="D295" s="23">
        <f t="shared" si="13"/>
        <v>2.8835875277383159E-2</v>
      </c>
    </row>
    <row r="296" spans="1:4">
      <c r="A296" s="21" t="s">
        <v>1363</v>
      </c>
      <c r="B296" s="21">
        <v>3.2385398598967701</v>
      </c>
      <c r="C296" s="21">
        <f t="shared" si="12"/>
        <v>-1.1251801859999411E-3</v>
      </c>
      <c r="D296" s="23">
        <f t="shared" si="13"/>
        <v>2.8135932334420199E-2</v>
      </c>
    </row>
    <row r="297" spans="1:4">
      <c r="A297" s="21" t="s">
        <v>1362</v>
      </c>
      <c r="B297" s="21">
        <v>3.23966504008277</v>
      </c>
      <c r="C297" s="21">
        <f t="shared" si="12"/>
        <v>3.5401496968610058E-2</v>
      </c>
      <c r="D297" s="23">
        <f t="shared" si="13"/>
        <v>2.9058675698102734E-2</v>
      </c>
    </row>
    <row r="298" spans="1:4">
      <c r="A298" s="21" t="s">
        <v>1361</v>
      </c>
      <c r="B298" s="21">
        <v>3.20426354311416</v>
      </c>
      <c r="C298" s="21">
        <f t="shared" si="12"/>
        <v>2.8183291452290149E-2</v>
      </c>
      <c r="D298" s="23">
        <f t="shared" si="13"/>
        <v>2.872901027501323E-2</v>
      </c>
    </row>
    <row r="299" spans="1:4">
      <c r="A299" s="21" t="s">
        <v>1360</v>
      </c>
      <c r="B299" s="21">
        <v>3.1760802516618698</v>
      </c>
      <c r="C299" s="21">
        <f t="shared" si="12"/>
        <v>7.8953132280399352E-3</v>
      </c>
      <c r="D299" s="23">
        <f t="shared" si="13"/>
        <v>2.8567032990746057E-2</v>
      </c>
    </row>
    <row r="300" spans="1:4">
      <c r="A300" s="21" t="s">
        <v>1359</v>
      </c>
      <c r="B300" s="21">
        <v>3.1681849384338299</v>
      </c>
      <c r="C300" s="21">
        <f t="shared" si="12"/>
        <v>1.535324697684004E-2</v>
      </c>
      <c r="D300" s="23">
        <f t="shared" si="13"/>
        <v>2.9144057425730136E-2</v>
      </c>
    </row>
    <row r="301" spans="1:4">
      <c r="A301" s="21" t="s">
        <v>1358</v>
      </c>
      <c r="B301" s="21">
        <v>3.1528316914569898</v>
      </c>
      <c r="C301" s="21">
        <f t="shared" si="12"/>
        <v>2.7476399904939885E-2</v>
      </c>
      <c r="D301" s="23">
        <f t="shared" si="13"/>
        <v>2.9055747189737056E-2</v>
      </c>
    </row>
    <row r="302" spans="1:4">
      <c r="A302" s="21" t="s">
        <v>1357</v>
      </c>
      <c r="B302" s="21">
        <v>3.1253552915520499</v>
      </c>
      <c r="C302" s="21">
        <f t="shared" si="12"/>
        <v>-8.114000660909948E-3</v>
      </c>
      <c r="D302" s="23">
        <f t="shared" si="13"/>
        <v>2.8963533137027181E-2</v>
      </c>
    </row>
    <row r="303" spans="1:4">
      <c r="A303" s="21" t="s">
        <v>1356</v>
      </c>
      <c r="B303" s="21">
        <v>3.1334692922129599</v>
      </c>
      <c r="C303" s="21">
        <f t="shared" si="12"/>
        <v>5.3132094491069815E-2</v>
      </c>
      <c r="D303" s="23">
        <f t="shared" si="13"/>
        <v>2.9041319142933609E-2</v>
      </c>
    </row>
    <row r="304" spans="1:4">
      <c r="A304" s="21" t="s">
        <v>1355</v>
      </c>
      <c r="B304" s="21">
        <v>3.0803371977218901</v>
      </c>
      <c r="C304" s="21">
        <f t="shared" si="12"/>
        <v>2.2146635159101535E-3</v>
      </c>
      <c r="D304" s="23">
        <f t="shared" si="13"/>
        <v>2.8190484035700472E-2</v>
      </c>
    </row>
    <row r="305" spans="1:4">
      <c r="A305" s="21" t="s">
        <v>1354</v>
      </c>
      <c r="B305" s="21">
        <v>3.0781225342059799</v>
      </c>
      <c r="C305" s="21">
        <f t="shared" si="12"/>
        <v>-2.0747694206550094E-2</v>
      </c>
      <c r="D305" s="23">
        <f t="shared" si="13"/>
        <v>2.8340081405816602E-2</v>
      </c>
    </row>
    <row r="306" spans="1:4">
      <c r="A306" s="21" t="s">
        <v>1353</v>
      </c>
      <c r="B306" s="21">
        <v>3.09887022841253</v>
      </c>
      <c r="C306" s="21">
        <f t="shared" si="12"/>
        <v>-3.0566732408400021E-2</v>
      </c>
      <c r="D306" s="23">
        <f t="shared" si="13"/>
        <v>2.8258991623105644E-2</v>
      </c>
    </row>
    <row r="307" spans="1:4">
      <c r="A307" s="21" t="s">
        <v>1352</v>
      </c>
      <c r="B307" s="21">
        <v>3.12943696082093</v>
      </c>
      <c r="C307" s="21">
        <f t="shared" si="12"/>
        <v>-9.1222954727898653E-3</v>
      </c>
      <c r="D307" s="23">
        <f t="shared" si="13"/>
        <v>2.8872554482710974E-2</v>
      </c>
    </row>
    <row r="308" spans="1:4">
      <c r="A308" s="21" t="s">
        <v>1351</v>
      </c>
      <c r="B308" s="21">
        <v>3.1385592562937199</v>
      </c>
      <c r="C308" s="21">
        <f t="shared" si="12"/>
        <v>-1.2262379533060308E-2</v>
      </c>
      <c r="D308" s="23">
        <f t="shared" si="13"/>
        <v>3.0484797423611959E-2</v>
      </c>
    </row>
    <row r="309" spans="1:4">
      <c r="A309" s="21" t="s">
        <v>1350</v>
      </c>
      <c r="B309" s="21">
        <v>3.1508216358267802</v>
      </c>
      <c r="C309" s="21">
        <f t="shared" si="12"/>
        <v>-5.957940774389936E-3</v>
      </c>
      <c r="D309" s="23">
        <f t="shared" si="13"/>
        <v>3.046282037870859E-2</v>
      </c>
    </row>
    <row r="310" spans="1:4">
      <c r="A310" s="21" t="s">
        <v>1349</v>
      </c>
      <c r="B310" s="21">
        <v>3.1567795766011701</v>
      </c>
      <c r="C310" s="21">
        <f t="shared" si="12"/>
        <v>-2.6104391351200018E-2</v>
      </c>
      <c r="D310" s="23">
        <f t="shared" si="13"/>
        <v>3.064211963593395E-2</v>
      </c>
    </row>
    <row r="311" spans="1:4">
      <c r="A311" s="21" t="s">
        <v>1348</v>
      </c>
      <c r="B311" s="21">
        <v>3.1828839679523702</v>
      </c>
      <c r="C311" s="21">
        <f t="shared" si="12"/>
        <v>1.8045546220690323E-2</v>
      </c>
      <c r="D311" s="23">
        <f t="shared" si="13"/>
        <v>3.2633536125883288E-2</v>
      </c>
    </row>
    <row r="312" spans="1:4">
      <c r="A312" s="21" t="s">
        <v>1347</v>
      </c>
      <c r="B312" s="21">
        <v>3.1648384217316798</v>
      </c>
      <c r="C312" s="21">
        <f t="shared" si="12"/>
        <v>2.485976194304973E-2</v>
      </c>
      <c r="D312" s="23">
        <f t="shared" si="13"/>
        <v>3.2644930442761927E-2</v>
      </c>
    </row>
    <row r="313" spans="1:4">
      <c r="A313" s="21" t="s">
        <v>1346</v>
      </c>
      <c r="B313" s="21">
        <v>3.1399786597886301</v>
      </c>
      <c r="C313" s="21">
        <f t="shared" si="12"/>
        <v>4.6402238137579932E-2</v>
      </c>
      <c r="D313" s="23">
        <f t="shared" si="13"/>
        <v>3.2484779747363343E-2</v>
      </c>
    </row>
    <row r="314" spans="1:4">
      <c r="A314" s="21" t="s">
        <v>1345</v>
      </c>
      <c r="B314" s="21">
        <v>3.0935764216510502</v>
      </c>
      <c r="C314" s="21">
        <f t="shared" si="12"/>
        <v>-4.6378741861639927E-2</v>
      </c>
      <c r="D314" s="23">
        <f t="shared" si="13"/>
        <v>3.1944643938179057E-2</v>
      </c>
    </row>
    <row r="315" spans="1:4">
      <c r="A315" s="21" t="s">
        <v>1344</v>
      </c>
      <c r="B315" s="21">
        <v>3.1399551635126901</v>
      </c>
      <c r="C315" s="21">
        <f t="shared" si="12"/>
        <v>-2.1204333076330073E-2</v>
      </c>
      <c r="D315" s="23">
        <f t="shared" si="13"/>
        <v>3.1434217887769941E-2</v>
      </c>
    </row>
    <row r="316" spans="1:4">
      <c r="A316" s="21" t="s">
        <v>1343</v>
      </c>
      <c r="B316" s="21">
        <v>3.1611594965890202</v>
      </c>
      <c r="C316" s="21">
        <f t="shared" si="12"/>
        <v>-3.096373280055964E-2</v>
      </c>
      <c r="D316" s="23">
        <f t="shared" si="13"/>
        <v>3.1623703563725257E-2</v>
      </c>
    </row>
    <row r="317" spans="1:4">
      <c r="A317" s="21" t="s">
        <v>1342</v>
      </c>
      <c r="B317" s="21">
        <v>3.1921232293895798</v>
      </c>
      <c r="C317" s="21">
        <f t="shared" si="12"/>
        <v>9.4782842008798163E-3</v>
      </c>
      <c r="D317" s="23">
        <f t="shared" si="13"/>
        <v>3.146846621772096E-2</v>
      </c>
    </row>
    <row r="318" spans="1:4">
      <c r="A318" s="21" t="s">
        <v>1341</v>
      </c>
      <c r="B318" s="21">
        <v>3.1826449451887</v>
      </c>
      <c r="C318" s="21">
        <f t="shared" si="12"/>
        <v>1.0468047913830159E-2</v>
      </c>
      <c r="D318" s="23">
        <f t="shared" si="13"/>
        <v>3.1650792024156368E-2</v>
      </c>
    </row>
    <row r="319" spans="1:4">
      <c r="A319" s="21" t="s">
        <v>1340</v>
      </c>
      <c r="B319" s="21">
        <v>3.1721768972748698</v>
      </c>
      <c r="C319" s="21">
        <f t="shared" si="12"/>
        <v>-9.118364787449984E-3</v>
      </c>
      <c r="D319" s="23">
        <f t="shared" si="13"/>
        <v>3.1701430958555654E-2</v>
      </c>
    </row>
    <row r="320" spans="1:4">
      <c r="A320" s="21" t="s">
        <v>1339</v>
      </c>
      <c r="B320" s="21">
        <v>3.1812952620623198</v>
      </c>
      <c r="C320" s="21">
        <f t="shared" si="12"/>
        <v>-3.5508968123350027E-2</v>
      </c>
      <c r="D320" s="23">
        <f t="shared" si="13"/>
        <v>3.3144272730196392E-2</v>
      </c>
    </row>
    <row r="321" spans="1:4">
      <c r="A321" s="21" t="s">
        <v>1338</v>
      </c>
      <c r="B321" s="21">
        <v>3.2168042301856699</v>
      </c>
      <c r="C321" s="21">
        <f t="shared" si="12"/>
        <v>4.7994222844982559E-4</v>
      </c>
      <c r="D321" s="23">
        <f t="shared" si="13"/>
        <v>3.2964953269568123E-2</v>
      </c>
    </row>
    <row r="322" spans="1:4">
      <c r="A322" s="21" t="s">
        <v>1337</v>
      </c>
      <c r="B322" s="21">
        <v>3.21632428795722</v>
      </c>
      <c r="C322" s="21">
        <f t="shared" ref="C322:C385" si="14">B322-B323</f>
        <v>-1.4975017964697912E-3</v>
      </c>
      <c r="D322" s="23">
        <f t="shared" ref="D322:D385" si="15">STDEV(C322:C381)</f>
        <v>3.3178120425131158E-2</v>
      </c>
    </row>
    <row r="323" spans="1:4">
      <c r="A323" s="21" t="s">
        <v>1336</v>
      </c>
      <c r="B323" s="21">
        <v>3.2178217897536898</v>
      </c>
      <c r="C323" s="21">
        <f t="shared" si="14"/>
        <v>-1.0601848127490321E-2</v>
      </c>
      <c r="D323" s="23">
        <f t="shared" si="15"/>
        <v>3.3549832823152118E-2</v>
      </c>
    </row>
    <row r="324" spans="1:4">
      <c r="A324" s="21" t="s">
        <v>1335</v>
      </c>
      <c r="B324" s="21">
        <v>3.2284236378811801</v>
      </c>
      <c r="C324" s="21">
        <f t="shared" si="14"/>
        <v>-4.7682955133599769E-2</v>
      </c>
      <c r="D324" s="23">
        <f t="shared" si="15"/>
        <v>3.3532015157695168E-2</v>
      </c>
    </row>
    <row r="325" spans="1:4">
      <c r="A325" s="21" t="s">
        <v>1334</v>
      </c>
      <c r="B325" s="21">
        <v>3.2761065930147799</v>
      </c>
      <c r="C325" s="21">
        <f t="shared" si="14"/>
        <v>1.0314388650949802E-2</v>
      </c>
      <c r="D325" s="23">
        <f t="shared" si="15"/>
        <v>3.3200705609215141E-2</v>
      </c>
    </row>
    <row r="326" spans="1:4">
      <c r="A326" s="21" t="s">
        <v>1333</v>
      </c>
      <c r="B326" s="21">
        <v>3.2657922043638301</v>
      </c>
      <c r="C326" s="21">
        <f t="shared" si="14"/>
        <v>8.3416444614450302E-2</v>
      </c>
      <c r="D326" s="23">
        <f t="shared" si="15"/>
        <v>3.3282060163079372E-2</v>
      </c>
    </row>
    <row r="327" spans="1:4">
      <c r="A327" s="21" t="s">
        <v>1332</v>
      </c>
      <c r="B327" s="21">
        <v>3.1823757597493798</v>
      </c>
      <c r="C327" s="21">
        <f t="shared" si="14"/>
        <v>-2.2584441633320296E-2</v>
      </c>
      <c r="D327" s="23">
        <f t="shared" si="15"/>
        <v>3.1466831842204605E-2</v>
      </c>
    </row>
    <row r="328" spans="1:4">
      <c r="A328" s="21" t="s">
        <v>1331</v>
      </c>
      <c r="B328" s="21">
        <v>3.2049602013827001</v>
      </c>
      <c r="C328" s="21">
        <f t="shared" si="14"/>
        <v>1.3429545833340217E-2</v>
      </c>
      <c r="D328" s="23">
        <f t="shared" si="15"/>
        <v>3.1374819773543013E-2</v>
      </c>
    </row>
    <row r="329" spans="1:4">
      <c r="A329" s="21" t="s">
        <v>1330</v>
      </c>
      <c r="B329" s="21">
        <v>3.1915306555493599</v>
      </c>
      <c r="C329" s="21">
        <f t="shared" si="14"/>
        <v>-4.4394950775660025E-2</v>
      </c>
      <c r="D329" s="23">
        <f t="shared" si="15"/>
        <v>3.1701994720616244E-2</v>
      </c>
    </row>
    <row r="330" spans="1:4">
      <c r="A330" s="21" t="s">
        <v>1329</v>
      </c>
      <c r="B330" s="21">
        <v>3.2359256063250199</v>
      </c>
      <c r="C330" s="21">
        <f t="shared" si="14"/>
        <v>5.1493938785939886E-2</v>
      </c>
      <c r="D330" s="23">
        <f t="shared" si="15"/>
        <v>3.1737575638007269E-2</v>
      </c>
    </row>
    <row r="331" spans="1:4">
      <c r="A331" s="21" t="s">
        <v>1328</v>
      </c>
      <c r="B331" s="21">
        <v>3.18443166753908</v>
      </c>
      <c r="C331" s="21">
        <f t="shared" si="14"/>
        <v>1.3088898880650124E-2</v>
      </c>
      <c r="D331" s="23">
        <f t="shared" si="15"/>
        <v>3.1111499792854016E-2</v>
      </c>
    </row>
    <row r="332" spans="1:4">
      <c r="A332" s="21" t="s">
        <v>1327</v>
      </c>
      <c r="B332" s="21">
        <v>3.1713427686584299</v>
      </c>
      <c r="C332" s="21">
        <f t="shared" si="14"/>
        <v>-8.3859361621398953E-3</v>
      </c>
      <c r="D332" s="23">
        <f t="shared" si="15"/>
        <v>3.1070885984468066E-2</v>
      </c>
    </row>
    <row r="333" spans="1:4">
      <c r="A333" s="21" t="s">
        <v>1326</v>
      </c>
      <c r="B333" s="21">
        <v>3.1797287048205698</v>
      </c>
      <c r="C333" s="21">
        <f t="shared" si="14"/>
        <v>-3.7265456375004113E-3</v>
      </c>
      <c r="D333" s="23">
        <f t="shared" si="15"/>
        <v>3.1153730906036264E-2</v>
      </c>
    </row>
    <row r="334" spans="1:4">
      <c r="A334" s="21" t="s">
        <v>1325</v>
      </c>
      <c r="B334" s="21">
        <v>3.1834552504580702</v>
      </c>
      <c r="C334" s="21">
        <f t="shared" si="14"/>
        <v>-5.4376574802983413E-4</v>
      </c>
      <c r="D334" s="23">
        <f t="shared" si="15"/>
        <v>3.1155811126280075E-2</v>
      </c>
    </row>
    <row r="335" spans="1:4">
      <c r="A335" s="21" t="s">
        <v>1324</v>
      </c>
      <c r="B335" s="21">
        <v>3.1839990162061</v>
      </c>
      <c r="C335" s="21">
        <f t="shared" si="14"/>
        <v>-5.1880700290539927E-2</v>
      </c>
      <c r="D335" s="23">
        <f t="shared" si="15"/>
        <v>3.1608625119583567E-2</v>
      </c>
    </row>
    <row r="336" spans="1:4">
      <c r="A336" s="21" t="s">
        <v>1323</v>
      </c>
      <c r="B336" s="21">
        <v>3.23587971649664</v>
      </c>
      <c r="C336" s="21">
        <f t="shared" si="14"/>
        <v>3.1184399486301473E-3</v>
      </c>
      <c r="D336" s="23">
        <f t="shared" si="15"/>
        <v>3.0975468100117073E-2</v>
      </c>
    </row>
    <row r="337" spans="1:4">
      <c r="A337" s="21" t="s">
        <v>1322</v>
      </c>
      <c r="B337" s="21">
        <v>3.2327612765480098</v>
      </c>
      <c r="C337" s="21">
        <f t="shared" si="14"/>
        <v>8.9484631958498539E-3</v>
      </c>
      <c r="D337" s="23">
        <f t="shared" si="15"/>
        <v>3.1039447530726186E-2</v>
      </c>
    </row>
    <row r="338" spans="1:4">
      <c r="A338" s="21" t="s">
        <v>1321</v>
      </c>
      <c r="B338" s="21">
        <v>3.22381281335216</v>
      </c>
      <c r="C338" s="21">
        <f t="shared" si="14"/>
        <v>3.6408220061369789E-2</v>
      </c>
      <c r="D338" s="23">
        <f t="shared" si="15"/>
        <v>3.196412174429044E-2</v>
      </c>
    </row>
    <row r="339" spans="1:4">
      <c r="A339" s="21" t="s">
        <v>1320</v>
      </c>
      <c r="B339" s="21">
        <v>3.1874045932907902</v>
      </c>
      <c r="C339" s="21">
        <f t="shared" si="14"/>
        <v>-1.3581853954789835E-2</v>
      </c>
      <c r="D339" s="23">
        <f t="shared" si="15"/>
        <v>3.1625938621069251E-2</v>
      </c>
    </row>
    <row r="340" spans="1:4">
      <c r="A340" s="21" t="s">
        <v>1319</v>
      </c>
      <c r="B340" s="21">
        <v>3.20098644724558</v>
      </c>
      <c r="C340" s="21">
        <f t="shared" si="14"/>
        <v>-1.7522009305179775E-2</v>
      </c>
      <c r="D340" s="23">
        <f t="shared" si="15"/>
        <v>3.1592595511725746E-2</v>
      </c>
    </row>
    <row r="341" spans="1:4">
      <c r="A341" s="21" t="s">
        <v>1318</v>
      </c>
      <c r="B341" s="21">
        <v>3.2185084565507598</v>
      </c>
      <c r="C341" s="21">
        <f t="shared" si="14"/>
        <v>-1.4433268698970103E-2</v>
      </c>
      <c r="D341" s="23">
        <f t="shared" si="15"/>
        <v>3.1717825814803056E-2</v>
      </c>
    </row>
    <row r="342" spans="1:4">
      <c r="A342" s="21" t="s">
        <v>1317</v>
      </c>
      <c r="B342" s="21">
        <v>3.2329417252497299</v>
      </c>
      <c r="C342" s="21">
        <f t="shared" si="14"/>
        <v>-3.353420102647009E-2</v>
      </c>
      <c r="D342" s="23">
        <f t="shared" si="15"/>
        <v>3.1674353740965312E-2</v>
      </c>
    </row>
    <row r="343" spans="1:4">
      <c r="A343" s="21" t="s">
        <v>1316</v>
      </c>
      <c r="B343" s="21">
        <v>3.2664759262762</v>
      </c>
      <c r="C343" s="21">
        <f t="shared" si="14"/>
        <v>-1.5221259105670182E-2</v>
      </c>
      <c r="D343" s="23">
        <f t="shared" si="15"/>
        <v>3.2294637683786084E-2</v>
      </c>
    </row>
    <row r="344" spans="1:4">
      <c r="A344" s="21" t="s">
        <v>1315</v>
      </c>
      <c r="B344" s="21">
        <v>3.2816971853818702</v>
      </c>
      <c r="C344" s="21">
        <f t="shared" si="14"/>
        <v>2.3648610680380155E-2</v>
      </c>
      <c r="D344" s="23">
        <f t="shared" si="15"/>
        <v>3.2249761293738535E-2</v>
      </c>
    </row>
    <row r="345" spans="1:4">
      <c r="A345" s="21" t="s">
        <v>1314</v>
      </c>
      <c r="B345" s="21">
        <v>3.25804857470149</v>
      </c>
      <c r="C345" s="21">
        <f t="shared" si="14"/>
        <v>4.7267754403089945E-2</v>
      </c>
      <c r="D345" s="23">
        <f t="shared" si="15"/>
        <v>3.2183315900047429E-2</v>
      </c>
    </row>
    <row r="346" spans="1:4">
      <c r="A346" s="21" t="s">
        <v>1313</v>
      </c>
      <c r="B346" s="21">
        <v>3.2107808202984001</v>
      </c>
      <c r="C346" s="21">
        <f t="shared" si="14"/>
        <v>5.0722200564480069E-2</v>
      </c>
      <c r="D346" s="23">
        <f t="shared" si="15"/>
        <v>3.1777495341674539E-2</v>
      </c>
    </row>
    <row r="347" spans="1:4">
      <c r="A347" s="21" t="s">
        <v>1312</v>
      </c>
      <c r="B347" s="21">
        <v>3.16005861973392</v>
      </c>
      <c r="C347" s="21">
        <f t="shared" si="14"/>
        <v>-1.2318206119129815E-2</v>
      </c>
      <c r="D347" s="23">
        <f t="shared" si="15"/>
        <v>3.1628674454706969E-2</v>
      </c>
    </row>
    <row r="348" spans="1:4">
      <c r="A348" s="21" t="s">
        <v>1311</v>
      </c>
      <c r="B348" s="21">
        <v>3.1723768258530498</v>
      </c>
      <c r="C348" s="21">
        <f t="shared" si="14"/>
        <v>1.8741774509196674E-3</v>
      </c>
      <c r="D348" s="23">
        <f t="shared" si="15"/>
        <v>3.169453506067002E-2</v>
      </c>
    </row>
    <row r="349" spans="1:4">
      <c r="A349" s="21" t="s">
        <v>1310</v>
      </c>
      <c r="B349" s="21">
        <v>3.1705026484021301</v>
      </c>
      <c r="C349" s="21">
        <f t="shared" si="14"/>
        <v>-2.4394731621010024E-2</v>
      </c>
      <c r="D349" s="23">
        <f t="shared" si="15"/>
        <v>3.2089774897225101E-2</v>
      </c>
    </row>
    <row r="350" spans="1:4">
      <c r="A350" s="21" t="s">
        <v>1309</v>
      </c>
      <c r="B350" s="21">
        <v>3.1948973800231402</v>
      </c>
      <c r="C350" s="21">
        <f t="shared" si="14"/>
        <v>-2.3155019066089633E-2</v>
      </c>
      <c r="D350" s="23">
        <f t="shared" si="15"/>
        <v>3.2231202910939352E-2</v>
      </c>
    </row>
    <row r="351" spans="1:4">
      <c r="A351" s="21" t="s">
        <v>1308</v>
      </c>
      <c r="B351" s="21">
        <v>3.2180523990892298</v>
      </c>
      <c r="C351" s="21">
        <f t="shared" si="14"/>
        <v>-2.3953535927260017E-2</v>
      </c>
      <c r="D351" s="23">
        <f t="shared" si="15"/>
        <v>3.2239872543344331E-2</v>
      </c>
    </row>
    <row r="352" spans="1:4">
      <c r="A352" s="21" t="s">
        <v>1307</v>
      </c>
      <c r="B352" s="21">
        <v>3.2420059350164898</v>
      </c>
      <c r="C352" s="21">
        <f t="shared" si="14"/>
        <v>3.2966677746300022E-3</v>
      </c>
      <c r="D352" s="23">
        <f t="shared" si="15"/>
        <v>3.2338878602784366E-2</v>
      </c>
    </row>
    <row r="353" spans="1:4">
      <c r="A353" s="21" t="s">
        <v>1306</v>
      </c>
      <c r="B353" s="21">
        <v>3.2387092672418598</v>
      </c>
      <c r="C353" s="21">
        <f t="shared" si="14"/>
        <v>-1.9903804770500244E-3</v>
      </c>
      <c r="D353" s="23">
        <f t="shared" si="15"/>
        <v>3.2377220756740391E-2</v>
      </c>
    </row>
    <row r="354" spans="1:4">
      <c r="A354" s="21" t="s">
        <v>1305</v>
      </c>
      <c r="B354" s="21">
        <v>3.2406996477189098</v>
      </c>
      <c r="C354" s="21">
        <f t="shared" si="14"/>
        <v>-1.4751087201819946E-2</v>
      </c>
      <c r="D354" s="23">
        <f t="shared" si="15"/>
        <v>3.256623748346904E-2</v>
      </c>
    </row>
    <row r="355" spans="1:4">
      <c r="A355" s="21" t="s">
        <v>1304</v>
      </c>
      <c r="B355" s="21">
        <v>3.2554507349207298</v>
      </c>
      <c r="C355" s="21">
        <f t="shared" si="14"/>
        <v>-4.0072965915130432E-2</v>
      </c>
      <c r="D355" s="23">
        <f t="shared" si="15"/>
        <v>3.2534622114478821E-2</v>
      </c>
    </row>
    <row r="356" spans="1:4">
      <c r="A356" s="21" t="s">
        <v>1303</v>
      </c>
      <c r="B356" s="21">
        <v>3.2955237008358602</v>
      </c>
      <c r="C356" s="21">
        <f t="shared" si="14"/>
        <v>5.5325692201710019E-2</v>
      </c>
      <c r="D356" s="23">
        <f t="shared" si="15"/>
        <v>3.2176464345818473E-2</v>
      </c>
    </row>
    <row r="357" spans="1:4">
      <c r="A357" s="21" t="s">
        <v>1302</v>
      </c>
      <c r="B357" s="21">
        <v>3.2401980086341502</v>
      </c>
      <c r="C357" s="21">
        <f t="shared" si="14"/>
        <v>-1.3007607262779608E-2</v>
      </c>
      <c r="D357" s="23">
        <f t="shared" si="15"/>
        <v>3.1501157421714915E-2</v>
      </c>
    </row>
    <row r="358" spans="1:4">
      <c r="A358" s="21" t="s">
        <v>1301</v>
      </c>
      <c r="B358" s="21">
        <v>3.2532056158969298</v>
      </c>
      <c r="C358" s="21">
        <f t="shared" si="14"/>
        <v>1.6380362370239876E-2</v>
      </c>
      <c r="D358" s="23">
        <f t="shared" si="15"/>
        <v>3.1558929176080448E-2</v>
      </c>
    </row>
    <row r="359" spans="1:4">
      <c r="A359" s="21" t="s">
        <v>1300</v>
      </c>
      <c r="B359" s="21">
        <v>3.2368252535266899</v>
      </c>
      <c r="C359" s="21">
        <f t="shared" si="14"/>
        <v>-4.6771538722989892E-2</v>
      </c>
      <c r="D359" s="23">
        <f t="shared" si="15"/>
        <v>3.3190233067925991E-2</v>
      </c>
    </row>
    <row r="360" spans="1:4">
      <c r="A360" s="21" t="s">
        <v>1299</v>
      </c>
      <c r="B360" s="21">
        <v>3.2835967922496798</v>
      </c>
      <c r="C360" s="21">
        <f t="shared" si="14"/>
        <v>-2.7755513377401009E-3</v>
      </c>
      <c r="D360" s="23">
        <f t="shared" si="15"/>
        <v>3.2796336331901814E-2</v>
      </c>
    </row>
    <row r="361" spans="1:4">
      <c r="A361" s="21" t="s">
        <v>1298</v>
      </c>
      <c r="B361" s="21">
        <v>3.2863723435874199</v>
      </c>
      <c r="C361" s="21">
        <f t="shared" si="14"/>
        <v>2.1588808553079986E-2</v>
      </c>
      <c r="D361" s="23">
        <f t="shared" si="15"/>
        <v>3.3589102825221755E-2</v>
      </c>
    </row>
    <row r="362" spans="1:4">
      <c r="A362" s="21" t="s">
        <v>1297</v>
      </c>
      <c r="B362" s="21">
        <v>3.2647835350343399</v>
      </c>
      <c r="C362" s="21">
        <f t="shared" si="14"/>
        <v>1.5249758817009962E-2</v>
      </c>
      <c r="D362" s="23">
        <f t="shared" si="15"/>
        <v>3.3524164479535788E-2</v>
      </c>
    </row>
    <row r="363" spans="1:4">
      <c r="A363" s="21" t="s">
        <v>1296</v>
      </c>
      <c r="B363" s="21">
        <v>3.24953377621733</v>
      </c>
      <c r="C363" s="21">
        <f t="shared" si="14"/>
        <v>1.1770965717159854E-2</v>
      </c>
      <c r="D363" s="23">
        <f t="shared" si="15"/>
        <v>3.429405135251197E-2</v>
      </c>
    </row>
    <row r="364" spans="1:4">
      <c r="A364" s="21" t="s">
        <v>1295</v>
      </c>
      <c r="B364" s="21">
        <v>3.2377628105001701</v>
      </c>
      <c r="C364" s="21">
        <f t="shared" si="14"/>
        <v>-2.576265520781007E-2</v>
      </c>
      <c r="D364" s="23">
        <f t="shared" si="15"/>
        <v>3.4495721398885154E-2</v>
      </c>
    </row>
    <row r="365" spans="1:4">
      <c r="A365" s="21" t="s">
        <v>1294</v>
      </c>
      <c r="B365" s="21">
        <v>3.2635254657079802</v>
      </c>
      <c r="C365" s="21">
        <f t="shared" si="14"/>
        <v>4.0703448559602506E-3</v>
      </c>
      <c r="D365" s="23">
        <f t="shared" si="15"/>
        <v>3.4370972598288772E-2</v>
      </c>
    </row>
    <row r="366" spans="1:4">
      <c r="A366" s="21" t="s">
        <v>1293</v>
      </c>
      <c r="B366" s="21">
        <v>3.2594551208520199</v>
      </c>
      <c r="C366" s="21">
        <f t="shared" si="14"/>
        <v>5.171929774645978E-2</v>
      </c>
      <c r="D366" s="23">
        <f t="shared" si="15"/>
        <v>3.4391035337902554E-2</v>
      </c>
    </row>
    <row r="367" spans="1:4">
      <c r="A367" s="21" t="s">
        <v>1292</v>
      </c>
      <c r="B367" s="21">
        <v>3.2077358231055602</v>
      </c>
      <c r="C367" s="21">
        <f t="shared" si="14"/>
        <v>7.5018773816810214E-2</v>
      </c>
      <c r="D367" s="23">
        <f t="shared" si="15"/>
        <v>3.405568475238379E-2</v>
      </c>
    </row>
    <row r="368" spans="1:4">
      <c r="A368" s="21" t="s">
        <v>1291</v>
      </c>
      <c r="B368" s="21">
        <v>3.1327170492887499</v>
      </c>
      <c r="C368" s="21">
        <f t="shared" si="14"/>
        <v>9.1170109198199789E-3</v>
      </c>
      <c r="D368" s="23">
        <f t="shared" si="15"/>
        <v>3.2642148431018862E-2</v>
      </c>
    </row>
    <row r="369" spans="1:4">
      <c r="A369" s="21" t="s">
        <v>1290</v>
      </c>
      <c r="B369" s="21">
        <v>3.12360003836893</v>
      </c>
      <c r="C369" s="21">
        <f t="shared" si="14"/>
        <v>2.7017584002119843E-2</v>
      </c>
      <c r="D369" s="23">
        <f t="shared" si="15"/>
        <v>3.2609316290484441E-2</v>
      </c>
    </row>
    <row r="370" spans="1:4">
      <c r="A370" s="21" t="s">
        <v>1289</v>
      </c>
      <c r="B370" s="21">
        <v>3.0965824543668101</v>
      </c>
      <c r="C370" s="21">
        <f t="shared" si="14"/>
        <v>-8.9753695496159747E-2</v>
      </c>
      <c r="D370" s="23">
        <f t="shared" si="15"/>
        <v>3.3880592455389574E-2</v>
      </c>
    </row>
    <row r="371" spans="1:4">
      <c r="A371" s="21" t="s">
        <v>1288</v>
      </c>
      <c r="B371" s="21">
        <v>3.1863361498629699</v>
      </c>
      <c r="C371" s="21">
        <f t="shared" si="14"/>
        <v>-1.9948881636940197E-2</v>
      </c>
      <c r="D371" s="23">
        <f t="shared" si="15"/>
        <v>3.2094433712245636E-2</v>
      </c>
    </row>
    <row r="372" spans="1:4">
      <c r="A372" s="21" t="s">
        <v>1287</v>
      </c>
      <c r="B372" s="21">
        <v>3.2062850314999101</v>
      </c>
      <c r="C372" s="21">
        <f t="shared" si="14"/>
        <v>-8.1461798226998283E-3</v>
      </c>
      <c r="D372" s="23">
        <f t="shared" si="15"/>
        <v>3.2089418674667192E-2</v>
      </c>
    </row>
    <row r="373" spans="1:4">
      <c r="A373" s="21" t="s">
        <v>1286</v>
      </c>
      <c r="B373" s="21">
        <v>3.2144312113226099</v>
      </c>
      <c r="C373" s="21">
        <f t="shared" si="14"/>
        <v>1.4058279162080023E-2</v>
      </c>
      <c r="D373" s="23">
        <f t="shared" si="15"/>
        <v>3.2214105386314827E-2</v>
      </c>
    </row>
    <row r="374" spans="1:4">
      <c r="A374" s="21" t="s">
        <v>1285</v>
      </c>
      <c r="B374" s="21">
        <v>3.2003729321605299</v>
      </c>
      <c r="C374" s="21">
        <f t="shared" si="14"/>
        <v>9.7479968914599979E-3</v>
      </c>
      <c r="D374" s="23">
        <f t="shared" si="15"/>
        <v>3.2176256959272773E-2</v>
      </c>
    </row>
    <row r="375" spans="1:4">
      <c r="A375" s="21" t="s">
        <v>1284</v>
      </c>
      <c r="B375" s="21">
        <v>3.1906249352690699</v>
      </c>
      <c r="C375" s="21">
        <f t="shared" si="14"/>
        <v>-3.4346246227560329E-2</v>
      </c>
      <c r="D375" s="23">
        <f t="shared" si="15"/>
        <v>3.2787406737828304E-2</v>
      </c>
    </row>
    <row r="376" spans="1:4">
      <c r="A376" s="21" t="s">
        <v>1283</v>
      </c>
      <c r="B376" s="21">
        <v>3.2249711814966302</v>
      </c>
      <c r="C376" s="21">
        <f t="shared" si="14"/>
        <v>1.7798887717340062E-2</v>
      </c>
      <c r="D376" s="23">
        <f t="shared" si="15"/>
        <v>3.2567514782051568E-2</v>
      </c>
    </row>
    <row r="377" spans="1:4">
      <c r="A377" s="21" t="s">
        <v>1282</v>
      </c>
      <c r="B377" s="21">
        <v>3.2071722937792901</v>
      </c>
      <c r="C377" s="21">
        <f t="shared" si="14"/>
        <v>2.7662520325260065E-2</v>
      </c>
      <c r="D377" s="23">
        <f t="shared" si="15"/>
        <v>3.2496113838653015E-2</v>
      </c>
    </row>
    <row r="378" spans="1:4">
      <c r="A378" s="21" t="s">
        <v>1281</v>
      </c>
      <c r="B378" s="21">
        <v>3.1795097734540301</v>
      </c>
      <c r="C378" s="21">
        <f t="shared" si="14"/>
        <v>-1.7579453820280033E-2</v>
      </c>
      <c r="D378" s="23">
        <f t="shared" si="15"/>
        <v>3.2386631640404652E-2</v>
      </c>
    </row>
    <row r="379" spans="1:4">
      <c r="A379" s="21" t="s">
        <v>1280</v>
      </c>
      <c r="B379" s="21">
        <v>3.1970892272743101</v>
      </c>
      <c r="C379" s="21">
        <f t="shared" si="14"/>
        <v>-7.5713434876290009E-2</v>
      </c>
      <c r="D379" s="23">
        <f t="shared" si="15"/>
        <v>3.246658847855536E-2</v>
      </c>
    </row>
    <row r="380" spans="1:4">
      <c r="A380" s="21" t="s">
        <v>1279</v>
      </c>
      <c r="B380" s="21">
        <v>3.2728026621506001</v>
      </c>
      <c r="C380" s="21">
        <f t="shared" si="14"/>
        <v>-2.2928717523249986E-2</v>
      </c>
      <c r="D380" s="23">
        <f t="shared" si="15"/>
        <v>3.1151214662009572E-2</v>
      </c>
    </row>
    <row r="381" spans="1:4">
      <c r="A381" s="21" t="s">
        <v>1278</v>
      </c>
      <c r="B381" s="21">
        <v>3.2957313796738501</v>
      </c>
      <c r="C381" s="21">
        <f t="shared" si="14"/>
        <v>2.7796963385330109E-2</v>
      </c>
      <c r="D381" s="23">
        <f t="shared" si="15"/>
        <v>3.1273943371821392E-2</v>
      </c>
    </row>
    <row r="382" spans="1:4">
      <c r="A382" s="21" t="s">
        <v>1277</v>
      </c>
      <c r="B382" s="21">
        <v>3.26793441628852</v>
      </c>
      <c r="C382" s="21">
        <f t="shared" si="14"/>
        <v>3.7733486250199899E-2</v>
      </c>
      <c r="D382" s="23">
        <f t="shared" si="15"/>
        <v>3.1423471061054142E-2</v>
      </c>
    </row>
    <row r="383" spans="1:4">
      <c r="A383" s="21" t="s">
        <v>1276</v>
      </c>
      <c r="B383" s="21">
        <v>3.2302009300383201</v>
      </c>
      <c r="C383" s="21">
        <f t="shared" si="14"/>
        <v>-6.3583811790399736E-3</v>
      </c>
      <c r="D383" s="23">
        <f t="shared" si="15"/>
        <v>3.1712854731946016E-2</v>
      </c>
    </row>
    <row r="384" spans="1:4">
      <c r="A384" s="21" t="s">
        <v>1275</v>
      </c>
      <c r="B384" s="21">
        <v>3.2365593112173601</v>
      </c>
      <c r="C384" s="21">
        <f t="shared" si="14"/>
        <v>-3.1133564423009741E-2</v>
      </c>
      <c r="D384" s="23">
        <f t="shared" si="15"/>
        <v>3.2176875286225703E-2</v>
      </c>
    </row>
    <row r="385" spans="1:4">
      <c r="A385" s="21" t="s">
        <v>1274</v>
      </c>
      <c r="B385" s="21">
        <v>3.2676928756403698</v>
      </c>
      <c r="C385" s="21">
        <f t="shared" si="14"/>
        <v>-2.0806543811690226E-2</v>
      </c>
      <c r="D385" s="23">
        <f t="shared" si="15"/>
        <v>3.1955659273626494E-2</v>
      </c>
    </row>
    <row r="386" spans="1:4">
      <c r="A386" s="21" t="s">
        <v>1273</v>
      </c>
      <c r="B386" s="21">
        <v>3.28849941945206</v>
      </c>
      <c r="C386" s="21">
        <f t="shared" ref="C386:C449" si="16">B386-B387</f>
        <v>1.2678191358300062E-2</v>
      </c>
      <c r="D386" s="23">
        <f t="shared" ref="D386:D449" si="17">STDEV(C386:C445)</f>
        <v>3.2189756549999129E-2</v>
      </c>
    </row>
    <row r="387" spans="1:4">
      <c r="A387" s="21" t="s">
        <v>1272</v>
      </c>
      <c r="B387" s="21">
        <v>3.27582122809376</v>
      </c>
      <c r="C387" s="21">
        <f t="shared" si="16"/>
        <v>-1.1704304565760104E-2</v>
      </c>
      <c r="D387" s="23">
        <f t="shared" si="17"/>
        <v>3.2276005756697215E-2</v>
      </c>
    </row>
    <row r="388" spans="1:4">
      <c r="A388" s="21" t="s">
        <v>1271</v>
      </c>
      <c r="B388" s="21">
        <v>3.2875255326595201</v>
      </c>
      <c r="C388" s="21">
        <f t="shared" si="16"/>
        <v>-3.9901432360879951E-2</v>
      </c>
      <c r="D388" s="23">
        <f t="shared" si="17"/>
        <v>3.2848492076924564E-2</v>
      </c>
    </row>
    <row r="389" spans="1:4">
      <c r="A389" s="21" t="s">
        <v>1270</v>
      </c>
      <c r="B389" s="21">
        <v>3.3274269650204</v>
      </c>
      <c r="C389" s="21">
        <f t="shared" si="16"/>
        <v>-4.5947373755999887E-2</v>
      </c>
      <c r="D389" s="23">
        <f t="shared" si="17"/>
        <v>3.2840572368236065E-2</v>
      </c>
    </row>
    <row r="390" spans="1:4">
      <c r="A390" s="21" t="s">
        <v>1269</v>
      </c>
      <c r="B390" s="21">
        <v>3.3733743387763999</v>
      </c>
      <c r="C390" s="21">
        <f t="shared" si="16"/>
        <v>2.191319813556003E-2</v>
      </c>
      <c r="D390" s="23">
        <f t="shared" si="17"/>
        <v>3.3546429780722663E-2</v>
      </c>
    </row>
    <row r="391" spans="1:4">
      <c r="A391" s="21" t="s">
        <v>1268</v>
      </c>
      <c r="B391" s="21">
        <v>3.3514611406408399</v>
      </c>
      <c r="C391" s="21">
        <f t="shared" si="16"/>
        <v>7.3888112548798901E-3</v>
      </c>
      <c r="D391" s="23">
        <f t="shared" si="17"/>
        <v>3.3660513363983374E-2</v>
      </c>
    </row>
    <row r="392" spans="1:4">
      <c r="A392" s="21" t="s">
        <v>1267</v>
      </c>
      <c r="B392" s="21">
        <v>3.34407232938596</v>
      </c>
      <c r="C392" s="21">
        <f t="shared" si="16"/>
        <v>-2.1242588449419841E-2</v>
      </c>
      <c r="D392" s="23">
        <f t="shared" si="17"/>
        <v>3.3671713027716856E-2</v>
      </c>
    </row>
    <row r="393" spans="1:4">
      <c r="A393" s="21" t="s">
        <v>1266</v>
      </c>
      <c r="B393" s="21">
        <v>3.3653149178353798</v>
      </c>
      <c r="C393" s="21">
        <f t="shared" si="16"/>
        <v>-5.9445377568003721E-3</v>
      </c>
      <c r="D393" s="23">
        <f t="shared" si="17"/>
        <v>3.4264903280828304E-2</v>
      </c>
    </row>
    <row r="394" spans="1:4">
      <c r="A394" s="21" t="s">
        <v>1265</v>
      </c>
      <c r="B394" s="21">
        <v>3.3712594555921802</v>
      </c>
      <c r="C394" s="21">
        <f t="shared" si="16"/>
        <v>-4.4552094901639805E-2</v>
      </c>
      <c r="D394" s="23">
        <f t="shared" si="17"/>
        <v>3.4280191895385149E-2</v>
      </c>
    </row>
    <row r="395" spans="1:4">
      <c r="A395" s="21" t="s">
        <v>1264</v>
      </c>
      <c r="B395" s="21">
        <v>3.41581155049382</v>
      </c>
      <c r="C395" s="21">
        <f t="shared" si="16"/>
        <v>-5.6829192099301373E-3</v>
      </c>
      <c r="D395" s="23">
        <f t="shared" si="17"/>
        <v>3.4247702365354515E-2</v>
      </c>
    </row>
    <row r="396" spans="1:4">
      <c r="A396" s="21" t="s">
        <v>1263</v>
      </c>
      <c r="B396" s="21">
        <v>3.4214944697037502</v>
      </c>
      <c r="C396" s="21">
        <f t="shared" si="16"/>
        <v>1.3473538119470163E-2</v>
      </c>
      <c r="D396" s="23">
        <f t="shared" si="17"/>
        <v>3.4715924706202224E-2</v>
      </c>
    </row>
    <row r="397" spans="1:4">
      <c r="A397" s="21" t="s">
        <v>1262</v>
      </c>
      <c r="B397" s="21">
        <v>3.40802093158428</v>
      </c>
      <c r="C397" s="21">
        <f t="shared" si="16"/>
        <v>5.7219909792129986E-2</v>
      </c>
      <c r="D397" s="23">
        <f t="shared" si="17"/>
        <v>3.5390229596834709E-2</v>
      </c>
    </row>
    <row r="398" spans="1:4">
      <c r="A398" s="21" t="s">
        <v>1261</v>
      </c>
      <c r="B398" s="21">
        <v>3.35080102179215</v>
      </c>
      <c r="C398" s="21">
        <f t="shared" si="16"/>
        <v>1.2869725917100006E-2</v>
      </c>
      <c r="D398" s="23">
        <f t="shared" si="17"/>
        <v>3.5216921850707475E-2</v>
      </c>
    </row>
    <row r="399" spans="1:4">
      <c r="A399" s="21" t="s">
        <v>1260</v>
      </c>
      <c r="B399" s="21">
        <v>3.33793129587505</v>
      </c>
      <c r="C399" s="21">
        <f t="shared" si="16"/>
        <v>-2.8959464759599207E-3</v>
      </c>
      <c r="D399" s="23">
        <f t="shared" si="17"/>
        <v>3.5173223743144626E-2</v>
      </c>
    </row>
    <row r="400" spans="1:4">
      <c r="A400" s="21" t="s">
        <v>1259</v>
      </c>
      <c r="B400" s="21">
        <v>3.3408272423510099</v>
      </c>
      <c r="C400" s="21">
        <f t="shared" si="16"/>
        <v>2.4654477121099916E-2</v>
      </c>
      <c r="D400" s="23">
        <f t="shared" si="17"/>
        <v>3.5252447204950514E-2</v>
      </c>
    </row>
    <row r="401" spans="1:4">
      <c r="A401" s="21" t="s">
        <v>1258</v>
      </c>
      <c r="B401" s="21">
        <v>3.31617276522991</v>
      </c>
      <c r="C401" s="21">
        <f t="shared" si="16"/>
        <v>6.4844007053022068E-4</v>
      </c>
      <c r="D401" s="23">
        <f t="shared" si="17"/>
        <v>3.5374532352065072E-2</v>
      </c>
    </row>
    <row r="402" spans="1:4">
      <c r="A402" s="21" t="s">
        <v>1257</v>
      </c>
      <c r="B402" s="21">
        <v>3.3155243251593798</v>
      </c>
      <c r="C402" s="21">
        <f t="shared" si="16"/>
        <v>-5.9569852315100036E-2</v>
      </c>
      <c r="D402" s="23">
        <f t="shared" si="17"/>
        <v>3.5420197184725083E-2</v>
      </c>
    </row>
    <row r="403" spans="1:4">
      <c r="A403" s="21" t="s">
        <v>1256</v>
      </c>
      <c r="B403" s="21">
        <v>3.3750941774744798</v>
      </c>
      <c r="C403" s="21">
        <f t="shared" si="16"/>
        <v>1.9114153433399395E-3</v>
      </c>
      <c r="D403" s="23">
        <f t="shared" si="17"/>
        <v>3.5449121489264997E-2</v>
      </c>
    </row>
    <row r="404" spans="1:4">
      <c r="A404" s="21" t="s">
        <v>1255</v>
      </c>
      <c r="B404" s="21">
        <v>3.3731827621311399</v>
      </c>
      <c r="C404" s="21">
        <f t="shared" si="16"/>
        <v>-2.1913517315930164E-2</v>
      </c>
      <c r="D404" s="23">
        <f t="shared" si="17"/>
        <v>3.5909330110532767E-2</v>
      </c>
    </row>
    <row r="405" spans="1:4">
      <c r="A405" s="21" t="s">
        <v>1254</v>
      </c>
      <c r="B405" s="21">
        <v>3.39509627944707</v>
      </c>
      <c r="C405" s="21">
        <f t="shared" si="16"/>
        <v>-3.4459773255299808E-2</v>
      </c>
      <c r="D405" s="23">
        <f t="shared" si="17"/>
        <v>3.8146124021942771E-2</v>
      </c>
    </row>
    <row r="406" spans="1:4">
      <c r="A406" s="21" t="s">
        <v>1253</v>
      </c>
      <c r="B406" s="21">
        <v>3.4295560527023699</v>
      </c>
      <c r="C406" s="21">
        <f t="shared" si="16"/>
        <v>-5.4475760781790061E-2</v>
      </c>
      <c r="D406" s="23">
        <f t="shared" si="17"/>
        <v>3.8000783854556276E-2</v>
      </c>
    </row>
    <row r="407" spans="1:4">
      <c r="A407" s="21" t="s">
        <v>1252</v>
      </c>
      <c r="B407" s="21">
        <v>3.4840318134841599</v>
      </c>
      <c r="C407" s="21">
        <f t="shared" si="16"/>
        <v>-2.2595128300470169E-2</v>
      </c>
      <c r="D407" s="23">
        <f t="shared" si="17"/>
        <v>3.8068305105818108E-2</v>
      </c>
    </row>
    <row r="408" spans="1:4">
      <c r="A408" s="21" t="s">
        <v>1251</v>
      </c>
      <c r="B408" s="21">
        <v>3.5066269417846301</v>
      </c>
      <c r="C408" s="21">
        <f t="shared" si="16"/>
        <v>3.3925308581310265E-2</v>
      </c>
      <c r="D408" s="23">
        <f t="shared" si="17"/>
        <v>3.8199034933007629E-2</v>
      </c>
    </row>
    <row r="409" spans="1:4">
      <c r="A409" s="21" t="s">
        <v>1250</v>
      </c>
      <c r="B409" s="21">
        <v>3.4727016332033198</v>
      </c>
      <c r="C409" s="21">
        <f t="shared" si="16"/>
        <v>2.5842282556309826E-2</v>
      </c>
      <c r="D409" s="23">
        <f t="shared" si="17"/>
        <v>3.8059006598016372E-2</v>
      </c>
    </row>
    <row r="410" spans="1:4">
      <c r="A410" s="21" t="s">
        <v>1249</v>
      </c>
      <c r="B410" s="21">
        <v>3.44685935064701</v>
      </c>
      <c r="C410" s="21">
        <f t="shared" si="16"/>
        <v>1.6249922929960192E-2</v>
      </c>
      <c r="D410" s="23">
        <f t="shared" si="17"/>
        <v>3.7889308466969279E-2</v>
      </c>
    </row>
    <row r="411" spans="1:4">
      <c r="A411" s="21" t="s">
        <v>1248</v>
      </c>
      <c r="B411" s="21">
        <v>3.4306094277170498</v>
      </c>
      <c r="C411" s="21">
        <f t="shared" si="16"/>
        <v>2.5342229872339583E-2</v>
      </c>
      <c r="D411" s="23">
        <f t="shared" si="17"/>
        <v>3.7828895153110241E-2</v>
      </c>
    </row>
    <row r="412" spans="1:4">
      <c r="A412" s="21" t="s">
        <v>1247</v>
      </c>
      <c r="B412" s="21">
        <v>3.4052671978447102</v>
      </c>
      <c r="C412" s="21">
        <f t="shared" si="16"/>
        <v>-1.6473356626799607E-2</v>
      </c>
      <c r="D412" s="23">
        <f t="shared" si="17"/>
        <v>3.7751723768731857E-2</v>
      </c>
    </row>
    <row r="413" spans="1:4">
      <c r="A413" s="21" t="s">
        <v>1246</v>
      </c>
      <c r="B413" s="21">
        <v>3.4217405544715098</v>
      </c>
      <c r="C413" s="21">
        <f t="shared" si="16"/>
        <v>-3.0228871274480262E-2</v>
      </c>
      <c r="D413" s="23">
        <f t="shared" si="17"/>
        <v>3.7936389820651097E-2</v>
      </c>
    </row>
    <row r="414" spans="1:4">
      <c r="A414" s="21" t="s">
        <v>1245</v>
      </c>
      <c r="B414" s="21">
        <v>3.4519694257459901</v>
      </c>
      <c r="C414" s="21">
        <f t="shared" si="16"/>
        <v>-6.9812308875993878E-4</v>
      </c>
      <c r="D414" s="23">
        <f t="shared" si="17"/>
        <v>3.7769367580299119E-2</v>
      </c>
    </row>
    <row r="415" spans="1:4">
      <c r="A415" s="21" t="s">
        <v>1244</v>
      </c>
      <c r="B415" s="21">
        <v>3.45266754883475</v>
      </c>
      <c r="C415" s="21">
        <f t="shared" si="16"/>
        <v>3.1392686183995266E-4</v>
      </c>
      <c r="D415" s="23">
        <f t="shared" si="17"/>
        <v>3.7771528575460483E-2</v>
      </c>
    </row>
    <row r="416" spans="1:4">
      <c r="A416" s="21" t="s">
        <v>1243</v>
      </c>
      <c r="B416" s="21">
        <v>3.4523536219729101</v>
      </c>
      <c r="C416" s="21">
        <f t="shared" si="16"/>
        <v>-3.3456077669359985E-2</v>
      </c>
      <c r="D416" s="23">
        <f t="shared" si="17"/>
        <v>3.8850192965733096E-2</v>
      </c>
    </row>
    <row r="417" spans="1:4">
      <c r="A417" s="21" t="s">
        <v>1242</v>
      </c>
      <c r="B417" s="21">
        <v>3.4858096996422701</v>
      </c>
      <c r="C417" s="21">
        <f t="shared" si="16"/>
        <v>1.3400070104370165E-2</v>
      </c>
      <c r="D417" s="23">
        <f t="shared" si="17"/>
        <v>3.8731947747424736E-2</v>
      </c>
    </row>
    <row r="418" spans="1:4">
      <c r="A418" s="21" t="s">
        <v>1241</v>
      </c>
      <c r="B418" s="21">
        <v>3.4724096295378999</v>
      </c>
      <c r="C418" s="21">
        <f t="shared" si="16"/>
        <v>7.818128437856009E-2</v>
      </c>
      <c r="D418" s="23">
        <f t="shared" si="17"/>
        <v>3.9669577629534901E-2</v>
      </c>
    </row>
    <row r="419" spans="1:4">
      <c r="A419" s="21" t="s">
        <v>1240</v>
      </c>
      <c r="B419" s="21">
        <v>3.3942283451593398</v>
      </c>
      <c r="C419" s="21">
        <f t="shared" si="16"/>
        <v>-2.3233377799640298E-2</v>
      </c>
      <c r="D419" s="23">
        <f t="shared" si="17"/>
        <v>3.8800565488237293E-2</v>
      </c>
    </row>
    <row r="420" spans="1:4">
      <c r="A420" s="21" t="s">
        <v>1239</v>
      </c>
      <c r="B420" s="21">
        <v>3.4174617229589801</v>
      </c>
      <c r="C420" s="21">
        <f t="shared" si="16"/>
        <v>5.3974193031609996E-2</v>
      </c>
      <c r="D420" s="23">
        <f t="shared" si="17"/>
        <v>3.9128724631984843E-2</v>
      </c>
    </row>
    <row r="421" spans="1:4">
      <c r="A421" s="21" t="s">
        <v>1238</v>
      </c>
      <c r="B421" s="21">
        <v>3.3634875299273701</v>
      </c>
      <c r="C421" s="21">
        <f t="shared" si="16"/>
        <v>1.5048770175380088E-2</v>
      </c>
      <c r="D421" s="23">
        <f t="shared" si="17"/>
        <v>3.8624010633888671E-2</v>
      </c>
    </row>
    <row r="422" spans="1:4">
      <c r="A422" s="21" t="s">
        <v>1237</v>
      </c>
      <c r="B422" s="21">
        <v>3.34843875975199</v>
      </c>
      <c r="C422" s="21">
        <f t="shared" si="16"/>
        <v>-6.0150577307819919E-2</v>
      </c>
      <c r="D422" s="23">
        <f t="shared" si="17"/>
        <v>3.8557765675161969E-2</v>
      </c>
    </row>
    <row r="423" spans="1:4">
      <c r="A423" s="21" t="s">
        <v>1236</v>
      </c>
      <c r="B423" s="21">
        <v>3.4085893370598099</v>
      </c>
      <c r="C423" s="21">
        <f t="shared" si="16"/>
        <v>-3.5260028491149953E-2</v>
      </c>
      <c r="D423" s="23">
        <f t="shared" si="17"/>
        <v>3.7850667846656402E-2</v>
      </c>
    </row>
    <row r="424" spans="1:4">
      <c r="A424" s="21" t="s">
        <v>1235</v>
      </c>
      <c r="B424" s="21">
        <v>3.4438493655509599</v>
      </c>
      <c r="C424" s="21">
        <f t="shared" si="16"/>
        <v>-2.7177742055899401E-3</v>
      </c>
      <c r="D424" s="23">
        <f t="shared" si="17"/>
        <v>3.7784194665157735E-2</v>
      </c>
    </row>
    <row r="425" spans="1:4">
      <c r="A425" s="21" t="s">
        <v>1234</v>
      </c>
      <c r="B425" s="21">
        <v>3.4465671397565498</v>
      </c>
      <c r="C425" s="21">
        <f t="shared" si="16"/>
        <v>-1.4799630840840017E-2</v>
      </c>
      <c r="D425" s="23">
        <f t="shared" si="17"/>
        <v>3.8377571534773815E-2</v>
      </c>
    </row>
    <row r="426" spans="1:4">
      <c r="A426" s="21" t="s">
        <v>1233</v>
      </c>
      <c r="B426" s="21">
        <v>3.4613667705973898</v>
      </c>
      <c r="C426" s="21">
        <f t="shared" si="16"/>
        <v>3.7663197667249904E-2</v>
      </c>
      <c r="D426" s="23">
        <f t="shared" si="17"/>
        <v>3.8670942047436034E-2</v>
      </c>
    </row>
    <row r="427" spans="1:4">
      <c r="A427" s="21" t="s">
        <v>1232</v>
      </c>
      <c r="B427" s="21">
        <v>3.4237035729301399</v>
      </c>
      <c r="C427" s="21">
        <f t="shared" si="16"/>
        <v>2.2185061126219985E-2</v>
      </c>
      <c r="D427" s="23">
        <f t="shared" si="17"/>
        <v>3.8535227069680149E-2</v>
      </c>
    </row>
    <row r="428" spans="1:4">
      <c r="A428" s="21" t="s">
        <v>1231</v>
      </c>
      <c r="B428" s="21">
        <v>3.40151851180392</v>
      </c>
      <c r="C428" s="21">
        <f t="shared" si="16"/>
        <v>3.2052524548698003E-3</v>
      </c>
      <c r="D428" s="23">
        <f t="shared" si="17"/>
        <v>3.8448623632843425E-2</v>
      </c>
    </row>
    <row r="429" spans="1:4">
      <c r="A429" s="21" t="s">
        <v>1230</v>
      </c>
      <c r="B429" s="21">
        <v>3.3983132593490502</v>
      </c>
      <c r="C429" s="21">
        <f t="shared" si="16"/>
        <v>7.3014441493500115E-2</v>
      </c>
      <c r="D429" s="23">
        <f t="shared" si="17"/>
        <v>3.8502256324317308E-2</v>
      </c>
    </row>
    <row r="430" spans="1:4">
      <c r="A430" s="21" t="s">
        <v>1229</v>
      </c>
      <c r="B430" s="21">
        <v>3.32529881785555</v>
      </c>
      <c r="C430" s="21">
        <f t="shared" si="16"/>
        <v>-2.6187366951150093E-2</v>
      </c>
      <c r="D430" s="23">
        <f t="shared" si="17"/>
        <v>3.7995928470661106E-2</v>
      </c>
    </row>
    <row r="431" spans="1:4">
      <c r="A431" s="21" t="s">
        <v>1228</v>
      </c>
      <c r="B431" s="21">
        <v>3.3514861848067001</v>
      </c>
      <c r="C431" s="21">
        <f t="shared" si="16"/>
        <v>1.4465618865429963E-2</v>
      </c>
      <c r="D431" s="23">
        <f t="shared" si="17"/>
        <v>3.7870108763883047E-2</v>
      </c>
    </row>
    <row r="432" spans="1:4">
      <c r="A432" s="21" t="s">
        <v>1227</v>
      </c>
      <c r="B432" s="21">
        <v>3.3370205659412702</v>
      </c>
      <c r="C432" s="21">
        <f t="shared" si="16"/>
        <v>-2.4835050562639793E-2</v>
      </c>
      <c r="D432" s="23">
        <f t="shared" si="17"/>
        <v>3.8873456276544982E-2</v>
      </c>
    </row>
    <row r="433" spans="1:4">
      <c r="A433" s="21" t="s">
        <v>1226</v>
      </c>
      <c r="B433" s="21">
        <v>3.36185561650391</v>
      </c>
      <c r="C433" s="21">
        <f t="shared" si="16"/>
        <v>-1.4392756595470235E-2</v>
      </c>
      <c r="D433" s="23">
        <f t="shared" si="17"/>
        <v>3.8754371662243096E-2</v>
      </c>
    </row>
    <row r="434" spans="1:4">
      <c r="A434" s="21" t="s">
        <v>1225</v>
      </c>
      <c r="B434" s="21">
        <v>3.3762483730993802</v>
      </c>
      <c r="C434" s="21">
        <f t="shared" si="16"/>
        <v>-5.3627948778119716E-2</v>
      </c>
      <c r="D434" s="23">
        <f t="shared" si="17"/>
        <v>3.9181954837968054E-2</v>
      </c>
    </row>
    <row r="435" spans="1:4">
      <c r="A435" s="21" t="s">
        <v>1224</v>
      </c>
      <c r="B435" s="21">
        <v>3.4298763218774999</v>
      </c>
      <c r="C435" s="21">
        <f t="shared" si="16"/>
        <v>6.0610751551100073E-3</v>
      </c>
      <c r="D435" s="23">
        <f t="shared" si="17"/>
        <v>3.8582401990322389E-2</v>
      </c>
    </row>
    <row r="436" spans="1:4">
      <c r="A436" s="21" t="s">
        <v>1223</v>
      </c>
      <c r="B436" s="21">
        <v>3.4238152467223899</v>
      </c>
      <c r="C436" s="21">
        <f t="shared" si="16"/>
        <v>-1.7172250679440282E-2</v>
      </c>
      <c r="D436" s="23">
        <f t="shared" si="17"/>
        <v>3.85766917670292E-2</v>
      </c>
    </row>
    <row r="437" spans="1:4">
      <c r="A437" s="21" t="s">
        <v>1222</v>
      </c>
      <c r="B437" s="21">
        <v>3.4409874974018302</v>
      </c>
      <c r="C437" s="21">
        <f t="shared" si="16"/>
        <v>2.0141263493929973E-2</v>
      </c>
      <c r="D437" s="23">
        <f t="shared" si="17"/>
        <v>3.8551585590492127E-2</v>
      </c>
    </row>
    <row r="438" spans="1:4">
      <c r="A438" s="21" t="s">
        <v>1221</v>
      </c>
      <c r="B438" s="21">
        <v>3.4208462339079002</v>
      </c>
      <c r="C438" s="21">
        <f t="shared" si="16"/>
        <v>1.8595179784060001E-2</v>
      </c>
      <c r="D438" s="23">
        <f t="shared" si="17"/>
        <v>3.8475264199161661E-2</v>
      </c>
    </row>
    <row r="439" spans="1:4">
      <c r="A439" s="21" t="s">
        <v>1220</v>
      </c>
      <c r="B439" s="21">
        <v>3.4022510541238402</v>
      </c>
      <c r="C439" s="21">
        <f t="shared" si="16"/>
        <v>-2.1795820875779803E-2</v>
      </c>
      <c r="D439" s="23">
        <f t="shared" si="17"/>
        <v>3.9460802089712782E-2</v>
      </c>
    </row>
    <row r="440" spans="1:4">
      <c r="A440" s="21" t="s">
        <v>1219</v>
      </c>
      <c r="B440" s="21">
        <v>3.42404687499962</v>
      </c>
      <c r="C440" s="21">
        <f t="shared" si="16"/>
        <v>2.7664816323190067E-2</v>
      </c>
      <c r="D440" s="23">
        <f t="shared" si="17"/>
        <v>3.9588606165713691E-2</v>
      </c>
    </row>
    <row r="441" spans="1:4">
      <c r="A441" s="21" t="s">
        <v>1218</v>
      </c>
      <c r="B441" s="21">
        <v>3.3963820586764299</v>
      </c>
      <c r="C441" s="21">
        <f t="shared" si="16"/>
        <v>-4.0399364959270212E-2</v>
      </c>
      <c r="D441" s="23">
        <f t="shared" si="17"/>
        <v>3.9785900703734216E-2</v>
      </c>
    </row>
    <row r="442" spans="1:4">
      <c r="A442" s="21" t="s">
        <v>1217</v>
      </c>
      <c r="B442" s="21">
        <v>3.4367814236357002</v>
      </c>
      <c r="C442" s="21">
        <f t="shared" si="16"/>
        <v>4.9381054360780219E-2</v>
      </c>
      <c r="D442" s="23">
        <f t="shared" si="17"/>
        <v>3.9426420771434378E-2</v>
      </c>
    </row>
    <row r="443" spans="1:4">
      <c r="A443" s="21" t="s">
        <v>1216</v>
      </c>
      <c r="B443" s="21">
        <v>3.3874003692749199</v>
      </c>
      <c r="C443" s="21">
        <f t="shared" si="16"/>
        <v>3.9789826325089983E-2</v>
      </c>
      <c r="D443" s="23">
        <f t="shared" si="17"/>
        <v>3.95192847983196E-2</v>
      </c>
    </row>
    <row r="444" spans="1:4">
      <c r="A444" s="21" t="s">
        <v>1215</v>
      </c>
      <c r="B444" s="21">
        <v>3.34761054294983</v>
      </c>
      <c r="C444" s="21">
        <f t="shared" si="16"/>
        <v>4.6088411431699505E-3</v>
      </c>
      <c r="D444" s="23">
        <f t="shared" si="17"/>
        <v>3.9462301035280721E-2</v>
      </c>
    </row>
    <row r="445" spans="1:4">
      <c r="A445" s="21" t="s">
        <v>1214</v>
      </c>
      <c r="B445" s="21">
        <v>3.34300170180666</v>
      </c>
      <c r="C445" s="21">
        <f t="shared" si="16"/>
        <v>-3.6927945340179846E-2</v>
      </c>
      <c r="D445" s="23">
        <f t="shared" si="17"/>
        <v>3.9464458508872494E-2</v>
      </c>
    </row>
    <row r="446" spans="1:4">
      <c r="A446" s="21" t="s">
        <v>1213</v>
      </c>
      <c r="B446" s="21">
        <v>3.3799296471468399</v>
      </c>
      <c r="C446" s="21">
        <f t="shared" si="16"/>
        <v>2.1520639256420004E-2</v>
      </c>
      <c r="D446" s="23">
        <f t="shared" si="17"/>
        <v>4.2510205848781416E-2</v>
      </c>
    </row>
    <row r="447" spans="1:4">
      <c r="A447" s="21" t="s">
        <v>1212</v>
      </c>
      <c r="B447" s="21">
        <v>3.3584090078904199</v>
      </c>
      <c r="C447" s="21">
        <f t="shared" si="16"/>
        <v>4.7247359556620072E-2</v>
      </c>
      <c r="D447" s="23">
        <f t="shared" si="17"/>
        <v>4.2445772373555991E-2</v>
      </c>
    </row>
    <row r="448" spans="1:4">
      <c r="A448" s="21" t="s">
        <v>1211</v>
      </c>
      <c r="B448" s="21">
        <v>3.3111616483337998</v>
      </c>
      <c r="C448" s="21">
        <f t="shared" si="16"/>
        <v>4.0062444074749681E-2</v>
      </c>
      <c r="D448" s="23">
        <f t="shared" si="17"/>
        <v>4.2039665738446114E-2</v>
      </c>
    </row>
    <row r="449" spans="1:4">
      <c r="A449" s="21" t="s">
        <v>1210</v>
      </c>
      <c r="B449" s="21">
        <v>3.2710992042590501</v>
      </c>
      <c r="C449" s="21">
        <f t="shared" si="16"/>
        <v>-6.9576052441629788E-2</v>
      </c>
      <c r="D449" s="23">
        <f t="shared" si="17"/>
        <v>4.2787585568918249E-2</v>
      </c>
    </row>
    <row r="450" spans="1:4">
      <c r="A450" s="21" t="s">
        <v>1209</v>
      </c>
      <c r="B450" s="21">
        <v>3.3406752567006799</v>
      </c>
      <c r="C450" s="21">
        <f t="shared" ref="C450:C513" si="18">B450-B451</f>
        <v>-3.0349830497210295E-2</v>
      </c>
      <c r="D450" s="23">
        <f t="shared" ref="D450:D513" si="19">STDEV(C450:C509)</f>
        <v>4.1884288881810526E-2</v>
      </c>
    </row>
    <row r="451" spans="1:4">
      <c r="A451" s="21" t="s">
        <v>1208</v>
      </c>
      <c r="B451" s="21">
        <v>3.3710250871978902</v>
      </c>
      <c r="C451" s="21">
        <f t="shared" si="18"/>
        <v>9.8775786547000699E-3</v>
      </c>
      <c r="D451" s="23">
        <f t="shared" si="19"/>
        <v>4.2847010026669449E-2</v>
      </c>
    </row>
    <row r="452" spans="1:4">
      <c r="A452" s="21" t="s">
        <v>1207</v>
      </c>
      <c r="B452" s="21">
        <v>3.3611475085431901</v>
      </c>
      <c r="C452" s="21">
        <f t="shared" si="18"/>
        <v>-5.3522404400450085E-2</v>
      </c>
      <c r="D452" s="23">
        <f t="shared" si="19"/>
        <v>4.2888711883363066E-2</v>
      </c>
    </row>
    <row r="453" spans="1:4">
      <c r="A453" s="21" t="s">
        <v>1206</v>
      </c>
      <c r="B453" s="21">
        <v>3.4146699129436402</v>
      </c>
      <c r="C453" s="21">
        <f t="shared" si="18"/>
        <v>-1.02230687676097E-2</v>
      </c>
      <c r="D453" s="23">
        <f t="shared" si="19"/>
        <v>4.2235399016665516E-2</v>
      </c>
    </row>
    <row r="454" spans="1:4">
      <c r="A454" s="21" t="s">
        <v>1205</v>
      </c>
      <c r="B454" s="21">
        <v>3.4248929817112499</v>
      </c>
      <c r="C454" s="21">
        <f t="shared" si="18"/>
        <v>4.2713446872260086E-2</v>
      </c>
      <c r="D454" s="23">
        <f t="shared" si="19"/>
        <v>4.2210251114116498E-2</v>
      </c>
    </row>
    <row r="455" spans="1:4">
      <c r="A455" s="21" t="s">
        <v>1204</v>
      </c>
      <c r="B455" s="21">
        <v>3.3821795348389898</v>
      </c>
      <c r="C455" s="21">
        <f t="shared" si="18"/>
        <v>-4.3805343305080235E-2</v>
      </c>
      <c r="D455" s="23">
        <f t="shared" si="19"/>
        <v>4.1912213761926255E-2</v>
      </c>
    </row>
    <row r="456" spans="1:4">
      <c r="A456" s="21" t="s">
        <v>1203</v>
      </c>
      <c r="B456" s="21">
        <v>3.42598487814407</v>
      </c>
      <c r="C456" s="21">
        <f t="shared" si="18"/>
        <v>-5.5315463222439742E-2</v>
      </c>
      <c r="D456" s="23">
        <f t="shared" si="19"/>
        <v>4.1620490284344676E-2</v>
      </c>
    </row>
    <row r="457" spans="1:4">
      <c r="A457" s="21" t="s">
        <v>1202</v>
      </c>
      <c r="B457" s="21">
        <v>3.4813003413665098</v>
      </c>
      <c r="C457" s="21">
        <f t="shared" si="18"/>
        <v>5.0683595294389594E-2</v>
      </c>
      <c r="D457" s="23">
        <f t="shared" si="19"/>
        <v>4.0947104182661918E-2</v>
      </c>
    </row>
    <row r="458" spans="1:4">
      <c r="A458" s="21" t="s">
        <v>1201</v>
      </c>
      <c r="B458" s="21">
        <v>3.4306167460721202</v>
      </c>
      <c r="C458" s="21">
        <f t="shared" si="18"/>
        <v>-6.4676589516996508E-3</v>
      </c>
      <c r="D458" s="23">
        <f t="shared" si="19"/>
        <v>4.0753718890497212E-2</v>
      </c>
    </row>
    <row r="459" spans="1:4">
      <c r="A459" s="21" t="s">
        <v>1200</v>
      </c>
      <c r="B459" s="21">
        <v>3.4370844050238198</v>
      </c>
      <c r="C459" s="21">
        <f t="shared" si="18"/>
        <v>-1.9971619354780312E-2</v>
      </c>
      <c r="D459" s="23">
        <f t="shared" si="19"/>
        <v>4.2789490004139875E-2</v>
      </c>
    </row>
    <row r="460" spans="1:4">
      <c r="A460" s="21" t="s">
        <v>1199</v>
      </c>
      <c r="B460" s="21">
        <v>3.4570560243786002</v>
      </c>
      <c r="C460" s="21">
        <f t="shared" si="18"/>
        <v>-3.7723922196699622E-2</v>
      </c>
      <c r="D460" s="23">
        <f t="shared" si="19"/>
        <v>4.2760150620203219E-2</v>
      </c>
    </row>
    <row r="461" spans="1:4">
      <c r="A461" s="21" t="s">
        <v>1198</v>
      </c>
      <c r="B461" s="21">
        <v>3.4947799465752998</v>
      </c>
      <c r="C461" s="21">
        <f t="shared" si="18"/>
        <v>1.1368757408019903E-2</v>
      </c>
      <c r="D461" s="23">
        <f t="shared" si="19"/>
        <v>4.2419462000623569E-2</v>
      </c>
    </row>
    <row r="462" spans="1:4">
      <c r="A462" s="21" t="s">
        <v>1197</v>
      </c>
      <c r="B462" s="21">
        <v>3.4834111891672799</v>
      </c>
      <c r="C462" s="21">
        <f t="shared" si="18"/>
        <v>5.6953591357129962E-2</v>
      </c>
      <c r="D462" s="23">
        <f t="shared" si="19"/>
        <v>4.4131703517507871E-2</v>
      </c>
    </row>
    <row r="463" spans="1:4">
      <c r="A463" s="21" t="s">
        <v>1196</v>
      </c>
      <c r="B463" s="21">
        <v>3.4264575978101499</v>
      </c>
      <c r="C463" s="21">
        <f t="shared" si="18"/>
        <v>-4.5381128800729975E-2</v>
      </c>
      <c r="D463" s="23">
        <f t="shared" si="19"/>
        <v>4.3943724404380179E-2</v>
      </c>
    </row>
    <row r="464" spans="1:4">
      <c r="A464" s="21" t="s">
        <v>1195</v>
      </c>
      <c r="B464" s="21">
        <v>3.4718387266108799</v>
      </c>
      <c r="C464" s="21">
        <f t="shared" si="18"/>
        <v>-0.10310295306701001</v>
      </c>
      <c r="D464" s="23">
        <f t="shared" si="19"/>
        <v>4.3823956902207216E-2</v>
      </c>
    </row>
    <row r="465" spans="1:4">
      <c r="A465" s="21" t="s">
        <v>1194</v>
      </c>
      <c r="B465" s="21">
        <v>3.5749416796778899</v>
      </c>
      <c r="C465" s="21">
        <f t="shared" si="18"/>
        <v>-2.1429573910360045E-2</v>
      </c>
      <c r="D465" s="23">
        <f t="shared" si="19"/>
        <v>4.1592896044128774E-2</v>
      </c>
    </row>
    <row r="466" spans="1:4">
      <c r="A466" s="21" t="s">
        <v>1193</v>
      </c>
      <c r="B466" s="21">
        <v>3.5963712535882499</v>
      </c>
      <c r="C466" s="21">
        <f t="shared" si="18"/>
        <v>5.3521213052440064E-2</v>
      </c>
      <c r="D466" s="23">
        <f t="shared" si="19"/>
        <v>4.1482634557136265E-2</v>
      </c>
    </row>
    <row r="467" spans="1:4">
      <c r="A467" s="21" t="s">
        <v>1192</v>
      </c>
      <c r="B467" s="21">
        <v>3.5428500405358099</v>
      </c>
      <c r="C467" s="21">
        <f t="shared" si="18"/>
        <v>-3.3498554125710012E-2</v>
      </c>
      <c r="D467" s="23">
        <f t="shared" si="19"/>
        <v>4.0979062803634267E-2</v>
      </c>
    </row>
    <row r="468" spans="1:4">
      <c r="A468" s="21" t="s">
        <v>1191</v>
      </c>
      <c r="B468" s="21">
        <v>3.5763485946615199</v>
      </c>
      <c r="C468" s="21">
        <f t="shared" si="18"/>
        <v>-2.6906490602790267E-2</v>
      </c>
      <c r="D468" s="23">
        <f t="shared" si="19"/>
        <v>4.0708008382990095E-2</v>
      </c>
    </row>
    <row r="469" spans="1:4">
      <c r="A469" s="21" t="s">
        <v>1190</v>
      </c>
      <c r="B469" s="21">
        <v>3.6032550852643102</v>
      </c>
      <c r="C469" s="21">
        <f t="shared" si="18"/>
        <v>3.558662076710295E-3</v>
      </c>
      <c r="D469" s="23">
        <f t="shared" si="19"/>
        <v>4.050400392946913E-2</v>
      </c>
    </row>
    <row r="470" spans="1:4">
      <c r="A470" s="21" t="s">
        <v>1189</v>
      </c>
      <c r="B470" s="21">
        <v>3.5996964231875999</v>
      </c>
      <c r="C470" s="21">
        <f t="shared" si="18"/>
        <v>6.6709271257998637E-3</v>
      </c>
      <c r="D470" s="23">
        <f t="shared" si="19"/>
        <v>4.0626745031629781E-2</v>
      </c>
    </row>
    <row r="471" spans="1:4">
      <c r="A471" s="21" t="s">
        <v>1188</v>
      </c>
      <c r="B471" s="21">
        <v>3.5930254960618</v>
      </c>
      <c r="C471" s="21">
        <f t="shared" si="18"/>
        <v>1.835115677116006E-2</v>
      </c>
      <c r="D471" s="23">
        <f t="shared" si="19"/>
        <v>4.0786977657125779E-2</v>
      </c>
    </row>
    <row r="472" spans="1:4">
      <c r="A472" s="21" t="s">
        <v>1187</v>
      </c>
      <c r="B472" s="21">
        <v>3.5746743392906399</v>
      </c>
      <c r="C472" s="21">
        <f t="shared" si="18"/>
        <v>-3.4706126860180042E-2</v>
      </c>
      <c r="D472" s="23">
        <f t="shared" si="19"/>
        <v>4.0777772721379946E-2</v>
      </c>
    </row>
    <row r="473" spans="1:4">
      <c r="A473" s="21" t="s">
        <v>1186</v>
      </c>
      <c r="B473" s="21">
        <v>3.60938046615082</v>
      </c>
      <c r="C473" s="21">
        <f t="shared" si="18"/>
        <v>-1.7037174821599166E-3</v>
      </c>
      <c r="D473" s="23">
        <f t="shared" si="19"/>
        <v>4.0502229545461357E-2</v>
      </c>
    </row>
    <row r="474" spans="1:4">
      <c r="A474" s="21" t="s">
        <v>1185</v>
      </c>
      <c r="B474" s="21">
        <v>3.6110841836329799</v>
      </c>
      <c r="C474" s="21">
        <f t="shared" si="18"/>
        <v>1.0220466949597551E-3</v>
      </c>
      <c r="D474" s="23">
        <f t="shared" si="19"/>
        <v>4.0497108848933192E-2</v>
      </c>
    </row>
    <row r="475" spans="1:4">
      <c r="A475" s="21" t="s">
        <v>1184</v>
      </c>
      <c r="B475" s="21">
        <v>3.6100621369380201</v>
      </c>
      <c r="C475" s="21">
        <f t="shared" si="18"/>
        <v>6.7810087465729918E-2</v>
      </c>
      <c r="D475" s="23">
        <f t="shared" si="19"/>
        <v>4.0727748794947484E-2</v>
      </c>
    </row>
    <row r="476" spans="1:4">
      <c r="A476" s="21" t="s">
        <v>1183</v>
      </c>
      <c r="B476" s="21">
        <v>3.5422520494722902</v>
      </c>
      <c r="C476" s="21">
        <f t="shared" si="18"/>
        <v>2.1533120323980359E-2</v>
      </c>
      <c r="D476" s="23">
        <f t="shared" si="19"/>
        <v>3.9993249325424619E-2</v>
      </c>
    </row>
    <row r="477" spans="1:4">
      <c r="A477" s="21" t="s">
        <v>1182</v>
      </c>
      <c r="B477" s="21">
        <v>3.5207189291483099</v>
      </c>
      <c r="C477" s="21">
        <f t="shared" si="18"/>
        <v>-6.8736936931000248E-2</v>
      </c>
      <c r="D477" s="23">
        <f t="shared" si="19"/>
        <v>4.0412517289955471E-2</v>
      </c>
    </row>
    <row r="478" spans="1:4">
      <c r="A478" s="21" t="s">
        <v>1181</v>
      </c>
      <c r="B478" s="21">
        <v>3.5894558660793101</v>
      </c>
      <c r="C478" s="21">
        <f t="shared" si="18"/>
        <v>4.7180329229860263E-2</v>
      </c>
      <c r="D478" s="23">
        <f t="shared" si="19"/>
        <v>4.0224530536350285E-2</v>
      </c>
    </row>
    <row r="479" spans="1:4">
      <c r="A479" s="21" t="s">
        <v>1180</v>
      </c>
      <c r="B479" s="21">
        <v>3.5422755368494498</v>
      </c>
      <c r="C479" s="21">
        <f t="shared" si="18"/>
        <v>4.2385722860149855E-2</v>
      </c>
      <c r="D479" s="23">
        <f t="shared" si="19"/>
        <v>4.0007757305297459E-2</v>
      </c>
    </row>
    <row r="480" spans="1:4">
      <c r="A480" s="21" t="s">
        <v>1179</v>
      </c>
      <c r="B480" s="21">
        <v>3.4998898139893</v>
      </c>
      <c r="C480" s="21">
        <f t="shared" si="18"/>
        <v>-3.0834718324660226E-2</v>
      </c>
      <c r="D480" s="23">
        <f t="shared" si="19"/>
        <v>3.966232972510033E-2</v>
      </c>
    </row>
    <row r="481" spans="1:4">
      <c r="A481" s="21" t="s">
        <v>1178</v>
      </c>
      <c r="B481" s="21">
        <v>3.5307245323139602</v>
      </c>
      <c r="C481" s="21">
        <f t="shared" si="18"/>
        <v>1.6248429089400496E-3</v>
      </c>
      <c r="D481" s="23">
        <f t="shared" si="19"/>
        <v>3.9502756783524835E-2</v>
      </c>
    </row>
    <row r="482" spans="1:4">
      <c r="A482" s="21" t="s">
        <v>1177</v>
      </c>
      <c r="B482" s="21">
        <v>3.5290996894050202</v>
      </c>
      <c r="C482" s="21">
        <f t="shared" si="18"/>
        <v>-1.3654989285299735E-2</v>
      </c>
      <c r="D482" s="23">
        <f t="shared" si="19"/>
        <v>4.611523525418898E-2</v>
      </c>
    </row>
    <row r="483" spans="1:4">
      <c r="A483" s="21" t="s">
        <v>1176</v>
      </c>
      <c r="B483" s="21">
        <v>3.5427546786903199</v>
      </c>
      <c r="C483" s="21">
        <f t="shared" si="18"/>
        <v>2.7067356499309803E-2</v>
      </c>
      <c r="D483" s="23">
        <f t="shared" si="19"/>
        <v>4.6143592960413246E-2</v>
      </c>
    </row>
    <row r="484" spans="1:4">
      <c r="A484" s="21" t="s">
        <v>1175</v>
      </c>
      <c r="B484" s="21">
        <v>3.5156873221910101</v>
      </c>
      <c r="C484" s="21">
        <f t="shared" si="18"/>
        <v>5.0924044237150135E-2</v>
      </c>
      <c r="D484" s="23">
        <f t="shared" si="19"/>
        <v>4.6348271599595127E-2</v>
      </c>
    </row>
    <row r="485" spans="1:4">
      <c r="A485" s="21" t="s">
        <v>1174</v>
      </c>
      <c r="B485" s="21">
        <v>3.46476327795386</v>
      </c>
      <c r="C485" s="21">
        <f t="shared" si="18"/>
        <v>-3.9725617216570086E-2</v>
      </c>
      <c r="D485" s="23">
        <f t="shared" si="19"/>
        <v>4.5847483982746712E-2</v>
      </c>
    </row>
    <row r="486" spans="1:4">
      <c r="A486" s="21" t="s">
        <v>1173</v>
      </c>
      <c r="B486" s="21">
        <v>3.5044888951704301</v>
      </c>
      <c r="C486" s="21">
        <f t="shared" si="18"/>
        <v>-3.128327613640014E-2</v>
      </c>
      <c r="D486" s="23">
        <f t="shared" si="19"/>
        <v>4.5598831836547678E-2</v>
      </c>
    </row>
    <row r="487" spans="1:4">
      <c r="A487" s="21" t="s">
        <v>1172</v>
      </c>
      <c r="B487" s="21">
        <v>3.5357721713068302</v>
      </c>
      <c r="C487" s="21">
        <f t="shared" si="18"/>
        <v>-1.6357189862370003E-2</v>
      </c>
      <c r="D487" s="23">
        <f t="shared" si="19"/>
        <v>4.564535723116489E-2</v>
      </c>
    </row>
    <row r="488" spans="1:4">
      <c r="A488" s="21" t="s">
        <v>1171</v>
      </c>
      <c r="B488" s="21">
        <v>3.5521293611692002</v>
      </c>
      <c r="C488" s="21">
        <f t="shared" si="18"/>
        <v>1.4168163012360235E-2</v>
      </c>
      <c r="D488" s="23">
        <f t="shared" si="19"/>
        <v>4.6172194465260795E-2</v>
      </c>
    </row>
    <row r="489" spans="1:4">
      <c r="A489" s="21" t="s">
        <v>1170</v>
      </c>
      <c r="B489" s="21">
        <v>3.53796119815684</v>
      </c>
      <c r="C489" s="21">
        <f t="shared" si="18"/>
        <v>5.5947751744069851E-2</v>
      </c>
      <c r="D489" s="23">
        <f t="shared" si="19"/>
        <v>4.6998975595423272E-2</v>
      </c>
    </row>
    <row r="490" spans="1:4">
      <c r="A490" s="21" t="s">
        <v>1169</v>
      </c>
      <c r="B490" s="21">
        <v>3.4820134464127701</v>
      </c>
      <c r="C490" s="21">
        <f t="shared" si="18"/>
        <v>-7.7148899694989836E-4</v>
      </c>
      <c r="D490" s="23">
        <f t="shared" si="19"/>
        <v>4.7029110648609401E-2</v>
      </c>
    </row>
    <row r="491" spans="1:4">
      <c r="A491" s="21" t="s">
        <v>1168</v>
      </c>
      <c r="B491" s="21">
        <v>3.48278493540972</v>
      </c>
      <c r="C491" s="21">
        <f t="shared" si="18"/>
        <v>6.7578420483009882E-2</v>
      </c>
      <c r="D491" s="23">
        <f t="shared" si="19"/>
        <v>4.9208747295700815E-2</v>
      </c>
    </row>
    <row r="492" spans="1:4">
      <c r="A492" s="21" t="s">
        <v>1167</v>
      </c>
      <c r="B492" s="21">
        <v>3.4152065149267101</v>
      </c>
      <c r="C492" s="21">
        <f t="shared" si="18"/>
        <v>3.3414863146701279E-3</v>
      </c>
      <c r="D492" s="23">
        <f t="shared" si="19"/>
        <v>4.8959342082137258E-2</v>
      </c>
    </row>
    <row r="493" spans="1:4">
      <c r="A493" s="21" t="s">
        <v>1166</v>
      </c>
      <c r="B493" s="21">
        <v>3.41186502861204</v>
      </c>
      <c r="C493" s="21">
        <f t="shared" si="18"/>
        <v>4.6189431743079989E-2</v>
      </c>
      <c r="D493" s="23">
        <f t="shared" si="19"/>
        <v>5.0916028553126345E-2</v>
      </c>
    </row>
    <row r="494" spans="1:4">
      <c r="A494" s="21" t="s">
        <v>1165</v>
      </c>
      <c r="B494" s="21">
        <v>3.36567559686896</v>
      </c>
      <c r="C494" s="21">
        <f t="shared" si="18"/>
        <v>-1.292687044744989E-2</v>
      </c>
      <c r="D494" s="23">
        <f t="shared" si="19"/>
        <v>5.0528231478621635E-2</v>
      </c>
    </row>
    <row r="495" spans="1:4">
      <c r="A495" s="21" t="s">
        <v>1164</v>
      </c>
      <c r="B495" s="21">
        <v>3.3786024673164099</v>
      </c>
      <c r="C495" s="21">
        <f t="shared" si="18"/>
        <v>2.0307197107900521E-3</v>
      </c>
      <c r="D495" s="23">
        <f t="shared" si="19"/>
        <v>5.0854421299135373E-2</v>
      </c>
    </row>
    <row r="496" spans="1:4">
      <c r="A496" s="21" t="s">
        <v>1163</v>
      </c>
      <c r="B496" s="21">
        <v>3.3765717476056198</v>
      </c>
      <c r="C496" s="21">
        <f t="shared" si="18"/>
        <v>-1.3652409869099991E-2</v>
      </c>
      <c r="D496" s="23">
        <f t="shared" si="19"/>
        <v>5.1708750927869827E-2</v>
      </c>
    </row>
    <row r="497" spans="1:4">
      <c r="A497" s="21" t="s">
        <v>1162</v>
      </c>
      <c r="B497" s="21">
        <v>3.3902241574747198</v>
      </c>
      <c r="C497" s="21">
        <f t="shared" si="18"/>
        <v>-5.1647065797002512E-3</v>
      </c>
      <c r="D497" s="23">
        <f t="shared" si="19"/>
        <v>5.2429587406225345E-2</v>
      </c>
    </row>
    <row r="498" spans="1:4">
      <c r="A498" s="21" t="s">
        <v>1161</v>
      </c>
      <c r="B498" s="21">
        <v>3.3953888640544201</v>
      </c>
      <c r="C498" s="21">
        <f t="shared" si="18"/>
        <v>7.0472583599829886E-2</v>
      </c>
      <c r="D498" s="23">
        <f t="shared" si="19"/>
        <v>5.2608344878707324E-2</v>
      </c>
    </row>
    <row r="499" spans="1:4">
      <c r="A499" s="21" t="s">
        <v>1160</v>
      </c>
      <c r="B499" s="21">
        <v>3.3249162804545902</v>
      </c>
      <c r="C499" s="21">
        <f t="shared" si="18"/>
        <v>3.5699185898740105E-2</v>
      </c>
      <c r="D499" s="23">
        <f t="shared" si="19"/>
        <v>5.3422086658116555E-2</v>
      </c>
    </row>
    <row r="500" spans="1:4">
      <c r="A500" s="21" t="s">
        <v>1159</v>
      </c>
      <c r="B500" s="21">
        <v>3.2892170945558501</v>
      </c>
      <c r="C500" s="21">
        <f t="shared" si="18"/>
        <v>-3.8280431776979817E-2</v>
      </c>
      <c r="D500" s="23">
        <f t="shared" si="19"/>
        <v>5.3420089716990783E-2</v>
      </c>
    </row>
    <row r="501" spans="1:4">
      <c r="A501" s="21" t="s">
        <v>1158</v>
      </c>
      <c r="B501" s="21">
        <v>3.3274975263328299</v>
      </c>
      <c r="C501" s="21">
        <f t="shared" si="18"/>
        <v>-6.9047969709901125E-3</v>
      </c>
      <c r="D501" s="23">
        <f t="shared" si="19"/>
        <v>5.3643476596559957E-2</v>
      </c>
    </row>
    <row r="502" spans="1:4">
      <c r="A502" s="21" t="s">
        <v>1157</v>
      </c>
      <c r="B502" s="21">
        <v>3.33440232330382</v>
      </c>
      <c r="C502" s="21">
        <f t="shared" si="18"/>
        <v>-5.1926468036089801E-2</v>
      </c>
      <c r="D502" s="23">
        <f t="shared" si="19"/>
        <v>5.4517641122513491E-2</v>
      </c>
    </row>
    <row r="503" spans="1:4">
      <c r="A503" s="21" t="s">
        <v>1156</v>
      </c>
      <c r="B503" s="21">
        <v>3.3863287913399098</v>
      </c>
      <c r="C503" s="21">
        <f t="shared" si="18"/>
        <v>-3.7613572625620151E-2</v>
      </c>
      <c r="D503" s="23">
        <f t="shared" si="19"/>
        <v>5.5219622117912703E-2</v>
      </c>
    </row>
    <row r="504" spans="1:4">
      <c r="A504" s="21" t="s">
        <v>1155</v>
      </c>
      <c r="B504" s="21">
        <v>3.42394236396553</v>
      </c>
      <c r="C504" s="21">
        <f t="shared" si="18"/>
        <v>5.4094160673998637E-3</v>
      </c>
      <c r="D504" s="23">
        <f t="shared" si="19"/>
        <v>5.6403501702142499E-2</v>
      </c>
    </row>
    <row r="505" spans="1:4">
      <c r="A505" s="21" t="s">
        <v>1154</v>
      </c>
      <c r="B505" s="21">
        <v>3.4185329478981301</v>
      </c>
      <c r="C505" s="21">
        <f t="shared" si="18"/>
        <v>0.12700237440173012</v>
      </c>
      <c r="D505" s="23">
        <f t="shared" si="19"/>
        <v>5.6932972435489698E-2</v>
      </c>
    </row>
    <row r="506" spans="1:4">
      <c r="A506" s="21" t="s">
        <v>1153</v>
      </c>
      <c r="B506" s="21">
        <v>3.2915305734964</v>
      </c>
      <c r="C506" s="21">
        <f t="shared" si="18"/>
        <v>-8.2042172178100614E-3</v>
      </c>
      <c r="D506" s="23">
        <f t="shared" si="19"/>
        <v>5.4392573302333658E-2</v>
      </c>
    </row>
    <row r="507" spans="1:4">
      <c r="A507" s="21" t="s">
        <v>1152</v>
      </c>
      <c r="B507" s="21">
        <v>3.2997347907142101</v>
      </c>
      <c r="C507" s="21">
        <f t="shared" si="18"/>
        <v>-1.2274017059529907E-2</v>
      </c>
      <c r="D507" s="23">
        <f t="shared" si="19"/>
        <v>5.6080080998729111E-2</v>
      </c>
    </row>
    <row r="508" spans="1:4">
      <c r="A508" s="21" t="s">
        <v>1151</v>
      </c>
      <c r="B508" s="21">
        <v>3.31200880777374</v>
      </c>
      <c r="C508" s="21">
        <f t="shared" si="18"/>
        <v>7.3250355330240158E-2</v>
      </c>
      <c r="D508" s="23">
        <f t="shared" si="19"/>
        <v>5.6128375490589959E-2</v>
      </c>
    </row>
    <row r="509" spans="1:4">
      <c r="A509" s="21" t="s">
        <v>1150</v>
      </c>
      <c r="B509" s="21">
        <v>3.2387584524434998</v>
      </c>
      <c r="C509" s="21">
        <f t="shared" si="18"/>
        <v>-2.0524639204840156E-2</v>
      </c>
      <c r="D509" s="23">
        <f t="shared" si="19"/>
        <v>5.5314301816110419E-2</v>
      </c>
    </row>
    <row r="510" spans="1:4">
      <c r="A510" s="21" t="s">
        <v>1149</v>
      </c>
      <c r="B510" s="21">
        <v>3.25928309164834</v>
      </c>
      <c r="C510" s="21">
        <f t="shared" si="18"/>
        <v>7.892650324992978E-2</v>
      </c>
      <c r="D510" s="23">
        <f t="shared" si="19"/>
        <v>5.5364585889972104E-2</v>
      </c>
    </row>
    <row r="511" spans="1:4">
      <c r="A511" s="21" t="s">
        <v>1148</v>
      </c>
      <c r="B511" s="21">
        <v>3.1803565883984102</v>
      </c>
      <c r="C511" s="21">
        <f t="shared" si="18"/>
        <v>1.9217943959760397E-2</v>
      </c>
      <c r="D511" s="23">
        <f t="shared" si="19"/>
        <v>5.4457494262219644E-2</v>
      </c>
    </row>
    <row r="512" spans="1:4">
      <c r="A512" s="21" t="s">
        <v>1147</v>
      </c>
      <c r="B512" s="21">
        <v>3.1611386444386498</v>
      </c>
      <c r="C512" s="21">
        <f t="shared" si="18"/>
        <v>6.8149003222797155E-3</v>
      </c>
      <c r="D512" s="23">
        <f t="shared" si="19"/>
        <v>5.4507570756538205E-2</v>
      </c>
    </row>
    <row r="513" spans="1:4">
      <c r="A513" s="21" t="s">
        <v>1146</v>
      </c>
      <c r="B513" s="21">
        <v>3.1543237441163701</v>
      </c>
      <c r="C513" s="21">
        <f t="shared" si="18"/>
        <v>-4.9999175742798663E-3</v>
      </c>
      <c r="D513" s="23">
        <f t="shared" si="19"/>
        <v>5.4541632111425077E-2</v>
      </c>
    </row>
    <row r="514" spans="1:4">
      <c r="A514" s="21" t="s">
        <v>1145</v>
      </c>
      <c r="B514" s="21">
        <v>3.1593236616906499</v>
      </c>
      <c r="C514" s="21">
        <f t="shared" ref="C514:C577" si="20">B514-B515</f>
        <v>7.2023754986698663E-3</v>
      </c>
      <c r="D514" s="23">
        <f t="shared" ref="D514:D577" si="21">STDEV(C514:C573)</f>
        <v>5.6884805375266384E-2</v>
      </c>
    </row>
    <row r="515" spans="1:4">
      <c r="A515" s="21" t="s">
        <v>1144</v>
      </c>
      <c r="B515" s="21">
        <v>3.1521212861919801</v>
      </c>
      <c r="C515" s="21">
        <f t="shared" si="20"/>
        <v>-2.5107435055720106E-2</v>
      </c>
      <c r="D515" s="23">
        <f t="shared" si="21"/>
        <v>5.9274853830953725E-2</v>
      </c>
    </row>
    <row r="516" spans="1:4">
      <c r="A516" s="21" t="s">
        <v>1143</v>
      </c>
      <c r="B516" s="21">
        <v>3.1772287212477002</v>
      </c>
      <c r="C516" s="21">
        <f t="shared" si="20"/>
        <v>2.3057227238470368E-2</v>
      </c>
      <c r="D516" s="23">
        <f t="shared" si="21"/>
        <v>5.9243979355366974E-2</v>
      </c>
    </row>
    <row r="517" spans="1:4">
      <c r="A517" s="21" t="s">
        <v>1142</v>
      </c>
      <c r="B517" s="21">
        <v>3.1541714940092298</v>
      </c>
      <c r="C517" s="21">
        <f t="shared" si="20"/>
        <v>-2.9488151757380177E-2</v>
      </c>
      <c r="D517" s="23">
        <f t="shared" si="21"/>
        <v>5.9239300167579424E-2</v>
      </c>
    </row>
    <row r="518" spans="1:4">
      <c r="A518" s="21" t="s">
        <v>1141</v>
      </c>
      <c r="B518" s="21">
        <v>3.18365964576661</v>
      </c>
      <c r="C518" s="21">
        <f t="shared" si="20"/>
        <v>-9.7293705457170088E-2</v>
      </c>
      <c r="D518" s="23">
        <f t="shared" si="21"/>
        <v>5.9176202055979177E-2</v>
      </c>
    </row>
    <row r="519" spans="1:4">
      <c r="A519" s="21" t="s">
        <v>1140</v>
      </c>
      <c r="B519" s="21">
        <v>3.2809533512237801</v>
      </c>
      <c r="C519" s="21">
        <f t="shared" si="20"/>
        <v>2.238577956314991E-2</v>
      </c>
      <c r="D519" s="23">
        <f t="shared" si="21"/>
        <v>5.8153729476053975E-2</v>
      </c>
    </row>
    <row r="520" spans="1:4">
      <c r="A520" s="21" t="s">
        <v>1139</v>
      </c>
      <c r="B520" s="21">
        <v>3.2585675716606302</v>
      </c>
      <c r="C520" s="21">
        <f t="shared" si="20"/>
        <v>3.9526605335002962E-3</v>
      </c>
      <c r="D520" s="23">
        <f t="shared" si="21"/>
        <v>5.8089594196394354E-2</v>
      </c>
    </row>
    <row r="521" spans="1:4">
      <c r="A521" s="21" t="s">
        <v>1138</v>
      </c>
      <c r="B521" s="21">
        <v>3.2546149111271299</v>
      </c>
      <c r="C521" s="21">
        <f t="shared" si="20"/>
        <v>-9.0715452116810091E-2</v>
      </c>
      <c r="D521" s="23">
        <f t="shared" si="21"/>
        <v>5.8756707587669148E-2</v>
      </c>
    </row>
    <row r="522" spans="1:4">
      <c r="A522" s="21" t="s">
        <v>1137</v>
      </c>
      <c r="B522" s="21">
        <v>3.34533036324394</v>
      </c>
      <c r="C522" s="21">
        <f t="shared" si="20"/>
        <v>-4.4402633075169895E-2</v>
      </c>
      <c r="D522" s="23">
        <f t="shared" si="21"/>
        <v>5.7842356936239632E-2</v>
      </c>
    </row>
    <row r="523" spans="1:4">
      <c r="A523" s="21" t="s">
        <v>1136</v>
      </c>
      <c r="B523" s="21">
        <v>3.3897329963191098</v>
      </c>
      <c r="C523" s="21">
        <f t="shared" si="20"/>
        <v>4.0850301072709705E-2</v>
      </c>
      <c r="D523" s="23">
        <f t="shared" si="21"/>
        <v>5.7558501975904196E-2</v>
      </c>
    </row>
    <row r="524" spans="1:4">
      <c r="A524" s="21" t="s">
        <v>1135</v>
      </c>
      <c r="B524" s="21">
        <v>3.3488826952464001</v>
      </c>
      <c r="C524" s="21">
        <f t="shared" si="20"/>
        <v>2.9556229294200875E-3</v>
      </c>
      <c r="D524" s="23">
        <f t="shared" si="21"/>
        <v>5.7802773159319372E-2</v>
      </c>
    </row>
    <row r="525" spans="1:4">
      <c r="A525" s="21" t="s">
        <v>1134</v>
      </c>
      <c r="B525" s="21">
        <v>3.3459270723169801</v>
      </c>
      <c r="C525" s="21">
        <f t="shared" si="20"/>
        <v>1.4712502025340246E-2</v>
      </c>
      <c r="D525" s="23">
        <f t="shared" si="21"/>
        <v>5.8101262145474654E-2</v>
      </c>
    </row>
    <row r="526" spans="1:4">
      <c r="A526" s="21" t="s">
        <v>1133</v>
      </c>
      <c r="B526" s="21">
        <v>3.3312145702916398</v>
      </c>
      <c r="C526" s="21">
        <f t="shared" si="20"/>
        <v>2.2091595732698366E-3</v>
      </c>
      <c r="D526" s="23">
        <f t="shared" si="21"/>
        <v>5.8390703366322738E-2</v>
      </c>
    </row>
    <row r="527" spans="1:4">
      <c r="A527" s="21" t="s">
        <v>1132</v>
      </c>
      <c r="B527" s="21">
        <v>3.32900541071837</v>
      </c>
      <c r="C527" s="21">
        <f t="shared" si="20"/>
        <v>1.3789067491440044E-2</v>
      </c>
      <c r="D527" s="23">
        <f t="shared" si="21"/>
        <v>5.8411486741143659E-2</v>
      </c>
    </row>
    <row r="528" spans="1:4">
      <c r="A528" s="21" t="s">
        <v>1131</v>
      </c>
      <c r="B528" s="21">
        <v>3.3152163432269299</v>
      </c>
      <c r="C528" s="21">
        <f t="shared" si="20"/>
        <v>8.2588105326975025E-4</v>
      </c>
      <c r="D528" s="23">
        <f t="shared" si="21"/>
        <v>5.9039449476314454E-2</v>
      </c>
    </row>
    <row r="529" spans="1:4">
      <c r="A529" s="21" t="s">
        <v>1130</v>
      </c>
      <c r="B529" s="21">
        <v>3.3143904621736602</v>
      </c>
      <c r="C529" s="21">
        <f t="shared" si="20"/>
        <v>2.9312529507000029E-2</v>
      </c>
      <c r="D529" s="23">
        <f t="shared" si="21"/>
        <v>5.9050585272587226E-2</v>
      </c>
    </row>
    <row r="530" spans="1:4">
      <c r="A530" s="21" t="s">
        <v>1129</v>
      </c>
      <c r="B530" s="21">
        <v>3.2850779326666601</v>
      </c>
      <c r="C530" s="21">
        <f t="shared" si="20"/>
        <v>-2.2795097020009703E-2</v>
      </c>
      <c r="D530" s="23">
        <f t="shared" si="21"/>
        <v>6.0722336560341435E-2</v>
      </c>
    </row>
    <row r="531" spans="1:4">
      <c r="A531" s="21" t="s">
        <v>1128</v>
      </c>
      <c r="B531" s="21">
        <v>3.3078730296866699</v>
      </c>
      <c r="C531" s="21">
        <f t="shared" si="20"/>
        <v>-7.569103002900146E-3</v>
      </c>
      <c r="D531" s="23">
        <f t="shared" si="21"/>
        <v>6.2091457675736518E-2</v>
      </c>
    </row>
    <row r="532" spans="1:4">
      <c r="A532" s="21" t="s">
        <v>1127</v>
      </c>
      <c r="B532" s="21">
        <v>3.31544213268957</v>
      </c>
      <c r="C532" s="21">
        <f t="shared" si="20"/>
        <v>2.0193148426140173E-2</v>
      </c>
      <c r="D532" s="23">
        <f t="shared" si="21"/>
        <v>6.2474377931323065E-2</v>
      </c>
    </row>
    <row r="533" spans="1:4">
      <c r="A533" s="21" t="s">
        <v>1126</v>
      </c>
      <c r="B533" s="21">
        <v>3.2952489842634298</v>
      </c>
      <c r="C533" s="21">
        <f t="shared" si="20"/>
        <v>3.6186246572000869E-4</v>
      </c>
      <c r="D533" s="23">
        <f t="shared" si="21"/>
        <v>6.4428024505848738E-2</v>
      </c>
    </row>
    <row r="534" spans="1:4">
      <c r="A534" s="21" t="s">
        <v>1125</v>
      </c>
      <c r="B534" s="21">
        <v>3.2948871217977098</v>
      </c>
      <c r="C534" s="21">
        <f t="shared" si="20"/>
        <v>-2.8461650493520008E-2</v>
      </c>
      <c r="D534" s="23">
        <f t="shared" si="21"/>
        <v>7.5891539582144688E-2</v>
      </c>
    </row>
    <row r="535" spans="1:4">
      <c r="A535" s="21" t="s">
        <v>1124</v>
      </c>
      <c r="B535" s="21">
        <v>3.3233487722912298</v>
      </c>
      <c r="C535" s="21">
        <f t="shared" si="20"/>
        <v>2.7192570436439745E-2</v>
      </c>
      <c r="D535" s="23">
        <f t="shared" si="21"/>
        <v>7.6174668019580311E-2</v>
      </c>
    </row>
    <row r="536" spans="1:4">
      <c r="A536" s="21" t="s">
        <v>1123</v>
      </c>
      <c r="B536" s="21">
        <v>3.2961562018547901</v>
      </c>
      <c r="C536" s="21">
        <f t="shared" si="20"/>
        <v>-4.4535751886519925E-2</v>
      </c>
      <c r="D536" s="23">
        <f t="shared" si="21"/>
        <v>7.6114029510511619E-2</v>
      </c>
    </row>
    <row r="537" spans="1:4">
      <c r="A537" s="21" t="s">
        <v>1122</v>
      </c>
      <c r="B537" s="21">
        <v>3.34069195374131</v>
      </c>
      <c r="C537" s="21">
        <f t="shared" si="20"/>
        <v>-6.2211506358570201E-2</v>
      </c>
      <c r="D537" s="23">
        <f t="shared" si="21"/>
        <v>7.5905836675026442E-2</v>
      </c>
    </row>
    <row r="538" spans="1:4">
      <c r="A538" s="21" t="s">
        <v>1121</v>
      </c>
      <c r="B538" s="21">
        <v>3.4029034600998802</v>
      </c>
      <c r="C538" s="21">
        <f t="shared" si="20"/>
        <v>-2.8704278957779827E-2</v>
      </c>
      <c r="D538" s="23">
        <f t="shared" si="21"/>
        <v>7.5475773887661093E-2</v>
      </c>
    </row>
    <row r="539" spans="1:4">
      <c r="A539" s="21" t="s">
        <v>1120</v>
      </c>
      <c r="B539" s="21">
        <v>3.43160773905766</v>
      </c>
      <c r="C539" s="21">
        <f t="shared" si="20"/>
        <v>8.126269231920169E-3</v>
      </c>
      <c r="D539" s="23">
        <f t="shared" si="21"/>
        <v>7.7052889702481558E-2</v>
      </c>
    </row>
    <row r="540" spans="1:4">
      <c r="A540" s="21" t="s">
        <v>1119</v>
      </c>
      <c r="B540" s="21">
        <v>3.4234814698257399</v>
      </c>
      <c r="C540" s="21">
        <f t="shared" si="20"/>
        <v>1.9373951671749712E-2</v>
      </c>
      <c r="D540" s="23">
        <f t="shared" si="21"/>
        <v>7.7369676570039528E-2</v>
      </c>
    </row>
    <row r="541" spans="1:4">
      <c r="A541" s="21" t="s">
        <v>1118</v>
      </c>
      <c r="B541" s="21">
        <v>3.4041075181539902</v>
      </c>
      <c r="C541" s="21">
        <f t="shared" si="20"/>
        <v>-0.18218849188538</v>
      </c>
      <c r="D541" s="23">
        <f t="shared" si="21"/>
        <v>7.7347272006672241E-2</v>
      </c>
    </row>
    <row r="542" spans="1:4">
      <c r="A542" s="21" t="s">
        <v>1117</v>
      </c>
      <c r="B542" s="21">
        <v>3.5862960100393702</v>
      </c>
      <c r="C542" s="21">
        <f t="shared" si="20"/>
        <v>-1.8733094384909776E-2</v>
      </c>
      <c r="D542" s="23">
        <f t="shared" si="21"/>
        <v>7.3936042293396745E-2</v>
      </c>
    </row>
    <row r="543" spans="1:4">
      <c r="A543" s="21" t="s">
        <v>1116</v>
      </c>
      <c r="B543" s="21">
        <v>3.6050291044242799</v>
      </c>
      <c r="C543" s="21">
        <f t="shared" si="20"/>
        <v>-4.5704490040650025E-2</v>
      </c>
      <c r="D543" s="23">
        <f t="shared" si="21"/>
        <v>7.6473840179902983E-2</v>
      </c>
    </row>
    <row r="544" spans="1:4">
      <c r="A544" s="21" t="s">
        <v>1115</v>
      </c>
      <c r="B544" s="21">
        <v>3.65073359446493</v>
      </c>
      <c r="C544" s="21">
        <f t="shared" si="20"/>
        <v>-1.5561440675019966E-2</v>
      </c>
      <c r="D544" s="23">
        <f t="shared" si="21"/>
        <v>7.8274586406387972E-2</v>
      </c>
    </row>
    <row r="545" spans="1:4">
      <c r="A545" s="21" t="s">
        <v>1114</v>
      </c>
      <c r="B545" s="21">
        <v>3.6662950351399499</v>
      </c>
      <c r="C545" s="21">
        <f t="shared" si="20"/>
        <v>-8.841705557101065E-4</v>
      </c>
      <c r="D545" s="23">
        <f t="shared" si="21"/>
        <v>8.0159449559020379E-2</v>
      </c>
    </row>
    <row r="546" spans="1:4">
      <c r="A546" s="21" t="s">
        <v>1113</v>
      </c>
      <c r="B546" s="21">
        <v>3.66717920569566</v>
      </c>
      <c r="C546" s="21">
        <f t="shared" si="20"/>
        <v>-3.5377858888629987E-2</v>
      </c>
      <c r="D546" s="23">
        <f t="shared" si="21"/>
        <v>8.0161696899320761E-2</v>
      </c>
    </row>
    <row r="547" spans="1:4">
      <c r="A547" s="21" t="s">
        <v>1112</v>
      </c>
      <c r="B547" s="21">
        <v>3.70255706458429</v>
      </c>
      <c r="C547" s="21">
        <f t="shared" si="20"/>
        <v>5.3065332968630141E-2</v>
      </c>
      <c r="D547" s="23">
        <f t="shared" si="21"/>
        <v>8.0083394819687126E-2</v>
      </c>
    </row>
    <row r="548" spans="1:4">
      <c r="A548" s="21" t="s">
        <v>1111</v>
      </c>
      <c r="B548" s="21">
        <v>3.6494917316156599</v>
      </c>
      <c r="C548" s="21">
        <f t="shared" si="20"/>
        <v>-7.1745954053219929E-2</v>
      </c>
      <c r="D548" s="23">
        <f t="shared" si="21"/>
        <v>8.0167613022894615E-2</v>
      </c>
    </row>
    <row r="549" spans="1:4">
      <c r="A549" s="21" t="s">
        <v>1110</v>
      </c>
      <c r="B549" s="21">
        <v>3.7212376856688798</v>
      </c>
      <c r="C549" s="21">
        <f t="shared" si="20"/>
        <v>-6.5457420638590058E-2</v>
      </c>
      <c r="D549" s="23">
        <f t="shared" si="21"/>
        <v>7.9793110130532946E-2</v>
      </c>
    </row>
    <row r="550" spans="1:4">
      <c r="A550" s="21" t="s">
        <v>1109</v>
      </c>
      <c r="B550" s="21">
        <v>3.7866951063074699</v>
      </c>
      <c r="C550" s="21">
        <f t="shared" si="20"/>
        <v>0.10712094464779964</v>
      </c>
      <c r="D550" s="23">
        <f t="shared" si="21"/>
        <v>7.9172692166165487E-2</v>
      </c>
    </row>
    <row r="551" spans="1:4">
      <c r="A551" s="21" t="s">
        <v>1108</v>
      </c>
      <c r="B551" s="21">
        <v>3.6795741616596702</v>
      </c>
      <c r="C551" s="21">
        <f t="shared" si="20"/>
        <v>5.6539798374630301E-2</v>
      </c>
      <c r="D551" s="23">
        <f t="shared" si="21"/>
        <v>7.8394965741731756E-2</v>
      </c>
    </row>
    <row r="552" spans="1:4">
      <c r="A552" s="21" t="s">
        <v>1107</v>
      </c>
      <c r="B552" s="21">
        <v>3.6230343632850399</v>
      </c>
      <c r="C552" s="21">
        <f t="shared" si="20"/>
        <v>0.10492607647307972</v>
      </c>
      <c r="D552" s="23">
        <f t="shared" si="21"/>
        <v>7.8192037448341439E-2</v>
      </c>
    </row>
    <row r="553" spans="1:4">
      <c r="A553" s="21" t="s">
        <v>1106</v>
      </c>
      <c r="B553" s="21">
        <v>3.5181082868119602</v>
      </c>
      <c r="C553" s="21">
        <f t="shared" si="20"/>
        <v>1.7084655469901122E-3</v>
      </c>
      <c r="D553" s="23">
        <f t="shared" si="21"/>
        <v>7.7449502084416547E-2</v>
      </c>
    </row>
    <row r="554" spans="1:4">
      <c r="A554" s="21" t="s">
        <v>1105</v>
      </c>
      <c r="B554" s="21">
        <v>3.5163998212649701</v>
      </c>
      <c r="C554" s="21">
        <f t="shared" si="20"/>
        <v>-4.8121741291629938E-2</v>
      </c>
      <c r="D554" s="23">
        <f t="shared" si="21"/>
        <v>7.7681353939766412E-2</v>
      </c>
    </row>
    <row r="555" spans="1:4">
      <c r="A555" s="21" t="s">
        <v>1104</v>
      </c>
      <c r="B555" s="21">
        <v>3.5645215625566</v>
      </c>
      <c r="C555" s="21">
        <f t="shared" si="20"/>
        <v>6.9509494336600142E-2</v>
      </c>
      <c r="D555" s="23">
        <f t="shared" si="21"/>
        <v>7.7390920523486381E-2</v>
      </c>
    </row>
    <row r="556" spans="1:4">
      <c r="A556" s="21" t="s">
        <v>1103</v>
      </c>
      <c r="B556" s="21">
        <v>3.4950120682199999</v>
      </c>
      <c r="C556" s="21">
        <f t="shared" si="20"/>
        <v>-6.9930672298000207E-2</v>
      </c>
      <c r="D556" s="23">
        <f t="shared" si="21"/>
        <v>7.7036953164624056E-2</v>
      </c>
    </row>
    <row r="557" spans="1:4">
      <c r="A557" s="21" t="s">
        <v>1102</v>
      </c>
      <c r="B557" s="21">
        <v>3.5649427405180001</v>
      </c>
      <c r="C557" s="21">
        <f t="shared" si="20"/>
        <v>-3.6516434060239966E-2</v>
      </c>
      <c r="D557" s="23">
        <f t="shared" si="21"/>
        <v>7.6344102309858136E-2</v>
      </c>
    </row>
    <row r="558" spans="1:4">
      <c r="A558" s="21" t="s">
        <v>1101</v>
      </c>
      <c r="B558" s="21">
        <v>3.6014591745782401</v>
      </c>
      <c r="C558" s="21">
        <f t="shared" si="20"/>
        <v>-0.10873461714591004</v>
      </c>
      <c r="D558" s="23">
        <f t="shared" si="21"/>
        <v>7.6288750633184535E-2</v>
      </c>
    </row>
    <row r="559" spans="1:4">
      <c r="A559" s="21" t="s">
        <v>1100</v>
      </c>
      <c r="B559" s="21">
        <v>3.7101937917241501</v>
      </c>
      <c r="C559" s="21">
        <f t="shared" si="20"/>
        <v>3.5549494711830221E-2</v>
      </c>
      <c r="D559" s="23">
        <f t="shared" si="21"/>
        <v>7.4726537303433871E-2</v>
      </c>
    </row>
    <row r="560" spans="1:4">
      <c r="A560" s="21" t="s">
        <v>1099</v>
      </c>
      <c r="B560" s="21">
        <v>3.6746442970123199</v>
      </c>
      <c r="C560" s="21">
        <f t="shared" si="20"/>
        <v>4.3961263381179894E-2</v>
      </c>
      <c r="D560" s="23">
        <f t="shared" si="21"/>
        <v>7.4821923050039388E-2</v>
      </c>
    </row>
    <row r="561" spans="1:4">
      <c r="A561" s="21" t="s">
        <v>1098</v>
      </c>
      <c r="B561" s="21">
        <v>3.63068303363114</v>
      </c>
      <c r="C561" s="21">
        <f t="shared" si="20"/>
        <v>-8.0364807235079994E-2</v>
      </c>
      <c r="D561" s="23">
        <f t="shared" si="21"/>
        <v>7.6226065309422733E-2</v>
      </c>
    </row>
    <row r="562" spans="1:4">
      <c r="A562" s="21" t="s">
        <v>1097</v>
      </c>
      <c r="B562" s="21">
        <v>3.71104784086622</v>
      </c>
      <c r="C562" s="21">
        <f t="shared" si="20"/>
        <v>7.6819313294679947E-2</v>
      </c>
      <c r="D562" s="23">
        <f t="shared" si="21"/>
        <v>7.527548084003495E-2</v>
      </c>
    </row>
    <row r="563" spans="1:4">
      <c r="A563" s="21" t="s">
        <v>1096</v>
      </c>
      <c r="B563" s="21">
        <v>3.63422852757154</v>
      </c>
      <c r="C563" s="21">
        <f t="shared" si="20"/>
        <v>9.1768203715859809E-2</v>
      </c>
      <c r="D563" s="23">
        <f t="shared" si="21"/>
        <v>7.4877287950672611E-2</v>
      </c>
    </row>
    <row r="564" spans="1:4">
      <c r="A564" s="21" t="s">
        <v>1095</v>
      </c>
      <c r="B564" s="21">
        <v>3.5424603238556802</v>
      </c>
      <c r="C564" s="21">
        <f t="shared" si="20"/>
        <v>5.8371835967020225E-2</v>
      </c>
      <c r="D564" s="23">
        <f t="shared" si="21"/>
        <v>7.5554407121994502E-2</v>
      </c>
    </row>
    <row r="565" spans="1:4">
      <c r="A565" s="21" t="s">
        <v>1094</v>
      </c>
      <c r="B565" s="21">
        <v>3.48408848788866</v>
      </c>
      <c r="C565" s="21">
        <f t="shared" si="20"/>
        <v>-2.5092109652300465E-3</v>
      </c>
      <c r="D565" s="23">
        <f t="shared" si="21"/>
        <v>7.5763272834246304E-2</v>
      </c>
    </row>
    <row r="566" spans="1:4">
      <c r="A566" s="21" t="s">
        <v>1093</v>
      </c>
      <c r="B566" s="21">
        <v>3.48659769885389</v>
      </c>
      <c r="C566" s="21">
        <f t="shared" si="20"/>
        <v>0.10271379885331999</v>
      </c>
      <c r="D566" s="23">
        <f t="shared" si="21"/>
        <v>7.5757850078856021E-2</v>
      </c>
    </row>
    <row r="567" spans="1:4">
      <c r="A567" s="21" t="s">
        <v>1092</v>
      </c>
      <c r="B567" s="21">
        <v>3.38388390000057</v>
      </c>
      <c r="C567" s="21">
        <f t="shared" si="20"/>
        <v>1.9932986807530195E-2</v>
      </c>
      <c r="D567" s="23">
        <f t="shared" si="21"/>
        <v>7.6181636202107578E-2</v>
      </c>
    </row>
    <row r="568" spans="1:4">
      <c r="A568" s="21" t="s">
        <v>1091</v>
      </c>
      <c r="B568" s="21">
        <v>3.3639509131930398</v>
      </c>
      <c r="C568" s="21">
        <f t="shared" si="20"/>
        <v>-1.7536989855490237E-2</v>
      </c>
      <c r="D568" s="23">
        <f t="shared" si="21"/>
        <v>7.7526467120697412E-2</v>
      </c>
    </row>
    <row r="569" spans="1:4">
      <c r="A569" s="21" t="s">
        <v>1090</v>
      </c>
      <c r="B569" s="21">
        <v>3.3814879030485301</v>
      </c>
      <c r="C569" s="21">
        <f t="shared" si="20"/>
        <v>-2.8041443789379894E-2</v>
      </c>
      <c r="D569" s="23">
        <f t="shared" si="21"/>
        <v>7.7449716166336877E-2</v>
      </c>
    </row>
    <row r="570" spans="1:4">
      <c r="A570" s="21" t="s">
        <v>1089</v>
      </c>
      <c r="B570" s="21">
        <v>3.40952934683791</v>
      </c>
      <c r="C570" s="21">
        <f t="shared" si="20"/>
        <v>-3.3557590646720037E-2</v>
      </c>
      <c r="D570" s="23">
        <f t="shared" si="21"/>
        <v>7.7362350234671848E-2</v>
      </c>
    </row>
    <row r="571" spans="1:4">
      <c r="A571" s="21" t="s">
        <v>1088</v>
      </c>
      <c r="B571" s="21">
        <v>3.44308693748463</v>
      </c>
      <c r="C571" s="21">
        <f t="shared" si="20"/>
        <v>2.527513841834983E-2</v>
      </c>
      <c r="D571" s="23">
        <f t="shared" si="21"/>
        <v>7.7163135307168285E-2</v>
      </c>
    </row>
    <row r="572" spans="1:4">
      <c r="A572" s="21" t="s">
        <v>1087</v>
      </c>
      <c r="B572" s="21">
        <v>3.4178117990662802</v>
      </c>
      <c r="C572" s="21">
        <f t="shared" si="20"/>
        <v>1.424554791831012E-2</v>
      </c>
      <c r="D572" s="23">
        <f t="shared" si="21"/>
        <v>7.7772929203854327E-2</v>
      </c>
    </row>
    <row r="573" spans="1:4">
      <c r="A573" s="21" t="s">
        <v>1086</v>
      </c>
      <c r="B573" s="21">
        <v>3.4035662511479701</v>
      </c>
      <c r="C573" s="21">
        <f t="shared" si="20"/>
        <v>-0.12930450394343973</v>
      </c>
      <c r="D573" s="23">
        <f t="shared" si="21"/>
        <v>7.7781162775315382E-2</v>
      </c>
    </row>
    <row r="574" spans="1:4">
      <c r="A574" s="21" t="s">
        <v>1085</v>
      </c>
      <c r="B574" s="21">
        <v>3.5328707550914098</v>
      </c>
      <c r="C574" s="21">
        <f t="shared" si="20"/>
        <v>0.12333148934801974</v>
      </c>
      <c r="D574" s="23">
        <f t="shared" si="21"/>
        <v>7.5552636029083756E-2</v>
      </c>
    </row>
    <row r="575" spans="1:4">
      <c r="A575" s="21" t="s">
        <v>1084</v>
      </c>
      <c r="B575" s="21">
        <v>3.4095392657433901</v>
      </c>
      <c r="C575" s="21">
        <f t="shared" si="20"/>
        <v>-1.9057491468149834E-2</v>
      </c>
      <c r="D575" s="23">
        <f t="shared" si="21"/>
        <v>7.4261651010593357E-2</v>
      </c>
    </row>
    <row r="576" spans="1:4">
      <c r="A576" s="21" t="s">
        <v>1083</v>
      </c>
      <c r="B576" s="21">
        <v>3.4285967572115399</v>
      </c>
      <c r="C576" s="21">
        <f t="shared" si="20"/>
        <v>2.2450325805319693E-2</v>
      </c>
      <c r="D576" s="23">
        <f t="shared" si="21"/>
        <v>7.4121972636532044E-2</v>
      </c>
    </row>
    <row r="577" spans="1:4">
      <c r="A577" s="21" t="s">
        <v>1082</v>
      </c>
      <c r="B577" s="21">
        <v>3.4061464314062202</v>
      </c>
      <c r="C577" s="21">
        <f t="shared" si="20"/>
        <v>1.0825823152060376E-2</v>
      </c>
      <c r="D577" s="23">
        <f t="shared" si="21"/>
        <v>7.5188306884471437E-2</v>
      </c>
    </row>
    <row r="578" spans="1:4">
      <c r="A578" s="21" t="s">
        <v>1081</v>
      </c>
      <c r="B578" s="21">
        <v>3.3953206082541598</v>
      </c>
      <c r="C578" s="21">
        <f t="shared" ref="C578:C641" si="22">B578-B579</f>
        <v>-4.5465783333580312E-2</v>
      </c>
      <c r="D578" s="23">
        <f t="shared" ref="D578:D641" si="23">STDEV(C578:C637)</f>
        <v>7.5204238512573629E-2</v>
      </c>
    </row>
    <row r="579" spans="1:4">
      <c r="A579" s="21" t="s">
        <v>1080</v>
      </c>
      <c r="B579" s="21">
        <v>3.4407863915877401</v>
      </c>
      <c r="C579" s="21">
        <f t="shared" si="22"/>
        <v>1.1110796130170186E-2</v>
      </c>
      <c r="D579" s="23">
        <f t="shared" si="23"/>
        <v>7.5172092718889263E-2</v>
      </c>
    </row>
    <row r="580" spans="1:4">
      <c r="A580" s="21" t="s">
        <v>1079</v>
      </c>
      <c r="B580" s="21">
        <v>3.4296755954575699</v>
      </c>
      <c r="C580" s="21">
        <f t="shared" si="22"/>
        <v>6.5770541108809866E-2</v>
      </c>
      <c r="D580" s="23">
        <f t="shared" si="23"/>
        <v>7.5336464942433651E-2</v>
      </c>
    </row>
    <row r="581" spans="1:4">
      <c r="A581" s="21" t="s">
        <v>1078</v>
      </c>
      <c r="B581" s="21">
        <v>3.3639050543487601</v>
      </c>
      <c r="C581" s="21">
        <f t="shared" si="22"/>
        <v>4.1822183372050237E-2</v>
      </c>
      <c r="D581" s="23">
        <f t="shared" si="23"/>
        <v>7.5123132733813144E-2</v>
      </c>
    </row>
    <row r="582" spans="1:4">
      <c r="A582" s="21" t="s">
        <v>1077</v>
      </c>
      <c r="B582" s="21">
        <v>3.3220828709767098</v>
      </c>
      <c r="C582" s="21">
        <f t="shared" si="22"/>
        <v>-9.3084046809099874E-3</v>
      </c>
      <c r="D582" s="23">
        <f t="shared" si="23"/>
        <v>7.5572957507084246E-2</v>
      </c>
    </row>
    <row r="583" spans="1:4">
      <c r="A583" s="21" t="s">
        <v>1076</v>
      </c>
      <c r="B583" s="21">
        <v>3.3313912756576198</v>
      </c>
      <c r="C583" s="21">
        <f t="shared" si="22"/>
        <v>-5.7456281977290136E-2</v>
      </c>
      <c r="D583" s="23">
        <f t="shared" si="23"/>
        <v>7.5532255500375609E-2</v>
      </c>
    </row>
    <row r="584" spans="1:4">
      <c r="A584" s="21" t="s">
        <v>1075</v>
      </c>
      <c r="B584" s="21">
        <v>3.38884755763491</v>
      </c>
      <c r="C584" s="21">
        <f t="shared" si="22"/>
        <v>4.4981721651899953E-2</v>
      </c>
      <c r="D584" s="23">
        <f t="shared" si="23"/>
        <v>7.4981825111964495E-2</v>
      </c>
    </row>
    <row r="585" spans="1:4">
      <c r="A585" s="21" t="s">
        <v>1074</v>
      </c>
      <c r="B585" s="21">
        <v>3.34386583598301</v>
      </c>
      <c r="C585" s="21">
        <f t="shared" si="22"/>
        <v>-4.760501643175008E-2</v>
      </c>
      <c r="D585" s="23">
        <f t="shared" si="23"/>
        <v>7.4947942314462432E-2</v>
      </c>
    </row>
    <row r="586" spans="1:4">
      <c r="A586" s="21" t="s">
        <v>1073</v>
      </c>
      <c r="B586" s="21">
        <v>3.3914708524147601</v>
      </c>
      <c r="C586" s="21">
        <f t="shared" si="22"/>
        <v>-1.3562006482279898E-2</v>
      </c>
      <c r="D586" s="23">
        <f t="shared" si="23"/>
        <v>7.4531680257984595E-2</v>
      </c>
    </row>
    <row r="587" spans="1:4">
      <c r="A587" s="21" t="s">
        <v>1072</v>
      </c>
      <c r="B587" s="21">
        <v>3.40503285889704</v>
      </c>
      <c r="C587" s="21">
        <f t="shared" si="22"/>
        <v>-6.9784507366760007E-2</v>
      </c>
      <c r="D587" s="23">
        <f t="shared" si="23"/>
        <v>7.4432428829586172E-2</v>
      </c>
    </row>
    <row r="588" spans="1:4">
      <c r="A588" s="21" t="s">
        <v>1071</v>
      </c>
      <c r="B588" s="21">
        <v>3.4748173662638</v>
      </c>
      <c r="C588" s="21">
        <f t="shared" si="22"/>
        <v>6.8448157232801066E-3</v>
      </c>
      <c r="D588" s="23">
        <f t="shared" si="23"/>
        <v>7.3716116623554637E-2</v>
      </c>
    </row>
    <row r="589" spans="1:4">
      <c r="A589" s="21" t="s">
        <v>1070</v>
      </c>
      <c r="B589" s="21">
        <v>3.4679725505405199</v>
      </c>
      <c r="C589" s="21">
        <f t="shared" si="22"/>
        <v>-0.11739950778944008</v>
      </c>
      <c r="D589" s="23">
        <f t="shared" si="23"/>
        <v>7.3757836028943785E-2</v>
      </c>
    </row>
    <row r="590" spans="1:4">
      <c r="A590" s="21" t="s">
        <v>1069</v>
      </c>
      <c r="B590" s="21">
        <v>3.58537205832996</v>
      </c>
      <c r="C590" s="21">
        <f t="shared" si="22"/>
        <v>9.735606030672006E-2</v>
      </c>
      <c r="D590" s="23">
        <f t="shared" si="23"/>
        <v>7.1622457679235349E-2</v>
      </c>
    </row>
    <row r="591" spans="1:4">
      <c r="A591" s="21" t="s">
        <v>1068</v>
      </c>
      <c r="B591" s="21">
        <v>3.4880159980232399</v>
      </c>
      <c r="C591" s="21">
        <f t="shared" si="22"/>
        <v>-5.6623162933219895E-2</v>
      </c>
      <c r="D591" s="23">
        <f t="shared" si="23"/>
        <v>7.1077060252924915E-2</v>
      </c>
    </row>
    <row r="592" spans="1:4">
      <c r="A592" s="21" t="s">
        <v>1067</v>
      </c>
      <c r="B592" s="21">
        <v>3.5446391609564598</v>
      </c>
      <c r="C592" s="21">
        <f t="shared" si="22"/>
        <v>-0.12861219219312003</v>
      </c>
      <c r="D592" s="23">
        <f t="shared" si="23"/>
        <v>7.1229515620040998E-2</v>
      </c>
    </row>
    <row r="593" spans="1:4">
      <c r="A593" s="21" t="s">
        <v>1066</v>
      </c>
      <c r="B593" s="21">
        <v>3.6732513531495798</v>
      </c>
      <c r="C593" s="21">
        <f t="shared" si="22"/>
        <v>0.30432684873944993</v>
      </c>
      <c r="D593" s="23">
        <f t="shared" si="23"/>
        <v>6.8872002182443229E-2</v>
      </c>
    </row>
    <row r="594" spans="1:4">
      <c r="A594" s="21" t="s">
        <v>1065</v>
      </c>
      <c r="B594" s="21">
        <v>3.3689245044101299</v>
      </c>
      <c r="C594" s="21">
        <f t="shared" si="22"/>
        <v>5.7106254717799843E-2</v>
      </c>
      <c r="D594" s="23">
        <f t="shared" si="23"/>
        <v>5.802454176939148E-2</v>
      </c>
    </row>
    <row r="595" spans="1:4">
      <c r="A595" s="21" t="s">
        <v>1064</v>
      </c>
      <c r="B595" s="21">
        <v>3.3118182496923301</v>
      </c>
      <c r="C595" s="21">
        <f t="shared" si="22"/>
        <v>1.387207231151022E-2</v>
      </c>
      <c r="D595" s="23">
        <f t="shared" si="23"/>
        <v>5.7756641422545836E-2</v>
      </c>
    </row>
    <row r="596" spans="1:4">
      <c r="A596" s="21" t="s">
        <v>1063</v>
      </c>
      <c r="B596" s="21">
        <v>3.2979461773808199</v>
      </c>
      <c r="C596" s="21">
        <f t="shared" si="22"/>
        <v>-1.1503496189390283E-2</v>
      </c>
      <c r="D596" s="23">
        <f t="shared" si="23"/>
        <v>5.80565554954314E-2</v>
      </c>
    </row>
    <row r="597" spans="1:4">
      <c r="A597" s="21" t="s">
        <v>1062</v>
      </c>
      <c r="B597" s="21">
        <v>3.3094496735702101</v>
      </c>
      <c r="C597" s="21">
        <f t="shared" si="22"/>
        <v>-1.120845719059993E-2</v>
      </c>
      <c r="D597" s="23">
        <f t="shared" si="23"/>
        <v>5.8951333572454426E-2</v>
      </c>
    </row>
    <row r="598" spans="1:4">
      <c r="A598" s="21" t="s">
        <v>1061</v>
      </c>
      <c r="B598" s="21">
        <v>3.3206581307608101</v>
      </c>
      <c r="C598" s="21">
        <f t="shared" si="22"/>
        <v>-0.12209026435496995</v>
      </c>
      <c r="D598" s="23">
        <f t="shared" si="23"/>
        <v>6.0072256542245198E-2</v>
      </c>
    </row>
    <row r="599" spans="1:4">
      <c r="A599" s="21" t="s">
        <v>1060</v>
      </c>
      <c r="B599" s="21">
        <v>3.44274839511578</v>
      </c>
      <c r="C599" s="21">
        <f t="shared" si="22"/>
        <v>-5.5158964095800123E-2</v>
      </c>
      <c r="D599" s="23">
        <f t="shared" si="23"/>
        <v>5.7937150690430705E-2</v>
      </c>
    </row>
    <row r="600" spans="1:4">
      <c r="A600" s="21" t="s">
        <v>1059</v>
      </c>
      <c r="B600" s="21">
        <v>3.4979073592115801</v>
      </c>
      <c r="C600" s="21">
        <f t="shared" si="22"/>
        <v>1.3625234119180263E-2</v>
      </c>
      <c r="D600" s="23">
        <f t="shared" si="23"/>
        <v>5.722384163658413E-2</v>
      </c>
    </row>
    <row r="601" spans="1:4">
      <c r="A601" s="21" t="s">
        <v>1058</v>
      </c>
      <c r="B601" s="21">
        <v>3.4842821250923999</v>
      </c>
      <c r="C601" s="21">
        <f t="shared" si="22"/>
        <v>5.5226091767049734E-2</v>
      </c>
      <c r="D601" s="23">
        <f t="shared" si="23"/>
        <v>5.7394356500739409E-2</v>
      </c>
    </row>
    <row r="602" spans="1:4">
      <c r="A602" s="21" t="s">
        <v>1057</v>
      </c>
      <c r="B602" s="21">
        <v>3.4290560333253501</v>
      </c>
      <c r="C602" s="21">
        <f t="shared" si="22"/>
        <v>0.15586870907134021</v>
      </c>
      <c r="D602" s="23">
        <f t="shared" si="23"/>
        <v>5.7153047606324926E-2</v>
      </c>
    </row>
    <row r="603" spans="1:4">
      <c r="A603" s="21" t="s">
        <v>1056</v>
      </c>
      <c r="B603" s="21">
        <v>3.2731873242540099</v>
      </c>
      <c r="C603" s="21">
        <f t="shared" si="22"/>
        <v>0.14580691441645977</v>
      </c>
      <c r="D603" s="23">
        <f t="shared" si="23"/>
        <v>5.4340691280240161E-2</v>
      </c>
    </row>
    <row r="604" spans="1:4">
      <c r="A604" s="21" t="s">
        <v>1055</v>
      </c>
      <c r="B604" s="21">
        <v>3.1273804098375502</v>
      </c>
      <c r="C604" s="21">
        <f t="shared" si="22"/>
        <v>0.14524976102515996</v>
      </c>
      <c r="D604" s="23">
        <f t="shared" si="23"/>
        <v>5.1359860350052834E-2</v>
      </c>
    </row>
    <row r="605" spans="1:4">
      <c r="A605" s="21" t="s">
        <v>1054</v>
      </c>
      <c r="B605" s="21">
        <v>2.9821306488123902</v>
      </c>
      <c r="C605" s="21">
        <f t="shared" si="22"/>
        <v>-1.7211817492599479E-3</v>
      </c>
      <c r="D605" s="23">
        <f t="shared" si="23"/>
        <v>4.8112216469274237E-2</v>
      </c>
    </row>
    <row r="606" spans="1:4">
      <c r="A606" s="21" t="s">
        <v>1053</v>
      </c>
      <c r="B606" s="21">
        <v>2.9838518305616502</v>
      </c>
      <c r="C606" s="21">
        <f t="shared" si="22"/>
        <v>5.1027756137190128E-2</v>
      </c>
      <c r="D606" s="23">
        <f t="shared" si="23"/>
        <v>4.8387037985474758E-2</v>
      </c>
    </row>
    <row r="607" spans="1:4">
      <c r="A607" s="21" t="s">
        <v>1052</v>
      </c>
      <c r="B607" s="21">
        <v>2.93282407442446</v>
      </c>
      <c r="C607" s="21">
        <f t="shared" si="22"/>
        <v>-3.7693641318579996E-2</v>
      </c>
      <c r="D607" s="23">
        <f t="shared" si="23"/>
        <v>4.8118179744575142E-2</v>
      </c>
    </row>
    <row r="608" spans="1:4">
      <c r="A608" s="21" t="s">
        <v>1051</v>
      </c>
      <c r="B608" s="21">
        <v>2.97051771574304</v>
      </c>
      <c r="C608" s="21">
        <f t="shared" si="22"/>
        <v>-4.6780884574990189E-2</v>
      </c>
      <c r="D608" s="23">
        <f t="shared" si="23"/>
        <v>4.8002935824341522E-2</v>
      </c>
    </row>
    <row r="609" spans="1:4">
      <c r="A609" s="21" t="s">
        <v>1050</v>
      </c>
      <c r="B609" s="21">
        <v>3.0172986003180302</v>
      </c>
      <c r="C609" s="21">
        <f t="shared" si="22"/>
        <v>2.8674806260830188E-2</v>
      </c>
      <c r="D609" s="23">
        <f t="shared" si="23"/>
        <v>4.7653695554375819E-2</v>
      </c>
    </row>
    <row r="610" spans="1:4">
      <c r="A610" s="21" t="s">
        <v>1049</v>
      </c>
      <c r="B610" s="21">
        <v>2.9886237940572</v>
      </c>
      <c r="C610" s="21">
        <f t="shared" si="22"/>
        <v>-3.0126534625240176E-2</v>
      </c>
      <c r="D610" s="23">
        <f t="shared" si="23"/>
        <v>4.7855047850531414E-2</v>
      </c>
    </row>
    <row r="611" spans="1:4">
      <c r="A611" s="21" t="s">
        <v>1048</v>
      </c>
      <c r="B611" s="21">
        <v>3.0187503286824402</v>
      </c>
      <c r="C611" s="21">
        <f t="shared" si="22"/>
        <v>2.5634329672949985E-2</v>
      </c>
      <c r="D611" s="23">
        <f t="shared" si="23"/>
        <v>4.8014211556754352E-2</v>
      </c>
    </row>
    <row r="612" spans="1:4">
      <c r="A612" s="21" t="s">
        <v>1047</v>
      </c>
      <c r="B612" s="21">
        <v>2.9931159990094902</v>
      </c>
      <c r="C612" s="21">
        <f t="shared" si="22"/>
        <v>5.6722824399420002E-2</v>
      </c>
      <c r="D612" s="23">
        <f t="shared" si="23"/>
        <v>4.7939365273360422E-2</v>
      </c>
    </row>
    <row r="613" spans="1:4">
      <c r="A613" s="21" t="s">
        <v>1046</v>
      </c>
      <c r="B613" s="21">
        <v>2.9363931746100702</v>
      </c>
      <c r="C613" s="21">
        <f t="shared" si="22"/>
        <v>-3.7328810787779609E-2</v>
      </c>
      <c r="D613" s="23">
        <f t="shared" si="23"/>
        <v>4.7471307849779147E-2</v>
      </c>
    </row>
    <row r="614" spans="1:4">
      <c r="A614" s="21" t="s">
        <v>1045</v>
      </c>
      <c r="B614" s="21">
        <v>2.9737219853978498</v>
      </c>
      <c r="C614" s="21">
        <f t="shared" si="22"/>
        <v>-1.6013781891730083E-2</v>
      </c>
      <c r="D614" s="23">
        <f t="shared" si="23"/>
        <v>4.7417973757082899E-2</v>
      </c>
    </row>
    <row r="615" spans="1:4">
      <c r="A615" s="21" t="s">
        <v>1044</v>
      </c>
      <c r="B615" s="21">
        <v>2.9897357672895799</v>
      </c>
      <c r="C615" s="21">
        <f t="shared" si="22"/>
        <v>2.9411236647639782E-2</v>
      </c>
      <c r="D615" s="23">
        <f t="shared" si="23"/>
        <v>4.7391840804764107E-2</v>
      </c>
    </row>
    <row r="616" spans="1:4">
      <c r="A616" s="21" t="s">
        <v>1043</v>
      </c>
      <c r="B616" s="21">
        <v>2.9603245306419401</v>
      </c>
      <c r="C616" s="21">
        <f t="shared" si="22"/>
        <v>3.0110344354201679E-3</v>
      </c>
      <c r="D616" s="23">
        <f t="shared" si="23"/>
        <v>4.8257268086785682E-2</v>
      </c>
    </row>
    <row r="617" spans="1:4">
      <c r="A617" s="21" t="s">
        <v>1042</v>
      </c>
      <c r="B617" s="21">
        <v>2.95731349620652</v>
      </c>
      <c r="C617" s="21">
        <f t="shared" si="22"/>
        <v>5.2668055466630115E-2</v>
      </c>
      <c r="D617" s="23">
        <f t="shared" si="23"/>
        <v>4.879412992167316E-2</v>
      </c>
    </row>
    <row r="618" spans="1:4">
      <c r="A618" s="21" t="s">
        <v>1041</v>
      </c>
      <c r="B618" s="21">
        <v>2.9046454407398898</v>
      </c>
      <c r="C618" s="21">
        <f t="shared" si="22"/>
        <v>-1.5047363922800372E-2</v>
      </c>
      <c r="D618" s="23">
        <f t="shared" si="23"/>
        <v>4.8780043704308544E-2</v>
      </c>
    </row>
    <row r="619" spans="1:4">
      <c r="A619" s="21" t="s">
        <v>1040</v>
      </c>
      <c r="B619" s="21">
        <v>2.9196928046626902</v>
      </c>
      <c r="C619" s="21">
        <f t="shared" si="22"/>
        <v>-2.4266573785109991E-2</v>
      </c>
      <c r="D619" s="23">
        <f t="shared" si="23"/>
        <v>4.8717244067040852E-2</v>
      </c>
    </row>
    <row r="620" spans="1:4">
      <c r="A620" s="21" t="s">
        <v>1039</v>
      </c>
      <c r="B620" s="21">
        <v>2.9439593784478002</v>
      </c>
      <c r="C620" s="21">
        <f t="shared" si="22"/>
        <v>0.12898620203696032</v>
      </c>
      <c r="D620" s="23">
        <f t="shared" si="23"/>
        <v>4.856661945115183E-2</v>
      </c>
    </row>
    <row r="621" spans="1:4">
      <c r="A621" s="21" t="s">
        <v>1038</v>
      </c>
      <c r="B621" s="21">
        <v>2.8149731764108399</v>
      </c>
      <c r="C621" s="21">
        <f t="shared" si="22"/>
        <v>-6.9342695015399691E-3</v>
      </c>
      <c r="D621" s="23">
        <f t="shared" si="23"/>
        <v>4.5916255365082564E-2</v>
      </c>
    </row>
    <row r="622" spans="1:4">
      <c r="A622" s="21" t="s">
        <v>1037</v>
      </c>
      <c r="B622" s="21">
        <v>2.8219074459123799</v>
      </c>
      <c r="C622" s="21">
        <f t="shared" si="22"/>
        <v>3.3467463727769875E-2</v>
      </c>
      <c r="D622" s="23">
        <f t="shared" si="23"/>
        <v>4.6089961931210503E-2</v>
      </c>
    </row>
    <row r="623" spans="1:4">
      <c r="A623" s="21" t="s">
        <v>1036</v>
      </c>
      <c r="B623" s="21">
        <v>2.78843998218461</v>
      </c>
      <c r="C623" s="21">
        <f t="shared" si="22"/>
        <v>0.12391391822959008</v>
      </c>
      <c r="D623" s="23">
        <f t="shared" si="23"/>
        <v>4.6098653225723443E-2</v>
      </c>
    </row>
    <row r="624" spans="1:4">
      <c r="A624" s="21" t="s">
        <v>1035</v>
      </c>
      <c r="B624" s="21">
        <v>2.6645260639550199</v>
      </c>
      <c r="C624" s="21">
        <f t="shared" si="22"/>
        <v>-4.8357478376410246E-2</v>
      </c>
      <c r="D624" s="23">
        <f t="shared" si="23"/>
        <v>4.3419596071460898E-2</v>
      </c>
    </row>
    <row r="625" spans="1:4">
      <c r="A625" s="21" t="s">
        <v>1034</v>
      </c>
      <c r="B625" s="21">
        <v>2.7128835423314301</v>
      </c>
      <c r="C625" s="21">
        <f t="shared" si="22"/>
        <v>2.7070114300850268E-2</v>
      </c>
      <c r="D625" s="23">
        <f t="shared" si="23"/>
        <v>4.3856474170724226E-2</v>
      </c>
    </row>
    <row r="626" spans="1:4">
      <c r="A626" s="21" t="s">
        <v>1033</v>
      </c>
      <c r="B626" s="21">
        <v>2.6858134280305799</v>
      </c>
      <c r="C626" s="21">
        <f t="shared" si="22"/>
        <v>0.12193595403058</v>
      </c>
      <c r="D626" s="23">
        <f t="shared" si="23"/>
        <v>4.372792786362948E-2</v>
      </c>
    </row>
    <row r="627" spans="1:4">
      <c r="A627" s="21" t="s">
        <v>1032</v>
      </c>
      <c r="B627" s="21">
        <v>2.5638774739999999</v>
      </c>
      <c r="C627" s="21">
        <f t="shared" si="22"/>
        <v>-9.7988939393230279E-2</v>
      </c>
      <c r="D627" s="23">
        <f t="shared" si="23"/>
        <v>4.076921229259587E-2</v>
      </c>
    </row>
    <row r="628" spans="1:4">
      <c r="A628" s="21" t="s">
        <v>1031</v>
      </c>
      <c r="B628" s="21">
        <v>2.6618664133932302</v>
      </c>
      <c r="C628" s="21">
        <f t="shared" si="22"/>
        <v>-8.5807949310989784E-4</v>
      </c>
      <c r="D628" s="23">
        <f t="shared" si="23"/>
        <v>3.8739849243363107E-2</v>
      </c>
    </row>
    <row r="629" spans="1:4">
      <c r="A629" s="21" t="s">
        <v>1030</v>
      </c>
      <c r="B629" s="21">
        <v>2.6627244928863401</v>
      </c>
      <c r="C629" s="21">
        <f t="shared" si="22"/>
        <v>4.1724925364940102E-2</v>
      </c>
      <c r="D629" s="23">
        <f t="shared" si="23"/>
        <v>3.8800285760589207E-2</v>
      </c>
    </row>
    <row r="630" spans="1:4">
      <c r="A630" s="21" t="s">
        <v>1029</v>
      </c>
      <c r="B630" s="21">
        <v>2.6209995675214</v>
      </c>
      <c r="C630" s="21">
        <f t="shared" si="22"/>
        <v>3.4142449316919787E-2</v>
      </c>
      <c r="D630" s="23">
        <f t="shared" si="23"/>
        <v>3.8457055420496093E-2</v>
      </c>
    </row>
    <row r="631" spans="1:4">
      <c r="A631" s="21" t="s">
        <v>1028</v>
      </c>
      <c r="B631" s="21">
        <v>2.5868571182044802</v>
      </c>
      <c r="C631" s="21">
        <f t="shared" si="22"/>
        <v>9.0202215078300174E-2</v>
      </c>
      <c r="D631" s="23">
        <f t="shared" si="23"/>
        <v>3.8633547259173506E-2</v>
      </c>
    </row>
    <row r="632" spans="1:4">
      <c r="A632" s="21" t="s">
        <v>1027</v>
      </c>
      <c r="B632" s="21">
        <v>2.49665490312618</v>
      </c>
      <c r="C632" s="21">
        <f t="shared" si="22"/>
        <v>2.4209559535790071E-2</v>
      </c>
      <c r="D632" s="23">
        <f t="shared" si="23"/>
        <v>3.7275253756497345E-2</v>
      </c>
    </row>
    <row r="633" spans="1:4">
      <c r="A633" s="21" t="s">
        <v>1026</v>
      </c>
      <c r="B633" s="21">
        <v>2.4724453435903899</v>
      </c>
      <c r="C633" s="21">
        <f t="shared" si="22"/>
        <v>-1.6497643574850063E-2</v>
      </c>
      <c r="D633" s="23">
        <f t="shared" si="23"/>
        <v>3.7549864796698945E-2</v>
      </c>
    </row>
    <row r="634" spans="1:4">
      <c r="A634" s="21" t="s">
        <v>1025</v>
      </c>
      <c r="B634" s="21">
        <v>2.48894298716524</v>
      </c>
      <c r="C634" s="21">
        <f t="shared" si="22"/>
        <v>1.6539813864150155E-2</v>
      </c>
      <c r="D634" s="23">
        <f t="shared" si="23"/>
        <v>3.7508132702762091E-2</v>
      </c>
    </row>
    <row r="635" spans="1:4">
      <c r="A635" s="21" t="s">
        <v>1024</v>
      </c>
      <c r="B635" s="21">
        <v>2.4724031733010898</v>
      </c>
      <c r="C635" s="21">
        <f t="shared" si="22"/>
        <v>1.6253051885779968E-2</v>
      </c>
      <c r="D635" s="23">
        <f t="shared" si="23"/>
        <v>3.7557036330206274E-2</v>
      </c>
    </row>
    <row r="636" spans="1:4">
      <c r="A636" s="21" t="s">
        <v>1023</v>
      </c>
      <c r="B636" s="21">
        <v>2.4561501214153099</v>
      </c>
      <c r="C636" s="21">
        <f t="shared" si="22"/>
        <v>0.11404644226922001</v>
      </c>
      <c r="D636" s="23">
        <f t="shared" si="23"/>
        <v>3.7495402594694797E-2</v>
      </c>
    </row>
    <row r="637" spans="1:4">
      <c r="A637" s="21" t="s">
        <v>1022</v>
      </c>
      <c r="B637" s="21">
        <v>2.3421036791460899</v>
      </c>
      <c r="C637" s="21">
        <f t="shared" si="22"/>
        <v>3.17477125377299E-2</v>
      </c>
      <c r="D637" s="23">
        <f t="shared" si="23"/>
        <v>3.4615273232179757E-2</v>
      </c>
    </row>
    <row r="638" spans="1:4">
      <c r="A638" s="21" t="s">
        <v>1021</v>
      </c>
      <c r="B638" s="21">
        <v>2.31035596660836</v>
      </c>
      <c r="C638" s="21">
        <f t="shared" si="22"/>
        <v>-4.3181423940279906E-2</v>
      </c>
      <c r="D638" s="23">
        <f t="shared" si="23"/>
        <v>3.4887857063948972E-2</v>
      </c>
    </row>
    <row r="639" spans="1:4">
      <c r="A639" s="21" t="s">
        <v>1020</v>
      </c>
      <c r="B639" s="21">
        <v>2.3535373905486399</v>
      </c>
      <c r="C639" s="21">
        <f t="shared" si="22"/>
        <v>-2.0941817287320141E-2</v>
      </c>
      <c r="D639" s="23">
        <f t="shared" si="23"/>
        <v>3.476011485148759E-2</v>
      </c>
    </row>
    <row r="640" spans="1:4">
      <c r="A640" s="21" t="s">
        <v>1019</v>
      </c>
      <c r="B640" s="21">
        <v>2.37447920783596</v>
      </c>
      <c r="C640" s="21">
        <f t="shared" si="22"/>
        <v>-5.0288600714698539E-3</v>
      </c>
      <c r="D640" s="23">
        <f t="shared" si="23"/>
        <v>3.4797549295367505E-2</v>
      </c>
    </row>
    <row r="641" spans="1:4">
      <c r="A641" s="21" t="s">
        <v>1018</v>
      </c>
      <c r="B641" s="21">
        <v>2.3795080679074299</v>
      </c>
      <c r="C641" s="21">
        <f t="shared" si="22"/>
        <v>-5.2837260230070182E-2</v>
      </c>
      <c r="D641" s="23">
        <f t="shared" si="23"/>
        <v>3.4796840229985936E-2</v>
      </c>
    </row>
    <row r="642" spans="1:4">
      <c r="A642" s="21" t="s">
        <v>1017</v>
      </c>
      <c r="B642" s="21">
        <v>2.4323453281375</v>
      </c>
      <c r="C642" s="21">
        <f t="shared" ref="C642:C705" si="24">B642-B643</f>
        <v>-4.3037235240017679E-5</v>
      </c>
      <c r="D642" s="23">
        <f t="shared" ref="D642:D705" si="25">STDEV(C642:C701)</f>
        <v>3.4280366454887481E-2</v>
      </c>
    </row>
    <row r="643" spans="1:4">
      <c r="A643" s="21" t="s">
        <v>1016</v>
      </c>
      <c r="B643" s="21">
        <v>2.4323883653727401</v>
      </c>
      <c r="C643" s="21">
        <f t="shared" si="24"/>
        <v>-5.1439777962101196E-3</v>
      </c>
      <c r="D643" s="23">
        <f t="shared" si="25"/>
        <v>3.4403665638762883E-2</v>
      </c>
    </row>
    <row r="644" spans="1:4">
      <c r="A644" s="21" t="s">
        <v>1015</v>
      </c>
      <c r="B644" s="21">
        <v>2.4375323431689502</v>
      </c>
      <c r="C644" s="21">
        <f t="shared" si="24"/>
        <v>-8.5664349472196477E-3</v>
      </c>
      <c r="D644" s="23">
        <f t="shared" si="25"/>
        <v>3.4708798637347708E-2</v>
      </c>
    </row>
    <row r="645" spans="1:4">
      <c r="A645" s="21" t="s">
        <v>1014</v>
      </c>
      <c r="B645" s="21">
        <v>2.4460987781161698</v>
      </c>
      <c r="C645" s="21">
        <f t="shared" si="24"/>
        <v>-1.7304844748702308E-3</v>
      </c>
      <c r="D645" s="23">
        <f t="shared" si="25"/>
        <v>3.9055298706380991E-2</v>
      </c>
    </row>
    <row r="646" spans="1:4">
      <c r="A646" s="21" t="s">
        <v>1013</v>
      </c>
      <c r="B646" s="21">
        <v>2.4478292625910401</v>
      </c>
      <c r="C646" s="21">
        <f t="shared" si="24"/>
        <v>1.5908160500150093E-2</v>
      </c>
      <c r="D646" s="23">
        <f t="shared" si="25"/>
        <v>3.9163477472546816E-2</v>
      </c>
    </row>
    <row r="647" spans="1:4">
      <c r="A647" s="21" t="s">
        <v>1012</v>
      </c>
      <c r="B647" s="21">
        <v>2.43192110209089</v>
      </c>
      <c r="C647" s="21">
        <f t="shared" si="24"/>
        <v>-1.8130775033009972E-2</v>
      </c>
      <c r="D647" s="23">
        <f t="shared" si="25"/>
        <v>3.9142311856442194E-2</v>
      </c>
    </row>
    <row r="648" spans="1:4">
      <c r="A648" s="21" t="s">
        <v>1011</v>
      </c>
      <c r="B648" s="21">
        <v>2.4500518771238999</v>
      </c>
      <c r="C648" s="21">
        <f t="shared" si="24"/>
        <v>-4.5984139350601083E-3</v>
      </c>
      <c r="D648" s="23">
        <f t="shared" si="25"/>
        <v>3.9058865231547682E-2</v>
      </c>
    </row>
    <row r="649" spans="1:4">
      <c r="A649" s="21" t="s">
        <v>1010</v>
      </c>
      <c r="B649" s="21">
        <v>2.45465029105896</v>
      </c>
      <c r="C649" s="21">
        <f t="shared" si="24"/>
        <v>2.3990501564170152E-2</v>
      </c>
      <c r="D649" s="23">
        <f t="shared" si="25"/>
        <v>3.9138930719397766E-2</v>
      </c>
    </row>
    <row r="650" spans="1:4">
      <c r="A650" s="21" t="s">
        <v>1009</v>
      </c>
      <c r="B650" s="21">
        <v>2.4306597894947899</v>
      </c>
      <c r="C650" s="21">
        <f t="shared" si="24"/>
        <v>-2.2578158689470218E-2</v>
      </c>
      <c r="D650" s="23">
        <f t="shared" si="25"/>
        <v>4.0162281305962451E-2</v>
      </c>
    </row>
    <row r="651" spans="1:4">
      <c r="A651" s="21" t="s">
        <v>1008</v>
      </c>
      <c r="B651" s="21">
        <v>2.4532379481842601</v>
      </c>
      <c r="C651" s="21">
        <f t="shared" si="24"/>
        <v>-6.4838113697889721E-2</v>
      </c>
      <c r="D651" s="23">
        <f t="shared" si="25"/>
        <v>4.003050164386885E-2</v>
      </c>
    </row>
    <row r="652" spans="1:4">
      <c r="A652" s="21" t="s">
        <v>1007</v>
      </c>
      <c r="B652" s="21">
        <v>2.5180760618821498</v>
      </c>
      <c r="C652" s="21">
        <f t="shared" si="24"/>
        <v>-2.6715774613120136E-2</v>
      </c>
      <c r="D652" s="23">
        <f t="shared" si="25"/>
        <v>3.9066334007676139E-2</v>
      </c>
    </row>
    <row r="653" spans="1:4">
      <c r="A653" s="21" t="s">
        <v>1006</v>
      </c>
      <c r="B653" s="21">
        <v>2.54479183649527</v>
      </c>
      <c r="C653" s="21">
        <f t="shared" si="24"/>
        <v>5.5414018227569972E-2</v>
      </c>
      <c r="D653" s="23">
        <f t="shared" si="25"/>
        <v>3.88707627855737E-2</v>
      </c>
    </row>
    <row r="654" spans="1:4">
      <c r="A654" s="21" t="s">
        <v>1005</v>
      </c>
      <c r="B654" s="21">
        <v>2.4893778182677</v>
      </c>
      <c r="C654" s="21">
        <f t="shared" si="24"/>
        <v>1.2428035992110065E-2</v>
      </c>
      <c r="D654" s="23">
        <f t="shared" si="25"/>
        <v>3.8455002200065973E-2</v>
      </c>
    </row>
    <row r="655" spans="1:4">
      <c r="A655" s="21" t="s">
        <v>1004</v>
      </c>
      <c r="B655" s="21">
        <v>2.4769497822755899</v>
      </c>
      <c r="C655" s="21">
        <f t="shared" si="24"/>
        <v>5.9566505432859795E-2</v>
      </c>
      <c r="D655" s="23">
        <f t="shared" si="25"/>
        <v>3.8945477246923127E-2</v>
      </c>
    </row>
    <row r="656" spans="1:4">
      <c r="A656" s="21" t="s">
        <v>1003</v>
      </c>
      <c r="B656" s="21">
        <v>2.4173832768427301</v>
      </c>
      <c r="C656" s="21">
        <f t="shared" si="24"/>
        <v>-6.8489822783759813E-2</v>
      </c>
      <c r="D656" s="23">
        <f t="shared" si="25"/>
        <v>3.8526293277811686E-2</v>
      </c>
    </row>
    <row r="657" spans="1:4">
      <c r="A657" s="21" t="s">
        <v>1002</v>
      </c>
      <c r="B657" s="21">
        <v>2.4858730996264899</v>
      </c>
      <c r="C657" s="21">
        <f t="shared" si="24"/>
        <v>-7.8845574502400151E-2</v>
      </c>
      <c r="D657" s="23">
        <f t="shared" si="25"/>
        <v>3.7584753786500835E-2</v>
      </c>
    </row>
    <row r="658" spans="1:4">
      <c r="A658" s="21" t="s">
        <v>1001</v>
      </c>
      <c r="B658" s="21">
        <v>2.5647186741288901</v>
      </c>
      <c r="C658" s="21">
        <f t="shared" si="24"/>
        <v>-4.5480448138759844E-2</v>
      </c>
      <c r="D658" s="23">
        <f t="shared" si="25"/>
        <v>3.6581255767353507E-2</v>
      </c>
    </row>
    <row r="659" spans="1:4">
      <c r="A659" s="21" t="s">
        <v>1000</v>
      </c>
      <c r="B659" s="21">
        <v>2.6101991222676499</v>
      </c>
      <c r="C659" s="21">
        <f t="shared" si="24"/>
        <v>1.5069566715369742E-2</v>
      </c>
      <c r="D659" s="23">
        <f t="shared" si="25"/>
        <v>3.6066383566446973E-2</v>
      </c>
    </row>
    <row r="660" spans="1:4">
      <c r="A660" s="21" t="s">
        <v>999</v>
      </c>
      <c r="B660" s="21">
        <v>2.5951295555522802</v>
      </c>
      <c r="C660" s="21">
        <f t="shared" si="24"/>
        <v>-1.9204022537559595E-2</v>
      </c>
      <c r="D660" s="23">
        <f t="shared" si="25"/>
        <v>3.9057906546859283E-2</v>
      </c>
    </row>
    <row r="661" spans="1:4">
      <c r="A661" s="21" t="s">
        <v>998</v>
      </c>
      <c r="B661" s="21">
        <v>2.6143335780898398</v>
      </c>
      <c r="C661" s="21">
        <f t="shared" si="24"/>
        <v>6.265047086049691E-3</v>
      </c>
      <c r="D661" s="23">
        <f t="shared" si="25"/>
        <v>3.9665878174158731E-2</v>
      </c>
    </row>
    <row r="662" spans="1:4">
      <c r="A662" s="21" t="s">
        <v>997</v>
      </c>
      <c r="B662" s="21">
        <v>2.6080685310037901</v>
      </c>
      <c r="C662" s="21">
        <f t="shared" si="24"/>
        <v>-3.4489819727359983E-2</v>
      </c>
      <c r="D662" s="23">
        <f t="shared" si="25"/>
        <v>3.96684898724948E-2</v>
      </c>
    </row>
    <row r="663" spans="1:4">
      <c r="A663" s="21" t="s">
        <v>996</v>
      </c>
      <c r="B663" s="21">
        <v>2.6425583507311501</v>
      </c>
      <c r="C663" s="21">
        <f t="shared" si="24"/>
        <v>3.0824191342002649E-3</v>
      </c>
      <c r="D663" s="23">
        <f t="shared" si="25"/>
        <v>3.9296732055867284E-2</v>
      </c>
    </row>
    <row r="664" spans="1:4">
      <c r="A664" s="21" t="s">
        <v>995</v>
      </c>
      <c r="B664" s="21">
        <v>2.6394759315969498</v>
      </c>
      <c r="C664" s="21">
        <f t="shared" si="24"/>
        <v>-2.00852702127996E-3</v>
      </c>
      <c r="D664" s="23">
        <f t="shared" si="25"/>
        <v>3.9698324288187856E-2</v>
      </c>
    </row>
    <row r="665" spans="1:4">
      <c r="A665" s="21" t="s">
        <v>994</v>
      </c>
      <c r="B665" s="21">
        <v>2.6414844586182298</v>
      </c>
      <c r="C665" s="21">
        <f t="shared" si="24"/>
        <v>-3.4790452541770378E-2</v>
      </c>
      <c r="D665" s="23">
        <f t="shared" si="25"/>
        <v>3.9850986532637536E-2</v>
      </c>
    </row>
    <row r="666" spans="1:4">
      <c r="A666" s="21" t="s">
        <v>993</v>
      </c>
      <c r="B666" s="21">
        <v>2.6762749111600002</v>
      </c>
      <c r="C666" s="21">
        <f t="shared" si="24"/>
        <v>2.929220980054037E-2</v>
      </c>
      <c r="D666" s="23">
        <f t="shared" si="25"/>
        <v>3.9543852531062129E-2</v>
      </c>
    </row>
    <row r="667" spans="1:4">
      <c r="A667" s="21" t="s">
        <v>992</v>
      </c>
      <c r="B667" s="21">
        <v>2.6469827013594598</v>
      </c>
      <c r="C667" s="21">
        <f t="shared" si="24"/>
        <v>4.0119399592299931E-2</v>
      </c>
      <c r="D667" s="23">
        <f t="shared" si="25"/>
        <v>3.9938459326291365E-2</v>
      </c>
    </row>
    <row r="668" spans="1:4">
      <c r="A668" s="21" t="s">
        <v>991</v>
      </c>
      <c r="B668" s="21">
        <v>2.6068633017671599</v>
      </c>
      <c r="C668" s="21">
        <f t="shared" si="24"/>
        <v>-2.2763511763870259E-2</v>
      </c>
      <c r="D668" s="23">
        <f t="shared" si="25"/>
        <v>3.9852229713010535E-2</v>
      </c>
    </row>
    <row r="669" spans="1:4">
      <c r="A669" s="21" t="s">
        <v>990</v>
      </c>
      <c r="B669" s="21">
        <v>2.6296268135310301</v>
      </c>
      <c r="C669" s="21">
        <f t="shared" si="24"/>
        <v>-3.4709513738649722E-2</v>
      </c>
      <c r="D669" s="23">
        <f t="shared" si="25"/>
        <v>4.0269341549156838E-2</v>
      </c>
    </row>
    <row r="670" spans="1:4">
      <c r="A670" s="21" t="s">
        <v>989</v>
      </c>
      <c r="B670" s="21">
        <v>2.6643363272696798</v>
      </c>
      <c r="C670" s="21">
        <f t="shared" si="24"/>
        <v>-4.1122251528720177E-2</v>
      </c>
      <c r="D670" s="23">
        <f t="shared" si="25"/>
        <v>4.0701948472028217E-2</v>
      </c>
    </row>
    <row r="671" spans="1:4">
      <c r="A671" s="21" t="s">
        <v>988</v>
      </c>
      <c r="B671" s="21">
        <v>2.7054585787984</v>
      </c>
      <c r="C671" s="21">
        <f t="shared" si="24"/>
        <v>5.0199040130900485E-3</v>
      </c>
      <c r="D671" s="23">
        <f t="shared" si="25"/>
        <v>4.0189766971573497E-2</v>
      </c>
    </row>
    <row r="672" spans="1:4">
      <c r="A672" s="21" t="s">
        <v>987</v>
      </c>
      <c r="B672" s="21">
        <v>2.70043867478531</v>
      </c>
      <c r="C672" s="21">
        <f t="shared" si="24"/>
        <v>-6.0166136983701435E-3</v>
      </c>
      <c r="D672" s="23">
        <f t="shared" si="25"/>
        <v>4.0225803712473224E-2</v>
      </c>
    </row>
    <row r="673" spans="1:4">
      <c r="A673" s="21" t="s">
        <v>986</v>
      </c>
      <c r="B673" s="21">
        <v>2.7064552884836801</v>
      </c>
      <c r="C673" s="21">
        <f t="shared" si="24"/>
        <v>-3.3529290464649808E-2</v>
      </c>
      <c r="D673" s="23">
        <f t="shared" si="25"/>
        <v>4.0179614095316708E-2</v>
      </c>
    </row>
    <row r="674" spans="1:4">
      <c r="A674" s="21" t="s">
        <v>985</v>
      </c>
      <c r="B674" s="21">
        <v>2.7399845789483299</v>
      </c>
      <c r="C674" s="21">
        <f t="shared" si="24"/>
        <v>-1.1930945522210301E-2</v>
      </c>
      <c r="D674" s="23">
        <f t="shared" si="25"/>
        <v>4.0038970846179245E-2</v>
      </c>
    </row>
    <row r="675" spans="1:4">
      <c r="A675" s="21" t="s">
        <v>984</v>
      </c>
      <c r="B675" s="21">
        <v>2.7519155244705402</v>
      </c>
      <c r="C675" s="21">
        <f t="shared" si="24"/>
        <v>7.8608033601630378E-2</v>
      </c>
      <c r="D675" s="23">
        <f t="shared" si="25"/>
        <v>3.9959349868638368E-2</v>
      </c>
    </row>
    <row r="676" spans="1:4">
      <c r="A676" s="21" t="s">
        <v>983</v>
      </c>
      <c r="B676" s="21">
        <v>2.6733074908689098</v>
      </c>
      <c r="C676" s="21">
        <f t="shared" si="24"/>
        <v>6.0755067594129741E-2</v>
      </c>
      <c r="D676" s="23">
        <f t="shared" si="25"/>
        <v>3.9460157215712249E-2</v>
      </c>
    </row>
    <row r="677" spans="1:4">
      <c r="A677" s="21" t="s">
        <v>982</v>
      </c>
      <c r="B677" s="21">
        <v>2.6125524232747801</v>
      </c>
      <c r="C677" s="21">
        <f t="shared" si="24"/>
        <v>5.1795965511300057E-2</v>
      </c>
      <c r="D677" s="23">
        <f t="shared" si="25"/>
        <v>3.9401079268771184E-2</v>
      </c>
    </row>
    <row r="678" spans="1:4">
      <c r="A678" s="21" t="s">
        <v>981</v>
      </c>
      <c r="B678" s="21">
        <v>2.56075645776348</v>
      </c>
      <c r="C678" s="21">
        <f t="shared" si="24"/>
        <v>1.4980453119319836E-2</v>
      </c>
      <c r="D678" s="23">
        <f t="shared" si="25"/>
        <v>3.9078231017408267E-2</v>
      </c>
    </row>
    <row r="679" spans="1:4">
      <c r="A679" s="21" t="s">
        <v>980</v>
      </c>
      <c r="B679" s="21">
        <v>2.5457760046441602</v>
      </c>
      <c r="C679" s="21">
        <f t="shared" si="24"/>
        <v>1.5845965045760302E-2</v>
      </c>
      <c r="D679" s="23">
        <f t="shared" si="25"/>
        <v>3.9071316077489968E-2</v>
      </c>
    </row>
    <row r="680" spans="1:4">
      <c r="A680" s="21" t="s">
        <v>979</v>
      </c>
      <c r="B680" s="21">
        <v>2.5299300395983999</v>
      </c>
      <c r="C680" s="21">
        <f t="shared" si="24"/>
        <v>-1.4907392723940038E-2</v>
      </c>
      <c r="D680" s="23">
        <f t="shared" si="25"/>
        <v>3.9204075081458692E-2</v>
      </c>
    </row>
    <row r="681" spans="1:4">
      <c r="A681" s="21" t="s">
        <v>978</v>
      </c>
      <c r="B681" s="21">
        <v>2.5448374323223399</v>
      </c>
      <c r="C681" s="21">
        <f t="shared" si="24"/>
        <v>-2.8382449791270137E-2</v>
      </c>
      <c r="D681" s="23">
        <f t="shared" si="25"/>
        <v>3.910203781185817E-2</v>
      </c>
    </row>
    <row r="682" spans="1:4">
      <c r="A682" s="21" t="s">
        <v>977</v>
      </c>
      <c r="B682" s="21">
        <v>2.5732198821136101</v>
      </c>
      <c r="C682" s="21">
        <f t="shared" si="24"/>
        <v>3.4262937537610227E-2</v>
      </c>
      <c r="D682" s="23">
        <f t="shared" si="25"/>
        <v>3.8826401075918712E-2</v>
      </c>
    </row>
    <row r="683" spans="1:4">
      <c r="A683" s="21" t="s">
        <v>976</v>
      </c>
      <c r="B683" s="21">
        <v>2.5389569445759999</v>
      </c>
      <c r="C683" s="21">
        <f t="shared" si="24"/>
        <v>-1.8901898417350349E-2</v>
      </c>
      <c r="D683" s="23">
        <f t="shared" si="25"/>
        <v>3.8716635968878525E-2</v>
      </c>
    </row>
    <row r="684" spans="1:4">
      <c r="A684" s="21" t="s">
        <v>975</v>
      </c>
      <c r="B684" s="21">
        <v>2.5578588429933502</v>
      </c>
      <c r="C684" s="21">
        <f t="shared" si="24"/>
        <v>-6.7281060491059641E-2</v>
      </c>
      <c r="D684" s="23">
        <f t="shared" si="25"/>
        <v>3.8554198966485938E-2</v>
      </c>
    </row>
    <row r="685" spans="1:4">
      <c r="A685" s="21" t="s">
        <v>974</v>
      </c>
      <c r="B685" s="21">
        <v>2.6251399034844098</v>
      </c>
      <c r="C685" s="21">
        <f t="shared" si="24"/>
        <v>-6.006316288802438E-4</v>
      </c>
      <c r="D685" s="23">
        <f t="shared" si="25"/>
        <v>3.9365383723340981E-2</v>
      </c>
    </row>
    <row r="686" spans="1:4">
      <c r="A686" s="21" t="s">
        <v>973</v>
      </c>
      <c r="B686" s="21">
        <v>2.6257405351132901</v>
      </c>
      <c r="C686" s="21">
        <f t="shared" si="24"/>
        <v>-1.2228964024529887E-2</v>
      </c>
      <c r="D686" s="23">
        <f t="shared" si="25"/>
        <v>4.057577114984294E-2</v>
      </c>
    </row>
    <row r="687" spans="1:4">
      <c r="A687" s="21" t="s">
        <v>972</v>
      </c>
      <c r="B687" s="21">
        <v>2.63796949913782</v>
      </c>
      <c r="C687" s="21">
        <f t="shared" si="24"/>
        <v>-5.1695580080224346E-5</v>
      </c>
      <c r="D687" s="23">
        <f t="shared" si="25"/>
        <v>4.0496906971935531E-2</v>
      </c>
    </row>
    <row r="688" spans="1:4">
      <c r="A688" s="21" t="s">
        <v>971</v>
      </c>
      <c r="B688" s="21">
        <v>2.6380211947179002</v>
      </c>
      <c r="C688" s="21">
        <f t="shared" si="24"/>
        <v>1.7235522144610105E-2</v>
      </c>
      <c r="D688" s="23">
        <f t="shared" si="25"/>
        <v>4.0862972696985009E-2</v>
      </c>
    </row>
    <row r="689" spans="1:4">
      <c r="A689" s="21" t="s">
        <v>970</v>
      </c>
      <c r="B689" s="21">
        <v>2.6207856725732901</v>
      </c>
      <c r="C689" s="21">
        <f t="shared" si="24"/>
        <v>1.2236493629429912E-2</v>
      </c>
      <c r="D689" s="23">
        <f t="shared" si="25"/>
        <v>4.1672239264831344E-2</v>
      </c>
    </row>
    <row r="690" spans="1:4">
      <c r="A690" s="21" t="s">
        <v>969</v>
      </c>
      <c r="B690" s="21">
        <v>2.6085491789438602</v>
      </c>
      <c r="C690" s="21">
        <f t="shared" si="24"/>
        <v>-4.5170558370349667E-2</v>
      </c>
      <c r="D690" s="23">
        <f t="shared" si="25"/>
        <v>4.1792452858598124E-2</v>
      </c>
    </row>
    <row r="691" spans="1:4">
      <c r="A691" s="21" t="s">
        <v>968</v>
      </c>
      <c r="B691" s="21">
        <v>2.6537197373142098</v>
      </c>
      <c r="C691" s="21">
        <f t="shared" si="24"/>
        <v>4.6707896145250061E-2</v>
      </c>
      <c r="D691" s="23">
        <f t="shared" si="25"/>
        <v>4.2061408111915964E-2</v>
      </c>
    </row>
    <row r="692" spans="1:4">
      <c r="A692" s="21" t="s">
        <v>967</v>
      </c>
      <c r="B692" s="21">
        <v>2.6070118411689598</v>
      </c>
      <c r="C692" s="21">
        <f t="shared" si="24"/>
        <v>4.1703376509569789E-2</v>
      </c>
      <c r="D692" s="23">
        <f t="shared" si="25"/>
        <v>4.2285006908558027E-2</v>
      </c>
    </row>
    <row r="693" spans="1:4">
      <c r="A693" s="21" t="s">
        <v>966</v>
      </c>
      <c r="B693" s="21">
        <v>2.56530846465939</v>
      </c>
      <c r="C693" s="21">
        <f t="shared" si="24"/>
        <v>-7.8670841655799073E-3</v>
      </c>
      <c r="D693" s="23">
        <f t="shared" si="25"/>
        <v>4.2434330173016663E-2</v>
      </c>
    </row>
    <row r="694" spans="1:4">
      <c r="A694" s="21" t="s">
        <v>965</v>
      </c>
      <c r="B694" s="21">
        <v>2.5731755488249699</v>
      </c>
      <c r="C694" s="21">
        <f t="shared" si="24"/>
        <v>2.1813058380089956E-2</v>
      </c>
      <c r="D694" s="23">
        <f t="shared" si="25"/>
        <v>4.242756859676014E-2</v>
      </c>
    </row>
    <row r="695" spans="1:4">
      <c r="A695" s="21" t="s">
        <v>964</v>
      </c>
      <c r="B695" s="21">
        <v>2.5513624904448799</v>
      </c>
      <c r="C695" s="21">
        <f t="shared" si="24"/>
        <v>-8.0695847291401002E-3</v>
      </c>
      <c r="D695" s="23">
        <f t="shared" si="25"/>
        <v>4.2392439357279391E-2</v>
      </c>
    </row>
    <row r="696" spans="1:4">
      <c r="A696" s="21" t="s">
        <v>963</v>
      </c>
      <c r="B696" s="21">
        <v>2.55943207517402</v>
      </c>
      <c r="C696" s="21">
        <f t="shared" si="24"/>
        <v>-4.108757450427003E-2</v>
      </c>
      <c r="D696" s="23">
        <f t="shared" si="25"/>
        <v>4.2847396346058504E-2</v>
      </c>
    </row>
    <row r="697" spans="1:4">
      <c r="A697" s="21" t="s">
        <v>962</v>
      </c>
      <c r="B697" s="21">
        <v>2.6005196496782901</v>
      </c>
      <c r="C697" s="21">
        <f t="shared" si="24"/>
        <v>4.4892636419380239E-2</v>
      </c>
      <c r="D697" s="23">
        <f t="shared" si="25"/>
        <v>4.7449278496312836E-2</v>
      </c>
    </row>
    <row r="698" spans="1:4">
      <c r="A698" s="21" t="s">
        <v>961</v>
      </c>
      <c r="B698" s="21">
        <v>2.5556270132589098</v>
      </c>
      <c r="C698" s="21">
        <f t="shared" si="24"/>
        <v>-3.5778522427330373E-2</v>
      </c>
      <c r="D698" s="23">
        <f t="shared" si="25"/>
        <v>4.8764489220793357E-2</v>
      </c>
    </row>
    <row r="699" spans="1:4">
      <c r="A699" s="21" t="s">
        <v>960</v>
      </c>
      <c r="B699" s="21">
        <v>2.5914055356862402</v>
      </c>
      <c r="C699" s="21">
        <f t="shared" si="24"/>
        <v>1.7637944712720177E-2</v>
      </c>
      <c r="D699" s="23">
        <f t="shared" si="25"/>
        <v>4.8951489857426457E-2</v>
      </c>
    </row>
    <row r="700" spans="1:4">
      <c r="A700" s="21" t="s">
        <v>959</v>
      </c>
      <c r="B700" s="21">
        <v>2.57376759097352</v>
      </c>
      <c r="C700" s="21">
        <f t="shared" si="24"/>
        <v>-3.5249323962398549E-3</v>
      </c>
      <c r="D700" s="23">
        <f t="shared" si="25"/>
        <v>4.9257477847407118E-2</v>
      </c>
    </row>
    <row r="701" spans="1:4">
      <c r="A701" s="21" t="s">
        <v>958</v>
      </c>
      <c r="B701" s="21">
        <v>2.5772925233697599</v>
      </c>
      <c r="C701" s="21">
        <f t="shared" si="24"/>
        <v>1.7483269627720066E-2</v>
      </c>
      <c r="D701" s="23">
        <f t="shared" si="25"/>
        <v>5.0429080429682194E-2</v>
      </c>
    </row>
    <row r="702" spans="1:4">
      <c r="A702" s="21" t="s">
        <v>957</v>
      </c>
      <c r="B702" s="21">
        <v>2.5598092537420398</v>
      </c>
      <c r="C702" s="21">
        <f t="shared" si="24"/>
        <v>2.0481023255229935E-2</v>
      </c>
      <c r="D702" s="23">
        <f t="shared" si="25"/>
        <v>5.0682784625107342E-2</v>
      </c>
    </row>
    <row r="703" spans="1:4">
      <c r="A703" s="21" t="s">
        <v>956</v>
      </c>
      <c r="B703" s="21">
        <v>2.5393282304868099</v>
      </c>
      <c r="C703" s="21">
        <f t="shared" si="24"/>
        <v>3.4009735124839846E-2</v>
      </c>
      <c r="D703" s="23">
        <f t="shared" si="25"/>
        <v>5.086823865736613E-2</v>
      </c>
    </row>
    <row r="704" spans="1:4">
      <c r="A704" s="21" t="s">
        <v>955</v>
      </c>
      <c r="B704" s="21">
        <v>2.50531849536197</v>
      </c>
      <c r="C704" s="21">
        <f t="shared" si="24"/>
        <v>0.13789960152710012</v>
      </c>
      <c r="D704" s="23">
        <f t="shared" si="25"/>
        <v>5.1679828447247694E-2</v>
      </c>
    </row>
    <row r="705" spans="1:4">
      <c r="A705" s="21" t="s">
        <v>954</v>
      </c>
      <c r="B705" s="21">
        <v>2.3674188938348699</v>
      </c>
      <c r="C705" s="21">
        <f t="shared" si="24"/>
        <v>2.4106361235039842E-2</v>
      </c>
      <c r="D705" s="23">
        <f t="shared" si="25"/>
        <v>4.9032369327702024E-2</v>
      </c>
    </row>
    <row r="706" spans="1:4">
      <c r="A706" s="21" t="s">
        <v>953</v>
      </c>
      <c r="B706" s="21">
        <v>2.3433125325998301</v>
      </c>
      <c r="C706" s="21">
        <f t="shared" ref="C706:C769" si="26">B706-B707</f>
        <v>-8.8952098618899633E-3</v>
      </c>
      <c r="D706" s="23">
        <f t="shared" ref="D706:D769" si="27">STDEV(C706:C765)</f>
        <v>4.9153817796208331E-2</v>
      </c>
    </row>
    <row r="707" spans="1:4">
      <c r="A707" s="21" t="s">
        <v>952</v>
      </c>
      <c r="B707" s="21">
        <v>2.35220774246172</v>
      </c>
      <c r="C707" s="21">
        <f t="shared" si="26"/>
        <v>1.9285752087299102E-3</v>
      </c>
      <c r="D707" s="23">
        <f t="shared" si="27"/>
        <v>4.9193628889013914E-2</v>
      </c>
    </row>
    <row r="708" spans="1:4">
      <c r="A708" s="21" t="s">
        <v>951</v>
      </c>
      <c r="B708" s="21">
        <v>2.3502791672529901</v>
      </c>
      <c r="C708" s="21">
        <f t="shared" si="26"/>
        <v>-1.8631994638029781E-2</v>
      </c>
      <c r="D708" s="23">
        <f t="shared" si="27"/>
        <v>4.9354474727923939E-2</v>
      </c>
    </row>
    <row r="709" spans="1:4">
      <c r="A709" s="21" t="s">
        <v>950</v>
      </c>
      <c r="B709" s="21">
        <v>2.3689111618910199</v>
      </c>
      <c r="C709" s="21">
        <f t="shared" si="26"/>
        <v>7.4501333046629981E-2</v>
      </c>
      <c r="D709" s="23">
        <f t="shared" si="27"/>
        <v>5.0092293830375681E-2</v>
      </c>
    </row>
    <row r="710" spans="1:4">
      <c r="A710" s="21" t="s">
        <v>949</v>
      </c>
      <c r="B710" s="21">
        <v>2.2944098288443899</v>
      </c>
      <c r="C710" s="21">
        <f t="shared" si="26"/>
        <v>5.673015612397414E-4</v>
      </c>
      <c r="D710" s="23">
        <f t="shared" si="27"/>
        <v>4.9417449150567797E-2</v>
      </c>
    </row>
    <row r="711" spans="1:4">
      <c r="A711" s="21" t="s">
        <v>948</v>
      </c>
      <c r="B711" s="21">
        <v>2.2938425272831502</v>
      </c>
      <c r="C711" s="21">
        <f t="shared" si="26"/>
        <v>1.544153630575007E-2</v>
      </c>
      <c r="D711" s="23">
        <f t="shared" si="27"/>
        <v>5.1347764825307431E-2</v>
      </c>
    </row>
    <row r="712" spans="1:4">
      <c r="A712" s="21" t="s">
        <v>947</v>
      </c>
      <c r="B712" s="21">
        <v>2.2784009909774001</v>
      </c>
      <c r="C712" s="21">
        <f t="shared" si="26"/>
        <v>-3.284405741249774E-3</v>
      </c>
      <c r="D712" s="23">
        <f t="shared" si="27"/>
        <v>5.1632913024160502E-2</v>
      </c>
    </row>
    <row r="713" spans="1:4">
      <c r="A713" s="21" t="s">
        <v>946</v>
      </c>
      <c r="B713" s="21">
        <v>2.2816853967186499</v>
      </c>
      <c r="C713" s="21">
        <f t="shared" si="26"/>
        <v>-2.4120827024410207E-2</v>
      </c>
      <c r="D713" s="23">
        <f t="shared" si="27"/>
        <v>5.1720973362477496E-2</v>
      </c>
    </row>
    <row r="714" spans="1:4">
      <c r="A714" s="21" t="s">
        <v>945</v>
      </c>
      <c r="B714" s="21">
        <v>2.3058062237430601</v>
      </c>
      <c r="C714" s="21">
        <f t="shared" si="26"/>
        <v>5.1568485595069991E-2</v>
      </c>
      <c r="D714" s="23">
        <f t="shared" si="27"/>
        <v>5.1597530009021023E-2</v>
      </c>
    </row>
    <row r="715" spans="1:4">
      <c r="A715" s="21" t="s">
        <v>944</v>
      </c>
      <c r="B715" s="21">
        <v>2.2542377381479901</v>
      </c>
      <c r="C715" s="21">
        <f t="shared" si="26"/>
        <v>-3.2982482444499972E-2</v>
      </c>
      <c r="D715" s="23">
        <f t="shared" si="27"/>
        <v>5.1515047771362309E-2</v>
      </c>
    </row>
    <row r="716" spans="1:4">
      <c r="A716" s="21" t="s">
        <v>943</v>
      </c>
      <c r="B716" s="21">
        <v>2.2872202205924901</v>
      </c>
      <c r="C716" s="21">
        <f t="shared" si="26"/>
        <v>-2.6021933534090103E-2</v>
      </c>
      <c r="D716" s="23">
        <f t="shared" si="27"/>
        <v>5.1864642501717177E-2</v>
      </c>
    </row>
    <row r="717" spans="1:4">
      <c r="A717" s="21" t="s">
        <v>942</v>
      </c>
      <c r="B717" s="21">
        <v>2.3132421541265802</v>
      </c>
      <c r="C717" s="21">
        <f t="shared" si="26"/>
        <v>-4.5148155578369931E-2</v>
      </c>
      <c r="D717" s="23">
        <f t="shared" si="27"/>
        <v>5.1737984977523729E-2</v>
      </c>
    </row>
    <row r="718" spans="1:4">
      <c r="A718" s="21" t="s">
        <v>941</v>
      </c>
      <c r="B718" s="21">
        <v>2.3583903097049501</v>
      </c>
      <c r="C718" s="21">
        <f t="shared" si="26"/>
        <v>1.9455036536180081E-2</v>
      </c>
      <c r="D718" s="23">
        <f t="shared" si="27"/>
        <v>5.1483871769481146E-2</v>
      </c>
    </row>
    <row r="719" spans="1:4">
      <c r="A719" s="21" t="s">
        <v>940</v>
      </c>
      <c r="B719" s="21">
        <v>2.33893527316877</v>
      </c>
      <c r="C719" s="21">
        <f t="shared" si="26"/>
        <v>0.12095804326993997</v>
      </c>
      <c r="D719" s="23">
        <f t="shared" si="27"/>
        <v>5.2654755413831807E-2</v>
      </c>
    </row>
    <row r="720" spans="1:4">
      <c r="A720" s="21" t="s">
        <v>939</v>
      </c>
      <c r="B720" s="21">
        <v>2.2179772298988301</v>
      </c>
      <c r="C720" s="21">
        <f t="shared" si="26"/>
        <v>6.6246518640120211E-2</v>
      </c>
      <c r="D720" s="23">
        <f t="shared" si="27"/>
        <v>5.127538628798637E-2</v>
      </c>
    </row>
    <row r="721" spans="1:4">
      <c r="A721" s="21" t="s">
        <v>938</v>
      </c>
      <c r="B721" s="21">
        <v>2.1517307112587098</v>
      </c>
      <c r="C721" s="21">
        <f t="shared" si="26"/>
        <v>1.155438926766994E-2</v>
      </c>
      <c r="D721" s="23">
        <f t="shared" si="27"/>
        <v>5.1798572436613885E-2</v>
      </c>
    </row>
    <row r="722" spans="1:4">
      <c r="A722" s="21" t="s">
        <v>937</v>
      </c>
      <c r="B722" s="21">
        <v>2.1401763219910399</v>
      </c>
      <c r="C722" s="21">
        <f t="shared" si="26"/>
        <v>1.7898652463979925E-2</v>
      </c>
      <c r="D722" s="23">
        <f t="shared" si="27"/>
        <v>5.2431656767890716E-2</v>
      </c>
    </row>
    <row r="723" spans="1:4">
      <c r="A723" s="21" t="s">
        <v>936</v>
      </c>
      <c r="B723" s="21">
        <v>2.12227766952706</v>
      </c>
      <c r="C723" s="21">
        <f t="shared" si="26"/>
        <v>-3.5230881903599798E-2</v>
      </c>
      <c r="D723" s="23">
        <f t="shared" si="27"/>
        <v>5.2413031803842325E-2</v>
      </c>
    </row>
    <row r="724" spans="1:4">
      <c r="A724" s="21" t="s">
        <v>935</v>
      </c>
      <c r="B724" s="21">
        <v>2.1575085514306598</v>
      </c>
      <c r="C724" s="21">
        <f t="shared" si="26"/>
        <v>-2.0657466992180407E-2</v>
      </c>
      <c r="D724" s="23">
        <f t="shared" si="27"/>
        <v>5.3096918149312902E-2</v>
      </c>
    </row>
    <row r="725" spans="1:4">
      <c r="A725" s="21" t="s">
        <v>934</v>
      </c>
      <c r="B725" s="21">
        <v>2.1781660184228402</v>
      </c>
      <c r="C725" s="21">
        <f t="shared" si="26"/>
        <v>2.8591939205300232E-2</v>
      </c>
      <c r="D725" s="23">
        <f t="shared" si="27"/>
        <v>5.3019273525338619E-2</v>
      </c>
    </row>
    <row r="726" spans="1:4">
      <c r="A726" s="21" t="s">
        <v>933</v>
      </c>
      <c r="B726" s="21">
        <v>2.14957407921754</v>
      </c>
      <c r="C726" s="21">
        <f t="shared" si="26"/>
        <v>-3.9705195919299996E-2</v>
      </c>
      <c r="D726" s="23">
        <f t="shared" si="27"/>
        <v>5.3610758568175723E-2</v>
      </c>
    </row>
    <row r="727" spans="1:4">
      <c r="A727" s="21" t="s">
        <v>932</v>
      </c>
      <c r="B727" s="21">
        <v>2.18927927513684</v>
      </c>
      <c r="C727" s="21">
        <f t="shared" si="26"/>
        <v>-1.8978685859130096E-2</v>
      </c>
      <c r="D727" s="23">
        <f t="shared" si="27"/>
        <v>5.3818275249250508E-2</v>
      </c>
    </row>
    <row r="728" spans="1:4">
      <c r="A728" s="21" t="s">
        <v>931</v>
      </c>
      <c r="B728" s="21">
        <v>2.20825796099597</v>
      </c>
      <c r="C728" s="21">
        <f t="shared" si="26"/>
        <v>-4.6705250626600137E-2</v>
      </c>
      <c r="D728" s="23">
        <f t="shared" si="27"/>
        <v>5.4618763938662974E-2</v>
      </c>
    </row>
    <row r="729" spans="1:4">
      <c r="A729" s="21" t="s">
        <v>930</v>
      </c>
      <c r="B729" s="21">
        <v>2.2549632116225702</v>
      </c>
      <c r="C729" s="21">
        <f t="shared" si="26"/>
        <v>6.8876268433720078E-2</v>
      </c>
      <c r="D729" s="23">
        <f t="shared" si="27"/>
        <v>5.4538847915248698E-2</v>
      </c>
    </row>
    <row r="730" spans="1:4">
      <c r="A730" s="21" t="s">
        <v>929</v>
      </c>
      <c r="B730" s="21">
        <v>2.1860869431888501</v>
      </c>
      <c r="C730" s="21">
        <f t="shared" si="26"/>
        <v>1.1381135252060304E-2</v>
      </c>
      <c r="D730" s="23">
        <f t="shared" si="27"/>
        <v>5.4320867481891667E-2</v>
      </c>
    </row>
    <row r="731" spans="1:4">
      <c r="A731" s="21" t="s">
        <v>928</v>
      </c>
      <c r="B731" s="21">
        <v>2.1747058079367898</v>
      </c>
      <c r="C731" s="21">
        <f t="shared" si="26"/>
        <v>-4.8374880607502391E-3</v>
      </c>
      <c r="D731" s="23">
        <f t="shared" si="27"/>
        <v>5.4310836208664962E-2</v>
      </c>
    </row>
    <row r="732" spans="1:4">
      <c r="A732" s="21" t="s">
        <v>927</v>
      </c>
      <c r="B732" s="21">
        <v>2.17954329599754</v>
      </c>
      <c r="C732" s="21">
        <f t="shared" si="26"/>
        <v>9.6980511152802151E-3</v>
      </c>
      <c r="D732" s="23">
        <f t="shared" si="27"/>
        <v>5.4343120916599104E-2</v>
      </c>
    </row>
    <row r="733" spans="1:4">
      <c r="A733" s="21" t="s">
        <v>926</v>
      </c>
      <c r="B733" s="21">
        <v>2.1698452448822598</v>
      </c>
      <c r="C733" s="21">
        <f t="shared" si="26"/>
        <v>4.4140537800079649E-2</v>
      </c>
      <c r="D733" s="23">
        <f t="shared" si="27"/>
        <v>5.4942256369421724E-2</v>
      </c>
    </row>
    <row r="734" spans="1:4">
      <c r="A734" s="21" t="s">
        <v>925</v>
      </c>
      <c r="B734" s="21">
        <v>2.1257047070821802</v>
      </c>
      <c r="C734" s="21">
        <f t="shared" si="26"/>
        <v>-6.1525086517999483E-4</v>
      </c>
      <c r="D734" s="23">
        <f t="shared" si="27"/>
        <v>6.1679623234359084E-2</v>
      </c>
    </row>
    <row r="735" spans="1:4">
      <c r="A735" s="21" t="s">
        <v>924</v>
      </c>
      <c r="B735" s="21">
        <v>2.1263199579473602</v>
      </c>
      <c r="C735" s="21">
        <f t="shared" si="26"/>
        <v>-4.0012791064919728E-2</v>
      </c>
      <c r="D735" s="23">
        <f t="shared" si="27"/>
        <v>6.1899604688602783E-2</v>
      </c>
    </row>
    <row r="736" spans="1:4">
      <c r="A736" s="21" t="s">
        <v>923</v>
      </c>
      <c r="B736" s="21">
        <v>2.1663327490122799</v>
      </c>
      <c r="C736" s="21">
        <f t="shared" si="26"/>
        <v>5.8059120780300066E-2</v>
      </c>
      <c r="D736" s="23">
        <f t="shared" si="27"/>
        <v>6.1775808139149561E-2</v>
      </c>
    </row>
    <row r="737" spans="1:4">
      <c r="A737" s="21" t="s">
        <v>922</v>
      </c>
      <c r="B737" s="21">
        <v>2.1082736282319798</v>
      </c>
      <c r="C737" s="21">
        <f t="shared" si="26"/>
        <v>2.8332136029439958E-2</v>
      </c>
      <c r="D737" s="23">
        <f t="shared" si="27"/>
        <v>6.1254432715603671E-2</v>
      </c>
    </row>
    <row r="738" spans="1:4">
      <c r="A738" s="21" t="s">
        <v>921</v>
      </c>
      <c r="B738" s="21">
        <v>2.0799414922025399</v>
      </c>
      <c r="C738" s="21">
        <f t="shared" si="26"/>
        <v>1.211125546309999E-2</v>
      </c>
      <c r="D738" s="23">
        <f t="shared" si="27"/>
        <v>6.1911856207120641E-2</v>
      </c>
    </row>
    <row r="739" spans="1:4">
      <c r="A739" s="21" t="s">
        <v>920</v>
      </c>
      <c r="B739" s="21">
        <v>2.0678302367394399</v>
      </c>
      <c r="C739" s="21">
        <f t="shared" si="26"/>
        <v>-1.8392334406200028E-2</v>
      </c>
      <c r="D739" s="23">
        <f t="shared" si="27"/>
        <v>6.2473312091605268E-2</v>
      </c>
    </row>
    <row r="740" spans="1:4">
      <c r="A740" s="21" t="s">
        <v>919</v>
      </c>
      <c r="B740" s="21">
        <v>2.0862225711456399</v>
      </c>
      <c r="C740" s="21">
        <f t="shared" si="26"/>
        <v>1.3689022087609803E-2</v>
      </c>
      <c r="D740" s="23">
        <f t="shared" si="27"/>
        <v>6.2485876709417479E-2</v>
      </c>
    </row>
    <row r="741" spans="1:4">
      <c r="A741" s="21" t="s">
        <v>918</v>
      </c>
      <c r="B741" s="21">
        <v>2.0725335490580301</v>
      </c>
      <c r="C741" s="21">
        <f t="shared" si="26"/>
        <v>8.9687628740175995E-5</v>
      </c>
      <c r="D741" s="23">
        <f t="shared" si="27"/>
        <v>6.2493926108825072E-2</v>
      </c>
    </row>
    <row r="742" spans="1:4">
      <c r="A742" s="21" t="s">
        <v>917</v>
      </c>
      <c r="B742" s="21">
        <v>2.0724438614292899</v>
      </c>
      <c r="C742" s="21">
        <f t="shared" si="26"/>
        <v>2.1469603796520076E-2</v>
      </c>
      <c r="D742" s="23">
        <f t="shared" si="27"/>
        <v>6.2964466794064936E-2</v>
      </c>
    </row>
    <row r="743" spans="1:4">
      <c r="A743" s="21" t="s">
        <v>916</v>
      </c>
      <c r="B743" s="21">
        <v>2.0509742576327699</v>
      </c>
      <c r="C743" s="21">
        <f t="shared" si="26"/>
        <v>6.9253048331496814E-3</v>
      </c>
      <c r="D743" s="23">
        <f t="shared" si="27"/>
        <v>6.2969197361743834E-2</v>
      </c>
    </row>
    <row r="744" spans="1:4">
      <c r="A744" s="21" t="s">
        <v>915</v>
      </c>
      <c r="B744" s="21">
        <v>2.0440489527996202</v>
      </c>
      <c r="C744" s="21">
        <f t="shared" si="26"/>
        <v>-8.8849920620849954E-2</v>
      </c>
      <c r="D744" s="23">
        <f t="shared" si="27"/>
        <v>6.3498751582088814E-2</v>
      </c>
    </row>
    <row r="745" spans="1:4">
      <c r="A745" s="21" t="s">
        <v>914</v>
      </c>
      <c r="B745" s="21">
        <v>2.1328988734204701</v>
      </c>
      <c r="C745" s="21">
        <f t="shared" si="26"/>
        <v>-6.8365446040719924E-2</v>
      </c>
      <c r="D745" s="23">
        <f t="shared" si="27"/>
        <v>6.264605223969294E-2</v>
      </c>
    </row>
    <row r="746" spans="1:4">
      <c r="A746" s="21" t="s">
        <v>913</v>
      </c>
      <c r="B746" s="21">
        <v>2.2012643194611901</v>
      </c>
      <c r="C746" s="21">
        <f t="shared" si="26"/>
        <v>8.7217867077802325E-3</v>
      </c>
      <c r="D746" s="23">
        <f t="shared" si="27"/>
        <v>6.2224715615326553E-2</v>
      </c>
    </row>
    <row r="747" spans="1:4">
      <c r="A747" s="21" t="s">
        <v>912</v>
      </c>
      <c r="B747" s="21">
        <v>2.1925425327534098</v>
      </c>
      <c r="C747" s="21">
        <f t="shared" si="26"/>
        <v>5.0501352633959939E-2</v>
      </c>
      <c r="D747" s="23">
        <f t="shared" si="27"/>
        <v>6.2375467696273362E-2</v>
      </c>
    </row>
    <row r="748" spans="1:4">
      <c r="A748" s="21" t="s">
        <v>911</v>
      </c>
      <c r="B748" s="21">
        <v>2.1420411801194499</v>
      </c>
      <c r="C748" s="21">
        <f t="shared" si="26"/>
        <v>7.2073485651189984E-2</v>
      </c>
      <c r="D748" s="23">
        <f t="shared" si="27"/>
        <v>6.2479381292126837E-2</v>
      </c>
    </row>
    <row r="749" spans="1:4">
      <c r="A749" s="21" t="s">
        <v>910</v>
      </c>
      <c r="B749" s="21">
        <v>2.0699676944682599</v>
      </c>
      <c r="C749" s="21">
        <f t="shared" si="26"/>
        <v>3.3860565190529712E-2</v>
      </c>
      <c r="D749" s="23">
        <f t="shared" si="27"/>
        <v>6.3139399711995003E-2</v>
      </c>
    </row>
    <row r="750" spans="1:4">
      <c r="A750" s="21" t="s">
        <v>909</v>
      </c>
      <c r="B750" s="21">
        <v>2.0361071292777302</v>
      </c>
      <c r="C750" s="21">
        <f t="shared" si="26"/>
        <v>-5.6231513751519913E-2</v>
      </c>
      <c r="D750" s="23">
        <f t="shared" si="27"/>
        <v>6.2924267975543194E-2</v>
      </c>
    </row>
    <row r="751" spans="1:4">
      <c r="A751" s="21" t="s">
        <v>908</v>
      </c>
      <c r="B751" s="21">
        <v>2.0923386430292501</v>
      </c>
      <c r="C751" s="21">
        <f t="shared" si="26"/>
        <v>-4.2015437422679991E-2</v>
      </c>
      <c r="D751" s="23">
        <f t="shared" si="27"/>
        <v>6.2644549898311364E-2</v>
      </c>
    </row>
    <row r="752" spans="1:4">
      <c r="A752" s="21" t="s">
        <v>907</v>
      </c>
      <c r="B752" s="21">
        <v>2.1343540804519301</v>
      </c>
      <c r="C752" s="21">
        <f t="shared" si="26"/>
        <v>5.1376181825089962E-2</v>
      </c>
      <c r="D752" s="23">
        <f t="shared" si="27"/>
        <v>6.2563516344164252E-2</v>
      </c>
    </row>
    <row r="753" spans="1:4">
      <c r="A753" s="21" t="s">
        <v>906</v>
      </c>
      <c r="B753" s="21">
        <v>2.0829778986268401</v>
      </c>
      <c r="C753" s="21">
        <f t="shared" si="26"/>
        <v>2.3382233214390258E-2</v>
      </c>
      <c r="D753" s="23">
        <f t="shared" si="27"/>
        <v>6.2297071757619928E-2</v>
      </c>
    </row>
    <row r="754" spans="1:4">
      <c r="A754" s="21" t="s">
        <v>905</v>
      </c>
      <c r="B754" s="21">
        <v>2.0595956654124499</v>
      </c>
      <c r="C754" s="21">
        <f t="shared" si="26"/>
        <v>1.003134503707992E-2</v>
      </c>
      <c r="D754" s="23">
        <f t="shared" si="27"/>
        <v>6.4897419352383745E-2</v>
      </c>
    </row>
    <row r="755" spans="1:4">
      <c r="A755" s="21" t="s">
        <v>904</v>
      </c>
      <c r="B755" s="21">
        <v>2.04956432037537</v>
      </c>
      <c r="C755" s="21">
        <f t="shared" si="26"/>
        <v>-4.2408137397489831E-2</v>
      </c>
      <c r="D755" s="23">
        <f t="shared" si="27"/>
        <v>6.5639697003674558E-2</v>
      </c>
    </row>
    <row r="756" spans="1:4">
      <c r="A756" s="21" t="s">
        <v>903</v>
      </c>
      <c r="B756" s="21">
        <v>2.0919724577728598</v>
      </c>
      <c r="C756" s="21">
        <f t="shared" si="26"/>
        <v>-0.15691866966488011</v>
      </c>
      <c r="D756" s="23">
        <f t="shared" si="27"/>
        <v>6.5469229605504414E-2</v>
      </c>
    </row>
    <row r="757" spans="1:4">
      <c r="A757" s="21" t="s">
        <v>902</v>
      </c>
      <c r="B757" s="21">
        <v>2.2488911274377399</v>
      </c>
      <c r="C757" s="21">
        <f t="shared" si="26"/>
        <v>0.10094897547157977</v>
      </c>
      <c r="D757" s="23">
        <f t="shared" si="27"/>
        <v>6.2425759244083646E-2</v>
      </c>
    </row>
    <row r="758" spans="1:4">
      <c r="A758" s="21" t="s">
        <v>901</v>
      </c>
      <c r="B758" s="21">
        <v>2.1479421519661601</v>
      </c>
      <c r="C758" s="21">
        <f t="shared" si="26"/>
        <v>-4.6988911007659784E-2</v>
      </c>
      <c r="D758" s="23">
        <f t="shared" si="27"/>
        <v>6.0911822994298551E-2</v>
      </c>
    </row>
    <row r="759" spans="1:4">
      <c r="A759" s="21" t="s">
        <v>900</v>
      </c>
      <c r="B759" s="21">
        <v>2.1949310629738199</v>
      </c>
      <c r="C759" s="21">
        <f t="shared" si="26"/>
        <v>-3.749790648059026E-2</v>
      </c>
      <c r="D759" s="23">
        <f t="shared" si="27"/>
        <v>6.0668951765056205E-2</v>
      </c>
    </row>
    <row r="760" spans="1:4">
      <c r="A760" s="21" t="s">
        <v>899</v>
      </c>
      <c r="B760" s="21">
        <v>2.2324289694544102</v>
      </c>
      <c r="C760" s="21">
        <f t="shared" si="26"/>
        <v>9.007922416457026E-2</v>
      </c>
      <c r="D760" s="23">
        <f t="shared" si="27"/>
        <v>6.0983699434873181E-2</v>
      </c>
    </row>
    <row r="761" spans="1:4">
      <c r="A761" s="21" t="s">
        <v>898</v>
      </c>
      <c r="B761" s="21">
        <v>2.1423497452898399</v>
      </c>
      <c r="C761" s="21">
        <f t="shared" si="26"/>
        <v>-3.351345505922021E-2</v>
      </c>
      <c r="D761" s="23">
        <f t="shared" si="27"/>
        <v>5.9767709004804409E-2</v>
      </c>
    </row>
    <row r="762" spans="1:4">
      <c r="A762" s="21" t="s">
        <v>897</v>
      </c>
      <c r="B762" s="21">
        <v>2.1758632003490601</v>
      </c>
      <c r="C762" s="21">
        <f t="shared" si="26"/>
        <v>-3.0378080943679997E-2</v>
      </c>
      <c r="D762" s="23">
        <f t="shared" si="27"/>
        <v>6.0881363373131728E-2</v>
      </c>
    </row>
    <row r="763" spans="1:4">
      <c r="A763" s="21" t="s">
        <v>896</v>
      </c>
      <c r="B763" s="21">
        <v>2.2062412812927401</v>
      </c>
      <c r="C763" s="21">
        <f t="shared" si="26"/>
        <v>-7.1293044380469794E-2</v>
      </c>
      <c r="D763" s="23">
        <f t="shared" si="27"/>
        <v>6.0873278939991955E-2</v>
      </c>
    </row>
    <row r="764" spans="1:4">
      <c r="A764" s="21" t="s">
        <v>895</v>
      </c>
      <c r="B764" s="21">
        <v>2.2775343256732099</v>
      </c>
      <c r="C764" s="21">
        <f t="shared" si="26"/>
        <v>5.2519196603030061E-2</v>
      </c>
      <c r="D764" s="23">
        <f t="shared" si="27"/>
        <v>6.0587120837323698E-2</v>
      </c>
    </row>
    <row r="765" spans="1:4">
      <c r="A765" s="21" t="s">
        <v>894</v>
      </c>
      <c r="B765" s="21">
        <v>2.2250151290701798</v>
      </c>
      <c r="C765" s="21">
        <f t="shared" si="26"/>
        <v>3.6702909418769636E-2</v>
      </c>
      <c r="D765" s="23">
        <f t="shared" si="27"/>
        <v>6.0241722923739541E-2</v>
      </c>
    </row>
    <row r="766" spans="1:4">
      <c r="A766" s="21" t="s">
        <v>893</v>
      </c>
      <c r="B766" s="21">
        <v>2.1883122196514102</v>
      </c>
      <c r="C766" s="21">
        <f t="shared" si="26"/>
        <v>-1.6488153099689651E-2</v>
      </c>
      <c r="D766" s="23">
        <f t="shared" si="27"/>
        <v>6.2313729257722071E-2</v>
      </c>
    </row>
    <row r="767" spans="1:4">
      <c r="A767" s="21" t="s">
        <v>892</v>
      </c>
      <c r="B767" s="21">
        <v>2.2048003727510999</v>
      </c>
      <c r="C767" s="21">
        <f t="shared" si="26"/>
        <v>3.3309731846829838E-2</v>
      </c>
      <c r="D767" s="23">
        <f t="shared" si="27"/>
        <v>6.6725930160429353E-2</v>
      </c>
    </row>
    <row r="768" spans="1:4">
      <c r="A768" s="21" t="s">
        <v>891</v>
      </c>
      <c r="B768" s="21">
        <v>2.17149064090427</v>
      </c>
      <c r="C768" s="21">
        <f t="shared" si="26"/>
        <v>-6.6549959734369946E-2</v>
      </c>
      <c r="D768" s="23">
        <f t="shared" si="27"/>
        <v>6.6657436911545978E-2</v>
      </c>
    </row>
    <row r="769" spans="1:4">
      <c r="A769" s="21" t="s">
        <v>890</v>
      </c>
      <c r="B769" s="21">
        <v>2.23804060063864</v>
      </c>
      <c r="C769" s="21">
        <f t="shared" si="26"/>
        <v>3.8100874208350177E-2</v>
      </c>
      <c r="D769" s="23">
        <f t="shared" si="27"/>
        <v>6.6143416250649775E-2</v>
      </c>
    </row>
    <row r="770" spans="1:4">
      <c r="A770" s="21" t="s">
        <v>889</v>
      </c>
      <c r="B770" s="21">
        <v>2.1999397264302898</v>
      </c>
      <c r="C770" s="21">
        <f t="shared" ref="C770:C833" si="28">B770-B771</f>
        <v>0.10962661097204984</v>
      </c>
      <c r="D770" s="23">
        <f t="shared" ref="D770:D833" si="29">STDEV(C770:C829)</f>
        <v>6.6060516843161901E-2</v>
      </c>
    </row>
    <row r="771" spans="1:4">
      <c r="A771" s="21" t="s">
        <v>888</v>
      </c>
      <c r="B771" s="21">
        <v>2.0903131154582399</v>
      </c>
      <c r="C771" s="21">
        <f t="shared" si="28"/>
        <v>4.6914765715739826E-2</v>
      </c>
      <c r="D771" s="23">
        <f t="shared" si="29"/>
        <v>6.4691897099339576E-2</v>
      </c>
    </row>
    <row r="772" spans="1:4">
      <c r="A772" s="21" t="s">
        <v>887</v>
      </c>
      <c r="B772" s="21">
        <v>2.0433983497425001</v>
      </c>
      <c r="C772" s="21">
        <f t="shared" si="28"/>
        <v>2.8527771245200118E-2</v>
      </c>
      <c r="D772" s="23">
        <f t="shared" si="29"/>
        <v>6.4865132924602539E-2</v>
      </c>
    </row>
    <row r="773" spans="1:4">
      <c r="A773" s="21" t="s">
        <v>886</v>
      </c>
      <c r="B773" s="21">
        <v>2.0148705784973</v>
      </c>
      <c r="C773" s="21">
        <f t="shared" si="28"/>
        <v>-3.9444857114299126E-3</v>
      </c>
      <c r="D773" s="23">
        <f t="shared" si="29"/>
        <v>6.4780303324217789E-2</v>
      </c>
    </row>
    <row r="774" spans="1:4">
      <c r="A774" s="21" t="s">
        <v>885</v>
      </c>
      <c r="B774" s="21">
        <v>2.0188150642087299</v>
      </c>
      <c r="C774" s="21">
        <f t="shared" si="28"/>
        <v>-3.788333867761029E-2</v>
      </c>
      <c r="D774" s="23">
        <f t="shared" si="29"/>
        <v>6.5156454986227269E-2</v>
      </c>
    </row>
    <row r="775" spans="1:4">
      <c r="A775" s="21" t="s">
        <v>884</v>
      </c>
      <c r="B775" s="21">
        <v>2.0566984028863402</v>
      </c>
      <c r="C775" s="21">
        <f t="shared" si="28"/>
        <v>-5.5500801515369957E-2</v>
      </c>
      <c r="D775" s="23">
        <f t="shared" si="29"/>
        <v>6.5296702756640401E-2</v>
      </c>
    </row>
    <row r="776" spans="1:4">
      <c r="A776" s="21" t="s">
        <v>883</v>
      </c>
      <c r="B776" s="21">
        <v>2.1121992044017102</v>
      </c>
      <c r="C776" s="21">
        <f t="shared" si="28"/>
        <v>1.2282690381089978E-2</v>
      </c>
      <c r="D776" s="23">
        <f t="shared" si="29"/>
        <v>6.5381160440107458E-2</v>
      </c>
    </row>
    <row r="777" spans="1:4">
      <c r="A777" s="21" t="s">
        <v>882</v>
      </c>
      <c r="B777" s="21">
        <v>2.0999165140206202</v>
      </c>
      <c r="C777" s="21">
        <f t="shared" si="28"/>
        <v>3.4034348101739997E-2</v>
      </c>
      <c r="D777" s="23">
        <f t="shared" si="29"/>
        <v>6.5813426659251315E-2</v>
      </c>
    </row>
    <row r="778" spans="1:4">
      <c r="A778" s="21" t="s">
        <v>881</v>
      </c>
      <c r="B778" s="21">
        <v>2.0658821659188802</v>
      </c>
      <c r="C778" s="21">
        <f t="shared" si="28"/>
        <v>9.1437542292730267E-2</v>
      </c>
      <c r="D778" s="23">
        <f t="shared" si="29"/>
        <v>6.5613772844435897E-2</v>
      </c>
    </row>
    <row r="779" spans="1:4">
      <c r="A779" s="21" t="s">
        <v>880</v>
      </c>
      <c r="B779" s="21">
        <v>1.9744446236261499</v>
      </c>
      <c r="C779" s="21">
        <f t="shared" si="28"/>
        <v>7.5175923163109948E-2</v>
      </c>
      <c r="D779" s="23">
        <f t="shared" si="29"/>
        <v>6.4362939063185673E-2</v>
      </c>
    </row>
    <row r="780" spans="1:4">
      <c r="A780" s="21" t="s">
        <v>879</v>
      </c>
      <c r="B780" s="21">
        <v>1.89926870046304</v>
      </c>
      <c r="C780" s="21">
        <f t="shared" si="28"/>
        <v>-7.9837469316589971E-2</v>
      </c>
      <c r="D780" s="23">
        <f t="shared" si="29"/>
        <v>6.3480873361928675E-2</v>
      </c>
    </row>
    <row r="781" spans="1:4">
      <c r="A781" s="21" t="s">
        <v>878</v>
      </c>
      <c r="B781" s="21">
        <v>1.9791061697796299</v>
      </c>
      <c r="C781" s="21">
        <f t="shared" si="28"/>
        <v>-6.0807870359850247E-2</v>
      </c>
      <c r="D781" s="23">
        <f t="shared" si="29"/>
        <v>6.2849502784157449E-2</v>
      </c>
    </row>
    <row r="782" spans="1:4">
      <c r="A782" s="21" t="s">
        <v>877</v>
      </c>
      <c r="B782" s="21">
        <v>2.0399140401394802</v>
      </c>
      <c r="C782" s="21">
        <f t="shared" si="28"/>
        <v>-1.1060893226269908E-2</v>
      </c>
      <c r="D782" s="23">
        <f t="shared" si="29"/>
        <v>6.3164198016388964E-2</v>
      </c>
    </row>
    <row r="783" spans="1:4">
      <c r="A783" s="21" t="s">
        <v>876</v>
      </c>
      <c r="B783" s="21">
        <v>2.0509749333657501</v>
      </c>
      <c r="C783" s="21">
        <f t="shared" si="28"/>
        <v>7.7311375366799995E-2</v>
      </c>
      <c r="D783" s="23">
        <f t="shared" si="29"/>
        <v>6.3207720874856752E-2</v>
      </c>
    </row>
    <row r="784" spans="1:4">
      <c r="A784" s="21" t="s">
        <v>875</v>
      </c>
      <c r="B784" s="21">
        <v>1.9736635579989501</v>
      </c>
      <c r="C784" s="21">
        <f t="shared" si="28"/>
        <v>-5.8926743808898063E-3</v>
      </c>
      <c r="D784" s="23">
        <f t="shared" si="29"/>
        <v>6.2498538274247388E-2</v>
      </c>
    </row>
    <row r="785" spans="1:4">
      <c r="A785" s="21" t="s">
        <v>874</v>
      </c>
      <c r="B785" s="21">
        <v>1.9795562323798399</v>
      </c>
      <c r="C785" s="21">
        <f t="shared" si="28"/>
        <v>-6.3790844787180223E-2</v>
      </c>
      <c r="D785" s="23">
        <f t="shared" si="29"/>
        <v>6.3124923426842949E-2</v>
      </c>
    </row>
    <row r="786" spans="1:4">
      <c r="A786" s="21" t="s">
        <v>873</v>
      </c>
      <c r="B786" s="21">
        <v>2.0433470771670201</v>
      </c>
      <c r="C786" s="21">
        <f t="shared" si="28"/>
        <v>-5.3353405455379921E-2</v>
      </c>
      <c r="D786" s="23">
        <f t="shared" si="29"/>
        <v>6.3639056163506805E-2</v>
      </c>
    </row>
    <row r="787" spans="1:4">
      <c r="A787" s="21" t="s">
        <v>872</v>
      </c>
      <c r="B787" s="21">
        <v>2.0967004826224001</v>
      </c>
      <c r="C787" s="21">
        <f t="shared" si="28"/>
        <v>-7.32337121851101E-2</v>
      </c>
      <c r="D787" s="23">
        <f t="shared" si="29"/>
        <v>6.3483861665996469E-2</v>
      </c>
    </row>
    <row r="788" spans="1:4">
      <c r="A788" s="21" t="s">
        <v>871</v>
      </c>
      <c r="B788" s="21">
        <v>2.1699341948075102</v>
      </c>
      <c r="C788" s="21">
        <f t="shared" si="28"/>
        <v>-4.0922390764919658E-2</v>
      </c>
      <c r="D788" s="23">
        <f t="shared" si="29"/>
        <v>6.2963361778298185E-2</v>
      </c>
    </row>
    <row r="789" spans="1:4">
      <c r="A789" s="21" t="s">
        <v>870</v>
      </c>
      <c r="B789" s="21">
        <v>2.2108565855724298</v>
      </c>
      <c r="C789" s="21">
        <f t="shared" si="28"/>
        <v>-5.8542033733430365E-2</v>
      </c>
      <c r="D789" s="23">
        <f t="shared" si="29"/>
        <v>6.3074984439187368E-2</v>
      </c>
    </row>
    <row r="790" spans="1:4">
      <c r="A790" s="21" t="s">
        <v>869</v>
      </c>
      <c r="B790" s="21">
        <v>2.2693986193058602</v>
      </c>
      <c r="C790" s="21">
        <f t="shared" si="28"/>
        <v>-1.1766453311250036E-2</v>
      </c>
      <c r="D790" s="23">
        <f t="shared" si="29"/>
        <v>6.3639387721353677E-2</v>
      </c>
    </row>
    <row r="791" spans="1:4">
      <c r="A791" s="21" t="s">
        <v>868</v>
      </c>
      <c r="B791" s="21">
        <v>2.2811650726171102</v>
      </c>
      <c r="C791" s="21">
        <f t="shared" si="28"/>
        <v>1.3115906589300064E-2</v>
      </c>
      <c r="D791" s="23">
        <f t="shared" si="29"/>
        <v>6.4116629158196756E-2</v>
      </c>
    </row>
    <row r="792" spans="1:4">
      <c r="A792" s="21" t="s">
        <v>867</v>
      </c>
      <c r="B792" s="21">
        <v>2.2680491660278101</v>
      </c>
      <c r="C792" s="21">
        <f t="shared" si="28"/>
        <v>6.2035696305920318E-2</v>
      </c>
      <c r="D792" s="23">
        <f t="shared" si="29"/>
        <v>6.4134451517426611E-2</v>
      </c>
    </row>
    <row r="793" spans="1:4">
      <c r="A793" s="21" t="s">
        <v>866</v>
      </c>
      <c r="B793" s="21">
        <v>2.2060134697218898</v>
      </c>
      <c r="C793" s="21">
        <f t="shared" si="28"/>
        <v>-0.22320315482687025</v>
      </c>
      <c r="D793" s="23">
        <f t="shared" si="29"/>
        <v>6.3841501245036847E-2</v>
      </c>
    </row>
    <row r="794" spans="1:4">
      <c r="A794" s="21" t="s">
        <v>865</v>
      </c>
      <c r="B794" s="21">
        <v>2.4292166245487601</v>
      </c>
      <c r="C794" s="21">
        <f t="shared" si="28"/>
        <v>3.5505129150469994E-2</v>
      </c>
      <c r="D794" s="23">
        <f t="shared" si="29"/>
        <v>5.7161189339473457E-2</v>
      </c>
    </row>
    <row r="795" spans="1:4">
      <c r="A795" s="21" t="s">
        <v>864</v>
      </c>
      <c r="B795" s="21">
        <v>2.3937114953982901</v>
      </c>
      <c r="C795" s="21">
        <f t="shared" si="28"/>
        <v>1.5864938844869947E-2</v>
      </c>
      <c r="D795" s="23">
        <f t="shared" si="29"/>
        <v>5.6972784192279406E-2</v>
      </c>
    </row>
    <row r="796" spans="1:4">
      <c r="A796" s="21" t="s">
        <v>863</v>
      </c>
      <c r="B796" s="21">
        <v>2.3778465565534201</v>
      </c>
      <c r="C796" s="21">
        <f t="shared" si="28"/>
        <v>4.0093686943802886E-3</v>
      </c>
      <c r="D796" s="23">
        <f t="shared" si="29"/>
        <v>5.6941332051921992E-2</v>
      </c>
    </row>
    <row r="797" spans="1:4">
      <c r="A797" s="21" t="s">
        <v>862</v>
      </c>
      <c r="B797" s="21">
        <v>2.3738371878590399</v>
      </c>
      <c r="C797" s="21">
        <f t="shared" si="28"/>
        <v>-8.2234946890080263E-2</v>
      </c>
      <c r="D797" s="23">
        <f t="shared" si="29"/>
        <v>5.6974716750181315E-2</v>
      </c>
    </row>
    <row r="798" spans="1:4">
      <c r="A798" s="21" t="s">
        <v>861</v>
      </c>
      <c r="B798" s="21">
        <v>2.4560721347491201</v>
      </c>
      <c r="C798" s="21">
        <f t="shared" si="28"/>
        <v>6.0796063797360134E-2</v>
      </c>
      <c r="D798" s="23">
        <f t="shared" si="29"/>
        <v>5.6294802280317788E-2</v>
      </c>
    </row>
    <row r="799" spans="1:4">
      <c r="A799" s="21" t="s">
        <v>860</v>
      </c>
      <c r="B799" s="21">
        <v>2.39527607095176</v>
      </c>
      <c r="C799" s="21">
        <f t="shared" si="28"/>
        <v>1.1109136760150129E-2</v>
      </c>
      <c r="D799" s="23">
        <f t="shared" si="29"/>
        <v>5.6205696518895037E-2</v>
      </c>
    </row>
    <row r="800" spans="1:4">
      <c r="A800" s="21" t="s">
        <v>859</v>
      </c>
      <c r="B800" s="21">
        <v>2.3841669341916099</v>
      </c>
      <c r="C800" s="21">
        <f t="shared" si="28"/>
        <v>1.5218259981829796E-2</v>
      </c>
      <c r="D800" s="23">
        <f t="shared" si="29"/>
        <v>5.6350468163727296E-2</v>
      </c>
    </row>
    <row r="801" spans="1:4">
      <c r="A801" s="21" t="s">
        <v>858</v>
      </c>
      <c r="B801" s="21">
        <v>2.3689486742097801</v>
      </c>
      <c r="C801" s="21">
        <f t="shared" si="28"/>
        <v>-6.4759598486490155E-2</v>
      </c>
      <c r="D801" s="23">
        <f t="shared" si="29"/>
        <v>5.6295248809039876E-2</v>
      </c>
    </row>
    <row r="802" spans="1:4">
      <c r="A802" s="21" t="s">
        <v>857</v>
      </c>
      <c r="B802" s="21">
        <v>2.4337082726962702</v>
      </c>
      <c r="C802" s="21">
        <f t="shared" si="28"/>
        <v>-3.50757723552797E-2</v>
      </c>
      <c r="D802" s="23">
        <f t="shared" si="29"/>
        <v>5.5843940575089575E-2</v>
      </c>
    </row>
    <row r="803" spans="1:4">
      <c r="A803" s="21" t="s">
        <v>856</v>
      </c>
      <c r="B803" s="21">
        <v>2.4687840450515499</v>
      </c>
      <c r="C803" s="21">
        <f t="shared" si="28"/>
        <v>5.7745625108829746E-2</v>
      </c>
      <c r="D803" s="23">
        <f t="shared" si="29"/>
        <v>5.5925561398809005E-2</v>
      </c>
    </row>
    <row r="804" spans="1:4">
      <c r="A804" s="21" t="s">
        <v>855</v>
      </c>
      <c r="B804" s="21">
        <v>2.4110384199427202</v>
      </c>
      <c r="C804" s="21">
        <f t="shared" si="28"/>
        <v>-2.971421014761999E-2</v>
      </c>
      <c r="D804" s="23">
        <f t="shared" si="29"/>
        <v>5.5789251405766613E-2</v>
      </c>
    </row>
    <row r="805" spans="1:4">
      <c r="A805" s="21" t="s">
        <v>854</v>
      </c>
      <c r="B805" s="21">
        <v>2.4407526300903402</v>
      </c>
      <c r="C805" s="21">
        <f t="shared" si="28"/>
        <v>-3.5340834180439984E-2</v>
      </c>
      <c r="D805" s="23">
        <f t="shared" si="29"/>
        <v>5.6983214488432993E-2</v>
      </c>
    </row>
    <row r="806" spans="1:4">
      <c r="A806" s="21" t="s">
        <v>853</v>
      </c>
      <c r="B806" s="21">
        <v>2.4760934642707801</v>
      </c>
      <c r="C806" s="21">
        <f t="shared" si="28"/>
        <v>3.138830322764008E-2</v>
      </c>
      <c r="D806" s="23">
        <f t="shared" si="29"/>
        <v>5.8680886016979905E-2</v>
      </c>
    </row>
    <row r="807" spans="1:4">
      <c r="A807" s="21" t="s">
        <v>852</v>
      </c>
      <c r="B807" s="21">
        <v>2.4447051610431401</v>
      </c>
      <c r="C807" s="21">
        <f t="shared" si="28"/>
        <v>-6.7365603361839721E-2</v>
      </c>
      <c r="D807" s="23">
        <f t="shared" si="29"/>
        <v>5.8683352744546238E-2</v>
      </c>
    </row>
    <row r="808" spans="1:4">
      <c r="A808" s="21" t="s">
        <v>851</v>
      </c>
      <c r="B808" s="21">
        <v>2.5120707644049798</v>
      </c>
      <c r="C808" s="21">
        <f t="shared" si="28"/>
        <v>-0.11382065145611042</v>
      </c>
      <c r="D808" s="23">
        <f t="shared" si="29"/>
        <v>5.9087064622510378E-2</v>
      </c>
    </row>
    <row r="809" spans="1:4">
      <c r="A809" s="21" t="s">
        <v>850</v>
      </c>
      <c r="B809" s="21">
        <v>2.6258914158610902</v>
      </c>
      <c r="C809" s="21">
        <f t="shared" si="28"/>
        <v>7.2144296971501376E-3</v>
      </c>
      <c r="D809" s="23">
        <f t="shared" si="29"/>
        <v>5.7327668478920339E-2</v>
      </c>
    </row>
    <row r="810" spans="1:4">
      <c r="A810" s="21" t="s">
        <v>849</v>
      </c>
      <c r="B810" s="21">
        <v>2.6186769861639401</v>
      </c>
      <c r="C810" s="21">
        <f t="shared" si="28"/>
        <v>-2.036011764126E-2</v>
      </c>
      <c r="D810" s="23">
        <f t="shared" si="29"/>
        <v>5.7318264073178526E-2</v>
      </c>
    </row>
    <row r="811" spans="1:4">
      <c r="A811" s="21" t="s">
        <v>848</v>
      </c>
      <c r="B811" s="21">
        <v>2.6390371038052001</v>
      </c>
      <c r="C811" s="21">
        <f t="shared" si="28"/>
        <v>-3.1157221298979909E-2</v>
      </c>
      <c r="D811" s="23">
        <f t="shared" si="29"/>
        <v>5.7379650486621345E-2</v>
      </c>
    </row>
    <row r="812" spans="1:4">
      <c r="A812" s="21" t="s">
        <v>847</v>
      </c>
      <c r="B812" s="21">
        <v>2.67019432510418</v>
      </c>
      <c r="C812" s="21">
        <f t="shared" si="28"/>
        <v>3.2060759101829817E-2</v>
      </c>
      <c r="D812" s="23">
        <f t="shared" si="29"/>
        <v>5.7411540535677645E-2</v>
      </c>
    </row>
    <row r="813" spans="1:4">
      <c r="A813" s="21" t="s">
        <v>846</v>
      </c>
      <c r="B813" s="21">
        <v>2.6381335660023502</v>
      </c>
      <c r="C813" s="21">
        <f t="shared" si="28"/>
        <v>0.13492310224974036</v>
      </c>
      <c r="D813" s="23">
        <f t="shared" si="29"/>
        <v>5.7454363197229706E-2</v>
      </c>
    </row>
    <row r="814" spans="1:4">
      <c r="A814" s="21" t="s">
        <v>845</v>
      </c>
      <c r="B814" s="21">
        <v>2.5032104637526098</v>
      </c>
      <c r="C814" s="21">
        <f t="shared" si="28"/>
        <v>7.0590675818799742E-2</v>
      </c>
      <c r="D814" s="23">
        <f t="shared" si="29"/>
        <v>5.5125265817790321E-2</v>
      </c>
    </row>
    <row r="815" spans="1:4">
      <c r="A815" s="21" t="s">
        <v>844</v>
      </c>
      <c r="B815" s="21">
        <v>2.4326197879338101</v>
      </c>
      <c r="C815" s="21">
        <f t="shared" si="28"/>
        <v>-4.7270928759299835E-3</v>
      </c>
      <c r="D815" s="23">
        <f t="shared" si="29"/>
        <v>5.4290290190085272E-2</v>
      </c>
    </row>
    <row r="816" spans="1:4">
      <c r="A816" s="21" t="s">
        <v>843</v>
      </c>
      <c r="B816" s="21">
        <v>2.43734688080974</v>
      </c>
      <c r="C816" s="21">
        <f t="shared" si="28"/>
        <v>-1.982386051149998E-2</v>
      </c>
      <c r="D816" s="23">
        <f t="shared" si="29"/>
        <v>5.4921428973912043E-2</v>
      </c>
    </row>
    <row r="817" spans="1:4">
      <c r="A817" s="21" t="s">
        <v>842</v>
      </c>
      <c r="B817" s="21">
        <v>2.45717074132124</v>
      </c>
      <c r="C817" s="21">
        <f t="shared" si="28"/>
        <v>3.2929575994500304E-3</v>
      </c>
      <c r="D817" s="23">
        <f t="shared" si="29"/>
        <v>5.4980335570483263E-2</v>
      </c>
    </row>
    <row r="818" spans="1:4">
      <c r="A818" s="21" t="s">
        <v>841</v>
      </c>
      <c r="B818" s="21">
        <v>2.45387778372179</v>
      </c>
      <c r="C818" s="21">
        <f t="shared" si="28"/>
        <v>-1.0950197492220148E-2</v>
      </c>
      <c r="D818" s="23">
        <f t="shared" si="29"/>
        <v>5.4969183249147915E-2</v>
      </c>
    </row>
    <row r="819" spans="1:4">
      <c r="A819" s="21" t="s">
        <v>840</v>
      </c>
      <c r="B819" s="21">
        <v>2.4648279812140101</v>
      </c>
      <c r="C819" s="21">
        <f t="shared" si="28"/>
        <v>5.4572534923200244E-2</v>
      </c>
      <c r="D819" s="23">
        <f t="shared" si="29"/>
        <v>5.5067127573590134E-2</v>
      </c>
    </row>
    <row r="820" spans="1:4">
      <c r="A820" s="21" t="s">
        <v>839</v>
      </c>
      <c r="B820" s="21">
        <v>2.4102554462908099</v>
      </c>
      <c r="C820" s="21">
        <f t="shared" si="28"/>
        <v>-1.6498648155410134E-2</v>
      </c>
      <c r="D820" s="23">
        <f t="shared" si="29"/>
        <v>5.4520518970507546E-2</v>
      </c>
    </row>
    <row r="821" spans="1:4">
      <c r="A821" s="21" t="s">
        <v>838</v>
      </c>
      <c r="B821" s="21">
        <v>2.42675409444622</v>
      </c>
      <c r="C821" s="21">
        <f t="shared" si="28"/>
        <v>9.0182203257390015E-2</v>
      </c>
      <c r="D821" s="23">
        <f t="shared" si="29"/>
        <v>5.4506276274086718E-2</v>
      </c>
    </row>
    <row r="822" spans="1:4">
      <c r="A822" s="21" t="s">
        <v>837</v>
      </c>
      <c r="B822" s="21">
        <v>2.33657189118883</v>
      </c>
      <c r="C822" s="21">
        <f t="shared" si="28"/>
        <v>-2.930951843466989E-2</v>
      </c>
      <c r="D822" s="23">
        <f t="shared" si="29"/>
        <v>5.3002534725926462E-2</v>
      </c>
    </row>
    <row r="823" spans="1:4">
      <c r="A823" s="21" t="s">
        <v>836</v>
      </c>
      <c r="B823" s="21">
        <v>2.3658814096234999</v>
      </c>
      <c r="C823" s="21">
        <f t="shared" si="28"/>
        <v>5.1285336861579989E-2</v>
      </c>
      <c r="D823" s="23">
        <f t="shared" si="29"/>
        <v>5.2935365648638689E-2</v>
      </c>
    </row>
    <row r="824" spans="1:4">
      <c r="A824" s="21" t="s">
        <v>835</v>
      </c>
      <c r="B824" s="21">
        <v>2.3145960727619199</v>
      </c>
      <c r="C824" s="21">
        <f t="shared" si="28"/>
        <v>-2.1914680684619992E-2</v>
      </c>
      <c r="D824" s="23">
        <f t="shared" si="29"/>
        <v>5.2400943341914752E-2</v>
      </c>
    </row>
    <row r="825" spans="1:4">
      <c r="A825" s="21" t="s">
        <v>834</v>
      </c>
      <c r="B825" s="21">
        <v>2.3365107534465399</v>
      </c>
      <c r="C825" s="21">
        <f t="shared" si="28"/>
        <v>-0.13202607401749988</v>
      </c>
      <c r="D825" s="23">
        <f t="shared" si="29"/>
        <v>5.2455516992638535E-2</v>
      </c>
    </row>
    <row r="826" spans="1:4">
      <c r="A826" s="21" t="s">
        <v>833</v>
      </c>
      <c r="B826" s="21">
        <v>2.4685368274640398</v>
      </c>
      <c r="C826" s="21">
        <f t="shared" si="28"/>
        <v>0.18074697264105</v>
      </c>
      <c r="D826" s="23">
        <f t="shared" si="29"/>
        <v>4.9953593348283795E-2</v>
      </c>
    </row>
    <row r="827" spans="1:4">
      <c r="A827" s="21" t="s">
        <v>832</v>
      </c>
      <c r="B827" s="21">
        <v>2.2877898548229898</v>
      </c>
      <c r="C827" s="21">
        <f t="shared" si="28"/>
        <v>2.4421830607579853E-2</v>
      </c>
      <c r="D827" s="23">
        <f t="shared" si="29"/>
        <v>4.3478475314131369E-2</v>
      </c>
    </row>
    <row r="828" spans="1:4">
      <c r="A828" s="21" t="s">
        <v>831</v>
      </c>
      <c r="B828" s="21">
        <v>2.2633680242154099</v>
      </c>
      <c r="C828" s="21">
        <f t="shared" si="28"/>
        <v>1.6190034678320142E-2</v>
      </c>
      <c r="D828" s="23">
        <f t="shared" si="29"/>
        <v>4.3595332383428956E-2</v>
      </c>
    </row>
    <row r="829" spans="1:4">
      <c r="A829" s="21" t="s">
        <v>830</v>
      </c>
      <c r="B829" s="21">
        <v>2.2471779895370898</v>
      </c>
      <c r="C829" s="21">
        <f t="shared" si="28"/>
        <v>-3.0053867288330149E-2</v>
      </c>
      <c r="D829" s="23">
        <f t="shared" si="29"/>
        <v>4.3461762586051382E-2</v>
      </c>
    </row>
    <row r="830" spans="1:4">
      <c r="A830" s="21" t="s">
        <v>829</v>
      </c>
      <c r="B830" s="21">
        <v>2.27723185682542</v>
      </c>
      <c r="C830" s="21">
        <f t="shared" si="28"/>
        <v>-4.7728521841960081E-2</v>
      </c>
      <c r="D830" s="23">
        <f t="shared" si="29"/>
        <v>4.3406958500400238E-2</v>
      </c>
    </row>
    <row r="831" spans="1:4">
      <c r="A831" s="21" t="s">
        <v>828</v>
      </c>
      <c r="B831" s="21">
        <v>2.32496037866738</v>
      </c>
      <c r="C831" s="21">
        <f t="shared" si="28"/>
        <v>-6.816136516700988E-2</v>
      </c>
      <c r="D831" s="23">
        <f t="shared" si="29"/>
        <v>4.3207497729496683E-2</v>
      </c>
    </row>
    <row r="832" spans="1:4">
      <c r="A832" s="21" t="s">
        <v>827</v>
      </c>
      <c r="B832" s="21">
        <v>2.3931217438343899</v>
      </c>
      <c r="C832" s="21">
        <f t="shared" si="28"/>
        <v>1.727132103152984E-2</v>
      </c>
      <c r="D832" s="23">
        <f t="shared" si="29"/>
        <v>4.2707275917066238E-2</v>
      </c>
    </row>
    <row r="833" spans="1:4">
      <c r="A833" s="21" t="s">
        <v>826</v>
      </c>
      <c r="B833" s="21">
        <v>2.3758504228028601</v>
      </c>
      <c r="C833" s="21">
        <f t="shared" si="28"/>
        <v>-6.0245495695899987E-2</v>
      </c>
      <c r="D833" s="23">
        <f t="shared" si="29"/>
        <v>4.2870954472133765E-2</v>
      </c>
    </row>
    <row r="834" spans="1:4">
      <c r="A834" s="21" t="s">
        <v>825</v>
      </c>
      <c r="B834" s="21">
        <v>2.4360959184987601</v>
      </c>
      <c r="C834" s="21">
        <f t="shared" ref="C834:C897" si="30">B834-B835</f>
        <v>3.9253546675869888E-2</v>
      </c>
      <c r="D834" s="23">
        <f t="shared" ref="D834:D897" si="31">STDEV(C834:C893)</f>
        <v>4.244851581881659E-2</v>
      </c>
    </row>
    <row r="835" spans="1:4">
      <c r="A835" s="21" t="s">
        <v>824</v>
      </c>
      <c r="B835" s="21">
        <v>2.3968423718228902</v>
      </c>
      <c r="C835" s="21">
        <f t="shared" si="30"/>
        <v>-6.166015803801983E-2</v>
      </c>
      <c r="D835" s="23">
        <f t="shared" si="31"/>
        <v>4.2115750686174958E-2</v>
      </c>
    </row>
    <row r="836" spans="1:4">
      <c r="A836" s="21" t="s">
        <v>823</v>
      </c>
      <c r="B836" s="21">
        <v>2.45850252986091</v>
      </c>
      <c r="C836" s="21">
        <f t="shared" si="30"/>
        <v>5.5075883167090112E-2</v>
      </c>
      <c r="D836" s="23">
        <f t="shared" si="31"/>
        <v>4.1781931201688653E-2</v>
      </c>
    </row>
    <row r="837" spans="1:4">
      <c r="A837" s="21" t="s">
        <v>822</v>
      </c>
      <c r="B837" s="21">
        <v>2.4034266466938199</v>
      </c>
      <c r="C837" s="21">
        <f t="shared" si="30"/>
        <v>-8.1906239673301684E-3</v>
      </c>
      <c r="D837" s="23">
        <f t="shared" si="31"/>
        <v>4.1020389446619683E-2</v>
      </c>
    </row>
    <row r="838" spans="1:4">
      <c r="A838" s="21" t="s">
        <v>821</v>
      </c>
      <c r="B838" s="21">
        <v>2.4116172706611501</v>
      </c>
      <c r="C838" s="21">
        <f t="shared" si="30"/>
        <v>-1.1412548611029916E-2</v>
      </c>
      <c r="D838" s="23">
        <f t="shared" si="31"/>
        <v>4.1490647189042718E-2</v>
      </c>
    </row>
    <row r="839" spans="1:4">
      <c r="A839" s="21" t="s">
        <v>820</v>
      </c>
      <c r="B839" s="21">
        <v>2.42302981927218</v>
      </c>
      <c r="C839" s="21">
        <f t="shared" si="30"/>
        <v>-2.6167390785849953E-2</v>
      </c>
      <c r="D839" s="23">
        <f t="shared" si="31"/>
        <v>4.1495550331000004E-2</v>
      </c>
    </row>
    <row r="840" spans="1:4">
      <c r="A840" s="21" t="s">
        <v>819</v>
      </c>
      <c r="B840" s="21">
        <v>2.4491972100580299</v>
      </c>
      <c r="C840" s="21">
        <f t="shared" si="30"/>
        <v>-2.7450835672880203E-2</v>
      </c>
      <c r="D840" s="23">
        <f t="shared" si="31"/>
        <v>4.1576914532420954E-2</v>
      </c>
    </row>
    <row r="841" spans="1:4">
      <c r="A841" s="21" t="s">
        <v>818</v>
      </c>
      <c r="B841" s="21">
        <v>2.4766480457309101</v>
      </c>
      <c r="C841" s="21">
        <f t="shared" si="30"/>
        <v>-7.9731467759639685E-2</v>
      </c>
      <c r="D841" s="23">
        <f t="shared" si="31"/>
        <v>4.1907845369687675E-2</v>
      </c>
    </row>
    <row r="842" spans="1:4">
      <c r="A842" s="21" t="s">
        <v>817</v>
      </c>
      <c r="B842" s="21">
        <v>2.5563795134905498</v>
      </c>
      <c r="C842" s="21">
        <f t="shared" si="30"/>
        <v>-2.6902690057270195E-2</v>
      </c>
      <c r="D842" s="23">
        <f t="shared" si="31"/>
        <v>4.0962196420117183E-2</v>
      </c>
    </row>
    <row r="843" spans="1:4">
      <c r="A843" s="21" t="s">
        <v>816</v>
      </c>
      <c r="B843" s="21">
        <v>2.58328220354782</v>
      </c>
      <c r="C843" s="21">
        <f t="shared" si="30"/>
        <v>3.7963761870769996E-2</v>
      </c>
      <c r="D843" s="23">
        <f t="shared" si="31"/>
        <v>4.0874517852002586E-2</v>
      </c>
    </row>
    <row r="844" spans="1:4">
      <c r="A844" s="21" t="s">
        <v>815</v>
      </c>
      <c r="B844" s="21">
        <v>2.54531844167705</v>
      </c>
      <c r="C844" s="21">
        <f t="shared" si="30"/>
        <v>-7.8400413645769884E-2</v>
      </c>
      <c r="D844" s="23">
        <f t="shared" si="31"/>
        <v>4.0509570687149242E-2</v>
      </c>
    </row>
    <row r="845" spans="1:4">
      <c r="A845" s="21" t="s">
        <v>814</v>
      </c>
      <c r="B845" s="21">
        <v>2.6237188553228199</v>
      </c>
      <c r="C845" s="21">
        <f t="shared" si="30"/>
        <v>7.2755251536630094E-2</v>
      </c>
      <c r="D845" s="23">
        <f t="shared" si="31"/>
        <v>4.2236753704237469E-2</v>
      </c>
    </row>
    <row r="846" spans="1:4">
      <c r="A846" s="21" t="s">
        <v>813</v>
      </c>
      <c r="B846" s="21">
        <v>2.5509636037861898</v>
      </c>
      <c r="C846" s="21">
        <f t="shared" si="30"/>
        <v>-3.7708771154860266E-2</v>
      </c>
      <c r="D846" s="23">
        <f t="shared" si="31"/>
        <v>4.1347041566150301E-2</v>
      </c>
    </row>
    <row r="847" spans="1:4">
      <c r="A847" s="21" t="s">
        <v>812</v>
      </c>
      <c r="B847" s="21">
        <v>2.5886723749410501</v>
      </c>
      <c r="C847" s="21">
        <f t="shared" si="30"/>
        <v>-2.7714840317739853E-2</v>
      </c>
      <c r="D847" s="23">
        <f t="shared" si="31"/>
        <v>4.162877656197108E-2</v>
      </c>
    </row>
    <row r="848" spans="1:4">
      <c r="A848" s="21" t="s">
        <v>811</v>
      </c>
      <c r="B848" s="21">
        <v>2.6163872152587899</v>
      </c>
      <c r="C848" s="21">
        <f t="shared" si="30"/>
        <v>3.7886602541719938E-2</v>
      </c>
      <c r="D848" s="23">
        <f t="shared" si="31"/>
        <v>4.4785300653016877E-2</v>
      </c>
    </row>
    <row r="849" spans="1:4">
      <c r="A849" s="21" t="s">
        <v>810</v>
      </c>
      <c r="B849" s="21">
        <v>2.57850061271707</v>
      </c>
      <c r="C849" s="21">
        <f t="shared" si="30"/>
        <v>-8.9691915324820126E-2</v>
      </c>
      <c r="D849" s="23">
        <f t="shared" si="31"/>
        <v>4.4430442998917213E-2</v>
      </c>
    </row>
    <row r="850" spans="1:4">
      <c r="A850" s="21" t="s">
        <v>809</v>
      </c>
      <c r="B850" s="21">
        <v>2.6681925280418901</v>
      </c>
      <c r="C850" s="21">
        <f t="shared" si="30"/>
        <v>5.4147191409640083E-2</v>
      </c>
      <c r="D850" s="23">
        <f t="shared" si="31"/>
        <v>4.3634987960039229E-2</v>
      </c>
    </row>
    <row r="851" spans="1:4">
      <c r="A851" s="21" t="s">
        <v>808</v>
      </c>
      <c r="B851" s="21">
        <v>2.61404533663225</v>
      </c>
      <c r="C851" s="21">
        <f t="shared" si="30"/>
        <v>-2.816667452480992E-2</v>
      </c>
      <c r="D851" s="23">
        <f t="shared" si="31"/>
        <v>4.3068663912089418E-2</v>
      </c>
    </row>
    <row r="852" spans="1:4">
      <c r="A852" s="21" t="s">
        <v>807</v>
      </c>
      <c r="B852" s="21">
        <v>2.6422120111570599</v>
      </c>
      <c r="C852" s="21">
        <f t="shared" si="30"/>
        <v>4.3311198871039736E-2</v>
      </c>
      <c r="D852" s="23">
        <f t="shared" si="31"/>
        <v>4.3093352742657985E-2</v>
      </c>
    </row>
    <row r="853" spans="1:4">
      <c r="A853" s="21" t="s">
        <v>806</v>
      </c>
      <c r="B853" s="21">
        <v>2.5989008122860202</v>
      </c>
      <c r="C853" s="21">
        <f t="shared" si="30"/>
        <v>3.7505253913203696E-3</v>
      </c>
      <c r="D853" s="23">
        <f t="shared" si="31"/>
        <v>4.3564087547365855E-2</v>
      </c>
    </row>
    <row r="854" spans="1:4">
      <c r="A854" s="21" t="s">
        <v>805</v>
      </c>
      <c r="B854" s="21">
        <v>2.5951502868946998</v>
      </c>
      <c r="C854" s="21">
        <f t="shared" si="30"/>
        <v>-1.8397868049560007E-2</v>
      </c>
      <c r="D854" s="23">
        <f t="shared" si="31"/>
        <v>4.3539013139057482E-2</v>
      </c>
    </row>
    <row r="855" spans="1:4">
      <c r="A855" s="21" t="s">
        <v>804</v>
      </c>
      <c r="B855" s="21">
        <v>2.6135481549442598</v>
      </c>
      <c r="C855" s="21">
        <f t="shared" si="30"/>
        <v>-1.7390625028160134E-2</v>
      </c>
      <c r="D855" s="23">
        <f t="shared" si="31"/>
        <v>4.3569370742909501E-2</v>
      </c>
    </row>
    <row r="856" spans="1:4">
      <c r="A856" s="21" t="s">
        <v>803</v>
      </c>
      <c r="B856" s="21">
        <v>2.63093877997242</v>
      </c>
      <c r="C856" s="21">
        <f t="shared" si="30"/>
        <v>-2.1625840038200117E-2</v>
      </c>
      <c r="D856" s="23">
        <f t="shared" si="31"/>
        <v>4.3570054645498416E-2</v>
      </c>
    </row>
    <row r="857" spans="1:4">
      <c r="A857" s="21" t="s">
        <v>802</v>
      </c>
      <c r="B857" s="21">
        <v>2.6525646200106201</v>
      </c>
      <c r="C857" s="21">
        <f t="shared" si="30"/>
        <v>-4.3394272611509965E-2</v>
      </c>
      <c r="D857" s="23">
        <f t="shared" si="31"/>
        <v>4.461693900948048E-2</v>
      </c>
    </row>
    <row r="858" spans="1:4">
      <c r="A858" s="21" t="s">
        <v>801</v>
      </c>
      <c r="B858" s="21">
        <v>2.6959588926221301</v>
      </c>
      <c r="C858" s="21">
        <f t="shared" si="30"/>
        <v>5.6061996497279942E-2</v>
      </c>
      <c r="D858" s="23">
        <f t="shared" si="31"/>
        <v>4.4437016822019969E-2</v>
      </c>
    </row>
    <row r="859" spans="1:4">
      <c r="A859" s="21" t="s">
        <v>800</v>
      </c>
      <c r="B859" s="21">
        <v>2.6398968961248501</v>
      </c>
      <c r="C859" s="21">
        <f t="shared" si="30"/>
        <v>-3.9208457848659783E-2</v>
      </c>
      <c r="D859" s="23">
        <f t="shared" si="31"/>
        <v>4.6088360593583171E-2</v>
      </c>
    </row>
    <row r="860" spans="1:4">
      <c r="A860" s="21" t="s">
        <v>799</v>
      </c>
      <c r="B860" s="21">
        <v>2.6791053539735099</v>
      </c>
      <c r="C860" s="21">
        <f t="shared" si="30"/>
        <v>1.52679761046981E-3</v>
      </c>
      <c r="D860" s="23">
        <f t="shared" si="31"/>
        <v>4.5983104282981947E-2</v>
      </c>
    </row>
    <row r="861" spans="1:4">
      <c r="A861" s="21" t="s">
        <v>798</v>
      </c>
      <c r="B861" s="21">
        <v>2.6775785563630401</v>
      </c>
      <c r="C861" s="21">
        <f t="shared" si="30"/>
        <v>-2.9411373631480053E-2</v>
      </c>
      <c r="D861" s="23">
        <f t="shared" si="31"/>
        <v>4.5967206247232696E-2</v>
      </c>
    </row>
    <row r="862" spans="1:4">
      <c r="A862" s="21" t="s">
        <v>797</v>
      </c>
      <c r="B862" s="21">
        <v>2.7069899299945201</v>
      </c>
      <c r="C862" s="21">
        <f t="shared" si="30"/>
        <v>3.4830908195980115E-2</v>
      </c>
      <c r="D862" s="23">
        <f t="shared" si="31"/>
        <v>5.1787859088723243E-2</v>
      </c>
    </row>
    <row r="863" spans="1:4">
      <c r="A863" s="21" t="s">
        <v>796</v>
      </c>
      <c r="B863" s="21">
        <v>2.67215902179854</v>
      </c>
      <c r="C863" s="21">
        <f t="shared" si="30"/>
        <v>4.9902967276870047E-2</v>
      </c>
      <c r="D863" s="23">
        <f t="shared" si="31"/>
        <v>5.2565983466358081E-2</v>
      </c>
    </row>
    <row r="864" spans="1:4">
      <c r="A864" s="21" t="s">
        <v>795</v>
      </c>
      <c r="B864" s="21">
        <v>2.62225605452167</v>
      </c>
      <c r="C864" s="21">
        <f t="shared" si="30"/>
        <v>9.0669851286770076E-2</v>
      </c>
      <c r="D864" s="23">
        <f t="shared" si="31"/>
        <v>5.2086311790927736E-2</v>
      </c>
    </row>
    <row r="865" spans="1:4">
      <c r="A865" s="21" t="s">
        <v>794</v>
      </c>
      <c r="B865" s="21">
        <v>2.5315862032348999</v>
      </c>
      <c r="C865" s="21">
        <f t="shared" si="30"/>
        <v>-0.11480432539961027</v>
      </c>
      <c r="D865" s="23">
        <f t="shared" si="31"/>
        <v>5.0553629166214628E-2</v>
      </c>
    </row>
    <row r="866" spans="1:4">
      <c r="A866" s="21" t="s">
        <v>793</v>
      </c>
      <c r="B866" s="21">
        <v>2.6463905286345102</v>
      </c>
      <c r="C866" s="21">
        <f t="shared" si="30"/>
        <v>-3.8473733051749726E-2</v>
      </c>
      <c r="D866" s="23">
        <f t="shared" si="31"/>
        <v>4.8779523365102377E-2</v>
      </c>
    </row>
    <row r="867" spans="1:4">
      <c r="A867" s="21" t="s">
        <v>792</v>
      </c>
      <c r="B867" s="21">
        <v>2.6848642616862599</v>
      </c>
      <c r="C867" s="21">
        <f t="shared" si="30"/>
        <v>-8.6623584105800067E-2</v>
      </c>
      <c r="D867" s="23">
        <f t="shared" si="31"/>
        <v>4.8821510844404503E-2</v>
      </c>
    </row>
    <row r="868" spans="1:4">
      <c r="A868" s="21" t="s">
        <v>791</v>
      </c>
      <c r="B868" s="21">
        <v>2.77148784579206</v>
      </c>
      <c r="C868" s="21">
        <f t="shared" si="30"/>
        <v>8.0343498658401735E-3</v>
      </c>
      <c r="D868" s="23">
        <f t="shared" si="31"/>
        <v>4.7774715916713277E-2</v>
      </c>
    </row>
    <row r="869" spans="1:4">
      <c r="A869" s="21" t="s">
        <v>790</v>
      </c>
      <c r="B869" s="21">
        <v>2.7634534959262198</v>
      </c>
      <c r="C869" s="21">
        <f t="shared" si="30"/>
        <v>2.9113086117900089E-3</v>
      </c>
      <c r="D869" s="23">
        <f t="shared" si="31"/>
        <v>4.7782356219915494E-2</v>
      </c>
    </row>
    <row r="870" spans="1:4">
      <c r="A870" s="21" t="s">
        <v>789</v>
      </c>
      <c r="B870" s="21">
        <v>2.7605421873144298</v>
      </c>
      <c r="C870" s="21">
        <f t="shared" si="30"/>
        <v>2.546094032171986E-2</v>
      </c>
      <c r="D870" s="23">
        <f t="shared" si="31"/>
        <v>4.7999724247623242E-2</v>
      </c>
    </row>
    <row r="871" spans="1:4">
      <c r="A871" s="21" t="s">
        <v>788</v>
      </c>
      <c r="B871" s="21">
        <v>2.7350812469927099</v>
      </c>
      <c r="C871" s="21">
        <f t="shared" si="30"/>
        <v>-3.4612338373340101E-2</v>
      </c>
      <c r="D871" s="23">
        <f t="shared" si="31"/>
        <v>4.829419202342454E-2</v>
      </c>
    </row>
    <row r="872" spans="1:4">
      <c r="A872" s="21" t="s">
        <v>787</v>
      </c>
      <c r="B872" s="21">
        <v>2.76969358536605</v>
      </c>
      <c r="C872" s="21">
        <f t="shared" si="30"/>
        <v>3.6123479079110066E-2</v>
      </c>
      <c r="D872" s="23">
        <f t="shared" si="31"/>
        <v>4.9034371197716357E-2</v>
      </c>
    </row>
    <row r="873" spans="1:4">
      <c r="A873" s="21" t="s">
        <v>786</v>
      </c>
      <c r="B873" s="21">
        <v>2.73357010628694</v>
      </c>
      <c r="C873" s="21">
        <f t="shared" si="30"/>
        <v>5.5598039952049927E-2</v>
      </c>
      <c r="D873" s="23">
        <f t="shared" si="31"/>
        <v>4.8809757726279573E-2</v>
      </c>
    </row>
    <row r="874" spans="1:4">
      <c r="A874" s="21" t="s">
        <v>785</v>
      </c>
      <c r="B874" s="21">
        <v>2.67797206633489</v>
      </c>
      <c r="C874" s="21">
        <f t="shared" si="30"/>
        <v>6.13138012278025E-3</v>
      </c>
      <c r="D874" s="23">
        <f t="shared" si="31"/>
        <v>4.8330232642396373E-2</v>
      </c>
    </row>
    <row r="875" spans="1:4">
      <c r="A875" s="21" t="s">
        <v>784</v>
      </c>
      <c r="B875" s="21">
        <v>2.6718406862121098</v>
      </c>
      <c r="C875" s="21">
        <f t="shared" si="30"/>
        <v>-6.8288012123130404E-2</v>
      </c>
      <c r="D875" s="23">
        <f t="shared" si="31"/>
        <v>4.8354650076343514E-2</v>
      </c>
    </row>
    <row r="876" spans="1:4">
      <c r="A876" s="21" t="s">
        <v>783</v>
      </c>
      <c r="B876" s="21">
        <v>2.7401286983352402</v>
      </c>
      <c r="C876" s="21">
        <f t="shared" si="30"/>
        <v>-2.9580489652319741E-2</v>
      </c>
      <c r="D876" s="23">
        <f t="shared" si="31"/>
        <v>4.7817384105056045E-2</v>
      </c>
    </row>
    <row r="877" spans="1:4">
      <c r="A877" s="21" t="s">
        <v>782</v>
      </c>
      <c r="B877" s="21">
        <v>2.7697091879875599</v>
      </c>
      <c r="C877" s="21">
        <f t="shared" si="30"/>
        <v>-4.265723849040004E-3</v>
      </c>
      <c r="D877" s="23">
        <f t="shared" si="31"/>
        <v>4.8087752321728149E-2</v>
      </c>
    </row>
    <row r="878" spans="1:4">
      <c r="A878" s="21" t="s">
        <v>781</v>
      </c>
      <c r="B878" s="21">
        <v>2.7739749118365999</v>
      </c>
      <c r="C878" s="21">
        <f t="shared" si="30"/>
        <v>-3.1302295878799846E-2</v>
      </c>
      <c r="D878" s="23">
        <f t="shared" si="31"/>
        <v>4.8653351006888543E-2</v>
      </c>
    </row>
    <row r="879" spans="1:4">
      <c r="A879" s="21" t="s">
        <v>780</v>
      </c>
      <c r="B879" s="21">
        <v>2.8052772077153998</v>
      </c>
      <c r="C879" s="21">
        <f t="shared" si="30"/>
        <v>-1.9330656002480406E-2</v>
      </c>
      <c r="D879" s="23">
        <f t="shared" si="31"/>
        <v>4.8740888842513888E-2</v>
      </c>
    </row>
    <row r="880" spans="1:4">
      <c r="A880" s="21" t="s">
        <v>779</v>
      </c>
      <c r="B880" s="21">
        <v>2.8246078637178802</v>
      </c>
      <c r="C880" s="21">
        <f t="shared" si="30"/>
        <v>-8.1564341220197178E-3</v>
      </c>
      <c r="D880" s="23">
        <f t="shared" si="31"/>
        <v>4.9096786241626673E-2</v>
      </c>
    </row>
    <row r="881" spans="1:4">
      <c r="A881" s="21" t="s">
        <v>778</v>
      </c>
      <c r="B881" s="21">
        <v>2.8327642978398999</v>
      </c>
      <c r="C881" s="21">
        <f t="shared" si="30"/>
        <v>-1.2938024094069966E-2</v>
      </c>
      <c r="D881" s="23">
        <f t="shared" si="31"/>
        <v>4.9118877911786513E-2</v>
      </c>
    </row>
    <row r="882" spans="1:4">
      <c r="A882" s="21" t="s">
        <v>777</v>
      </c>
      <c r="B882" s="21">
        <v>2.8457023219339699</v>
      </c>
      <c r="C882" s="21">
        <f t="shared" si="30"/>
        <v>-1.2771372245670154E-2</v>
      </c>
      <c r="D882" s="23">
        <f t="shared" si="31"/>
        <v>4.9541379105309785E-2</v>
      </c>
    </row>
    <row r="883" spans="1:4">
      <c r="A883" s="21" t="s">
        <v>776</v>
      </c>
      <c r="B883" s="21">
        <v>2.85847369417964</v>
      </c>
      <c r="C883" s="21">
        <f t="shared" si="30"/>
        <v>7.6055700016501859E-3</v>
      </c>
      <c r="D883" s="23">
        <f t="shared" si="31"/>
        <v>4.9519212747237265E-2</v>
      </c>
    </row>
    <row r="884" spans="1:4">
      <c r="A884" s="21" t="s">
        <v>775</v>
      </c>
      <c r="B884" s="21">
        <v>2.8508681241779898</v>
      </c>
      <c r="C884" s="21">
        <f t="shared" si="30"/>
        <v>-3.1466513637650184E-2</v>
      </c>
      <c r="D884" s="23">
        <f t="shared" si="31"/>
        <v>4.9738622426706292E-2</v>
      </c>
    </row>
    <row r="885" spans="1:4">
      <c r="A885" s="21" t="s">
        <v>774</v>
      </c>
      <c r="B885" s="21">
        <v>2.88233463781564</v>
      </c>
      <c r="C885" s="21">
        <f t="shared" si="30"/>
        <v>8.9536828068199625E-3</v>
      </c>
      <c r="D885" s="23">
        <f t="shared" si="31"/>
        <v>5.0583674591049572E-2</v>
      </c>
    </row>
    <row r="886" spans="1:4">
      <c r="A886" s="21" t="s">
        <v>773</v>
      </c>
      <c r="B886" s="21">
        <v>2.8733809550088201</v>
      </c>
      <c r="C886" s="21">
        <f t="shared" si="30"/>
        <v>-1.7467477330650016E-2</v>
      </c>
      <c r="D886" s="23">
        <f t="shared" si="31"/>
        <v>5.0717219159186713E-2</v>
      </c>
    </row>
    <row r="887" spans="1:4">
      <c r="A887" s="21" t="s">
        <v>772</v>
      </c>
      <c r="B887" s="21">
        <v>2.8908484323394701</v>
      </c>
      <c r="C887" s="21">
        <f t="shared" si="30"/>
        <v>3.2254260661670031E-2</v>
      </c>
      <c r="D887" s="23">
        <f t="shared" si="31"/>
        <v>5.082169101782813E-2</v>
      </c>
    </row>
    <row r="888" spans="1:4">
      <c r="A888" s="21" t="s">
        <v>771</v>
      </c>
      <c r="B888" s="21">
        <v>2.8585941716778001</v>
      </c>
      <c r="C888" s="21">
        <f t="shared" si="30"/>
        <v>-1.3077945133900037E-2</v>
      </c>
      <c r="D888" s="23">
        <f t="shared" si="31"/>
        <v>5.1084963068842852E-2</v>
      </c>
    </row>
    <row r="889" spans="1:4">
      <c r="A889" s="21" t="s">
        <v>770</v>
      </c>
      <c r="B889" s="21">
        <v>2.8716721168117001</v>
      </c>
      <c r="C889" s="21">
        <f t="shared" si="30"/>
        <v>-2.0728856792830097E-2</v>
      </c>
      <c r="D889" s="23">
        <f t="shared" si="31"/>
        <v>5.2436267291959077E-2</v>
      </c>
    </row>
    <row r="890" spans="1:4">
      <c r="A890" s="21" t="s">
        <v>769</v>
      </c>
      <c r="B890" s="21">
        <v>2.8924009736045302</v>
      </c>
      <c r="C890" s="21">
        <f t="shared" si="30"/>
        <v>-3.0010487796469754E-2</v>
      </c>
      <c r="D890" s="23">
        <f t="shared" si="31"/>
        <v>5.2907864510620448E-2</v>
      </c>
    </row>
    <row r="891" spans="1:4">
      <c r="A891" s="21" t="s">
        <v>768</v>
      </c>
      <c r="B891" s="21">
        <v>2.9224114614009999</v>
      </c>
      <c r="C891" s="21">
        <f t="shared" si="30"/>
        <v>2.1441341603360087E-2</v>
      </c>
      <c r="D891" s="23">
        <f t="shared" si="31"/>
        <v>5.2746258252246644E-2</v>
      </c>
    </row>
    <row r="892" spans="1:4">
      <c r="A892" s="21" t="s">
        <v>767</v>
      </c>
      <c r="B892" s="21">
        <v>2.9009701197976399</v>
      </c>
      <c r="C892" s="21">
        <f t="shared" si="30"/>
        <v>3.0155968906739883E-2</v>
      </c>
      <c r="D892" s="23">
        <f t="shared" si="31"/>
        <v>5.2878024929942917E-2</v>
      </c>
    </row>
    <row r="893" spans="1:4">
      <c r="A893" s="21" t="s">
        <v>766</v>
      </c>
      <c r="B893" s="21">
        <v>2.8708141508909</v>
      </c>
      <c r="C893" s="21">
        <f t="shared" si="30"/>
        <v>-3.2537210740950062E-2</v>
      </c>
      <c r="D893" s="23">
        <f t="shared" si="31"/>
        <v>5.274435363274959E-2</v>
      </c>
    </row>
    <row r="894" spans="1:4">
      <c r="A894" s="21" t="s">
        <v>765</v>
      </c>
      <c r="B894" s="21">
        <v>2.90335136163185</v>
      </c>
      <c r="C894" s="21">
        <f t="shared" si="30"/>
        <v>1.5912335181900161E-2</v>
      </c>
      <c r="D894" s="23">
        <f t="shared" si="31"/>
        <v>5.2775825821444335E-2</v>
      </c>
    </row>
    <row r="895" spans="1:4">
      <c r="A895" s="21" t="s">
        <v>764</v>
      </c>
      <c r="B895" s="21">
        <v>2.8874390264499499</v>
      </c>
      <c r="C895" s="21">
        <f t="shared" si="30"/>
        <v>-4.3017508036359953E-2</v>
      </c>
      <c r="D895" s="23">
        <f t="shared" si="31"/>
        <v>5.3349542369785778E-2</v>
      </c>
    </row>
    <row r="896" spans="1:4">
      <c r="A896" s="21" t="s">
        <v>763</v>
      </c>
      <c r="B896" s="21">
        <v>2.9304565344863098</v>
      </c>
      <c r="C896" s="21">
        <f t="shared" si="30"/>
        <v>-2.664300411662035E-2</v>
      </c>
      <c r="D896" s="23">
        <f t="shared" si="31"/>
        <v>5.3529546002516776E-2</v>
      </c>
    </row>
    <row r="897" spans="1:4">
      <c r="A897" s="21" t="s">
        <v>762</v>
      </c>
      <c r="B897" s="21">
        <v>2.9570995386029302</v>
      </c>
      <c r="C897" s="21">
        <f t="shared" si="30"/>
        <v>3.9016323049480217E-2</v>
      </c>
      <c r="D897" s="23">
        <f t="shared" si="31"/>
        <v>5.3444218449523677E-2</v>
      </c>
    </row>
    <row r="898" spans="1:4">
      <c r="A898" s="21" t="s">
        <v>761</v>
      </c>
      <c r="B898" s="21">
        <v>2.91808321555345</v>
      </c>
      <c r="C898" s="21">
        <f t="shared" ref="C898:C961" si="32">B898-B899</f>
        <v>-1.4182534966610039E-2</v>
      </c>
      <c r="D898" s="23">
        <f t="shared" ref="D898:D961" si="33">STDEV(C898:C957)</f>
        <v>5.3195984979135386E-2</v>
      </c>
    </row>
    <row r="899" spans="1:4">
      <c r="A899" s="21" t="s">
        <v>760</v>
      </c>
      <c r="B899" s="21">
        <v>2.93226575052006</v>
      </c>
      <c r="C899" s="21">
        <f t="shared" si="32"/>
        <v>-3.518427397027013E-2</v>
      </c>
      <c r="D899" s="23">
        <f t="shared" si="33"/>
        <v>5.3190577458175438E-2</v>
      </c>
    </row>
    <row r="900" spans="1:4">
      <c r="A900" s="21" t="s">
        <v>759</v>
      </c>
      <c r="B900" s="21">
        <v>2.9674500244903301</v>
      </c>
      <c r="C900" s="21">
        <f t="shared" si="32"/>
        <v>3.6666879652849982E-2</v>
      </c>
      <c r="D900" s="23">
        <f t="shared" si="33"/>
        <v>5.3592372673204575E-2</v>
      </c>
    </row>
    <row r="901" spans="1:4">
      <c r="A901" s="21" t="s">
        <v>758</v>
      </c>
      <c r="B901" s="21">
        <v>2.9307831448374801</v>
      </c>
      <c r="C901" s="21">
        <f t="shared" si="32"/>
        <v>1.9797905268690297E-2</v>
      </c>
      <c r="D901" s="23">
        <f t="shared" si="33"/>
        <v>5.3635436914120746E-2</v>
      </c>
    </row>
    <row r="902" spans="1:4">
      <c r="A902" s="21" t="s">
        <v>757</v>
      </c>
      <c r="B902" s="21">
        <v>2.9109852395687899</v>
      </c>
      <c r="C902" s="21">
        <f t="shared" si="32"/>
        <v>-5.308752704999975E-4</v>
      </c>
      <c r="D902" s="23">
        <f t="shared" si="33"/>
        <v>5.3900708628230327E-2</v>
      </c>
    </row>
    <row r="903" spans="1:4">
      <c r="A903" s="21" t="s">
        <v>756</v>
      </c>
      <c r="B903" s="21">
        <v>2.9115161148392898</v>
      </c>
      <c r="C903" s="21">
        <f t="shared" si="32"/>
        <v>-1.9205959916260174E-2</v>
      </c>
      <c r="D903" s="23">
        <f t="shared" si="33"/>
        <v>5.411869271383276E-2</v>
      </c>
    </row>
    <row r="904" spans="1:4">
      <c r="A904" s="21" t="s">
        <v>755</v>
      </c>
      <c r="B904" s="21">
        <v>2.93072207475555</v>
      </c>
      <c r="C904" s="21">
        <f t="shared" si="32"/>
        <v>-0.12324106162192017</v>
      </c>
      <c r="D904" s="23">
        <f t="shared" si="33"/>
        <v>5.4218933886974151E-2</v>
      </c>
    </row>
    <row r="905" spans="1:4">
      <c r="A905" s="21" t="s">
        <v>754</v>
      </c>
      <c r="B905" s="21">
        <v>3.0539631363774702</v>
      </c>
      <c r="C905" s="21">
        <f t="shared" si="32"/>
        <v>-5.4835413126849808E-2</v>
      </c>
      <c r="D905" s="23">
        <f t="shared" si="33"/>
        <v>5.1935139826178908E-2</v>
      </c>
    </row>
    <row r="906" spans="1:4">
      <c r="A906" s="21" t="s">
        <v>753</v>
      </c>
      <c r="B906" s="21">
        <v>3.10879854950432</v>
      </c>
      <c r="C906" s="21">
        <f t="shared" si="32"/>
        <v>-5.6117296050219867E-2</v>
      </c>
      <c r="D906" s="23">
        <f t="shared" si="33"/>
        <v>5.1635102942159186E-2</v>
      </c>
    </row>
    <row r="907" spans="1:4">
      <c r="A907" s="21" t="s">
        <v>752</v>
      </c>
      <c r="B907" s="21">
        <v>3.1649158455545399</v>
      </c>
      <c r="C907" s="21">
        <f t="shared" si="32"/>
        <v>0.11995189032693965</v>
      </c>
      <c r="D907" s="23">
        <f t="shared" si="33"/>
        <v>5.1060147827269732E-2</v>
      </c>
    </row>
    <row r="908" spans="1:4">
      <c r="A908" s="21" t="s">
        <v>751</v>
      </c>
      <c r="B908" s="21">
        <v>3.0449639552276002</v>
      </c>
      <c r="C908" s="21">
        <f t="shared" si="32"/>
        <v>-2.1957620186349835E-2</v>
      </c>
      <c r="D908" s="23">
        <f t="shared" si="33"/>
        <v>4.9315097516776901E-2</v>
      </c>
    </row>
    <row r="909" spans="1:4">
      <c r="A909" s="21" t="s">
        <v>750</v>
      </c>
      <c r="B909" s="21">
        <v>3.0669215754139501</v>
      </c>
      <c r="C909" s="21">
        <f t="shared" si="32"/>
        <v>4.4961210114319972E-2</v>
      </c>
      <c r="D909" s="23">
        <f t="shared" si="33"/>
        <v>5.0514183517030721E-2</v>
      </c>
    </row>
    <row r="910" spans="1:4">
      <c r="A910" s="21" t="s">
        <v>749</v>
      </c>
      <c r="B910" s="21">
        <v>3.0219603652996301</v>
      </c>
      <c r="C910" s="21">
        <f t="shared" si="32"/>
        <v>-3.4883522680480006E-2</v>
      </c>
      <c r="D910" s="23">
        <f t="shared" si="33"/>
        <v>5.0187746596708202E-2</v>
      </c>
    </row>
    <row r="911" spans="1:4">
      <c r="A911" s="21" t="s">
        <v>748</v>
      </c>
      <c r="B911" s="21">
        <v>3.0568438879801101</v>
      </c>
      <c r="C911" s="21">
        <f t="shared" si="32"/>
        <v>1.6940911036260164E-2</v>
      </c>
      <c r="D911" s="23">
        <f t="shared" si="33"/>
        <v>5.0083145287489146E-2</v>
      </c>
    </row>
    <row r="912" spans="1:4">
      <c r="A912" s="21" t="s">
        <v>747</v>
      </c>
      <c r="B912" s="21">
        <v>3.0399029769438499</v>
      </c>
      <c r="C912" s="21">
        <f t="shared" si="32"/>
        <v>-7.8374253842699915E-2</v>
      </c>
      <c r="D912" s="23">
        <f t="shared" si="33"/>
        <v>5.0063031933049139E-2</v>
      </c>
    </row>
    <row r="913" spans="1:4">
      <c r="A913" s="21" t="s">
        <v>746</v>
      </c>
      <c r="B913" s="21">
        <v>3.1182772307865498</v>
      </c>
      <c r="C913" s="21">
        <f t="shared" si="32"/>
        <v>-1.4171959390240296E-2</v>
      </c>
      <c r="D913" s="23">
        <f t="shared" si="33"/>
        <v>4.9063187784513414E-2</v>
      </c>
    </row>
    <row r="914" spans="1:4">
      <c r="A914" s="21" t="s">
        <v>745</v>
      </c>
      <c r="B914" s="21">
        <v>3.1324491901767901</v>
      </c>
      <c r="C914" s="21">
        <f t="shared" si="32"/>
        <v>-2.4634139662049748E-2</v>
      </c>
      <c r="D914" s="23">
        <f t="shared" si="33"/>
        <v>5.0886590079586132E-2</v>
      </c>
    </row>
    <row r="915" spans="1:4">
      <c r="A915" s="21" t="s">
        <v>744</v>
      </c>
      <c r="B915" s="21">
        <v>3.1570833298388399</v>
      </c>
      <c r="C915" s="21">
        <f t="shared" si="32"/>
        <v>-2.3634031661012855E-4</v>
      </c>
      <c r="D915" s="23">
        <f t="shared" si="33"/>
        <v>5.0839863426723961E-2</v>
      </c>
    </row>
    <row r="916" spans="1:4">
      <c r="A916" s="21" t="s">
        <v>743</v>
      </c>
      <c r="B916" s="21">
        <v>3.15731967015545</v>
      </c>
      <c r="C916" s="21">
        <f t="shared" si="32"/>
        <v>-8.412062205159998E-2</v>
      </c>
      <c r="D916" s="23">
        <f t="shared" si="33"/>
        <v>5.1753662757672111E-2</v>
      </c>
    </row>
    <row r="917" spans="1:4">
      <c r="A917" s="21" t="s">
        <v>742</v>
      </c>
      <c r="B917" s="21">
        <v>3.24144029220705</v>
      </c>
      <c r="C917" s="21">
        <f t="shared" si="32"/>
        <v>5.0645248679699328E-3</v>
      </c>
      <c r="D917" s="23">
        <f t="shared" si="33"/>
        <v>5.0559582106258473E-2</v>
      </c>
    </row>
    <row r="918" spans="1:4">
      <c r="A918" s="21" t="s">
        <v>741</v>
      </c>
      <c r="B918" s="21">
        <v>3.2363757673390801</v>
      </c>
      <c r="C918" s="21">
        <f t="shared" si="32"/>
        <v>0.10542381683236002</v>
      </c>
      <c r="D918" s="23">
        <f t="shared" si="33"/>
        <v>5.0768260067846703E-2</v>
      </c>
    </row>
    <row r="919" spans="1:4">
      <c r="A919" s="21" t="s">
        <v>740</v>
      </c>
      <c r="B919" s="21">
        <v>3.13095195050672</v>
      </c>
      <c r="C919" s="21">
        <f t="shared" si="32"/>
        <v>-2.8003905879229851E-2</v>
      </c>
      <c r="D919" s="23">
        <f t="shared" si="33"/>
        <v>4.9966629874595152E-2</v>
      </c>
    </row>
    <row r="920" spans="1:4">
      <c r="A920" s="21" t="s">
        <v>739</v>
      </c>
      <c r="B920" s="21">
        <v>3.1589558563859499</v>
      </c>
      <c r="C920" s="21">
        <f t="shared" si="32"/>
        <v>-1.0629504246880028E-2</v>
      </c>
      <c r="D920" s="23">
        <f t="shared" si="33"/>
        <v>4.984235439971977E-2</v>
      </c>
    </row>
    <row r="921" spans="1:4">
      <c r="A921" s="21" t="s">
        <v>738</v>
      </c>
      <c r="B921" s="21">
        <v>3.1695853606328299</v>
      </c>
      <c r="C921" s="21">
        <f t="shared" si="32"/>
        <v>0.1781841187567399</v>
      </c>
      <c r="D921" s="23">
        <f t="shared" si="33"/>
        <v>5.0280826339600973E-2</v>
      </c>
    </row>
    <row r="922" spans="1:4">
      <c r="A922" s="21" t="s">
        <v>737</v>
      </c>
      <c r="B922" s="21">
        <v>2.99140124187609</v>
      </c>
      <c r="C922" s="21">
        <f t="shared" si="32"/>
        <v>7.5158451848490238E-2</v>
      </c>
      <c r="D922" s="23">
        <f t="shared" si="33"/>
        <v>4.4976268589635278E-2</v>
      </c>
    </row>
    <row r="923" spans="1:4">
      <c r="A923" s="21" t="s">
        <v>736</v>
      </c>
      <c r="B923" s="21">
        <v>2.9162427900275998</v>
      </c>
      <c r="C923" s="21">
        <f t="shared" si="32"/>
        <v>-5.7079454719199951E-3</v>
      </c>
      <c r="D923" s="23">
        <f t="shared" si="33"/>
        <v>4.4848293791148734E-2</v>
      </c>
    </row>
    <row r="924" spans="1:4">
      <c r="A924" s="21" t="s">
        <v>735</v>
      </c>
      <c r="B924" s="21">
        <v>2.9219507354995198</v>
      </c>
      <c r="C924" s="21">
        <f t="shared" si="32"/>
        <v>-1.1689544841030131E-2</v>
      </c>
      <c r="D924" s="23">
        <f t="shared" si="33"/>
        <v>4.5170855406518141E-2</v>
      </c>
    </row>
    <row r="925" spans="1:4">
      <c r="A925" s="21" t="s">
        <v>734</v>
      </c>
      <c r="B925" s="21">
        <v>2.9336402803405499</v>
      </c>
      <c r="C925" s="21">
        <f t="shared" si="32"/>
        <v>3.401842259424992E-2</v>
      </c>
      <c r="D925" s="23">
        <f t="shared" si="33"/>
        <v>4.5162853623997572E-2</v>
      </c>
    </row>
    <row r="926" spans="1:4">
      <c r="A926" s="21" t="s">
        <v>733</v>
      </c>
      <c r="B926" s="21">
        <v>2.8996218577463</v>
      </c>
      <c r="C926" s="21">
        <f t="shared" si="32"/>
        <v>3.4560473741370057E-2</v>
      </c>
      <c r="D926" s="23">
        <f t="shared" si="33"/>
        <v>4.614100962208792E-2</v>
      </c>
    </row>
    <row r="927" spans="1:4">
      <c r="A927" s="21" t="s">
        <v>732</v>
      </c>
      <c r="B927" s="21">
        <v>2.8650613840049299</v>
      </c>
      <c r="C927" s="21">
        <f t="shared" si="32"/>
        <v>-3.570938047575023E-2</v>
      </c>
      <c r="D927" s="23">
        <f t="shared" si="33"/>
        <v>4.6030437049134752E-2</v>
      </c>
    </row>
    <row r="928" spans="1:4">
      <c r="A928" s="21" t="s">
        <v>731</v>
      </c>
      <c r="B928" s="21">
        <v>2.9007707644806802</v>
      </c>
      <c r="C928" s="21">
        <f t="shared" si="32"/>
        <v>9.9677582633201922E-3</v>
      </c>
      <c r="D928" s="23">
        <f t="shared" si="33"/>
        <v>4.6900718200990309E-2</v>
      </c>
    </row>
    <row r="929" spans="1:4">
      <c r="A929" s="21" t="s">
        <v>730</v>
      </c>
      <c r="B929" s="21">
        <v>2.89080300621736</v>
      </c>
      <c r="C929" s="21">
        <f t="shared" si="32"/>
        <v>-3.7920596654439809E-2</v>
      </c>
      <c r="D929" s="23">
        <f t="shared" si="33"/>
        <v>4.6922691292056541E-2</v>
      </c>
    </row>
    <row r="930" spans="1:4">
      <c r="A930" s="21" t="s">
        <v>729</v>
      </c>
      <c r="B930" s="21">
        <v>2.9287236028717998</v>
      </c>
      <c r="C930" s="21">
        <f t="shared" si="32"/>
        <v>4.6992056529899795E-2</v>
      </c>
      <c r="D930" s="23">
        <f t="shared" si="33"/>
        <v>4.6770337556967689E-2</v>
      </c>
    </row>
    <row r="931" spans="1:4">
      <c r="A931" s="21" t="s">
        <v>728</v>
      </c>
      <c r="B931" s="21">
        <v>2.8817315463419</v>
      </c>
      <c r="C931" s="21">
        <f t="shared" si="32"/>
        <v>7.1535378708010189E-2</v>
      </c>
      <c r="D931" s="23">
        <f t="shared" si="33"/>
        <v>4.6980541975380652E-2</v>
      </c>
    </row>
    <row r="932" spans="1:4">
      <c r="A932" s="21" t="s">
        <v>727</v>
      </c>
      <c r="B932" s="21">
        <v>2.8101961676338898</v>
      </c>
      <c r="C932" s="21">
        <f t="shared" si="32"/>
        <v>-1.0342884267940278E-2</v>
      </c>
      <c r="D932" s="23">
        <f t="shared" si="33"/>
        <v>4.615506574118107E-2</v>
      </c>
    </row>
    <row r="933" spans="1:4">
      <c r="A933" s="21" t="s">
        <v>726</v>
      </c>
      <c r="B933" s="21">
        <v>2.8205390519018301</v>
      </c>
      <c r="C933" s="21">
        <f t="shared" si="32"/>
        <v>-2.6308026466059786E-2</v>
      </c>
      <c r="D933" s="23">
        <f t="shared" si="33"/>
        <v>4.6152108706323892E-2</v>
      </c>
    </row>
    <row r="934" spans="1:4">
      <c r="A934" s="21" t="s">
        <v>725</v>
      </c>
      <c r="B934" s="21">
        <v>2.8468470783678899</v>
      </c>
      <c r="C934" s="21">
        <f t="shared" si="32"/>
        <v>1.2014242258209684E-2</v>
      </c>
      <c r="D934" s="23">
        <f t="shared" si="33"/>
        <v>4.6075237125528364E-2</v>
      </c>
    </row>
    <row r="935" spans="1:4">
      <c r="A935" s="21" t="s">
        <v>724</v>
      </c>
      <c r="B935" s="21">
        <v>2.8348328361096802</v>
      </c>
      <c r="C935" s="21">
        <f t="shared" si="32"/>
        <v>-3.8298557133619848E-2</v>
      </c>
      <c r="D935" s="23">
        <f t="shared" si="33"/>
        <v>4.6165934591029002E-2</v>
      </c>
    </row>
    <row r="936" spans="1:4">
      <c r="A936" s="21" t="s">
        <v>723</v>
      </c>
      <c r="B936" s="21">
        <v>2.8731313932433</v>
      </c>
      <c r="C936" s="21">
        <f t="shared" si="32"/>
        <v>-5.0024605523499854E-2</v>
      </c>
      <c r="D936" s="23">
        <f t="shared" si="33"/>
        <v>4.7219730497466028E-2</v>
      </c>
    </row>
    <row r="937" spans="1:4">
      <c r="A937" s="21" t="s">
        <v>722</v>
      </c>
      <c r="B937" s="21">
        <v>2.9231559987667999</v>
      </c>
      <c r="C937" s="21">
        <f t="shared" si="32"/>
        <v>5.4795292829100006E-2</v>
      </c>
      <c r="D937" s="23">
        <f t="shared" si="33"/>
        <v>4.6844547718794337E-2</v>
      </c>
    </row>
    <row r="938" spans="1:4">
      <c r="A938" s="21" t="s">
        <v>721</v>
      </c>
      <c r="B938" s="21">
        <v>2.8683607059376999</v>
      </c>
      <c r="C938" s="21">
        <f t="shared" si="32"/>
        <v>3.6687644872429814E-2</v>
      </c>
      <c r="D938" s="23">
        <f t="shared" si="33"/>
        <v>4.6350649088934361E-2</v>
      </c>
    </row>
    <row r="939" spans="1:4">
      <c r="A939" s="21" t="s">
        <v>720</v>
      </c>
      <c r="B939" s="21">
        <v>2.8316730610652701</v>
      </c>
      <c r="C939" s="21">
        <f t="shared" si="32"/>
        <v>4.9461188656700017E-2</v>
      </c>
      <c r="D939" s="23">
        <f t="shared" si="33"/>
        <v>4.6195756502597558E-2</v>
      </c>
    </row>
    <row r="940" spans="1:4">
      <c r="A940" s="21" t="s">
        <v>719</v>
      </c>
      <c r="B940" s="21">
        <v>2.78221187240857</v>
      </c>
      <c r="C940" s="21">
        <f t="shared" si="32"/>
        <v>1.5397235040920165E-2</v>
      </c>
      <c r="D940" s="23">
        <f t="shared" si="33"/>
        <v>4.6199295498823886E-2</v>
      </c>
    </row>
    <row r="941" spans="1:4">
      <c r="A941" s="21" t="s">
        <v>718</v>
      </c>
      <c r="B941" s="21">
        <v>2.7668146373676499</v>
      </c>
      <c r="C941" s="21">
        <f t="shared" si="32"/>
        <v>-5.0670835001480174E-2</v>
      </c>
      <c r="D941" s="23">
        <f t="shared" si="33"/>
        <v>4.6284369574009554E-2</v>
      </c>
    </row>
    <row r="942" spans="1:4">
      <c r="A942" s="21" t="s">
        <v>717</v>
      </c>
      <c r="B942" s="21">
        <v>2.8174854723691301</v>
      </c>
      <c r="C942" s="21">
        <f t="shared" si="32"/>
        <v>7.7365030048501815E-3</v>
      </c>
      <c r="D942" s="23">
        <f t="shared" si="33"/>
        <v>4.5954995969663022E-2</v>
      </c>
    </row>
    <row r="943" spans="1:4">
      <c r="A943" s="21" t="s">
        <v>716</v>
      </c>
      <c r="B943" s="21">
        <v>2.8097489693642799</v>
      </c>
      <c r="C943" s="21">
        <f t="shared" si="32"/>
        <v>-3.6105470365650039E-2</v>
      </c>
      <c r="D943" s="23">
        <f t="shared" si="33"/>
        <v>4.6111981831937918E-2</v>
      </c>
    </row>
    <row r="944" spans="1:4">
      <c r="A944" s="21" t="s">
        <v>715</v>
      </c>
      <c r="B944" s="21">
        <v>2.8458544397299299</v>
      </c>
      <c r="C944" s="21">
        <f t="shared" si="32"/>
        <v>7.8823744707749999E-2</v>
      </c>
      <c r="D944" s="23">
        <f t="shared" si="33"/>
        <v>4.5947665703828605E-2</v>
      </c>
    </row>
    <row r="945" spans="1:4">
      <c r="A945" s="21" t="s">
        <v>714</v>
      </c>
      <c r="B945" s="21">
        <v>2.7670306950221799</v>
      </c>
      <c r="C945" s="21">
        <f t="shared" si="32"/>
        <v>-2.7571417763150308E-2</v>
      </c>
      <c r="D945" s="23">
        <f t="shared" si="33"/>
        <v>4.5325010616477923E-2</v>
      </c>
    </row>
    <row r="946" spans="1:4">
      <c r="A946" s="21" t="s">
        <v>713</v>
      </c>
      <c r="B946" s="21">
        <v>2.7946021127853302</v>
      </c>
      <c r="C946" s="21">
        <f t="shared" si="32"/>
        <v>3.3273679199120387E-2</v>
      </c>
      <c r="D946" s="23">
        <f t="shared" si="33"/>
        <v>4.5607066392698736E-2</v>
      </c>
    </row>
    <row r="947" spans="1:4">
      <c r="A947" s="21" t="s">
        <v>712</v>
      </c>
      <c r="B947" s="21">
        <v>2.7613284335862098</v>
      </c>
      <c r="C947" s="21">
        <f t="shared" si="32"/>
        <v>-4.8813875777440341E-2</v>
      </c>
      <c r="D947" s="23">
        <f t="shared" si="33"/>
        <v>4.656921176470926E-2</v>
      </c>
    </row>
    <row r="948" spans="1:4">
      <c r="A948" s="21" t="s">
        <v>711</v>
      </c>
      <c r="B948" s="21">
        <v>2.8101423093636502</v>
      </c>
      <c r="C948" s="21">
        <f t="shared" si="32"/>
        <v>9.3739793870110333E-2</v>
      </c>
      <c r="D948" s="23">
        <f t="shared" si="33"/>
        <v>4.6343219826463368E-2</v>
      </c>
    </row>
    <row r="949" spans="1:4">
      <c r="A949" s="21" t="s">
        <v>710</v>
      </c>
      <c r="B949" s="21">
        <v>2.7164025154935398</v>
      </c>
      <c r="C949" s="21">
        <f t="shared" si="32"/>
        <v>-5.6540527752530156E-2</v>
      </c>
      <c r="D949" s="23">
        <f t="shared" si="33"/>
        <v>4.4678783705727802E-2</v>
      </c>
    </row>
    <row r="950" spans="1:4">
      <c r="A950" s="21" t="s">
        <v>709</v>
      </c>
      <c r="B950" s="21">
        <v>2.77294304324607</v>
      </c>
      <c r="C950" s="21">
        <f t="shared" si="32"/>
        <v>-3.3522277110598075E-3</v>
      </c>
      <c r="D950" s="23">
        <f t="shared" si="33"/>
        <v>4.4749941733171525E-2</v>
      </c>
    </row>
    <row r="951" spans="1:4">
      <c r="A951" s="21" t="s">
        <v>708</v>
      </c>
      <c r="B951" s="21">
        <v>2.7762952709571298</v>
      </c>
      <c r="C951" s="21">
        <f t="shared" si="32"/>
        <v>-3.2652443324550084E-2</v>
      </c>
      <c r="D951" s="23">
        <f t="shared" si="33"/>
        <v>4.4812353954912856E-2</v>
      </c>
    </row>
    <row r="952" spans="1:4">
      <c r="A952" s="21" t="s">
        <v>707</v>
      </c>
      <c r="B952" s="21">
        <v>2.8089477142816799</v>
      </c>
      <c r="C952" s="21">
        <f t="shared" si="32"/>
        <v>7.0354173961995059E-4</v>
      </c>
      <c r="D952" s="23">
        <f t="shared" si="33"/>
        <v>4.7207182425334553E-2</v>
      </c>
    </row>
    <row r="953" spans="1:4">
      <c r="A953" s="21" t="s">
        <v>706</v>
      </c>
      <c r="B953" s="21">
        <v>2.8082441725420599</v>
      </c>
      <c r="C953" s="21">
        <f t="shared" si="32"/>
        <v>-3.5339667502269911E-2</v>
      </c>
      <c r="D953" s="23">
        <f t="shared" si="33"/>
        <v>4.8967466542859779E-2</v>
      </c>
    </row>
    <row r="954" spans="1:4">
      <c r="A954" s="21" t="s">
        <v>705</v>
      </c>
      <c r="B954" s="21">
        <v>2.8435838400443298</v>
      </c>
      <c r="C954" s="21">
        <f t="shared" si="32"/>
        <v>-6.1572437551310255E-2</v>
      </c>
      <c r="D954" s="23">
        <f t="shared" si="33"/>
        <v>4.9722354087923797E-2</v>
      </c>
    </row>
    <row r="955" spans="1:4">
      <c r="A955" s="21" t="s">
        <v>704</v>
      </c>
      <c r="B955" s="21">
        <v>2.9051562775956401</v>
      </c>
      <c r="C955" s="21">
        <f t="shared" si="32"/>
        <v>-5.4724610708329902E-2</v>
      </c>
      <c r="D955" s="23">
        <f t="shared" si="33"/>
        <v>5.1964457002211063E-2</v>
      </c>
    </row>
    <row r="956" spans="1:4">
      <c r="A956" s="21" t="s">
        <v>703</v>
      </c>
      <c r="B956" s="21">
        <v>2.95988088830397</v>
      </c>
      <c r="C956" s="21">
        <f t="shared" si="32"/>
        <v>-1.2683253815290119E-2</v>
      </c>
      <c r="D956" s="23">
        <f t="shared" si="33"/>
        <v>5.222706946068198E-2</v>
      </c>
    </row>
    <row r="957" spans="1:4">
      <c r="A957" s="21" t="s">
        <v>702</v>
      </c>
      <c r="B957" s="21">
        <v>2.9725641421192601</v>
      </c>
      <c r="C957" s="21">
        <f t="shared" si="32"/>
        <v>-3.5467340699897321E-3</v>
      </c>
      <c r="D957" s="23">
        <f t="shared" si="33"/>
        <v>5.3605611145727199E-2</v>
      </c>
    </row>
    <row r="958" spans="1:4">
      <c r="A958" s="21" t="s">
        <v>701</v>
      </c>
      <c r="B958" s="21">
        <v>2.9761108761892499</v>
      </c>
      <c r="C958" s="21">
        <f t="shared" si="32"/>
        <v>1.1344051540299827E-2</v>
      </c>
      <c r="D958" s="23">
        <f t="shared" si="33"/>
        <v>5.38450419960462E-2</v>
      </c>
    </row>
    <row r="959" spans="1:4">
      <c r="A959" s="21" t="s">
        <v>700</v>
      </c>
      <c r="B959" s="21">
        <v>2.96476682464895</v>
      </c>
      <c r="C959" s="21">
        <f t="shared" si="32"/>
        <v>6.1814629858820247E-2</v>
      </c>
      <c r="D959" s="23">
        <f t="shared" si="33"/>
        <v>5.3812467702842905E-2</v>
      </c>
    </row>
    <row r="960" spans="1:4">
      <c r="A960" s="21" t="s">
        <v>699</v>
      </c>
      <c r="B960" s="21">
        <v>2.9029521947901298</v>
      </c>
      <c r="C960" s="21">
        <f t="shared" si="32"/>
        <v>4.0310778351489773E-2</v>
      </c>
      <c r="D960" s="23">
        <f t="shared" si="33"/>
        <v>5.3235250978466181E-2</v>
      </c>
    </row>
    <row r="961" spans="1:4">
      <c r="A961" s="21" t="s">
        <v>698</v>
      </c>
      <c r="B961" s="21">
        <v>2.86264141643864</v>
      </c>
      <c r="C961" s="21">
        <f t="shared" si="32"/>
        <v>4.6335999420100027E-2</v>
      </c>
      <c r="D961" s="23">
        <f t="shared" si="33"/>
        <v>5.2914512191604035E-2</v>
      </c>
    </row>
    <row r="962" spans="1:4">
      <c r="A962" s="21" t="s">
        <v>697</v>
      </c>
      <c r="B962" s="21">
        <v>2.81630541701854</v>
      </c>
      <c r="C962" s="21">
        <f t="shared" ref="C962:C1025" si="34">B962-B963</f>
        <v>-3.603449973140016E-2</v>
      </c>
      <c r="D962" s="23">
        <f t="shared" ref="D962:D1025" si="35">STDEV(C962:C1021)</f>
        <v>5.2448058424227957E-2</v>
      </c>
    </row>
    <row r="963" spans="1:4">
      <c r="A963" s="21" t="s">
        <v>696</v>
      </c>
      <c r="B963" s="21">
        <v>2.8523399167499401</v>
      </c>
      <c r="C963" s="21">
        <f t="shared" si="34"/>
        <v>-3.1432104672290073E-2</v>
      </c>
      <c r="D963" s="23">
        <f t="shared" si="35"/>
        <v>5.2866048956574457E-2</v>
      </c>
    </row>
    <row r="964" spans="1:4">
      <c r="A964" s="21" t="s">
        <v>695</v>
      </c>
      <c r="B964" s="21">
        <v>2.8837720214222302</v>
      </c>
      <c r="C964" s="21">
        <f t="shared" si="34"/>
        <v>-3.401579393970966E-2</v>
      </c>
      <c r="D964" s="23">
        <f t="shared" si="35"/>
        <v>5.3461397566049798E-2</v>
      </c>
    </row>
    <row r="965" spans="1:4">
      <c r="A965" s="21" t="s">
        <v>694</v>
      </c>
      <c r="B965" s="21">
        <v>2.9177878153619399</v>
      </c>
      <c r="C965" s="21">
        <f t="shared" si="34"/>
        <v>4.2070010391139778E-2</v>
      </c>
      <c r="D965" s="23">
        <f t="shared" si="35"/>
        <v>5.343769778016326E-2</v>
      </c>
    </row>
    <row r="966" spans="1:4">
      <c r="A966" s="21" t="s">
        <v>693</v>
      </c>
      <c r="B966" s="21">
        <v>2.8757178049708001</v>
      </c>
      <c r="C966" s="21">
        <f t="shared" si="34"/>
        <v>1.8340546451160122E-2</v>
      </c>
      <c r="D966" s="23">
        <f t="shared" si="35"/>
        <v>5.3178422987661504E-2</v>
      </c>
    </row>
    <row r="967" spans="1:4">
      <c r="A967" s="21" t="s">
        <v>692</v>
      </c>
      <c r="B967" s="21">
        <v>2.85737725851964</v>
      </c>
      <c r="C967" s="21">
        <f t="shared" si="34"/>
        <v>-5.2733130262800021E-2</v>
      </c>
      <c r="D967" s="23">
        <f t="shared" si="35"/>
        <v>5.3345344841937085E-2</v>
      </c>
    </row>
    <row r="968" spans="1:4">
      <c r="A968" s="21" t="s">
        <v>691</v>
      </c>
      <c r="B968" s="21">
        <v>2.91011038878244</v>
      </c>
      <c r="C968" s="21">
        <f t="shared" si="34"/>
        <v>-8.559269790709001E-2</v>
      </c>
      <c r="D968" s="23">
        <f t="shared" si="35"/>
        <v>5.4653871874557086E-2</v>
      </c>
    </row>
    <row r="969" spans="1:4">
      <c r="A969" s="21" t="s">
        <v>690</v>
      </c>
      <c r="B969" s="21">
        <v>2.99570308668953</v>
      </c>
      <c r="C969" s="21">
        <f t="shared" si="34"/>
        <v>3.497881271969927E-3</v>
      </c>
      <c r="D969" s="23">
        <f t="shared" si="35"/>
        <v>5.4383168402858333E-2</v>
      </c>
    </row>
    <row r="970" spans="1:4">
      <c r="A970" s="21" t="s">
        <v>689</v>
      </c>
      <c r="B970" s="21">
        <v>2.9922052054175601</v>
      </c>
      <c r="C970" s="21">
        <f t="shared" si="34"/>
        <v>-2.4695652037820093E-2</v>
      </c>
      <c r="D970" s="23">
        <f t="shared" si="35"/>
        <v>5.5295783079482672E-2</v>
      </c>
    </row>
    <row r="971" spans="1:4">
      <c r="A971" s="21" t="s">
        <v>688</v>
      </c>
      <c r="B971" s="21">
        <v>3.0169008574553802</v>
      </c>
      <c r="C971" s="21">
        <f t="shared" si="34"/>
        <v>-1.198270581457983E-2</v>
      </c>
      <c r="D971" s="23">
        <f t="shared" si="35"/>
        <v>5.6104886518771865E-2</v>
      </c>
    </row>
    <row r="972" spans="1:4">
      <c r="A972" s="21" t="s">
        <v>687</v>
      </c>
      <c r="B972" s="21">
        <v>3.02888356326996</v>
      </c>
      <c r="C972" s="21">
        <f t="shared" si="34"/>
        <v>-1.9357565113459874E-2</v>
      </c>
      <c r="D972" s="23">
        <f t="shared" si="35"/>
        <v>5.688265700015694E-2</v>
      </c>
    </row>
    <row r="973" spans="1:4">
      <c r="A973" s="21" t="s">
        <v>686</v>
      </c>
      <c r="B973" s="21">
        <v>3.0482411283834199</v>
      </c>
      <c r="C973" s="21">
        <f t="shared" si="34"/>
        <v>-0.10430001063782024</v>
      </c>
      <c r="D973" s="23">
        <f t="shared" si="35"/>
        <v>5.7093133489712858E-2</v>
      </c>
    </row>
    <row r="974" spans="1:4">
      <c r="A974" s="21" t="s">
        <v>685</v>
      </c>
      <c r="B974" s="21">
        <v>3.1525411390212401</v>
      </c>
      <c r="C974" s="21">
        <f t="shared" si="34"/>
        <v>-1.7962956752000103E-2</v>
      </c>
      <c r="D974" s="23">
        <f t="shared" si="35"/>
        <v>5.6492891196130206E-2</v>
      </c>
    </row>
    <row r="975" spans="1:4">
      <c r="A975" s="21" t="s">
        <v>684</v>
      </c>
      <c r="B975" s="21">
        <v>3.1705040957732402</v>
      </c>
      <c r="C975" s="21">
        <f t="shared" si="34"/>
        <v>7.47764944989604E-2</v>
      </c>
      <c r="D975" s="23">
        <f t="shared" si="35"/>
        <v>5.6560352159081416E-2</v>
      </c>
    </row>
    <row r="976" spans="1:4">
      <c r="A976" s="21" t="s">
        <v>683</v>
      </c>
      <c r="B976" s="21">
        <v>3.0957276012742798</v>
      </c>
      <c r="C976" s="21">
        <f t="shared" si="34"/>
        <v>-1.0479002034320395E-2</v>
      </c>
      <c r="D976" s="23">
        <f t="shared" si="35"/>
        <v>5.7896659391405751E-2</v>
      </c>
    </row>
    <row r="977" spans="1:4">
      <c r="A977" s="21" t="s">
        <v>682</v>
      </c>
      <c r="B977" s="21">
        <v>3.1062066033086002</v>
      </c>
      <c r="C977" s="21">
        <f t="shared" si="34"/>
        <v>3.7939476135350425E-2</v>
      </c>
      <c r="D977" s="23">
        <f t="shared" si="35"/>
        <v>5.9067495305334561E-2</v>
      </c>
    </row>
    <row r="978" spans="1:4">
      <c r="A978" s="21" t="s">
        <v>681</v>
      </c>
      <c r="B978" s="21">
        <v>3.0682671271732498</v>
      </c>
      <c r="C978" s="21">
        <f t="shared" si="34"/>
        <v>7.8819551817849831E-2</v>
      </c>
      <c r="D978" s="23">
        <f t="shared" si="35"/>
        <v>6.1082654279575106E-2</v>
      </c>
    </row>
    <row r="979" spans="1:4">
      <c r="A979" s="21" t="s">
        <v>680</v>
      </c>
      <c r="B979" s="21">
        <v>2.9894475753554</v>
      </c>
      <c r="C979" s="21">
        <f t="shared" si="34"/>
        <v>-1.1589209182139903E-2</v>
      </c>
      <c r="D979" s="23">
        <f t="shared" si="35"/>
        <v>6.4164453637397423E-2</v>
      </c>
    </row>
    <row r="980" spans="1:4">
      <c r="A980" s="21" t="s">
        <v>679</v>
      </c>
      <c r="B980" s="21">
        <v>3.0010367845375399</v>
      </c>
      <c r="C980" s="21">
        <f t="shared" si="34"/>
        <v>-5.0208784325490363E-2</v>
      </c>
      <c r="D980" s="23">
        <f t="shared" si="35"/>
        <v>7.1216692445717447E-2</v>
      </c>
    </row>
    <row r="981" spans="1:4">
      <c r="A981" s="21" t="s">
        <v>678</v>
      </c>
      <c r="B981" s="21">
        <v>3.0512455688630302</v>
      </c>
      <c r="C981" s="21">
        <f t="shared" si="34"/>
        <v>4.1344530537570368E-2</v>
      </c>
      <c r="D981" s="23">
        <f t="shared" si="35"/>
        <v>7.1032528307996126E-2</v>
      </c>
    </row>
    <row r="982" spans="1:4">
      <c r="A982" s="21" t="s">
        <v>677</v>
      </c>
      <c r="B982" s="21">
        <v>3.0099010383254599</v>
      </c>
      <c r="C982" s="21">
        <f t="shared" si="34"/>
        <v>-7.3699932039509974E-2</v>
      </c>
      <c r="D982" s="23">
        <f t="shared" si="35"/>
        <v>7.2075532838128509E-2</v>
      </c>
    </row>
    <row r="983" spans="1:4">
      <c r="A983" s="21" t="s">
        <v>676</v>
      </c>
      <c r="B983" s="21">
        <v>3.0836009703649698</v>
      </c>
      <c r="C983" s="21">
        <f t="shared" si="34"/>
        <v>-4.458494189224016E-2</v>
      </c>
      <c r="D983" s="23">
        <f t="shared" si="35"/>
        <v>7.1521082185800375E-2</v>
      </c>
    </row>
    <row r="984" spans="1:4">
      <c r="A984" s="21" t="s">
        <v>675</v>
      </c>
      <c r="B984" s="21">
        <v>3.12818591225721</v>
      </c>
      <c r="C984" s="21">
        <f t="shared" si="34"/>
        <v>-8.499164901770051E-3</v>
      </c>
      <c r="D984" s="23">
        <f t="shared" si="35"/>
        <v>7.1623139923947032E-2</v>
      </c>
    </row>
    <row r="985" spans="1:4">
      <c r="A985" s="21" t="s">
        <v>674</v>
      </c>
      <c r="B985" s="21">
        <v>3.13668507715898</v>
      </c>
      <c r="C985" s="21">
        <f t="shared" si="34"/>
        <v>7.847644160080991E-2</v>
      </c>
      <c r="D985" s="23">
        <f t="shared" si="35"/>
        <v>7.1619871974942947E-2</v>
      </c>
    </row>
    <row r="986" spans="1:4">
      <c r="A986" s="21" t="s">
        <v>673</v>
      </c>
      <c r="B986" s="21">
        <v>3.0582086355581701</v>
      </c>
      <c r="C986" s="21">
        <f t="shared" si="34"/>
        <v>-3.1908020311279817E-2</v>
      </c>
      <c r="D986" s="23">
        <f t="shared" si="35"/>
        <v>7.1001628899534611E-2</v>
      </c>
    </row>
    <row r="987" spans="1:4">
      <c r="A987" s="21" t="s">
        <v>672</v>
      </c>
      <c r="B987" s="21">
        <v>3.0901166558694499</v>
      </c>
      <c r="C987" s="21">
        <f t="shared" si="34"/>
        <v>-8.0078181719219987E-2</v>
      </c>
      <c r="D987" s="23">
        <f t="shared" si="35"/>
        <v>7.1210463511906547E-2</v>
      </c>
    </row>
    <row r="988" spans="1:4">
      <c r="A988" s="21" t="s">
        <v>671</v>
      </c>
      <c r="B988" s="21">
        <v>3.1701948375886699</v>
      </c>
      <c r="C988" s="21">
        <f t="shared" si="34"/>
        <v>1.3700376992269891E-2</v>
      </c>
      <c r="D988" s="23">
        <f t="shared" si="35"/>
        <v>7.0989650424815531E-2</v>
      </c>
    </row>
    <row r="989" spans="1:4">
      <c r="A989" s="21" t="s">
        <v>670</v>
      </c>
      <c r="B989" s="21">
        <v>3.1564944605964</v>
      </c>
      <c r="C989" s="21">
        <f t="shared" si="34"/>
        <v>1.3564161854110246E-2</v>
      </c>
      <c r="D989" s="23">
        <f t="shared" si="35"/>
        <v>7.1058107134482879E-2</v>
      </c>
    </row>
    <row r="990" spans="1:4">
      <c r="A990" s="21" t="s">
        <v>669</v>
      </c>
      <c r="B990" s="21">
        <v>3.1429302987422898</v>
      </c>
      <c r="C990" s="21">
        <f t="shared" si="34"/>
        <v>-6.6284517000300358E-2</v>
      </c>
      <c r="D990" s="23">
        <f t="shared" si="35"/>
        <v>7.1393923106387577E-2</v>
      </c>
    </row>
    <row r="991" spans="1:4">
      <c r="A991" s="21" t="s">
        <v>668</v>
      </c>
      <c r="B991" s="21">
        <v>3.2092148157425902</v>
      </c>
      <c r="C991" s="21">
        <f t="shared" si="34"/>
        <v>3.2195496666090229E-2</v>
      </c>
      <c r="D991" s="23">
        <f t="shared" si="35"/>
        <v>7.0893372332207702E-2</v>
      </c>
    </row>
    <row r="992" spans="1:4">
      <c r="A992" s="21" t="s">
        <v>667</v>
      </c>
      <c r="B992" s="21">
        <v>3.1770193190764999</v>
      </c>
      <c r="C992" s="21">
        <f t="shared" si="34"/>
        <v>-4.5860360208900275E-3</v>
      </c>
      <c r="D992" s="23">
        <f t="shared" si="35"/>
        <v>7.1898927196234835E-2</v>
      </c>
    </row>
    <row r="993" spans="1:4">
      <c r="A993" s="21" t="s">
        <v>666</v>
      </c>
      <c r="B993" s="21">
        <v>3.18160535509739</v>
      </c>
      <c r="C993" s="21">
        <f t="shared" si="34"/>
        <v>-6.2973579312601835E-3</v>
      </c>
      <c r="D993" s="23">
        <f t="shared" si="35"/>
        <v>7.2324312711396097E-2</v>
      </c>
    </row>
    <row r="994" spans="1:4">
      <c r="A994" s="21" t="s">
        <v>665</v>
      </c>
      <c r="B994" s="21">
        <v>3.1879027130286501</v>
      </c>
      <c r="C994" s="21">
        <f t="shared" si="34"/>
        <v>-3.4722843732289732E-2</v>
      </c>
      <c r="D994" s="23">
        <f t="shared" si="35"/>
        <v>7.2927798497612745E-2</v>
      </c>
    </row>
    <row r="995" spans="1:4">
      <c r="A995" s="21" t="s">
        <v>664</v>
      </c>
      <c r="B995" s="21">
        <v>3.2226255567609399</v>
      </c>
      <c r="C995" s="21">
        <f t="shared" si="34"/>
        <v>7.7459232914109943E-2</v>
      </c>
      <c r="D995" s="23">
        <f t="shared" si="35"/>
        <v>7.3516125823575335E-2</v>
      </c>
    </row>
    <row r="996" spans="1:4">
      <c r="A996" s="21" t="s">
        <v>663</v>
      </c>
      <c r="B996" s="21">
        <v>3.1451663238468299</v>
      </c>
      <c r="C996" s="21">
        <f t="shared" si="34"/>
        <v>9.9828700968007666E-4</v>
      </c>
      <c r="D996" s="23">
        <f t="shared" si="35"/>
        <v>7.3712497923900847E-2</v>
      </c>
    </row>
    <row r="997" spans="1:4">
      <c r="A997" s="21" t="s">
        <v>662</v>
      </c>
      <c r="B997" s="21">
        <v>3.1441680368371498</v>
      </c>
      <c r="C997" s="21">
        <f t="shared" si="34"/>
        <v>-3.2512468189469956E-2</v>
      </c>
      <c r="D997" s="23">
        <f t="shared" si="35"/>
        <v>7.3856338238211139E-2</v>
      </c>
    </row>
    <row r="998" spans="1:4">
      <c r="A998" s="21" t="s">
        <v>661</v>
      </c>
      <c r="B998" s="21">
        <v>3.1766805050266198</v>
      </c>
      <c r="C998" s="21">
        <f t="shared" si="34"/>
        <v>-3.6656033136630128E-2</v>
      </c>
      <c r="D998" s="23">
        <f t="shared" si="35"/>
        <v>7.4625897847426167E-2</v>
      </c>
    </row>
    <row r="999" spans="1:4">
      <c r="A999" s="21" t="s">
        <v>660</v>
      </c>
      <c r="B999" s="21">
        <v>3.2133365381632499</v>
      </c>
      <c r="C999" s="21">
        <f t="shared" si="34"/>
        <v>4.9633726370100106E-2</v>
      </c>
      <c r="D999" s="23">
        <f t="shared" si="35"/>
        <v>7.4828307691537463E-2</v>
      </c>
    </row>
    <row r="1000" spans="1:4">
      <c r="A1000" s="21" t="s">
        <v>659</v>
      </c>
      <c r="B1000" s="21">
        <v>3.1637028117931498</v>
      </c>
      <c r="C1000" s="21">
        <f t="shared" si="34"/>
        <v>-3.7735882940950205E-2</v>
      </c>
      <c r="D1000" s="23">
        <f t="shared" si="35"/>
        <v>7.497902877851205E-2</v>
      </c>
    </row>
    <row r="1001" spans="1:4">
      <c r="A1001" s="21" t="s">
        <v>658</v>
      </c>
      <c r="B1001" s="21">
        <v>3.2014386947341</v>
      </c>
      <c r="C1001" s="21">
        <f t="shared" si="34"/>
        <v>-1.779977493924001E-2</v>
      </c>
      <c r="D1001" s="23">
        <f t="shared" si="35"/>
        <v>7.4887452744657343E-2</v>
      </c>
    </row>
    <row r="1002" spans="1:4">
      <c r="A1002" s="21" t="s">
        <v>657</v>
      </c>
      <c r="B1002" s="21">
        <v>3.21923846967334</v>
      </c>
      <c r="C1002" s="21">
        <f t="shared" si="34"/>
        <v>2.5962497596680123E-2</v>
      </c>
      <c r="D1002" s="23">
        <f t="shared" si="35"/>
        <v>7.4997657649033059E-2</v>
      </c>
    </row>
    <row r="1003" spans="1:4">
      <c r="A1003" s="21" t="s">
        <v>656</v>
      </c>
      <c r="B1003" s="21">
        <v>3.1932759720766599</v>
      </c>
      <c r="C1003" s="21">
        <f t="shared" si="34"/>
        <v>-3.5535113288802656E-3</v>
      </c>
      <c r="D1003" s="23">
        <f t="shared" si="35"/>
        <v>7.4957878532467229E-2</v>
      </c>
    </row>
    <row r="1004" spans="1:4">
      <c r="A1004" s="21" t="s">
        <v>655</v>
      </c>
      <c r="B1004" s="21">
        <v>3.1968294834055402</v>
      </c>
      <c r="C1004" s="21">
        <f t="shared" si="34"/>
        <v>5.5998643991770347E-2</v>
      </c>
      <c r="D1004" s="23">
        <f t="shared" si="35"/>
        <v>7.5146374647647507E-2</v>
      </c>
    </row>
    <row r="1005" spans="1:4">
      <c r="A1005" s="21" t="s">
        <v>654</v>
      </c>
      <c r="B1005" s="21">
        <v>3.1408308394137698</v>
      </c>
      <c r="C1005" s="21">
        <f t="shared" si="34"/>
        <v>-5.0700203945110101E-2</v>
      </c>
      <c r="D1005" s="23">
        <f t="shared" si="35"/>
        <v>7.525785774733601E-2</v>
      </c>
    </row>
    <row r="1006" spans="1:4">
      <c r="A1006" s="21" t="s">
        <v>653</v>
      </c>
      <c r="B1006" s="21">
        <v>3.1915310433588799</v>
      </c>
      <c r="C1006" s="21">
        <f t="shared" si="34"/>
        <v>7.6175538721349856E-2</v>
      </c>
      <c r="D1006" s="23">
        <f t="shared" si="35"/>
        <v>7.5521816833003422E-2</v>
      </c>
    </row>
    <row r="1007" spans="1:4">
      <c r="A1007" s="21" t="s">
        <v>652</v>
      </c>
      <c r="B1007" s="21">
        <v>3.1153555046375301</v>
      </c>
      <c r="C1007" s="21">
        <f t="shared" si="34"/>
        <v>-3.0563442605749724E-2</v>
      </c>
      <c r="D1007" s="23">
        <f t="shared" si="35"/>
        <v>7.5170864067481274E-2</v>
      </c>
    </row>
    <row r="1008" spans="1:4">
      <c r="A1008" s="21" t="s">
        <v>651</v>
      </c>
      <c r="B1008" s="21">
        <v>3.1459189472432798</v>
      </c>
      <c r="C1008" s="21">
        <f t="shared" si="34"/>
        <v>-4.0671074674180296E-2</v>
      </c>
      <c r="D1008" s="23">
        <f t="shared" si="35"/>
        <v>7.74668648853436E-2</v>
      </c>
    </row>
    <row r="1009" spans="1:4">
      <c r="A1009" s="21" t="s">
        <v>650</v>
      </c>
      <c r="B1009" s="21">
        <v>3.1865900219174601</v>
      </c>
      <c r="C1009" s="21">
        <f t="shared" si="34"/>
        <v>4.6233675446280209E-2</v>
      </c>
      <c r="D1009" s="23">
        <f t="shared" si="35"/>
        <v>7.904024158484256E-2</v>
      </c>
    </row>
    <row r="1010" spans="1:4">
      <c r="A1010" s="21" t="s">
        <v>649</v>
      </c>
      <c r="B1010" s="21">
        <v>3.1403563464711799</v>
      </c>
      <c r="C1010" s="21">
        <f t="shared" si="34"/>
        <v>1.2358631957799737E-2</v>
      </c>
      <c r="D1010" s="23">
        <f t="shared" si="35"/>
        <v>8.1506345116537052E-2</v>
      </c>
    </row>
    <row r="1011" spans="1:4">
      <c r="A1011" s="21" t="s">
        <v>648</v>
      </c>
      <c r="B1011" s="21">
        <v>3.1279977145133802</v>
      </c>
      <c r="C1011" s="21">
        <f t="shared" si="34"/>
        <v>-0.12357928338321988</v>
      </c>
      <c r="D1011" s="23">
        <f t="shared" si="35"/>
        <v>8.2819368751826328E-2</v>
      </c>
    </row>
    <row r="1012" spans="1:4">
      <c r="A1012" s="21" t="s">
        <v>647</v>
      </c>
      <c r="B1012" s="21">
        <v>3.2515769978966</v>
      </c>
      <c r="C1012" s="21">
        <f t="shared" si="34"/>
        <v>-0.10863390760804981</v>
      </c>
      <c r="D1012" s="23">
        <f t="shared" si="35"/>
        <v>8.4325868155445627E-2</v>
      </c>
    </row>
    <row r="1013" spans="1:4">
      <c r="A1013" s="21" t="s">
        <v>646</v>
      </c>
      <c r="B1013" s="21">
        <v>3.3602109055046498</v>
      </c>
      <c r="C1013" s="21">
        <f t="shared" si="34"/>
        <v>-8.0705356032720221E-2</v>
      </c>
      <c r="D1013" s="23">
        <f t="shared" si="35"/>
        <v>8.477895581169706E-2</v>
      </c>
    </row>
    <row r="1014" spans="1:4">
      <c r="A1014" s="21" t="s">
        <v>645</v>
      </c>
      <c r="B1014" s="21">
        <v>3.4409162615373701</v>
      </c>
      <c r="C1014" s="21">
        <f t="shared" si="34"/>
        <v>0.11911808432158999</v>
      </c>
      <c r="D1014" s="23">
        <f t="shared" si="35"/>
        <v>8.4334154569347508E-2</v>
      </c>
    </row>
    <row r="1015" spans="1:4">
      <c r="A1015" s="21" t="s">
        <v>644</v>
      </c>
      <c r="B1015" s="21">
        <v>3.3217981772157801</v>
      </c>
      <c r="C1015" s="21">
        <f t="shared" si="34"/>
        <v>5.7133086378640119E-2</v>
      </c>
      <c r="D1015" s="23">
        <f t="shared" si="35"/>
        <v>8.3815495744063134E-2</v>
      </c>
    </row>
    <row r="1016" spans="1:4">
      <c r="A1016" s="21" t="s">
        <v>643</v>
      </c>
      <c r="B1016" s="21">
        <v>3.26466509083714</v>
      </c>
      <c r="C1016" s="21">
        <f t="shared" si="34"/>
        <v>-9.8830976291929939E-2</v>
      </c>
      <c r="D1016" s="23">
        <f t="shared" si="35"/>
        <v>8.3515069620035201E-2</v>
      </c>
    </row>
    <row r="1017" spans="1:4">
      <c r="A1017" s="21" t="s">
        <v>642</v>
      </c>
      <c r="B1017" s="21">
        <v>3.3634960671290699</v>
      </c>
      <c r="C1017" s="21">
        <f t="shared" si="34"/>
        <v>3.2838909680109829E-2</v>
      </c>
      <c r="D1017" s="23">
        <f t="shared" si="35"/>
        <v>8.4026113727558679E-2</v>
      </c>
    </row>
    <row r="1018" spans="1:4">
      <c r="A1018" s="21" t="s">
        <v>641</v>
      </c>
      <c r="B1018" s="21">
        <v>3.3306571574489601</v>
      </c>
      <c r="C1018" s="21">
        <f t="shared" si="34"/>
        <v>3.6694076827701316E-3</v>
      </c>
      <c r="D1018" s="23">
        <f t="shared" si="35"/>
        <v>8.3940119138792166E-2</v>
      </c>
    </row>
    <row r="1019" spans="1:4">
      <c r="A1019" s="21" t="s">
        <v>640</v>
      </c>
      <c r="B1019" s="21">
        <v>3.3269877497661899</v>
      </c>
      <c r="C1019" s="21">
        <f t="shared" si="34"/>
        <v>2.5275964683010077E-2</v>
      </c>
      <c r="D1019" s="23">
        <f t="shared" si="35"/>
        <v>8.4199350346491647E-2</v>
      </c>
    </row>
    <row r="1020" spans="1:4">
      <c r="A1020" s="21" t="s">
        <v>639</v>
      </c>
      <c r="B1020" s="21">
        <v>3.3017117850831799</v>
      </c>
      <c r="C1020" s="21">
        <f t="shared" si="34"/>
        <v>7.9702904927496654E-3</v>
      </c>
      <c r="D1020" s="23">
        <f t="shared" si="35"/>
        <v>8.4103379140072751E-2</v>
      </c>
    </row>
    <row r="1021" spans="1:4">
      <c r="A1021" s="21" t="s">
        <v>638</v>
      </c>
      <c r="B1021" s="21">
        <v>3.2937414945904302</v>
      </c>
      <c r="C1021" s="21">
        <f t="shared" si="34"/>
        <v>-4.4021580599498122E-3</v>
      </c>
      <c r="D1021" s="23">
        <f t="shared" si="35"/>
        <v>8.4277035220966273E-2</v>
      </c>
    </row>
    <row r="1022" spans="1:4">
      <c r="A1022" s="21" t="s">
        <v>637</v>
      </c>
      <c r="B1022" s="21">
        <v>3.29814365265038</v>
      </c>
      <c r="C1022" s="21">
        <f t="shared" si="34"/>
        <v>-6.6311788347659828E-2</v>
      </c>
      <c r="D1022" s="23">
        <f t="shared" si="35"/>
        <v>8.4292936810860808E-2</v>
      </c>
    </row>
    <row r="1023" spans="1:4">
      <c r="A1023" s="21" t="s">
        <v>636</v>
      </c>
      <c r="B1023" s="21">
        <v>3.3644554409980398</v>
      </c>
      <c r="C1023" s="21">
        <f t="shared" si="34"/>
        <v>5.7733789702709704E-2</v>
      </c>
      <c r="D1023" s="23">
        <f t="shared" si="35"/>
        <v>8.4184549405513925E-2</v>
      </c>
    </row>
    <row r="1024" spans="1:4">
      <c r="A1024" s="21" t="s">
        <v>635</v>
      </c>
      <c r="B1024" s="21">
        <v>3.3067216512953301</v>
      </c>
      <c r="C1024" s="21">
        <f t="shared" si="34"/>
        <v>-3.1088015075519948E-2</v>
      </c>
      <c r="D1024" s="23">
        <f t="shared" si="35"/>
        <v>8.3773775662472114E-2</v>
      </c>
    </row>
    <row r="1025" spans="1:4">
      <c r="A1025" s="21" t="s">
        <v>634</v>
      </c>
      <c r="B1025" s="21">
        <v>3.3378096663708501</v>
      </c>
      <c r="C1025" s="21">
        <f t="shared" si="34"/>
        <v>2.1006187232550211E-2</v>
      </c>
      <c r="D1025" s="23">
        <f t="shared" si="35"/>
        <v>8.3728071066634421E-2</v>
      </c>
    </row>
    <row r="1026" spans="1:4">
      <c r="A1026" s="21" t="s">
        <v>633</v>
      </c>
      <c r="B1026" s="21">
        <v>3.3168034791382999</v>
      </c>
      <c r="C1026" s="21">
        <f t="shared" ref="C1026:C1089" si="36">B1026-B1027</f>
        <v>3.4040275581099788E-2</v>
      </c>
      <c r="D1026" s="23">
        <f t="shared" ref="D1026:D1089" si="37">STDEV(C1026:C1085)</f>
        <v>8.3803041041612888E-2</v>
      </c>
    </row>
    <row r="1027" spans="1:4">
      <c r="A1027" s="21" t="s">
        <v>632</v>
      </c>
      <c r="B1027" s="21">
        <v>3.2827632035572001</v>
      </c>
      <c r="C1027" s="21">
        <f t="shared" si="36"/>
        <v>9.6803828228249955E-2</v>
      </c>
      <c r="D1027" s="23">
        <f t="shared" si="37"/>
        <v>8.3611385856715043E-2</v>
      </c>
    </row>
    <row r="1028" spans="1:4">
      <c r="A1028" s="21" t="s">
        <v>631</v>
      </c>
      <c r="B1028" s="21">
        <v>3.1859593753289501</v>
      </c>
      <c r="C1028" s="21">
        <f t="shared" si="36"/>
        <v>6.7581302639170282E-2</v>
      </c>
      <c r="D1028" s="23">
        <f t="shared" si="37"/>
        <v>8.2637741573998363E-2</v>
      </c>
    </row>
    <row r="1029" spans="1:4">
      <c r="A1029" s="21" t="s">
        <v>630</v>
      </c>
      <c r="B1029" s="21">
        <v>3.1183780726897798</v>
      </c>
      <c r="C1029" s="21">
        <f t="shared" si="36"/>
        <v>7.5562482645979756E-2</v>
      </c>
      <c r="D1029" s="23">
        <f t="shared" si="37"/>
        <v>8.2037329328648073E-2</v>
      </c>
    </row>
    <row r="1030" spans="1:4">
      <c r="A1030" s="21" t="s">
        <v>629</v>
      </c>
      <c r="B1030" s="21">
        <v>3.0428155900438001</v>
      </c>
      <c r="C1030" s="21">
        <f t="shared" si="36"/>
        <v>7.6997539975649953E-2</v>
      </c>
      <c r="D1030" s="23">
        <f t="shared" si="37"/>
        <v>8.1209084313331473E-2</v>
      </c>
    </row>
    <row r="1031" spans="1:4">
      <c r="A1031" s="21" t="s">
        <v>628</v>
      </c>
      <c r="B1031" s="21">
        <v>2.9658180500681501</v>
      </c>
      <c r="C1031" s="21">
        <f t="shared" si="36"/>
        <v>-7.2708102721459777E-2</v>
      </c>
      <c r="D1031" s="23">
        <f t="shared" si="37"/>
        <v>8.0394398432280065E-2</v>
      </c>
    </row>
    <row r="1032" spans="1:4">
      <c r="A1032" s="21" t="s">
        <v>627</v>
      </c>
      <c r="B1032" s="21">
        <v>3.0385261527896099</v>
      </c>
      <c r="C1032" s="21">
        <f t="shared" si="36"/>
        <v>-4.2502314371930083E-2</v>
      </c>
      <c r="D1032" s="23">
        <f t="shared" si="37"/>
        <v>8.0781076215269115E-2</v>
      </c>
    </row>
    <row r="1033" spans="1:4">
      <c r="A1033" s="21" t="s">
        <v>626</v>
      </c>
      <c r="B1033" s="21">
        <v>3.08102846716154</v>
      </c>
      <c r="C1033" s="21">
        <f t="shared" si="36"/>
        <v>-8.2704861537099994E-2</v>
      </c>
      <c r="D1033" s="23">
        <f t="shared" si="37"/>
        <v>8.1231109574588262E-2</v>
      </c>
    </row>
    <row r="1034" spans="1:4">
      <c r="A1034" s="21" t="s">
        <v>625</v>
      </c>
      <c r="B1034" s="21">
        <v>3.16373332869864</v>
      </c>
      <c r="C1034" s="21">
        <f t="shared" si="36"/>
        <v>-2.7892465981909975E-2</v>
      </c>
      <c r="D1034" s="23">
        <f t="shared" si="37"/>
        <v>8.0749705363900207E-2</v>
      </c>
    </row>
    <row r="1035" spans="1:4">
      <c r="A1035" s="21" t="s">
        <v>624</v>
      </c>
      <c r="B1035" s="21">
        <v>3.19162579468055</v>
      </c>
      <c r="C1035" s="21">
        <f t="shared" si="36"/>
        <v>0.12090718365982012</v>
      </c>
      <c r="D1035" s="23">
        <f t="shared" si="37"/>
        <v>8.0792277297732085E-2</v>
      </c>
    </row>
    <row r="1036" spans="1:4">
      <c r="A1036" s="21" t="s">
        <v>623</v>
      </c>
      <c r="B1036" s="21">
        <v>3.0707186110207298</v>
      </c>
      <c r="C1036" s="21">
        <f t="shared" si="36"/>
        <v>9.1922503830550006E-2</v>
      </c>
      <c r="D1036" s="23">
        <f t="shared" si="37"/>
        <v>7.903256378702575E-2</v>
      </c>
    </row>
    <row r="1037" spans="1:4">
      <c r="A1037" s="21" t="s">
        <v>622</v>
      </c>
      <c r="B1037" s="21">
        <v>2.9787961071901798</v>
      </c>
      <c r="C1037" s="21">
        <f t="shared" si="36"/>
        <v>0.1274288695229</v>
      </c>
      <c r="D1037" s="23">
        <f t="shared" si="37"/>
        <v>7.8008857604293491E-2</v>
      </c>
    </row>
    <row r="1038" spans="1:4">
      <c r="A1038" s="21" t="s">
        <v>621</v>
      </c>
      <c r="B1038" s="21">
        <v>2.8513672376672798</v>
      </c>
      <c r="C1038" s="21">
        <f t="shared" si="36"/>
        <v>-0.16797775922024005</v>
      </c>
      <c r="D1038" s="23">
        <f t="shared" si="37"/>
        <v>7.5894535790390141E-2</v>
      </c>
    </row>
    <row r="1039" spans="1:4">
      <c r="A1039" s="21" t="s">
        <v>620</v>
      </c>
      <c r="B1039" s="21">
        <v>3.0193449968875199</v>
      </c>
      <c r="C1039" s="21">
        <f t="shared" si="36"/>
        <v>-0.23991753715537012</v>
      </c>
      <c r="D1039" s="23">
        <f t="shared" si="37"/>
        <v>7.4343879570503382E-2</v>
      </c>
    </row>
    <row r="1040" spans="1:4">
      <c r="A1040" s="21" t="s">
        <v>619</v>
      </c>
      <c r="B1040" s="21">
        <v>3.25926253404289</v>
      </c>
      <c r="C1040" s="21">
        <f t="shared" si="36"/>
        <v>2.1121337324140121E-2</v>
      </c>
      <c r="D1040" s="23">
        <f t="shared" si="37"/>
        <v>6.8556777876511779E-2</v>
      </c>
    </row>
    <row r="1041" spans="1:4">
      <c r="A1041" s="21" t="s">
        <v>618</v>
      </c>
      <c r="B1041" s="21">
        <v>3.2381411967187499</v>
      </c>
      <c r="C1041" s="21">
        <f t="shared" si="36"/>
        <v>-0.10874915917429018</v>
      </c>
      <c r="D1041" s="23">
        <f t="shared" si="37"/>
        <v>6.8447560805360783E-2</v>
      </c>
    </row>
    <row r="1042" spans="1:4">
      <c r="A1042" s="21" t="s">
        <v>617</v>
      </c>
      <c r="B1042" s="21">
        <v>3.3468903558930401</v>
      </c>
      <c r="C1042" s="21">
        <f t="shared" si="36"/>
        <v>-3.6578230684014557E-4</v>
      </c>
      <c r="D1042" s="23">
        <f t="shared" si="37"/>
        <v>6.7649013953910334E-2</v>
      </c>
    </row>
    <row r="1043" spans="1:4">
      <c r="A1043" s="21" t="s">
        <v>616</v>
      </c>
      <c r="B1043" s="21">
        <v>3.3472561381998802</v>
      </c>
      <c r="C1043" s="21">
        <f t="shared" si="36"/>
        <v>4.675524920547014E-2</v>
      </c>
      <c r="D1043" s="23">
        <f t="shared" si="37"/>
        <v>6.7661086083795688E-2</v>
      </c>
    </row>
    <row r="1044" spans="1:4">
      <c r="A1044" s="21" t="s">
        <v>615</v>
      </c>
      <c r="B1044" s="21">
        <v>3.3005008889944101</v>
      </c>
      <c r="C1044" s="21">
        <f t="shared" si="36"/>
        <v>-6.1742046875012946E-4</v>
      </c>
      <c r="D1044" s="23">
        <f t="shared" si="37"/>
        <v>6.7293161906116117E-2</v>
      </c>
    </row>
    <row r="1045" spans="1:4">
      <c r="A1045" s="21" t="s">
        <v>614</v>
      </c>
      <c r="B1045" s="21">
        <v>3.3011183094631602</v>
      </c>
      <c r="C1045" s="21">
        <f t="shared" si="36"/>
        <v>3.5013564895620242E-2</v>
      </c>
      <c r="D1045" s="23">
        <f t="shared" si="37"/>
        <v>6.7401131015603619E-2</v>
      </c>
    </row>
    <row r="1046" spans="1:4">
      <c r="A1046" s="21" t="s">
        <v>613</v>
      </c>
      <c r="B1046" s="21">
        <v>3.26610474456754</v>
      </c>
      <c r="C1046" s="21">
        <f t="shared" si="36"/>
        <v>4.8189350222210159E-2</v>
      </c>
      <c r="D1046" s="23">
        <f t="shared" si="37"/>
        <v>6.7268789689114095E-2</v>
      </c>
    </row>
    <row r="1047" spans="1:4">
      <c r="A1047" s="21" t="s">
        <v>612</v>
      </c>
      <c r="B1047" s="21">
        <v>3.2179153943453298</v>
      </c>
      <c r="C1047" s="21">
        <f t="shared" si="36"/>
        <v>-6.7138699098780119E-2</v>
      </c>
      <c r="D1047" s="23">
        <f t="shared" si="37"/>
        <v>6.6842660131505596E-2</v>
      </c>
    </row>
    <row r="1048" spans="1:4">
      <c r="A1048" s="21" t="s">
        <v>611</v>
      </c>
      <c r="B1048" s="21">
        <v>3.2850540934441099</v>
      </c>
      <c r="C1048" s="21">
        <f t="shared" si="36"/>
        <v>-3.1085744264550019E-2</v>
      </c>
      <c r="D1048" s="23">
        <f t="shared" si="37"/>
        <v>6.6875800803111771E-2</v>
      </c>
    </row>
    <row r="1049" spans="1:4">
      <c r="A1049" s="21" t="s">
        <v>610</v>
      </c>
      <c r="B1049" s="21">
        <v>3.3161398377086599</v>
      </c>
      <c r="C1049" s="21">
        <f t="shared" si="36"/>
        <v>5.3122315635649731E-2</v>
      </c>
      <c r="D1049" s="23">
        <f t="shared" si="37"/>
        <v>6.7614436457219221E-2</v>
      </c>
    </row>
    <row r="1050" spans="1:4">
      <c r="A1050" s="21" t="s">
        <v>609</v>
      </c>
      <c r="B1050" s="21">
        <v>3.2630175220730102</v>
      </c>
      <c r="C1050" s="21">
        <f t="shared" si="36"/>
        <v>-4.0519875902989E-4</v>
      </c>
      <c r="D1050" s="23">
        <f t="shared" si="37"/>
        <v>6.7160550313655171E-2</v>
      </c>
    </row>
    <row r="1051" spans="1:4">
      <c r="A1051" s="21" t="s">
        <v>608</v>
      </c>
      <c r="B1051" s="21">
        <v>3.2634227208320401</v>
      </c>
      <c r="C1051" s="21">
        <f t="shared" si="36"/>
        <v>-0.10019704498427995</v>
      </c>
      <c r="D1051" s="23">
        <f t="shared" si="37"/>
        <v>6.7164153471750171E-2</v>
      </c>
    </row>
    <row r="1052" spans="1:4">
      <c r="A1052" s="21" t="s">
        <v>607</v>
      </c>
      <c r="B1052" s="21">
        <v>3.3636197658163201</v>
      </c>
      <c r="C1052" s="21">
        <f t="shared" si="36"/>
        <v>-6.377503673732976E-2</v>
      </c>
      <c r="D1052" s="23">
        <f t="shared" si="37"/>
        <v>6.6419181221607573E-2</v>
      </c>
    </row>
    <row r="1053" spans="1:4">
      <c r="A1053" s="21" t="s">
        <v>606</v>
      </c>
      <c r="B1053" s="21">
        <v>3.4273948025536498</v>
      </c>
      <c r="C1053" s="21">
        <f t="shared" si="36"/>
        <v>6.8497441489469679E-2</v>
      </c>
      <c r="D1053" s="23">
        <f t="shared" si="37"/>
        <v>6.6145436981481717E-2</v>
      </c>
    </row>
    <row r="1054" spans="1:4">
      <c r="A1054" s="21" t="s">
        <v>605</v>
      </c>
      <c r="B1054" s="21">
        <v>3.3588973610641801</v>
      </c>
      <c r="C1054" s="21">
        <f t="shared" si="36"/>
        <v>-8.1176859515169841E-2</v>
      </c>
      <c r="D1054" s="23">
        <f t="shared" si="37"/>
        <v>6.5384677446647749E-2</v>
      </c>
    </row>
    <row r="1055" spans="1:4">
      <c r="A1055" s="21" t="s">
        <v>604</v>
      </c>
      <c r="B1055" s="21">
        <v>3.44007422057935</v>
      </c>
      <c r="C1055" s="21">
        <f t="shared" si="36"/>
        <v>8.7381013820039932E-2</v>
      </c>
      <c r="D1055" s="23">
        <f t="shared" si="37"/>
        <v>6.4724867472557415E-2</v>
      </c>
    </row>
    <row r="1056" spans="1:4">
      <c r="A1056" s="21" t="s">
        <v>603</v>
      </c>
      <c r="B1056" s="21">
        <v>3.35269320675931</v>
      </c>
      <c r="C1056" s="21">
        <f t="shared" si="36"/>
        <v>-3.9508279900950072E-2</v>
      </c>
      <c r="D1056" s="23">
        <f t="shared" si="37"/>
        <v>6.3530605481601998E-2</v>
      </c>
    </row>
    <row r="1057" spans="1:4">
      <c r="A1057" s="21" t="s">
        <v>602</v>
      </c>
      <c r="B1057" s="21">
        <v>3.3922014866602601</v>
      </c>
      <c r="C1057" s="21">
        <f t="shared" si="36"/>
        <v>8.40330797137403E-2</v>
      </c>
      <c r="D1057" s="23">
        <f t="shared" si="37"/>
        <v>6.3866282044155537E-2</v>
      </c>
    </row>
    <row r="1058" spans="1:4">
      <c r="A1058" s="21" t="s">
        <v>601</v>
      </c>
      <c r="B1058" s="21">
        <v>3.3081684069465198</v>
      </c>
      <c r="C1058" s="21">
        <f t="shared" si="36"/>
        <v>-5.6774995604280232E-2</v>
      </c>
      <c r="D1058" s="23">
        <f t="shared" si="37"/>
        <v>6.3184400962429096E-2</v>
      </c>
    </row>
    <row r="1059" spans="1:4">
      <c r="A1059" s="21" t="s">
        <v>600</v>
      </c>
      <c r="B1059" s="21">
        <v>3.3649434025508</v>
      </c>
      <c r="C1059" s="21">
        <f t="shared" si="36"/>
        <v>6.1152873448610201E-2</v>
      </c>
      <c r="D1059" s="23">
        <f t="shared" si="37"/>
        <v>6.2898804943036554E-2</v>
      </c>
    </row>
    <row r="1060" spans="1:4">
      <c r="A1060" s="21" t="s">
        <v>599</v>
      </c>
      <c r="B1060" s="21">
        <v>3.3037905291021898</v>
      </c>
      <c r="C1060" s="21">
        <f t="shared" si="36"/>
        <v>2.0005254433459907E-2</v>
      </c>
      <c r="D1060" s="23">
        <f t="shared" si="37"/>
        <v>6.2362436556360153E-2</v>
      </c>
    </row>
    <row r="1061" spans="1:4">
      <c r="A1061" s="21" t="s">
        <v>598</v>
      </c>
      <c r="B1061" s="21">
        <v>3.2837852746687299</v>
      </c>
      <c r="C1061" s="21">
        <f t="shared" si="36"/>
        <v>3.4545387528739813E-2</v>
      </c>
      <c r="D1061" s="23">
        <f t="shared" si="37"/>
        <v>6.2731740648507936E-2</v>
      </c>
    </row>
    <row r="1062" spans="1:4">
      <c r="A1062" s="21" t="s">
        <v>597</v>
      </c>
      <c r="B1062" s="21">
        <v>3.2492398871399901</v>
      </c>
      <c r="C1062" s="21">
        <f t="shared" si="36"/>
        <v>-2.0087455990129843E-2</v>
      </c>
      <c r="D1062" s="23">
        <f t="shared" si="37"/>
        <v>6.2454243574440231E-2</v>
      </c>
    </row>
    <row r="1063" spans="1:4">
      <c r="A1063" s="21" t="s">
        <v>596</v>
      </c>
      <c r="B1063" s="21">
        <v>3.26932734313012</v>
      </c>
      <c r="C1063" s="21">
        <f t="shared" si="36"/>
        <v>-4.2496785524369862E-2</v>
      </c>
      <c r="D1063" s="23">
        <f t="shared" si="37"/>
        <v>6.2445758459083248E-2</v>
      </c>
    </row>
    <row r="1064" spans="1:4">
      <c r="A1064" s="21" t="s">
        <v>595</v>
      </c>
      <c r="B1064" s="21">
        <v>3.3118241286544898</v>
      </c>
      <c r="C1064" s="21">
        <f t="shared" si="36"/>
        <v>-6.9792802594480285E-2</v>
      </c>
      <c r="D1064" s="23">
        <f t="shared" si="37"/>
        <v>6.2347950571872458E-2</v>
      </c>
    </row>
    <row r="1065" spans="1:4">
      <c r="A1065" s="21" t="s">
        <v>594</v>
      </c>
      <c r="B1065" s="21">
        <v>3.3816169312489701</v>
      </c>
      <c r="C1065" s="21">
        <f t="shared" si="36"/>
        <v>6.4911745091360107E-2</v>
      </c>
      <c r="D1065" s="23">
        <f t="shared" si="37"/>
        <v>6.1874841742352284E-2</v>
      </c>
    </row>
    <row r="1066" spans="1:4">
      <c r="A1066" s="21" t="s">
        <v>593</v>
      </c>
      <c r="B1066" s="21">
        <v>3.31670518615761</v>
      </c>
      <c r="C1066" s="21">
        <f t="shared" si="36"/>
        <v>-5.9636615844159913E-2</v>
      </c>
      <c r="D1066" s="23">
        <f t="shared" si="37"/>
        <v>6.112978207995249E-2</v>
      </c>
    </row>
    <row r="1067" spans="1:4">
      <c r="A1067" s="21" t="s">
        <v>592</v>
      </c>
      <c r="B1067" s="21">
        <v>3.3763418020017699</v>
      </c>
      <c r="C1067" s="21">
        <f t="shared" si="36"/>
        <v>0.14353274688394979</v>
      </c>
      <c r="D1067" s="23">
        <f t="shared" si="37"/>
        <v>6.1177135724723004E-2</v>
      </c>
    </row>
    <row r="1068" spans="1:4">
      <c r="A1068" s="21" t="s">
        <v>591</v>
      </c>
      <c r="B1068" s="21">
        <v>3.2328090551178201</v>
      </c>
      <c r="C1068" s="21">
        <f t="shared" si="36"/>
        <v>-0.12871189562342966</v>
      </c>
      <c r="D1068" s="23">
        <f t="shared" si="37"/>
        <v>5.7777707541728202E-2</v>
      </c>
    </row>
    <row r="1069" spans="1:4">
      <c r="A1069" s="21" t="s">
        <v>590</v>
      </c>
      <c r="B1069" s="21">
        <v>3.3615209507412498</v>
      </c>
      <c r="C1069" s="21">
        <f t="shared" si="36"/>
        <v>-0.16577846772270011</v>
      </c>
      <c r="D1069" s="23">
        <f t="shared" si="37"/>
        <v>5.5727031844426421E-2</v>
      </c>
    </row>
    <row r="1070" spans="1:4">
      <c r="A1070" s="21" t="s">
        <v>589</v>
      </c>
      <c r="B1070" s="21">
        <v>3.5272994184639499</v>
      </c>
      <c r="C1070" s="21">
        <f t="shared" si="36"/>
        <v>-0.12214388083244998</v>
      </c>
      <c r="D1070" s="23">
        <f t="shared" si="37"/>
        <v>5.187417538853701E-2</v>
      </c>
    </row>
    <row r="1071" spans="1:4">
      <c r="A1071" s="21" t="s">
        <v>588</v>
      </c>
      <c r="B1071" s="21">
        <v>3.6494432992963999</v>
      </c>
      <c r="C1071" s="21">
        <f t="shared" si="36"/>
        <v>0.16284085715044005</v>
      </c>
      <c r="D1071" s="23">
        <f t="shared" si="37"/>
        <v>4.9798008934450903E-2</v>
      </c>
    </row>
    <row r="1072" spans="1:4">
      <c r="A1072" s="21" t="s">
        <v>587</v>
      </c>
      <c r="B1072" s="21">
        <v>3.4866024421459598</v>
      </c>
      <c r="C1072" s="21">
        <f t="shared" si="36"/>
        <v>-0.1283865798876902</v>
      </c>
      <c r="D1072" s="23">
        <f t="shared" si="37"/>
        <v>4.468963358346812E-2</v>
      </c>
    </row>
    <row r="1073" spans="1:4">
      <c r="A1073" s="21" t="s">
        <v>586</v>
      </c>
      <c r="B1073" s="21">
        <v>3.61498902203365</v>
      </c>
      <c r="C1073" s="21">
        <f t="shared" si="36"/>
        <v>-4.2097954082279898E-2</v>
      </c>
      <c r="D1073" s="23">
        <f t="shared" si="37"/>
        <v>4.2326235699850813E-2</v>
      </c>
    </row>
    <row r="1074" spans="1:4">
      <c r="A1074" s="21" t="s">
        <v>585</v>
      </c>
      <c r="B1074" s="21">
        <v>3.6570869761159299</v>
      </c>
      <c r="C1074" s="21">
        <f t="shared" si="36"/>
        <v>-0.10738113014055006</v>
      </c>
      <c r="D1074" s="23">
        <f t="shared" si="37"/>
        <v>4.2072790941871004E-2</v>
      </c>
    </row>
    <row r="1075" spans="1:4">
      <c r="A1075" s="21" t="s">
        <v>584</v>
      </c>
      <c r="B1075" s="21">
        <v>3.76446810625648</v>
      </c>
      <c r="C1075" s="21">
        <f t="shared" si="36"/>
        <v>-4.4355759659179927E-2</v>
      </c>
      <c r="D1075" s="23">
        <f t="shared" si="37"/>
        <v>3.9890824859539785E-2</v>
      </c>
    </row>
    <row r="1076" spans="1:4">
      <c r="A1076" s="21" t="s">
        <v>583</v>
      </c>
      <c r="B1076" s="21">
        <v>3.8088238659156599</v>
      </c>
      <c r="C1076" s="21">
        <f t="shared" si="36"/>
        <v>-0.12360761529839026</v>
      </c>
      <c r="D1076" s="23">
        <f t="shared" si="37"/>
        <v>4.0005446059737979E-2</v>
      </c>
    </row>
    <row r="1077" spans="1:4">
      <c r="A1077" s="21" t="s">
        <v>582</v>
      </c>
      <c r="B1077" s="21">
        <v>3.9324314812140502</v>
      </c>
      <c r="C1077" s="21">
        <f t="shared" si="36"/>
        <v>-4.1594772390979973E-2</v>
      </c>
      <c r="D1077" s="23">
        <f t="shared" si="37"/>
        <v>3.6977518423987901E-2</v>
      </c>
    </row>
    <row r="1078" spans="1:4">
      <c r="A1078" s="21" t="s">
        <v>581</v>
      </c>
      <c r="B1078" s="21">
        <v>3.9740262536050301</v>
      </c>
      <c r="C1078" s="21">
        <f t="shared" si="36"/>
        <v>4.2225699127170113E-2</v>
      </c>
      <c r="D1078" s="23">
        <f t="shared" si="37"/>
        <v>3.6805946590130811E-2</v>
      </c>
    </row>
    <row r="1079" spans="1:4">
      <c r="A1079" s="21" t="s">
        <v>580</v>
      </c>
      <c r="B1079" s="21">
        <v>3.93180055447786</v>
      </c>
      <c r="C1079" s="21">
        <f t="shared" si="36"/>
        <v>-2.867003407506985E-2</v>
      </c>
      <c r="D1079" s="23">
        <f t="shared" si="37"/>
        <v>3.638400926267403E-2</v>
      </c>
    </row>
    <row r="1080" spans="1:4">
      <c r="A1080" s="21" t="s">
        <v>579</v>
      </c>
      <c r="B1080" s="21">
        <v>3.9604705885529299</v>
      </c>
      <c r="C1080" s="21">
        <f t="shared" si="36"/>
        <v>3.480568946526974E-2</v>
      </c>
      <c r="D1080" s="23">
        <f t="shared" si="37"/>
        <v>3.6276284107596611E-2</v>
      </c>
    </row>
    <row r="1081" spans="1:4">
      <c r="A1081" s="21" t="s">
        <v>578</v>
      </c>
      <c r="B1081" s="21">
        <v>3.9256648990876601</v>
      </c>
      <c r="C1081" s="21">
        <f t="shared" si="36"/>
        <v>-2.4767196632459854E-2</v>
      </c>
      <c r="D1081" s="23">
        <f t="shared" si="37"/>
        <v>3.6829212783488607E-2</v>
      </c>
    </row>
    <row r="1082" spans="1:4">
      <c r="A1082" s="21" t="s">
        <v>577</v>
      </c>
      <c r="B1082" s="21">
        <v>3.95043209572012</v>
      </c>
      <c r="C1082" s="21">
        <f t="shared" si="36"/>
        <v>3.5708656374649816E-2</v>
      </c>
      <c r="D1082" s="23">
        <f t="shared" si="37"/>
        <v>3.6916586688317932E-2</v>
      </c>
    </row>
    <row r="1083" spans="1:4">
      <c r="A1083" s="21" t="s">
        <v>576</v>
      </c>
      <c r="B1083" s="21">
        <v>3.9147234393454702</v>
      </c>
      <c r="C1083" s="21">
        <f t="shared" si="36"/>
        <v>1.1824511433780049E-2</v>
      </c>
      <c r="D1083" s="23">
        <f t="shared" si="37"/>
        <v>3.6725769841672397E-2</v>
      </c>
    </row>
    <row r="1084" spans="1:4">
      <c r="A1084" s="21" t="s">
        <v>575</v>
      </c>
      <c r="B1084" s="21">
        <v>3.9028989279116901</v>
      </c>
      <c r="C1084" s="21">
        <f t="shared" si="36"/>
        <v>-1.1409118163059784E-2</v>
      </c>
      <c r="D1084" s="23">
        <f t="shared" si="37"/>
        <v>3.6833743471792649E-2</v>
      </c>
    </row>
    <row r="1085" spans="1:4">
      <c r="A1085" s="21" t="s">
        <v>574</v>
      </c>
      <c r="B1085" s="21">
        <v>3.9143080460747499</v>
      </c>
      <c r="C1085" s="21">
        <f t="shared" si="36"/>
        <v>3.1380342441159836E-2</v>
      </c>
      <c r="D1085" s="23">
        <f t="shared" si="37"/>
        <v>3.6834713302310432E-2</v>
      </c>
    </row>
    <row r="1086" spans="1:4">
      <c r="A1086" s="21" t="s">
        <v>573</v>
      </c>
      <c r="B1086" s="21">
        <v>3.8829277036335901</v>
      </c>
      <c r="C1086" s="21">
        <f t="shared" si="36"/>
        <v>-1.5612818665549977E-2</v>
      </c>
      <c r="D1086" s="23">
        <f t="shared" si="37"/>
        <v>3.6806791529571496E-2</v>
      </c>
    </row>
    <row r="1087" spans="1:4">
      <c r="A1087" s="21" t="s">
        <v>572</v>
      </c>
      <c r="B1087" s="21">
        <v>3.8985405222991401</v>
      </c>
      <c r="C1087" s="21">
        <f t="shared" si="36"/>
        <v>3.4216249432270196E-2</v>
      </c>
      <c r="D1087" s="23">
        <f t="shared" si="37"/>
        <v>3.6790551115386518E-2</v>
      </c>
    </row>
    <row r="1088" spans="1:4">
      <c r="A1088" s="21" t="s">
        <v>571</v>
      </c>
      <c r="B1088" s="21">
        <v>3.8643242728668699</v>
      </c>
      <c r="C1088" s="21">
        <f t="shared" si="36"/>
        <v>-3.5083922613710072E-2</v>
      </c>
      <c r="D1088" s="23">
        <f t="shared" si="37"/>
        <v>3.6605576017340713E-2</v>
      </c>
    </row>
    <row r="1089" spans="1:4">
      <c r="A1089" s="21" t="s">
        <v>570</v>
      </c>
      <c r="B1089" s="21">
        <v>3.8994081954805799</v>
      </c>
      <c r="C1089" s="21">
        <f t="shared" si="36"/>
        <v>-1.3067619710670275E-2</v>
      </c>
      <c r="D1089" s="23">
        <f t="shared" si="37"/>
        <v>3.7293236084206649E-2</v>
      </c>
    </row>
    <row r="1090" spans="1:4">
      <c r="A1090" s="21" t="s">
        <v>569</v>
      </c>
      <c r="B1090" s="21">
        <v>3.9124758151912502</v>
      </c>
      <c r="C1090" s="21">
        <f t="shared" ref="C1090:C1153" si="38">B1090-B1091</f>
        <v>-4.3568826094329882E-2</v>
      </c>
      <c r="D1090" s="23">
        <f t="shared" ref="D1090:D1153" si="39">STDEV(C1090:C1149)</f>
        <v>3.7321795815584653E-2</v>
      </c>
    </row>
    <row r="1091" spans="1:4">
      <c r="A1091" s="21" t="s">
        <v>568</v>
      </c>
      <c r="B1091" s="21">
        <v>3.9560446412855801</v>
      </c>
      <c r="C1091" s="21">
        <f t="shared" si="38"/>
        <v>-9.9254771973680267E-2</v>
      </c>
      <c r="D1091" s="23">
        <f t="shared" si="39"/>
        <v>3.7040523963056855E-2</v>
      </c>
    </row>
    <row r="1092" spans="1:4">
      <c r="A1092" s="21" t="s">
        <v>567</v>
      </c>
      <c r="B1092" s="21">
        <v>4.0552994132592604</v>
      </c>
      <c r="C1092" s="21">
        <f t="shared" si="38"/>
        <v>5.4550948471730365E-2</v>
      </c>
      <c r="D1092" s="23">
        <f t="shared" si="39"/>
        <v>3.5472991582120562E-2</v>
      </c>
    </row>
    <row r="1093" spans="1:4">
      <c r="A1093" s="21" t="s">
        <v>566</v>
      </c>
      <c r="B1093" s="21">
        <v>4.00074846478753</v>
      </c>
      <c r="C1093" s="21">
        <f t="shared" si="38"/>
        <v>-1.0181193582109671E-2</v>
      </c>
      <c r="D1093" s="23">
        <f t="shared" si="39"/>
        <v>3.4600007292480771E-2</v>
      </c>
    </row>
    <row r="1094" spans="1:4">
      <c r="A1094" s="21" t="s">
        <v>565</v>
      </c>
      <c r="B1094" s="21">
        <v>4.0109296583696397</v>
      </c>
      <c r="C1094" s="21">
        <f t="shared" si="38"/>
        <v>-3.8560301701820343E-2</v>
      </c>
      <c r="D1094" s="23">
        <f t="shared" si="39"/>
        <v>3.4648001178217376E-2</v>
      </c>
    </row>
    <row r="1095" spans="1:4">
      <c r="A1095" s="21" t="s">
        <v>564</v>
      </c>
      <c r="B1095" s="21">
        <v>4.04948996007146</v>
      </c>
      <c r="C1095" s="21">
        <f t="shared" si="38"/>
        <v>2.8472162327860318E-2</v>
      </c>
      <c r="D1095" s="23">
        <f t="shared" si="39"/>
        <v>3.4378538636063521E-2</v>
      </c>
    </row>
    <row r="1096" spans="1:4">
      <c r="A1096" s="21" t="s">
        <v>563</v>
      </c>
      <c r="B1096" s="21">
        <v>4.0210177977435997</v>
      </c>
      <c r="C1096" s="21">
        <f t="shared" si="38"/>
        <v>3.0951222047149507E-2</v>
      </c>
      <c r="D1096" s="23">
        <f t="shared" si="39"/>
        <v>3.4428256169726813E-2</v>
      </c>
    </row>
    <row r="1097" spans="1:4">
      <c r="A1097" s="21" t="s">
        <v>562</v>
      </c>
      <c r="B1097" s="21">
        <v>3.9900665756964502</v>
      </c>
      <c r="C1097" s="21">
        <f t="shared" si="38"/>
        <v>2.5480361214350378E-2</v>
      </c>
      <c r="D1097" s="23">
        <f t="shared" si="39"/>
        <v>3.5022996351767956E-2</v>
      </c>
    </row>
    <row r="1098" spans="1:4">
      <c r="A1098" s="21" t="s">
        <v>561</v>
      </c>
      <c r="B1098" s="21">
        <v>3.9645862144820998</v>
      </c>
      <c r="C1098" s="21">
        <f t="shared" si="38"/>
        <v>7.9439725321779786E-2</v>
      </c>
      <c r="D1098" s="23">
        <f t="shared" si="39"/>
        <v>3.4801216450180854E-2</v>
      </c>
    </row>
    <row r="1099" spans="1:4">
      <c r="A1099" s="21" t="s">
        <v>560</v>
      </c>
      <c r="B1099" s="21">
        <v>3.88514648916032</v>
      </c>
      <c r="C1099" s="21">
        <f t="shared" si="38"/>
        <v>4.3833809584150174E-2</v>
      </c>
      <c r="D1099" s="23">
        <f t="shared" si="39"/>
        <v>3.3046045835694343E-2</v>
      </c>
    </row>
    <row r="1100" spans="1:4">
      <c r="A1100" s="21" t="s">
        <v>559</v>
      </c>
      <c r="B1100" s="21">
        <v>3.8413126795761698</v>
      </c>
      <c r="C1100" s="21">
        <f t="shared" si="38"/>
        <v>-1.0205222705601535E-3</v>
      </c>
      <c r="D1100" s="23">
        <f t="shared" si="39"/>
        <v>3.2384506566932848E-2</v>
      </c>
    </row>
    <row r="1101" spans="1:4">
      <c r="A1101" s="21" t="s">
        <v>558</v>
      </c>
      <c r="B1101" s="21">
        <v>3.84233320184673</v>
      </c>
      <c r="C1101" s="21">
        <f t="shared" si="38"/>
        <v>-6.7976853520950176E-2</v>
      </c>
      <c r="D1101" s="23">
        <f t="shared" si="39"/>
        <v>3.256302760788933E-2</v>
      </c>
    </row>
    <row r="1102" spans="1:4">
      <c r="A1102" s="21" t="s">
        <v>557</v>
      </c>
      <c r="B1102" s="21">
        <v>3.9103100553676802</v>
      </c>
      <c r="C1102" s="21">
        <f t="shared" si="38"/>
        <v>-2.3042747965899668E-2</v>
      </c>
      <c r="D1102" s="23">
        <f t="shared" si="39"/>
        <v>3.21567676156626E-2</v>
      </c>
    </row>
    <row r="1103" spans="1:4">
      <c r="A1103" s="21" t="s">
        <v>556</v>
      </c>
      <c r="B1103" s="21">
        <v>3.9333528033335798</v>
      </c>
      <c r="C1103" s="21">
        <f t="shared" si="38"/>
        <v>7.3001511972798916E-3</v>
      </c>
      <c r="D1103" s="23">
        <f t="shared" si="39"/>
        <v>3.2093914769184835E-2</v>
      </c>
    </row>
    <row r="1104" spans="1:4">
      <c r="A1104" s="21" t="s">
        <v>555</v>
      </c>
      <c r="B1104" s="21">
        <v>3.9260526521362999</v>
      </c>
      <c r="C1104" s="21">
        <f t="shared" si="38"/>
        <v>2.0585829456050142E-2</v>
      </c>
      <c r="D1104" s="23">
        <f t="shared" si="39"/>
        <v>3.2422054137917787E-2</v>
      </c>
    </row>
    <row r="1105" spans="1:4">
      <c r="A1105" s="21" t="s">
        <v>554</v>
      </c>
      <c r="B1105" s="21">
        <v>3.9054668226802498</v>
      </c>
      <c r="C1105" s="21">
        <f t="shared" si="38"/>
        <v>2.1302085552979744E-2</v>
      </c>
      <c r="D1105" s="23">
        <f t="shared" si="39"/>
        <v>3.2404858316799075E-2</v>
      </c>
    </row>
    <row r="1106" spans="1:4">
      <c r="A1106" s="21" t="s">
        <v>553</v>
      </c>
      <c r="B1106" s="21">
        <v>3.8841647371272701</v>
      </c>
      <c r="C1106" s="21">
        <f t="shared" si="38"/>
        <v>-2.1739509260100043E-2</v>
      </c>
      <c r="D1106" s="23">
        <f t="shared" si="39"/>
        <v>3.238616320813676E-2</v>
      </c>
    </row>
    <row r="1107" spans="1:4">
      <c r="A1107" s="21" t="s">
        <v>552</v>
      </c>
      <c r="B1107" s="21">
        <v>3.9059042463873701</v>
      </c>
      <c r="C1107" s="21">
        <f t="shared" si="38"/>
        <v>-6.944012846332992E-2</v>
      </c>
      <c r="D1107" s="23">
        <f t="shared" si="39"/>
        <v>3.255569137164023E-2</v>
      </c>
    </row>
    <row r="1108" spans="1:4">
      <c r="A1108" s="21" t="s">
        <v>551</v>
      </c>
      <c r="B1108" s="21">
        <v>3.9753443748507</v>
      </c>
      <c r="C1108" s="21">
        <f t="shared" si="38"/>
        <v>6.855706186619015E-2</v>
      </c>
      <c r="D1108" s="23">
        <f t="shared" si="39"/>
        <v>3.2215775359231369E-2</v>
      </c>
    </row>
    <row r="1109" spans="1:4">
      <c r="A1109" s="21" t="s">
        <v>550</v>
      </c>
      <c r="B1109" s="21">
        <v>3.9067873129845099</v>
      </c>
      <c r="C1109" s="21">
        <f t="shared" si="38"/>
        <v>9.8241413589996718E-3</v>
      </c>
      <c r="D1109" s="23">
        <f t="shared" si="39"/>
        <v>3.0859646024952704E-2</v>
      </c>
    </row>
    <row r="1110" spans="1:4">
      <c r="A1110" s="21" t="s">
        <v>549</v>
      </c>
      <c r="B1110" s="21">
        <v>3.8969631716255102</v>
      </c>
      <c r="C1110" s="21">
        <f t="shared" si="38"/>
        <v>9.1560199578033519E-4</v>
      </c>
      <c r="D1110" s="23">
        <f t="shared" si="39"/>
        <v>3.1040794614017281E-2</v>
      </c>
    </row>
    <row r="1111" spans="1:4">
      <c r="A1111" s="21" t="s">
        <v>548</v>
      </c>
      <c r="B1111" s="21">
        <v>3.8960475696297299</v>
      </c>
      <c r="C1111" s="21">
        <f t="shared" si="38"/>
        <v>3.9365209986099714E-2</v>
      </c>
      <c r="D1111" s="23">
        <f t="shared" si="39"/>
        <v>3.3059501449510559E-2</v>
      </c>
    </row>
    <row r="1112" spans="1:4">
      <c r="A1112" s="21" t="s">
        <v>547</v>
      </c>
      <c r="B1112" s="21">
        <v>3.8566823596436302</v>
      </c>
      <c r="C1112" s="21">
        <f t="shared" si="38"/>
        <v>-3.9132084821599911E-2</v>
      </c>
      <c r="D1112" s="23">
        <f t="shared" si="39"/>
        <v>3.2551719133210845E-2</v>
      </c>
    </row>
    <row r="1113" spans="1:4">
      <c r="A1113" s="21" t="s">
        <v>546</v>
      </c>
      <c r="B1113" s="21">
        <v>3.8958144444652301</v>
      </c>
      <c r="C1113" s="21">
        <f t="shared" si="38"/>
        <v>-4.9002250014598125E-3</v>
      </c>
      <c r="D1113" s="23">
        <f t="shared" si="39"/>
        <v>3.2475177253678801E-2</v>
      </c>
    </row>
    <row r="1114" spans="1:4">
      <c r="A1114" s="21" t="s">
        <v>545</v>
      </c>
      <c r="B1114" s="21">
        <v>3.9007146694666899</v>
      </c>
      <c r="C1114" s="21">
        <f t="shared" si="38"/>
        <v>7.4310874931700077E-3</v>
      </c>
      <c r="D1114" s="23">
        <f t="shared" si="39"/>
        <v>3.2587024937568695E-2</v>
      </c>
    </row>
    <row r="1115" spans="1:4">
      <c r="A1115" s="21" t="s">
        <v>544</v>
      </c>
      <c r="B1115" s="21">
        <v>3.8932835819735199</v>
      </c>
      <c r="C1115" s="21">
        <f t="shared" si="38"/>
        <v>-2.0582762454420145E-2</v>
      </c>
      <c r="D1115" s="23">
        <f t="shared" si="39"/>
        <v>3.3057730651273903E-2</v>
      </c>
    </row>
    <row r="1116" spans="1:4">
      <c r="A1116" s="21" t="s">
        <v>543</v>
      </c>
      <c r="B1116" s="21">
        <v>3.91386634442794</v>
      </c>
      <c r="C1116" s="21">
        <f t="shared" si="38"/>
        <v>5.037210069991005E-2</v>
      </c>
      <c r="D1116" s="23">
        <f t="shared" si="39"/>
        <v>3.3840370927903166E-2</v>
      </c>
    </row>
    <row r="1117" spans="1:4">
      <c r="A1117" s="21" t="s">
        <v>542</v>
      </c>
      <c r="B1117" s="21">
        <v>3.86349424372803</v>
      </c>
      <c r="C1117" s="21">
        <f t="shared" si="38"/>
        <v>-6.8860027197950036E-2</v>
      </c>
      <c r="D1117" s="23">
        <f t="shared" si="39"/>
        <v>3.348732027021914E-2</v>
      </c>
    </row>
    <row r="1118" spans="1:4">
      <c r="A1118" s="21" t="s">
        <v>541</v>
      </c>
      <c r="B1118" s="21">
        <v>3.93235427092598</v>
      </c>
      <c r="C1118" s="21">
        <f t="shared" si="38"/>
        <v>-1.6589760313898694E-3</v>
      </c>
      <c r="D1118" s="23">
        <f t="shared" si="39"/>
        <v>3.2546706074091769E-2</v>
      </c>
    </row>
    <row r="1119" spans="1:4">
      <c r="A1119" s="21" t="s">
        <v>540</v>
      </c>
      <c r="B1119" s="21">
        <v>3.9340132469573699</v>
      </c>
      <c r="C1119" s="21">
        <f t="shared" si="38"/>
        <v>2.2919473718070016E-2</v>
      </c>
      <c r="D1119" s="23">
        <f t="shared" si="39"/>
        <v>3.4320742050488483E-2</v>
      </c>
    </row>
    <row r="1120" spans="1:4">
      <c r="A1120" s="21" t="s">
        <v>539</v>
      </c>
      <c r="B1120" s="21">
        <v>3.9110937732392999</v>
      </c>
      <c r="C1120" s="21">
        <f t="shared" si="38"/>
        <v>-7.1546468463659973E-2</v>
      </c>
      <c r="D1120" s="23">
        <f t="shared" si="39"/>
        <v>3.5789174248417835E-2</v>
      </c>
    </row>
    <row r="1121" spans="1:4">
      <c r="A1121" s="21" t="s">
        <v>538</v>
      </c>
      <c r="B1121" s="21">
        <v>3.9826402417029598</v>
      </c>
      <c r="C1121" s="21">
        <f t="shared" si="38"/>
        <v>-1.3665771310602537E-3</v>
      </c>
      <c r="D1121" s="23">
        <f t="shared" si="39"/>
        <v>3.5280215242544648E-2</v>
      </c>
    </row>
    <row r="1122" spans="1:4">
      <c r="A1122" s="21" t="s">
        <v>537</v>
      </c>
      <c r="B1122" s="21">
        <v>3.9840068188340201</v>
      </c>
      <c r="C1122" s="21">
        <f t="shared" si="38"/>
        <v>-1.2146684183319767E-2</v>
      </c>
      <c r="D1122" s="23">
        <f t="shared" si="39"/>
        <v>3.5302496236588071E-2</v>
      </c>
    </row>
    <row r="1123" spans="1:4">
      <c r="A1123" s="21" t="s">
        <v>536</v>
      </c>
      <c r="B1123" s="21">
        <v>3.9961535030173398</v>
      </c>
      <c r="C1123" s="21">
        <f t="shared" si="38"/>
        <v>3.3121589783697836E-3</v>
      </c>
      <c r="D1123" s="23">
        <f t="shared" si="39"/>
        <v>3.5338844195306036E-2</v>
      </c>
    </row>
    <row r="1124" spans="1:4">
      <c r="A1124" s="21" t="s">
        <v>535</v>
      </c>
      <c r="B1124" s="21">
        <v>3.9928413440389701</v>
      </c>
      <c r="C1124" s="21">
        <f t="shared" si="38"/>
        <v>-1.2816448067850317E-2</v>
      </c>
      <c r="D1124" s="23">
        <f t="shared" si="39"/>
        <v>3.5346726164455708E-2</v>
      </c>
    </row>
    <row r="1125" spans="1:4">
      <c r="A1125" s="21" t="s">
        <v>534</v>
      </c>
      <c r="B1125" s="21">
        <v>4.0056577921068204</v>
      </c>
      <c r="C1125" s="21">
        <f t="shared" si="38"/>
        <v>7.4830512784003211E-3</v>
      </c>
      <c r="D1125" s="23">
        <f t="shared" si="39"/>
        <v>3.5684411216091269E-2</v>
      </c>
    </row>
    <row r="1126" spans="1:4">
      <c r="A1126" s="21" t="s">
        <v>533</v>
      </c>
      <c r="B1126" s="21">
        <v>3.9981747408284201</v>
      </c>
      <c r="C1126" s="21">
        <f t="shared" si="38"/>
        <v>4.1977345715430214E-2</v>
      </c>
      <c r="D1126" s="23">
        <f t="shared" si="39"/>
        <v>3.5680923264775219E-2</v>
      </c>
    </row>
    <row r="1127" spans="1:4">
      <c r="A1127" s="21" t="s">
        <v>532</v>
      </c>
      <c r="B1127" s="21">
        <v>3.9561973951129898</v>
      </c>
      <c r="C1127" s="21">
        <f t="shared" si="38"/>
        <v>-1.5248873694019949E-2</v>
      </c>
      <c r="D1127" s="23">
        <f t="shared" si="39"/>
        <v>3.6002976364805803E-2</v>
      </c>
    </row>
    <row r="1128" spans="1:4">
      <c r="A1128" s="21" t="s">
        <v>531</v>
      </c>
      <c r="B1128" s="21">
        <v>3.9714462688070098</v>
      </c>
      <c r="C1128" s="21">
        <f t="shared" si="38"/>
        <v>-1.7175953069650252E-2</v>
      </c>
      <c r="D1128" s="23">
        <f t="shared" si="39"/>
        <v>3.6104561460597623E-2</v>
      </c>
    </row>
    <row r="1129" spans="1:4">
      <c r="A1129" s="21" t="s">
        <v>530</v>
      </c>
      <c r="B1129" s="21">
        <v>3.98862222187666</v>
      </c>
      <c r="C1129" s="21">
        <f t="shared" si="38"/>
        <v>-1.6586209691909826E-2</v>
      </c>
      <c r="D1129" s="23">
        <f t="shared" si="39"/>
        <v>3.6489088960448349E-2</v>
      </c>
    </row>
    <row r="1130" spans="1:4">
      <c r="A1130" s="21" t="s">
        <v>529</v>
      </c>
      <c r="B1130" s="21">
        <v>4.0052084315685699</v>
      </c>
      <c r="C1130" s="21">
        <f t="shared" si="38"/>
        <v>2.255591426302983E-2</v>
      </c>
      <c r="D1130" s="23">
        <f t="shared" si="39"/>
        <v>3.6562799324997813E-2</v>
      </c>
    </row>
    <row r="1131" spans="1:4">
      <c r="A1131" s="21" t="s">
        <v>528</v>
      </c>
      <c r="B1131" s="21">
        <v>3.98265251730554</v>
      </c>
      <c r="C1131" s="21">
        <f t="shared" si="38"/>
        <v>-2.7521580367519949E-2</v>
      </c>
      <c r="D1131" s="23">
        <f t="shared" si="39"/>
        <v>3.636590797962562E-2</v>
      </c>
    </row>
    <row r="1132" spans="1:4">
      <c r="A1132" s="21" t="s">
        <v>527</v>
      </c>
      <c r="B1132" s="21">
        <v>4.01017409767306</v>
      </c>
      <c r="C1132" s="21">
        <f t="shared" si="38"/>
        <v>4.29900803534502E-2</v>
      </c>
      <c r="D1132" s="23">
        <f t="shared" si="39"/>
        <v>3.653960486747692E-2</v>
      </c>
    </row>
    <row r="1133" spans="1:4">
      <c r="A1133" s="21" t="s">
        <v>526</v>
      </c>
      <c r="B1133" s="21">
        <v>3.9671840173196098</v>
      </c>
      <c r="C1133" s="21">
        <f t="shared" si="38"/>
        <v>-1.3852905868290133E-2</v>
      </c>
      <c r="D1133" s="23">
        <f t="shared" si="39"/>
        <v>3.6742487248377462E-2</v>
      </c>
    </row>
    <row r="1134" spans="1:4">
      <c r="A1134" s="21" t="s">
        <v>525</v>
      </c>
      <c r="B1134" s="21">
        <v>3.9810369231878999</v>
      </c>
      <c r="C1134" s="21">
        <f t="shared" si="38"/>
        <v>-8.7057616469499166E-3</v>
      </c>
      <c r="D1134" s="23">
        <f t="shared" si="39"/>
        <v>3.7469629073587314E-2</v>
      </c>
    </row>
    <row r="1135" spans="1:4">
      <c r="A1135" s="21" t="s">
        <v>524</v>
      </c>
      <c r="B1135" s="21">
        <v>3.9897426848348498</v>
      </c>
      <c r="C1135" s="21">
        <f t="shared" si="38"/>
        <v>-5.0545657204330574E-2</v>
      </c>
      <c r="D1135" s="23">
        <f t="shared" si="39"/>
        <v>3.762337651716112E-2</v>
      </c>
    </row>
    <row r="1136" spans="1:4">
      <c r="A1136" s="21" t="s">
        <v>523</v>
      </c>
      <c r="B1136" s="21">
        <v>4.0402883420391804</v>
      </c>
      <c r="C1136" s="21">
        <f t="shared" si="38"/>
        <v>-3.0885334452649182E-2</v>
      </c>
      <c r="D1136" s="23">
        <f t="shared" si="39"/>
        <v>3.8712589764322958E-2</v>
      </c>
    </row>
    <row r="1137" spans="1:4">
      <c r="A1137" s="21" t="s">
        <v>522</v>
      </c>
      <c r="B1137" s="21">
        <v>4.0711736764918296</v>
      </c>
      <c r="C1137" s="21">
        <f t="shared" si="38"/>
        <v>-3.0565579105710228E-2</v>
      </c>
      <c r="D1137" s="23">
        <f t="shared" si="39"/>
        <v>3.8691807945586368E-2</v>
      </c>
    </row>
    <row r="1138" spans="1:4">
      <c r="A1138" s="21" t="s">
        <v>521</v>
      </c>
      <c r="B1138" s="21">
        <v>4.1017392555975398</v>
      </c>
      <c r="C1138" s="21">
        <f t="shared" si="38"/>
        <v>1.0597747649489619E-2</v>
      </c>
      <c r="D1138" s="23">
        <f t="shared" si="39"/>
        <v>3.9682721442118152E-2</v>
      </c>
    </row>
    <row r="1139" spans="1:4">
      <c r="A1139" s="21" t="s">
        <v>520</v>
      </c>
      <c r="B1139" s="21">
        <v>4.0911415079480502</v>
      </c>
      <c r="C1139" s="21">
        <f t="shared" si="38"/>
        <v>-1.73884547955101E-2</v>
      </c>
      <c r="D1139" s="23">
        <f t="shared" si="39"/>
        <v>4.0100694619720344E-2</v>
      </c>
    </row>
    <row r="1140" spans="1:4">
      <c r="A1140" s="21" t="s">
        <v>519</v>
      </c>
      <c r="B1140" s="21">
        <v>4.1085299627435603</v>
      </c>
      <c r="C1140" s="21">
        <f t="shared" si="38"/>
        <v>-6.524539677913932E-2</v>
      </c>
      <c r="D1140" s="23">
        <f t="shared" si="39"/>
        <v>4.0651785354445462E-2</v>
      </c>
    </row>
    <row r="1141" spans="1:4">
      <c r="A1141" s="21" t="s">
        <v>518</v>
      </c>
      <c r="B1141" s="21">
        <v>4.1737753595226996</v>
      </c>
      <c r="C1141" s="21">
        <f t="shared" si="38"/>
        <v>2.4969346298719941E-2</v>
      </c>
      <c r="D1141" s="23">
        <f t="shared" si="39"/>
        <v>4.0557297044644218E-2</v>
      </c>
    </row>
    <row r="1142" spans="1:4">
      <c r="A1142" s="21" t="s">
        <v>517</v>
      </c>
      <c r="B1142" s="21">
        <v>4.1488060132239797</v>
      </c>
      <c r="C1142" s="21">
        <f t="shared" si="38"/>
        <v>-3.100572140205049E-2</v>
      </c>
      <c r="D1142" s="23">
        <f t="shared" si="39"/>
        <v>4.0555908792082672E-2</v>
      </c>
    </row>
    <row r="1143" spans="1:4">
      <c r="A1143" s="21" t="s">
        <v>516</v>
      </c>
      <c r="B1143" s="21">
        <v>4.1798117346260302</v>
      </c>
      <c r="C1143" s="21">
        <f t="shared" si="38"/>
        <v>-3.2068460592419967E-2</v>
      </c>
      <c r="D1143" s="23">
        <f t="shared" si="39"/>
        <v>4.0544798873117592E-2</v>
      </c>
    </row>
    <row r="1144" spans="1:4">
      <c r="A1144" s="21" t="s">
        <v>515</v>
      </c>
      <c r="B1144" s="21">
        <v>4.2118801952184501</v>
      </c>
      <c r="C1144" s="21">
        <f t="shared" si="38"/>
        <v>1.6501797685597452E-3</v>
      </c>
      <c r="D1144" s="23">
        <f t="shared" si="39"/>
        <v>4.0879588987844891E-2</v>
      </c>
    </row>
    <row r="1145" spans="1:4">
      <c r="A1145" s="21" t="s">
        <v>514</v>
      </c>
      <c r="B1145" s="21">
        <v>4.2102300154498904</v>
      </c>
      <c r="C1145" s="21">
        <f t="shared" si="38"/>
        <v>2.9670300253940241E-2</v>
      </c>
      <c r="D1145" s="23">
        <f t="shared" si="39"/>
        <v>4.2227772959120273E-2</v>
      </c>
    </row>
    <row r="1146" spans="1:4">
      <c r="A1146" s="21" t="s">
        <v>513</v>
      </c>
      <c r="B1146" s="21">
        <v>4.1805597151959502</v>
      </c>
      <c r="C1146" s="21">
        <f t="shared" si="38"/>
        <v>-1.1535367654639472E-2</v>
      </c>
      <c r="D1146" s="23">
        <f t="shared" si="39"/>
        <v>4.2508253363257191E-2</v>
      </c>
    </row>
    <row r="1147" spans="1:4">
      <c r="A1147" s="21" t="s">
        <v>512</v>
      </c>
      <c r="B1147" s="21">
        <v>4.1920950828505896</v>
      </c>
      <c r="C1147" s="21">
        <f t="shared" si="38"/>
        <v>-3.3253807974270799E-2</v>
      </c>
      <c r="D1147" s="23">
        <f t="shared" si="39"/>
        <v>4.2518645087149282E-2</v>
      </c>
    </row>
    <row r="1148" spans="1:4">
      <c r="A1148" s="21" t="s">
        <v>511</v>
      </c>
      <c r="B1148" s="21">
        <v>4.2253488908248604</v>
      </c>
      <c r="C1148" s="21">
        <f t="shared" si="38"/>
        <v>-6.815667865418984E-2</v>
      </c>
      <c r="D1148" s="23">
        <f t="shared" si="39"/>
        <v>4.2530306614453048E-2</v>
      </c>
    </row>
    <row r="1149" spans="1:4">
      <c r="A1149" s="21" t="s">
        <v>510</v>
      </c>
      <c r="B1149" s="21">
        <v>4.2935055694790503</v>
      </c>
      <c r="C1149" s="21">
        <f t="shared" si="38"/>
        <v>6.6393664782404826E-3</v>
      </c>
      <c r="D1149" s="23">
        <f t="shared" si="39"/>
        <v>4.3524680141390534E-2</v>
      </c>
    </row>
    <row r="1150" spans="1:4">
      <c r="A1150" s="21" t="s">
        <v>509</v>
      </c>
      <c r="B1150" s="21">
        <v>4.2868662030008098</v>
      </c>
      <c r="C1150" s="21">
        <f t="shared" si="38"/>
        <v>-1.9250003183960196E-2</v>
      </c>
      <c r="D1150" s="23">
        <f t="shared" si="39"/>
        <v>4.3683014955972363E-2</v>
      </c>
    </row>
    <row r="1151" spans="1:4">
      <c r="A1151" s="21" t="s">
        <v>508</v>
      </c>
      <c r="B1151" s="21">
        <v>4.30611620618477</v>
      </c>
      <c r="C1151" s="21">
        <f t="shared" si="38"/>
        <v>-5.121552893930037E-2</v>
      </c>
      <c r="D1151" s="23">
        <f t="shared" si="39"/>
        <v>4.4115780985791109E-2</v>
      </c>
    </row>
    <row r="1152" spans="1:4">
      <c r="A1152" s="21" t="s">
        <v>507</v>
      </c>
      <c r="B1152" s="21">
        <v>4.3573317351240703</v>
      </c>
      <c r="C1152" s="21">
        <f t="shared" si="38"/>
        <v>-4.875878407649914E-3</v>
      </c>
      <c r="D1152" s="23">
        <f t="shared" si="39"/>
        <v>4.3537067993565458E-2</v>
      </c>
    </row>
    <row r="1153" spans="1:4">
      <c r="A1153" s="21" t="s">
        <v>506</v>
      </c>
      <c r="B1153" s="21">
        <v>4.3622076135317203</v>
      </c>
      <c r="C1153" s="21">
        <f t="shared" si="38"/>
        <v>8.786529114019892E-3</v>
      </c>
      <c r="D1153" s="23">
        <f t="shared" si="39"/>
        <v>4.4195741226937597E-2</v>
      </c>
    </row>
    <row r="1154" spans="1:4">
      <c r="A1154" s="21" t="s">
        <v>505</v>
      </c>
      <c r="B1154" s="21">
        <v>4.3534210844177004</v>
      </c>
      <c r="C1154" s="21">
        <f t="shared" ref="C1154:C1217" si="40">B1154-B1155</f>
        <v>-4.7610284229300248E-3</v>
      </c>
      <c r="D1154" s="23">
        <f t="shared" ref="D1154:D1217" si="41">STDEV(C1154:C1213)</f>
        <v>4.4199671689602184E-2</v>
      </c>
    </row>
    <row r="1155" spans="1:4">
      <c r="A1155" s="21" t="s">
        <v>504</v>
      </c>
      <c r="B1155" s="21">
        <v>4.3581821128406304</v>
      </c>
      <c r="C1155" s="21">
        <f t="shared" si="40"/>
        <v>3.1352753318410365E-2</v>
      </c>
      <c r="D1155" s="23">
        <f t="shared" si="41"/>
        <v>4.4660426729225079E-2</v>
      </c>
    </row>
    <row r="1156" spans="1:4">
      <c r="A1156" s="21" t="s">
        <v>503</v>
      </c>
      <c r="B1156" s="21">
        <v>4.32682935952222</v>
      </c>
      <c r="C1156" s="21">
        <f t="shared" si="40"/>
        <v>5.6116214164210199E-2</v>
      </c>
      <c r="D1156" s="23">
        <f t="shared" si="41"/>
        <v>4.4691928577591036E-2</v>
      </c>
    </row>
    <row r="1157" spans="1:4">
      <c r="A1157" s="21" t="s">
        <v>502</v>
      </c>
      <c r="B1157" s="21">
        <v>4.2707131453580098</v>
      </c>
      <c r="C1157" s="21">
        <f t="shared" si="40"/>
        <v>-1.8050625842498391E-3</v>
      </c>
      <c r="D1157" s="23">
        <f t="shared" si="41"/>
        <v>4.6038301174510889E-2</v>
      </c>
    </row>
    <row r="1158" spans="1:4">
      <c r="A1158" s="21" t="s">
        <v>501</v>
      </c>
      <c r="B1158" s="21">
        <v>4.2725182079422597</v>
      </c>
      <c r="C1158" s="21">
        <f t="shared" si="40"/>
        <v>9.3060053612896709E-3</v>
      </c>
      <c r="D1158" s="23">
        <f t="shared" si="41"/>
        <v>4.6453321831144569E-2</v>
      </c>
    </row>
    <row r="1159" spans="1:4">
      <c r="A1159" s="21" t="s">
        <v>500</v>
      </c>
      <c r="B1159" s="21">
        <v>4.26321220258097</v>
      </c>
      <c r="C1159" s="21">
        <f t="shared" si="40"/>
        <v>-5.6205969691802693E-3</v>
      </c>
      <c r="D1159" s="23">
        <f t="shared" si="41"/>
        <v>4.9572554588531499E-2</v>
      </c>
    </row>
    <row r="1160" spans="1:4">
      <c r="A1160" s="21" t="s">
        <v>499</v>
      </c>
      <c r="B1160" s="21">
        <v>4.2688327995501503</v>
      </c>
      <c r="C1160" s="21">
        <f t="shared" si="40"/>
        <v>-3.4325169606799655E-2</v>
      </c>
      <c r="D1160" s="23">
        <f t="shared" si="41"/>
        <v>4.9576929508676822E-2</v>
      </c>
    </row>
    <row r="1161" spans="1:4">
      <c r="A1161" s="21" t="s">
        <v>498</v>
      </c>
      <c r="B1161" s="21">
        <v>4.3031579691569499</v>
      </c>
      <c r="C1161" s="21">
        <f t="shared" si="40"/>
        <v>4.005734101339975E-2</v>
      </c>
      <c r="D1161" s="23">
        <f t="shared" si="41"/>
        <v>4.935928147839698E-2</v>
      </c>
    </row>
    <row r="1162" spans="1:4">
      <c r="A1162" s="21" t="s">
        <v>497</v>
      </c>
      <c r="B1162" s="21">
        <v>4.2631006281435502</v>
      </c>
      <c r="C1162" s="21">
        <f t="shared" si="40"/>
        <v>2.3062992282598671E-3</v>
      </c>
      <c r="D1162" s="23">
        <f t="shared" si="41"/>
        <v>5.035254552772795E-2</v>
      </c>
    </row>
    <row r="1163" spans="1:4">
      <c r="A1163" s="21" t="s">
        <v>496</v>
      </c>
      <c r="B1163" s="21">
        <v>4.2607943289152903</v>
      </c>
      <c r="C1163" s="21">
        <f t="shared" si="40"/>
        <v>3.2254392176340296E-2</v>
      </c>
      <c r="D1163" s="23">
        <f t="shared" si="41"/>
        <v>5.0396633686662744E-2</v>
      </c>
    </row>
    <row r="1164" spans="1:4">
      <c r="A1164" s="21" t="s">
        <v>495</v>
      </c>
      <c r="B1164" s="21">
        <v>4.22853993673895</v>
      </c>
      <c r="C1164" s="21">
        <f t="shared" si="40"/>
        <v>1.9269370261690177E-2</v>
      </c>
      <c r="D1164" s="23">
        <f t="shared" si="41"/>
        <v>5.4147626385641849E-2</v>
      </c>
    </row>
    <row r="1165" spans="1:4">
      <c r="A1165" s="21" t="s">
        <v>494</v>
      </c>
      <c r="B1165" s="21">
        <v>4.2092705664772598</v>
      </c>
      <c r="C1165" s="21">
        <f t="shared" si="40"/>
        <v>1.9910703511789585E-2</v>
      </c>
      <c r="D1165" s="23">
        <f t="shared" si="41"/>
        <v>5.6110855328444655E-2</v>
      </c>
    </row>
    <row r="1166" spans="1:4">
      <c r="A1166" s="21" t="s">
        <v>493</v>
      </c>
      <c r="B1166" s="21">
        <v>4.1893598629654702</v>
      </c>
      <c r="C1166" s="21">
        <f t="shared" si="40"/>
        <v>2.5975021194840409E-2</v>
      </c>
      <c r="D1166" s="23">
        <f t="shared" si="41"/>
        <v>5.6075737362910869E-2</v>
      </c>
    </row>
    <row r="1167" spans="1:4">
      <c r="A1167" s="21" t="s">
        <v>492</v>
      </c>
      <c r="B1167" s="21">
        <v>4.1633848417706298</v>
      </c>
      <c r="C1167" s="21">
        <f t="shared" si="40"/>
        <v>5.2206453757180249E-2</v>
      </c>
      <c r="D1167" s="23">
        <f t="shared" si="41"/>
        <v>5.6324386122839638E-2</v>
      </c>
    </row>
    <row r="1168" spans="1:4">
      <c r="A1168" s="21" t="s">
        <v>491</v>
      </c>
      <c r="B1168" s="21">
        <v>4.1111783880134496</v>
      </c>
      <c r="C1168" s="21">
        <f t="shared" si="40"/>
        <v>3.9360420382994477E-3</v>
      </c>
      <c r="D1168" s="23">
        <f t="shared" si="41"/>
        <v>5.590526375743133E-2</v>
      </c>
    </row>
    <row r="1169" spans="1:4">
      <c r="A1169" s="21" t="s">
        <v>490</v>
      </c>
      <c r="B1169" s="21">
        <v>4.1072423459751501</v>
      </c>
      <c r="C1169" s="21">
        <f t="shared" si="40"/>
        <v>2.562557481340999E-2</v>
      </c>
      <c r="D1169" s="23">
        <f t="shared" si="41"/>
        <v>5.6080597629978843E-2</v>
      </c>
    </row>
    <row r="1170" spans="1:4">
      <c r="A1170" s="21" t="s">
        <v>489</v>
      </c>
      <c r="B1170" s="21">
        <v>4.0816167711617402</v>
      </c>
      <c r="C1170" s="21">
        <f t="shared" si="40"/>
        <v>-9.1352229047640066E-2</v>
      </c>
      <c r="D1170" s="23">
        <f t="shared" si="41"/>
        <v>5.6276814626458657E-2</v>
      </c>
    </row>
    <row r="1171" spans="1:4">
      <c r="A1171" s="21" t="s">
        <v>488</v>
      </c>
      <c r="B1171" s="21">
        <v>4.1729690002093802</v>
      </c>
      <c r="C1171" s="21">
        <f t="shared" si="40"/>
        <v>-6.5616515981599122E-3</v>
      </c>
      <c r="D1171" s="23">
        <f t="shared" si="41"/>
        <v>6.0216247205212542E-2</v>
      </c>
    </row>
    <row r="1172" spans="1:4">
      <c r="A1172" s="21" t="s">
        <v>487</v>
      </c>
      <c r="B1172" s="21">
        <v>4.1795306518075401</v>
      </c>
      <c r="C1172" s="21">
        <f t="shared" si="40"/>
        <v>-3.4464347580390076E-2</v>
      </c>
      <c r="D1172" s="23">
        <f t="shared" si="41"/>
        <v>6.0299116869662099E-2</v>
      </c>
    </row>
    <row r="1173" spans="1:4">
      <c r="A1173" s="21" t="s">
        <v>486</v>
      </c>
      <c r="B1173" s="21">
        <v>4.2139949993879302</v>
      </c>
      <c r="C1173" s="21">
        <f t="shared" si="40"/>
        <v>1.5589713624080126E-2</v>
      </c>
      <c r="D1173" s="23">
        <f t="shared" si="41"/>
        <v>6.1517944693527234E-2</v>
      </c>
    </row>
    <row r="1174" spans="1:4">
      <c r="A1174" s="21" t="s">
        <v>485</v>
      </c>
      <c r="B1174" s="21">
        <v>4.1984052857638501</v>
      </c>
      <c r="C1174" s="21">
        <f t="shared" si="40"/>
        <v>-5.0035663253259699E-2</v>
      </c>
      <c r="D1174" s="23">
        <f t="shared" si="41"/>
        <v>6.5724213954835339E-2</v>
      </c>
    </row>
    <row r="1175" spans="1:4">
      <c r="A1175" s="21" t="s">
        <v>484</v>
      </c>
      <c r="B1175" s="21">
        <v>4.2484409490171098</v>
      </c>
      <c r="C1175" s="21">
        <f t="shared" si="40"/>
        <v>-6.366900477452031E-2</v>
      </c>
      <c r="D1175" s="23">
        <f t="shared" si="41"/>
        <v>6.5435449694674463E-2</v>
      </c>
    </row>
    <row r="1176" spans="1:4">
      <c r="A1176" s="21" t="s">
        <v>483</v>
      </c>
      <c r="B1176" s="21">
        <v>4.3121099537916301</v>
      </c>
      <c r="C1176" s="21">
        <f t="shared" si="40"/>
        <v>3.6384788259050005E-2</v>
      </c>
      <c r="D1176" s="23">
        <f t="shared" si="41"/>
        <v>6.5476899481292122E-2</v>
      </c>
    </row>
    <row r="1177" spans="1:4">
      <c r="A1177" s="21" t="s">
        <v>482</v>
      </c>
      <c r="B1177" s="21">
        <v>4.2757251655325801</v>
      </c>
      <c r="C1177" s="21">
        <f t="shared" si="40"/>
        <v>9.9063086742097184E-3</v>
      </c>
      <c r="D1177" s="23">
        <f t="shared" si="41"/>
        <v>6.5698816274654182E-2</v>
      </c>
    </row>
    <row r="1178" spans="1:4">
      <c r="A1178" s="21" t="s">
        <v>481</v>
      </c>
      <c r="B1178" s="21">
        <v>4.2658188568583704</v>
      </c>
      <c r="C1178" s="21">
        <f t="shared" si="40"/>
        <v>-9.0082307993639255E-2</v>
      </c>
      <c r="D1178" s="23">
        <f t="shared" si="41"/>
        <v>6.5979126592381629E-2</v>
      </c>
    </row>
    <row r="1179" spans="1:4">
      <c r="A1179" s="21" t="s">
        <v>480</v>
      </c>
      <c r="B1179" s="21">
        <v>4.3559011648520096</v>
      </c>
      <c r="C1179" s="21">
        <f t="shared" si="40"/>
        <v>7.675101404127993E-2</v>
      </c>
      <c r="D1179" s="23">
        <f t="shared" si="41"/>
        <v>6.9727097372690963E-2</v>
      </c>
    </row>
    <row r="1180" spans="1:4">
      <c r="A1180" s="21" t="s">
        <v>479</v>
      </c>
      <c r="B1180" s="21">
        <v>4.2791501508107297</v>
      </c>
      <c r="C1180" s="21">
        <f t="shared" si="40"/>
        <v>4.2458539339889967E-2</v>
      </c>
      <c r="D1180" s="23">
        <f t="shared" si="41"/>
        <v>7.0361261475734738E-2</v>
      </c>
    </row>
    <row r="1181" spans="1:4">
      <c r="A1181" s="21" t="s">
        <v>478</v>
      </c>
      <c r="B1181" s="21">
        <v>4.2366916114708397</v>
      </c>
      <c r="C1181" s="21">
        <f t="shared" si="40"/>
        <v>5.8593710716197123E-3</v>
      </c>
      <c r="D1181" s="23">
        <f t="shared" si="41"/>
        <v>7.024088961989694E-2</v>
      </c>
    </row>
    <row r="1182" spans="1:4">
      <c r="A1182" s="21" t="s">
        <v>477</v>
      </c>
      <c r="B1182" s="21">
        <v>4.23083224039922</v>
      </c>
      <c r="C1182" s="21">
        <f t="shared" si="40"/>
        <v>-1.8836742790020011E-2</v>
      </c>
      <c r="D1182" s="23">
        <f t="shared" si="41"/>
        <v>7.0290202022613144E-2</v>
      </c>
    </row>
    <row r="1183" spans="1:4">
      <c r="A1183" s="21" t="s">
        <v>476</v>
      </c>
      <c r="B1183" s="21">
        <v>4.24966898318924</v>
      </c>
      <c r="C1183" s="21">
        <f t="shared" si="40"/>
        <v>-1.3954225200629722E-2</v>
      </c>
      <c r="D1183" s="23">
        <f t="shared" si="41"/>
        <v>7.281808521394241E-2</v>
      </c>
    </row>
    <row r="1184" spans="1:4">
      <c r="A1184" s="21" t="s">
        <v>475</v>
      </c>
      <c r="B1184" s="21">
        <v>4.2636232083898697</v>
      </c>
      <c r="C1184" s="21">
        <f t="shared" si="40"/>
        <v>-4.3237098232660642E-2</v>
      </c>
      <c r="D1184" s="23">
        <f t="shared" si="41"/>
        <v>7.2762018251980115E-2</v>
      </c>
    </row>
    <row r="1185" spans="1:4">
      <c r="A1185" s="21" t="s">
        <v>474</v>
      </c>
      <c r="B1185" s="21">
        <v>4.3068603066225304</v>
      </c>
      <c r="C1185" s="21">
        <f t="shared" si="40"/>
        <v>6.8815193332607549E-3</v>
      </c>
      <c r="D1185" s="23">
        <f t="shared" si="41"/>
        <v>7.2879696182775358E-2</v>
      </c>
    </row>
    <row r="1186" spans="1:4">
      <c r="A1186" s="21" t="s">
        <v>473</v>
      </c>
      <c r="B1186" s="21">
        <v>4.2999787872892696</v>
      </c>
      <c r="C1186" s="21">
        <f t="shared" si="40"/>
        <v>-6.6410612850870798E-2</v>
      </c>
      <c r="D1186" s="23">
        <f t="shared" si="41"/>
        <v>7.3053849174867139E-2</v>
      </c>
    </row>
    <row r="1187" spans="1:4">
      <c r="A1187" s="21" t="s">
        <v>472</v>
      </c>
      <c r="B1187" s="21">
        <v>4.3663894001401404</v>
      </c>
      <c r="C1187" s="21">
        <f t="shared" si="40"/>
        <v>1.5948702265920822E-2</v>
      </c>
      <c r="D1187" s="23">
        <f t="shared" si="41"/>
        <v>7.4729504978247555E-2</v>
      </c>
    </row>
    <row r="1188" spans="1:4">
      <c r="A1188" s="21" t="s">
        <v>471</v>
      </c>
      <c r="B1188" s="21">
        <v>4.3504406978742196</v>
      </c>
      <c r="C1188" s="21">
        <f t="shared" si="40"/>
        <v>-4.8521345075560163E-2</v>
      </c>
      <c r="D1188" s="23">
        <f t="shared" si="41"/>
        <v>7.4877287304222773E-2</v>
      </c>
    </row>
    <row r="1189" spans="1:4">
      <c r="A1189" s="21" t="s">
        <v>470</v>
      </c>
      <c r="B1189" s="21">
        <v>4.3989620429497798</v>
      </c>
      <c r="C1189" s="21">
        <f t="shared" si="40"/>
        <v>1.3852703653720155E-2</v>
      </c>
      <c r="D1189" s="23">
        <f t="shared" si="41"/>
        <v>7.4750116777483583E-2</v>
      </c>
    </row>
    <row r="1190" spans="1:4">
      <c r="A1190" s="21" t="s">
        <v>469</v>
      </c>
      <c r="B1190" s="21">
        <v>4.3851093392960596</v>
      </c>
      <c r="C1190" s="21">
        <f t="shared" si="40"/>
        <v>-8.0374276742105621E-3</v>
      </c>
      <c r="D1190" s="23">
        <f t="shared" si="41"/>
        <v>7.4751422854205815E-2</v>
      </c>
    </row>
    <row r="1191" spans="1:4">
      <c r="A1191" s="21" t="s">
        <v>468</v>
      </c>
      <c r="B1191" s="21">
        <v>4.3931467669702702</v>
      </c>
      <c r="C1191" s="21">
        <f t="shared" si="40"/>
        <v>-4.1162236617469539E-2</v>
      </c>
      <c r="D1191" s="23">
        <f t="shared" si="41"/>
        <v>7.4757052476065899E-2</v>
      </c>
    </row>
    <row r="1192" spans="1:4">
      <c r="A1192" s="21" t="s">
        <v>467</v>
      </c>
      <c r="B1192" s="21">
        <v>4.4343090035877397</v>
      </c>
      <c r="C1192" s="21">
        <f t="shared" si="40"/>
        <v>-6.6939635318790103E-2</v>
      </c>
      <c r="D1192" s="23">
        <f t="shared" si="41"/>
        <v>7.4463467335353584E-2</v>
      </c>
    </row>
    <row r="1193" spans="1:4">
      <c r="A1193" s="21" t="s">
        <v>466</v>
      </c>
      <c r="B1193" s="21">
        <v>4.5012486389065298</v>
      </c>
      <c r="C1193" s="21">
        <f t="shared" si="40"/>
        <v>4.8306602879270244E-2</v>
      </c>
      <c r="D1193" s="23">
        <f t="shared" si="41"/>
        <v>7.3825662377899837E-2</v>
      </c>
    </row>
    <row r="1194" spans="1:4">
      <c r="A1194" s="21" t="s">
        <v>465</v>
      </c>
      <c r="B1194" s="21">
        <v>4.4529420360272596</v>
      </c>
      <c r="C1194" s="21">
        <f t="shared" si="40"/>
        <v>-3.4184320003040725E-2</v>
      </c>
      <c r="D1194" s="23">
        <f t="shared" si="41"/>
        <v>7.5164499921973438E-2</v>
      </c>
    </row>
    <row r="1195" spans="1:4">
      <c r="A1195" s="21" t="s">
        <v>464</v>
      </c>
      <c r="B1195" s="21">
        <v>4.4871263560303003</v>
      </c>
      <c r="C1195" s="21">
        <f t="shared" si="40"/>
        <v>7.5102787947749938E-2</v>
      </c>
      <c r="D1195" s="23">
        <f t="shared" si="41"/>
        <v>7.6138171147340561E-2</v>
      </c>
    </row>
    <row r="1196" spans="1:4">
      <c r="A1196" s="21" t="s">
        <v>463</v>
      </c>
      <c r="B1196" s="21">
        <v>4.4120235680825504</v>
      </c>
      <c r="C1196" s="21">
        <f t="shared" si="40"/>
        <v>1.7329296666760641E-2</v>
      </c>
      <c r="D1196" s="23">
        <f t="shared" si="41"/>
        <v>7.5840856848427257E-2</v>
      </c>
    </row>
    <row r="1197" spans="1:4">
      <c r="A1197" s="21" t="s">
        <v>462</v>
      </c>
      <c r="B1197" s="21">
        <v>4.3946942714157897</v>
      </c>
      <c r="C1197" s="21">
        <f t="shared" si="40"/>
        <v>6.7939496102109587E-2</v>
      </c>
      <c r="D1197" s="23">
        <f t="shared" si="41"/>
        <v>7.6601167930726702E-2</v>
      </c>
    </row>
    <row r="1198" spans="1:4">
      <c r="A1198" s="21" t="s">
        <v>461</v>
      </c>
      <c r="B1198" s="21">
        <v>4.3267547753136801</v>
      </c>
      <c r="C1198" s="21">
        <f t="shared" si="40"/>
        <v>4.3056980770740161E-2</v>
      </c>
      <c r="D1198" s="23">
        <f t="shared" si="41"/>
        <v>7.6355209141644953E-2</v>
      </c>
    </row>
    <row r="1199" spans="1:4">
      <c r="A1199" s="21" t="s">
        <v>460</v>
      </c>
      <c r="B1199" s="21">
        <v>4.28369779454294</v>
      </c>
      <c r="C1199" s="21">
        <f t="shared" si="40"/>
        <v>5.0678409983540007E-2</v>
      </c>
      <c r="D1199" s="23">
        <f t="shared" si="41"/>
        <v>7.6610000024067232E-2</v>
      </c>
    </row>
    <row r="1200" spans="1:4">
      <c r="A1200" s="21" t="s">
        <v>459</v>
      </c>
      <c r="B1200" s="21">
        <v>4.2330193845594</v>
      </c>
      <c r="C1200" s="21">
        <f t="shared" si="40"/>
        <v>5.9547833793920368E-2</v>
      </c>
      <c r="D1200" s="23">
        <f t="shared" si="41"/>
        <v>7.7593483502598315E-2</v>
      </c>
    </row>
    <row r="1201" spans="1:4">
      <c r="A1201" s="21" t="s">
        <v>458</v>
      </c>
      <c r="B1201" s="21">
        <v>4.1734715507654796</v>
      </c>
      <c r="C1201" s="21">
        <f t="shared" si="40"/>
        <v>2.4835931003769574E-2</v>
      </c>
      <c r="D1201" s="23">
        <f t="shared" si="41"/>
        <v>7.7454526215626512E-2</v>
      </c>
    </row>
    <row r="1202" spans="1:4">
      <c r="A1202" s="21" t="s">
        <v>457</v>
      </c>
      <c r="B1202" s="21">
        <v>4.14863561976171</v>
      </c>
      <c r="C1202" s="21">
        <f t="shared" si="40"/>
        <v>-3.0136555410999577E-2</v>
      </c>
      <c r="D1202" s="23">
        <f t="shared" si="41"/>
        <v>7.7855895748115495E-2</v>
      </c>
    </row>
    <row r="1203" spans="1:4">
      <c r="A1203" s="21" t="s">
        <v>456</v>
      </c>
      <c r="B1203" s="21">
        <v>4.1787721751727096</v>
      </c>
      <c r="C1203" s="21">
        <f t="shared" si="40"/>
        <v>-5.1403224192100083E-2</v>
      </c>
      <c r="D1203" s="23">
        <f t="shared" si="41"/>
        <v>7.7781608229199675E-2</v>
      </c>
    </row>
    <row r="1204" spans="1:4">
      <c r="A1204" s="21" t="s">
        <v>455</v>
      </c>
      <c r="B1204" s="21">
        <v>4.2301753993648097</v>
      </c>
      <c r="C1204" s="21">
        <f t="shared" si="40"/>
        <v>8.167775748124928E-2</v>
      </c>
      <c r="D1204" s="23">
        <f t="shared" si="41"/>
        <v>7.7602725405146539E-2</v>
      </c>
    </row>
    <row r="1205" spans="1:4">
      <c r="A1205" s="21" t="s">
        <v>454</v>
      </c>
      <c r="B1205" s="21">
        <v>4.1484976418835604</v>
      </c>
      <c r="C1205" s="21">
        <f t="shared" si="40"/>
        <v>-4.7147062111419835E-2</v>
      </c>
      <c r="D1205" s="23">
        <f t="shared" si="41"/>
        <v>7.767740689270794E-2</v>
      </c>
    </row>
    <row r="1206" spans="1:4">
      <c r="A1206" s="21" t="s">
        <v>453</v>
      </c>
      <c r="B1206" s="21">
        <v>4.1956447039949802</v>
      </c>
      <c r="C1206" s="21">
        <f t="shared" si="40"/>
        <v>1.353008649993015E-2</v>
      </c>
      <c r="D1206" s="23">
        <f t="shared" si="41"/>
        <v>7.7462276324058651E-2</v>
      </c>
    </row>
    <row r="1207" spans="1:4">
      <c r="A1207" s="21" t="s">
        <v>452</v>
      </c>
      <c r="B1207" s="21">
        <v>4.1821146174950501</v>
      </c>
      <c r="C1207" s="21">
        <f t="shared" si="40"/>
        <v>-3.4118277301820044E-2</v>
      </c>
      <c r="D1207" s="23">
        <f t="shared" si="41"/>
        <v>7.7857610966308805E-2</v>
      </c>
    </row>
    <row r="1208" spans="1:4">
      <c r="A1208" s="21" t="s">
        <v>451</v>
      </c>
      <c r="B1208" s="21">
        <v>4.2162328947968701</v>
      </c>
      <c r="C1208" s="21">
        <f t="shared" si="40"/>
        <v>0.10110863764283984</v>
      </c>
      <c r="D1208" s="23">
        <f t="shared" si="41"/>
        <v>7.7791180766964993E-2</v>
      </c>
    </row>
    <row r="1209" spans="1:4">
      <c r="A1209" s="21" t="s">
        <v>450</v>
      </c>
      <c r="B1209" s="21">
        <v>4.1151242571540303</v>
      </c>
      <c r="C1209" s="21">
        <f t="shared" si="40"/>
        <v>-2.6112945328909731E-2</v>
      </c>
      <c r="D1209" s="23">
        <f t="shared" si="41"/>
        <v>7.6980709700802813E-2</v>
      </c>
    </row>
    <row r="1210" spans="1:4">
      <c r="A1210" s="21" t="s">
        <v>449</v>
      </c>
      <c r="B1210" s="21">
        <v>4.14123720248294</v>
      </c>
      <c r="C1210" s="21">
        <f t="shared" si="40"/>
        <v>5.5384890429579947E-2</v>
      </c>
      <c r="D1210" s="23">
        <f t="shared" si="41"/>
        <v>7.6859806486661478E-2</v>
      </c>
    </row>
    <row r="1211" spans="1:4">
      <c r="A1211" s="21" t="s">
        <v>448</v>
      </c>
      <c r="B1211" s="21">
        <v>4.0858523120533601</v>
      </c>
      <c r="C1211" s="21">
        <f t="shared" si="40"/>
        <v>1.3085036067650435E-2</v>
      </c>
      <c r="D1211" s="23">
        <f t="shared" si="41"/>
        <v>7.6764636169223466E-2</v>
      </c>
    </row>
    <row r="1212" spans="1:4">
      <c r="A1212" s="21" t="s">
        <v>447</v>
      </c>
      <c r="B1212" s="21">
        <v>4.0727672759857096</v>
      </c>
      <c r="C1212" s="21">
        <f t="shared" si="40"/>
        <v>-5.4784396604820707E-2</v>
      </c>
      <c r="D1212" s="23">
        <f t="shared" si="41"/>
        <v>7.6971516163121728E-2</v>
      </c>
    </row>
    <row r="1213" spans="1:4">
      <c r="A1213" s="21" t="s">
        <v>446</v>
      </c>
      <c r="B1213" s="21">
        <v>4.1275516725905304</v>
      </c>
      <c r="C1213" s="21">
        <f t="shared" si="40"/>
        <v>-2.9118960235097191E-3</v>
      </c>
      <c r="D1213" s="23">
        <f t="shared" si="41"/>
        <v>7.7324509323108609E-2</v>
      </c>
    </row>
    <row r="1214" spans="1:4">
      <c r="A1214" s="21" t="s">
        <v>445</v>
      </c>
      <c r="B1214" s="21">
        <v>4.1304635686140401</v>
      </c>
      <c r="C1214" s="21">
        <f t="shared" si="40"/>
        <v>5.4167490114130246E-2</v>
      </c>
      <c r="D1214" s="23">
        <f t="shared" si="41"/>
        <v>7.7945219223867032E-2</v>
      </c>
    </row>
    <row r="1215" spans="1:4">
      <c r="A1215" s="21" t="s">
        <v>444</v>
      </c>
      <c r="B1215" s="21">
        <v>4.0762960784999098</v>
      </c>
      <c r="C1215" s="21">
        <f t="shared" si="40"/>
        <v>-2.5814348838170353E-2</v>
      </c>
      <c r="D1215" s="23">
        <f t="shared" si="41"/>
        <v>7.7777408010223634E-2</v>
      </c>
    </row>
    <row r="1216" spans="1:4">
      <c r="A1216" s="21" t="s">
        <v>443</v>
      </c>
      <c r="B1216" s="21">
        <v>4.1021104273380802</v>
      </c>
      <c r="C1216" s="21">
        <f t="shared" si="40"/>
        <v>-9.796828522708001E-2</v>
      </c>
      <c r="D1216" s="23">
        <f t="shared" si="41"/>
        <v>7.7760698176219237E-2</v>
      </c>
    </row>
    <row r="1217" spans="1:4">
      <c r="A1217" s="21" t="s">
        <v>442</v>
      </c>
      <c r="B1217" s="21">
        <v>4.2000787125651602</v>
      </c>
      <c r="C1217" s="21">
        <f t="shared" si="40"/>
        <v>-4.6859156426569903E-2</v>
      </c>
      <c r="D1217" s="23">
        <f t="shared" si="41"/>
        <v>7.6540529541858665E-2</v>
      </c>
    </row>
    <row r="1218" spans="1:4">
      <c r="A1218" s="21" t="s">
        <v>441</v>
      </c>
      <c r="B1218" s="21">
        <v>4.2469378689917301</v>
      </c>
      <c r="C1218" s="21">
        <f t="shared" ref="C1218:C1281" si="42">B1218-B1219</f>
        <v>0.13463791233307987</v>
      </c>
      <c r="D1218" s="23">
        <f t="shared" ref="D1218:D1281" si="43">STDEV(C1218:C1277)</f>
        <v>7.6103939271892268E-2</v>
      </c>
    </row>
    <row r="1219" spans="1:4">
      <c r="A1219" s="21" t="s">
        <v>440</v>
      </c>
      <c r="B1219" s="21">
        <v>4.1122999566586502</v>
      </c>
      <c r="C1219" s="21">
        <f t="shared" si="42"/>
        <v>-7.0669992207097465E-3</v>
      </c>
      <c r="D1219" s="23">
        <f t="shared" si="43"/>
        <v>7.4849591492650538E-2</v>
      </c>
    </row>
    <row r="1220" spans="1:4">
      <c r="A1220" s="21" t="s">
        <v>439</v>
      </c>
      <c r="B1220" s="21">
        <v>4.11936695587936</v>
      </c>
      <c r="C1220" s="21">
        <f t="shared" si="42"/>
        <v>1.3592584695709675E-2</v>
      </c>
      <c r="D1220" s="23">
        <f t="shared" si="43"/>
        <v>7.5661670391667948E-2</v>
      </c>
    </row>
    <row r="1221" spans="1:4">
      <c r="A1221" s="21" t="s">
        <v>438</v>
      </c>
      <c r="B1221" s="21">
        <v>4.1057743711836503</v>
      </c>
      <c r="C1221" s="21">
        <f t="shared" si="42"/>
        <v>-8.3010065487689744E-2</v>
      </c>
      <c r="D1221" s="23">
        <f t="shared" si="43"/>
        <v>7.567755739707191E-2</v>
      </c>
    </row>
    <row r="1222" spans="1:4">
      <c r="A1222" s="21" t="s">
        <v>437</v>
      </c>
      <c r="B1222" s="21">
        <v>4.18878443667134</v>
      </c>
      <c r="C1222" s="21">
        <f t="shared" si="42"/>
        <v>1.7581732001829664E-2</v>
      </c>
      <c r="D1222" s="23">
        <f t="shared" si="43"/>
        <v>7.5132519933902395E-2</v>
      </c>
    </row>
    <row r="1223" spans="1:4">
      <c r="A1223" s="21" t="s">
        <v>436</v>
      </c>
      <c r="B1223" s="21">
        <v>4.1712027046695104</v>
      </c>
      <c r="C1223" s="21">
        <f t="shared" si="42"/>
        <v>-0.15557620981496001</v>
      </c>
      <c r="D1223" s="23">
        <f t="shared" si="43"/>
        <v>7.5138107075641225E-2</v>
      </c>
    </row>
    <row r="1224" spans="1:4">
      <c r="A1224" s="21" t="s">
        <v>435</v>
      </c>
      <c r="B1224" s="21">
        <v>4.3267789144844704</v>
      </c>
      <c r="C1224" s="21">
        <f t="shared" si="42"/>
        <v>0.11393844242331053</v>
      </c>
      <c r="D1224" s="23">
        <f t="shared" si="43"/>
        <v>7.1811937190534136E-2</v>
      </c>
    </row>
    <row r="1225" spans="1:4">
      <c r="A1225" s="21" t="s">
        <v>434</v>
      </c>
      <c r="B1225" s="21">
        <v>4.2128404720611599</v>
      </c>
      <c r="C1225" s="21">
        <f t="shared" si="42"/>
        <v>-1.366660812043996E-2</v>
      </c>
      <c r="D1225" s="23">
        <f t="shared" si="43"/>
        <v>7.0956105806632128E-2</v>
      </c>
    </row>
    <row r="1226" spans="1:4">
      <c r="A1226" s="21" t="s">
        <v>433</v>
      </c>
      <c r="B1226" s="21">
        <v>4.2265070801815998</v>
      </c>
      <c r="C1226" s="21">
        <f t="shared" si="42"/>
        <v>4.8004719018869935E-2</v>
      </c>
      <c r="D1226" s="23">
        <f t="shared" si="43"/>
        <v>7.1242377547454508E-2</v>
      </c>
    </row>
    <row r="1227" spans="1:4">
      <c r="A1227" s="21" t="s">
        <v>432</v>
      </c>
      <c r="B1227" s="21">
        <v>4.1785023611627299</v>
      </c>
      <c r="C1227" s="21">
        <f t="shared" si="42"/>
        <v>3.7253760410802528E-3</v>
      </c>
      <c r="D1227" s="23">
        <f t="shared" si="43"/>
        <v>7.2441253301217562E-2</v>
      </c>
    </row>
    <row r="1228" spans="1:4">
      <c r="A1228" s="21" t="s">
        <v>431</v>
      </c>
      <c r="B1228" s="21">
        <v>4.1747769851216496</v>
      </c>
      <c r="C1228" s="21">
        <f t="shared" si="42"/>
        <v>-3.5842037600990473E-2</v>
      </c>
      <c r="D1228" s="23">
        <f t="shared" si="43"/>
        <v>7.2770133118377781E-2</v>
      </c>
    </row>
    <row r="1229" spans="1:4">
      <c r="A1229" s="21" t="s">
        <v>430</v>
      </c>
      <c r="B1229" s="21">
        <v>4.2106190227226401</v>
      </c>
      <c r="C1229" s="21">
        <f t="shared" si="42"/>
        <v>4.3598850320460514E-2</v>
      </c>
      <c r="D1229" s="23">
        <f t="shared" si="43"/>
        <v>7.2524136309508741E-2</v>
      </c>
    </row>
    <row r="1230" spans="1:4">
      <c r="A1230" s="21" t="s">
        <v>429</v>
      </c>
      <c r="B1230" s="21">
        <v>4.1670201724021796</v>
      </c>
      <c r="C1230" s="21">
        <f t="shared" si="42"/>
        <v>-0.18936857718841082</v>
      </c>
      <c r="D1230" s="23">
        <f t="shared" si="43"/>
        <v>7.2675702948913054E-2</v>
      </c>
    </row>
    <row r="1231" spans="1:4">
      <c r="A1231" s="21" t="s">
        <v>428</v>
      </c>
      <c r="B1231" s="21">
        <v>4.3563887495905904</v>
      </c>
      <c r="C1231" s="21">
        <f t="shared" si="42"/>
        <v>-2.77347444147793E-2</v>
      </c>
      <c r="D1231" s="23">
        <f t="shared" si="43"/>
        <v>7.0084794074889351E-2</v>
      </c>
    </row>
    <row r="1232" spans="1:4">
      <c r="A1232" s="21" t="s">
        <v>427</v>
      </c>
      <c r="B1232" s="21">
        <v>4.3841234940053697</v>
      </c>
      <c r="C1232" s="21">
        <f t="shared" si="42"/>
        <v>9.6644297686769853E-2</v>
      </c>
      <c r="D1232" s="23">
        <f t="shared" si="43"/>
        <v>7.0802734861288033E-2</v>
      </c>
    </row>
    <row r="1233" spans="1:4">
      <c r="A1233" s="21" t="s">
        <v>426</v>
      </c>
      <c r="B1233" s="21">
        <v>4.2874791963185999</v>
      </c>
      <c r="C1233" s="21">
        <f t="shared" si="42"/>
        <v>0.17850493243810028</v>
      </c>
      <c r="D1233" s="23">
        <f t="shared" si="43"/>
        <v>7.00223194672496E-2</v>
      </c>
    </row>
    <row r="1234" spans="1:4">
      <c r="A1234" s="21" t="s">
        <v>425</v>
      </c>
      <c r="B1234" s="21">
        <v>4.1089742638804996</v>
      </c>
      <c r="C1234" s="21">
        <f t="shared" si="42"/>
        <v>-1.9390577413030741E-2</v>
      </c>
      <c r="D1234" s="23">
        <f t="shared" si="43"/>
        <v>6.6698156191762087E-2</v>
      </c>
    </row>
    <row r="1235" spans="1:4">
      <c r="A1235" s="21" t="s">
        <v>424</v>
      </c>
      <c r="B1235" s="21">
        <v>4.1283648412935303</v>
      </c>
      <c r="C1235" s="21">
        <f t="shared" si="42"/>
        <v>7.2292285247810284E-2</v>
      </c>
      <c r="D1235" s="23">
        <f t="shared" si="43"/>
        <v>6.7116839631736189E-2</v>
      </c>
    </row>
    <row r="1236" spans="1:4">
      <c r="A1236" s="21" t="s">
        <v>423</v>
      </c>
      <c r="B1236" s="21">
        <v>4.05607255604572</v>
      </c>
      <c r="C1236" s="21">
        <f t="shared" si="42"/>
        <v>-4.9318595187619607E-2</v>
      </c>
      <c r="D1236" s="23">
        <f t="shared" si="43"/>
        <v>6.72426874512638E-2</v>
      </c>
    </row>
    <row r="1237" spans="1:4">
      <c r="A1237" s="21" t="s">
        <v>422</v>
      </c>
      <c r="B1237" s="21">
        <v>4.1053911512333396</v>
      </c>
      <c r="C1237" s="21">
        <f t="shared" si="42"/>
        <v>5.0324753366929542E-2</v>
      </c>
      <c r="D1237" s="23">
        <f t="shared" si="43"/>
        <v>6.8298267472949259E-2</v>
      </c>
    </row>
    <row r="1238" spans="1:4">
      <c r="A1238" s="21" t="s">
        <v>421</v>
      </c>
      <c r="B1238" s="21">
        <v>4.0550663978664101</v>
      </c>
      <c r="C1238" s="21">
        <f t="shared" si="42"/>
        <v>0.20403817908421029</v>
      </c>
      <c r="D1238" s="23">
        <f t="shared" si="43"/>
        <v>7.8335995922985749E-2</v>
      </c>
    </row>
    <row r="1239" spans="1:4">
      <c r="A1239" s="21" t="s">
        <v>420</v>
      </c>
      <c r="B1239" s="21">
        <v>3.8510282187821998</v>
      </c>
      <c r="C1239" s="21">
        <f t="shared" si="42"/>
        <v>-9.3539803329630189E-2</v>
      </c>
      <c r="D1239" s="23">
        <f t="shared" si="43"/>
        <v>8.9606910622353514E-2</v>
      </c>
    </row>
    <row r="1240" spans="1:4">
      <c r="A1240" s="21" t="s">
        <v>419</v>
      </c>
      <c r="B1240" s="21">
        <v>3.94456802211183</v>
      </c>
      <c r="C1240" s="21">
        <f t="shared" si="42"/>
        <v>-1.4830674928130172E-2</v>
      </c>
      <c r="D1240" s="23">
        <f t="shared" si="43"/>
        <v>8.8783932181647582E-2</v>
      </c>
    </row>
    <row r="1241" spans="1:4">
      <c r="A1241" s="21" t="s">
        <v>418</v>
      </c>
      <c r="B1241" s="21">
        <v>3.9593986970399602</v>
      </c>
      <c r="C1241" s="21">
        <f t="shared" si="42"/>
        <v>2.5030451814300303E-2</v>
      </c>
      <c r="D1241" s="23">
        <f t="shared" si="43"/>
        <v>0.11654831393296784</v>
      </c>
    </row>
    <row r="1242" spans="1:4">
      <c r="A1242" s="21" t="s">
        <v>417</v>
      </c>
      <c r="B1242" s="21">
        <v>3.9343682452256599</v>
      </c>
      <c r="C1242" s="21">
        <f t="shared" si="42"/>
        <v>0.15464369261554989</v>
      </c>
      <c r="D1242" s="23">
        <f t="shared" si="43"/>
        <v>0.11709543284512956</v>
      </c>
    </row>
    <row r="1243" spans="1:4">
      <c r="A1243" s="21" t="s">
        <v>416</v>
      </c>
      <c r="B1243" s="21">
        <v>3.77972455261011</v>
      </c>
      <c r="C1243" s="21">
        <f t="shared" si="42"/>
        <v>9.2739310550600251E-3</v>
      </c>
      <c r="D1243" s="23">
        <f t="shared" si="43"/>
        <v>0.11576480835936552</v>
      </c>
    </row>
    <row r="1244" spans="1:4">
      <c r="A1244" s="21" t="s">
        <v>415</v>
      </c>
      <c r="B1244" s="21">
        <v>3.77045062155505</v>
      </c>
      <c r="C1244" s="21">
        <f t="shared" si="42"/>
        <v>-5.2281195063939911E-2</v>
      </c>
      <c r="D1244" s="23">
        <f t="shared" si="43"/>
        <v>0.1165016201952867</v>
      </c>
    </row>
    <row r="1245" spans="1:4">
      <c r="A1245" s="21" t="s">
        <v>414</v>
      </c>
      <c r="B1245" s="21">
        <v>3.8227318166189899</v>
      </c>
      <c r="C1245" s="21">
        <f t="shared" si="42"/>
        <v>-3.0979516674410235E-2</v>
      </c>
      <c r="D1245" s="23">
        <f t="shared" si="43"/>
        <v>0.11772641132221706</v>
      </c>
    </row>
    <row r="1246" spans="1:4">
      <c r="A1246" s="21" t="s">
        <v>413</v>
      </c>
      <c r="B1246" s="21">
        <v>3.8537113332934001</v>
      </c>
      <c r="C1246" s="21">
        <f t="shared" si="42"/>
        <v>0.15186090443891009</v>
      </c>
      <c r="D1246" s="23">
        <f t="shared" si="43"/>
        <v>0.11882884338006844</v>
      </c>
    </row>
    <row r="1247" spans="1:4">
      <c r="A1247" s="21" t="s">
        <v>412</v>
      </c>
      <c r="B1247" s="21">
        <v>3.70185042885449</v>
      </c>
      <c r="C1247" s="21">
        <f t="shared" si="42"/>
        <v>-2.5764431184069903E-2</v>
      </c>
      <c r="D1247" s="23">
        <f t="shared" si="43"/>
        <v>0.1189760869941085</v>
      </c>
    </row>
    <row r="1248" spans="1:4">
      <c r="A1248" s="21" t="s">
        <v>411</v>
      </c>
      <c r="B1248" s="21">
        <v>3.7276148600385599</v>
      </c>
      <c r="C1248" s="21">
        <f t="shared" si="42"/>
        <v>-3.8081637915039934E-2</v>
      </c>
      <c r="D1248" s="23">
        <f t="shared" si="43"/>
        <v>0.11924110209605354</v>
      </c>
    </row>
    <row r="1249" spans="1:4">
      <c r="A1249" s="21" t="s">
        <v>410</v>
      </c>
      <c r="B1249" s="21">
        <v>3.7656964979535998</v>
      </c>
      <c r="C1249" s="21">
        <f t="shared" si="42"/>
        <v>1.5290824737729913E-2</v>
      </c>
      <c r="D1249" s="23">
        <f t="shared" si="43"/>
        <v>0.1191042875393107</v>
      </c>
    </row>
    <row r="1250" spans="1:4">
      <c r="A1250" s="21" t="s">
        <v>409</v>
      </c>
      <c r="B1250" s="21">
        <v>3.7504056732158699</v>
      </c>
      <c r="C1250" s="21">
        <f t="shared" si="42"/>
        <v>3.1115103161110103E-2</v>
      </c>
      <c r="D1250" s="23">
        <f t="shared" si="43"/>
        <v>0.11944030423532941</v>
      </c>
    </row>
    <row r="1251" spans="1:4">
      <c r="A1251" s="21" t="s">
        <v>408</v>
      </c>
      <c r="B1251" s="21">
        <v>3.7192905700547598</v>
      </c>
      <c r="C1251" s="21">
        <f t="shared" si="42"/>
        <v>-2.3844879772401129E-3</v>
      </c>
      <c r="D1251" s="23">
        <f t="shared" si="43"/>
        <v>0.11939297116767042</v>
      </c>
    </row>
    <row r="1252" spans="1:4">
      <c r="A1252" s="21" t="s">
        <v>407</v>
      </c>
      <c r="B1252" s="21">
        <v>3.7216750580319999</v>
      </c>
      <c r="C1252" s="21">
        <f t="shared" si="42"/>
        <v>-1.4167361519799915E-2</v>
      </c>
      <c r="D1252" s="23">
        <f t="shared" si="43"/>
        <v>0.12017480280001776</v>
      </c>
    </row>
    <row r="1253" spans="1:4">
      <c r="A1253" s="21" t="s">
        <v>406</v>
      </c>
      <c r="B1253" s="21">
        <v>3.7358424195517999</v>
      </c>
      <c r="C1253" s="21">
        <f t="shared" si="42"/>
        <v>0.12737320225911963</v>
      </c>
      <c r="D1253" s="23">
        <f t="shared" si="43"/>
        <v>0.1215689636031977</v>
      </c>
    </row>
    <row r="1254" spans="1:4">
      <c r="A1254" s="21" t="s">
        <v>405</v>
      </c>
      <c r="B1254" s="21">
        <v>3.6084692172926802</v>
      </c>
      <c r="C1254" s="21">
        <f t="shared" si="42"/>
        <v>0.12094756018253028</v>
      </c>
      <c r="D1254" s="23">
        <f t="shared" si="43"/>
        <v>0.12064378326305709</v>
      </c>
    </row>
    <row r="1255" spans="1:4">
      <c r="A1255" s="21" t="s">
        <v>404</v>
      </c>
      <c r="B1255" s="21">
        <v>3.4875216571101499</v>
      </c>
      <c r="C1255" s="21">
        <f t="shared" si="42"/>
        <v>-1.2986724690480234E-2</v>
      </c>
      <c r="D1255" s="23">
        <f t="shared" si="43"/>
        <v>0.12023539973072608</v>
      </c>
    </row>
    <row r="1256" spans="1:4">
      <c r="A1256" s="21" t="s">
        <v>403</v>
      </c>
      <c r="B1256" s="21">
        <v>3.5005083818006302</v>
      </c>
      <c r="C1256" s="21">
        <f t="shared" si="42"/>
        <v>9.8575871679789984E-2</v>
      </c>
      <c r="D1256" s="23">
        <f t="shared" si="43"/>
        <v>0.1206988899609347</v>
      </c>
    </row>
    <row r="1257" spans="1:4">
      <c r="A1257" s="21" t="s">
        <v>402</v>
      </c>
      <c r="B1257" s="21">
        <v>3.4019325101208402</v>
      </c>
      <c r="C1257" s="21">
        <f t="shared" si="42"/>
        <v>3.7453945377530218E-2</v>
      </c>
      <c r="D1257" s="23">
        <f t="shared" si="43"/>
        <v>0.12032149335994154</v>
      </c>
    </row>
    <row r="1258" spans="1:4">
      <c r="A1258" s="21" t="s">
        <v>401</v>
      </c>
      <c r="B1258" s="21">
        <v>3.36447856474331</v>
      </c>
      <c r="C1258" s="21">
        <f t="shared" si="42"/>
        <v>7.1198631544959756E-2</v>
      </c>
      <c r="D1258" s="23">
        <f t="shared" si="43"/>
        <v>0.12087615406087716</v>
      </c>
    </row>
    <row r="1259" spans="1:4">
      <c r="A1259" s="21" t="s">
        <v>400</v>
      </c>
      <c r="B1259" s="21">
        <v>3.2932799331983502</v>
      </c>
      <c r="C1259" s="21">
        <f t="shared" si="42"/>
        <v>-8.5595611365849589E-2</v>
      </c>
      <c r="D1259" s="23">
        <f t="shared" si="43"/>
        <v>0.1211329556868319</v>
      </c>
    </row>
    <row r="1260" spans="1:4">
      <c r="A1260" s="21" t="s">
        <v>399</v>
      </c>
      <c r="B1260" s="21">
        <v>3.3788755445641998</v>
      </c>
      <c r="C1260" s="21">
        <f t="shared" si="42"/>
        <v>-1.5353669702240058E-2</v>
      </c>
      <c r="D1260" s="23">
        <f t="shared" si="43"/>
        <v>0.12073350284002154</v>
      </c>
    </row>
    <row r="1261" spans="1:4">
      <c r="A1261" s="21" t="s">
        <v>398</v>
      </c>
      <c r="B1261" s="21">
        <v>3.3942292142664399</v>
      </c>
      <c r="C1261" s="21">
        <f t="shared" si="42"/>
        <v>-4.9546426682050004E-2</v>
      </c>
      <c r="D1261" s="23">
        <f t="shared" si="43"/>
        <v>0.1207215854090629</v>
      </c>
    </row>
    <row r="1262" spans="1:4">
      <c r="A1262" s="21" t="s">
        <v>397</v>
      </c>
      <c r="B1262" s="21">
        <v>3.4437756409484899</v>
      </c>
      <c r="C1262" s="21">
        <f t="shared" si="42"/>
        <v>4.5932095109659787E-2</v>
      </c>
      <c r="D1262" s="23">
        <f t="shared" si="43"/>
        <v>0.12083145730038754</v>
      </c>
    </row>
    <row r="1263" spans="1:4">
      <c r="A1263" s="21" t="s">
        <v>396</v>
      </c>
      <c r="B1263" s="21">
        <v>3.3978435458388301</v>
      </c>
      <c r="C1263" s="21">
        <f t="shared" si="42"/>
        <v>-3.7116659566959864E-2</v>
      </c>
      <c r="D1263" s="23">
        <f t="shared" si="43"/>
        <v>0.12071425225065277</v>
      </c>
    </row>
    <row r="1264" spans="1:4">
      <c r="A1264" s="21" t="s">
        <v>395</v>
      </c>
      <c r="B1264" s="21">
        <v>3.4349602054057899</v>
      </c>
      <c r="C1264" s="21">
        <f t="shared" si="42"/>
        <v>-6.2321953819389986E-2</v>
      </c>
      <c r="D1264" s="23">
        <f t="shared" si="43"/>
        <v>0.12088860313039371</v>
      </c>
    </row>
    <row r="1265" spans="1:4">
      <c r="A1265" s="21" t="s">
        <v>394</v>
      </c>
      <c r="B1265" s="21">
        <v>3.4972821592251799</v>
      </c>
      <c r="C1265" s="21">
        <f t="shared" si="42"/>
        <v>5.0262704199569797E-2</v>
      </c>
      <c r="D1265" s="23">
        <f t="shared" si="43"/>
        <v>0.12079085477105793</v>
      </c>
    </row>
    <row r="1266" spans="1:4">
      <c r="A1266" s="21" t="s">
        <v>393</v>
      </c>
      <c r="B1266" s="21">
        <v>3.4470194550256101</v>
      </c>
      <c r="C1266" s="21">
        <f t="shared" si="42"/>
        <v>7.3166295947350246E-2</v>
      </c>
      <c r="D1266" s="23">
        <f t="shared" si="43"/>
        <v>0.12110116275283524</v>
      </c>
    </row>
    <row r="1267" spans="1:4">
      <c r="A1267" s="21" t="s">
        <v>392</v>
      </c>
      <c r="B1267" s="21">
        <v>3.3738531590782599</v>
      </c>
      <c r="C1267" s="21">
        <f t="shared" si="42"/>
        <v>5.5771915203009836E-2</v>
      </c>
      <c r="D1267" s="23">
        <f t="shared" si="43"/>
        <v>0.12100040718611793</v>
      </c>
    </row>
    <row r="1268" spans="1:4">
      <c r="A1268" s="21" t="s">
        <v>391</v>
      </c>
      <c r="B1268" s="21">
        <v>3.3180812438752501</v>
      </c>
      <c r="C1268" s="21">
        <f t="shared" si="42"/>
        <v>2.5648911076590064E-2</v>
      </c>
      <c r="D1268" s="23">
        <f t="shared" si="43"/>
        <v>0.12076198580799041</v>
      </c>
    </row>
    <row r="1269" spans="1:4">
      <c r="A1269" s="21" t="s">
        <v>390</v>
      </c>
      <c r="B1269" s="21">
        <v>3.29243233279866</v>
      </c>
      <c r="C1269" s="21">
        <f t="shared" si="42"/>
        <v>3.728233462241981E-2</v>
      </c>
      <c r="D1269" s="23">
        <f t="shared" si="43"/>
        <v>0.1208320513887283</v>
      </c>
    </row>
    <row r="1270" spans="1:4">
      <c r="A1270" s="21" t="s">
        <v>389</v>
      </c>
      <c r="B1270" s="21">
        <v>3.2551499981762402</v>
      </c>
      <c r="C1270" s="21">
        <f t="shared" si="42"/>
        <v>-1.4710741209229994E-2</v>
      </c>
      <c r="D1270" s="23">
        <f t="shared" si="43"/>
        <v>0.12070407186762465</v>
      </c>
    </row>
    <row r="1271" spans="1:4">
      <c r="A1271" s="21" t="s">
        <v>388</v>
      </c>
      <c r="B1271" s="21">
        <v>3.2698607393854702</v>
      </c>
      <c r="C1271" s="21">
        <f t="shared" si="42"/>
        <v>-3.0078599931819827E-2</v>
      </c>
      <c r="D1271" s="23">
        <f t="shared" si="43"/>
        <v>0.12070276633611773</v>
      </c>
    </row>
    <row r="1272" spans="1:4">
      <c r="A1272" s="21" t="s">
        <v>387</v>
      </c>
      <c r="B1272" s="21">
        <v>3.29993933931729</v>
      </c>
      <c r="C1272" s="21">
        <f t="shared" si="42"/>
        <v>-7.5432047991479845E-2</v>
      </c>
      <c r="D1272" s="23">
        <f t="shared" si="43"/>
        <v>0.12083027051577314</v>
      </c>
    </row>
    <row r="1273" spans="1:4">
      <c r="A1273" s="21" t="s">
        <v>386</v>
      </c>
      <c r="B1273" s="21">
        <v>3.3753713873087698</v>
      </c>
      <c r="C1273" s="21">
        <f t="shared" si="42"/>
        <v>9.0447729696979895E-2</v>
      </c>
      <c r="D1273" s="23">
        <f t="shared" si="43"/>
        <v>0.12047850167557543</v>
      </c>
    </row>
    <row r="1274" spans="1:4">
      <c r="A1274" s="21" t="s">
        <v>385</v>
      </c>
      <c r="B1274" s="21">
        <v>3.2849236576117899</v>
      </c>
      <c r="C1274" s="21">
        <f t="shared" si="42"/>
        <v>2.305678367235986E-2</v>
      </c>
      <c r="D1274" s="23">
        <f t="shared" si="43"/>
        <v>0.12012735247156971</v>
      </c>
    </row>
    <row r="1275" spans="1:4">
      <c r="A1275" s="21" t="s">
        <v>384</v>
      </c>
      <c r="B1275" s="21">
        <v>3.2618668739394301</v>
      </c>
      <c r="C1275" s="21">
        <f t="shared" si="42"/>
        <v>-2.3818055111179959E-2</v>
      </c>
      <c r="D1275" s="23">
        <f t="shared" si="43"/>
        <v>0.1200833126959629</v>
      </c>
    </row>
    <row r="1276" spans="1:4">
      <c r="A1276" s="21" t="s">
        <v>383</v>
      </c>
      <c r="B1276" s="21">
        <v>3.28568492905061</v>
      </c>
      <c r="C1276" s="21">
        <f t="shared" si="42"/>
        <v>5.5225169251159834E-2</v>
      </c>
      <c r="D1276" s="23">
        <f t="shared" si="43"/>
        <v>0.12036378547591767</v>
      </c>
    </row>
    <row r="1277" spans="1:4">
      <c r="A1277" s="21" t="s">
        <v>382</v>
      </c>
      <c r="B1277" s="21">
        <v>3.2304597597994502</v>
      </c>
      <c r="C1277" s="21">
        <f t="shared" si="42"/>
        <v>6.8056334566000132E-3</v>
      </c>
      <c r="D1277" s="23">
        <f t="shared" si="43"/>
        <v>0.12010683776720561</v>
      </c>
    </row>
    <row r="1278" spans="1:4">
      <c r="A1278" s="21" t="s">
        <v>381</v>
      </c>
      <c r="B1278" s="21">
        <v>3.2236541263428502</v>
      </c>
      <c r="C1278" s="21">
        <f t="shared" si="42"/>
        <v>-3.9137418199119978E-2</v>
      </c>
      <c r="D1278" s="23">
        <f t="shared" si="43"/>
        <v>0.12055543515495831</v>
      </c>
    </row>
    <row r="1279" spans="1:4">
      <c r="A1279" s="21" t="s">
        <v>380</v>
      </c>
      <c r="B1279" s="21">
        <v>3.2627915445419702</v>
      </c>
      <c r="C1279" s="21">
        <f t="shared" si="42"/>
        <v>-7.379679516476978E-2</v>
      </c>
      <c r="D1279" s="23">
        <f t="shared" si="43"/>
        <v>0.12062716369384544</v>
      </c>
    </row>
    <row r="1280" spans="1:4">
      <c r="A1280" s="21" t="s">
        <v>379</v>
      </c>
      <c r="B1280" s="21">
        <v>3.33658833970674</v>
      </c>
      <c r="C1280" s="21">
        <f t="shared" si="42"/>
        <v>1.0133978161599444E-3</v>
      </c>
      <c r="D1280" s="23">
        <f t="shared" si="43"/>
        <v>0.12046661188517983</v>
      </c>
    </row>
    <row r="1281" spans="1:4">
      <c r="A1281" s="21" t="s">
        <v>378</v>
      </c>
      <c r="B1281" s="21">
        <v>3.33557494189058</v>
      </c>
      <c r="C1281" s="21">
        <f t="shared" si="42"/>
        <v>-5.3131830378029932E-2</v>
      </c>
      <c r="D1281" s="23">
        <f t="shared" si="43"/>
        <v>0.12046426699131732</v>
      </c>
    </row>
    <row r="1282" spans="1:4">
      <c r="A1282" s="21" t="s">
        <v>377</v>
      </c>
      <c r="B1282" s="21">
        <v>3.3887067722686099</v>
      </c>
      <c r="C1282" s="21">
        <f t="shared" ref="C1282:C1345" si="44">B1282-B1283</f>
        <v>4.9542418715398107E-3</v>
      </c>
      <c r="D1282" s="23">
        <f t="shared" ref="D1282:D1345" si="45">STDEV(C1282:C1341)</f>
        <v>0.120313902793607</v>
      </c>
    </row>
    <row r="1283" spans="1:4">
      <c r="A1283" s="21" t="s">
        <v>376</v>
      </c>
      <c r="B1283" s="21">
        <v>3.3837525303970701</v>
      </c>
      <c r="C1283" s="21">
        <f t="shared" si="44"/>
        <v>5.6934714807201914E-3</v>
      </c>
      <c r="D1283" s="23">
        <f t="shared" si="45"/>
        <v>0.12033091300475247</v>
      </c>
    </row>
    <row r="1284" spans="1:4">
      <c r="A1284" s="21" t="s">
        <v>375</v>
      </c>
      <c r="B1284" s="21">
        <v>3.3780590589163499</v>
      </c>
      <c r="C1284" s="21">
        <f t="shared" si="44"/>
        <v>6.5401573434530125E-2</v>
      </c>
      <c r="D1284" s="23">
        <f t="shared" si="45"/>
        <v>0.12064845809757405</v>
      </c>
    </row>
    <row r="1285" spans="1:4">
      <c r="A1285" s="21" t="s">
        <v>374</v>
      </c>
      <c r="B1285" s="21">
        <v>3.3126574854818198</v>
      </c>
      <c r="C1285" s="21">
        <f t="shared" si="44"/>
        <v>-4.1891269010730259E-2</v>
      </c>
      <c r="D1285" s="23">
        <f t="shared" si="45"/>
        <v>0.12070434301473321</v>
      </c>
    </row>
    <row r="1286" spans="1:4">
      <c r="A1286" s="21" t="s">
        <v>373</v>
      </c>
      <c r="B1286" s="21">
        <v>3.3545487544925501</v>
      </c>
      <c r="C1286" s="21">
        <f t="shared" si="44"/>
        <v>-9.3245739450679821E-2</v>
      </c>
      <c r="D1286" s="23">
        <f t="shared" si="45"/>
        <v>0.12067546454075664</v>
      </c>
    </row>
    <row r="1287" spans="1:4">
      <c r="A1287" s="21" t="s">
        <v>372</v>
      </c>
      <c r="B1287" s="21">
        <v>3.4477944939432299</v>
      </c>
      <c r="C1287" s="21">
        <f t="shared" si="44"/>
        <v>6.653726145624006E-2</v>
      </c>
      <c r="D1287" s="23">
        <f t="shared" si="45"/>
        <v>0.12017547357502509</v>
      </c>
    </row>
    <row r="1288" spans="1:4">
      <c r="A1288" s="21" t="s">
        <v>371</v>
      </c>
      <c r="B1288" s="21">
        <v>3.3812572324869898</v>
      </c>
      <c r="C1288" s="21">
        <f t="shared" si="44"/>
        <v>3.2641820351029693E-2</v>
      </c>
      <c r="D1288" s="23">
        <f t="shared" si="45"/>
        <v>0.11981367378362734</v>
      </c>
    </row>
    <row r="1289" spans="1:4">
      <c r="A1289" s="21" t="s">
        <v>370</v>
      </c>
      <c r="B1289" s="21">
        <v>3.3486154121359601</v>
      </c>
      <c r="C1289" s="21">
        <f t="shared" si="44"/>
        <v>-3.3077388911489702E-2</v>
      </c>
      <c r="D1289" s="23">
        <f t="shared" si="45"/>
        <v>0.11976973339113509</v>
      </c>
    </row>
    <row r="1290" spans="1:4">
      <c r="A1290" s="21" t="s">
        <v>369</v>
      </c>
      <c r="B1290" s="21">
        <v>3.3816928010474498</v>
      </c>
      <c r="C1290" s="21">
        <f t="shared" si="44"/>
        <v>-0.12559746682661022</v>
      </c>
      <c r="D1290" s="23">
        <f t="shared" si="45"/>
        <v>0.12036771770057181</v>
      </c>
    </row>
    <row r="1291" spans="1:4">
      <c r="A1291" s="21" t="s">
        <v>368</v>
      </c>
      <c r="B1291" s="21">
        <v>3.5072902678740601</v>
      </c>
      <c r="C1291" s="21">
        <f t="shared" si="44"/>
        <v>-7.3926826017570058E-2</v>
      </c>
      <c r="D1291" s="23">
        <f t="shared" si="45"/>
        <v>0.11947242693061312</v>
      </c>
    </row>
    <row r="1292" spans="1:4">
      <c r="A1292" s="21" t="s">
        <v>367</v>
      </c>
      <c r="B1292" s="21">
        <v>3.5812170938916301</v>
      </c>
      <c r="C1292" s="21">
        <f t="shared" si="44"/>
        <v>3.5960586399500283E-2</v>
      </c>
      <c r="D1292" s="23">
        <f t="shared" si="45"/>
        <v>0.11962387492019357</v>
      </c>
    </row>
    <row r="1293" spans="1:4">
      <c r="A1293" s="21" t="s">
        <v>366</v>
      </c>
      <c r="B1293" s="21">
        <v>3.5452565074921298</v>
      </c>
      <c r="C1293" s="21">
        <f t="shared" si="44"/>
        <v>4.5266786098259626E-2</v>
      </c>
      <c r="D1293" s="23">
        <f t="shared" si="45"/>
        <v>0.11961473231171549</v>
      </c>
    </row>
    <row r="1294" spans="1:4">
      <c r="A1294" s="21" t="s">
        <v>365</v>
      </c>
      <c r="B1294" s="21">
        <v>3.4999897213938702</v>
      </c>
      <c r="C1294" s="21">
        <f t="shared" si="44"/>
        <v>7.5949960506620062E-2</v>
      </c>
      <c r="D1294" s="23">
        <f t="shared" si="45"/>
        <v>0.11980800248960911</v>
      </c>
    </row>
    <row r="1295" spans="1:4">
      <c r="A1295" s="21" t="s">
        <v>364</v>
      </c>
      <c r="B1295" s="21">
        <v>3.4240397608872502</v>
      </c>
      <c r="C1295" s="21">
        <f t="shared" si="44"/>
        <v>-5.8617306291399718E-2</v>
      </c>
      <c r="D1295" s="23">
        <f t="shared" si="45"/>
        <v>0.11930785345669741</v>
      </c>
    </row>
    <row r="1296" spans="1:4">
      <c r="A1296" s="21" t="s">
        <v>363</v>
      </c>
      <c r="B1296" s="21">
        <v>3.4826570671786499</v>
      </c>
      <c r="C1296" s="21">
        <f t="shared" si="44"/>
        <v>-9.9759665905279959E-2</v>
      </c>
      <c r="D1296" s="23">
        <f t="shared" si="45"/>
        <v>0.11913838261490488</v>
      </c>
    </row>
    <row r="1297" spans="1:4">
      <c r="A1297" s="21" t="s">
        <v>362</v>
      </c>
      <c r="B1297" s="21">
        <v>3.5824167330839298</v>
      </c>
      <c r="C1297" s="21">
        <f t="shared" si="44"/>
        <v>0.30818254192426986</v>
      </c>
      <c r="D1297" s="23">
        <f t="shared" si="45"/>
        <v>0.1189797234091803</v>
      </c>
    </row>
    <row r="1298" spans="1:4">
      <c r="A1298" s="21" t="s">
        <v>361</v>
      </c>
      <c r="B1298" s="21">
        <v>3.27423419115966</v>
      </c>
      <c r="C1298" s="21">
        <f t="shared" si="44"/>
        <v>0.39876195200228004</v>
      </c>
      <c r="D1298" s="23">
        <f t="shared" si="45"/>
        <v>0.11151374830872772</v>
      </c>
    </row>
    <row r="1299" spans="1:4">
      <c r="A1299" s="21" t="s">
        <v>360</v>
      </c>
      <c r="B1299" s="21">
        <v>2.8754722391573799</v>
      </c>
      <c r="C1299" s="21">
        <f t="shared" si="44"/>
        <v>-4.2371569632320139E-2</v>
      </c>
      <c r="D1299" s="23">
        <f t="shared" si="45"/>
        <v>9.7785933081708395E-2</v>
      </c>
    </row>
    <row r="1300" spans="1:4">
      <c r="A1300" s="21" t="s">
        <v>359</v>
      </c>
      <c r="B1300" s="21">
        <v>2.9178438087897001</v>
      </c>
      <c r="C1300" s="21">
        <f t="shared" si="44"/>
        <v>-0.56810295439726</v>
      </c>
      <c r="D1300" s="23">
        <f t="shared" si="45"/>
        <v>9.7848608310761032E-2</v>
      </c>
    </row>
    <row r="1301" spans="1:4">
      <c r="A1301" s="21" t="s">
        <v>358</v>
      </c>
      <c r="B1301" s="21">
        <v>3.4859467631869601</v>
      </c>
      <c r="C1301" s="21">
        <f t="shared" si="44"/>
        <v>9.6895731909889982E-2</v>
      </c>
      <c r="D1301" s="23">
        <f t="shared" si="45"/>
        <v>6.6789080759348224E-2</v>
      </c>
    </row>
    <row r="1302" spans="1:4">
      <c r="A1302" s="21" t="s">
        <v>357</v>
      </c>
      <c r="B1302" s="21">
        <v>3.3890510312770701</v>
      </c>
      <c r="C1302" s="21">
        <f t="shared" si="44"/>
        <v>6.4237312029030047E-2</v>
      </c>
      <c r="D1302" s="23">
        <f t="shared" si="45"/>
        <v>6.7235879577582064E-2</v>
      </c>
    </row>
    <row r="1303" spans="1:4">
      <c r="A1303" s="21" t="s">
        <v>356</v>
      </c>
      <c r="B1303" s="21">
        <v>3.32481371924804</v>
      </c>
      <c r="C1303" s="21">
        <f t="shared" si="44"/>
        <v>0.10889990061397992</v>
      </c>
      <c r="D1303" s="23">
        <f t="shared" si="45"/>
        <v>6.6528576569081982E-2</v>
      </c>
    </row>
    <row r="1304" spans="1:4">
      <c r="A1304" s="21" t="s">
        <v>355</v>
      </c>
      <c r="B1304" s="21">
        <v>3.2159138186340601</v>
      </c>
      <c r="C1304" s="21">
        <f t="shared" si="44"/>
        <v>-0.13506748615813002</v>
      </c>
      <c r="D1304" s="23">
        <f t="shared" si="45"/>
        <v>6.4679888659264051E-2</v>
      </c>
    </row>
    <row r="1305" spans="1:4">
      <c r="A1305" s="21" t="s">
        <v>354</v>
      </c>
      <c r="B1305" s="21">
        <v>3.3509813047921901</v>
      </c>
      <c r="C1305" s="21">
        <f t="shared" si="44"/>
        <v>-0.12265630166603003</v>
      </c>
      <c r="D1305" s="23">
        <f t="shared" si="45"/>
        <v>6.2686999119593093E-2</v>
      </c>
    </row>
    <row r="1306" spans="1:4">
      <c r="A1306" s="21" t="s">
        <v>353</v>
      </c>
      <c r="B1306" s="21">
        <v>3.4736376064582202</v>
      </c>
      <c r="C1306" s="21">
        <f t="shared" si="44"/>
        <v>0.15879642024852014</v>
      </c>
      <c r="D1306" s="23">
        <f t="shared" si="45"/>
        <v>6.356803207197291E-2</v>
      </c>
    </row>
    <row r="1307" spans="1:4">
      <c r="A1307" s="21" t="s">
        <v>352</v>
      </c>
      <c r="B1307" s="21">
        <v>3.3148411862097</v>
      </c>
      <c r="C1307" s="21">
        <f t="shared" si="44"/>
        <v>-6.2725609920649905E-2</v>
      </c>
      <c r="D1307" s="23">
        <f t="shared" si="45"/>
        <v>5.9579214306689103E-2</v>
      </c>
    </row>
    <row r="1308" spans="1:4">
      <c r="A1308" s="21" t="s">
        <v>351</v>
      </c>
      <c r="B1308" s="21">
        <v>3.3775667961303499</v>
      </c>
      <c r="C1308" s="21">
        <f t="shared" si="44"/>
        <v>1.2741104206259735E-2</v>
      </c>
      <c r="D1308" s="23">
        <f t="shared" si="45"/>
        <v>5.9455115990905229E-2</v>
      </c>
    </row>
    <row r="1309" spans="1:4">
      <c r="A1309" s="21" t="s">
        <v>350</v>
      </c>
      <c r="B1309" s="21">
        <v>3.3648256919240902</v>
      </c>
      <c r="C1309" s="21">
        <f t="shared" si="44"/>
        <v>-6.3364373798519669E-2</v>
      </c>
      <c r="D1309" s="23">
        <f t="shared" si="45"/>
        <v>5.9372901531694028E-2</v>
      </c>
    </row>
    <row r="1310" spans="1:4">
      <c r="A1310" s="21" t="s">
        <v>349</v>
      </c>
      <c r="B1310" s="21">
        <v>3.4281900657226099</v>
      </c>
      <c r="C1310" s="21">
        <f t="shared" si="44"/>
        <v>2.2557834266696553E-3</v>
      </c>
      <c r="D1310" s="23">
        <f t="shared" si="45"/>
        <v>5.9035932608190039E-2</v>
      </c>
    </row>
    <row r="1311" spans="1:4">
      <c r="A1311" s="21" t="s">
        <v>348</v>
      </c>
      <c r="B1311" s="21">
        <v>3.4259342822959402</v>
      </c>
      <c r="C1311" s="21">
        <f t="shared" si="44"/>
        <v>0.11128021795526033</v>
      </c>
      <c r="D1311" s="23">
        <f t="shared" si="45"/>
        <v>6.0675110431743021E-2</v>
      </c>
    </row>
    <row r="1312" spans="1:4">
      <c r="A1312" s="21" t="s">
        <v>347</v>
      </c>
      <c r="B1312" s="21">
        <v>3.3146540643406799</v>
      </c>
      <c r="C1312" s="21">
        <f t="shared" si="44"/>
        <v>-0.13665180135569033</v>
      </c>
      <c r="D1312" s="23">
        <f t="shared" si="45"/>
        <v>5.8737604575362812E-2</v>
      </c>
    </row>
    <row r="1313" spans="1:4">
      <c r="A1313" s="21" t="s">
        <v>346</v>
      </c>
      <c r="B1313" s="21">
        <v>3.4513058656963702</v>
      </c>
      <c r="C1313" s="21">
        <f t="shared" si="44"/>
        <v>4.856596755615028E-2</v>
      </c>
      <c r="D1313" s="23">
        <f t="shared" si="45"/>
        <v>5.6725534551352055E-2</v>
      </c>
    </row>
    <row r="1314" spans="1:4">
      <c r="A1314" s="21" t="s">
        <v>345</v>
      </c>
      <c r="B1314" s="21">
        <v>3.4027398981402199</v>
      </c>
      <c r="C1314" s="21">
        <f t="shared" si="44"/>
        <v>9.2982123707679776E-2</v>
      </c>
      <c r="D1314" s="23">
        <f t="shared" si="45"/>
        <v>5.7175519843071954E-2</v>
      </c>
    </row>
    <row r="1315" spans="1:4">
      <c r="A1315" s="21" t="s">
        <v>344</v>
      </c>
      <c r="B1315" s="21">
        <v>3.3097577744325402</v>
      </c>
      <c r="C1315" s="21">
        <f t="shared" si="44"/>
        <v>-8.0213465545059925E-2</v>
      </c>
      <c r="D1315" s="23">
        <f t="shared" si="45"/>
        <v>5.5535150315351306E-2</v>
      </c>
    </row>
    <row r="1316" spans="1:4">
      <c r="A1316" s="21" t="s">
        <v>343</v>
      </c>
      <c r="B1316" s="21">
        <v>3.3899712399776001</v>
      </c>
      <c r="C1316" s="21">
        <f t="shared" si="44"/>
        <v>-6.4756160767169835E-2</v>
      </c>
      <c r="D1316" s="23">
        <f t="shared" si="45"/>
        <v>5.5295712835471279E-2</v>
      </c>
    </row>
    <row r="1317" spans="1:4">
      <c r="A1317" s="21" t="s">
        <v>342</v>
      </c>
      <c r="B1317" s="21">
        <v>3.4547274007447699</v>
      </c>
      <c r="C1317" s="21">
        <f t="shared" si="44"/>
        <v>9.617753040495991E-2</v>
      </c>
      <c r="D1317" s="23">
        <f t="shared" si="45"/>
        <v>5.4866130460417134E-2</v>
      </c>
    </row>
    <row r="1318" spans="1:4">
      <c r="A1318" s="21" t="s">
        <v>341</v>
      </c>
      <c r="B1318" s="21">
        <v>3.35854987033981</v>
      </c>
      <c r="C1318" s="21">
        <f t="shared" si="44"/>
        <v>-9.5747163912649924E-2</v>
      </c>
      <c r="D1318" s="23">
        <f t="shared" si="45"/>
        <v>5.3273962596926225E-2</v>
      </c>
    </row>
    <row r="1319" spans="1:4">
      <c r="A1319" s="21" t="s">
        <v>340</v>
      </c>
      <c r="B1319" s="21">
        <v>3.4542970342524599</v>
      </c>
      <c r="C1319" s="21">
        <f t="shared" si="44"/>
        <v>-3.7507450613730065E-2</v>
      </c>
      <c r="D1319" s="23">
        <f t="shared" si="45"/>
        <v>5.2196507521282395E-2</v>
      </c>
    </row>
    <row r="1320" spans="1:4">
      <c r="A1320" s="21" t="s">
        <v>339</v>
      </c>
      <c r="B1320" s="21">
        <v>3.49180448486619</v>
      </c>
      <c r="C1320" s="21">
        <f t="shared" si="44"/>
        <v>2.2236129677999372E-3</v>
      </c>
      <c r="D1320" s="23">
        <f t="shared" si="45"/>
        <v>5.3074926457561233E-2</v>
      </c>
    </row>
    <row r="1321" spans="1:4">
      <c r="A1321" s="21" t="s">
        <v>338</v>
      </c>
      <c r="B1321" s="21">
        <v>3.4895808718983901</v>
      </c>
      <c r="C1321" s="21">
        <f t="shared" si="44"/>
        <v>-6.3791538959229843E-2</v>
      </c>
      <c r="D1321" s="23">
        <f t="shared" si="45"/>
        <v>5.3038062854160198E-2</v>
      </c>
    </row>
    <row r="1322" spans="1:4">
      <c r="A1322" s="21" t="s">
        <v>337</v>
      </c>
      <c r="B1322" s="21">
        <v>3.5533724108576199</v>
      </c>
      <c r="C1322" s="21">
        <f t="shared" si="44"/>
        <v>-2.8331320502560153E-2</v>
      </c>
      <c r="D1322" s="23">
        <f t="shared" si="45"/>
        <v>5.2679643768984839E-2</v>
      </c>
    </row>
    <row r="1323" spans="1:4">
      <c r="A1323" s="21" t="s">
        <v>336</v>
      </c>
      <c r="B1323" s="21">
        <v>3.5817037313601801</v>
      </c>
      <c r="C1323" s="21">
        <f t="shared" si="44"/>
        <v>5.8558879521540153E-2</v>
      </c>
      <c r="D1323" s="23">
        <f t="shared" si="45"/>
        <v>5.266524959565333E-2</v>
      </c>
    </row>
    <row r="1324" spans="1:4">
      <c r="A1324" s="21" t="s">
        <v>335</v>
      </c>
      <c r="B1324" s="21">
        <v>3.5231448518386399</v>
      </c>
      <c r="C1324" s="21">
        <f t="shared" si="44"/>
        <v>-4.9552036214000061E-2</v>
      </c>
      <c r="D1324" s="23">
        <f t="shared" si="45"/>
        <v>5.2549173079714281E-2</v>
      </c>
    </row>
    <row r="1325" spans="1:4">
      <c r="A1325" s="21" t="s">
        <v>334</v>
      </c>
      <c r="B1325" s="21">
        <v>3.57269688805264</v>
      </c>
      <c r="C1325" s="21">
        <f t="shared" si="44"/>
        <v>8.3008995932010166E-2</v>
      </c>
      <c r="D1325" s="23">
        <f t="shared" si="45"/>
        <v>5.2677735062483341E-2</v>
      </c>
    </row>
    <row r="1326" spans="1:4">
      <c r="A1326" s="21" t="s">
        <v>333</v>
      </c>
      <c r="B1326" s="21">
        <v>3.4896878921206298</v>
      </c>
      <c r="C1326" s="21">
        <f t="shared" si="44"/>
        <v>-6.6622958913780117E-2</v>
      </c>
      <c r="D1326" s="23">
        <f t="shared" si="45"/>
        <v>5.2824285415072385E-2</v>
      </c>
    </row>
    <row r="1327" spans="1:4">
      <c r="A1327" s="21" t="s">
        <v>332</v>
      </c>
      <c r="B1327" s="21">
        <v>3.5563108510344099</v>
      </c>
      <c r="C1327" s="21">
        <f t="shared" si="44"/>
        <v>-1.4933727529120144E-2</v>
      </c>
      <c r="D1327" s="23">
        <f t="shared" si="45"/>
        <v>5.2535584887463287E-2</v>
      </c>
    </row>
    <row r="1328" spans="1:4">
      <c r="A1328" s="21" t="s">
        <v>331</v>
      </c>
      <c r="B1328" s="21">
        <v>3.5712445785635301</v>
      </c>
      <c r="C1328" s="21">
        <f t="shared" si="44"/>
        <v>-4.8751287608209903E-2</v>
      </c>
      <c r="D1328" s="23">
        <f t="shared" si="45"/>
        <v>5.2774479579290358E-2</v>
      </c>
    </row>
    <row r="1329" spans="1:4">
      <c r="A1329" s="21" t="s">
        <v>330</v>
      </c>
      <c r="B1329" s="21">
        <v>3.61999586617174</v>
      </c>
      <c r="C1329" s="21">
        <f t="shared" si="44"/>
        <v>-3.0108455138000423E-4</v>
      </c>
      <c r="D1329" s="23">
        <f t="shared" si="45"/>
        <v>5.3077440882822305E-2</v>
      </c>
    </row>
    <row r="1330" spans="1:4">
      <c r="A1330" s="21" t="s">
        <v>329</v>
      </c>
      <c r="B1330" s="21">
        <v>3.62029695072312</v>
      </c>
      <c r="C1330" s="21">
        <f t="shared" si="44"/>
        <v>1.6776940685101494E-3</v>
      </c>
      <c r="D1330" s="23">
        <f t="shared" si="45"/>
        <v>5.3111035920935259E-2</v>
      </c>
    </row>
    <row r="1331" spans="1:4">
      <c r="A1331" s="21" t="s">
        <v>328</v>
      </c>
      <c r="B1331" s="21">
        <v>3.6186192566546098</v>
      </c>
      <c r="C1331" s="21">
        <f t="shared" si="44"/>
        <v>4.4164306404369746E-2</v>
      </c>
      <c r="D1331" s="23">
        <f t="shared" si="45"/>
        <v>5.3201412336903876E-2</v>
      </c>
    </row>
    <row r="1332" spans="1:4">
      <c r="A1332" s="21" t="s">
        <v>327</v>
      </c>
      <c r="B1332" s="21">
        <v>3.5744549502502401</v>
      </c>
      <c r="C1332" s="21">
        <f t="shared" si="44"/>
        <v>6.5868751952802285E-3</v>
      </c>
      <c r="D1332" s="23">
        <f t="shared" si="45"/>
        <v>5.3430720651039043E-2</v>
      </c>
    </row>
    <row r="1333" spans="1:4">
      <c r="A1333" s="21" t="s">
        <v>326</v>
      </c>
      <c r="B1333" s="21">
        <v>3.5678680750549598</v>
      </c>
      <c r="C1333" s="21">
        <f t="shared" si="44"/>
        <v>-6.8056964100680073E-2</v>
      </c>
      <c r="D1333" s="23">
        <f t="shared" si="45"/>
        <v>5.3976717041093032E-2</v>
      </c>
    </row>
    <row r="1334" spans="1:4">
      <c r="A1334" s="21" t="s">
        <v>325</v>
      </c>
      <c r="B1334" s="21">
        <v>3.6359250391556399</v>
      </c>
      <c r="C1334" s="21">
        <f t="shared" si="44"/>
        <v>-2.1487233816010143E-2</v>
      </c>
      <c r="D1334" s="23">
        <f t="shared" si="45"/>
        <v>5.3534404315799554E-2</v>
      </c>
    </row>
    <row r="1335" spans="1:4">
      <c r="A1335" s="21" t="s">
        <v>324</v>
      </c>
      <c r="B1335" s="21">
        <v>3.6574122729716501</v>
      </c>
      <c r="C1335" s="21">
        <f t="shared" si="44"/>
        <v>5.9678305710519908E-2</v>
      </c>
      <c r="D1335" s="23">
        <f t="shared" si="45"/>
        <v>5.3740260569162354E-2</v>
      </c>
    </row>
    <row r="1336" spans="1:4">
      <c r="A1336" s="21" t="s">
        <v>323</v>
      </c>
      <c r="B1336" s="21">
        <v>3.5977339672611302</v>
      </c>
      <c r="C1336" s="21">
        <f t="shared" si="44"/>
        <v>-1.4520715034339826E-2</v>
      </c>
      <c r="D1336" s="23">
        <f t="shared" si="45"/>
        <v>5.3433102954154058E-2</v>
      </c>
    </row>
    <row r="1337" spans="1:4">
      <c r="A1337" s="21" t="s">
        <v>322</v>
      </c>
      <c r="B1337" s="21">
        <v>3.61225468229547</v>
      </c>
      <c r="C1337" s="21">
        <f t="shared" si="44"/>
        <v>-8.817674314988988E-2</v>
      </c>
      <c r="D1337" s="23">
        <f t="shared" si="45"/>
        <v>5.3565285466196266E-2</v>
      </c>
    </row>
    <row r="1338" spans="1:4">
      <c r="A1338" s="21" t="s">
        <v>321</v>
      </c>
      <c r="B1338" s="21">
        <v>3.7004314254453599</v>
      </c>
      <c r="C1338" s="21">
        <f t="shared" si="44"/>
        <v>-5.2629634560739991E-2</v>
      </c>
      <c r="D1338" s="23">
        <f t="shared" si="45"/>
        <v>5.2743540545686113E-2</v>
      </c>
    </row>
    <row r="1339" spans="1:4">
      <c r="A1339" s="21" t="s">
        <v>320</v>
      </c>
      <c r="B1339" s="21">
        <v>3.7530610600060998</v>
      </c>
      <c r="C1339" s="21">
        <f t="shared" si="44"/>
        <v>3.9108981208179738E-2</v>
      </c>
      <c r="D1339" s="23">
        <f t="shared" si="45"/>
        <v>5.2972927436567049E-2</v>
      </c>
    </row>
    <row r="1340" spans="1:4">
      <c r="A1340" s="21" t="s">
        <v>319</v>
      </c>
      <c r="B1340" s="21">
        <v>3.7139520787979201</v>
      </c>
      <c r="C1340" s="21">
        <f t="shared" si="44"/>
        <v>-1.802695037109725E-3</v>
      </c>
      <c r="D1340" s="23">
        <f t="shared" si="45"/>
        <v>5.2892363569385571E-2</v>
      </c>
    </row>
    <row r="1341" spans="1:4">
      <c r="A1341" s="21" t="s">
        <v>318</v>
      </c>
      <c r="B1341" s="21">
        <v>3.7157547738350298</v>
      </c>
      <c r="C1341" s="21">
        <f t="shared" si="44"/>
        <v>4.0700361826999654E-3</v>
      </c>
      <c r="D1341" s="23">
        <f t="shared" si="45"/>
        <v>5.2877563053372191E-2</v>
      </c>
    </row>
    <row r="1342" spans="1:4">
      <c r="A1342" s="21" t="s">
        <v>317</v>
      </c>
      <c r="B1342" s="21">
        <v>3.7116847376523299</v>
      </c>
      <c r="C1342" s="21">
        <f t="shared" si="44"/>
        <v>1.3312863379239648E-2</v>
      </c>
      <c r="D1342" s="23">
        <f t="shared" si="45"/>
        <v>5.3454370566073148E-2</v>
      </c>
    </row>
    <row r="1343" spans="1:4">
      <c r="A1343" s="21" t="s">
        <v>316</v>
      </c>
      <c r="B1343" s="21">
        <v>3.6983718742730902</v>
      </c>
      <c r="C1343" s="21">
        <f t="shared" si="44"/>
        <v>6.3236965635400377E-2</v>
      </c>
      <c r="D1343" s="23">
        <f t="shared" si="45"/>
        <v>5.3371613542405646E-2</v>
      </c>
    </row>
    <row r="1344" spans="1:4">
      <c r="A1344" s="21" t="s">
        <v>315</v>
      </c>
      <c r="B1344" s="21">
        <v>3.6351349086376898</v>
      </c>
      <c r="C1344" s="21">
        <f t="shared" si="44"/>
        <v>-8.1829663538889985E-2</v>
      </c>
      <c r="D1344" s="23">
        <f t="shared" si="45"/>
        <v>5.3137167174321556E-2</v>
      </c>
    </row>
    <row r="1345" spans="1:4">
      <c r="A1345" s="21" t="s">
        <v>314</v>
      </c>
      <c r="B1345" s="21">
        <v>3.7169645721765798</v>
      </c>
      <c r="C1345" s="21">
        <f t="shared" si="44"/>
        <v>2.3178402264089737E-2</v>
      </c>
      <c r="D1345" s="23">
        <f t="shared" si="45"/>
        <v>5.2410219669918288E-2</v>
      </c>
    </row>
    <row r="1346" spans="1:4">
      <c r="A1346" s="21" t="s">
        <v>313</v>
      </c>
      <c r="B1346" s="21">
        <v>3.6937861699124901</v>
      </c>
      <c r="C1346" s="21">
        <f t="shared" ref="C1346:C1409" si="46">B1346-B1347</f>
        <v>-3.0800262749020035E-2</v>
      </c>
      <c r="D1346" s="23">
        <f t="shared" ref="D1346:D1409" si="47">STDEV(C1346:C1405)</f>
        <v>5.2382444783686463E-2</v>
      </c>
    </row>
    <row r="1347" spans="1:4">
      <c r="A1347" s="21" t="s">
        <v>312</v>
      </c>
      <c r="B1347" s="21">
        <v>3.7245864326615101</v>
      </c>
      <c r="C1347" s="21">
        <f t="shared" si="46"/>
        <v>-7.429910534000328E-4</v>
      </c>
      <c r="D1347" s="23">
        <f t="shared" si="47"/>
        <v>5.3667628912540365E-2</v>
      </c>
    </row>
    <row r="1348" spans="1:4">
      <c r="A1348" s="21" t="s">
        <v>311</v>
      </c>
      <c r="B1348" s="21">
        <v>3.7253294237149102</v>
      </c>
      <c r="C1348" s="21">
        <f t="shared" si="46"/>
        <v>-3.6242110743459843E-2</v>
      </c>
      <c r="D1348" s="23">
        <f t="shared" si="47"/>
        <v>5.3694503539190024E-2</v>
      </c>
    </row>
    <row r="1349" spans="1:4">
      <c r="A1349" s="21" t="s">
        <v>310</v>
      </c>
      <c r="B1349" s="21">
        <v>3.76157153445837</v>
      </c>
      <c r="C1349" s="21">
        <f t="shared" si="46"/>
        <v>-0.10300740400621988</v>
      </c>
      <c r="D1349" s="23">
        <f t="shared" si="47"/>
        <v>5.6404386943641006E-2</v>
      </c>
    </row>
    <row r="1350" spans="1:4">
      <c r="A1350" s="21" t="s">
        <v>309</v>
      </c>
      <c r="B1350" s="21">
        <v>3.8645789384645899</v>
      </c>
      <c r="C1350" s="21">
        <f t="shared" si="46"/>
        <v>-4.3560731107920247E-2</v>
      </c>
      <c r="D1350" s="23">
        <f t="shared" si="47"/>
        <v>5.5762897225458311E-2</v>
      </c>
    </row>
    <row r="1351" spans="1:4">
      <c r="A1351" s="21" t="s">
        <v>308</v>
      </c>
      <c r="B1351" s="21">
        <v>3.9081396695725101</v>
      </c>
      <c r="C1351" s="21">
        <f t="shared" si="46"/>
        <v>7.7219148221590039E-2</v>
      </c>
      <c r="D1351" s="23">
        <f t="shared" si="47"/>
        <v>5.5677988720043196E-2</v>
      </c>
    </row>
    <row r="1352" spans="1:4">
      <c r="A1352" s="21" t="s">
        <v>307</v>
      </c>
      <c r="B1352" s="21">
        <v>3.8309205213509201</v>
      </c>
      <c r="C1352" s="21">
        <f t="shared" si="46"/>
        <v>-4.4002914832889761E-2</v>
      </c>
      <c r="D1352" s="23">
        <f t="shared" si="47"/>
        <v>5.4762480093855037E-2</v>
      </c>
    </row>
    <row r="1353" spans="1:4">
      <c r="A1353" s="21" t="s">
        <v>306</v>
      </c>
      <c r="B1353" s="21">
        <v>3.8749234361838099</v>
      </c>
      <c r="C1353" s="21">
        <f t="shared" si="46"/>
        <v>-8.0119200710360161E-2</v>
      </c>
      <c r="D1353" s="23">
        <f t="shared" si="47"/>
        <v>5.4608710995491798E-2</v>
      </c>
    </row>
    <row r="1354" spans="1:4">
      <c r="A1354" s="21" t="s">
        <v>305</v>
      </c>
      <c r="B1354" s="21">
        <v>3.95504263689417</v>
      </c>
      <c r="C1354" s="21">
        <f t="shared" si="46"/>
        <v>-1.539459530336984E-2</v>
      </c>
      <c r="D1354" s="23">
        <f t="shared" si="47"/>
        <v>5.4140212330181181E-2</v>
      </c>
    </row>
    <row r="1355" spans="1:4">
      <c r="A1355" s="21" t="s">
        <v>304</v>
      </c>
      <c r="B1355" s="21">
        <v>3.9704372321975399</v>
      </c>
      <c r="C1355" s="21">
        <f t="shared" si="46"/>
        <v>2.2456703136097822E-3</v>
      </c>
      <c r="D1355" s="23">
        <f t="shared" si="47"/>
        <v>5.4924187737235591E-2</v>
      </c>
    </row>
    <row r="1356" spans="1:4">
      <c r="A1356" s="21" t="s">
        <v>303</v>
      </c>
      <c r="B1356" s="21">
        <v>3.9681915618839301</v>
      </c>
      <c r="C1356" s="21">
        <f t="shared" si="46"/>
        <v>-8.6684657257360076E-2</v>
      </c>
      <c r="D1356" s="23">
        <f t="shared" si="47"/>
        <v>5.7315359075628541E-2</v>
      </c>
    </row>
    <row r="1357" spans="1:4">
      <c r="A1357" s="21" t="s">
        <v>302</v>
      </c>
      <c r="B1357" s="21">
        <v>4.0548762191412902</v>
      </c>
      <c r="C1357" s="21">
        <f t="shared" si="46"/>
        <v>-2.0667324451779656E-2</v>
      </c>
      <c r="D1357" s="23">
        <f t="shared" si="47"/>
        <v>5.6335632106252059E-2</v>
      </c>
    </row>
    <row r="1358" spans="1:4">
      <c r="A1358" s="21" t="s">
        <v>301</v>
      </c>
      <c r="B1358" s="21">
        <v>4.0755435435930698</v>
      </c>
      <c r="C1358" s="21">
        <f t="shared" si="46"/>
        <v>3.6694583584520046E-2</v>
      </c>
      <c r="D1358" s="23">
        <f t="shared" si="47"/>
        <v>5.638968414531538E-2</v>
      </c>
    </row>
    <row r="1359" spans="1:4">
      <c r="A1359" s="21" t="s">
        <v>300</v>
      </c>
      <c r="B1359" s="21">
        <v>4.0388489600085498</v>
      </c>
      <c r="C1359" s="21">
        <f t="shared" si="46"/>
        <v>1.6803719298069453E-2</v>
      </c>
      <c r="D1359" s="23">
        <f t="shared" si="47"/>
        <v>5.6251182754651567E-2</v>
      </c>
    </row>
    <row r="1360" spans="1:4">
      <c r="A1360" s="21" t="s">
        <v>299</v>
      </c>
      <c r="B1360" s="21">
        <v>4.0220452407104803</v>
      </c>
      <c r="C1360" s="21">
        <f t="shared" si="46"/>
        <v>-8.4487748289379994E-2</v>
      </c>
      <c r="D1360" s="23">
        <f t="shared" si="47"/>
        <v>5.6436197998555655E-2</v>
      </c>
    </row>
    <row r="1361" spans="1:4">
      <c r="A1361" s="21" t="s">
        <v>298</v>
      </c>
      <c r="B1361" s="21">
        <v>4.1065329889998603</v>
      </c>
      <c r="C1361" s="21">
        <f t="shared" si="46"/>
        <v>0.11228300868545027</v>
      </c>
      <c r="D1361" s="23">
        <f t="shared" si="47"/>
        <v>5.5497948717245685E-2</v>
      </c>
    </row>
    <row r="1362" spans="1:4">
      <c r="A1362" s="21" t="s">
        <v>297</v>
      </c>
      <c r="B1362" s="21">
        <v>3.99424998031441</v>
      </c>
      <c r="C1362" s="21">
        <f t="shared" si="46"/>
        <v>-5.3318982970598228E-3</v>
      </c>
      <c r="D1362" s="23">
        <f t="shared" si="47"/>
        <v>5.3419703107840798E-2</v>
      </c>
    </row>
    <row r="1363" spans="1:4">
      <c r="A1363" s="21" t="s">
        <v>296</v>
      </c>
      <c r="B1363" s="21">
        <v>3.9995818786114699</v>
      </c>
      <c r="C1363" s="21">
        <f t="shared" si="46"/>
        <v>-3.2640483018649746E-2</v>
      </c>
      <c r="D1363" s="23">
        <f t="shared" si="47"/>
        <v>5.3419926200626557E-2</v>
      </c>
    </row>
    <row r="1364" spans="1:4">
      <c r="A1364" s="21" t="s">
        <v>295</v>
      </c>
      <c r="B1364" s="21">
        <v>4.0322223616301196</v>
      </c>
      <c r="C1364" s="21">
        <f t="shared" si="46"/>
        <v>-6.2780669882807061E-3</v>
      </c>
      <c r="D1364" s="23">
        <f t="shared" si="47"/>
        <v>5.3384580569598973E-2</v>
      </c>
    </row>
    <row r="1365" spans="1:4">
      <c r="A1365" s="21" t="s">
        <v>294</v>
      </c>
      <c r="B1365" s="21">
        <v>4.0385004286184003</v>
      </c>
      <c r="C1365" s="21">
        <f t="shared" si="46"/>
        <v>-0.14907917795671999</v>
      </c>
      <c r="D1365" s="23">
        <f t="shared" si="47"/>
        <v>5.3412514304545945E-2</v>
      </c>
    </row>
    <row r="1366" spans="1:4">
      <c r="A1366" s="21" t="s">
        <v>293</v>
      </c>
      <c r="B1366" s="21">
        <v>4.1875796065751203</v>
      </c>
      <c r="C1366" s="21">
        <f t="shared" si="46"/>
        <v>1.0903844777220506E-2</v>
      </c>
      <c r="D1366" s="23">
        <f t="shared" si="47"/>
        <v>4.9952788024805433E-2</v>
      </c>
    </row>
    <row r="1367" spans="1:4">
      <c r="A1367" s="21" t="s">
        <v>292</v>
      </c>
      <c r="B1367" s="21">
        <v>4.1766757617978998</v>
      </c>
      <c r="C1367" s="21">
        <f t="shared" si="46"/>
        <v>2.5602830499590112E-2</v>
      </c>
      <c r="D1367" s="23">
        <f t="shared" si="47"/>
        <v>5.0091695664612038E-2</v>
      </c>
    </row>
    <row r="1368" spans="1:4">
      <c r="A1368" s="21" t="s">
        <v>291</v>
      </c>
      <c r="B1368" s="21">
        <v>4.1510729312983097</v>
      </c>
      <c r="C1368" s="21">
        <f t="shared" si="46"/>
        <v>-3.6648192974499949E-3</v>
      </c>
      <c r="D1368" s="23">
        <f t="shared" si="47"/>
        <v>5.0015838240167566E-2</v>
      </c>
    </row>
    <row r="1369" spans="1:4">
      <c r="A1369" s="21" t="s">
        <v>290</v>
      </c>
      <c r="B1369" s="21">
        <v>4.1547377505957597</v>
      </c>
      <c r="C1369" s="21">
        <f t="shared" si="46"/>
        <v>-2.6877928113220761E-2</v>
      </c>
      <c r="D1369" s="23">
        <f t="shared" si="47"/>
        <v>5.0364132071384758E-2</v>
      </c>
    </row>
    <row r="1370" spans="1:4">
      <c r="A1370" s="21" t="s">
        <v>289</v>
      </c>
      <c r="B1370" s="21">
        <v>4.1816156787089804</v>
      </c>
      <c r="C1370" s="21">
        <f t="shared" si="46"/>
        <v>9.673901591198053E-2</v>
      </c>
      <c r="D1370" s="23">
        <f t="shared" si="47"/>
        <v>5.0341738150687862E-2</v>
      </c>
    </row>
    <row r="1371" spans="1:4">
      <c r="A1371" s="21" t="s">
        <v>288</v>
      </c>
      <c r="B1371" s="21">
        <v>4.0848766627969999</v>
      </c>
      <c r="C1371" s="21">
        <f t="shared" si="46"/>
        <v>2.6661647487640217E-2</v>
      </c>
      <c r="D1371" s="23">
        <f t="shared" si="47"/>
        <v>4.8731312186096012E-2</v>
      </c>
    </row>
    <row r="1372" spans="1:4">
      <c r="A1372" s="21" t="s">
        <v>287</v>
      </c>
      <c r="B1372" s="21">
        <v>4.0582150153093597</v>
      </c>
      <c r="C1372" s="21">
        <f t="shared" si="46"/>
        <v>-5.5330684372870031E-2</v>
      </c>
      <c r="D1372" s="23">
        <f t="shared" si="47"/>
        <v>4.8582604591277605E-2</v>
      </c>
    </row>
    <row r="1373" spans="1:4">
      <c r="A1373" s="21" t="s">
        <v>286</v>
      </c>
      <c r="B1373" s="21">
        <v>4.1135456996822297</v>
      </c>
      <c r="C1373" s="21">
        <f t="shared" si="46"/>
        <v>7.0106124325469921E-2</v>
      </c>
      <c r="D1373" s="23">
        <f t="shared" si="47"/>
        <v>4.841601689863851E-2</v>
      </c>
    </row>
    <row r="1374" spans="1:4">
      <c r="A1374" s="21" t="s">
        <v>285</v>
      </c>
      <c r="B1374" s="21">
        <v>4.0434395753567598</v>
      </c>
      <c r="C1374" s="21">
        <f t="shared" si="46"/>
        <v>-1.6862595653099888E-2</v>
      </c>
      <c r="D1374" s="23">
        <f t="shared" si="47"/>
        <v>4.8068737894422946E-2</v>
      </c>
    </row>
    <row r="1375" spans="1:4">
      <c r="A1375" s="21" t="s">
        <v>284</v>
      </c>
      <c r="B1375" s="21">
        <v>4.0603021710098597</v>
      </c>
      <c r="C1375" s="21">
        <f t="shared" si="46"/>
        <v>-6.7471823073930182E-2</v>
      </c>
      <c r="D1375" s="23">
        <f t="shared" si="47"/>
        <v>4.8277098872957697E-2</v>
      </c>
    </row>
    <row r="1376" spans="1:4">
      <c r="A1376" s="21" t="s">
        <v>283</v>
      </c>
      <c r="B1376" s="21">
        <v>4.1277739940837899</v>
      </c>
      <c r="C1376" s="21">
        <f t="shared" si="46"/>
        <v>-8.8274480368601971E-3</v>
      </c>
      <c r="D1376" s="23">
        <f t="shared" si="47"/>
        <v>4.7602681208571501E-2</v>
      </c>
    </row>
    <row r="1377" spans="1:4">
      <c r="A1377" s="21" t="s">
        <v>282</v>
      </c>
      <c r="B1377" s="21">
        <v>4.1366014421206501</v>
      </c>
      <c r="C1377" s="21">
        <f t="shared" si="46"/>
        <v>-5.3561050126970322E-2</v>
      </c>
      <c r="D1377" s="23">
        <f t="shared" si="47"/>
        <v>4.8371614849406094E-2</v>
      </c>
    </row>
    <row r="1378" spans="1:4">
      <c r="A1378" s="21" t="s">
        <v>281</v>
      </c>
      <c r="B1378" s="21">
        <v>4.1901624922476204</v>
      </c>
      <c r="C1378" s="21">
        <f t="shared" si="46"/>
        <v>-1.6870262559800508E-3</v>
      </c>
      <c r="D1378" s="23">
        <f t="shared" si="47"/>
        <v>4.8021387084901793E-2</v>
      </c>
    </row>
    <row r="1379" spans="1:4">
      <c r="A1379" s="21" t="s">
        <v>280</v>
      </c>
      <c r="B1379" s="21">
        <v>4.1918495185036004</v>
      </c>
      <c r="C1379" s="21">
        <f t="shared" si="46"/>
        <v>-9.0642526042199911E-2</v>
      </c>
      <c r="D1379" s="23">
        <f t="shared" si="47"/>
        <v>4.8112312966777607E-2</v>
      </c>
    </row>
    <row r="1380" spans="1:4">
      <c r="A1380" s="21" t="s">
        <v>279</v>
      </c>
      <c r="B1380" s="21">
        <v>4.2824920445458003</v>
      </c>
      <c r="C1380" s="21">
        <f t="shared" si="46"/>
        <v>-1.0180274319809612E-2</v>
      </c>
      <c r="D1380" s="23">
        <f t="shared" si="47"/>
        <v>4.7891810237314633E-2</v>
      </c>
    </row>
    <row r="1381" spans="1:4">
      <c r="A1381" s="21" t="s">
        <v>278</v>
      </c>
      <c r="B1381" s="21">
        <v>4.29267231886561</v>
      </c>
      <c r="C1381" s="21">
        <f t="shared" si="46"/>
        <v>6.2901940417301461E-3</v>
      </c>
      <c r="D1381" s="23">
        <f t="shared" si="47"/>
        <v>4.8719712413154939E-2</v>
      </c>
    </row>
    <row r="1382" spans="1:4">
      <c r="A1382" s="21" t="s">
        <v>277</v>
      </c>
      <c r="B1382" s="21">
        <v>4.2863821248238798</v>
      </c>
      <c r="C1382" s="21">
        <f t="shared" si="46"/>
        <v>-2.5269349580939959E-2</v>
      </c>
      <c r="D1382" s="23">
        <f t="shared" si="47"/>
        <v>4.879550673534809E-2</v>
      </c>
    </row>
    <row r="1383" spans="1:4">
      <c r="A1383" s="21" t="s">
        <v>276</v>
      </c>
      <c r="B1383" s="21">
        <v>4.3116514744048198</v>
      </c>
      <c r="C1383" s="21">
        <f t="shared" si="46"/>
        <v>5.3270305517870042E-2</v>
      </c>
      <c r="D1383" s="23">
        <f t="shared" si="47"/>
        <v>4.9154441840754182E-2</v>
      </c>
    </row>
    <row r="1384" spans="1:4">
      <c r="A1384" s="21" t="s">
        <v>275</v>
      </c>
      <c r="B1384" s="21">
        <v>4.2583811688869497</v>
      </c>
      <c r="C1384" s="21">
        <f t="shared" si="46"/>
        <v>3.5816572338379871E-2</v>
      </c>
      <c r="D1384" s="23">
        <f t="shared" si="47"/>
        <v>4.863118126655408E-2</v>
      </c>
    </row>
    <row r="1385" spans="1:4">
      <c r="A1385" s="21" t="s">
        <v>274</v>
      </c>
      <c r="B1385" s="21">
        <v>4.2225645965485699</v>
      </c>
      <c r="C1385" s="21">
        <f t="shared" si="46"/>
        <v>-0.11259492687779016</v>
      </c>
      <c r="D1385" s="23">
        <f t="shared" si="47"/>
        <v>4.870547853405071E-2</v>
      </c>
    </row>
    <row r="1386" spans="1:4">
      <c r="A1386" s="21" t="s">
        <v>273</v>
      </c>
      <c r="B1386" s="21">
        <v>4.33515952342636</v>
      </c>
      <c r="C1386" s="21">
        <f t="shared" si="46"/>
        <v>-4.5276943609939835E-2</v>
      </c>
      <c r="D1386" s="23">
        <f t="shared" si="47"/>
        <v>4.6710548590773851E-2</v>
      </c>
    </row>
    <row r="1387" spans="1:4">
      <c r="A1387" s="21" t="s">
        <v>272</v>
      </c>
      <c r="B1387" s="21">
        <v>4.3804364670362999</v>
      </c>
      <c r="C1387" s="21">
        <f t="shared" si="46"/>
        <v>-5.2586262042360055E-2</v>
      </c>
      <c r="D1387" s="23">
        <f t="shared" si="47"/>
        <v>4.6863376139329012E-2</v>
      </c>
    </row>
    <row r="1388" spans="1:4">
      <c r="A1388" s="21" t="s">
        <v>271</v>
      </c>
      <c r="B1388" s="21">
        <v>4.4330227290786599</v>
      </c>
      <c r="C1388" s="21">
        <f t="shared" si="46"/>
        <v>4.2319125826930204E-2</v>
      </c>
      <c r="D1388" s="23">
        <f t="shared" si="47"/>
        <v>4.6763551937535848E-2</v>
      </c>
    </row>
    <row r="1389" spans="1:4">
      <c r="A1389" s="21" t="s">
        <v>270</v>
      </c>
      <c r="B1389" s="21">
        <v>4.3907036032517297</v>
      </c>
      <c r="C1389" s="21">
        <f t="shared" si="46"/>
        <v>-3.2468474288290139E-2</v>
      </c>
      <c r="D1389" s="23">
        <f t="shared" si="47"/>
        <v>4.738250938500755E-2</v>
      </c>
    </row>
    <row r="1390" spans="1:4">
      <c r="A1390" s="21" t="s">
        <v>269</v>
      </c>
      <c r="B1390" s="21">
        <v>4.4231720775400198</v>
      </c>
      <c r="C1390" s="21">
        <f t="shared" si="46"/>
        <v>-4.2114769164619759E-2</v>
      </c>
      <c r="D1390" s="23">
        <f t="shared" si="47"/>
        <v>4.737587799566003E-2</v>
      </c>
    </row>
    <row r="1391" spans="1:4">
      <c r="A1391" s="21" t="s">
        <v>268</v>
      </c>
      <c r="B1391" s="21">
        <v>4.4652868467046396</v>
      </c>
      <c r="C1391" s="21">
        <f t="shared" si="46"/>
        <v>5.5464737515229956E-2</v>
      </c>
      <c r="D1391" s="23">
        <f t="shared" si="47"/>
        <v>4.7128712133661259E-2</v>
      </c>
    </row>
    <row r="1392" spans="1:4">
      <c r="A1392" s="21" t="s">
        <v>267</v>
      </c>
      <c r="B1392" s="21">
        <v>4.4098221091894096</v>
      </c>
      <c r="C1392" s="21">
        <f t="shared" si="46"/>
        <v>-7.7148627993079977E-2</v>
      </c>
      <c r="D1392" s="23">
        <f t="shared" si="47"/>
        <v>4.6666051926073468E-2</v>
      </c>
    </row>
    <row r="1393" spans="1:4">
      <c r="A1393" s="21" t="s">
        <v>266</v>
      </c>
      <c r="B1393" s="21">
        <v>4.4869707371824896</v>
      </c>
      <c r="C1393" s="21">
        <f t="shared" si="46"/>
        <v>-9.6048954589900148E-3</v>
      </c>
      <c r="D1393" s="23">
        <f t="shared" si="47"/>
        <v>4.5877357188349725E-2</v>
      </c>
    </row>
    <row r="1394" spans="1:4">
      <c r="A1394" s="21" t="s">
        <v>265</v>
      </c>
      <c r="B1394" s="21">
        <v>4.4965756326414796</v>
      </c>
      <c r="C1394" s="21">
        <f t="shared" si="46"/>
        <v>2.2895043598099463E-2</v>
      </c>
      <c r="D1394" s="23">
        <f t="shared" si="47"/>
        <v>4.5894624664696862E-2</v>
      </c>
    </row>
    <row r="1395" spans="1:4">
      <c r="A1395" s="21" t="s">
        <v>264</v>
      </c>
      <c r="B1395" s="21">
        <v>4.4736805890433802</v>
      </c>
      <c r="C1395" s="21">
        <f t="shared" si="46"/>
        <v>4.4976583655380153E-2</v>
      </c>
      <c r="D1395" s="23">
        <f t="shared" si="47"/>
        <v>4.585123325617458E-2</v>
      </c>
    </row>
    <row r="1396" spans="1:4">
      <c r="A1396" s="21" t="s">
        <v>263</v>
      </c>
      <c r="B1396" s="21">
        <v>4.428704005388</v>
      </c>
      <c r="C1396" s="21">
        <f t="shared" si="46"/>
        <v>-4.2976841942180322E-2</v>
      </c>
      <c r="D1396" s="23">
        <f t="shared" si="47"/>
        <v>4.5520125796537692E-2</v>
      </c>
    </row>
    <row r="1397" spans="1:4">
      <c r="A1397" s="21" t="s">
        <v>262</v>
      </c>
      <c r="B1397" s="21">
        <v>4.4716808473301803</v>
      </c>
      <c r="C1397" s="21">
        <f t="shared" si="46"/>
        <v>6.9078296725404442E-3</v>
      </c>
      <c r="D1397" s="23">
        <f t="shared" si="47"/>
        <v>4.536819781850758E-2</v>
      </c>
    </row>
    <row r="1398" spans="1:4">
      <c r="A1398" s="21" t="s">
        <v>261</v>
      </c>
      <c r="B1398" s="21">
        <v>4.4647730176576399</v>
      </c>
      <c r="C1398" s="21">
        <f t="shared" si="46"/>
        <v>4.3620629602259875E-2</v>
      </c>
      <c r="D1398" s="23">
        <f t="shared" si="47"/>
        <v>4.5375918541100464E-2</v>
      </c>
    </row>
    <row r="1399" spans="1:4">
      <c r="A1399" s="21" t="s">
        <v>260</v>
      </c>
      <c r="B1399" s="21">
        <v>4.42115238805538</v>
      </c>
      <c r="C1399" s="21">
        <f t="shared" si="46"/>
        <v>-5.7801374040789888E-2</v>
      </c>
      <c r="D1399" s="23">
        <f t="shared" si="47"/>
        <v>4.5262475099881259E-2</v>
      </c>
    </row>
    <row r="1400" spans="1:4">
      <c r="A1400" s="21" t="s">
        <v>259</v>
      </c>
      <c r="B1400" s="21">
        <v>4.4789537620961699</v>
      </c>
      <c r="C1400" s="21">
        <f t="shared" si="46"/>
        <v>-7.4570661854798104E-3</v>
      </c>
      <c r="D1400" s="23">
        <f t="shared" si="47"/>
        <v>4.4844203332776271E-2</v>
      </c>
    </row>
    <row r="1401" spans="1:4">
      <c r="A1401" s="21" t="s">
        <v>258</v>
      </c>
      <c r="B1401" s="21">
        <v>4.4864108282816497</v>
      </c>
      <c r="C1401" s="21">
        <f t="shared" si="46"/>
        <v>4.9923449938529707E-2</v>
      </c>
      <c r="D1401" s="23">
        <f t="shared" si="47"/>
        <v>4.5006306469440059E-2</v>
      </c>
    </row>
    <row r="1402" spans="1:4">
      <c r="A1402" s="21" t="s">
        <v>257</v>
      </c>
      <c r="B1402" s="21">
        <v>4.43648737834312</v>
      </c>
      <c r="C1402" s="21">
        <f t="shared" si="46"/>
        <v>-2.4189754538689989E-2</v>
      </c>
      <c r="D1402" s="23">
        <f t="shared" si="47"/>
        <v>4.5189216255676776E-2</v>
      </c>
    </row>
    <row r="1403" spans="1:4">
      <c r="A1403" s="21" t="s">
        <v>256</v>
      </c>
      <c r="B1403" s="21">
        <v>4.46067713288181</v>
      </c>
      <c r="C1403" s="21">
        <f t="shared" si="46"/>
        <v>-8.0821236014560149E-2</v>
      </c>
      <c r="D1403" s="23">
        <f t="shared" si="47"/>
        <v>4.5222045743748766E-2</v>
      </c>
    </row>
    <row r="1404" spans="1:4">
      <c r="A1404" s="21" t="s">
        <v>255</v>
      </c>
      <c r="B1404" s="21">
        <v>4.5414983688963702</v>
      </c>
      <c r="C1404" s="21">
        <f t="shared" si="46"/>
        <v>-1.3206668524909482E-2</v>
      </c>
      <c r="D1404" s="23">
        <f t="shared" si="47"/>
        <v>4.4320055345793495E-2</v>
      </c>
    </row>
    <row r="1405" spans="1:4">
      <c r="A1405" s="21" t="s">
        <v>254</v>
      </c>
      <c r="B1405" s="21">
        <v>4.5547050374212796</v>
      </c>
      <c r="C1405" s="21">
        <f t="shared" si="46"/>
        <v>2.079113564627999E-2</v>
      </c>
      <c r="D1405" s="23">
        <f t="shared" si="47"/>
        <v>4.5539415257670142E-2</v>
      </c>
    </row>
    <row r="1406" spans="1:4">
      <c r="A1406" s="21" t="s">
        <v>253</v>
      </c>
      <c r="B1406" s="21">
        <v>4.5339139017749996</v>
      </c>
      <c r="C1406" s="21">
        <f t="shared" si="46"/>
        <v>-0.10574706207933016</v>
      </c>
      <c r="D1406" s="23">
        <f t="shared" si="47"/>
        <v>4.5489866365718348E-2</v>
      </c>
    </row>
    <row r="1407" spans="1:4">
      <c r="A1407" s="21" t="s">
        <v>252</v>
      </c>
      <c r="B1407" s="21">
        <v>4.6396609638543298</v>
      </c>
      <c r="C1407" s="21">
        <f t="shared" si="46"/>
        <v>-3.5265910132050493E-2</v>
      </c>
      <c r="D1407" s="23">
        <f t="shared" si="47"/>
        <v>4.3307296447662388E-2</v>
      </c>
    </row>
    <row r="1408" spans="1:4">
      <c r="A1408" s="21" t="s">
        <v>251</v>
      </c>
      <c r="B1408" s="21">
        <v>4.6749268739863803</v>
      </c>
      <c r="C1408" s="21">
        <f t="shared" si="46"/>
        <v>0.11991640889803001</v>
      </c>
      <c r="D1408" s="23">
        <f t="shared" si="47"/>
        <v>4.3161318034512917E-2</v>
      </c>
    </row>
    <row r="1409" spans="1:4">
      <c r="A1409" s="21" t="s">
        <v>250</v>
      </c>
      <c r="B1409" s="21">
        <v>4.5550104650883503</v>
      </c>
      <c r="C1409" s="21">
        <f t="shared" si="46"/>
        <v>5.1696393463940282E-2</v>
      </c>
      <c r="D1409" s="23">
        <f t="shared" si="47"/>
        <v>4.064863235476348E-2</v>
      </c>
    </row>
    <row r="1410" spans="1:4">
      <c r="A1410" s="21" t="s">
        <v>249</v>
      </c>
      <c r="B1410" s="21">
        <v>4.50331407162441</v>
      </c>
      <c r="C1410" s="21">
        <f t="shared" ref="C1410:C1473" si="48">B1410-B1411</f>
        <v>1.342201863634962E-2</v>
      </c>
      <c r="D1410" s="23">
        <f t="shared" ref="D1410:D1473" si="49">STDEV(C1410:C1469)</f>
        <v>4.2029949616994876E-2</v>
      </c>
    </row>
    <row r="1411" spans="1:4">
      <c r="A1411" s="21" t="s">
        <v>248</v>
      </c>
      <c r="B1411" s="21">
        <v>4.4898920529880604</v>
      </c>
      <c r="C1411" s="21">
        <f t="shared" si="48"/>
        <v>3.06151294411805E-2</v>
      </c>
      <c r="D1411" s="23">
        <f t="shared" si="49"/>
        <v>4.2124152863663056E-2</v>
      </c>
    </row>
    <row r="1412" spans="1:4">
      <c r="A1412" s="21" t="s">
        <v>247</v>
      </c>
      <c r="B1412" s="21">
        <v>4.4592769235468799</v>
      </c>
      <c r="C1412" s="21">
        <f t="shared" si="48"/>
        <v>2.4909128746299913E-3</v>
      </c>
      <c r="D1412" s="23">
        <f t="shared" si="49"/>
        <v>4.2205885515308329E-2</v>
      </c>
    </row>
    <row r="1413" spans="1:4">
      <c r="A1413" s="21" t="s">
        <v>246</v>
      </c>
      <c r="B1413" s="21">
        <v>4.4567860106722499</v>
      </c>
      <c r="C1413" s="21">
        <f t="shared" si="48"/>
        <v>-5.402110583307973E-2</v>
      </c>
      <c r="D1413" s="23">
        <f t="shared" si="49"/>
        <v>4.2409428091114434E-2</v>
      </c>
    </row>
    <row r="1414" spans="1:4">
      <c r="A1414" s="21" t="s">
        <v>245</v>
      </c>
      <c r="B1414" s="21">
        <v>4.5108071165053296</v>
      </c>
      <c r="C1414" s="21">
        <f t="shared" si="48"/>
        <v>6.2737735221939595E-2</v>
      </c>
      <c r="D1414" s="23">
        <f t="shared" si="49"/>
        <v>4.2162378798397009E-2</v>
      </c>
    </row>
    <row r="1415" spans="1:4">
      <c r="A1415" s="21" t="s">
        <v>244</v>
      </c>
      <c r="B1415" s="21">
        <v>4.44806938128339</v>
      </c>
      <c r="C1415" s="21">
        <f t="shared" si="48"/>
        <v>0.1191879875364501</v>
      </c>
      <c r="D1415" s="23">
        <f t="shared" si="49"/>
        <v>4.1866957835698701E-2</v>
      </c>
    </row>
    <row r="1416" spans="1:4">
      <c r="A1416" s="21" t="s">
        <v>243</v>
      </c>
      <c r="B1416" s="21">
        <v>4.3288813937469399</v>
      </c>
      <c r="C1416" s="21">
        <f t="shared" si="48"/>
        <v>2.4147012661401845E-3</v>
      </c>
      <c r="D1416" s="23">
        <f t="shared" si="49"/>
        <v>3.9377123108920886E-2</v>
      </c>
    </row>
    <row r="1417" spans="1:4">
      <c r="A1417" s="21" t="s">
        <v>242</v>
      </c>
      <c r="B1417" s="21">
        <v>4.3264666924807997</v>
      </c>
      <c r="C1417" s="21">
        <f t="shared" si="48"/>
        <v>-2.9452422457560523E-2</v>
      </c>
      <c r="D1417" s="23">
        <f t="shared" si="49"/>
        <v>3.9409266287105102E-2</v>
      </c>
    </row>
    <row r="1418" spans="1:4">
      <c r="A1418" s="21" t="s">
        <v>241</v>
      </c>
      <c r="B1418" s="21">
        <v>4.3559191149383603</v>
      </c>
      <c r="C1418" s="21">
        <f t="shared" si="48"/>
        <v>2.3500081466170109E-2</v>
      </c>
      <c r="D1418" s="23">
        <f t="shared" si="49"/>
        <v>4.0508586512422104E-2</v>
      </c>
    </row>
    <row r="1419" spans="1:4">
      <c r="A1419" s="21" t="s">
        <v>240</v>
      </c>
      <c r="B1419" s="21">
        <v>4.3324190334721902</v>
      </c>
      <c r="C1419" s="21">
        <f t="shared" si="48"/>
        <v>3.6425947581400386E-2</v>
      </c>
      <c r="D1419" s="23">
        <f t="shared" si="49"/>
        <v>4.4698590655244168E-2</v>
      </c>
    </row>
    <row r="1420" spans="1:4">
      <c r="A1420" s="21" t="s">
        <v>239</v>
      </c>
      <c r="B1420" s="21">
        <v>4.2959930858907898</v>
      </c>
      <c r="C1420" s="21">
        <f t="shared" si="48"/>
        <v>-2.0662585631209929E-2</v>
      </c>
      <c r="D1420" s="23">
        <f t="shared" si="49"/>
        <v>4.5222316160646092E-2</v>
      </c>
    </row>
    <row r="1421" spans="1:4">
      <c r="A1421" s="21" t="s">
        <v>238</v>
      </c>
      <c r="B1421" s="21">
        <v>4.3166556715219997</v>
      </c>
      <c r="C1421" s="21">
        <f t="shared" si="48"/>
        <v>-2.228766178174002E-2</v>
      </c>
      <c r="D1421" s="23">
        <f t="shared" si="49"/>
        <v>4.8089332860313985E-2</v>
      </c>
    </row>
    <row r="1422" spans="1:4">
      <c r="A1422" s="21" t="s">
        <v>237</v>
      </c>
      <c r="B1422" s="21">
        <v>4.3389433333037397</v>
      </c>
      <c r="C1422" s="21">
        <f t="shared" si="48"/>
        <v>-4.4844107491304186E-3</v>
      </c>
      <c r="D1422" s="23">
        <f t="shared" si="49"/>
        <v>4.8151010406316204E-2</v>
      </c>
    </row>
    <row r="1423" spans="1:4">
      <c r="A1423" s="21" t="s">
        <v>236</v>
      </c>
      <c r="B1423" s="21">
        <v>4.3434277440528701</v>
      </c>
      <c r="C1423" s="21">
        <f t="shared" si="48"/>
        <v>1.7581042898700439E-2</v>
      </c>
      <c r="D1423" s="23">
        <f t="shared" si="49"/>
        <v>4.9014560509981847E-2</v>
      </c>
    </row>
    <row r="1424" spans="1:4">
      <c r="A1424" s="21" t="s">
        <v>235</v>
      </c>
      <c r="B1424" s="21">
        <v>4.3258467011541697</v>
      </c>
      <c r="C1424" s="21">
        <f t="shared" si="48"/>
        <v>8.5824704006798314E-3</v>
      </c>
      <c r="D1424" s="23">
        <f t="shared" si="49"/>
        <v>4.9178459008803722E-2</v>
      </c>
    </row>
    <row r="1425" spans="1:4">
      <c r="A1425" s="21" t="s">
        <v>234</v>
      </c>
      <c r="B1425" s="21">
        <v>4.3172642307534899</v>
      </c>
      <c r="C1425" s="21">
        <f t="shared" si="48"/>
        <v>8.624533735579476E-3</v>
      </c>
      <c r="D1425" s="23">
        <f t="shared" si="49"/>
        <v>4.9242116636799525E-2</v>
      </c>
    </row>
    <row r="1426" spans="1:4">
      <c r="A1426" s="21" t="s">
        <v>233</v>
      </c>
      <c r="B1426" s="21">
        <v>4.3086396970179104</v>
      </c>
      <c r="C1426" s="21">
        <f t="shared" si="48"/>
        <v>-3.3961901775299452E-2</v>
      </c>
      <c r="D1426" s="23">
        <f t="shared" si="49"/>
        <v>4.9407019088024702E-2</v>
      </c>
    </row>
    <row r="1427" spans="1:4">
      <c r="A1427" s="21" t="s">
        <v>232</v>
      </c>
      <c r="B1427" s="21">
        <v>4.3426015987932098</v>
      </c>
      <c r="C1427" s="21">
        <f t="shared" si="48"/>
        <v>1.6160847616450091E-2</v>
      </c>
      <c r="D1427" s="23">
        <f t="shared" si="49"/>
        <v>4.94345437825068E-2</v>
      </c>
    </row>
    <row r="1428" spans="1:4">
      <c r="A1428" s="21" t="s">
        <v>231</v>
      </c>
      <c r="B1428" s="21">
        <v>4.3264407511767597</v>
      </c>
      <c r="C1428" s="21">
        <f t="shared" si="48"/>
        <v>4.289668836382976E-2</v>
      </c>
      <c r="D1428" s="23">
        <f t="shared" si="49"/>
        <v>4.9778989428131026E-2</v>
      </c>
    </row>
    <row r="1429" spans="1:4">
      <c r="A1429" s="21" t="s">
        <v>230</v>
      </c>
      <c r="B1429" s="21">
        <v>4.28354406281293</v>
      </c>
      <c r="C1429" s="21">
        <f t="shared" si="48"/>
        <v>-2.4026188508050161E-2</v>
      </c>
      <c r="D1429" s="23">
        <f t="shared" si="49"/>
        <v>4.9931044370571095E-2</v>
      </c>
    </row>
    <row r="1430" spans="1:4">
      <c r="A1430" s="21" t="s">
        <v>229</v>
      </c>
      <c r="B1430" s="21">
        <v>4.3075702513209801</v>
      </c>
      <c r="C1430" s="21">
        <f t="shared" si="48"/>
        <v>-2.6795579845329875E-2</v>
      </c>
      <c r="D1430" s="23">
        <f t="shared" si="49"/>
        <v>5.0728661948472815E-2</v>
      </c>
    </row>
    <row r="1431" spans="1:4">
      <c r="A1431" s="21" t="s">
        <v>228</v>
      </c>
      <c r="B1431" s="21">
        <v>4.33436583116631</v>
      </c>
      <c r="C1431" s="21">
        <f t="shared" si="48"/>
        <v>5.9990140536001491E-3</v>
      </c>
      <c r="D1431" s="23">
        <f t="shared" si="49"/>
        <v>5.117670168834005E-2</v>
      </c>
    </row>
    <row r="1432" spans="1:4">
      <c r="A1432" s="21" t="s">
        <v>227</v>
      </c>
      <c r="B1432" s="21">
        <v>4.3283668171127099</v>
      </c>
      <c r="C1432" s="21">
        <f t="shared" si="48"/>
        <v>3.7617819740550118E-2</v>
      </c>
      <c r="D1432" s="23">
        <f t="shared" si="49"/>
        <v>5.1741513388037071E-2</v>
      </c>
    </row>
    <row r="1433" spans="1:4">
      <c r="A1433" s="21" t="s">
        <v>226</v>
      </c>
      <c r="B1433" s="21">
        <v>4.2907489973721598</v>
      </c>
      <c r="C1433" s="21">
        <f t="shared" si="48"/>
        <v>-6.3434716052860551E-2</v>
      </c>
      <c r="D1433" s="23">
        <f t="shared" si="49"/>
        <v>5.2867298031839399E-2</v>
      </c>
    </row>
    <row r="1434" spans="1:4">
      <c r="A1434" s="21" t="s">
        <v>225</v>
      </c>
      <c r="B1434" s="21">
        <v>4.3541837134250203</v>
      </c>
      <c r="C1434" s="21">
        <f t="shared" si="48"/>
        <v>-4.1664200819319319E-2</v>
      </c>
      <c r="D1434" s="23">
        <f t="shared" si="49"/>
        <v>5.2104743806038419E-2</v>
      </c>
    </row>
    <row r="1435" spans="1:4">
      <c r="A1435" s="21" t="s">
        <v>224</v>
      </c>
      <c r="B1435" s="21">
        <v>4.3958479142443396</v>
      </c>
      <c r="C1435" s="21">
        <f t="shared" si="48"/>
        <v>4.4105339288300627E-3</v>
      </c>
      <c r="D1435" s="23">
        <f t="shared" si="49"/>
        <v>5.2134236055682182E-2</v>
      </c>
    </row>
    <row r="1436" spans="1:4">
      <c r="A1436" s="21" t="s">
        <v>223</v>
      </c>
      <c r="B1436" s="21">
        <v>4.3914373803155096</v>
      </c>
      <c r="C1436" s="21">
        <f t="shared" si="48"/>
        <v>-7.1014048447270106E-2</v>
      </c>
      <c r="D1436" s="23">
        <f t="shared" si="49"/>
        <v>5.2178473685169896E-2</v>
      </c>
    </row>
    <row r="1437" spans="1:4">
      <c r="A1437" s="21" t="s">
        <v>222</v>
      </c>
      <c r="B1437" s="21">
        <v>4.4624514287627797</v>
      </c>
      <c r="C1437" s="21">
        <f t="shared" si="48"/>
        <v>-2.3854062451619917E-2</v>
      </c>
      <c r="D1437" s="23">
        <f t="shared" si="49"/>
        <v>5.2460914914148039E-2</v>
      </c>
    </row>
    <row r="1438" spans="1:4">
      <c r="A1438" s="21" t="s">
        <v>221</v>
      </c>
      <c r="B1438" s="21">
        <v>4.4863054912143996</v>
      </c>
      <c r="C1438" s="21">
        <f t="shared" si="48"/>
        <v>1.8147441796569908E-2</v>
      </c>
      <c r="D1438" s="23">
        <f t="shared" si="49"/>
        <v>5.2471583782981911E-2</v>
      </c>
    </row>
    <row r="1439" spans="1:4">
      <c r="A1439" s="21" t="s">
        <v>220</v>
      </c>
      <c r="B1439" s="21">
        <v>4.4681580494178297</v>
      </c>
      <c r="C1439" s="21">
        <f t="shared" si="48"/>
        <v>7.67614257156497E-2</v>
      </c>
      <c r="D1439" s="23">
        <f t="shared" si="49"/>
        <v>5.2631113906693623E-2</v>
      </c>
    </row>
    <row r="1440" spans="1:4">
      <c r="A1440" s="21" t="s">
        <v>219</v>
      </c>
      <c r="B1440" s="21">
        <v>4.39139662370218</v>
      </c>
      <c r="C1440" s="21">
        <f t="shared" si="48"/>
        <v>6.8122566996460243E-2</v>
      </c>
      <c r="D1440" s="23">
        <f t="shared" si="49"/>
        <v>5.1796432593022829E-2</v>
      </c>
    </row>
    <row r="1441" spans="1:4">
      <c r="A1441" s="21" t="s">
        <v>218</v>
      </c>
      <c r="B1441" s="21">
        <v>4.3232740567057197</v>
      </c>
      <c r="C1441" s="21">
        <f t="shared" si="48"/>
        <v>-2.2790346739800071E-2</v>
      </c>
      <c r="D1441" s="23">
        <f t="shared" si="49"/>
        <v>5.1448326563279009E-2</v>
      </c>
    </row>
    <row r="1442" spans="1:4">
      <c r="A1442" s="21" t="s">
        <v>217</v>
      </c>
      <c r="B1442" s="21">
        <v>4.3460644034455198</v>
      </c>
      <c r="C1442" s="21">
        <f t="shared" si="48"/>
        <v>-5.2725987911370176E-2</v>
      </c>
      <c r="D1442" s="23">
        <f t="shared" si="49"/>
        <v>5.1757659358140286E-2</v>
      </c>
    </row>
    <row r="1443" spans="1:4">
      <c r="A1443" s="21" t="s">
        <v>216</v>
      </c>
      <c r="B1443" s="21">
        <v>4.39879039135689</v>
      </c>
      <c r="C1443" s="21">
        <f t="shared" si="48"/>
        <v>-7.5658076157800735E-3</v>
      </c>
      <c r="D1443" s="23">
        <f t="shared" si="49"/>
        <v>5.2945916702183016E-2</v>
      </c>
    </row>
    <row r="1444" spans="1:4">
      <c r="A1444" s="21" t="s">
        <v>215</v>
      </c>
      <c r="B1444" s="21">
        <v>4.4063561989726701</v>
      </c>
      <c r="C1444" s="21">
        <f t="shared" si="48"/>
        <v>4.1039014844909794E-2</v>
      </c>
      <c r="D1444" s="23">
        <f t="shared" si="49"/>
        <v>5.4028274386931037E-2</v>
      </c>
    </row>
    <row r="1445" spans="1:4">
      <c r="A1445" s="21" t="s">
        <v>214</v>
      </c>
      <c r="B1445" s="21">
        <v>4.3653171841277603</v>
      </c>
      <c r="C1445" s="21">
        <f t="shared" si="48"/>
        <v>3.3280514659630001E-2</v>
      </c>
      <c r="D1445" s="23">
        <f t="shared" si="49"/>
        <v>5.4146319809657686E-2</v>
      </c>
    </row>
    <row r="1446" spans="1:4">
      <c r="A1446" s="21" t="s">
        <v>213</v>
      </c>
      <c r="B1446" s="21">
        <v>4.3320366694681303</v>
      </c>
      <c r="C1446" s="21">
        <f t="shared" si="48"/>
        <v>5.5437178720070257E-2</v>
      </c>
      <c r="D1446" s="23">
        <f t="shared" si="49"/>
        <v>5.4114936920938057E-2</v>
      </c>
    </row>
    <row r="1447" spans="1:4">
      <c r="A1447" s="21" t="s">
        <v>212</v>
      </c>
      <c r="B1447" s="21">
        <v>4.27659949074806</v>
      </c>
      <c r="C1447" s="21">
        <f t="shared" si="48"/>
        <v>-4.7252744253209578E-2</v>
      </c>
      <c r="D1447" s="23">
        <f t="shared" si="49"/>
        <v>5.3679093165895593E-2</v>
      </c>
    </row>
    <row r="1448" spans="1:4">
      <c r="A1448" s="21" t="s">
        <v>211</v>
      </c>
      <c r="B1448" s="21">
        <v>4.3238522350012696</v>
      </c>
      <c r="C1448" s="21">
        <f t="shared" si="48"/>
        <v>-7.0926867748480227E-2</v>
      </c>
      <c r="D1448" s="23">
        <f t="shared" si="49"/>
        <v>5.3676780632998425E-2</v>
      </c>
    </row>
    <row r="1449" spans="1:4">
      <c r="A1449" s="21" t="s">
        <v>210</v>
      </c>
      <c r="B1449" s="21">
        <v>4.3947791027497498</v>
      </c>
      <c r="C1449" s="21">
        <f t="shared" si="48"/>
        <v>3.285376656076977E-2</v>
      </c>
      <c r="D1449" s="23">
        <f t="shared" si="49"/>
        <v>5.3394524330768849E-2</v>
      </c>
    </row>
    <row r="1450" spans="1:4">
      <c r="A1450" s="21" t="s">
        <v>209</v>
      </c>
      <c r="B1450" s="21">
        <v>4.36192533618898</v>
      </c>
      <c r="C1450" s="21">
        <f t="shared" si="48"/>
        <v>-2.1112608194860272E-2</v>
      </c>
      <c r="D1450" s="23">
        <f t="shared" si="49"/>
        <v>5.3312823177648017E-2</v>
      </c>
    </row>
    <row r="1451" spans="1:4">
      <c r="A1451" s="21" t="s">
        <v>208</v>
      </c>
      <c r="B1451" s="21">
        <v>4.3830379443838403</v>
      </c>
      <c r="C1451" s="21">
        <f t="shared" si="48"/>
        <v>2.1008247368260236E-2</v>
      </c>
      <c r="D1451" s="23">
        <f t="shared" si="49"/>
        <v>5.3406085843280111E-2</v>
      </c>
    </row>
    <row r="1452" spans="1:4">
      <c r="A1452" s="21" t="s">
        <v>207</v>
      </c>
      <c r="B1452" s="21">
        <v>4.3620296970155801</v>
      </c>
      <c r="C1452" s="21">
        <f t="shared" si="48"/>
        <v>-4.1515278687540125E-2</v>
      </c>
      <c r="D1452" s="23">
        <f t="shared" si="49"/>
        <v>5.3740320753543895E-2</v>
      </c>
    </row>
    <row r="1453" spans="1:4">
      <c r="A1453" s="21" t="s">
        <v>206</v>
      </c>
      <c r="B1453" s="21">
        <v>4.4035449757031202</v>
      </c>
      <c r="C1453" s="21">
        <f t="shared" si="48"/>
        <v>1.6412906832250052E-2</v>
      </c>
      <c r="D1453" s="23">
        <f t="shared" si="49"/>
        <v>5.4157664243939189E-2</v>
      </c>
    </row>
    <row r="1454" spans="1:4">
      <c r="A1454" s="21" t="s">
        <v>205</v>
      </c>
      <c r="B1454" s="21">
        <v>4.3871320688708701</v>
      </c>
      <c r="C1454" s="21">
        <f t="shared" si="48"/>
        <v>1.6309612048420519E-2</v>
      </c>
      <c r="D1454" s="23">
        <f t="shared" si="49"/>
        <v>5.470396395052482E-2</v>
      </c>
    </row>
    <row r="1455" spans="1:4">
      <c r="A1455" s="21" t="s">
        <v>204</v>
      </c>
      <c r="B1455" s="21">
        <v>4.3708224568224496</v>
      </c>
      <c r="C1455" s="21">
        <f t="shared" si="48"/>
        <v>-9.990887606700305E-3</v>
      </c>
      <c r="D1455" s="23">
        <f t="shared" si="49"/>
        <v>5.5885440764869149E-2</v>
      </c>
    </row>
    <row r="1456" spans="1:4">
      <c r="A1456" s="21" t="s">
        <v>203</v>
      </c>
      <c r="B1456" s="21">
        <v>4.3808133444291499</v>
      </c>
      <c r="C1456" s="21">
        <f t="shared" si="48"/>
        <v>3.5499688188790124E-2</v>
      </c>
      <c r="D1456" s="23">
        <f t="shared" si="49"/>
        <v>5.6753779685399693E-2</v>
      </c>
    </row>
    <row r="1457" spans="1:4">
      <c r="A1457" s="21" t="s">
        <v>202</v>
      </c>
      <c r="B1457" s="21">
        <v>4.3453136562403598</v>
      </c>
      <c r="C1457" s="21">
        <f t="shared" si="48"/>
        <v>1.0141459841289446E-2</v>
      </c>
      <c r="D1457" s="23">
        <f t="shared" si="49"/>
        <v>5.7319811574136896E-2</v>
      </c>
    </row>
    <row r="1458" spans="1:4">
      <c r="A1458" s="21" t="s">
        <v>201</v>
      </c>
      <c r="B1458" s="21">
        <v>4.3351721963990704</v>
      </c>
      <c r="C1458" s="21">
        <f t="shared" si="48"/>
        <v>-3.2613329579429973E-2</v>
      </c>
      <c r="D1458" s="23">
        <f t="shared" si="49"/>
        <v>5.7537558628061487E-2</v>
      </c>
    </row>
    <row r="1459" spans="1:4">
      <c r="A1459" s="21" t="s">
        <v>200</v>
      </c>
      <c r="B1459" s="21">
        <v>4.3677855259785003</v>
      </c>
      <c r="C1459" s="21">
        <f t="shared" si="48"/>
        <v>-3.418550086856964E-2</v>
      </c>
      <c r="D1459" s="23">
        <f t="shared" si="49"/>
        <v>5.7381879065815274E-2</v>
      </c>
    </row>
    <row r="1460" spans="1:4">
      <c r="A1460" s="21" t="s">
        <v>199</v>
      </c>
      <c r="B1460" s="21">
        <v>4.40197102684707</v>
      </c>
      <c r="C1460" s="21">
        <f t="shared" si="48"/>
        <v>3.2300325322819567E-2</v>
      </c>
      <c r="D1460" s="23">
        <f t="shared" si="49"/>
        <v>5.7510267864377775E-2</v>
      </c>
    </row>
    <row r="1461" spans="1:4">
      <c r="A1461" s="21" t="s">
        <v>198</v>
      </c>
      <c r="B1461" s="21">
        <v>4.3696707015242504</v>
      </c>
      <c r="C1461" s="21">
        <f t="shared" si="48"/>
        <v>-5.69228047038699E-2</v>
      </c>
      <c r="D1461" s="23">
        <f t="shared" si="49"/>
        <v>5.7581803119401045E-2</v>
      </c>
    </row>
    <row r="1462" spans="1:4">
      <c r="A1462" s="21" t="s">
        <v>197</v>
      </c>
      <c r="B1462" s="21">
        <v>4.4265935062281203</v>
      </c>
      <c r="C1462" s="21">
        <f t="shared" si="48"/>
        <v>-2.7556197845999719E-2</v>
      </c>
      <c r="D1462" s="23">
        <f t="shared" si="49"/>
        <v>5.7130388111232167E-2</v>
      </c>
    </row>
    <row r="1463" spans="1:4">
      <c r="A1463" s="21" t="s">
        <v>196</v>
      </c>
      <c r="B1463" s="21">
        <v>4.45414970407412</v>
      </c>
      <c r="C1463" s="21">
        <f t="shared" si="48"/>
        <v>4.5385001525939828E-2</v>
      </c>
      <c r="D1463" s="23">
        <f t="shared" si="49"/>
        <v>5.7286673323706051E-2</v>
      </c>
    </row>
    <row r="1464" spans="1:4">
      <c r="A1464" s="21" t="s">
        <v>195</v>
      </c>
      <c r="B1464" s="21">
        <v>4.4087647025481802</v>
      </c>
      <c r="C1464" s="21">
        <f t="shared" si="48"/>
        <v>-8.0110524830080188E-2</v>
      </c>
      <c r="D1464" s="23">
        <f t="shared" si="49"/>
        <v>5.7854880974329663E-2</v>
      </c>
    </row>
    <row r="1465" spans="1:4">
      <c r="A1465" s="21" t="s">
        <v>194</v>
      </c>
      <c r="B1465" s="21">
        <v>4.4888752273782604</v>
      </c>
      <c r="C1465" s="21">
        <f t="shared" si="48"/>
        <v>-1.0659745174919522E-2</v>
      </c>
      <c r="D1465" s="23">
        <f t="shared" si="49"/>
        <v>5.8338170341537772E-2</v>
      </c>
    </row>
    <row r="1466" spans="1:4">
      <c r="A1466" s="21" t="s">
        <v>193</v>
      </c>
      <c r="B1466" s="21">
        <v>4.4995349725531799</v>
      </c>
      <c r="C1466" s="21">
        <f t="shared" si="48"/>
        <v>-5.5004488763703563E-3</v>
      </c>
      <c r="D1466" s="23">
        <f t="shared" si="49"/>
        <v>5.8503724693450408E-2</v>
      </c>
    </row>
    <row r="1467" spans="1:4">
      <c r="A1467" s="21" t="s">
        <v>192</v>
      </c>
      <c r="B1467" s="21">
        <v>4.5050354214295503</v>
      </c>
      <c r="C1467" s="21">
        <f t="shared" si="48"/>
        <v>2.9293915212580401E-2</v>
      </c>
      <c r="D1467" s="23">
        <f t="shared" si="49"/>
        <v>6.0700195521853254E-2</v>
      </c>
    </row>
    <row r="1468" spans="1:4">
      <c r="A1468" s="21" t="s">
        <v>191</v>
      </c>
      <c r="B1468" s="21">
        <v>4.4757415062169699</v>
      </c>
      <c r="C1468" s="21">
        <f t="shared" si="48"/>
        <v>3.9082660789580004E-2</v>
      </c>
      <c r="D1468" s="23">
        <f t="shared" si="49"/>
        <v>6.070416876216448E-2</v>
      </c>
    </row>
    <row r="1469" spans="1:4">
      <c r="A1469" s="21" t="s">
        <v>190</v>
      </c>
      <c r="B1469" s="21">
        <v>4.4366588454273899</v>
      </c>
      <c r="C1469" s="21">
        <f t="shared" si="48"/>
        <v>-9.587183091466045E-2</v>
      </c>
      <c r="D1469" s="23">
        <f t="shared" si="49"/>
        <v>6.0972130878953042E-2</v>
      </c>
    </row>
    <row r="1470" spans="1:4">
      <c r="A1470" s="21" t="s">
        <v>189</v>
      </c>
      <c r="B1470" s="21">
        <v>4.5325306763420503</v>
      </c>
      <c r="C1470" s="21">
        <f t="shared" si="48"/>
        <v>-2.6717459569259638E-2</v>
      </c>
      <c r="D1470" s="23">
        <f t="shared" si="49"/>
        <v>5.9519601234626011E-2</v>
      </c>
    </row>
    <row r="1471" spans="1:4">
      <c r="A1471" s="21" t="s">
        <v>188</v>
      </c>
      <c r="B1471" s="21">
        <v>4.55924813591131</v>
      </c>
      <c r="C1471" s="21">
        <f t="shared" si="48"/>
        <v>3.6482247718709893E-2</v>
      </c>
      <c r="D1471" s="23">
        <f t="shared" si="49"/>
        <v>5.9405651393288142E-2</v>
      </c>
    </row>
    <row r="1472" spans="1:4">
      <c r="A1472" s="21" t="s">
        <v>187</v>
      </c>
      <c r="B1472" s="21">
        <v>4.5227658881926001</v>
      </c>
      <c r="C1472" s="21">
        <f t="shared" si="48"/>
        <v>-3.3466341161680013E-2</v>
      </c>
      <c r="D1472" s="23">
        <f t="shared" si="49"/>
        <v>5.9286860487051229E-2</v>
      </c>
    </row>
    <row r="1473" spans="1:4">
      <c r="A1473" s="21" t="s">
        <v>186</v>
      </c>
      <c r="B1473" s="21">
        <v>4.5562322293542801</v>
      </c>
      <c r="C1473" s="21">
        <f t="shared" si="48"/>
        <v>-4.0545346640469937E-2</v>
      </c>
      <c r="D1473" s="23">
        <f t="shared" si="49"/>
        <v>6.1340742809563677E-2</v>
      </c>
    </row>
    <row r="1474" spans="1:4">
      <c r="A1474" s="21" t="s">
        <v>185</v>
      </c>
      <c r="B1474" s="21">
        <v>4.59677757599475</v>
      </c>
      <c r="C1474" s="21">
        <f t="shared" ref="C1474:C1537" si="50">B1474-B1475</f>
        <v>5.0102641808670079E-2</v>
      </c>
      <c r="D1474" s="23">
        <f t="shared" ref="D1474:D1537" si="51">STDEV(C1474:C1533)</f>
        <v>6.1054760980246238E-2</v>
      </c>
    </row>
    <row r="1475" spans="1:4">
      <c r="A1475" s="21" t="s">
        <v>184</v>
      </c>
      <c r="B1475" s="21">
        <v>4.5466749341860799</v>
      </c>
      <c r="C1475" s="21">
        <f t="shared" si="50"/>
        <v>5.0735486909750271E-2</v>
      </c>
      <c r="D1475" s="23">
        <f t="shared" si="51"/>
        <v>6.0808163898060735E-2</v>
      </c>
    </row>
    <row r="1476" spans="1:4">
      <c r="A1476" s="21" t="s">
        <v>183</v>
      </c>
      <c r="B1476" s="21">
        <v>4.4959394472763297</v>
      </c>
      <c r="C1476" s="21">
        <f t="shared" si="50"/>
        <v>1.0540273815789369E-2</v>
      </c>
      <c r="D1476" s="23">
        <f t="shared" si="51"/>
        <v>6.0984884479686259E-2</v>
      </c>
    </row>
    <row r="1477" spans="1:4">
      <c r="A1477" s="21" t="s">
        <v>182</v>
      </c>
      <c r="B1477" s="21">
        <v>4.4853991734605403</v>
      </c>
      <c r="C1477" s="21">
        <f t="shared" si="50"/>
        <v>7.535739783382045E-2</v>
      </c>
      <c r="D1477" s="23">
        <f t="shared" si="51"/>
        <v>6.1219399475842394E-2</v>
      </c>
    </row>
    <row r="1478" spans="1:4">
      <c r="A1478" s="21" t="s">
        <v>181</v>
      </c>
      <c r="B1478" s="21">
        <v>4.4100417756267198</v>
      </c>
      <c r="C1478" s="21">
        <f t="shared" si="50"/>
        <v>0.14713275381588975</v>
      </c>
      <c r="D1478" s="23">
        <f t="shared" si="51"/>
        <v>6.1123445302912964E-2</v>
      </c>
    </row>
    <row r="1479" spans="1:4">
      <c r="A1479" s="21" t="s">
        <v>180</v>
      </c>
      <c r="B1479" s="21">
        <v>4.2629090218108301</v>
      </c>
      <c r="C1479" s="21">
        <f t="shared" si="50"/>
        <v>6.4685195896659664E-2</v>
      </c>
      <c r="D1479" s="23">
        <f t="shared" si="51"/>
        <v>5.8029006384037518E-2</v>
      </c>
    </row>
    <row r="1480" spans="1:4">
      <c r="A1480" s="21" t="s">
        <v>179</v>
      </c>
      <c r="B1480" s="21">
        <v>4.1982238259141704</v>
      </c>
      <c r="C1480" s="21">
        <f t="shared" si="50"/>
        <v>-0.12669966545901978</v>
      </c>
      <c r="D1480" s="23">
        <f t="shared" si="51"/>
        <v>5.7450581239211401E-2</v>
      </c>
    </row>
    <row r="1481" spans="1:4">
      <c r="A1481" s="21" t="s">
        <v>178</v>
      </c>
      <c r="B1481" s="21">
        <v>4.3249234913731902</v>
      </c>
      <c r="C1481" s="21">
        <f t="shared" si="50"/>
        <v>-2.9148437074329792E-2</v>
      </c>
      <c r="D1481" s="23">
        <f t="shared" si="51"/>
        <v>5.5246688840190211E-2</v>
      </c>
    </row>
    <row r="1482" spans="1:4">
      <c r="A1482" s="21" t="s">
        <v>177</v>
      </c>
      <c r="B1482" s="21">
        <v>4.35407192844752</v>
      </c>
      <c r="C1482" s="21">
        <f t="shared" si="50"/>
        <v>7.0903798985000321E-2</v>
      </c>
      <c r="D1482" s="23">
        <f t="shared" si="51"/>
        <v>5.6016855008510828E-2</v>
      </c>
    </row>
    <row r="1483" spans="1:4">
      <c r="A1483" s="21" t="s">
        <v>176</v>
      </c>
      <c r="B1483" s="21">
        <v>4.2831681294625197</v>
      </c>
      <c r="C1483" s="21">
        <f t="shared" si="50"/>
        <v>3.607591281164968E-2</v>
      </c>
      <c r="D1483" s="23">
        <f t="shared" si="51"/>
        <v>5.6127876667276984E-2</v>
      </c>
    </row>
    <row r="1484" spans="1:4">
      <c r="A1484" s="21" t="s">
        <v>175</v>
      </c>
      <c r="B1484" s="21">
        <v>4.24709221665087</v>
      </c>
      <c r="C1484" s="21">
        <f t="shared" si="50"/>
        <v>2.1939569700360373E-2</v>
      </c>
      <c r="D1484" s="23">
        <f t="shared" si="51"/>
        <v>5.5908789283851568E-2</v>
      </c>
    </row>
    <row r="1485" spans="1:4">
      <c r="A1485" s="21" t="s">
        <v>174</v>
      </c>
      <c r="B1485" s="21">
        <v>4.2251526469505096</v>
      </c>
      <c r="C1485" s="21">
        <f t="shared" si="50"/>
        <v>3.3477878245319559E-2</v>
      </c>
      <c r="D1485" s="23">
        <f t="shared" si="51"/>
        <v>5.6037765287825808E-2</v>
      </c>
    </row>
    <row r="1486" spans="1:4">
      <c r="A1486" s="21" t="s">
        <v>173</v>
      </c>
      <c r="B1486" s="21">
        <v>4.1916747687051901</v>
      </c>
      <c r="C1486" s="21">
        <f t="shared" si="50"/>
        <v>4.1248445451190108E-2</v>
      </c>
      <c r="D1486" s="23">
        <f t="shared" si="51"/>
        <v>5.6570719857100195E-2</v>
      </c>
    </row>
    <row r="1487" spans="1:4">
      <c r="A1487" s="21" t="s">
        <v>172</v>
      </c>
      <c r="B1487" s="21">
        <v>4.150426323254</v>
      </c>
      <c r="C1487" s="21">
        <f t="shared" si="50"/>
        <v>-4.4176730616600324E-2</v>
      </c>
      <c r="D1487" s="23">
        <f t="shared" si="51"/>
        <v>5.6296747471725223E-2</v>
      </c>
    </row>
    <row r="1488" spans="1:4">
      <c r="A1488" s="21" t="s">
        <v>171</v>
      </c>
      <c r="B1488" s="21">
        <v>4.1946030538706003</v>
      </c>
      <c r="C1488" s="21">
        <f t="shared" si="50"/>
        <v>-4.9705328479989319E-2</v>
      </c>
      <c r="D1488" s="23">
        <f t="shared" si="51"/>
        <v>5.790676116640904E-2</v>
      </c>
    </row>
    <row r="1489" spans="1:4">
      <c r="A1489" s="21" t="s">
        <v>170</v>
      </c>
      <c r="B1489" s="21">
        <v>4.2443083823505896</v>
      </c>
      <c r="C1489" s="21">
        <f t="shared" si="50"/>
        <v>7.4877437693919191E-2</v>
      </c>
      <c r="D1489" s="23">
        <f t="shared" si="51"/>
        <v>5.760860562893378E-2</v>
      </c>
    </row>
    <row r="1490" spans="1:4">
      <c r="A1490" s="21" t="s">
        <v>169</v>
      </c>
      <c r="B1490" s="21">
        <v>4.1694309446566704</v>
      </c>
      <c r="C1490" s="21">
        <f t="shared" si="50"/>
        <v>6.2921137949030204E-2</v>
      </c>
      <c r="D1490" s="23">
        <f t="shared" si="51"/>
        <v>5.6701250717612457E-2</v>
      </c>
    </row>
    <row r="1491" spans="1:4">
      <c r="A1491" s="21" t="s">
        <v>168</v>
      </c>
      <c r="B1491" s="21">
        <v>4.1065098067076402</v>
      </c>
      <c r="C1491" s="21">
        <f t="shared" si="50"/>
        <v>6.2860005842329869E-2</v>
      </c>
      <c r="D1491" s="23">
        <f t="shared" si="51"/>
        <v>5.6677319011753401E-2</v>
      </c>
    </row>
    <row r="1492" spans="1:4">
      <c r="A1492" s="21" t="s">
        <v>167</v>
      </c>
      <c r="B1492" s="21">
        <v>4.0436498008653103</v>
      </c>
      <c r="C1492" s="21">
        <f t="shared" si="50"/>
        <v>9.4651176880500287E-2</v>
      </c>
      <c r="D1492" s="23">
        <f t="shared" si="51"/>
        <v>5.6399564928274123E-2</v>
      </c>
    </row>
    <row r="1493" spans="1:4">
      <c r="A1493" s="21" t="s">
        <v>166</v>
      </c>
      <c r="B1493" s="21">
        <v>3.9489986239848101</v>
      </c>
      <c r="C1493" s="21">
        <f t="shared" si="50"/>
        <v>-4.947501910559815E-3</v>
      </c>
      <c r="D1493" s="23">
        <f t="shared" si="51"/>
        <v>5.5861526525647666E-2</v>
      </c>
    </row>
    <row r="1494" spans="1:4">
      <c r="A1494" s="21" t="s">
        <v>165</v>
      </c>
      <c r="B1494" s="21">
        <v>3.9539461258953699</v>
      </c>
      <c r="C1494" s="21">
        <f t="shared" si="50"/>
        <v>-4.3505985056360164E-2</v>
      </c>
      <c r="D1494" s="23">
        <f t="shared" si="51"/>
        <v>5.5883598518869725E-2</v>
      </c>
    </row>
    <row r="1495" spans="1:4">
      <c r="A1495" s="21" t="s">
        <v>164</v>
      </c>
      <c r="B1495" s="21">
        <v>3.99745211095173</v>
      </c>
      <c r="C1495" s="21">
        <f t="shared" si="50"/>
        <v>-1.0115524375729823E-2</v>
      </c>
      <c r="D1495" s="23">
        <f t="shared" si="51"/>
        <v>5.6137193084879515E-2</v>
      </c>
    </row>
    <row r="1496" spans="1:4">
      <c r="A1496" s="21" t="s">
        <v>163</v>
      </c>
      <c r="B1496" s="21">
        <v>4.0075676353274599</v>
      </c>
      <c r="C1496" s="21">
        <f t="shared" si="50"/>
        <v>-8.1569038276319894E-2</v>
      </c>
      <c r="D1496" s="23">
        <f t="shared" si="51"/>
        <v>5.6137719172619935E-2</v>
      </c>
    </row>
    <row r="1497" spans="1:4">
      <c r="A1497" s="21" t="s">
        <v>162</v>
      </c>
      <c r="B1497" s="21">
        <v>4.0891366736037797</v>
      </c>
      <c r="C1497" s="21">
        <f t="shared" si="50"/>
        <v>-2.4933100376280493E-2</v>
      </c>
      <c r="D1497" s="23">
        <f t="shared" si="51"/>
        <v>5.5471064279574045E-2</v>
      </c>
    </row>
    <row r="1498" spans="1:4">
      <c r="A1498" s="21" t="s">
        <v>161</v>
      </c>
      <c r="B1498" s="21">
        <v>4.1140697739800602</v>
      </c>
      <c r="C1498" s="21">
        <f t="shared" si="50"/>
        <v>-2.7962407829029701E-2</v>
      </c>
      <c r="D1498" s="23">
        <f t="shared" si="51"/>
        <v>5.5417047391362592E-2</v>
      </c>
    </row>
    <row r="1499" spans="1:4">
      <c r="A1499" s="21" t="s">
        <v>160</v>
      </c>
      <c r="B1499" s="21">
        <v>4.1420321818090899</v>
      </c>
      <c r="C1499" s="21">
        <f t="shared" si="50"/>
        <v>9.8380960349899738E-3</v>
      </c>
      <c r="D1499" s="23">
        <f t="shared" si="51"/>
        <v>5.5386766582843208E-2</v>
      </c>
    </row>
    <row r="1500" spans="1:4">
      <c r="A1500" s="21" t="s">
        <v>159</v>
      </c>
      <c r="B1500" s="21">
        <v>4.1321940857741</v>
      </c>
      <c r="C1500" s="21">
        <f t="shared" si="50"/>
        <v>4.8554381751180209E-2</v>
      </c>
      <c r="D1500" s="23">
        <f t="shared" si="51"/>
        <v>5.5450989505339957E-2</v>
      </c>
    </row>
    <row r="1501" spans="1:4">
      <c r="A1501" s="21" t="s">
        <v>158</v>
      </c>
      <c r="B1501" s="21">
        <v>4.0836397040229198</v>
      </c>
      <c r="C1501" s="21">
        <f t="shared" si="50"/>
        <v>5.5998051397399884E-2</v>
      </c>
      <c r="D1501" s="23">
        <f t="shared" si="51"/>
        <v>5.5998705085578332E-2</v>
      </c>
    </row>
    <row r="1502" spans="1:4">
      <c r="A1502" s="21" t="s">
        <v>157</v>
      </c>
      <c r="B1502" s="21">
        <v>4.0276416526255199</v>
      </c>
      <c r="C1502" s="21">
        <f t="shared" si="50"/>
        <v>-9.8341326667489959E-2</v>
      </c>
      <c r="D1502" s="23">
        <f t="shared" si="51"/>
        <v>5.5484783200497781E-2</v>
      </c>
    </row>
    <row r="1503" spans="1:4">
      <c r="A1503" s="21" t="s">
        <v>156</v>
      </c>
      <c r="B1503" s="21">
        <v>4.1259829792930098</v>
      </c>
      <c r="C1503" s="21">
        <f t="shared" si="50"/>
        <v>-7.9502233863060212E-2</v>
      </c>
      <c r="D1503" s="23">
        <f t="shared" si="51"/>
        <v>5.4287262817590554E-2</v>
      </c>
    </row>
    <row r="1504" spans="1:4">
      <c r="A1504" s="21" t="s">
        <v>155</v>
      </c>
      <c r="B1504" s="21">
        <v>4.20548521315607</v>
      </c>
      <c r="C1504" s="21">
        <f t="shared" si="50"/>
        <v>-4.4570574471910263E-2</v>
      </c>
      <c r="D1504" s="23">
        <f t="shared" si="51"/>
        <v>5.3784496636358675E-2</v>
      </c>
    </row>
    <row r="1505" spans="1:4">
      <c r="A1505" s="21" t="s">
        <v>154</v>
      </c>
      <c r="B1505" s="21">
        <v>4.2500557876279803</v>
      </c>
      <c r="C1505" s="26">
        <f t="shared" si="50"/>
        <v>-2.7126863298399861E-2</v>
      </c>
      <c r="D1505" s="27">
        <f t="shared" si="51"/>
        <v>5.3591619439705085E-2</v>
      </c>
    </row>
    <row r="1506" spans="1:4">
      <c r="A1506" s="21" t="s">
        <v>153</v>
      </c>
      <c r="B1506" s="21">
        <v>4.2771826509263802</v>
      </c>
      <c r="C1506" s="26">
        <f t="shared" si="50"/>
        <v>-1.5994110091630098E-2</v>
      </c>
      <c r="D1506" s="27">
        <f t="shared" si="51"/>
        <v>5.3673615331934432E-2</v>
      </c>
    </row>
    <row r="1507" spans="1:4">
      <c r="A1507" s="21" t="s">
        <v>152</v>
      </c>
      <c r="B1507" s="21">
        <v>4.2931767610180103</v>
      </c>
      <c r="C1507" s="26">
        <f t="shared" si="50"/>
        <v>-4.7096585662269597E-2</v>
      </c>
      <c r="D1507" s="27">
        <f t="shared" si="51"/>
        <v>5.5345114036138933E-2</v>
      </c>
    </row>
    <row r="1508" spans="1:4">
      <c r="A1508" s="21" t="s">
        <v>151</v>
      </c>
      <c r="B1508" s="21">
        <v>4.3402733466802799</v>
      </c>
      <c r="C1508" s="26">
        <f t="shared" si="50"/>
        <v>-5.6948699137210568E-2</v>
      </c>
      <c r="D1508" s="27">
        <f t="shared" si="51"/>
        <v>5.5107063611219601E-2</v>
      </c>
    </row>
    <row r="1509" spans="1:4">
      <c r="A1509" s="21" t="s">
        <v>150</v>
      </c>
      <c r="B1509" s="21">
        <v>4.3972220458174904</v>
      </c>
      <c r="C1509" s="26">
        <f t="shared" si="50"/>
        <v>2.3813849445490476E-2</v>
      </c>
      <c r="D1509" s="27">
        <f t="shared" si="51"/>
        <v>5.52783813941514E-2</v>
      </c>
    </row>
    <row r="1510" spans="1:4">
      <c r="A1510" s="21" t="s">
        <v>149</v>
      </c>
      <c r="B1510" s="21">
        <v>4.373408196372</v>
      </c>
      <c r="C1510" s="26">
        <f t="shared" si="50"/>
        <v>3.2564359470390158E-2</v>
      </c>
      <c r="D1510" s="27">
        <f t="shared" si="51"/>
        <v>5.6722152736159367E-2</v>
      </c>
    </row>
    <row r="1511" spans="1:4">
      <c r="A1511" s="21" t="s">
        <v>148</v>
      </c>
      <c r="B1511" s="21">
        <v>4.3408438369016098</v>
      </c>
      <c r="C1511" s="26">
        <f t="shared" si="50"/>
        <v>5.1104645634719503E-2</v>
      </c>
      <c r="D1511" s="27">
        <f t="shared" si="51"/>
        <v>5.7977147227023525E-2</v>
      </c>
    </row>
    <row r="1512" spans="1:4">
      <c r="A1512" s="21" t="s">
        <v>147</v>
      </c>
      <c r="B1512" s="21">
        <v>4.2897391912668903</v>
      </c>
      <c r="C1512" s="26">
        <f t="shared" si="50"/>
        <v>-6.5814936605119279E-2</v>
      </c>
      <c r="D1512" s="27">
        <f t="shared" si="51"/>
        <v>5.7573055769354703E-2</v>
      </c>
    </row>
    <row r="1513" spans="1:4">
      <c r="A1513" s="21" t="s">
        <v>146</v>
      </c>
      <c r="B1513" s="21">
        <v>4.3555541278720096</v>
      </c>
      <c r="C1513" s="26">
        <f t="shared" si="50"/>
        <v>6.2344324595379419E-2</v>
      </c>
      <c r="D1513" s="27">
        <f t="shared" si="51"/>
        <v>5.908734664026323E-2</v>
      </c>
    </row>
    <row r="1514" spans="1:4">
      <c r="A1514" s="21" t="s">
        <v>145</v>
      </c>
      <c r="B1514" s="21">
        <v>4.2932098032766302</v>
      </c>
      <c r="C1514" s="26">
        <f t="shared" si="50"/>
        <v>-8.848627621001004E-2</v>
      </c>
      <c r="D1514" s="27">
        <f t="shared" si="51"/>
        <v>5.9010434507625484E-2</v>
      </c>
    </row>
    <row r="1515" spans="1:4">
      <c r="A1515" s="21" t="s">
        <v>144</v>
      </c>
      <c r="B1515" s="21">
        <v>4.3816960794866402</v>
      </c>
      <c r="C1515" s="26">
        <f t="shared" si="50"/>
        <v>-7.7268183195619677E-2</v>
      </c>
      <c r="D1515" s="27">
        <f t="shared" si="51"/>
        <v>6.0183972700214035E-2</v>
      </c>
    </row>
    <row r="1516" spans="1:4">
      <c r="A1516" s="21" t="s">
        <v>143</v>
      </c>
      <c r="B1516" s="21">
        <v>4.4589642626822599</v>
      </c>
      <c r="C1516" s="26">
        <f t="shared" si="50"/>
        <v>7.0701954252649912E-2</v>
      </c>
      <c r="D1516" s="27">
        <f t="shared" si="51"/>
        <v>6.2233103918441668E-2</v>
      </c>
    </row>
    <row r="1517" spans="1:4">
      <c r="A1517" s="21" t="s">
        <v>142</v>
      </c>
      <c r="B1517" s="21">
        <v>4.38826230842961</v>
      </c>
      <c r="C1517" s="26">
        <f t="shared" si="50"/>
        <v>3.9380452764260276E-2</v>
      </c>
      <c r="D1517" s="27">
        <f t="shared" si="51"/>
        <v>6.1510094098832124E-2</v>
      </c>
    </row>
    <row r="1518" spans="1:4">
      <c r="A1518" s="21" t="s">
        <v>141</v>
      </c>
      <c r="B1518" s="21">
        <v>4.3488818556653497</v>
      </c>
      <c r="C1518" s="26">
        <f t="shared" si="50"/>
        <v>-3.0253658776402403E-3</v>
      </c>
      <c r="D1518" s="27">
        <f t="shared" si="51"/>
        <v>6.146980146147233E-2</v>
      </c>
    </row>
    <row r="1519" spans="1:4">
      <c r="A1519" s="21" t="s">
        <v>140</v>
      </c>
      <c r="B1519" s="21">
        <v>4.3519072215429899</v>
      </c>
      <c r="C1519" s="26">
        <f t="shared" si="50"/>
        <v>4.6809781844899589E-2</v>
      </c>
      <c r="D1519" s="27">
        <f t="shared" si="51"/>
        <v>6.176306585712768E-2</v>
      </c>
    </row>
    <row r="1520" spans="1:4">
      <c r="A1520" s="32" t="s">
        <v>139</v>
      </c>
      <c r="B1520" s="32">
        <v>4.3050974396980903</v>
      </c>
      <c r="C1520" s="33">
        <f t="shared" si="50"/>
        <v>-3.7217342129340025E-2</v>
      </c>
      <c r="D1520" s="34">
        <f t="shared" si="51"/>
        <v>6.1553629117678713E-2</v>
      </c>
    </row>
    <row r="1521" spans="1:4">
      <c r="A1521" s="32" t="s">
        <v>138</v>
      </c>
      <c r="B1521" s="32">
        <v>4.3423147818274304</v>
      </c>
      <c r="C1521" s="33">
        <f t="shared" si="50"/>
        <v>-1.5831355443779671E-2</v>
      </c>
      <c r="D1521" s="34">
        <f t="shared" si="51"/>
        <v>6.1851672085107598E-2</v>
      </c>
    </row>
    <row r="1522" spans="1:4">
      <c r="A1522" s="32" t="s">
        <v>137</v>
      </c>
      <c r="B1522" s="32">
        <v>4.35814613727121</v>
      </c>
      <c r="C1522" s="33">
        <f t="shared" si="50"/>
        <v>-4.2242755655370168E-2</v>
      </c>
      <c r="D1522" s="34">
        <f t="shared" si="51"/>
        <v>6.6096870290991802E-2</v>
      </c>
    </row>
    <row r="1523" spans="1:4">
      <c r="A1523" s="32" t="s">
        <v>136</v>
      </c>
      <c r="B1523" s="32">
        <v>4.4003888929265802</v>
      </c>
      <c r="C1523" s="33">
        <f t="shared" si="50"/>
        <v>7.7423210728389869E-2</v>
      </c>
      <c r="D1523" s="34">
        <f t="shared" si="51"/>
        <v>6.6234947085702572E-2</v>
      </c>
    </row>
    <row r="1524" spans="1:4">
      <c r="A1524" s="32" t="s">
        <v>135</v>
      </c>
      <c r="B1524" s="32">
        <v>4.3229656821981903</v>
      </c>
      <c r="C1524" s="33">
        <f t="shared" si="50"/>
        <v>0.10403179423042008</v>
      </c>
      <c r="D1524" s="34">
        <f t="shared" si="51"/>
        <v>6.7282430460886333E-2</v>
      </c>
    </row>
    <row r="1525" spans="1:4">
      <c r="A1525" s="32" t="s">
        <v>134</v>
      </c>
      <c r="B1525" s="32">
        <v>4.2189338879677702</v>
      </c>
      <c r="C1525" s="33">
        <f t="shared" si="50"/>
        <v>-3.2637427548509734E-2</v>
      </c>
      <c r="D1525" s="34">
        <f t="shared" si="51"/>
        <v>6.6166202683739406E-2</v>
      </c>
    </row>
    <row r="1526" spans="1:4">
      <c r="A1526" s="32" t="s">
        <v>133</v>
      </c>
      <c r="B1526" s="32">
        <v>4.25157131551628</v>
      </c>
      <c r="C1526" s="33">
        <f t="shared" si="50"/>
        <v>0.13001651105599965</v>
      </c>
      <c r="D1526" s="34">
        <f t="shared" si="51"/>
        <v>6.6606381360585026E-2</v>
      </c>
    </row>
    <row r="1527" spans="1:4">
      <c r="A1527" s="32" t="s">
        <v>132</v>
      </c>
      <c r="B1527" s="32">
        <v>4.1215548044602803</v>
      </c>
      <c r="C1527" s="33">
        <f t="shared" si="50"/>
        <v>2.9907163988069918E-2</v>
      </c>
      <c r="D1527" s="34">
        <f t="shared" si="51"/>
        <v>6.4748601997054317E-2</v>
      </c>
    </row>
    <row r="1528" spans="1:4">
      <c r="A1528" s="32" t="s">
        <v>131</v>
      </c>
      <c r="B1528" s="32">
        <v>4.0916476404722104</v>
      </c>
      <c r="C1528" s="33">
        <f t="shared" si="50"/>
        <v>-4.9477251323929217E-2</v>
      </c>
      <c r="D1528" s="34">
        <f t="shared" si="51"/>
        <v>6.859286408221027E-2</v>
      </c>
    </row>
    <row r="1529" spans="1:4">
      <c r="A1529" s="32" t="s">
        <v>130</v>
      </c>
      <c r="B1529" s="32">
        <v>4.1411248917961396</v>
      </c>
      <c r="C1529" s="33">
        <f t="shared" si="50"/>
        <v>9.1590419663596379E-3</v>
      </c>
      <c r="D1529" s="34">
        <f t="shared" si="51"/>
        <v>6.9068417308935773E-2</v>
      </c>
    </row>
    <row r="1530" spans="1:4">
      <c r="A1530" s="32" t="s">
        <v>129</v>
      </c>
      <c r="B1530" s="32">
        <v>4.13196584982978</v>
      </c>
      <c r="C1530" s="33">
        <f t="shared" si="50"/>
        <v>2.5685472770179629E-2</v>
      </c>
      <c r="D1530" s="34">
        <f t="shared" si="51"/>
        <v>6.9714184366349491E-2</v>
      </c>
    </row>
    <row r="1531" spans="1:4">
      <c r="A1531" s="32" t="s">
        <v>128</v>
      </c>
      <c r="B1531" s="32">
        <v>4.1062803770596004</v>
      </c>
      <c r="C1531" s="33">
        <f t="shared" si="50"/>
        <v>2.6152555883500739E-3</v>
      </c>
      <c r="D1531" s="34">
        <f t="shared" si="51"/>
        <v>7.0689321593737045E-2</v>
      </c>
    </row>
    <row r="1532" spans="1:4">
      <c r="A1532" s="32" t="s">
        <v>127</v>
      </c>
      <c r="B1532" s="32">
        <v>4.1036651214712503</v>
      </c>
      <c r="C1532" s="33">
        <f t="shared" si="50"/>
        <v>-0.12100549327763943</v>
      </c>
      <c r="D1532" s="34">
        <f t="shared" si="51"/>
        <v>7.2090716651661418E-2</v>
      </c>
    </row>
    <row r="1533" spans="1:4">
      <c r="A1533" s="32" t="s">
        <v>126</v>
      </c>
      <c r="B1533" s="32">
        <v>4.2246706147488897</v>
      </c>
      <c r="C1533" s="33">
        <f t="shared" si="50"/>
        <v>1.6051608544209728E-2</v>
      </c>
      <c r="D1533" s="34">
        <f t="shared" si="51"/>
        <v>7.2891723182070906E-2</v>
      </c>
    </row>
    <row r="1534" spans="1:4">
      <c r="A1534" s="32" t="s">
        <v>125</v>
      </c>
      <c r="B1534" s="32">
        <v>4.20861900620468</v>
      </c>
      <c r="C1534" s="33">
        <f t="shared" si="50"/>
        <v>-7.1500679165401593E-3</v>
      </c>
      <c r="D1534" s="34">
        <f t="shared" si="51"/>
        <v>7.2961564199815379E-2</v>
      </c>
    </row>
    <row r="1535" spans="1:4">
      <c r="A1535" s="32" t="s">
        <v>124</v>
      </c>
      <c r="B1535" s="32">
        <v>4.2157690741212202</v>
      </c>
      <c r="C1535" s="33">
        <f t="shared" si="50"/>
        <v>-5.3613918379859626E-2</v>
      </c>
      <c r="D1535" s="34">
        <f t="shared" si="51"/>
        <v>7.2964988587861365E-2</v>
      </c>
    </row>
    <row r="1536" spans="1:4">
      <c r="A1536" s="32" t="s">
        <v>123</v>
      </c>
      <c r="B1536" s="32">
        <v>4.2693829925010798</v>
      </c>
      <c r="C1536" s="33">
        <f t="shared" si="50"/>
        <v>-3.8372559830920139E-2</v>
      </c>
      <c r="D1536" s="34">
        <f t="shared" si="51"/>
        <v>7.2828930602123643E-2</v>
      </c>
    </row>
    <row r="1537" spans="1:4">
      <c r="A1537" s="32" t="s">
        <v>122</v>
      </c>
      <c r="B1537" s="32">
        <v>4.3077555523319999</v>
      </c>
      <c r="C1537" s="33">
        <f t="shared" si="50"/>
        <v>-6.6940170656479836E-2</v>
      </c>
      <c r="D1537" s="34">
        <f t="shared" si="51"/>
        <v>7.2781734204229259E-2</v>
      </c>
    </row>
    <row r="1538" spans="1:4">
      <c r="A1538" s="32" t="s">
        <v>121</v>
      </c>
      <c r="B1538" s="32">
        <v>4.3746957229884798</v>
      </c>
      <c r="C1538" s="33">
        <f t="shared" ref="C1538:C1601" si="52">B1538-B1539</f>
        <v>-1.1199524021909824E-2</v>
      </c>
      <c r="D1538" s="34">
        <f t="shared" ref="D1538:D1601" si="53">STDEV(C1538:C1597)</f>
        <v>7.2596260781784105E-2</v>
      </c>
    </row>
    <row r="1539" spans="1:4">
      <c r="A1539" s="32" t="s">
        <v>120</v>
      </c>
      <c r="B1539" s="32">
        <v>4.3858952470103896</v>
      </c>
      <c r="C1539" s="33">
        <f t="shared" si="52"/>
        <v>-2.7635426909710326E-2</v>
      </c>
      <c r="D1539" s="34">
        <f t="shared" si="53"/>
        <v>7.2602097919222536E-2</v>
      </c>
    </row>
    <row r="1540" spans="1:4">
      <c r="A1540" s="32" t="s">
        <v>119</v>
      </c>
      <c r="B1540" s="32">
        <v>4.4135306739200999</v>
      </c>
      <c r="C1540" s="33">
        <f t="shared" si="52"/>
        <v>2.6285625302779891E-2</v>
      </c>
      <c r="D1540" s="34">
        <f t="shared" si="53"/>
        <v>7.2602646002443524E-2</v>
      </c>
    </row>
    <row r="1541" spans="1:4">
      <c r="A1541" s="21" t="s">
        <v>118</v>
      </c>
      <c r="B1541" s="21">
        <v>4.38724504861732</v>
      </c>
      <c r="C1541" s="26">
        <f t="shared" si="52"/>
        <v>7.6630066965550192E-2</v>
      </c>
      <c r="D1541" s="27">
        <f t="shared" si="53"/>
        <v>7.5727087646953878E-2</v>
      </c>
    </row>
    <row r="1542" spans="1:4">
      <c r="A1542" s="21" t="s">
        <v>117</v>
      </c>
      <c r="B1542" s="21">
        <v>4.3106149816517698</v>
      </c>
      <c r="C1542" s="26">
        <f t="shared" si="52"/>
        <v>-7.6888782260560617E-2</v>
      </c>
      <c r="D1542" s="27">
        <f t="shared" si="53"/>
        <v>7.4993704137223588E-2</v>
      </c>
    </row>
    <row r="1543" spans="1:4">
      <c r="A1543" s="21" t="s">
        <v>116</v>
      </c>
      <c r="B1543" s="21">
        <v>4.3875037639123304</v>
      </c>
      <c r="C1543" s="26">
        <f t="shared" si="52"/>
        <v>-4.8490695295999586E-3</v>
      </c>
      <c r="D1543" s="27">
        <f t="shared" si="53"/>
        <v>7.4454712239401602E-2</v>
      </c>
    </row>
    <row r="1544" spans="1:4">
      <c r="A1544" s="21" t="s">
        <v>115</v>
      </c>
      <c r="B1544" s="21">
        <v>4.3923528334419304</v>
      </c>
      <c r="C1544" s="26">
        <f t="shared" si="52"/>
        <v>3.5637256947440576E-2</v>
      </c>
      <c r="D1544" s="27">
        <f t="shared" si="53"/>
        <v>7.5307044372617343E-2</v>
      </c>
    </row>
    <row r="1545" spans="1:4">
      <c r="A1545" s="21" t="s">
        <v>114</v>
      </c>
      <c r="B1545" s="21">
        <v>4.3567155764944898</v>
      </c>
      <c r="C1545" s="26">
        <f t="shared" si="52"/>
        <v>6.7322603272099713E-2</v>
      </c>
      <c r="D1545" s="27">
        <f t="shared" si="53"/>
        <v>7.5529533332454726E-2</v>
      </c>
    </row>
    <row r="1546" spans="1:4">
      <c r="A1546" s="21" t="s">
        <v>113</v>
      </c>
      <c r="B1546" s="21">
        <v>4.2893929732223901</v>
      </c>
      <c r="C1546" s="26">
        <f t="shared" si="52"/>
        <v>4.4224129592098649E-3</v>
      </c>
      <c r="D1546" s="27">
        <f t="shared" si="53"/>
        <v>8.5887310261668015E-2</v>
      </c>
    </row>
    <row r="1547" spans="1:4">
      <c r="A1547" s="21" t="s">
        <v>112</v>
      </c>
      <c r="B1547" s="21">
        <v>4.2849705602631802</v>
      </c>
      <c r="C1547" s="26">
        <f t="shared" si="52"/>
        <v>-0.11489282522764999</v>
      </c>
      <c r="D1547" s="27">
        <f t="shared" si="53"/>
        <v>8.6723884952328384E-2</v>
      </c>
    </row>
    <row r="1548" spans="1:4">
      <c r="A1548" s="21" t="s">
        <v>111</v>
      </c>
      <c r="B1548" s="21">
        <v>4.3998633854908302</v>
      </c>
      <c r="C1548" s="26">
        <f t="shared" si="52"/>
        <v>-1.4842238882059711E-2</v>
      </c>
      <c r="D1548" s="27">
        <f t="shared" si="53"/>
        <v>8.5891602818573651E-2</v>
      </c>
    </row>
    <row r="1549" spans="1:4">
      <c r="A1549" s="21" t="s">
        <v>110</v>
      </c>
      <c r="B1549" s="21">
        <v>4.4147056243728899</v>
      </c>
      <c r="C1549" s="26">
        <f t="shared" si="52"/>
        <v>-8.9839006705503266E-3</v>
      </c>
      <c r="D1549" s="27">
        <f t="shared" si="53"/>
        <v>8.7318821323926946E-2</v>
      </c>
    </row>
    <row r="1550" spans="1:4">
      <c r="A1550" s="21" t="s">
        <v>109</v>
      </c>
      <c r="B1550" s="21">
        <v>4.4236895250434403</v>
      </c>
      <c r="C1550" s="26">
        <f t="shared" si="52"/>
        <v>6.1718696680260088E-2</v>
      </c>
      <c r="D1550" s="27">
        <f t="shared" si="53"/>
        <v>8.8754069422549209E-2</v>
      </c>
    </row>
    <row r="1551" spans="1:4">
      <c r="A1551" s="21" t="s">
        <v>108</v>
      </c>
      <c r="B1551" s="21">
        <v>4.3619708283631802</v>
      </c>
      <c r="C1551" s="26">
        <f t="shared" si="52"/>
        <v>4.7276627214060341E-2</v>
      </c>
      <c r="D1551" s="27">
        <f t="shared" si="53"/>
        <v>8.878416805525452E-2</v>
      </c>
    </row>
    <row r="1552" spans="1:4">
      <c r="A1552" s="21" t="s">
        <v>107</v>
      </c>
      <c r="B1552" s="21">
        <v>4.3146942011491198</v>
      </c>
      <c r="C1552" s="26">
        <f t="shared" si="52"/>
        <v>-8.7109021696240241E-2</v>
      </c>
      <c r="D1552" s="27">
        <f t="shared" si="53"/>
        <v>8.943220636923925E-2</v>
      </c>
    </row>
    <row r="1553" spans="1:4">
      <c r="A1553" s="21" t="s">
        <v>106</v>
      </c>
      <c r="B1553" s="21">
        <v>4.4018032228453601</v>
      </c>
      <c r="C1553" s="26">
        <f t="shared" si="52"/>
        <v>-2.0039624467569794E-2</v>
      </c>
      <c r="D1553" s="27">
        <f t="shared" si="53"/>
        <v>8.9046558042134766E-2</v>
      </c>
    </row>
    <row r="1554" spans="1:4">
      <c r="A1554" s="21" t="s">
        <v>105</v>
      </c>
      <c r="B1554" s="21">
        <v>4.4218428473129299</v>
      </c>
      <c r="C1554" s="26">
        <f t="shared" si="52"/>
        <v>-6.217578903622023E-2</v>
      </c>
      <c r="D1554" s="27">
        <f t="shared" si="53"/>
        <v>9.0327406576548197E-2</v>
      </c>
    </row>
    <row r="1555" spans="1:4">
      <c r="A1555" s="21" t="s">
        <v>104</v>
      </c>
      <c r="B1555" s="21">
        <v>4.4840186363491501</v>
      </c>
      <c r="C1555" s="26">
        <f t="shared" si="52"/>
        <v>-5.2994852350902732E-3</v>
      </c>
      <c r="D1555" s="27">
        <f t="shared" si="53"/>
        <v>9.3531617466945924E-2</v>
      </c>
    </row>
    <row r="1556" spans="1:4">
      <c r="A1556" s="21" t="s">
        <v>103</v>
      </c>
      <c r="B1556" s="21">
        <v>4.4893181215842404</v>
      </c>
      <c r="C1556" s="26">
        <f t="shared" si="52"/>
        <v>2.68136689318208E-2</v>
      </c>
      <c r="D1556" s="27">
        <f t="shared" si="53"/>
        <v>9.6930948980365014E-2</v>
      </c>
    </row>
    <row r="1557" spans="1:4">
      <c r="A1557" s="21" t="s">
        <v>102</v>
      </c>
      <c r="B1557" s="21">
        <v>4.4625044526524196</v>
      </c>
      <c r="C1557" s="26">
        <f t="shared" si="52"/>
        <v>-4.2768180437500192E-3</v>
      </c>
      <c r="D1557" s="27">
        <f t="shared" si="53"/>
        <v>9.7296261928756261E-2</v>
      </c>
    </row>
    <row r="1558" spans="1:4">
      <c r="A1558" s="21" t="s">
        <v>101</v>
      </c>
      <c r="B1558" s="21">
        <v>4.4667812706961696</v>
      </c>
      <c r="C1558" s="26">
        <f t="shared" si="52"/>
        <v>-2.2912736234160569E-2</v>
      </c>
      <c r="D1558" s="27">
        <f t="shared" si="53"/>
        <v>9.751872620091781E-2</v>
      </c>
    </row>
    <row r="1559" spans="1:4">
      <c r="A1559" s="21" t="s">
        <v>100</v>
      </c>
      <c r="B1559" s="21">
        <v>4.4896940069303302</v>
      </c>
      <c r="C1559" s="26">
        <f t="shared" si="52"/>
        <v>-3.2132819425319425E-2</v>
      </c>
      <c r="D1559" s="27">
        <f t="shared" si="53"/>
        <v>0.10546439639411802</v>
      </c>
    </row>
    <row r="1560" spans="1:4">
      <c r="A1560" s="21" t="s">
        <v>99</v>
      </c>
      <c r="B1560" s="21">
        <v>4.5218268263556496</v>
      </c>
      <c r="C1560" s="26">
        <f t="shared" si="52"/>
        <v>7.5013793440129817E-2</v>
      </c>
      <c r="D1560" s="27">
        <f t="shared" si="53"/>
        <v>0.11473135886857812</v>
      </c>
    </row>
    <row r="1561" spans="1:4">
      <c r="A1561" s="21" t="s">
        <v>98</v>
      </c>
      <c r="B1561" s="21">
        <v>4.4468130329155198</v>
      </c>
      <c r="C1561" s="26">
        <f t="shared" si="52"/>
        <v>-3.0435186968880146E-2</v>
      </c>
      <c r="D1561" s="27">
        <f t="shared" si="53"/>
        <v>0.11601585880044719</v>
      </c>
    </row>
    <row r="1562" spans="1:4">
      <c r="A1562" s="21" t="s">
        <v>97</v>
      </c>
      <c r="B1562" s="21">
        <v>4.4772482198843999</v>
      </c>
      <c r="C1562" s="26">
        <f t="shared" si="52"/>
        <v>-3.1413958195879665E-2</v>
      </c>
      <c r="D1562" s="27">
        <f t="shared" si="53"/>
        <v>0.12504174217088465</v>
      </c>
    </row>
    <row r="1563" spans="1:4">
      <c r="A1563" s="21" t="s">
        <v>96</v>
      </c>
      <c r="B1563" s="21">
        <v>4.5086621780802796</v>
      </c>
      <c r="C1563" s="26">
        <f t="shared" si="52"/>
        <v>4.2504471823029633E-2</v>
      </c>
      <c r="D1563" s="27">
        <f t="shared" si="53"/>
        <v>0.12513476947150171</v>
      </c>
    </row>
    <row r="1564" spans="1:4">
      <c r="A1564" s="21" t="s">
        <v>95</v>
      </c>
      <c r="B1564" s="21">
        <v>4.4661577062572499</v>
      </c>
      <c r="C1564" s="26">
        <f t="shared" si="52"/>
        <v>-2.4419100209180478E-2</v>
      </c>
      <c r="D1564" s="27">
        <f t="shared" si="53"/>
        <v>0.12527298555478986</v>
      </c>
    </row>
    <row r="1565" spans="1:4">
      <c r="A1565" s="21" t="s">
        <v>94</v>
      </c>
      <c r="B1565" s="21">
        <v>4.4905768064664304</v>
      </c>
      <c r="C1565" s="26">
        <f t="shared" si="52"/>
        <v>-3.6486885668769453E-2</v>
      </c>
      <c r="D1565" s="27">
        <f t="shared" si="53"/>
        <v>0.12573643300153711</v>
      </c>
    </row>
    <row r="1566" spans="1:4">
      <c r="A1566" s="21" t="s">
        <v>93</v>
      </c>
      <c r="B1566" s="21">
        <v>4.5270636921351999</v>
      </c>
      <c r="C1566" s="26">
        <f t="shared" si="52"/>
        <v>-0.10921720890434017</v>
      </c>
      <c r="D1566" s="27">
        <f t="shared" si="53"/>
        <v>0.12573378595552973</v>
      </c>
    </row>
    <row r="1567" spans="1:4">
      <c r="A1567" s="21" t="s">
        <v>92</v>
      </c>
      <c r="B1567" s="21">
        <v>4.63628090103954</v>
      </c>
      <c r="C1567" s="26">
        <f t="shared" si="52"/>
        <v>8.8787410173400971E-3</v>
      </c>
      <c r="D1567" s="27">
        <f t="shared" si="53"/>
        <v>0.12478033710656422</v>
      </c>
    </row>
    <row r="1568" spans="1:4">
      <c r="A1568" s="21" t="s">
        <v>91</v>
      </c>
      <c r="B1568" s="21">
        <v>4.6274021600222</v>
      </c>
      <c r="C1568" s="26">
        <f t="shared" si="52"/>
        <v>-6.6739879477800024E-2</v>
      </c>
      <c r="D1568" s="27">
        <f t="shared" si="53"/>
        <v>0.12488700081758816</v>
      </c>
    </row>
    <row r="1569" spans="1:4">
      <c r="A1569" s="21" t="s">
        <v>90</v>
      </c>
      <c r="B1569" s="21">
        <v>4.6941420395</v>
      </c>
      <c r="C1569" s="26">
        <f t="shared" si="52"/>
        <v>-0.10818709451845976</v>
      </c>
      <c r="D1569" s="27">
        <f t="shared" si="53"/>
        <v>0.1244660938730779</v>
      </c>
    </row>
    <row r="1570" spans="1:4">
      <c r="A1570" s="21" t="s">
        <v>89</v>
      </c>
      <c r="B1570" s="21">
        <v>4.8023291340184597</v>
      </c>
      <c r="C1570" s="26">
        <f t="shared" si="52"/>
        <v>9.3508664893970028E-2</v>
      </c>
      <c r="D1570" s="27">
        <f t="shared" si="53"/>
        <v>0.12346038321650529</v>
      </c>
    </row>
    <row r="1571" spans="1:4">
      <c r="A1571" s="21" t="s">
        <v>88</v>
      </c>
      <c r="B1571" s="21">
        <v>4.7088204691244897</v>
      </c>
      <c r="C1571" s="26">
        <f t="shared" si="52"/>
        <v>1.7116082173499692E-2</v>
      </c>
      <c r="D1571" s="27">
        <f t="shared" si="53"/>
        <v>0.12328651431716102</v>
      </c>
    </row>
    <row r="1572" spans="1:4">
      <c r="A1572" s="21" t="s">
        <v>87</v>
      </c>
      <c r="B1572" s="21">
        <v>4.69170438695099</v>
      </c>
      <c r="C1572" s="26">
        <f t="shared" si="52"/>
        <v>0.11352324798053015</v>
      </c>
      <c r="D1572" s="27">
        <f t="shared" si="53"/>
        <v>0.12333709152530051</v>
      </c>
    </row>
    <row r="1573" spans="1:4">
      <c r="A1573" s="21" t="s">
        <v>86</v>
      </c>
      <c r="B1573" s="21">
        <v>4.5781811389704599</v>
      </c>
      <c r="C1573" s="26">
        <f t="shared" si="52"/>
        <v>5.8157307784600043E-2</v>
      </c>
      <c r="D1573" s="27">
        <f t="shared" si="53"/>
        <v>0.12392524717643358</v>
      </c>
    </row>
    <row r="1574" spans="1:4">
      <c r="A1574" s="21" t="s">
        <v>85</v>
      </c>
      <c r="B1574" s="21">
        <v>4.5200238311858598</v>
      </c>
      <c r="C1574" s="26">
        <f t="shared" si="52"/>
        <v>0.1234058112808496</v>
      </c>
      <c r="D1574" s="27">
        <f t="shared" si="53"/>
        <v>0.12383978554707809</v>
      </c>
    </row>
    <row r="1575" spans="1:4">
      <c r="A1575" s="21" t="s">
        <v>84</v>
      </c>
      <c r="B1575" s="21">
        <v>4.3966180199050102</v>
      </c>
      <c r="C1575" s="26">
        <f t="shared" si="52"/>
        <v>-0.14449639814530979</v>
      </c>
      <c r="D1575" s="27">
        <f t="shared" si="53"/>
        <v>0.54089128590525126</v>
      </c>
    </row>
    <row r="1576" spans="1:4">
      <c r="A1576" s="21" t="s">
        <v>83</v>
      </c>
      <c r="B1576" s="21">
        <v>4.54111441805032</v>
      </c>
      <c r="C1576" s="26">
        <f t="shared" si="52"/>
        <v>-4.5303895499495539E-3</v>
      </c>
      <c r="D1576" s="27">
        <f t="shared" si="53"/>
        <v>0.54477155210103512</v>
      </c>
    </row>
    <row r="1577" spans="1:4">
      <c r="A1577" s="21" t="s">
        <v>82</v>
      </c>
      <c r="B1577" s="21">
        <v>4.5456448076002696</v>
      </c>
      <c r="C1577" s="26">
        <f t="shared" si="52"/>
        <v>-4.241559833251074E-2</v>
      </c>
      <c r="D1577" s="27">
        <f t="shared" si="53"/>
        <v>0.5494216103822529</v>
      </c>
    </row>
    <row r="1578" spans="1:4">
      <c r="A1578" s="21" t="s">
        <v>81</v>
      </c>
      <c r="B1578" s="21">
        <v>4.5880604059327803</v>
      </c>
      <c r="C1578" s="26">
        <f t="shared" si="52"/>
        <v>-5.0578810456779699E-2</v>
      </c>
      <c r="D1578" s="27">
        <f t="shared" si="53"/>
        <v>0.55406626965104566</v>
      </c>
    </row>
    <row r="1579" spans="1:4">
      <c r="A1579" s="21" t="s">
        <v>80</v>
      </c>
      <c r="B1579" s="21">
        <v>4.63863921638956</v>
      </c>
      <c r="C1579" s="26">
        <f t="shared" si="52"/>
        <v>2.9027392086610426E-2</v>
      </c>
      <c r="D1579" s="27">
        <f t="shared" si="53"/>
        <v>0.55879613672901285</v>
      </c>
    </row>
    <row r="1580" spans="1:4">
      <c r="A1580" s="21" t="s">
        <v>79</v>
      </c>
      <c r="B1580" s="21">
        <v>4.6096118243029496</v>
      </c>
      <c r="C1580" s="26">
        <f t="shared" si="52"/>
        <v>-6.1760147332860171E-2</v>
      </c>
      <c r="D1580" s="27">
        <f t="shared" si="53"/>
        <v>0.56389804157655321</v>
      </c>
    </row>
    <row r="1581" spans="1:4">
      <c r="A1581" s="21" t="s">
        <v>78</v>
      </c>
      <c r="B1581" s="21">
        <v>4.6713719716358098</v>
      </c>
      <c r="C1581" s="26">
        <f t="shared" si="52"/>
        <v>0.17552453899134957</v>
      </c>
      <c r="D1581" s="27">
        <f t="shared" si="53"/>
        <v>0.56883513294382149</v>
      </c>
    </row>
    <row r="1582" spans="1:4">
      <c r="A1582" s="21" t="s">
        <v>77</v>
      </c>
      <c r="B1582" s="21">
        <v>4.4958474326444602</v>
      </c>
      <c r="C1582" s="26">
        <f t="shared" si="52"/>
        <v>5.0790957970909822E-2</v>
      </c>
      <c r="D1582" s="27">
        <f t="shared" si="53"/>
        <v>0.57414345893445728</v>
      </c>
    </row>
    <row r="1583" spans="1:4">
      <c r="A1583" s="21" t="s">
        <v>76</v>
      </c>
      <c r="B1583" s="21">
        <v>4.4450564746735504</v>
      </c>
      <c r="C1583" s="26">
        <f t="shared" si="52"/>
        <v>-0.12335618098945922</v>
      </c>
      <c r="D1583" s="27">
        <f t="shared" si="53"/>
        <v>0.57972502344359922</v>
      </c>
    </row>
    <row r="1584" spans="1:4">
      <c r="A1584" s="21" t="s">
        <v>75</v>
      </c>
      <c r="B1584" s="21">
        <v>4.5684126556630096</v>
      </c>
      <c r="C1584" s="26">
        <f t="shared" si="52"/>
        <v>-6.2071330976560368E-2</v>
      </c>
      <c r="D1584" s="27">
        <f t="shared" si="53"/>
        <v>0.58473357616104027</v>
      </c>
    </row>
    <row r="1585" spans="1:4">
      <c r="A1585" s="21" t="s">
        <v>74</v>
      </c>
      <c r="B1585" s="21">
        <v>4.6304839866395699</v>
      </c>
      <c r="C1585" s="26">
        <f t="shared" si="52"/>
        <v>5.8337733007319592E-2</v>
      </c>
      <c r="D1585" s="27">
        <f t="shared" si="53"/>
        <v>0.59026473965124282</v>
      </c>
    </row>
    <row r="1586" spans="1:4">
      <c r="A1586" s="21" t="s">
        <v>73</v>
      </c>
      <c r="B1586" s="21">
        <v>4.5721462536322504</v>
      </c>
      <c r="C1586" s="26">
        <f t="shared" si="52"/>
        <v>-7.3263463300009768E-2</v>
      </c>
      <c r="D1586" s="27">
        <f t="shared" si="53"/>
        <v>0.59636070153033394</v>
      </c>
    </row>
    <row r="1587" spans="1:4">
      <c r="A1587" s="21" t="s">
        <v>72</v>
      </c>
      <c r="B1587" s="21">
        <v>4.6454097169322601</v>
      </c>
      <c r="C1587" s="26">
        <f t="shared" si="52"/>
        <v>0.1703359575940997</v>
      </c>
      <c r="D1587" s="27">
        <f t="shared" si="53"/>
        <v>0.60217138424447747</v>
      </c>
    </row>
    <row r="1588" spans="1:4">
      <c r="A1588" s="21" t="s">
        <v>71</v>
      </c>
      <c r="B1588" s="21">
        <v>4.4750737593381604</v>
      </c>
      <c r="C1588" s="26">
        <f t="shared" si="52"/>
        <v>7.0811114475920256E-2</v>
      </c>
      <c r="D1588" s="27">
        <f t="shared" si="53"/>
        <v>0.60858285102571918</v>
      </c>
    </row>
    <row r="1589" spans="1:4">
      <c r="A1589" s="21" t="s">
        <v>70</v>
      </c>
      <c r="B1589" s="21">
        <v>4.4042626448622402</v>
      </c>
      <c r="C1589" s="26">
        <f t="shared" si="52"/>
        <v>6.9997156149880446E-2</v>
      </c>
      <c r="D1589" s="27">
        <f t="shared" si="53"/>
        <v>0.61529673994958856</v>
      </c>
    </row>
    <row r="1590" spans="1:4">
      <c r="A1590" s="21" t="s">
        <v>69</v>
      </c>
      <c r="B1590" s="21">
        <v>4.3342654887123597</v>
      </c>
      <c r="C1590" s="26">
        <f t="shared" si="52"/>
        <v>-9.9194850430349923E-2</v>
      </c>
      <c r="D1590" s="27">
        <f t="shared" si="53"/>
        <v>0.62223709021572415</v>
      </c>
    </row>
    <row r="1591" spans="1:4">
      <c r="A1591" s="21" t="s">
        <v>68</v>
      </c>
      <c r="B1591" s="21">
        <v>4.4334603391427096</v>
      </c>
      <c r="C1591" s="26">
        <f t="shared" si="52"/>
        <v>0.10428652872368982</v>
      </c>
      <c r="D1591" s="27">
        <f t="shared" si="53"/>
        <v>0.62870820325282606</v>
      </c>
    </row>
    <row r="1592" spans="1:4">
      <c r="A1592" s="21" t="s">
        <v>67</v>
      </c>
      <c r="B1592" s="21">
        <v>4.3291738104190198</v>
      </c>
      <c r="C1592" s="26">
        <f t="shared" si="52"/>
        <v>-0.14732095677261015</v>
      </c>
      <c r="D1592" s="27">
        <f t="shared" si="53"/>
        <v>0.63614855792907976</v>
      </c>
    </row>
    <row r="1593" spans="1:4">
      <c r="A1593" s="21" t="s">
        <v>66</v>
      </c>
      <c r="B1593" s="21">
        <v>4.47649476719163</v>
      </c>
      <c r="C1593" s="26">
        <f t="shared" si="52"/>
        <v>-3.6715068858629962E-2</v>
      </c>
      <c r="D1593" s="27">
        <f t="shared" si="53"/>
        <v>0.64266596794566089</v>
      </c>
    </row>
    <row r="1594" spans="1:4">
      <c r="A1594" s="21" t="s">
        <v>65</v>
      </c>
      <c r="B1594" s="21">
        <v>4.5132098360502599</v>
      </c>
      <c r="C1594" s="26">
        <f t="shared" si="52"/>
        <v>8.2626784551997901E-4</v>
      </c>
      <c r="D1594" s="27">
        <f t="shared" si="53"/>
        <v>0.6502454568329884</v>
      </c>
    </row>
    <row r="1595" spans="1:4">
      <c r="A1595" s="21" t="s">
        <v>64</v>
      </c>
      <c r="B1595" s="21">
        <v>4.51238356820474</v>
      </c>
      <c r="C1595" s="26">
        <f t="shared" si="52"/>
        <v>-3.9609435651749791E-2</v>
      </c>
      <c r="D1595" s="27">
        <f t="shared" si="53"/>
        <v>0.65829094497328333</v>
      </c>
    </row>
    <row r="1596" spans="1:4">
      <c r="A1596" s="21" t="s">
        <v>63</v>
      </c>
      <c r="B1596" s="21">
        <v>4.5519930038564898</v>
      </c>
      <c r="C1596" s="26">
        <f t="shared" si="52"/>
        <v>-3.1699668368910139E-2</v>
      </c>
      <c r="D1596" s="27">
        <f t="shared" si="53"/>
        <v>0.66642614233207165</v>
      </c>
    </row>
    <row r="1597" spans="1:4">
      <c r="A1597" s="21" t="s">
        <v>62</v>
      </c>
      <c r="B1597" s="21">
        <v>4.5836926722253999</v>
      </c>
      <c r="C1597" s="26">
        <f t="shared" si="52"/>
        <v>4.5462393521809474E-2</v>
      </c>
      <c r="D1597" s="27">
        <f t="shared" si="53"/>
        <v>0.67491935670234582</v>
      </c>
    </row>
    <row r="1598" spans="1:4">
      <c r="A1598" s="21" t="s">
        <v>61</v>
      </c>
      <c r="B1598" s="21">
        <v>4.5382302787035904</v>
      </c>
      <c r="C1598" s="26">
        <f t="shared" si="52"/>
        <v>8.6035388514806854E-3</v>
      </c>
      <c r="D1598" s="27">
        <f t="shared" si="53"/>
        <v>0.68411124900299092</v>
      </c>
    </row>
    <row r="1599" spans="1:4">
      <c r="A1599" s="21" t="s">
        <v>60</v>
      </c>
      <c r="B1599" s="21">
        <v>4.5296267398521097</v>
      </c>
      <c r="C1599" s="26">
        <f t="shared" si="52"/>
        <v>-2.7728275833910132E-2</v>
      </c>
      <c r="D1599" s="27">
        <f t="shared" si="53"/>
        <v>0.69354011532093807</v>
      </c>
    </row>
    <row r="1600" spans="1:4">
      <c r="A1600" s="21" t="s">
        <v>59</v>
      </c>
      <c r="B1600" s="21">
        <v>4.5573550156860199</v>
      </c>
      <c r="C1600" s="26">
        <f t="shared" si="52"/>
        <v>-0.1721690057745402</v>
      </c>
      <c r="D1600" s="27">
        <f t="shared" si="53"/>
        <v>0.70315830709284088</v>
      </c>
    </row>
    <row r="1601" spans="1:4">
      <c r="A1601" s="21" t="s">
        <v>58</v>
      </c>
      <c r="B1601" s="21">
        <v>4.7295240214605601</v>
      </c>
      <c r="C1601" s="26">
        <f t="shared" si="52"/>
        <v>1.235700936520967E-2</v>
      </c>
      <c r="D1601" s="27">
        <f t="shared" si="53"/>
        <v>0.71173182309619154</v>
      </c>
    </row>
    <row r="1602" spans="1:4">
      <c r="A1602" s="21" t="s">
        <v>57</v>
      </c>
      <c r="B1602" s="21">
        <v>4.7171670120953504</v>
      </c>
      <c r="C1602" s="26">
        <f t="shared" ref="C1602:C1634" si="54">B1602-B1603</f>
        <v>1.0248582465390399E-2</v>
      </c>
      <c r="D1602" s="27">
        <f t="shared" ref="D1602:D1634" si="55">STDEV(C1602:C1661)</f>
        <v>0.72240917864565901</v>
      </c>
    </row>
    <row r="1603" spans="1:4">
      <c r="A1603" s="21" t="s">
        <v>56</v>
      </c>
      <c r="B1603" s="21">
        <v>4.70691842962996</v>
      </c>
      <c r="C1603" s="26">
        <f t="shared" si="54"/>
        <v>-9.2847551992299771E-2</v>
      </c>
      <c r="D1603" s="27">
        <f t="shared" si="55"/>
        <v>0.7335693171258566</v>
      </c>
    </row>
    <row r="1604" spans="1:4">
      <c r="A1604" s="21" t="s">
        <v>55</v>
      </c>
      <c r="B1604" s="21">
        <v>4.7997659816222598</v>
      </c>
      <c r="C1604" s="26">
        <f t="shared" si="54"/>
        <v>-6.9760403325520137E-2</v>
      </c>
      <c r="D1604" s="27">
        <f t="shared" si="55"/>
        <v>0.7443658265583345</v>
      </c>
    </row>
    <row r="1605" spans="1:4">
      <c r="A1605" s="21" t="s">
        <v>54</v>
      </c>
      <c r="B1605" s="21">
        <v>4.8695263849477799</v>
      </c>
      <c r="C1605" s="26">
        <f t="shared" si="54"/>
        <v>0.31615516120734011</v>
      </c>
      <c r="D1605" s="27">
        <f t="shared" si="55"/>
        <v>0.75590301701376517</v>
      </c>
    </row>
    <row r="1606" spans="1:4">
      <c r="A1606" s="61" t="s">
        <v>53</v>
      </c>
      <c r="B1606" s="61">
        <v>4.5533712237404398</v>
      </c>
      <c r="C1606" s="62">
        <f t="shared" si="54"/>
        <v>-9.8061829367160236E-2</v>
      </c>
      <c r="D1606" s="63">
        <f t="shared" si="55"/>
        <v>0.76871436460055187</v>
      </c>
    </row>
    <row r="1607" spans="1:4">
      <c r="A1607" s="61" t="s">
        <v>52</v>
      </c>
      <c r="B1607" s="61">
        <v>4.6514330531076</v>
      </c>
      <c r="C1607" s="62">
        <f t="shared" si="54"/>
        <v>-6.4420966483740294E-2</v>
      </c>
      <c r="D1607" s="63">
        <f t="shared" si="55"/>
        <v>0.78122465431319954</v>
      </c>
    </row>
    <row r="1608" spans="1:4">
      <c r="A1608" s="61" t="s">
        <v>51</v>
      </c>
      <c r="B1608" s="61">
        <v>4.7158540195913403</v>
      </c>
      <c r="C1608" s="62">
        <f t="shared" si="54"/>
        <v>-0.1272818535595901</v>
      </c>
      <c r="D1608" s="63">
        <f t="shared" si="55"/>
        <v>0.79477389291519362</v>
      </c>
    </row>
    <row r="1609" spans="1:4">
      <c r="A1609" s="61" t="s">
        <v>50</v>
      </c>
      <c r="B1609" s="61">
        <v>4.8431358731509304</v>
      </c>
      <c r="C1609" s="62">
        <f t="shared" si="54"/>
        <v>-0.13025962017300952</v>
      </c>
      <c r="D1609" s="63">
        <f t="shared" si="55"/>
        <v>0.80817393904455392</v>
      </c>
    </row>
    <row r="1610" spans="1:4">
      <c r="A1610" s="61" t="s">
        <v>49</v>
      </c>
      <c r="B1610" s="61">
        <v>4.9733954933239399</v>
      </c>
      <c r="C1610" s="62">
        <f t="shared" si="54"/>
        <v>-8.4635663312270459E-2</v>
      </c>
      <c r="D1610" s="63">
        <f t="shared" si="55"/>
        <v>0.82220299397162255</v>
      </c>
    </row>
    <row r="1611" spans="1:4">
      <c r="A1611" s="61" t="s">
        <v>48</v>
      </c>
      <c r="B1611" s="61">
        <v>5.0580311566362104</v>
      </c>
      <c r="C1611" s="62">
        <f t="shared" si="54"/>
        <v>8.9941523268200818E-2</v>
      </c>
      <c r="D1611" s="63">
        <f t="shared" si="55"/>
        <v>0.83771591636854204</v>
      </c>
    </row>
    <row r="1612" spans="1:4">
      <c r="A1612" s="61" t="s">
        <v>47</v>
      </c>
      <c r="B1612" s="61">
        <v>4.9680896333680096</v>
      </c>
      <c r="C1612" s="62">
        <f t="shared" si="54"/>
        <v>-5.2935641375870368E-2</v>
      </c>
      <c r="D1612" s="63">
        <f t="shared" si="55"/>
        <v>0.85613915163965215</v>
      </c>
    </row>
    <row r="1613" spans="1:4">
      <c r="A1613" s="61" t="s">
        <v>46</v>
      </c>
      <c r="B1613" s="61">
        <v>5.0210252747438799</v>
      </c>
      <c r="C1613" s="62">
        <f t="shared" si="54"/>
        <v>0.10766943106007965</v>
      </c>
      <c r="D1613" s="63">
        <f t="shared" si="55"/>
        <v>0.87422938310638032</v>
      </c>
    </row>
    <row r="1614" spans="1:4">
      <c r="A1614" s="61" t="s">
        <v>45</v>
      </c>
      <c r="B1614" s="61">
        <v>4.9133558436838003</v>
      </c>
      <c r="C1614" s="62">
        <f t="shared" si="54"/>
        <v>0.18858343884714035</v>
      </c>
      <c r="D1614" s="63">
        <f t="shared" si="55"/>
        <v>0.8953935088047732</v>
      </c>
    </row>
    <row r="1615" spans="1:4">
      <c r="A1615" s="61" t="s">
        <v>44</v>
      </c>
      <c r="B1615" s="61">
        <v>4.7247724048366599</v>
      </c>
      <c r="C1615" s="62">
        <f t="shared" si="54"/>
        <v>0.19310931803481957</v>
      </c>
      <c r="D1615" s="63">
        <f t="shared" si="55"/>
        <v>0.91859239685151162</v>
      </c>
    </row>
    <row r="1616" spans="1:4">
      <c r="A1616" s="61" t="s">
        <v>43</v>
      </c>
      <c r="B1616" s="61">
        <v>4.5316630868018404</v>
      </c>
      <c r="C1616" s="62">
        <f t="shared" si="54"/>
        <v>-7.2168170678429178E-2</v>
      </c>
      <c r="D1616" s="63">
        <f t="shared" si="55"/>
        <v>0.94370633970748519</v>
      </c>
    </row>
    <row r="1617" spans="1:4">
      <c r="A1617" s="61" t="s">
        <v>42</v>
      </c>
      <c r="B1617" s="61">
        <v>4.6038312574802696</v>
      </c>
      <c r="C1617" s="62">
        <f t="shared" si="54"/>
        <v>-5.3354051428930127E-2</v>
      </c>
      <c r="D1617" s="63">
        <f t="shared" si="55"/>
        <v>0.96797507048968556</v>
      </c>
    </row>
    <row r="1618" spans="1:4">
      <c r="A1618" s="61" t="s">
        <v>41</v>
      </c>
      <c r="B1618" s="61">
        <v>4.6571853089091997</v>
      </c>
      <c r="C1618" s="62">
        <f t="shared" si="54"/>
        <v>0.30888729144820992</v>
      </c>
      <c r="D1618" s="63">
        <f t="shared" si="55"/>
        <v>0.99459193443499994</v>
      </c>
    </row>
    <row r="1619" spans="1:4">
      <c r="A1619" s="61" t="s">
        <v>40</v>
      </c>
      <c r="B1619" s="61">
        <v>4.3482980174609898</v>
      </c>
      <c r="C1619" s="62">
        <f t="shared" si="54"/>
        <v>-0.34871624165276049</v>
      </c>
      <c r="D1619" s="63">
        <f t="shared" si="55"/>
        <v>1.0271680520783348</v>
      </c>
    </row>
    <row r="1620" spans="1:4">
      <c r="A1620" s="61" t="s">
        <v>39</v>
      </c>
      <c r="B1620" s="61">
        <v>4.6970142591137503</v>
      </c>
      <c r="C1620" s="62">
        <f t="shared" si="54"/>
        <v>0.15088815625427987</v>
      </c>
      <c r="D1620" s="63">
        <f t="shared" si="55"/>
        <v>1.0493346487967872</v>
      </c>
    </row>
    <row r="1621" spans="1:4">
      <c r="A1621" s="61" t="s">
        <v>38</v>
      </c>
      <c r="B1621" s="61">
        <v>4.5461261028594704</v>
      </c>
      <c r="C1621" s="62">
        <f t="shared" si="54"/>
        <v>0.36132681213523021</v>
      </c>
      <c r="D1621" s="63">
        <f t="shared" si="55"/>
        <v>1.0879494047382423</v>
      </c>
    </row>
    <row r="1622" spans="1:4">
      <c r="A1622" s="61" t="s">
        <v>37</v>
      </c>
      <c r="B1622" s="61">
        <v>4.1847992907242402</v>
      </c>
      <c r="C1622" s="62">
        <f t="shared" si="54"/>
        <v>5.8008130710570427E-2</v>
      </c>
      <c r="D1622" s="63">
        <f t="shared" si="55"/>
        <v>1.132320549211967</v>
      </c>
    </row>
    <row r="1623" spans="1:4">
      <c r="A1623" s="61" t="s">
        <v>36</v>
      </c>
      <c r="B1623" s="61">
        <v>4.1267911600136697</v>
      </c>
      <c r="C1623" s="62">
        <f t="shared" si="54"/>
        <v>6.429570895933967E-2</v>
      </c>
      <c r="D1623" s="63">
        <f t="shared" si="55"/>
        <v>1.1797669794977796</v>
      </c>
    </row>
    <row r="1624" spans="1:4">
      <c r="A1624" s="61" t="s">
        <v>35</v>
      </c>
      <c r="B1624" s="61">
        <v>4.0624954510543301</v>
      </c>
      <c r="C1624" s="62">
        <f t="shared" si="54"/>
        <v>9.660363300159025E-2</v>
      </c>
      <c r="D1624" s="63">
        <f t="shared" si="55"/>
        <v>1.233898947770774</v>
      </c>
    </row>
    <row r="1625" spans="1:4">
      <c r="A1625" s="61" t="s">
        <v>34</v>
      </c>
      <c r="B1625" s="61">
        <v>3.9658918180527398</v>
      </c>
      <c r="C1625" s="62">
        <f t="shared" si="54"/>
        <v>-3.6050679401490537E-2</v>
      </c>
      <c r="D1625" s="63">
        <f t="shared" si="55"/>
        <v>1.2971445491951807</v>
      </c>
    </row>
    <row r="1626" spans="1:4">
      <c r="A1626" s="61" t="s">
        <v>33</v>
      </c>
      <c r="B1626" s="61">
        <v>4.0019424974542304</v>
      </c>
      <c r="C1626" s="62">
        <f t="shared" si="54"/>
        <v>2.9190921524504532E-3</v>
      </c>
      <c r="D1626" s="63">
        <f t="shared" si="55"/>
        <v>1.3663492009680709</v>
      </c>
    </row>
    <row r="1627" spans="1:4">
      <c r="A1627" s="61" t="s">
        <v>32</v>
      </c>
      <c r="B1627" s="61">
        <v>3.9990234053017799</v>
      </c>
      <c r="C1627" s="62">
        <f t="shared" si="54"/>
        <v>5.0662557699469701E-2</v>
      </c>
      <c r="D1627" s="63">
        <f t="shared" si="55"/>
        <v>1.4499139840352822</v>
      </c>
    </row>
    <row r="1628" spans="1:4">
      <c r="A1628" s="61" t="s">
        <v>31</v>
      </c>
      <c r="B1628" s="61">
        <v>3.9483608476023102</v>
      </c>
      <c r="C1628" s="62">
        <f t="shared" si="54"/>
        <v>1.0651555853339989E-2</v>
      </c>
      <c r="D1628" s="63">
        <f t="shared" si="55"/>
        <v>1.5537659467015803</v>
      </c>
    </row>
    <row r="1629" spans="1:4">
      <c r="A1629" s="61" t="s">
        <v>30</v>
      </c>
      <c r="B1629" s="61">
        <v>3.9377092917489702</v>
      </c>
      <c r="C1629" s="62">
        <f t="shared" si="54"/>
        <v>3.2731228004401203E-3</v>
      </c>
      <c r="D1629" s="63">
        <f t="shared" si="55"/>
        <v>1.6809424870655512</v>
      </c>
    </row>
    <row r="1630" spans="1:4">
      <c r="A1630" s="61" t="s">
        <v>29</v>
      </c>
      <c r="B1630" s="61">
        <v>3.9344361689485301</v>
      </c>
      <c r="C1630" s="62">
        <f t="shared" si="54"/>
        <v>-4.9223952632940104E-2</v>
      </c>
      <c r="D1630" s="63">
        <f t="shared" si="55"/>
        <v>1.8450019644293529</v>
      </c>
    </row>
    <row r="1631" spans="1:4">
      <c r="A1631" s="61" t="s">
        <v>28</v>
      </c>
      <c r="B1631" s="61">
        <v>3.9836601215814702</v>
      </c>
      <c r="C1631" s="62">
        <f t="shared" si="54"/>
        <v>-1.5830502446999795E-2</v>
      </c>
      <c r="D1631" s="63">
        <f t="shared" si="55"/>
        <v>2.0609283183326497</v>
      </c>
    </row>
    <row r="1632" spans="1:4">
      <c r="A1632" s="61" t="s">
        <v>27</v>
      </c>
      <c r="B1632" s="61">
        <v>3.99949062402847</v>
      </c>
      <c r="C1632" s="62">
        <f t="shared" si="54"/>
        <v>-0.12977145577690008</v>
      </c>
      <c r="D1632" s="63">
        <f t="shared" si="55"/>
        <v>2.3851035514502317</v>
      </c>
    </row>
    <row r="1633" spans="1:4">
      <c r="A1633" s="61" t="s">
        <v>26</v>
      </c>
      <c r="B1633" s="61">
        <v>4.1292620798053701</v>
      </c>
      <c r="C1633" s="62">
        <f t="shared" si="54"/>
        <v>4.3842865255910191E-2</v>
      </c>
      <c r="D1633" s="63">
        <f t="shared" si="55"/>
        <v>2.85782604326864</v>
      </c>
    </row>
    <row r="1634" spans="1:4">
      <c r="A1634" s="61" t="s">
        <v>25</v>
      </c>
      <c r="B1634" s="61">
        <v>4.0854192145494599</v>
      </c>
      <c r="C1634" s="62">
        <f t="shared" si="54"/>
        <v>4.0854192145494599</v>
      </c>
      <c r="D1634" s="63" t="e">
        <f t="shared" si="55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60"/>
  <sheetViews>
    <sheetView workbookViewId="0">
      <selection activeCell="K55" sqref="K55"/>
    </sheetView>
  </sheetViews>
  <sheetFormatPr defaultRowHeight="15"/>
  <cols>
    <col min="2" max="2" width="9.7109375" bestFit="1" customWidth="1"/>
  </cols>
  <sheetData>
    <row r="3" spans="2:7">
      <c r="C3" s="74" t="s">
        <v>6</v>
      </c>
      <c r="D3" s="75"/>
      <c r="E3" s="75"/>
      <c r="F3" s="76"/>
    </row>
    <row r="4" spans="2:7">
      <c r="B4" s="1" t="s">
        <v>1</v>
      </c>
      <c r="C4" s="7">
        <v>2</v>
      </c>
      <c r="D4" s="8">
        <v>5</v>
      </c>
      <c r="E4" s="8">
        <v>10</v>
      </c>
      <c r="F4" s="9">
        <v>30</v>
      </c>
      <c r="G4" s="11" t="s">
        <v>7</v>
      </c>
    </row>
    <row r="5" spans="2:7">
      <c r="B5" s="2">
        <v>40633</v>
      </c>
      <c r="C5" s="5">
        <v>0.78600000000000003</v>
      </c>
      <c r="D5" s="4">
        <v>2.2229999999999999</v>
      </c>
      <c r="E5" s="4">
        <v>3.45</v>
      </c>
      <c r="F5" s="6">
        <v>4.5069999999999997</v>
      </c>
      <c r="G5" s="12">
        <f>E5-C5</f>
        <v>2.6640000000000001</v>
      </c>
    </row>
    <row r="6" spans="2:7">
      <c r="B6" s="2">
        <v>40662</v>
      </c>
      <c r="C6" s="5">
        <v>0.60499999999999998</v>
      </c>
      <c r="D6" s="4">
        <v>1.97</v>
      </c>
      <c r="E6" s="4">
        <v>3.2919999999999998</v>
      </c>
      <c r="F6" s="6">
        <v>4.4039999999999999</v>
      </c>
      <c r="G6" s="12">
        <f t="shared" ref="G6:G60" si="0">E6-C6</f>
        <v>2.6869999999999998</v>
      </c>
    </row>
    <row r="7" spans="2:7">
      <c r="B7" s="2">
        <v>40694</v>
      </c>
      <c r="C7" s="5">
        <v>0.46500000000000002</v>
      </c>
      <c r="D7" s="4">
        <v>1.6859999999999999</v>
      </c>
      <c r="E7" s="4">
        <v>3.05</v>
      </c>
      <c r="F7" s="6">
        <v>4.2149999999999999</v>
      </c>
      <c r="G7" s="12">
        <f t="shared" si="0"/>
        <v>2.585</v>
      </c>
    </row>
    <row r="8" spans="2:7">
      <c r="B8" s="2">
        <v>40724</v>
      </c>
      <c r="C8" s="5">
        <v>0.45800000000000002</v>
      </c>
      <c r="D8" s="4">
        <v>1.754</v>
      </c>
      <c r="E8" s="4">
        <v>3.1579999999999999</v>
      </c>
      <c r="F8" s="6">
        <v>4.3819999999999997</v>
      </c>
      <c r="G8" s="12">
        <f t="shared" si="0"/>
        <v>2.6999999999999997</v>
      </c>
    </row>
    <row r="9" spans="2:7">
      <c r="B9" s="2">
        <v>40753</v>
      </c>
      <c r="C9" s="5">
        <v>0.36299999999999999</v>
      </c>
      <c r="D9" s="4">
        <v>1.369</v>
      </c>
      <c r="E9" s="4">
        <v>2.802</v>
      </c>
      <c r="F9" s="6">
        <v>4.133</v>
      </c>
      <c r="G9" s="12">
        <f t="shared" si="0"/>
        <v>2.4390000000000001</v>
      </c>
    </row>
    <row r="10" spans="2:7">
      <c r="B10" s="2">
        <v>40786</v>
      </c>
      <c r="C10" s="5">
        <v>0.2</v>
      </c>
      <c r="D10" s="4">
        <v>0.95</v>
      </c>
      <c r="E10" s="4">
        <v>2.222</v>
      </c>
      <c r="F10" s="6">
        <v>3.5950000000000002</v>
      </c>
      <c r="G10" s="12">
        <f t="shared" si="0"/>
        <v>2.0219999999999998</v>
      </c>
    </row>
    <row r="11" spans="2:7">
      <c r="B11" s="2">
        <v>40816</v>
      </c>
      <c r="C11" s="5">
        <v>0.251</v>
      </c>
      <c r="D11" s="4">
        <v>0.96299999999999997</v>
      </c>
      <c r="E11" s="4">
        <v>1.9239999999999999</v>
      </c>
      <c r="F11" s="6">
        <v>2.92</v>
      </c>
      <c r="G11" s="12">
        <f t="shared" si="0"/>
        <v>1.673</v>
      </c>
    </row>
    <row r="12" spans="2:7">
      <c r="B12" s="2">
        <v>40847</v>
      </c>
      <c r="C12" s="5">
        <v>0.25800000000000001</v>
      </c>
      <c r="D12" s="4">
        <v>1.006</v>
      </c>
      <c r="E12" s="4">
        <v>2.1659999999999999</v>
      </c>
      <c r="F12" s="6">
        <v>3.1989999999999998</v>
      </c>
      <c r="G12" s="12">
        <f t="shared" si="0"/>
        <v>1.9079999999999999</v>
      </c>
    </row>
    <row r="13" spans="2:7">
      <c r="B13" s="2">
        <v>40877</v>
      </c>
      <c r="C13" s="5">
        <v>0.254</v>
      </c>
      <c r="D13" s="4">
        <v>0.94899999999999995</v>
      </c>
      <c r="E13" s="4">
        <v>2.0630000000000002</v>
      </c>
      <c r="F13" s="6">
        <v>3.0609999999999999</v>
      </c>
      <c r="G13" s="12">
        <f t="shared" si="0"/>
        <v>1.8090000000000002</v>
      </c>
    </row>
    <row r="14" spans="2:7">
      <c r="B14" s="2">
        <v>40907</v>
      </c>
      <c r="C14" s="5">
        <v>0.247</v>
      </c>
      <c r="D14" s="4">
        <v>0.83699999999999997</v>
      </c>
      <c r="E14" s="4">
        <v>1.8759999999999999</v>
      </c>
      <c r="F14" s="6">
        <v>2.89</v>
      </c>
      <c r="G14" s="12">
        <f t="shared" si="0"/>
        <v>1.629</v>
      </c>
    </row>
    <row r="15" spans="2:7">
      <c r="B15" s="2">
        <v>40939</v>
      </c>
      <c r="C15" s="5">
        <v>0.215</v>
      </c>
      <c r="D15" s="4">
        <v>0.70899999999999996</v>
      </c>
      <c r="E15" s="4">
        <v>1.7989999999999999</v>
      </c>
      <c r="F15" s="6">
        <v>2.9340000000000002</v>
      </c>
      <c r="G15" s="12">
        <f t="shared" si="0"/>
        <v>1.5839999999999999</v>
      </c>
    </row>
    <row r="16" spans="2:7">
      <c r="B16" s="2">
        <v>40968</v>
      </c>
      <c r="C16" s="5">
        <v>0.30099999999999999</v>
      </c>
      <c r="D16" s="4">
        <v>0.873</v>
      </c>
      <c r="E16" s="4">
        <v>1.9790000000000001</v>
      </c>
      <c r="F16" s="6">
        <v>3.0859999999999999</v>
      </c>
      <c r="G16" s="12">
        <f t="shared" si="0"/>
        <v>1.6780000000000002</v>
      </c>
    </row>
    <row r="17" spans="2:7">
      <c r="B17" s="2">
        <v>40998</v>
      </c>
      <c r="C17" s="5">
        <v>0.34</v>
      </c>
      <c r="D17" s="4">
        <v>1.04</v>
      </c>
      <c r="E17" s="4">
        <v>2.2160000000000002</v>
      </c>
      <c r="F17" s="6">
        <v>3.3490000000000002</v>
      </c>
      <c r="G17" s="12">
        <f t="shared" si="0"/>
        <v>1.8760000000000001</v>
      </c>
    </row>
    <row r="18" spans="2:7">
      <c r="B18" s="2">
        <v>41029</v>
      </c>
      <c r="C18" s="5">
        <v>0.26200000000000001</v>
      </c>
      <c r="D18" s="4">
        <v>0.80900000000000005</v>
      </c>
      <c r="E18" s="4">
        <v>1.917</v>
      </c>
      <c r="F18" s="6">
        <v>3.109</v>
      </c>
      <c r="G18" s="12">
        <f t="shared" si="0"/>
        <v>1.655</v>
      </c>
    </row>
    <row r="19" spans="2:7">
      <c r="B19" s="2">
        <v>41060</v>
      </c>
      <c r="C19" s="5">
        <v>0.26200000000000001</v>
      </c>
      <c r="D19" s="4">
        <v>0.67300000000000004</v>
      </c>
      <c r="E19" s="4">
        <v>1.5780000000000001</v>
      </c>
      <c r="F19" s="6">
        <v>2.673</v>
      </c>
      <c r="G19" s="12">
        <f t="shared" si="0"/>
        <v>1.3160000000000001</v>
      </c>
    </row>
    <row r="20" spans="2:7">
      <c r="B20" s="2">
        <v>41089</v>
      </c>
      <c r="C20" s="5">
        <v>0.313</v>
      </c>
      <c r="D20" s="4">
        <v>0.72899999999999998</v>
      </c>
      <c r="E20" s="4">
        <v>1.659</v>
      </c>
      <c r="F20" s="6">
        <v>2.7669999999999999</v>
      </c>
      <c r="G20" s="12">
        <f t="shared" si="0"/>
        <v>1.3460000000000001</v>
      </c>
    </row>
    <row r="21" spans="2:7">
      <c r="B21" s="2">
        <v>41121</v>
      </c>
      <c r="C21" s="5">
        <v>0.219</v>
      </c>
      <c r="D21" s="4">
        <v>0.59699999999999998</v>
      </c>
      <c r="E21" s="4">
        <v>1.49</v>
      </c>
      <c r="F21" s="6">
        <v>2.577</v>
      </c>
      <c r="G21" s="12">
        <f t="shared" si="0"/>
        <v>1.2709999999999999</v>
      </c>
    </row>
    <row r="22" spans="2:7">
      <c r="B22" s="2">
        <v>41152</v>
      </c>
      <c r="C22" s="5">
        <v>0.22600000000000001</v>
      </c>
      <c r="D22" s="4">
        <v>0.59499999999999997</v>
      </c>
      <c r="E22" s="4">
        <v>1.5640000000000001</v>
      </c>
      <c r="F22" s="6">
        <v>2.6850000000000001</v>
      </c>
      <c r="G22" s="12">
        <f t="shared" si="0"/>
        <v>1.3380000000000001</v>
      </c>
    </row>
    <row r="23" spans="2:7">
      <c r="B23" s="2">
        <v>41180</v>
      </c>
      <c r="C23" s="5">
        <v>0.23400000000000001</v>
      </c>
      <c r="D23" s="4">
        <v>0.63</v>
      </c>
      <c r="E23" s="4">
        <v>1.639</v>
      </c>
      <c r="F23" s="6">
        <v>2.8340000000000001</v>
      </c>
      <c r="G23" s="12">
        <f t="shared" si="0"/>
        <v>1.405</v>
      </c>
    </row>
    <row r="24" spans="2:7">
      <c r="B24" s="2">
        <v>41213</v>
      </c>
      <c r="C24" s="5">
        <v>0.28100000000000003</v>
      </c>
      <c r="D24" s="4">
        <v>0.71299999999999997</v>
      </c>
      <c r="E24" s="4">
        <v>1.6859999999999999</v>
      </c>
      <c r="F24" s="6">
        <v>2.851</v>
      </c>
      <c r="G24" s="12">
        <f t="shared" si="0"/>
        <v>1.4049999999999998</v>
      </c>
    </row>
    <row r="25" spans="2:7">
      <c r="B25" s="2">
        <v>41243</v>
      </c>
      <c r="C25" s="5">
        <v>0.25</v>
      </c>
      <c r="D25" s="4">
        <v>0.61399999999999999</v>
      </c>
      <c r="E25" s="4">
        <v>1.61</v>
      </c>
      <c r="F25" s="6">
        <v>2.7959999999999998</v>
      </c>
      <c r="G25" s="12">
        <f t="shared" si="0"/>
        <v>1.36</v>
      </c>
    </row>
    <row r="26" spans="2:7">
      <c r="B26" s="2">
        <v>41274</v>
      </c>
      <c r="C26" s="5">
        <v>0.247</v>
      </c>
      <c r="D26" s="4">
        <v>0.71299999999999997</v>
      </c>
      <c r="E26" s="4">
        <v>1.7390000000000001</v>
      </c>
      <c r="F26" s="6">
        <v>2.9340000000000002</v>
      </c>
      <c r="G26" s="12">
        <f t="shared" si="0"/>
        <v>1.492</v>
      </c>
    </row>
    <row r="27" spans="2:7">
      <c r="B27" s="2">
        <v>41305</v>
      </c>
      <c r="C27" s="5">
        <v>0.26600000000000001</v>
      </c>
      <c r="D27" s="4">
        <v>0.88</v>
      </c>
      <c r="E27" s="4">
        <v>1.984</v>
      </c>
      <c r="F27" s="6">
        <v>3.169</v>
      </c>
      <c r="G27" s="12">
        <f t="shared" si="0"/>
        <v>1.718</v>
      </c>
    </row>
    <row r="28" spans="2:7">
      <c r="B28" s="2">
        <v>41333</v>
      </c>
      <c r="C28" s="5">
        <v>0.23799999999999999</v>
      </c>
      <c r="D28" s="4">
        <v>0.76800000000000002</v>
      </c>
      <c r="E28" s="4">
        <v>1.8879999999999999</v>
      </c>
      <c r="F28" s="6">
        <v>3.0939999999999999</v>
      </c>
      <c r="G28" s="12">
        <f t="shared" si="0"/>
        <v>1.65</v>
      </c>
    </row>
    <row r="29" spans="2:7">
      <c r="B29" s="2">
        <v>41361</v>
      </c>
      <c r="C29" s="5">
        <v>0.25</v>
      </c>
      <c r="D29" s="4">
        <v>0.77600000000000002</v>
      </c>
      <c r="E29" s="4">
        <v>1.859</v>
      </c>
      <c r="F29" s="6">
        <v>3.1139999999999999</v>
      </c>
      <c r="G29" s="12">
        <f t="shared" si="0"/>
        <v>1.609</v>
      </c>
    </row>
    <row r="30" spans="2:7">
      <c r="B30" s="2">
        <v>41394</v>
      </c>
      <c r="C30" s="5">
        <v>0.20899999999999999</v>
      </c>
      <c r="D30" s="4">
        <v>0.67600000000000005</v>
      </c>
      <c r="E30" s="4">
        <v>1.673</v>
      </c>
      <c r="F30" s="6">
        <v>2.8690000000000002</v>
      </c>
      <c r="G30" s="12">
        <f t="shared" si="0"/>
        <v>1.464</v>
      </c>
    </row>
    <row r="31" spans="2:7">
      <c r="B31" s="2">
        <v>41425</v>
      </c>
      <c r="C31" s="5">
        <v>0.30499999999999999</v>
      </c>
      <c r="D31" s="4">
        <v>1.048</v>
      </c>
      <c r="E31" s="4">
        <v>2.1619999999999999</v>
      </c>
      <c r="F31" s="6">
        <v>3.3039999999999998</v>
      </c>
      <c r="G31" s="12">
        <f t="shared" si="0"/>
        <v>1.857</v>
      </c>
    </row>
    <row r="32" spans="2:7">
      <c r="B32" s="2">
        <v>41453</v>
      </c>
      <c r="C32" s="5">
        <v>0.34699999999999998</v>
      </c>
      <c r="D32" s="4">
        <v>1.385</v>
      </c>
      <c r="E32" s="4">
        <v>2.4780000000000002</v>
      </c>
      <c r="F32" s="6">
        <v>3.4980000000000002</v>
      </c>
      <c r="G32" s="12">
        <f t="shared" si="0"/>
        <v>2.1310000000000002</v>
      </c>
    </row>
    <row r="33" spans="2:7">
      <c r="B33" s="2">
        <v>41486</v>
      </c>
      <c r="C33" s="5">
        <v>0.30499999999999999</v>
      </c>
      <c r="D33" s="4">
        <v>1.3859999999999999</v>
      </c>
      <c r="E33" s="4">
        <v>2.5880000000000001</v>
      </c>
      <c r="F33" s="6">
        <v>3.6429999999999998</v>
      </c>
      <c r="G33" s="12">
        <f t="shared" si="0"/>
        <v>2.2829999999999999</v>
      </c>
    </row>
    <row r="34" spans="2:7">
      <c r="B34" s="2">
        <v>41516</v>
      </c>
      <c r="C34" s="5">
        <v>0.38300000000000001</v>
      </c>
      <c r="D34" s="4">
        <v>1.599</v>
      </c>
      <c r="E34" s="4">
        <v>2.7490000000000001</v>
      </c>
      <c r="F34" s="6">
        <v>3.673</v>
      </c>
      <c r="G34" s="12">
        <f t="shared" si="0"/>
        <v>2.3660000000000001</v>
      </c>
    </row>
    <row r="35" spans="2:7">
      <c r="B35" s="2">
        <v>41547</v>
      </c>
      <c r="C35" s="5">
        <v>0.32100000000000001</v>
      </c>
      <c r="D35" s="4">
        <v>1.389</v>
      </c>
      <c r="E35" s="4">
        <v>2.6150000000000002</v>
      </c>
      <c r="F35" s="6">
        <v>3.6869999999999998</v>
      </c>
      <c r="G35" s="12">
        <f t="shared" si="0"/>
        <v>2.294</v>
      </c>
    </row>
    <row r="36" spans="2:7">
      <c r="B36" s="2">
        <v>41578</v>
      </c>
      <c r="C36" s="5">
        <v>0.30499999999999999</v>
      </c>
      <c r="D36" s="4">
        <v>1.3120000000000001</v>
      </c>
      <c r="E36" s="4">
        <v>2.5409999999999999</v>
      </c>
      <c r="F36" s="6">
        <v>3.6320000000000001</v>
      </c>
      <c r="G36" s="12">
        <f t="shared" si="0"/>
        <v>2.2359999999999998</v>
      </c>
    </row>
    <row r="37" spans="2:7">
      <c r="B37" s="2">
        <v>41607</v>
      </c>
      <c r="C37" s="5">
        <v>0.27900000000000003</v>
      </c>
      <c r="D37" s="4">
        <v>1.3640000000000001</v>
      </c>
      <c r="E37" s="4">
        <v>2.7429999999999999</v>
      </c>
      <c r="F37" s="6">
        <v>3.8109999999999999</v>
      </c>
      <c r="G37" s="12">
        <f t="shared" si="0"/>
        <v>2.464</v>
      </c>
    </row>
    <row r="38" spans="2:7">
      <c r="B38" s="2">
        <v>41639</v>
      </c>
      <c r="C38" s="5">
        <v>0.38</v>
      </c>
      <c r="D38" s="4">
        <v>1.7330000000000001</v>
      </c>
      <c r="E38" s="4">
        <v>3.0059999999999998</v>
      </c>
      <c r="F38" s="6">
        <v>3.9420000000000002</v>
      </c>
      <c r="G38" s="12">
        <f t="shared" si="0"/>
        <v>2.6259999999999999</v>
      </c>
    </row>
    <row r="39" spans="2:7">
      <c r="B39" s="2">
        <v>41670</v>
      </c>
      <c r="C39" s="5">
        <v>0.33600000000000002</v>
      </c>
      <c r="D39" s="4">
        <v>1.51</v>
      </c>
      <c r="E39" s="4">
        <v>2.6619999999999999</v>
      </c>
      <c r="F39" s="6">
        <v>3.6190000000000002</v>
      </c>
      <c r="G39" s="12">
        <f t="shared" si="0"/>
        <v>2.3260000000000001</v>
      </c>
    </row>
    <row r="40" spans="2:7">
      <c r="B40" s="2">
        <v>41698</v>
      </c>
      <c r="C40" s="5">
        <v>0.32500000000000001</v>
      </c>
      <c r="D40" s="4">
        <v>1.51</v>
      </c>
      <c r="E40" s="4">
        <v>2.657</v>
      </c>
      <c r="F40" s="6">
        <v>3.5920000000000001</v>
      </c>
      <c r="G40" s="12">
        <f t="shared" si="0"/>
        <v>2.3319999999999999</v>
      </c>
    </row>
    <row r="41" spans="2:7">
      <c r="B41" s="2">
        <v>41729</v>
      </c>
      <c r="C41" s="5">
        <v>0.42599999999999999</v>
      </c>
      <c r="D41" s="4">
        <v>1.73</v>
      </c>
      <c r="E41" s="4">
        <v>2.7229999999999999</v>
      </c>
      <c r="F41" s="6">
        <v>3.5609999999999999</v>
      </c>
      <c r="G41" s="12">
        <f t="shared" si="0"/>
        <v>2.2969999999999997</v>
      </c>
    </row>
    <row r="42" spans="2:7">
      <c r="B42" s="2">
        <v>41759</v>
      </c>
      <c r="C42" s="5">
        <v>0.41399999999999998</v>
      </c>
      <c r="D42" s="4">
        <v>1.679</v>
      </c>
      <c r="E42" s="4">
        <v>2.6459999999999999</v>
      </c>
      <c r="F42" s="6">
        <v>3.456</v>
      </c>
      <c r="G42" s="12">
        <f t="shared" si="0"/>
        <v>2.2319999999999998</v>
      </c>
    </row>
    <row r="43" spans="2:7">
      <c r="B43" s="2">
        <v>41789</v>
      </c>
      <c r="C43" s="5">
        <v>0.36699999999999999</v>
      </c>
      <c r="D43" s="4">
        <v>1.528</v>
      </c>
      <c r="E43" s="4">
        <v>2.4550000000000001</v>
      </c>
      <c r="F43" s="6">
        <v>3.3140000000000001</v>
      </c>
      <c r="G43" s="12">
        <f t="shared" si="0"/>
        <v>2.0880000000000001</v>
      </c>
    </row>
    <row r="44" spans="2:7">
      <c r="B44" s="2">
        <v>41820</v>
      </c>
      <c r="C44" s="5">
        <v>0.45300000000000001</v>
      </c>
      <c r="D44" s="4">
        <v>1.623</v>
      </c>
      <c r="E44" s="4">
        <v>2.5139999999999998</v>
      </c>
      <c r="F44" s="6">
        <v>3.3380000000000001</v>
      </c>
      <c r="G44" s="12">
        <f t="shared" si="0"/>
        <v>2.0609999999999999</v>
      </c>
    </row>
    <row r="45" spans="2:7">
      <c r="B45" s="2">
        <v>41851</v>
      </c>
      <c r="C45" s="5">
        <v>0.53100000000000003</v>
      </c>
      <c r="D45" s="4">
        <v>1.7609999999999999</v>
      </c>
      <c r="E45" s="4">
        <v>2.5539999999999998</v>
      </c>
      <c r="F45" s="6">
        <v>3.3090000000000002</v>
      </c>
      <c r="G45" s="12">
        <f t="shared" si="0"/>
        <v>2.0229999999999997</v>
      </c>
    </row>
    <row r="46" spans="2:7">
      <c r="B46" s="2">
        <v>41880</v>
      </c>
      <c r="C46" s="5">
        <v>0.48799999999999999</v>
      </c>
      <c r="D46" s="4">
        <v>1.625</v>
      </c>
      <c r="E46" s="4">
        <v>2.343</v>
      </c>
      <c r="F46" s="6">
        <v>3.0840000000000001</v>
      </c>
      <c r="G46" s="12">
        <f t="shared" si="0"/>
        <v>1.855</v>
      </c>
    </row>
    <row r="47" spans="2:7">
      <c r="B47" s="2">
        <v>41912</v>
      </c>
      <c r="C47" s="5">
        <v>0.58699999999999997</v>
      </c>
      <c r="D47" s="4">
        <v>1.778</v>
      </c>
      <c r="E47" s="4">
        <v>2.5059999999999998</v>
      </c>
      <c r="F47" s="6">
        <v>3.21</v>
      </c>
      <c r="G47" s="12">
        <f t="shared" si="0"/>
        <v>1.9189999999999998</v>
      </c>
    </row>
    <row r="48" spans="2:7">
      <c r="B48" s="2">
        <v>41943</v>
      </c>
      <c r="C48" s="5">
        <v>0.49299999999999999</v>
      </c>
      <c r="D48" s="4">
        <v>1.611</v>
      </c>
      <c r="E48" s="4">
        <v>2.3319999999999999</v>
      </c>
      <c r="F48" s="6">
        <v>3.0579999999999998</v>
      </c>
      <c r="G48" s="12">
        <f t="shared" si="0"/>
        <v>1.839</v>
      </c>
    </row>
    <row r="49" spans="2:7">
      <c r="B49" s="2">
        <v>41971</v>
      </c>
      <c r="C49" s="5">
        <v>0.48799999999999999</v>
      </c>
      <c r="D49" s="4">
        <v>1.508</v>
      </c>
      <c r="E49" s="4">
        <v>2.1920000000000002</v>
      </c>
      <c r="F49" s="6">
        <v>2.9089999999999998</v>
      </c>
      <c r="G49" s="12">
        <f t="shared" si="0"/>
        <v>1.7040000000000002</v>
      </c>
    </row>
    <row r="50" spans="2:7">
      <c r="B50" s="2">
        <v>42004</v>
      </c>
      <c r="C50" s="5">
        <v>0.67200000000000004</v>
      </c>
      <c r="D50" s="4">
        <v>1.653</v>
      </c>
      <c r="E50" s="4">
        <v>2.17</v>
      </c>
      <c r="F50" s="6">
        <v>2.7480000000000002</v>
      </c>
      <c r="G50" s="12">
        <f t="shared" si="0"/>
        <v>1.4979999999999998</v>
      </c>
    </row>
    <row r="51" spans="2:7">
      <c r="B51" s="2">
        <v>42034</v>
      </c>
      <c r="C51" s="5">
        <v>0.46500000000000002</v>
      </c>
      <c r="D51" s="4">
        <v>1.1850000000000001</v>
      </c>
      <c r="E51" s="4">
        <v>1.673</v>
      </c>
      <c r="F51" s="6">
        <v>2.25</v>
      </c>
      <c r="G51" s="12">
        <f t="shared" si="0"/>
        <v>1.208</v>
      </c>
    </row>
    <row r="52" spans="2:7">
      <c r="B52" s="2">
        <v>42062</v>
      </c>
      <c r="C52" s="5">
        <v>0.622</v>
      </c>
      <c r="D52" s="4">
        <v>1.4990000000000001</v>
      </c>
      <c r="E52" s="4">
        <v>1.998</v>
      </c>
      <c r="F52" s="6">
        <v>2.597</v>
      </c>
      <c r="G52" s="12">
        <f t="shared" si="0"/>
        <v>1.3759999999999999</v>
      </c>
    </row>
    <row r="53" spans="2:7">
      <c r="B53" s="2">
        <v>42094</v>
      </c>
      <c r="C53" s="5">
        <v>0.55100000000000005</v>
      </c>
      <c r="D53" s="4">
        <v>1.3720000000000001</v>
      </c>
      <c r="E53" s="4">
        <v>1.93</v>
      </c>
      <c r="F53" s="6">
        <v>2.544</v>
      </c>
      <c r="G53" s="12">
        <f t="shared" si="0"/>
        <v>1.379</v>
      </c>
    </row>
    <row r="54" spans="2:7">
      <c r="B54" s="2">
        <v>42124</v>
      </c>
      <c r="C54" s="5">
        <v>0.57499999999999996</v>
      </c>
      <c r="D54" s="4">
        <v>1.4379999999999999</v>
      </c>
      <c r="E54" s="4">
        <v>2.0419999999999998</v>
      </c>
      <c r="F54" s="6">
        <v>2.75</v>
      </c>
      <c r="G54" s="12">
        <f t="shared" si="0"/>
        <v>1.4669999999999999</v>
      </c>
    </row>
    <row r="55" spans="2:7">
      <c r="B55" s="3">
        <v>42153</v>
      </c>
      <c r="C55" s="5">
        <v>0.60099999999999998</v>
      </c>
      <c r="D55" s="4">
        <v>1.4670000000000001</v>
      </c>
      <c r="E55" s="4">
        <v>2.093</v>
      </c>
      <c r="F55" s="6">
        <v>2.847</v>
      </c>
      <c r="G55" s="12">
        <f t="shared" si="0"/>
        <v>1.492</v>
      </c>
    </row>
    <row r="56" spans="2:7">
      <c r="B56" s="14">
        <v>42185</v>
      </c>
      <c r="C56" s="12">
        <v>0.63300000000000001</v>
      </c>
      <c r="D56" s="12">
        <v>1.625</v>
      </c>
      <c r="E56" s="12">
        <v>2.331</v>
      </c>
      <c r="F56" s="12">
        <v>3.1040000000000001</v>
      </c>
      <c r="G56" s="12">
        <f t="shared" si="0"/>
        <v>1.698</v>
      </c>
    </row>
    <row r="57" spans="2:7">
      <c r="B57" s="3">
        <v>42216</v>
      </c>
      <c r="C57">
        <v>0.67200000000000004</v>
      </c>
      <c r="D57">
        <v>1.5449999999999999</v>
      </c>
      <c r="E57">
        <v>2.2029999999999998</v>
      </c>
      <c r="F57">
        <v>2.9260000000000002</v>
      </c>
      <c r="G57" s="12">
        <f t="shared" si="0"/>
        <v>1.5309999999999997</v>
      </c>
    </row>
    <row r="58" spans="2:7">
      <c r="B58" s="3">
        <v>42247</v>
      </c>
      <c r="C58">
        <v>0.73599999999999999</v>
      </c>
      <c r="D58">
        <v>1.54</v>
      </c>
      <c r="E58">
        <v>2.198</v>
      </c>
      <c r="F58">
        <v>2.93</v>
      </c>
      <c r="G58" s="12">
        <f t="shared" si="0"/>
        <v>1.462</v>
      </c>
    </row>
    <row r="59" spans="2:7">
      <c r="B59" s="3">
        <v>42277</v>
      </c>
      <c r="C59">
        <v>0.64100000000000001</v>
      </c>
      <c r="D59">
        <v>1.3720000000000001</v>
      </c>
      <c r="E59">
        <v>2.056</v>
      </c>
      <c r="F59">
        <v>2.8769999999999998</v>
      </c>
      <c r="G59" s="12">
        <f t="shared" si="0"/>
        <v>1.415</v>
      </c>
    </row>
    <row r="60" spans="2:7">
      <c r="B60" s="3">
        <v>42307</v>
      </c>
      <c r="C60">
        <v>0.73199999999999998</v>
      </c>
      <c r="D60">
        <v>1.5249999999999999</v>
      </c>
      <c r="E60">
        <v>2.1480000000000001</v>
      </c>
      <c r="F60">
        <v>2.931</v>
      </c>
      <c r="G60" s="12">
        <f t="shared" si="0"/>
        <v>1.4160000000000001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P3789"/>
  <sheetViews>
    <sheetView topLeftCell="A4" workbookViewId="0">
      <selection activeCell="E61" sqref="E61"/>
    </sheetView>
  </sheetViews>
  <sheetFormatPr defaultRowHeight="15"/>
  <cols>
    <col min="1" max="1" width="9.7109375" bestFit="1" customWidth="1"/>
    <col min="3" max="3" width="10.7109375" bestFit="1" customWidth="1"/>
    <col min="9" max="9" width="10.42578125" style="24" bestFit="1" customWidth="1"/>
    <col min="10" max="10" width="9.140625" style="12"/>
    <col min="12" max="12" width="9.140625" style="24"/>
    <col min="13" max="13" width="9.7109375" style="24" bestFit="1" customWidth="1"/>
    <col min="14" max="16" width="9.140625" style="24"/>
  </cols>
  <sheetData>
    <row r="2" spans="1:16">
      <c r="H2" s="24"/>
    </row>
    <row r="3" spans="1:16">
      <c r="C3" s="13" t="s">
        <v>1</v>
      </c>
      <c r="D3" t="s">
        <v>12</v>
      </c>
      <c r="E3" t="s">
        <v>13</v>
      </c>
      <c r="F3" t="s">
        <v>14</v>
      </c>
      <c r="H3" s="21" t="s">
        <v>8</v>
      </c>
      <c r="I3" s="21" t="s">
        <v>1648</v>
      </c>
      <c r="J3" s="52" t="s">
        <v>1646</v>
      </c>
      <c r="L3" s="51" t="s">
        <v>8</v>
      </c>
      <c r="M3" s="51" t="s">
        <v>1647</v>
      </c>
      <c r="N3" s="51" t="s">
        <v>9</v>
      </c>
      <c r="O3" s="51" t="s">
        <v>10</v>
      </c>
      <c r="P3" s="51" t="s">
        <v>11</v>
      </c>
    </row>
    <row r="4" spans="1:16">
      <c r="A4" s="10"/>
      <c r="C4" s="14">
        <v>40633</v>
      </c>
      <c r="D4" s="12">
        <f t="shared" ref="D4:D35" si="0">VLOOKUP(C4,I:J,2,0)</f>
        <v>5.5386980924786595</v>
      </c>
      <c r="E4" s="12">
        <f t="shared" ref="E4:E35" si="1">VLOOKUP(C4,M:P,4,0)</f>
        <v>4.7949999999999999</v>
      </c>
      <c r="F4" s="12">
        <f>D4-E4</f>
        <v>0.74369809247865959</v>
      </c>
      <c r="H4" s="50">
        <v>42309</v>
      </c>
      <c r="I4" s="50">
        <f t="shared" ref="I4:I67" si="2">IF(WEEKDAY(DATE(YEAR(H4),MONTH(H4)+1,0),2)=6,DATE(YEAR(H4),MONTH(H4)+1,0)-1,IF(WEEKDAY(DATE(YEAR(H4),MONTH(H4)+1,0),2)=7,DATE(YEAR(H4),MONTH(H4)+1,0)-2,DATE(YEAR(H4),MONTH(H4)+1,0)))</f>
        <v>42338</v>
      </c>
      <c r="J4" s="53">
        <v>4.4474052432687605</v>
      </c>
      <c r="L4" s="55" t="s">
        <v>3804</v>
      </c>
      <c r="M4" s="25">
        <f>DATE(YEAR(OneWeekMtgRatesDataTable75[[#This Row],[asOf]]),MONTH(OneWeekMtgRatesDataTable75[[#This Row],[asOf]]),DAY(OneWeekMtgRatesDataTable75[[#This Row],[asOf]]))</f>
        <v>42318</v>
      </c>
      <c r="N4" s="24">
        <v>3.98</v>
      </c>
      <c r="O4" s="24">
        <v>0.6</v>
      </c>
      <c r="P4" s="24">
        <v>3.88</v>
      </c>
    </row>
    <row r="5" spans="1:16">
      <c r="C5" s="14">
        <v>40662</v>
      </c>
      <c r="D5" s="12">
        <f t="shared" si="0"/>
        <v>5.5269246970767405</v>
      </c>
      <c r="E5" s="12">
        <f t="shared" si="1"/>
        <v>4.6349999999999998</v>
      </c>
      <c r="F5" s="12">
        <f t="shared" ref="F5:F52" si="3">D5-E5</f>
        <v>0.89192469707674071</v>
      </c>
      <c r="H5" s="50">
        <v>42278</v>
      </c>
      <c r="I5" s="50">
        <f t="shared" si="2"/>
        <v>42307</v>
      </c>
      <c r="J5" s="53">
        <v>4.4525560402648088</v>
      </c>
      <c r="L5" s="24" t="s">
        <v>3805</v>
      </c>
      <c r="M5" s="25">
        <f>DATE(YEAR(OneWeekMtgRatesDataTable75[[#This Row],[asOf]]),MONTH(OneWeekMtgRatesDataTable75[[#This Row],[asOf]]),DAY(OneWeekMtgRatesDataTable75[[#This Row],[asOf]]))</f>
        <v>42317</v>
      </c>
      <c r="N5" s="24">
        <v>3.98</v>
      </c>
      <c r="O5" s="24">
        <v>0.6</v>
      </c>
      <c r="P5" s="24">
        <v>3.88</v>
      </c>
    </row>
    <row r="6" spans="1:16">
      <c r="C6" s="14">
        <v>40694</v>
      </c>
      <c r="D6" s="12">
        <f t="shared" si="0"/>
        <v>5.5168959579912817</v>
      </c>
      <c r="E6" s="12">
        <f t="shared" si="1"/>
        <v>4.45</v>
      </c>
      <c r="F6" s="12">
        <f t="shared" si="3"/>
        <v>1.0668959579912816</v>
      </c>
      <c r="H6" s="50">
        <v>42248</v>
      </c>
      <c r="I6" s="50">
        <f t="shared" si="2"/>
        <v>42277</v>
      </c>
      <c r="J6" s="53">
        <v>4.4597228143828191</v>
      </c>
      <c r="L6" s="24" t="s">
        <v>3806</v>
      </c>
      <c r="M6" s="25">
        <f>DATE(YEAR(OneWeekMtgRatesDataTable75[[#This Row],[asOf]]),MONTH(OneWeekMtgRatesDataTable75[[#This Row],[asOf]]),DAY(OneWeekMtgRatesDataTable75[[#This Row],[asOf]]))</f>
        <v>42314</v>
      </c>
      <c r="N6" s="24">
        <v>3.98</v>
      </c>
      <c r="O6" s="24">
        <v>0.6</v>
      </c>
      <c r="P6" s="24">
        <v>3.88</v>
      </c>
    </row>
    <row r="7" spans="1:16">
      <c r="C7" s="14">
        <v>40724</v>
      </c>
      <c r="D7" s="12">
        <f t="shared" si="0"/>
        <v>5.5064525221557803</v>
      </c>
      <c r="E7" s="12">
        <f t="shared" si="1"/>
        <v>4.5249999999999995</v>
      </c>
      <c r="F7" s="12">
        <f t="shared" si="3"/>
        <v>0.98145252215578083</v>
      </c>
      <c r="H7" s="50">
        <v>42217</v>
      </c>
      <c r="I7" s="50">
        <f t="shared" si="2"/>
        <v>42247</v>
      </c>
      <c r="J7" s="53">
        <v>4.4671622862459683</v>
      </c>
      <c r="L7" s="24" t="s">
        <v>3807</v>
      </c>
      <c r="M7" s="25">
        <f>DATE(YEAR(OneWeekMtgRatesDataTable75[[#This Row],[asOf]]),MONTH(OneWeekMtgRatesDataTable75[[#This Row],[asOf]]),DAY(OneWeekMtgRatesDataTable75[[#This Row],[asOf]]))</f>
        <v>42313</v>
      </c>
      <c r="N7" s="24">
        <v>3.98</v>
      </c>
      <c r="O7" s="24">
        <v>0.6</v>
      </c>
      <c r="P7" s="24">
        <v>3.88</v>
      </c>
    </row>
    <row r="8" spans="1:16">
      <c r="C8" s="14">
        <v>40753</v>
      </c>
      <c r="D8" s="12">
        <f t="shared" si="0"/>
        <v>5.4966046806114619</v>
      </c>
      <c r="E8" s="12">
        <f t="shared" si="1"/>
        <v>4.34</v>
      </c>
      <c r="F8" s="12">
        <f t="shared" si="3"/>
        <v>1.156604680611462</v>
      </c>
      <c r="H8" s="50">
        <v>42186</v>
      </c>
      <c r="I8" s="50">
        <f t="shared" si="2"/>
        <v>42216</v>
      </c>
      <c r="J8" s="53">
        <v>4.4745634645923493</v>
      </c>
      <c r="L8" s="24" t="s">
        <v>3808</v>
      </c>
      <c r="M8" s="25">
        <f>DATE(YEAR(OneWeekMtgRatesDataTable75[[#This Row],[asOf]]),MONTH(OneWeekMtgRatesDataTable75[[#This Row],[asOf]]),DAY(OneWeekMtgRatesDataTable75[[#This Row],[asOf]]))</f>
        <v>42312</v>
      </c>
      <c r="N8" s="24">
        <v>3.87</v>
      </c>
      <c r="O8" s="24">
        <v>0.6</v>
      </c>
      <c r="P8" s="24">
        <v>3.77</v>
      </c>
    </row>
    <row r="9" spans="1:16">
      <c r="C9" s="14">
        <v>40786</v>
      </c>
      <c r="D9" s="12">
        <f t="shared" si="0"/>
        <v>5.4853483193438421</v>
      </c>
      <c r="E9" s="12">
        <f t="shared" si="1"/>
        <v>4.1449999999999996</v>
      </c>
      <c r="F9" s="12">
        <f t="shared" si="3"/>
        <v>1.3403483193438426</v>
      </c>
      <c r="H9" s="50">
        <v>42156</v>
      </c>
      <c r="I9" s="50">
        <f t="shared" si="2"/>
        <v>42185</v>
      </c>
      <c r="J9" s="53">
        <v>4.4856325651762248</v>
      </c>
      <c r="L9" s="24" t="s">
        <v>3809</v>
      </c>
      <c r="M9" s="25">
        <f>DATE(YEAR(OneWeekMtgRatesDataTable75[[#This Row],[asOf]]),MONTH(OneWeekMtgRatesDataTable75[[#This Row],[asOf]]),DAY(OneWeekMtgRatesDataTable75[[#This Row],[asOf]]))</f>
        <v>42311</v>
      </c>
      <c r="N9" s="24">
        <v>3.87</v>
      </c>
      <c r="O9" s="24">
        <v>0.6</v>
      </c>
      <c r="P9" s="24">
        <v>3.77</v>
      </c>
    </row>
    <row r="10" spans="1:16">
      <c r="C10" s="14">
        <v>40816</v>
      </c>
      <c r="D10" s="12">
        <f t="shared" si="0"/>
        <v>5.4705693261233552</v>
      </c>
      <c r="E10" s="12">
        <f t="shared" si="1"/>
        <v>3.89</v>
      </c>
      <c r="F10" s="12">
        <f t="shared" si="3"/>
        <v>1.5805693261233551</v>
      </c>
      <c r="H10" s="50">
        <v>42125</v>
      </c>
      <c r="I10" s="50">
        <f t="shared" si="2"/>
        <v>42153</v>
      </c>
      <c r="J10" s="53">
        <v>4.4974583076521073</v>
      </c>
      <c r="L10" s="24" t="s">
        <v>3810</v>
      </c>
      <c r="M10" s="25">
        <f>DATE(YEAR(OneWeekMtgRatesDataTable75[[#This Row],[asOf]]),MONTH(OneWeekMtgRatesDataTable75[[#This Row],[asOf]]),DAY(OneWeekMtgRatesDataTable75[[#This Row],[asOf]]))</f>
        <v>42310</v>
      </c>
      <c r="N10" s="24">
        <v>3.87</v>
      </c>
      <c r="O10" s="24">
        <v>0.6</v>
      </c>
      <c r="P10" s="24">
        <v>3.77</v>
      </c>
    </row>
    <row r="11" spans="1:16">
      <c r="C11" s="14">
        <v>40847</v>
      </c>
      <c r="D11" s="12">
        <f t="shared" si="0"/>
        <v>5.4564253789048873</v>
      </c>
      <c r="E11" s="12">
        <f t="shared" si="1"/>
        <v>3.9249999999999998</v>
      </c>
      <c r="F11" s="12">
        <f t="shared" si="3"/>
        <v>1.5314253789048875</v>
      </c>
      <c r="H11" s="50">
        <v>42095</v>
      </c>
      <c r="I11" s="50">
        <f t="shared" si="2"/>
        <v>42124</v>
      </c>
      <c r="J11" s="53">
        <v>4.5097670103927436</v>
      </c>
      <c r="L11" s="24" t="s">
        <v>3811</v>
      </c>
      <c r="M11" s="25">
        <f>DATE(YEAR(OneWeekMtgRatesDataTable75[[#This Row],[asOf]]),MONTH(OneWeekMtgRatesDataTable75[[#This Row],[asOf]]),DAY(OneWeekMtgRatesDataTable75[[#This Row],[asOf]]))</f>
        <v>42307</v>
      </c>
      <c r="N11" s="24">
        <v>3.87</v>
      </c>
      <c r="O11" s="24">
        <v>0.6</v>
      </c>
      <c r="P11" s="24">
        <v>3.77</v>
      </c>
    </row>
    <row r="12" spans="1:16">
      <c r="C12" s="14">
        <v>40877</v>
      </c>
      <c r="D12" s="12">
        <f t="shared" si="0"/>
        <v>5.4364668645164951</v>
      </c>
      <c r="E12" s="12">
        <f t="shared" si="1"/>
        <v>3.9249999999999998</v>
      </c>
      <c r="F12" s="12">
        <f t="shared" si="3"/>
        <v>1.5114668645164953</v>
      </c>
      <c r="H12" s="50">
        <v>42064</v>
      </c>
      <c r="I12" s="50">
        <f t="shared" si="2"/>
        <v>42094</v>
      </c>
      <c r="J12" s="53">
        <v>4.5238127948380651</v>
      </c>
      <c r="L12" s="24" t="s">
        <v>3812</v>
      </c>
      <c r="M12" s="25">
        <f>DATE(YEAR(OneWeekMtgRatesDataTable75[[#This Row],[asOf]]),MONTH(OneWeekMtgRatesDataTable75[[#This Row],[asOf]]),DAY(OneWeekMtgRatesDataTable75[[#This Row],[asOf]]))</f>
        <v>42306</v>
      </c>
      <c r="N12" s="24">
        <v>3.87</v>
      </c>
      <c r="O12" s="24">
        <v>0.6</v>
      </c>
      <c r="P12" s="24">
        <v>3.77</v>
      </c>
    </row>
    <row r="13" spans="1:16">
      <c r="C13" s="14">
        <v>40907</v>
      </c>
      <c r="D13" s="12">
        <f t="shared" si="0"/>
        <v>5.407081096925916</v>
      </c>
      <c r="E13" s="12">
        <f t="shared" si="1"/>
        <v>3.8600000000000003</v>
      </c>
      <c r="F13" s="12">
        <f t="shared" si="3"/>
        <v>1.5470810969259157</v>
      </c>
      <c r="H13" s="50">
        <v>42036</v>
      </c>
      <c r="I13" s="50">
        <f t="shared" si="2"/>
        <v>42062</v>
      </c>
      <c r="J13" s="53">
        <v>4.5361865866627618</v>
      </c>
      <c r="L13" s="24" t="s">
        <v>3813</v>
      </c>
      <c r="M13" s="25">
        <f>DATE(YEAR(OneWeekMtgRatesDataTable75[[#This Row],[asOf]]),MONTH(OneWeekMtgRatesDataTable75[[#This Row],[asOf]]),DAY(OneWeekMtgRatesDataTable75[[#This Row],[asOf]]))</f>
        <v>42305</v>
      </c>
      <c r="N13" s="24">
        <v>3.76</v>
      </c>
      <c r="O13" s="24">
        <v>0.6</v>
      </c>
      <c r="P13" s="24">
        <v>3.6599999999999997</v>
      </c>
    </row>
    <row r="14" spans="1:16">
      <c r="C14" s="14">
        <v>40939</v>
      </c>
      <c r="D14" s="12">
        <f t="shared" si="0"/>
        <v>5.3841264551661174</v>
      </c>
      <c r="E14" s="12">
        <f t="shared" si="1"/>
        <v>3.8200000000000003</v>
      </c>
      <c r="F14" s="12">
        <f t="shared" si="3"/>
        <v>1.5641264551661171</v>
      </c>
      <c r="H14" s="50">
        <v>42005</v>
      </c>
      <c r="I14" s="50">
        <f t="shared" si="2"/>
        <v>42034</v>
      </c>
      <c r="J14" s="53">
        <v>4.5446755242495449</v>
      </c>
      <c r="L14" s="24" t="s">
        <v>3814</v>
      </c>
      <c r="M14" s="25">
        <f>DATE(YEAR(OneWeekMtgRatesDataTable75[[#This Row],[asOf]]),MONTH(OneWeekMtgRatesDataTable75[[#This Row],[asOf]]),DAY(OneWeekMtgRatesDataTable75[[#This Row],[asOf]]))</f>
        <v>42304</v>
      </c>
      <c r="N14" s="24">
        <v>3.76</v>
      </c>
      <c r="O14" s="24">
        <v>0.6</v>
      </c>
      <c r="P14" s="24">
        <v>3.6599999999999997</v>
      </c>
    </row>
    <row r="15" spans="1:16">
      <c r="C15" s="14">
        <v>40968</v>
      </c>
      <c r="D15" s="12">
        <f t="shared" si="0"/>
        <v>5.3594348559219069</v>
      </c>
      <c r="E15" s="12">
        <f t="shared" si="1"/>
        <v>3.85</v>
      </c>
      <c r="F15" s="12">
        <f t="shared" si="3"/>
        <v>1.5094348559219068</v>
      </c>
      <c r="H15" s="50">
        <v>41974</v>
      </c>
      <c r="I15" s="50">
        <f t="shared" si="2"/>
        <v>42004</v>
      </c>
      <c r="J15" s="53">
        <v>4.5528471823468397</v>
      </c>
      <c r="L15" s="24" t="s">
        <v>3815</v>
      </c>
      <c r="M15" s="25">
        <f>DATE(YEAR(OneWeekMtgRatesDataTable75[[#This Row],[asOf]]),MONTH(OneWeekMtgRatesDataTable75[[#This Row],[asOf]]),DAY(OneWeekMtgRatesDataTable75[[#This Row],[asOf]]))</f>
        <v>42303</v>
      </c>
      <c r="N15" s="24">
        <v>3.76</v>
      </c>
      <c r="O15" s="24">
        <v>0.6</v>
      </c>
      <c r="P15" s="24">
        <v>3.6599999999999997</v>
      </c>
    </row>
    <row r="16" spans="1:16">
      <c r="C16" s="14">
        <v>40998</v>
      </c>
      <c r="D16" s="12">
        <f t="shared" si="0"/>
        <v>5.3179671663260333</v>
      </c>
      <c r="E16" s="12">
        <f t="shared" si="1"/>
        <v>3.9049999999999998</v>
      </c>
      <c r="F16" s="12">
        <f t="shared" si="3"/>
        <v>1.4129671663260335</v>
      </c>
      <c r="H16" s="50">
        <v>41944</v>
      </c>
      <c r="I16" s="50">
        <f t="shared" si="2"/>
        <v>41971</v>
      </c>
      <c r="J16" s="53">
        <v>4.5602421215425792</v>
      </c>
      <c r="L16" s="24" t="s">
        <v>3816</v>
      </c>
      <c r="M16" s="25">
        <f>DATE(YEAR(OneWeekMtgRatesDataTable75[[#This Row],[asOf]]),MONTH(OneWeekMtgRatesDataTable75[[#This Row],[asOf]]),DAY(OneWeekMtgRatesDataTable75[[#This Row],[asOf]]))</f>
        <v>42300</v>
      </c>
      <c r="N16" s="24">
        <v>3.76</v>
      </c>
      <c r="O16" s="24">
        <v>0.6</v>
      </c>
      <c r="P16" s="24">
        <v>3.6599999999999997</v>
      </c>
    </row>
    <row r="17" spans="3:16">
      <c r="C17" s="14">
        <v>41029</v>
      </c>
      <c r="D17" s="12">
        <f t="shared" si="0"/>
        <v>5.2953192445801882</v>
      </c>
      <c r="E17" s="12">
        <f t="shared" si="1"/>
        <v>3.79</v>
      </c>
      <c r="F17" s="12">
        <f t="shared" si="3"/>
        <v>1.5053192445801882</v>
      </c>
      <c r="H17" s="50">
        <v>41913</v>
      </c>
      <c r="I17" s="50">
        <f t="shared" si="2"/>
        <v>41943</v>
      </c>
      <c r="J17" s="53">
        <v>4.5658943906664327</v>
      </c>
      <c r="L17" s="24" t="s">
        <v>3817</v>
      </c>
      <c r="M17" s="25">
        <f>DATE(YEAR(OneWeekMtgRatesDataTable75[[#This Row],[asOf]]),MONTH(OneWeekMtgRatesDataTable75[[#This Row],[asOf]]),DAY(OneWeekMtgRatesDataTable75[[#This Row],[asOf]]))</f>
        <v>42299</v>
      </c>
      <c r="N17" s="24">
        <v>3.76</v>
      </c>
      <c r="O17" s="24">
        <v>0.6</v>
      </c>
      <c r="P17" s="24">
        <v>3.6599999999999997</v>
      </c>
    </row>
    <row r="18" spans="3:16">
      <c r="C18" s="14">
        <v>41060</v>
      </c>
      <c r="D18" s="12">
        <f t="shared" si="0"/>
        <v>5.262915701300007</v>
      </c>
      <c r="E18" s="12">
        <f t="shared" si="1"/>
        <v>3.5949999999999998</v>
      </c>
      <c r="F18" s="12">
        <f t="shared" si="3"/>
        <v>1.6679157013000072</v>
      </c>
      <c r="H18" s="50">
        <v>41883</v>
      </c>
      <c r="I18" s="50">
        <f t="shared" si="2"/>
        <v>41912</v>
      </c>
      <c r="J18" s="53">
        <v>4.5722568157169814</v>
      </c>
      <c r="L18" s="24" t="s">
        <v>3818</v>
      </c>
      <c r="M18" s="25">
        <f>DATE(YEAR(OneWeekMtgRatesDataTable75[[#This Row],[asOf]]),MONTH(OneWeekMtgRatesDataTable75[[#This Row],[asOf]]),DAY(OneWeekMtgRatesDataTable75[[#This Row],[asOf]]))</f>
        <v>42298</v>
      </c>
      <c r="N18" s="24">
        <v>3.79</v>
      </c>
      <c r="O18" s="24">
        <v>0.6</v>
      </c>
      <c r="P18" s="24">
        <v>3.69</v>
      </c>
    </row>
    <row r="19" spans="3:16">
      <c r="C19" s="14">
        <v>41089</v>
      </c>
      <c r="D19" s="12">
        <f t="shared" si="0"/>
        <v>5.2343159846207774</v>
      </c>
      <c r="E19" s="12">
        <f t="shared" si="1"/>
        <v>3.5700000000000003</v>
      </c>
      <c r="F19" s="12">
        <f t="shared" si="3"/>
        <v>1.6643159846207771</v>
      </c>
      <c r="H19" s="50">
        <v>41852</v>
      </c>
      <c r="I19" s="50">
        <f t="shared" si="2"/>
        <v>41880</v>
      </c>
      <c r="J19" s="53">
        <v>4.5792978774360824</v>
      </c>
      <c r="L19" s="24" t="s">
        <v>3819</v>
      </c>
      <c r="M19" s="25">
        <f>DATE(YEAR(OneWeekMtgRatesDataTable75[[#This Row],[asOf]]),MONTH(OneWeekMtgRatesDataTable75[[#This Row],[asOf]]),DAY(OneWeekMtgRatesDataTable75[[#This Row],[asOf]]))</f>
        <v>42297</v>
      </c>
      <c r="N19" s="24">
        <v>3.79</v>
      </c>
      <c r="O19" s="24">
        <v>0.6</v>
      </c>
      <c r="P19" s="24">
        <v>3.69</v>
      </c>
    </row>
    <row r="20" spans="3:16">
      <c r="C20" s="14">
        <v>41121</v>
      </c>
      <c r="D20" s="12">
        <f t="shared" si="0"/>
        <v>5.199668792529347</v>
      </c>
      <c r="E20" s="12">
        <f t="shared" si="1"/>
        <v>3.4749999999999996</v>
      </c>
      <c r="F20" s="12">
        <f t="shared" si="3"/>
        <v>1.7246687925293473</v>
      </c>
      <c r="H20" s="50">
        <v>41821</v>
      </c>
      <c r="I20" s="50">
        <f t="shared" si="2"/>
        <v>41851</v>
      </c>
      <c r="J20" s="53">
        <v>4.5858312437735496</v>
      </c>
      <c r="L20" s="24" t="s">
        <v>3820</v>
      </c>
      <c r="M20" s="25">
        <f>DATE(YEAR(OneWeekMtgRatesDataTable75[[#This Row],[asOf]]),MONTH(OneWeekMtgRatesDataTable75[[#This Row],[asOf]]),DAY(OneWeekMtgRatesDataTable75[[#This Row],[asOf]]))</f>
        <v>42296</v>
      </c>
      <c r="N20" s="24">
        <v>3.79</v>
      </c>
      <c r="O20" s="24">
        <v>0.6</v>
      </c>
      <c r="P20" s="24">
        <v>3.69</v>
      </c>
    </row>
    <row r="21" spans="3:16">
      <c r="C21" s="14">
        <v>41152</v>
      </c>
      <c r="D21" s="12">
        <f t="shared" si="0"/>
        <v>5.1603138017448087</v>
      </c>
      <c r="E21" s="12">
        <f t="shared" si="1"/>
        <v>3.4749999999999996</v>
      </c>
      <c r="F21" s="12">
        <f t="shared" si="3"/>
        <v>1.685313801744809</v>
      </c>
      <c r="H21" s="50">
        <v>41791</v>
      </c>
      <c r="I21" s="50">
        <f t="shared" si="2"/>
        <v>41820</v>
      </c>
      <c r="J21" s="53">
        <v>4.591883391976932</v>
      </c>
      <c r="L21" s="24" t="s">
        <v>3821</v>
      </c>
      <c r="M21" s="25">
        <f>DATE(YEAR(OneWeekMtgRatesDataTable75[[#This Row],[asOf]]),MONTH(OneWeekMtgRatesDataTable75[[#This Row],[asOf]]),DAY(OneWeekMtgRatesDataTable75[[#This Row],[asOf]]))</f>
        <v>42293</v>
      </c>
      <c r="N21" s="24">
        <v>3.79</v>
      </c>
      <c r="O21" s="24">
        <v>0.6</v>
      </c>
      <c r="P21" s="24">
        <v>3.69</v>
      </c>
    </row>
    <row r="22" spans="3:16">
      <c r="C22" s="14">
        <v>41180</v>
      </c>
      <c r="D22" s="12">
        <f t="shared" si="0"/>
        <v>5.118001129913873</v>
      </c>
      <c r="E22" s="12">
        <f t="shared" si="1"/>
        <v>3.26</v>
      </c>
      <c r="F22" s="12">
        <f t="shared" si="3"/>
        <v>1.8580011299138732</v>
      </c>
      <c r="H22" s="50">
        <v>41760</v>
      </c>
      <c r="I22" s="50">
        <f t="shared" si="2"/>
        <v>41789</v>
      </c>
      <c r="J22" s="53">
        <v>4.5969808299056307</v>
      </c>
      <c r="L22" s="24" t="s">
        <v>3822</v>
      </c>
      <c r="M22" s="25">
        <f>DATE(YEAR(OneWeekMtgRatesDataTable75[[#This Row],[asOf]]),MONTH(OneWeekMtgRatesDataTable75[[#This Row],[asOf]]),DAY(OneWeekMtgRatesDataTable75[[#This Row],[asOf]]))</f>
        <v>42292</v>
      </c>
      <c r="N22" s="24">
        <v>3.79</v>
      </c>
      <c r="O22" s="24">
        <v>0.6</v>
      </c>
      <c r="P22" s="24">
        <v>3.69</v>
      </c>
    </row>
    <row r="23" spans="3:16">
      <c r="C23" s="14">
        <v>41213</v>
      </c>
      <c r="D23" s="12">
        <f t="shared" si="0"/>
        <v>5.0870014693775971</v>
      </c>
      <c r="E23" s="12">
        <f t="shared" si="1"/>
        <v>3.3149999999999999</v>
      </c>
      <c r="F23" s="12">
        <f t="shared" si="3"/>
        <v>1.7720014693775972</v>
      </c>
      <c r="H23" s="50">
        <v>41730</v>
      </c>
      <c r="I23" s="50">
        <f t="shared" si="2"/>
        <v>41759</v>
      </c>
      <c r="J23" s="53">
        <v>4.6020514387582372</v>
      </c>
      <c r="L23" s="24" t="s">
        <v>3823</v>
      </c>
      <c r="M23" s="25">
        <f>DATE(YEAR(OneWeekMtgRatesDataTable75[[#This Row],[asOf]]),MONTH(OneWeekMtgRatesDataTable75[[#This Row],[asOf]]),DAY(OneWeekMtgRatesDataTable75[[#This Row],[asOf]]))</f>
        <v>42291</v>
      </c>
      <c r="N23" s="24">
        <v>3.82</v>
      </c>
      <c r="O23" s="24">
        <v>0.6</v>
      </c>
      <c r="P23" s="24">
        <v>3.7199999999999998</v>
      </c>
    </row>
    <row r="24" spans="3:16">
      <c r="C24" s="14">
        <v>41243</v>
      </c>
      <c r="D24" s="12">
        <f t="shared" si="0"/>
        <v>5.0273809883485558</v>
      </c>
      <c r="E24" s="12">
        <f t="shared" si="1"/>
        <v>3.2649999999999997</v>
      </c>
      <c r="F24" s="12">
        <f t="shared" si="3"/>
        <v>1.7623809883485562</v>
      </c>
      <c r="H24" s="50">
        <v>41699</v>
      </c>
      <c r="I24" s="50">
        <f t="shared" si="2"/>
        <v>41729</v>
      </c>
      <c r="J24" s="53">
        <v>4.6074732109581378</v>
      </c>
      <c r="L24" s="24" t="s">
        <v>3824</v>
      </c>
      <c r="M24" s="25">
        <f>DATE(YEAR(OneWeekMtgRatesDataTable75[[#This Row],[asOf]]),MONTH(OneWeekMtgRatesDataTable75[[#This Row],[asOf]]),DAY(OneWeekMtgRatesDataTable75[[#This Row],[asOf]]))</f>
        <v>42290</v>
      </c>
      <c r="N24" s="24">
        <v>3.82</v>
      </c>
      <c r="O24" s="24">
        <v>0.6</v>
      </c>
      <c r="P24" s="24">
        <v>3.7199999999999998</v>
      </c>
    </row>
    <row r="25" spans="3:16">
      <c r="C25" s="14">
        <v>41274</v>
      </c>
      <c r="D25" s="12">
        <f t="shared" si="0"/>
        <v>4.9896715644186118</v>
      </c>
      <c r="E25" s="12">
        <f t="shared" si="1"/>
        <v>3.2649999999999997</v>
      </c>
      <c r="F25" s="12">
        <f t="shared" si="3"/>
        <v>1.7246715644186121</v>
      </c>
      <c r="H25" s="50">
        <v>41671</v>
      </c>
      <c r="I25" s="50">
        <f t="shared" si="2"/>
        <v>41698</v>
      </c>
      <c r="J25" s="53">
        <v>4.6123161256965197</v>
      </c>
      <c r="L25" s="24" t="s">
        <v>3826</v>
      </c>
      <c r="M25" s="25">
        <f>DATE(YEAR(OneWeekMtgRatesDataTable75[[#This Row],[asOf]]),MONTH(OneWeekMtgRatesDataTable75[[#This Row],[asOf]]),DAY(OneWeekMtgRatesDataTable75[[#This Row],[asOf]]))</f>
        <v>42286</v>
      </c>
      <c r="N25" s="24">
        <v>3.82</v>
      </c>
      <c r="O25" s="24">
        <v>0.6</v>
      </c>
      <c r="P25" s="24">
        <v>3.7199999999999998</v>
      </c>
    </row>
    <row r="26" spans="3:16">
      <c r="C26" s="14">
        <v>41305</v>
      </c>
      <c r="D26" s="12">
        <f t="shared" si="0"/>
        <v>4.9407582426292791</v>
      </c>
      <c r="E26" s="12">
        <f t="shared" si="1"/>
        <v>3.48</v>
      </c>
      <c r="F26" s="12">
        <f t="shared" si="3"/>
        <v>1.4607582426292791</v>
      </c>
      <c r="H26" s="50">
        <v>41640</v>
      </c>
      <c r="I26" s="50">
        <f t="shared" si="2"/>
        <v>41670</v>
      </c>
      <c r="J26" s="53">
        <v>4.6181104888777318</v>
      </c>
      <c r="L26" s="24" t="s">
        <v>3827</v>
      </c>
      <c r="M26" s="25">
        <f>DATE(YEAR(OneWeekMtgRatesDataTable75[[#This Row],[asOf]]),MONTH(OneWeekMtgRatesDataTable75[[#This Row],[asOf]]),DAY(OneWeekMtgRatesDataTable75[[#This Row],[asOf]]))</f>
        <v>42285</v>
      </c>
      <c r="N26" s="24">
        <v>3.82</v>
      </c>
      <c r="O26" s="24">
        <v>0.6</v>
      </c>
      <c r="P26" s="24">
        <v>3.7199999999999998</v>
      </c>
    </row>
    <row r="27" spans="3:16">
      <c r="C27" s="14">
        <v>41333</v>
      </c>
      <c r="D27" s="12">
        <f t="shared" si="0"/>
        <v>4.892988164493576</v>
      </c>
      <c r="E27" s="12">
        <f t="shared" si="1"/>
        <v>3.4449999999999998</v>
      </c>
      <c r="F27" s="12">
        <f t="shared" si="3"/>
        <v>1.4479881644935761</v>
      </c>
      <c r="H27" s="50">
        <v>41609</v>
      </c>
      <c r="I27" s="50">
        <f t="shared" si="2"/>
        <v>41639</v>
      </c>
      <c r="J27" s="53">
        <v>4.6259751706737955</v>
      </c>
      <c r="L27" s="24" t="s">
        <v>3828</v>
      </c>
      <c r="M27" s="25">
        <f>DATE(YEAR(OneWeekMtgRatesDataTable75[[#This Row],[asOf]]),MONTH(OneWeekMtgRatesDataTable75[[#This Row],[asOf]]),DAY(OneWeekMtgRatesDataTable75[[#This Row],[asOf]]))</f>
        <v>42284</v>
      </c>
      <c r="N27" s="24">
        <v>3.76</v>
      </c>
      <c r="O27" s="24">
        <v>0.6</v>
      </c>
      <c r="P27" s="24">
        <v>3.6599999999999997</v>
      </c>
    </row>
    <row r="28" spans="3:16">
      <c r="C28" s="14">
        <v>41361</v>
      </c>
      <c r="D28" s="12" t="e">
        <f t="shared" si="0"/>
        <v>#N/A</v>
      </c>
      <c r="E28" s="12">
        <f t="shared" si="1"/>
        <v>3.49</v>
      </c>
      <c r="F28" s="12" t="e">
        <f t="shared" si="3"/>
        <v>#N/A</v>
      </c>
      <c r="H28" s="50">
        <v>41579</v>
      </c>
      <c r="I28" s="50">
        <f t="shared" si="2"/>
        <v>41607</v>
      </c>
      <c r="J28" s="53">
        <v>4.6346558364573793</v>
      </c>
      <c r="L28" s="24" t="s">
        <v>3829</v>
      </c>
      <c r="M28" s="25">
        <f>DATE(YEAR(OneWeekMtgRatesDataTable75[[#This Row],[asOf]]),MONTH(OneWeekMtgRatesDataTable75[[#This Row],[asOf]]),DAY(OneWeekMtgRatesDataTable75[[#This Row],[asOf]]))</f>
        <v>42283</v>
      </c>
      <c r="N28" s="24">
        <v>3.76</v>
      </c>
      <c r="O28" s="24">
        <v>0.6</v>
      </c>
      <c r="P28" s="24">
        <v>3.6599999999999997</v>
      </c>
    </row>
    <row r="29" spans="3:16">
      <c r="C29" s="14">
        <v>41394</v>
      </c>
      <c r="D29" s="12">
        <f t="shared" si="0"/>
        <v>4.815479100009771</v>
      </c>
      <c r="E29" s="12">
        <f t="shared" si="1"/>
        <v>3.2749999999999999</v>
      </c>
      <c r="F29" s="12">
        <f t="shared" si="3"/>
        <v>1.5404791000097711</v>
      </c>
      <c r="H29" s="50">
        <v>41548</v>
      </c>
      <c r="I29" s="50">
        <f t="shared" si="2"/>
        <v>41578</v>
      </c>
      <c r="J29" s="53">
        <v>4.6436535921033224</v>
      </c>
      <c r="L29" s="24" t="s">
        <v>3830</v>
      </c>
      <c r="M29" s="25">
        <f>DATE(YEAR(OneWeekMtgRatesDataTable75[[#This Row],[asOf]]),MONTH(OneWeekMtgRatesDataTable75[[#This Row],[asOf]]),DAY(OneWeekMtgRatesDataTable75[[#This Row],[asOf]]))</f>
        <v>42282</v>
      </c>
      <c r="N29" s="24">
        <v>3.76</v>
      </c>
      <c r="O29" s="24">
        <v>0.6</v>
      </c>
      <c r="P29" s="24">
        <v>3.6599999999999997</v>
      </c>
    </row>
    <row r="30" spans="3:16">
      <c r="C30" s="14">
        <v>41425</v>
      </c>
      <c r="D30" s="12">
        <f t="shared" si="0"/>
        <v>4.7738505439490275</v>
      </c>
      <c r="E30" s="12">
        <f t="shared" si="1"/>
        <v>3.835</v>
      </c>
      <c r="F30" s="12">
        <f t="shared" si="3"/>
        <v>0.93885054394902756</v>
      </c>
      <c r="H30" s="50">
        <v>41518</v>
      </c>
      <c r="I30" s="50">
        <f t="shared" si="2"/>
        <v>41547</v>
      </c>
      <c r="J30" s="53">
        <v>4.653428980081042</v>
      </c>
      <c r="L30" s="24" t="s">
        <v>3831</v>
      </c>
      <c r="M30" s="25">
        <f>DATE(YEAR(OneWeekMtgRatesDataTable75[[#This Row],[asOf]]),MONTH(OneWeekMtgRatesDataTable75[[#This Row],[asOf]]),DAY(OneWeekMtgRatesDataTable75[[#This Row],[asOf]]))</f>
        <v>42279</v>
      </c>
      <c r="N30" s="24">
        <v>3.76</v>
      </c>
      <c r="O30" s="24">
        <v>0.6</v>
      </c>
      <c r="P30" s="24">
        <v>3.6599999999999997</v>
      </c>
    </row>
    <row r="31" spans="3:16">
      <c r="C31" s="14">
        <v>41453</v>
      </c>
      <c r="D31" s="12">
        <f t="shared" si="0"/>
        <v>4.7354435589937571</v>
      </c>
      <c r="E31" s="12">
        <f t="shared" si="1"/>
        <v>4.2149999999999999</v>
      </c>
      <c r="F31" s="12">
        <f t="shared" si="3"/>
        <v>0.52044355899375727</v>
      </c>
      <c r="H31" s="50">
        <v>41487</v>
      </c>
      <c r="I31" s="50">
        <f t="shared" si="2"/>
        <v>41516</v>
      </c>
      <c r="J31" s="53">
        <v>4.670504005449029</v>
      </c>
      <c r="L31" s="24" t="s">
        <v>1624</v>
      </c>
      <c r="M31" s="25">
        <f>DATE(YEAR(OneWeekMtgRatesDataTable75[[#This Row],[asOf]]),MONTH(OneWeekMtgRatesDataTable75[[#This Row],[asOf]]),DAY(OneWeekMtgRatesDataTable75[[#This Row],[asOf]]))</f>
        <v>42278</v>
      </c>
      <c r="N31" s="24">
        <v>3.76</v>
      </c>
      <c r="O31" s="24">
        <v>0.6</v>
      </c>
      <c r="P31" s="24">
        <v>3.6599999999999997</v>
      </c>
    </row>
    <row r="32" spans="3:16">
      <c r="C32" s="14">
        <v>41486</v>
      </c>
      <c r="D32" s="12">
        <f t="shared" si="0"/>
        <v>4.6979710267704782</v>
      </c>
      <c r="E32" s="12">
        <f t="shared" si="1"/>
        <v>4.3149999999999995</v>
      </c>
      <c r="F32" s="12">
        <f t="shared" si="3"/>
        <v>0.38297102677047867</v>
      </c>
      <c r="H32" s="50">
        <v>41456</v>
      </c>
      <c r="I32" s="50">
        <f t="shared" si="2"/>
        <v>41486</v>
      </c>
      <c r="J32" s="53">
        <v>4.6979710267704782</v>
      </c>
      <c r="L32" s="24" t="s">
        <v>1625</v>
      </c>
      <c r="M32" s="25">
        <f>DATE(YEAR(OneWeekMtgRatesDataTable75[[#This Row],[asOf]]),MONTH(OneWeekMtgRatesDataTable75[[#This Row],[asOf]]),DAY(OneWeekMtgRatesDataTable75[[#This Row],[asOf]]))</f>
        <v>42277</v>
      </c>
      <c r="N32" s="24">
        <v>3.85</v>
      </c>
      <c r="O32" s="24">
        <v>0.6</v>
      </c>
      <c r="P32" s="24">
        <v>3.75</v>
      </c>
    </row>
    <row r="33" spans="3:16">
      <c r="C33" s="14">
        <v>41516</v>
      </c>
      <c r="D33" s="12">
        <f t="shared" si="0"/>
        <v>4.670504005449029</v>
      </c>
      <c r="E33" s="12">
        <f t="shared" si="1"/>
        <v>4.4950000000000001</v>
      </c>
      <c r="F33" s="12">
        <f t="shared" si="3"/>
        <v>0.17550400544902889</v>
      </c>
      <c r="H33" s="50">
        <v>41426</v>
      </c>
      <c r="I33" s="50">
        <f t="shared" si="2"/>
        <v>41453</v>
      </c>
      <c r="J33" s="53">
        <v>4.7354435589937571</v>
      </c>
      <c r="L33" s="24" t="s">
        <v>1626</v>
      </c>
      <c r="M33" s="25">
        <f>DATE(YEAR(OneWeekMtgRatesDataTable75[[#This Row],[asOf]]),MONTH(OneWeekMtgRatesDataTable75[[#This Row],[asOf]]),DAY(OneWeekMtgRatesDataTable75[[#This Row],[asOf]]))</f>
        <v>42276</v>
      </c>
      <c r="N33" s="24">
        <v>3.85</v>
      </c>
      <c r="O33" s="24">
        <v>0.6</v>
      </c>
      <c r="P33" s="24">
        <v>3.75</v>
      </c>
    </row>
    <row r="34" spans="3:16">
      <c r="C34" s="14">
        <v>41547</v>
      </c>
      <c r="D34" s="12">
        <f t="shared" si="0"/>
        <v>4.653428980081042</v>
      </c>
      <c r="E34" s="12">
        <f t="shared" si="1"/>
        <v>4.1449999999999996</v>
      </c>
      <c r="F34" s="12">
        <f t="shared" si="3"/>
        <v>0.50842898008104243</v>
      </c>
      <c r="H34" s="50">
        <v>41395</v>
      </c>
      <c r="I34" s="50">
        <f t="shared" si="2"/>
        <v>41425</v>
      </c>
      <c r="J34" s="53">
        <v>4.7738505439490275</v>
      </c>
      <c r="L34" s="24" t="s">
        <v>1627</v>
      </c>
      <c r="M34" s="25">
        <f>DATE(YEAR(OneWeekMtgRatesDataTable75[[#This Row],[asOf]]),MONTH(OneWeekMtgRatesDataTable75[[#This Row],[asOf]]),DAY(OneWeekMtgRatesDataTable75[[#This Row],[asOf]]))</f>
        <v>42275</v>
      </c>
      <c r="N34" s="24">
        <v>3.85</v>
      </c>
      <c r="O34" s="24">
        <v>0.6</v>
      </c>
      <c r="P34" s="24">
        <v>3.75</v>
      </c>
    </row>
    <row r="35" spans="3:16">
      <c r="C35" s="14">
        <v>41578</v>
      </c>
      <c r="D35" s="12">
        <f t="shared" si="0"/>
        <v>4.6436535921033224</v>
      </c>
      <c r="E35" s="12">
        <f t="shared" si="1"/>
        <v>4.1100000000000003</v>
      </c>
      <c r="F35" s="12">
        <f t="shared" si="3"/>
        <v>0.53365359210332208</v>
      </c>
      <c r="H35" s="50">
        <v>41365</v>
      </c>
      <c r="I35" s="50">
        <f t="shared" si="2"/>
        <v>41394</v>
      </c>
      <c r="J35" s="53">
        <v>4.815479100009771</v>
      </c>
      <c r="L35" s="24" t="s">
        <v>1628</v>
      </c>
      <c r="M35" s="25">
        <f>DATE(YEAR(OneWeekMtgRatesDataTable75[[#This Row],[asOf]]),MONTH(OneWeekMtgRatesDataTable75[[#This Row],[asOf]]),DAY(OneWeekMtgRatesDataTable75[[#This Row],[asOf]]))</f>
        <v>42272</v>
      </c>
      <c r="N35" s="24">
        <v>3.85</v>
      </c>
      <c r="O35" s="24">
        <v>0.6</v>
      </c>
      <c r="P35" s="24">
        <v>3.75</v>
      </c>
    </row>
    <row r="36" spans="3:16">
      <c r="C36" s="14">
        <v>41607</v>
      </c>
      <c r="D36" s="12">
        <f t="shared" ref="D36:D67" si="4">VLOOKUP(C36,I:J,2,0)</f>
        <v>4.6346558364573793</v>
      </c>
      <c r="E36" s="12">
        <f t="shared" ref="E36:E59" si="5">VLOOKUP(C36,M:P,4,0)</f>
        <v>4.335</v>
      </c>
      <c r="F36" s="12">
        <f t="shared" si="3"/>
        <v>0.29965583645737937</v>
      </c>
      <c r="H36" s="50">
        <v>41334</v>
      </c>
      <c r="I36" s="50">
        <f t="shared" si="2"/>
        <v>41362</v>
      </c>
      <c r="J36" s="53">
        <v>4.8553417742290383</v>
      </c>
      <c r="L36" s="24" t="s">
        <v>1629</v>
      </c>
      <c r="M36" s="25">
        <f>DATE(YEAR(OneWeekMtgRatesDataTable75[[#This Row],[asOf]]),MONTH(OneWeekMtgRatesDataTable75[[#This Row],[asOf]]),DAY(OneWeekMtgRatesDataTable75[[#This Row],[asOf]]))</f>
        <v>42271</v>
      </c>
      <c r="N36" s="24">
        <v>3.85</v>
      </c>
      <c r="O36" s="24">
        <v>0.6</v>
      </c>
      <c r="P36" s="24">
        <v>3.75</v>
      </c>
    </row>
    <row r="37" spans="3:16">
      <c r="C37" s="14">
        <v>41639</v>
      </c>
      <c r="D37" s="12">
        <f t="shared" si="4"/>
        <v>4.6259751706737955</v>
      </c>
      <c r="E37" s="12">
        <f t="shared" si="5"/>
        <v>4.4800000000000004</v>
      </c>
      <c r="F37" s="12">
        <f t="shared" si="3"/>
        <v>0.14597517067379506</v>
      </c>
      <c r="H37" s="50">
        <v>41306</v>
      </c>
      <c r="I37" s="50">
        <f t="shared" si="2"/>
        <v>41333</v>
      </c>
      <c r="J37" s="53">
        <v>4.892988164493576</v>
      </c>
      <c r="L37" s="24" t="s">
        <v>1630</v>
      </c>
      <c r="M37" s="25">
        <f>DATE(YEAR(OneWeekMtgRatesDataTable75[[#This Row],[asOf]]),MONTH(OneWeekMtgRatesDataTable75[[#This Row],[asOf]]),DAY(OneWeekMtgRatesDataTable75[[#This Row],[asOf]]))</f>
        <v>42270</v>
      </c>
      <c r="N37" s="24">
        <v>3.86</v>
      </c>
      <c r="O37" s="24">
        <v>0.7</v>
      </c>
      <c r="P37" s="24">
        <v>3.7849999999999997</v>
      </c>
    </row>
    <row r="38" spans="3:16">
      <c r="C38" s="14">
        <v>41670</v>
      </c>
      <c r="D38" s="12">
        <f t="shared" si="4"/>
        <v>4.6181104888777318</v>
      </c>
      <c r="E38" s="12">
        <f t="shared" si="5"/>
        <v>4.1550000000000002</v>
      </c>
      <c r="F38" s="12">
        <f t="shared" si="3"/>
        <v>0.46311048887773154</v>
      </c>
      <c r="H38" s="50">
        <v>41275</v>
      </c>
      <c r="I38" s="50">
        <f t="shared" si="2"/>
        <v>41305</v>
      </c>
      <c r="J38" s="53">
        <v>4.9407582426292791</v>
      </c>
      <c r="L38" s="24" t="s">
        <v>1631</v>
      </c>
      <c r="M38" s="25">
        <f>DATE(YEAR(OneWeekMtgRatesDataTable75[[#This Row],[asOf]]),MONTH(OneWeekMtgRatesDataTable75[[#This Row],[asOf]]),DAY(OneWeekMtgRatesDataTable75[[#This Row],[asOf]]))</f>
        <v>42269</v>
      </c>
      <c r="N38" s="24">
        <v>3.86</v>
      </c>
      <c r="O38" s="24">
        <v>0.7</v>
      </c>
      <c r="P38" s="24">
        <v>3.7849999999999997</v>
      </c>
    </row>
    <row r="39" spans="3:16">
      <c r="C39" s="14">
        <v>41698</v>
      </c>
      <c r="D39" s="12">
        <f t="shared" si="4"/>
        <v>4.6123161256965197</v>
      </c>
      <c r="E39" s="12">
        <f t="shared" si="5"/>
        <v>4.2050000000000001</v>
      </c>
      <c r="F39" s="12">
        <f t="shared" si="3"/>
        <v>0.40731612569651965</v>
      </c>
      <c r="H39" s="50">
        <v>41244</v>
      </c>
      <c r="I39" s="50">
        <f t="shared" si="2"/>
        <v>41274</v>
      </c>
      <c r="J39" s="53">
        <v>4.9896715644186118</v>
      </c>
      <c r="L39" s="24" t="s">
        <v>1632</v>
      </c>
      <c r="M39" s="25">
        <f>DATE(YEAR(OneWeekMtgRatesDataTable75[[#This Row],[asOf]]),MONTH(OneWeekMtgRatesDataTable75[[#This Row],[asOf]]),DAY(OneWeekMtgRatesDataTable75[[#This Row],[asOf]]))</f>
        <v>42268</v>
      </c>
      <c r="N39" s="24">
        <v>3.86</v>
      </c>
      <c r="O39" s="24">
        <v>0.7</v>
      </c>
      <c r="P39" s="24">
        <v>3.7849999999999997</v>
      </c>
    </row>
    <row r="40" spans="3:16">
      <c r="C40" s="14">
        <v>41729</v>
      </c>
      <c r="D40" s="12">
        <f t="shared" si="4"/>
        <v>4.6074732109581378</v>
      </c>
      <c r="E40" s="12">
        <f t="shared" si="5"/>
        <v>4.335</v>
      </c>
      <c r="F40" s="12">
        <f t="shared" si="3"/>
        <v>0.27247321095813781</v>
      </c>
      <c r="H40" s="50">
        <v>41214</v>
      </c>
      <c r="I40" s="50">
        <f t="shared" si="2"/>
        <v>41243</v>
      </c>
      <c r="J40" s="53">
        <v>5.0273809883485558</v>
      </c>
      <c r="L40" s="24" t="s">
        <v>1633</v>
      </c>
      <c r="M40" s="25">
        <f>DATE(YEAR(OneWeekMtgRatesDataTable75[[#This Row],[asOf]]),MONTH(OneWeekMtgRatesDataTable75[[#This Row],[asOf]]),DAY(OneWeekMtgRatesDataTable75[[#This Row],[asOf]]))</f>
        <v>42265</v>
      </c>
      <c r="N40" s="24">
        <v>3.86</v>
      </c>
      <c r="O40" s="24">
        <v>0.7</v>
      </c>
      <c r="P40" s="24">
        <v>3.7849999999999997</v>
      </c>
    </row>
    <row r="41" spans="3:16">
      <c r="C41" s="14">
        <v>41759</v>
      </c>
      <c r="D41" s="12">
        <f t="shared" si="4"/>
        <v>4.6020514387582372</v>
      </c>
      <c r="E41" s="12">
        <f t="shared" si="5"/>
        <v>4.2149999999999999</v>
      </c>
      <c r="F41" s="12">
        <f t="shared" si="3"/>
        <v>0.38705143875823733</v>
      </c>
      <c r="H41" s="50">
        <v>41183</v>
      </c>
      <c r="I41" s="50">
        <f t="shared" si="2"/>
        <v>41213</v>
      </c>
      <c r="J41" s="53">
        <v>5.0870014693775971</v>
      </c>
      <c r="L41" s="24" t="s">
        <v>1634</v>
      </c>
      <c r="M41" s="25">
        <f>DATE(YEAR(OneWeekMtgRatesDataTable75[[#This Row],[asOf]]),MONTH(OneWeekMtgRatesDataTable75[[#This Row],[asOf]]),DAY(OneWeekMtgRatesDataTable75[[#This Row],[asOf]]))</f>
        <v>42264</v>
      </c>
      <c r="N41" s="24">
        <v>3.86</v>
      </c>
      <c r="O41" s="24">
        <v>0.7</v>
      </c>
      <c r="P41" s="24">
        <v>3.7849999999999997</v>
      </c>
    </row>
    <row r="42" spans="3:16">
      <c r="C42" s="14">
        <v>41789</v>
      </c>
      <c r="D42" s="12">
        <f t="shared" si="4"/>
        <v>4.5969808299056307</v>
      </c>
      <c r="E42" s="12">
        <f t="shared" si="5"/>
        <v>4.0149999999999997</v>
      </c>
      <c r="F42" s="12">
        <f t="shared" si="3"/>
        <v>0.58198082990563105</v>
      </c>
      <c r="H42" s="50">
        <v>41153</v>
      </c>
      <c r="I42" s="50">
        <f t="shared" si="2"/>
        <v>41180</v>
      </c>
      <c r="J42" s="53">
        <v>5.118001129913873</v>
      </c>
      <c r="L42" s="24" t="s">
        <v>1635</v>
      </c>
      <c r="M42" s="25">
        <f>DATE(YEAR(OneWeekMtgRatesDataTable75[[#This Row],[asOf]]),MONTH(OneWeekMtgRatesDataTable75[[#This Row],[asOf]]),DAY(OneWeekMtgRatesDataTable75[[#This Row],[asOf]]))</f>
        <v>42263</v>
      </c>
      <c r="N42" s="24">
        <v>3.91</v>
      </c>
      <c r="O42" s="24">
        <v>0.6</v>
      </c>
      <c r="P42" s="24">
        <v>3.81</v>
      </c>
    </row>
    <row r="43" spans="3:16">
      <c r="C43" s="14">
        <v>41820</v>
      </c>
      <c r="D43" s="12">
        <f t="shared" si="4"/>
        <v>4.591883391976932</v>
      </c>
      <c r="E43" s="12">
        <f t="shared" si="5"/>
        <v>3.9950000000000001</v>
      </c>
      <c r="F43" s="12">
        <f t="shared" si="3"/>
        <v>0.59688339197693185</v>
      </c>
      <c r="H43" s="50">
        <v>41122</v>
      </c>
      <c r="I43" s="50">
        <f t="shared" si="2"/>
        <v>41152</v>
      </c>
      <c r="J43" s="53">
        <v>5.1603138017448087</v>
      </c>
      <c r="L43" s="24" t="s">
        <v>1636</v>
      </c>
      <c r="M43" s="25">
        <f>DATE(YEAR(OneWeekMtgRatesDataTable75[[#This Row],[asOf]]),MONTH(OneWeekMtgRatesDataTable75[[#This Row],[asOf]]),DAY(OneWeekMtgRatesDataTable75[[#This Row],[asOf]]))</f>
        <v>42262</v>
      </c>
      <c r="N43" s="24">
        <v>3.91</v>
      </c>
      <c r="O43" s="24">
        <v>0.6</v>
      </c>
      <c r="P43" s="24">
        <v>3.81</v>
      </c>
    </row>
    <row r="44" spans="3:16">
      <c r="C44" s="14">
        <v>41851</v>
      </c>
      <c r="D44" s="12">
        <f t="shared" si="4"/>
        <v>4.5858312437735496</v>
      </c>
      <c r="E44" s="12">
        <f t="shared" si="5"/>
        <v>4.0649999999999995</v>
      </c>
      <c r="F44" s="12">
        <f t="shared" si="3"/>
        <v>0.52083124377355006</v>
      </c>
      <c r="H44" s="50">
        <v>41091</v>
      </c>
      <c r="I44" s="50">
        <f t="shared" si="2"/>
        <v>41121</v>
      </c>
      <c r="J44" s="53">
        <v>5.199668792529347</v>
      </c>
      <c r="L44" s="24" t="s">
        <v>1637</v>
      </c>
      <c r="M44" s="25">
        <f>DATE(YEAR(OneWeekMtgRatesDataTable75[[#This Row],[asOf]]),MONTH(OneWeekMtgRatesDataTable75[[#This Row],[asOf]]),DAY(OneWeekMtgRatesDataTable75[[#This Row],[asOf]]))</f>
        <v>42261</v>
      </c>
      <c r="N44" s="24">
        <v>3.91</v>
      </c>
      <c r="O44" s="24">
        <v>0.6</v>
      </c>
      <c r="P44" s="24">
        <v>3.81</v>
      </c>
    </row>
    <row r="45" spans="3:16">
      <c r="C45" s="14">
        <v>41880</v>
      </c>
      <c r="D45" s="12">
        <f t="shared" si="4"/>
        <v>4.5792978774360824</v>
      </c>
      <c r="E45" s="12">
        <f t="shared" si="5"/>
        <v>3.9749999999999996</v>
      </c>
      <c r="F45" s="12">
        <f t="shared" si="3"/>
        <v>0.60429787743608276</v>
      </c>
      <c r="H45" s="50">
        <v>41061</v>
      </c>
      <c r="I45" s="50">
        <f t="shared" si="2"/>
        <v>41089</v>
      </c>
      <c r="J45" s="53">
        <v>5.2343159846207774</v>
      </c>
      <c r="L45" s="24" t="s">
        <v>1638</v>
      </c>
      <c r="M45" s="25">
        <f>DATE(YEAR(OneWeekMtgRatesDataTable75[[#This Row],[asOf]]),MONTH(OneWeekMtgRatesDataTable75[[#This Row],[asOf]]),DAY(OneWeekMtgRatesDataTable75[[#This Row],[asOf]]))</f>
        <v>42258</v>
      </c>
      <c r="N45" s="24">
        <v>3.91</v>
      </c>
      <c r="O45" s="24">
        <v>0.6</v>
      </c>
      <c r="P45" s="24">
        <v>3.81</v>
      </c>
    </row>
    <row r="46" spans="3:16">
      <c r="C46" s="14">
        <v>41912</v>
      </c>
      <c r="D46" s="12">
        <f t="shared" si="4"/>
        <v>4.5722568157169814</v>
      </c>
      <c r="E46" s="12">
        <f t="shared" si="5"/>
        <v>4.04</v>
      </c>
      <c r="F46" s="12">
        <f t="shared" si="3"/>
        <v>0.53225681571698136</v>
      </c>
      <c r="H46" s="50">
        <v>41030</v>
      </c>
      <c r="I46" s="50">
        <f t="shared" si="2"/>
        <v>41060</v>
      </c>
      <c r="J46" s="53">
        <v>5.262915701300007</v>
      </c>
      <c r="L46" s="24" t="s">
        <v>1639</v>
      </c>
      <c r="M46" s="25">
        <f>DATE(YEAR(OneWeekMtgRatesDataTable75[[#This Row],[asOf]]),MONTH(OneWeekMtgRatesDataTable75[[#This Row],[asOf]]),DAY(OneWeekMtgRatesDataTable75[[#This Row],[asOf]]))</f>
        <v>42257</v>
      </c>
      <c r="N46" s="24">
        <v>3.91</v>
      </c>
      <c r="O46" s="24">
        <v>0.6</v>
      </c>
      <c r="P46" s="24">
        <v>3.81</v>
      </c>
    </row>
    <row r="47" spans="3:16">
      <c r="C47" s="14">
        <v>41943</v>
      </c>
      <c r="D47" s="12">
        <f t="shared" si="4"/>
        <v>4.5658943906664327</v>
      </c>
      <c r="E47" s="12">
        <f t="shared" si="5"/>
        <v>3.8949999999999996</v>
      </c>
      <c r="F47" s="12">
        <f t="shared" si="3"/>
        <v>0.67089439066643308</v>
      </c>
      <c r="H47" s="50">
        <v>41000</v>
      </c>
      <c r="I47" s="50">
        <f t="shared" si="2"/>
        <v>41029</v>
      </c>
      <c r="J47" s="53">
        <v>5.2953192445801882</v>
      </c>
      <c r="L47" s="24" t="s">
        <v>1640</v>
      </c>
      <c r="M47" s="25">
        <f>DATE(YEAR(OneWeekMtgRatesDataTable75[[#This Row],[asOf]]),MONTH(OneWeekMtgRatesDataTable75[[#This Row],[asOf]]),DAY(OneWeekMtgRatesDataTable75[[#This Row],[asOf]]))</f>
        <v>42256</v>
      </c>
      <c r="N47" s="24">
        <v>3.9</v>
      </c>
      <c r="O47" s="24">
        <v>0.6</v>
      </c>
      <c r="P47" s="24">
        <v>3.8</v>
      </c>
    </row>
    <row r="48" spans="3:16">
      <c r="C48" s="14">
        <v>41971</v>
      </c>
      <c r="D48" s="12">
        <f t="shared" si="4"/>
        <v>4.5602421215425792</v>
      </c>
      <c r="E48" s="12">
        <f t="shared" si="5"/>
        <v>3.7650000000000001</v>
      </c>
      <c r="F48" s="12">
        <f t="shared" si="3"/>
        <v>0.79524212154257912</v>
      </c>
      <c r="H48" s="50">
        <v>40969</v>
      </c>
      <c r="I48" s="50">
        <f t="shared" si="2"/>
        <v>40998</v>
      </c>
      <c r="J48" s="53">
        <v>5.3179671663260333</v>
      </c>
      <c r="L48" s="24" t="s">
        <v>1641</v>
      </c>
      <c r="M48" s="25">
        <f>DATE(YEAR(OneWeekMtgRatesDataTable75[[#This Row],[asOf]]),MONTH(OneWeekMtgRatesDataTable75[[#This Row],[asOf]]),DAY(OneWeekMtgRatesDataTable75[[#This Row],[asOf]]))</f>
        <v>42255</v>
      </c>
      <c r="N48" s="24">
        <v>3.9</v>
      </c>
      <c r="O48" s="24">
        <v>0.6</v>
      </c>
      <c r="P48" s="24">
        <v>3.8</v>
      </c>
    </row>
    <row r="49" spans="3:16">
      <c r="C49" s="14">
        <v>42004</v>
      </c>
      <c r="D49" s="12">
        <f t="shared" si="4"/>
        <v>4.5528471823468397</v>
      </c>
      <c r="E49" s="12" t="e">
        <f t="shared" si="5"/>
        <v>#N/A</v>
      </c>
      <c r="F49" s="12" t="e">
        <f t="shared" si="3"/>
        <v>#N/A</v>
      </c>
      <c r="H49" s="50">
        <v>40940</v>
      </c>
      <c r="I49" s="50">
        <f t="shared" si="2"/>
        <v>40968</v>
      </c>
      <c r="J49" s="53">
        <v>5.3594348559219069</v>
      </c>
      <c r="L49" s="24" t="s">
        <v>1642</v>
      </c>
      <c r="M49" s="25">
        <f>DATE(YEAR(OneWeekMtgRatesDataTable75[[#This Row],[asOf]]),MONTH(OneWeekMtgRatesDataTable75[[#This Row],[asOf]]),DAY(OneWeekMtgRatesDataTable75[[#This Row],[asOf]]))</f>
        <v>42251</v>
      </c>
      <c r="N49" s="24">
        <v>3.9</v>
      </c>
      <c r="O49" s="24">
        <v>0.6</v>
      </c>
      <c r="P49" s="24">
        <v>3.8</v>
      </c>
    </row>
    <row r="50" spans="3:16">
      <c r="C50" s="14">
        <v>42034</v>
      </c>
      <c r="D50" s="12">
        <f t="shared" si="4"/>
        <v>4.5446755242495449</v>
      </c>
      <c r="E50" s="12">
        <f t="shared" si="5"/>
        <v>3.5149999999999997</v>
      </c>
      <c r="F50" s="12">
        <f t="shared" si="3"/>
        <v>1.0296755242495452</v>
      </c>
      <c r="H50" s="50">
        <v>40909</v>
      </c>
      <c r="I50" s="50">
        <f t="shared" si="2"/>
        <v>40939</v>
      </c>
      <c r="J50" s="53">
        <v>5.3841264551661174</v>
      </c>
      <c r="L50" s="24" t="s">
        <v>1643</v>
      </c>
      <c r="M50" s="25">
        <f>DATE(YEAR(OneWeekMtgRatesDataTable75[[#This Row],[asOf]]),MONTH(OneWeekMtgRatesDataTable75[[#This Row],[asOf]]),DAY(OneWeekMtgRatesDataTable75[[#This Row],[asOf]]))</f>
        <v>42250</v>
      </c>
      <c r="N50" s="24">
        <v>3.9</v>
      </c>
      <c r="O50" s="24">
        <v>0.6</v>
      </c>
      <c r="P50" s="24">
        <v>3.8</v>
      </c>
    </row>
    <row r="51" spans="3:16">
      <c r="C51" s="14">
        <v>42062</v>
      </c>
      <c r="D51" s="12">
        <f t="shared" si="4"/>
        <v>4.5361865866627618</v>
      </c>
      <c r="E51" s="12">
        <f t="shared" si="5"/>
        <v>3.65</v>
      </c>
      <c r="F51" s="12">
        <f t="shared" si="3"/>
        <v>0.88618658666276184</v>
      </c>
      <c r="H51" s="50">
        <v>40878</v>
      </c>
      <c r="I51" s="50">
        <f t="shared" si="2"/>
        <v>40907</v>
      </c>
      <c r="J51" s="53">
        <v>5.407081096925916</v>
      </c>
      <c r="L51" s="24" t="s">
        <v>1644</v>
      </c>
      <c r="M51" s="25">
        <f>DATE(YEAR(OneWeekMtgRatesDataTable75[[#This Row],[asOf]]),MONTH(OneWeekMtgRatesDataTable75[[#This Row],[asOf]]),DAY(OneWeekMtgRatesDataTable75[[#This Row],[asOf]]))</f>
        <v>42249</v>
      </c>
      <c r="N51" s="24">
        <v>3.89</v>
      </c>
      <c r="O51" s="24">
        <v>0.6</v>
      </c>
      <c r="P51" s="24">
        <v>3.79</v>
      </c>
    </row>
    <row r="52" spans="3:16">
      <c r="C52" s="14">
        <v>42094</v>
      </c>
      <c r="D52" s="12">
        <f t="shared" si="4"/>
        <v>4.5238127948380651</v>
      </c>
      <c r="E52" s="12">
        <f t="shared" si="5"/>
        <v>3.6</v>
      </c>
      <c r="F52" s="12">
        <f t="shared" si="3"/>
        <v>0.923812794838065</v>
      </c>
      <c r="H52" s="50">
        <v>40848</v>
      </c>
      <c r="I52" s="50">
        <f t="shared" si="2"/>
        <v>40877</v>
      </c>
      <c r="J52" s="53">
        <v>5.4364668645164951</v>
      </c>
      <c r="L52" s="24" t="s">
        <v>1645</v>
      </c>
      <c r="M52" s="25">
        <f>DATE(YEAR(OneWeekMtgRatesDataTable75[[#This Row],[asOf]]),MONTH(OneWeekMtgRatesDataTable75[[#This Row],[asOf]]),DAY(OneWeekMtgRatesDataTable75[[#This Row],[asOf]]))</f>
        <v>42248</v>
      </c>
      <c r="N52" s="24">
        <v>3.89</v>
      </c>
      <c r="O52" s="24">
        <v>0.6</v>
      </c>
      <c r="P52" s="24">
        <v>3.79</v>
      </c>
    </row>
    <row r="53" spans="3:16">
      <c r="C53" s="3">
        <v>42124</v>
      </c>
      <c r="D53" s="12">
        <f t="shared" si="4"/>
        <v>4.5097670103927436</v>
      </c>
      <c r="E53" s="12">
        <f t="shared" si="5"/>
        <v>3.6999999999999997</v>
      </c>
      <c r="F53" s="12">
        <f t="shared" ref="F53:F59" si="6">D53-E53</f>
        <v>0.8097670103927439</v>
      </c>
      <c r="H53" s="50">
        <v>40817</v>
      </c>
      <c r="I53" s="50">
        <f t="shared" si="2"/>
        <v>40847</v>
      </c>
      <c r="J53" s="53">
        <v>5.4564253789048873</v>
      </c>
      <c r="L53" s="24" t="s">
        <v>1603</v>
      </c>
      <c r="M53" s="25">
        <f>DATE(YEAR(OneWeekMtgRatesDataTable75[[#This Row],[asOf]]),MONTH(OneWeekMtgRatesDataTable75[[#This Row],[asOf]]),DAY(OneWeekMtgRatesDataTable75[[#This Row],[asOf]]))</f>
        <v>42247</v>
      </c>
      <c r="N53" s="24">
        <v>3.89</v>
      </c>
      <c r="O53" s="24">
        <v>0.6</v>
      </c>
      <c r="P53" s="24">
        <v>3.79</v>
      </c>
    </row>
    <row r="54" spans="3:16">
      <c r="C54" s="3">
        <v>42153</v>
      </c>
      <c r="D54" s="12">
        <f t="shared" si="4"/>
        <v>4.4974583076521073</v>
      </c>
      <c r="E54" s="12">
        <f t="shared" si="5"/>
        <v>3.77</v>
      </c>
      <c r="F54" s="12">
        <f t="shared" si="6"/>
        <v>0.72745830765210728</v>
      </c>
      <c r="H54" s="50">
        <v>40787</v>
      </c>
      <c r="I54" s="50">
        <f t="shared" si="2"/>
        <v>40816</v>
      </c>
      <c r="J54" s="53">
        <v>5.4705693261233552</v>
      </c>
      <c r="L54" s="24" t="s">
        <v>1604</v>
      </c>
      <c r="M54" s="25">
        <f>DATE(YEAR(OneWeekMtgRatesDataTable75[[#This Row],[asOf]]),MONTH(OneWeekMtgRatesDataTable75[[#This Row],[asOf]]),DAY(OneWeekMtgRatesDataTable75[[#This Row],[asOf]]))</f>
        <v>42244</v>
      </c>
      <c r="N54" s="24">
        <v>3.89</v>
      </c>
      <c r="O54" s="24">
        <v>0.6</v>
      </c>
      <c r="P54" s="24">
        <v>3.79</v>
      </c>
    </row>
    <row r="55" spans="3:16">
      <c r="C55" s="14">
        <v>42185</v>
      </c>
      <c r="D55" s="12">
        <f t="shared" si="4"/>
        <v>4.4856325651762248</v>
      </c>
      <c r="E55" s="12">
        <f t="shared" si="5"/>
        <v>3.98</v>
      </c>
      <c r="F55" s="12">
        <f t="shared" si="6"/>
        <v>0.50563256517622479</v>
      </c>
      <c r="H55" s="50">
        <v>40756</v>
      </c>
      <c r="I55" s="50">
        <f t="shared" si="2"/>
        <v>40786</v>
      </c>
      <c r="J55" s="53">
        <v>5.4853483193438421</v>
      </c>
      <c r="L55" s="24" t="s">
        <v>1605</v>
      </c>
      <c r="M55" s="25">
        <f>DATE(YEAR(OneWeekMtgRatesDataTable75[[#This Row],[asOf]]),MONTH(OneWeekMtgRatesDataTable75[[#This Row],[asOf]]),DAY(OneWeekMtgRatesDataTable75[[#This Row],[asOf]]))</f>
        <v>42243</v>
      </c>
      <c r="N55" s="24">
        <v>3.89</v>
      </c>
      <c r="O55" s="24">
        <v>0.6</v>
      </c>
      <c r="P55" s="24">
        <v>3.79</v>
      </c>
    </row>
    <row r="56" spans="3:16">
      <c r="C56" s="25">
        <v>42216</v>
      </c>
      <c r="D56" s="12">
        <f t="shared" si="4"/>
        <v>4.4745634645923493</v>
      </c>
      <c r="E56" s="12">
        <f t="shared" si="5"/>
        <v>3.81</v>
      </c>
      <c r="F56" s="12">
        <f t="shared" si="6"/>
        <v>0.66456346459234927</v>
      </c>
      <c r="H56" s="50">
        <v>40725</v>
      </c>
      <c r="I56" s="50">
        <f t="shared" si="2"/>
        <v>40753</v>
      </c>
      <c r="J56" s="53">
        <v>5.4966046806114619</v>
      </c>
      <c r="L56" s="24" t="s">
        <v>1606</v>
      </c>
      <c r="M56" s="25">
        <f>DATE(YEAR(OneWeekMtgRatesDataTable75[[#This Row],[asOf]]),MONTH(OneWeekMtgRatesDataTable75[[#This Row],[asOf]]),DAY(OneWeekMtgRatesDataTable75[[#This Row],[asOf]]))</f>
        <v>42242</v>
      </c>
      <c r="N56" s="24">
        <v>3.84</v>
      </c>
      <c r="O56" s="24">
        <v>0.6</v>
      </c>
      <c r="P56" s="24">
        <v>3.7399999999999998</v>
      </c>
    </row>
    <row r="57" spans="3:16">
      <c r="C57" s="25">
        <v>42247</v>
      </c>
      <c r="D57" s="12">
        <f t="shared" si="4"/>
        <v>4.4671622862459683</v>
      </c>
      <c r="E57" s="12">
        <f t="shared" si="5"/>
        <v>3.79</v>
      </c>
      <c r="F57" s="12">
        <f t="shared" si="6"/>
        <v>0.6771622862459683</v>
      </c>
      <c r="H57" s="50">
        <v>40695</v>
      </c>
      <c r="I57" s="50">
        <f t="shared" si="2"/>
        <v>40724</v>
      </c>
      <c r="J57" s="53">
        <v>5.5064525221557803</v>
      </c>
      <c r="L57" s="24" t="s">
        <v>1607</v>
      </c>
      <c r="M57" s="25">
        <f>DATE(YEAR(OneWeekMtgRatesDataTable75[[#This Row],[asOf]]),MONTH(OneWeekMtgRatesDataTable75[[#This Row],[asOf]]),DAY(OneWeekMtgRatesDataTable75[[#This Row],[asOf]]))</f>
        <v>42241</v>
      </c>
      <c r="N57" s="24">
        <v>3.84</v>
      </c>
      <c r="O57" s="24">
        <v>0.6</v>
      </c>
      <c r="P57" s="24">
        <v>3.7399999999999998</v>
      </c>
    </row>
    <row r="58" spans="3:16">
      <c r="C58" s="25">
        <v>42277</v>
      </c>
      <c r="D58" s="49">
        <f t="shared" si="4"/>
        <v>4.4597228143828191</v>
      </c>
      <c r="E58" s="12">
        <f t="shared" si="5"/>
        <v>3.75</v>
      </c>
      <c r="F58" s="12">
        <f t="shared" si="6"/>
        <v>0.70972281438281914</v>
      </c>
      <c r="H58" s="50">
        <v>40664</v>
      </c>
      <c r="I58" s="50">
        <f t="shared" si="2"/>
        <v>40694</v>
      </c>
      <c r="J58" s="53">
        <v>5.5168959579912817</v>
      </c>
      <c r="L58" s="24" t="s">
        <v>1608</v>
      </c>
      <c r="M58" s="25">
        <f>DATE(YEAR(OneWeekMtgRatesDataTable75[[#This Row],[asOf]]),MONTH(OneWeekMtgRatesDataTable75[[#This Row],[asOf]]),DAY(OneWeekMtgRatesDataTable75[[#This Row],[asOf]]))</f>
        <v>42240</v>
      </c>
      <c r="N58" s="24">
        <v>3.84</v>
      </c>
      <c r="O58" s="24">
        <v>0.6</v>
      </c>
      <c r="P58" s="24">
        <v>3.7399999999999998</v>
      </c>
    </row>
    <row r="59" spans="3:16">
      <c r="C59" s="25">
        <v>42307</v>
      </c>
      <c r="D59" s="49">
        <f t="shared" si="4"/>
        <v>4.4525560402648088</v>
      </c>
      <c r="E59" s="12">
        <f t="shared" si="5"/>
        <v>3.77</v>
      </c>
      <c r="F59" s="12">
        <f t="shared" si="6"/>
        <v>0.68255604026480876</v>
      </c>
      <c r="H59" s="50">
        <v>40634</v>
      </c>
      <c r="I59" s="50">
        <f t="shared" si="2"/>
        <v>40662</v>
      </c>
      <c r="J59" s="53">
        <v>5.5269246970767405</v>
      </c>
      <c r="L59" s="24" t="s">
        <v>1609</v>
      </c>
      <c r="M59" s="25">
        <f>DATE(YEAR(OneWeekMtgRatesDataTable75[[#This Row],[asOf]]),MONTH(OneWeekMtgRatesDataTable75[[#This Row],[asOf]]),DAY(OneWeekMtgRatesDataTable75[[#This Row],[asOf]]))</f>
        <v>42237</v>
      </c>
      <c r="N59" s="24">
        <v>3.84</v>
      </c>
      <c r="O59" s="24">
        <v>0.6</v>
      </c>
      <c r="P59" s="24">
        <v>3.7399999999999998</v>
      </c>
    </row>
    <row r="60" spans="3:16">
      <c r="H60" s="50">
        <v>40603</v>
      </c>
      <c r="I60" s="50">
        <f t="shared" si="2"/>
        <v>40633</v>
      </c>
      <c r="J60" s="53">
        <v>5.5386980924786595</v>
      </c>
      <c r="L60" s="24" t="s">
        <v>1610</v>
      </c>
      <c r="M60" s="25">
        <f>DATE(YEAR(OneWeekMtgRatesDataTable75[[#This Row],[asOf]]),MONTH(OneWeekMtgRatesDataTable75[[#This Row],[asOf]]),DAY(OneWeekMtgRatesDataTable75[[#This Row],[asOf]]))</f>
        <v>42236</v>
      </c>
      <c r="N60" s="24">
        <v>3.84</v>
      </c>
      <c r="O60" s="24">
        <v>0.6</v>
      </c>
      <c r="P60" s="24">
        <v>3.7399999999999998</v>
      </c>
    </row>
    <row r="61" spans="3:16">
      <c r="H61" s="50">
        <v>40575</v>
      </c>
      <c r="I61" s="50">
        <f t="shared" si="2"/>
        <v>40602</v>
      </c>
      <c r="J61" s="53">
        <v>5.5560536064770316</v>
      </c>
      <c r="L61" s="24" t="s">
        <v>1611</v>
      </c>
      <c r="M61" s="25">
        <f>DATE(YEAR(OneWeekMtgRatesDataTable75[[#This Row],[asOf]]),MONTH(OneWeekMtgRatesDataTable75[[#This Row],[asOf]]),DAY(OneWeekMtgRatesDataTable75[[#This Row],[asOf]]))</f>
        <v>42235</v>
      </c>
      <c r="N61" s="24">
        <v>3.93</v>
      </c>
      <c r="O61" s="24">
        <v>0.6</v>
      </c>
      <c r="P61" s="24">
        <v>3.83</v>
      </c>
    </row>
    <row r="62" spans="3:16">
      <c r="H62" s="50">
        <v>40544</v>
      </c>
      <c r="I62" s="50">
        <f t="shared" si="2"/>
        <v>40574</v>
      </c>
      <c r="J62" s="53">
        <v>5.5763436778925639</v>
      </c>
      <c r="L62" s="24" t="s">
        <v>1612</v>
      </c>
      <c r="M62" s="25">
        <f>DATE(YEAR(OneWeekMtgRatesDataTable75[[#This Row],[asOf]]),MONTH(OneWeekMtgRatesDataTable75[[#This Row],[asOf]]),DAY(OneWeekMtgRatesDataTable75[[#This Row],[asOf]]))</f>
        <v>42234</v>
      </c>
      <c r="N62" s="24">
        <v>3.93</v>
      </c>
      <c r="O62" s="24">
        <v>0.6</v>
      </c>
      <c r="P62" s="24">
        <v>3.83</v>
      </c>
    </row>
    <row r="63" spans="3:16">
      <c r="H63" s="50">
        <v>40513</v>
      </c>
      <c r="I63" s="50">
        <f t="shared" si="2"/>
        <v>40543</v>
      </c>
      <c r="J63" s="53">
        <v>5.6013602514067786</v>
      </c>
      <c r="L63" s="24" t="s">
        <v>1613</v>
      </c>
      <c r="M63" s="25">
        <f>DATE(YEAR(OneWeekMtgRatesDataTable75[[#This Row],[asOf]]),MONTH(OneWeekMtgRatesDataTable75[[#This Row],[asOf]]),DAY(OneWeekMtgRatesDataTable75[[#This Row],[asOf]]))</f>
        <v>42233</v>
      </c>
      <c r="N63" s="24">
        <v>3.93</v>
      </c>
      <c r="O63" s="24">
        <v>0.6</v>
      </c>
      <c r="P63" s="24">
        <v>3.83</v>
      </c>
    </row>
    <row r="64" spans="3:16">
      <c r="H64" s="50">
        <v>40483</v>
      </c>
      <c r="I64" s="50">
        <f t="shared" si="2"/>
        <v>40512</v>
      </c>
      <c r="J64" s="53">
        <v>5.6324669288986877</v>
      </c>
      <c r="L64" s="24" t="s">
        <v>1614</v>
      </c>
      <c r="M64" s="25">
        <f>DATE(YEAR(OneWeekMtgRatesDataTable75[[#This Row],[asOf]]),MONTH(OneWeekMtgRatesDataTable75[[#This Row],[asOf]]),DAY(OneWeekMtgRatesDataTable75[[#This Row],[asOf]]))</f>
        <v>42230</v>
      </c>
      <c r="N64" s="24">
        <v>3.93</v>
      </c>
      <c r="O64" s="24">
        <v>0.6</v>
      </c>
      <c r="P64" s="24">
        <v>3.83</v>
      </c>
    </row>
    <row r="65" spans="8:16">
      <c r="H65" s="50">
        <v>40452</v>
      </c>
      <c r="I65" s="50">
        <f t="shared" si="2"/>
        <v>40480</v>
      </c>
      <c r="J65" s="53">
        <v>5.6590403305137631</v>
      </c>
      <c r="L65" s="24" t="s">
        <v>1615</v>
      </c>
      <c r="M65" s="25">
        <f>DATE(YEAR(OneWeekMtgRatesDataTable75[[#This Row],[asOf]]),MONTH(OneWeekMtgRatesDataTable75[[#This Row],[asOf]]),DAY(OneWeekMtgRatesDataTable75[[#This Row],[asOf]]))</f>
        <v>42229</v>
      </c>
      <c r="N65" s="24">
        <v>3.93</v>
      </c>
      <c r="O65" s="24">
        <v>0.6</v>
      </c>
      <c r="P65" s="24">
        <v>3.83</v>
      </c>
    </row>
    <row r="66" spans="8:16">
      <c r="H66" s="50">
        <v>40422</v>
      </c>
      <c r="I66" s="50">
        <f t="shared" si="2"/>
        <v>40451</v>
      </c>
      <c r="J66" s="53">
        <v>5.6844642521451529</v>
      </c>
      <c r="L66" s="24" t="s">
        <v>1616</v>
      </c>
      <c r="M66" s="25">
        <f>DATE(YEAR(OneWeekMtgRatesDataTable75[[#This Row],[asOf]]),MONTH(OneWeekMtgRatesDataTable75[[#This Row],[asOf]]),DAY(OneWeekMtgRatesDataTable75[[#This Row],[asOf]]))</f>
        <v>42228</v>
      </c>
      <c r="N66" s="24">
        <v>3.94</v>
      </c>
      <c r="O66" s="24">
        <v>0.6</v>
      </c>
      <c r="P66" s="24">
        <v>3.84</v>
      </c>
    </row>
    <row r="67" spans="8:16">
      <c r="H67" s="50">
        <v>40391</v>
      </c>
      <c r="I67" s="50">
        <f t="shared" si="2"/>
        <v>40421</v>
      </c>
      <c r="J67" s="53">
        <v>5.7099766814081239</v>
      </c>
      <c r="L67" s="24" t="s">
        <v>1617</v>
      </c>
      <c r="M67" s="25">
        <f>DATE(YEAR(OneWeekMtgRatesDataTable75[[#This Row],[asOf]]),MONTH(OneWeekMtgRatesDataTable75[[#This Row],[asOf]]),DAY(OneWeekMtgRatesDataTable75[[#This Row],[asOf]]))</f>
        <v>42227</v>
      </c>
      <c r="N67" s="24">
        <v>3.94</v>
      </c>
      <c r="O67" s="24">
        <v>0.6</v>
      </c>
      <c r="P67" s="24">
        <v>3.84</v>
      </c>
    </row>
    <row r="68" spans="8:16">
      <c r="H68" s="50">
        <v>40360</v>
      </c>
      <c r="I68" s="50">
        <f t="shared" ref="I68:I131" si="7">IF(WEEKDAY(DATE(YEAR(H68),MONTH(H68)+1,0),2)=6,DATE(YEAR(H68),MONTH(H68)+1,0)-1,IF(WEEKDAY(DATE(YEAR(H68),MONTH(H68)+1,0),2)=7,DATE(YEAR(H68),MONTH(H68)+1,0)-2,DATE(YEAR(H68),MONTH(H68)+1,0)))</f>
        <v>40389</v>
      </c>
      <c r="J68" s="53">
        <v>5.7262137777287352</v>
      </c>
      <c r="L68" s="24" t="s">
        <v>1618</v>
      </c>
      <c r="M68" s="25">
        <f>DATE(YEAR(OneWeekMtgRatesDataTable75[[#This Row],[asOf]]),MONTH(OneWeekMtgRatesDataTable75[[#This Row],[asOf]]),DAY(OneWeekMtgRatesDataTable75[[#This Row],[asOf]]))</f>
        <v>42226</v>
      </c>
      <c r="N68" s="24">
        <v>3.94</v>
      </c>
      <c r="O68" s="24">
        <v>0.6</v>
      </c>
      <c r="P68" s="24">
        <v>3.84</v>
      </c>
    </row>
    <row r="69" spans="8:16">
      <c r="H69" s="50">
        <v>40330</v>
      </c>
      <c r="I69" s="50">
        <f t="shared" si="7"/>
        <v>40359</v>
      </c>
      <c r="J69" s="53">
        <v>5.7403826140361209</v>
      </c>
      <c r="L69" s="24" t="s">
        <v>1619</v>
      </c>
      <c r="M69" s="25">
        <f>DATE(YEAR(OneWeekMtgRatesDataTable75[[#This Row],[asOf]]),MONTH(OneWeekMtgRatesDataTable75[[#This Row],[asOf]]),DAY(OneWeekMtgRatesDataTable75[[#This Row],[asOf]]))</f>
        <v>42223</v>
      </c>
      <c r="N69" s="24">
        <v>3.94</v>
      </c>
      <c r="O69" s="24">
        <v>0.6</v>
      </c>
      <c r="P69" s="24">
        <v>3.84</v>
      </c>
    </row>
    <row r="70" spans="8:16">
      <c r="H70" s="50">
        <v>40299</v>
      </c>
      <c r="I70" s="50">
        <f t="shared" si="7"/>
        <v>40329</v>
      </c>
      <c r="J70" s="53">
        <v>5.7574014669319959</v>
      </c>
      <c r="L70" s="24" t="s">
        <v>1620</v>
      </c>
      <c r="M70" s="25">
        <f>DATE(YEAR(OneWeekMtgRatesDataTable75[[#This Row],[asOf]]),MONTH(OneWeekMtgRatesDataTable75[[#This Row],[asOf]]),DAY(OneWeekMtgRatesDataTable75[[#This Row],[asOf]]))</f>
        <v>42222</v>
      </c>
      <c r="N70" s="24">
        <v>3.94</v>
      </c>
      <c r="O70" s="24">
        <v>0.6</v>
      </c>
      <c r="P70" s="24">
        <v>3.84</v>
      </c>
    </row>
    <row r="71" spans="8:16">
      <c r="H71" s="50">
        <v>40269</v>
      </c>
      <c r="I71" s="50">
        <f t="shared" si="7"/>
        <v>40298</v>
      </c>
      <c r="J71" s="53">
        <v>5.7816058373302326</v>
      </c>
      <c r="L71" s="24" t="s">
        <v>1621</v>
      </c>
      <c r="M71" s="25">
        <f>DATE(YEAR(OneWeekMtgRatesDataTable75[[#This Row],[asOf]]),MONTH(OneWeekMtgRatesDataTable75[[#This Row],[asOf]]),DAY(OneWeekMtgRatesDataTable75[[#This Row],[asOf]]))</f>
        <v>42221</v>
      </c>
      <c r="N71" s="24">
        <v>3.91</v>
      </c>
      <c r="O71" s="24">
        <v>0.6</v>
      </c>
      <c r="P71" s="24">
        <v>3.81</v>
      </c>
    </row>
    <row r="72" spans="8:16">
      <c r="H72" s="50">
        <v>40238</v>
      </c>
      <c r="I72" s="50">
        <f t="shared" si="7"/>
        <v>40268</v>
      </c>
      <c r="J72" s="53">
        <v>5.8119794794187198</v>
      </c>
      <c r="L72" s="24" t="s">
        <v>1622</v>
      </c>
      <c r="M72" s="25">
        <f>DATE(YEAR(OneWeekMtgRatesDataTable75[[#This Row],[asOf]]),MONTH(OneWeekMtgRatesDataTable75[[#This Row],[asOf]]),DAY(OneWeekMtgRatesDataTable75[[#This Row],[asOf]]))</f>
        <v>42220</v>
      </c>
      <c r="N72" s="24">
        <v>3.91</v>
      </c>
      <c r="O72" s="24">
        <v>0.6</v>
      </c>
      <c r="P72" s="24">
        <v>3.81</v>
      </c>
    </row>
    <row r="73" spans="8:16">
      <c r="H73" s="50">
        <v>40210</v>
      </c>
      <c r="I73" s="50">
        <f t="shared" si="7"/>
        <v>40235</v>
      </c>
      <c r="J73" s="53">
        <v>5.8256235615266467</v>
      </c>
      <c r="L73" s="24" t="s">
        <v>1623</v>
      </c>
      <c r="M73" s="25">
        <f>DATE(YEAR(OneWeekMtgRatesDataTable75[[#This Row],[asOf]]),MONTH(OneWeekMtgRatesDataTable75[[#This Row],[asOf]]),DAY(OneWeekMtgRatesDataTable75[[#This Row],[asOf]]))</f>
        <v>42219</v>
      </c>
      <c r="N73" s="24">
        <v>3.91</v>
      </c>
      <c r="O73" s="24">
        <v>0.6</v>
      </c>
      <c r="P73" s="24">
        <v>3.81</v>
      </c>
    </row>
    <row r="74" spans="8:16">
      <c r="H74" s="50">
        <v>40179</v>
      </c>
      <c r="I74" s="50">
        <f t="shared" si="7"/>
        <v>40207</v>
      </c>
      <c r="J74" s="53">
        <v>5.8412259886339042</v>
      </c>
      <c r="L74" s="24" t="s">
        <v>1581</v>
      </c>
      <c r="M74" s="25">
        <f>DATE(YEAR(OneWeekMtgRatesDataTable75[[#This Row],[asOf]]),MONTH(OneWeekMtgRatesDataTable75[[#This Row],[asOf]]),DAY(OneWeekMtgRatesDataTable75[[#This Row],[asOf]]))</f>
        <v>42216</v>
      </c>
      <c r="N74" s="24">
        <v>3.91</v>
      </c>
      <c r="O74" s="24">
        <v>0.6</v>
      </c>
      <c r="P74" s="24">
        <v>3.81</v>
      </c>
    </row>
    <row r="75" spans="8:16">
      <c r="H75" s="50">
        <v>40148</v>
      </c>
      <c r="I75" s="50">
        <f t="shared" si="7"/>
        <v>40178</v>
      </c>
      <c r="J75" s="53">
        <v>5.8570059579039615</v>
      </c>
      <c r="L75" s="24" t="s">
        <v>1582</v>
      </c>
      <c r="M75" s="25">
        <f>DATE(YEAR(OneWeekMtgRatesDataTable75[[#This Row],[asOf]]),MONTH(OneWeekMtgRatesDataTable75[[#This Row],[asOf]]),DAY(OneWeekMtgRatesDataTable75[[#This Row],[asOf]]))</f>
        <v>42215</v>
      </c>
      <c r="N75" s="24">
        <v>3.91</v>
      </c>
      <c r="O75" s="24">
        <v>0.6</v>
      </c>
      <c r="P75" s="24">
        <v>3.81</v>
      </c>
    </row>
    <row r="76" spans="8:16">
      <c r="H76" s="50">
        <v>40118</v>
      </c>
      <c r="I76" s="50">
        <f t="shared" si="7"/>
        <v>40147</v>
      </c>
      <c r="J76" s="53">
        <v>5.8737226652101171</v>
      </c>
      <c r="L76" s="24" t="s">
        <v>1583</v>
      </c>
      <c r="M76" s="25">
        <f>DATE(YEAR(OneWeekMtgRatesDataTable75[[#This Row],[asOf]]),MONTH(OneWeekMtgRatesDataTable75[[#This Row],[asOf]]),DAY(OneWeekMtgRatesDataTable75[[#This Row],[asOf]]))</f>
        <v>42214</v>
      </c>
      <c r="N76" s="24">
        <v>3.98</v>
      </c>
      <c r="O76" s="24">
        <v>0.6</v>
      </c>
      <c r="P76" s="24">
        <v>3.88</v>
      </c>
    </row>
    <row r="77" spans="8:16">
      <c r="H77" s="50">
        <v>40087</v>
      </c>
      <c r="I77" s="50">
        <f t="shared" si="7"/>
        <v>40116</v>
      </c>
      <c r="J77" s="53">
        <v>5.8884242763485313</v>
      </c>
      <c r="L77" s="24" t="s">
        <v>1584</v>
      </c>
      <c r="M77" s="25">
        <f>DATE(YEAR(OneWeekMtgRatesDataTable75[[#This Row],[asOf]]),MONTH(OneWeekMtgRatesDataTable75[[#This Row],[asOf]]),DAY(OneWeekMtgRatesDataTable75[[#This Row],[asOf]]))</f>
        <v>42213</v>
      </c>
      <c r="N77" s="24">
        <v>3.98</v>
      </c>
      <c r="O77" s="24">
        <v>0.6</v>
      </c>
      <c r="P77" s="24">
        <v>3.88</v>
      </c>
    </row>
    <row r="78" spans="8:16">
      <c r="H78" s="50">
        <v>40057</v>
      </c>
      <c r="I78" s="50">
        <f t="shared" si="7"/>
        <v>40086</v>
      </c>
      <c r="J78" s="53">
        <v>5.9020652824616899</v>
      </c>
      <c r="L78" s="24" t="s">
        <v>1585</v>
      </c>
      <c r="M78" s="25">
        <f>DATE(YEAR(OneWeekMtgRatesDataTable75[[#This Row],[asOf]]),MONTH(OneWeekMtgRatesDataTable75[[#This Row],[asOf]]),DAY(OneWeekMtgRatesDataTable75[[#This Row],[asOf]]))</f>
        <v>42212</v>
      </c>
      <c r="N78" s="24">
        <v>3.98</v>
      </c>
      <c r="O78" s="24">
        <v>0.6</v>
      </c>
      <c r="P78" s="24">
        <v>3.88</v>
      </c>
    </row>
    <row r="79" spans="8:16">
      <c r="H79" s="50">
        <v>40026</v>
      </c>
      <c r="I79" s="50">
        <f t="shared" si="7"/>
        <v>40056</v>
      </c>
      <c r="J79" s="53">
        <v>5.9206737443856285</v>
      </c>
      <c r="L79" s="24" t="s">
        <v>1586</v>
      </c>
      <c r="M79" s="25">
        <f>DATE(YEAR(OneWeekMtgRatesDataTable75[[#This Row],[asOf]]),MONTH(OneWeekMtgRatesDataTable75[[#This Row],[asOf]]),DAY(OneWeekMtgRatesDataTable75[[#This Row],[asOf]]))</f>
        <v>42209</v>
      </c>
      <c r="N79" s="24">
        <v>3.98</v>
      </c>
      <c r="O79" s="24">
        <v>0.6</v>
      </c>
      <c r="P79" s="24">
        <v>3.88</v>
      </c>
    </row>
    <row r="80" spans="8:16">
      <c r="H80" s="50">
        <v>39995</v>
      </c>
      <c r="I80" s="50">
        <f t="shared" si="7"/>
        <v>40025</v>
      </c>
      <c r="J80" s="53">
        <v>5.9459184821418729</v>
      </c>
      <c r="L80" s="24" t="s">
        <v>1587</v>
      </c>
      <c r="M80" s="25">
        <f>DATE(YEAR(OneWeekMtgRatesDataTable75[[#This Row],[asOf]]),MONTH(OneWeekMtgRatesDataTable75[[#This Row],[asOf]]),DAY(OneWeekMtgRatesDataTable75[[#This Row],[asOf]]))</f>
        <v>42208</v>
      </c>
      <c r="N80" s="24">
        <v>3.98</v>
      </c>
      <c r="O80" s="24">
        <v>0.6</v>
      </c>
      <c r="P80" s="24">
        <v>3.88</v>
      </c>
    </row>
    <row r="81" spans="8:16">
      <c r="H81" s="50">
        <v>39965</v>
      </c>
      <c r="I81" s="50">
        <f t="shared" si="7"/>
        <v>39994</v>
      </c>
      <c r="J81" s="53">
        <v>5.9842586230380119</v>
      </c>
      <c r="L81" s="24" t="s">
        <v>1588</v>
      </c>
      <c r="M81" s="25">
        <f>DATE(YEAR(OneWeekMtgRatesDataTable75[[#This Row],[asOf]]),MONTH(OneWeekMtgRatesDataTable75[[#This Row],[asOf]]),DAY(OneWeekMtgRatesDataTable75[[#This Row],[asOf]]))</f>
        <v>42207</v>
      </c>
      <c r="N81" s="24">
        <v>4.04</v>
      </c>
      <c r="O81" s="24">
        <v>0.6</v>
      </c>
      <c r="P81" s="24">
        <v>3.94</v>
      </c>
    </row>
    <row r="82" spans="8:16">
      <c r="H82" s="50">
        <v>39934</v>
      </c>
      <c r="I82" s="50">
        <f t="shared" si="7"/>
        <v>39962</v>
      </c>
      <c r="J82" s="53">
        <v>6.0295570630048161</v>
      </c>
      <c r="L82" s="24" t="s">
        <v>1589</v>
      </c>
      <c r="M82" s="25">
        <f>DATE(YEAR(OneWeekMtgRatesDataTable75[[#This Row],[asOf]]),MONTH(OneWeekMtgRatesDataTable75[[#This Row],[asOf]]),DAY(OneWeekMtgRatesDataTable75[[#This Row],[asOf]]))</f>
        <v>42206</v>
      </c>
      <c r="N82" s="24">
        <v>4.04</v>
      </c>
      <c r="O82" s="24">
        <v>0.6</v>
      </c>
      <c r="P82" s="24">
        <v>3.94</v>
      </c>
    </row>
    <row r="83" spans="8:16">
      <c r="H83" s="50">
        <v>39904</v>
      </c>
      <c r="I83" s="50">
        <f t="shared" si="7"/>
        <v>39933</v>
      </c>
      <c r="J83" s="53">
        <v>6.065928965343133</v>
      </c>
      <c r="L83" s="24" t="s">
        <v>1590</v>
      </c>
      <c r="M83" s="25">
        <f>DATE(YEAR(OneWeekMtgRatesDataTable75[[#This Row],[asOf]]),MONTH(OneWeekMtgRatesDataTable75[[#This Row],[asOf]]),DAY(OneWeekMtgRatesDataTable75[[#This Row],[asOf]]))</f>
        <v>42205</v>
      </c>
      <c r="N83" s="24">
        <v>4.04</v>
      </c>
      <c r="O83" s="24">
        <v>0.6</v>
      </c>
      <c r="P83" s="24">
        <v>3.94</v>
      </c>
    </row>
    <row r="84" spans="8:16">
      <c r="H84" s="50">
        <v>39873</v>
      </c>
      <c r="I84" s="50">
        <f t="shared" si="7"/>
        <v>39903</v>
      </c>
      <c r="J84" s="53">
        <v>6.0941745852813369</v>
      </c>
      <c r="L84" s="24" t="s">
        <v>1591</v>
      </c>
      <c r="M84" s="25">
        <f>DATE(YEAR(OneWeekMtgRatesDataTable75[[#This Row],[asOf]]),MONTH(OneWeekMtgRatesDataTable75[[#This Row],[asOf]]),DAY(OneWeekMtgRatesDataTable75[[#This Row],[asOf]]))</f>
        <v>42202</v>
      </c>
      <c r="N84" s="24">
        <v>4.04</v>
      </c>
      <c r="O84" s="24">
        <v>0.6</v>
      </c>
      <c r="P84" s="24">
        <v>3.94</v>
      </c>
    </row>
    <row r="85" spans="8:16">
      <c r="H85" s="50">
        <v>39845</v>
      </c>
      <c r="I85" s="50">
        <f t="shared" si="7"/>
        <v>39871</v>
      </c>
      <c r="J85" s="53">
        <v>6.1416460306786842</v>
      </c>
      <c r="L85" s="24" t="s">
        <v>1592</v>
      </c>
      <c r="M85" s="25">
        <f>DATE(YEAR(OneWeekMtgRatesDataTable75[[#This Row],[asOf]]),MONTH(OneWeekMtgRatesDataTable75[[#This Row],[asOf]]),DAY(OneWeekMtgRatesDataTable75[[#This Row],[asOf]]))</f>
        <v>42201</v>
      </c>
      <c r="N85" s="24">
        <v>4.04</v>
      </c>
      <c r="O85" s="24">
        <v>0.6</v>
      </c>
      <c r="P85" s="24">
        <v>3.94</v>
      </c>
    </row>
    <row r="86" spans="8:16">
      <c r="H86" s="50">
        <v>39814</v>
      </c>
      <c r="I86" s="50">
        <f t="shared" si="7"/>
        <v>39843</v>
      </c>
      <c r="J86" s="53">
        <v>6.1646201319513665</v>
      </c>
      <c r="L86" s="24" t="s">
        <v>1593</v>
      </c>
      <c r="M86" s="25">
        <f>DATE(YEAR(OneWeekMtgRatesDataTable75[[#This Row],[asOf]]),MONTH(OneWeekMtgRatesDataTable75[[#This Row],[asOf]]),DAY(OneWeekMtgRatesDataTable75[[#This Row],[asOf]]))</f>
        <v>42200</v>
      </c>
      <c r="N86" s="24">
        <v>4.09</v>
      </c>
      <c r="O86" s="24">
        <v>0.6</v>
      </c>
      <c r="P86" s="24">
        <v>3.9899999999999998</v>
      </c>
    </row>
    <row r="87" spans="8:16">
      <c r="H87" s="50">
        <v>39783</v>
      </c>
      <c r="I87" s="50">
        <f t="shared" si="7"/>
        <v>39813</v>
      </c>
      <c r="J87" s="53">
        <v>6.1702958742139051</v>
      </c>
      <c r="L87" s="24" t="s">
        <v>1594</v>
      </c>
      <c r="M87" s="25">
        <f>DATE(YEAR(OneWeekMtgRatesDataTable75[[#This Row],[asOf]]),MONTH(OneWeekMtgRatesDataTable75[[#This Row],[asOf]]),DAY(OneWeekMtgRatesDataTable75[[#This Row],[asOf]]))</f>
        <v>42199</v>
      </c>
      <c r="N87" s="24">
        <v>4.09</v>
      </c>
      <c r="O87" s="24">
        <v>0.6</v>
      </c>
      <c r="P87" s="24">
        <v>3.9899999999999998</v>
      </c>
    </row>
    <row r="88" spans="8:16">
      <c r="H88" s="50">
        <v>39753</v>
      </c>
      <c r="I88" s="50">
        <f t="shared" si="7"/>
        <v>39780</v>
      </c>
      <c r="J88" s="53">
        <v>6.1748878016905966</v>
      </c>
      <c r="L88" s="24" t="s">
        <v>1595</v>
      </c>
      <c r="M88" s="25">
        <f>DATE(YEAR(OneWeekMtgRatesDataTable75[[#This Row],[asOf]]),MONTH(OneWeekMtgRatesDataTable75[[#This Row],[asOf]]),DAY(OneWeekMtgRatesDataTable75[[#This Row],[asOf]]))</f>
        <v>42198</v>
      </c>
      <c r="N88" s="24">
        <v>4.09</v>
      </c>
      <c r="O88" s="24">
        <v>0.6</v>
      </c>
      <c r="P88" s="24">
        <v>3.9899999999999998</v>
      </c>
    </row>
    <row r="89" spans="8:16">
      <c r="H89" s="50">
        <v>39722</v>
      </c>
      <c r="I89" s="50">
        <f t="shared" si="7"/>
        <v>39752</v>
      </c>
      <c r="J89" s="53">
        <v>6.1765014481158218</v>
      </c>
      <c r="L89" s="24" t="s">
        <v>1596</v>
      </c>
      <c r="M89" s="25">
        <f>DATE(YEAR(OneWeekMtgRatesDataTable75[[#This Row],[asOf]]),MONTH(OneWeekMtgRatesDataTable75[[#This Row],[asOf]]),DAY(OneWeekMtgRatesDataTable75[[#This Row],[asOf]]))</f>
        <v>42195</v>
      </c>
      <c r="N89" s="24">
        <v>4.09</v>
      </c>
      <c r="O89" s="24">
        <v>0.6</v>
      </c>
      <c r="P89" s="24">
        <v>3.9899999999999998</v>
      </c>
    </row>
    <row r="90" spans="8:16">
      <c r="H90" s="50">
        <v>39692</v>
      </c>
      <c r="I90" s="50">
        <f t="shared" si="7"/>
        <v>39721</v>
      </c>
      <c r="J90" s="53">
        <v>6.1752963107168934</v>
      </c>
      <c r="L90" s="24" t="s">
        <v>1597</v>
      </c>
      <c r="M90" s="25">
        <f>DATE(YEAR(OneWeekMtgRatesDataTable75[[#This Row],[asOf]]),MONTH(OneWeekMtgRatesDataTable75[[#This Row],[asOf]]),DAY(OneWeekMtgRatesDataTable75[[#This Row],[asOf]]))</f>
        <v>42194</v>
      </c>
      <c r="N90" s="24">
        <v>4.09</v>
      </c>
      <c r="O90" s="24">
        <v>0.6</v>
      </c>
      <c r="P90" s="24">
        <v>3.9899999999999998</v>
      </c>
    </row>
    <row r="91" spans="8:16">
      <c r="H91" s="50">
        <v>39661</v>
      </c>
      <c r="I91" s="50">
        <f t="shared" si="7"/>
        <v>39689</v>
      </c>
      <c r="J91" s="53">
        <v>6.1715895277031061</v>
      </c>
      <c r="L91" s="24" t="s">
        <v>1598</v>
      </c>
      <c r="M91" s="25">
        <f>DATE(YEAR(OneWeekMtgRatesDataTable75[[#This Row],[asOf]]),MONTH(OneWeekMtgRatesDataTable75[[#This Row],[asOf]]),DAY(OneWeekMtgRatesDataTable75[[#This Row],[asOf]]))</f>
        <v>42193</v>
      </c>
      <c r="N91" s="24">
        <v>4.04</v>
      </c>
      <c r="O91" s="24">
        <v>0.6</v>
      </c>
      <c r="P91" s="24">
        <v>3.94</v>
      </c>
    </row>
    <row r="92" spans="8:16">
      <c r="H92" s="50">
        <v>39630</v>
      </c>
      <c r="I92" s="50">
        <f t="shared" si="7"/>
        <v>39660</v>
      </c>
      <c r="J92" s="53">
        <v>6.1705488392184771</v>
      </c>
      <c r="L92" s="24" t="s">
        <v>1599</v>
      </c>
      <c r="M92" s="25">
        <f>DATE(YEAR(OneWeekMtgRatesDataTable75[[#This Row],[asOf]]),MONTH(OneWeekMtgRatesDataTable75[[#This Row],[asOf]]),DAY(OneWeekMtgRatesDataTable75[[#This Row],[asOf]]))</f>
        <v>42192</v>
      </c>
      <c r="N92" s="24">
        <v>4.04</v>
      </c>
      <c r="O92" s="24">
        <v>0.6</v>
      </c>
      <c r="P92" s="24">
        <v>3.94</v>
      </c>
    </row>
    <row r="93" spans="8:16">
      <c r="H93" s="50">
        <v>39600</v>
      </c>
      <c r="I93" s="50">
        <f t="shared" si="7"/>
        <v>39629</v>
      </c>
      <c r="J93" s="53">
        <v>6.1726451947693315</v>
      </c>
      <c r="L93" s="24" t="s">
        <v>1600</v>
      </c>
      <c r="M93" s="25">
        <f>DATE(YEAR(OneWeekMtgRatesDataTable75[[#This Row],[asOf]]),MONTH(OneWeekMtgRatesDataTable75[[#This Row],[asOf]]),DAY(OneWeekMtgRatesDataTable75[[#This Row],[asOf]]))</f>
        <v>42191</v>
      </c>
      <c r="N93" s="24">
        <v>4.04</v>
      </c>
      <c r="O93" s="24">
        <v>0.6</v>
      </c>
      <c r="P93" s="24">
        <v>3.94</v>
      </c>
    </row>
    <row r="94" spans="8:16">
      <c r="H94" s="50">
        <v>39569</v>
      </c>
      <c r="I94" s="50">
        <f t="shared" si="7"/>
        <v>39598</v>
      </c>
      <c r="J94" s="53">
        <v>6.1782766844115331</v>
      </c>
      <c r="L94" s="24" t="s">
        <v>1601</v>
      </c>
      <c r="M94" s="25">
        <f>DATE(YEAR(OneWeekMtgRatesDataTable75[[#This Row],[asOf]]),MONTH(OneWeekMtgRatesDataTable75[[#This Row],[asOf]]),DAY(OneWeekMtgRatesDataTable75[[#This Row],[asOf]]))</f>
        <v>42187</v>
      </c>
      <c r="N94" s="24">
        <v>4.04</v>
      </c>
      <c r="O94" s="24">
        <v>0.6</v>
      </c>
      <c r="P94" s="24">
        <v>3.94</v>
      </c>
    </row>
    <row r="95" spans="8:16">
      <c r="H95" s="50">
        <v>39539</v>
      </c>
      <c r="I95" s="50">
        <f t="shared" si="7"/>
        <v>39568</v>
      </c>
      <c r="J95" s="53">
        <v>6.1848396466282747</v>
      </c>
      <c r="L95" s="24" t="s">
        <v>1602</v>
      </c>
      <c r="M95" s="25">
        <f>DATE(YEAR(OneWeekMtgRatesDataTable75[[#This Row],[asOf]]),MONTH(OneWeekMtgRatesDataTable75[[#This Row],[asOf]]),DAY(OneWeekMtgRatesDataTable75[[#This Row],[asOf]]))</f>
        <v>42186</v>
      </c>
      <c r="N95" s="24">
        <v>4.08</v>
      </c>
      <c r="O95" s="24">
        <v>0.6</v>
      </c>
      <c r="P95" s="24">
        <v>3.98</v>
      </c>
    </row>
    <row r="96" spans="8:16">
      <c r="H96" s="50">
        <v>39508</v>
      </c>
      <c r="I96" s="50">
        <f t="shared" si="7"/>
        <v>39538</v>
      </c>
      <c r="J96" s="53">
        <v>6.1930936320383552</v>
      </c>
      <c r="L96" s="24" t="s">
        <v>1555</v>
      </c>
      <c r="M96" s="25">
        <f>DATE(YEAR(OneWeekMtgRatesDataTable75[[#This Row],[asOf]]),MONTH(OneWeekMtgRatesDataTable75[[#This Row],[asOf]]),DAY(OneWeekMtgRatesDataTable75[[#This Row],[asOf]]))</f>
        <v>42185</v>
      </c>
      <c r="N96" s="24">
        <v>4.08</v>
      </c>
      <c r="O96" s="24">
        <v>0.6</v>
      </c>
      <c r="P96" s="24">
        <v>3.98</v>
      </c>
    </row>
    <row r="97" spans="8:16">
      <c r="H97" s="50">
        <v>39479</v>
      </c>
      <c r="I97" s="50">
        <f t="shared" si="7"/>
        <v>39507</v>
      </c>
      <c r="J97" s="53">
        <v>6.2021993835017177</v>
      </c>
      <c r="L97" s="24" t="s">
        <v>1556</v>
      </c>
      <c r="M97" s="25">
        <f>DATE(YEAR(OneWeekMtgRatesDataTable75[[#This Row],[asOf]]),MONTH(OneWeekMtgRatesDataTable75[[#This Row],[asOf]]),DAY(OneWeekMtgRatesDataTable75[[#This Row],[asOf]]))</f>
        <v>42184</v>
      </c>
      <c r="N97" s="24">
        <v>4.08</v>
      </c>
      <c r="O97" s="24">
        <v>0.6</v>
      </c>
      <c r="P97" s="24">
        <v>3.98</v>
      </c>
    </row>
    <row r="98" spans="8:16">
      <c r="H98" s="50">
        <v>39448</v>
      </c>
      <c r="I98" s="50">
        <f t="shared" si="7"/>
        <v>39478</v>
      </c>
      <c r="J98" s="53">
        <v>6.2057051806566594</v>
      </c>
      <c r="L98" s="24" t="s">
        <v>1557</v>
      </c>
      <c r="M98" s="25">
        <f>DATE(YEAR(OneWeekMtgRatesDataTable75[[#This Row],[asOf]]),MONTH(OneWeekMtgRatesDataTable75[[#This Row],[asOf]]),DAY(OneWeekMtgRatesDataTable75[[#This Row],[asOf]]))</f>
        <v>42181</v>
      </c>
      <c r="N98" s="24">
        <v>4.08</v>
      </c>
      <c r="O98" s="24">
        <v>0.6</v>
      </c>
      <c r="P98" s="24">
        <v>3.98</v>
      </c>
    </row>
    <row r="99" spans="8:16">
      <c r="H99" s="50">
        <v>39417</v>
      </c>
      <c r="I99" s="50">
        <f t="shared" si="7"/>
        <v>39447</v>
      </c>
      <c r="J99" s="53">
        <v>6.2022670055416613</v>
      </c>
      <c r="L99" s="24" t="s">
        <v>1558</v>
      </c>
      <c r="M99" s="25">
        <f>DATE(YEAR(OneWeekMtgRatesDataTable75[[#This Row],[asOf]]),MONTH(OneWeekMtgRatesDataTable75[[#This Row],[asOf]]),DAY(OneWeekMtgRatesDataTable75[[#This Row],[asOf]]))</f>
        <v>42180</v>
      </c>
      <c r="N99" s="24">
        <v>4.08</v>
      </c>
      <c r="O99" s="24">
        <v>0.6</v>
      </c>
      <c r="P99" s="24">
        <v>3.98</v>
      </c>
    </row>
    <row r="100" spans="8:16">
      <c r="H100" s="50">
        <v>39387</v>
      </c>
      <c r="I100" s="50">
        <f t="shared" si="7"/>
        <v>39416</v>
      </c>
      <c r="J100" s="53">
        <v>6.1936750967948919</v>
      </c>
      <c r="L100" s="24" t="s">
        <v>1559</v>
      </c>
      <c r="M100" s="25">
        <f>DATE(YEAR(OneWeekMtgRatesDataTable75[[#This Row],[asOf]]),MONTH(OneWeekMtgRatesDataTable75[[#This Row],[asOf]]),DAY(OneWeekMtgRatesDataTable75[[#This Row],[asOf]]))</f>
        <v>42179</v>
      </c>
      <c r="N100" s="24">
        <v>4.0199999999999996</v>
      </c>
      <c r="O100" s="24">
        <v>0.7</v>
      </c>
      <c r="P100" s="24">
        <v>3.9449999999999994</v>
      </c>
    </row>
    <row r="101" spans="8:16">
      <c r="H101" s="50">
        <v>39356</v>
      </c>
      <c r="I101" s="50">
        <f t="shared" si="7"/>
        <v>39386</v>
      </c>
      <c r="J101" s="53">
        <v>6.1835135173344398</v>
      </c>
      <c r="L101" s="24" t="s">
        <v>1560</v>
      </c>
      <c r="M101" s="25">
        <f>DATE(YEAR(OneWeekMtgRatesDataTable75[[#This Row],[asOf]]),MONTH(OneWeekMtgRatesDataTable75[[#This Row],[asOf]]),DAY(OneWeekMtgRatesDataTable75[[#This Row],[asOf]]))</f>
        <v>42178</v>
      </c>
      <c r="N101" s="24">
        <v>4.0199999999999996</v>
      </c>
      <c r="O101" s="24">
        <v>0.7</v>
      </c>
      <c r="P101" s="24">
        <v>3.9449999999999994</v>
      </c>
    </row>
    <row r="102" spans="8:16">
      <c r="H102" s="50">
        <v>39326</v>
      </c>
      <c r="I102" s="50">
        <f t="shared" si="7"/>
        <v>39353</v>
      </c>
      <c r="J102" s="53">
        <v>6.1699407294909925</v>
      </c>
      <c r="L102" s="24" t="s">
        <v>1561</v>
      </c>
      <c r="M102" s="25">
        <f>DATE(YEAR(OneWeekMtgRatesDataTable75[[#This Row],[asOf]]),MONTH(OneWeekMtgRatesDataTable75[[#This Row],[asOf]]),DAY(OneWeekMtgRatesDataTable75[[#This Row],[asOf]]))</f>
        <v>42177</v>
      </c>
      <c r="N102" s="24">
        <v>4.0199999999999996</v>
      </c>
      <c r="O102" s="24">
        <v>0.7</v>
      </c>
      <c r="P102" s="24">
        <v>3.9449999999999994</v>
      </c>
    </row>
    <row r="103" spans="8:16">
      <c r="H103" s="50">
        <v>39295</v>
      </c>
      <c r="I103" s="50">
        <f t="shared" si="7"/>
        <v>39325</v>
      </c>
      <c r="J103" s="53">
        <v>6.154107596380725</v>
      </c>
      <c r="L103" s="24" t="s">
        <v>1562</v>
      </c>
      <c r="M103" s="25">
        <f>DATE(YEAR(OneWeekMtgRatesDataTable75[[#This Row],[asOf]]),MONTH(OneWeekMtgRatesDataTable75[[#This Row],[asOf]]),DAY(OneWeekMtgRatesDataTable75[[#This Row],[asOf]]))</f>
        <v>42174</v>
      </c>
      <c r="N103" s="24">
        <v>4.0199999999999996</v>
      </c>
      <c r="O103" s="24">
        <v>0.7</v>
      </c>
      <c r="P103" s="24">
        <v>3.9449999999999994</v>
      </c>
    </row>
    <row r="104" spans="8:16">
      <c r="H104" s="50">
        <v>39264</v>
      </c>
      <c r="I104" s="50">
        <f t="shared" si="7"/>
        <v>39294</v>
      </c>
      <c r="J104" s="53">
        <v>6.1419055944067713</v>
      </c>
      <c r="L104" s="24" t="s">
        <v>1563</v>
      </c>
      <c r="M104" s="25">
        <f>DATE(YEAR(OneWeekMtgRatesDataTable75[[#This Row],[asOf]]),MONTH(OneWeekMtgRatesDataTable75[[#This Row],[asOf]]),DAY(OneWeekMtgRatesDataTable75[[#This Row],[asOf]]))</f>
        <v>42173</v>
      </c>
      <c r="N104" s="24">
        <v>4.0199999999999996</v>
      </c>
      <c r="O104" s="24">
        <v>0.7</v>
      </c>
      <c r="P104" s="24">
        <v>3.9449999999999994</v>
      </c>
    </row>
    <row r="105" spans="8:16">
      <c r="H105" s="50">
        <v>39234</v>
      </c>
      <c r="I105" s="50">
        <f t="shared" si="7"/>
        <v>39262</v>
      </c>
      <c r="J105" s="53">
        <v>6.133032412761577</v>
      </c>
      <c r="K105" s="21"/>
      <c r="L105" s="21" t="s">
        <v>1564</v>
      </c>
      <c r="M105" s="25">
        <f>DATE(YEAR(OneWeekMtgRatesDataTable75[[#This Row],[asOf]]),MONTH(OneWeekMtgRatesDataTable75[[#This Row],[asOf]]),DAY(OneWeekMtgRatesDataTable75[[#This Row],[asOf]]))</f>
        <v>42172</v>
      </c>
      <c r="N105" s="21">
        <v>4</v>
      </c>
      <c r="O105" s="21">
        <v>0.7</v>
      </c>
      <c r="P105" s="21">
        <v>3.9249999999999998</v>
      </c>
    </row>
    <row r="106" spans="8:16">
      <c r="H106" s="50">
        <v>39203</v>
      </c>
      <c r="I106" s="50">
        <f t="shared" si="7"/>
        <v>39233</v>
      </c>
      <c r="J106" s="53">
        <v>6.128303820522186</v>
      </c>
      <c r="K106" s="21"/>
      <c r="L106" s="21" t="s">
        <v>1565</v>
      </c>
      <c r="M106" s="25">
        <f>DATE(YEAR(OneWeekMtgRatesDataTable75[[#This Row],[asOf]]),MONTH(OneWeekMtgRatesDataTable75[[#This Row],[asOf]]),DAY(OneWeekMtgRatesDataTable75[[#This Row],[asOf]]))</f>
        <v>42171</v>
      </c>
      <c r="N106" s="21">
        <v>4</v>
      </c>
      <c r="O106" s="21">
        <v>0.7</v>
      </c>
      <c r="P106" s="21">
        <v>3.9249999999999998</v>
      </c>
    </row>
    <row r="107" spans="8:16">
      <c r="H107" s="50">
        <v>39173</v>
      </c>
      <c r="I107" s="50">
        <f t="shared" si="7"/>
        <v>39202</v>
      </c>
      <c r="J107" s="53">
        <v>6.124880242364994</v>
      </c>
      <c r="K107" s="21"/>
      <c r="L107" s="21" t="s">
        <v>1566</v>
      </c>
      <c r="M107" s="25">
        <f>DATE(YEAR(OneWeekMtgRatesDataTable75[[#This Row],[asOf]]),MONTH(OneWeekMtgRatesDataTable75[[#This Row],[asOf]]),DAY(OneWeekMtgRatesDataTable75[[#This Row],[asOf]]))</f>
        <v>42170</v>
      </c>
      <c r="N107" s="21">
        <v>4</v>
      </c>
      <c r="O107" s="21">
        <v>0.7</v>
      </c>
      <c r="P107" s="21">
        <v>3.9249999999999998</v>
      </c>
    </row>
    <row r="108" spans="8:16">
      <c r="H108" s="50">
        <v>39142</v>
      </c>
      <c r="I108" s="50">
        <f t="shared" si="7"/>
        <v>39171</v>
      </c>
      <c r="J108" s="53">
        <v>6.1208978214506908</v>
      </c>
      <c r="K108" s="21"/>
      <c r="L108" s="21" t="s">
        <v>1567</v>
      </c>
      <c r="M108" s="25">
        <f>DATE(YEAR(OneWeekMtgRatesDataTable75[[#This Row],[asOf]]),MONTH(OneWeekMtgRatesDataTable75[[#This Row],[asOf]]),DAY(OneWeekMtgRatesDataTable75[[#This Row],[asOf]]))</f>
        <v>42167</v>
      </c>
      <c r="N108" s="21">
        <v>4</v>
      </c>
      <c r="O108" s="21">
        <v>0.7</v>
      </c>
      <c r="P108" s="21">
        <v>3.9249999999999998</v>
      </c>
    </row>
    <row r="109" spans="8:16">
      <c r="H109" s="50">
        <v>39114</v>
      </c>
      <c r="I109" s="50">
        <f t="shared" si="7"/>
        <v>39141</v>
      </c>
      <c r="J109" s="53">
        <v>6.1174359987783431</v>
      </c>
      <c r="K109" s="21"/>
      <c r="L109" s="21" t="s">
        <v>1568</v>
      </c>
      <c r="M109" s="25">
        <f>DATE(YEAR(OneWeekMtgRatesDataTable75[[#This Row],[asOf]]),MONTH(OneWeekMtgRatesDataTable75[[#This Row],[asOf]]),DAY(OneWeekMtgRatesDataTable75[[#This Row],[asOf]]))</f>
        <v>42166</v>
      </c>
      <c r="N109" s="21">
        <v>4</v>
      </c>
      <c r="O109" s="21">
        <v>0.7</v>
      </c>
      <c r="P109" s="21">
        <v>3.9249999999999998</v>
      </c>
    </row>
    <row r="110" spans="8:16">
      <c r="H110" s="50">
        <v>39083</v>
      </c>
      <c r="I110" s="50">
        <f t="shared" si="7"/>
        <v>39113</v>
      </c>
      <c r="J110" s="53">
        <v>6.1151773281207404</v>
      </c>
      <c r="K110" s="21"/>
      <c r="L110" s="21" t="s">
        <v>1569</v>
      </c>
      <c r="M110" s="25">
        <f>DATE(YEAR(OneWeekMtgRatesDataTable75[[#This Row],[asOf]]),MONTH(OneWeekMtgRatesDataTable75[[#This Row],[asOf]]),DAY(OneWeekMtgRatesDataTable75[[#This Row],[asOf]]))</f>
        <v>42165</v>
      </c>
      <c r="N110" s="21">
        <v>4.04</v>
      </c>
      <c r="O110" s="21">
        <v>0.6</v>
      </c>
      <c r="P110" s="21">
        <v>3.94</v>
      </c>
    </row>
    <row r="111" spans="8:16">
      <c r="H111" s="50">
        <v>39052</v>
      </c>
      <c r="I111" s="50">
        <f t="shared" si="7"/>
        <v>39080</v>
      </c>
      <c r="J111" s="53">
        <v>6.1115836866910209</v>
      </c>
      <c r="K111" s="21"/>
      <c r="L111" s="21" t="s">
        <v>1570</v>
      </c>
      <c r="M111" s="25">
        <f>DATE(YEAR(OneWeekMtgRatesDataTable75[[#This Row],[asOf]]),MONTH(OneWeekMtgRatesDataTable75[[#This Row],[asOf]]),DAY(OneWeekMtgRatesDataTable75[[#This Row],[asOf]]))</f>
        <v>42164</v>
      </c>
      <c r="N111" s="21">
        <v>4.04</v>
      </c>
      <c r="O111" s="21">
        <v>0.6</v>
      </c>
      <c r="P111" s="21">
        <v>3.94</v>
      </c>
    </row>
    <row r="112" spans="8:16">
      <c r="H112" s="50">
        <v>39022</v>
      </c>
      <c r="I112" s="50">
        <f t="shared" si="7"/>
        <v>39051</v>
      </c>
      <c r="J112" s="53">
        <v>6.1050261156587329</v>
      </c>
      <c r="K112" s="21"/>
      <c r="L112" s="21" t="s">
        <v>1571</v>
      </c>
      <c r="M112" s="25">
        <f>DATE(YEAR(OneWeekMtgRatesDataTable75[[#This Row],[asOf]]),MONTH(OneWeekMtgRatesDataTable75[[#This Row],[asOf]]),DAY(OneWeekMtgRatesDataTable75[[#This Row],[asOf]]))</f>
        <v>42163</v>
      </c>
      <c r="N112" s="21">
        <v>4.04</v>
      </c>
      <c r="O112" s="21">
        <v>0.6</v>
      </c>
      <c r="P112" s="21">
        <v>3.94</v>
      </c>
    </row>
    <row r="113" spans="8:16">
      <c r="H113" s="50">
        <v>38991</v>
      </c>
      <c r="I113" s="50">
        <f t="shared" si="7"/>
        <v>39021</v>
      </c>
      <c r="J113" s="53">
        <v>6.0967656028976611</v>
      </c>
      <c r="K113" s="21"/>
      <c r="L113" s="21" t="s">
        <v>1572</v>
      </c>
      <c r="M113" s="25">
        <f>DATE(YEAR(OneWeekMtgRatesDataTable75[[#This Row],[asOf]]),MONTH(OneWeekMtgRatesDataTable75[[#This Row],[asOf]]),DAY(OneWeekMtgRatesDataTable75[[#This Row],[asOf]]))</f>
        <v>42160</v>
      </c>
      <c r="N113" s="21">
        <v>4.04</v>
      </c>
      <c r="O113" s="21">
        <v>0.6</v>
      </c>
      <c r="P113" s="21">
        <v>3.94</v>
      </c>
    </row>
    <row r="114" spans="8:16">
      <c r="H114" s="50">
        <v>38961</v>
      </c>
      <c r="I114" s="50">
        <f t="shared" si="7"/>
        <v>38989</v>
      </c>
      <c r="J114" s="53">
        <v>6.0837266053371089</v>
      </c>
      <c r="K114" s="21"/>
      <c r="L114" s="21" t="s">
        <v>1573</v>
      </c>
      <c r="M114" s="25">
        <f>DATE(YEAR(OneWeekMtgRatesDataTable75[[#This Row],[asOf]]),MONTH(OneWeekMtgRatesDataTable75[[#This Row],[asOf]]),DAY(OneWeekMtgRatesDataTable75[[#This Row],[asOf]]))</f>
        <v>42159</v>
      </c>
      <c r="N114" s="21">
        <v>4.04</v>
      </c>
      <c r="O114" s="21">
        <v>0.6</v>
      </c>
      <c r="P114" s="21">
        <v>3.94</v>
      </c>
    </row>
    <row r="115" spans="8:16">
      <c r="H115" s="50">
        <v>38930</v>
      </c>
      <c r="I115" s="50">
        <f t="shared" si="7"/>
        <v>38960</v>
      </c>
      <c r="J115" s="53">
        <v>6.069785653114649</v>
      </c>
      <c r="K115" s="21"/>
      <c r="L115" s="21" t="s">
        <v>1574</v>
      </c>
      <c r="M115" s="25">
        <f>DATE(YEAR(OneWeekMtgRatesDataTable75[[#This Row],[asOf]]),MONTH(OneWeekMtgRatesDataTable75[[#This Row],[asOf]]),DAY(OneWeekMtgRatesDataTable75[[#This Row],[asOf]]))</f>
        <v>42158</v>
      </c>
      <c r="N115" s="21">
        <v>3.87</v>
      </c>
      <c r="O115" s="21">
        <v>0.6</v>
      </c>
      <c r="P115" s="21">
        <v>3.77</v>
      </c>
    </row>
    <row r="116" spans="8:16">
      <c r="H116" s="50">
        <v>38899</v>
      </c>
      <c r="I116" s="50">
        <f t="shared" si="7"/>
        <v>38929</v>
      </c>
      <c r="J116" s="53">
        <v>6.0550007104116164</v>
      </c>
      <c r="K116" s="21"/>
      <c r="L116" s="21" t="s">
        <v>1575</v>
      </c>
      <c r="M116" s="25">
        <f>DATE(YEAR(OneWeekMtgRatesDataTable75[[#This Row],[asOf]]),MONTH(OneWeekMtgRatesDataTable75[[#This Row],[asOf]]),DAY(OneWeekMtgRatesDataTable75[[#This Row],[asOf]]))</f>
        <v>42157</v>
      </c>
      <c r="N116" s="21">
        <v>3.87</v>
      </c>
      <c r="O116" s="21">
        <v>0.6</v>
      </c>
      <c r="P116" s="21">
        <v>3.77</v>
      </c>
    </row>
    <row r="117" spans="8:16">
      <c r="H117" s="50">
        <v>38869</v>
      </c>
      <c r="I117" s="50">
        <f t="shared" si="7"/>
        <v>38898</v>
      </c>
      <c r="J117" s="53">
        <v>6.0428022320421233</v>
      </c>
      <c r="K117" s="21"/>
      <c r="L117" s="21" t="s">
        <v>1527</v>
      </c>
      <c r="M117" s="25">
        <f>DATE(YEAR(OneWeekMtgRatesDataTable75[[#This Row],[asOf]]),MONTH(OneWeekMtgRatesDataTable75[[#This Row],[asOf]]),DAY(OneWeekMtgRatesDataTable75[[#This Row],[asOf]]))</f>
        <v>42156</v>
      </c>
      <c r="N117" s="21">
        <v>3.87</v>
      </c>
      <c r="O117" s="21">
        <v>0.6</v>
      </c>
      <c r="P117" s="21">
        <v>3.77</v>
      </c>
    </row>
    <row r="118" spans="8:16">
      <c r="H118" s="50">
        <v>38838</v>
      </c>
      <c r="I118" s="50">
        <f t="shared" si="7"/>
        <v>38868</v>
      </c>
      <c r="J118" s="53">
        <v>6.0321812195439115</v>
      </c>
      <c r="K118" s="21"/>
      <c r="L118" s="21" t="s">
        <v>1528</v>
      </c>
      <c r="M118" s="25">
        <f>DATE(YEAR(OneWeekMtgRatesDataTable75[[#This Row],[asOf]]),MONTH(OneWeekMtgRatesDataTable75[[#This Row],[asOf]]),DAY(OneWeekMtgRatesDataTable75[[#This Row],[asOf]]))</f>
        <v>42153</v>
      </c>
      <c r="N118" s="21">
        <v>3.87</v>
      </c>
      <c r="O118" s="21">
        <v>0.6</v>
      </c>
      <c r="P118" s="21">
        <v>3.77</v>
      </c>
    </row>
    <row r="119" spans="8:16">
      <c r="H119" s="50">
        <v>38808</v>
      </c>
      <c r="I119" s="50">
        <f t="shared" si="7"/>
        <v>38835</v>
      </c>
      <c r="J119" s="53">
        <v>6.0247026465371158</v>
      </c>
      <c r="K119" s="21"/>
      <c r="L119" s="21" t="s">
        <v>1529</v>
      </c>
      <c r="M119" s="25">
        <f>DATE(YEAR(OneWeekMtgRatesDataTable75[[#This Row],[asOf]]),MONTH(OneWeekMtgRatesDataTable75[[#This Row],[asOf]]),DAY(OneWeekMtgRatesDataTable75[[#This Row],[asOf]]))</f>
        <v>42152</v>
      </c>
      <c r="N119" s="21">
        <v>3.87</v>
      </c>
      <c r="O119" s="21">
        <v>0.6</v>
      </c>
      <c r="P119" s="21">
        <v>3.77</v>
      </c>
    </row>
    <row r="120" spans="8:16">
      <c r="H120" s="50">
        <v>38777</v>
      </c>
      <c r="I120" s="50">
        <f t="shared" si="7"/>
        <v>38807</v>
      </c>
      <c r="J120" s="53">
        <v>6.0200183295153664</v>
      </c>
      <c r="K120" s="21"/>
      <c r="L120" s="21" t="s">
        <v>1530</v>
      </c>
      <c r="M120" s="25">
        <f>DATE(YEAR(OneWeekMtgRatesDataTable75[[#This Row],[asOf]]),MONTH(OneWeekMtgRatesDataTable75[[#This Row],[asOf]]),DAY(OneWeekMtgRatesDataTable75[[#This Row],[asOf]]))</f>
        <v>42151</v>
      </c>
      <c r="N120" s="21">
        <v>3.87</v>
      </c>
      <c r="O120" s="21">
        <v>0.6</v>
      </c>
      <c r="P120" s="21">
        <v>3.77</v>
      </c>
    </row>
    <row r="121" spans="8:16">
      <c r="H121" s="50">
        <v>38749</v>
      </c>
      <c r="I121" s="50">
        <f t="shared" si="7"/>
        <v>38776</v>
      </c>
      <c r="J121" s="53">
        <v>6.0154132596131431</v>
      </c>
      <c r="K121" s="21"/>
      <c r="L121" s="21" t="s">
        <v>1531</v>
      </c>
      <c r="M121" s="25">
        <f>DATE(YEAR(OneWeekMtgRatesDataTable75[[#This Row],[asOf]]),MONTH(OneWeekMtgRatesDataTable75[[#This Row],[asOf]]),DAY(OneWeekMtgRatesDataTable75[[#This Row],[asOf]]))</f>
        <v>42150</v>
      </c>
      <c r="N121" s="21">
        <v>3.87</v>
      </c>
      <c r="O121" s="21">
        <v>0.6</v>
      </c>
      <c r="P121" s="21">
        <v>3.77</v>
      </c>
    </row>
    <row r="122" spans="8:16">
      <c r="H122" s="50">
        <v>38718</v>
      </c>
      <c r="I122" s="50">
        <f t="shared" si="7"/>
        <v>38748</v>
      </c>
      <c r="J122" s="53">
        <v>6.0114448276697781</v>
      </c>
      <c r="K122" s="21"/>
      <c r="L122" s="21" t="s">
        <v>1532</v>
      </c>
      <c r="M122" s="25">
        <f>DATE(YEAR(OneWeekMtgRatesDataTable75[[#This Row],[asOf]]),MONTH(OneWeekMtgRatesDataTable75[[#This Row],[asOf]]),DAY(OneWeekMtgRatesDataTable75[[#This Row],[asOf]]))</f>
        <v>42146</v>
      </c>
      <c r="N122" s="21">
        <v>3.87</v>
      </c>
      <c r="O122" s="21">
        <v>0.6</v>
      </c>
      <c r="P122" s="21">
        <v>3.77</v>
      </c>
    </row>
    <row r="123" spans="8:16">
      <c r="H123" s="50">
        <v>38687</v>
      </c>
      <c r="I123" s="50">
        <f t="shared" si="7"/>
        <v>38716</v>
      </c>
      <c r="J123" s="53">
        <v>6.0081037414650309</v>
      </c>
      <c r="K123" s="21"/>
      <c r="L123" s="21" t="s">
        <v>1533</v>
      </c>
      <c r="M123" s="25">
        <f>DATE(YEAR(OneWeekMtgRatesDataTable75[[#This Row],[asOf]]),MONTH(OneWeekMtgRatesDataTable75[[#This Row],[asOf]]),DAY(OneWeekMtgRatesDataTable75[[#This Row],[asOf]]))</f>
        <v>42145</v>
      </c>
      <c r="N123" s="21">
        <v>3.87</v>
      </c>
      <c r="O123" s="21">
        <v>0.6</v>
      </c>
      <c r="P123" s="21">
        <v>3.77</v>
      </c>
    </row>
    <row r="124" spans="8:16">
      <c r="H124" s="50">
        <v>38657</v>
      </c>
      <c r="I124" s="50">
        <f t="shared" si="7"/>
        <v>38686</v>
      </c>
      <c r="J124" s="53">
        <v>6.0095922398203516</v>
      </c>
      <c r="K124" s="21"/>
      <c r="L124" s="21" t="s">
        <v>1534</v>
      </c>
      <c r="M124" s="25">
        <f>DATE(YEAR(OneWeekMtgRatesDataTable75[[#This Row],[asOf]]),MONTH(OneWeekMtgRatesDataTable75[[#This Row],[asOf]]),DAY(OneWeekMtgRatesDataTable75[[#This Row],[asOf]]))</f>
        <v>42144</v>
      </c>
      <c r="N124" s="21">
        <v>3.84</v>
      </c>
      <c r="O124" s="21">
        <v>0.7</v>
      </c>
      <c r="P124" s="21">
        <v>3.7649999999999997</v>
      </c>
    </row>
    <row r="125" spans="8:16">
      <c r="H125" s="50">
        <v>38626</v>
      </c>
      <c r="I125" s="50">
        <f t="shared" si="7"/>
        <v>38656</v>
      </c>
      <c r="J125" s="53">
        <v>6.0150666133711397</v>
      </c>
      <c r="K125" s="21"/>
      <c r="L125" s="21" t="s">
        <v>1535</v>
      </c>
      <c r="M125" s="25">
        <f>DATE(YEAR(OneWeekMtgRatesDataTable75[[#This Row],[asOf]]),MONTH(OneWeekMtgRatesDataTable75[[#This Row],[asOf]]),DAY(OneWeekMtgRatesDataTable75[[#This Row],[asOf]]))</f>
        <v>42143</v>
      </c>
      <c r="N125" s="21">
        <v>3.84</v>
      </c>
      <c r="O125" s="21">
        <v>0.7</v>
      </c>
      <c r="P125" s="21">
        <v>3.7649999999999997</v>
      </c>
    </row>
    <row r="126" spans="8:16">
      <c r="H126" s="50">
        <v>38596</v>
      </c>
      <c r="I126" s="50">
        <f t="shared" si="7"/>
        <v>38625</v>
      </c>
      <c r="J126" s="53">
        <v>6.0224193008816895</v>
      </c>
      <c r="K126" s="21"/>
      <c r="L126" s="21" t="s">
        <v>1536</v>
      </c>
      <c r="M126" s="25">
        <f>DATE(YEAR(OneWeekMtgRatesDataTable75[[#This Row],[asOf]]),MONTH(OneWeekMtgRatesDataTable75[[#This Row],[asOf]]),DAY(OneWeekMtgRatesDataTable75[[#This Row],[asOf]]))</f>
        <v>42142</v>
      </c>
      <c r="N126" s="21">
        <v>3.84</v>
      </c>
      <c r="O126" s="21">
        <v>0.7</v>
      </c>
      <c r="P126" s="21">
        <v>3.7649999999999997</v>
      </c>
    </row>
    <row r="127" spans="8:16">
      <c r="H127" s="50">
        <v>38565</v>
      </c>
      <c r="I127" s="50">
        <f t="shared" si="7"/>
        <v>38595</v>
      </c>
      <c r="J127" s="53">
        <v>6.0330389042446155</v>
      </c>
      <c r="K127" s="21"/>
      <c r="L127" s="21" t="s">
        <v>1537</v>
      </c>
      <c r="M127" s="25">
        <f>DATE(YEAR(OneWeekMtgRatesDataTable75[[#This Row],[asOf]]),MONTH(OneWeekMtgRatesDataTable75[[#This Row],[asOf]]),DAY(OneWeekMtgRatesDataTable75[[#This Row],[asOf]]))</f>
        <v>42139</v>
      </c>
      <c r="N127" s="21">
        <v>3.84</v>
      </c>
      <c r="O127" s="21">
        <v>0.7</v>
      </c>
      <c r="P127" s="21">
        <v>3.7649999999999997</v>
      </c>
    </row>
    <row r="128" spans="8:16">
      <c r="H128" s="50">
        <v>38534</v>
      </c>
      <c r="I128" s="50">
        <f t="shared" si="7"/>
        <v>38562</v>
      </c>
      <c r="J128" s="53">
        <v>6.0442837025672125</v>
      </c>
      <c r="K128" s="21"/>
      <c r="L128" s="21" t="s">
        <v>1538</v>
      </c>
      <c r="M128" s="25">
        <f>DATE(YEAR(OneWeekMtgRatesDataTable75[[#This Row],[asOf]]),MONTH(OneWeekMtgRatesDataTable75[[#This Row],[asOf]]),DAY(OneWeekMtgRatesDataTable75[[#This Row],[asOf]]))</f>
        <v>42138</v>
      </c>
      <c r="N128" s="21">
        <v>3.84</v>
      </c>
      <c r="O128" s="21">
        <v>0.7</v>
      </c>
      <c r="P128" s="21">
        <v>3.7649999999999997</v>
      </c>
    </row>
    <row r="129" spans="8:16">
      <c r="H129" s="50">
        <v>38504</v>
      </c>
      <c r="I129" s="50">
        <f t="shared" si="7"/>
        <v>38533</v>
      </c>
      <c r="J129" s="53">
        <v>6.0534152973953574</v>
      </c>
      <c r="K129" s="21"/>
      <c r="L129" s="21" t="s">
        <v>1539</v>
      </c>
      <c r="M129" s="25">
        <f>DATE(YEAR(OneWeekMtgRatesDataTable75[[#This Row],[asOf]]),MONTH(OneWeekMtgRatesDataTable75[[#This Row],[asOf]]),DAY(OneWeekMtgRatesDataTable75[[#This Row],[asOf]]))</f>
        <v>42137</v>
      </c>
      <c r="N129" s="21">
        <v>3.85</v>
      </c>
      <c r="O129" s="21">
        <v>0.6</v>
      </c>
      <c r="P129" s="21">
        <v>3.75</v>
      </c>
    </row>
    <row r="130" spans="8:16">
      <c r="H130" s="50">
        <v>38473</v>
      </c>
      <c r="I130" s="50">
        <f t="shared" si="7"/>
        <v>38503</v>
      </c>
      <c r="J130" s="53">
        <v>6.0593567559784667</v>
      </c>
      <c r="K130" s="21"/>
      <c r="L130" s="21" t="s">
        <v>1540</v>
      </c>
      <c r="M130" s="25">
        <f>DATE(YEAR(OneWeekMtgRatesDataTable75[[#This Row],[asOf]]),MONTH(OneWeekMtgRatesDataTable75[[#This Row],[asOf]]),DAY(OneWeekMtgRatesDataTable75[[#This Row],[asOf]]))</f>
        <v>42136</v>
      </c>
      <c r="N130" s="21">
        <v>3.85</v>
      </c>
      <c r="O130" s="21">
        <v>0.6</v>
      </c>
      <c r="P130" s="21">
        <v>3.75</v>
      </c>
    </row>
    <row r="131" spans="8:16">
      <c r="H131" s="50">
        <v>38443</v>
      </c>
      <c r="I131" s="50">
        <f t="shared" si="7"/>
        <v>38471</v>
      </c>
      <c r="J131" s="53">
        <v>6.0668000832245879</v>
      </c>
      <c r="K131" s="21"/>
      <c r="L131" s="21" t="s">
        <v>1541</v>
      </c>
      <c r="M131" s="25">
        <f>DATE(YEAR(OneWeekMtgRatesDataTable75[[#This Row],[asOf]]),MONTH(OneWeekMtgRatesDataTable75[[#This Row],[asOf]]),DAY(OneWeekMtgRatesDataTable75[[#This Row],[asOf]]))</f>
        <v>42135</v>
      </c>
      <c r="N131" s="21">
        <v>3.85</v>
      </c>
      <c r="O131" s="21">
        <v>0.6</v>
      </c>
      <c r="P131" s="21">
        <v>3.75</v>
      </c>
    </row>
    <row r="132" spans="8:16">
      <c r="H132" s="50">
        <v>38412</v>
      </c>
      <c r="I132" s="50">
        <f t="shared" ref="I132:I195" si="8">IF(WEEKDAY(DATE(YEAR(H132),MONTH(H132)+1,0),2)=6,DATE(YEAR(H132),MONTH(H132)+1,0)-1,IF(WEEKDAY(DATE(YEAR(H132),MONTH(H132)+1,0),2)=7,DATE(YEAR(H132),MONTH(H132)+1,0)-2,DATE(YEAR(H132),MONTH(H132)+1,0)))</f>
        <v>38442</v>
      </c>
      <c r="J132" s="53">
        <v>6.0785938874519987</v>
      </c>
      <c r="K132" s="21"/>
      <c r="L132" s="21" t="s">
        <v>1526</v>
      </c>
      <c r="M132" s="25">
        <f>DATE(YEAR(OneWeekMtgRatesDataTable75[[#This Row],[asOf]]),MONTH(OneWeekMtgRatesDataTable75[[#This Row],[asOf]]),DAY(OneWeekMtgRatesDataTable75[[#This Row],[asOf]]))</f>
        <v>42132</v>
      </c>
      <c r="N132" s="21">
        <v>3.85</v>
      </c>
      <c r="O132" s="21">
        <v>0.6</v>
      </c>
      <c r="P132" s="21">
        <v>3.75</v>
      </c>
    </row>
    <row r="133" spans="8:16">
      <c r="H133" s="50">
        <v>38384</v>
      </c>
      <c r="I133" s="50">
        <f t="shared" si="8"/>
        <v>38411</v>
      </c>
      <c r="J133" s="53">
        <v>6.0882423130064458</v>
      </c>
      <c r="K133" s="21"/>
      <c r="L133" s="21" t="s">
        <v>24</v>
      </c>
      <c r="M133" s="25">
        <f>DATE(YEAR(OneWeekMtgRatesDataTable75[[#This Row],[asOf]]),MONTH(OneWeekMtgRatesDataTable75[[#This Row],[asOf]]),DAY(OneWeekMtgRatesDataTable75[[#This Row],[asOf]]))</f>
        <v>42131</v>
      </c>
      <c r="N133" s="21">
        <v>3.85</v>
      </c>
      <c r="O133" s="21">
        <v>0.6</v>
      </c>
      <c r="P133" s="21">
        <v>3.75</v>
      </c>
    </row>
    <row r="134" spans="8:16">
      <c r="H134" s="50">
        <v>38353</v>
      </c>
      <c r="I134" s="50">
        <f t="shared" si="8"/>
        <v>38383</v>
      </c>
      <c r="J134" s="53">
        <v>6.0967223586045804</v>
      </c>
      <c r="K134" s="21"/>
      <c r="L134" s="21" t="s">
        <v>1525</v>
      </c>
      <c r="M134" s="25">
        <f>DATE(YEAR(OneWeekMtgRatesDataTable75[[#This Row],[asOf]]),MONTH(OneWeekMtgRatesDataTable75[[#This Row],[asOf]]),DAY(OneWeekMtgRatesDataTable75[[#This Row],[asOf]]))</f>
        <v>42130</v>
      </c>
      <c r="N134" s="21">
        <v>3.8</v>
      </c>
      <c r="O134" s="21">
        <v>0.6</v>
      </c>
      <c r="P134" s="21">
        <v>3.6999999999999997</v>
      </c>
    </row>
    <row r="135" spans="8:16">
      <c r="H135" s="50">
        <v>38322</v>
      </c>
      <c r="I135" s="50">
        <f t="shared" si="8"/>
        <v>38352</v>
      </c>
      <c r="J135" s="53">
        <v>6.1080721751256553</v>
      </c>
      <c r="K135" s="21"/>
      <c r="L135" s="21" t="s">
        <v>1524</v>
      </c>
      <c r="M135" s="25">
        <f>DATE(YEAR(OneWeekMtgRatesDataTable75[[#This Row],[asOf]]),MONTH(OneWeekMtgRatesDataTable75[[#This Row],[asOf]]),DAY(OneWeekMtgRatesDataTable75[[#This Row],[asOf]]))</f>
        <v>42129</v>
      </c>
      <c r="N135" s="21">
        <v>3.8</v>
      </c>
      <c r="O135" s="21">
        <v>0.6</v>
      </c>
      <c r="P135" s="21">
        <v>3.6999999999999997</v>
      </c>
    </row>
    <row r="136" spans="8:16">
      <c r="H136" s="50">
        <v>38292</v>
      </c>
      <c r="I136" s="50">
        <f t="shared" si="8"/>
        <v>38321</v>
      </c>
      <c r="J136" s="53">
        <v>6.118380817180574</v>
      </c>
      <c r="K136" s="21"/>
      <c r="L136" s="21" t="s">
        <v>1523</v>
      </c>
      <c r="M136" s="25">
        <f>DATE(YEAR(OneWeekMtgRatesDataTable75[[#This Row],[asOf]]),MONTH(OneWeekMtgRatesDataTable75[[#This Row],[asOf]]),DAY(OneWeekMtgRatesDataTable75[[#This Row],[asOf]]))</f>
        <v>42128</v>
      </c>
      <c r="N136" s="21">
        <v>3.8</v>
      </c>
      <c r="O136" s="21">
        <v>0.6</v>
      </c>
      <c r="P136" s="21">
        <v>3.6999999999999997</v>
      </c>
    </row>
    <row r="137" spans="8:16">
      <c r="H137" s="50">
        <v>38261</v>
      </c>
      <c r="I137" s="50">
        <f t="shared" si="8"/>
        <v>38289</v>
      </c>
      <c r="J137" s="53">
        <v>6.1283198780861348</v>
      </c>
      <c r="K137" s="21"/>
      <c r="L137" s="21" t="s">
        <v>1522</v>
      </c>
      <c r="M137" s="25">
        <f>DATE(YEAR(OneWeekMtgRatesDataTable75[[#This Row],[asOf]]),MONTH(OneWeekMtgRatesDataTable75[[#This Row],[asOf]]),DAY(OneWeekMtgRatesDataTable75[[#This Row],[asOf]]))</f>
        <v>42125</v>
      </c>
      <c r="N137" s="21">
        <v>3.8</v>
      </c>
      <c r="O137" s="21">
        <v>0.6</v>
      </c>
      <c r="P137" s="21">
        <v>3.6999999999999997</v>
      </c>
    </row>
    <row r="138" spans="8:16">
      <c r="H138" s="50">
        <v>38231</v>
      </c>
      <c r="I138" s="50">
        <f t="shared" si="8"/>
        <v>38260</v>
      </c>
      <c r="J138" s="53">
        <v>6.1360962416500247</v>
      </c>
      <c r="K138" s="21"/>
      <c r="L138" s="21" t="s">
        <v>1521</v>
      </c>
      <c r="M138" s="25">
        <f>DATE(YEAR(OneWeekMtgRatesDataTable75[[#This Row],[asOf]]),MONTH(OneWeekMtgRatesDataTable75[[#This Row],[asOf]]),DAY(OneWeekMtgRatesDataTable75[[#This Row],[asOf]]))</f>
        <v>42124</v>
      </c>
      <c r="N138" s="21">
        <v>3.8</v>
      </c>
      <c r="O138" s="21">
        <v>0.6</v>
      </c>
      <c r="P138" s="21">
        <v>3.6999999999999997</v>
      </c>
    </row>
    <row r="139" spans="8:16">
      <c r="H139" s="50">
        <v>38200</v>
      </c>
      <c r="I139" s="50">
        <f t="shared" si="8"/>
        <v>38230</v>
      </c>
      <c r="J139" s="53">
        <v>6.1421875026844317</v>
      </c>
      <c r="K139" s="21"/>
      <c r="L139" s="21" t="s">
        <v>1520</v>
      </c>
      <c r="M139" s="25">
        <f>DATE(YEAR(OneWeekMtgRatesDataTable75[[#This Row],[asOf]]),MONTH(OneWeekMtgRatesDataTable75[[#This Row],[asOf]]),DAY(OneWeekMtgRatesDataTable75[[#This Row],[asOf]]))</f>
        <v>42123</v>
      </c>
      <c r="N139" s="21">
        <v>3.68</v>
      </c>
      <c r="O139" s="21">
        <v>0.6</v>
      </c>
      <c r="P139" s="21">
        <v>3.58</v>
      </c>
    </row>
    <row r="140" spans="8:16">
      <c r="H140" s="50">
        <v>38169</v>
      </c>
      <c r="I140" s="50">
        <f t="shared" si="8"/>
        <v>38198</v>
      </c>
      <c r="J140" s="53">
        <v>6.146706594202084</v>
      </c>
      <c r="K140" s="21"/>
      <c r="L140" s="21" t="s">
        <v>1519</v>
      </c>
      <c r="M140" s="25">
        <f>DATE(YEAR(OneWeekMtgRatesDataTable75[[#This Row],[asOf]]),MONTH(OneWeekMtgRatesDataTable75[[#This Row],[asOf]]),DAY(OneWeekMtgRatesDataTable75[[#This Row],[asOf]]))</f>
        <v>42122</v>
      </c>
      <c r="N140" s="21">
        <v>3.68</v>
      </c>
      <c r="O140" s="21">
        <v>0.6</v>
      </c>
      <c r="P140" s="21">
        <v>3.58</v>
      </c>
    </row>
    <row r="141" spans="8:16">
      <c r="H141" s="50">
        <v>38139</v>
      </c>
      <c r="I141" s="50">
        <f t="shared" si="8"/>
        <v>38168</v>
      </c>
      <c r="J141" s="53">
        <v>6.1558719757116114</v>
      </c>
      <c r="K141" s="21"/>
      <c r="L141" s="21" t="s">
        <v>1518</v>
      </c>
      <c r="M141" s="25">
        <f>DATE(YEAR(OneWeekMtgRatesDataTable75[[#This Row],[asOf]]),MONTH(OneWeekMtgRatesDataTable75[[#This Row],[asOf]]),DAY(OneWeekMtgRatesDataTable75[[#This Row],[asOf]]))</f>
        <v>42121</v>
      </c>
      <c r="N141" s="21">
        <v>3.68</v>
      </c>
      <c r="O141" s="21">
        <v>0.6</v>
      </c>
      <c r="P141" s="21">
        <v>3.58</v>
      </c>
    </row>
    <row r="142" spans="8:16">
      <c r="H142" s="50">
        <v>38108</v>
      </c>
      <c r="I142" s="50">
        <f t="shared" si="8"/>
        <v>38138</v>
      </c>
      <c r="J142" s="53">
        <v>6.1755950636347592</v>
      </c>
      <c r="K142" s="21"/>
      <c r="L142" s="21" t="s">
        <v>1517</v>
      </c>
      <c r="M142" s="25">
        <f>DATE(YEAR(OneWeekMtgRatesDataTable75[[#This Row],[asOf]]),MONTH(OneWeekMtgRatesDataTable75[[#This Row],[asOf]]),DAY(OneWeekMtgRatesDataTable75[[#This Row],[asOf]]))</f>
        <v>42118</v>
      </c>
      <c r="N142" s="21">
        <v>3.68</v>
      </c>
      <c r="O142" s="21">
        <v>0.6</v>
      </c>
      <c r="P142" s="21">
        <v>3.58</v>
      </c>
    </row>
    <row r="143" spans="8:16">
      <c r="H143" s="50">
        <v>38078</v>
      </c>
      <c r="I143" s="50">
        <f t="shared" si="8"/>
        <v>38107</v>
      </c>
      <c r="J143" s="53">
        <v>6.2021392027685724</v>
      </c>
      <c r="K143" s="21"/>
      <c r="L143" s="21" t="s">
        <v>1516</v>
      </c>
      <c r="M143" s="25">
        <f>DATE(YEAR(OneWeekMtgRatesDataTable75[[#This Row],[asOf]]),MONTH(OneWeekMtgRatesDataTable75[[#This Row],[asOf]]),DAY(OneWeekMtgRatesDataTable75[[#This Row],[asOf]]))</f>
        <v>42117</v>
      </c>
      <c r="N143" s="21">
        <v>3.68</v>
      </c>
      <c r="O143" s="21">
        <v>0.6</v>
      </c>
      <c r="P143" s="21">
        <v>3.58</v>
      </c>
    </row>
    <row r="144" spans="8:16">
      <c r="H144" s="50">
        <v>38047</v>
      </c>
      <c r="I144" s="50">
        <f t="shared" si="8"/>
        <v>38077</v>
      </c>
      <c r="J144" s="53">
        <v>6.2293176772732037</v>
      </c>
      <c r="K144" s="21"/>
      <c r="L144" s="21" t="s">
        <v>1515</v>
      </c>
      <c r="M144" s="25">
        <f>DATE(YEAR(OneWeekMtgRatesDataTable75[[#This Row],[asOf]]),MONTH(OneWeekMtgRatesDataTable75[[#This Row],[asOf]]),DAY(OneWeekMtgRatesDataTable75[[#This Row],[asOf]]))</f>
        <v>42116</v>
      </c>
      <c r="N144" s="21">
        <v>3.65</v>
      </c>
      <c r="O144" s="21">
        <v>0.6</v>
      </c>
      <c r="P144" s="21">
        <v>3.55</v>
      </c>
    </row>
    <row r="145" spans="8:16">
      <c r="H145" s="50">
        <v>38018</v>
      </c>
      <c r="I145" s="50">
        <f t="shared" si="8"/>
        <v>38044</v>
      </c>
      <c r="J145" s="53">
        <v>6.2474025795140857</v>
      </c>
      <c r="K145" s="21"/>
      <c r="L145" s="21" t="s">
        <v>1514</v>
      </c>
      <c r="M145" s="25">
        <f>DATE(YEAR(OneWeekMtgRatesDataTable75[[#This Row],[asOf]]),MONTH(OneWeekMtgRatesDataTable75[[#This Row],[asOf]]),DAY(OneWeekMtgRatesDataTable75[[#This Row],[asOf]]))</f>
        <v>42115</v>
      </c>
      <c r="N145" s="21">
        <v>3.65</v>
      </c>
      <c r="O145" s="21">
        <v>0.6</v>
      </c>
      <c r="P145" s="21">
        <v>3.55</v>
      </c>
    </row>
    <row r="146" spans="8:16">
      <c r="H146" s="50">
        <v>37987</v>
      </c>
      <c r="I146" s="50">
        <f t="shared" si="8"/>
        <v>38016</v>
      </c>
      <c r="J146" s="53">
        <v>6.2645109377955928</v>
      </c>
      <c r="K146" s="21"/>
      <c r="L146" s="21" t="s">
        <v>1513</v>
      </c>
      <c r="M146" s="25">
        <f>DATE(YEAR(OneWeekMtgRatesDataTable75[[#This Row],[asOf]]),MONTH(OneWeekMtgRatesDataTable75[[#This Row],[asOf]]),DAY(OneWeekMtgRatesDataTable75[[#This Row],[asOf]]))</f>
        <v>42114</v>
      </c>
      <c r="N146" s="21">
        <v>3.65</v>
      </c>
      <c r="O146" s="21">
        <v>0.6</v>
      </c>
      <c r="P146" s="21">
        <v>3.55</v>
      </c>
    </row>
    <row r="147" spans="8:16">
      <c r="H147" s="50">
        <v>37956</v>
      </c>
      <c r="I147" s="50">
        <f t="shared" si="8"/>
        <v>37986</v>
      </c>
      <c r="J147" s="53">
        <v>6.2819200874416623</v>
      </c>
      <c r="K147" s="21"/>
      <c r="L147" s="21" t="s">
        <v>1512</v>
      </c>
      <c r="M147" s="25">
        <f>DATE(YEAR(OneWeekMtgRatesDataTable75[[#This Row],[asOf]]),MONTH(OneWeekMtgRatesDataTable75[[#This Row],[asOf]]),DAY(OneWeekMtgRatesDataTable75[[#This Row],[asOf]]))</f>
        <v>42111</v>
      </c>
      <c r="N147" s="21">
        <v>3.65</v>
      </c>
      <c r="O147" s="21">
        <v>0.6</v>
      </c>
      <c r="P147" s="21">
        <v>3.55</v>
      </c>
    </row>
    <row r="148" spans="8:16">
      <c r="H148" s="50">
        <v>37926</v>
      </c>
      <c r="I148" s="50">
        <f t="shared" si="8"/>
        <v>37953</v>
      </c>
      <c r="J148" s="53">
        <v>6.3046085393757219</v>
      </c>
      <c r="K148" s="21"/>
      <c r="L148" s="21" t="s">
        <v>1511</v>
      </c>
      <c r="M148" s="25">
        <f>DATE(YEAR(OneWeekMtgRatesDataTable75[[#This Row],[asOf]]),MONTH(OneWeekMtgRatesDataTable75[[#This Row],[asOf]]),DAY(OneWeekMtgRatesDataTable75[[#This Row],[asOf]]))</f>
        <v>42110</v>
      </c>
      <c r="N148" s="21">
        <v>3.65</v>
      </c>
      <c r="O148" s="21">
        <v>0.6</v>
      </c>
      <c r="P148" s="21">
        <v>3.55</v>
      </c>
    </row>
    <row r="149" spans="8:16">
      <c r="H149" s="50">
        <v>37895</v>
      </c>
      <c r="I149" s="50">
        <f t="shared" si="8"/>
        <v>37925</v>
      </c>
      <c r="J149" s="53">
        <v>6.3344524264485775</v>
      </c>
      <c r="K149" s="21"/>
      <c r="L149" s="21" t="s">
        <v>1510</v>
      </c>
      <c r="M149" s="25">
        <f>DATE(YEAR(OneWeekMtgRatesDataTable75[[#This Row],[asOf]]),MONTH(OneWeekMtgRatesDataTable75[[#This Row],[asOf]]),DAY(OneWeekMtgRatesDataTable75[[#This Row],[asOf]]))</f>
        <v>42109</v>
      </c>
      <c r="N149" s="21">
        <v>3.67</v>
      </c>
      <c r="O149" s="21">
        <v>0.7</v>
      </c>
      <c r="P149" s="21">
        <v>3.5949999999999998</v>
      </c>
    </row>
    <row r="150" spans="8:16">
      <c r="H150" s="50">
        <v>37865</v>
      </c>
      <c r="I150" s="50">
        <f t="shared" si="8"/>
        <v>37894</v>
      </c>
      <c r="J150" s="53">
        <v>6.3792497475485561</v>
      </c>
      <c r="K150" s="21"/>
      <c r="L150" s="21" t="s">
        <v>1509</v>
      </c>
      <c r="M150" s="25">
        <f>DATE(YEAR(OneWeekMtgRatesDataTable75[[#This Row],[asOf]]),MONTH(OneWeekMtgRatesDataTable75[[#This Row],[asOf]]),DAY(OneWeekMtgRatesDataTable75[[#This Row],[asOf]]))</f>
        <v>42108</v>
      </c>
      <c r="N150" s="21">
        <v>3.67</v>
      </c>
      <c r="O150" s="21">
        <v>0.7</v>
      </c>
      <c r="P150" s="21">
        <v>3.5949999999999998</v>
      </c>
    </row>
    <row r="151" spans="8:16">
      <c r="H151" s="50">
        <v>37834</v>
      </c>
      <c r="I151" s="50">
        <f t="shared" si="8"/>
        <v>37862</v>
      </c>
      <c r="J151" s="53">
        <v>6.4590147589846314</v>
      </c>
      <c r="K151" s="21"/>
      <c r="L151" s="21" t="s">
        <v>1508</v>
      </c>
      <c r="M151" s="25">
        <f>DATE(YEAR(OneWeekMtgRatesDataTable75[[#This Row],[asOf]]),MONTH(OneWeekMtgRatesDataTable75[[#This Row],[asOf]]),DAY(OneWeekMtgRatesDataTable75[[#This Row],[asOf]]))</f>
        <v>42107</v>
      </c>
      <c r="N151" s="21">
        <v>3.67</v>
      </c>
      <c r="O151" s="21">
        <v>0.7</v>
      </c>
      <c r="P151" s="21">
        <v>3.5949999999999998</v>
      </c>
    </row>
    <row r="152" spans="8:16">
      <c r="H152" s="50">
        <v>37803</v>
      </c>
      <c r="I152" s="50">
        <f t="shared" si="8"/>
        <v>37833</v>
      </c>
      <c r="J152" s="53">
        <v>6.5425053781685376</v>
      </c>
      <c r="K152" s="21"/>
      <c r="L152" s="21" t="s">
        <v>1507</v>
      </c>
      <c r="M152" s="25">
        <f>DATE(YEAR(OneWeekMtgRatesDataTable75[[#This Row],[asOf]]),MONTH(OneWeekMtgRatesDataTable75[[#This Row],[asOf]]),DAY(OneWeekMtgRatesDataTable75[[#This Row],[asOf]]))</f>
        <v>42104</v>
      </c>
      <c r="N152" s="21">
        <v>3.67</v>
      </c>
      <c r="O152" s="21">
        <v>0.7</v>
      </c>
      <c r="P152" s="21">
        <v>3.5949999999999998</v>
      </c>
    </row>
    <row r="153" spans="8:16">
      <c r="H153" s="50">
        <v>37773</v>
      </c>
      <c r="I153" s="50">
        <f t="shared" si="8"/>
        <v>37802</v>
      </c>
      <c r="J153" s="53">
        <v>6.6218022465641893</v>
      </c>
      <c r="K153" s="21"/>
      <c r="L153" s="21" t="s">
        <v>1506</v>
      </c>
      <c r="M153" s="25">
        <f>DATE(YEAR(OneWeekMtgRatesDataTable75[[#This Row],[asOf]]),MONTH(OneWeekMtgRatesDataTable75[[#This Row],[asOf]]),DAY(OneWeekMtgRatesDataTable75[[#This Row],[asOf]]))</f>
        <v>42103</v>
      </c>
      <c r="N153" s="21">
        <v>3.67</v>
      </c>
      <c r="O153" s="21">
        <v>0.7</v>
      </c>
      <c r="P153" s="21">
        <v>3.5949999999999998</v>
      </c>
    </row>
    <row r="154" spans="8:16">
      <c r="H154" s="50">
        <v>37742</v>
      </c>
      <c r="I154" s="50">
        <f t="shared" si="8"/>
        <v>37771</v>
      </c>
      <c r="J154" s="53">
        <v>6.6956151701594155</v>
      </c>
      <c r="K154" s="21"/>
      <c r="L154" s="21" t="s">
        <v>1505</v>
      </c>
      <c r="M154" s="25">
        <f>DATE(YEAR(OneWeekMtgRatesDataTable75[[#This Row],[asOf]]),MONTH(OneWeekMtgRatesDataTable75[[#This Row],[asOf]]),DAY(OneWeekMtgRatesDataTable75[[#This Row],[asOf]]))</f>
        <v>42102</v>
      </c>
      <c r="N154" s="21">
        <v>3.66</v>
      </c>
      <c r="O154" s="21">
        <v>0.6</v>
      </c>
      <c r="P154" s="21">
        <v>3.56</v>
      </c>
    </row>
    <row r="155" spans="8:16">
      <c r="H155" s="50">
        <v>37712</v>
      </c>
      <c r="I155" s="50">
        <f t="shared" si="8"/>
        <v>37741</v>
      </c>
      <c r="J155" s="53">
        <v>6.7631638643942598</v>
      </c>
      <c r="K155" s="21"/>
      <c r="L155" s="21" t="s">
        <v>1504</v>
      </c>
      <c r="M155" s="25">
        <f>DATE(YEAR(OneWeekMtgRatesDataTable75[[#This Row],[asOf]]),MONTH(OneWeekMtgRatesDataTable75[[#This Row],[asOf]]),DAY(OneWeekMtgRatesDataTable75[[#This Row],[asOf]]))</f>
        <v>42101</v>
      </c>
      <c r="N155" s="21">
        <v>3.66</v>
      </c>
      <c r="O155" s="21">
        <v>0.6</v>
      </c>
      <c r="P155" s="21">
        <v>3.56</v>
      </c>
    </row>
    <row r="156" spans="8:16">
      <c r="H156" s="50">
        <v>37681</v>
      </c>
      <c r="I156" s="50">
        <f t="shared" si="8"/>
        <v>37711</v>
      </c>
      <c r="J156" s="53">
        <v>6.8334412158562161</v>
      </c>
      <c r="K156" s="21"/>
      <c r="L156" s="21" t="s">
        <v>1503</v>
      </c>
      <c r="M156" s="25">
        <f>DATE(YEAR(OneWeekMtgRatesDataTable75[[#This Row],[asOf]]),MONTH(OneWeekMtgRatesDataTable75[[#This Row],[asOf]]),DAY(OneWeekMtgRatesDataTable75[[#This Row],[asOf]]))</f>
        <v>42100</v>
      </c>
      <c r="N156" s="21">
        <v>3.66</v>
      </c>
      <c r="O156" s="21">
        <v>0.6</v>
      </c>
      <c r="P156" s="21">
        <v>3.56</v>
      </c>
    </row>
    <row r="157" spans="8:16">
      <c r="H157" s="50">
        <v>37653</v>
      </c>
      <c r="I157" s="50">
        <f t="shared" si="8"/>
        <v>37680</v>
      </c>
      <c r="J157" s="53">
        <v>6.8902486501505535</v>
      </c>
      <c r="K157" s="21"/>
      <c r="L157" s="21" t="s">
        <v>1502</v>
      </c>
      <c r="M157" s="25">
        <f>DATE(YEAR(OneWeekMtgRatesDataTable75[[#This Row],[asOf]]),MONTH(OneWeekMtgRatesDataTable75[[#This Row],[asOf]]),DAY(OneWeekMtgRatesDataTable75[[#This Row],[asOf]]))</f>
        <v>42097</v>
      </c>
      <c r="N157" s="21">
        <v>3.66</v>
      </c>
      <c r="O157" s="21">
        <v>0.6</v>
      </c>
      <c r="P157" s="21">
        <v>3.56</v>
      </c>
    </row>
    <row r="158" spans="8:16">
      <c r="H158" s="50">
        <v>37622</v>
      </c>
      <c r="I158" s="50">
        <f t="shared" si="8"/>
        <v>37652</v>
      </c>
      <c r="J158" s="53">
        <v>6.9465510304239917</v>
      </c>
      <c r="K158" s="21"/>
      <c r="L158" s="21" t="s">
        <v>1501</v>
      </c>
      <c r="M158" s="25">
        <f>DATE(YEAR(OneWeekMtgRatesDataTable75[[#This Row],[asOf]]),MONTH(OneWeekMtgRatesDataTable75[[#This Row],[asOf]]),DAY(OneWeekMtgRatesDataTable75[[#This Row],[asOf]]))</f>
        <v>42096</v>
      </c>
      <c r="N158" s="21">
        <v>3.66</v>
      </c>
      <c r="O158" s="21">
        <v>0.6</v>
      </c>
      <c r="P158" s="21">
        <v>3.56</v>
      </c>
    </row>
    <row r="159" spans="8:16">
      <c r="H159" s="50">
        <v>37591</v>
      </c>
      <c r="I159" s="50">
        <f t="shared" si="8"/>
        <v>37621</v>
      </c>
      <c r="J159" s="53">
        <v>7.0105721975785684</v>
      </c>
      <c r="K159" s="21"/>
      <c r="L159" s="21" t="s">
        <v>1500</v>
      </c>
      <c r="M159" s="25">
        <f>DATE(YEAR(OneWeekMtgRatesDataTable75[[#This Row],[asOf]]),MONTH(OneWeekMtgRatesDataTable75[[#This Row],[asOf]]),DAY(OneWeekMtgRatesDataTable75[[#This Row],[asOf]]))</f>
        <v>42095</v>
      </c>
      <c r="N159" s="21">
        <v>3.7</v>
      </c>
      <c r="O159" s="21">
        <v>0.6</v>
      </c>
      <c r="P159" s="21">
        <v>3.6</v>
      </c>
    </row>
    <row r="160" spans="8:16">
      <c r="H160" s="50">
        <v>37561</v>
      </c>
      <c r="I160" s="50">
        <f t="shared" si="8"/>
        <v>37589</v>
      </c>
      <c r="J160" s="53">
        <v>7.0649126448338757</v>
      </c>
      <c r="K160" s="21"/>
      <c r="L160" s="21" t="s">
        <v>1499</v>
      </c>
      <c r="M160" s="25">
        <f>DATE(YEAR(OneWeekMtgRatesDataTable75[[#This Row],[asOf]]),MONTH(OneWeekMtgRatesDataTable75[[#This Row],[asOf]]),DAY(OneWeekMtgRatesDataTable75[[#This Row],[asOf]]))</f>
        <v>42094</v>
      </c>
      <c r="N160" s="21">
        <v>3.7</v>
      </c>
      <c r="O160" s="21">
        <v>0.6</v>
      </c>
      <c r="P160" s="21">
        <v>3.6</v>
      </c>
    </row>
    <row r="161" spans="8:16">
      <c r="H161" s="50">
        <v>37530</v>
      </c>
      <c r="I161" s="50">
        <f t="shared" si="8"/>
        <v>37560</v>
      </c>
      <c r="J161" s="53">
        <v>7.1159290973596354</v>
      </c>
      <c r="K161" s="21"/>
      <c r="L161" s="21" t="s">
        <v>1498</v>
      </c>
      <c r="M161" s="25">
        <f>DATE(YEAR(OneWeekMtgRatesDataTable75[[#This Row],[asOf]]),MONTH(OneWeekMtgRatesDataTable75[[#This Row],[asOf]]),DAY(OneWeekMtgRatesDataTable75[[#This Row],[asOf]]))</f>
        <v>42093</v>
      </c>
      <c r="N161" s="21">
        <v>3.7</v>
      </c>
      <c r="O161" s="21">
        <v>0.6</v>
      </c>
      <c r="P161" s="21">
        <v>3.6</v>
      </c>
    </row>
    <row r="162" spans="8:16">
      <c r="H162" s="50">
        <v>37500</v>
      </c>
      <c r="I162" s="50">
        <f t="shared" si="8"/>
        <v>37529</v>
      </c>
      <c r="J162" s="53">
        <v>7.1562991500090742</v>
      </c>
      <c r="K162" s="21"/>
      <c r="L162" s="21" t="s">
        <v>1497</v>
      </c>
      <c r="M162" s="25">
        <f>DATE(YEAR(OneWeekMtgRatesDataTable75[[#This Row],[asOf]]),MONTH(OneWeekMtgRatesDataTable75[[#This Row],[asOf]]),DAY(OneWeekMtgRatesDataTable75[[#This Row],[asOf]]))</f>
        <v>42090</v>
      </c>
      <c r="N162" s="21">
        <v>3.7</v>
      </c>
      <c r="O162" s="21">
        <v>0.6</v>
      </c>
      <c r="P162" s="21">
        <v>3.6</v>
      </c>
    </row>
    <row r="163" spans="8:16">
      <c r="H163" s="50">
        <v>37469</v>
      </c>
      <c r="I163" s="50">
        <f t="shared" si="8"/>
        <v>37498</v>
      </c>
      <c r="J163" s="53">
        <v>7.1857147743439533</v>
      </c>
      <c r="K163" s="21"/>
      <c r="L163" s="21" t="s">
        <v>1496</v>
      </c>
      <c r="M163" s="25">
        <f>DATE(YEAR(OneWeekMtgRatesDataTable75[[#This Row],[asOf]]),MONTH(OneWeekMtgRatesDataTable75[[#This Row],[asOf]]),DAY(OneWeekMtgRatesDataTable75[[#This Row],[asOf]]))</f>
        <v>42089</v>
      </c>
      <c r="N163" s="21">
        <v>3.7</v>
      </c>
      <c r="O163" s="21">
        <v>0.6</v>
      </c>
      <c r="P163" s="21">
        <v>3.6</v>
      </c>
    </row>
    <row r="164" spans="8:16">
      <c r="H164" s="50">
        <v>37438</v>
      </c>
      <c r="I164" s="50">
        <f t="shared" si="8"/>
        <v>37468</v>
      </c>
      <c r="J164" s="53">
        <v>7.2034993165370738</v>
      </c>
      <c r="K164" s="21"/>
      <c r="L164" s="21" t="s">
        <v>1495</v>
      </c>
      <c r="M164" s="25">
        <f>DATE(YEAR(OneWeekMtgRatesDataTable75[[#This Row],[asOf]]),MONTH(OneWeekMtgRatesDataTable75[[#This Row],[asOf]]),DAY(OneWeekMtgRatesDataTable75[[#This Row],[asOf]]))</f>
        <v>42088</v>
      </c>
      <c r="N164" s="21">
        <v>3.69</v>
      </c>
      <c r="O164" s="21">
        <v>0.6</v>
      </c>
      <c r="P164" s="21">
        <v>3.59</v>
      </c>
    </row>
    <row r="165" spans="8:16">
      <c r="H165" s="50">
        <v>37408</v>
      </c>
      <c r="I165" s="50">
        <f t="shared" si="8"/>
        <v>37435</v>
      </c>
      <c r="J165" s="53">
        <v>7.2160068963509065</v>
      </c>
      <c r="K165" s="21"/>
      <c r="L165" s="21" t="s">
        <v>1494</v>
      </c>
      <c r="M165" s="25">
        <f>DATE(YEAR(OneWeekMtgRatesDataTable75[[#This Row],[asOf]]),MONTH(OneWeekMtgRatesDataTable75[[#This Row],[asOf]]),DAY(OneWeekMtgRatesDataTable75[[#This Row],[asOf]]))</f>
        <v>42087</v>
      </c>
      <c r="N165" s="21">
        <v>3.69</v>
      </c>
      <c r="O165" s="21">
        <v>0.6</v>
      </c>
      <c r="P165" s="21">
        <v>3.59</v>
      </c>
    </row>
    <row r="166" spans="8:16">
      <c r="H166" s="50">
        <v>37377</v>
      </c>
      <c r="I166" s="50">
        <f t="shared" si="8"/>
        <v>37407</v>
      </c>
      <c r="J166" s="53">
        <v>7.2269564299105413</v>
      </c>
      <c r="K166" s="21"/>
      <c r="L166" s="21" t="s">
        <v>1493</v>
      </c>
      <c r="M166" s="25">
        <f>DATE(YEAR(OneWeekMtgRatesDataTable75[[#This Row],[asOf]]),MONTH(OneWeekMtgRatesDataTable75[[#This Row],[asOf]]),DAY(OneWeekMtgRatesDataTable75[[#This Row],[asOf]]))</f>
        <v>42086</v>
      </c>
      <c r="N166" s="21">
        <v>3.69</v>
      </c>
      <c r="O166" s="21">
        <v>0.6</v>
      </c>
      <c r="P166" s="21">
        <v>3.59</v>
      </c>
    </row>
    <row r="167" spans="8:16">
      <c r="H167" s="50">
        <v>37347</v>
      </c>
      <c r="I167" s="50">
        <f t="shared" si="8"/>
        <v>37376</v>
      </c>
      <c r="J167" s="53">
        <v>7.2396231504910524</v>
      </c>
      <c r="K167" s="21"/>
      <c r="L167" s="21" t="s">
        <v>1492</v>
      </c>
      <c r="M167" s="25">
        <f>DATE(YEAR(OneWeekMtgRatesDataTable75[[#This Row],[asOf]]),MONTH(OneWeekMtgRatesDataTable75[[#This Row],[asOf]]),DAY(OneWeekMtgRatesDataTable75[[#This Row],[asOf]]))</f>
        <v>42083</v>
      </c>
      <c r="N167" s="21">
        <v>3.69</v>
      </c>
      <c r="O167" s="21">
        <v>0.6</v>
      </c>
      <c r="P167" s="21">
        <v>3.59</v>
      </c>
    </row>
    <row r="168" spans="8:16">
      <c r="H168" s="50">
        <v>37316</v>
      </c>
      <c r="I168" s="50">
        <f t="shared" si="8"/>
        <v>37344</v>
      </c>
      <c r="J168" s="53">
        <v>7.2569339081341999</v>
      </c>
      <c r="K168" s="21"/>
      <c r="L168" s="21" t="s">
        <v>1491</v>
      </c>
      <c r="M168" s="25">
        <f>DATE(YEAR(OneWeekMtgRatesDataTable75[[#This Row],[asOf]]),MONTH(OneWeekMtgRatesDataTable75[[#This Row],[asOf]]),DAY(OneWeekMtgRatesDataTable75[[#This Row],[asOf]]))</f>
        <v>42082</v>
      </c>
      <c r="N168" s="21">
        <v>3.69</v>
      </c>
      <c r="O168" s="21">
        <v>0.6</v>
      </c>
      <c r="P168" s="21">
        <v>3.59</v>
      </c>
    </row>
    <row r="169" spans="8:16">
      <c r="H169" s="50">
        <v>37288</v>
      </c>
      <c r="I169" s="50">
        <f t="shared" si="8"/>
        <v>37315</v>
      </c>
      <c r="J169" s="53">
        <v>7.2763754914515228</v>
      </c>
      <c r="K169" s="21"/>
      <c r="L169" s="21" t="s">
        <v>1490</v>
      </c>
      <c r="M169" s="25">
        <f>DATE(YEAR(OneWeekMtgRatesDataTable75[[#This Row],[asOf]]),MONTH(OneWeekMtgRatesDataTable75[[#This Row],[asOf]]),DAY(OneWeekMtgRatesDataTable75[[#This Row],[asOf]]))</f>
        <v>42081</v>
      </c>
      <c r="N169" s="21">
        <v>3.78</v>
      </c>
      <c r="O169" s="21">
        <v>0.6</v>
      </c>
      <c r="P169" s="21">
        <v>3.6799999999999997</v>
      </c>
    </row>
    <row r="170" spans="8:16">
      <c r="H170" s="50">
        <v>37257</v>
      </c>
      <c r="I170" s="50">
        <f t="shared" si="8"/>
        <v>37287</v>
      </c>
      <c r="J170" s="53">
        <v>7.3028699366002687</v>
      </c>
      <c r="K170" s="21"/>
      <c r="L170" s="21" t="s">
        <v>1489</v>
      </c>
      <c r="M170" s="25">
        <f>DATE(YEAR(OneWeekMtgRatesDataTable75[[#This Row],[asOf]]),MONTH(OneWeekMtgRatesDataTable75[[#This Row],[asOf]]),DAY(OneWeekMtgRatesDataTable75[[#This Row],[asOf]]))</f>
        <v>42080</v>
      </c>
      <c r="N170" s="21">
        <v>3.78</v>
      </c>
      <c r="O170" s="21">
        <v>0.6</v>
      </c>
      <c r="P170" s="21">
        <v>3.6799999999999997</v>
      </c>
    </row>
    <row r="171" spans="8:16">
      <c r="H171" s="50">
        <v>37226</v>
      </c>
      <c r="I171" s="50">
        <f t="shared" si="8"/>
        <v>37256</v>
      </c>
      <c r="J171" s="53">
        <v>7.3401035174219702</v>
      </c>
      <c r="K171" s="21"/>
      <c r="L171" s="21" t="s">
        <v>1488</v>
      </c>
      <c r="M171" s="25">
        <f>DATE(YEAR(OneWeekMtgRatesDataTable75[[#This Row],[asOf]]),MONTH(OneWeekMtgRatesDataTable75[[#This Row],[asOf]]),DAY(OneWeekMtgRatesDataTable75[[#This Row],[asOf]]))</f>
        <v>42079</v>
      </c>
      <c r="N171" s="21">
        <v>3.78</v>
      </c>
      <c r="O171" s="21">
        <v>0.6</v>
      </c>
      <c r="P171" s="21">
        <v>3.6799999999999997</v>
      </c>
    </row>
    <row r="172" spans="8:16">
      <c r="H172" s="50">
        <v>37196</v>
      </c>
      <c r="I172" s="50">
        <f t="shared" si="8"/>
        <v>37225</v>
      </c>
      <c r="J172" s="53">
        <v>7.3806635187928586</v>
      </c>
      <c r="K172" s="21"/>
      <c r="L172" s="21" t="s">
        <v>1487</v>
      </c>
      <c r="M172" s="25">
        <f>DATE(YEAR(OneWeekMtgRatesDataTable75[[#This Row],[asOf]]),MONTH(OneWeekMtgRatesDataTable75[[#This Row],[asOf]]),DAY(OneWeekMtgRatesDataTable75[[#This Row],[asOf]]))</f>
        <v>42076</v>
      </c>
      <c r="N172" s="21">
        <v>3.78</v>
      </c>
      <c r="O172" s="21">
        <v>0.6</v>
      </c>
      <c r="P172" s="21">
        <v>3.6799999999999997</v>
      </c>
    </row>
    <row r="173" spans="8:16">
      <c r="H173" s="50">
        <v>37165</v>
      </c>
      <c r="I173" s="50">
        <f t="shared" si="8"/>
        <v>37195</v>
      </c>
      <c r="J173" s="53">
        <v>7.410258503655573</v>
      </c>
      <c r="K173" s="21"/>
      <c r="L173" s="21" t="s">
        <v>1486</v>
      </c>
      <c r="M173" s="25">
        <f>DATE(YEAR(OneWeekMtgRatesDataTable75[[#This Row],[asOf]]),MONTH(OneWeekMtgRatesDataTable75[[#This Row],[asOf]]),DAY(OneWeekMtgRatesDataTable75[[#This Row],[asOf]]))</f>
        <v>42075</v>
      </c>
      <c r="N173" s="21">
        <v>3.78</v>
      </c>
      <c r="O173" s="21">
        <v>0.6</v>
      </c>
      <c r="P173" s="21">
        <v>3.6799999999999997</v>
      </c>
    </row>
    <row r="174" spans="8:16">
      <c r="H174" s="50">
        <v>37135</v>
      </c>
      <c r="I174" s="50">
        <f t="shared" si="8"/>
        <v>37162</v>
      </c>
      <c r="J174" s="53">
        <v>7.4274568059626684</v>
      </c>
      <c r="K174" s="21"/>
      <c r="L174" s="21" t="s">
        <v>1485</v>
      </c>
      <c r="M174" s="25">
        <f>DATE(YEAR(OneWeekMtgRatesDataTable75[[#This Row],[asOf]]),MONTH(OneWeekMtgRatesDataTable75[[#This Row],[asOf]]),DAY(OneWeekMtgRatesDataTable75[[#This Row],[asOf]]))</f>
        <v>42074</v>
      </c>
      <c r="N174" s="21">
        <v>3.86</v>
      </c>
      <c r="O174" s="21">
        <v>0.6</v>
      </c>
      <c r="P174" s="21">
        <v>3.76</v>
      </c>
    </row>
    <row r="175" spans="8:16">
      <c r="H175" s="50">
        <v>37104</v>
      </c>
      <c r="I175" s="50">
        <f t="shared" si="8"/>
        <v>37134</v>
      </c>
      <c r="J175" s="53">
        <v>7.4436498896780892</v>
      </c>
      <c r="K175" s="21"/>
      <c r="L175" s="21" t="s">
        <v>1484</v>
      </c>
      <c r="M175" s="25">
        <f>DATE(YEAR(OneWeekMtgRatesDataTable75[[#This Row],[asOf]]),MONTH(OneWeekMtgRatesDataTable75[[#This Row],[asOf]]),DAY(OneWeekMtgRatesDataTable75[[#This Row],[asOf]]))</f>
        <v>42073</v>
      </c>
      <c r="N175" s="21">
        <v>3.86</v>
      </c>
      <c r="O175" s="21">
        <v>0.6</v>
      </c>
      <c r="P175" s="21">
        <v>3.76</v>
      </c>
    </row>
    <row r="176" spans="8:16">
      <c r="H176" s="50">
        <v>37073</v>
      </c>
      <c r="I176" s="50">
        <f t="shared" si="8"/>
        <v>37103</v>
      </c>
      <c r="J176" s="53">
        <v>7.4576310311595044</v>
      </c>
      <c r="K176" s="21"/>
      <c r="L176" s="21" t="s">
        <v>1483</v>
      </c>
      <c r="M176" s="25">
        <f>DATE(YEAR(OneWeekMtgRatesDataTable75[[#This Row],[asOf]]),MONTH(OneWeekMtgRatesDataTable75[[#This Row],[asOf]]),DAY(OneWeekMtgRatesDataTable75[[#This Row],[asOf]]))</f>
        <v>42072</v>
      </c>
      <c r="N176" s="21">
        <v>3.86</v>
      </c>
      <c r="O176" s="21">
        <v>0.6</v>
      </c>
      <c r="P176" s="21">
        <v>3.76</v>
      </c>
    </row>
    <row r="177" spans="8:16">
      <c r="H177" s="50">
        <v>37043</v>
      </c>
      <c r="I177" s="50">
        <f t="shared" si="8"/>
        <v>37071</v>
      </c>
      <c r="J177" s="53">
        <v>7.4751311307147246</v>
      </c>
      <c r="K177" s="21"/>
      <c r="L177" s="21" t="s">
        <v>1482</v>
      </c>
      <c r="M177" s="25">
        <f>DATE(YEAR(OneWeekMtgRatesDataTable75[[#This Row],[asOf]]),MONTH(OneWeekMtgRatesDataTable75[[#This Row],[asOf]]),DAY(OneWeekMtgRatesDataTable75[[#This Row],[asOf]]))</f>
        <v>42069</v>
      </c>
      <c r="N177" s="21">
        <v>3.86</v>
      </c>
      <c r="O177" s="21">
        <v>0.6</v>
      </c>
      <c r="P177" s="21">
        <v>3.76</v>
      </c>
    </row>
    <row r="178" spans="8:16">
      <c r="H178" s="50">
        <v>37012</v>
      </c>
      <c r="I178" s="50">
        <f t="shared" si="8"/>
        <v>37042</v>
      </c>
      <c r="J178" s="53">
        <v>7.4992216353381203</v>
      </c>
      <c r="K178" s="21"/>
      <c r="L178" s="21" t="s">
        <v>1481</v>
      </c>
      <c r="M178" s="25">
        <f>DATE(YEAR(OneWeekMtgRatesDataTable75[[#This Row],[asOf]]),MONTH(OneWeekMtgRatesDataTable75[[#This Row],[asOf]]),DAY(OneWeekMtgRatesDataTable75[[#This Row],[asOf]]))</f>
        <v>42068</v>
      </c>
      <c r="N178" s="21">
        <v>3.86</v>
      </c>
      <c r="O178" s="21">
        <v>0.6</v>
      </c>
      <c r="P178" s="21">
        <v>3.76</v>
      </c>
    </row>
    <row r="179" spans="8:16">
      <c r="H179" s="50">
        <v>36982</v>
      </c>
      <c r="I179" s="50">
        <f t="shared" si="8"/>
        <v>37011</v>
      </c>
      <c r="J179" s="53">
        <v>7.5247913018060943</v>
      </c>
      <c r="K179" s="21"/>
      <c r="L179" s="21" t="s">
        <v>1480</v>
      </c>
      <c r="M179" s="25">
        <f>DATE(YEAR(OneWeekMtgRatesDataTable75[[#This Row],[asOf]]),MONTH(OneWeekMtgRatesDataTable75[[#This Row],[asOf]]),DAY(OneWeekMtgRatesDataTable75[[#This Row],[asOf]]))</f>
        <v>42067</v>
      </c>
      <c r="N179" s="21">
        <v>3.75</v>
      </c>
      <c r="O179" s="21">
        <v>0.6</v>
      </c>
      <c r="P179" s="21">
        <v>3.65</v>
      </c>
    </row>
    <row r="180" spans="8:16">
      <c r="H180" s="50">
        <v>36951</v>
      </c>
      <c r="I180" s="50">
        <f t="shared" si="8"/>
        <v>36980</v>
      </c>
      <c r="J180" s="53">
        <v>7.5507360977577989</v>
      </c>
      <c r="K180" s="21"/>
      <c r="L180" s="21" t="s">
        <v>1479</v>
      </c>
      <c r="M180" s="25">
        <f>DATE(YEAR(OneWeekMtgRatesDataTable75[[#This Row],[asOf]]),MONTH(OneWeekMtgRatesDataTable75[[#This Row],[asOf]]),DAY(OneWeekMtgRatesDataTable75[[#This Row],[asOf]]))</f>
        <v>42066</v>
      </c>
      <c r="N180" s="21">
        <v>3.75</v>
      </c>
      <c r="O180" s="21">
        <v>0.6</v>
      </c>
      <c r="P180" s="21">
        <v>3.65</v>
      </c>
    </row>
    <row r="181" spans="8:16">
      <c r="H181" s="50">
        <v>36923</v>
      </c>
      <c r="I181" s="50">
        <f t="shared" si="8"/>
        <v>36950</v>
      </c>
      <c r="J181" s="53">
        <v>7.5672076678487716</v>
      </c>
      <c r="K181" s="21"/>
      <c r="L181" s="21" t="s">
        <v>1478</v>
      </c>
      <c r="M181" s="25">
        <f>DATE(YEAR(OneWeekMtgRatesDataTable75[[#This Row],[asOf]]),MONTH(OneWeekMtgRatesDataTable75[[#This Row],[asOf]]),DAY(OneWeekMtgRatesDataTable75[[#This Row],[asOf]]))</f>
        <v>42065</v>
      </c>
      <c r="N181" s="21">
        <v>3.75</v>
      </c>
      <c r="O181" s="21">
        <v>0.6</v>
      </c>
      <c r="P181" s="21">
        <v>3.65</v>
      </c>
    </row>
    <row r="182" spans="8:16">
      <c r="H182" s="50">
        <v>36892</v>
      </c>
      <c r="I182" s="50">
        <f t="shared" si="8"/>
        <v>36922</v>
      </c>
      <c r="J182" s="53">
        <v>7.5724879062711921</v>
      </c>
      <c r="K182" s="21"/>
      <c r="L182" s="21" t="s">
        <v>1477</v>
      </c>
      <c r="M182" s="25">
        <f>DATE(YEAR(OneWeekMtgRatesDataTable75[[#This Row],[asOf]]),MONTH(OneWeekMtgRatesDataTable75[[#This Row],[asOf]]),DAY(OneWeekMtgRatesDataTable75[[#This Row],[asOf]]))</f>
        <v>42062</v>
      </c>
      <c r="N182" s="21">
        <v>3.75</v>
      </c>
      <c r="O182" s="21">
        <v>0.6</v>
      </c>
      <c r="P182" s="21">
        <v>3.65</v>
      </c>
    </row>
    <row r="183" spans="8:16">
      <c r="H183" s="50">
        <v>36861</v>
      </c>
      <c r="I183" s="50">
        <f t="shared" si="8"/>
        <v>36889</v>
      </c>
      <c r="J183" s="53">
        <v>7.5666187030211685</v>
      </c>
      <c r="K183" s="21"/>
      <c r="L183" s="21" t="s">
        <v>1476</v>
      </c>
      <c r="M183" s="25">
        <f>DATE(YEAR(OneWeekMtgRatesDataTable75[[#This Row],[asOf]]),MONTH(OneWeekMtgRatesDataTable75[[#This Row],[asOf]]),DAY(OneWeekMtgRatesDataTable75[[#This Row],[asOf]]))</f>
        <v>42061</v>
      </c>
      <c r="N183" s="21">
        <v>3.75</v>
      </c>
      <c r="O183" s="21">
        <v>0.6</v>
      </c>
      <c r="P183" s="21">
        <v>3.65</v>
      </c>
    </row>
    <row r="184" spans="8:16">
      <c r="H184" s="50">
        <v>36831</v>
      </c>
      <c r="I184" s="50">
        <f t="shared" si="8"/>
        <v>36860</v>
      </c>
      <c r="J184" s="53">
        <v>7.5589205010841924</v>
      </c>
      <c r="K184" s="21"/>
      <c r="L184" s="21" t="s">
        <v>1475</v>
      </c>
      <c r="M184" s="25">
        <f>DATE(YEAR(OneWeekMtgRatesDataTable75[[#This Row],[asOf]]),MONTH(OneWeekMtgRatesDataTable75[[#This Row],[asOf]]),DAY(OneWeekMtgRatesDataTable75[[#This Row],[asOf]]))</f>
        <v>42060</v>
      </c>
      <c r="N184" s="21">
        <v>3.8</v>
      </c>
      <c r="O184" s="21">
        <v>0.6</v>
      </c>
      <c r="P184" s="21">
        <v>3.6999999999999997</v>
      </c>
    </row>
    <row r="185" spans="8:16">
      <c r="H185" s="50">
        <v>36800</v>
      </c>
      <c r="I185" s="50">
        <f t="shared" si="8"/>
        <v>36830</v>
      </c>
      <c r="J185" s="53">
        <v>7.5487930983438503</v>
      </c>
      <c r="K185" s="21"/>
      <c r="L185" s="21" t="s">
        <v>1474</v>
      </c>
      <c r="M185" s="25">
        <f>DATE(YEAR(OneWeekMtgRatesDataTable75[[#This Row],[asOf]]),MONTH(OneWeekMtgRatesDataTable75[[#This Row],[asOf]]),DAY(OneWeekMtgRatesDataTable75[[#This Row],[asOf]]))</f>
        <v>42059</v>
      </c>
      <c r="N185" s="21">
        <v>3.8</v>
      </c>
      <c r="O185" s="21">
        <v>0.6</v>
      </c>
      <c r="P185" s="21">
        <v>3.6999999999999997</v>
      </c>
    </row>
    <row r="186" spans="8:16">
      <c r="H186" s="50">
        <v>36770</v>
      </c>
      <c r="I186" s="50">
        <f t="shared" si="8"/>
        <v>36798</v>
      </c>
      <c r="J186" s="53">
        <v>7.5354422685922451</v>
      </c>
      <c r="K186" s="21"/>
      <c r="L186" s="21" t="s">
        <v>1473</v>
      </c>
      <c r="M186" s="25">
        <f>DATE(YEAR(OneWeekMtgRatesDataTable75[[#This Row],[asOf]]),MONTH(OneWeekMtgRatesDataTable75[[#This Row],[asOf]]),DAY(OneWeekMtgRatesDataTable75[[#This Row],[asOf]]))</f>
        <v>42058</v>
      </c>
      <c r="N186" s="21">
        <v>3.8</v>
      </c>
      <c r="O186" s="21">
        <v>0.6</v>
      </c>
      <c r="P186" s="21">
        <v>3.6999999999999997</v>
      </c>
    </row>
    <row r="187" spans="8:16">
      <c r="H187" s="50">
        <v>36739</v>
      </c>
      <c r="I187" s="50">
        <f t="shared" si="8"/>
        <v>36769</v>
      </c>
      <c r="J187" s="53">
        <v>7.5216530258550787</v>
      </c>
      <c r="K187" s="21"/>
      <c r="L187" s="21" t="s">
        <v>1472</v>
      </c>
      <c r="M187" s="25">
        <f>DATE(YEAR(OneWeekMtgRatesDataTable75[[#This Row],[asOf]]),MONTH(OneWeekMtgRatesDataTable75[[#This Row],[asOf]]),DAY(OneWeekMtgRatesDataTable75[[#This Row],[asOf]]))</f>
        <v>42055</v>
      </c>
      <c r="N187" s="21">
        <v>3.8</v>
      </c>
      <c r="O187" s="21">
        <v>0.6</v>
      </c>
      <c r="P187" s="21">
        <v>3.6999999999999997</v>
      </c>
    </row>
    <row r="188" spans="8:16">
      <c r="H188" s="50">
        <v>36708</v>
      </c>
      <c r="I188" s="50">
        <f t="shared" si="8"/>
        <v>36738</v>
      </c>
      <c r="J188" s="53">
        <v>7.5040146726364769</v>
      </c>
      <c r="K188" s="21"/>
      <c r="L188" s="21" t="s">
        <v>1471</v>
      </c>
      <c r="M188" s="25">
        <f>DATE(YEAR(OneWeekMtgRatesDataTable75[[#This Row],[asOf]]),MONTH(OneWeekMtgRatesDataTable75[[#This Row],[asOf]]),DAY(OneWeekMtgRatesDataTable75[[#This Row],[asOf]]))</f>
        <v>42054</v>
      </c>
      <c r="N188" s="21">
        <v>3.8</v>
      </c>
      <c r="O188" s="21">
        <v>0.6</v>
      </c>
      <c r="P188" s="21">
        <v>3.6999999999999997</v>
      </c>
    </row>
    <row r="189" spans="8:16">
      <c r="H189" s="50">
        <v>36678</v>
      </c>
      <c r="I189" s="50">
        <f t="shared" si="8"/>
        <v>36707</v>
      </c>
      <c r="J189" s="53">
        <v>7.4871217928603127</v>
      </c>
      <c r="K189" s="21"/>
      <c r="L189" s="21" t="s">
        <v>1470</v>
      </c>
      <c r="M189" s="25">
        <f>DATE(YEAR(OneWeekMtgRatesDataTable75[[#This Row],[asOf]]),MONTH(OneWeekMtgRatesDataTable75[[#This Row],[asOf]]),DAY(OneWeekMtgRatesDataTable75[[#This Row],[asOf]]))</f>
        <v>42053</v>
      </c>
      <c r="N189" s="21">
        <v>3.76</v>
      </c>
      <c r="O189" s="21">
        <v>0.6</v>
      </c>
      <c r="P189" s="21">
        <v>3.6599999999999997</v>
      </c>
    </row>
    <row r="190" spans="8:16">
      <c r="H190" s="50">
        <v>36647</v>
      </c>
      <c r="I190" s="50">
        <f t="shared" si="8"/>
        <v>36677</v>
      </c>
      <c r="J190" s="53">
        <v>7.4732020786550706</v>
      </c>
      <c r="K190" s="21"/>
      <c r="L190" s="21" t="s">
        <v>1469</v>
      </c>
      <c r="M190" s="25">
        <f>DATE(YEAR(OneWeekMtgRatesDataTable75[[#This Row],[asOf]]),MONTH(OneWeekMtgRatesDataTable75[[#This Row],[asOf]]),DAY(OneWeekMtgRatesDataTable75[[#This Row],[asOf]]))</f>
        <v>42052</v>
      </c>
      <c r="N190" s="21">
        <v>3.76</v>
      </c>
      <c r="O190" s="21">
        <v>0.6</v>
      </c>
      <c r="P190" s="21">
        <v>3.6599999999999997</v>
      </c>
    </row>
    <row r="191" spans="8:16">
      <c r="H191" s="50">
        <v>36617</v>
      </c>
      <c r="I191" s="50">
        <f t="shared" si="8"/>
        <v>36644</v>
      </c>
      <c r="J191" s="53">
        <v>7.4607988464454733</v>
      </c>
      <c r="K191" s="21"/>
      <c r="L191" s="21" t="s">
        <v>1468</v>
      </c>
      <c r="M191" s="25">
        <f>DATE(YEAR(OneWeekMtgRatesDataTable75[[#This Row],[asOf]]),MONTH(OneWeekMtgRatesDataTable75[[#This Row],[asOf]]),DAY(OneWeekMtgRatesDataTable75[[#This Row],[asOf]]))</f>
        <v>42048</v>
      </c>
      <c r="N191" s="21">
        <v>3.76</v>
      </c>
      <c r="O191" s="21">
        <v>0.6</v>
      </c>
      <c r="P191" s="21">
        <v>3.6599999999999997</v>
      </c>
    </row>
    <row r="192" spans="8:16">
      <c r="H192" s="50">
        <v>36586</v>
      </c>
      <c r="I192" s="50">
        <f t="shared" si="8"/>
        <v>36616</v>
      </c>
      <c r="J192" s="53">
        <v>7.4486291993832108</v>
      </c>
      <c r="K192" s="21"/>
      <c r="L192" s="21" t="s">
        <v>1467</v>
      </c>
      <c r="M192" s="25">
        <f>DATE(YEAR(OneWeekMtgRatesDataTable75[[#This Row],[asOf]]),MONTH(OneWeekMtgRatesDataTable75[[#This Row],[asOf]]),DAY(OneWeekMtgRatesDataTable75[[#This Row],[asOf]]))</f>
        <v>42047</v>
      </c>
      <c r="N192" s="21">
        <v>3.76</v>
      </c>
      <c r="O192" s="21">
        <v>0.6</v>
      </c>
      <c r="P192" s="21">
        <v>3.6599999999999997</v>
      </c>
    </row>
    <row r="193" spans="8:16">
      <c r="H193" s="50">
        <v>36557</v>
      </c>
      <c r="I193" s="50">
        <f t="shared" si="8"/>
        <v>36585</v>
      </c>
      <c r="J193" s="53">
        <v>7.4400957197323567</v>
      </c>
      <c r="K193" s="21"/>
      <c r="L193" s="21" t="s">
        <v>1466</v>
      </c>
      <c r="M193" s="25">
        <f>DATE(YEAR(OneWeekMtgRatesDataTable75[[#This Row],[asOf]]),MONTH(OneWeekMtgRatesDataTable75[[#This Row],[asOf]]),DAY(OneWeekMtgRatesDataTable75[[#This Row],[asOf]]))</f>
        <v>42046</v>
      </c>
      <c r="N193" s="21">
        <v>3.69</v>
      </c>
      <c r="O193" s="21">
        <v>0.6</v>
      </c>
      <c r="P193" s="21">
        <v>3.59</v>
      </c>
    </row>
    <row r="194" spans="8:16">
      <c r="H194" s="50">
        <v>36526</v>
      </c>
      <c r="I194" s="50">
        <f t="shared" si="8"/>
        <v>36556</v>
      </c>
      <c r="J194" s="53">
        <v>7.4327729206536164</v>
      </c>
      <c r="K194" s="21"/>
      <c r="L194" s="21" t="s">
        <v>1465</v>
      </c>
      <c r="M194" s="25">
        <f>DATE(YEAR(OneWeekMtgRatesDataTable75[[#This Row],[asOf]]),MONTH(OneWeekMtgRatesDataTable75[[#This Row],[asOf]]),DAY(OneWeekMtgRatesDataTable75[[#This Row],[asOf]]))</f>
        <v>42045</v>
      </c>
      <c r="N194" s="21">
        <v>3.69</v>
      </c>
      <c r="O194" s="21">
        <v>0.6</v>
      </c>
      <c r="P194" s="21">
        <v>3.59</v>
      </c>
    </row>
    <row r="195" spans="8:16">
      <c r="H195" s="50">
        <v>36495</v>
      </c>
      <c r="I195" s="50">
        <f t="shared" si="8"/>
        <v>36525</v>
      </c>
      <c r="J195" s="53">
        <v>7.4272840359167187</v>
      </c>
      <c r="K195" s="21"/>
      <c r="L195" s="21" t="s">
        <v>1464</v>
      </c>
      <c r="M195" s="25">
        <f>DATE(YEAR(OneWeekMtgRatesDataTable75[[#This Row],[asOf]]),MONTH(OneWeekMtgRatesDataTable75[[#This Row],[asOf]]),DAY(OneWeekMtgRatesDataTable75[[#This Row],[asOf]]))</f>
        <v>42044</v>
      </c>
      <c r="N195" s="21">
        <v>3.69</v>
      </c>
      <c r="O195" s="21">
        <v>0.6</v>
      </c>
      <c r="P195" s="21">
        <v>3.59</v>
      </c>
    </row>
    <row r="196" spans="8:16">
      <c r="H196" s="50">
        <v>36465</v>
      </c>
      <c r="I196" s="50">
        <f t="shared" ref="I196:I259" si="9">IF(WEEKDAY(DATE(YEAR(H196),MONTH(H196)+1,0),2)=6,DATE(YEAR(H196),MONTH(H196)+1,0)-1,IF(WEEKDAY(DATE(YEAR(H196),MONTH(H196)+1,0),2)=7,DATE(YEAR(H196),MONTH(H196)+1,0)-2,DATE(YEAR(H196),MONTH(H196)+1,0)))</f>
        <v>36494</v>
      </c>
      <c r="J196" s="53">
        <v>7.4220899726854297</v>
      </c>
      <c r="K196" s="21"/>
      <c r="L196" s="21" t="s">
        <v>1463</v>
      </c>
      <c r="M196" s="25">
        <f>DATE(YEAR(OneWeekMtgRatesDataTable75[[#This Row],[asOf]]),MONTH(OneWeekMtgRatesDataTable75[[#This Row],[asOf]]),DAY(OneWeekMtgRatesDataTable75[[#This Row],[asOf]]))</f>
        <v>42041</v>
      </c>
      <c r="N196" s="21">
        <v>3.69</v>
      </c>
      <c r="O196" s="21">
        <v>0.6</v>
      </c>
      <c r="P196" s="21">
        <v>3.59</v>
      </c>
    </row>
    <row r="197" spans="8:16">
      <c r="H197" s="50">
        <v>36434</v>
      </c>
      <c r="I197" s="50">
        <f t="shared" si="9"/>
        <v>36462</v>
      </c>
      <c r="J197" s="53">
        <v>7.4170138337306941</v>
      </c>
      <c r="K197" s="21"/>
      <c r="L197" s="21" t="s">
        <v>1462</v>
      </c>
      <c r="M197" s="25">
        <f>DATE(YEAR(OneWeekMtgRatesDataTable75[[#This Row],[asOf]]),MONTH(OneWeekMtgRatesDataTable75[[#This Row],[asOf]]),DAY(OneWeekMtgRatesDataTable75[[#This Row],[asOf]]))</f>
        <v>42040</v>
      </c>
      <c r="N197" s="21">
        <v>3.69</v>
      </c>
      <c r="O197" s="21">
        <v>0.6</v>
      </c>
      <c r="P197" s="21">
        <v>3.59</v>
      </c>
    </row>
    <row r="198" spans="8:16">
      <c r="H198" s="50">
        <v>36404</v>
      </c>
      <c r="I198" s="50">
        <f t="shared" si="9"/>
        <v>36433</v>
      </c>
      <c r="J198" s="53">
        <v>7.4125988659590858</v>
      </c>
      <c r="K198" s="21"/>
      <c r="L198" s="21" t="s">
        <v>1461</v>
      </c>
      <c r="M198" s="25">
        <f>DATE(YEAR(OneWeekMtgRatesDataTable75[[#This Row],[asOf]]),MONTH(OneWeekMtgRatesDataTable75[[#This Row],[asOf]]),DAY(OneWeekMtgRatesDataTable75[[#This Row],[asOf]]))</f>
        <v>42039</v>
      </c>
      <c r="N198" s="21">
        <v>3.59</v>
      </c>
      <c r="O198" s="21">
        <v>0.7</v>
      </c>
      <c r="P198" s="21">
        <v>3.5149999999999997</v>
      </c>
    </row>
    <row r="199" spans="8:16">
      <c r="H199" s="50">
        <v>36373</v>
      </c>
      <c r="I199" s="50">
        <f t="shared" si="9"/>
        <v>36403</v>
      </c>
      <c r="J199" s="53">
        <v>7.4095902251755978</v>
      </c>
      <c r="K199" s="21"/>
      <c r="L199" s="21" t="s">
        <v>1460</v>
      </c>
      <c r="M199" s="25">
        <f>DATE(YEAR(OneWeekMtgRatesDataTable75[[#This Row],[asOf]]),MONTH(OneWeekMtgRatesDataTable75[[#This Row],[asOf]]),DAY(OneWeekMtgRatesDataTable75[[#This Row],[asOf]]))</f>
        <v>42038</v>
      </c>
      <c r="N199" s="21">
        <v>3.59</v>
      </c>
      <c r="O199" s="21">
        <v>0.7</v>
      </c>
      <c r="P199" s="21">
        <v>3.5149999999999997</v>
      </c>
    </row>
    <row r="200" spans="8:16">
      <c r="H200" s="50">
        <v>36342</v>
      </c>
      <c r="I200" s="50">
        <f t="shared" si="9"/>
        <v>36371</v>
      </c>
      <c r="J200" s="53">
        <v>7.4127033466040517</v>
      </c>
      <c r="K200" s="21"/>
      <c r="L200" s="21" t="s">
        <v>1459</v>
      </c>
      <c r="M200" s="25">
        <f>DATE(YEAR(OneWeekMtgRatesDataTable75[[#This Row],[asOf]]),MONTH(OneWeekMtgRatesDataTable75[[#This Row],[asOf]]),DAY(OneWeekMtgRatesDataTable75[[#This Row],[asOf]]))</f>
        <v>42037</v>
      </c>
      <c r="N200" s="21">
        <v>3.59</v>
      </c>
      <c r="O200" s="21">
        <v>0.7</v>
      </c>
      <c r="P200" s="21">
        <v>3.5149999999999997</v>
      </c>
    </row>
    <row r="201" spans="8:16">
      <c r="H201" s="50">
        <v>36312</v>
      </c>
      <c r="I201" s="50">
        <f t="shared" si="9"/>
        <v>36341</v>
      </c>
      <c r="J201" s="53">
        <v>7.4255880456726953</v>
      </c>
      <c r="K201" s="21"/>
      <c r="L201" s="21" t="s">
        <v>1458</v>
      </c>
      <c r="M201" s="25">
        <f>DATE(YEAR(OneWeekMtgRatesDataTable75[[#This Row],[asOf]]),MONTH(OneWeekMtgRatesDataTable75[[#This Row],[asOf]]),DAY(OneWeekMtgRatesDataTable75[[#This Row],[asOf]]))</f>
        <v>42034</v>
      </c>
      <c r="N201" s="21">
        <v>3.59</v>
      </c>
      <c r="O201" s="21">
        <v>0.7</v>
      </c>
      <c r="P201" s="21">
        <v>3.5149999999999997</v>
      </c>
    </row>
    <row r="202" spans="8:16">
      <c r="H202" s="50">
        <v>36281</v>
      </c>
      <c r="I202" s="50">
        <f t="shared" si="9"/>
        <v>36311</v>
      </c>
      <c r="J202" s="53">
        <v>7.4441522318998361</v>
      </c>
      <c r="K202" s="21"/>
      <c r="L202" s="21" t="s">
        <v>1457</v>
      </c>
      <c r="M202" s="25">
        <f>DATE(YEAR(OneWeekMtgRatesDataTable75[[#This Row],[asOf]]),MONTH(OneWeekMtgRatesDataTable75[[#This Row],[asOf]]),DAY(OneWeekMtgRatesDataTable75[[#This Row],[asOf]]))</f>
        <v>42033</v>
      </c>
      <c r="N202" s="21">
        <v>3.59</v>
      </c>
      <c r="O202" s="21">
        <v>0.7</v>
      </c>
      <c r="P202" s="21">
        <v>3.5149999999999997</v>
      </c>
    </row>
    <row r="203" spans="8:16">
      <c r="H203" s="50">
        <v>36251</v>
      </c>
      <c r="I203" s="50">
        <f t="shared" si="9"/>
        <v>36280</v>
      </c>
      <c r="J203" s="53">
        <v>7.4658435130156562</v>
      </c>
      <c r="K203" s="21"/>
      <c r="L203" s="21" t="s">
        <v>1456</v>
      </c>
      <c r="M203" s="25">
        <f>DATE(YEAR(OneWeekMtgRatesDataTable75[[#This Row],[asOf]]),MONTH(OneWeekMtgRatesDataTable75[[#This Row],[asOf]]),DAY(OneWeekMtgRatesDataTable75[[#This Row],[asOf]]))</f>
        <v>42032</v>
      </c>
      <c r="N203" s="21">
        <v>3.66</v>
      </c>
      <c r="O203" s="21">
        <v>0.6</v>
      </c>
      <c r="P203" s="21">
        <v>3.56</v>
      </c>
    </row>
    <row r="204" spans="8:16">
      <c r="H204" s="50">
        <v>36220</v>
      </c>
      <c r="I204" s="50">
        <f t="shared" si="9"/>
        <v>36250</v>
      </c>
      <c r="J204" s="53">
        <v>7.4945471518839906</v>
      </c>
      <c r="K204" s="21"/>
      <c r="L204" s="21" t="s">
        <v>1455</v>
      </c>
      <c r="M204" s="25">
        <f>DATE(YEAR(OneWeekMtgRatesDataTable75[[#This Row],[asOf]]),MONTH(OneWeekMtgRatesDataTable75[[#This Row],[asOf]]),DAY(OneWeekMtgRatesDataTable75[[#This Row],[asOf]]))</f>
        <v>42031</v>
      </c>
      <c r="N204" s="21">
        <v>3.66</v>
      </c>
      <c r="O204" s="21">
        <v>0.6</v>
      </c>
      <c r="P204" s="21">
        <v>3.56</v>
      </c>
    </row>
    <row r="205" spans="8:16">
      <c r="H205" s="50">
        <v>36192</v>
      </c>
      <c r="I205" s="50">
        <f t="shared" si="9"/>
        <v>36217</v>
      </c>
      <c r="J205" s="53">
        <v>7.5272976913806762</v>
      </c>
      <c r="K205" s="21"/>
      <c r="L205" s="21" t="s">
        <v>1454</v>
      </c>
      <c r="M205" s="25">
        <f>DATE(YEAR(OneWeekMtgRatesDataTable75[[#This Row],[asOf]]),MONTH(OneWeekMtgRatesDataTable75[[#This Row],[asOf]]),DAY(OneWeekMtgRatesDataTable75[[#This Row],[asOf]]))</f>
        <v>42030</v>
      </c>
      <c r="N205" s="21">
        <v>3.66</v>
      </c>
      <c r="O205" s="21">
        <v>0.6</v>
      </c>
      <c r="P205" s="21">
        <v>3.56</v>
      </c>
    </row>
    <row r="206" spans="8:16">
      <c r="H206" s="50">
        <v>36161</v>
      </c>
      <c r="I206" s="50">
        <f t="shared" si="9"/>
        <v>36189</v>
      </c>
      <c r="J206" s="53">
        <v>7.5663623292007589</v>
      </c>
      <c r="K206" s="21"/>
      <c r="L206" s="21" t="s">
        <v>1453</v>
      </c>
      <c r="M206" s="25">
        <f>DATE(YEAR(OneWeekMtgRatesDataTable75[[#This Row],[asOf]]),MONTH(OneWeekMtgRatesDataTable75[[#This Row],[asOf]]),DAY(OneWeekMtgRatesDataTable75[[#This Row],[asOf]]))</f>
        <v>42027</v>
      </c>
      <c r="N206" s="21">
        <v>3.66</v>
      </c>
      <c r="O206" s="21">
        <v>0.6</v>
      </c>
      <c r="P206" s="21">
        <v>3.56</v>
      </c>
    </row>
    <row r="207" spans="8:16">
      <c r="H207" s="50">
        <v>36130</v>
      </c>
      <c r="I207" s="50">
        <f t="shared" si="9"/>
        <v>36160</v>
      </c>
      <c r="J207" s="53">
        <v>7.616672582784827</v>
      </c>
      <c r="K207" s="21"/>
      <c r="L207" s="21" t="s">
        <v>1452</v>
      </c>
      <c r="M207" s="25">
        <f>DATE(YEAR(OneWeekMtgRatesDataTable75[[#This Row],[asOf]]),MONTH(OneWeekMtgRatesDataTable75[[#This Row],[asOf]]),DAY(OneWeekMtgRatesDataTable75[[#This Row],[asOf]]))</f>
        <v>42026</v>
      </c>
      <c r="N207" s="21">
        <v>3.66</v>
      </c>
      <c r="O207" s="21">
        <v>0.6</v>
      </c>
      <c r="P207" s="21">
        <v>3.56</v>
      </c>
    </row>
    <row r="208" spans="8:16">
      <c r="H208" s="50">
        <v>36100</v>
      </c>
      <c r="I208" s="50">
        <f t="shared" si="9"/>
        <v>36129</v>
      </c>
      <c r="J208" s="53">
        <v>7.6690404267619279</v>
      </c>
      <c r="K208" s="21"/>
      <c r="L208" s="21" t="s">
        <v>1451</v>
      </c>
      <c r="M208" s="25">
        <f>DATE(YEAR(OneWeekMtgRatesDataTable75[[#This Row],[asOf]]),MONTH(OneWeekMtgRatesDataTable75[[#This Row],[asOf]]),DAY(OneWeekMtgRatesDataTable75[[#This Row],[asOf]]))</f>
        <v>42025</v>
      </c>
      <c r="N208" s="21">
        <v>3.63</v>
      </c>
      <c r="O208" s="21">
        <v>0.7</v>
      </c>
      <c r="P208" s="21">
        <v>3.5549999999999997</v>
      </c>
    </row>
    <row r="209" spans="8:16">
      <c r="H209" s="50">
        <v>36069</v>
      </c>
      <c r="I209" s="50">
        <f t="shared" si="9"/>
        <v>36098</v>
      </c>
      <c r="J209" s="53">
        <v>7.7096326766398615</v>
      </c>
      <c r="K209" s="21"/>
      <c r="L209" s="21" t="s">
        <v>1450</v>
      </c>
      <c r="M209" s="25">
        <f>DATE(YEAR(OneWeekMtgRatesDataTable75[[#This Row],[asOf]]),MONTH(OneWeekMtgRatesDataTable75[[#This Row],[asOf]]),DAY(OneWeekMtgRatesDataTable75[[#This Row],[asOf]]))</f>
        <v>42024</v>
      </c>
      <c r="N209" s="21">
        <v>3.63</v>
      </c>
      <c r="O209" s="21">
        <v>0.7</v>
      </c>
      <c r="P209" s="21">
        <v>3.5549999999999997</v>
      </c>
    </row>
    <row r="210" spans="8:16">
      <c r="H210" s="50">
        <v>36039</v>
      </c>
      <c r="I210" s="50">
        <f t="shared" si="9"/>
        <v>36068</v>
      </c>
      <c r="J210" s="53">
        <v>7.7431594941262842</v>
      </c>
      <c r="K210" s="21"/>
      <c r="L210" s="21" t="s">
        <v>1449</v>
      </c>
      <c r="M210" s="25">
        <f>DATE(YEAR(OneWeekMtgRatesDataTable75[[#This Row],[asOf]]),MONTH(OneWeekMtgRatesDataTable75[[#This Row],[asOf]]),DAY(OneWeekMtgRatesDataTable75[[#This Row],[asOf]]))</f>
        <v>42020</v>
      </c>
      <c r="N210" s="21">
        <v>3.63</v>
      </c>
      <c r="O210" s="21">
        <v>0.7</v>
      </c>
      <c r="P210" s="21">
        <v>3.5549999999999997</v>
      </c>
    </row>
    <row r="211" spans="8:16">
      <c r="H211" s="50">
        <v>36008</v>
      </c>
      <c r="I211" s="50">
        <f t="shared" si="9"/>
        <v>36038</v>
      </c>
      <c r="J211" s="53">
        <v>7.7762079544700118</v>
      </c>
      <c r="K211" s="21"/>
      <c r="L211" s="21" t="s">
        <v>1448</v>
      </c>
      <c r="M211" s="25">
        <f>DATE(YEAR(OneWeekMtgRatesDataTable75[[#This Row],[asOf]]),MONTH(OneWeekMtgRatesDataTable75[[#This Row],[asOf]]),DAY(OneWeekMtgRatesDataTable75[[#This Row],[asOf]]))</f>
        <v>42019</v>
      </c>
      <c r="N211" s="21">
        <v>3.63</v>
      </c>
      <c r="O211" s="21">
        <v>0.7</v>
      </c>
      <c r="P211" s="21">
        <v>3.5549999999999997</v>
      </c>
    </row>
    <row r="212" spans="8:16">
      <c r="H212" s="50">
        <v>35977</v>
      </c>
      <c r="I212" s="50">
        <f t="shared" si="9"/>
        <v>36007</v>
      </c>
      <c r="J212" s="53">
        <v>7.8081378821182739</v>
      </c>
      <c r="K212" s="21"/>
      <c r="L212" s="21" t="s">
        <v>1447</v>
      </c>
      <c r="M212" s="25">
        <f>DATE(YEAR(OneWeekMtgRatesDataTable75[[#This Row],[asOf]]),MONTH(OneWeekMtgRatesDataTable75[[#This Row],[asOf]]),DAY(OneWeekMtgRatesDataTable75[[#This Row],[asOf]]))</f>
        <v>42018</v>
      </c>
      <c r="N212" s="21">
        <v>3.66</v>
      </c>
      <c r="O212" s="21">
        <v>0.6</v>
      </c>
      <c r="P212" s="21">
        <v>3.56</v>
      </c>
    </row>
    <row r="213" spans="8:16">
      <c r="H213" s="50">
        <v>35947</v>
      </c>
      <c r="I213" s="50">
        <f t="shared" si="9"/>
        <v>35976</v>
      </c>
      <c r="J213" s="53">
        <v>7.8409685491637964</v>
      </c>
      <c r="K213" s="21"/>
      <c r="L213" s="21" t="s">
        <v>1446</v>
      </c>
      <c r="M213" s="25">
        <f>DATE(YEAR(OneWeekMtgRatesDataTable75[[#This Row],[asOf]]),MONTH(OneWeekMtgRatesDataTable75[[#This Row],[asOf]]),DAY(OneWeekMtgRatesDataTable75[[#This Row],[asOf]]))</f>
        <v>42017</v>
      </c>
      <c r="N213" s="21">
        <v>3.66</v>
      </c>
      <c r="O213" s="21">
        <v>0.6</v>
      </c>
      <c r="P213" s="21">
        <v>3.56</v>
      </c>
    </row>
    <row r="214" spans="8:16">
      <c r="H214" s="50">
        <v>35916</v>
      </c>
      <c r="I214" s="50">
        <f t="shared" si="9"/>
        <v>35944</v>
      </c>
      <c r="J214" s="53">
        <v>7.8732501348460895</v>
      </c>
      <c r="K214" s="21"/>
      <c r="L214" s="21" t="s">
        <v>1445</v>
      </c>
      <c r="M214" s="25">
        <f>DATE(YEAR(OneWeekMtgRatesDataTable75[[#This Row],[asOf]]),MONTH(OneWeekMtgRatesDataTable75[[#This Row],[asOf]]),DAY(OneWeekMtgRatesDataTable75[[#This Row],[asOf]]))</f>
        <v>42016</v>
      </c>
      <c r="N214" s="21">
        <v>3.66</v>
      </c>
      <c r="O214" s="21">
        <v>0.6</v>
      </c>
      <c r="P214" s="21">
        <v>3.56</v>
      </c>
    </row>
    <row r="215" spans="8:16">
      <c r="H215" s="50">
        <v>35886</v>
      </c>
      <c r="I215" s="50">
        <f t="shared" si="9"/>
        <v>35915</v>
      </c>
      <c r="J215" s="53">
        <v>7.9091342123585928</v>
      </c>
      <c r="K215" s="21"/>
      <c r="L215" s="21" t="s">
        <v>1444</v>
      </c>
      <c r="M215" s="25">
        <f>DATE(YEAR(OneWeekMtgRatesDataTable75[[#This Row],[asOf]]),MONTH(OneWeekMtgRatesDataTable75[[#This Row],[asOf]]),DAY(OneWeekMtgRatesDataTable75[[#This Row],[asOf]]))</f>
        <v>42013</v>
      </c>
      <c r="N215" s="21">
        <v>3.66</v>
      </c>
      <c r="O215" s="21">
        <v>0.6</v>
      </c>
      <c r="P215" s="21">
        <v>3.56</v>
      </c>
    </row>
    <row r="216" spans="8:16">
      <c r="H216" s="50">
        <v>35855</v>
      </c>
      <c r="I216" s="50">
        <f t="shared" si="9"/>
        <v>35885</v>
      </c>
      <c r="J216" s="53">
        <v>7.9485791833034725</v>
      </c>
      <c r="K216" s="21"/>
      <c r="L216" s="21" t="s">
        <v>1443</v>
      </c>
      <c r="M216" s="25">
        <f>DATE(YEAR(OneWeekMtgRatesDataTable75[[#This Row],[asOf]]),MONTH(OneWeekMtgRatesDataTable75[[#This Row],[asOf]]),DAY(OneWeekMtgRatesDataTable75[[#This Row],[asOf]]))</f>
        <v>42012</v>
      </c>
      <c r="N216" s="21">
        <v>3.66</v>
      </c>
      <c r="O216" s="21">
        <v>0.6</v>
      </c>
      <c r="P216" s="21">
        <v>3.56</v>
      </c>
    </row>
    <row r="217" spans="8:16">
      <c r="H217" s="50">
        <v>35827</v>
      </c>
      <c r="I217" s="50">
        <f t="shared" si="9"/>
        <v>35853</v>
      </c>
      <c r="J217" s="53">
        <v>7.9803201067185565</v>
      </c>
      <c r="K217" s="21"/>
      <c r="L217" s="21" t="s">
        <v>1442</v>
      </c>
      <c r="M217" s="25">
        <f>DATE(YEAR(OneWeekMtgRatesDataTable75[[#This Row],[asOf]]),MONTH(OneWeekMtgRatesDataTable75[[#This Row],[asOf]]),DAY(OneWeekMtgRatesDataTable75[[#This Row],[asOf]]))</f>
        <v>42011</v>
      </c>
      <c r="N217" s="21">
        <v>3.73</v>
      </c>
      <c r="O217" s="21">
        <v>0.6</v>
      </c>
      <c r="P217" s="21">
        <v>3.63</v>
      </c>
    </row>
    <row r="218" spans="8:16">
      <c r="H218" s="50">
        <v>35796</v>
      </c>
      <c r="I218" s="50">
        <f t="shared" si="9"/>
        <v>35825</v>
      </c>
      <c r="J218" s="53">
        <v>7.9997066256292477</v>
      </c>
      <c r="K218" s="21"/>
      <c r="L218" s="21" t="s">
        <v>1441</v>
      </c>
      <c r="M218" s="25">
        <f>DATE(YEAR(OneWeekMtgRatesDataTable75[[#This Row],[asOf]]),MONTH(OneWeekMtgRatesDataTable75[[#This Row],[asOf]]),DAY(OneWeekMtgRatesDataTable75[[#This Row],[asOf]]))</f>
        <v>42010</v>
      </c>
      <c r="N218" s="21">
        <v>3.73</v>
      </c>
      <c r="O218" s="21">
        <v>0.6</v>
      </c>
      <c r="P218" s="21">
        <v>3.63</v>
      </c>
    </row>
    <row r="219" spans="8:16">
      <c r="H219" s="50">
        <v>35765</v>
      </c>
      <c r="I219" s="50">
        <f t="shared" si="9"/>
        <v>35795</v>
      </c>
      <c r="J219" s="53">
        <v>8.0168982544408749</v>
      </c>
      <c r="K219" s="21"/>
      <c r="L219" s="21" t="s">
        <v>1440</v>
      </c>
      <c r="M219" s="25">
        <f>DATE(YEAR(OneWeekMtgRatesDataTable75[[#This Row],[asOf]]),MONTH(OneWeekMtgRatesDataTable75[[#This Row],[asOf]]),DAY(OneWeekMtgRatesDataTable75[[#This Row],[asOf]]))</f>
        <v>42009</v>
      </c>
      <c r="N219" s="21">
        <v>3.73</v>
      </c>
      <c r="O219" s="21">
        <v>0.6</v>
      </c>
      <c r="P219" s="21">
        <v>3.63</v>
      </c>
    </row>
    <row r="220" spans="8:16">
      <c r="H220" s="50">
        <v>35735</v>
      </c>
      <c r="I220" s="50">
        <f t="shared" si="9"/>
        <v>35762</v>
      </c>
      <c r="J220" s="53">
        <v>8.0312505301912083</v>
      </c>
      <c r="K220" s="21"/>
      <c r="L220" s="21" t="s">
        <v>1439</v>
      </c>
      <c r="M220" s="25">
        <f>DATE(YEAR(OneWeekMtgRatesDataTable75[[#This Row],[asOf]]),MONTH(OneWeekMtgRatesDataTable75[[#This Row],[asOf]]),DAY(OneWeekMtgRatesDataTable75[[#This Row],[asOf]]))</f>
        <v>42006</v>
      </c>
      <c r="N220" s="21">
        <v>3.73</v>
      </c>
      <c r="O220" s="21">
        <v>0.6</v>
      </c>
      <c r="P220" s="21">
        <v>3.63</v>
      </c>
    </row>
    <row r="221" spans="8:16">
      <c r="H221" s="50">
        <v>35704</v>
      </c>
      <c r="I221" s="50">
        <f t="shared" si="9"/>
        <v>35734</v>
      </c>
      <c r="J221" s="53">
        <v>8.0433350462232411</v>
      </c>
      <c r="K221" s="21"/>
      <c r="L221" s="21" t="s">
        <v>1437</v>
      </c>
      <c r="M221" s="25">
        <f>DATE(YEAR(OneWeekMtgRatesDataTable75[[#This Row],[asOf]]),MONTH(OneWeekMtgRatesDataTable75[[#This Row],[asOf]]),DAY(OneWeekMtgRatesDataTable75[[#This Row],[asOf]]))</f>
        <v>42003</v>
      </c>
      <c r="N221" s="21">
        <v>3.87</v>
      </c>
      <c r="O221" s="21">
        <v>0.6</v>
      </c>
      <c r="P221" s="21">
        <v>3.77</v>
      </c>
    </row>
    <row r="222" spans="8:16">
      <c r="H222" s="50">
        <v>35674</v>
      </c>
      <c r="I222" s="50">
        <f t="shared" si="9"/>
        <v>35703</v>
      </c>
      <c r="J222" s="53">
        <v>8.0537471508111853</v>
      </c>
      <c r="K222" s="21"/>
      <c r="L222" s="21" t="s">
        <v>1436</v>
      </c>
      <c r="M222" s="25">
        <f>DATE(YEAR(OneWeekMtgRatesDataTable75[[#This Row],[asOf]]),MONTH(OneWeekMtgRatesDataTable75[[#This Row],[asOf]]),DAY(OneWeekMtgRatesDataTable75[[#This Row],[asOf]]))</f>
        <v>42002</v>
      </c>
      <c r="N222" s="21">
        <v>3.87</v>
      </c>
      <c r="O222" s="21">
        <v>0.6</v>
      </c>
      <c r="P222" s="21">
        <v>3.77</v>
      </c>
    </row>
    <row r="223" spans="8:16">
      <c r="H223" s="50">
        <v>35643</v>
      </c>
      <c r="I223" s="50">
        <f t="shared" si="9"/>
        <v>35671</v>
      </c>
      <c r="J223" s="53">
        <v>8.0614786803101079</v>
      </c>
      <c r="K223" s="21"/>
      <c r="L223" s="21" t="s">
        <v>1435</v>
      </c>
      <c r="M223" s="25">
        <f>DATE(YEAR(OneWeekMtgRatesDataTable75[[#This Row],[asOf]]),MONTH(OneWeekMtgRatesDataTable75[[#This Row],[asOf]]),DAY(OneWeekMtgRatesDataTable75[[#This Row],[asOf]]))</f>
        <v>41999</v>
      </c>
      <c r="N223" s="21">
        <v>3.87</v>
      </c>
      <c r="O223" s="21">
        <v>0.6</v>
      </c>
      <c r="P223" s="21">
        <v>3.77</v>
      </c>
    </row>
    <row r="224" spans="8:16">
      <c r="H224" s="50">
        <v>35612</v>
      </c>
      <c r="I224" s="50">
        <f t="shared" si="9"/>
        <v>35642</v>
      </c>
      <c r="J224" s="53">
        <v>8.0655126131371784</v>
      </c>
      <c r="K224" s="21"/>
      <c r="L224" s="21" t="s">
        <v>1434</v>
      </c>
      <c r="M224" s="25">
        <f>DATE(YEAR(OneWeekMtgRatesDataTable75[[#This Row],[asOf]]),MONTH(OneWeekMtgRatesDataTable75[[#This Row],[asOf]]),DAY(OneWeekMtgRatesDataTable75[[#This Row],[asOf]]))</f>
        <v>41997</v>
      </c>
      <c r="N224" s="21">
        <v>3.87</v>
      </c>
      <c r="O224" s="21">
        <v>0.6</v>
      </c>
      <c r="P224" s="21">
        <v>3.77</v>
      </c>
    </row>
    <row r="225" spans="8:16">
      <c r="H225" s="50">
        <v>35582</v>
      </c>
      <c r="I225" s="50">
        <f t="shared" si="9"/>
        <v>35611</v>
      </c>
      <c r="J225" s="53">
        <v>8.06645112468623</v>
      </c>
      <c r="K225" s="21"/>
      <c r="L225" s="21" t="s">
        <v>1433</v>
      </c>
      <c r="M225" s="25">
        <f>DATE(YEAR(OneWeekMtgRatesDataTable75[[#This Row],[asOf]]),MONTH(OneWeekMtgRatesDataTable75[[#This Row],[asOf]]),DAY(OneWeekMtgRatesDataTable75[[#This Row],[asOf]]))</f>
        <v>41996</v>
      </c>
      <c r="N225" s="21">
        <v>3.83</v>
      </c>
      <c r="O225" s="21">
        <v>0.6</v>
      </c>
      <c r="P225" s="21">
        <v>3.73</v>
      </c>
    </row>
    <row r="226" spans="8:16">
      <c r="H226" s="50">
        <v>35551</v>
      </c>
      <c r="I226" s="50">
        <f t="shared" si="9"/>
        <v>35580</v>
      </c>
      <c r="J226" s="53">
        <v>8.0670902971413909</v>
      </c>
      <c r="K226" s="21"/>
      <c r="L226" s="21" t="s">
        <v>1432</v>
      </c>
      <c r="M226" s="25">
        <f>DATE(YEAR(OneWeekMtgRatesDataTable75[[#This Row],[asOf]]),MONTH(OneWeekMtgRatesDataTable75[[#This Row],[asOf]]),DAY(OneWeekMtgRatesDataTable75[[#This Row],[asOf]]))</f>
        <v>41995</v>
      </c>
      <c r="N226" s="21">
        <v>3.83</v>
      </c>
      <c r="O226" s="21">
        <v>0.6</v>
      </c>
      <c r="P226" s="21">
        <v>3.73</v>
      </c>
    </row>
    <row r="227" spans="8:16">
      <c r="H227" s="50">
        <v>35521</v>
      </c>
      <c r="I227" s="50">
        <f t="shared" si="9"/>
        <v>35550</v>
      </c>
      <c r="J227" s="53">
        <v>8.069603379997579</v>
      </c>
      <c r="K227" s="21"/>
      <c r="L227" s="21" t="s">
        <v>1431</v>
      </c>
      <c r="M227" s="25">
        <f>DATE(YEAR(OneWeekMtgRatesDataTable75[[#This Row],[asOf]]),MONTH(OneWeekMtgRatesDataTable75[[#This Row],[asOf]]),DAY(OneWeekMtgRatesDataTable75[[#This Row],[asOf]]))</f>
        <v>41992</v>
      </c>
      <c r="N227" s="21">
        <v>3.83</v>
      </c>
      <c r="O227" s="21">
        <v>0.6</v>
      </c>
      <c r="P227" s="21">
        <v>3.73</v>
      </c>
    </row>
    <row r="228" spans="8:16">
      <c r="H228" s="50">
        <v>35490</v>
      </c>
      <c r="I228" s="50">
        <f t="shared" si="9"/>
        <v>35520</v>
      </c>
      <c r="J228" s="53">
        <v>8.0735178715643201</v>
      </c>
      <c r="K228" s="21"/>
      <c r="L228" s="21" t="s">
        <v>1430</v>
      </c>
      <c r="M228" s="25">
        <f>DATE(YEAR(OneWeekMtgRatesDataTable75[[#This Row],[asOf]]),MONTH(OneWeekMtgRatesDataTable75[[#This Row],[asOf]]),DAY(OneWeekMtgRatesDataTable75[[#This Row],[asOf]]))</f>
        <v>41991</v>
      </c>
      <c r="N228" s="21">
        <v>3.83</v>
      </c>
      <c r="O228" s="21">
        <v>0.6</v>
      </c>
      <c r="P228" s="21">
        <v>3.73</v>
      </c>
    </row>
    <row r="229" spans="8:16">
      <c r="H229" s="50">
        <v>35462</v>
      </c>
      <c r="I229" s="50">
        <f t="shared" si="9"/>
        <v>35489</v>
      </c>
      <c r="J229" s="53">
        <v>8.0774040648105103</v>
      </c>
      <c r="K229" s="21"/>
      <c r="L229" s="21" t="s">
        <v>1429</v>
      </c>
      <c r="M229" s="25">
        <f>DATE(YEAR(OneWeekMtgRatesDataTable75[[#This Row],[asOf]]),MONTH(OneWeekMtgRatesDataTable75[[#This Row],[asOf]]),DAY(OneWeekMtgRatesDataTable75[[#This Row],[asOf]]))</f>
        <v>41990</v>
      </c>
      <c r="N229" s="21">
        <v>3.83</v>
      </c>
      <c r="O229" s="21">
        <v>0.6</v>
      </c>
      <c r="P229" s="21">
        <v>3.73</v>
      </c>
    </row>
    <row r="230" spans="8:16">
      <c r="H230" s="50">
        <v>35431</v>
      </c>
      <c r="I230" s="50">
        <f t="shared" si="9"/>
        <v>35461</v>
      </c>
      <c r="J230" s="53">
        <v>8.0825292023912745</v>
      </c>
      <c r="K230" s="21"/>
      <c r="L230" s="21" t="s">
        <v>1429</v>
      </c>
      <c r="M230" s="25">
        <f>DATE(YEAR(OneWeekMtgRatesDataTable75[[#This Row],[asOf]]),MONTH(OneWeekMtgRatesDataTable75[[#This Row],[asOf]]),DAY(OneWeekMtgRatesDataTable75[[#This Row],[asOf]]))</f>
        <v>41990</v>
      </c>
      <c r="N230" s="21">
        <v>3.8</v>
      </c>
      <c r="O230" s="21">
        <v>0.6</v>
      </c>
      <c r="P230" s="21">
        <v>3.6999999999999997</v>
      </c>
    </row>
    <row r="231" spans="8:16">
      <c r="H231" s="50">
        <v>35400</v>
      </c>
      <c r="I231" s="50">
        <f t="shared" si="9"/>
        <v>35430</v>
      </c>
      <c r="J231" s="53">
        <v>8.0873620934183101</v>
      </c>
      <c r="K231" s="21"/>
      <c r="L231" s="21" t="s">
        <v>1428</v>
      </c>
      <c r="M231" s="25">
        <f>DATE(YEAR(OneWeekMtgRatesDataTable75[[#This Row],[asOf]]),MONTH(OneWeekMtgRatesDataTable75[[#This Row],[asOf]]),DAY(OneWeekMtgRatesDataTable75[[#This Row],[asOf]]))</f>
        <v>41989</v>
      </c>
      <c r="N231" s="21">
        <v>3.8</v>
      </c>
      <c r="O231" s="21">
        <v>0.6</v>
      </c>
      <c r="P231" s="21">
        <v>3.6999999999999997</v>
      </c>
    </row>
    <row r="232" spans="8:16">
      <c r="H232" s="50">
        <v>35370</v>
      </c>
      <c r="I232" s="50">
        <f t="shared" si="9"/>
        <v>35398</v>
      </c>
      <c r="J232" s="53">
        <v>8.0889297010211969</v>
      </c>
      <c r="K232" s="21"/>
      <c r="L232" s="21" t="s">
        <v>1427</v>
      </c>
      <c r="M232" s="25">
        <f>DATE(YEAR(OneWeekMtgRatesDataTable75[[#This Row],[asOf]]),MONTH(OneWeekMtgRatesDataTable75[[#This Row],[asOf]]),DAY(OneWeekMtgRatesDataTable75[[#This Row],[asOf]]))</f>
        <v>41988</v>
      </c>
      <c r="N232" s="21">
        <v>3.8</v>
      </c>
      <c r="O232" s="21">
        <v>0.6</v>
      </c>
      <c r="P232" s="21">
        <v>3.6999999999999997</v>
      </c>
    </row>
    <row r="233" spans="8:16">
      <c r="H233" s="50">
        <v>35339</v>
      </c>
      <c r="I233" s="50">
        <f t="shared" si="9"/>
        <v>35369</v>
      </c>
      <c r="J233" s="53">
        <v>8.0886018301222631</v>
      </c>
      <c r="K233" s="21"/>
      <c r="L233" s="21" t="s">
        <v>1426</v>
      </c>
      <c r="M233" s="25">
        <f>DATE(YEAR(OneWeekMtgRatesDataTable75[[#This Row],[asOf]]),MONTH(OneWeekMtgRatesDataTable75[[#This Row],[asOf]]),DAY(OneWeekMtgRatesDataTable75[[#This Row],[asOf]]))</f>
        <v>41985</v>
      </c>
      <c r="N233" s="21">
        <v>3.8</v>
      </c>
      <c r="O233" s="21">
        <v>0.6</v>
      </c>
      <c r="P233" s="21">
        <v>3.6999999999999997</v>
      </c>
    </row>
    <row r="234" spans="8:16">
      <c r="H234" s="50">
        <v>35309</v>
      </c>
      <c r="I234" s="50">
        <f t="shared" si="9"/>
        <v>35338</v>
      </c>
      <c r="J234" s="53">
        <v>8.0877681077937051</v>
      </c>
      <c r="K234" s="21"/>
      <c r="L234" s="21" t="s">
        <v>1425</v>
      </c>
      <c r="M234" s="25">
        <f>DATE(YEAR(OneWeekMtgRatesDataTable75[[#This Row],[asOf]]),MONTH(OneWeekMtgRatesDataTable75[[#This Row],[asOf]]),DAY(OneWeekMtgRatesDataTable75[[#This Row],[asOf]]))</f>
        <v>41984</v>
      </c>
      <c r="N234" s="21">
        <v>3.8</v>
      </c>
      <c r="O234" s="21">
        <v>0.6</v>
      </c>
      <c r="P234" s="21">
        <v>3.6999999999999997</v>
      </c>
    </row>
    <row r="235" spans="8:16">
      <c r="H235" s="50">
        <v>35278</v>
      </c>
      <c r="I235" s="50">
        <f t="shared" si="9"/>
        <v>35307</v>
      </c>
      <c r="J235" s="53">
        <v>8.0841885463758203</v>
      </c>
      <c r="K235" s="21"/>
      <c r="L235" s="21" t="s">
        <v>1424</v>
      </c>
      <c r="M235" s="25">
        <f>DATE(YEAR(OneWeekMtgRatesDataTable75[[#This Row],[asOf]]),MONTH(OneWeekMtgRatesDataTable75[[#This Row],[asOf]]),DAY(OneWeekMtgRatesDataTable75[[#This Row],[asOf]]))</f>
        <v>41983</v>
      </c>
      <c r="N235" s="21">
        <v>3.93</v>
      </c>
      <c r="O235" s="21">
        <v>0.5</v>
      </c>
      <c r="P235" s="21">
        <v>3.8050000000000002</v>
      </c>
    </row>
    <row r="236" spans="8:16">
      <c r="H236" s="50">
        <v>35247</v>
      </c>
      <c r="I236" s="50">
        <f t="shared" si="9"/>
        <v>35277</v>
      </c>
      <c r="J236" s="53">
        <v>8.0829929403002119</v>
      </c>
      <c r="K236" s="21"/>
      <c r="L236" s="21" t="s">
        <v>1423</v>
      </c>
      <c r="M236" s="25">
        <f>DATE(YEAR(OneWeekMtgRatesDataTable75[[#This Row],[asOf]]),MONTH(OneWeekMtgRatesDataTable75[[#This Row],[asOf]]),DAY(OneWeekMtgRatesDataTable75[[#This Row],[asOf]]))</f>
        <v>41982</v>
      </c>
      <c r="N236" s="21">
        <v>3.93</v>
      </c>
      <c r="O236" s="21">
        <v>0.5</v>
      </c>
      <c r="P236" s="21">
        <v>3.8050000000000002</v>
      </c>
    </row>
    <row r="237" spans="8:16">
      <c r="H237" s="50">
        <v>35217</v>
      </c>
      <c r="I237" s="50">
        <f t="shared" si="9"/>
        <v>35244</v>
      </c>
      <c r="J237" s="53">
        <v>8.0841832422707984</v>
      </c>
      <c r="K237" s="21"/>
      <c r="L237" s="21" t="s">
        <v>1422</v>
      </c>
      <c r="M237" s="25">
        <f>DATE(YEAR(OneWeekMtgRatesDataTable75[[#This Row],[asOf]]),MONTH(OneWeekMtgRatesDataTable75[[#This Row],[asOf]]),DAY(OneWeekMtgRatesDataTable75[[#This Row],[asOf]]))</f>
        <v>41981</v>
      </c>
      <c r="N237" s="21">
        <v>3.93</v>
      </c>
      <c r="O237" s="21">
        <v>0.5</v>
      </c>
      <c r="P237" s="21">
        <v>3.8050000000000002</v>
      </c>
    </row>
    <row r="238" spans="8:16">
      <c r="H238" s="50">
        <v>35186</v>
      </c>
      <c r="I238" s="50">
        <f t="shared" si="9"/>
        <v>35216</v>
      </c>
      <c r="J238" s="53">
        <v>8.0904136506117315</v>
      </c>
      <c r="K238" s="21"/>
      <c r="L238" s="21" t="s">
        <v>1421</v>
      </c>
      <c r="M238" s="25">
        <f>DATE(YEAR(OneWeekMtgRatesDataTable75[[#This Row],[asOf]]),MONTH(OneWeekMtgRatesDataTable75[[#This Row],[asOf]]),DAY(OneWeekMtgRatesDataTable75[[#This Row],[asOf]]))</f>
        <v>41978</v>
      </c>
      <c r="N238" s="21">
        <v>3.93</v>
      </c>
      <c r="O238" s="21">
        <v>0.5</v>
      </c>
      <c r="P238" s="21">
        <v>3.8050000000000002</v>
      </c>
    </row>
    <row r="239" spans="8:16">
      <c r="H239" s="50">
        <v>35156</v>
      </c>
      <c r="I239" s="50">
        <f t="shared" si="9"/>
        <v>35185</v>
      </c>
      <c r="J239" s="53">
        <v>8.1049924404683242</v>
      </c>
      <c r="K239" s="21"/>
      <c r="L239" s="21" t="s">
        <v>1420</v>
      </c>
      <c r="M239" s="25">
        <f>DATE(YEAR(OneWeekMtgRatesDataTable75[[#This Row],[asOf]]),MONTH(OneWeekMtgRatesDataTable75[[#This Row],[asOf]]),DAY(OneWeekMtgRatesDataTable75[[#This Row],[asOf]]))</f>
        <v>41977</v>
      </c>
      <c r="N239" s="21">
        <v>3.93</v>
      </c>
      <c r="O239" s="21">
        <v>0.5</v>
      </c>
      <c r="P239" s="21">
        <v>3.8050000000000002</v>
      </c>
    </row>
    <row r="240" spans="8:16">
      <c r="H240" s="50">
        <v>35125</v>
      </c>
      <c r="I240" s="50">
        <f t="shared" si="9"/>
        <v>35153</v>
      </c>
      <c r="J240" s="53">
        <v>8.1274231837146047</v>
      </c>
      <c r="K240" s="21"/>
      <c r="L240" s="21" t="s">
        <v>1419</v>
      </c>
      <c r="M240" s="25">
        <f>DATE(YEAR(OneWeekMtgRatesDataTable75[[#This Row],[asOf]]),MONTH(OneWeekMtgRatesDataTable75[[#This Row],[asOf]]),DAY(OneWeekMtgRatesDataTable75[[#This Row],[asOf]]))</f>
        <v>41976</v>
      </c>
      <c r="N240" s="21">
        <v>3.89</v>
      </c>
      <c r="O240" s="21">
        <v>0.5</v>
      </c>
      <c r="P240" s="21">
        <v>3.7650000000000001</v>
      </c>
    </row>
    <row r="241" spans="8:16">
      <c r="H241" s="50">
        <v>35096</v>
      </c>
      <c r="I241" s="50">
        <f t="shared" si="9"/>
        <v>35124</v>
      </c>
      <c r="J241" s="53">
        <v>8.1512713104782932</v>
      </c>
      <c r="K241" s="21"/>
      <c r="L241" s="21" t="s">
        <v>1418</v>
      </c>
      <c r="M241" s="25">
        <f>DATE(YEAR(OneWeekMtgRatesDataTable75[[#This Row],[asOf]]),MONTH(OneWeekMtgRatesDataTable75[[#This Row],[asOf]]),DAY(OneWeekMtgRatesDataTable75[[#This Row],[asOf]]))</f>
        <v>41975</v>
      </c>
      <c r="N241" s="21">
        <v>3.89</v>
      </c>
      <c r="O241" s="21">
        <v>0.5</v>
      </c>
      <c r="P241" s="21">
        <v>3.7650000000000001</v>
      </c>
    </row>
    <row r="242" spans="8:16">
      <c r="H242" s="50">
        <v>35065</v>
      </c>
      <c r="I242" s="50">
        <f t="shared" si="9"/>
        <v>35095</v>
      </c>
      <c r="J242" s="53">
        <v>8.1711165786410458</v>
      </c>
      <c r="K242" s="21"/>
      <c r="L242" s="21" t="s">
        <v>1417</v>
      </c>
      <c r="M242" s="25">
        <f>DATE(YEAR(OneWeekMtgRatesDataTable75[[#This Row],[asOf]]),MONTH(OneWeekMtgRatesDataTable75[[#This Row],[asOf]]),DAY(OneWeekMtgRatesDataTable75[[#This Row],[asOf]]))</f>
        <v>41974</v>
      </c>
      <c r="N242" s="21">
        <v>3.89</v>
      </c>
      <c r="O242" s="21">
        <v>0.5</v>
      </c>
      <c r="P242" s="21">
        <v>3.7650000000000001</v>
      </c>
    </row>
    <row r="243" spans="8:16">
      <c r="H243" s="50">
        <v>35034</v>
      </c>
      <c r="I243" s="50">
        <f t="shared" si="9"/>
        <v>35062</v>
      </c>
      <c r="J243" s="53">
        <v>8.1876020349072149</v>
      </c>
      <c r="K243" s="21"/>
      <c r="L243" s="21" t="s">
        <v>1416</v>
      </c>
      <c r="M243" s="25">
        <f>DATE(YEAR(OneWeekMtgRatesDataTable75[[#This Row],[asOf]]),MONTH(OneWeekMtgRatesDataTable75[[#This Row],[asOf]]),DAY(OneWeekMtgRatesDataTable75[[#This Row],[asOf]]))</f>
        <v>41971</v>
      </c>
      <c r="N243" s="21">
        <v>3.89</v>
      </c>
      <c r="O243" s="21">
        <v>0.5</v>
      </c>
      <c r="P243" s="21">
        <v>3.7650000000000001</v>
      </c>
    </row>
    <row r="244" spans="8:16">
      <c r="H244" s="50">
        <v>35004</v>
      </c>
      <c r="I244" s="50">
        <f t="shared" si="9"/>
        <v>35033</v>
      </c>
      <c r="J244" s="53">
        <v>8.2028633813301877</v>
      </c>
      <c r="K244" s="21"/>
      <c r="L244" s="21" t="s">
        <v>1414</v>
      </c>
      <c r="M244" s="25">
        <f>DATE(YEAR(OneWeekMtgRatesDataTable75[[#This Row],[asOf]]),MONTH(OneWeekMtgRatesDataTable75[[#This Row],[asOf]]),DAY(OneWeekMtgRatesDataTable75[[#This Row],[asOf]]))</f>
        <v>41968</v>
      </c>
      <c r="N244" s="21">
        <v>3.97</v>
      </c>
      <c r="O244" s="21">
        <v>0.5</v>
      </c>
      <c r="P244" s="21">
        <v>3.8450000000000002</v>
      </c>
    </row>
    <row r="245" spans="8:16">
      <c r="H245" s="50">
        <v>34973</v>
      </c>
      <c r="I245" s="50">
        <f t="shared" si="9"/>
        <v>35003</v>
      </c>
      <c r="J245" s="53">
        <v>8.2147088187470452</v>
      </c>
      <c r="K245" s="21"/>
      <c r="L245" s="21" t="s">
        <v>1413</v>
      </c>
      <c r="M245" s="25">
        <f>DATE(YEAR(OneWeekMtgRatesDataTable75[[#This Row],[asOf]]),MONTH(OneWeekMtgRatesDataTable75[[#This Row],[asOf]]),DAY(OneWeekMtgRatesDataTable75[[#This Row],[asOf]]))</f>
        <v>41967</v>
      </c>
      <c r="N245" s="21">
        <v>3.97</v>
      </c>
      <c r="O245" s="21">
        <v>0.5</v>
      </c>
      <c r="P245" s="21">
        <v>3.8450000000000002</v>
      </c>
    </row>
    <row r="246" spans="8:16">
      <c r="H246" s="50">
        <v>34943</v>
      </c>
      <c r="I246" s="50">
        <f t="shared" si="9"/>
        <v>34971</v>
      </c>
      <c r="J246" s="53">
        <v>8.2246710407407146</v>
      </c>
      <c r="K246" s="21"/>
      <c r="L246" s="21" t="s">
        <v>1412</v>
      </c>
      <c r="M246" s="25">
        <f>DATE(YEAR(OneWeekMtgRatesDataTable75[[#This Row],[asOf]]),MONTH(OneWeekMtgRatesDataTable75[[#This Row],[asOf]]),DAY(OneWeekMtgRatesDataTable75[[#This Row],[asOf]]))</f>
        <v>41964</v>
      </c>
      <c r="N246" s="21">
        <v>3.97</v>
      </c>
      <c r="O246" s="21">
        <v>0.5</v>
      </c>
      <c r="P246" s="21">
        <v>3.8450000000000002</v>
      </c>
    </row>
    <row r="247" spans="8:16">
      <c r="H247" s="50">
        <v>34912</v>
      </c>
      <c r="I247" s="50">
        <f t="shared" si="9"/>
        <v>34942</v>
      </c>
      <c r="J247" s="53">
        <v>8.2373980883445945</v>
      </c>
      <c r="K247" s="21"/>
      <c r="L247" s="21" t="s">
        <v>1411</v>
      </c>
      <c r="M247" s="25">
        <f>DATE(YEAR(OneWeekMtgRatesDataTable75[[#This Row],[asOf]]),MONTH(OneWeekMtgRatesDataTable75[[#This Row],[asOf]]),DAY(OneWeekMtgRatesDataTable75[[#This Row],[asOf]]))</f>
        <v>41963</v>
      </c>
      <c r="N247" s="21">
        <v>3.97</v>
      </c>
      <c r="O247" s="21">
        <v>0.5</v>
      </c>
      <c r="P247" s="21">
        <v>3.8450000000000002</v>
      </c>
    </row>
    <row r="248" spans="8:16">
      <c r="H248" s="50">
        <v>34881</v>
      </c>
      <c r="I248" s="50">
        <f t="shared" si="9"/>
        <v>34911</v>
      </c>
      <c r="J248" s="53">
        <v>8.2495432651499492</v>
      </c>
      <c r="K248" s="21"/>
      <c r="L248" s="21" t="s">
        <v>1410</v>
      </c>
      <c r="M248" s="25">
        <f>DATE(YEAR(OneWeekMtgRatesDataTable75[[#This Row],[asOf]]),MONTH(OneWeekMtgRatesDataTable75[[#This Row],[asOf]]),DAY(OneWeekMtgRatesDataTable75[[#This Row],[asOf]]))</f>
        <v>41962</v>
      </c>
      <c r="N248" s="21">
        <v>3.97</v>
      </c>
      <c r="O248" s="21">
        <v>0.5</v>
      </c>
      <c r="P248" s="21">
        <v>3.8450000000000002</v>
      </c>
    </row>
    <row r="249" spans="8:16">
      <c r="H249" s="50">
        <v>34851</v>
      </c>
      <c r="I249" s="50">
        <f t="shared" si="9"/>
        <v>34880</v>
      </c>
      <c r="J249" s="53">
        <v>8.2540363033744075</v>
      </c>
      <c r="K249" s="21"/>
      <c r="L249" s="21" t="s">
        <v>1410</v>
      </c>
      <c r="M249" s="25">
        <f>DATE(YEAR(OneWeekMtgRatesDataTable75[[#This Row],[asOf]]),MONTH(OneWeekMtgRatesDataTable75[[#This Row],[asOf]]),DAY(OneWeekMtgRatesDataTable75[[#This Row],[asOf]]))</f>
        <v>41962</v>
      </c>
      <c r="N249" s="21">
        <v>3.99</v>
      </c>
      <c r="O249" s="21">
        <v>0.5</v>
      </c>
      <c r="P249" s="21">
        <v>3.8650000000000002</v>
      </c>
    </row>
    <row r="250" spans="8:16">
      <c r="H250" s="50">
        <v>34820</v>
      </c>
      <c r="I250" s="50">
        <f t="shared" si="9"/>
        <v>34850</v>
      </c>
      <c r="J250" s="53">
        <v>8.2518091429982547</v>
      </c>
      <c r="K250" s="21"/>
      <c r="L250" s="21" t="s">
        <v>1409</v>
      </c>
      <c r="M250" s="25">
        <f>DATE(YEAR(OneWeekMtgRatesDataTable75[[#This Row],[asOf]]),MONTH(OneWeekMtgRatesDataTable75[[#This Row],[asOf]]),DAY(OneWeekMtgRatesDataTable75[[#This Row],[asOf]]))</f>
        <v>41961</v>
      </c>
      <c r="N250" s="21">
        <v>3.99</v>
      </c>
      <c r="O250" s="21">
        <v>0.5</v>
      </c>
      <c r="P250" s="21">
        <v>3.8650000000000002</v>
      </c>
    </row>
    <row r="251" spans="8:16">
      <c r="H251" s="50">
        <v>34790</v>
      </c>
      <c r="I251" s="50">
        <f t="shared" si="9"/>
        <v>34817</v>
      </c>
      <c r="J251" s="53">
        <v>8.2470580977929728</v>
      </c>
      <c r="K251" s="21"/>
      <c r="L251" s="21" t="s">
        <v>1408</v>
      </c>
      <c r="M251" s="25">
        <f>DATE(YEAR(OneWeekMtgRatesDataTable75[[#This Row],[asOf]]),MONTH(OneWeekMtgRatesDataTable75[[#This Row],[asOf]]),DAY(OneWeekMtgRatesDataTable75[[#This Row],[asOf]]))</f>
        <v>41960</v>
      </c>
      <c r="N251" s="21">
        <v>3.99</v>
      </c>
      <c r="O251" s="21">
        <v>0.5</v>
      </c>
      <c r="P251" s="21">
        <v>3.8650000000000002</v>
      </c>
    </row>
    <row r="252" spans="8:16">
      <c r="H252" s="50">
        <v>34759</v>
      </c>
      <c r="I252" s="50">
        <f t="shared" si="9"/>
        <v>34789</v>
      </c>
      <c r="J252" s="53">
        <v>8.2420843433986501</v>
      </c>
      <c r="K252" s="21"/>
      <c r="L252" s="21" t="s">
        <v>1407</v>
      </c>
      <c r="M252" s="25">
        <f>DATE(YEAR(OneWeekMtgRatesDataTable75[[#This Row],[asOf]]),MONTH(OneWeekMtgRatesDataTable75[[#This Row],[asOf]]),DAY(OneWeekMtgRatesDataTable75[[#This Row],[asOf]]))</f>
        <v>41957</v>
      </c>
      <c r="N252" s="21">
        <v>3.99</v>
      </c>
      <c r="O252" s="21">
        <v>0.5</v>
      </c>
      <c r="P252" s="21">
        <v>3.8650000000000002</v>
      </c>
    </row>
    <row r="253" spans="8:16">
      <c r="H253" s="50">
        <v>34731</v>
      </c>
      <c r="I253" s="50">
        <f t="shared" si="9"/>
        <v>34758</v>
      </c>
      <c r="J253" s="53">
        <v>8.2385757623650715</v>
      </c>
      <c r="K253" s="21"/>
      <c r="L253" s="21" t="s">
        <v>1406</v>
      </c>
      <c r="M253" s="25">
        <f>DATE(YEAR(OneWeekMtgRatesDataTable75[[#This Row],[asOf]]),MONTH(OneWeekMtgRatesDataTable75[[#This Row],[asOf]]),DAY(OneWeekMtgRatesDataTable75[[#This Row],[asOf]]))</f>
        <v>41956</v>
      </c>
      <c r="N253" s="21">
        <v>3.99</v>
      </c>
      <c r="O253" s="21">
        <v>0.5</v>
      </c>
      <c r="P253" s="21">
        <v>3.8650000000000002</v>
      </c>
    </row>
    <row r="254" spans="8:16">
      <c r="H254" s="50">
        <v>34700</v>
      </c>
      <c r="I254" s="50">
        <f t="shared" si="9"/>
        <v>34730</v>
      </c>
      <c r="J254" s="53">
        <v>8.2327596202299436</v>
      </c>
      <c r="K254" s="21"/>
      <c r="L254" s="21" t="s">
        <v>1405</v>
      </c>
      <c r="M254" s="25">
        <f>DATE(YEAR(OneWeekMtgRatesDataTable75[[#This Row],[asOf]]),MONTH(OneWeekMtgRatesDataTable75[[#This Row],[asOf]]),DAY(OneWeekMtgRatesDataTable75[[#This Row],[asOf]]))</f>
        <v>41955</v>
      </c>
      <c r="N254" s="21">
        <v>4.01</v>
      </c>
      <c r="O254" s="21">
        <v>0.5</v>
      </c>
      <c r="P254" s="21">
        <v>3.8849999999999998</v>
      </c>
    </row>
    <row r="255" spans="8:16">
      <c r="H255" s="50">
        <v>34669</v>
      </c>
      <c r="I255" s="50">
        <f t="shared" si="9"/>
        <v>34698</v>
      </c>
      <c r="J255" s="53">
        <v>8.226453344951894</v>
      </c>
      <c r="K255" s="21"/>
      <c r="L255" s="21" t="s">
        <v>1404</v>
      </c>
      <c r="M255" s="25">
        <f>DATE(YEAR(OneWeekMtgRatesDataTable75[[#This Row],[asOf]]),MONTH(OneWeekMtgRatesDataTable75[[#This Row],[asOf]]),DAY(OneWeekMtgRatesDataTable75[[#This Row],[asOf]]))</f>
        <v>41953</v>
      </c>
      <c r="N255" s="21">
        <v>4.01</v>
      </c>
      <c r="O255" s="21">
        <v>0.5</v>
      </c>
      <c r="P255" s="21">
        <v>3.8849999999999998</v>
      </c>
    </row>
    <row r="256" spans="8:16">
      <c r="H256" s="50">
        <v>34639</v>
      </c>
      <c r="I256" s="50">
        <f t="shared" si="9"/>
        <v>34668</v>
      </c>
      <c r="J256" s="53">
        <v>8.2197433009495953</v>
      </c>
      <c r="K256" s="21"/>
      <c r="L256" s="21" t="s">
        <v>1403</v>
      </c>
      <c r="M256" s="25">
        <f>DATE(YEAR(OneWeekMtgRatesDataTable75[[#This Row],[asOf]]),MONTH(OneWeekMtgRatesDataTable75[[#This Row],[asOf]]),DAY(OneWeekMtgRatesDataTable75[[#This Row],[asOf]]))</f>
        <v>41950</v>
      </c>
      <c r="N256" s="21">
        <v>4.01</v>
      </c>
      <c r="O256" s="21">
        <v>0.5</v>
      </c>
      <c r="P256" s="21">
        <v>3.8849999999999998</v>
      </c>
    </row>
    <row r="257" spans="8:16">
      <c r="H257" s="50">
        <v>34608</v>
      </c>
      <c r="I257" s="50">
        <f t="shared" si="9"/>
        <v>34638</v>
      </c>
      <c r="J257" s="53">
        <v>8.2146633475349766</v>
      </c>
      <c r="K257" s="21"/>
      <c r="L257" s="21" t="s">
        <v>1402</v>
      </c>
      <c r="M257" s="25">
        <f>DATE(YEAR(OneWeekMtgRatesDataTable75[[#This Row],[asOf]]),MONTH(OneWeekMtgRatesDataTable75[[#This Row],[asOf]]),DAY(OneWeekMtgRatesDataTable75[[#This Row],[asOf]]))</f>
        <v>41949</v>
      </c>
      <c r="N257" s="21">
        <v>4.01</v>
      </c>
      <c r="O257" s="21">
        <v>0.5</v>
      </c>
      <c r="P257" s="21">
        <v>3.8849999999999998</v>
      </c>
    </row>
    <row r="258" spans="8:16">
      <c r="H258" s="50">
        <v>34578</v>
      </c>
      <c r="I258" s="50">
        <f t="shared" si="9"/>
        <v>34607</v>
      </c>
      <c r="J258" s="53">
        <v>8.2140530170326009</v>
      </c>
      <c r="K258" s="21"/>
      <c r="L258" s="21" t="s">
        <v>1401</v>
      </c>
      <c r="M258" s="25">
        <f>DATE(YEAR(OneWeekMtgRatesDataTable75[[#This Row],[asOf]]),MONTH(OneWeekMtgRatesDataTable75[[#This Row],[asOf]]),DAY(OneWeekMtgRatesDataTable75[[#This Row],[asOf]]))</f>
        <v>41948</v>
      </c>
      <c r="N258" s="21">
        <v>4.0199999999999996</v>
      </c>
      <c r="O258" s="21">
        <v>0.5</v>
      </c>
      <c r="P258" s="21">
        <v>3.8949999999999996</v>
      </c>
    </row>
    <row r="259" spans="8:16">
      <c r="H259" s="50">
        <v>34547</v>
      </c>
      <c r="I259" s="50">
        <f t="shared" si="9"/>
        <v>34577</v>
      </c>
      <c r="J259" s="53">
        <v>8.2148615693187956</v>
      </c>
      <c r="K259" s="21"/>
      <c r="L259" s="21" t="s">
        <v>1400</v>
      </c>
      <c r="M259" s="25">
        <f>DATE(YEAR(OneWeekMtgRatesDataTable75[[#This Row],[asOf]]),MONTH(OneWeekMtgRatesDataTable75[[#This Row],[asOf]]),DAY(OneWeekMtgRatesDataTable75[[#This Row],[asOf]]))</f>
        <v>41947</v>
      </c>
      <c r="N259" s="21">
        <v>4.0199999999999996</v>
      </c>
      <c r="O259" s="21">
        <v>0.5</v>
      </c>
      <c r="P259" s="21">
        <v>3.8949999999999996</v>
      </c>
    </row>
    <row r="260" spans="8:16">
      <c r="H260" s="50">
        <v>34516</v>
      </c>
      <c r="I260" s="50">
        <f t="shared" ref="I260:I266" si="10">IF(WEEKDAY(DATE(YEAR(H260),MONTH(H260)+1,0),2)=6,DATE(YEAR(H260),MONTH(H260)+1,0)-1,IF(WEEKDAY(DATE(YEAR(H260),MONTH(H260)+1,0),2)=7,DATE(YEAR(H260),MONTH(H260)+1,0)-2,DATE(YEAR(H260),MONTH(H260)+1,0)))</f>
        <v>34544</v>
      </c>
      <c r="J260" s="53">
        <v>8.2167262441025386</v>
      </c>
      <c r="K260" s="21"/>
      <c r="L260" s="21" t="s">
        <v>1399</v>
      </c>
      <c r="M260" s="25">
        <f>DATE(YEAR(OneWeekMtgRatesDataTable75[[#This Row],[asOf]]),MONTH(OneWeekMtgRatesDataTable75[[#This Row],[asOf]]),DAY(OneWeekMtgRatesDataTable75[[#This Row],[asOf]]))</f>
        <v>41946</v>
      </c>
      <c r="N260" s="21">
        <v>4.0199999999999996</v>
      </c>
      <c r="O260" s="21">
        <v>0.5</v>
      </c>
      <c r="P260" s="21">
        <v>3.8949999999999996</v>
      </c>
    </row>
    <row r="261" spans="8:16">
      <c r="H261" s="50">
        <v>34486</v>
      </c>
      <c r="I261" s="50">
        <f t="shared" si="10"/>
        <v>34515</v>
      </c>
      <c r="J261" s="53">
        <v>8.2217767583119237</v>
      </c>
      <c r="K261" s="21"/>
      <c r="L261" s="21" t="s">
        <v>1398</v>
      </c>
      <c r="M261" s="25">
        <f>DATE(YEAR(OneWeekMtgRatesDataTable75[[#This Row],[asOf]]),MONTH(OneWeekMtgRatesDataTable75[[#This Row],[asOf]]),DAY(OneWeekMtgRatesDataTable75[[#This Row],[asOf]]))</f>
        <v>41943</v>
      </c>
      <c r="N261" s="21">
        <v>4.0199999999999996</v>
      </c>
      <c r="O261" s="21">
        <v>0.5</v>
      </c>
      <c r="P261" s="21">
        <v>3.8949999999999996</v>
      </c>
    </row>
    <row r="262" spans="8:16">
      <c r="H262" s="50">
        <v>34455</v>
      </c>
      <c r="I262" s="50">
        <f t="shared" si="10"/>
        <v>34485</v>
      </c>
      <c r="J262" s="53">
        <v>8.2362761538218656</v>
      </c>
      <c r="K262" s="21"/>
      <c r="L262" s="21" t="s">
        <v>1397</v>
      </c>
      <c r="M262" s="25">
        <f>DATE(YEAR(OneWeekMtgRatesDataTable75[[#This Row],[asOf]]),MONTH(OneWeekMtgRatesDataTable75[[#This Row],[asOf]]),DAY(OneWeekMtgRatesDataTable75[[#This Row],[asOf]]))</f>
        <v>41942</v>
      </c>
      <c r="N262" s="21">
        <v>4.0199999999999996</v>
      </c>
      <c r="O262" s="21">
        <v>0.5</v>
      </c>
      <c r="P262" s="21">
        <v>3.8949999999999996</v>
      </c>
    </row>
    <row r="263" spans="8:16">
      <c r="H263" s="50">
        <v>34425</v>
      </c>
      <c r="I263" s="50">
        <f t="shared" si="10"/>
        <v>34453</v>
      </c>
      <c r="J263" s="53">
        <v>8.266394897206375</v>
      </c>
      <c r="K263" s="21"/>
      <c r="L263" s="21" t="s">
        <v>1396</v>
      </c>
      <c r="M263" s="25">
        <f>DATE(YEAR(OneWeekMtgRatesDataTable75[[#This Row],[asOf]]),MONTH(OneWeekMtgRatesDataTable75[[#This Row],[asOf]]),DAY(OneWeekMtgRatesDataTable75[[#This Row],[asOf]]))</f>
        <v>41941</v>
      </c>
      <c r="N263" s="21">
        <v>3.98</v>
      </c>
      <c r="O263" s="21">
        <v>0.5</v>
      </c>
      <c r="P263" s="21">
        <v>3.855</v>
      </c>
    </row>
    <row r="264" spans="8:16">
      <c r="H264" s="50">
        <v>34394</v>
      </c>
      <c r="I264" s="50">
        <f t="shared" si="10"/>
        <v>34424</v>
      </c>
      <c r="J264" s="53">
        <v>8.3121316924845114</v>
      </c>
      <c r="K264" s="21"/>
      <c r="L264" s="21" t="s">
        <v>1395</v>
      </c>
      <c r="M264" s="25">
        <f>DATE(YEAR(OneWeekMtgRatesDataTable75[[#This Row],[asOf]]),MONTH(OneWeekMtgRatesDataTable75[[#This Row],[asOf]]),DAY(OneWeekMtgRatesDataTable75[[#This Row],[asOf]]))</f>
        <v>41940</v>
      </c>
      <c r="N264" s="21">
        <v>3.98</v>
      </c>
      <c r="O264" s="21">
        <v>0.5</v>
      </c>
      <c r="P264" s="21">
        <v>3.855</v>
      </c>
    </row>
    <row r="265" spans="8:16">
      <c r="H265" s="50">
        <v>34366</v>
      </c>
      <c r="I265" s="50">
        <f t="shared" si="10"/>
        <v>34393</v>
      </c>
      <c r="J265" s="53">
        <v>8.3582193899169948</v>
      </c>
      <c r="K265" s="21"/>
      <c r="L265" s="21" t="s">
        <v>1394</v>
      </c>
      <c r="M265" s="25">
        <f>DATE(YEAR(OneWeekMtgRatesDataTable75[[#This Row],[asOf]]),MONTH(OneWeekMtgRatesDataTable75[[#This Row],[asOf]]),DAY(OneWeekMtgRatesDataTable75[[#This Row],[asOf]]))</f>
        <v>41939</v>
      </c>
      <c r="N265" s="21">
        <v>3.98</v>
      </c>
      <c r="O265" s="21">
        <v>0.5</v>
      </c>
      <c r="P265" s="21">
        <v>3.855</v>
      </c>
    </row>
    <row r="266" spans="8:16">
      <c r="H266" s="64">
        <v>34335</v>
      </c>
      <c r="I266" s="64">
        <f t="shared" si="10"/>
        <v>34365</v>
      </c>
      <c r="J266" s="65">
        <v>8.4205052659075985</v>
      </c>
      <c r="K266" s="21"/>
      <c r="L266" s="21" t="s">
        <v>1393</v>
      </c>
      <c r="M266" s="25">
        <f>DATE(YEAR(OneWeekMtgRatesDataTable75[[#This Row],[asOf]]),MONTH(OneWeekMtgRatesDataTable75[[#This Row],[asOf]]),DAY(OneWeekMtgRatesDataTable75[[#This Row],[asOf]]))</f>
        <v>41936</v>
      </c>
      <c r="N266" s="21">
        <v>3.98</v>
      </c>
      <c r="O266" s="21">
        <v>0.5</v>
      </c>
      <c r="P266" s="21">
        <v>3.855</v>
      </c>
    </row>
    <row r="267" spans="8:16">
      <c r="H267" s="21"/>
      <c r="I267" s="21"/>
      <c r="J267" s="52"/>
      <c r="K267" s="21"/>
      <c r="L267" s="21" t="s">
        <v>1392</v>
      </c>
      <c r="M267" s="25">
        <f>DATE(YEAR(OneWeekMtgRatesDataTable75[[#This Row],[asOf]]),MONTH(OneWeekMtgRatesDataTable75[[#This Row],[asOf]]),DAY(OneWeekMtgRatesDataTable75[[#This Row],[asOf]]))</f>
        <v>41935</v>
      </c>
      <c r="N267" s="21">
        <v>3.98</v>
      </c>
      <c r="O267" s="21">
        <v>0.5</v>
      </c>
      <c r="P267" s="21">
        <v>3.855</v>
      </c>
    </row>
    <row r="268" spans="8:16">
      <c r="H268" s="21"/>
      <c r="I268" s="21"/>
      <c r="J268" s="52"/>
      <c r="K268" s="21"/>
      <c r="L268" s="21" t="s">
        <v>1391</v>
      </c>
      <c r="M268" s="25">
        <f>DATE(YEAR(OneWeekMtgRatesDataTable75[[#This Row],[asOf]]),MONTH(OneWeekMtgRatesDataTable75[[#This Row],[asOf]]),DAY(OneWeekMtgRatesDataTable75[[#This Row],[asOf]]))</f>
        <v>41934</v>
      </c>
      <c r="N268" s="21">
        <v>3.92</v>
      </c>
      <c r="O268" s="21">
        <v>0.5</v>
      </c>
      <c r="P268" s="21">
        <v>3.7949999999999999</v>
      </c>
    </row>
    <row r="269" spans="8:16">
      <c r="H269" s="21"/>
      <c r="I269" s="21"/>
      <c r="J269" s="52"/>
      <c r="K269" s="21"/>
      <c r="L269" s="21" t="s">
        <v>1390</v>
      </c>
      <c r="M269" s="25">
        <f>DATE(YEAR(OneWeekMtgRatesDataTable75[[#This Row],[asOf]]),MONTH(OneWeekMtgRatesDataTable75[[#This Row],[asOf]]),DAY(OneWeekMtgRatesDataTable75[[#This Row],[asOf]]))</f>
        <v>41933</v>
      </c>
      <c r="N269" s="21">
        <v>3.92</v>
      </c>
      <c r="O269" s="21">
        <v>0.5</v>
      </c>
      <c r="P269" s="21">
        <v>3.7949999999999999</v>
      </c>
    </row>
    <row r="270" spans="8:16">
      <c r="H270" s="21"/>
      <c r="I270" s="21"/>
      <c r="J270" s="52"/>
      <c r="K270" s="21"/>
      <c r="L270" s="21" t="s">
        <v>1389</v>
      </c>
      <c r="M270" s="25">
        <f>DATE(YEAR(OneWeekMtgRatesDataTable75[[#This Row],[asOf]]),MONTH(OneWeekMtgRatesDataTable75[[#This Row],[asOf]]),DAY(OneWeekMtgRatesDataTable75[[#This Row],[asOf]]))</f>
        <v>41932</v>
      </c>
      <c r="N270" s="21">
        <v>3.92</v>
      </c>
      <c r="O270" s="21">
        <v>0.5</v>
      </c>
      <c r="P270" s="21">
        <v>3.7949999999999999</v>
      </c>
    </row>
    <row r="271" spans="8:16">
      <c r="H271" s="21"/>
      <c r="I271" s="21"/>
      <c r="J271" s="52"/>
      <c r="K271" s="21"/>
      <c r="L271" s="21" t="s">
        <v>1388</v>
      </c>
      <c r="M271" s="25">
        <f>DATE(YEAR(OneWeekMtgRatesDataTable75[[#This Row],[asOf]]),MONTH(OneWeekMtgRatesDataTable75[[#This Row],[asOf]]),DAY(OneWeekMtgRatesDataTable75[[#This Row],[asOf]]))</f>
        <v>41929</v>
      </c>
      <c r="N271" s="21">
        <v>3.92</v>
      </c>
      <c r="O271" s="21">
        <v>0.5</v>
      </c>
      <c r="P271" s="21">
        <v>3.7949999999999999</v>
      </c>
    </row>
    <row r="272" spans="8:16">
      <c r="H272" s="21"/>
      <c r="I272" s="21"/>
      <c r="J272" s="52"/>
      <c r="K272" s="21"/>
      <c r="L272" s="21" t="s">
        <v>1387</v>
      </c>
      <c r="M272" s="25">
        <f>DATE(YEAR(OneWeekMtgRatesDataTable75[[#This Row],[asOf]]),MONTH(OneWeekMtgRatesDataTable75[[#This Row],[asOf]]),DAY(OneWeekMtgRatesDataTable75[[#This Row],[asOf]]))</f>
        <v>41928</v>
      </c>
      <c r="N272" s="21">
        <v>3.92</v>
      </c>
      <c r="O272" s="21">
        <v>0.5</v>
      </c>
      <c r="P272" s="21">
        <v>3.7949999999999999</v>
      </c>
    </row>
    <row r="273" spans="8:16">
      <c r="H273" s="21"/>
      <c r="I273" s="21"/>
      <c r="J273" s="52"/>
      <c r="K273" s="21"/>
      <c r="L273" s="21" t="s">
        <v>1386</v>
      </c>
      <c r="M273" s="25">
        <f>DATE(YEAR(OneWeekMtgRatesDataTable75[[#This Row],[asOf]]),MONTH(OneWeekMtgRatesDataTable75[[#This Row],[asOf]]),DAY(OneWeekMtgRatesDataTable75[[#This Row],[asOf]]))</f>
        <v>41927</v>
      </c>
      <c r="N273" s="21">
        <v>3.97</v>
      </c>
      <c r="O273" s="21">
        <v>0.5</v>
      </c>
      <c r="P273" s="21">
        <v>3.8450000000000002</v>
      </c>
    </row>
    <row r="274" spans="8:16">
      <c r="H274" s="21"/>
      <c r="I274" s="21"/>
      <c r="J274" s="52"/>
      <c r="K274" s="21"/>
      <c r="L274" s="21" t="s">
        <v>1385</v>
      </c>
      <c r="M274" s="25">
        <f>DATE(YEAR(OneWeekMtgRatesDataTable75[[#This Row],[asOf]]),MONTH(OneWeekMtgRatesDataTable75[[#This Row],[asOf]]),DAY(OneWeekMtgRatesDataTable75[[#This Row],[asOf]]))</f>
        <v>41926</v>
      </c>
      <c r="N274" s="21">
        <v>3.97</v>
      </c>
      <c r="O274" s="21">
        <v>0.5</v>
      </c>
      <c r="P274" s="21">
        <v>3.8450000000000002</v>
      </c>
    </row>
    <row r="275" spans="8:16">
      <c r="H275" s="21"/>
      <c r="I275" s="21"/>
      <c r="J275" s="52"/>
      <c r="K275" s="21"/>
      <c r="L275" s="21" t="s">
        <v>1384</v>
      </c>
      <c r="M275" s="25">
        <f>DATE(YEAR(OneWeekMtgRatesDataTable75[[#This Row],[asOf]]),MONTH(OneWeekMtgRatesDataTable75[[#This Row],[asOf]]),DAY(OneWeekMtgRatesDataTable75[[#This Row],[asOf]]))</f>
        <v>41922</v>
      </c>
      <c r="N275" s="21">
        <v>3.97</v>
      </c>
      <c r="O275" s="21">
        <v>0.5</v>
      </c>
      <c r="P275" s="21">
        <v>3.8450000000000002</v>
      </c>
    </row>
    <row r="276" spans="8:16">
      <c r="H276" s="21"/>
      <c r="I276" s="21"/>
      <c r="J276" s="52"/>
      <c r="K276" s="21"/>
      <c r="L276" s="21" t="s">
        <v>1383</v>
      </c>
      <c r="M276" s="25">
        <f>DATE(YEAR(OneWeekMtgRatesDataTable75[[#This Row],[asOf]]),MONTH(OneWeekMtgRatesDataTable75[[#This Row],[asOf]]),DAY(OneWeekMtgRatesDataTable75[[#This Row],[asOf]]))</f>
        <v>41921</v>
      </c>
      <c r="N276" s="21">
        <v>3.97</v>
      </c>
      <c r="O276" s="21">
        <v>0.5</v>
      </c>
      <c r="P276" s="21">
        <v>3.8450000000000002</v>
      </c>
    </row>
    <row r="277" spans="8:16">
      <c r="H277" s="21"/>
      <c r="I277" s="21"/>
      <c r="J277" s="52"/>
      <c r="K277" s="21"/>
      <c r="L277" s="21" t="s">
        <v>1382</v>
      </c>
      <c r="M277" s="25">
        <f>DATE(YEAR(OneWeekMtgRatesDataTable75[[#This Row],[asOf]]),MONTH(OneWeekMtgRatesDataTable75[[#This Row],[asOf]]),DAY(OneWeekMtgRatesDataTable75[[#This Row],[asOf]]))</f>
        <v>41920</v>
      </c>
      <c r="N277" s="21">
        <v>4.12</v>
      </c>
      <c r="O277" s="21">
        <v>0.5</v>
      </c>
      <c r="P277" s="21">
        <v>3.9950000000000001</v>
      </c>
    </row>
    <row r="278" spans="8:16">
      <c r="H278" s="21"/>
      <c r="I278" s="21"/>
      <c r="J278" s="52"/>
      <c r="K278" s="21"/>
      <c r="L278" s="21" t="s">
        <v>1381</v>
      </c>
      <c r="M278" s="25">
        <f>DATE(YEAR(OneWeekMtgRatesDataTable75[[#This Row],[asOf]]),MONTH(OneWeekMtgRatesDataTable75[[#This Row],[asOf]]),DAY(OneWeekMtgRatesDataTable75[[#This Row],[asOf]]))</f>
        <v>41919</v>
      </c>
      <c r="N278" s="21">
        <v>4.12</v>
      </c>
      <c r="O278" s="21">
        <v>0.5</v>
      </c>
      <c r="P278" s="21">
        <v>3.9950000000000001</v>
      </c>
    </row>
    <row r="279" spans="8:16">
      <c r="H279" s="21"/>
      <c r="I279" s="21"/>
      <c r="J279" s="52"/>
      <c r="K279" s="21"/>
      <c r="L279" s="21" t="s">
        <v>1380</v>
      </c>
      <c r="M279" s="25">
        <f>DATE(YEAR(OneWeekMtgRatesDataTable75[[#This Row],[asOf]]),MONTH(OneWeekMtgRatesDataTable75[[#This Row],[asOf]]),DAY(OneWeekMtgRatesDataTable75[[#This Row],[asOf]]))</f>
        <v>41918</v>
      </c>
      <c r="N279" s="21">
        <v>4.12</v>
      </c>
      <c r="O279" s="21">
        <v>0.5</v>
      </c>
      <c r="P279" s="21">
        <v>3.9950000000000001</v>
      </c>
    </row>
    <row r="280" spans="8:16">
      <c r="H280" s="21"/>
      <c r="I280" s="21"/>
      <c r="J280" s="52"/>
      <c r="K280" s="21"/>
      <c r="L280" s="21" t="s">
        <v>1379</v>
      </c>
      <c r="M280" s="25">
        <f>DATE(YEAR(OneWeekMtgRatesDataTable75[[#This Row],[asOf]]),MONTH(OneWeekMtgRatesDataTable75[[#This Row],[asOf]]),DAY(OneWeekMtgRatesDataTable75[[#This Row],[asOf]]))</f>
        <v>41915</v>
      </c>
      <c r="N280" s="21">
        <v>4.12</v>
      </c>
      <c r="O280" s="21">
        <v>0.5</v>
      </c>
      <c r="P280" s="21">
        <v>3.9950000000000001</v>
      </c>
    </row>
    <row r="281" spans="8:16">
      <c r="H281" s="21"/>
      <c r="I281" s="21"/>
      <c r="J281" s="52"/>
      <c r="K281" s="21"/>
      <c r="L281" s="21" t="s">
        <v>1378</v>
      </c>
      <c r="M281" s="25">
        <f>DATE(YEAR(OneWeekMtgRatesDataTable75[[#This Row],[asOf]]),MONTH(OneWeekMtgRatesDataTable75[[#This Row],[asOf]]),DAY(OneWeekMtgRatesDataTable75[[#This Row],[asOf]]))</f>
        <v>41914</v>
      </c>
      <c r="N281" s="21">
        <v>4.12</v>
      </c>
      <c r="O281" s="21">
        <v>0.5</v>
      </c>
      <c r="P281" s="21">
        <v>3.9950000000000001</v>
      </c>
    </row>
    <row r="282" spans="8:16">
      <c r="H282" s="21"/>
      <c r="I282" s="21"/>
      <c r="J282" s="52"/>
      <c r="K282" s="21"/>
      <c r="L282" s="21" t="s">
        <v>1377</v>
      </c>
      <c r="M282" s="25">
        <f>DATE(YEAR(OneWeekMtgRatesDataTable75[[#This Row],[asOf]]),MONTH(OneWeekMtgRatesDataTable75[[#This Row],[asOf]]),DAY(OneWeekMtgRatesDataTable75[[#This Row],[asOf]]))</f>
        <v>41913</v>
      </c>
      <c r="N282" s="21">
        <v>4.1900000000000004</v>
      </c>
      <c r="O282" s="21">
        <v>0.4</v>
      </c>
      <c r="P282" s="21">
        <v>4.04</v>
      </c>
    </row>
    <row r="283" spans="8:16">
      <c r="H283" s="21"/>
      <c r="I283" s="21"/>
      <c r="J283" s="52"/>
      <c r="K283" s="21"/>
      <c r="L283" s="21" t="s">
        <v>1376</v>
      </c>
      <c r="M283" s="25">
        <f>DATE(YEAR(OneWeekMtgRatesDataTable75[[#This Row],[asOf]]),MONTH(OneWeekMtgRatesDataTable75[[#This Row],[asOf]]),DAY(OneWeekMtgRatesDataTable75[[#This Row],[asOf]]))</f>
        <v>41912</v>
      </c>
      <c r="N283" s="21">
        <v>4.1900000000000004</v>
      </c>
      <c r="O283" s="21">
        <v>0.4</v>
      </c>
      <c r="P283" s="21">
        <v>4.04</v>
      </c>
    </row>
    <row r="284" spans="8:16">
      <c r="H284" s="21"/>
      <c r="I284" s="21"/>
      <c r="J284" s="52"/>
      <c r="K284" s="21"/>
      <c r="L284" s="21" t="s">
        <v>1375</v>
      </c>
      <c r="M284" s="25">
        <f>DATE(YEAR(OneWeekMtgRatesDataTable75[[#This Row],[asOf]]),MONTH(OneWeekMtgRatesDataTable75[[#This Row],[asOf]]),DAY(OneWeekMtgRatesDataTable75[[#This Row],[asOf]]))</f>
        <v>41911</v>
      </c>
      <c r="N284" s="21">
        <v>4.1900000000000004</v>
      </c>
      <c r="O284" s="21">
        <v>0.4</v>
      </c>
      <c r="P284" s="21">
        <v>4.04</v>
      </c>
    </row>
    <row r="285" spans="8:16">
      <c r="H285" s="21"/>
      <c r="I285" s="21"/>
      <c r="J285" s="52"/>
      <c r="K285" s="21"/>
      <c r="L285" s="21" t="s">
        <v>1374</v>
      </c>
      <c r="M285" s="25">
        <f>DATE(YEAR(OneWeekMtgRatesDataTable75[[#This Row],[asOf]]),MONTH(OneWeekMtgRatesDataTable75[[#This Row],[asOf]]),DAY(OneWeekMtgRatesDataTable75[[#This Row],[asOf]]))</f>
        <v>41908</v>
      </c>
      <c r="N285" s="21">
        <v>4.1900000000000004</v>
      </c>
      <c r="O285" s="21">
        <v>0.4</v>
      </c>
      <c r="P285" s="21">
        <v>4.04</v>
      </c>
    </row>
    <row r="286" spans="8:16">
      <c r="H286" s="21"/>
      <c r="I286" s="21"/>
      <c r="J286" s="52"/>
      <c r="K286" s="21"/>
      <c r="L286" s="21" t="s">
        <v>1373</v>
      </c>
      <c r="M286" s="25">
        <f>DATE(YEAR(OneWeekMtgRatesDataTable75[[#This Row],[asOf]]),MONTH(OneWeekMtgRatesDataTable75[[#This Row],[asOf]]),DAY(OneWeekMtgRatesDataTable75[[#This Row],[asOf]]))</f>
        <v>41907</v>
      </c>
      <c r="N286" s="21">
        <v>4.1900000000000004</v>
      </c>
      <c r="O286" s="21">
        <v>0.4</v>
      </c>
      <c r="P286" s="21">
        <v>4.04</v>
      </c>
    </row>
    <row r="287" spans="8:16">
      <c r="H287" s="21"/>
      <c r="I287" s="21"/>
      <c r="J287" s="52"/>
      <c r="K287" s="21"/>
      <c r="L287" s="21" t="s">
        <v>1372</v>
      </c>
      <c r="M287" s="25">
        <f>DATE(YEAR(OneWeekMtgRatesDataTable75[[#This Row],[asOf]]),MONTH(OneWeekMtgRatesDataTable75[[#This Row],[asOf]]),DAY(OneWeekMtgRatesDataTable75[[#This Row],[asOf]]))</f>
        <v>41906</v>
      </c>
      <c r="N287" s="21">
        <v>4.2</v>
      </c>
      <c r="O287" s="21">
        <v>0.5</v>
      </c>
      <c r="P287" s="21">
        <v>4.0750000000000002</v>
      </c>
    </row>
    <row r="288" spans="8:16">
      <c r="H288" s="21"/>
      <c r="I288" s="21"/>
      <c r="J288" s="52"/>
      <c r="K288" s="21"/>
      <c r="L288" s="21" t="s">
        <v>1371</v>
      </c>
      <c r="M288" s="25">
        <f>DATE(YEAR(OneWeekMtgRatesDataTable75[[#This Row],[asOf]]),MONTH(OneWeekMtgRatesDataTable75[[#This Row],[asOf]]),DAY(OneWeekMtgRatesDataTable75[[#This Row],[asOf]]))</f>
        <v>41905</v>
      </c>
      <c r="N288" s="21">
        <v>4.2</v>
      </c>
      <c r="O288" s="21">
        <v>0.5</v>
      </c>
      <c r="P288" s="21">
        <v>4.0750000000000002</v>
      </c>
    </row>
    <row r="289" spans="8:16">
      <c r="H289" s="21"/>
      <c r="I289" s="21"/>
      <c r="J289" s="52"/>
      <c r="K289" s="21"/>
      <c r="L289" s="21" t="s">
        <v>1370</v>
      </c>
      <c r="M289" s="25">
        <f>DATE(YEAR(OneWeekMtgRatesDataTable75[[#This Row],[asOf]]),MONTH(OneWeekMtgRatesDataTable75[[#This Row],[asOf]]),DAY(OneWeekMtgRatesDataTable75[[#This Row],[asOf]]))</f>
        <v>41904</v>
      </c>
      <c r="N289" s="21">
        <v>4.2</v>
      </c>
      <c r="O289" s="21">
        <v>0.5</v>
      </c>
      <c r="P289" s="21">
        <v>4.0750000000000002</v>
      </c>
    </row>
    <row r="290" spans="8:16">
      <c r="H290" s="21"/>
      <c r="I290" s="21"/>
      <c r="J290" s="52"/>
      <c r="K290" s="21"/>
      <c r="L290" s="21" t="s">
        <v>1369</v>
      </c>
      <c r="M290" s="25">
        <f>DATE(YEAR(OneWeekMtgRatesDataTable75[[#This Row],[asOf]]),MONTH(OneWeekMtgRatesDataTable75[[#This Row],[asOf]]),DAY(OneWeekMtgRatesDataTable75[[#This Row],[asOf]]))</f>
        <v>41901</v>
      </c>
      <c r="N290" s="21">
        <v>4.2</v>
      </c>
      <c r="O290" s="21">
        <v>0.5</v>
      </c>
      <c r="P290" s="21">
        <v>4.0750000000000002</v>
      </c>
    </row>
    <row r="291" spans="8:16">
      <c r="H291" s="21"/>
      <c r="I291" s="21"/>
      <c r="J291" s="52"/>
      <c r="K291" s="21"/>
      <c r="L291" s="21" t="s">
        <v>1368</v>
      </c>
      <c r="M291" s="25">
        <f>DATE(YEAR(OneWeekMtgRatesDataTable75[[#This Row],[asOf]]),MONTH(OneWeekMtgRatesDataTable75[[#This Row],[asOf]]),DAY(OneWeekMtgRatesDataTable75[[#This Row],[asOf]]))</f>
        <v>41900</v>
      </c>
      <c r="N291" s="21">
        <v>4.2</v>
      </c>
      <c r="O291" s="21">
        <v>0.5</v>
      </c>
      <c r="P291" s="21">
        <v>4.0750000000000002</v>
      </c>
    </row>
    <row r="292" spans="8:16">
      <c r="H292" s="21"/>
      <c r="I292" s="21"/>
      <c r="J292" s="52"/>
      <c r="K292" s="21"/>
      <c r="L292" s="21" t="s">
        <v>1367</v>
      </c>
      <c r="M292" s="25">
        <f>DATE(YEAR(OneWeekMtgRatesDataTable75[[#This Row],[asOf]]),MONTH(OneWeekMtgRatesDataTable75[[#This Row],[asOf]]),DAY(OneWeekMtgRatesDataTable75[[#This Row],[asOf]]))</f>
        <v>41899</v>
      </c>
      <c r="N292" s="21">
        <v>4.2300000000000004</v>
      </c>
      <c r="O292" s="21">
        <v>0.5</v>
      </c>
      <c r="P292" s="21">
        <v>4.1050000000000004</v>
      </c>
    </row>
    <row r="293" spans="8:16">
      <c r="H293" s="21"/>
      <c r="I293" s="21"/>
      <c r="J293" s="52"/>
      <c r="K293" s="21"/>
      <c r="L293" s="21" t="s">
        <v>1366</v>
      </c>
      <c r="M293" s="25">
        <f>DATE(YEAR(OneWeekMtgRatesDataTable75[[#This Row],[asOf]]),MONTH(OneWeekMtgRatesDataTable75[[#This Row],[asOf]]),DAY(OneWeekMtgRatesDataTable75[[#This Row],[asOf]]))</f>
        <v>41898</v>
      </c>
      <c r="N293" s="21">
        <v>4.2300000000000004</v>
      </c>
      <c r="O293" s="21">
        <v>0.5</v>
      </c>
      <c r="P293" s="21">
        <v>4.1050000000000004</v>
      </c>
    </row>
    <row r="294" spans="8:16">
      <c r="H294" s="21"/>
      <c r="I294" s="21"/>
      <c r="J294" s="52"/>
      <c r="K294" s="21"/>
      <c r="L294" s="21" t="s">
        <v>1365</v>
      </c>
      <c r="M294" s="25">
        <f>DATE(YEAR(OneWeekMtgRatesDataTable75[[#This Row],[asOf]]),MONTH(OneWeekMtgRatesDataTable75[[#This Row],[asOf]]),DAY(OneWeekMtgRatesDataTable75[[#This Row],[asOf]]))</f>
        <v>41897</v>
      </c>
      <c r="N294" s="21">
        <v>4.2300000000000004</v>
      </c>
      <c r="O294" s="21">
        <v>0.5</v>
      </c>
      <c r="P294" s="21">
        <v>4.1050000000000004</v>
      </c>
    </row>
    <row r="295" spans="8:16">
      <c r="H295" s="21"/>
      <c r="I295" s="21"/>
      <c r="J295" s="52"/>
      <c r="K295" s="21"/>
      <c r="L295" s="21" t="s">
        <v>1364</v>
      </c>
      <c r="M295" s="25">
        <f>DATE(YEAR(OneWeekMtgRatesDataTable75[[#This Row],[asOf]]),MONTH(OneWeekMtgRatesDataTable75[[#This Row],[asOf]]),DAY(OneWeekMtgRatesDataTable75[[#This Row],[asOf]]))</f>
        <v>41894</v>
      </c>
      <c r="N295" s="21">
        <v>4.2300000000000004</v>
      </c>
      <c r="O295" s="21">
        <v>0.5</v>
      </c>
      <c r="P295" s="21">
        <v>4.1050000000000004</v>
      </c>
    </row>
    <row r="296" spans="8:16">
      <c r="H296" s="21"/>
      <c r="I296" s="21"/>
      <c r="J296" s="52"/>
      <c r="K296" s="21"/>
      <c r="L296" s="21" t="s">
        <v>1363</v>
      </c>
      <c r="M296" s="25">
        <f>DATE(YEAR(OneWeekMtgRatesDataTable75[[#This Row],[asOf]]),MONTH(OneWeekMtgRatesDataTable75[[#This Row],[asOf]]),DAY(OneWeekMtgRatesDataTable75[[#This Row],[asOf]]))</f>
        <v>41893</v>
      </c>
      <c r="N296" s="21">
        <v>4.2300000000000004</v>
      </c>
      <c r="O296" s="21">
        <v>0.5</v>
      </c>
      <c r="P296" s="21">
        <v>4.1050000000000004</v>
      </c>
    </row>
    <row r="297" spans="8:16">
      <c r="H297" s="21"/>
      <c r="I297" s="21"/>
      <c r="J297" s="52"/>
      <c r="K297" s="21"/>
      <c r="L297" s="21" t="s">
        <v>1362</v>
      </c>
      <c r="M297" s="25">
        <f>DATE(YEAR(OneWeekMtgRatesDataTable75[[#This Row],[asOf]]),MONTH(OneWeekMtgRatesDataTable75[[#This Row],[asOf]]),DAY(OneWeekMtgRatesDataTable75[[#This Row],[asOf]]))</f>
        <v>41892</v>
      </c>
      <c r="N297" s="21">
        <v>4.12</v>
      </c>
      <c r="O297" s="21">
        <v>0.5</v>
      </c>
      <c r="P297" s="21">
        <v>3.9950000000000001</v>
      </c>
    </row>
    <row r="298" spans="8:16">
      <c r="H298" s="21"/>
      <c r="I298" s="21"/>
      <c r="J298" s="52"/>
      <c r="K298" s="21"/>
      <c r="L298" s="21" t="s">
        <v>1361</v>
      </c>
      <c r="M298" s="25">
        <f>DATE(YEAR(OneWeekMtgRatesDataTable75[[#This Row],[asOf]]),MONTH(OneWeekMtgRatesDataTable75[[#This Row],[asOf]]),DAY(OneWeekMtgRatesDataTable75[[#This Row],[asOf]]))</f>
        <v>41891</v>
      </c>
      <c r="N298" s="21">
        <v>4.12</v>
      </c>
      <c r="O298" s="21">
        <v>0.5</v>
      </c>
      <c r="P298" s="21">
        <v>3.9950000000000001</v>
      </c>
    </row>
    <row r="299" spans="8:16">
      <c r="H299" s="21"/>
      <c r="I299" s="21"/>
      <c r="J299" s="52"/>
      <c r="K299" s="21"/>
      <c r="L299" s="21" t="s">
        <v>1360</v>
      </c>
      <c r="M299" s="25">
        <f>DATE(YEAR(OneWeekMtgRatesDataTable75[[#This Row],[asOf]]),MONTH(OneWeekMtgRatesDataTable75[[#This Row],[asOf]]),DAY(OneWeekMtgRatesDataTable75[[#This Row],[asOf]]))</f>
        <v>41890</v>
      </c>
      <c r="N299" s="21">
        <v>4.12</v>
      </c>
      <c r="O299" s="21">
        <v>0.5</v>
      </c>
      <c r="P299" s="21">
        <v>3.9950000000000001</v>
      </c>
    </row>
    <row r="300" spans="8:16">
      <c r="H300" s="21"/>
      <c r="I300" s="21"/>
      <c r="J300" s="52"/>
      <c r="K300" s="21"/>
      <c r="L300" s="21" t="s">
        <v>1359</v>
      </c>
      <c r="M300" s="25">
        <f>DATE(YEAR(OneWeekMtgRatesDataTable75[[#This Row],[asOf]]),MONTH(OneWeekMtgRatesDataTable75[[#This Row],[asOf]]),DAY(OneWeekMtgRatesDataTable75[[#This Row],[asOf]]))</f>
        <v>41887</v>
      </c>
      <c r="N300" s="21">
        <v>4.12</v>
      </c>
      <c r="O300" s="21">
        <v>0.5</v>
      </c>
      <c r="P300" s="21">
        <v>3.9950000000000001</v>
      </c>
    </row>
    <row r="301" spans="8:16">
      <c r="H301" s="21"/>
      <c r="I301" s="21"/>
      <c r="J301" s="52"/>
      <c r="K301" s="21"/>
      <c r="L301" s="21" t="s">
        <v>1358</v>
      </c>
      <c r="M301" s="25">
        <f>DATE(YEAR(OneWeekMtgRatesDataTable75[[#This Row],[asOf]]),MONTH(OneWeekMtgRatesDataTable75[[#This Row],[asOf]]),DAY(OneWeekMtgRatesDataTable75[[#This Row],[asOf]]))</f>
        <v>41886</v>
      </c>
      <c r="N301" s="21">
        <v>4.12</v>
      </c>
      <c r="O301" s="21">
        <v>0.5</v>
      </c>
      <c r="P301" s="21">
        <v>3.9950000000000001</v>
      </c>
    </row>
    <row r="302" spans="8:16">
      <c r="H302" s="21"/>
      <c r="I302" s="21"/>
      <c r="J302" s="52"/>
      <c r="K302" s="21"/>
      <c r="L302" s="21" t="s">
        <v>1357</v>
      </c>
      <c r="M302" s="25">
        <f>DATE(YEAR(OneWeekMtgRatesDataTable75[[#This Row],[asOf]]),MONTH(OneWeekMtgRatesDataTable75[[#This Row],[asOf]]),DAY(OneWeekMtgRatesDataTable75[[#This Row],[asOf]]))</f>
        <v>41885</v>
      </c>
      <c r="N302" s="21">
        <v>4.0999999999999996</v>
      </c>
      <c r="O302" s="21">
        <v>0.5</v>
      </c>
      <c r="P302" s="21">
        <v>3.9749999999999996</v>
      </c>
    </row>
    <row r="303" spans="8:16">
      <c r="H303" s="21"/>
      <c r="I303" s="21"/>
      <c r="J303" s="52"/>
      <c r="K303" s="21"/>
      <c r="L303" s="21" t="s">
        <v>1356</v>
      </c>
      <c r="M303" s="25">
        <f>DATE(YEAR(OneWeekMtgRatesDataTable75[[#This Row],[asOf]]),MONTH(OneWeekMtgRatesDataTable75[[#This Row],[asOf]]),DAY(OneWeekMtgRatesDataTable75[[#This Row],[asOf]]))</f>
        <v>41884</v>
      </c>
      <c r="N303" s="21">
        <v>4.0999999999999996</v>
      </c>
      <c r="O303" s="21">
        <v>0.5</v>
      </c>
      <c r="P303" s="21">
        <v>3.9749999999999996</v>
      </c>
    </row>
    <row r="304" spans="8:16">
      <c r="H304" s="21"/>
      <c r="I304" s="21"/>
      <c r="J304" s="52"/>
      <c r="K304" s="21"/>
      <c r="L304" s="21" t="s">
        <v>1355</v>
      </c>
      <c r="M304" s="25">
        <f>DATE(YEAR(OneWeekMtgRatesDataTable75[[#This Row],[asOf]]),MONTH(OneWeekMtgRatesDataTable75[[#This Row],[asOf]]),DAY(OneWeekMtgRatesDataTable75[[#This Row],[asOf]]))</f>
        <v>41880</v>
      </c>
      <c r="N304" s="21">
        <v>4.0999999999999996</v>
      </c>
      <c r="O304" s="21">
        <v>0.5</v>
      </c>
      <c r="P304" s="21">
        <v>3.9749999999999996</v>
      </c>
    </row>
    <row r="305" spans="8:16">
      <c r="H305" s="21"/>
      <c r="I305" s="21"/>
      <c r="J305" s="52"/>
      <c r="K305" s="21"/>
      <c r="L305" s="21" t="s">
        <v>1354</v>
      </c>
      <c r="M305" s="25">
        <f>DATE(YEAR(OneWeekMtgRatesDataTable75[[#This Row],[asOf]]),MONTH(OneWeekMtgRatesDataTable75[[#This Row],[asOf]]),DAY(OneWeekMtgRatesDataTable75[[#This Row],[asOf]]))</f>
        <v>41879</v>
      </c>
      <c r="N305" s="21">
        <v>4.0999999999999996</v>
      </c>
      <c r="O305" s="21">
        <v>0.5</v>
      </c>
      <c r="P305" s="21">
        <v>3.9749999999999996</v>
      </c>
    </row>
    <row r="306" spans="8:16">
      <c r="H306" s="21"/>
      <c r="I306" s="21"/>
      <c r="J306" s="52"/>
      <c r="K306" s="21"/>
      <c r="L306" s="21" t="s">
        <v>1353</v>
      </c>
      <c r="M306" s="25">
        <f>DATE(YEAR(OneWeekMtgRatesDataTable75[[#This Row],[asOf]]),MONTH(OneWeekMtgRatesDataTable75[[#This Row],[asOf]]),DAY(OneWeekMtgRatesDataTable75[[#This Row],[asOf]]))</f>
        <v>41878</v>
      </c>
      <c r="N306" s="21">
        <v>4.0999999999999996</v>
      </c>
      <c r="O306" s="21">
        <v>0.5</v>
      </c>
      <c r="P306" s="21">
        <v>3.9749999999999996</v>
      </c>
    </row>
    <row r="307" spans="8:16">
      <c r="H307" s="21"/>
      <c r="I307" s="21"/>
      <c r="J307" s="52"/>
      <c r="K307" s="21"/>
      <c r="L307" s="21" t="s">
        <v>1352</v>
      </c>
      <c r="M307" s="25">
        <f>DATE(YEAR(OneWeekMtgRatesDataTable75[[#This Row],[asOf]]),MONTH(OneWeekMtgRatesDataTable75[[#This Row],[asOf]]),DAY(OneWeekMtgRatesDataTable75[[#This Row],[asOf]]))</f>
        <v>41877</v>
      </c>
      <c r="N307" s="21">
        <v>4.0999999999999996</v>
      </c>
      <c r="O307" s="21">
        <v>0.5</v>
      </c>
      <c r="P307" s="21">
        <v>3.9749999999999996</v>
      </c>
    </row>
    <row r="308" spans="8:16">
      <c r="H308" s="21"/>
      <c r="I308" s="21"/>
      <c r="J308" s="52"/>
      <c r="K308" s="21"/>
      <c r="L308" s="21" t="s">
        <v>1351</v>
      </c>
      <c r="M308" s="25">
        <f>DATE(YEAR(OneWeekMtgRatesDataTable75[[#This Row],[asOf]]),MONTH(OneWeekMtgRatesDataTable75[[#This Row],[asOf]]),DAY(OneWeekMtgRatesDataTable75[[#This Row],[asOf]]))</f>
        <v>41876</v>
      </c>
      <c r="N308" s="21">
        <v>4.0999999999999996</v>
      </c>
      <c r="O308" s="21">
        <v>0.5</v>
      </c>
      <c r="P308" s="21">
        <v>3.9749999999999996</v>
      </c>
    </row>
    <row r="309" spans="8:16">
      <c r="H309" s="21"/>
      <c r="I309" s="21"/>
      <c r="J309" s="52"/>
      <c r="K309" s="21"/>
      <c r="L309" s="21" t="s">
        <v>1350</v>
      </c>
      <c r="M309" s="25">
        <f>DATE(YEAR(OneWeekMtgRatesDataTable75[[#This Row],[asOf]]),MONTH(OneWeekMtgRatesDataTable75[[#This Row],[asOf]]),DAY(OneWeekMtgRatesDataTable75[[#This Row],[asOf]]))</f>
        <v>41873</v>
      </c>
      <c r="N309" s="21">
        <v>4.0999999999999996</v>
      </c>
      <c r="O309" s="21">
        <v>0.5</v>
      </c>
      <c r="P309" s="21">
        <v>3.9749999999999996</v>
      </c>
    </row>
    <row r="310" spans="8:16">
      <c r="H310" s="21"/>
      <c r="I310" s="21"/>
      <c r="J310" s="52"/>
      <c r="K310" s="21"/>
      <c r="L310" s="21" t="s">
        <v>1349</v>
      </c>
      <c r="M310" s="25">
        <f>DATE(YEAR(OneWeekMtgRatesDataTable75[[#This Row],[asOf]]),MONTH(OneWeekMtgRatesDataTable75[[#This Row],[asOf]]),DAY(OneWeekMtgRatesDataTable75[[#This Row],[asOf]]))</f>
        <v>41872</v>
      </c>
      <c r="N310" s="21">
        <v>4.0999999999999996</v>
      </c>
      <c r="O310" s="21">
        <v>0.5</v>
      </c>
      <c r="P310" s="21">
        <v>3.9749999999999996</v>
      </c>
    </row>
    <row r="311" spans="8:16">
      <c r="H311" s="21"/>
      <c r="I311" s="21"/>
      <c r="J311" s="52"/>
      <c r="K311" s="21"/>
      <c r="L311" s="21" t="s">
        <v>1348</v>
      </c>
      <c r="M311" s="25">
        <f>DATE(YEAR(OneWeekMtgRatesDataTable75[[#This Row],[asOf]]),MONTH(OneWeekMtgRatesDataTable75[[#This Row],[asOf]]),DAY(OneWeekMtgRatesDataTable75[[#This Row],[asOf]]))</f>
        <v>41871</v>
      </c>
      <c r="N311" s="21">
        <v>4.0999999999999996</v>
      </c>
      <c r="O311" s="21">
        <v>0.5</v>
      </c>
      <c r="P311" s="21">
        <v>3.9749999999999996</v>
      </c>
    </row>
    <row r="312" spans="8:16">
      <c r="H312" s="21"/>
      <c r="I312" s="21"/>
      <c r="J312" s="52"/>
      <c r="K312" s="21"/>
      <c r="L312" s="21" t="s">
        <v>1347</v>
      </c>
      <c r="M312" s="25">
        <f>DATE(YEAR(OneWeekMtgRatesDataTable75[[#This Row],[asOf]]),MONTH(OneWeekMtgRatesDataTable75[[#This Row],[asOf]]),DAY(OneWeekMtgRatesDataTable75[[#This Row],[asOf]]))</f>
        <v>41870</v>
      </c>
      <c r="N312" s="21">
        <v>4.0999999999999996</v>
      </c>
      <c r="O312" s="21">
        <v>0.5</v>
      </c>
      <c r="P312" s="21">
        <v>3.9749999999999996</v>
      </c>
    </row>
    <row r="313" spans="8:16">
      <c r="H313" s="21"/>
      <c r="I313" s="21"/>
      <c r="J313" s="52"/>
      <c r="K313" s="21"/>
      <c r="L313" s="21" t="s">
        <v>1346</v>
      </c>
      <c r="M313" s="25">
        <f>DATE(YEAR(OneWeekMtgRatesDataTable75[[#This Row],[asOf]]),MONTH(OneWeekMtgRatesDataTable75[[#This Row],[asOf]]),DAY(OneWeekMtgRatesDataTable75[[#This Row],[asOf]]))</f>
        <v>41869</v>
      </c>
      <c r="N313" s="21">
        <v>4.0999999999999996</v>
      </c>
      <c r="O313" s="21">
        <v>0.5</v>
      </c>
      <c r="P313" s="21">
        <v>3.9749999999999996</v>
      </c>
    </row>
    <row r="314" spans="8:16">
      <c r="H314" s="21"/>
      <c r="I314" s="21"/>
      <c r="J314" s="52"/>
      <c r="K314" s="21"/>
      <c r="L314" s="21" t="s">
        <v>1345</v>
      </c>
      <c r="M314" s="25">
        <f>DATE(YEAR(OneWeekMtgRatesDataTable75[[#This Row],[asOf]]),MONTH(OneWeekMtgRatesDataTable75[[#This Row],[asOf]]),DAY(OneWeekMtgRatesDataTable75[[#This Row],[asOf]]))</f>
        <v>41866</v>
      </c>
      <c r="N314" s="21">
        <v>4.0999999999999996</v>
      </c>
      <c r="O314" s="21">
        <v>0.5</v>
      </c>
      <c r="P314" s="21">
        <v>3.9749999999999996</v>
      </c>
    </row>
    <row r="315" spans="8:16">
      <c r="H315" s="21"/>
      <c r="I315" s="21"/>
      <c r="J315" s="52"/>
      <c r="K315" s="21"/>
      <c r="L315" s="21" t="s">
        <v>1344</v>
      </c>
      <c r="M315" s="25">
        <f>DATE(YEAR(OneWeekMtgRatesDataTable75[[#This Row],[asOf]]),MONTH(OneWeekMtgRatesDataTable75[[#This Row],[asOf]]),DAY(OneWeekMtgRatesDataTable75[[#This Row],[asOf]]))</f>
        <v>41865</v>
      </c>
      <c r="N315" s="21">
        <v>4.0999999999999996</v>
      </c>
      <c r="O315" s="21">
        <v>0.5</v>
      </c>
      <c r="P315" s="21">
        <v>3.9749999999999996</v>
      </c>
    </row>
    <row r="316" spans="8:16">
      <c r="H316" s="21"/>
      <c r="I316" s="21"/>
      <c r="J316" s="52"/>
      <c r="K316" s="21"/>
      <c r="L316" s="21" t="s">
        <v>1343</v>
      </c>
      <c r="M316" s="25">
        <f>DATE(YEAR(OneWeekMtgRatesDataTable75[[#This Row],[asOf]]),MONTH(OneWeekMtgRatesDataTable75[[#This Row],[asOf]]),DAY(OneWeekMtgRatesDataTable75[[#This Row],[asOf]]))</f>
        <v>41864</v>
      </c>
      <c r="N316" s="21">
        <v>4.12</v>
      </c>
      <c r="O316" s="21">
        <v>0.6</v>
      </c>
      <c r="P316" s="21">
        <v>4.0200000000000005</v>
      </c>
    </row>
    <row r="317" spans="8:16">
      <c r="H317" s="21"/>
      <c r="I317" s="21"/>
      <c r="J317" s="52"/>
      <c r="K317" s="21"/>
      <c r="L317" s="21" t="s">
        <v>1342</v>
      </c>
      <c r="M317" s="25">
        <f>DATE(YEAR(OneWeekMtgRatesDataTable75[[#This Row],[asOf]]),MONTH(OneWeekMtgRatesDataTable75[[#This Row],[asOf]]),DAY(OneWeekMtgRatesDataTable75[[#This Row],[asOf]]))</f>
        <v>41863</v>
      </c>
      <c r="N317" s="21">
        <v>4.12</v>
      </c>
      <c r="O317" s="21">
        <v>0.6</v>
      </c>
      <c r="P317" s="21">
        <v>4.0200000000000005</v>
      </c>
    </row>
    <row r="318" spans="8:16">
      <c r="H318" s="21"/>
      <c r="I318" s="21"/>
      <c r="J318" s="52"/>
      <c r="K318" s="21"/>
      <c r="L318" s="21" t="s">
        <v>1341</v>
      </c>
      <c r="M318" s="25">
        <f>DATE(YEAR(OneWeekMtgRatesDataTable75[[#This Row],[asOf]]),MONTH(OneWeekMtgRatesDataTable75[[#This Row],[asOf]]),DAY(OneWeekMtgRatesDataTable75[[#This Row],[asOf]]))</f>
        <v>41862</v>
      </c>
      <c r="N318" s="21">
        <v>4.12</v>
      </c>
      <c r="O318" s="21">
        <v>0.6</v>
      </c>
      <c r="P318" s="21">
        <v>4.0200000000000005</v>
      </c>
    </row>
    <row r="319" spans="8:16">
      <c r="H319" s="21"/>
      <c r="I319" s="21"/>
      <c r="J319" s="52"/>
      <c r="K319" s="21"/>
      <c r="L319" s="21" t="s">
        <v>1340</v>
      </c>
      <c r="M319" s="25">
        <f>DATE(YEAR(OneWeekMtgRatesDataTable75[[#This Row],[asOf]]),MONTH(OneWeekMtgRatesDataTable75[[#This Row],[asOf]]),DAY(OneWeekMtgRatesDataTable75[[#This Row],[asOf]]))</f>
        <v>41859</v>
      </c>
      <c r="N319" s="21">
        <v>4.12</v>
      </c>
      <c r="O319" s="21">
        <v>0.6</v>
      </c>
      <c r="P319" s="21">
        <v>4.0200000000000005</v>
      </c>
    </row>
    <row r="320" spans="8:16">
      <c r="H320" s="21"/>
      <c r="I320" s="21"/>
      <c r="J320" s="52"/>
      <c r="K320" s="21"/>
      <c r="L320" s="21" t="s">
        <v>1339</v>
      </c>
      <c r="M320" s="25">
        <f>DATE(YEAR(OneWeekMtgRatesDataTable75[[#This Row],[asOf]]),MONTH(OneWeekMtgRatesDataTable75[[#This Row],[asOf]]),DAY(OneWeekMtgRatesDataTable75[[#This Row],[asOf]]))</f>
        <v>41858</v>
      </c>
      <c r="N320" s="21">
        <v>4.12</v>
      </c>
      <c r="O320" s="21">
        <v>0.6</v>
      </c>
      <c r="P320" s="21">
        <v>4.0200000000000005</v>
      </c>
    </row>
    <row r="321" spans="8:16">
      <c r="H321" s="21"/>
      <c r="I321" s="21"/>
      <c r="J321" s="52"/>
      <c r="K321" s="21"/>
      <c r="L321" s="21" t="s">
        <v>1338</v>
      </c>
      <c r="M321" s="25">
        <f>DATE(YEAR(OneWeekMtgRatesDataTable75[[#This Row],[asOf]]),MONTH(OneWeekMtgRatesDataTable75[[#This Row],[asOf]]),DAY(OneWeekMtgRatesDataTable75[[#This Row],[asOf]]))</f>
        <v>41857</v>
      </c>
      <c r="N321" s="21">
        <v>4.1399999999999997</v>
      </c>
      <c r="O321" s="21">
        <v>0.7</v>
      </c>
      <c r="P321" s="21">
        <v>4.0649999999999995</v>
      </c>
    </row>
    <row r="322" spans="8:16">
      <c r="H322" s="21"/>
      <c r="I322" s="21"/>
      <c r="J322" s="52"/>
      <c r="K322" s="21"/>
      <c r="L322" s="21" t="s">
        <v>1337</v>
      </c>
      <c r="M322" s="25">
        <f>DATE(YEAR(OneWeekMtgRatesDataTable75[[#This Row],[asOf]]),MONTH(OneWeekMtgRatesDataTable75[[#This Row],[asOf]]),DAY(OneWeekMtgRatesDataTable75[[#This Row],[asOf]]))</f>
        <v>41856</v>
      </c>
      <c r="N322" s="21">
        <v>4.1399999999999997</v>
      </c>
      <c r="O322" s="21">
        <v>0.7</v>
      </c>
      <c r="P322" s="21">
        <v>4.0649999999999995</v>
      </c>
    </row>
    <row r="323" spans="8:16">
      <c r="H323" s="21"/>
      <c r="I323" s="21"/>
      <c r="J323" s="52"/>
      <c r="K323" s="21"/>
      <c r="L323" s="21" t="s">
        <v>1336</v>
      </c>
      <c r="M323" s="25">
        <f>DATE(YEAR(OneWeekMtgRatesDataTable75[[#This Row],[asOf]]),MONTH(OneWeekMtgRatesDataTable75[[#This Row],[asOf]]),DAY(OneWeekMtgRatesDataTable75[[#This Row],[asOf]]))</f>
        <v>41855</v>
      </c>
      <c r="N323" s="21">
        <v>4.1399999999999997</v>
      </c>
      <c r="O323" s="21">
        <v>0.7</v>
      </c>
      <c r="P323" s="21">
        <v>4.0649999999999995</v>
      </c>
    </row>
    <row r="324" spans="8:16">
      <c r="H324" s="21"/>
      <c r="I324" s="21"/>
      <c r="J324" s="52"/>
      <c r="K324" s="21"/>
      <c r="L324" s="21" t="s">
        <v>1335</v>
      </c>
      <c r="M324" s="25">
        <f>DATE(YEAR(OneWeekMtgRatesDataTable75[[#This Row],[asOf]]),MONTH(OneWeekMtgRatesDataTable75[[#This Row],[asOf]]),DAY(OneWeekMtgRatesDataTable75[[#This Row],[asOf]]))</f>
        <v>41852</v>
      </c>
      <c r="N324" s="21">
        <v>4.1399999999999997</v>
      </c>
      <c r="O324" s="21">
        <v>0.7</v>
      </c>
      <c r="P324" s="21">
        <v>4.0649999999999995</v>
      </c>
    </row>
    <row r="325" spans="8:16">
      <c r="H325" s="21"/>
      <c r="I325" s="21"/>
      <c r="J325" s="52"/>
      <c r="K325" s="21"/>
      <c r="L325" s="21" t="s">
        <v>1334</v>
      </c>
      <c r="M325" s="25">
        <f>DATE(YEAR(OneWeekMtgRatesDataTable75[[#This Row],[asOf]]),MONTH(OneWeekMtgRatesDataTable75[[#This Row],[asOf]]),DAY(OneWeekMtgRatesDataTable75[[#This Row],[asOf]]))</f>
        <v>41851</v>
      </c>
      <c r="N325" s="21">
        <v>4.1399999999999997</v>
      </c>
      <c r="O325" s="21">
        <v>0.7</v>
      </c>
      <c r="P325" s="21">
        <v>4.0649999999999995</v>
      </c>
    </row>
    <row r="326" spans="8:16">
      <c r="H326" s="21"/>
      <c r="I326" s="21"/>
      <c r="J326" s="52"/>
      <c r="K326" s="21"/>
      <c r="L326" s="21" t="s">
        <v>1333</v>
      </c>
      <c r="M326" s="25">
        <f>DATE(YEAR(OneWeekMtgRatesDataTable75[[#This Row],[asOf]]),MONTH(OneWeekMtgRatesDataTable75[[#This Row],[asOf]]),DAY(OneWeekMtgRatesDataTable75[[#This Row],[asOf]]))</f>
        <v>41850</v>
      </c>
      <c r="N326" s="21">
        <v>4.12</v>
      </c>
      <c r="O326" s="21">
        <v>0.6</v>
      </c>
      <c r="P326" s="21">
        <v>4.0200000000000005</v>
      </c>
    </row>
    <row r="327" spans="8:16">
      <c r="H327" s="21"/>
      <c r="I327" s="21"/>
      <c r="J327" s="52"/>
      <c r="K327" s="21"/>
      <c r="L327" s="21" t="s">
        <v>1332</v>
      </c>
      <c r="M327" s="25">
        <f>DATE(YEAR(OneWeekMtgRatesDataTable75[[#This Row],[asOf]]),MONTH(OneWeekMtgRatesDataTable75[[#This Row],[asOf]]),DAY(OneWeekMtgRatesDataTable75[[#This Row],[asOf]]))</f>
        <v>41849</v>
      </c>
      <c r="N327" s="21">
        <v>4.12</v>
      </c>
      <c r="O327" s="21">
        <v>0.6</v>
      </c>
      <c r="P327" s="21">
        <v>4.0200000000000005</v>
      </c>
    </row>
    <row r="328" spans="8:16">
      <c r="H328" s="21"/>
      <c r="I328" s="21"/>
      <c r="J328" s="52"/>
      <c r="K328" s="21"/>
      <c r="L328" s="21" t="s">
        <v>1331</v>
      </c>
      <c r="M328" s="25">
        <f>DATE(YEAR(OneWeekMtgRatesDataTable75[[#This Row],[asOf]]),MONTH(OneWeekMtgRatesDataTable75[[#This Row],[asOf]]),DAY(OneWeekMtgRatesDataTable75[[#This Row],[asOf]]))</f>
        <v>41848</v>
      </c>
      <c r="N328" s="21">
        <v>4.12</v>
      </c>
      <c r="O328" s="21">
        <v>0.6</v>
      </c>
      <c r="P328" s="21">
        <v>4.0200000000000005</v>
      </c>
    </row>
    <row r="329" spans="8:16">
      <c r="H329" s="21"/>
      <c r="I329" s="21"/>
      <c r="J329" s="52"/>
      <c r="K329" s="21"/>
      <c r="L329" s="21" t="s">
        <v>1330</v>
      </c>
      <c r="M329" s="25">
        <f>DATE(YEAR(OneWeekMtgRatesDataTable75[[#This Row],[asOf]]),MONTH(OneWeekMtgRatesDataTable75[[#This Row],[asOf]]),DAY(OneWeekMtgRatesDataTable75[[#This Row],[asOf]]))</f>
        <v>41845</v>
      </c>
      <c r="N329" s="21">
        <v>4.12</v>
      </c>
      <c r="O329" s="21">
        <v>0.6</v>
      </c>
      <c r="P329" s="21">
        <v>4.0200000000000005</v>
      </c>
    </row>
    <row r="330" spans="8:16">
      <c r="H330" s="21"/>
      <c r="I330" s="21"/>
      <c r="J330" s="52"/>
      <c r="K330" s="21"/>
      <c r="L330" s="21" t="s">
        <v>1329</v>
      </c>
      <c r="M330" s="25">
        <f>DATE(YEAR(OneWeekMtgRatesDataTable75[[#This Row],[asOf]]),MONTH(OneWeekMtgRatesDataTable75[[#This Row],[asOf]]),DAY(OneWeekMtgRatesDataTable75[[#This Row],[asOf]]))</f>
        <v>41844</v>
      </c>
      <c r="N330" s="21">
        <v>4.12</v>
      </c>
      <c r="O330" s="21">
        <v>0.6</v>
      </c>
      <c r="P330" s="21">
        <v>4.0200000000000005</v>
      </c>
    </row>
    <row r="331" spans="8:16">
      <c r="H331" s="21"/>
      <c r="I331" s="21"/>
      <c r="J331" s="52"/>
      <c r="K331" s="21"/>
      <c r="L331" s="21" t="s">
        <v>1328</v>
      </c>
      <c r="M331" s="25">
        <f>DATE(YEAR(OneWeekMtgRatesDataTable75[[#This Row],[asOf]]),MONTH(OneWeekMtgRatesDataTable75[[#This Row],[asOf]]),DAY(OneWeekMtgRatesDataTable75[[#This Row],[asOf]]))</f>
        <v>41843</v>
      </c>
      <c r="N331" s="21">
        <v>4.13</v>
      </c>
      <c r="O331" s="21">
        <v>0.6</v>
      </c>
      <c r="P331" s="21">
        <v>4.03</v>
      </c>
    </row>
    <row r="332" spans="8:16">
      <c r="H332" s="21"/>
      <c r="I332" s="21"/>
      <c r="J332" s="52"/>
      <c r="K332" s="21"/>
      <c r="L332" s="21" t="s">
        <v>1327</v>
      </c>
      <c r="M332" s="25">
        <f>DATE(YEAR(OneWeekMtgRatesDataTable75[[#This Row],[asOf]]),MONTH(OneWeekMtgRatesDataTable75[[#This Row],[asOf]]),DAY(OneWeekMtgRatesDataTable75[[#This Row],[asOf]]))</f>
        <v>41842</v>
      </c>
      <c r="N332" s="21">
        <v>4.13</v>
      </c>
      <c r="O332" s="21">
        <v>0.6</v>
      </c>
      <c r="P332" s="21">
        <v>4.03</v>
      </c>
    </row>
    <row r="333" spans="8:16">
      <c r="H333" s="21"/>
      <c r="I333" s="21"/>
      <c r="J333" s="52"/>
      <c r="K333" s="21"/>
      <c r="L333" s="21" t="s">
        <v>1326</v>
      </c>
      <c r="M333" s="25">
        <f>DATE(YEAR(OneWeekMtgRatesDataTable75[[#This Row],[asOf]]),MONTH(OneWeekMtgRatesDataTable75[[#This Row],[asOf]]),DAY(OneWeekMtgRatesDataTable75[[#This Row],[asOf]]))</f>
        <v>41841</v>
      </c>
      <c r="N333" s="21">
        <v>4.13</v>
      </c>
      <c r="O333" s="21">
        <v>0.6</v>
      </c>
      <c r="P333" s="21">
        <v>4.03</v>
      </c>
    </row>
    <row r="334" spans="8:16">
      <c r="H334" s="21"/>
      <c r="I334" s="21"/>
      <c r="J334" s="52"/>
      <c r="K334" s="21"/>
      <c r="L334" s="21" t="s">
        <v>1325</v>
      </c>
      <c r="M334" s="25">
        <f>DATE(YEAR(OneWeekMtgRatesDataTable75[[#This Row],[asOf]]),MONTH(OneWeekMtgRatesDataTable75[[#This Row],[asOf]]),DAY(OneWeekMtgRatesDataTable75[[#This Row],[asOf]]))</f>
        <v>41838</v>
      </c>
      <c r="N334" s="21">
        <v>4.13</v>
      </c>
      <c r="O334" s="21">
        <v>0.6</v>
      </c>
      <c r="P334" s="21">
        <v>4.03</v>
      </c>
    </row>
    <row r="335" spans="8:16">
      <c r="H335" s="21"/>
      <c r="I335" s="21"/>
      <c r="J335" s="52"/>
      <c r="K335" s="21"/>
      <c r="L335" s="21" t="s">
        <v>1324</v>
      </c>
      <c r="M335" s="25">
        <f>DATE(YEAR(OneWeekMtgRatesDataTable75[[#This Row],[asOf]]),MONTH(OneWeekMtgRatesDataTable75[[#This Row],[asOf]]),DAY(OneWeekMtgRatesDataTable75[[#This Row],[asOf]]))</f>
        <v>41837</v>
      </c>
      <c r="N335" s="21">
        <v>4.13</v>
      </c>
      <c r="O335" s="21">
        <v>0.6</v>
      </c>
      <c r="P335" s="21">
        <v>4.03</v>
      </c>
    </row>
    <row r="336" spans="8:16">
      <c r="H336" s="21"/>
      <c r="I336" s="21"/>
      <c r="J336" s="52"/>
      <c r="K336" s="21"/>
      <c r="L336" s="21" t="s">
        <v>1323</v>
      </c>
      <c r="M336" s="25">
        <f>DATE(YEAR(OneWeekMtgRatesDataTable75[[#This Row],[asOf]]),MONTH(OneWeekMtgRatesDataTable75[[#This Row],[asOf]]),DAY(OneWeekMtgRatesDataTable75[[#This Row],[asOf]]))</f>
        <v>41836</v>
      </c>
      <c r="N336" s="21">
        <v>4.13</v>
      </c>
      <c r="O336" s="21">
        <v>0.6</v>
      </c>
      <c r="P336" s="21">
        <v>4.03</v>
      </c>
    </row>
    <row r="337" spans="8:16">
      <c r="H337" s="21"/>
      <c r="I337" s="21"/>
      <c r="J337" s="52"/>
      <c r="K337" s="21"/>
      <c r="L337" s="21" t="s">
        <v>1322</v>
      </c>
      <c r="M337" s="25">
        <f>DATE(YEAR(OneWeekMtgRatesDataTable75[[#This Row],[asOf]]),MONTH(OneWeekMtgRatesDataTable75[[#This Row],[asOf]]),DAY(OneWeekMtgRatesDataTable75[[#This Row],[asOf]]))</f>
        <v>41835</v>
      </c>
      <c r="N337" s="21">
        <v>4.13</v>
      </c>
      <c r="O337" s="21">
        <v>0.6</v>
      </c>
      <c r="P337" s="21">
        <v>4.03</v>
      </c>
    </row>
    <row r="338" spans="8:16">
      <c r="H338" s="21"/>
      <c r="I338" s="21"/>
      <c r="J338" s="52"/>
      <c r="K338" s="21"/>
      <c r="L338" s="21" t="s">
        <v>1321</v>
      </c>
      <c r="M338" s="25">
        <f>DATE(YEAR(OneWeekMtgRatesDataTable75[[#This Row],[asOf]]),MONTH(OneWeekMtgRatesDataTable75[[#This Row],[asOf]]),DAY(OneWeekMtgRatesDataTable75[[#This Row],[asOf]]))</f>
        <v>41834</v>
      </c>
      <c r="N338" s="21">
        <v>4.13</v>
      </c>
      <c r="O338" s="21">
        <v>0.6</v>
      </c>
      <c r="P338" s="21">
        <v>4.03</v>
      </c>
    </row>
    <row r="339" spans="8:16">
      <c r="H339" s="21"/>
      <c r="I339" s="21"/>
      <c r="J339" s="52"/>
      <c r="K339" s="21"/>
      <c r="L339" s="21" t="s">
        <v>1320</v>
      </c>
      <c r="M339" s="25">
        <f>DATE(YEAR(OneWeekMtgRatesDataTable75[[#This Row],[asOf]]),MONTH(OneWeekMtgRatesDataTable75[[#This Row],[asOf]]),DAY(OneWeekMtgRatesDataTable75[[#This Row],[asOf]]))</f>
        <v>41831</v>
      </c>
      <c r="N339" s="21">
        <v>4.13</v>
      </c>
      <c r="O339" s="21">
        <v>0.6</v>
      </c>
      <c r="P339" s="21">
        <v>4.03</v>
      </c>
    </row>
    <row r="340" spans="8:16">
      <c r="H340" s="21"/>
      <c r="I340" s="21"/>
      <c r="J340" s="52"/>
      <c r="K340" s="21"/>
      <c r="L340" s="21" t="s">
        <v>1319</v>
      </c>
      <c r="M340" s="25">
        <f>DATE(YEAR(OneWeekMtgRatesDataTable75[[#This Row],[asOf]]),MONTH(OneWeekMtgRatesDataTable75[[#This Row],[asOf]]),DAY(OneWeekMtgRatesDataTable75[[#This Row],[asOf]]))</f>
        <v>41830</v>
      </c>
      <c r="N340" s="21">
        <v>4.13</v>
      </c>
      <c r="O340" s="21">
        <v>0.6</v>
      </c>
      <c r="P340" s="21">
        <v>4.03</v>
      </c>
    </row>
    <row r="341" spans="8:16">
      <c r="H341" s="21"/>
      <c r="I341" s="21"/>
      <c r="J341" s="52"/>
      <c r="K341" s="21"/>
      <c r="L341" s="21" t="s">
        <v>1318</v>
      </c>
      <c r="M341" s="25">
        <f>DATE(YEAR(OneWeekMtgRatesDataTable75[[#This Row],[asOf]]),MONTH(OneWeekMtgRatesDataTable75[[#This Row],[asOf]]),DAY(OneWeekMtgRatesDataTable75[[#This Row],[asOf]]))</f>
        <v>41829</v>
      </c>
      <c r="N341" s="21">
        <v>4.1500000000000004</v>
      </c>
      <c r="O341" s="21">
        <v>0.7</v>
      </c>
      <c r="P341" s="21">
        <v>4.0750000000000002</v>
      </c>
    </row>
    <row r="342" spans="8:16">
      <c r="H342" s="21"/>
      <c r="I342" s="21"/>
      <c r="J342" s="52"/>
      <c r="K342" s="21"/>
      <c r="L342" s="21" t="s">
        <v>1317</v>
      </c>
      <c r="M342" s="25">
        <f>DATE(YEAR(OneWeekMtgRatesDataTable75[[#This Row],[asOf]]),MONTH(OneWeekMtgRatesDataTable75[[#This Row],[asOf]]),DAY(OneWeekMtgRatesDataTable75[[#This Row],[asOf]]))</f>
        <v>41828</v>
      </c>
      <c r="N342" s="21">
        <v>4.1500000000000004</v>
      </c>
      <c r="O342" s="21">
        <v>0.7</v>
      </c>
      <c r="P342" s="21">
        <v>4.0750000000000002</v>
      </c>
    </row>
    <row r="343" spans="8:16">
      <c r="H343" s="21"/>
      <c r="I343" s="21"/>
      <c r="J343" s="52"/>
      <c r="K343" s="21"/>
      <c r="L343" s="21" t="s">
        <v>1316</v>
      </c>
      <c r="M343" s="25">
        <f>DATE(YEAR(OneWeekMtgRatesDataTable75[[#This Row],[asOf]]),MONTH(OneWeekMtgRatesDataTable75[[#This Row],[asOf]]),DAY(OneWeekMtgRatesDataTable75[[#This Row],[asOf]]))</f>
        <v>41827</v>
      </c>
      <c r="N343" s="21">
        <v>4.1500000000000004</v>
      </c>
      <c r="O343" s="21">
        <v>0.7</v>
      </c>
      <c r="P343" s="21">
        <v>4.0750000000000002</v>
      </c>
    </row>
    <row r="344" spans="8:16">
      <c r="H344" s="21"/>
      <c r="I344" s="21"/>
      <c r="J344" s="52"/>
      <c r="K344" s="21"/>
      <c r="L344" s="21" t="s">
        <v>1315</v>
      </c>
      <c r="M344" s="25">
        <f>DATE(YEAR(OneWeekMtgRatesDataTable75[[#This Row],[asOf]]),MONTH(OneWeekMtgRatesDataTable75[[#This Row],[asOf]]),DAY(OneWeekMtgRatesDataTable75[[#This Row],[asOf]]))</f>
        <v>41823</v>
      </c>
      <c r="N344" s="21">
        <v>4.1500000000000004</v>
      </c>
      <c r="O344" s="21">
        <v>0.7</v>
      </c>
      <c r="P344" s="21">
        <v>4.0750000000000002</v>
      </c>
    </row>
    <row r="345" spans="8:16">
      <c r="H345" s="21"/>
      <c r="I345" s="21"/>
      <c r="J345" s="52"/>
      <c r="K345" s="21"/>
      <c r="L345" s="21" t="s">
        <v>1314</v>
      </c>
      <c r="M345" s="25">
        <f>DATE(YEAR(OneWeekMtgRatesDataTable75[[#This Row],[asOf]]),MONTH(OneWeekMtgRatesDataTable75[[#This Row],[asOf]]),DAY(OneWeekMtgRatesDataTable75[[#This Row],[asOf]]))</f>
        <v>41822</v>
      </c>
      <c r="N345" s="21">
        <v>4.12</v>
      </c>
      <c r="O345" s="21">
        <v>0.5</v>
      </c>
      <c r="P345" s="21">
        <v>3.9950000000000001</v>
      </c>
    </row>
    <row r="346" spans="8:16">
      <c r="H346" s="21"/>
      <c r="I346" s="21"/>
      <c r="J346" s="52"/>
      <c r="K346" s="21"/>
      <c r="L346" s="21" t="s">
        <v>1313</v>
      </c>
      <c r="M346" s="25">
        <f>DATE(YEAR(OneWeekMtgRatesDataTable75[[#This Row],[asOf]]),MONTH(OneWeekMtgRatesDataTable75[[#This Row],[asOf]]),DAY(OneWeekMtgRatesDataTable75[[#This Row],[asOf]]))</f>
        <v>41821</v>
      </c>
      <c r="N346" s="21">
        <v>4.12</v>
      </c>
      <c r="O346" s="21">
        <v>0.5</v>
      </c>
      <c r="P346" s="21">
        <v>3.9950000000000001</v>
      </c>
    </row>
    <row r="347" spans="8:16">
      <c r="H347" s="21"/>
      <c r="I347" s="21"/>
      <c r="J347" s="52"/>
      <c r="K347" s="21"/>
      <c r="L347" s="21" t="s">
        <v>1312</v>
      </c>
      <c r="M347" s="25">
        <f>DATE(YEAR(OneWeekMtgRatesDataTable75[[#This Row],[asOf]]),MONTH(OneWeekMtgRatesDataTable75[[#This Row],[asOf]]),DAY(OneWeekMtgRatesDataTable75[[#This Row],[asOf]]))</f>
        <v>41820</v>
      </c>
      <c r="N347" s="21">
        <v>4.12</v>
      </c>
      <c r="O347" s="21">
        <v>0.5</v>
      </c>
      <c r="P347" s="21">
        <v>3.9950000000000001</v>
      </c>
    </row>
    <row r="348" spans="8:16">
      <c r="H348" s="21"/>
      <c r="I348" s="21"/>
      <c r="J348" s="52"/>
      <c r="K348" s="21"/>
      <c r="L348" s="21" t="s">
        <v>1311</v>
      </c>
      <c r="M348" s="25">
        <f>DATE(YEAR(OneWeekMtgRatesDataTable75[[#This Row],[asOf]]),MONTH(OneWeekMtgRatesDataTable75[[#This Row],[asOf]]),DAY(OneWeekMtgRatesDataTable75[[#This Row],[asOf]]))</f>
        <v>41817</v>
      </c>
      <c r="N348" s="21">
        <v>4.12</v>
      </c>
      <c r="O348" s="21">
        <v>0.5</v>
      </c>
      <c r="P348" s="21">
        <v>3.9950000000000001</v>
      </c>
    </row>
    <row r="349" spans="8:16">
      <c r="H349" s="21"/>
      <c r="I349" s="21"/>
      <c r="J349" s="52"/>
      <c r="K349" s="21"/>
      <c r="L349" s="21" t="s">
        <v>1310</v>
      </c>
      <c r="M349" s="25">
        <f>DATE(YEAR(OneWeekMtgRatesDataTable75[[#This Row],[asOf]]),MONTH(OneWeekMtgRatesDataTable75[[#This Row],[asOf]]),DAY(OneWeekMtgRatesDataTable75[[#This Row],[asOf]]))</f>
        <v>41816</v>
      </c>
      <c r="N349" s="21">
        <v>4.12</v>
      </c>
      <c r="O349" s="21">
        <v>0.5</v>
      </c>
      <c r="P349" s="21">
        <v>3.9950000000000001</v>
      </c>
    </row>
    <row r="350" spans="8:16">
      <c r="H350" s="21"/>
      <c r="I350" s="21"/>
      <c r="J350" s="52"/>
      <c r="K350" s="21"/>
      <c r="L350" s="21" t="s">
        <v>1309</v>
      </c>
      <c r="M350" s="25">
        <f>DATE(YEAR(OneWeekMtgRatesDataTable75[[#This Row],[asOf]]),MONTH(OneWeekMtgRatesDataTable75[[#This Row],[asOf]]),DAY(OneWeekMtgRatesDataTable75[[#This Row],[asOf]]))</f>
        <v>41815</v>
      </c>
      <c r="N350" s="21">
        <v>4.1399999999999997</v>
      </c>
      <c r="O350" s="21">
        <v>0.5</v>
      </c>
      <c r="P350" s="21">
        <v>4.0149999999999997</v>
      </c>
    </row>
    <row r="351" spans="8:16">
      <c r="H351" s="21"/>
      <c r="I351" s="21"/>
      <c r="J351" s="52"/>
      <c r="K351" s="21"/>
      <c r="L351" s="21" t="s">
        <v>1308</v>
      </c>
      <c r="M351" s="25">
        <f>DATE(YEAR(OneWeekMtgRatesDataTable75[[#This Row],[asOf]]),MONTH(OneWeekMtgRatesDataTable75[[#This Row],[asOf]]),DAY(OneWeekMtgRatesDataTable75[[#This Row],[asOf]]))</f>
        <v>41814</v>
      </c>
      <c r="N351" s="21">
        <v>4.1399999999999997</v>
      </c>
      <c r="O351" s="21">
        <v>0.5</v>
      </c>
      <c r="P351" s="21">
        <v>4.0149999999999997</v>
      </c>
    </row>
    <row r="352" spans="8:16">
      <c r="H352" s="21"/>
      <c r="I352" s="21"/>
      <c r="J352" s="52"/>
      <c r="K352" s="21"/>
      <c r="L352" s="21" t="s">
        <v>1307</v>
      </c>
      <c r="M352" s="25">
        <f>DATE(YEAR(OneWeekMtgRatesDataTable75[[#This Row],[asOf]]),MONTH(OneWeekMtgRatesDataTable75[[#This Row],[asOf]]),DAY(OneWeekMtgRatesDataTable75[[#This Row],[asOf]]))</f>
        <v>41813</v>
      </c>
      <c r="N352" s="21">
        <v>4.1399999999999997</v>
      </c>
      <c r="O352" s="21">
        <v>0.5</v>
      </c>
      <c r="P352" s="21">
        <v>4.0149999999999997</v>
      </c>
    </row>
    <row r="353" spans="8:16">
      <c r="H353" s="21"/>
      <c r="I353" s="21"/>
      <c r="J353" s="52"/>
      <c r="K353" s="21"/>
      <c r="L353" s="21" t="s">
        <v>1306</v>
      </c>
      <c r="M353" s="25">
        <f>DATE(YEAR(OneWeekMtgRatesDataTable75[[#This Row],[asOf]]),MONTH(OneWeekMtgRatesDataTable75[[#This Row],[asOf]]),DAY(OneWeekMtgRatesDataTable75[[#This Row],[asOf]]))</f>
        <v>41810</v>
      </c>
      <c r="N353" s="21">
        <v>4.1399999999999997</v>
      </c>
      <c r="O353" s="21">
        <v>0.5</v>
      </c>
      <c r="P353" s="21">
        <v>4.0149999999999997</v>
      </c>
    </row>
    <row r="354" spans="8:16">
      <c r="H354" s="21"/>
      <c r="I354" s="21"/>
      <c r="J354" s="52"/>
      <c r="K354" s="21"/>
      <c r="L354" s="21" t="s">
        <v>1305</v>
      </c>
      <c r="M354" s="25">
        <f>DATE(YEAR(OneWeekMtgRatesDataTable75[[#This Row],[asOf]]),MONTH(OneWeekMtgRatesDataTable75[[#This Row],[asOf]]),DAY(OneWeekMtgRatesDataTable75[[#This Row],[asOf]]))</f>
        <v>41809</v>
      </c>
      <c r="N354" s="21">
        <v>4.1399999999999997</v>
      </c>
      <c r="O354" s="21">
        <v>0.5</v>
      </c>
      <c r="P354" s="21">
        <v>4.0149999999999997</v>
      </c>
    </row>
    <row r="355" spans="8:16">
      <c r="H355" s="21"/>
      <c r="I355" s="21"/>
      <c r="J355" s="52"/>
      <c r="K355" s="21"/>
      <c r="L355" s="21" t="s">
        <v>1304</v>
      </c>
      <c r="M355" s="25">
        <f>DATE(YEAR(OneWeekMtgRatesDataTable75[[#This Row],[asOf]]),MONTH(OneWeekMtgRatesDataTable75[[#This Row],[asOf]]),DAY(OneWeekMtgRatesDataTable75[[#This Row],[asOf]]))</f>
        <v>41808</v>
      </c>
      <c r="N355" s="21">
        <v>4.17</v>
      </c>
      <c r="O355" s="21">
        <v>0.6</v>
      </c>
      <c r="P355" s="21">
        <v>4.07</v>
      </c>
    </row>
    <row r="356" spans="8:16">
      <c r="H356" s="21"/>
      <c r="I356" s="21"/>
      <c r="J356" s="52"/>
      <c r="K356" s="21"/>
      <c r="L356" s="21" t="s">
        <v>1303</v>
      </c>
      <c r="M356" s="25">
        <f>DATE(YEAR(OneWeekMtgRatesDataTable75[[#This Row],[asOf]]),MONTH(OneWeekMtgRatesDataTable75[[#This Row],[asOf]]),DAY(OneWeekMtgRatesDataTable75[[#This Row],[asOf]]))</f>
        <v>41807</v>
      </c>
      <c r="N356" s="21">
        <v>4.17</v>
      </c>
      <c r="O356" s="21">
        <v>0.6</v>
      </c>
      <c r="P356" s="21">
        <v>4.07</v>
      </c>
    </row>
    <row r="357" spans="8:16">
      <c r="H357" s="21"/>
      <c r="I357" s="21"/>
      <c r="J357" s="52"/>
      <c r="K357" s="21"/>
      <c r="L357" s="21" t="s">
        <v>1302</v>
      </c>
      <c r="M357" s="25">
        <f>DATE(YEAR(OneWeekMtgRatesDataTable75[[#This Row],[asOf]]),MONTH(OneWeekMtgRatesDataTable75[[#This Row],[asOf]]),DAY(OneWeekMtgRatesDataTable75[[#This Row],[asOf]]))</f>
        <v>41806</v>
      </c>
      <c r="N357" s="21">
        <v>4.17</v>
      </c>
      <c r="O357" s="21">
        <v>0.6</v>
      </c>
      <c r="P357" s="21">
        <v>4.07</v>
      </c>
    </row>
    <row r="358" spans="8:16">
      <c r="H358" s="21"/>
      <c r="I358" s="21"/>
      <c r="J358" s="52"/>
      <c r="K358" s="21"/>
      <c r="L358" s="21" t="s">
        <v>1301</v>
      </c>
      <c r="M358" s="25">
        <f>DATE(YEAR(OneWeekMtgRatesDataTable75[[#This Row],[asOf]]),MONTH(OneWeekMtgRatesDataTable75[[#This Row],[asOf]]),DAY(OneWeekMtgRatesDataTable75[[#This Row],[asOf]]))</f>
        <v>41803</v>
      </c>
      <c r="N358" s="21">
        <v>4.17</v>
      </c>
      <c r="O358" s="21">
        <v>0.6</v>
      </c>
      <c r="P358" s="21">
        <v>4.07</v>
      </c>
    </row>
    <row r="359" spans="8:16">
      <c r="H359" s="21"/>
      <c r="I359" s="21"/>
      <c r="J359" s="52"/>
      <c r="K359" s="21"/>
      <c r="L359" s="21" t="s">
        <v>1300</v>
      </c>
      <c r="M359" s="25">
        <f>DATE(YEAR(OneWeekMtgRatesDataTable75[[#This Row],[asOf]]),MONTH(OneWeekMtgRatesDataTable75[[#This Row],[asOf]]),DAY(OneWeekMtgRatesDataTable75[[#This Row],[asOf]]))</f>
        <v>41802</v>
      </c>
      <c r="N359" s="21">
        <v>4.17</v>
      </c>
      <c r="O359" s="21">
        <v>0.6</v>
      </c>
      <c r="P359" s="21">
        <v>4.07</v>
      </c>
    </row>
    <row r="360" spans="8:16">
      <c r="H360" s="21"/>
      <c r="I360" s="21"/>
      <c r="J360" s="52"/>
      <c r="K360" s="21"/>
      <c r="L360" s="21" t="s">
        <v>1299</v>
      </c>
      <c r="M360" s="25">
        <f>DATE(YEAR(OneWeekMtgRatesDataTable75[[#This Row],[asOf]]),MONTH(OneWeekMtgRatesDataTable75[[#This Row],[asOf]]),DAY(OneWeekMtgRatesDataTable75[[#This Row],[asOf]]))</f>
        <v>41801</v>
      </c>
      <c r="N360" s="21">
        <v>4.2</v>
      </c>
      <c r="O360" s="21">
        <v>0.6</v>
      </c>
      <c r="P360" s="21">
        <v>4.1000000000000005</v>
      </c>
    </row>
    <row r="361" spans="8:16">
      <c r="H361" s="21"/>
      <c r="I361" s="21"/>
      <c r="J361" s="52"/>
      <c r="K361" s="21"/>
      <c r="L361" s="21" t="s">
        <v>1298</v>
      </c>
      <c r="M361" s="25">
        <f>DATE(YEAR(OneWeekMtgRatesDataTable75[[#This Row],[asOf]]),MONTH(OneWeekMtgRatesDataTable75[[#This Row],[asOf]]),DAY(OneWeekMtgRatesDataTable75[[#This Row],[asOf]]))</f>
        <v>41800</v>
      </c>
      <c r="N361" s="21">
        <v>4.2</v>
      </c>
      <c r="O361" s="21">
        <v>0.6</v>
      </c>
      <c r="P361" s="21">
        <v>4.1000000000000005</v>
      </c>
    </row>
    <row r="362" spans="8:16">
      <c r="H362" s="21"/>
      <c r="I362" s="21"/>
      <c r="J362" s="52"/>
      <c r="K362" s="21"/>
      <c r="L362" s="21" t="s">
        <v>1297</v>
      </c>
      <c r="M362" s="25">
        <f>DATE(YEAR(OneWeekMtgRatesDataTable75[[#This Row],[asOf]]),MONTH(OneWeekMtgRatesDataTable75[[#This Row],[asOf]]),DAY(OneWeekMtgRatesDataTable75[[#This Row],[asOf]]))</f>
        <v>41799</v>
      </c>
      <c r="N362" s="21">
        <v>4.2</v>
      </c>
      <c r="O362" s="21">
        <v>0.6</v>
      </c>
      <c r="P362" s="21">
        <v>4.1000000000000005</v>
      </c>
    </row>
    <row r="363" spans="8:16">
      <c r="H363" s="21"/>
      <c r="I363" s="21"/>
      <c r="J363" s="52"/>
      <c r="K363" s="21"/>
      <c r="L363" s="21" t="s">
        <v>1296</v>
      </c>
      <c r="M363" s="25">
        <f>DATE(YEAR(OneWeekMtgRatesDataTable75[[#This Row],[asOf]]),MONTH(OneWeekMtgRatesDataTable75[[#This Row],[asOf]]),DAY(OneWeekMtgRatesDataTable75[[#This Row],[asOf]]))</f>
        <v>41796</v>
      </c>
      <c r="N363" s="21">
        <v>4.2</v>
      </c>
      <c r="O363" s="21">
        <v>0.6</v>
      </c>
      <c r="P363" s="21">
        <v>4.1000000000000005</v>
      </c>
    </row>
    <row r="364" spans="8:16">
      <c r="H364" s="21"/>
      <c r="I364" s="21"/>
      <c r="J364" s="52"/>
      <c r="K364" s="21"/>
      <c r="L364" s="21" t="s">
        <v>1295</v>
      </c>
      <c r="M364" s="25">
        <f>DATE(YEAR(OneWeekMtgRatesDataTable75[[#This Row],[asOf]]),MONTH(OneWeekMtgRatesDataTable75[[#This Row],[asOf]]),DAY(OneWeekMtgRatesDataTable75[[#This Row],[asOf]]))</f>
        <v>41795</v>
      </c>
      <c r="N364" s="21">
        <v>4.2</v>
      </c>
      <c r="O364" s="21">
        <v>0.6</v>
      </c>
      <c r="P364" s="21">
        <v>4.1000000000000005</v>
      </c>
    </row>
    <row r="365" spans="8:16">
      <c r="H365" s="21"/>
      <c r="I365" s="21"/>
      <c r="J365" s="52"/>
      <c r="K365" s="21"/>
      <c r="L365" s="21" t="s">
        <v>1294</v>
      </c>
      <c r="M365" s="25">
        <f>DATE(YEAR(OneWeekMtgRatesDataTable75[[#This Row],[asOf]]),MONTH(OneWeekMtgRatesDataTable75[[#This Row],[asOf]]),DAY(OneWeekMtgRatesDataTable75[[#This Row],[asOf]]))</f>
        <v>41794</v>
      </c>
      <c r="N365" s="21">
        <v>4.1399999999999997</v>
      </c>
      <c r="O365" s="21">
        <v>0.5</v>
      </c>
      <c r="P365" s="21">
        <v>4.0149999999999997</v>
      </c>
    </row>
    <row r="366" spans="8:16">
      <c r="H366" s="21"/>
      <c r="I366" s="21"/>
      <c r="J366" s="52"/>
      <c r="K366" s="21"/>
      <c r="L366" s="21" t="s">
        <v>1293</v>
      </c>
      <c r="M366" s="25">
        <f>DATE(YEAR(OneWeekMtgRatesDataTable75[[#This Row],[asOf]]),MONTH(OneWeekMtgRatesDataTable75[[#This Row],[asOf]]),DAY(OneWeekMtgRatesDataTable75[[#This Row],[asOf]]))</f>
        <v>41793</v>
      </c>
      <c r="N366" s="21">
        <v>4.1399999999999997</v>
      </c>
      <c r="O366" s="21">
        <v>0.5</v>
      </c>
      <c r="P366" s="21">
        <v>4.0149999999999997</v>
      </c>
    </row>
    <row r="367" spans="8:16">
      <c r="H367" s="21"/>
      <c r="I367" s="21"/>
      <c r="J367" s="52"/>
      <c r="K367" s="21"/>
      <c r="L367" s="21" t="s">
        <v>1292</v>
      </c>
      <c r="M367" s="25">
        <f>DATE(YEAR(OneWeekMtgRatesDataTable75[[#This Row],[asOf]]),MONTH(OneWeekMtgRatesDataTable75[[#This Row],[asOf]]),DAY(OneWeekMtgRatesDataTable75[[#This Row],[asOf]]))</f>
        <v>41792</v>
      </c>
      <c r="N367" s="21">
        <v>4.1399999999999997</v>
      </c>
      <c r="O367" s="21">
        <v>0.5</v>
      </c>
      <c r="P367" s="21">
        <v>4.0149999999999997</v>
      </c>
    </row>
    <row r="368" spans="8:16">
      <c r="H368" s="21"/>
      <c r="I368" s="21"/>
      <c r="J368" s="52"/>
      <c r="K368" s="21"/>
      <c r="L368" s="21" t="s">
        <v>1291</v>
      </c>
      <c r="M368" s="25">
        <f>DATE(YEAR(OneWeekMtgRatesDataTable75[[#This Row],[asOf]]),MONTH(OneWeekMtgRatesDataTable75[[#This Row],[asOf]]),DAY(OneWeekMtgRatesDataTable75[[#This Row],[asOf]]))</f>
        <v>41789</v>
      </c>
      <c r="N368" s="21">
        <v>4.1399999999999997</v>
      </c>
      <c r="O368" s="21">
        <v>0.5</v>
      </c>
      <c r="P368" s="21">
        <v>4.0149999999999997</v>
      </c>
    </row>
    <row r="369" spans="8:16">
      <c r="H369" s="21"/>
      <c r="I369" s="21"/>
      <c r="J369" s="52"/>
      <c r="K369" s="21"/>
      <c r="L369" s="21" t="s">
        <v>1290</v>
      </c>
      <c r="M369" s="25">
        <f>DATE(YEAR(OneWeekMtgRatesDataTable75[[#This Row],[asOf]]),MONTH(OneWeekMtgRatesDataTable75[[#This Row],[asOf]]),DAY(OneWeekMtgRatesDataTable75[[#This Row],[asOf]]))</f>
        <v>41788</v>
      </c>
      <c r="N369" s="21">
        <v>4.1399999999999997</v>
      </c>
      <c r="O369" s="21">
        <v>0.5</v>
      </c>
      <c r="P369" s="21">
        <v>4.0149999999999997</v>
      </c>
    </row>
    <row r="370" spans="8:16">
      <c r="H370" s="21"/>
      <c r="I370" s="21"/>
      <c r="J370" s="52"/>
      <c r="K370" s="21"/>
      <c r="L370" s="21" t="s">
        <v>1289</v>
      </c>
      <c r="M370" s="25">
        <f>DATE(YEAR(OneWeekMtgRatesDataTable75[[#This Row],[asOf]]),MONTH(OneWeekMtgRatesDataTable75[[#This Row],[asOf]]),DAY(OneWeekMtgRatesDataTable75[[#This Row],[asOf]]))</f>
        <v>41787</v>
      </c>
      <c r="N370" s="21">
        <v>4.12</v>
      </c>
      <c r="O370" s="21">
        <v>0.6</v>
      </c>
      <c r="P370" s="21">
        <v>4.0200000000000005</v>
      </c>
    </row>
    <row r="371" spans="8:16">
      <c r="H371" s="21"/>
      <c r="I371" s="21"/>
      <c r="J371" s="52"/>
      <c r="K371" s="21"/>
      <c r="L371" s="21" t="s">
        <v>1288</v>
      </c>
      <c r="M371" s="25">
        <f>DATE(YEAR(OneWeekMtgRatesDataTable75[[#This Row],[asOf]]),MONTH(OneWeekMtgRatesDataTable75[[#This Row],[asOf]]),DAY(OneWeekMtgRatesDataTable75[[#This Row],[asOf]]))</f>
        <v>41786</v>
      </c>
      <c r="N371" s="21">
        <v>4.12</v>
      </c>
      <c r="O371" s="21">
        <v>0.6</v>
      </c>
      <c r="P371" s="21">
        <v>4.0200000000000005</v>
      </c>
    </row>
    <row r="372" spans="8:16">
      <c r="H372" s="21"/>
      <c r="I372" s="21"/>
      <c r="J372" s="52"/>
      <c r="K372" s="21"/>
      <c r="L372" s="21" t="s">
        <v>1287</v>
      </c>
      <c r="M372" s="25">
        <f>DATE(YEAR(OneWeekMtgRatesDataTable75[[#This Row],[asOf]]),MONTH(OneWeekMtgRatesDataTable75[[#This Row],[asOf]]),DAY(OneWeekMtgRatesDataTable75[[#This Row],[asOf]]))</f>
        <v>41782</v>
      </c>
      <c r="N372" s="21">
        <v>4.12</v>
      </c>
      <c r="O372" s="21">
        <v>0.6</v>
      </c>
      <c r="P372" s="21">
        <v>4.0200000000000005</v>
      </c>
    </row>
    <row r="373" spans="8:16">
      <c r="H373" s="21"/>
      <c r="I373" s="21"/>
      <c r="J373" s="52"/>
      <c r="K373" s="21"/>
      <c r="L373" s="21" t="s">
        <v>1286</v>
      </c>
      <c r="M373" s="25">
        <f>DATE(YEAR(OneWeekMtgRatesDataTable75[[#This Row],[asOf]]),MONTH(OneWeekMtgRatesDataTable75[[#This Row],[asOf]]),DAY(OneWeekMtgRatesDataTable75[[#This Row],[asOf]]))</f>
        <v>41781</v>
      </c>
      <c r="N373" s="21">
        <v>4.12</v>
      </c>
      <c r="O373" s="21">
        <v>0.6</v>
      </c>
      <c r="P373" s="21">
        <v>4.0200000000000005</v>
      </c>
    </row>
    <row r="374" spans="8:16">
      <c r="H374" s="21"/>
      <c r="I374" s="21"/>
      <c r="J374" s="52"/>
      <c r="K374" s="21"/>
      <c r="L374" s="21" t="s">
        <v>1285</v>
      </c>
      <c r="M374" s="25">
        <f>DATE(YEAR(OneWeekMtgRatesDataTable75[[#This Row],[asOf]]),MONTH(OneWeekMtgRatesDataTable75[[#This Row],[asOf]]),DAY(OneWeekMtgRatesDataTable75[[#This Row],[asOf]]))</f>
        <v>41780</v>
      </c>
      <c r="N374" s="21">
        <v>4.1399999999999997</v>
      </c>
      <c r="O374" s="21">
        <v>0.6</v>
      </c>
      <c r="P374" s="21">
        <v>4.04</v>
      </c>
    </row>
    <row r="375" spans="8:16">
      <c r="H375" s="21"/>
      <c r="I375" s="21"/>
      <c r="J375" s="52"/>
      <c r="K375" s="21"/>
      <c r="L375" s="21" t="s">
        <v>1284</v>
      </c>
      <c r="M375" s="25">
        <f>DATE(YEAR(OneWeekMtgRatesDataTable75[[#This Row],[asOf]]),MONTH(OneWeekMtgRatesDataTable75[[#This Row],[asOf]]),DAY(OneWeekMtgRatesDataTable75[[#This Row],[asOf]]))</f>
        <v>41779</v>
      </c>
      <c r="N375" s="21">
        <v>4.1399999999999997</v>
      </c>
      <c r="O375" s="21">
        <v>0.6</v>
      </c>
      <c r="P375" s="21">
        <v>4.04</v>
      </c>
    </row>
    <row r="376" spans="8:16">
      <c r="H376" s="21"/>
      <c r="I376" s="21"/>
      <c r="J376" s="52"/>
      <c r="K376" s="21"/>
      <c r="L376" s="21" t="s">
        <v>1283</v>
      </c>
      <c r="M376" s="25">
        <f>DATE(YEAR(OneWeekMtgRatesDataTable75[[#This Row],[asOf]]),MONTH(OneWeekMtgRatesDataTable75[[#This Row],[asOf]]),DAY(OneWeekMtgRatesDataTable75[[#This Row],[asOf]]))</f>
        <v>41778</v>
      </c>
      <c r="N376" s="21">
        <v>4.1399999999999997</v>
      </c>
      <c r="O376" s="21">
        <v>0.6</v>
      </c>
      <c r="P376" s="21">
        <v>4.04</v>
      </c>
    </row>
    <row r="377" spans="8:16">
      <c r="H377" s="21"/>
      <c r="I377" s="21"/>
      <c r="J377" s="52"/>
      <c r="K377" s="21"/>
      <c r="L377" s="21" t="s">
        <v>1282</v>
      </c>
      <c r="M377" s="25">
        <f>DATE(YEAR(OneWeekMtgRatesDataTable75[[#This Row],[asOf]]),MONTH(OneWeekMtgRatesDataTable75[[#This Row],[asOf]]),DAY(OneWeekMtgRatesDataTable75[[#This Row],[asOf]]))</f>
        <v>41775</v>
      </c>
      <c r="N377" s="21">
        <v>4.1399999999999997</v>
      </c>
      <c r="O377" s="21">
        <v>0.6</v>
      </c>
      <c r="P377" s="21">
        <v>4.04</v>
      </c>
    </row>
    <row r="378" spans="8:16">
      <c r="H378" s="21"/>
      <c r="I378" s="21"/>
      <c r="J378" s="52"/>
      <c r="K378" s="21"/>
      <c r="L378" s="21" t="s">
        <v>1281</v>
      </c>
      <c r="M378" s="25">
        <f>DATE(YEAR(OneWeekMtgRatesDataTable75[[#This Row],[asOf]]),MONTH(OneWeekMtgRatesDataTable75[[#This Row],[asOf]]),DAY(OneWeekMtgRatesDataTable75[[#This Row],[asOf]]))</f>
        <v>41774</v>
      </c>
      <c r="N378" s="21">
        <v>4.1399999999999997</v>
      </c>
      <c r="O378" s="21">
        <v>0.6</v>
      </c>
      <c r="P378" s="21">
        <v>4.04</v>
      </c>
    </row>
    <row r="379" spans="8:16">
      <c r="H379" s="21"/>
      <c r="I379" s="21"/>
      <c r="J379" s="52"/>
      <c r="K379" s="21"/>
      <c r="L379" s="21" t="s">
        <v>1280</v>
      </c>
      <c r="M379" s="25">
        <f>DATE(YEAR(OneWeekMtgRatesDataTable75[[#This Row],[asOf]]),MONTH(OneWeekMtgRatesDataTable75[[#This Row],[asOf]]),DAY(OneWeekMtgRatesDataTable75[[#This Row],[asOf]]))</f>
        <v>41773</v>
      </c>
      <c r="N379" s="21">
        <v>4.2</v>
      </c>
      <c r="O379" s="21">
        <v>0.6</v>
      </c>
      <c r="P379" s="21">
        <v>4.1000000000000005</v>
      </c>
    </row>
    <row r="380" spans="8:16">
      <c r="H380" s="21"/>
      <c r="I380" s="21"/>
      <c r="J380" s="52"/>
      <c r="K380" s="21"/>
      <c r="L380" s="21" t="s">
        <v>1279</v>
      </c>
      <c r="M380" s="25">
        <f>DATE(YEAR(OneWeekMtgRatesDataTable75[[#This Row],[asOf]]),MONTH(OneWeekMtgRatesDataTable75[[#This Row],[asOf]]),DAY(OneWeekMtgRatesDataTable75[[#This Row],[asOf]]))</f>
        <v>41772</v>
      </c>
      <c r="N380" s="21">
        <v>4.2</v>
      </c>
      <c r="O380" s="21">
        <v>0.6</v>
      </c>
      <c r="P380" s="21">
        <v>4.1000000000000005</v>
      </c>
    </row>
    <row r="381" spans="8:16">
      <c r="H381" s="21"/>
      <c r="I381" s="21"/>
      <c r="J381" s="52"/>
      <c r="K381" s="21"/>
      <c r="L381" s="21" t="s">
        <v>1278</v>
      </c>
      <c r="M381" s="25">
        <f>DATE(YEAR(OneWeekMtgRatesDataTable75[[#This Row],[asOf]]),MONTH(OneWeekMtgRatesDataTable75[[#This Row],[asOf]]),DAY(OneWeekMtgRatesDataTable75[[#This Row],[asOf]]))</f>
        <v>41771</v>
      </c>
      <c r="N381" s="21">
        <v>4.2</v>
      </c>
      <c r="O381" s="21">
        <v>0.6</v>
      </c>
      <c r="P381" s="21">
        <v>4.1000000000000005</v>
      </c>
    </row>
    <row r="382" spans="8:16">
      <c r="H382" s="21"/>
      <c r="I382" s="21"/>
      <c r="J382" s="52"/>
      <c r="K382" s="21"/>
      <c r="L382" s="21" t="s">
        <v>1277</v>
      </c>
      <c r="M382" s="25">
        <f>DATE(YEAR(OneWeekMtgRatesDataTable75[[#This Row],[asOf]]),MONTH(OneWeekMtgRatesDataTable75[[#This Row],[asOf]]),DAY(OneWeekMtgRatesDataTable75[[#This Row],[asOf]]))</f>
        <v>41768</v>
      </c>
      <c r="N382" s="21">
        <v>4.2</v>
      </c>
      <c r="O382" s="21">
        <v>0.6</v>
      </c>
      <c r="P382" s="21">
        <v>4.1000000000000005</v>
      </c>
    </row>
    <row r="383" spans="8:16">
      <c r="H383" s="21"/>
      <c r="I383" s="21"/>
      <c r="J383" s="52"/>
      <c r="K383" s="21"/>
      <c r="L383" s="21" t="s">
        <v>1276</v>
      </c>
      <c r="M383" s="25">
        <f>DATE(YEAR(OneWeekMtgRatesDataTable75[[#This Row],[asOf]]),MONTH(OneWeekMtgRatesDataTable75[[#This Row],[asOf]]),DAY(OneWeekMtgRatesDataTable75[[#This Row],[asOf]]))</f>
        <v>41767</v>
      </c>
      <c r="N383" s="21">
        <v>4.2</v>
      </c>
      <c r="O383" s="21">
        <v>0.6</v>
      </c>
      <c r="P383" s="21">
        <v>4.1000000000000005</v>
      </c>
    </row>
    <row r="384" spans="8:16">
      <c r="H384" s="21"/>
      <c r="I384" s="21"/>
      <c r="J384" s="52"/>
      <c r="K384" s="21"/>
      <c r="L384" s="21" t="s">
        <v>1275</v>
      </c>
      <c r="M384" s="25">
        <f>DATE(YEAR(OneWeekMtgRatesDataTable75[[#This Row],[asOf]]),MONTH(OneWeekMtgRatesDataTable75[[#This Row],[asOf]]),DAY(OneWeekMtgRatesDataTable75[[#This Row],[asOf]]))</f>
        <v>41766</v>
      </c>
      <c r="N384" s="21">
        <v>4.21</v>
      </c>
      <c r="O384" s="21">
        <v>0.6</v>
      </c>
      <c r="P384" s="21">
        <v>4.1100000000000003</v>
      </c>
    </row>
    <row r="385" spans="8:16">
      <c r="H385" s="21"/>
      <c r="I385" s="21"/>
      <c r="J385" s="52"/>
      <c r="K385" s="21"/>
      <c r="L385" s="21" t="s">
        <v>1274</v>
      </c>
      <c r="M385" s="25">
        <f>DATE(YEAR(OneWeekMtgRatesDataTable75[[#This Row],[asOf]]),MONTH(OneWeekMtgRatesDataTable75[[#This Row],[asOf]]),DAY(OneWeekMtgRatesDataTable75[[#This Row],[asOf]]))</f>
        <v>41765</v>
      </c>
      <c r="N385" s="21">
        <v>4.21</v>
      </c>
      <c r="O385" s="21">
        <v>0.6</v>
      </c>
      <c r="P385" s="21">
        <v>4.1100000000000003</v>
      </c>
    </row>
    <row r="386" spans="8:16">
      <c r="H386" s="21"/>
      <c r="I386" s="21"/>
      <c r="J386" s="52"/>
      <c r="K386" s="21"/>
      <c r="L386" s="21" t="s">
        <v>1273</v>
      </c>
      <c r="M386" s="25">
        <f>DATE(YEAR(OneWeekMtgRatesDataTable75[[#This Row],[asOf]]),MONTH(OneWeekMtgRatesDataTable75[[#This Row],[asOf]]),DAY(OneWeekMtgRatesDataTable75[[#This Row],[asOf]]))</f>
        <v>41764</v>
      </c>
      <c r="N386" s="21">
        <v>4.21</v>
      </c>
      <c r="O386" s="21">
        <v>0.6</v>
      </c>
      <c r="P386" s="21">
        <v>4.1100000000000003</v>
      </c>
    </row>
    <row r="387" spans="8:16">
      <c r="H387" s="21"/>
      <c r="I387" s="21"/>
      <c r="J387" s="52"/>
      <c r="K387" s="21"/>
      <c r="L387" s="21" t="s">
        <v>1272</v>
      </c>
      <c r="M387" s="25">
        <f>DATE(YEAR(OneWeekMtgRatesDataTable75[[#This Row],[asOf]]),MONTH(OneWeekMtgRatesDataTable75[[#This Row],[asOf]]),DAY(OneWeekMtgRatesDataTable75[[#This Row],[asOf]]))</f>
        <v>41761</v>
      </c>
      <c r="N387" s="21">
        <v>4.21</v>
      </c>
      <c r="O387" s="21">
        <v>0.6</v>
      </c>
      <c r="P387" s="21">
        <v>4.1100000000000003</v>
      </c>
    </row>
    <row r="388" spans="8:16">
      <c r="H388" s="21"/>
      <c r="I388" s="21"/>
      <c r="J388" s="52"/>
      <c r="K388" s="21"/>
      <c r="L388" s="21" t="s">
        <v>1271</v>
      </c>
      <c r="M388" s="25">
        <f>DATE(YEAR(OneWeekMtgRatesDataTable75[[#This Row],[asOf]]),MONTH(OneWeekMtgRatesDataTable75[[#This Row],[asOf]]),DAY(OneWeekMtgRatesDataTable75[[#This Row],[asOf]]))</f>
        <v>41760</v>
      </c>
      <c r="N388" s="21">
        <v>4.21</v>
      </c>
      <c r="O388" s="21">
        <v>0.6</v>
      </c>
      <c r="P388" s="21">
        <v>4.1100000000000003</v>
      </c>
    </row>
    <row r="389" spans="8:16">
      <c r="H389" s="21"/>
      <c r="I389" s="21"/>
      <c r="J389" s="52"/>
      <c r="K389" s="21"/>
      <c r="L389" s="21" t="s">
        <v>1270</v>
      </c>
      <c r="M389" s="25">
        <f>DATE(YEAR(OneWeekMtgRatesDataTable75[[#This Row],[asOf]]),MONTH(OneWeekMtgRatesDataTable75[[#This Row],[asOf]]),DAY(OneWeekMtgRatesDataTable75[[#This Row],[asOf]]))</f>
        <v>41759</v>
      </c>
      <c r="N389" s="21">
        <v>4.29</v>
      </c>
      <c r="O389" s="21">
        <v>0.7</v>
      </c>
      <c r="P389" s="21">
        <v>4.2149999999999999</v>
      </c>
    </row>
    <row r="390" spans="8:16">
      <c r="H390" s="21"/>
      <c r="I390" s="21"/>
      <c r="J390" s="52"/>
      <c r="K390" s="21"/>
      <c r="L390" s="21" t="s">
        <v>1269</v>
      </c>
      <c r="M390" s="25">
        <f>DATE(YEAR(OneWeekMtgRatesDataTable75[[#This Row],[asOf]]),MONTH(OneWeekMtgRatesDataTable75[[#This Row],[asOf]]),DAY(OneWeekMtgRatesDataTable75[[#This Row],[asOf]]))</f>
        <v>41758</v>
      </c>
      <c r="N390" s="21">
        <v>4.29</v>
      </c>
      <c r="O390" s="21">
        <v>0.7</v>
      </c>
      <c r="P390" s="21">
        <v>4.2149999999999999</v>
      </c>
    </row>
    <row r="391" spans="8:16">
      <c r="H391" s="21"/>
      <c r="I391" s="21"/>
      <c r="J391" s="52"/>
      <c r="K391" s="21"/>
      <c r="L391" s="21" t="s">
        <v>1268</v>
      </c>
      <c r="M391" s="25">
        <f>DATE(YEAR(OneWeekMtgRatesDataTable75[[#This Row],[asOf]]),MONTH(OneWeekMtgRatesDataTable75[[#This Row],[asOf]]),DAY(OneWeekMtgRatesDataTable75[[#This Row],[asOf]]))</f>
        <v>41757</v>
      </c>
      <c r="N391" s="21">
        <v>4.29</v>
      </c>
      <c r="O391" s="21">
        <v>0.7</v>
      </c>
      <c r="P391" s="21">
        <v>4.2149999999999999</v>
      </c>
    </row>
    <row r="392" spans="8:16">
      <c r="H392" s="21"/>
      <c r="I392" s="21"/>
      <c r="J392" s="52"/>
      <c r="K392" s="21"/>
      <c r="L392" s="21" t="s">
        <v>1267</v>
      </c>
      <c r="M392" s="25">
        <f>DATE(YEAR(OneWeekMtgRatesDataTable75[[#This Row],[asOf]]),MONTH(OneWeekMtgRatesDataTable75[[#This Row],[asOf]]),DAY(OneWeekMtgRatesDataTable75[[#This Row],[asOf]]))</f>
        <v>41754</v>
      </c>
      <c r="N392" s="21">
        <v>4.29</v>
      </c>
      <c r="O392" s="21">
        <v>0.7</v>
      </c>
      <c r="P392" s="21">
        <v>4.2149999999999999</v>
      </c>
    </row>
    <row r="393" spans="8:16">
      <c r="H393" s="21"/>
      <c r="I393" s="21"/>
      <c r="J393" s="52"/>
      <c r="K393" s="21"/>
      <c r="L393" s="21" t="s">
        <v>1266</v>
      </c>
      <c r="M393" s="25">
        <f>DATE(YEAR(OneWeekMtgRatesDataTable75[[#This Row],[asOf]]),MONTH(OneWeekMtgRatesDataTable75[[#This Row],[asOf]]),DAY(OneWeekMtgRatesDataTable75[[#This Row],[asOf]]))</f>
        <v>41753</v>
      </c>
      <c r="N393" s="21">
        <v>4.29</v>
      </c>
      <c r="O393" s="21">
        <v>0.7</v>
      </c>
      <c r="P393" s="21">
        <v>4.2149999999999999</v>
      </c>
    </row>
    <row r="394" spans="8:16">
      <c r="H394" s="21"/>
      <c r="I394" s="21"/>
      <c r="J394" s="52"/>
      <c r="K394" s="21"/>
      <c r="L394" s="21" t="s">
        <v>1265</v>
      </c>
      <c r="M394" s="25">
        <f>DATE(YEAR(OneWeekMtgRatesDataTable75[[#This Row],[asOf]]),MONTH(OneWeekMtgRatesDataTable75[[#This Row],[asOf]]),DAY(OneWeekMtgRatesDataTable75[[#This Row],[asOf]]))</f>
        <v>41752</v>
      </c>
      <c r="N394" s="21">
        <v>4.33</v>
      </c>
      <c r="O394" s="21">
        <v>0.6</v>
      </c>
      <c r="P394" s="21">
        <v>4.2300000000000004</v>
      </c>
    </row>
    <row r="395" spans="8:16">
      <c r="H395" s="21"/>
      <c r="I395" s="21"/>
      <c r="J395" s="52"/>
      <c r="K395" s="21"/>
      <c r="L395" s="21" t="s">
        <v>1264</v>
      </c>
      <c r="M395" s="25">
        <f>DATE(YEAR(OneWeekMtgRatesDataTable75[[#This Row],[asOf]]),MONTH(OneWeekMtgRatesDataTable75[[#This Row],[asOf]]),DAY(OneWeekMtgRatesDataTable75[[#This Row],[asOf]]))</f>
        <v>41751</v>
      </c>
      <c r="N395" s="21">
        <v>4.33</v>
      </c>
      <c r="O395" s="21">
        <v>0.6</v>
      </c>
      <c r="P395" s="21">
        <v>4.2300000000000004</v>
      </c>
    </row>
    <row r="396" spans="8:16">
      <c r="H396" s="21"/>
      <c r="I396" s="21"/>
      <c r="J396" s="52"/>
      <c r="K396" s="21"/>
      <c r="L396" s="21" t="s">
        <v>1263</v>
      </c>
      <c r="M396" s="25">
        <f>DATE(YEAR(OneWeekMtgRatesDataTable75[[#This Row],[asOf]]),MONTH(OneWeekMtgRatesDataTable75[[#This Row],[asOf]]),DAY(OneWeekMtgRatesDataTable75[[#This Row],[asOf]]))</f>
        <v>41750</v>
      </c>
      <c r="N396" s="21">
        <v>4.33</v>
      </c>
      <c r="O396" s="21">
        <v>0.6</v>
      </c>
      <c r="P396" s="21">
        <v>4.2300000000000004</v>
      </c>
    </row>
    <row r="397" spans="8:16">
      <c r="H397" s="21"/>
      <c r="I397" s="21"/>
      <c r="J397" s="52"/>
      <c r="K397" s="21"/>
      <c r="L397" s="21" t="s">
        <v>1262</v>
      </c>
      <c r="M397" s="25">
        <f>DATE(YEAR(OneWeekMtgRatesDataTable75[[#This Row],[asOf]]),MONTH(OneWeekMtgRatesDataTable75[[#This Row],[asOf]]),DAY(OneWeekMtgRatesDataTable75[[#This Row],[asOf]]))</f>
        <v>41746</v>
      </c>
      <c r="N397" s="21">
        <v>4.33</v>
      </c>
      <c r="O397" s="21">
        <v>0.6</v>
      </c>
      <c r="P397" s="21">
        <v>4.2300000000000004</v>
      </c>
    </row>
    <row r="398" spans="8:16">
      <c r="H398" s="21"/>
      <c r="I398" s="21"/>
      <c r="J398" s="52"/>
      <c r="K398" s="21"/>
      <c r="L398" s="21" t="s">
        <v>1261</v>
      </c>
      <c r="M398" s="25">
        <f>DATE(YEAR(OneWeekMtgRatesDataTable75[[#This Row],[asOf]]),MONTH(OneWeekMtgRatesDataTable75[[#This Row],[asOf]]),DAY(OneWeekMtgRatesDataTable75[[#This Row],[asOf]]))</f>
        <v>41745</v>
      </c>
      <c r="N398" s="21">
        <v>4.2699999999999996</v>
      </c>
      <c r="O398" s="21">
        <v>0.7</v>
      </c>
      <c r="P398" s="21">
        <v>4.1949999999999994</v>
      </c>
    </row>
    <row r="399" spans="8:16">
      <c r="H399" s="21"/>
      <c r="I399" s="21"/>
      <c r="J399" s="52"/>
      <c r="K399" s="21"/>
      <c r="L399" s="21" t="s">
        <v>1260</v>
      </c>
      <c r="M399" s="25">
        <f>DATE(YEAR(OneWeekMtgRatesDataTable75[[#This Row],[asOf]]),MONTH(OneWeekMtgRatesDataTable75[[#This Row],[asOf]]),DAY(OneWeekMtgRatesDataTable75[[#This Row],[asOf]]))</f>
        <v>41744</v>
      </c>
      <c r="N399" s="21">
        <v>4.2699999999999996</v>
      </c>
      <c r="O399" s="21">
        <v>0.7</v>
      </c>
      <c r="P399" s="21">
        <v>4.1949999999999994</v>
      </c>
    </row>
    <row r="400" spans="8:16">
      <c r="H400" s="21"/>
      <c r="I400" s="21"/>
      <c r="J400" s="52"/>
      <c r="K400" s="21"/>
      <c r="L400" s="21" t="s">
        <v>1259</v>
      </c>
      <c r="M400" s="25">
        <f>DATE(YEAR(OneWeekMtgRatesDataTable75[[#This Row],[asOf]]),MONTH(OneWeekMtgRatesDataTable75[[#This Row],[asOf]]),DAY(OneWeekMtgRatesDataTable75[[#This Row],[asOf]]))</f>
        <v>41743</v>
      </c>
      <c r="N400" s="21">
        <v>4.2699999999999996</v>
      </c>
      <c r="O400" s="21">
        <v>0.7</v>
      </c>
      <c r="P400" s="21">
        <v>4.1949999999999994</v>
      </c>
    </row>
    <row r="401" spans="8:16">
      <c r="H401" s="21"/>
      <c r="I401" s="21"/>
      <c r="J401" s="52"/>
      <c r="K401" s="21"/>
      <c r="L401" s="21" t="s">
        <v>1258</v>
      </c>
      <c r="M401" s="25">
        <f>DATE(YEAR(OneWeekMtgRatesDataTable75[[#This Row],[asOf]]),MONTH(OneWeekMtgRatesDataTable75[[#This Row],[asOf]]),DAY(OneWeekMtgRatesDataTable75[[#This Row],[asOf]]))</f>
        <v>41740</v>
      </c>
      <c r="N401" s="21">
        <v>4.2699999999999996</v>
      </c>
      <c r="O401" s="21">
        <v>0.7</v>
      </c>
      <c r="P401" s="21">
        <v>4.1949999999999994</v>
      </c>
    </row>
    <row r="402" spans="8:16">
      <c r="H402" s="21"/>
      <c r="I402" s="21"/>
      <c r="J402" s="52"/>
      <c r="K402" s="21"/>
      <c r="L402" s="21" t="s">
        <v>1257</v>
      </c>
      <c r="M402" s="25">
        <f>DATE(YEAR(OneWeekMtgRatesDataTable75[[#This Row],[asOf]]),MONTH(OneWeekMtgRatesDataTable75[[#This Row],[asOf]]),DAY(OneWeekMtgRatesDataTable75[[#This Row],[asOf]]))</f>
        <v>41739</v>
      </c>
      <c r="N402" s="21">
        <v>4.2699999999999996</v>
      </c>
      <c r="O402" s="21">
        <v>0.7</v>
      </c>
      <c r="P402" s="21">
        <v>4.1949999999999994</v>
      </c>
    </row>
    <row r="403" spans="8:16">
      <c r="H403" s="21"/>
      <c r="I403" s="21"/>
      <c r="J403" s="52"/>
      <c r="K403" s="21"/>
      <c r="L403" s="21" t="s">
        <v>1256</v>
      </c>
      <c r="M403" s="25">
        <f>DATE(YEAR(OneWeekMtgRatesDataTable75[[#This Row],[asOf]]),MONTH(OneWeekMtgRatesDataTable75[[#This Row],[asOf]]),DAY(OneWeekMtgRatesDataTable75[[#This Row],[asOf]]))</f>
        <v>41738</v>
      </c>
      <c r="N403" s="21">
        <v>4.34</v>
      </c>
      <c r="O403" s="21">
        <v>0.7</v>
      </c>
      <c r="P403" s="21">
        <v>4.2649999999999997</v>
      </c>
    </row>
    <row r="404" spans="8:16">
      <c r="H404" s="21"/>
      <c r="I404" s="21"/>
      <c r="J404" s="52"/>
      <c r="K404" s="21"/>
      <c r="L404" s="21" t="s">
        <v>1255</v>
      </c>
      <c r="M404" s="25">
        <f>DATE(YEAR(OneWeekMtgRatesDataTable75[[#This Row],[asOf]]),MONTH(OneWeekMtgRatesDataTable75[[#This Row],[asOf]]),DAY(OneWeekMtgRatesDataTable75[[#This Row],[asOf]]))</f>
        <v>41737</v>
      </c>
      <c r="N404" s="21">
        <v>4.34</v>
      </c>
      <c r="O404" s="21">
        <v>0.7</v>
      </c>
      <c r="P404" s="21">
        <v>4.2649999999999997</v>
      </c>
    </row>
    <row r="405" spans="8:16">
      <c r="H405" s="21"/>
      <c r="I405" s="21"/>
      <c r="J405" s="52"/>
      <c r="K405" s="21"/>
      <c r="L405" s="21" t="s">
        <v>1254</v>
      </c>
      <c r="M405" s="25">
        <f>DATE(YEAR(OneWeekMtgRatesDataTable75[[#This Row],[asOf]]),MONTH(OneWeekMtgRatesDataTable75[[#This Row],[asOf]]),DAY(OneWeekMtgRatesDataTable75[[#This Row],[asOf]]))</f>
        <v>41736</v>
      </c>
      <c r="N405" s="21">
        <v>4.34</v>
      </c>
      <c r="O405" s="21">
        <v>0.7</v>
      </c>
      <c r="P405" s="21">
        <v>4.2649999999999997</v>
      </c>
    </row>
    <row r="406" spans="8:16">
      <c r="H406" s="21"/>
      <c r="I406" s="21"/>
      <c r="J406" s="52"/>
      <c r="K406" s="21"/>
      <c r="L406" s="21" t="s">
        <v>1253</v>
      </c>
      <c r="M406" s="25">
        <f>DATE(YEAR(OneWeekMtgRatesDataTable75[[#This Row],[asOf]]),MONTH(OneWeekMtgRatesDataTable75[[#This Row],[asOf]]),DAY(OneWeekMtgRatesDataTable75[[#This Row],[asOf]]))</f>
        <v>41733</v>
      </c>
      <c r="N406" s="21">
        <v>4.34</v>
      </c>
      <c r="O406" s="21">
        <v>0.7</v>
      </c>
      <c r="P406" s="21">
        <v>4.2649999999999997</v>
      </c>
    </row>
    <row r="407" spans="8:16">
      <c r="H407" s="21"/>
      <c r="I407" s="21"/>
      <c r="J407" s="52"/>
      <c r="K407" s="21"/>
      <c r="L407" s="21" t="s">
        <v>1252</v>
      </c>
      <c r="M407" s="25">
        <f>DATE(YEAR(OneWeekMtgRatesDataTable75[[#This Row],[asOf]]),MONTH(OneWeekMtgRatesDataTable75[[#This Row],[asOf]]),DAY(OneWeekMtgRatesDataTable75[[#This Row],[asOf]]))</f>
        <v>41732</v>
      </c>
      <c r="N407" s="21">
        <v>4.34</v>
      </c>
      <c r="O407" s="21">
        <v>0.7</v>
      </c>
      <c r="P407" s="21">
        <v>4.2649999999999997</v>
      </c>
    </row>
    <row r="408" spans="8:16">
      <c r="H408" s="21"/>
      <c r="I408" s="21"/>
      <c r="J408" s="52"/>
      <c r="K408" s="21"/>
      <c r="L408" s="21" t="s">
        <v>1251</v>
      </c>
      <c r="M408" s="25">
        <f>DATE(YEAR(OneWeekMtgRatesDataTable75[[#This Row],[asOf]]),MONTH(OneWeekMtgRatesDataTable75[[#This Row],[asOf]]),DAY(OneWeekMtgRatesDataTable75[[#This Row],[asOf]]))</f>
        <v>41731</v>
      </c>
      <c r="N408" s="21">
        <v>4.41</v>
      </c>
      <c r="O408" s="21">
        <v>0.7</v>
      </c>
      <c r="P408" s="21">
        <v>4.335</v>
      </c>
    </row>
    <row r="409" spans="8:16">
      <c r="H409" s="21"/>
      <c r="I409" s="21"/>
      <c r="J409" s="52"/>
      <c r="K409" s="21"/>
      <c r="L409" s="21" t="s">
        <v>1250</v>
      </c>
      <c r="M409" s="25">
        <f>DATE(YEAR(OneWeekMtgRatesDataTable75[[#This Row],[asOf]]),MONTH(OneWeekMtgRatesDataTable75[[#This Row],[asOf]]),DAY(OneWeekMtgRatesDataTable75[[#This Row],[asOf]]))</f>
        <v>41730</v>
      </c>
      <c r="N409" s="21">
        <v>4.41</v>
      </c>
      <c r="O409" s="21">
        <v>0.7</v>
      </c>
      <c r="P409" s="21">
        <v>4.335</v>
      </c>
    </row>
    <row r="410" spans="8:16">
      <c r="H410" s="21"/>
      <c r="I410" s="21"/>
      <c r="J410" s="52"/>
      <c r="K410" s="21"/>
      <c r="L410" s="21" t="s">
        <v>1249</v>
      </c>
      <c r="M410" s="25">
        <f>DATE(YEAR(OneWeekMtgRatesDataTable75[[#This Row],[asOf]]),MONTH(OneWeekMtgRatesDataTable75[[#This Row],[asOf]]),DAY(OneWeekMtgRatesDataTable75[[#This Row],[asOf]]))</f>
        <v>41729</v>
      </c>
      <c r="N410" s="21">
        <v>4.41</v>
      </c>
      <c r="O410" s="21">
        <v>0.7</v>
      </c>
      <c r="P410" s="21">
        <v>4.335</v>
      </c>
    </row>
    <row r="411" spans="8:16">
      <c r="H411" s="21"/>
      <c r="I411" s="21"/>
      <c r="J411" s="52"/>
      <c r="K411" s="21"/>
      <c r="L411" s="21" t="s">
        <v>1248</v>
      </c>
      <c r="M411" s="25">
        <f>DATE(YEAR(OneWeekMtgRatesDataTable75[[#This Row],[asOf]]),MONTH(OneWeekMtgRatesDataTable75[[#This Row],[asOf]]),DAY(OneWeekMtgRatesDataTable75[[#This Row],[asOf]]))</f>
        <v>41726</v>
      </c>
      <c r="N411" s="21">
        <v>4.41</v>
      </c>
      <c r="O411" s="21">
        <v>0.7</v>
      </c>
      <c r="P411" s="21">
        <v>4.335</v>
      </c>
    </row>
    <row r="412" spans="8:16">
      <c r="H412" s="21"/>
      <c r="I412" s="21"/>
      <c r="J412" s="52"/>
      <c r="K412" s="21"/>
      <c r="L412" s="21" t="s">
        <v>1247</v>
      </c>
      <c r="M412" s="25">
        <f>DATE(YEAR(OneWeekMtgRatesDataTable75[[#This Row],[asOf]]),MONTH(OneWeekMtgRatesDataTable75[[#This Row],[asOf]]),DAY(OneWeekMtgRatesDataTable75[[#This Row],[asOf]]))</f>
        <v>41725</v>
      </c>
      <c r="N412" s="21">
        <v>4.41</v>
      </c>
      <c r="O412" s="21">
        <v>0.7</v>
      </c>
      <c r="P412" s="21">
        <v>4.335</v>
      </c>
    </row>
    <row r="413" spans="8:16">
      <c r="H413" s="21"/>
      <c r="I413" s="21"/>
      <c r="J413" s="52"/>
      <c r="K413" s="21"/>
      <c r="L413" s="21" t="s">
        <v>1246</v>
      </c>
      <c r="M413" s="25">
        <f>DATE(YEAR(OneWeekMtgRatesDataTable75[[#This Row],[asOf]]),MONTH(OneWeekMtgRatesDataTable75[[#This Row],[asOf]]),DAY(OneWeekMtgRatesDataTable75[[#This Row],[asOf]]))</f>
        <v>41724</v>
      </c>
      <c r="N413" s="21">
        <v>4.4000000000000004</v>
      </c>
      <c r="O413" s="21">
        <v>0.6</v>
      </c>
      <c r="P413" s="21">
        <v>4.3000000000000007</v>
      </c>
    </row>
    <row r="414" spans="8:16">
      <c r="H414" s="21"/>
      <c r="I414" s="21"/>
      <c r="J414" s="52"/>
      <c r="K414" s="21"/>
      <c r="L414" s="21" t="s">
        <v>1245</v>
      </c>
      <c r="M414" s="25">
        <f>DATE(YEAR(OneWeekMtgRatesDataTable75[[#This Row],[asOf]]),MONTH(OneWeekMtgRatesDataTable75[[#This Row],[asOf]]),DAY(OneWeekMtgRatesDataTable75[[#This Row],[asOf]]))</f>
        <v>41723</v>
      </c>
      <c r="N414" s="21">
        <v>4.4000000000000004</v>
      </c>
      <c r="O414" s="21">
        <v>0.6</v>
      </c>
      <c r="P414" s="21">
        <v>4.3000000000000007</v>
      </c>
    </row>
    <row r="415" spans="8:16">
      <c r="H415" s="21"/>
      <c r="I415" s="21"/>
      <c r="J415" s="52"/>
      <c r="K415" s="21"/>
      <c r="L415" s="21" t="s">
        <v>1244</v>
      </c>
      <c r="M415" s="25">
        <f>DATE(YEAR(OneWeekMtgRatesDataTable75[[#This Row],[asOf]]),MONTH(OneWeekMtgRatesDataTable75[[#This Row],[asOf]]),DAY(OneWeekMtgRatesDataTable75[[#This Row],[asOf]]))</f>
        <v>41722</v>
      </c>
      <c r="N415" s="21">
        <v>4.4000000000000004</v>
      </c>
      <c r="O415" s="21">
        <v>0.6</v>
      </c>
      <c r="P415" s="21">
        <v>4.3000000000000007</v>
      </c>
    </row>
    <row r="416" spans="8:16">
      <c r="H416" s="21"/>
      <c r="I416" s="21"/>
      <c r="J416" s="52"/>
      <c r="K416" s="21"/>
      <c r="L416" s="21" t="s">
        <v>1243</v>
      </c>
      <c r="M416" s="25">
        <f>DATE(YEAR(OneWeekMtgRatesDataTable75[[#This Row],[asOf]]),MONTH(OneWeekMtgRatesDataTable75[[#This Row],[asOf]]),DAY(OneWeekMtgRatesDataTable75[[#This Row],[asOf]]))</f>
        <v>41719</v>
      </c>
      <c r="N416" s="21">
        <v>4.4000000000000004</v>
      </c>
      <c r="O416" s="21">
        <v>0.6</v>
      </c>
      <c r="P416" s="21">
        <v>4.3000000000000007</v>
      </c>
    </row>
    <row r="417" spans="8:16">
      <c r="H417" s="21"/>
      <c r="I417" s="21"/>
      <c r="J417" s="52"/>
      <c r="K417" s="21"/>
      <c r="L417" s="21" t="s">
        <v>1242</v>
      </c>
      <c r="M417" s="25">
        <f>DATE(YEAR(OneWeekMtgRatesDataTable75[[#This Row],[asOf]]),MONTH(OneWeekMtgRatesDataTable75[[#This Row],[asOf]]),DAY(OneWeekMtgRatesDataTable75[[#This Row],[asOf]]))</f>
        <v>41718</v>
      </c>
      <c r="N417" s="21">
        <v>4.4000000000000004</v>
      </c>
      <c r="O417" s="21">
        <v>0.6</v>
      </c>
      <c r="P417" s="21">
        <v>4.3000000000000007</v>
      </c>
    </row>
    <row r="418" spans="8:16">
      <c r="H418" s="21"/>
      <c r="I418" s="21"/>
      <c r="J418" s="52"/>
      <c r="K418" s="21"/>
      <c r="L418" s="21" t="s">
        <v>1241</v>
      </c>
      <c r="M418" s="25">
        <f>DATE(YEAR(OneWeekMtgRatesDataTable75[[#This Row],[asOf]]),MONTH(OneWeekMtgRatesDataTable75[[#This Row],[asOf]]),DAY(OneWeekMtgRatesDataTable75[[#This Row],[asOf]]))</f>
        <v>41717</v>
      </c>
      <c r="N418" s="21">
        <v>4.32</v>
      </c>
      <c r="O418" s="21">
        <v>0.6</v>
      </c>
      <c r="P418" s="21">
        <v>4.2200000000000006</v>
      </c>
    </row>
    <row r="419" spans="8:16">
      <c r="H419" s="21"/>
      <c r="I419" s="21"/>
      <c r="J419" s="52"/>
      <c r="K419" s="21"/>
      <c r="L419" s="21" t="s">
        <v>1240</v>
      </c>
      <c r="M419" s="25">
        <f>DATE(YEAR(OneWeekMtgRatesDataTable75[[#This Row],[asOf]]),MONTH(OneWeekMtgRatesDataTable75[[#This Row],[asOf]]),DAY(OneWeekMtgRatesDataTable75[[#This Row],[asOf]]))</f>
        <v>41716</v>
      </c>
      <c r="N419" s="21">
        <v>4.32</v>
      </c>
      <c r="O419" s="21">
        <v>0.6</v>
      </c>
      <c r="P419" s="21">
        <v>4.2200000000000006</v>
      </c>
    </row>
    <row r="420" spans="8:16">
      <c r="H420" s="21"/>
      <c r="I420" s="21"/>
      <c r="J420" s="52"/>
      <c r="K420" s="21"/>
      <c r="L420" s="21" t="s">
        <v>1239</v>
      </c>
      <c r="M420" s="25">
        <f>DATE(YEAR(OneWeekMtgRatesDataTable75[[#This Row],[asOf]]),MONTH(OneWeekMtgRatesDataTable75[[#This Row],[asOf]]),DAY(OneWeekMtgRatesDataTable75[[#This Row],[asOf]]))</f>
        <v>41715</v>
      </c>
      <c r="N420" s="21">
        <v>4.32</v>
      </c>
      <c r="O420" s="21">
        <v>0.6</v>
      </c>
      <c r="P420" s="21">
        <v>4.2200000000000006</v>
      </c>
    </row>
    <row r="421" spans="8:16">
      <c r="H421" s="21"/>
      <c r="I421" s="21"/>
      <c r="J421" s="52"/>
      <c r="K421" s="21"/>
      <c r="L421" s="21" t="s">
        <v>1238</v>
      </c>
      <c r="M421" s="25">
        <f>DATE(YEAR(OneWeekMtgRatesDataTable75[[#This Row],[asOf]]),MONTH(OneWeekMtgRatesDataTable75[[#This Row],[asOf]]),DAY(OneWeekMtgRatesDataTable75[[#This Row],[asOf]]))</f>
        <v>41712</v>
      </c>
      <c r="N421" s="21">
        <v>4.32</v>
      </c>
      <c r="O421" s="21">
        <v>0.6</v>
      </c>
      <c r="P421" s="21">
        <v>4.2200000000000006</v>
      </c>
    </row>
    <row r="422" spans="8:16">
      <c r="H422" s="21"/>
      <c r="I422" s="21"/>
      <c r="J422" s="52"/>
      <c r="K422" s="21"/>
      <c r="L422" s="21" t="s">
        <v>1237</v>
      </c>
      <c r="M422" s="25">
        <f>DATE(YEAR(OneWeekMtgRatesDataTable75[[#This Row],[asOf]]),MONTH(OneWeekMtgRatesDataTable75[[#This Row],[asOf]]),DAY(OneWeekMtgRatesDataTable75[[#This Row],[asOf]]))</f>
        <v>41711</v>
      </c>
      <c r="N422" s="21">
        <v>4.32</v>
      </c>
      <c r="O422" s="21">
        <v>0.6</v>
      </c>
      <c r="P422" s="21">
        <v>4.2200000000000006</v>
      </c>
    </row>
    <row r="423" spans="8:16">
      <c r="H423" s="21"/>
      <c r="I423" s="21"/>
      <c r="J423" s="52"/>
      <c r="K423" s="21"/>
      <c r="L423" s="21" t="s">
        <v>1236</v>
      </c>
      <c r="M423" s="25">
        <f>DATE(YEAR(OneWeekMtgRatesDataTable75[[#This Row],[asOf]]),MONTH(OneWeekMtgRatesDataTable75[[#This Row],[asOf]]),DAY(OneWeekMtgRatesDataTable75[[#This Row],[asOf]]))</f>
        <v>41710</v>
      </c>
      <c r="N423" s="21">
        <v>4.37</v>
      </c>
      <c r="O423" s="21">
        <v>0.6</v>
      </c>
      <c r="P423" s="21">
        <v>4.2700000000000005</v>
      </c>
    </row>
    <row r="424" spans="8:16">
      <c r="H424" s="21"/>
      <c r="I424" s="21"/>
      <c r="J424" s="52"/>
      <c r="K424" s="21"/>
      <c r="L424" s="21" t="s">
        <v>1235</v>
      </c>
      <c r="M424" s="25">
        <f>DATE(YEAR(OneWeekMtgRatesDataTable75[[#This Row],[asOf]]),MONTH(OneWeekMtgRatesDataTable75[[#This Row],[asOf]]),DAY(OneWeekMtgRatesDataTable75[[#This Row],[asOf]]))</f>
        <v>41709</v>
      </c>
      <c r="N424" s="21">
        <v>4.37</v>
      </c>
      <c r="O424" s="21">
        <v>0.6</v>
      </c>
      <c r="P424" s="21">
        <v>4.2700000000000005</v>
      </c>
    </row>
    <row r="425" spans="8:16">
      <c r="H425" s="21"/>
      <c r="I425" s="21"/>
      <c r="J425" s="52"/>
      <c r="K425" s="21"/>
      <c r="L425" s="21" t="s">
        <v>1234</v>
      </c>
      <c r="M425" s="25">
        <f>DATE(YEAR(OneWeekMtgRatesDataTable75[[#This Row],[asOf]]),MONTH(OneWeekMtgRatesDataTable75[[#This Row],[asOf]]),DAY(OneWeekMtgRatesDataTable75[[#This Row],[asOf]]))</f>
        <v>41708</v>
      </c>
      <c r="N425" s="21">
        <v>4.37</v>
      </c>
      <c r="O425" s="21">
        <v>0.6</v>
      </c>
      <c r="P425" s="21">
        <v>4.2700000000000005</v>
      </c>
    </row>
    <row r="426" spans="8:16">
      <c r="H426" s="21"/>
      <c r="I426" s="21"/>
      <c r="J426" s="52"/>
      <c r="K426" s="21"/>
      <c r="L426" s="21" t="s">
        <v>1233</v>
      </c>
      <c r="M426" s="25">
        <f>DATE(YEAR(OneWeekMtgRatesDataTable75[[#This Row],[asOf]]),MONTH(OneWeekMtgRatesDataTable75[[#This Row],[asOf]]),DAY(OneWeekMtgRatesDataTable75[[#This Row],[asOf]]))</f>
        <v>41705</v>
      </c>
      <c r="N426" s="21">
        <v>4.37</v>
      </c>
      <c r="O426" s="21">
        <v>0.6</v>
      </c>
      <c r="P426" s="21">
        <v>4.2700000000000005</v>
      </c>
    </row>
    <row r="427" spans="8:16">
      <c r="H427" s="21"/>
      <c r="I427" s="21"/>
      <c r="J427" s="52"/>
      <c r="K427" s="21"/>
      <c r="L427" s="21" t="s">
        <v>1232</v>
      </c>
      <c r="M427" s="25">
        <f>DATE(YEAR(OneWeekMtgRatesDataTable75[[#This Row],[asOf]]),MONTH(OneWeekMtgRatesDataTable75[[#This Row],[asOf]]),DAY(OneWeekMtgRatesDataTable75[[#This Row],[asOf]]))</f>
        <v>41704</v>
      </c>
      <c r="N427" s="21">
        <v>4.37</v>
      </c>
      <c r="O427" s="21">
        <v>0.6</v>
      </c>
      <c r="P427" s="21">
        <v>4.2700000000000005</v>
      </c>
    </row>
    <row r="428" spans="8:16">
      <c r="H428" s="21"/>
      <c r="I428" s="21"/>
      <c r="J428" s="52"/>
      <c r="K428" s="21"/>
      <c r="L428" s="21" t="s">
        <v>1231</v>
      </c>
      <c r="M428" s="25">
        <f>DATE(YEAR(OneWeekMtgRatesDataTable75[[#This Row],[asOf]]),MONTH(OneWeekMtgRatesDataTable75[[#This Row],[asOf]]),DAY(OneWeekMtgRatesDataTable75[[#This Row],[asOf]]))</f>
        <v>41703</v>
      </c>
      <c r="N428" s="21">
        <v>4.28</v>
      </c>
      <c r="O428" s="21">
        <v>0.7</v>
      </c>
      <c r="P428" s="21">
        <v>4.2050000000000001</v>
      </c>
    </row>
    <row r="429" spans="8:16">
      <c r="H429" s="21"/>
      <c r="I429" s="21"/>
      <c r="J429" s="52"/>
      <c r="K429" s="21"/>
      <c r="L429" s="21" t="s">
        <v>1230</v>
      </c>
      <c r="M429" s="25">
        <f>DATE(YEAR(OneWeekMtgRatesDataTable75[[#This Row],[asOf]]),MONTH(OneWeekMtgRatesDataTable75[[#This Row],[asOf]]),DAY(OneWeekMtgRatesDataTable75[[#This Row],[asOf]]))</f>
        <v>41702</v>
      </c>
      <c r="N429" s="21">
        <v>4.28</v>
      </c>
      <c r="O429" s="21">
        <v>0.7</v>
      </c>
      <c r="P429" s="21">
        <v>4.2050000000000001</v>
      </c>
    </row>
    <row r="430" spans="8:16">
      <c r="H430" s="21"/>
      <c r="I430" s="21"/>
      <c r="J430" s="52"/>
      <c r="K430" s="21"/>
      <c r="L430" s="21" t="s">
        <v>1229</v>
      </c>
      <c r="M430" s="25">
        <f>DATE(YEAR(OneWeekMtgRatesDataTable75[[#This Row],[asOf]]),MONTH(OneWeekMtgRatesDataTable75[[#This Row],[asOf]]),DAY(OneWeekMtgRatesDataTable75[[#This Row],[asOf]]))</f>
        <v>41701</v>
      </c>
      <c r="N430" s="21">
        <v>4.28</v>
      </c>
      <c r="O430" s="21">
        <v>0.7</v>
      </c>
      <c r="P430" s="21">
        <v>4.2050000000000001</v>
      </c>
    </row>
    <row r="431" spans="8:16">
      <c r="H431" s="21"/>
      <c r="I431" s="21"/>
      <c r="J431" s="52"/>
      <c r="K431" s="21"/>
      <c r="L431" s="21" t="s">
        <v>1228</v>
      </c>
      <c r="M431" s="25">
        <f>DATE(YEAR(OneWeekMtgRatesDataTable75[[#This Row],[asOf]]),MONTH(OneWeekMtgRatesDataTable75[[#This Row],[asOf]]),DAY(OneWeekMtgRatesDataTable75[[#This Row],[asOf]]))</f>
        <v>41698</v>
      </c>
      <c r="N431" s="21">
        <v>4.28</v>
      </c>
      <c r="O431" s="21">
        <v>0.7</v>
      </c>
      <c r="P431" s="21">
        <v>4.2050000000000001</v>
      </c>
    </row>
    <row r="432" spans="8:16">
      <c r="H432" s="21"/>
      <c r="I432" s="21"/>
      <c r="J432" s="52"/>
      <c r="K432" s="21"/>
      <c r="L432" s="21" t="s">
        <v>1227</v>
      </c>
      <c r="M432" s="25">
        <f>DATE(YEAR(OneWeekMtgRatesDataTable75[[#This Row],[asOf]]),MONTH(OneWeekMtgRatesDataTable75[[#This Row],[asOf]]),DAY(OneWeekMtgRatesDataTable75[[#This Row],[asOf]]))</f>
        <v>41697</v>
      </c>
      <c r="N432" s="21">
        <v>4.28</v>
      </c>
      <c r="O432" s="21">
        <v>0.7</v>
      </c>
      <c r="P432" s="21">
        <v>4.2050000000000001</v>
      </c>
    </row>
    <row r="433" spans="8:16">
      <c r="H433" s="21"/>
      <c r="I433" s="21"/>
      <c r="J433" s="52"/>
      <c r="K433" s="21"/>
      <c r="L433" s="21" t="s">
        <v>1226</v>
      </c>
      <c r="M433" s="25">
        <f>DATE(YEAR(OneWeekMtgRatesDataTable75[[#This Row],[asOf]]),MONTH(OneWeekMtgRatesDataTable75[[#This Row],[asOf]]),DAY(OneWeekMtgRatesDataTable75[[#This Row],[asOf]]))</f>
        <v>41696</v>
      </c>
      <c r="N433" s="21">
        <v>4.37</v>
      </c>
      <c r="O433" s="21">
        <v>0.7</v>
      </c>
      <c r="P433" s="21">
        <v>4.2949999999999999</v>
      </c>
    </row>
    <row r="434" spans="8:16">
      <c r="H434" s="21"/>
      <c r="I434" s="21"/>
      <c r="J434" s="52"/>
      <c r="K434" s="21"/>
      <c r="L434" s="21" t="s">
        <v>1225</v>
      </c>
      <c r="M434" s="25">
        <f>DATE(YEAR(OneWeekMtgRatesDataTable75[[#This Row],[asOf]]),MONTH(OneWeekMtgRatesDataTable75[[#This Row],[asOf]]),DAY(OneWeekMtgRatesDataTable75[[#This Row],[asOf]]))</f>
        <v>41695</v>
      </c>
      <c r="N434" s="21">
        <v>4.37</v>
      </c>
      <c r="O434" s="21">
        <v>0.7</v>
      </c>
      <c r="P434" s="21">
        <v>4.2949999999999999</v>
      </c>
    </row>
    <row r="435" spans="8:16">
      <c r="H435" s="21"/>
      <c r="I435" s="21"/>
      <c r="J435" s="52"/>
      <c r="K435" s="21"/>
      <c r="L435" s="21" t="s">
        <v>1224</v>
      </c>
      <c r="M435" s="25">
        <f>DATE(YEAR(OneWeekMtgRatesDataTable75[[#This Row],[asOf]]),MONTH(OneWeekMtgRatesDataTable75[[#This Row],[asOf]]),DAY(OneWeekMtgRatesDataTable75[[#This Row],[asOf]]))</f>
        <v>41694</v>
      </c>
      <c r="N435" s="21">
        <v>4.37</v>
      </c>
      <c r="O435" s="21">
        <v>0.7</v>
      </c>
      <c r="P435" s="21">
        <v>4.2949999999999999</v>
      </c>
    </row>
    <row r="436" spans="8:16">
      <c r="H436" s="21"/>
      <c r="I436" s="21"/>
      <c r="J436" s="52"/>
      <c r="K436" s="21"/>
      <c r="L436" s="21" t="s">
        <v>1223</v>
      </c>
      <c r="M436" s="25">
        <f>DATE(YEAR(OneWeekMtgRatesDataTable75[[#This Row],[asOf]]),MONTH(OneWeekMtgRatesDataTable75[[#This Row],[asOf]]),DAY(OneWeekMtgRatesDataTable75[[#This Row],[asOf]]))</f>
        <v>41691</v>
      </c>
      <c r="N436" s="21">
        <v>4.37</v>
      </c>
      <c r="O436" s="21">
        <v>0.7</v>
      </c>
      <c r="P436" s="21">
        <v>4.2949999999999999</v>
      </c>
    </row>
    <row r="437" spans="8:16">
      <c r="H437" s="21"/>
      <c r="I437" s="21"/>
      <c r="J437" s="52"/>
      <c r="K437" s="21"/>
      <c r="L437" s="21" t="s">
        <v>1222</v>
      </c>
      <c r="M437" s="25">
        <f>DATE(YEAR(OneWeekMtgRatesDataTable75[[#This Row],[asOf]]),MONTH(OneWeekMtgRatesDataTable75[[#This Row],[asOf]]),DAY(OneWeekMtgRatesDataTable75[[#This Row],[asOf]]))</f>
        <v>41690</v>
      </c>
      <c r="N437" s="21">
        <v>4.37</v>
      </c>
      <c r="O437" s="21">
        <v>0.7</v>
      </c>
      <c r="P437" s="21">
        <v>4.2949999999999999</v>
      </c>
    </row>
    <row r="438" spans="8:16">
      <c r="H438" s="21"/>
      <c r="I438" s="21"/>
      <c r="J438" s="52"/>
      <c r="K438" s="21"/>
      <c r="L438" s="21" t="s">
        <v>1221</v>
      </c>
      <c r="M438" s="25">
        <f>DATE(YEAR(OneWeekMtgRatesDataTable75[[#This Row],[asOf]]),MONTH(OneWeekMtgRatesDataTable75[[#This Row],[asOf]]),DAY(OneWeekMtgRatesDataTable75[[#This Row],[asOf]]))</f>
        <v>41689</v>
      </c>
      <c r="N438" s="21">
        <v>4.33</v>
      </c>
      <c r="O438" s="21">
        <v>0.7</v>
      </c>
      <c r="P438" s="21">
        <v>4.2549999999999999</v>
      </c>
    </row>
    <row r="439" spans="8:16">
      <c r="H439" s="21"/>
      <c r="I439" s="21"/>
      <c r="J439" s="52"/>
      <c r="K439" s="21"/>
      <c r="L439" s="21" t="s">
        <v>1220</v>
      </c>
      <c r="M439" s="25">
        <f>DATE(YEAR(OneWeekMtgRatesDataTable75[[#This Row],[asOf]]),MONTH(OneWeekMtgRatesDataTable75[[#This Row],[asOf]]),DAY(OneWeekMtgRatesDataTable75[[#This Row],[asOf]]))</f>
        <v>41688</v>
      </c>
      <c r="N439" s="21">
        <v>4.33</v>
      </c>
      <c r="O439" s="21">
        <v>0.7</v>
      </c>
      <c r="P439" s="21">
        <v>4.2549999999999999</v>
      </c>
    </row>
    <row r="440" spans="8:16">
      <c r="H440" s="21"/>
      <c r="I440" s="21"/>
      <c r="J440" s="52"/>
      <c r="K440" s="21"/>
      <c r="L440" s="21" t="s">
        <v>1219</v>
      </c>
      <c r="M440" s="25">
        <f>DATE(YEAR(OneWeekMtgRatesDataTable75[[#This Row],[asOf]]),MONTH(OneWeekMtgRatesDataTable75[[#This Row],[asOf]]),DAY(OneWeekMtgRatesDataTable75[[#This Row],[asOf]]))</f>
        <v>41684</v>
      </c>
      <c r="N440" s="21">
        <v>4.33</v>
      </c>
      <c r="O440" s="21">
        <v>0.7</v>
      </c>
      <c r="P440" s="21">
        <v>4.2549999999999999</v>
      </c>
    </row>
    <row r="441" spans="8:16">
      <c r="H441" s="21"/>
      <c r="I441" s="21"/>
      <c r="J441" s="52"/>
      <c r="K441" s="21"/>
      <c r="L441" s="21" t="s">
        <v>1218</v>
      </c>
      <c r="M441" s="25">
        <f>DATE(YEAR(OneWeekMtgRatesDataTable75[[#This Row],[asOf]]),MONTH(OneWeekMtgRatesDataTable75[[#This Row],[asOf]]),DAY(OneWeekMtgRatesDataTable75[[#This Row],[asOf]]))</f>
        <v>41683</v>
      </c>
      <c r="N441" s="21">
        <v>4.33</v>
      </c>
      <c r="O441" s="21">
        <v>0.7</v>
      </c>
      <c r="P441" s="21">
        <v>4.2549999999999999</v>
      </c>
    </row>
    <row r="442" spans="8:16">
      <c r="H442" s="21"/>
      <c r="I442" s="21"/>
      <c r="J442" s="52"/>
      <c r="K442" s="21"/>
      <c r="L442" s="21" t="s">
        <v>1217</v>
      </c>
      <c r="M442" s="25">
        <f>DATE(YEAR(OneWeekMtgRatesDataTable75[[#This Row],[asOf]]),MONTH(OneWeekMtgRatesDataTable75[[#This Row],[asOf]]),DAY(OneWeekMtgRatesDataTable75[[#This Row],[asOf]]))</f>
        <v>41682</v>
      </c>
      <c r="N442" s="21">
        <v>4.28</v>
      </c>
      <c r="O442" s="21">
        <v>0.7</v>
      </c>
      <c r="P442" s="21">
        <v>4.2050000000000001</v>
      </c>
    </row>
    <row r="443" spans="8:16">
      <c r="H443" s="21"/>
      <c r="I443" s="21"/>
      <c r="J443" s="52"/>
      <c r="K443" s="21"/>
      <c r="L443" s="21" t="s">
        <v>1216</v>
      </c>
      <c r="M443" s="25">
        <f>DATE(YEAR(OneWeekMtgRatesDataTable75[[#This Row],[asOf]]),MONTH(OneWeekMtgRatesDataTable75[[#This Row],[asOf]]),DAY(OneWeekMtgRatesDataTable75[[#This Row],[asOf]]))</f>
        <v>41681</v>
      </c>
      <c r="N443" s="21">
        <v>4.28</v>
      </c>
      <c r="O443" s="21">
        <v>0.7</v>
      </c>
      <c r="P443" s="21">
        <v>4.2050000000000001</v>
      </c>
    </row>
    <row r="444" spans="8:16">
      <c r="H444" s="21"/>
      <c r="I444" s="21"/>
      <c r="J444" s="52"/>
      <c r="K444" s="21"/>
      <c r="L444" s="21" t="s">
        <v>1215</v>
      </c>
      <c r="M444" s="25">
        <f>DATE(YEAR(OneWeekMtgRatesDataTable75[[#This Row],[asOf]]),MONTH(OneWeekMtgRatesDataTable75[[#This Row],[asOf]]),DAY(OneWeekMtgRatesDataTable75[[#This Row],[asOf]]))</f>
        <v>41680</v>
      </c>
      <c r="N444" s="21">
        <v>4.28</v>
      </c>
      <c r="O444" s="21">
        <v>0.7</v>
      </c>
      <c r="P444" s="21">
        <v>4.2050000000000001</v>
      </c>
    </row>
    <row r="445" spans="8:16">
      <c r="H445" s="21"/>
      <c r="I445" s="21"/>
      <c r="J445" s="52"/>
      <c r="K445" s="21"/>
      <c r="L445" s="21" t="s">
        <v>1214</v>
      </c>
      <c r="M445" s="25">
        <f>DATE(YEAR(OneWeekMtgRatesDataTable75[[#This Row],[asOf]]),MONTH(OneWeekMtgRatesDataTable75[[#This Row],[asOf]]),DAY(OneWeekMtgRatesDataTable75[[#This Row],[asOf]]))</f>
        <v>41677</v>
      </c>
      <c r="N445" s="21">
        <v>4.28</v>
      </c>
      <c r="O445" s="21">
        <v>0.7</v>
      </c>
      <c r="P445" s="21">
        <v>4.2050000000000001</v>
      </c>
    </row>
    <row r="446" spans="8:16">
      <c r="H446" s="21"/>
      <c r="I446" s="21"/>
      <c r="J446" s="52"/>
      <c r="K446" s="21"/>
      <c r="L446" s="21" t="s">
        <v>1213</v>
      </c>
      <c r="M446" s="25">
        <f>DATE(YEAR(OneWeekMtgRatesDataTable75[[#This Row],[asOf]]),MONTH(OneWeekMtgRatesDataTable75[[#This Row],[asOf]]),DAY(OneWeekMtgRatesDataTable75[[#This Row],[asOf]]))</f>
        <v>41676</v>
      </c>
      <c r="N446" s="21">
        <v>4.28</v>
      </c>
      <c r="O446" s="21">
        <v>0.7</v>
      </c>
      <c r="P446" s="21">
        <v>4.2050000000000001</v>
      </c>
    </row>
    <row r="447" spans="8:16">
      <c r="H447" s="21"/>
      <c r="I447" s="21"/>
      <c r="J447" s="52"/>
      <c r="K447" s="21"/>
      <c r="L447" s="21" t="s">
        <v>1212</v>
      </c>
      <c r="M447" s="25">
        <f>DATE(YEAR(OneWeekMtgRatesDataTable75[[#This Row],[asOf]]),MONTH(OneWeekMtgRatesDataTable75[[#This Row],[asOf]]),DAY(OneWeekMtgRatesDataTable75[[#This Row],[asOf]]))</f>
        <v>41675</v>
      </c>
      <c r="N447" s="21">
        <v>4.2300000000000004</v>
      </c>
      <c r="O447" s="21">
        <v>0.7</v>
      </c>
      <c r="P447" s="21">
        <v>4.1550000000000002</v>
      </c>
    </row>
    <row r="448" spans="8:16">
      <c r="H448" s="21"/>
      <c r="I448" s="21"/>
      <c r="J448" s="52"/>
      <c r="K448" s="21"/>
      <c r="L448" s="21" t="s">
        <v>1211</v>
      </c>
      <c r="M448" s="25">
        <f>DATE(YEAR(OneWeekMtgRatesDataTable75[[#This Row],[asOf]]),MONTH(OneWeekMtgRatesDataTable75[[#This Row],[asOf]]),DAY(OneWeekMtgRatesDataTable75[[#This Row],[asOf]]))</f>
        <v>41674</v>
      </c>
      <c r="N448" s="21">
        <v>4.2300000000000004</v>
      </c>
      <c r="O448" s="21">
        <v>0.7</v>
      </c>
      <c r="P448" s="21">
        <v>4.1550000000000002</v>
      </c>
    </row>
    <row r="449" spans="8:16">
      <c r="H449" s="21"/>
      <c r="I449" s="21"/>
      <c r="J449" s="52"/>
      <c r="K449" s="21"/>
      <c r="L449" s="21" t="s">
        <v>1210</v>
      </c>
      <c r="M449" s="25">
        <f>DATE(YEAR(OneWeekMtgRatesDataTable75[[#This Row],[asOf]]),MONTH(OneWeekMtgRatesDataTable75[[#This Row],[asOf]]),DAY(OneWeekMtgRatesDataTable75[[#This Row],[asOf]]))</f>
        <v>41673</v>
      </c>
      <c r="N449" s="21">
        <v>4.2300000000000004</v>
      </c>
      <c r="O449" s="21">
        <v>0.7</v>
      </c>
      <c r="P449" s="21">
        <v>4.1550000000000002</v>
      </c>
    </row>
    <row r="450" spans="8:16">
      <c r="H450" s="21"/>
      <c r="I450" s="21"/>
      <c r="J450" s="52"/>
      <c r="K450" s="21"/>
      <c r="L450" s="21" t="s">
        <v>1209</v>
      </c>
      <c r="M450" s="25">
        <f>DATE(YEAR(OneWeekMtgRatesDataTable75[[#This Row],[asOf]]),MONTH(OneWeekMtgRatesDataTable75[[#This Row],[asOf]]),DAY(OneWeekMtgRatesDataTable75[[#This Row],[asOf]]))</f>
        <v>41670</v>
      </c>
      <c r="N450" s="21">
        <v>4.2300000000000004</v>
      </c>
      <c r="O450" s="21">
        <v>0.7</v>
      </c>
      <c r="P450" s="21">
        <v>4.1550000000000002</v>
      </c>
    </row>
    <row r="451" spans="8:16">
      <c r="H451" s="21"/>
      <c r="I451" s="21"/>
      <c r="J451" s="52"/>
      <c r="K451" s="21"/>
      <c r="L451" s="21" t="s">
        <v>1208</v>
      </c>
      <c r="M451" s="25">
        <f>DATE(YEAR(OneWeekMtgRatesDataTable75[[#This Row],[asOf]]),MONTH(OneWeekMtgRatesDataTable75[[#This Row],[asOf]]),DAY(OneWeekMtgRatesDataTable75[[#This Row],[asOf]]))</f>
        <v>41669</v>
      </c>
      <c r="N451" s="21">
        <v>4.2300000000000004</v>
      </c>
      <c r="O451" s="21">
        <v>0.7</v>
      </c>
      <c r="P451" s="21">
        <v>4.1550000000000002</v>
      </c>
    </row>
    <row r="452" spans="8:16">
      <c r="H452" s="21"/>
      <c r="I452" s="21"/>
      <c r="J452" s="52"/>
      <c r="K452" s="21"/>
      <c r="L452" s="21" t="s">
        <v>1207</v>
      </c>
      <c r="M452" s="25">
        <f>DATE(YEAR(OneWeekMtgRatesDataTable75[[#This Row],[asOf]]),MONTH(OneWeekMtgRatesDataTable75[[#This Row],[asOf]]),DAY(OneWeekMtgRatesDataTable75[[#This Row],[asOf]]))</f>
        <v>41668</v>
      </c>
      <c r="N452" s="21">
        <v>4.32</v>
      </c>
      <c r="O452" s="21">
        <v>0.7</v>
      </c>
      <c r="P452" s="21">
        <v>4.2450000000000001</v>
      </c>
    </row>
    <row r="453" spans="8:16">
      <c r="H453" s="21"/>
      <c r="I453" s="21"/>
      <c r="J453" s="52"/>
      <c r="K453" s="21"/>
      <c r="L453" s="21" t="s">
        <v>1206</v>
      </c>
      <c r="M453" s="25">
        <f>DATE(YEAR(OneWeekMtgRatesDataTable75[[#This Row],[asOf]]),MONTH(OneWeekMtgRatesDataTable75[[#This Row],[asOf]]),DAY(OneWeekMtgRatesDataTable75[[#This Row],[asOf]]))</f>
        <v>41667</v>
      </c>
      <c r="N453" s="21">
        <v>4.32</v>
      </c>
      <c r="O453" s="21">
        <v>0.7</v>
      </c>
      <c r="P453" s="21">
        <v>4.2450000000000001</v>
      </c>
    </row>
    <row r="454" spans="8:16">
      <c r="H454" s="21"/>
      <c r="I454" s="21"/>
      <c r="J454" s="52"/>
      <c r="K454" s="21"/>
      <c r="L454" s="21" t="s">
        <v>1205</v>
      </c>
      <c r="M454" s="25">
        <f>DATE(YEAR(OneWeekMtgRatesDataTable75[[#This Row],[asOf]]),MONTH(OneWeekMtgRatesDataTable75[[#This Row],[asOf]]),DAY(OneWeekMtgRatesDataTable75[[#This Row],[asOf]]))</f>
        <v>41666</v>
      </c>
      <c r="N454" s="21">
        <v>4.32</v>
      </c>
      <c r="O454" s="21">
        <v>0.7</v>
      </c>
      <c r="P454" s="21">
        <v>4.2450000000000001</v>
      </c>
    </row>
    <row r="455" spans="8:16">
      <c r="H455" s="21"/>
      <c r="I455" s="21"/>
      <c r="J455" s="52"/>
      <c r="K455" s="21"/>
      <c r="L455" s="21" t="s">
        <v>1204</v>
      </c>
      <c r="M455" s="25">
        <f>DATE(YEAR(OneWeekMtgRatesDataTable75[[#This Row],[asOf]]),MONTH(OneWeekMtgRatesDataTable75[[#This Row],[asOf]]),DAY(OneWeekMtgRatesDataTable75[[#This Row],[asOf]]))</f>
        <v>41663</v>
      </c>
      <c r="N455" s="21">
        <v>4.32</v>
      </c>
      <c r="O455" s="21">
        <v>0.7</v>
      </c>
      <c r="P455" s="21">
        <v>4.2450000000000001</v>
      </c>
    </row>
    <row r="456" spans="8:16">
      <c r="H456" s="21"/>
      <c r="I456" s="21"/>
      <c r="J456" s="52"/>
      <c r="K456" s="21"/>
      <c r="L456" s="21" t="s">
        <v>1203</v>
      </c>
      <c r="M456" s="25">
        <f>DATE(YEAR(OneWeekMtgRatesDataTable75[[#This Row],[asOf]]),MONTH(OneWeekMtgRatesDataTable75[[#This Row],[asOf]]),DAY(OneWeekMtgRatesDataTable75[[#This Row],[asOf]]))</f>
        <v>41662</v>
      </c>
      <c r="N456" s="21">
        <v>4.32</v>
      </c>
      <c r="O456" s="21">
        <v>0.7</v>
      </c>
      <c r="P456" s="21">
        <v>4.2450000000000001</v>
      </c>
    </row>
    <row r="457" spans="8:16">
      <c r="H457" s="21"/>
      <c r="I457" s="21"/>
      <c r="J457" s="52"/>
      <c r="K457" s="21"/>
      <c r="L457" s="21" t="s">
        <v>1202</v>
      </c>
      <c r="M457" s="25">
        <f>DATE(YEAR(OneWeekMtgRatesDataTable75[[#This Row],[asOf]]),MONTH(OneWeekMtgRatesDataTable75[[#This Row],[asOf]]),DAY(OneWeekMtgRatesDataTable75[[#This Row],[asOf]]))</f>
        <v>41661</v>
      </c>
      <c r="N457" s="21">
        <v>4.3899999999999997</v>
      </c>
      <c r="O457" s="21">
        <v>0.7</v>
      </c>
      <c r="P457" s="21">
        <v>4.3149999999999995</v>
      </c>
    </row>
    <row r="458" spans="8:16">
      <c r="H458" s="21"/>
      <c r="I458" s="21"/>
      <c r="J458" s="52"/>
      <c r="K458" s="21"/>
      <c r="L458" s="21" t="s">
        <v>1201</v>
      </c>
      <c r="M458" s="25">
        <f>DATE(YEAR(OneWeekMtgRatesDataTable75[[#This Row],[asOf]]),MONTH(OneWeekMtgRatesDataTable75[[#This Row],[asOf]]),DAY(OneWeekMtgRatesDataTable75[[#This Row],[asOf]]))</f>
        <v>41660</v>
      </c>
      <c r="N458" s="21">
        <v>4.3899999999999997</v>
      </c>
      <c r="O458" s="21">
        <v>0.7</v>
      </c>
      <c r="P458" s="21">
        <v>4.3149999999999995</v>
      </c>
    </row>
    <row r="459" spans="8:16">
      <c r="H459" s="21"/>
      <c r="I459" s="21"/>
      <c r="J459" s="52"/>
      <c r="K459" s="21"/>
      <c r="L459" s="21" t="s">
        <v>1200</v>
      </c>
      <c r="M459" s="25">
        <f>DATE(YEAR(OneWeekMtgRatesDataTable75[[#This Row],[asOf]]),MONTH(OneWeekMtgRatesDataTable75[[#This Row],[asOf]]),DAY(OneWeekMtgRatesDataTable75[[#This Row],[asOf]]))</f>
        <v>41656</v>
      </c>
      <c r="N459" s="21">
        <v>4.3899999999999997</v>
      </c>
      <c r="O459" s="21">
        <v>0.7</v>
      </c>
      <c r="P459" s="21">
        <v>4.3149999999999995</v>
      </c>
    </row>
    <row r="460" spans="8:16">
      <c r="H460" s="21"/>
      <c r="I460" s="21"/>
      <c r="J460" s="52"/>
      <c r="K460" s="21"/>
      <c r="L460" s="21" t="s">
        <v>1199</v>
      </c>
      <c r="M460" s="25">
        <f>DATE(YEAR(OneWeekMtgRatesDataTable75[[#This Row],[asOf]]),MONTH(OneWeekMtgRatesDataTable75[[#This Row],[asOf]]),DAY(OneWeekMtgRatesDataTable75[[#This Row],[asOf]]))</f>
        <v>41655</v>
      </c>
      <c r="N460" s="21">
        <v>4.3899999999999997</v>
      </c>
      <c r="O460" s="21">
        <v>0.7</v>
      </c>
      <c r="P460" s="21">
        <v>4.3149999999999995</v>
      </c>
    </row>
    <row r="461" spans="8:16">
      <c r="H461" s="21"/>
      <c r="I461" s="21"/>
      <c r="J461" s="52"/>
      <c r="K461" s="21"/>
      <c r="L461" s="21" t="s">
        <v>1198</v>
      </c>
      <c r="M461" s="25">
        <f>DATE(YEAR(OneWeekMtgRatesDataTable75[[#This Row],[asOf]]),MONTH(OneWeekMtgRatesDataTable75[[#This Row],[asOf]]),DAY(OneWeekMtgRatesDataTable75[[#This Row],[asOf]]))</f>
        <v>41654</v>
      </c>
      <c r="N461" s="21">
        <v>4.41</v>
      </c>
      <c r="O461" s="21">
        <v>0.7</v>
      </c>
      <c r="P461" s="21">
        <v>4.335</v>
      </c>
    </row>
    <row r="462" spans="8:16">
      <c r="H462" s="21"/>
      <c r="I462" s="21"/>
      <c r="J462" s="52"/>
      <c r="K462" s="21"/>
      <c r="L462" s="21" t="s">
        <v>1197</v>
      </c>
      <c r="M462" s="25">
        <f>DATE(YEAR(OneWeekMtgRatesDataTable75[[#This Row],[asOf]]),MONTH(OneWeekMtgRatesDataTable75[[#This Row],[asOf]]),DAY(OneWeekMtgRatesDataTable75[[#This Row],[asOf]]))</f>
        <v>41653</v>
      </c>
      <c r="N462" s="21">
        <v>4.41</v>
      </c>
      <c r="O462" s="21">
        <v>0.7</v>
      </c>
      <c r="P462" s="21">
        <v>4.335</v>
      </c>
    </row>
    <row r="463" spans="8:16">
      <c r="H463" s="21"/>
      <c r="I463" s="21"/>
      <c r="J463" s="52"/>
      <c r="K463" s="21"/>
      <c r="L463" s="21" t="s">
        <v>1196</v>
      </c>
      <c r="M463" s="25">
        <f>DATE(YEAR(OneWeekMtgRatesDataTable75[[#This Row],[asOf]]),MONTH(OneWeekMtgRatesDataTable75[[#This Row],[asOf]]),DAY(OneWeekMtgRatesDataTable75[[#This Row],[asOf]]))</f>
        <v>41652</v>
      </c>
      <c r="N463" s="21">
        <v>4.41</v>
      </c>
      <c r="O463" s="21">
        <v>0.7</v>
      </c>
      <c r="P463" s="21">
        <v>4.335</v>
      </c>
    </row>
    <row r="464" spans="8:16">
      <c r="H464" s="21"/>
      <c r="I464" s="21"/>
      <c r="J464" s="52"/>
      <c r="K464" s="21"/>
      <c r="L464" s="21" t="s">
        <v>1195</v>
      </c>
      <c r="M464" s="25">
        <f>DATE(YEAR(OneWeekMtgRatesDataTable75[[#This Row],[asOf]]),MONTH(OneWeekMtgRatesDataTable75[[#This Row],[asOf]]),DAY(OneWeekMtgRatesDataTable75[[#This Row],[asOf]]))</f>
        <v>41649</v>
      </c>
      <c r="N464" s="21">
        <v>4.41</v>
      </c>
      <c r="O464" s="21">
        <v>0.7</v>
      </c>
      <c r="P464" s="21">
        <v>4.335</v>
      </c>
    </row>
    <row r="465" spans="8:16">
      <c r="H465" s="21"/>
      <c r="I465" s="21"/>
      <c r="J465" s="52"/>
      <c r="K465" s="21"/>
      <c r="L465" s="21" t="s">
        <v>1194</v>
      </c>
      <c r="M465" s="25">
        <f>DATE(YEAR(OneWeekMtgRatesDataTable75[[#This Row],[asOf]]),MONTH(OneWeekMtgRatesDataTable75[[#This Row],[asOf]]),DAY(OneWeekMtgRatesDataTable75[[#This Row],[asOf]]))</f>
        <v>41648</v>
      </c>
      <c r="N465" s="21">
        <v>4.41</v>
      </c>
      <c r="O465" s="21">
        <v>0.7</v>
      </c>
      <c r="P465" s="21">
        <v>4.335</v>
      </c>
    </row>
    <row r="466" spans="8:16">
      <c r="H466" s="21"/>
      <c r="I466" s="21"/>
      <c r="J466" s="52"/>
      <c r="K466" s="21"/>
      <c r="L466" s="21" t="s">
        <v>1193</v>
      </c>
      <c r="M466" s="25">
        <f>DATE(YEAR(OneWeekMtgRatesDataTable75[[#This Row],[asOf]]),MONTH(OneWeekMtgRatesDataTable75[[#This Row],[asOf]]),DAY(OneWeekMtgRatesDataTable75[[#This Row],[asOf]]))</f>
        <v>41647</v>
      </c>
      <c r="N466" s="21">
        <v>4.51</v>
      </c>
      <c r="O466" s="21">
        <v>0.7</v>
      </c>
      <c r="P466" s="21">
        <v>4.4349999999999996</v>
      </c>
    </row>
    <row r="467" spans="8:16">
      <c r="H467" s="21"/>
      <c r="I467" s="21"/>
      <c r="J467" s="52"/>
      <c r="K467" s="21"/>
      <c r="L467" s="21" t="s">
        <v>1192</v>
      </c>
      <c r="M467" s="25">
        <f>DATE(YEAR(OneWeekMtgRatesDataTable75[[#This Row],[asOf]]),MONTH(OneWeekMtgRatesDataTable75[[#This Row],[asOf]]),DAY(OneWeekMtgRatesDataTable75[[#This Row],[asOf]]))</f>
        <v>41646</v>
      </c>
      <c r="N467" s="21">
        <v>4.51</v>
      </c>
      <c r="O467" s="21">
        <v>0.7</v>
      </c>
      <c r="P467" s="21">
        <v>4.4349999999999996</v>
      </c>
    </row>
    <row r="468" spans="8:16">
      <c r="H468" s="21"/>
      <c r="I468" s="21"/>
      <c r="J468" s="52"/>
      <c r="K468" s="21"/>
      <c r="L468" s="21" t="s">
        <v>1191</v>
      </c>
      <c r="M468" s="25">
        <f>DATE(YEAR(OneWeekMtgRatesDataTable75[[#This Row],[asOf]]),MONTH(OneWeekMtgRatesDataTable75[[#This Row],[asOf]]),DAY(OneWeekMtgRatesDataTable75[[#This Row],[asOf]]))</f>
        <v>41645</v>
      </c>
      <c r="N468" s="21">
        <v>4.51</v>
      </c>
      <c r="O468" s="21">
        <v>0.7</v>
      </c>
      <c r="P468" s="21">
        <v>4.4349999999999996</v>
      </c>
    </row>
    <row r="469" spans="8:16">
      <c r="H469" s="21"/>
      <c r="I469" s="21"/>
      <c r="J469" s="52"/>
      <c r="K469" s="21"/>
      <c r="L469" s="21" t="s">
        <v>1190</v>
      </c>
      <c r="M469" s="25">
        <f>DATE(YEAR(OneWeekMtgRatesDataTable75[[#This Row],[asOf]]),MONTH(OneWeekMtgRatesDataTable75[[#This Row],[asOf]]),DAY(OneWeekMtgRatesDataTable75[[#This Row],[asOf]]))</f>
        <v>41642</v>
      </c>
      <c r="N469" s="21">
        <v>4.51</v>
      </c>
      <c r="O469" s="21">
        <v>0.7</v>
      </c>
      <c r="P469" s="21">
        <v>4.4349999999999996</v>
      </c>
    </row>
    <row r="470" spans="8:16">
      <c r="H470" s="21"/>
      <c r="I470" s="21"/>
      <c r="J470" s="52"/>
      <c r="K470" s="21"/>
      <c r="L470" s="21" t="s">
        <v>1189</v>
      </c>
      <c r="M470" s="25">
        <f>DATE(YEAR(OneWeekMtgRatesDataTable75[[#This Row],[asOf]]),MONTH(OneWeekMtgRatesDataTable75[[#This Row],[asOf]]),DAY(OneWeekMtgRatesDataTable75[[#This Row],[asOf]]))</f>
        <v>41641</v>
      </c>
      <c r="N470" s="21">
        <v>4.51</v>
      </c>
      <c r="O470" s="21">
        <v>0.7</v>
      </c>
      <c r="P470" s="21">
        <v>4.4349999999999996</v>
      </c>
    </row>
    <row r="471" spans="8:16">
      <c r="H471" s="21"/>
      <c r="I471" s="21"/>
      <c r="J471" s="52"/>
      <c r="K471" s="21"/>
      <c r="L471" s="21" t="s">
        <v>1188</v>
      </c>
      <c r="M471" s="25">
        <f>DATE(YEAR(OneWeekMtgRatesDataTable75[[#This Row],[asOf]]),MONTH(OneWeekMtgRatesDataTable75[[#This Row],[asOf]]),DAY(OneWeekMtgRatesDataTable75[[#This Row],[asOf]]))</f>
        <v>41639</v>
      </c>
      <c r="N471" s="21">
        <v>4.53</v>
      </c>
      <c r="O471" s="21">
        <v>0.8</v>
      </c>
      <c r="P471" s="21">
        <v>4.4800000000000004</v>
      </c>
    </row>
    <row r="472" spans="8:16">
      <c r="H472" s="21"/>
      <c r="I472" s="21"/>
      <c r="J472" s="52"/>
      <c r="K472" s="21"/>
      <c r="L472" s="21" t="s">
        <v>1187</v>
      </c>
      <c r="M472" s="25">
        <f>DATE(YEAR(OneWeekMtgRatesDataTable75[[#This Row],[asOf]]),MONTH(OneWeekMtgRatesDataTable75[[#This Row],[asOf]]),DAY(OneWeekMtgRatesDataTable75[[#This Row],[asOf]]))</f>
        <v>41638</v>
      </c>
      <c r="N472" s="21">
        <v>4.53</v>
      </c>
      <c r="O472" s="21">
        <v>0.8</v>
      </c>
      <c r="P472" s="21">
        <v>4.4800000000000004</v>
      </c>
    </row>
    <row r="473" spans="8:16">
      <c r="H473" s="21"/>
      <c r="I473" s="21"/>
      <c r="J473" s="52"/>
      <c r="K473" s="21"/>
      <c r="L473" s="21" t="s">
        <v>1186</v>
      </c>
      <c r="M473" s="25">
        <f>DATE(YEAR(OneWeekMtgRatesDataTable75[[#This Row],[asOf]]),MONTH(OneWeekMtgRatesDataTable75[[#This Row],[asOf]]),DAY(OneWeekMtgRatesDataTable75[[#This Row],[asOf]]))</f>
        <v>41635</v>
      </c>
      <c r="N473" s="21">
        <v>4.53</v>
      </c>
      <c r="O473" s="21">
        <v>0.8</v>
      </c>
      <c r="P473" s="21">
        <v>4.4800000000000004</v>
      </c>
    </row>
    <row r="474" spans="8:16">
      <c r="H474" s="21"/>
      <c r="I474" s="21"/>
      <c r="J474" s="52"/>
      <c r="K474" s="21"/>
      <c r="L474" s="21" t="s">
        <v>1185</v>
      </c>
      <c r="M474" s="25">
        <f>DATE(YEAR(OneWeekMtgRatesDataTable75[[#This Row],[asOf]]),MONTH(OneWeekMtgRatesDataTable75[[#This Row],[asOf]]),DAY(OneWeekMtgRatesDataTable75[[#This Row],[asOf]]))</f>
        <v>41634</v>
      </c>
      <c r="N474" s="21">
        <v>4.53</v>
      </c>
      <c r="O474" s="21">
        <v>0.8</v>
      </c>
      <c r="P474" s="21">
        <v>4.4800000000000004</v>
      </c>
    </row>
    <row r="475" spans="8:16">
      <c r="H475" s="21"/>
      <c r="I475" s="21"/>
      <c r="J475" s="52"/>
      <c r="K475" s="21"/>
      <c r="L475" s="21" t="s">
        <v>1184</v>
      </c>
      <c r="M475" s="25">
        <f>DATE(YEAR(OneWeekMtgRatesDataTable75[[#This Row],[asOf]]),MONTH(OneWeekMtgRatesDataTable75[[#This Row],[asOf]]),DAY(OneWeekMtgRatesDataTable75[[#This Row],[asOf]]))</f>
        <v>41632</v>
      </c>
      <c r="N475" s="21">
        <v>4.4800000000000004</v>
      </c>
      <c r="O475" s="21">
        <v>0.7</v>
      </c>
      <c r="P475" s="21">
        <v>4.4050000000000002</v>
      </c>
    </row>
    <row r="476" spans="8:16">
      <c r="H476" s="21"/>
      <c r="I476" s="21"/>
      <c r="J476" s="52"/>
      <c r="K476" s="21"/>
      <c r="L476" s="21" t="s">
        <v>1183</v>
      </c>
      <c r="M476" s="25">
        <f>DATE(YEAR(OneWeekMtgRatesDataTable75[[#This Row],[asOf]]),MONTH(OneWeekMtgRatesDataTable75[[#This Row],[asOf]]),DAY(OneWeekMtgRatesDataTable75[[#This Row],[asOf]]))</f>
        <v>41631</v>
      </c>
      <c r="N476" s="21">
        <v>4.4800000000000004</v>
      </c>
      <c r="O476" s="21">
        <v>0.7</v>
      </c>
      <c r="P476" s="21">
        <v>4.4050000000000002</v>
      </c>
    </row>
    <row r="477" spans="8:16">
      <c r="H477" s="21"/>
      <c r="I477" s="21"/>
      <c r="J477" s="52"/>
      <c r="K477" s="21"/>
      <c r="L477" s="21" t="s">
        <v>1182</v>
      </c>
      <c r="M477" s="25">
        <f>DATE(YEAR(OneWeekMtgRatesDataTable75[[#This Row],[asOf]]),MONTH(OneWeekMtgRatesDataTable75[[#This Row],[asOf]]),DAY(OneWeekMtgRatesDataTable75[[#This Row],[asOf]]))</f>
        <v>41628</v>
      </c>
      <c r="N477" s="21">
        <v>4.4800000000000004</v>
      </c>
      <c r="O477" s="21">
        <v>0.7</v>
      </c>
      <c r="P477" s="21">
        <v>4.4050000000000002</v>
      </c>
    </row>
    <row r="478" spans="8:16">
      <c r="H478" s="21"/>
      <c r="I478" s="21"/>
      <c r="J478" s="52"/>
      <c r="K478" s="21"/>
      <c r="L478" s="21" t="s">
        <v>1181</v>
      </c>
      <c r="M478" s="25">
        <f>DATE(YEAR(OneWeekMtgRatesDataTable75[[#This Row],[asOf]]),MONTH(OneWeekMtgRatesDataTable75[[#This Row],[asOf]]),DAY(OneWeekMtgRatesDataTable75[[#This Row],[asOf]]))</f>
        <v>41627</v>
      </c>
      <c r="N478" s="21">
        <v>4.4800000000000004</v>
      </c>
      <c r="O478" s="21">
        <v>0.7</v>
      </c>
      <c r="P478" s="21">
        <v>4.4050000000000002</v>
      </c>
    </row>
    <row r="479" spans="8:16">
      <c r="H479" s="21"/>
      <c r="I479" s="21"/>
      <c r="J479" s="52"/>
      <c r="K479" s="21"/>
      <c r="L479" s="21" t="s">
        <v>1180</v>
      </c>
      <c r="M479" s="25">
        <f>DATE(YEAR(OneWeekMtgRatesDataTable75[[#This Row],[asOf]]),MONTH(OneWeekMtgRatesDataTable75[[#This Row],[asOf]]),DAY(OneWeekMtgRatesDataTable75[[#This Row],[asOf]]))</f>
        <v>41626</v>
      </c>
      <c r="N479" s="21">
        <v>4.47</v>
      </c>
      <c r="O479" s="21">
        <v>0.7</v>
      </c>
      <c r="P479" s="21">
        <v>4.3949999999999996</v>
      </c>
    </row>
    <row r="480" spans="8:16">
      <c r="H480" s="21"/>
      <c r="I480" s="21"/>
      <c r="J480" s="52"/>
      <c r="K480" s="21"/>
      <c r="L480" s="21" t="s">
        <v>1179</v>
      </c>
      <c r="M480" s="25">
        <f>DATE(YEAR(OneWeekMtgRatesDataTable75[[#This Row],[asOf]]),MONTH(OneWeekMtgRatesDataTable75[[#This Row],[asOf]]),DAY(OneWeekMtgRatesDataTable75[[#This Row],[asOf]]))</f>
        <v>41625</v>
      </c>
      <c r="N480" s="21">
        <v>4.47</v>
      </c>
      <c r="O480" s="21">
        <v>0.7</v>
      </c>
      <c r="P480" s="21">
        <v>4.3949999999999996</v>
      </c>
    </row>
    <row r="481" spans="8:16">
      <c r="H481" s="21"/>
      <c r="I481" s="21"/>
      <c r="J481" s="52"/>
      <c r="K481" s="21"/>
      <c r="L481" s="21" t="s">
        <v>1178</v>
      </c>
      <c r="M481" s="25">
        <f>DATE(YEAR(OneWeekMtgRatesDataTable75[[#This Row],[asOf]]),MONTH(OneWeekMtgRatesDataTable75[[#This Row],[asOf]]),DAY(OneWeekMtgRatesDataTable75[[#This Row],[asOf]]))</f>
        <v>41624</v>
      </c>
      <c r="N481" s="21">
        <v>4.47</v>
      </c>
      <c r="O481" s="21">
        <v>0.7</v>
      </c>
      <c r="P481" s="21">
        <v>4.3949999999999996</v>
      </c>
    </row>
    <row r="482" spans="8:16">
      <c r="H482" s="21"/>
      <c r="I482" s="21"/>
      <c r="J482" s="52"/>
      <c r="K482" s="21"/>
      <c r="L482" s="21" t="s">
        <v>1177</v>
      </c>
      <c r="M482" s="25">
        <f>DATE(YEAR(OneWeekMtgRatesDataTable75[[#This Row],[asOf]]),MONTH(OneWeekMtgRatesDataTable75[[#This Row],[asOf]]),DAY(OneWeekMtgRatesDataTable75[[#This Row],[asOf]]))</f>
        <v>41621</v>
      </c>
      <c r="N482" s="21">
        <v>4.47</v>
      </c>
      <c r="O482" s="21">
        <v>0.7</v>
      </c>
      <c r="P482" s="21">
        <v>4.3949999999999996</v>
      </c>
    </row>
    <row r="483" spans="8:16">
      <c r="H483" s="21"/>
      <c r="I483" s="21"/>
      <c r="J483" s="52"/>
      <c r="K483" s="21"/>
      <c r="L483" s="21" t="s">
        <v>1176</v>
      </c>
      <c r="M483" s="25">
        <f>DATE(YEAR(OneWeekMtgRatesDataTable75[[#This Row],[asOf]]),MONTH(OneWeekMtgRatesDataTable75[[#This Row],[asOf]]),DAY(OneWeekMtgRatesDataTable75[[#This Row],[asOf]]))</f>
        <v>41620</v>
      </c>
      <c r="N483" s="21">
        <v>4.47</v>
      </c>
      <c r="O483" s="21">
        <v>0.7</v>
      </c>
      <c r="P483" s="21">
        <v>4.3949999999999996</v>
      </c>
    </row>
    <row r="484" spans="8:16">
      <c r="H484" s="21"/>
      <c r="I484" s="21"/>
      <c r="J484" s="52"/>
      <c r="K484" s="21"/>
      <c r="L484" s="21" t="s">
        <v>1175</v>
      </c>
      <c r="M484" s="25">
        <f>DATE(YEAR(OneWeekMtgRatesDataTable75[[#This Row],[asOf]]),MONTH(OneWeekMtgRatesDataTable75[[#This Row],[asOf]]),DAY(OneWeekMtgRatesDataTable75[[#This Row],[asOf]]))</f>
        <v>41619</v>
      </c>
      <c r="N484" s="21">
        <v>4.42</v>
      </c>
      <c r="O484" s="21">
        <v>0.7</v>
      </c>
      <c r="P484" s="21">
        <v>4.3449999999999998</v>
      </c>
    </row>
    <row r="485" spans="8:16">
      <c r="H485" s="21"/>
      <c r="I485" s="21"/>
      <c r="J485" s="52"/>
      <c r="K485" s="21"/>
      <c r="L485" s="21" t="s">
        <v>1174</v>
      </c>
      <c r="M485" s="25">
        <f>DATE(YEAR(OneWeekMtgRatesDataTable75[[#This Row],[asOf]]),MONTH(OneWeekMtgRatesDataTable75[[#This Row],[asOf]]),DAY(OneWeekMtgRatesDataTable75[[#This Row],[asOf]]))</f>
        <v>41618</v>
      </c>
      <c r="N485" s="21">
        <v>4.42</v>
      </c>
      <c r="O485" s="21">
        <v>0.7</v>
      </c>
      <c r="P485" s="21">
        <v>4.3449999999999998</v>
      </c>
    </row>
    <row r="486" spans="8:16">
      <c r="H486" s="21"/>
      <c r="I486" s="21"/>
      <c r="J486" s="52"/>
      <c r="K486" s="21"/>
      <c r="L486" s="21" t="s">
        <v>1173</v>
      </c>
      <c r="M486" s="25">
        <f>DATE(YEAR(OneWeekMtgRatesDataTable75[[#This Row],[asOf]]),MONTH(OneWeekMtgRatesDataTable75[[#This Row],[asOf]]),DAY(OneWeekMtgRatesDataTable75[[#This Row],[asOf]]))</f>
        <v>41617</v>
      </c>
      <c r="N486" s="21">
        <v>4.42</v>
      </c>
      <c r="O486" s="21">
        <v>0.7</v>
      </c>
      <c r="P486" s="21">
        <v>4.3449999999999998</v>
      </c>
    </row>
    <row r="487" spans="8:16">
      <c r="H487" s="21"/>
      <c r="I487" s="21"/>
      <c r="J487" s="52"/>
      <c r="K487" s="21"/>
      <c r="L487" s="21" t="s">
        <v>1172</v>
      </c>
      <c r="M487" s="25">
        <f>DATE(YEAR(OneWeekMtgRatesDataTable75[[#This Row],[asOf]]),MONTH(OneWeekMtgRatesDataTable75[[#This Row],[asOf]]),DAY(OneWeekMtgRatesDataTable75[[#This Row],[asOf]]))</f>
        <v>41614</v>
      </c>
      <c r="N487" s="21">
        <v>4.42</v>
      </c>
      <c r="O487" s="21">
        <v>0.7</v>
      </c>
      <c r="P487" s="21">
        <v>4.3449999999999998</v>
      </c>
    </row>
    <row r="488" spans="8:16">
      <c r="H488" s="21"/>
      <c r="I488" s="21"/>
      <c r="J488" s="52"/>
      <c r="K488" s="21"/>
      <c r="L488" s="21" t="s">
        <v>1171</v>
      </c>
      <c r="M488" s="25">
        <f>DATE(YEAR(OneWeekMtgRatesDataTable75[[#This Row],[asOf]]),MONTH(OneWeekMtgRatesDataTable75[[#This Row],[asOf]]),DAY(OneWeekMtgRatesDataTable75[[#This Row],[asOf]]))</f>
        <v>41613</v>
      </c>
      <c r="N488" s="21">
        <v>4.42</v>
      </c>
      <c r="O488" s="21">
        <v>0.7</v>
      </c>
      <c r="P488" s="21">
        <v>4.3449999999999998</v>
      </c>
    </row>
    <row r="489" spans="8:16">
      <c r="H489" s="21"/>
      <c r="I489" s="21"/>
      <c r="J489" s="52"/>
      <c r="K489" s="21"/>
      <c r="L489" s="21" t="s">
        <v>1170</v>
      </c>
      <c r="M489" s="25">
        <f>DATE(YEAR(OneWeekMtgRatesDataTable75[[#This Row],[asOf]]),MONTH(OneWeekMtgRatesDataTable75[[#This Row],[asOf]]),DAY(OneWeekMtgRatesDataTable75[[#This Row],[asOf]]))</f>
        <v>41612</v>
      </c>
      <c r="N489" s="21">
        <v>4.46</v>
      </c>
      <c r="O489" s="21">
        <v>0.5</v>
      </c>
      <c r="P489" s="21">
        <v>4.335</v>
      </c>
    </row>
    <row r="490" spans="8:16">
      <c r="H490" s="21"/>
      <c r="I490" s="21"/>
      <c r="J490" s="52"/>
      <c r="K490" s="21"/>
      <c r="L490" s="21" t="s">
        <v>1169</v>
      </c>
      <c r="M490" s="25">
        <f>DATE(YEAR(OneWeekMtgRatesDataTable75[[#This Row],[asOf]]),MONTH(OneWeekMtgRatesDataTable75[[#This Row],[asOf]]),DAY(OneWeekMtgRatesDataTable75[[#This Row],[asOf]]))</f>
        <v>41611</v>
      </c>
      <c r="N490" s="21">
        <v>4.46</v>
      </c>
      <c r="O490" s="21">
        <v>0.5</v>
      </c>
      <c r="P490" s="21">
        <v>4.335</v>
      </c>
    </row>
    <row r="491" spans="8:16">
      <c r="H491" s="21"/>
      <c r="I491" s="21"/>
      <c r="J491" s="52"/>
      <c r="K491" s="21"/>
      <c r="L491" s="21" t="s">
        <v>1168</v>
      </c>
      <c r="M491" s="25">
        <f>DATE(YEAR(OneWeekMtgRatesDataTable75[[#This Row],[asOf]]),MONTH(OneWeekMtgRatesDataTable75[[#This Row],[asOf]]),DAY(OneWeekMtgRatesDataTable75[[#This Row],[asOf]]))</f>
        <v>41610</v>
      </c>
      <c r="N491" s="21">
        <v>4.46</v>
      </c>
      <c r="O491" s="21">
        <v>0.5</v>
      </c>
      <c r="P491" s="21">
        <v>4.335</v>
      </c>
    </row>
    <row r="492" spans="8:16">
      <c r="H492" s="21"/>
      <c r="I492" s="21"/>
      <c r="J492" s="52"/>
      <c r="K492" s="21"/>
      <c r="L492" s="21" t="s">
        <v>1167</v>
      </c>
      <c r="M492" s="25">
        <f>DATE(YEAR(OneWeekMtgRatesDataTable75[[#This Row],[asOf]]),MONTH(OneWeekMtgRatesDataTable75[[#This Row],[asOf]]),DAY(OneWeekMtgRatesDataTable75[[#This Row],[asOf]]))</f>
        <v>41607</v>
      </c>
      <c r="N492" s="21">
        <v>4.46</v>
      </c>
      <c r="O492" s="21">
        <v>0.5</v>
      </c>
      <c r="P492" s="21">
        <v>4.335</v>
      </c>
    </row>
    <row r="493" spans="8:16">
      <c r="H493" s="21"/>
      <c r="I493" s="21"/>
      <c r="J493" s="52"/>
      <c r="K493" s="21"/>
      <c r="L493" s="21" t="s">
        <v>1165</v>
      </c>
      <c r="M493" s="25">
        <f>DATE(YEAR(OneWeekMtgRatesDataTable75[[#This Row],[asOf]]),MONTH(OneWeekMtgRatesDataTable75[[#This Row],[asOf]]),DAY(OneWeekMtgRatesDataTable75[[#This Row],[asOf]]))</f>
        <v>41604</v>
      </c>
      <c r="N493" s="21">
        <v>4.29</v>
      </c>
      <c r="O493" s="21">
        <v>0.7</v>
      </c>
      <c r="P493" s="21">
        <v>4.2149999999999999</v>
      </c>
    </row>
    <row r="494" spans="8:16">
      <c r="H494" s="21"/>
      <c r="I494" s="21"/>
      <c r="J494" s="52"/>
      <c r="K494" s="21"/>
      <c r="L494" s="21" t="s">
        <v>1164</v>
      </c>
      <c r="M494" s="25">
        <f>DATE(YEAR(OneWeekMtgRatesDataTable75[[#This Row],[asOf]]),MONTH(OneWeekMtgRatesDataTable75[[#This Row],[asOf]]),DAY(OneWeekMtgRatesDataTable75[[#This Row],[asOf]]))</f>
        <v>41603</v>
      </c>
      <c r="N494" s="21">
        <v>4.29</v>
      </c>
      <c r="O494" s="21">
        <v>0.7</v>
      </c>
      <c r="P494" s="21">
        <v>4.2149999999999999</v>
      </c>
    </row>
    <row r="495" spans="8:16">
      <c r="H495" s="21"/>
      <c r="I495" s="21"/>
      <c r="J495" s="52"/>
      <c r="K495" s="21"/>
      <c r="L495" s="21" t="s">
        <v>1163</v>
      </c>
      <c r="M495" s="25">
        <f>DATE(YEAR(OneWeekMtgRatesDataTable75[[#This Row],[asOf]]),MONTH(OneWeekMtgRatesDataTable75[[#This Row],[asOf]]),DAY(OneWeekMtgRatesDataTable75[[#This Row],[asOf]]))</f>
        <v>41600</v>
      </c>
      <c r="N495" s="21">
        <v>4.29</v>
      </c>
      <c r="O495" s="21">
        <v>0.7</v>
      </c>
      <c r="P495" s="21">
        <v>4.2149999999999999</v>
      </c>
    </row>
    <row r="496" spans="8:16">
      <c r="H496" s="21"/>
      <c r="I496" s="21"/>
      <c r="J496" s="52"/>
      <c r="K496" s="21"/>
      <c r="L496" s="21" t="s">
        <v>1162</v>
      </c>
      <c r="M496" s="25">
        <f>DATE(YEAR(OneWeekMtgRatesDataTable75[[#This Row],[asOf]]),MONTH(OneWeekMtgRatesDataTable75[[#This Row],[asOf]]),DAY(OneWeekMtgRatesDataTable75[[#This Row],[asOf]]))</f>
        <v>41599</v>
      </c>
      <c r="N496" s="21">
        <v>4.29</v>
      </c>
      <c r="O496" s="21">
        <v>0.7</v>
      </c>
      <c r="P496" s="21">
        <v>4.2149999999999999</v>
      </c>
    </row>
    <row r="497" spans="8:16">
      <c r="H497" s="21"/>
      <c r="I497" s="21"/>
      <c r="J497" s="52"/>
      <c r="K497" s="21"/>
      <c r="L497" s="21" t="s">
        <v>1161</v>
      </c>
      <c r="M497" s="25">
        <f>DATE(YEAR(OneWeekMtgRatesDataTable75[[#This Row],[asOf]]),MONTH(OneWeekMtgRatesDataTable75[[#This Row],[asOf]]),DAY(OneWeekMtgRatesDataTable75[[#This Row],[asOf]]))</f>
        <v>41598</v>
      </c>
      <c r="N497" s="21">
        <v>4.29</v>
      </c>
      <c r="O497" s="21">
        <v>0.7</v>
      </c>
      <c r="P497" s="21">
        <v>4.2149999999999999</v>
      </c>
    </row>
    <row r="498" spans="8:16">
      <c r="H498" s="21"/>
      <c r="I498" s="21"/>
      <c r="J498" s="52"/>
      <c r="K498" s="21"/>
      <c r="L498" s="21" t="s">
        <v>1161</v>
      </c>
      <c r="M498" s="25">
        <f>DATE(YEAR(OneWeekMtgRatesDataTable75[[#This Row],[asOf]]),MONTH(OneWeekMtgRatesDataTable75[[#This Row],[asOf]]),DAY(OneWeekMtgRatesDataTable75[[#This Row],[asOf]]))</f>
        <v>41598</v>
      </c>
      <c r="N498" s="21">
        <v>4.22</v>
      </c>
      <c r="O498" s="21">
        <v>0.7</v>
      </c>
      <c r="P498" s="21">
        <v>4.1449999999999996</v>
      </c>
    </row>
    <row r="499" spans="8:16">
      <c r="H499" s="21"/>
      <c r="I499" s="21"/>
      <c r="J499" s="52"/>
      <c r="K499" s="21"/>
      <c r="L499" s="21" t="s">
        <v>1160</v>
      </c>
      <c r="M499" s="25">
        <f>DATE(YEAR(OneWeekMtgRatesDataTable75[[#This Row],[asOf]]),MONTH(OneWeekMtgRatesDataTable75[[#This Row],[asOf]]),DAY(OneWeekMtgRatesDataTable75[[#This Row],[asOf]]))</f>
        <v>41597</v>
      </c>
      <c r="N499" s="21">
        <v>4.22</v>
      </c>
      <c r="O499" s="21">
        <v>0.7</v>
      </c>
      <c r="P499" s="21">
        <v>4.1449999999999996</v>
      </c>
    </row>
    <row r="500" spans="8:16">
      <c r="H500" s="21"/>
      <c r="I500" s="21"/>
      <c r="J500" s="52"/>
      <c r="K500" s="21"/>
      <c r="L500" s="21" t="s">
        <v>1159</v>
      </c>
      <c r="M500" s="25">
        <f>DATE(YEAR(OneWeekMtgRatesDataTable75[[#This Row],[asOf]]),MONTH(OneWeekMtgRatesDataTable75[[#This Row],[asOf]]),DAY(OneWeekMtgRatesDataTable75[[#This Row],[asOf]]))</f>
        <v>41596</v>
      </c>
      <c r="N500" s="21">
        <v>4.22</v>
      </c>
      <c r="O500" s="21">
        <v>0.7</v>
      </c>
      <c r="P500" s="21">
        <v>4.1449999999999996</v>
      </c>
    </row>
    <row r="501" spans="8:16">
      <c r="H501" s="21"/>
      <c r="I501" s="21"/>
      <c r="J501" s="52"/>
      <c r="K501" s="21"/>
      <c r="L501" s="21" t="s">
        <v>1158</v>
      </c>
      <c r="M501" s="25">
        <f>DATE(YEAR(OneWeekMtgRatesDataTable75[[#This Row],[asOf]]),MONTH(OneWeekMtgRatesDataTable75[[#This Row],[asOf]]),DAY(OneWeekMtgRatesDataTable75[[#This Row],[asOf]]))</f>
        <v>41593</v>
      </c>
      <c r="N501" s="21">
        <v>4.22</v>
      </c>
      <c r="O501" s="21">
        <v>0.7</v>
      </c>
      <c r="P501" s="21">
        <v>4.1449999999999996</v>
      </c>
    </row>
    <row r="502" spans="8:16">
      <c r="H502" s="21"/>
      <c r="I502" s="21"/>
      <c r="J502" s="52"/>
      <c r="K502" s="21"/>
      <c r="L502" s="21" t="s">
        <v>1157</v>
      </c>
      <c r="M502" s="25">
        <f>DATE(YEAR(OneWeekMtgRatesDataTable75[[#This Row],[asOf]]),MONTH(OneWeekMtgRatesDataTable75[[#This Row],[asOf]]),DAY(OneWeekMtgRatesDataTable75[[#This Row],[asOf]]))</f>
        <v>41592</v>
      </c>
      <c r="N502" s="21">
        <v>4.22</v>
      </c>
      <c r="O502" s="21">
        <v>0.7</v>
      </c>
      <c r="P502" s="21">
        <v>4.1449999999999996</v>
      </c>
    </row>
    <row r="503" spans="8:16">
      <c r="H503" s="21"/>
      <c r="I503" s="21"/>
      <c r="J503" s="52"/>
      <c r="K503" s="21"/>
      <c r="L503" s="21" t="s">
        <v>1156</v>
      </c>
      <c r="M503" s="25">
        <f>DATE(YEAR(OneWeekMtgRatesDataTable75[[#This Row],[asOf]]),MONTH(OneWeekMtgRatesDataTable75[[#This Row],[asOf]]),DAY(OneWeekMtgRatesDataTable75[[#This Row],[asOf]]))</f>
        <v>41591</v>
      </c>
      <c r="N503" s="21">
        <v>4.3499999999999996</v>
      </c>
      <c r="O503" s="21">
        <v>0.7</v>
      </c>
      <c r="P503" s="21">
        <v>4.2749999999999995</v>
      </c>
    </row>
    <row r="504" spans="8:16">
      <c r="H504" s="21"/>
      <c r="I504" s="21"/>
      <c r="J504" s="52"/>
      <c r="K504" s="21"/>
      <c r="L504" s="21" t="s">
        <v>1155</v>
      </c>
      <c r="M504" s="25">
        <f>DATE(YEAR(OneWeekMtgRatesDataTable75[[#This Row],[asOf]]),MONTH(OneWeekMtgRatesDataTable75[[#This Row],[asOf]]),DAY(OneWeekMtgRatesDataTable75[[#This Row],[asOf]]))</f>
        <v>41590</v>
      </c>
      <c r="N504" s="21">
        <v>4.3499999999999996</v>
      </c>
      <c r="O504" s="21">
        <v>0.7</v>
      </c>
      <c r="P504" s="21">
        <v>4.2749999999999995</v>
      </c>
    </row>
    <row r="505" spans="8:16">
      <c r="H505" s="21"/>
      <c r="I505" s="21"/>
      <c r="J505" s="52"/>
      <c r="K505" s="21"/>
      <c r="L505" s="21" t="s">
        <v>1154</v>
      </c>
      <c r="M505" s="25">
        <f>DATE(YEAR(OneWeekMtgRatesDataTable75[[#This Row],[asOf]]),MONTH(OneWeekMtgRatesDataTable75[[#This Row],[asOf]]),DAY(OneWeekMtgRatesDataTable75[[#This Row],[asOf]]))</f>
        <v>41586</v>
      </c>
      <c r="N505" s="21">
        <v>4.3499999999999996</v>
      </c>
      <c r="O505" s="21">
        <v>0.7</v>
      </c>
      <c r="P505" s="21">
        <v>4.2749999999999995</v>
      </c>
    </row>
    <row r="506" spans="8:16">
      <c r="H506" s="21"/>
      <c r="I506" s="21"/>
      <c r="J506" s="52"/>
      <c r="K506" s="21"/>
      <c r="L506" s="21" t="s">
        <v>1153</v>
      </c>
      <c r="M506" s="25">
        <f>DATE(YEAR(OneWeekMtgRatesDataTable75[[#This Row],[asOf]]),MONTH(OneWeekMtgRatesDataTable75[[#This Row],[asOf]]),DAY(OneWeekMtgRatesDataTable75[[#This Row],[asOf]]))</f>
        <v>41585</v>
      </c>
      <c r="N506" s="21">
        <v>4.3499999999999996</v>
      </c>
      <c r="O506" s="21">
        <v>0.7</v>
      </c>
      <c r="P506" s="21">
        <v>4.2749999999999995</v>
      </c>
    </row>
    <row r="507" spans="8:16">
      <c r="H507" s="21"/>
      <c r="I507" s="21"/>
      <c r="J507" s="52"/>
      <c r="K507" s="21"/>
      <c r="L507" s="21" t="s">
        <v>1152</v>
      </c>
      <c r="M507" s="25">
        <f>DATE(YEAR(OneWeekMtgRatesDataTable75[[#This Row],[asOf]]),MONTH(OneWeekMtgRatesDataTable75[[#This Row],[asOf]]),DAY(OneWeekMtgRatesDataTable75[[#This Row],[asOf]]))</f>
        <v>41584</v>
      </c>
      <c r="N507" s="21">
        <v>4.16</v>
      </c>
      <c r="O507" s="21">
        <v>0.8</v>
      </c>
      <c r="P507" s="21">
        <v>4.1100000000000003</v>
      </c>
    </row>
    <row r="508" spans="8:16">
      <c r="H508" s="21"/>
      <c r="I508" s="21"/>
      <c r="J508" s="52"/>
      <c r="K508" s="21"/>
      <c r="L508" s="21" t="s">
        <v>1151</v>
      </c>
      <c r="M508" s="25">
        <f>DATE(YEAR(OneWeekMtgRatesDataTable75[[#This Row],[asOf]]),MONTH(OneWeekMtgRatesDataTable75[[#This Row],[asOf]]),DAY(OneWeekMtgRatesDataTable75[[#This Row],[asOf]]))</f>
        <v>41583</v>
      </c>
      <c r="N508" s="21">
        <v>4.16</v>
      </c>
      <c r="O508" s="21">
        <v>0.8</v>
      </c>
      <c r="P508" s="21">
        <v>4.1100000000000003</v>
      </c>
    </row>
    <row r="509" spans="8:16">
      <c r="H509" s="21"/>
      <c r="I509" s="21"/>
      <c r="J509" s="52"/>
      <c r="K509" s="21"/>
      <c r="L509" s="21" t="s">
        <v>1150</v>
      </c>
      <c r="M509" s="25">
        <f>DATE(YEAR(OneWeekMtgRatesDataTable75[[#This Row],[asOf]]),MONTH(OneWeekMtgRatesDataTable75[[#This Row],[asOf]]),DAY(OneWeekMtgRatesDataTable75[[#This Row],[asOf]]))</f>
        <v>41582</v>
      </c>
      <c r="N509" s="21">
        <v>4.16</v>
      </c>
      <c r="O509" s="21">
        <v>0.8</v>
      </c>
      <c r="P509" s="21">
        <v>4.1100000000000003</v>
      </c>
    </row>
    <row r="510" spans="8:16">
      <c r="H510" s="21"/>
      <c r="I510" s="21"/>
      <c r="J510" s="52"/>
      <c r="K510" s="21"/>
      <c r="L510" s="21" t="s">
        <v>1149</v>
      </c>
      <c r="M510" s="25">
        <f>DATE(YEAR(OneWeekMtgRatesDataTable75[[#This Row],[asOf]]),MONTH(OneWeekMtgRatesDataTable75[[#This Row],[asOf]]),DAY(OneWeekMtgRatesDataTable75[[#This Row],[asOf]]))</f>
        <v>41579</v>
      </c>
      <c r="N510" s="21">
        <v>4.16</v>
      </c>
      <c r="O510" s="21">
        <v>0.8</v>
      </c>
      <c r="P510" s="21">
        <v>4.1100000000000003</v>
      </c>
    </row>
    <row r="511" spans="8:16">
      <c r="H511" s="21"/>
      <c r="I511" s="21"/>
      <c r="J511" s="52"/>
      <c r="K511" s="21"/>
      <c r="L511" s="21" t="s">
        <v>1148</v>
      </c>
      <c r="M511" s="25">
        <f>DATE(YEAR(OneWeekMtgRatesDataTable75[[#This Row],[asOf]]),MONTH(OneWeekMtgRatesDataTable75[[#This Row],[asOf]]),DAY(OneWeekMtgRatesDataTable75[[#This Row],[asOf]]))</f>
        <v>41578</v>
      </c>
      <c r="N511" s="21">
        <v>4.16</v>
      </c>
      <c r="O511" s="21">
        <v>0.8</v>
      </c>
      <c r="P511" s="21">
        <v>4.1100000000000003</v>
      </c>
    </row>
    <row r="512" spans="8:16">
      <c r="H512" s="21"/>
      <c r="I512" s="21"/>
      <c r="J512" s="52"/>
      <c r="K512" s="21"/>
      <c r="L512" s="21" t="s">
        <v>1147</v>
      </c>
      <c r="M512" s="25">
        <f>DATE(YEAR(OneWeekMtgRatesDataTable75[[#This Row],[asOf]]),MONTH(OneWeekMtgRatesDataTable75[[#This Row],[asOf]]),DAY(OneWeekMtgRatesDataTable75[[#This Row],[asOf]]))</f>
        <v>41577</v>
      </c>
      <c r="N512" s="21">
        <v>4.0999999999999996</v>
      </c>
      <c r="O512" s="21">
        <v>0.7</v>
      </c>
      <c r="P512" s="21">
        <v>4.0249999999999995</v>
      </c>
    </row>
    <row r="513" spans="8:16">
      <c r="H513" s="21"/>
      <c r="I513" s="21"/>
      <c r="J513" s="52"/>
      <c r="K513" s="21"/>
      <c r="L513" s="21" t="s">
        <v>1146</v>
      </c>
      <c r="M513" s="25">
        <f>DATE(YEAR(OneWeekMtgRatesDataTable75[[#This Row],[asOf]]),MONTH(OneWeekMtgRatesDataTable75[[#This Row],[asOf]]),DAY(OneWeekMtgRatesDataTable75[[#This Row],[asOf]]))</f>
        <v>41576</v>
      </c>
      <c r="N513" s="21">
        <v>4.0999999999999996</v>
      </c>
      <c r="O513" s="21">
        <v>0.7</v>
      </c>
      <c r="P513" s="21">
        <v>4.0249999999999995</v>
      </c>
    </row>
    <row r="514" spans="8:16">
      <c r="H514" s="21"/>
      <c r="I514" s="21"/>
      <c r="J514" s="52"/>
      <c r="K514" s="21"/>
      <c r="L514" s="21" t="s">
        <v>1145</v>
      </c>
      <c r="M514" s="25">
        <f>DATE(YEAR(OneWeekMtgRatesDataTable75[[#This Row],[asOf]]),MONTH(OneWeekMtgRatesDataTable75[[#This Row],[asOf]]),DAY(OneWeekMtgRatesDataTable75[[#This Row],[asOf]]))</f>
        <v>41575</v>
      </c>
      <c r="N514" s="21">
        <v>4.0999999999999996</v>
      </c>
      <c r="O514" s="21">
        <v>0.7</v>
      </c>
      <c r="P514" s="21">
        <v>4.0249999999999995</v>
      </c>
    </row>
    <row r="515" spans="8:16">
      <c r="H515" s="21"/>
      <c r="I515" s="21"/>
      <c r="J515" s="52"/>
      <c r="K515" s="21"/>
      <c r="L515" s="21" t="s">
        <v>1144</v>
      </c>
      <c r="M515" s="25">
        <f>DATE(YEAR(OneWeekMtgRatesDataTable75[[#This Row],[asOf]]),MONTH(OneWeekMtgRatesDataTable75[[#This Row],[asOf]]),DAY(OneWeekMtgRatesDataTable75[[#This Row],[asOf]]))</f>
        <v>41572</v>
      </c>
      <c r="N515" s="21">
        <v>4.0999999999999996</v>
      </c>
      <c r="O515" s="21">
        <v>0.7</v>
      </c>
      <c r="P515" s="21">
        <v>4.0249999999999995</v>
      </c>
    </row>
    <row r="516" spans="8:16">
      <c r="H516" s="21"/>
      <c r="I516" s="21"/>
      <c r="J516" s="52"/>
      <c r="K516" s="21"/>
      <c r="L516" s="21" t="s">
        <v>1143</v>
      </c>
      <c r="M516" s="25">
        <f>DATE(YEAR(OneWeekMtgRatesDataTable75[[#This Row],[asOf]]),MONTH(OneWeekMtgRatesDataTable75[[#This Row],[asOf]]),DAY(OneWeekMtgRatesDataTable75[[#This Row],[asOf]]))</f>
        <v>41571</v>
      </c>
      <c r="N516" s="21">
        <v>4.0999999999999996</v>
      </c>
      <c r="O516" s="21">
        <v>0.7</v>
      </c>
      <c r="P516" s="21">
        <v>4.0249999999999995</v>
      </c>
    </row>
    <row r="517" spans="8:16">
      <c r="H517" s="21"/>
      <c r="I517" s="21"/>
      <c r="J517" s="52"/>
      <c r="K517" s="21"/>
      <c r="L517" s="21" t="s">
        <v>1142</v>
      </c>
      <c r="M517" s="25">
        <f>DATE(YEAR(OneWeekMtgRatesDataTable75[[#This Row],[asOf]]),MONTH(OneWeekMtgRatesDataTable75[[#This Row],[asOf]]),DAY(OneWeekMtgRatesDataTable75[[#This Row],[asOf]]))</f>
        <v>41570</v>
      </c>
      <c r="N517" s="21">
        <v>4.13</v>
      </c>
      <c r="O517" s="21">
        <v>0.8</v>
      </c>
      <c r="P517" s="21">
        <v>4.08</v>
      </c>
    </row>
    <row r="518" spans="8:16">
      <c r="H518" s="21"/>
      <c r="I518" s="21"/>
      <c r="J518" s="52"/>
      <c r="K518" s="21"/>
      <c r="L518" s="21" t="s">
        <v>1141</v>
      </c>
      <c r="M518" s="25">
        <f>DATE(YEAR(OneWeekMtgRatesDataTable75[[#This Row],[asOf]]),MONTH(OneWeekMtgRatesDataTable75[[#This Row],[asOf]]),DAY(OneWeekMtgRatesDataTable75[[#This Row],[asOf]]))</f>
        <v>41569</v>
      </c>
      <c r="N518" s="21">
        <v>4.13</v>
      </c>
      <c r="O518" s="21">
        <v>0.8</v>
      </c>
      <c r="P518" s="21">
        <v>4.08</v>
      </c>
    </row>
    <row r="519" spans="8:16">
      <c r="H519" s="21"/>
      <c r="I519" s="21"/>
      <c r="J519" s="52"/>
      <c r="K519" s="21"/>
      <c r="L519" s="21" t="s">
        <v>1140</v>
      </c>
      <c r="M519" s="25">
        <f>DATE(YEAR(OneWeekMtgRatesDataTable75[[#This Row],[asOf]]),MONTH(OneWeekMtgRatesDataTable75[[#This Row],[asOf]]),DAY(OneWeekMtgRatesDataTable75[[#This Row],[asOf]]))</f>
        <v>41568</v>
      </c>
      <c r="N519" s="21">
        <v>4.13</v>
      </c>
      <c r="O519" s="21">
        <v>0.8</v>
      </c>
      <c r="P519" s="21">
        <v>4.08</v>
      </c>
    </row>
    <row r="520" spans="8:16">
      <c r="H520" s="21"/>
      <c r="I520" s="21"/>
      <c r="J520" s="52"/>
      <c r="K520" s="21"/>
      <c r="L520" s="21" t="s">
        <v>1139</v>
      </c>
      <c r="M520" s="25">
        <f>DATE(YEAR(OneWeekMtgRatesDataTable75[[#This Row],[asOf]]),MONTH(OneWeekMtgRatesDataTable75[[#This Row],[asOf]]),DAY(OneWeekMtgRatesDataTable75[[#This Row],[asOf]]))</f>
        <v>41565</v>
      </c>
      <c r="N520" s="21">
        <v>4.13</v>
      </c>
      <c r="O520" s="21">
        <v>0.8</v>
      </c>
      <c r="P520" s="21">
        <v>4.08</v>
      </c>
    </row>
    <row r="521" spans="8:16">
      <c r="H521" s="21"/>
      <c r="I521" s="21"/>
      <c r="J521" s="52"/>
      <c r="K521" s="21"/>
      <c r="L521" s="21" t="s">
        <v>1138</v>
      </c>
      <c r="M521" s="25">
        <f>DATE(YEAR(OneWeekMtgRatesDataTable75[[#This Row],[asOf]]),MONTH(OneWeekMtgRatesDataTable75[[#This Row],[asOf]]),DAY(OneWeekMtgRatesDataTable75[[#This Row],[asOf]]))</f>
        <v>41564</v>
      </c>
      <c r="N521" s="21">
        <v>4.13</v>
      </c>
      <c r="O521" s="21">
        <v>0.8</v>
      </c>
      <c r="P521" s="21">
        <v>4.08</v>
      </c>
    </row>
    <row r="522" spans="8:16">
      <c r="H522" s="21"/>
      <c r="I522" s="21"/>
      <c r="J522" s="52"/>
      <c r="K522" s="21"/>
      <c r="L522" s="21" t="s">
        <v>1137</v>
      </c>
      <c r="M522" s="25">
        <f>DATE(YEAR(OneWeekMtgRatesDataTable75[[#This Row],[asOf]]),MONTH(OneWeekMtgRatesDataTable75[[#This Row],[asOf]]),DAY(OneWeekMtgRatesDataTable75[[#This Row],[asOf]]))</f>
        <v>41563</v>
      </c>
      <c r="N522" s="21">
        <v>4.28</v>
      </c>
      <c r="O522" s="21">
        <v>0.7</v>
      </c>
      <c r="P522" s="21">
        <v>4.2050000000000001</v>
      </c>
    </row>
    <row r="523" spans="8:16">
      <c r="H523" s="21"/>
      <c r="I523" s="21"/>
      <c r="J523" s="52"/>
      <c r="K523" s="21"/>
      <c r="L523" s="21" t="s">
        <v>1136</v>
      </c>
      <c r="M523" s="25">
        <f>DATE(YEAR(OneWeekMtgRatesDataTable75[[#This Row],[asOf]]),MONTH(OneWeekMtgRatesDataTable75[[#This Row],[asOf]]),DAY(OneWeekMtgRatesDataTable75[[#This Row],[asOf]]))</f>
        <v>41562</v>
      </c>
      <c r="N523" s="21">
        <v>4.28</v>
      </c>
      <c r="O523" s="21">
        <v>0.7</v>
      </c>
      <c r="P523" s="21">
        <v>4.2050000000000001</v>
      </c>
    </row>
    <row r="524" spans="8:16">
      <c r="H524" s="21"/>
      <c r="I524" s="21"/>
      <c r="J524" s="52"/>
      <c r="K524" s="21"/>
      <c r="L524" s="21" t="s">
        <v>1135</v>
      </c>
      <c r="M524" s="25">
        <f>DATE(YEAR(OneWeekMtgRatesDataTable75[[#This Row],[asOf]]),MONTH(OneWeekMtgRatesDataTable75[[#This Row],[asOf]]),DAY(OneWeekMtgRatesDataTable75[[#This Row],[asOf]]))</f>
        <v>41558</v>
      </c>
      <c r="N524" s="21">
        <v>4.28</v>
      </c>
      <c r="O524" s="21">
        <v>0.7</v>
      </c>
      <c r="P524" s="21">
        <v>4.2050000000000001</v>
      </c>
    </row>
    <row r="525" spans="8:16">
      <c r="H525" s="21"/>
      <c r="I525" s="21"/>
      <c r="J525" s="52"/>
      <c r="K525" s="21"/>
      <c r="L525" s="21" t="s">
        <v>1134</v>
      </c>
      <c r="M525" s="25">
        <f>DATE(YEAR(OneWeekMtgRatesDataTable75[[#This Row],[asOf]]),MONTH(OneWeekMtgRatesDataTable75[[#This Row],[asOf]]),DAY(OneWeekMtgRatesDataTable75[[#This Row],[asOf]]))</f>
        <v>41557</v>
      </c>
      <c r="N525" s="21">
        <v>4.28</v>
      </c>
      <c r="O525" s="21">
        <v>0.7</v>
      </c>
      <c r="P525" s="21">
        <v>4.2050000000000001</v>
      </c>
    </row>
    <row r="526" spans="8:16">
      <c r="H526" s="21"/>
      <c r="I526" s="21"/>
      <c r="J526" s="52"/>
      <c r="K526" s="21"/>
      <c r="L526" s="21" t="s">
        <v>1133</v>
      </c>
      <c r="M526" s="25">
        <f>DATE(YEAR(OneWeekMtgRatesDataTable75[[#This Row],[asOf]]),MONTH(OneWeekMtgRatesDataTable75[[#This Row],[asOf]]),DAY(OneWeekMtgRatesDataTable75[[#This Row],[asOf]]))</f>
        <v>41556</v>
      </c>
      <c r="N526" s="21">
        <v>4.2300000000000004</v>
      </c>
      <c r="O526" s="21">
        <v>0.7</v>
      </c>
      <c r="P526" s="21">
        <v>4.1550000000000002</v>
      </c>
    </row>
    <row r="527" spans="8:16">
      <c r="H527" s="21"/>
      <c r="I527" s="21"/>
      <c r="J527" s="52"/>
      <c r="K527" s="21"/>
      <c r="L527" s="21" t="s">
        <v>1132</v>
      </c>
      <c r="M527" s="25">
        <f>DATE(YEAR(OneWeekMtgRatesDataTable75[[#This Row],[asOf]]),MONTH(OneWeekMtgRatesDataTable75[[#This Row],[asOf]]),DAY(OneWeekMtgRatesDataTable75[[#This Row],[asOf]]))</f>
        <v>41555</v>
      </c>
      <c r="N527" s="21">
        <v>4.2300000000000004</v>
      </c>
      <c r="O527" s="21">
        <v>0.7</v>
      </c>
      <c r="P527" s="21">
        <v>4.1550000000000002</v>
      </c>
    </row>
    <row r="528" spans="8:16">
      <c r="H528" s="21"/>
      <c r="I528" s="21"/>
      <c r="J528" s="52"/>
      <c r="K528" s="21"/>
      <c r="L528" s="21" t="s">
        <v>1131</v>
      </c>
      <c r="M528" s="25">
        <f>DATE(YEAR(OneWeekMtgRatesDataTable75[[#This Row],[asOf]]),MONTH(OneWeekMtgRatesDataTable75[[#This Row],[asOf]]),DAY(OneWeekMtgRatesDataTable75[[#This Row],[asOf]]))</f>
        <v>41554</v>
      </c>
      <c r="N528" s="21">
        <v>4.2300000000000004</v>
      </c>
      <c r="O528" s="21">
        <v>0.7</v>
      </c>
      <c r="P528" s="21">
        <v>4.1550000000000002</v>
      </c>
    </row>
    <row r="529" spans="8:16">
      <c r="H529" s="21"/>
      <c r="I529" s="21"/>
      <c r="J529" s="52"/>
      <c r="K529" s="21"/>
      <c r="L529" s="21" t="s">
        <v>1130</v>
      </c>
      <c r="M529" s="25">
        <f>DATE(YEAR(OneWeekMtgRatesDataTable75[[#This Row],[asOf]]),MONTH(OneWeekMtgRatesDataTable75[[#This Row],[asOf]]),DAY(OneWeekMtgRatesDataTable75[[#This Row],[asOf]]))</f>
        <v>41551</v>
      </c>
      <c r="N529" s="21">
        <v>4.2300000000000004</v>
      </c>
      <c r="O529" s="21">
        <v>0.7</v>
      </c>
      <c r="P529" s="21">
        <v>4.1550000000000002</v>
      </c>
    </row>
    <row r="530" spans="8:16">
      <c r="H530" s="21"/>
      <c r="I530" s="21"/>
      <c r="J530" s="52"/>
      <c r="K530" s="21"/>
      <c r="L530" s="21" t="s">
        <v>1129</v>
      </c>
      <c r="M530" s="25">
        <f>DATE(YEAR(OneWeekMtgRatesDataTable75[[#This Row],[asOf]]),MONTH(OneWeekMtgRatesDataTable75[[#This Row],[asOf]]),DAY(OneWeekMtgRatesDataTable75[[#This Row],[asOf]]))</f>
        <v>41550</v>
      </c>
      <c r="N530" s="21">
        <v>4.2300000000000004</v>
      </c>
      <c r="O530" s="21">
        <v>0.7</v>
      </c>
      <c r="P530" s="21">
        <v>4.1550000000000002</v>
      </c>
    </row>
    <row r="531" spans="8:16">
      <c r="H531" s="21"/>
      <c r="I531" s="21"/>
      <c r="J531" s="52"/>
      <c r="K531" s="21"/>
      <c r="L531" s="21" t="s">
        <v>1128</v>
      </c>
      <c r="M531" s="25">
        <f>DATE(YEAR(OneWeekMtgRatesDataTable75[[#This Row],[asOf]]),MONTH(OneWeekMtgRatesDataTable75[[#This Row],[asOf]]),DAY(OneWeekMtgRatesDataTable75[[#This Row],[asOf]]))</f>
        <v>41549</v>
      </c>
      <c r="N531" s="21">
        <v>4.22</v>
      </c>
      <c r="O531" s="21">
        <v>0.7</v>
      </c>
      <c r="P531" s="21">
        <v>4.1449999999999996</v>
      </c>
    </row>
    <row r="532" spans="8:16">
      <c r="H532" s="21"/>
      <c r="I532" s="21"/>
      <c r="J532" s="52"/>
      <c r="K532" s="21"/>
      <c r="L532" s="21" t="s">
        <v>1127</v>
      </c>
      <c r="M532" s="25">
        <f>DATE(YEAR(OneWeekMtgRatesDataTable75[[#This Row],[asOf]]),MONTH(OneWeekMtgRatesDataTable75[[#This Row],[asOf]]),DAY(OneWeekMtgRatesDataTable75[[#This Row],[asOf]]))</f>
        <v>41548</v>
      </c>
      <c r="N532" s="21">
        <v>4.22</v>
      </c>
      <c r="O532" s="21">
        <v>0.7</v>
      </c>
      <c r="P532" s="21">
        <v>4.1449999999999996</v>
      </c>
    </row>
    <row r="533" spans="8:16">
      <c r="H533" s="21"/>
      <c r="I533" s="21"/>
      <c r="J533" s="52"/>
      <c r="K533" s="21"/>
      <c r="L533" s="21" t="s">
        <v>1126</v>
      </c>
      <c r="M533" s="25">
        <f>DATE(YEAR(OneWeekMtgRatesDataTable75[[#This Row],[asOf]]),MONTH(OneWeekMtgRatesDataTable75[[#This Row],[asOf]]),DAY(OneWeekMtgRatesDataTable75[[#This Row],[asOf]]))</f>
        <v>41547</v>
      </c>
      <c r="N533" s="21">
        <v>4.22</v>
      </c>
      <c r="O533" s="21">
        <v>0.7</v>
      </c>
      <c r="P533" s="21">
        <v>4.1449999999999996</v>
      </c>
    </row>
    <row r="534" spans="8:16">
      <c r="H534" s="21"/>
      <c r="I534" s="21"/>
      <c r="J534" s="52"/>
      <c r="K534" s="21"/>
      <c r="L534" s="21" t="s">
        <v>1125</v>
      </c>
      <c r="M534" s="25">
        <f>DATE(YEAR(OneWeekMtgRatesDataTable75[[#This Row],[asOf]]),MONTH(OneWeekMtgRatesDataTable75[[#This Row],[asOf]]),DAY(OneWeekMtgRatesDataTable75[[#This Row],[asOf]]))</f>
        <v>41544</v>
      </c>
      <c r="N534" s="21">
        <v>4.22</v>
      </c>
      <c r="O534" s="21">
        <v>0.7</v>
      </c>
      <c r="P534" s="21">
        <v>4.1449999999999996</v>
      </c>
    </row>
    <row r="535" spans="8:16">
      <c r="H535" s="21"/>
      <c r="I535" s="21"/>
      <c r="J535" s="52"/>
      <c r="K535" s="21"/>
      <c r="L535" s="21" t="s">
        <v>1124</v>
      </c>
      <c r="M535" s="25">
        <f>DATE(YEAR(OneWeekMtgRatesDataTable75[[#This Row],[asOf]]),MONTH(OneWeekMtgRatesDataTable75[[#This Row],[asOf]]),DAY(OneWeekMtgRatesDataTable75[[#This Row],[asOf]]))</f>
        <v>41543</v>
      </c>
      <c r="N535" s="21">
        <v>4.22</v>
      </c>
      <c r="O535" s="21">
        <v>0.7</v>
      </c>
      <c r="P535" s="21">
        <v>4.1449999999999996</v>
      </c>
    </row>
    <row r="536" spans="8:16">
      <c r="H536" s="21"/>
      <c r="I536" s="21"/>
      <c r="J536" s="52"/>
      <c r="K536" s="21"/>
      <c r="L536" s="21" t="s">
        <v>1123</v>
      </c>
      <c r="M536" s="25">
        <f>DATE(YEAR(OneWeekMtgRatesDataTable75[[#This Row],[asOf]]),MONTH(OneWeekMtgRatesDataTable75[[#This Row],[asOf]]),DAY(OneWeekMtgRatesDataTable75[[#This Row],[asOf]]))</f>
        <v>41542</v>
      </c>
      <c r="N536" s="21">
        <v>4.32</v>
      </c>
      <c r="O536" s="21">
        <v>0.7</v>
      </c>
      <c r="P536" s="21">
        <v>4.2450000000000001</v>
      </c>
    </row>
    <row r="537" spans="8:16">
      <c r="H537" s="21"/>
      <c r="I537" s="21"/>
      <c r="J537" s="52"/>
      <c r="K537" s="21"/>
      <c r="L537" s="21" t="s">
        <v>1122</v>
      </c>
      <c r="M537" s="25">
        <f>DATE(YEAR(OneWeekMtgRatesDataTable75[[#This Row],[asOf]]),MONTH(OneWeekMtgRatesDataTable75[[#This Row],[asOf]]),DAY(OneWeekMtgRatesDataTable75[[#This Row],[asOf]]))</f>
        <v>41541</v>
      </c>
      <c r="N537" s="21">
        <v>4.32</v>
      </c>
      <c r="O537" s="21">
        <v>0.7</v>
      </c>
      <c r="P537" s="21">
        <v>4.2450000000000001</v>
      </c>
    </row>
    <row r="538" spans="8:16">
      <c r="H538" s="21"/>
      <c r="I538" s="21"/>
      <c r="J538" s="52"/>
      <c r="K538" s="21"/>
      <c r="L538" s="21" t="s">
        <v>1121</v>
      </c>
      <c r="M538" s="25">
        <f>DATE(YEAR(OneWeekMtgRatesDataTable75[[#This Row],[asOf]]),MONTH(OneWeekMtgRatesDataTable75[[#This Row],[asOf]]),DAY(OneWeekMtgRatesDataTable75[[#This Row],[asOf]]))</f>
        <v>41540</v>
      </c>
      <c r="N538" s="21">
        <v>4.32</v>
      </c>
      <c r="O538" s="21">
        <v>0.7</v>
      </c>
      <c r="P538" s="21">
        <v>4.2450000000000001</v>
      </c>
    </row>
    <row r="539" spans="8:16">
      <c r="H539" s="21"/>
      <c r="I539" s="21"/>
      <c r="J539" s="52"/>
      <c r="K539" s="21"/>
      <c r="L539" s="21" t="s">
        <v>1120</v>
      </c>
      <c r="M539" s="25">
        <f>DATE(YEAR(OneWeekMtgRatesDataTable75[[#This Row],[asOf]]),MONTH(OneWeekMtgRatesDataTable75[[#This Row],[asOf]]),DAY(OneWeekMtgRatesDataTable75[[#This Row],[asOf]]))</f>
        <v>41537</v>
      </c>
      <c r="N539" s="21">
        <v>4.32</v>
      </c>
      <c r="O539" s="21">
        <v>0.7</v>
      </c>
      <c r="P539" s="21">
        <v>4.2450000000000001</v>
      </c>
    </row>
    <row r="540" spans="8:16">
      <c r="H540" s="21"/>
      <c r="I540" s="21"/>
      <c r="J540" s="52"/>
      <c r="K540" s="21"/>
      <c r="L540" s="21" t="s">
        <v>1119</v>
      </c>
      <c r="M540" s="25">
        <f>DATE(YEAR(OneWeekMtgRatesDataTable75[[#This Row],[asOf]]),MONTH(OneWeekMtgRatesDataTable75[[#This Row],[asOf]]),DAY(OneWeekMtgRatesDataTable75[[#This Row],[asOf]]))</f>
        <v>41536</v>
      </c>
      <c r="N540" s="21">
        <v>4.32</v>
      </c>
      <c r="O540" s="21">
        <v>0.7</v>
      </c>
      <c r="P540" s="21">
        <v>4.2450000000000001</v>
      </c>
    </row>
    <row r="541" spans="8:16">
      <c r="H541" s="21"/>
      <c r="I541" s="21"/>
      <c r="J541" s="52"/>
      <c r="K541" s="21"/>
      <c r="L541" s="21" t="s">
        <v>1118</v>
      </c>
      <c r="M541" s="25">
        <f>DATE(YEAR(OneWeekMtgRatesDataTable75[[#This Row],[asOf]]),MONTH(OneWeekMtgRatesDataTable75[[#This Row],[asOf]]),DAY(OneWeekMtgRatesDataTable75[[#This Row],[asOf]]))</f>
        <v>41535</v>
      </c>
      <c r="N541" s="21">
        <v>4.5</v>
      </c>
      <c r="O541" s="21">
        <v>0.7</v>
      </c>
      <c r="P541" s="21">
        <v>4.4249999999999998</v>
      </c>
    </row>
    <row r="542" spans="8:16">
      <c r="H542" s="21"/>
      <c r="I542" s="21"/>
      <c r="J542" s="52"/>
      <c r="K542" s="21"/>
      <c r="L542" s="21" t="s">
        <v>1117</v>
      </c>
      <c r="M542" s="25">
        <f>DATE(YEAR(OneWeekMtgRatesDataTable75[[#This Row],[asOf]]),MONTH(OneWeekMtgRatesDataTable75[[#This Row],[asOf]]),DAY(OneWeekMtgRatesDataTable75[[#This Row],[asOf]]))</f>
        <v>41534</v>
      </c>
      <c r="N542" s="21">
        <v>4.5</v>
      </c>
      <c r="O542" s="21">
        <v>0.7</v>
      </c>
      <c r="P542" s="21">
        <v>4.4249999999999998</v>
      </c>
    </row>
    <row r="543" spans="8:16">
      <c r="H543" s="21"/>
      <c r="I543" s="21"/>
      <c r="J543" s="52"/>
      <c r="K543" s="21"/>
      <c r="L543" s="21" t="s">
        <v>1116</v>
      </c>
      <c r="M543" s="25">
        <f>DATE(YEAR(OneWeekMtgRatesDataTable75[[#This Row],[asOf]]),MONTH(OneWeekMtgRatesDataTable75[[#This Row],[asOf]]),DAY(OneWeekMtgRatesDataTable75[[#This Row],[asOf]]))</f>
        <v>41533</v>
      </c>
      <c r="N543" s="21">
        <v>4.5</v>
      </c>
      <c r="O543" s="21">
        <v>0.7</v>
      </c>
      <c r="P543" s="21">
        <v>4.4249999999999998</v>
      </c>
    </row>
    <row r="544" spans="8:16">
      <c r="H544" s="21"/>
      <c r="I544" s="21"/>
      <c r="J544" s="52"/>
      <c r="K544" s="21"/>
      <c r="L544" s="21" t="s">
        <v>1115</v>
      </c>
      <c r="M544" s="25">
        <f>DATE(YEAR(OneWeekMtgRatesDataTable75[[#This Row],[asOf]]),MONTH(OneWeekMtgRatesDataTable75[[#This Row],[asOf]]),DAY(OneWeekMtgRatesDataTable75[[#This Row],[asOf]]))</f>
        <v>41530</v>
      </c>
      <c r="N544" s="21">
        <v>4.5</v>
      </c>
      <c r="O544" s="21">
        <v>0.7</v>
      </c>
      <c r="P544" s="21">
        <v>4.4249999999999998</v>
      </c>
    </row>
    <row r="545" spans="8:16">
      <c r="H545" s="21"/>
      <c r="I545" s="21"/>
      <c r="J545" s="52"/>
      <c r="K545" s="21"/>
      <c r="L545" s="21" t="s">
        <v>1114</v>
      </c>
      <c r="M545" s="25">
        <f>DATE(YEAR(OneWeekMtgRatesDataTable75[[#This Row],[asOf]]),MONTH(OneWeekMtgRatesDataTable75[[#This Row],[asOf]]),DAY(OneWeekMtgRatesDataTable75[[#This Row],[asOf]]))</f>
        <v>41529</v>
      </c>
      <c r="N545" s="21">
        <v>4.5</v>
      </c>
      <c r="O545" s="21">
        <v>0.7</v>
      </c>
      <c r="P545" s="21">
        <v>4.4249999999999998</v>
      </c>
    </row>
    <row r="546" spans="8:16">
      <c r="H546" s="21"/>
      <c r="I546" s="21"/>
      <c r="J546" s="52"/>
      <c r="K546" s="21"/>
      <c r="L546" s="21" t="s">
        <v>1113</v>
      </c>
      <c r="M546" s="25">
        <f>DATE(YEAR(OneWeekMtgRatesDataTable75[[#This Row],[asOf]]),MONTH(OneWeekMtgRatesDataTable75[[#This Row],[asOf]]),DAY(OneWeekMtgRatesDataTable75[[#This Row],[asOf]]))</f>
        <v>41528</v>
      </c>
      <c r="N546" s="21">
        <v>4.57</v>
      </c>
      <c r="O546" s="21">
        <v>0.8</v>
      </c>
      <c r="P546" s="21">
        <v>4.5200000000000005</v>
      </c>
    </row>
    <row r="547" spans="8:16">
      <c r="H547" s="21"/>
      <c r="I547" s="21"/>
      <c r="J547" s="52"/>
      <c r="K547" s="21"/>
      <c r="L547" s="21" t="s">
        <v>1112</v>
      </c>
      <c r="M547" s="25">
        <f>DATE(YEAR(OneWeekMtgRatesDataTable75[[#This Row],[asOf]]),MONTH(OneWeekMtgRatesDataTable75[[#This Row],[asOf]]),DAY(OneWeekMtgRatesDataTable75[[#This Row],[asOf]]))</f>
        <v>41527</v>
      </c>
      <c r="N547" s="21">
        <v>4.57</v>
      </c>
      <c r="O547" s="21">
        <v>0.8</v>
      </c>
      <c r="P547" s="21">
        <v>4.5200000000000005</v>
      </c>
    </row>
    <row r="548" spans="8:16">
      <c r="H548" s="21"/>
      <c r="I548" s="21"/>
      <c r="J548" s="52"/>
      <c r="K548" s="21"/>
      <c r="L548" s="21" t="s">
        <v>1111</v>
      </c>
      <c r="M548" s="25">
        <f>DATE(YEAR(OneWeekMtgRatesDataTable75[[#This Row],[asOf]]),MONTH(OneWeekMtgRatesDataTable75[[#This Row],[asOf]]),DAY(OneWeekMtgRatesDataTable75[[#This Row],[asOf]]))</f>
        <v>41526</v>
      </c>
      <c r="N548" s="21">
        <v>4.57</v>
      </c>
      <c r="O548" s="21">
        <v>0.8</v>
      </c>
      <c r="P548" s="21">
        <v>4.5200000000000005</v>
      </c>
    </row>
    <row r="549" spans="8:16">
      <c r="H549" s="21"/>
      <c r="I549" s="21"/>
      <c r="J549" s="52"/>
      <c r="K549" s="21"/>
      <c r="L549" s="21" t="s">
        <v>1110</v>
      </c>
      <c r="M549" s="25">
        <f>DATE(YEAR(OneWeekMtgRatesDataTable75[[#This Row],[asOf]]),MONTH(OneWeekMtgRatesDataTable75[[#This Row],[asOf]]),DAY(OneWeekMtgRatesDataTable75[[#This Row],[asOf]]))</f>
        <v>41523</v>
      </c>
      <c r="N549" s="21">
        <v>4.57</v>
      </c>
      <c r="O549" s="21">
        <v>0.8</v>
      </c>
      <c r="P549" s="21">
        <v>4.5200000000000005</v>
      </c>
    </row>
    <row r="550" spans="8:16">
      <c r="H550" s="21"/>
      <c r="I550" s="21"/>
      <c r="J550" s="52"/>
      <c r="K550" s="21"/>
      <c r="L550" s="21" t="s">
        <v>1109</v>
      </c>
      <c r="M550" s="25">
        <f>DATE(YEAR(OneWeekMtgRatesDataTable75[[#This Row],[asOf]]),MONTH(OneWeekMtgRatesDataTable75[[#This Row],[asOf]]),DAY(OneWeekMtgRatesDataTable75[[#This Row],[asOf]]))</f>
        <v>41522</v>
      </c>
      <c r="N550" s="21">
        <v>4.57</v>
      </c>
      <c r="O550" s="21">
        <v>0.8</v>
      </c>
      <c r="P550" s="21">
        <v>4.5200000000000005</v>
      </c>
    </row>
    <row r="551" spans="8:16">
      <c r="H551" s="21"/>
      <c r="I551" s="21"/>
      <c r="J551" s="52"/>
      <c r="K551" s="21"/>
      <c r="L551" s="21" t="s">
        <v>1108</v>
      </c>
      <c r="M551" s="25">
        <f>DATE(YEAR(OneWeekMtgRatesDataTable75[[#This Row],[asOf]]),MONTH(OneWeekMtgRatesDataTable75[[#This Row],[asOf]]),DAY(OneWeekMtgRatesDataTable75[[#This Row],[asOf]]))</f>
        <v>41521</v>
      </c>
      <c r="N551" s="21">
        <v>4.57</v>
      </c>
      <c r="O551" s="21">
        <v>0.7</v>
      </c>
      <c r="P551" s="21">
        <v>4.4950000000000001</v>
      </c>
    </row>
    <row r="552" spans="8:16">
      <c r="H552" s="21"/>
      <c r="I552" s="21"/>
      <c r="J552" s="52"/>
      <c r="K552" s="21"/>
      <c r="L552" s="21" t="s">
        <v>1107</v>
      </c>
      <c r="M552" s="25">
        <f>DATE(YEAR(OneWeekMtgRatesDataTable75[[#This Row],[asOf]]),MONTH(OneWeekMtgRatesDataTable75[[#This Row],[asOf]]),DAY(OneWeekMtgRatesDataTable75[[#This Row],[asOf]]))</f>
        <v>41520</v>
      </c>
      <c r="N552" s="21">
        <v>4.57</v>
      </c>
      <c r="O552" s="21">
        <v>0.7</v>
      </c>
      <c r="P552" s="21">
        <v>4.4950000000000001</v>
      </c>
    </row>
    <row r="553" spans="8:16">
      <c r="H553" s="21"/>
      <c r="I553" s="21"/>
      <c r="J553" s="52"/>
      <c r="K553" s="21"/>
      <c r="L553" s="21" t="s">
        <v>1106</v>
      </c>
      <c r="M553" s="25">
        <f>DATE(YEAR(OneWeekMtgRatesDataTable75[[#This Row],[asOf]]),MONTH(OneWeekMtgRatesDataTable75[[#This Row],[asOf]]),DAY(OneWeekMtgRatesDataTable75[[#This Row],[asOf]]))</f>
        <v>41516</v>
      </c>
      <c r="N553" s="21">
        <v>4.57</v>
      </c>
      <c r="O553" s="21">
        <v>0.7</v>
      </c>
      <c r="P553" s="21">
        <v>4.4950000000000001</v>
      </c>
    </row>
    <row r="554" spans="8:16">
      <c r="H554" s="21"/>
      <c r="I554" s="21"/>
      <c r="J554" s="52"/>
      <c r="K554" s="21"/>
      <c r="L554" s="21" t="s">
        <v>1105</v>
      </c>
      <c r="M554" s="25">
        <f>DATE(YEAR(OneWeekMtgRatesDataTable75[[#This Row],[asOf]]),MONTH(OneWeekMtgRatesDataTable75[[#This Row],[asOf]]),DAY(OneWeekMtgRatesDataTable75[[#This Row],[asOf]]))</f>
        <v>41515</v>
      </c>
      <c r="N554" s="21">
        <v>4.57</v>
      </c>
      <c r="O554" s="21">
        <v>0.7</v>
      </c>
      <c r="P554" s="21">
        <v>4.4950000000000001</v>
      </c>
    </row>
    <row r="555" spans="8:16">
      <c r="H555" s="21"/>
      <c r="I555" s="21"/>
      <c r="J555" s="52"/>
      <c r="K555" s="21"/>
      <c r="L555" s="21" t="s">
        <v>1104</v>
      </c>
      <c r="M555" s="25">
        <f>DATE(YEAR(OneWeekMtgRatesDataTable75[[#This Row],[asOf]]),MONTH(OneWeekMtgRatesDataTable75[[#This Row],[asOf]]),DAY(OneWeekMtgRatesDataTable75[[#This Row],[asOf]]))</f>
        <v>41514</v>
      </c>
      <c r="N555" s="21">
        <v>4.51</v>
      </c>
      <c r="O555" s="21">
        <v>0.7</v>
      </c>
      <c r="P555" s="21">
        <v>4.4349999999999996</v>
      </c>
    </row>
    <row r="556" spans="8:16">
      <c r="H556" s="21"/>
      <c r="I556" s="21"/>
      <c r="J556" s="52"/>
      <c r="K556" s="21"/>
      <c r="L556" s="21" t="s">
        <v>1103</v>
      </c>
      <c r="M556" s="25">
        <f>DATE(YEAR(OneWeekMtgRatesDataTable75[[#This Row],[asOf]]),MONTH(OneWeekMtgRatesDataTable75[[#This Row],[asOf]]),DAY(OneWeekMtgRatesDataTable75[[#This Row],[asOf]]))</f>
        <v>41513</v>
      </c>
      <c r="N556" s="21">
        <v>4.51</v>
      </c>
      <c r="O556" s="21">
        <v>0.7</v>
      </c>
      <c r="P556" s="21">
        <v>4.4349999999999996</v>
      </c>
    </row>
    <row r="557" spans="8:16">
      <c r="H557" s="21"/>
      <c r="I557" s="21"/>
      <c r="J557" s="52"/>
      <c r="K557" s="21"/>
      <c r="L557" s="21" t="s">
        <v>1102</v>
      </c>
      <c r="M557" s="25">
        <f>DATE(YEAR(OneWeekMtgRatesDataTable75[[#This Row],[asOf]]),MONTH(OneWeekMtgRatesDataTable75[[#This Row],[asOf]]),DAY(OneWeekMtgRatesDataTable75[[#This Row],[asOf]]))</f>
        <v>41512</v>
      </c>
      <c r="N557" s="21">
        <v>4.51</v>
      </c>
      <c r="O557" s="21">
        <v>0.7</v>
      </c>
      <c r="P557" s="21">
        <v>4.4349999999999996</v>
      </c>
    </row>
    <row r="558" spans="8:16">
      <c r="H558" s="21"/>
      <c r="I558" s="21"/>
      <c r="J558" s="52"/>
      <c r="K558" s="21"/>
      <c r="L558" s="21" t="s">
        <v>1101</v>
      </c>
      <c r="M558" s="25">
        <f>DATE(YEAR(OneWeekMtgRatesDataTable75[[#This Row],[asOf]]),MONTH(OneWeekMtgRatesDataTable75[[#This Row],[asOf]]),DAY(OneWeekMtgRatesDataTable75[[#This Row],[asOf]]))</f>
        <v>41509</v>
      </c>
      <c r="N558" s="21">
        <v>4.51</v>
      </c>
      <c r="O558" s="21">
        <v>0.7</v>
      </c>
      <c r="P558" s="21">
        <v>4.4349999999999996</v>
      </c>
    </row>
    <row r="559" spans="8:16">
      <c r="H559" s="21"/>
      <c r="I559" s="21"/>
      <c r="J559" s="52"/>
      <c r="K559" s="21"/>
      <c r="L559" s="21" t="s">
        <v>1100</v>
      </c>
      <c r="M559" s="25">
        <f>DATE(YEAR(OneWeekMtgRatesDataTable75[[#This Row],[asOf]]),MONTH(OneWeekMtgRatesDataTable75[[#This Row],[asOf]]),DAY(OneWeekMtgRatesDataTable75[[#This Row],[asOf]]))</f>
        <v>41508</v>
      </c>
      <c r="N559" s="21">
        <v>4.51</v>
      </c>
      <c r="O559" s="21">
        <v>0.7</v>
      </c>
      <c r="P559" s="21">
        <v>4.4349999999999996</v>
      </c>
    </row>
    <row r="560" spans="8:16">
      <c r="H560" s="21"/>
      <c r="I560" s="21"/>
      <c r="J560" s="52"/>
      <c r="K560" s="21"/>
      <c r="L560" s="21" t="s">
        <v>1099</v>
      </c>
      <c r="M560" s="25">
        <f>DATE(YEAR(OneWeekMtgRatesDataTable75[[#This Row],[asOf]]),MONTH(OneWeekMtgRatesDataTable75[[#This Row],[asOf]]),DAY(OneWeekMtgRatesDataTable75[[#This Row],[asOf]]))</f>
        <v>41507</v>
      </c>
      <c r="N560" s="21">
        <v>4.58</v>
      </c>
      <c r="O560" s="21">
        <v>0.8</v>
      </c>
      <c r="P560" s="21">
        <v>4.53</v>
      </c>
    </row>
    <row r="561" spans="8:16">
      <c r="H561" s="21"/>
      <c r="I561" s="21"/>
      <c r="J561" s="52"/>
      <c r="K561" s="21"/>
      <c r="L561" s="21" t="s">
        <v>1098</v>
      </c>
      <c r="M561" s="25">
        <f>DATE(YEAR(OneWeekMtgRatesDataTable75[[#This Row],[asOf]]),MONTH(OneWeekMtgRatesDataTable75[[#This Row],[asOf]]),DAY(OneWeekMtgRatesDataTable75[[#This Row],[asOf]]))</f>
        <v>41506</v>
      </c>
      <c r="N561" s="21">
        <v>4.58</v>
      </c>
      <c r="O561" s="21">
        <v>0.8</v>
      </c>
      <c r="P561" s="21">
        <v>4.53</v>
      </c>
    </row>
    <row r="562" spans="8:16">
      <c r="H562" s="21"/>
      <c r="I562" s="21"/>
      <c r="J562" s="52"/>
      <c r="K562" s="21"/>
      <c r="L562" s="21" t="s">
        <v>1097</v>
      </c>
      <c r="M562" s="25">
        <f>DATE(YEAR(OneWeekMtgRatesDataTable75[[#This Row],[asOf]]),MONTH(OneWeekMtgRatesDataTable75[[#This Row],[asOf]]),DAY(OneWeekMtgRatesDataTable75[[#This Row],[asOf]]))</f>
        <v>41505</v>
      </c>
      <c r="N562" s="21">
        <v>4.58</v>
      </c>
      <c r="O562" s="21">
        <v>0.8</v>
      </c>
      <c r="P562" s="21">
        <v>4.53</v>
      </c>
    </row>
    <row r="563" spans="8:16">
      <c r="H563" s="21"/>
      <c r="I563" s="21"/>
      <c r="J563" s="52"/>
      <c r="K563" s="21"/>
      <c r="L563" s="21" t="s">
        <v>1096</v>
      </c>
      <c r="M563" s="25">
        <f>DATE(YEAR(OneWeekMtgRatesDataTable75[[#This Row],[asOf]]),MONTH(OneWeekMtgRatesDataTable75[[#This Row],[asOf]]),DAY(OneWeekMtgRatesDataTable75[[#This Row],[asOf]]))</f>
        <v>41502</v>
      </c>
      <c r="N563" s="21">
        <v>4.58</v>
      </c>
      <c r="O563" s="21">
        <v>0.8</v>
      </c>
      <c r="P563" s="21">
        <v>4.53</v>
      </c>
    </row>
    <row r="564" spans="8:16">
      <c r="H564" s="21"/>
      <c r="I564" s="21"/>
      <c r="J564" s="52"/>
      <c r="K564" s="21"/>
      <c r="L564" s="21" t="s">
        <v>1095</v>
      </c>
      <c r="M564" s="25">
        <f>DATE(YEAR(OneWeekMtgRatesDataTable75[[#This Row],[asOf]]),MONTH(OneWeekMtgRatesDataTable75[[#This Row],[asOf]]),DAY(OneWeekMtgRatesDataTable75[[#This Row],[asOf]]))</f>
        <v>41501</v>
      </c>
      <c r="N564" s="21">
        <v>4.58</v>
      </c>
      <c r="O564" s="21">
        <v>0.8</v>
      </c>
      <c r="P564" s="21">
        <v>4.53</v>
      </c>
    </row>
    <row r="565" spans="8:16">
      <c r="H565" s="21"/>
      <c r="I565" s="21"/>
      <c r="J565" s="52"/>
      <c r="K565" s="21"/>
      <c r="L565" s="21" t="s">
        <v>1094</v>
      </c>
      <c r="M565" s="25">
        <f>DATE(YEAR(OneWeekMtgRatesDataTable75[[#This Row],[asOf]]),MONTH(OneWeekMtgRatesDataTable75[[#This Row],[asOf]]),DAY(OneWeekMtgRatesDataTable75[[#This Row],[asOf]]))</f>
        <v>41500</v>
      </c>
      <c r="N565" s="21">
        <v>4.4000000000000004</v>
      </c>
      <c r="O565" s="21">
        <v>0.7</v>
      </c>
      <c r="P565" s="21">
        <v>4.3250000000000002</v>
      </c>
    </row>
    <row r="566" spans="8:16">
      <c r="H566" s="21"/>
      <c r="I566" s="21"/>
      <c r="J566" s="52"/>
      <c r="K566" s="21"/>
      <c r="L566" s="21" t="s">
        <v>1093</v>
      </c>
      <c r="M566" s="25">
        <f>DATE(YEAR(OneWeekMtgRatesDataTable75[[#This Row],[asOf]]),MONTH(OneWeekMtgRatesDataTable75[[#This Row],[asOf]]),DAY(OneWeekMtgRatesDataTable75[[#This Row],[asOf]]))</f>
        <v>41499</v>
      </c>
      <c r="N566" s="21">
        <v>4.4000000000000004</v>
      </c>
      <c r="O566" s="21">
        <v>0.7</v>
      </c>
      <c r="P566" s="21">
        <v>4.3250000000000002</v>
      </c>
    </row>
    <row r="567" spans="8:16">
      <c r="H567" s="21"/>
      <c r="I567" s="21"/>
      <c r="J567" s="52"/>
      <c r="K567" s="21"/>
      <c r="L567" s="21" t="s">
        <v>1092</v>
      </c>
      <c r="M567" s="25">
        <f>DATE(YEAR(OneWeekMtgRatesDataTable75[[#This Row],[asOf]]),MONTH(OneWeekMtgRatesDataTable75[[#This Row],[asOf]]),DAY(OneWeekMtgRatesDataTable75[[#This Row],[asOf]]))</f>
        <v>41498</v>
      </c>
      <c r="N567" s="21">
        <v>4.4000000000000004</v>
      </c>
      <c r="O567" s="21">
        <v>0.7</v>
      </c>
      <c r="P567" s="21">
        <v>4.3250000000000002</v>
      </c>
    </row>
    <row r="568" spans="8:16">
      <c r="H568" s="21"/>
      <c r="I568" s="21"/>
      <c r="J568" s="52"/>
      <c r="K568" s="21"/>
      <c r="L568" s="21" t="s">
        <v>1091</v>
      </c>
      <c r="M568" s="25">
        <f>DATE(YEAR(OneWeekMtgRatesDataTable75[[#This Row],[asOf]]),MONTH(OneWeekMtgRatesDataTable75[[#This Row],[asOf]]),DAY(OneWeekMtgRatesDataTable75[[#This Row],[asOf]]))</f>
        <v>41495</v>
      </c>
      <c r="N568" s="21">
        <v>4.4000000000000004</v>
      </c>
      <c r="O568" s="21">
        <v>0.7</v>
      </c>
      <c r="P568" s="21">
        <v>4.3250000000000002</v>
      </c>
    </row>
    <row r="569" spans="8:16">
      <c r="H569" s="21"/>
      <c r="I569" s="21"/>
      <c r="J569" s="52"/>
      <c r="K569" s="21"/>
      <c r="L569" s="21" t="s">
        <v>1090</v>
      </c>
      <c r="M569" s="25">
        <f>DATE(YEAR(OneWeekMtgRatesDataTable75[[#This Row],[asOf]]),MONTH(OneWeekMtgRatesDataTable75[[#This Row],[asOf]]),DAY(OneWeekMtgRatesDataTable75[[#This Row],[asOf]]))</f>
        <v>41494</v>
      </c>
      <c r="N569" s="21">
        <v>4.4000000000000004</v>
      </c>
      <c r="O569" s="21">
        <v>0.7</v>
      </c>
      <c r="P569" s="21">
        <v>4.3250000000000002</v>
      </c>
    </row>
    <row r="570" spans="8:16">
      <c r="H570" s="21"/>
      <c r="I570" s="21"/>
      <c r="J570" s="52"/>
      <c r="K570" s="21"/>
      <c r="L570" s="21" t="s">
        <v>1089</v>
      </c>
      <c r="M570" s="25">
        <f>DATE(YEAR(OneWeekMtgRatesDataTable75[[#This Row],[asOf]]),MONTH(OneWeekMtgRatesDataTable75[[#This Row],[asOf]]),DAY(OneWeekMtgRatesDataTable75[[#This Row],[asOf]]))</f>
        <v>41493</v>
      </c>
      <c r="N570" s="21">
        <v>4.4000000000000004</v>
      </c>
      <c r="O570" s="21">
        <v>0.7</v>
      </c>
      <c r="P570" s="21">
        <v>4.3250000000000002</v>
      </c>
    </row>
    <row r="571" spans="8:16">
      <c r="H571" s="21"/>
      <c r="I571" s="21"/>
      <c r="J571" s="52"/>
      <c r="K571" s="21"/>
      <c r="L571" s="21" t="s">
        <v>1088</v>
      </c>
      <c r="M571" s="25">
        <f>DATE(YEAR(OneWeekMtgRatesDataTable75[[#This Row],[asOf]]),MONTH(OneWeekMtgRatesDataTable75[[#This Row],[asOf]]),DAY(OneWeekMtgRatesDataTable75[[#This Row],[asOf]]))</f>
        <v>41492</v>
      </c>
      <c r="N571" s="21">
        <v>4.4000000000000004</v>
      </c>
      <c r="O571" s="21">
        <v>0.7</v>
      </c>
      <c r="P571" s="21">
        <v>4.3250000000000002</v>
      </c>
    </row>
    <row r="572" spans="8:16">
      <c r="H572" s="21"/>
      <c r="I572" s="21"/>
      <c r="J572" s="52"/>
      <c r="K572" s="21"/>
      <c r="L572" s="21" t="s">
        <v>1087</v>
      </c>
      <c r="M572" s="25">
        <f>DATE(YEAR(OneWeekMtgRatesDataTable75[[#This Row],[asOf]]),MONTH(OneWeekMtgRatesDataTable75[[#This Row],[asOf]]),DAY(OneWeekMtgRatesDataTable75[[#This Row],[asOf]]))</f>
        <v>41491</v>
      </c>
      <c r="N572" s="21">
        <v>4.4000000000000004</v>
      </c>
      <c r="O572" s="21">
        <v>0.7</v>
      </c>
      <c r="P572" s="21">
        <v>4.3250000000000002</v>
      </c>
    </row>
    <row r="573" spans="8:16">
      <c r="H573" s="21"/>
      <c r="I573" s="21"/>
      <c r="J573" s="52"/>
      <c r="K573" s="21"/>
      <c r="L573" s="21" t="s">
        <v>1086</v>
      </c>
      <c r="M573" s="25">
        <f>DATE(YEAR(OneWeekMtgRatesDataTable75[[#This Row],[asOf]]),MONTH(OneWeekMtgRatesDataTable75[[#This Row],[asOf]]),DAY(OneWeekMtgRatesDataTable75[[#This Row],[asOf]]))</f>
        <v>41488</v>
      </c>
      <c r="N573" s="21">
        <v>4.4000000000000004</v>
      </c>
      <c r="O573" s="21">
        <v>0.7</v>
      </c>
      <c r="P573" s="21">
        <v>4.3250000000000002</v>
      </c>
    </row>
    <row r="574" spans="8:16">
      <c r="H574" s="21"/>
      <c r="I574" s="21"/>
      <c r="J574" s="52"/>
      <c r="K574" s="21"/>
      <c r="L574" s="21" t="s">
        <v>1085</v>
      </c>
      <c r="M574" s="25">
        <f>DATE(YEAR(OneWeekMtgRatesDataTable75[[#This Row],[asOf]]),MONTH(OneWeekMtgRatesDataTable75[[#This Row],[asOf]]),DAY(OneWeekMtgRatesDataTable75[[#This Row],[asOf]]))</f>
        <v>41487</v>
      </c>
      <c r="N574" s="21">
        <v>4.4000000000000004</v>
      </c>
      <c r="O574" s="21">
        <v>0.7</v>
      </c>
      <c r="P574" s="21">
        <v>4.3250000000000002</v>
      </c>
    </row>
    <row r="575" spans="8:16">
      <c r="H575" s="21"/>
      <c r="I575" s="21"/>
      <c r="J575" s="52"/>
      <c r="K575" s="21"/>
      <c r="L575" s="21" t="s">
        <v>1084</v>
      </c>
      <c r="M575" s="25">
        <f>DATE(YEAR(OneWeekMtgRatesDataTable75[[#This Row],[asOf]]),MONTH(OneWeekMtgRatesDataTable75[[#This Row],[asOf]]),DAY(OneWeekMtgRatesDataTable75[[#This Row],[asOf]]))</f>
        <v>41486</v>
      </c>
      <c r="N575" s="21">
        <v>4.3899999999999997</v>
      </c>
      <c r="O575" s="21">
        <v>0.7</v>
      </c>
      <c r="P575" s="21">
        <v>4.3149999999999995</v>
      </c>
    </row>
    <row r="576" spans="8:16">
      <c r="H576" s="21"/>
      <c r="I576" s="21"/>
      <c r="J576" s="52"/>
      <c r="K576" s="21"/>
      <c r="L576" s="21" t="s">
        <v>1083</v>
      </c>
      <c r="M576" s="25">
        <f>DATE(YEAR(OneWeekMtgRatesDataTable75[[#This Row],[asOf]]),MONTH(OneWeekMtgRatesDataTable75[[#This Row],[asOf]]),DAY(OneWeekMtgRatesDataTable75[[#This Row],[asOf]]))</f>
        <v>41485</v>
      </c>
      <c r="N576" s="21">
        <v>4.3899999999999997</v>
      </c>
      <c r="O576" s="21">
        <v>0.7</v>
      </c>
      <c r="P576" s="21">
        <v>4.3149999999999995</v>
      </c>
    </row>
    <row r="577" spans="8:16">
      <c r="H577" s="21"/>
      <c r="I577" s="21"/>
      <c r="J577" s="52"/>
      <c r="K577" s="21"/>
      <c r="L577" s="21" t="s">
        <v>1082</v>
      </c>
      <c r="M577" s="25">
        <f>DATE(YEAR(OneWeekMtgRatesDataTable75[[#This Row],[asOf]]),MONTH(OneWeekMtgRatesDataTable75[[#This Row],[asOf]]),DAY(OneWeekMtgRatesDataTable75[[#This Row],[asOf]]))</f>
        <v>41484</v>
      </c>
      <c r="N577" s="21">
        <v>4.3899999999999997</v>
      </c>
      <c r="O577" s="21">
        <v>0.7</v>
      </c>
      <c r="P577" s="21">
        <v>4.3149999999999995</v>
      </c>
    </row>
    <row r="578" spans="8:16">
      <c r="H578" s="21"/>
      <c r="I578" s="21"/>
      <c r="J578" s="52"/>
      <c r="K578" s="21"/>
      <c r="L578" s="21" t="s">
        <v>1081</v>
      </c>
      <c r="M578" s="25">
        <f>DATE(YEAR(OneWeekMtgRatesDataTable75[[#This Row],[asOf]]),MONTH(OneWeekMtgRatesDataTable75[[#This Row],[asOf]]),DAY(OneWeekMtgRatesDataTable75[[#This Row],[asOf]]))</f>
        <v>41481</v>
      </c>
      <c r="N578" s="21">
        <v>4.3899999999999997</v>
      </c>
      <c r="O578" s="21">
        <v>0.7</v>
      </c>
      <c r="P578" s="21">
        <v>4.3149999999999995</v>
      </c>
    </row>
    <row r="579" spans="8:16">
      <c r="H579" s="21"/>
      <c r="I579" s="21"/>
      <c r="J579" s="52"/>
      <c r="K579" s="21"/>
      <c r="L579" s="21" t="s">
        <v>1080</v>
      </c>
      <c r="M579" s="25">
        <f>DATE(YEAR(OneWeekMtgRatesDataTable75[[#This Row],[asOf]]),MONTH(OneWeekMtgRatesDataTable75[[#This Row],[asOf]]),DAY(OneWeekMtgRatesDataTable75[[#This Row],[asOf]]))</f>
        <v>41480</v>
      </c>
      <c r="N579" s="21">
        <v>4.3899999999999997</v>
      </c>
      <c r="O579" s="21">
        <v>0.7</v>
      </c>
      <c r="P579" s="21">
        <v>4.3149999999999995</v>
      </c>
    </row>
    <row r="580" spans="8:16">
      <c r="H580" s="21"/>
      <c r="I580" s="21"/>
      <c r="J580" s="52"/>
      <c r="K580" s="21"/>
      <c r="L580" s="21" t="s">
        <v>1079</v>
      </c>
      <c r="M580" s="25">
        <f>DATE(YEAR(OneWeekMtgRatesDataTable75[[#This Row],[asOf]]),MONTH(OneWeekMtgRatesDataTable75[[#This Row],[asOf]]),DAY(OneWeekMtgRatesDataTable75[[#This Row],[asOf]]))</f>
        <v>41479</v>
      </c>
      <c r="N580" s="21">
        <v>4.3099999999999996</v>
      </c>
      <c r="O580" s="21">
        <v>0.8</v>
      </c>
      <c r="P580" s="21">
        <v>4.26</v>
      </c>
    </row>
    <row r="581" spans="8:16">
      <c r="H581" s="21"/>
      <c r="I581" s="21"/>
      <c r="J581" s="52"/>
      <c r="K581" s="21"/>
      <c r="L581" s="21" t="s">
        <v>1078</v>
      </c>
      <c r="M581" s="25">
        <f>DATE(YEAR(OneWeekMtgRatesDataTable75[[#This Row],[asOf]]),MONTH(OneWeekMtgRatesDataTable75[[#This Row],[asOf]]),DAY(OneWeekMtgRatesDataTable75[[#This Row],[asOf]]))</f>
        <v>41478</v>
      </c>
      <c r="N581" s="21">
        <v>4.3099999999999996</v>
      </c>
      <c r="O581" s="21">
        <v>0.8</v>
      </c>
      <c r="P581" s="21">
        <v>4.26</v>
      </c>
    </row>
    <row r="582" spans="8:16">
      <c r="H582" s="21"/>
      <c r="I582" s="21"/>
      <c r="J582" s="52"/>
      <c r="K582" s="21"/>
      <c r="L582" s="21" t="s">
        <v>1077</v>
      </c>
      <c r="M582" s="25">
        <f>DATE(YEAR(OneWeekMtgRatesDataTable75[[#This Row],[asOf]]),MONTH(OneWeekMtgRatesDataTable75[[#This Row],[asOf]]),DAY(OneWeekMtgRatesDataTable75[[#This Row],[asOf]]))</f>
        <v>41477</v>
      </c>
      <c r="N582" s="21">
        <v>4.3099999999999996</v>
      </c>
      <c r="O582" s="21">
        <v>0.8</v>
      </c>
      <c r="P582" s="21">
        <v>4.26</v>
      </c>
    </row>
    <row r="583" spans="8:16">
      <c r="H583" s="21"/>
      <c r="I583" s="21"/>
      <c r="J583" s="52"/>
      <c r="K583" s="21"/>
      <c r="L583" s="21" t="s">
        <v>1076</v>
      </c>
      <c r="M583" s="25">
        <f>DATE(YEAR(OneWeekMtgRatesDataTable75[[#This Row],[asOf]]),MONTH(OneWeekMtgRatesDataTable75[[#This Row],[asOf]]),DAY(OneWeekMtgRatesDataTable75[[#This Row],[asOf]]))</f>
        <v>41474</v>
      </c>
      <c r="N583" s="21">
        <v>4.3099999999999996</v>
      </c>
      <c r="O583" s="21">
        <v>0.8</v>
      </c>
      <c r="P583" s="21">
        <v>4.26</v>
      </c>
    </row>
    <row r="584" spans="8:16">
      <c r="H584" s="21"/>
      <c r="I584" s="21"/>
      <c r="J584" s="52"/>
      <c r="K584" s="21"/>
      <c r="L584" s="21" t="s">
        <v>1075</v>
      </c>
      <c r="M584" s="25">
        <f>DATE(YEAR(OneWeekMtgRatesDataTable75[[#This Row],[asOf]]),MONTH(OneWeekMtgRatesDataTable75[[#This Row],[asOf]]),DAY(OneWeekMtgRatesDataTable75[[#This Row],[asOf]]))</f>
        <v>41473</v>
      </c>
      <c r="N584" s="21">
        <v>4.3099999999999996</v>
      </c>
      <c r="O584" s="21">
        <v>0.8</v>
      </c>
      <c r="P584" s="21">
        <v>4.26</v>
      </c>
    </row>
    <row r="585" spans="8:16">
      <c r="H585" s="21"/>
      <c r="I585" s="21"/>
      <c r="J585" s="52"/>
      <c r="K585" s="21"/>
      <c r="L585" s="21" t="s">
        <v>1074</v>
      </c>
      <c r="M585" s="25">
        <f>DATE(YEAR(OneWeekMtgRatesDataTable75[[#This Row],[asOf]]),MONTH(OneWeekMtgRatesDataTable75[[#This Row],[asOf]]),DAY(OneWeekMtgRatesDataTable75[[#This Row],[asOf]]))</f>
        <v>41472</v>
      </c>
      <c r="N585" s="21">
        <v>4.37</v>
      </c>
      <c r="O585" s="21">
        <v>0.7</v>
      </c>
      <c r="P585" s="21">
        <v>4.2949999999999999</v>
      </c>
    </row>
    <row r="586" spans="8:16">
      <c r="H586" s="21"/>
      <c r="I586" s="21"/>
      <c r="J586" s="52"/>
      <c r="K586" s="21"/>
      <c r="L586" s="21" t="s">
        <v>1073</v>
      </c>
      <c r="M586" s="25">
        <f>DATE(YEAR(OneWeekMtgRatesDataTable75[[#This Row],[asOf]]),MONTH(OneWeekMtgRatesDataTable75[[#This Row],[asOf]]),DAY(OneWeekMtgRatesDataTable75[[#This Row],[asOf]]))</f>
        <v>41471</v>
      </c>
      <c r="N586" s="21">
        <v>4.37</v>
      </c>
      <c r="O586" s="21">
        <v>0.7</v>
      </c>
      <c r="P586" s="21">
        <v>4.2949999999999999</v>
      </c>
    </row>
    <row r="587" spans="8:16">
      <c r="H587" s="21"/>
      <c r="I587" s="21"/>
      <c r="J587" s="52"/>
      <c r="K587" s="21"/>
      <c r="L587" s="21" t="s">
        <v>1072</v>
      </c>
      <c r="M587" s="25">
        <f>DATE(YEAR(OneWeekMtgRatesDataTable75[[#This Row],[asOf]]),MONTH(OneWeekMtgRatesDataTable75[[#This Row],[asOf]]),DAY(OneWeekMtgRatesDataTable75[[#This Row],[asOf]]))</f>
        <v>41470</v>
      </c>
      <c r="N587" s="21">
        <v>4.37</v>
      </c>
      <c r="O587" s="21">
        <v>0.7</v>
      </c>
      <c r="P587" s="21">
        <v>4.2949999999999999</v>
      </c>
    </row>
    <row r="588" spans="8:16">
      <c r="H588" s="21"/>
      <c r="I588" s="21"/>
      <c r="J588" s="52"/>
      <c r="K588" s="21"/>
      <c r="L588" s="21" t="s">
        <v>1071</v>
      </c>
      <c r="M588" s="25">
        <f>DATE(YEAR(OneWeekMtgRatesDataTable75[[#This Row],[asOf]]),MONTH(OneWeekMtgRatesDataTable75[[#This Row],[asOf]]),DAY(OneWeekMtgRatesDataTable75[[#This Row],[asOf]]))</f>
        <v>41467</v>
      </c>
      <c r="N588" s="21">
        <v>4.37</v>
      </c>
      <c r="O588" s="21">
        <v>0.7</v>
      </c>
      <c r="P588" s="21">
        <v>4.2949999999999999</v>
      </c>
    </row>
    <row r="589" spans="8:16">
      <c r="H589" s="21"/>
      <c r="I589" s="21"/>
      <c r="J589" s="52"/>
      <c r="K589" s="21"/>
      <c r="L589" s="21" t="s">
        <v>1070</v>
      </c>
      <c r="M589" s="25">
        <f>DATE(YEAR(OneWeekMtgRatesDataTable75[[#This Row],[asOf]]),MONTH(OneWeekMtgRatesDataTable75[[#This Row],[asOf]]),DAY(OneWeekMtgRatesDataTable75[[#This Row],[asOf]]))</f>
        <v>41466</v>
      </c>
      <c r="N589" s="21">
        <v>4.37</v>
      </c>
      <c r="O589" s="21">
        <v>0.7</v>
      </c>
      <c r="P589" s="21">
        <v>4.2949999999999999</v>
      </c>
    </row>
    <row r="590" spans="8:16">
      <c r="H590" s="21"/>
      <c r="I590" s="21"/>
      <c r="J590" s="52"/>
      <c r="K590" s="21"/>
      <c r="L590" s="21" t="s">
        <v>1069</v>
      </c>
      <c r="M590" s="25">
        <f>DATE(YEAR(OneWeekMtgRatesDataTable75[[#This Row],[asOf]]),MONTH(OneWeekMtgRatesDataTable75[[#This Row],[asOf]]),DAY(OneWeekMtgRatesDataTable75[[#This Row],[asOf]]))</f>
        <v>41465</v>
      </c>
      <c r="N590" s="21">
        <v>4.51</v>
      </c>
      <c r="O590" s="21">
        <v>0.8</v>
      </c>
      <c r="P590" s="21">
        <v>4.46</v>
      </c>
    </row>
    <row r="591" spans="8:16">
      <c r="H591" s="21"/>
      <c r="I591" s="21"/>
      <c r="J591" s="52"/>
      <c r="K591" s="21"/>
      <c r="L591" s="21" t="s">
        <v>1068</v>
      </c>
      <c r="M591" s="25">
        <f>DATE(YEAR(OneWeekMtgRatesDataTable75[[#This Row],[asOf]]),MONTH(OneWeekMtgRatesDataTable75[[#This Row],[asOf]]),DAY(OneWeekMtgRatesDataTable75[[#This Row],[asOf]]))</f>
        <v>41464</v>
      </c>
      <c r="N591" s="21">
        <v>4.51</v>
      </c>
      <c r="O591" s="21">
        <v>0.8</v>
      </c>
      <c r="P591" s="21">
        <v>4.46</v>
      </c>
    </row>
    <row r="592" spans="8:16">
      <c r="H592" s="21"/>
      <c r="I592" s="21"/>
      <c r="J592" s="52"/>
      <c r="K592" s="21"/>
      <c r="L592" s="21" t="s">
        <v>1067</v>
      </c>
      <c r="M592" s="25">
        <f>DATE(YEAR(OneWeekMtgRatesDataTable75[[#This Row],[asOf]]),MONTH(OneWeekMtgRatesDataTable75[[#This Row],[asOf]]),DAY(OneWeekMtgRatesDataTable75[[#This Row],[asOf]]))</f>
        <v>41463</v>
      </c>
      <c r="N592" s="21">
        <v>4.51</v>
      </c>
      <c r="O592" s="21">
        <v>0.8</v>
      </c>
      <c r="P592" s="21">
        <v>4.46</v>
      </c>
    </row>
    <row r="593" spans="8:16">
      <c r="H593" s="21"/>
      <c r="I593" s="21"/>
      <c r="J593" s="52"/>
      <c r="K593" s="21"/>
      <c r="L593" s="21" t="s">
        <v>1066</v>
      </c>
      <c r="M593" s="25">
        <f>DATE(YEAR(OneWeekMtgRatesDataTable75[[#This Row],[asOf]]),MONTH(OneWeekMtgRatesDataTable75[[#This Row],[asOf]]),DAY(OneWeekMtgRatesDataTable75[[#This Row],[asOf]]))</f>
        <v>41460</v>
      </c>
      <c r="N593" s="21">
        <v>4.51</v>
      </c>
      <c r="O593" s="21">
        <v>0.8</v>
      </c>
      <c r="P593" s="21">
        <v>4.46</v>
      </c>
    </row>
    <row r="594" spans="8:16">
      <c r="H594" s="21"/>
      <c r="I594" s="21"/>
      <c r="J594" s="52"/>
      <c r="K594" s="21"/>
      <c r="L594" s="21" t="s">
        <v>1064</v>
      </c>
      <c r="M594" s="25">
        <f>DATE(YEAR(OneWeekMtgRatesDataTable75[[#This Row],[asOf]]),MONTH(OneWeekMtgRatesDataTable75[[#This Row],[asOf]]),DAY(OneWeekMtgRatesDataTable75[[#This Row],[asOf]]))</f>
        <v>41457</v>
      </c>
      <c r="N594" s="21">
        <v>4.29</v>
      </c>
      <c r="O594" s="21">
        <v>0.7</v>
      </c>
      <c r="P594" s="21">
        <v>4.2149999999999999</v>
      </c>
    </row>
    <row r="595" spans="8:16">
      <c r="H595" s="21"/>
      <c r="I595" s="21"/>
      <c r="J595" s="52"/>
      <c r="K595" s="21"/>
      <c r="L595" s="21" t="s">
        <v>1063</v>
      </c>
      <c r="M595" s="25">
        <f>DATE(YEAR(OneWeekMtgRatesDataTable75[[#This Row],[asOf]]),MONTH(OneWeekMtgRatesDataTable75[[#This Row],[asOf]]),DAY(OneWeekMtgRatesDataTable75[[#This Row],[asOf]]))</f>
        <v>41456</v>
      </c>
      <c r="N595" s="21">
        <v>4.29</v>
      </c>
      <c r="O595" s="21">
        <v>0.7</v>
      </c>
      <c r="P595" s="21">
        <v>4.2149999999999999</v>
      </c>
    </row>
    <row r="596" spans="8:16">
      <c r="H596" s="21"/>
      <c r="I596" s="21"/>
      <c r="J596" s="52"/>
      <c r="K596" s="21"/>
      <c r="L596" s="21" t="s">
        <v>1062</v>
      </c>
      <c r="M596" s="25">
        <f>DATE(YEAR(OneWeekMtgRatesDataTable75[[#This Row],[asOf]]),MONTH(OneWeekMtgRatesDataTable75[[#This Row],[asOf]]),DAY(OneWeekMtgRatesDataTable75[[#This Row],[asOf]]))</f>
        <v>41453</v>
      </c>
      <c r="N596" s="21">
        <v>4.29</v>
      </c>
      <c r="O596" s="21">
        <v>0.7</v>
      </c>
      <c r="P596" s="21">
        <v>4.2149999999999999</v>
      </c>
    </row>
    <row r="597" spans="8:16">
      <c r="H597" s="21"/>
      <c r="I597" s="21"/>
      <c r="J597" s="52"/>
      <c r="K597" s="21"/>
      <c r="L597" s="21" t="s">
        <v>1061</v>
      </c>
      <c r="M597" s="25">
        <f>DATE(YEAR(OneWeekMtgRatesDataTable75[[#This Row],[asOf]]),MONTH(OneWeekMtgRatesDataTable75[[#This Row],[asOf]]),DAY(OneWeekMtgRatesDataTable75[[#This Row],[asOf]]))</f>
        <v>41452</v>
      </c>
      <c r="N597" s="21">
        <v>4.29</v>
      </c>
      <c r="O597" s="21">
        <v>0.7</v>
      </c>
      <c r="P597" s="21">
        <v>4.2149999999999999</v>
      </c>
    </row>
    <row r="598" spans="8:16">
      <c r="H598" s="21"/>
      <c r="I598" s="21"/>
      <c r="J598" s="52"/>
      <c r="K598" s="21"/>
      <c r="L598" s="21" t="s">
        <v>1060</v>
      </c>
      <c r="M598" s="25">
        <f>DATE(YEAR(OneWeekMtgRatesDataTable75[[#This Row],[asOf]]),MONTH(OneWeekMtgRatesDataTable75[[#This Row],[asOf]]),DAY(OneWeekMtgRatesDataTable75[[#This Row],[asOf]]))</f>
        <v>41451</v>
      </c>
      <c r="N598" s="21">
        <v>4.29</v>
      </c>
      <c r="O598" s="21">
        <v>0.7</v>
      </c>
      <c r="P598" s="21">
        <v>4.2149999999999999</v>
      </c>
    </row>
    <row r="599" spans="8:16">
      <c r="H599" s="21"/>
      <c r="I599" s="21"/>
      <c r="J599" s="52"/>
      <c r="K599" s="21"/>
      <c r="L599" s="21" t="s">
        <v>1060</v>
      </c>
      <c r="M599" s="25">
        <f>DATE(YEAR(OneWeekMtgRatesDataTable75[[#This Row],[asOf]]),MONTH(OneWeekMtgRatesDataTable75[[#This Row],[asOf]]),DAY(OneWeekMtgRatesDataTable75[[#This Row],[asOf]]))</f>
        <v>41451</v>
      </c>
      <c r="N599" s="21">
        <v>4.46</v>
      </c>
      <c r="O599" s="21">
        <v>0.8</v>
      </c>
      <c r="P599" s="21">
        <v>4.41</v>
      </c>
    </row>
    <row r="600" spans="8:16">
      <c r="H600" s="21"/>
      <c r="I600" s="21"/>
      <c r="J600" s="52"/>
      <c r="K600" s="21"/>
      <c r="L600" s="21" t="s">
        <v>1059</v>
      </c>
      <c r="M600" s="25">
        <f>DATE(YEAR(OneWeekMtgRatesDataTable75[[#This Row],[asOf]]),MONTH(OneWeekMtgRatesDataTable75[[#This Row],[asOf]]),DAY(OneWeekMtgRatesDataTable75[[#This Row],[asOf]]))</f>
        <v>41450</v>
      </c>
      <c r="N600" s="21">
        <v>4.46</v>
      </c>
      <c r="O600" s="21">
        <v>0.8</v>
      </c>
      <c r="P600" s="21">
        <v>4.41</v>
      </c>
    </row>
    <row r="601" spans="8:16">
      <c r="H601" s="21"/>
      <c r="I601" s="21"/>
      <c r="J601" s="52"/>
      <c r="K601" s="21"/>
      <c r="L601" s="21" t="s">
        <v>1058</v>
      </c>
      <c r="M601" s="25">
        <f>DATE(YEAR(OneWeekMtgRatesDataTable75[[#This Row],[asOf]]),MONTH(OneWeekMtgRatesDataTable75[[#This Row],[asOf]]),DAY(OneWeekMtgRatesDataTable75[[#This Row],[asOf]]))</f>
        <v>41449</v>
      </c>
      <c r="N601" s="21">
        <v>4.46</v>
      </c>
      <c r="O601" s="21">
        <v>0.8</v>
      </c>
      <c r="P601" s="21">
        <v>4.41</v>
      </c>
    </row>
    <row r="602" spans="8:16">
      <c r="H602" s="21"/>
      <c r="I602" s="21"/>
      <c r="J602" s="52"/>
      <c r="K602" s="21"/>
      <c r="L602" s="21" t="s">
        <v>1057</v>
      </c>
      <c r="M602" s="25">
        <f>DATE(YEAR(OneWeekMtgRatesDataTable75[[#This Row],[asOf]]),MONTH(OneWeekMtgRatesDataTable75[[#This Row],[asOf]]),DAY(OneWeekMtgRatesDataTable75[[#This Row],[asOf]]))</f>
        <v>41446</v>
      </c>
      <c r="N602" s="21">
        <v>4.46</v>
      </c>
      <c r="O602" s="21">
        <v>0.8</v>
      </c>
      <c r="P602" s="21">
        <v>4.41</v>
      </c>
    </row>
    <row r="603" spans="8:16">
      <c r="H603" s="21"/>
      <c r="I603" s="21"/>
      <c r="J603" s="52"/>
      <c r="K603" s="21"/>
      <c r="L603" s="21" t="s">
        <v>1056</v>
      </c>
      <c r="M603" s="25">
        <f>DATE(YEAR(OneWeekMtgRatesDataTable75[[#This Row],[asOf]]),MONTH(OneWeekMtgRatesDataTable75[[#This Row],[asOf]]),DAY(OneWeekMtgRatesDataTable75[[#This Row],[asOf]]))</f>
        <v>41445</v>
      </c>
      <c r="N603" s="21">
        <v>4.46</v>
      </c>
      <c r="O603" s="21">
        <v>0.8</v>
      </c>
      <c r="P603" s="21">
        <v>4.41</v>
      </c>
    </row>
    <row r="604" spans="8:16">
      <c r="H604" s="21"/>
      <c r="I604" s="21"/>
      <c r="J604" s="52"/>
      <c r="K604" s="21"/>
      <c r="L604" s="21" t="s">
        <v>1055</v>
      </c>
      <c r="M604" s="25">
        <f>DATE(YEAR(OneWeekMtgRatesDataTable75[[#This Row],[asOf]]),MONTH(OneWeekMtgRatesDataTable75[[#This Row],[asOf]]),DAY(OneWeekMtgRatesDataTable75[[#This Row],[asOf]]))</f>
        <v>41444</v>
      </c>
      <c r="N604" s="21">
        <v>3.93</v>
      </c>
      <c r="O604" s="21">
        <v>0.8</v>
      </c>
      <c r="P604" s="21">
        <v>3.8800000000000003</v>
      </c>
    </row>
    <row r="605" spans="8:16">
      <c r="H605" s="21"/>
      <c r="I605" s="21"/>
      <c r="J605" s="52"/>
      <c r="K605" s="21"/>
      <c r="L605" s="21" t="s">
        <v>1054</v>
      </c>
      <c r="M605" s="25">
        <f>DATE(YEAR(OneWeekMtgRatesDataTable75[[#This Row],[asOf]]),MONTH(OneWeekMtgRatesDataTable75[[#This Row],[asOf]]),DAY(OneWeekMtgRatesDataTable75[[#This Row],[asOf]]))</f>
        <v>41443</v>
      </c>
      <c r="N605" s="21">
        <v>3.93</v>
      </c>
      <c r="O605" s="21">
        <v>0.8</v>
      </c>
      <c r="P605" s="21">
        <v>3.8800000000000003</v>
      </c>
    </row>
    <row r="606" spans="8:16">
      <c r="H606" s="21"/>
      <c r="I606" s="21"/>
      <c r="J606" s="52"/>
      <c r="K606" s="21"/>
      <c r="L606" s="21" t="s">
        <v>1053</v>
      </c>
      <c r="M606" s="25">
        <f>DATE(YEAR(OneWeekMtgRatesDataTable75[[#This Row],[asOf]]),MONTH(OneWeekMtgRatesDataTable75[[#This Row],[asOf]]),DAY(OneWeekMtgRatesDataTable75[[#This Row],[asOf]]))</f>
        <v>41442</v>
      </c>
      <c r="N606" s="21">
        <v>3.93</v>
      </c>
      <c r="O606" s="21">
        <v>0.8</v>
      </c>
      <c r="P606" s="21">
        <v>3.8800000000000003</v>
      </c>
    </row>
    <row r="607" spans="8:16">
      <c r="H607" s="21"/>
      <c r="I607" s="21"/>
      <c r="J607" s="52"/>
      <c r="K607" s="21"/>
      <c r="L607" s="21" t="s">
        <v>1052</v>
      </c>
      <c r="M607" s="25">
        <f>DATE(YEAR(OneWeekMtgRatesDataTable75[[#This Row],[asOf]]),MONTH(OneWeekMtgRatesDataTable75[[#This Row],[asOf]]),DAY(OneWeekMtgRatesDataTable75[[#This Row],[asOf]]))</f>
        <v>41439</v>
      </c>
      <c r="N607" s="21">
        <v>3.93</v>
      </c>
      <c r="O607" s="21">
        <v>0.8</v>
      </c>
      <c r="P607" s="21">
        <v>3.8800000000000003</v>
      </c>
    </row>
    <row r="608" spans="8:16">
      <c r="H608" s="21"/>
      <c r="I608" s="21"/>
      <c r="J608" s="52"/>
      <c r="K608" s="21"/>
      <c r="L608" s="21" t="s">
        <v>1051</v>
      </c>
      <c r="M608" s="25">
        <f>DATE(YEAR(OneWeekMtgRatesDataTable75[[#This Row],[asOf]]),MONTH(OneWeekMtgRatesDataTable75[[#This Row],[asOf]]),DAY(OneWeekMtgRatesDataTable75[[#This Row],[asOf]]))</f>
        <v>41438</v>
      </c>
      <c r="N608" s="21">
        <v>3.93</v>
      </c>
      <c r="O608" s="21">
        <v>0.8</v>
      </c>
      <c r="P608" s="21">
        <v>3.8800000000000003</v>
      </c>
    </row>
    <row r="609" spans="8:16">
      <c r="H609" s="21"/>
      <c r="I609" s="21"/>
      <c r="J609" s="52"/>
      <c r="K609" s="21"/>
      <c r="L609" s="21" t="s">
        <v>1050</v>
      </c>
      <c r="M609" s="25">
        <f>DATE(YEAR(OneWeekMtgRatesDataTable75[[#This Row],[asOf]]),MONTH(OneWeekMtgRatesDataTable75[[#This Row],[asOf]]),DAY(OneWeekMtgRatesDataTable75[[#This Row],[asOf]]))</f>
        <v>41437</v>
      </c>
      <c r="N609" s="21">
        <v>3.98</v>
      </c>
      <c r="O609" s="21">
        <v>0.7</v>
      </c>
      <c r="P609" s="21">
        <v>3.9049999999999998</v>
      </c>
    </row>
    <row r="610" spans="8:16">
      <c r="H610" s="21"/>
      <c r="I610" s="21"/>
      <c r="J610" s="52"/>
      <c r="K610" s="21"/>
      <c r="L610" s="21" t="s">
        <v>1049</v>
      </c>
      <c r="M610" s="25">
        <f>DATE(YEAR(OneWeekMtgRatesDataTable75[[#This Row],[asOf]]),MONTH(OneWeekMtgRatesDataTable75[[#This Row],[asOf]]),DAY(OneWeekMtgRatesDataTable75[[#This Row],[asOf]]))</f>
        <v>41436</v>
      </c>
      <c r="N610" s="21">
        <v>3.98</v>
      </c>
      <c r="O610" s="21">
        <v>0.7</v>
      </c>
      <c r="P610" s="21">
        <v>3.9049999999999998</v>
      </c>
    </row>
    <row r="611" spans="8:16">
      <c r="H611" s="21"/>
      <c r="I611" s="21"/>
      <c r="J611" s="52"/>
      <c r="K611" s="21"/>
      <c r="L611" s="21" t="s">
        <v>1048</v>
      </c>
      <c r="M611" s="25">
        <f>DATE(YEAR(OneWeekMtgRatesDataTable75[[#This Row],[asOf]]),MONTH(OneWeekMtgRatesDataTable75[[#This Row],[asOf]]),DAY(OneWeekMtgRatesDataTable75[[#This Row],[asOf]]))</f>
        <v>41435</v>
      </c>
      <c r="N611" s="21">
        <v>3.98</v>
      </c>
      <c r="O611" s="21">
        <v>0.7</v>
      </c>
      <c r="P611" s="21">
        <v>3.9049999999999998</v>
      </c>
    </row>
    <row r="612" spans="8:16">
      <c r="H612" s="21"/>
      <c r="I612" s="21"/>
      <c r="J612" s="52"/>
      <c r="K612" s="21"/>
      <c r="L612" s="21" t="s">
        <v>1047</v>
      </c>
      <c r="M612" s="25">
        <f>DATE(YEAR(OneWeekMtgRatesDataTable75[[#This Row],[asOf]]),MONTH(OneWeekMtgRatesDataTable75[[#This Row],[asOf]]),DAY(OneWeekMtgRatesDataTable75[[#This Row],[asOf]]))</f>
        <v>41432</v>
      </c>
      <c r="N612" s="21">
        <v>3.98</v>
      </c>
      <c r="O612" s="21">
        <v>0.7</v>
      </c>
      <c r="P612" s="21">
        <v>3.9049999999999998</v>
      </c>
    </row>
    <row r="613" spans="8:16">
      <c r="H613" s="21"/>
      <c r="I613" s="21"/>
      <c r="J613" s="52"/>
      <c r="K613" s="21"/>
      <c r="L613" s="21" t="s">
        <v>1046</v>
      </c>
      <c r="M613" s="25">
        <f>DATE(YEAR(OneWeekMtgRatesDataTable75[[#This Row],[asOf]]),MONTH(OneWeekMtgRatesDataTable75[[#This Row],[asOf]]),DAY(OneWeekMtgRatesDataTable75[[#This Row],[asOf]]))</f>
        <v>41431</v>
      </c>
      <c r="N613" s="21">
        <v>3.98</v>
      </c>
      <c r="O613" s="21">
        <v>0.7</v>
      </c>
      <c r="P613" s="21">
        <v>3.9049999999999998</v>
      </c>
    </row>
    <row r="614" spans="8:16">
      <c r="H614" s="21"/>
      <c r="I614" s="21"/>
      <c r="J614" s="52"/>
      <c r="K614" s="21"/>
      <c r="L614" s="21" t="s">
        <v>1045</v>
      </c>
      <c r="M614" s="25">
        <f>DATE(YEAR(OneWeekMtgRatesDataTable75[[#This Row],[asOf]]),MONTH(OneWeekMtgRatesDataTable75[[#This Row],[asOf]]),DAY(OneWeekMtgRatesDataTable75[[#This Row],[asOf]]))</f>
        <v>41430</v>
      </c>
      <c r="N614" s="21">
        <v>3.91</v>
      </c>
      <c r="O614" s="21">
        <v>0.7</v>
      </c>
      <c r="P614" s="21">
        <v>3.835</v>
      </c>
    </row>
    <row r="615" spans="8:16">
      <c r="H615" s="21"/>
      <c r="I615" s="21"/>
      <c r="J615" s="52"/>
      <c r="K615" s="21"/>
      <c r="L615" s="21" t="s">
        <v>1044</v>
      </c>
      <c r="M615" s="25">
        <f>DATE(YEAR(OneWeekMtgRatesDataTable75[[#This Row],[asOf]]),MONTH(OneWeekMtgRatesDataTable75[[#This Row],[asOf]]),DAY(OneWeekMtgRatesDataTable75[[#This Row],[asOf]]))</f>
        <v>41429</v>
      </c>
      <c r="N615" s="21">
        <v>3.91</v>
      </c>
      <c r="O615" s="21">
        <v>0.7</v>
      </c>
      <c r="P615" s="21">
        <v>3.835</v>
      </c>
    </row>
    <row r="616" spans="8:16">
      <c r="H616" s="21"/>
      <c r="I616" s="21"/>
      <c r="J616" s="52"/>
      <c r="K616" s="21"/>
      <c r="L616" s="21" t="s">
        <v>1043</v>
      </c>
      <c r="M616" s="25">
        <f>DATE(YEAR(OneWeekMtgRatesDataTable75[[#This Row],[asOf]]),MONTH(OneWeekMtgRatesDataTable75[[#This Row],[asOf]]),DAY(OneWeekMtgRatesDataTable75[[#This Row],[asOf]]))</f>
        <v>41428</v>
      </c>
      <c r="N616" s="21">
        <v>3.91</v>
      </c>
      <c r="O616" s="21">
        <v>0.7</v>
      </c>
      <c r="P616" s="21">
        <v>3.835</v>
      </c>
    </row>
    <row r="617" spans="8:16">
      <c r="H617" s="21"/>
      <c r="I617" s="21"/>
      <c r="J617" s="52"/>
      <c r="K617" s="21"/>
      <c r="L617" s="21" t="s">
        <v>1042</v>
      </c>
      <c r="M617" s="25">
        <f>DATE(YEAR(OneWeekMtgRatesDataTable75[[#This Row],[asOf]]),MONTH(OneWeekMtgRatesDataTable75[[#This Row],[asOf]]),DAY(OneWeekMtgRatesDataTable75[[#This Row],[asOf]]))</f>
        <v>41425</v>
      </c>
      <c r="N617" s="21">
        <v>3.91</v>
      </c>
      <c r="O617" s="21">
        <v>0.7</v>
      </c>
      <c r="P617" s="21">
        <v>3.835</v>
      </c>
    </row>
    <row r="618" spans="8:16">
      <c r="H618" s="21"/>
      <c r="I618" s="21"/>
      <c r="J618" s="52"/>
      <c r="K618" s="21"/>
      <c r="L618" s="21" t="s">
        <v>1041</v>
      </c>
      <c r="M618" s="25">
        <f>DATE(YEAR(OneWeekMtgRatesDataTable75[[#This Row],[asOf]]),MONTH(OneWeekMtgRatesDataTable75[[#This Row],[asOf]]),DAY(OneWeekMtgRatesDataTable75[[#This Row],[asOf]]))</f>
        <v>41424</v>
      </c>
      <c r="N618" s="21">
        <v>3.91</v>
      </c>
      <c r="O618" s="21">
        <v>0.7</v>
      </c>
      <c r="P618" s="21">
        <v>3.835</v>
      </c>
    </row>
    <row r="619" spans="8:16">
      <c r="H619" s="21"/>
      <c r="I619" s="21"/>
      <c r="J619" s="52"/>
      <c r="K619" s="21"/>
      <c r="L619" s="21" t="s">
        <v>1040</v>
      </c>
      <c r="M619" s="25">
        <f>DATE(YEAR(OneWeekMtgRatesDataTable75[[#This Row],[asOf]]),MONTH(OneWeekMtgRatesDataTable75[[#This Row],[asOf]]),DAY(OneWeekMtgRatesDataTable75[[#This Row],[asOf]]))</f>
        <v>41423</v>
      </c>
      <c r="N619" s="21">
        <v>3.81</v>
      </c>
      <c r="O619" s="21">
        <v>0.8</v>
      </c>
      <c r="P619" s="21">
        <v>3.7600000000000002</v>
      </c>
    </row>
    <row r="620" spans="8:16">
      <c r="H620" s="21"/>
      <c r="I620" s="21"/>
      <c r="J620" s="52"/>
      <c r="K620" s="21"/>
      <c r="L620" s="21" t="s">
        <v>1039</v>
      </c>
      <c r="M620" s="25">
        <f>DATE(YEAR(OneWeekMtgRatesDataTable75[[#This Row],[asOf]]),MONTH(OneWeekMtgRatesDataTable75[[#This Row],[asOf]]),DAY(OneWeekMtgRatesDataTable75[[#This Row],[asOf]]))</f>
        <v>41422</v>
      </c>
      <c r="N620" s="21">
        <v>3.81</v>
      </c>
      <c r="O620" s="21">
        <v>0.8</v>
      </c>
      <c r="P620" s="21">
        <v>3.7600000000000002</v>
      </c>
    </row>
    <row r="621" spans="8:16">
      <c r="H621" s="21"/>
      <c r="I621" s="21"/>
      <c r="J621" s="52"/>
      <c r="K621" s="21"/>
      <c r="L621" s="21" t="s">
        <v>1038</v>
      </c>
      <c r="M621" s="25">
        <f>DATE(YEAR(OneWeekMtgRatesDataTable75[[#This Row],[asOf]]),MONTH(OneWeekMtgRatesDataTable75[[#This Row],[asOf]]),DAY(OneWeekMtgRatesDataTable75[[#This Row],[asOf]]))</f>
        <v>41418</v>
      </c>
      <c r="N621" s="21">
        <v>3.81</v>
      </c>
      <c r="O621" s="21">
        <v>0.8</v>
      </c>
      <c r="P621" s="21">
        <v>3.7600000000000002</v>
      </c>
    </row>
    <row r="622" spans="8:16">
      <c r="H622" s="21"/>
      <c r="I622" s="21"/>
      <c r="J622" s="52"/>
      <c r="K622" s="21"/>
      <c r="L622" s="21" t="s">
        <v>1037</v>
      </c>
      <c r="M622" s="25">
        <f>DATE(YEAR(OneWeekMtgRatesDataTable75[[#This Row],[asOf]]),MONTH(OneWeekMtgRatesDataTable75[[#This Row],[asOf]]),DAY(OneWeekMtgRatesDataTable75[[#This Row],[asOf]]))</f>
        <v>41417</v>
      </c>
      <c r="N622" s="21">
        <v>3.81</v>
      </c>
      <c r="O622" s="21">
        <v>0.8</v>
      </c>
      <c r="P622" s="21">
        <v>3.7600000000000002</v>
      </c>
    </row>
    <row r="623" spans="8:16">
      <c r="H623" s="21"/>
      <c r="I623" s="21"/>
      <c r="J623" s="52"/>
      <c r="K623" s="21"/>
      <c r="L623" s="21" t="s">
        <v>1036</v>
      </c>
      <c r="M623" s="25">
        <f>DATE(YEAR(OneWeekMtgRatesDataTable75[[#This Row],[asOf]]),MONTH(OneWeekMtgRatesDataTable75[[#This Row],[asOf]]),DAY(OneWeekMtgRatesDataTable75[[#This Row],[asOf]]))</f>
        <v>41416</v>
      </c>
      <c r="N623" s="21">
        <v>3.59</v>
      </c>
      <c r="O623" s="21">
        <v>0.7</v>
      </c>
      <c r="P623" s="21">
        <v>3.5149999999999997</v>
      </c>
    </row>
    <row r="624" spans="8:16">
      <c r="H624" s="21"/>
      <c r="I624" s="21"/>
      <c r="J624" s="52"/>
      <c r="K624" s="21"/>
      <c r="L624" s="21" t="s">
        <v>1035</v>
      </c>
      <c r="M624" s="25">
        <f>DATE(YEAR(OneWeekMtgRatesDataTable75[[#This Row],[asOf]]),MONTH(OneWeekMtgRatesDataTable75[[#This Row],[asOf]]),DAY(OneWeekMtgRatesDataTable75[[#This Row],[asOf]]))</f>
        <v>41415</v>
      </c>
      <c r="N624" s="21">
        <v>3.59</v>
      </c>
      <c r="O624" s="21">
        <v>0.7</v>
      </c>
      <c r="P624" s="21">
        <v>3.5149999999999997</v>
      </c>
    </row>
    <row r="625" spans="8:16">
      <c r="H625" s="21"/>
      <c r="I625" s="21"/>
      <c r="J625" s="52"/>
      <c r="K625" s="21"/>
      <c r="L625" s="21" t="s">
        <v>1034</v>
      </c>
      <c r="M625" s="25">
        <f>DATE(YEAR(OneWeekMtgRatesDataTable75[[#This Row],[asOf]]),MONTH(OneWeekMtgRatesDataTable75[[#This Row],[asOf]]),DAY(OneWeekMtgRatesDataTable75[[#This Row],[asOf]]))</f>
        <v>41414</v>
      </c>
      <c r="N625" s="21">
        <v>3.59</v>
      </c>
      <c r="O625" s="21">
        <v>0.7</v>
      </c>
      <c r="P625" s="21">
        <v>3.5149999999999997</v>
      </c>
    </row>
    <row r="626" spans="8:16">
      <c r="H626" s="21"/>
      <c r="I626" s="21"/>
      <c r="J626" s="52"/>
      <c r="K626" s="21"/>
      <c r="L626" s="21" t="s">
        <v>1033</v>
      </c>
      <c r="M626" s="25">
        <f>DATE(YEAR(OneWeekMtgRatesDataTable75[[#This Row],[asOf]]),MONTH(OneWeekMtgRatesDataTable75[[#This Row],[asOf]]),DAY(OneWeekMtgRatesDataTable75[[#This Row],[asOf]]))</f>
        <v>41411</v>
      </c>
      <c r="N626" s="21">
        <v>3.59</v>
      </c>
      <c r="O626" s="21">
        <v>0.7</v>
      </c>
      <c r="P626" s="21">
        <v>3.5149999999999997</v>
      </c>
    </row>
    <row r="627" spans="8:16">
      <c r="H627" s="21"/>
      <c r="I627" s="21"/>
      <c r="J627" s="52"/>
      <c r="K627" s="21"/>
      <c r="L627" s="21" t="s">
        <v>1032</v>
      </c>
      <c r="M627" s="25">
        <f>DATE(YEAR(OneWeekMtgRatesDataTable75[[#This Row],[asOf]]),MONTH(OneWeekMtgRatesDataTable75[[#This Row],[asOf]]),DAY(OneWeekMtgRatesDataTable75[[#This Row],[asOf]]))</f>
        <v>41410</v>
      </c>
      <c r="N627" s="21">
        <v>3.59</v>
      </c>
      <c r="O627" s="21">
        <v>0.7</v>
      </c>
      <c r="P627" s="21">
        <v>3.5149999999999997</v>
      </c>
    </row>
    <row r="628" spans="8:16">
      <c r="H628" s="21"/>
      <c r="I628" s="21"/>
      <c r="J628" s="52"/>
      <c r="K628" s="21"/>
      <c r="L628" s="21" t="s">
        <v>1031</v>
      </c>
      <c r="M628" s="25">
        <f>DATE(YEAR(OneWeekMtgRatesDataTable75[[#This Row],[asOf]]),MONTH(OneWeekMtgRatesDataTable75[[#This Row],[asOf]]),DAY(OneWeekMtgRatesDataTable75[[#This Row],[asOf]]))</f>
        <v>41409</v>
      </c>
      <c r="N628" s="21">
        <v>3.51</v>
      </c>
      <c r="O628" s="21">
        <v>0.7</v>
      </c>
      <c r="P628" s="21">
        <v>3.4349999999999996</v>
      </c>
    </row>
    <row r="629" spans="8:16">
      <c r="H629" s="21"/>
      <c r="I629" s="21"/>
      <c r="J629" s="52"/>
      <c r="K629" s="21"/>
      <c r="L629" s="21" t="s">
        <v>1030</v>
      </c>
      <c r="M629" s="25">
        <f>DATE(YEAR(OneWeekMtgRatesDataTable75[[#This Row],[asOf]]),MONTH(OneWeekMtgRatesDataTable75[[#This Row],[asOf]]),DAY(OneWeekMtgRatesDataTable75[[#This Row],[asOf]]))</f>
        <v>41408</v>
      </c>
      <c r="N629" s="21">
        <v>3.51</v>
      </c>
      <c r="O629" s="21">
        <v>0.7</v>
      </c>
      <c r="P629" s="21">
        <v>3.4349999999999996</v>
      </c>
    </row>
    <row r="630" spans="8:16">
      <c r="H630" s="21"/>
      <c r="I630" s="21"/>
      <c r="J630" s="52"/>
      <c r="K630" s="21"/>
      <c r="L630" s="21" t="s">
        <v>1029</v>
      </c>
      <c r="M630" s="25">
        <f>DATE(YEAR(OneWeekMtgRatesDataTable75[[#This Row],[asOf]]),MONTH(OneWeekMtgRatesDataTable75[[#This Row],[asOf]]),DAY(OneWeekMtgRatesDataTable75[[#This Row],[asOf]]))</f>
        <v>41407</v>
      </c>
      <c r="N630" s="21">
        <v>3.51</v>
      </c>
      <c r="O630" s="21">
        <v>0.7</v>
      </c>
      <c r="P630" s="21">
        <v>3.4349999999999996</v>
      </c>
    </row>
    <row r="631" spans="8:16">
      <c r="H631" s="21"/>
      <c r="I631" s="21"/>
      <c r="J631" s="52"/>
      <c r="K631" s="21"/>
      <c r="L631" s="21" t="s">
        <v>1028</v>
      </c>
      <c r="M631" s="25">
        <f>DATE(YEAR(OneWeekMtgRatesDataTable75[[#This Row],[asOf]]),MONTH(OneWeekMtgRatesDataTable75[[#This Row],[asOf]]),DAY(OneWeekMtgRatesDataTable75[[#This Row],[asOf]]))</f>
        <v>41404</v>
      </c>
      <c r="N631" s="21">
        <v>3.51</v>
      </c>
      <c r="O631" s="21">
        <v>0.7</v>
      </c>
      <c r="P631" s="21">
        <v>3.4349999999999996</v>
      </c>
    </row>
    <row r="632" spans="8:16">
      <c r="H632" s="21"/>
      <c r="I632" s="21"/>
      <c r="J632" s="52"/>
      <c r="K632" s="21"/>
      <c r="L632" s="21" t="s">
        <v>1027</v>
      </c>
      <c r="M632" s="25">
        <f>DATE(YEAR(OneWeekMtgRatesDataTable75[[#This Row],[asOf]]),MONTH(OneWeekMtgRatesDataTable75[[#This Row],[asOf]]),DAY(OneWeekMtgRatesDataTable75[[#This Row],[asOf]]))</f>
        <v>41403</v>
      </c>
      <c r="N632" s="21">
        <v>3.51</v>
      </c>
      <c r="O632" s="21">
        <v>0.7</v>
      </c>
      <c r="P632" s="21">
        <v>3.4349999999999996</v>
      </c>
    </row>
    <row r="633" spans="8:16">
      <c r="H633" s="21"/>
      <c r="I633" s="21"/>
      <c r="J633" s="52"/>
      <c r="K633" s="21"/>
      <c r="L633" s="21" t="s">
        <v>1026</v>
      </c>
      <c r="M633" s="25">
        <f>DATE(YEAR(OneWeekMtgRatesDataTable75[[#This Row],[asOf]]),MONTH(OneWeekMtgRatesDataTable75[[#This Row],[asOf]]),DAY(OneWeekMtgRatesDataTable75[[#This Row],[asOf]]))</f>
        <v>41402</v>
      </c>
      <c r="N633" s="21">
        <v>3.42</v>
      </c>
      <c r="O633" s="21">
        <v>0.7</v>
      </c>
      <c r="P633" s="21">
        <v>3.3449999999999998</v>
      </c>
    </row>
    <row r="634" spans="8:16">
      <c r="H634" s="21"/>
      <c r="I634" s="21"/>
      <c r="J634" s="52"/>
      <c r="K634" s="21"/>
      <c r="L634" s="21" t="s">
        <v>1025</v>
      </c>
      <c r="M634" s="25">
        <f>DATE(YEAR(OneWeekMtgRatesDataTable75[[#This Row],[asOf]]),MONTH(OneWeekMtgRatesDataTable75[[#This Row],[asOf]]),DAY(OneWeekMtgRatesDataTable75[[#This Row],[asOf]]))</f>
        <v>41401</v>
      </c>
      <c r="N634" s="21">
        <v>3.42</v>
      </c>
      <c r="O634" s="21">
        <v>0.7</v>
      </c>
      <c r="P634" s="21">
        <v>3.3449999999999998</v>
      </c>
    </row>
    <row r="635" spans="8:16">
      <c r="H635" s="21"/>
      <c r="I635" s="21"/>
      <c r="J635" s="52"/>
      <c r="K635" s="21"/>
      <c r="L635" s="21" t="s">
        <v>1024</v>
      </c>
      <c r="M635" s="25">
        <f>DATE(YEAR(OneWeekMtgRatesDataTable75[[#This Row],[asOf]]),MONTH(OneWeekMtgRatesDataTable75[[#This Row],[asOf]]),DAY(OneWeekMtgRatesDataTable75[[#This Row],[asOf]]))</f>
        <v>41400</v>
      </c>
      <c r="N635" s="21">
        <v>3.42</v>
      </c>
      <c r="O635" s="21">
        <v>0.7</v>
      </c>
      <c r="P635" s="21">
        <v>3.3449999999999998</v>
      </c>
    </row>
    <row r="636" spans="8:16">
      <c r="H636" s="21"/>
      <c r="I636" s="21"/>
      <c r="J636" s="52"/>
      <c r="K636" s="21"/>
      <c r="L636" s="21" t="s">
        <v>1023</v>
      </c>
      <c r="M636" s="25">
        <f>DATE(YEAR(OneWeekMtgRatesDataTable75[[#This Row],[asOf]]),MONTH(OneWeekMtgRatesDataTable75[[#This Row],[asOf]]),DAY(OneWeekMtgRatesDataTable75[[#This Row],[asOf]]))</f>
        <v>41397</v>
      </c>
      <c r="N636" s="21">
        <v>3.42</v>
      </c>
      <c r="O636" s="21">
        <v>0.7</v>
      </c>
      <c r="P636" s="21">
        <v>3.3449999999999998</v>
      </c>
    </row>
    <row r="637" spans="8:16">
      <c r="H637" s="21"/>
      <c r="I637" s="21"/>
      <c r="J637" s="52"/>
      <c r="K637" s="21"/>
      <c r="L637" s="21" t="s">
        <v>1022</v>
      </c>
      <c r="M637" s="25">
        <f>DATE(YEAR(OneWeekMtgRatesDataTable75[[#This Row],[asOf]]),MONTH(OneWeekMtgRatesDataTable75[[#This Row],[asOf]]),DAY(OneWeekMtgRatesDataTable75[[#This Row],[asOf]]))</f>
        <v>41396</v>
      </c>
      <c r="N637" s="21">
        <v>3.42</v>
      </c>
      <c r="O637" s="21">
        <v>0.7</v>
      </c>
      <c r="P637" s="21">
        <v>3.3449999999999998</v>
      </c>
    </row>
    <row r="638" spans="8:16">
      <c r="H638" s="21"/>
      <c r="I638" s="21"/>
      <c r="J638" s="52"/>
      <c r="K638" s="21"/>
      <c r="L638" s="21" t="s">
        <v>1021</v>
      </c>
      <c r="M638" s="25">
        <f>DATE(YEAR(OneWeekMtgRatesDataTable75[[#This Row],[asOf]]),MONTH(OneWeekMtgRatesDataTable75[[#This Row],[asOf]]),DAY(OneWeekMtgRatesDataTable75[[#This Row],[asOf]]))</f>
        <v>41395</v>
      </c>
      <c r="N638" s="21">
        <v>3.35</v>
      </c>
      <c r="O638" s="21">
        <v>0.7</v>
      </c>
      <c r="P638" s="21">
        <v>3.2749999999999999</v>
      </c>
    </row>
    <row r="639" spans="8:16">
      <c r="H639" s="21"/>
      <c r="I639" s="21"/>
      <c r="J639" s="52"/>
      <c r="K639" s="21"/>
      <c r="L639" s="21" t="s">
        <v>1020</v>
      </c>
      <c r="M639" s="25">
        <f>DATE(YEAR(OneWeekMtgRatesDataTable75[[#This Row],[asOf]]),MONTH(OneWeekMtgRatesDataTable75[[#This Row],[asOf]]),DAY(OneWeekMtgRatesDataTable75[[#This Row],[asOf]]))</f>
        <v>41394</v>
      </c>
      <c r="N639" s="21">
        <v>3.35</v>
      </c>
      <c r="O639" s="21">
        <v>0.7</v>
      </c>
      <c r="P639" s="21">
        <v>3.2749999999999999</v>
      </c>
    </row>
    <row r="640" spans="8:16">
      <c r="H640" s="21"/>
      <c r="I640" s="21"/>
      <c r="J640" s="52"/>
      <c r="K640" s="21"/>
      <c r="L640" s="21" t="s">
        <v>1019</v>
      </c>
      <c r="M640" s="25">
        <f>DATE(YEAR(OneWeekMtgRatesDataTable75[[#This Row],[asOf]]),MONTH(OneWeekMtgRatesDataTable75[[#This Row],[asOf]]),DAY(OneWeekMtgRatesDataTable75[[#This Row],[asOf]]))</f>
        <v>41393</v>
      </c>
      <c r="N640" s="21">
        <v>3.35</v>
      </c>
      <c r="O640" s="21">
        <v>0.7</v>
      </c>
      <c r="P640" s="21">
        <v>3.2749999999999999</v>
      </c>
    </row>
    <row r="641" spans="8:16">
      <c r="H641" s="21"/>
      <c r="I641" s="21"/>
      <c r="J641" s="52"/>
      <c r="K641" s="21"/>
      <c r="L641" s="21" t="s">
        <v>1018</v>
      </c>
      <c r="M641" s="25">
        <f>DATE(YEAR(OneWeekMtgRatesDataTable75[[#This Row],[asOf]]),MONTH(OneWeekMtgRatesDataTable75[[#This Row],[asOf]]),DAY(OneWeekMtgRatesDataTable75[[#This Row],[asOf]]))</f>
        <v>41390</v>
      </c>
      <c r="N641" s="21">
        <v>3.35</v>
      </c>
      <c r="O641" s="21">
        <v>0.7</v>
      </c>
      <c r="P641" s="21">
        <v>3.2749999999999999</v>
      </c>
    </row>
    <row r="642" spans="8:16">
      <c r="H642" s="21"/>
      <c r="I642" s="21"/>
      <c r="J642" s="52"/>
      <c r="K642" s="21"/>
      <c r="L642" s="21" t="s">
        <v>1017</v>
      </c>
      <c r="M642" s="25">
        <f>DATE(YEAR(OneWeekMtgRatesDataTable75[[#This Row],[asOf]]),MONTH(OneWeekMtgRatesDataTable75[[#This Row],[asOf]]),DAY(OneWeekMtgRatesDataTable75[[#This Row],[asOf]]))</f>
        <v>41389</v>
      </c>
      <c r="N642" s="21">
        <v>3.35</v>
      </c>
      <c r="O642" s="21">
        <v>0.7</v>
      </c>
      <c r="P642" s="21">
        <v>3.2749999999999999</v>
      </c>
    </row>
    <row r="643" spans="8:16">
      <c r="H643" s="21"/>
      <c r="I643" s="21"/>
      <c r="J643" s="52"/>
      <c r="K643" s="21"/>
      <c r="L643" s="21" t="s">
        <v>1016</v>
      </c>
      <c r="M643" s="25">
        <f>DATE(YEAR(OneWeekMtgRatesDataTable75[[#This Row],[asOf]]),MONTH(OneWeekMtgRatesDataTable75[[#This Row],[asOf]]),DAY(OneWeekMtgRatesDataTable75[[#This Row],[asOf]]))</f>
        <v>41388</v>
      </c>
      <c r="N643" s="21">
        <v>3.4</v>
      </c>
      <c r="O643" s="21">
        <v>0.8</v>
      </c>
      <c r="P643" s="21">
        <v>3.35</v>
      </c>
    </row>
    <row r="644" spans="8:16">
      <c r="H644" s="21"/>
      <c r="I644" s="21"/>
      <c r="J644" s="52"/>
      <c r="K644" s="21"/>
      <c r="L644" s="21" t="s">
        <v>1015</v>
      </c>
      <c r="M644" s="25">
        <f>DATE(YEAR(OneWeekMtgRatesDataTable75[[#This Row],[asOf]]),MONTH(OneWeekMtgRatesDataTable75[[#This Row],[asOf]]),DAY(OneWeekMtgRatesDataTable75[[#This Row],[asOf]]))</f>
        <v>41387</v>
      </c>
      <c r="N644" s="21">
        <v>3.4</v>
      </c>
      <c r="O644" s="21">
        <v>0.8</v>
      </c>
      <c r="P644" s="21">
        <v>3.35</v>
      </c>
    </row>
    <row r="645" spans="8:16">
      <c r="H645" s="21"/>
      <c r="I645" s="21"/>
      <c r="J645" s="52"/>
      <c r="K645" s="21"/>
      <c r="L645" s="21" t="s">
        <v>1014</v>
      </c>
      <c r="M645" s="25">
        <f>DATE(YEAR(OneWeekMtgRatesDataTable75[[#This Row],[asOf]]),MONTH(OneWeekMtgRatesDataTable75[[#This Row],[asOf]]),DAY(OneWeekMtgRatesDataTable75[[#This Row],[asOf]]))</f>
        <v>41386</v>
      </c>
      <c r="N645" s="21">
        <v>3.4</v>
      </c>
      <c r="O645" s="21">
        <v>0.8</v>
      </c>
      <c r="P645" s="21">
        <v>3.35</v>
      </c>
    </row>
    <row r="646" spans="8:16">
      <c r="H646" s="21"/>
      <c r="I646" s="21"/>
      <c r="J646" s="52"/>
      <c r="K646" s="21"/>
      <c r="L646" s="21" t="s">
        <v>1013</v>
      </c>
      <c r="M646" s="25">
        <f>DATE(YEAR(OneWeekMtgRatesDataTable75[[#This Row],[asOf]]),MONTH(OneWeekMtgRatesDataTable75[[#This Row],[asOf]]),DAY(OneWeekMtgRatesDataTable75[[#This Row],[asOf]]))</f>
        <v>41383</v>
      </c>
      <c r="N646" s="21">
        <v>3.4</v>
      </c>
      <c r="O646" s="21">
        <v>0.8</v>
      </c>
      <c r="P646" s="21">
        <v>3.35</v>
      </c>
    </row>
    <row r="647" spans="8:16">
      <c r="H647" s="21"/>
      <c r="I647" s="21"/>
      <c r="J647" s="52"/>
      <c r="K647" s="21"/>
      <c r="L647" s="21" t="s">
        <v>1012</v>
      </c>
      <c r="M647" s="25">
        <f>DATE(YEAR(OneWeekMtgRatesDataTable75[[#This Row],[asOf]]),MONTH(OneWeekMtgRatesDataTable75[[#This Row],[asOf]]),DAY(OneWeekMtgRatesDataTable75[[#This Row],[asOf]]))</f>
        <v>41382</v>
      </c>
      <c r="N647" s="21">
        <v>3.4</v>
      </c>
      <c r="O647" s="21">
        <v>0.8</v>
      </c>
      <c r="P647" s="21">
        <v>3.35</v>
      </c>
    </row>
    <row r="648" spans="8:16">
      <c r="H648" s="21"/>
      <c r="I648" s="21"/>
      <c r="J648" s="52"/>
      <c r="K648" s="21"/>
      <c r="L648" s="21" t="s">
        <v>1011</v>
      </c>
      <c r="M648" s="25">
        <f>DATE(YEAR(OneWeekMtgRatesDataTable75[[#This Row],[asOf]]),MONTH(OneWeekMtgRatesDataTable75[[#This Row],[asOf]]),DAY(OneWeekMtgRatesDataTable75[[#This Row],[asOf]]))</f>
        <v>41381</v>
      </c>
      <c r="N648" s="21">
        <v>3.41</v>
      </c>
      <c r="O648" s="21">
        <v>0.7</v>
      </c>
      <c r="P648" s="21">
        <v>3.335</v>
      </c>
    </row>
    <row r="649" spans="8:16">
      <c r="H649" s="21"/>
      <c r="I649" s="21"/>
      <c r="J649" s="52"/>
      <c r="K649" s="21"/>
      <c r="L649" s="21" t="s">
        <v>1010</v>
      </c>
      <c r="M649" s="25">
        <f>DATE(YEAR(OneWeekMtgRatesDataTable75[[#This Row],[asOf]]),MONTH(OneWeekMtgRatesDataTable75[[#This Row],[asOf]]),DAY(OneWeekMtgRatesDataTable75[[#This Row],[asOf]]))</f>
        <v>41380</v>
      </c>
      <c r="N649" s="21">
        <v>3.41</v>
      </c>
      <c r="O649" s="21">
        <v>0.7</v>
      </c>
      <c r="P649" s="21">
        <v>3.335</v>
      </c>
    </row>
    <row r="650" spans="8:16">
      <c r="H650" s="21"/>
      <c r="I650" s="21"/>
      <c r="J650" s="52"/>
      <c r="K650" s="21"/>
      <c r="L650" s="21" t="s">
        <v>1009</v>
      </c>
      <c r="M650" s="25">
        <f>DATE(YEAR(OneWeekMtgRatesDataTable75[[#This Row],[asOf]]),MONTH(OneWeekMtgRatesDataTable75[[#This Row],[asOf]]),DAY(OneWeekMtgRatesDataTable75[[#This Row],[asOf]]))</f>
        <v>41379</v>
      </c>
      <c r="N650" s="21">
        <v>3.41</v>
      </c>
      <c r="O650" s="21">
        <v>0.7</v>
      </c>
      <c r="P650" s="21">
        <v>3.335</v>
      </c>
    </row>
    <row r="651" spans="8:16">
      <c r="H651" s="21"/>
      <c r="I651" s="21"/>
      <c r="J651" s="52"/>
      <c r="K651" s="21"/>
      <c r="L651" s="21" t="s">
        <v>1008</v>
      </c>
      <c r="M651" s="25">
        <f>DATE(YEAR(OneWeekMtgRatesDataTable75[[#This Row],[asOf]]),MONTH(OneWeekMtgRatesDataTable75[[#This Row],[asOf]]),DAY(OneWeekMtgRatesDataTable75[[#This Row],[asOf]]))</f>
        <v>41376</v>
      </c>
      <c r="N651" s="21">
        <v>3.41</v>
      </c>
      <c r="O651" s="21">
        <v>0.7</v>
      </c>
      <c r="P651" s="21">
        <v>3.335</v>
      </c>
    </row>
    <row r="652" spans="8:16">
      <c r="H652" s="21"/>
      <c r="I652" s="21"/>
      <c r="J652" s="52"/>
      <c r="K652" s="21"/>
      <c r="L652" s="21" t="s">
        <v>1007</v>
      </c>
      <c r="M652" s="25">
        <f>DATE(YEAR(OneWeekMtgRatesDataTable75[[#This Row],[asOf]]),MONTH(OneWeekMtgRatesDataTable75[[#This Row],[asOf]]),DAY(OneWeekMtgRatesDataTable75[[#This Row],[asOf]]))</f>
        <v>41375</v>
      </c>
      <c r="N652" s="21">
        <v>3.41</v>
      </c>
      <c r="O652" s="21">
        <v>0.7</v>
      </c>
      <c r="P652" s="21">
        <v>3.335</v>
      </c>
    </row>
    <row r="653" spans="8:16">
      <c r="H653" s="21"/>
      <c r="I653" s="21"/>
      <c r="J653" s="52"/>
      <c r="K653" s="21"/>
      <c r="L653" s="21" t="s">
        <v>1006</v>
      </c>
      <c r="M653" s="25">
        <f>DATE(YEAR(OneWeekMtgRatesDataTable75[[#This Row],[asOf]]),MONTH(OneWeekMtgRatesDataTable75[[#This Row],[asOf]]),DAY(OneWeekMtgRatesDataTable75[[#This Row],[asOf]]))</f>
        <v>41374</v>
      </c>
      <c r="N653" s="21">
        <v>3.43</v>
      </c>
      <c r="O653" s="21">
        <v>0.8</v>
      </c>
      <c r="P653" s="21">
        <v>3.3800000000000003</v>
      </c>
    </row>
    <row r="654" spans="8:16">
      <c r="H654" s="21"/>
      <c r="I654" s="21"/>
      <c r="J654" s="52"/>
      <c r="K654" s="21"/>
      <c r="L654" s="21" t="s">
        <v>1005</v>
      </c>
      <c r="M654" s="25">
        <f>DATE(YEAR(OneWeekMtgRatesDataTable75[[#This Row],[asOf]]),MONTH(OneWeekMtgRatesDataTable75[[#This Row],[asOf]]),DAY(OneWeekMtgRatesDataTable75[[#This Row],[asOf]]))</f>
        <v>41373</v>
      </c>
      <c r="N654" s="21">
        <v>3.43</v>
      </c>
      <c r="O654" s="21">
        <v>0.8</v>
      </c>
      <c r="P654" s="21">
        <v>3.3800000000000003</v>
      </c>
    </row>
    <row r="655" spans="8:16">
      <c r="H655" s="21"/>
      <c r="I655" s="21"/>
      <c r="J655" s="52"/>
      <c r="K655" s="21"/>
      <c r="L655" s="21" t="s">
        <v>1004</v>
      </c>
      <c r="M655" s="25">
        <f>DATE(YEAR(OneWeekMtgRatesDataTable75[[#This Row],[asOf]]),MONTH(OneWeekMtgRatesDataTable75[[#This Row],[asOf]]),DAY(OneWeekMtgRatesDataTable75[[#This Row],[asOf]]))</f>
        <v>41372</v>
      </c>
      <c r="N655" s="21">
        <v>3.43</v>
      </c>
      <c r="O655" s="21">
        <v>0.8</v>
      </c>
      <c r="P655" s="21">
        <v>3.3800000000000003</v>
      </c>
    </row>
    <row r="656" spans="8:16">
      <c r="H656" s="21"/>
      <c r="I656" s="21"/>
      <c r="J656" s="52"/>
      <c r="K656" s="21"/>
      <c r="L656" s="21" t="s">
        <v>1003</v>
      </c>
      <c r="M656" s="25">
        <f>DATE(YEAR(OneWeekMtgRatesDataTable75[[#This Row],[asOf]]),MONTH(OneWeekMtgRatesDataTable75[[#This Row],[asOf]]),DAY(OneWeekMtgRatesDataTable75[[#This Row],[asOf]]))</f>
        <v>41369</v>
      </c>
      <c r="N656" s="21">
        <v>3.43</v>
      </c>
      <c r="O656" s="21">
        <v>0.8</v>
      </c>
      <c r="P656" s="21">
        <v>3.3800000000000003</v>
      </c>
    </row>
    <row r="657" spans="8:16">
      <c r="H657" s="21"/>
      <c r="I657" s="21"/>
      <c r="J657" s="52"/>
      <c r="K657" s="21"/>
      <c r="L657" s="21" t="s">
        <v>1002</v>
      </c>
      <c r="M657" s="25">
        <f>DATE(YEAR(OneWeekMtgRatesDataTable75[[#This Row],[asOf]]),MONTH(OneWeekMtgRatesDataTable75[[#This Row],[asOf]]),DAY(OneWeekMtgRatesDataTable75[[#This Row],[asOf]]))</f>
        <v>41368</v>
      </c>
      <c r="N657" s="21">
        <v>3.43</v>
      </c>
      <c r="O657" s="21">
        <v>0.8</v>
      </c>
      <c r="P657" s="21">
        <v>3.3800000000000003</v>
      </c>
    </row>
    <row r="658" spans="8:16">
      <c r="H658" s="21"/>
      <c r="I658" s="21"/>
      <c r="J658" s="52"/>
      <c r="K658" s="21"/>
      <c r="L658" s="21" t="s">
        <v>1001</v>
      </c>
      <c r="M658" s="25">
        <f>DATE(YEAR(OneWeekMtgRatesDataTable75[[#This Row],[asOf]]),MONTH(OneWeekMtgRatesDataTable75[[#This Row],[asOf]]),DAY(OneWeekMtgRatesDataTable75[[#This Row],[asOf]]))</f>
        <v>41367</v>
      </c>
      <c r="N658" s="21">
        <v>3.54</v>
      </c>
      <c r="O658" s="21">
        <v>0.8</v>
      </c>
      <c r="P658" s="21">
        <v>3.49</v>
      </c>
    </row>
    <row r="659" spans="8:16">
      <c r="H659" s="21"/>
      <c r="I659" s="21"/>
      <c r="J659" s="52"/>
      <c r="K659" s="21"/>
      <c r="L659" s="21" t="s">
        <v>1000</v>
      </c>
      <c r="M659" s="25">
        <f>DATE(YEAR(OneWeekMtgRatesDataTable75[[#This Row],[asOf]]),MONTH(OneWeekMtgRatesDataTable75[[#This Row],[asOf]]),DAY(OneWeekMtgRatesDataTable75[[#This Row],[asOf]]))</f>
        <v>41366</v>
      </c>
      <c r="N659" s="21">
        <v>3.54</v>
      </c>
      <c r="O659" s="21">
        <v>0.8</v>
      </c>
      <c r="P659" s="21">
        <v>3.49</v>
      </c>
    </row>
    <row r="660" spans="8:16">
      <c r="H660" s="21"/>
      <c r="I660" s="21"/>
      <c r="J660" s="52"/>
      <c r="K660" s="21"/>
      <c r="L660" s="21" t="s">
        <v>999</v>
      </c>
      <c r="M660" s="25">
        <f>DATE(YEAR(OneWeekMtgRatesDataTable75[[#This Row],[asOf]]),MONTH(OneWeekMtgRatesDataTable75[[#This Row],[asOf]]),DAY(OneWeekMtgRatesDataTable75[[#This Row],[asOf]]))</f>
        <v>41365</v>
      </c>
      <c r="N660" s="21">
        <v>3.54</v>
      </c>
      <c r="O660" s="21">
        <v>0.8</v>
      </c>
      <c r="P660" s="21">
        <v>3.49</v>
      </c>
    </row>
    <row r="661" spans="8:16">
      <c r="H661" s="21"/>
      <c r="I661" s="21"/>
      <c r="J661" s="52"/>
      <c r="K661" s="21"/>
      <c r="L661" s="21" t="s">
        <v>998</v>
      </c>
      <c r="M661" s="25">
        <f>DATE(YEAR(OneWeekMtgRatesDataTable75[[#This Row],[asOf]]),MONTH(OneWeekMtgRatesDataTable75[[#This Row],[asOf]]),DAY(OneWeekMtgRatesDataTable75[[#This Row],[asOf]]))</f>
        <v>41361</v>
      </c>
      <c r="N661" s="21">
        <v>3.54</v>
      </c>
      <c r="O661" s="21">
        <v>0.8</v>
      </c>
      <c r="P661" s="21">
        <v>3.49</v>
      </c>
    </row>
    <row r="662" spans="8:16">
      <c r="H662" s="21"/>
      <c r="I662" s="21"/>
      <c r="J662" s="52"/>
      <c r="K662" s="21"/>
      <c r="L662" s="21" t="s">
        <v>997</v>
      </c>
      <c r="M662" s="25">
        <f>DATE(YEAR(OneWeekMtgRatesDataTable75[[#This Row],[asOf]]),MONTH(OneWeekMtgRatesDataTable75[[#This Row],[asOf]]),DAY(OneWeekMtgRatesDataTable75[[#This Row],[asOf]]))</f>
        <v>41360</v>
      </c>
      <c r="N662" s="21">
        <v>3.57</v>
      </c>
      <c r="O662" s="21">
        <v>0.8</v>
      </c>
      <c r="P662" s="21">
        <v>3.52</v>
      </c>
    </row>
    <row r="663" spans="8:16">
      <c r="H663" s="21"/>
      <c r="I663" s="21"/>
      <c r="J663" s="52"/>
      <c r="K663" s="21"/>
      <c r="L663" s="21" t="s">
        <v>996</v>
      </c>
      <c r="M663" s="25">
        <f>DATE(YEAR(OneWeekMtgRatesDataTable75[[#This Row],[asOf]]),MONTH(OneWeekMtgRatesDataTable75[[#This Row],[asOf]]),DAY(OneWeekMtgRatesDataTable75[[#This Row],[asOf]]))</f>
        <v>41359</v>
      </c>
      <c r="N663" s="21">
        <v>3.57</v>
      </c>
      <c r="O663" s="21">
        <v>0.8</v>
      </c>
      <c r="P663" s="21">
        <v>3.52</v>
      </c>
    </row>
    <row r="664" spans="8:16">
      <c r="H664" s="21"/>
      <c r="I664" s="21"/>
      <c r="J664" s="52"/>
      <c r="K664" s="21"/>
      <c r="L664" s="21" t="s">
        <v>995</v>
      </c>
      <c r="M664" s="25">
        <f>DATE(YEAR(OneWeekMtgRatesDataTable75[[#This Row],[asOf]]),MONTH(OneWeekMtgRatesDataTable75[[#This Row],[asOf]]),DAY(OneWeekMtgRatesDataTable75[[#This Row],[asOf]]))</f>
        <v>41358</v>
      </c>
      <c r="N664" s="21">
        <v>3.57</v>
      </c>
      <c r="O664" s="21">
        <v>0.8</v>
      </c>
      <c r="P664" s="21">
        <v>3.52</v>
      </c>
    </row>
    <row r="665" spans="8:16">
      <c r="H665" s="21"/>
      <c r="I665" s="21"/>
      <c r="J665" s="52"/>
      <c r="K665" s="21"/>
      <c r="L665" s="21" t="s">
        <v>994</v>
      </c>
      <c r="M665" s="25">
        <f>DATE(YEAR(OneWeekMtgRatesDataTable75[[#This Row],[asOf]]),MONTH(OneWeekMtgRatesDataTable75[[#This Row],[asOf]]),DAY(OneWeekMtgRatesDataTable75[[#This Row],[asOf]]))</f>
        <v>41355</v>
      </c>
      <c r="N665" s="21">
        <v>3.57</v>
      </c>
      <c r="O665" s="21">
        <v>0.8</v>
      </c>
      <c r="P665" s="21">
        <v>3.52</v>
      </c>
    </row>
    <row r="666" spans="8:16">
      <c r="H666" s="21"/>
      <c r="I666" s="21"/>
      <c r="J666" s="52"/>
      <c r="K666" s="21"/>
      <c r="L666" s="21" t="s">
        <v>993</v>
      </c>
      <c r="M666" s="25">
        <f>DATE(YEAR(OneWeekMtgRatesDataTable75[[#This Row],[asOf]]),MONTH(OneWeekMtgRatesDataTable75[[#This Row],[asOf]]),DAY(OneWeekMtgRatesDataTable75[[#This Row],[asOf]]))</f>
        <v>41354</v>
      </c>
      <c r="N666" s="21">
        <v>3.57</v>
      </c>
      <c r="O666" s="21">
        <v>0.8</v>
      </c>
      <c r="P666" s="21">
        <v>3.52</v>
      </c>
    </row>
    <row r="667" spans="8:16">
      <c r="H667" s="21"/>
      <c r="I667" s="21"/>
      <c r="J667" s="52"/>
      <c r="K667" s="21"/>
      <c r="L667" s="21" t="s">
        <v>992</v>
      </c>
      <c r="M667" s="25">
        <f>DATE(YEAR(OneWeekMtgRatesDataTable75[[#This Row],[asOf]]),MONTH(OneWeekMtgRatesDataTable75[[#This Row],[asOf]]),DAY(OneWeekMtgRatesDataTable75[[#This Row],[asOf]]))</f>
        <v>41353</v>
      </c>
      <c r="N667" s="21">
        <v>3.54</v>
      </c>
      <c r="O667" s="21">
        <v>0.8</v>
      </c>
      <c r="P667" s="21">
        <v>3.49</v>
      </c>
    </row>
    <row r="668" spans="8:16">
      <c r="H668" s="21"/>
      <c r="I668" s="21"/>
      <c r="J668" s="52"/>
      <c r="K668" s="21"/>
      <c r="L668" s="21" t="s">
        <v>991</v>
      </c>
      <c r="M668" s="25">
        <f>DATE(YEAR(OneWeekMtgRatesDataTable75[[#This Row],[asOf]]),MONTH(OneWeekMtgRatesDataTable75[[#This Row],[asOf]]),DAY(OneWeekMtgRatesDataTable75[[#This Row],[asOf]]))</f>
        <v>41352</v>
      </c>
      <c r="N668" s="21">
        <v>3.54</v>
      </c>
      <c r="O668" s="21">
        <v>0.8</v>
      </c>
      <c r="P668" s="21">
        <v>3.49</v>
      </c>
    </row>
    <row r="669" spans="8:16">
      <c r="H669" s="21"/>
      <c r="I669" s="21"/>
      <c r="J669" s="52"/>
      <c r="K669" s="21"/>
      <c r="L669" s="21" t="s">
        <v>990</v>
      </c>
      <c r="M669" s="25">
        <f>DATE(YEAR(OneWeekMtgRatesDataTable75[[#This Row],[asOf]]),MONTH(OneWeekMtgRatesDataTable75[[#This Row],[asOf]]),DAY(OneWeekMtgRatesDataTable75[[#This Row],[asOf]]))</f>
        <v>41351</v>
      </c>
      <c r="N669" s="21">
        <v>3.54</v>
      </c>
      <c r="O669" s="21">
        <v>0.8</v>
      </c>
      <c r="P669" s="21">
        <v>3.49</v>
      </c>
    </row>
    <row r="670" spans="8:16">
      <c r="H670" s="21"/>
      <c r="I670" s="21"/>
      <c r="J670" s="52"/>
      <c r="K670" s="21"/>
      <c r="L670" s="21" t="s">
        <v>989</v>
      </c>
      <c r="M670" s="25">
        <f>DATE(YEAR(OneWeekMtgRatesDataTable75[[#This Row],[asOf]]),MONTH(OneWeekMtgRatesDataTable75[[#This Row],[asOf]]),DAY(OneWeekMtgRatesDataTable75[[#This Row],[asOf]]))</f>
        <v>41348</v>
      </c>
      <c r="N670" s="21">
        <v>3.54</v>
      </c>
      <c r="O670" s="21">
        <v>0.8</v>
      </c>
      <c r="P670" s="21">
        <v>3.49</v>
      </c>
    </row>
    <row r="671" spans="8:16">
      <c r="H671" s="21"/>
      <c r="I671" s="21"/>
      <c r="J671" s="52"/>
      <c r="K671" s="21"/>
      <c r="L671" s="21" t="s">
        <v>988</v>
      </c>
      <c r="M671" s="25">
        <f>DATE(YEAR(OneWeekMtgRatesDataTable75[[#This Row],[asOf]]),MONTH(OneWeekMtgRatesDataTable75[[#This Row],[asOf]]),DAY(OneWeekMtgRatesDataTable75[[#This Row],[asOf]]))</f>
        <v>41347</v>
      </c>
      <c r="N671" s="21">
        <v>3.54</v>
      </c>
      <c r="O671" s="21">
        <v>0.8</v>
      </c>
      <c r="P671" s="21">
        <v>3.49</v>
      </c>
    </row>
    <row r="672" spans="8:16">
      <c r="H672" s="21"/>
      <c r="I672" s="21"/>
      <c r="J672" s="52"/>
      <c r="K672" s="21"/>
      <c r="L672" s="21" t="s">
        <v>987</v>
      </c>
      <c r="M672" s="25">
        <f>DATE(YEAR(OneWeekMtgRatesDataTable75[[#This Row],[asOf]]),MONTH(OneWeekMtgRatesDataTable75[[#This Row],[asOf]]),DAY(OneWeekMtgRatesDataTable75[[#This Row],[asOf]]))</f>
        <v>41346</v>
      </c>
      <c r="N672" s="21">
        <v>3.63</v>
      </c>
      <c r="O672" s="21">
        <v>0.8</v>
      </c>
      <c r="P672" s="21">
        <v>3.58</v>
      </c>
    </row>
    <row r="673" spans="8:16">
      <c r="H673" s="21"/>
      <c r="I673" s="21"/>
      <c r="J673" s="52"/>
      <c r="K673" s="21"/>
      <c r="L673" s="21" t="s">
        <v>986</v>
      </c>
      <c r="M673" s="25">
        <f>DATE(YEAR(OneWeekMtgRatesDataTable75[[#This Row],[asOf]]),MONTH(OneWeekMtgRatesDataTable75[[#This Row],[asOf]]),DAY(OneWeekMtgRatesDataTable75[[#This Row],[asOf]]))</f>
        <v>41345</v>
      </c>
      <c r="N673" s="21">
        <v>3.63</v>
      </c>
      <c r="O673" s="21">
        <v>0.8</v>
      </c>
      <c r="P673" s="21">
        <v>3.58</v>
      </c>
    </row>
    <row r="674" spans="8:16">
      <c r="H674" s="21"/>
      <c r="I674" s="21"/>
      <c r="J674" s="52"/>
      <c r="K674" s="21"/>
      <c r="L674" s="21" t="s">
        <v>985</v>
      </c>
      <c r="M674" s="25">
        <f>DATE(YEAR(OneWeekMtgRatesDataTable75[[#This Row],[asOf]]),MONTH(OneWeekMtgRatesDataTable75[[#This Row],[asOf]]),DAY(OneWeekMtgRatesDataTable75[[#This Row],[asOf]]))</f>
        <v>41344</v>
      </c>
      <c r="N674" s="21">
        <v>3.63</v>
      </c>
      <c r="O674" s="21">
        <v>0.8</v>
      </c>
      <c r="P674" s="21">
        <v>3.58</v>
      </c>
    </row>
    <row r="675" spans="8:16">
      <c r="H675" s="21"/>
      <c r="I675" s="21"/>
      <c r="J675" s="52"/>
      <c r="K675" s="21"/>
      <c r="L675" s="21" t="s">
        <v>984</v>
      </c>
      <c r="M675" s="25">
        <f>DATE(YEAR(OneWeekMtgRatesDataTable75[[#This Row],[asOf]]),MONTH(OneWeekMtgRatesDataTable75[[#This Row],[asOf]]),DAY(OneWeekMtgRatesDataTable75[[#This Row],[asOf]]))</f>
        <v>41341</v>
      </c>
      <c r="N675" s="21">
        <v>3.63</v>
      </c>
      <c r="O675" s="21">
        <v>0.8</v>
      </c>
      <c r="P675" s="21">
        <v>3.58</v>
      </c>
    </row>
    <row r="676" spans="8:16">
      <c r="H676" s="21"/>
      <c r="I676" s="21"/>
      <c r="J676" s="52"/>
      <c r="K676" s="21"/>
      <c r="L676" s="21" t="s">
        <v>983</v>
      </c>
      <c r="M676" s="25">
        <f>DATE(YEAR(OneWeekMtgRatesDataTable75[[#This Row],[asOf]]),MONTH(OneWeekMtgRatesDataTable75[[#This Row],[asOf]]),DAY(OneWeekMtgRatesDataTable75[[#This Row],[asOf]]))</f>
        <v>41340</v>
      </c>
      <c r="N676" s="21">
        <v>3.63</v>
      </c>
      <c r="O676" s="21">
        <v>0.8</v>
      </c>
      <c r="P676" s="21">
        <v>3.58</v>
      </c>
    </row>
    <row r="677" spans="8:16">
      <c r="H677" s="21"/>
      <c r="I677" s="21"/>
      <c r="J677" s="52"/>
      <c r="K677" s="21"/>
      <c r="L677" s="21" t="s">
        <v>982</v>
      </c>
      <c r="M677" s="25">
        <f>DATE(YEAR(OneWeekMtgRatesDataTable75[[#This Row],[asOf]]),MONTH(OneWeekMtgRatesDataTable75[[#This Row],[asOf]]),DAY(OneWeekMtgRatesDataTable75[[#This Row],[asOf]]))</f>
        <v>41339</v>
      </c>
      <c r="N677" s="21">
        <v>3.52</v>
      </c>
      <c r="O677" s="21">
        <v>0.7</v>
      </c>
      <c r="P677" s="21">
        <v>3.4449999999999998</v>
      </c>
    </row>
    <row r="678" spans="8:16">
      <c r="H678" s="21"/>
      <c r="I678" s="21"/>
      <c r="J678" s="52"/>
      <c r="K678" s="21"/>
      <c r="L678" s="21" t="s">
        <v>981</v>
      </c>
      <c r="M678" s="25">
        <f>DATE(YEAR(OneWeekMtgRatesDataTable75[[#This Row],[asOf]]),MONTH(OneWeekMtgRatesDataTable75[[#This Row],[asOf]]),DAY(OneWeekMtgRatesDataTable75[[#This Row],[asOf]]))</f>
        <v>41338</v>
      </c>
      <c r="N678" s="21">
        <v>3.52</v>
      </c>
      <c r="O678" s="21">
        <v>0.7</v>
      </c>
      <c r="P678" s="21">
        <v>3.4449999999999998</v>
      </c>
    </row>
    <row r="679" spans="8:16">
      <c r="H679" s="21"/>
      <c r="I679" s="21"/>
      <c r="J679" s="52"/>
      <c r="K679" s="21"/>
      <c r="L679" s="21" t="s">
        <v>980</v>
      </c>
      <c r="M679" s="25">
        <f>DATE(YEAR(OneWeekMtgRatesDataTable75[[#This Row],[asOf]]),MONTH(OneWeekMtgRatesDataTable75[[#This Row],[asOf]]),DAY(OneWeekMtgRatesDataTable75[[#This Row],[asOf]]))</f>
        <v>41337</v>
      </c>
      <c r="N679" s="21">
        <v>3.52</v>
      </c>
      <c r="O679" s="21">
        <v>0.7</v>
      </c>
      <c r="P679" s="21">
        <v>3.4449999999999998</v>
      </c>
    </row>
    <row r="680" spans="8:16">
      <c r="H680" s="21"/>
      <c r="I680" s="21"/>
      <c r="J680" s="52"/>
      <c r="K680" s="21"/>
      <c r="L680" s="21" t="s">
        <v>979</v>
      </c>
      <c r="M680" s="25">
        <f>DATE(YEAR(OneWeekMtgRatesDataTable75[[#This Row],[asOf]]),MONTH(OneWeekMtgRatesDataTable75[[#This Row],[asOf]]),DAY(OneWeekMtgRatesDataTable75[[#This Row],[asOf]]))</f>
        <v>41334</v>
      </c>
      <c r="N680" s="21">
        <v>3.52</v>
      </c>
      <c r="O680" s="21">
        <v>0.7</v>
      </c>
      <c r="P680" s="21">
        <v>3.4449999999999998</v>
      </c>
    </row>
    <row r="681" spans="8:16">
      <c r="H681" s="21"/>
      <c r="I681" s="21"/>
      <c r="J681" s="52"/>
      <c r="K681" s="21"/>
      <c r="L681" s="21" t="s">
        <v>978</v>
      </c>
      <c r="M681" s="25">
        <f>DATE(YEAR(OneWeekMtgRatesDataTable75[[#This Row],[asOf]]),MONTH(OneWeekMtgRatesDataTable75[[#This Row],[asOf]]),DAY(OneWeekMtgRatesDataTable75[[#This Row],[asOf]]))</f>
        <v>41333</v>
      </c>
      <c r="N681" s="21">
        <v>3.52</v>
      </c>
      <c r="O681" s="21">
        <v>0.7</v>
      </c>
      <c r="P681" s="21">
        <v>3.4449999999999998</v>
      </c>
    </row>
    <row r="682" spans="8:16">
      <c r="H682" s="21"/>
      <c r="I682" s="21"/>
      <c r="J682" s="52"/>
      <c r="K682" s="21"/>
      <c r="L682" s="21" t="s">
        <v>977</v>
      </c>
      <c r="M682" s="25">
        <f>DATE(YEAR(OneWeekMtgRatesDataTable75[[#This Row],[asOf]]),MONTH(OneWeekMtgRatesDataTable75[[#This Row],[asOf]]),DAY(OneWeekMtgRatesDataTable75[[#This Row],[asOf]]))</f>
        <v>41332</v>
      </c>
      <c r="N682" s="21">
        <v>3.51</v>
      </c>
      <c r="O682" s="21">
        <v>0.8</v>
      </c>
      <c r="P682" s="21">
        <v>3.46</v>
      </c>
    </row>
    <row r="683" spans="8:16">
      <c r="H683" s="21"/>
      <c r="I683" s="21"/>
      <c r="J683" s="52"/>
      <c r="K683" s="21"/>
      <c r="L683" s="21" t="s">
        <v>976</v>
      </c>
      <c r="M683" s="25">
        <f>DATE(YEAR(OneWeekMtgRatesDataTable75[[#This Row],[asOf]]),MONTH(OneWeekMtgRatesDataTable75[[#This Row],[asOf]]),DAY(OneWeekMtgRatesDataTable75[[#This Row],[asOf]]))</f>
        <v>41331</v>
      </c>
      <c r="N683" s="21">
        <v>3.51</v>
      </c>
      <c r="O683" s="21">
        <v>0.8</v>
      </c>
      <c r="P683" s="21">
        <v>3.46</v>
      </c>
    </row>
    <row r="684" spans="8:16">
      <c r="H684" s="21"/>
      <c r="I684" s="21"/>
      <c r="J684" s="52"/>
      <c r="K684" s="21"/>
      <c r="L684" s="21" t="s">
        <v>975</v>
      </c>
      <c r="M684" s="25">
        <f>DATE(YEAR(OneWeekMtgRatesDataTable75[[#This Row],[asOf]]),MONTH(OneWeekMtgRatesDataTable75[[#This Row],[asOf]]),DAY(OneWeekMtgRatesDataTable75[[#This Row],[asOf]]))</f>
        <v>41330</v>
      </c>
      <c r="N684" s="21">
        <v>3.51</v>
      </c>
      <c r="O684" s="21">
        <v>0.8</v>
      </c>
      <c r="P684" s="21">
        <v>3.46</v>
      </c>
    </row>
    <row r="685" spans="8:16">
      <c r="H685" s="21"/>
      <c r="I685" s="21"/>
      <c r="J685" s="52"/>
      <c r="K685" s="21"/>
      <c r="L685" s="21" t="s">
        <v>974</v>
      </c>
      <c r="M685" s="25">
        <f>DATE(YEAR(OneWeekMtgRatesDataTable75[[#This Row],[asOf]]),MONTH(OneWeekMtgRatesDataTable75[[#This Row],[asOf]]),DAY(OneWeekMtgRatesDataTable75[[#This Row],[asOf]]))</f>
        <v>41327</v>
      </c>
      <c r="N685" s="21">
        <v>3.51</v>
      </c>
      <c r="O685" s="21">
        <v>0.8</v>
      </c>
      <c r="P685" s="21">
        <v>3.46</v>
      </c>
    </row>
    <row r="686" spans="8:16">
      <c r="H686" s="21"/>
      <c r="I686" s="21"/>
      <c r="J686" s="52"/>
      <c r="K686" s="21"/>
      <c r="L686" s="21" t="s">
        <v>973</v>
      </c>
      <c r="M686" s="25">
        <f>DATE(YEAR(OneWeekMtgRatesDataTable75[[#This Row],[asOf]]),MONTH(OneWeekMtgRatesDataTable75[[#This Row],[asOf]]),DAY(OneWeekMtgRatesDataTable75[[#This Row],[asOf]]))</f>
        <v>41326</v>
      </c>
      <c r="N686" s="21">
        <v>3.51</v>
      </c>
      <c r="O686" s="21">
        <v>0.8</v>
      </c>
      <c r="P686" s="21">
        <v>3.46</v>
      </c>
    </row>
    <row r="687" spans="8:16">
      <c r="H687" s="21"/>
      <c r="I687" s="21"/>
      <c r="J687" s="52"/>
      <c r="K687" s="21"/>
      <c r="L687" s="21" t="s">
        <v>972</v>
      </c>
      <c r="M687" s="25">
        <f>DATE(YEAR(OneWeekMtgRatesDataTable75[[#This Row],[asOf]]),MONTH(OneWeekMtgRatesDataTable75[[#This Row],[asOf]]),DAY(OneWeekMtgRatesDataTable75[[#This Row],[asOf]]))</f>
        <v>41325</v>
      </c>
      <c r="N687" s="21">
        <v>3.56</v>
      </c>
      <c r="O687" s="21">
        <v>0.8</v>
      </c>
      <c r="P687" s="21">
        <v>3.5100000000000002</v>
      </c>
    </row>
    <row r="688" spans="8:16">
      <c r="H688" s="21"/>
      <c r="I688" s="21"/>
      <c r="J688" s="52"/>
      <c r="K688" s="21"/>
      <c r="L688" s="21" t="s">
        <v>971</v>
      </c>
      <c r="M688" s="25">
        <f>DATE(YEAR(OneWeekMtgRatesDataTable75[[#This Row],[asOf]]),MONTH(OneWeekMtgRatesDataTable75[[#This Row],[asOf]]),DAY(OneWeekMtgRatesDataTable75[[#This Row],[asOf]]))</f>
        <v>41324</v>
      </c>
      <c r="N688" s="21">
        <v>3.56</v>
      </c>
      <c r="O688" s="21">
        <v>0.8</v>
      </c>
      <c r="P688" s="21">
        <v>3.5100000000000002</v>
      </c>
    </row>
    <row r="689" spans="8:16">
      <c r="H689" s="21"/>
      <c r="I689" s="21"/>
      <c r="J689" s="52"/>
      <c r="K689" s="21"/>
      <c r="L689" s="21" t="s">
        <v>970</v>
      </c>
      <c r="M689" s="25">
        <f>DATE(YEAR(OneWeekMtgRatesDataTable75[[#This Row],[asOf]]),MONTH(OneWeekMtgRatesDataTable75[[#This Row],[asOf]]),DAY(OneWeekMtgRatesDataTable75[[#This Row],[asOf]]))</f>
        <v>41320</v>
      </c>
      <c r="N689" s="21">
        <v>3.56</v>
      </c>
      <c r="O689" s="21">
        <v>0.8</v>
      </c>
      <c r="P689" s="21">
        <v>3.5100000000000002</v>
      </c>
    </row>
    <row r="690" spans="8:16">
      <c r="H690" s="21"/>
      <c r="I690" s="21"/>
      <c r="J690" s="52"/>
      <c r="K690" s="21"/>
      <c r="L690" s="21" t="s">
        <v>969</v>
      </c>
      <c r="M690" s="25">
        <f>DATE(YEAR(OneWeekMtgRatesDataTable75[[#This Row],[asOf]]),MONTH(OneWeekMtgRatesDataTable75[[#This Row],[asOf]]),DAY(OneWeekMtgRatesDataTable75[[#This Row],[asOf]]))</f>
        <v>41319</v>
      </c>
      <c r="N690" s="21">
        <v>3.56</v>
      </c>
      <c r="O690" s="21">
        <v>0.8</v>
      </c>
      <c r="P690" s="21">
        <v>3.5100000000000002</v>
      </c>
    </row>
    <row r="691" spans="8:16">
      <c r="H691" s="21"/>
      <c r="I691" s="21"/>
      <c r="J691" s="52"/>
      <c r="K691" s="21"/>
      <c r="L691" s="21" t="s">
        <v>968</v>
      </c>
      <c r="M691" s="25">
        <f>DATE(YEAR(OneWeekMtgRatesDataTable75[[#This Row],[asOf]]),MONTH(OneWeekMtgRatesDataTable75[[#This Row],[asOf]]),DAY(OneWeekMtgRatesDataTable75[[#This Row],[asOf]]))</f>
        <v>41318</v>
      </c>
      <c r="N691" s="21">
        <v>3.53</v>
      </c>
      <c r="O691" s="21">
        <v>0.8</v>
      </c>
      <c r="P691" s="21">
        <v>3.48</v>
      </c>
    </row>
    <row r="692" spans="8:16">
      <c r="H692" s="21"/>
      <c r="I692" s="21"/>
      <c r="J692" s="52"/>
      <c r="K692" s="21"/>
      <c r="L692" s="21" t="s">
        <v>967</v>
      </c>
      <c r="M692" s="25">
        <f>DATE(YEAR(OneWeekMtgRatesDataTable75[[#This Row],[asOf]]),MONTH(OneWeekMtgRatesDataTable75[[#This Row],[asOf]]),DAY(OneWeekMtgRatesDataTable75[[#This Row],[asOf]]))</f>
        <v>41317</v>
      </c>
      <c r="N692" s="21">
        <v>3.53</v>
      </c>
      <c r="O692" s="21">
        <v>0.8</v>
      </c>
      <c r="P692" s="21">
        <v>3.48</v>
      </c>
    </row>
    <row r="693" spans="8:16">
      <c r="H693" s="21"/>
      <c r="I693" s="21"/>
      <c r="J693" s="52"/>
      <c r="K693" s="21"/>
      <c r="L693" s="21" t="s">
        <v>966</v>
      </c>
      <c r="M693" s="25">
        <f>DATE(YEAR(OneWeekMtgRatesDataTable75[[#This Row],[asOf]]),MONTH(OneWeekMtgRatesDataTable75[[#This Row],[asOf]]),DAY(OneWeekMtgRatesDataTable75[[#This Row],[asOf]]))</f>
        <v>41316</v>
      </c>
      <c r="N693" s="21">
        <v>3.53</v>
      </c>
      <c r="O693" s="21">
        <v>0.8</v>
      </c>
      <c r="P693" s="21">
        <v>3.48</v>
      </c>
    </row>
    <row r="694" spans="8:16">
      <c r="H694" s="21"/>
      <c r="I694" s="21"/>
      <c r="J694" s="52"/>
      <c r="K694" s="21"/>
      <c r="L694" s="21" t="s">
        <v>965</v>
      </c>
      <c r="M694" s="25">
        <f>DATE(YEAR(OneWeekMtgRatesDataTable75[[#This Row],[asOf]]),MONTH(OneWeekMtgRatesDataTable75[[#This Row],[asOf]]),DAY(OneWeekMtgRatesDataTable75[[#This Row],[asOf]]))</f>
        <v>41313</v>
      </c>
      <c r="N694" s="21">
        <v>3.53</v>
      </c>
      <c r="O694" s="21">
        <v>0.8</v>
      </c>
      <c r="P694" s="21">
        <v>3.48</v>
      </c>
    </row>
    <row r="695" spans="8:16">
      <c r="H695" s="21"/>
      <c r="I695" s="21"/>
      <c r="J695" s="52"/>
      <c r="K695" s="21"/>
      <c r="L695" s="21" t="s">
        <v>964</v>
      </c>
      <c r="M695" s="25">
        <f>DATE(YEAR(OneWeekMtgRatesDataTable75[[#This Row],[asOf]]),MONTH(OneWeekMtgRatesDataTable75[[#This Row],[asOf]]),DAY(OneWeekMtgRatesDataTable75[[#This Row],[asOf]]))</f>
        <v>41312</v>
      </c>
      <c r="N695" s="21">
        <v>3.53</v>
      </c>
      <c r="O695" s="21">
        <v>0.8</v>
      </c>
      <c r="P695" s="21">
        <v>3.48</v>
      </c>
    </row>
    <row r="696" spans="8:16">
      <c r="H696" s="21"/>
      <c r="I696" s="21"/>
      <c r="J696" s="52"/>
      <c r="K696" s="21"/>
      <c r="L696" s="21" t="s">
        <v>963</v>
      </c>
      <c r="M696" s="25">
        <f>DATE(YEAR(OneWeekMtgRatesDataTable75[[#This Row],[asOf]]),MONTH(OneWeekMtgRatesDataTable75[[#This Row],[asOf]]),DAY(OneWeekMtgRatesDataTable75[[#This Row],[asOf]]))</f>
        <v>41311</v>
      </c>
      <c r="N696" s="21">
        <v>3.53</v>
      </c>
      <c r="O696" s="21">
        <v>0.8</v>
      </c>
      <c r="P696" s="21">
        <v>3.48</v>
      </c>
    </row>
    <row r="697" spans="8:16">
      <c r="H697" s="21"/>
      <c r="I697" s="21"/>
      <c r="J697" s="52"/>
      <c r="K697" s="21"/>
      <c r="L697" s="21" t="s">
        <v>962</v>
      </c>
      <c r="M697" s="25">
        <f>DATE(YEAR(OneWeekMtgRatesDataTable75[[#This Row],[asOf]]),MONTH(OneWeekMtgRatesDataTable75[[#This Row],[asOf]]),DAY(OneWeekMtgRatesDataTable75[[#This Row],[asOf]]))</f>
        <v>41310</v>
      </c>
      <c r="N697" s="21">
        <v>3.53</v>
      </c>
      <c r="O697" s="21">
        <v>0.8</v>
      </c>
      <c r="P697" s="21">
        <v>3.48</v>
      </c>
    </row>
    <row r="698" spans="8:16">
      <c r="H698" s="21"/>
      <c r="I698" s="21"/>
      <c r="J698" s="52"/>
      <c r="K698" s="21"/>
      <c r="L698" s="21" t="s">
        <v>961</v>
      </c>
      <c r="M698" s="25">
        <f>DATE(YEAR(OneWeekMtgRatesDataTable75[[#This Row],[asOf]]),MONTH(OneWeekMtgRatesDataTable75[[#This Row],[asOf]]),DAY(OneWeekMtgRatesDataTable75[[#This Row],[asOf]]))</f>
        <v>41309</v>
      </c>
      <c r="N698" s="21">
        <v>3.53</v>
      </c>
      <c r="O698" s="21">
        <v>0.8</v>
      </c>
      <c r="P698" s="21">
        <v>3.48</v>
      </c>
    </row>
    <row r="699" spans="8:16">
      <c r="H699" s="21"/>
      <c r="I699" s="21"/>
      <c r="J699" s="52"/>
      <c r="K699" s="21"/>
      <c r="L699" s="21" t="s">
        <v>960</v>
      </c>
      <c r="M699" s="25">
        <f>DATE(YEAR(OneWeekMtgRatesDataTable75[[#This Row],[asOf]]),MONTH(OneWeekMtgRatesDataTable75[[#This Row],[asOf]]),DAY(OneWeekMtgRatesDataTable75[[#This Row],[asOf]]))</f>
        <v>41306</v>
      </c>
      <c r="N699" s="21">
        <v>3.53</v>
      </c>
      <c r="O699" s="21">
        <v>0.8</v>
      </c>
      <c r="P699" s="21">
        <v>3.48</v>
      </c>
    </row>
    <row r="700" spans="8:16">
      <c r="H700" s="21"/>
      <c r="I700" s="21"/>
      <c r="J700" s="52"/>
      <c r="K700" s="21"/>
      <c r="L700" s="21" t="s">
        <v>959</v>
      </c>
      <c r="M700" s="25">
        <f>DATE(YEAR(OneWeekMtgRatesDataTable75[[#This Row],[asOf]]),MONTH(OneWeekMtgRatesDataTable75[[#This Row],[asOf]]),DAY(OneWeekMtgRatesDataTable75[[#This Row],[asOf]]))</f>
        <v>41305</v>
      </c>
      <c r="N700" s="21">
        <v>3.53</v>
      </c>
      <c r="O700" s="21">
        <v>0.8</v>
      </c>
      <c r="P700" s="21">
        <v>3.48</v>
      </c>
    </row>
    <row r="701" spans="8:16">
      <c r="H701" s="21"/>
      <c r="I701" s="21"/>
      <c r="J701" s="52"/>
      <c r="K701" s="21"/>
      <c r="L701" s="21" t="s">
        <v>958</v>
      </c>
      <c r="M701" s="25">
        <f>DATE(YEAR(OneWeekMtgRatesDataTable75[[#This Row],[asOf]]),MONTH(OneWeekMtgRatesDataTable75[[#This Row],[asOf]]),DAY(OneWeekMtgRatesDataTable75[[#This Row],[asOf]]))</f>
        <v>41304</v>
      </c>
      <c r="N701" s="21">
        <v>3.53</v>
      </c>
      <c r="O701" s="21">
        <v>0.7</v>
      </c>
      <c r="P701" s="21">
        <v>3.4549999999999996</v>
      </c>
    </row>
    <row r="702" spans="8:16">
      <c r="H702" s="21"/>
      <c r="I702" s="21"/>
      <c r="J702" s="52"/>
      <c r="K702" s="21"/>
      <c r="L702" s="21" t="s">
        <v>957</v>
      </c>
      <c r="M702" s="25">
        <f>DATE(YEAR(OneWeekMtgRatesDataTable75[[#This Row],[asOf]]),MONTH(OneWeekMtgRatesDataTable75[[#This Row],[asOf]]),DAY(OneWeekMtgRatesDataTable75[[#This Row],[asOf]]))</f>
        <v>41303</v>
      </c>
      <c r="N702" s="21">
        <v>3.53</v>
      </c>
      <c r="O702" s="21">
        <v>0.7</v>
      </c>
      <c r="P702" s="21">
        <v>3.4549999999999996</v>
      </c>
    </row>
    <row r="703" spans="8:16">
      <c r="H703" s="21"/>
      <c r="I703" s="21"/>
      <c r="J703" s="52"/>
      <c r="K703" s="21"/>
      <c r="L703" s="21" t="s">
        <v>956</v>
      </c>
      <c r="M703" s="25">
        <f>DATE(YEAR(OneWeekMtgRatesDataTable75[[#This Row],[asOf]]),MONTH(OneWeekMtgRatesDataTable75[[#This Row],[asOf]]),DAY(OneWeekMtgRatesDataTable75[[#This Row],[asOf]]))</f>
        <v>41302</v>
      </c>
      <c r="N703" s="21">
        <v>3.53</v>
      </c>
      <c r="O703" s="21">
        <v>0.7</v>
      </c>
      <c r="P703" s="21">
        <v>3.4549999999999996</v>
      </c>
    </row>
    <row r="704" spans="8:16">
      <c r="H704" s="21"/>
      <c r="I704" s="21"/>
      <c r="J704" s="52"/>
      <c r="K704" s="21"/>
      <c r="L704" s="21" t="s">
        <v>955</v>
      </c>
      <c r="M704" s="25">
        <f>DATE(YEAR(OneWeekMtgRatesDataTable75[[#This Row],[asOf]]),MONTH(OneWeekMtgRatesDataTable75[[#This Row],[asOf]]),DAY(OneWeekMtgRatesDataTable75[[#This Row],[asOf]]))</f>
        <v>41299</v>
      </c>
      <c r="N704" s="21">
        <v>3.53</v>
      </c>
      <c r="O704" s="21">
        <v>0.7</v>
      </c>
      <c r="P704" s="21">
        <v>3.4549999999999996</v>
      </c>
    </row>
    <row r="705" spans="8:16">
      <c r="H705" s="21"/>
      <c r="I705" s="21"/>
      <c r="J705" s="52"/>
      <c r="K705" s="21"/>
      <c r="L705" s="21" t="s">
        <v>954</v>
      </c>
      <c r="M705" s="25">
        <f>DATE(YEAR(OneWeekMtgRatesDataTable75[[#This Row],[asOf]]),MONTH(OneWeekMtgRatesDataTable75[[#This Row],[asOf]]),DAY(OneWeekMtgRatesDataTable75[[#This Row],[asOf]]))</f>
        <v>41298</v>
      </c>
      <c r="N705" s="21">
        <v>3.53</v>
      </c>
      <c r="O705" s="21">
        <v>0.7</v>
      </c>
      <c r="P705" s="21">
        <v>3.4549999999999996</v>
      </c>
    </row>
    <row r="706" spans="8:16">
      <c r="H706" s="21"/>
      <c r="I706" s="21"/>
      <c r="J706" s="52"/>
      <c r="K706" s="21"/>
      <c r="L706" s="21" t="s">
        <v>953</v>
      </c>
      <c r="M706" s="25">
        <f>DATE(YEAR(OneWeekMtgRatesDataTable75[[#This Row],[asOf]]),MONTH(OneWeekMtgRatesDataTable75[[#This Row],[asOf]]),DAY(OneWeekMtgRatesDataTable75[[#This Row],[asOf]]))</f>
        <v>41297</v>
      </c>
      <c r="N706" s="21">
        <v>3.42</v>
      </c>
      <c r="O706" s="21">
        <v>0.7</v>
      </c>
      <c r="P706" s="21">
        <v>3.3449999999999998</v>
      </c>
    </row>
    <row r="707" spans="8:16">
      <c r="H707" s="21"/>
      <c r="I707" s="21"/>
      <c r="J707" s="52"/>
      <c r="K707" s="21"/>
      <c r="L707" s="21" t="s">
        <v>952</v>
      </c>
      <c r="M707" s="25">
        <f>DATE(YEAR(OneWeekMtgRatesDataTable75[[#This Row],[asOf]]),MONTH(OneWeekMtgRatesDataTable75[[#This Row],[asOf]]),DAY(OneWeekMtgRatesDataTable75[[#This Row],[asOf]]))</f>
        <v>41296</v>
      </c>
      <c r="N707" s="21">
        <v>3.42</v>
      </c>
      <c r="O707" s="21">
        <v>0.7</v>
      </c>
      <c r="P707" s="21">
        <v>3.3449999999999998</v>
      </c>
    </row>
    <row r="708" spans="8:16">
      <c r="H708" s="21"/>
      <c r="I708" s="21"/>
      <c r="J708" s="52"/>
      <c r="K708" s="21"/>
      <c r="L708" s="21" t="s">
        <v>951</v>
      </c>
      <c r="M708" s="25">
        <f>DATE(YEAR(OneWeekMtgRatesDataTable75[[#This Row],[asOf]]),MONTH(OneWeekMtgRatesDataTable75[[#This Row],[asOf]]),DAY(OneWeekMtgRatesDataTable75[[#This Row],[asOf]]))</f>
        <v>41292</v>
      </c>
      <c r="N708" s="21">
        <v>3.42</v>
      </c>
      <c r="O708" s="21">
        <v>0.7</v>
      </c>
      <c r="P708" s="21">
        <v>3.3449999999999998</v>
      </c>
    </row>
    <row r="709" spans="8:16">
      <c r="H709" s="21"/>
      <c r="I709" s="21"/>
      <c r="J709" s="52"/>
      <c r="K709" s="21"/>
      <c r="L709" s="21" t="s">
        <v>950</v>
      </c>
      <c r="M709" s="25">
        <f>DATE(YEAR(OneWeekMtgRatesDataTable75[[#This Row],[asOf]]),MONTH(OneWeekMtgRatesDataTable75[[#This Row],[asOf]]),DAY(OneWeekMtgRatesDataTable75[[#This Row],[asOf]]))</f>
        <v>41291</v>
      </c>
      <c r="N709" s="21">
        <v>3.42</v>
      </c>
      <c r="O709" s="21">
        <v>0.7</v>
      </c>
      <c r="P709" s="21">
        <v>3.3449999999999998</v>
      </c>
    </row>
    <row r="710" spans="8:16">
      <c r="H710" s="21"/>
      <c r="I710" s="21"/>
      <c r="J710" s="52"/>
      <c r="K710" s="21"/>
      <c r="L710" s="21" t="s">
        <v>949</v>
      </c>
      <c r="M710" s="25">
        <f>DATE(YEAR(OneWeekMtgRatesDataTable75[[#This Row],[asOf]]),MONTH(OneWeekMtgRatesDataTable75[[#This Row],[asOf]]),DAY(OneWeekMtgRatesDataTable75[[#This Row],[asOf]]))</f>
        <v>41290</v>
      </c>
      <c r="N710" s="21">
        <v>3.38</v>
      </c>
      <c r="O710" s="21">
        <v>0.7</v>
      </c>
      <c r="P710" s="21">
        <v>3.3049999999999997</v>
      </c>
    </row>
    <row r="711" spans="8:16">
      <c r="H711" s="21"/>
      <c r="I711" s="21"/>
      <c r="J711" s="52"/>
      <c r="K711" s="21"/>
      <c r="L711" s="21" t="s">
        <v>948</v>
      </c>
      <c r="M711" s="25">
        <f>DATE(YEAR(OneWeekMtgRatesDataTable75[[#This Row],[asOf]]),MONTH(OneWeekMtgRatesDataTable75[[#This Row],[asOf]]),DAY(OneWeekMtgRatesDataTable75[[#This Row],[asOf]]))</f>
        <v>41289</v>
      </c>
      <c r="N711" s="21">
        <v>3.38</v>
      </c>
      <c r="O711" s="21">
        <v>0.7</v>
      </c>
      <c r="P711" s="21">
        <v>3.3049999999999997</v>
      </c>
    </row>
    <row r="712" spans="8:16">
      <c r="H712" s="21"/>
      <c r="I712" s="21"/>
      <c r="J712" s="52"/>
      <c r="K712" s="21"/>
      <c r="L712" s="21" t="s">
        <v>947</v>
      </c>
      <c r="M712" s="25">
        <f>DATE(YEAR(OneWeekMtgRatesDataTable75[[#This Row],[asOf]]),MONTH(OneWeekMtgRatesDataTable75[[#This Row],[asOf]]),DAY(OneWeekMtgRatesDataTable75[[#This Row],[asOf]]))</f>
        <v>41288</v>
      </c>
      <c r="N712" s="21">
        <v>3.38</v>
      </c>
      <c r="O712" s="21">
        <v>0.7</v>
      </c>
      <c r="P712" s="21">
        <v>3.3049999999999997</v>
      </c>
    </row>
    <row r="713" spans="8:16">
      <c r="H713" s="21"/>
      <c r="I713" s="21"/>
      <c r="J713" s="52"/>
      <c r="K713" s="21"/>
      <c r="L713" s="21" t="s">
        <v>946</v>
      </c>
      <c r="M713" s="25">
        <f>DATE(YEAR(OneWeekMtgRatesDataTable75[[#This Row],[asOf]]),MONTH(OneWeekMtgRatesDataTable75[[#This Row],[asOf]]),DAY(OneWeekMtgRatesDataTable75[[#This Row],[asOf]]))</f>
        <v>41285</v>
      </c>
      <c r="N713" s="21">
        <v>3.38</v>
      </c>
      <c r="O713" s="21">
        <v>0.7</v>
      </c>
      <c r="P713" s="21">
        <v>3.3049999999999997</v>
      </c>
    </row>
    <row r="714" spans="8:16">
      <c r="H714" s="21"/>
      <c r="I714" s="21"/>
      <c r="J714" s="52"/>
      <c r="K714" s="21"/>
      <c r="L714" s="21" t="s">
        <v>945</v>
      </c>
      <c r="M714" s="25">
        <f>DATE(YEAR(OneWeekMtgRatesDataTable75[[#This Row],[asOf]]),MONTH(OneWeekMtgRatesDataTable75[[#This Row],[asOf]]),DAY(OneWeekMtgRatesDataTable75[[#This Row],[asOf]]))</f>
        <v>41284</v>
      </c>
      <c r="N714" s="21">
        <v>3.38</v>
      </c>
      <c r="O714" s="21">
        <v>0.7</v>
      </c>
      <c r="P714" s="21">
        <v>3.3049999999999997</v>
      </c>
    </row>
    <row r="715" spans="8:16">
      <c r="H715" s="21"/>
      <c r="I715" s="21"/>
      <c r="J715" s="52"/>
      <c r="K715" s="21"/>
      <c r="L715" s="21" t="s">
        <v>944</v>
      </c>
      <c r="M715" s="25">
        <f>DATE(YEAR(OneWeekMtgRatesDataTable75[[#This Row],[asOf]]),MONTH(OneWeekMtgRatesDataTable75[[#This Row],[asOf]]),DAY(OneWeekMtgRatesDataTable75[[#This Row],[asOf]]))</f>
        <v>41283</v>
      </c>
      <c r="N715" s="21">
        <v>3.4</v>
      </c>
      <c r="O715" s="21">
        <v>0.7</v>
      </c>
      <c r="P715" s="21">
        <v>3.3249999999999997</v>
      </c>
    </row>
    <row r="716" spans="8:16">
      <c r="H716" s="21"/>
      <c r="I716" s="21"/>
      <c r="J716" s="52"/>
      <c r="K716" s="21"/>
      <c r="L716" s="21" t="s">
        <v>943</v>
      </c>
      <c r="M716" s="25">
        <f>DATE(YEAR(OneWeekMtgRatesDataTable75[[#This Row],[asOf]]),MONTH(OneWeekMtgRatesDataTable75[[#This Row],[asOf]]),DAY(OneWeekMtgRatesDataTable75[[#This Row],[asOf]]))</f>
        <v>41282</v>
      </c>
      <c r="N716" s="21">
        <v>3.4</v>
      </c>
      <c r="O716" s="21">
        <v>0.7</v>
      </c>
      <c r="P716" s="21">
        <v>3.3249999999999997</v>
      </c>
    </row>
    <row r="717" spans="8:16">
      <c r="H717" s="21"/>
      <c r="I717" s="21"/>
      <c r="J717" s="52"/>
      <c r="K717" s="21"/>
      <c r="L717" s="21" t="s">
        <v>942</v>
      </c>
      <c r="M717" s="25">
        <f>DATE(YEAR(OneWeekMtgRatesDataTable75[[#This Row],[asOf]]),MONTH(OneWeekMtgRatesDataTable75[[#This Row],[asOf]]),DAY(OneWeekMtgRatesDataTable75[[#This Row],[asOf]]))</f>
        <v>41281</v>
      </c>
      <c r="N717" s="21">
        <v>3.4</v>
      </c>
      <c r="O717" s="21">
        <v>0.7</v>
      </c>
      <c r="P717" s="21">
        <v>3.3249999999999997</v>
      </c>
    </row>
    <row r="718" spans="8:16">
      <c r="H718" s="21"/>
      <c r="I718" s="21"/>
      <c r="J718" s="52"/>
      <c r="K718" s="21"/>
      <c r="L718" s="21" t="s">
        <v>941</v>
      </c>
      <c r="M718" s="25">
        <f>DATE(YEAR(OneWeekMtgRatesDataTable75[[#This Row],[asOf]]),MONTH(OneWeekMtgRatesDataTable75[[#This Row],[asOf]]),DAY(OneWeekMtgRatesDataTable75[[#This Row],[asOf]]))</f>
        <v>41278</v>
      </c>
      <c r="N718" s="21">
        <v>3.4</v>
      </c>
      <c r="O718" s="21">
        <v>0.7</v>
      </c>
      <c r="P718" s="21">
        <v>3.3249999999999997</v>
      </c>
    </row>
    <row r="719" spans="8:16">
      <c r="H719" s="21"/>
      <c r="I719" s="21"/>
      <c r="J719" s="52"/>
      <c r="K719" s="21"/>
      <c r="L719" s="21" t="s">
        <v>940</v>
      </c>
      <c r="M719" s="25">
        <f>DATE(YEAR(OneWeekMtgRatesDataTable75[[#This Row],[asOf]]),MONTH(OneWeekMtgRatesDataTable75[[#This Row],[asOf]]),DAY(OneWeekMtgRatesDataTable75[[#This Row],[asOf]]))</f>
        <v>41277</v>
      </c>
      <c r="N719" s="21">
        <v>3.4</v>
      </c>
      <c r="O719" s="21">
        <v>0.7</v>
      </c>
      <c r="P719" s="21">
        <v>3.3249999999999997</v>
      </c>
    </row>
    <row r="720" spans="8:16">
      <c r="H720" s="21"/>
      <c r="I720" s="21"/>
      <c r="J720" s="52"/>
      <c r="K720" s="21"/>
      <c r="L720" s="21" t="s">
        <v>939</v>
      </c>
      <c r="M720" s="25">
        <f>DATE(YEAR(OneWeekMtgRatesDataTable75[[#This Row],[asOf]]),MONTH(OneWeekMtgRatesDataTable75[[#This Row],[asOf]]),DAY(OneWeekMtgRatesDataTable75[[#This Row],[asOf]]))</f>
        <v>41276</v>
      </c>
      <c r="N720" s="21">
        <v>3.34</v>
      </c>
      <c r="O720" s="21">
        <v>0.7</v>
      </c>
      <c r="P720" s="21">
        <v>3.2649999999999997</v>
      </c>
    </row>
    <row r="721" spans="8:16">
      <c r="H721" s="21"/>
      <c r="I721" s="21"/>
      <c r="J721" s="52"/>
      <c r="K721" s="21"/>
      <c r="L721" s="21" t="s">
        <v>938</v>
      </c>
      <c r="M721" s="25">
        <f>DATE(YEAR(OneWeekMtgRatesDataTable75[[#This Row],[asOf]]),MONTH(OneWeekMtgRatesDataTable75[[#This Row],[asOf]]),DAY(OneWeekMtgRatesDataTable75[[#This Row],[asOf]]))</f>
        <v>41274</v>
      </c>
      <c r="N721" s="21">
        <v>3.34</v>
      </c>
      <c r="O721" s="21">
        <v>0.7</v>
      </c>
      <c r="P721" s="21">
        <v>3.2649999999999997</v>
      </c>
    </row>
    <row r="722" spans="8:16">
      <c r="H722" s="21"/>
      <c r="I722" s="21"/>
      <c r="J722" s="52"/>
      <c r="K722" s="21"/>
      <c r="L722" s="21" t="s">
        <v>937</v>
      </c>
      <c r="M722" s="25">
        <f>DATE(YEAR(OneWeekMtgRatesDataTable75[[#This Row],[asOf]]),MONTH(OneWeekMtgRatesDataTable75[[#This Row],[asOf]]),DAY(OneWeekMtgRatesDataTable75[[#This Row],[asOf]]))</f>
        <v>41271</v>
      </c>
      <c r="N722" s="21">
        <v>3.34</v>
      </c>
      <c r="O722" s="21">
        <v>0.7</v>
      </c>
      <c r="P722" s="21">
        <v>3.2649999999999997</v>
      </c>
    </row>
    <row r="723" spans="8:16">
      <c r="H723" s="21"/>
      <c r="I723" s="21"/>
      <c r="J723" s="52"/>
      <c r="K723" s="21"/>
      <c r="L723" s="21" t="s">
        <v>936</v>
      </c>
      <c r="M723" s="25">
        <f>DATE(YEAR(OneWeekMtgRatesDataTable75[[#This Row],[asOf]]),MONTH(OneWeekMtgRatesDataTable75[[#This Row],[asOf]]),DAY(OneWeekMtgRatesDataTable75[[#This Row],[asOf]]))</f>
        <v>41270</v>
      </c>
      <c r="N723" s="21">
        <v>3.34</v>
      </c>
      <c r="O723" s="21">
        <v>0.7</v>
      </c>
      <c r="P723" s="21">
        <v>3.2649999999999997</v>
      </c>
    </row>
    <row r="724" spans="8:16">
      <c r="H724" s="21"/>
      <c r="I724" s="21"/>
      <c r="J724" s="52"/>
      <c r="K724" s="21"/>
      <c r="L724" s="21" t="s">
        <v>935</v>
      </c>
      <c r="M724" s="25">
        <f>DATE(YEAR(OneWeekMtgRatesDataTable75[[#This Row],[asOf]]),MONTH(OneWeekMtgRatesDataTable75[[#This Row],[asOf]]),DAY(OneWeekMtgRatesDataTable75[[#This Row],[asOf]]))</f>
        <v>41269</v>
      </c>
      <c r="N724" s="21">
        <v>3.35</v>
      </c>
      <c r="O724" s="21">
        <v>0.7</v>
      </c>
      <c r="P724" s="21">
        <v>3.2749999999999999</v>
      </c>
    </row>
    <row r="725" spans="8:16">
      <c r="H725" s="21"/>
      <c r="I725" s="21"/>
      <c r="J725" s="52"/>
      <c r="K725" s="21"/>
      <c r="L725" s="21" t="s">
        <v>934</v>
      </c>
      <c r="M725" s="25">
        <f>DATE(YEAR(OneWeekMtgRatesDataTable75[[#This Row],[asOf]]),MONTH(OneWeekMtgRatesDataTable75[[#This Row],[asOf]]),DAY(OneWeekMtgRatesDataTable75[[#This Row],[asOf]]))</f>
        <v>41267</v>
      </c>
      <c r="N725" s="21">
        <v>3.35</v>
      </c>
      <c r="O725" s="21">
        <v>0.7</v>
      </c>
      <c r="P725" s="21">
        <v>3.2749999999999999</v>
      </c>
    </row>
    <row r="726" spans="8:16">
      <c r="H726" s="21"/>
      <c r="I726" s="21"/>
      <c r="J726" s="52"/>
      <c r="K726" s="21"/>
      <c r="L726" s="21" t="s">
        <v>933</v>
      </c>
      <c r="M726" s="25">
        <f>DATE(YEAR(OneWeekMtgRatesDataTable75[[#This Row],[asOf]]),MONTH(OneWeekMtgRatesDataTable75[[#This Row],[asOf]]),DAY(OneWeekMtgRatesDataTable75[[#This Row],[asOf]]))</f>
        <v>41264</v>
      </c>
      <c r="N726" s="21">
        <v>3.35</v>
      </c>
      <c r="O726" s="21">
        <v>0.7</v>
      </c>
      <c r="P726" s="21">
        <v>3.2749999999999999</v>
      </c>
    </row>
    <row r="727" spans="8:16">
      <c r="H727" s="21"/>
      <c r="I727" s="21"/>
      <c r="J727" s="52"/>
      <c r="K727" s="21"/>
      <c r="L727" s="21" t="s">
        <v>932</v>
      </c>
      <c r="M727" s="25">
        <f>DATE(YEAR(OneWeekMtgRatesDataTable75[[#This Row],[asOf]]),MONTH(OneWeekMtgRatesDataTable75[[#This Row],[asOf]]),DAY(OneWeekMtgRatesDataTable75[[#This Row],[asOf]]))</f>
        <v>41263</v>
      </c>
      <c r="N727" s="21">
        <v>3.35</v>
      </c>
      <c r="O727" s="21">
        <v>0.7</v>
      </c>
      <c r="P727" s="21">
        <v>3.2749999999999999</v>
      </c>
    </row>
    <row r="728" spans="8:16">
      <c r="H728" s="21"/>
      <c r="I728" s="21"/>
      <c r="J728" s="52"/>
      <c r="K728" s="21"/>
      <c r="L728" s="21" t="s">
        <v>931</v>
      </c>
      <c r="M728" s="25">
        <f>DATE(YEAR(OneWeekMtgRatesDataTable75[[#This Row],[asOf]]),MONTH(OneWeekMtgRatesDataTable75[[#This Row],[asOf]]),DAY(OneWeekMtgRatesDataTable75[[#This Row],[asOf]]))</f>
        <v>41262</v>
      </c>
      <c r="N728" s="21">
        <v>3.37</v>
      </c>
      <c r="O728" s="21">
        <v>0.7</v>
      </c>
      <c r="P728" s="21">
        <v>3.2949999999999999</v>
      </c>
    </row>
    <row r="729" spans="8:16">
      <c r="H729" s="21"/>
      <c r="I729" s="21"/>
      <c r="J729" s="52"/>
      <c r="K729" s="21"/>
      <c r="L729" s="21" t="s">
        <v>930</v>
      </c>
      <c r="M729" s="25">
        <f>DATE(YEAR(OneWeekMtgRatesDataTable75[[#This Row],[asOf]]),MONTH(OneWeekMtgRatesDataTable75[[#This Row],[asOf]]),DAY(OneWeekMtgRatesDataTable75[[#This Row],[asOf]]))</f>
        <v>41261</v>
      </c>
      <c r="N729" s="21">
        <v>3.37</v>
      </c>
      <c r="O729" s="21">
        <v>0.7</v>
      </c>
      <c r="P729" s="21">
        <v>3.2949999999999999</v>
      </c>
    </row>
    <row r="730" spans="8:16">
      <c r="H730" s="21"/>
      <c r="I730" s="21"/>
      <c r="J730" s="52"/>
      <c r="K730" s="21"/>
      <c r="L730" s="21" t="s">
        <v>929</v>
      </c>
      <c r="M730" s="25">
        <f>DATE(YEAR(OneWeekMtgRatesDataTable75[[#This Row],[asOf]]),MONTH(OneWeekMtgRatesDataTable75[[#This Row],[asOf]]),DAY(OneWeekMtgRatesDataTable75[[#This Row],[asOf]]))</f>
        <v>41260</v>
      </c>
      <c r="N730" s="21">
        <v>3.37</v>
      </c>
      <c r="O730" s="21">
        <v>0.7</v>
      </c>
      <c r="P730" s="21">
        <v>3.2949999999999999</v>
      </c>
    </row>
    <row r="731" spans="8:16">
      <c r="H731" s="21"/>
      <c r="I731" s="21"/>
      <c r="J731" s="52"/>
      <c r="K731" s="21"/>
      <c r="L731" s="21" t="s">
        <v>928</v>
      </c>
      <c r="M731" s="25">
        <f>DATE(YEAR(OneWeekMtgRatesDataTable75[[#This Row],[asOf]]),MONTH(OneWeekMtgRatesDataTable75[[#This Row],[asOf]]),DAY(OneWeekMtgRatesDataTable75[[#This Row],[asOf]]))</f>
        <v>41257</v>
      </c>
      <c r="N731" s="21">
        <v>3.37</v>
      </c>
      <c r="O731" s="21">
        <v>0.7</v>
      </c>
      <c r="P731" s="21">
        <v>3.2949999999999999</v>
      </c>
    </row>
    <row r="732" spans="8:16">
      <c r="H732" s="21"/>
      <c r="I732" s="21"/>
      <c r="J732" s="52"/>
      <c r="K732" s="21"/>
      <c r="L732" s="21" t="s">
        <v>927</v>
      </c>
      <c r="M732" s="25">
        <f>DATE(YEAR(OneWeekMtgRatesDataTable75[[#This Row],[asOf]]),MONTH(OneWeekMtgRatesDataTable75[[#This Row],[asOf]]),DAY(OneWeekMtgRatesDataTable75[[#This Row],[asOf]]))</f>
        <v>41256</v>
      </c>
      <c r="N732" s="21">
        <v>3.37</v>
      </c>
      <c r="O732" s="21">
        <v>0.7</v>
      </c>
      <c r="P732" s="21">
        <v>3.2949999999999999</v>
      </c>
    </row>
    <row r="733" spans="8:16">
      <c r="H733" s="21"/>
      <c r="I733" s="21"/>
      <c r="J733" s="52"/>
      <c r="K733" s="21"/>
      <c r="L733" s="21" t="s">
        <v>926</v>
      </c>
      <c r="M733" s="25">
        <f>DATE(YEAR(OneWeekMtgRatesDataTable75[[#This Row],[asOf]]),MONTH(OneWeekMtgRatesDataTable75[[#This Row],[asOf]]),DAY(OneWeekMtgRatesDataTable75[[#This Row],[asOf]]))</f>
        <v>41255</v>
      </c>
      <c r="N733" s="21">
        <v>3.32</v>
      </c>
      <c r="O733" s="21">
        <v>0.7</v>
      </c>
      <c r="P733" s="21">
        <v>3.2449999999999997</v>
      </c>
    </row>
    <row r="734" spans="8:16">
      <c r="H734" s="21"/>
      <c r="I734" s="21"/>
      <c r="J734" s="52"/>
      <c r="K734" s="21"/>
      <c r="L734" s="21" t="s">
        <v>925</v>
      </c>
      <c r="M734" s="25">
        <f>DATE(YEAR(OneWeekMtgRatesDataTable75[[#This Row],[asOf]]),MONTH(OneWeekMtgRatesDataTable75[[#This Row],[asOf]]),DAY(OneWeekMtgRatesDataTable75[[#This Row],[asOf]]))</f>
        <v>41254</v>
      </c>
      <c r="N734" s="21">
        <v>3.32</v>
      </c>
      <c r="O734" s="21">
        <v>0.7</v>
      </c>
      <c r="P734" s="21">
        <v>3.2449999999999997</v>
      </c>
    </row>
    <row r="735" spans="8:16">
      <c r="H735" s="21"/>
      <c r="I735" s="21"/>
      <c r="J735" s="52"/>
      <c r="K735" s="21"/>
      <c r="L735" s="21" t="s">
        <v>924</v>
      </c>
      <c r="M735" s="25">
        <f>DATE(YEAR(OneWeekMtgRatesDataTable75[[#This Row],[asOf]]),MONTH(OneWeekMtgRatesDataTable75[[#This Row],[asOf]]),DAY(OneWeekMtgRatesDataTable75[[#This Row],[asOf]]))</f>
        <v>41253</v>
      </c>
      <c r="N735" s="21">
        <v>3.32</v>
      </c>
      <c r="O735" s="21">
        <v>0.7</v>
      </c>
      <c r="P735" s="21">
        <v>3.2449999999999997</v>
      </c>
    </row>
    <row r="736" spans="8:16">
      <c r="H736" s="21"/>
      <c r="I736" s="21"/>
      <c r="J736" s="52"/>
      <c r="K736" s="21"/>
      <c r="L736" s="21" t="s">
        <v>923</v>
      </c>
      <c r="M736" s="25">
        <f>DATE(YEAR(OneWeekMtgRatesDataTable75[[#This Row],[asOf]]),MONTH(OneWeekMtgRatesDataTable75[[#This Row],[asOf]]),DAY(OneWeekMtgRatesDataTable75[[#This Row],[asOf]]))</f>
        <v>41250</v>
      </c>
      <c r="N736" s="21">
        <v>3.32</v>
      </c>
      <c r="O736" s="21">
        <v>0.7</v>
      </c>
      <c r="P736" s="21">
        <v>3.2449999999999997</v>
      </c>
    </row>
    <row r="737" spans="8:16">
      <c r="H737" s="21"/>
      <c r="I737" s="21"/>
      <c r="J737" s="52"/>
      <c r="K737" s="21"/>
      <c r="L737" s="21" t="s">
        <v>922</v>
      </c>
      <c r="M737" s="25">
        <f>DATE(YEAR(OneWeekMtgRatesDataTable75[[#This Row],[asOf]]),MONTH(OneWeekMtgRatesDataTable75[[#This Row],[asOf]]),DAY(OneWeekMtgRatesDataTable75[[#This Row],[asOf]]))</f>
        <v>41249</v>
      </c>
      <c r="N737" s="21">
        <v>3.32</v>
      </c>
      <c r="O737" s="21">
        <v>0.7</v>
      </c>
      <c r="P737" s="21">
        <v>3.2449999999999997</v>
      </c>
    </row>
    <row r="738" spans="8:16">
      <c r="H738" s="21"/>
      <c r="I738" s="21"/>
      <c r="J738" s="52"/>
      <c r="K738" s="21"/>
      <c r="L738" s="21" t="s">
        <v>921</v>
      </c>
      <c r="M738" s="25">
        <f>DATE(YEAR(OneWeekMtgRatesDataTable75[[#This Row],[asOf]]),MONTH(OneWeekMtgRatesDataTable75[[#This Row],[asOf]]),DAY(OneWeekMtgRatesDataTable75[[#This Row],[asOf]]))</f>
        <v>41248</v>
      </c>
      <c r="N738" s="21">
        <v>3.34</v>
      </c>
      <c r="O738" s="21">
        <v>0.7</v>
      </c>
      <c r="P738" s="21">
        <v>3.2649999999999997</v>
      </c>
    </row>
    <row r="739" spans="8:16">
      <c r="H739" s="21"/>
      <c r="I739" s="21"/>
      <c r="J739" s="52"/>
      <c r="K739" s="21"/>
      <c r="L739" s="21" t="s">
        <v>920</v>
      </c>
      <c r="M739" s="25">
        <f>DATE(YEAR(OneWeekMtgRatesDataTable75[[#This Row],[asOf]]),MONTH(OneWeekMtgRatesDataTable75[[#This Row],[asOf]]),DAY(OneWeekMtgRatesDataTable75[[#This Row],[asOf]]))</f>
        <v>41247</v>
      </c>
      <c r="N739" s="21">
        <v>3.34</v>
      </c>
      <c r="O739" s="21">
        <v>0.7</v>
      </c>
      <c r="P739" s="21">
        <v>3.2649999999999997</v>
      </c>
    </row>
    <row r="740" spans="8:16">
      <c r="H740" s="21"/>
      <c r="I740" s="21"/>
      <c r="J740" s="52"/>
      <c r="K740" s="21"/>
      <c r="L740" s="21" t="s">
        <v>919</v>
      </c>
      <c r="M740" s="25">
        <f>DATE(YEAR(OneWeekMtgRatesDataTable75[[#This Row],[asOf]]),MONTH(OneWeekMtgRatesDataTable75[[#This Row],[asOf]]),DAY(OneWeekMtgRatesDataTable75[[#This Row],[asOf]]))</f>
        <v>41246</v>
      </c>
      <c r="N740" s="21">
        <v>3.34</v>
      </c>
      <c r="O740" s="21">
        <v>0.7</v>
      </c>
      <c r="P740" s="21">
        <v>3.2649999999999997</v>
      </c>
    </row>
    <row r="741" spans="8:16">
      <c r="H741" s="21"/>
      <c r="I741" s="21"/>
      <c r="J741" s="52"/>
      <c r="K741" s="21"/>
      <c r="L741" s="21" t="s">
        <v>918</v>
      </c>
      <c r="M741" s="25">
        <f>DATE(YEAR(OneWeekMtgRatesDataTable75[[#This Row],[asOf]]),MONTH(OneWeekMtgRatesDataTable75[[#This Row],[asOf]]),DAY(OneWeekMtgRatesDataTable75[[#This Row],[asOf]]))</f>
        <v>41243</v>
      </c>
      <c r="N741" s="21">
        <v>3.34</v>
      </c>
      <c r="O741" s="21">
        <v>0.7</v>
      </c>
      <c r="P741" s="21">
        <v>3.2649999999999997</v>
      </c>
    </row>
    <row r="742" spans="8:16">
      <c r="H742" s="21"/>
      <c r="I742" s="21"/>
      <c r="J742" s="52"/>
      <c r="K742" s="21"/>
      <c r="L742" s="21" t="s">
        <v>917</v>
      </c>
      <c r="M742" s="25">
        <f>DATE(YEAR(OneWeekMtgRatesDataTable75[[#This Row],[asOf]]),MONTH(OneWeekMtgRatesDataTable75[[#This Row],[asOf]]),DAY(OneWeekMtgRatesDataTable75[[#This Row],[asOf]]))</f>
        <v>41242</v>
      </c>
      <c r="N742" s="21">
        <v>3.34</v>
      </c>
      <c r="O742" s="21">
        <v>0.7</v>
      </c>
      <c r="P742" s="21">
        <v>3.2649999999999997</v>
      </c>
    </row>
    <row r="743" spans="8:16">
      <c r="H743" s="21"/>
      <c r="I743" s="21"/>
      <c r="J743" s="52"/>
      <c r="K743" s="21"/>
      <c r="L743" s="21" t="s">
        <v>916</v>
      </c>
      <c r="M743" s="25">
        <f>DATE(YEAR(OneWeekMtgRatesDataTable75[[#This Row],[asOf]]),MONTH(OneWeekMtgRatesDataTable75[[#This Row],[asOf]]),DAY(OneWeekMtgRatesDataTable75[[#This Row],[asOf]]))</f>
        <v>41241</v>
      </c>
      <c r="N743" s="21">
        <v>3.32</v>
      </c>
      <c r="O743" s="21">
        <v>0.8</v>
      </c>
      <c r="P743" s="21">
        <v>3.27</v>
      </c>
    </row>
    <row r="744" spans="8:16">
      <c r="H744" s="21"/>
      <c r="I744" s="21"/>
      <c r="J744" s="52"/>
      <c r="K744" s="21"/>
      <c r="L744" s="21" t="s">
        <v>915</v>
      </c>
      <c r="M744" s="25">
        <f>DATE(YEAR(OneWeekMtgRatesDataTable75[[#This Row],[asOf]]),MONTH(OneWeekMtgRatesDataTable75[[#This Row],[asOf]]),DAY(OneWeekMtgRatesDataTable75[[#This Row],[asOf]]))</f>
        <v>41240</v>
      </c>
      <c r="N744" s="21">
        <v>3.32</v>
      </c>
      <c r="O744" s="21">
        <v>0.8</v>
      </c>
      <c r="P744" s="21">
        <v>3.27</v>
      </c>
    </row>
    <row r="745" spans="8:16">
      <c r="H745" s="21"/>
      <c r="I745" s="21"/>
      <c r="J745" s="52"/>
      <c r="K745" s="21"/>
      <c r="L745" s="21" t="s">
        <v>914</v>
      </c>
      <c r="M745" s="25">
        <f>DATE(YEAR(OneWeekMtgRatesDataTable75[[#This Row],[asOf]]),MONTH(OneWeekMtgRatesDataTable75[[#This Row],[asOf]]),DAY(OneWeekMtgRatesDataTable75[[#This Row],[asOf]]))</f>
        <v>41239</v>
      </c>
      <c r="N745" s="21">
        <v>3.32</v>
      </c>
      <c r="O745" s="21">
        <v>0.8</v>
      </c>
      <c r="P745" s="21">
        <v>3.27</v>
      </c>
    </row>
    <row r="746" spans="8:16">
      <c r="H746" s="21"/>
      <c r="I746" s="21"/>
      <c r="J746" s="52"/>
      <c r="K746" s="21"/>
      <c r="L746" s="21" t="s">
        <v>913</v>
      </c>
      <c r="M746" s="25">
        <f>DATE(YEAR(OneWeekMtgRatesDataTable75[[#This Row],[asOf]]),MONTH(OneWeekMtgRatesDataTable75[[#This Row],[asOf]]),DAY(OneWeekMtgRatesDataTable75[[#This Row],[asOf]]))</f>
        <v>41236</v>
      </c>
      <c r="N746" s="21">
        <v>3.32</v>
      </c>
      <c r="O746" s="21">
        <v>0.8</v>
      </c>
      <c r="P746" s="21">
        <v>3.27</v>
      </c>
    </row>
    <row r="747" spans="8:16">
      <c r="H747" s="21"/>
      <c r="I747" s="21"/>
      <c r="J747" s="52"/>
      <c r="K747" s="21"/>
      <c r="L747" s="21" t="s">
        <v>911</v>
      </c>
      <c r="M747" s="25">
        <f>DATE(YEAR(OneWeekMtgRatesDataTable75[[#This Row],[asOf]]),MONTH(OneWeekMtgRatesDataTable75[[#This Row],[asOf]]),DAY(OneWeekMtgRatesDataTable75[[#This Row],[asOf]]))</f>
        <v>41233</v>
      </c>
      <c r="N747" s="21">
        <v>3.31</v>
      </c>
      <c r="O747" s="21">
        <v>0.7</v>
      </c>
      <c r="P747" s="21">
        <v>3.2349999999999999</v>
      </c>
    </row>
    <row r="748" spans="8:16">
      <c r="H748" s="21"/>
      <c r="I748" s="21"/>
      <c r="J748" s="52"/>
      <c r="K748" s="21"/>
      <c r="L748" s="21" t="s">
        <v>910</v>
      </c>
      <c r="M748" s="25">
        <f>DATE(YEAR(OneWeekMtgRatesDataTable75[[#This Row],[asOf]]),MONTH(OneWeekMtgRatesDataTable75[[#This Row],[asOf]]),DAY(OneWeekMtgRatesDataTable75[[#This Row],[asOf]]))</f>
        <v>41232</v>
      </c>
      <c r="N748" s="21">
        <v>3.31</v>
      </c>
      <c r="O748" s="21">
        <v>0.7</v>
      </c>
      <c r="P748" s="21">
        <v>3.2349999999999999</v>
      </c>
    </row>
    <row r="749" spans="8:16">
      <c r="H749" s="21"/>
      <c r="I749" s="21"/>
      <c r="J749" s="52"/>
      <c r="K749" s="21"/>
      <c r="L749" s="21" t="s">
        <v>909</v>
      </c>
      <c r="M749" s="25">
        <f>DATE(YEAR(OneWeekMtgRatesDataTable75[[#This Row],[asOf]]),MONTH(OneWeekMtgRatesDataTable75[[#This Row],[asOf]]),DAY(OneWeekMtgRatesDataTable75[[#This Row],[asOf]]))</f>
        <v>41229</v>
      </c>
      <c r="N749" s="21">
        <v>3.31</v>
      </c>
      <c r="O749" s="21">
        <v>0.7</v>
      </c>
      <c r="P749" s="21">
        <v>3.2349999999999999</v>
      </c>
    </row>
    <row r="750" spans="8:16">
      <c r="H750" s="21"/>
      <c r="I750" s="21"/>
      <c r="J750" s="52"/>
      <c r="K750" s="21"/>
      <c r="L750" s="21" t="s">
        <v>908</v>
      </c>
      <c r="M750" s="25">
        <f>DATE(YEAR(OneWeekMtgRatesDataTable75[[#This Row],[asOf]]),MONTH(OneWeekMtgRatesDataTable75[[#This Row],[asOf]]),DAY(OneWeekMtgRatesDataTable75[[#This Row],[asOf]]))</f>
        <v>41228</v>
      </c>
      <c r="N750" s="21">
        <v>3.31</v>
      </c>
      <c r="O750" s="21">
        <v>0.7</v>
      </c>
      <c r="P750" s="21">
        <v>3.2349999999999999</v>
      </c>
    </row>
    <row r="751" spans="8:16">
      <c r="H751" s="21"/>
      <c r="I751" s="21"/>
      <c r="J751" s="52"/>
      <c r="K751" s="21"/>
      <c r="L751" s="21" t="s">
        <v>907</v>
      </c>
      <c r="M751" s="25">
        <f>DATE(YEAR(OneWeekMtgRatesDataTable75[[#This Row],[asOf]]),MONTH(OneWeekMtgRatesDataTable75[[#This Row],[asOf]]),DAY(OneWeekMtgRatesDataTable75[[#This Row],[asOf]]))</f>
        <v>41227</v>
      </c>
      <c r="N751" s="21">
        <v>3.31</v>
      </c>
      <c r="O751" s="21">
        <v>0.7</v>
      </c>
      <c r="P751" s="21">
        <v>3.2349999999999999</v>
      </c>
    </row>
    <row r="752" spans="8:16">
      <c r="H752" s="21"/>
      <c r="I752" s="21"/>
      <c r="J752" s="52"/>
      <c r="K752" s="21"/>
      <c r="L752" s="21" t="s">
        <v>907</v>
      </c>
      <c r="M752" s="25">
        <f>DATE(YEAR(OneWeekMtgRatesDataTable75[[#This Row],[asOf]]),MONTH(OneWeekMtgRatesDataTable75[[#This Row],[asOf]]),DAY(OneWeekMtgRatesDataTable75[[#This Row],[asOf]]))</f>
        <v>41227</v>
      </c>
      <c r="N752" s="21">
        <v>3.34</v>
      </c>
      <c r="O752" s="21">
        <v>0.7</v>
      </c>
      <c r="P752" s="21">
        <v>3.2649999999999997</v>
      </c>
    </row>
    <row r="753" spans="8:16">
      <c r="H753" s="21"/>
      <c r="I753" s="21"/>
      <c r="J753" s="52"/>
      <c r="K753" s="21"/>
      <c r="L753" s="21" t="s">
        <v>906</v>
      </c>
      <c r="M753" s="25">
        <f>DATE(YEAR(OneWeekMtgRatesDataTable75[[#This Row],[asOf]]),MONTH(OneWeekMtgRatesDataTable75[[#This Row],[asOf]]),DAY(OneWeekMtgRatesDataTable75[[#This Row],[asOf]]))</f>
        <v>41226</v>
      </c>
      <c r="N753" s="21">
        <v>3.34</v>
      </c>
      <c r="O753" s="21">
        <v>0.7</v>
      </c>
      <c r="P753" s="21">
        <v>3.2649999999999997</v>
      </c>
    </row>
    <row r="754" spans="8:16">
      <c r="H754" s="21"/>
      <c r="I754" s="21"/>
      <c r="J754" s="52"/>
      <c r="K754" s="21"/>
      <c r="L754" s="21" t="s">
        <v>905</v>
      </c>
      <c r="M754" s="25">
        <f>DATE(YEAR(OneWeekMtgRatesDataTable75[[#This Row],[asOf]]),MONTH(OneWeekMtgRatesDataTable75[[#This Row],[asOf]]),DAY(OneWeekMtgRatesDataTable75[[#This Row],[asOf]]))</f>
        <v>41222</v>
      </c>
      <c r="N754" s="21">
        <v>3.34</v>
      </c>
      <c r="O754" s="21">
        <v>0.7</v>
      </c>
      <c r="P754" s="21">
        <v>3.2649999999999997</v>
      </c>
    </row>
    <row r="755" spans="8:16">
      <c r="H755" s="21"/>
      <c r="I755" s="21"/>
      <c r="J755" s="52"/>
      <c r="K755" s="21"/>
      <c r="L755" s="21" t="s">
        <v>904</v>
      </c>
      <c r="M755" s="25">
        <f>DATE(YEAR(OneWeekMtgRatesDataTable75[[#This Row],[asOf]]),MONTH(OneWeekMtgRatesDataTable75[[#This Row],[asOf]]),DAY(OneWeekMtgRatesDataTable75[[#This Row],[asOf]]))</f>
        <v>41221</v>
      </c>
      <c r="N755" s="21">
        <v>3.34</v>
      </c>
      <c r="O755" s="21">
        <v>0.7</v>
      </c>
      <c r="P755" s="21">
        <v>3.2649999999999997</v>
      </c>
    </row>
    <row r="756" spans="8:16">
      <c r="H756" s="21"/>
      <c r="I756" s="21"/>
      <c r="J756" s="52"/>
      <c r="K756" s="21"/>
      <c r="L756" s="21" t="s">
        <v>903</v>
      </c>
      <c r="M756" s="25">
        <f>DATE(YEAR(OneWeekMtgRatesDataTable75[[#This Row],[asOf]]),MONTH(OneWeekMtgRatesDataTable75[[#This Row],[asOf]]),DAY(OneWeekMtgRatesDataTable75[[#This Row],[asOf]]))</f>
        <v>41220</v>
      </c>
      <c r="N756" s="21">
        <v>3.4</v>
      </c>
      <c r="O756" s="21">
        <v>0.7</v>
      </c>
      <c r="P756" s="21">
        <v>3.3249999999999997</v>
      </c>
    </row>
    <row r="757" spans="8:16">
      <c r="H757" s="21"/>
      <c r="I757" s="21"/>
      <c r="J757" s="52"/>
      <c r="K757" s="21"/>
      <c r="L757" s="21" t="s">
        <v>902</v>
      </c>
      <c r="M757" s="25">
        <f>DATE(YEAR(OneWeekMtgRatesDataTable75[[#This Row],[asOf]]),MONTH(OneWeekMtgRatesDataTable75[[#This Row],[asOf]]),DAY(OneWeekMtgRatesDataTable75[[#This Row],[asOf]]))</f>
        <v>41219</v>
      </c>
      <c r="N757" s="21">
        <v>3.4</v>
      </c>
      <c r="O757" s="21">
        <v>0.7</v>
      </c>
      <c r="P757" s="21">
        <v>3.3249999999999997</v>
      </c>
    </row>
    <row r="758" spans="8:16">
      <c r="H758" s="21"/>
      <c r="I758" s="21"/>
      <c r="J758" s="52"/>
      <c r="K758" s="21"/>
      <c r="L758" s="21" t="s">
        <v>901</v>
      </c>
      <c r="M758" s="25">
        <f>DATE(YEAR(OneWeekMtgRatesDataTable75[[#This Row],[asOf]]),MONTH(OneWeekMtgRatesDataTable75[[#This Row],[asOf]]),DAY(OneWeekMtgRatesDataTable75[[#This Row],[asOf]]))</f>
        <v>41218</v>
      </c>
      <c r="N758" s="21">
        <v>3.4</v>
      </c>
      <c r="O758" s="21">
        <v>0.7</v>
      </c>
      <c r="P758" s="21">
        <v>3.3249999999999997</v>
      </c>
    </row>
    <row r="759" spans="8:16">
      <c r="H759" s="21"/>
      <c r="I759" s="21"/>
      <c r="J759" s="52"/>
      <c r="K759" s="21"/>
      <c r="L759" s="21" t="s">
        <v>900</v>
      </c>
      <c r="M759" s="25">
        <f>DATE(YEAR(OneWeekMtgRatesDataTable75[[#This Row],[asOf]]),MONTH(OneWeekMtgRatesDataTable75[[#This Row],[asOf]]),DAY(OneWeekMtgRatesDataTable75[[#This Row],[asOf]]))</f>
        <v>41215</v>
      </c>
      <c r="N759" s="21">
        <v>3.4</v>
      </c>
      <c r="O759" s="21">
        <v>0.7</v>
      </c>
      <c r="P759" s="21">
        <v>3.3249999999999997</v>
      </c>
    </row>
    <row r="760" spans="8:16">
      <c r="H760" s="21"/>
      <c r="I760" s="21"/>
      <c r="J760" s="52"/>
      <c r="K760" s="21"/>
      <c r="L760" s="21" t="s">
        <v>899</v>
      </c>
      <c r="M760" s="25">
        <f>DATE(YEAR(OneWeekMtgRatesDataTable75[[#This Row],[asOf]]),MONTH(OneWeekMtgRatesDataTable75[[#This Row],[asOf]]),DAY(OneWeekMtgRatesDataTable75[[#This Row],[asOf]]))</f>
        <v>41214</v>
      </c>
      <c r="N760" s="21">
        <v>3.4</v>
      </c>
      <c r="O760" s="21">
        <v>0.7</v>
      </c>
      <c r="P760" s="21">
        <v>3.3249999999999997</v>
      </c>
    </row>
    <row r="761" spans="8:16">
      <c r="H761" s="21"/>
      <c r="I761" s="21"/>
      <c r="J761" s="52"/>
      <c r="K761" s="21"/>
      <c r="L761" s="21" t="s">
        <v>898</v>
      </c>
      <c r="M761" s="25">
        <f>DATE(YEAR(OneWeekMtgRatesDataTable75[[#This Row],[asOf]]),MONTH(OneWeekMtgRatesDataTable75[[#This Row],[asOf]]),DAY(OneWeekMtgRatesDataTable75[[#This Row],[asOf]]))</f>
        <v>41213</v>
      </c>
      <c r="N761" s="21">
        <v>3.39</v>
      </c>
      <c r="O761" s="21">
        <v>0.7</v>
      </c>
      <c r="P761" s="21">
        <v>3.3149999999999999</v>
      </c>
    </row>
    <row r="762" spans="8:16">
      <c r="H762" s="21"/>
      <c r="I762" s="21"/>
      <c r="J762" s="52"/>
      <c r="K762" s="21"/>
      <c r="L762" s="21" t="s">
        <v>897</v>
      </c>
      <c r="M762" s="25">
        <f>DATE(YEAR(OneWeekMtgRatesDataTable75[[#This Row],[asOf]]),MONTH(OneWeekMtgRatesDataTable75[[#This Row],[asOf]]),DAY(OneWeekMtgRatesDataTable75[[#This Row],[asOf]]))</f>
        <v>41211</v>
      </c>
      <c r="N762" s="21">
        <v>3.39</v>
      </c>
      <c r="O762" s="21">
        <v>0.7</v>
      </c>
      <c r="P762" s="21">
        <v>3.3149999999999999</v>
      </c>
    </row>
    <row r="763" spans="8:16">
      <c r="H763" s="21"/>
      <c r="I763" s="21"/>
      <c r="J763" s="52"/>
      <c r="K763" s="21"/>
      <c r="L763" s="21" t="s">
        <v>896</v>
      </c>
      <c r="M763" s="25">
        <f>DATE(YEAR(OneWeekMtgRatesDataTable75[[#This Row],[asOf]]),MONTH(OneWeekMtgRatesDataTable75[[#This Row],[asOf]]),DAY(OneWeekMtgRatesDataTable75[[#This Row],[asOf]]))</f>
        <v>41208</v>
      </c>
      <c r="N763" s="21">
        <v>3.39</v>
      </c>
      <c r="O763" s="21">
        <v>0.7</v>
      </c>
      <c r="P763" s="21">
        <v>3.3149999999999999</v>
      </c>
    </row>
    <row r="764" spans="8:16">
      <c r="H764" s="21"/>
      <c r="I764" s="21"/>
      <c r="J764" s="52"/>
      <c r="K764" s="21"/>
      <c r="L764" s="21" t="s">
        <v>895</v>
      </c>
      <c r="M764" s="25">
        <f>DATE(YEAR(OneWeekMtgRatesDataTable75[[#This Row],[asOf]]),MONTH(OneWeekMtgRatesDataTable75[[#This Row],[asOf]]),DAY(OneWeekMtgRatesDataTable75[[#This Row],[asOf]]))</f>
        <v>41207</v>
      </c>
      <c r="N764" s="21">
        <v>3.39</v>
      </c>
      <c r="O764" s="21">
        <v>0.7</v>
      </c>
      <c r="P764" s="21">
        <v>3.3149999999999999</v>
      </c>
    </row>
    <row r="765" spans="8:16">
      <c r="H765" s="21"/>
      <c r="I765" s="21"/>
      <c r="J765" s="52"/>
      <c r="K765" s="21"/>
      <c r="L765" s="21" t="s">
        <v>894</v>
      </c>
      <c r="M765" s="25">
        <f>DATE(YEAR(OneWeekMtgRatesDataTable75[[#This Row],[asOf]]),MONTH(OneWeekMtgRatesDataTable75[[#This Row],[asOf]]),DAY(OneWeekMtgRatesDataTable75[[#This Row],[asOf]]))</f>
        <v>41206</v>
      </c>
      <c r="N765" s="21">
        <v>3.41</v>
      </c>
      <c r="O765" s="21">
        <v>0.7</v>
      </c>
      <c r="P765" s="21">
        <v>3.335</v>
      </c>
    </row>
    <row r="766" spans="8:16">
      <c r="H766" s="21"/>
      <c r="I766" s="21"/>
      <c r="J766" s="52"/>
      <c r="K766" s="21"/>
      <c r="L766" s="21" t="s">
        <v>893</v>
      </c>
      <c r="M766" s="25">
        <f>DATE(YEAR(OneWeekMtgRatesDataTable75[[#This Row],[asOf]]),MONTH(OneWeekMtgRatesDataTable75[[#This Row],[asOf]]),DAY(OneWeekMtgRatesDataTable75[[#This Row],[asOf]]))</f>
        <v>41205</v>
      </c>
      <c r="N766" s="21">
        <v>3.41</v>
      </c>
      <c r="O766" s="21">
        <v>0.7</v>
      </c>
      <c r="P766" s="21">
        <v>3.335</v>
      </c>
    </row>
    <row r="767" spans="8:16">
      <c r="H767" s="21"/>
      <c r="I767" s="21"/>
      <c r="J767" s="52"/>
      <c r="K767" s="21"/>
      <c r="L767" s="21" t="s">
        <v>892</v>
      </c>
      <c r="M767" s="25">
        <f>DATE(YEAR(OneWeekMtgRatesDataTable75[[#This Row],[asOf]]),MONTH(OneWeekMtgRatesDataTable75[[#This Row],[asOf]]),DAY(OneWeekMtgRatesDataTable75[[#This Row],[asOf]]))</f>
        <v>41204</v>
      </c>
      <c r="N767" s="21">
        <v>3.41</v>
      </c>
      <c r="O767" s="21">
        <v>0.7</v>
      </c>
      <c r="P767" s="21">
        <v>3.335</v>
      </c>
    </row>
    <row r="768" spans="8:16">
      <c r="H768" s="21"/>
      <c r="I768" s="21"/>
      <c r="J768" s="52"/>
      <c r="K768" s="21"/>
      <c r="L768" s="21" t="s">
        <v>891</v>
      </c>
      <c r="M768" s="25">
        <f>DATE(YEAR(OneWeekMtgRatesDataTable75[[#This Row],[asOf]]),MONTH(OneWeekMtgRatesDataTable75[[#This Row],[asOf]]),DAY(OneWeekMtgRatesDataTable75[[#This Row],[asOf]]))</f>
        <v>41201</v>
      </c>
      <c r="N768" s="21">
        <v>3.41</v>
      </c>
      <c r="O768" s="21">
        <v>0.7</v>
      </c>
      <c r="P768" s="21">
        <v>3.335</v>
      </c>
    </row>
    <row r="769" spans="8:16">
      <c r="H769" s="21"/>
      <c r="I769" s="21"/>
      <c r="J769" s="52"/>
      <c r="K769" s="21"/>
      <c r="L769" s="21" t="s">
        <v>890</v>
      </c>
      <c r="M769" s="25">
        <f>DATE(YEAR(OneWeekMtgRatesDataTable75[[#This Row],[asOf]]),MONTH(OneWeekMtgRatesDataTable75[[#This Row],[asOf]]),DAY(OneWeekMtgRatesDataTable75[[#This Row],[asOf]]))</f>
        <v>41200</v>
      </c>
      <c r="N769" s="21">
        <v>3.41</v>
      </c>
      <c r="O769" s="21">
        <v>0.7</v>
      </c>
      <c r="P769" s="21">
        <v>3.335</v>
      </c>
    </row>
    <row r="770" spans="8:16">
      <c r="H770" s="21"/>
      <c r="I770" s="21"/>
      <c r="J770" s="52"/>
      <c r="K770" s="21"/>
      <c r="L770" s="21" t="s">
        <v>889</v>
      </c>
      <c r="M770" s="25">
        <f>DATE(YEAR(OneWeekMtgRatesDataTable75[[#This Row],[asOf]]),MONTH(OneWeekMtgRatesDataTable75[[#This Row],[asOf]]),DAY(OneWeekMtgRatesDataTable75[[#This Row],[asOf]]))</f>
        <v>41199</v>
      </c>
      <c r="N770" s="21">
        <v>3.37</v>
      </c>
      <c r="O770" s="21">
        <v>0.7</v>
      </c>
      <c r="P770" s="21">
        <v>3.2949999999999999</v>
      </c>
    </row>
    <row r="771" spans="8:16">
      <c r="H771" s="21"/>
      <c r="I771" s="21"/>
      <c r="J771" s="52"/>
      <c r="K771" s="21"/>
      <c r="L771" s="21" t="s">
        <v>888</v>
      </c>
      <c r="M771" s="25">
        <f>DATE(YEAR(OneWeekMtgRatesDataTable75[[#This Row],[asOf]]),MONTH(OneWeekMtgRatesDataTable75[[#This Row],[asOf]]),DAY(OneWeekMtgRatesDataTable75[[#This Row],[asOf]]))</f>
        <v>41198</v>
      </c>
      <c r="N771" s="21">
        <v>3.37</v>
      </c>
      <c r="O771" s="21">
        <v>0.7</v>
      </c>
      <c r="P771" s="21">
        <v>3.2949999999999999</v>
      </c>
    </row>
    <row r="772" spans="8:16">
      <c r="H772" s="21"/>
      <c r="I772" s="21"/>
      <c r="J772" s="52"/>
      <c r="K772" s="21"/>
      <c r="L772" s="21" t="s">
        <v>887</v>
      </c>
      <c r="M772" s="25">
        <f>DATE(YEAR(OneWeekMtgRatesDataTable75[[#This Row],[asOf]]),MONTH(OneWeekMtgRatesDataTable75[[#This Row],[asOf]]),DAY(OneWeekMtgRatesDataTable75[[#This Row],[asOf]]))</f>
        <v>41197</v>
      </c>
      <c r="N772" s="21">
        <v>3.37</v>
      </c>
      <c r="O772" s="21">
        <v>0.7</v>
      </c>
      <c r="P772" s="21">
        <v>3.2949999999999999</v>
      </c>
    </row>
    <row r="773" spans="8:16">
      <c r="H773" s="21"/>
      <c r="I773" s="21"/>
      <c r="J773" s="52"/>
      <c r="K773" s="21"/>
      <c r="L773" s="21" t="s">
        <v>886</v>
      </c>
      <c r="M773" s="25">
        <f>DATE(YEAR(OneWeekMtgRatesDataTable75[[#This Row],[asOf]]),MONTH(OneWeekMtgRatesDataTable75[[#This Row],[asOf]]),DAY(OneWeekMtgRatesDataTable75[[#This Row],[asOf]]))</f>
        <v>41194</v>
      </c>
      <c r="N773" s="21">
        <v>3.37</v>
      </c>
      <c r="O773" s="21">
        <v>0.7</v>
      </c>
      <c r="P773" s="21">
        <v>3.2949999999999999</v>
      </c>
    </row>
    <row r="774" spans="8:16">
      <c r="H774" s="21"/>
      <c r="I774" s="21"/>
      <c r="J774" s="52"/>
      <c r="K774" s="21"/>
      <c r="L774" s="21" t="s">
        <v>885</v>
      </c>
      <c r="M774" s="25">
        <f>DATE(YEAR(OneWeekMtgRatesDataTable75[[#This Row],[asOf]]),MONTH(OneWeekMtgRatesDataTable75[[#This Row],[asOf]]),DAY(OneWeekMtgRatesDataTable75[[#This Row],[asOf]]))</f>
        <v>41193</v>
      </c>
      <c r="N774" s="21">
        <v>3.37</v>
      </c>
      <c r="O774" s="21">
        <v>0.7</v>
      </c>
      <c r="P774" s="21">
        <v>3.2949999999999999</v>
      </c>
    </row>
    <row r="775" spans="8:16">
      <c r="H775" s="21"/>
      <c r="I775" s="21"/>
      <c r="J775" s="52"/>
      <c r="K775" s="21"/>
      <c r="L775" s="21" t="s">
        <v>884</v>
      </c>
      <c r="M775" s="25">
        <f>DATE(YEAR(OneWeekMtgRatesDataTable75[[#This Row],[asOf]]),MONTH(OneWeekMtgRatesDataTable75[[#This Row],[asOf]]),DAY(OneWeekMtgRatesDataTable75[[#This Row],[asOf]]))</f>
        <v>41192</v>
      </c>
      <c r="N775" s="21">
        <v>3.39</v>
      </c>
      <c r="O775" s="21">
        <v>0.7</v>
      </c>
      <c r="P775" s="21">
        <v>3.3149999999999999</v>
      </c>
    </row>
    <row r="776" spans="8:16">
      <c r="H776" s="21"/>
      <c r="I776" s="21"/>
      <c r="J776" s="52"/>
      <c r="K776" s="21"/>
      <c r="L776" s="21" t="s">
        <v>883</v>
      </c>
      <c r="M776" s="25">
        <f>DATE(YEAR(OneWeekMtgRatesDataTable75[[#This Row],[asOf]]),MONTH(OneWeekMtgRatesDataTable75[[#This Row],[asOf]]),DAY(OneWeekMtgRatesDataTable75[[#This Row],[asOf]]))</f>
        <v>41191</v>
      </c>
      <c r="N776" s="21">
        <v>3.39</v>
      </c>
      <c r="O776" s="21">
        <v>0.7</v>
      </c>
      <c r="P776" s="21">
        <v>3.3149999999999999</v>
      </c>
    </row>
    <row r="777" spans="8:16">
      <c r="H777" s="21"/>
      <c r="I777" s="21"/>
      <c r="J777" s="52"/>
      <c r="K777" s="21"/>
      <c r="L777" s="21" t="s">
        <v>882</v>
      </c>
      <c r="M777" s="25">
        <f>DATE(YEAR(OneWeekMtgRatesDataTable75[[#This Row],[asOf]]),MONTH(OneWeekMtgRatesDataTable75[[#This Row],[asOf]]),DAY(OneWeekMtgRatesDataTable75[[#This Row],[asOf]]))</f>
        <v>41187</v>
      </c>
      <c r="N777" s="21">
        <v>3.39</v>
      </c>
      <c r="O777" s="21">
        <v>0.7</v>
      </c>
      <c r="P777" s="21">
        <v>3.3149999999999999</v>
      </c>
    </row>
    <row r="778" spans="8:16">
      <c r="H778" s="21"/>
      <c r="I778" s="21"/>
      <c r="J778" s="52"/>
      <c r="K778" s="21"/>
      <c r="L778" s="21" t="s">
        <v>881</v>
      </c>
      <c r="M778" s="25">
        <f>DATE(YEAR(OneWeekMtgRatesDataTable75[[#This Row],[asOf]]),MONTH(OneWeekMtgRatesDataTable75[[#This Row],[asOf]]),DAY(OneWeekMtgRatesDataTable75[[#This Row],[asOf]]))</f>
        <v>41186</v>
      </c>
      <c r="N778" s="21">
        <v>3.39</v>
      </c>
      <c r="O778" s="21">
        <v>0.7</v>
      </c>
      <c r="P778" s="21">
        <v>3.3149999999999999</v>
      </c>
    </row>
    <row r="779" spans="8:16">
      <c r="H779" s="21"/>
      <c r="I779" s="21"/>
      <c r="J779" s="52"/>
      <c r="K779" s="21"/>
      <c r="L779" s="21" t="s">
        <v>880</v>
      </c>
      <c r="M779" s="25">
        <f>DATE(YEAR(OneWeekMtgRatesDataTable75[[#This Row],[asOf]]),MONTH(OneWeekMtgRatesDataTable75[[#This Row],[asOf]]),DAY(OneWeekMtgRatesDataTable75[[#This Row],[asOf]]))</f>
        <v>41185</v>
      </c>
      <c r="N779" s="21">
        <v>3.36</v>
      </c>
      <c r="O779" s="21">
        <v>0.6</v>
      </c>
      <c r="P779" s="21">
        <v>3.26</v>
      </c>
    </row>
    <row r="780" spans="8:16">
      <c r="H780" s="21"/>
      <c r="I780" s="21"/>
      <c r="J780" s="52"/>
      <c r="K780" s="21"/>
      <c r="L780" s="21" t="s">
        <v>879</v>
      </c>
      <c r="M780" s="25">
        <f>DATE(YEAR(OneWeekMtgRatesDataTable75[[#This Row],[asOf]]),MONTH(OneWeekMtgRatesDataTable75[[#This Row],[asOf]]),DAY(OneWeekMtgRatesDataTable75[[#This Row],[asOf]]))</f>
        <v>41184</v>
      </c>
      <c r="N780" s="21">
        <v>3.36</v>
      </c>
      <c r="O780" s="21">
        <v>0.6</v>
      </c>
      <c r="P780" s="21">
        <v>3.26</v>
      </c>
    </row>
    <row r="781" spans="8:16">
      <c r="H781" s="21"/>
      <c r="I781" s="21"/>
      <c r="J781" s="52"/>
      <c r="K781" s="21"/>
      <c r="L781" s="21" t="s">
        <v>878</v>
      </c>
      <c r="M781" s="25">
        <f>DATE(YEAR(OneWeekMtgRatesDataTable75[[#This Row],[asOf]]),MONTH(OneWeekMtgRatesDataTable75[[#This Row],[asOf]]),DAY(OneWeekMtgRatesDataTable75[[#This Row],[asOf]]))</f>
        <v>41183</v>
      </c>
      <c r="N781" s="21">
        <v>3.36</v>
      </c>
      <c r="O781" s="21">
        <v>0.6</v>
      </c>
      <c r="P781" s="21">
        <v>3.26</v>
      </c>
    </row>
    <row r="782" spans="8:16">
      <c r="H782" s="21"/>
      <c r="I782" s="21"/>
      <c r="J782" s="52"/>
      <c r="K782" s="21"/>
      <c r="L782" s="21" t="s">
        <v>877</v>
      </c>
      <c r="M782" s="25">
        <f>DATE(YEAR(OneWeekMtgRatesDataTable75[[#This Row],[asOf]]),MONTH(OneWeekMtgRatesDataTable75[[#This Row],[asOf]]),DAY(OneWeekMtgRatesDataTable75[[#This Row],[asOf]]))</f>
        <v>41180</v>
      </c>
      <c r="N782" s="21">
        <v>3.36</v>
      </c>
      <c r="O782" s="21">
        <v>0.6</v>
      </c>
      <c r="P782" s="21">
        <v>3.26</v>
      </c>
    </row>
    <row r="783" spans="8:16">
      <c r="H783" s="21"/>
      <c r="I783" s="21"/>
      <c r="J783" s="52"/>
      <c r="K783" s="21"/>
      <c r="L783" s="21" t="s">
        <v>876</v>
      </c>
      <c r="M783" s="25">
        <f>DATE(YEAR(OneWeekMtgRatesDataTable75[[#This Row],[asOf]]),MONTH(OneWeekMtgRatesDataTable75[[#This Row],[asOf]]),DAY(OneWeekMtgRatesDataTable75[[#This Row],[asOf]]))</f>
        <v>41179</v>
      </c>
      <c r="N783" s="21">
        <v>3.36</v>
      </c>
      <c r="O783" s="21">
        <v>0.6</v>
      </c>
      <c r="P783" s="21">
        <v>3.26</v>
      </c>
    </row>
    <row r="784" spans="8:16">
      <c r="H784" s="21"/>
      <c r="I784" s="21"/>
      <c r="J784" s="52"/>
      <c r="K784" s="21"/>
      <c r="L784" s="21" t="s">
        <v>875</v>
      </c>
      <c r="M784" s="25">
        <f>DATE(YEAR(OneWeekMtgRatesDataTable75[[#This Row],[asOf]]),MONTH(OneWeekMtgRatesDataTable75[[#This Row],[asOf]]),DAY(OneWeekMtgRatesDataTable75[[#This Row],[asOf]]))</f>
        <v>41178</v>
      </c>
      <c r="N784" s="21">
        <v>3.4</v>
      </c>
      <c r="O784" s="21">
        <v>0.6</v>
      </c>
      <c r="P784" s="21">
        <v>3.3</v>
      </c>
    </row>
    <row r="785" spans="8:16">
      <c r="H785" s="21"/>
      <c r="I785" s="21"/>
      <c r="J785" s="52"/>
      <c r="K785" s="21"/>
      <c r="L785" s="21" t="s">
        <v>874</v>
      </c>
      <c r="M785" s="25">
        <f>DATE(YEAR(OneWeekMtgRatesDataTable75[[#This Row],[asOf]]),MONTH(OneWeekMtgRatesDataTable75[[#This Row],[asOf]]),DAY(OneWeekMtgRatesDataTable75[[#This Row],[asOf]]))</f>
        <v>41177</v>
      </c>
      <c r="N785" s="21">
        <v>3.4</v>
      </c>
      <c r="O785" s="21">
        <v>0.6</v>
      </c>
      <c r="P785" s="21">
        <v>3.3</v>
      </c>
    </row>
    <row r="786" spans="8:16">
      <c r="H786" s="21"/>
      <c r="I786" s="21"/>
      <c r="J786" s="52"/>
      <c r="K786" s="21"/>
      <c r="L786" s="21" t="s">
        <v>873</v>
      </c>
      <c r="M786" s="25">
        <f>DATE(YEAR(OneWeekMtgRatesDataTable75[[#This Row],[asOf]]),MONTH(OneWeekMtgRatesDataTable75[[#This Row],[asOf]]),DAY(OneWeekMtgRatesDataTable75[[#This Row],[asOf]]))</f>
        <v>41176</v>
      </c>
      <c r="N786" s="21">
        <v>3.4</v>
      </c>
      <c r="O786" s="21">
        <v>0.6</v>
      </c>
      <c r="P786" s="21">
        <v>3.3</v>
      </c>
    </row>
    <row r="787" spans="8:16">
      <c r="H787" s="21"/>
      <c r="I787" s="21"/>
      <c r="J787" s="52"/>
      <c r="K787" s="21"/>
      <c r="L787" s="21" t="s">
        <v>872</v>
      </c>
      <c r="M787" s="25">
        <f>DATE(YEAR(OneWeekMtgRatesDataTable75[[#This Row],[asOf]]),MONTH(OneWeekMtgRatesDataTable75[[#This Row],[asOf]]),DAY(OneWeekMtgRatesDataTable75[[#This Row],[asOf]]))</f>
        <v>41173</v>
      </c>
      <c r="N787" s="21">
        <v>3.4</v>
      </c>
      <c r="O787" s="21">
        <v>0.6</v>
      </c>
      <c r="P787" s="21">
        <v>3.3</v>
      </c>
    </row>
    <row r="788" spans="8:16">
      <c r="H788" s="21"/>
      <c r="I788" s="21"/>
      <c r="J788" s="52"/>
      <c r="K788" s="21"/>
      <c r="L788" s="21" t="s">
        <v>871</v>
      </c>
      <c r="M788" s="25">
        <f>DATE(YEAR(OneWeekMtgRatesDataTable75[[#This Row],[asOf]]),MONTH(OneWeekMtgRatesDataTable75[[#This Row],[asOf]]),DAY(OneWeekMtgRatesDataTable75[[#This Row],[asOf]]))</f>
        <v>41172</v>
      </c>
      <c r="N788" s="21">
        <v>3.4</v>
      </c>
      <c r="O788" s="21">
        <v>0.6</v>
      </c>
      <c r="P788" s="21">
        <v>3.3</v>
      </c>
    </row>
    <row r="789" spans="8:16">
      <c r="H789" s="21"/>
      <c r="I789" s="21"/>
      <c r="J789" s="52"/>
      <c r="K789" s="21"/>
      <c r="L789" s="21" t="s">
        <v>870</v>
      </c>
      <c r="M789" s="25">
        <f>DATE(YEAR(OneWeekMtgRatesDataTable75[[#This Row],[asOf]]),MONTH(OneWeekMtgRatesDataTable75[[#This Row],[asOf]]),DAY(OneWeekMtgRatesDataTable75[[#This Row],[asOf]]))</f>
        <v>41171</v>
      </c>
      <c r="N789" s="21">
        <v>3.49</v>
      </c>
      <c r="O789" s="21">
        <v>0.6</v>
      </c>
      <c r="P789" s="21">
        <v>3.39</v>
      </c>
    </row>
    <row r="790" spans="8:16">
      <c r="H790" s="21"/>
      <c r="I790" s="21"/>
      <c r="J790" s="52"/>
      <c r="K790" s="21"/>
      <c r="L790" s="21" t="s">
        <v>869</v>
      </c>
      <c r="M790" s="25">
        <f>DATE(YEAR(OneWeekMtgRatesDataTable75[[#This Row],[asOf]]),MONTH(OneWeekMtgRatesDataTable75[[#This Row],[asOf]]),DAY(OneWeekMtgRatesDataTable75[[#This Row],[asOf]]))</f>
        <v>41170</v>
      </c>
      <c r="N790" s="21">
        <v>3.49</v>
      </c>
      <c r="O790" s="21">
        <v>0.6</v>
      </c>
      <c r="P790" s="21">
        <v>3.39</v>
      </c>
    </row>
    <row r="791" spans="8:16">
      <c r="H791" s="21"/>
      <c r="I791" s="21"/>
      <c r="J791" s="52"/>
      <c r="K791" s="21"/>
      <c r="L791" s="21" t="s">
        <v>868</v>
      </c>
      <c r="M791" s="25">
        <f>DATE(YEAR(OneWeekMtgRatesDataTable75[[#This Row],[asOf]]),MONTH(OneWeekMtgRatesDataTable75[[#This Row],[asOf]]),DAY(OneWeekMtgRatesDataTable75[[#This Row],[asOf]]))</f>
        <v>41169</v>
      </c>
      <c r="N791" s="21">
        <v>3.49</v>
      </c>
      <c r="O791" s="21">
        <v>0.6</v>
      </c>
      <c r="P791" s="21">
        <v>3.39</v>
      </c>
    </row>
    <row r="792" spans="8:16">
      <c r="H792" s="21"/>
      <c r="I792" s="21"/>
      <c r="J792" s="52"/>
      <c r="K792" s="21"/>
      <c r="L792" s="21" t="s">
        <v>867</v>
      </c>
      <c r="M792" s="25">
        <f>DATE(YEAR(OneWeekMtgRatesDataTable75[[#This Row],[asOf]]),MONTH(OneWeekMtgRatesDataTable75[[#This Row],[asOf]]),DAY(OneWeekMtgRatesDataTable75[[#This Row],[asOf]]))</f>
        <v>41166</v>
      </c>
      <c r="N792" s="21">
        <v>3.49</v>
      </c>
      <c r="O792" s="21">
        <v>0.6</v>
      </c>
      <c r="P792" s="21">
        <v>3.39</v>
      </c>
    </row>
    <row r="793" spans="8:16">
      <c r="H793" s="21"/>
      <c r="I793" s="21"/>
      <c r="J793" s="52"/>
      <c r="K793" s="21"/>
      <c r="L793" s="21" t="s">
        <v>866</v>
      </c>
      <c r="M793" s="25">
        <f>DATE(YEAR(OneWeekMtgRatesDataTable75[[#This Row],[asOf]]),MONTH(OneWeekMtgRatesDataTable75[[#This Row],[asOf]]),DAY(OneWeekMtgRatesDataTable75[[#This Row],[asOf]]))</f>
        <v>41165</v>
      </c>
      <c r="N793" s="21">
        <v>3.49</v>
      </c>
      <c r="O793" s="21">
        <v>0.6</v>
      </c>
      <c r="P793" s="21">
        <v>3.39</v>
      </c>
    </row>
    <row r="794" spans="8:16">
      <c r="H794" s="21"/>
      <c r="I794" s="21"/>
      <c r="J794" s="52"/>
      <c r="K794" s="21"/>
      <c r="L794" s="21" t="s">
        <v>865</v>
      </c>
      <c r="M794" s="25">
        <f>DATE(YEAR(OneWeekMtgRatesDataTable75[[#This Row],[asOf]]),MONTH(OneWeekMtgRatesDataTable75[[#This Row],[asOf]]),DAY(OneWeekMtgRatesDataTable75[[#This Row],[asOf]]))</f>
        <v>41164</v>
      </c>
      <c r="N794" s="21">
        <v>3.55</v>
      </c>
      <c r="O794" s="21">
        <v>0.6</v>
      </c>
      <c r="P794" s="21">
        <v>3.4499999999999997</v>
      </c>
    </row>
    <row r="795" spans="8:16">
      <c r="H795" s="21"/>
      <c r="I795" s="21"/>
      <c r="J795" s="52"/>
      <c r="K795" s="21"/>
      <c r="L795" s="21" t="s">
        <v>864</v>
      </c>
      <c r="M795" s="25">
        <f>DATE(YEAR(OneWeekMtgRatesDataTable75[[#This Row],[asOf]]),MONTH(OneWeekMtgRatesDataTable75[[#This Row],[asOf]]),DAY(OneWeekMtgRatesDataTable75[[#This Row],[asOf]]))</f>
        <v>41163</v>
      </c>
      <c r="N795" s="21">
        <v>3.55</v>
      </c>
      <c r="O795" s="21">
        <v>0.6</v>
      </c>
      <c r="P795" s="21">
        <v>3.4499999999999997</v>
      </c>
    </row>
    <row r="796" spans="8:16">
      <c r="H796" s="21"/>
      <c r="I796" s="21"/>
      <c r="J796" s="52"/>
      <c r="K796" s="21"/>
      <c r="L796" s="21" t="s">
        <v>863</v>
      </c>
      <c r="M796" s="25">
        <f>DATE(YEAR(OneWeekMtgRatesDataTable75[[#This Row],[asOf]]),MONTH(OneWeekMtgRatesDataTable75[[#This Row],[asOf]]),DAY(OneWeekMtgRatesDataTable75[[#This Row],[asOf]]))</f>
        <v>41162</v>
      </c>
      <c r="N796" s="21">
        <v>3.55</v>
      </c>
      <c r="O796" s="21">
        <v>0.6</v>
      </c>
      <c r="P796" s="21">
        <v>3.4499999999999997</v>
      </c>
    </row>
    <row r="797" spans="8:16">
      <c r="H797" s="21"/>
      <c r="I797" s="21"/>
      <c r="J797" s="52"/>
      <c r="K797" s="21"/>
      <c r="L797" s="21" t="s">
        <v>862</v>
      </c>
      <c r="M797" s="25">
        <f>DATE(YEAR(OneWeekMtgRatesDataTable75[[#This Row],[asOf]]),MONTH(OneWeekMtgRatesDataTable75[[#This Row],[asOf]]),DAY(OneWeekMtgRatesDataTable75[[#This Row],[asOf]]))</f>
        <v>41159</v>
      </c>
      <c r="N797" s="21">
        <v>3.55</v>
      </c>
      <c r="O797" s="21">
        <v>0.6</v>
      </c>
      <c r="P797" s="21">
        <v>3.4499999999999997</v>
      </c>
    </row>
    <row r="798" spans="8:16">
      <c r="H798" s="21"/>
      <c r="I798" s="21"/>
      <c r="J798" s="52"/>
      <c r="K798" s="21"/>
      <c r="L798" s="21" t="s">
        <v>861</v>
      </c>
      <c r="M798" s="25">
        <f>DATE(YEAR(OneWeekMtgRatesDataTable75[[#This Row],[asOf]]),MONTH(OneWeekMtgRatesDataTable75[[#This Row],[asOf]]),DAY(OneWeekMtgRatesDataTable75[[#This Row],[asOf]]))</f>
        <v>41158</v>
      </c>
      <c r="N798" s="21">
        <v>3.55</v>
      </c>
      <c r="O798" s="21">
        <v>0.6</v>
      </c>
      <c r="P798" s="21">
        <v>3.4499999999999997</v>
      </c>
    </row>
    <row r="799" spans="8:16">
      <c r="H799" s="21"/>
      <c r="I799" s="21"/>
      <c r="J799" s="52"/>
      <c r="K799" s="21"/>
      <c r="L799" s="21" t="s">
        <v>860</v>
      </c>
      <c r="M799" s="25">
        <f>DATE(YEAR(OneWeekMtgRatesDataTable75[[#This Row],[asOf]]),MONTH(OneWeekMtgRatesDataTable75[[#This Row],[asOf]]),DAY(OneWeekMtgRatesDataTable75[[#This Row],[asOf]]))</f>
        <v>41157</v>
      </c>
      <c r="N799" s="21">
        <v>3.55</v>
      </c>
      <c r="O799" s="21">
        <v>0.7</v>
      </c>
      <c r="P799" s="21">
        <v>3.4749999999999996</v>
      </c>
    </row>
    <row r="800" spans="8:16">
      <c r="H800" s="21"/>
      <c r="I800" s="21"/>
      <c r="J800" s="52"/>
      <c r="K800" s="21"/>
      <c r="L800" s="21" t="s">
        <v>859</v>
      </c>
      <c r="M800" s="25">
        <f>DATE(YEAR(OneWeekMtgRatesDataTable75[[#This Row],[asOf]]),MONTH(OneWeekMtgRatesDataTable75[[#This Row],[asOf]]),DAY(OneWeekMtgRatesDataTable75[[#This Row],[asOf]]))</f>
        <v>41156</v>
      </c>
      <c r="N800" s="21">
        <v>3.55</v>
      </c>
      <c r="O800" s="21">
        <v>0.7</v>
      </c>
      <c r="P800" s="21">
        <v>3.4749999999999996</v>
      </c>
    </row>
    <row r="801" spans="8:16">
      <c r="H801" s="21"/>
      <c r="I801" s="21"/>
      <c r="J801" s="52"/>
      <c r="K801" s="21"/>
      <c r="L801" s="21" t="s">
        <v>858</v>
      </c>
      <c r="M801" s="25">
        <f>DATE(YEAR(OneWeekMtgRatesDataTable75[[#This Row],[asOf]]),MONTH(OneWeekMtgRatesDataTable75[[#This Row],[asOf]]),DAY(OneWeekMtgRatesDataTable75[[#This Row],[asOf]]))</f>
        <v>41152</v>
      </c>
      <c r="N801" s="21">
        <v>3.55</v>
      </c>
      <c r="O801" s="21">
        <v>0.7</v>
      </c>
      <c r="P801" s="21">
        <v>3.4749999999999996</v>
      </c>
    </row>
    <row r="802" spans="8:16">
      <c r="H802" s="21"/>
      <c r="I802" s="21"/>
      <c r="J802" s="52"/>
      <c r="K802" s="21"/>
      <c r="L802" s="21" t="s">
        <v>857</v>
      </c>
      <c r="M802" s="25">
        <f>DATE(YEAR(OneWeekMtgRatesDataTable75[[#This Row],[asOf]]),MONTH(OneWeekMtgRatesDataTable75[[#This Row],[asOf]]),DAY(OneWeekMtgRatesDataTable75[[#This Row],[asOf]]))</f>
        <v>41151</v>
      </c>
      <c r="N802" s="21">
        <v>3.55</v>
      </c>
      <c r="O802" s="21">
        <v>0.7</v>
      </c>
      <c r="P802" s="21">
        <v>3.4749999999999996</v>
      </c>
    </row>
    <row r="803" spans="8:16">
      <c r="H803" s="21"/>
      <c r="I803" s="21"/>
      <c r="J803" s="52"/>
      <c r="K803" s="21"/>
      <c r="L803" s="21" t="s">
        <v>856</v>
      </c>
      <c r="M803" s="25">
        <f>DATE(YEAR(OneWeekMtgRatesDataTable75[[#This Row],[asOf]]),MONTH(OneWeekMtgRatesDataTable75[[#This Row],[asOf]]),DAY(OneWeekMtgRatesDataTable75[[#This Row],[asOf]]))</f>
        <v>41150</v>
      </c>
      <c r="N803" s="21">
        <v>3.59</v>
      </c>
      <c r="O803" s="21">
        <v>0.6</v>
      </c>
      <c r="P803" s="21">
        <v>3.4899999999999998</v>
      </c>
    </row>
    <row r="804" spans="8:16">
      <c r="H804" s="21"/>
      <c r="I804" s="21"/>
      <c r="J804" s="52"/>
      <c r="K804" s="21"/>
      <c r="L804" s="21" t="s">
        <v>855</v>
      </c>
      <c r="M804" s="25">
        <f>DATE(YEAR(OneWeekMtgRatesDataTable75[[#This Row],[asOf]]),MONTH(OneWeekMtgRatesDataTable75[[#This Row],[asOf]]),DAY(OneWeekMtgRatesDataTable75[[#This Row],[asOf]]))</f>
        <v>41149</v>
      </c>
      <c r="N804" s="21">
        <v>3.59</v>
      </c>
      <c r="O804" s="21">
        <v>0.6</v>
      </c>
      <c r="P804" s="21">
        <v>3.4899999999999998</v>
      </c>
    </row>
    <row r="805" spans="8:16">
      <c r="H805" s="21"/>
      <c r="I805" s="21"/>
      <c r="J805" s="52"/>
      <c r="K805" s="21"/>
      <c r="L805" s="21" t="s">
        <v>854</v>
      </c>
      <c r="M805" s="25">
        <f>DATE(YEAR(OneWeekMtgRatesDataTable75[[#This Row],[asOf]]),MONTH(OneWeekMtgRatesDataTable75[[#This Row],[asOf]]),DAY(OneWeekMtgRatesDataTable75[[#This Row],[asOf]]))</f>
        <v>41148</v>
      </c>
      <c r="N805" s="21">
        <v>3.59</v>
      </c>
      <c r="O805" s="21">
        <v>0.6</v>
      </c>
      <c r="P805" s="21">
        <v>3.4899999999999998</v>
      </c>
    </row>
    <row r="806" spans="8:16">
      <c r="H806" s="21"/>
      <c r="I806" s="21"/>
      <c r="J806" s="52"/>
      <c r="K806" s="21"/>
      <c r="L806" s="21" t="s">
        <v>853</v>
      </c>
      <c r="M806" s="25">
        <f>DATE(YEAR(OneWeekMtgRatesDataTable75[[#This Row],[asOf]]),MONTH(OneWeekMtgRatesDataTable75[[#This Row],[asOf]]),DAY(OneWeekMtgRatesDataTable75[[#This Row],[asOf]]))</f>
        <v>41145</v>
      </c>
      <c r="N806" s="21">
        <v>3.59</v>
      </c>
      <c r="O806" s="21">
        <v>0.6</v>
      </c>
      <c r="P806" s="21">
        <v>3.4899999999999998</v>
      </c>
    </row>
    <row r="807" spans="8:16">
      <c r="H807" s="21"/>
      <c r="I807" s="21"/>
      <c r="J807" s="52"/>
      <c r="K807" s="21"/>
      <c r="L807" s="21" t="s">
        <v>852</v>
      </c>
      <c r="M807" s="25">
        <f>DATE(YEAR(OneWeekMtgRatesDataTable75[[#This Row],[asOf]]),MONTH(OneWeekMtgRatesDataTable75[[#This Row],[asOf]]),DAY(OneWeekMtgRatesDataTable75[[#This Row],[asOf]]))</f>
        <v>41144</v>
      </c>
      <c r="N807" s="21">
        <v>3.59</v>
      </c>
      <c r="O807" s="21">
        <v>0.6</v>
      </c>
      <c r="P807" s="21">
        <v>3.4899999999999998</v>
      </c>
    </row>
    <row r="808" spans="8:16">
      <c r="H808" s="21"/>
      <c r="I808" s="21"/>
      <c r="J808" s="52"/>
      <c r="K808" s="21"/>
      <c r="L808" s="21" t="s">
        <v>851</v>
      </c>
      <c r="M808" s="25">
        <f>DATE(YEAR(OneWeekMtgRatesDataTable75[[#This Row],[asOf]]),MONTH(OneWeekMtgRatesDataTable75[[#This Row],[asOf]]),DAY(OneWeekMtgRatesDataTable75[[#This Row],[asOf]]))</f>
        <v>41143</v>
      </c>
      <c r="N808" s="21">
        <v>3.66</v>
      </c>
      <c r="O808" s="21">
        <v>0.7</v>
      </c>
      <c r="P808" s="21">
        <v>3.585</v>
      </c>
    </row>
    <row r="809" spans="8:16">
      <c r="H809" s="21"/>
      <c r="I809" s="21"/>
      <c r="J809" s="52"/>
      <c r="K809" s="21"/>
      <c r="L809" s="21" t="s">
        <v>850</v>
      </c>
      <c r="M809" s="25">
        <f>DATE(YEAR(OneWeekMtgRatesDataTable75[[#This Row],[asOf]]),MONTH(OneWeekMtgRatesDataTable75[[#This Row],[asOf]]),DAY(OneWeekMtgRatesDataTable75[[#This Row],[asOf]]))</f>
        <v>41142</v>
      </c>
      <c r="N809" s="21">
        <v>3.66</v>
      </c>
      <c r="O809" s="21">
        <v>0.7</v>
      </c>
      <c r="P809" s="21">
        <v>3.585</v>
      </c>
    </row>
    <row r="810" spans="8:16">
      <c r="H810" s="21"/>
      <c r="I810" s="21"/>
      <c r="J810" s="52"/>
      <c r="K810" s="21"/>
      <c r="L810" s="21" t="s">
        <v>849</v>
      </c>
      <c r="M810" s="25">
        <f>DATE(YEAR(OneWeekMtgRatesDataTable75[[#This Row],[asOf]]),MONTH(OneWeekMtgRatesDataTable75[[#This Row],[asOf]]),DAY(OneWeekMtgRatesDataTable75[[#This Row],[asOf]]))</f>
        <v>41141</v>
      </c>
      <c r="N810" s="21">
        <v>3.66</v>
      </c>
      <c r="O810" s="21">
        <v>0.7</v>
      </c>
      <c r="P810" s="21">
        <v>3.585</v>
      </c>
    </row>
    <row r="811" spans="8:16">
      <c r="H811" s="21"/>
      <c r="I811" s="21"/>
      <c r="J811" s="52"/>
      <c r="K811" s="21"/>
      <c r="L811" s="21" t="s">
        <v>848</v>
      </c>
      <c r="M811" s="25">
        <f>DATE(YEAR(OneWeekMtgRatesDataTable75[[#This Row],[asOf]]),MONTH(OneWeekMtgRatesDataTable75[[#This Row],[asOf]]),DAY(OneWeekMtgRatesDataTable75[[#This Row],[asOf]]))</f>
        <v>41138</v>
      </c>
      <c r="N811" s="21">
        <v>3.66</v>
      </c>
      <c r="O811" s="21">
        <v>0.7</v>
      </c>
      <c r="P811" s="21">
        <v>3.585</v>
      </c>
    </row>
    <row r="812" spans="8:16">
      <c r="H812" s="21"/>
      <c r="I812" s="21"/>
      <c r="J812" s="52"/>
      <c r="K812" s="21"/>
      <c r="L812" s="21" t="s">
        <v>847</v>
      </c>
      <c r="M812" s="25">
        <f>DATE(YEAR(OneWeekMtgRatesDataTable75[[#This Row],[asOf]]),MONTH(OneWeekMtgRatesDataTable75[[#This Row],[asOf]]),DAY(OneWeekMtgRatesDataTable75[[#This Row],[asOf]]))</f>
        <v>41137</v>
      </c>
      <c r="N812" s="21">
        <v>3.66</v>
      </c>
      <c r="O812" s="21">
        <v>0.7</v>
      </c>
      <c r="P812" s="21">
        <v>3.585</v>
      </c>
    </row>
    <row r="813" spans="8:16">
      <c r="H813" s="21"/>
      <c r="I813" s="21"/>
      <c r="J813" s="52"/>
      <c r="K813" s="21"/>
      <c r="L813" s="21" t="s">
        <v>846</v>
      </c>
      <c r="M813" s="25">
        <f>DATE(YEAR(OneWeekMtgRatesDataTable75[[#This Row],[asOf]]),MONTH(OneWeekMtgRatesDataTable75[[#This Row],[asOf]]),DAY(OneWeekMtgRatesDataTable75[[#This Row],[asOf]]))</f>
        <v>41136</v>
      </c>
      <c r="N813" s="21">
        <v>3.62</v>
      </c>
      <c r="O813" s="21">
        <v>0.6</v>
      </c>
      <c r="P813" s="21">
        <v>3.52</v>
      </c>
    </row>
    <row r="814" spans="8:16">
      <c r="H814" s="21"/>
      <c r="I814" s="21"/>
      <c r="J814" s="52"/>
      <c r="K814" s="21"/>
      <c r="L814" s="21" t="s">
        <v>845</v>
      </c>
      <c r="M814" s="25">
        <f>DATE(YEAR(OneWeekMtgRatesDataTable75[[#This Row],[asOf]]),MONTH(OneWeekMtgRatesDataTable75[[#This Row],[asOf]]),DAY(OneWeekMtgRatesDataTable75[[#This Row],[asOf]]))</f>
        <v>41135</v>
      </c>
      <c r="N814" s="21">
        <v>3.62</v>
      </c>
      <c r="O814" s="21">
        <v>0.6</v>
      </c>
      <c r="P814" s="21">
        <v>3.52</v>
      </c>
    </row>
    <row r="815" spans="8:16">
      <c r="H815" s="21"/>
      <c r="I815" s="21"/>
      <c r="J815" s="52"/>
      <c r="K815" s="21"/>
      <c r="L815" s="21" t="s">
        <v>844</v>
      </c>
      <c r="M815" s="25">
        <f>DATE(YEAR(OneWeekMtgRatesDataTable75[[#This Row],[asOf]]),MONTH(OneWeekMtgRatesDataTable75[[#This Row],[asOf]]),DAY(OneWeekMtgRatesDataTable75[[#This Row],[asOf]]))</f>
        <v>41134</v>
      </c>
      <c r="N815" s="21">
        <v>3.62</v>
      </c>
      <c r="O815" s="21">
        <v>0.6</v>
      </c>
      <c r="P815" s="21">
        <v>3.52</v>
      </c>
    </row>
    <row r="816" spans="8:16">
      <c r="H816" s="21"/>
      <c r="I816" s="21"/>
      <c r="J816" s="52"/>
      <c r="K816" s="21"/>
      <c r="L816" s="21" t="s">
        <v>843</v>
      </c>
      <c r="M816" s="25">
        <f>DATE(YEAR(OneWeekMtgRatesDataTable75[[#This Row],[asOf]]),MONTH(OneWeekMtgRatesDataTable75[[#This Row],[asOf]]),DAY(OneWeekMtgRatesDataTable75[[#This Row],[asOf]]))</f>
        <v>41131</v>
      </c>
      <c r="N816" s="21">
        <v>3.62</v>
      </c>
      <c r="O816" s="21">
        <v>0.6</v>
      </c>
      <c r="P816" s="21">
        <v>3.52</v>
      </c>
    </row>
    <row r="817" spans="8:16">
      <c r="H817" s="21"/>
      <c r="I817" s="21"/>
      <c r="J817" s="52"/>
      <c r="K817" s="21"/>
      <c r="L817" s="21" t="s">
        <v>842</v>
      </c>
      <c r="M817" s="25">
        <f>DATE(YEAR(OneWeekMtgRatesDataTable75[[#This Row],[asOf]]),MONTH(OneWeekMtgRatesDataTable75[[#This Row],[asOf]]),DAY(OneWeekMtgRatesDataTable75[[#This Row],[asOf]]))</f>
        <v>41130</v>
      </c>
      <c r="N817" s="21">
        <v>3.62</v>
      </c>
      <c r="O817" s="21">
        <v>0.6</v>
      </c>
      <c r="P817" s="21">
        <v>3.52</v>
      </c>
    </row>
    <row r="818" spans="8:16">
      <c r="H818" s="21"/>
      <c r="I818" s="21"/>
      <c r="J818" s="52"/>
      <c r="K818" s="21"/>
      <c r="L818" s="21" t="s">
        <v>841</v>
      </c>
      <c r="M818" s="25">
        <f>DATE(YEAR(OneWeekMtgRatesDataTable75[[#This Row],[asOf]]),MONTH(OneWeekMtgRatesDataTable75[[#This Row],[asOf]]),DAY(OneWeekMtgRatesDataTable75[[#This Row],[asOf]]))</f>
        <v>41129</v>
      </c>
      <c r="N818" s="21">
        <v>3.59</v>
      </c>
      <c r="O818" s="21">
        <v>0.6</v>
      </c>
      <c r="P818" s="21">
        <v>3.4899999999999998</v>
      </c>
    </row>
    <row r="819" spans="8:16">
      <c r="H819" s="21"/>
      <c r="I819" s="21"/>
      <c r="J819" s="52"/>
      <c r="K819" s="21"/>
      <c r="L819" s="21" t="s">
        <v>840</v>
      </c>
      <c r="M819" s="25">
        <f>DATE(YEAR(OneWeekMtgRatesDataTable75[[#This Row],[asOf]]),MONTH(OneWeekMtgRatesDataTable75[[#This Row],[asOf]]),DAY(OneWeekMtgRatesDataTable75[[#This Row],[asOf]]))</f>
        <v>41128</v>
      </c>
      <c r="N819" s="21">
        <v>3.59</v>
      </c>
      <c r="O819" s="21">
        <v>0.6</v>
      </c>
      <c r="P819" s="21">
        <v>3.4899999999999998</v>
      </c>
    </row>
    <row r="820" spans="8:16">
      <c r="H820" s="21"/>
      <c r="I820" s="21"/>
      <c r="J820" s="52"/>
      <c r="K820" s="21"/>
      <c r="L820" s="21" t="s">
        <v>839</v>
      </c>
      <c r="M820" s="25">
        <f>DATE(YEAR(OneWeekMtgRatesDataTable75[[#This Row],[asOf]]),MONTH(OneWeekMtgRatesDataTable75[[#This Row],[asOf]]),DAY(OneWeekMtgRatesDataTable75[[#This Row],[asOf]]))</f>
        <v>41127</v>
      </c>
      <c r="N820" s="21">
        <v>3.59</v>
      </c>
      <c r="O820" s="21">
        <v>0.6</v>
      </c>
      <c r="P820" s="21">
        <v>3.4899999999999998</v>
      </c>
    </row>
    <row r="821" spans="8:16">
      <c r="H821" s="21"/>
      <c r="I821" s="21"/>
      <c r="J821" s="52"/>
      <c r="K821" s="21"/>
      <c r="L821" s="21" t="s">
        <v>838</v>
      </c>
      <c r="M821" s="25">
        <f>DATE(YEAR(OneWeekMtgRatesDataTable75[[#This Row],[asOf]]),MONTH(OneWeekMtgRatesDataTable75[[#This Row],[asOf]]),DAY(OneWeekMtgRatesDataTable75[[#This Row],[asOf]]))</f>
        <v>41124</v>
      </c>
      <c r="N821" s="21">
        <v>3.59</v>
      </c>
      <c r="O821" s="21">
        <v>0.6</v>
      </c>
      <c r="P821" s="21">
        <v>3.4899999999999998</v>
      </c>
    </row>
    <row r="822" spans="8:16">
      <c r="H822" s="21"/>
      <c r="I822" s="21"/>
      <c r="J822" s="52"/>
      <c r="K822" s="21"/>
      <c r="L822" s="21" t="s">
        <v>837</v>
      </c>
      <c r="M822" s="25">
        <f>DATE(YEAR(OneWeekMtgRatesDataTable75[[#This Row],[asOf]]),MONTH(OneWeekMtgRatesDataTable75[[#This Row],[asOf]]),DAY(OneWeekMtgRatesDataTable75[[#This Row],[asOf]]))</f>
        <v>41123</v>
      </c>
      <c r="N822" s="21">
        <v>3.59</v>
      </c>
      <c r="O822" s="21">
        <v>0.6</v>
      </c>
      <c r="P822" s="21">
        <v>3.4899999999999998</v>
      </c>
    </row>
    <row r="823" spans="8:16">
      <c r="H823" s="21"/>
      <c r="I823" s="21"/>
      <c r="J823" s="52"/>
      <c r="K823" s="21"/>
      <c r="L823" s="21" t="s">
        <v>836</v>
      </c>
      <c r="M823" s="25">
        <f>DATE(YEAR(OneWeekMtgRatesDataTable75[[#This Row],[asOf]]),MONTH(OneWeekMtgRatesDataTable75[[#This Row],[asOf]]),DAY(OneWeekMtgRatesDataTable75[[#This Row],[asOf]]))</f>
        <v>41122</v>
      </c>
      <c r="N823" s="21">
        <v>3.55</v>
      </c>
      <c r="O823" s="21">
        <v>0.7</v>
      </c>
      <c r="P823" s="21">
        <v>3.4749999999999996</v>
      </c>
    </row>
    <row r="824" spans="8:16">
      <c r="H824" s="21"/>
      <c r="I824" s="21"/>
      <c r="J824" s="52"/>
      <c r="K824" s="21"/>
      <c r="L824" s="21" t="s">
        <v>835</v>
      </c>
      <c r="M824" s="25">
        <f>DATE(YEAR(OneWeekMtgRatesDataTable75[[#This Row],[asOf]]),MONTH(OneWeekMtgRatesDataTable75[[#This Row],[asOf]]),DAY(OneWeekMtgRatesDataTable75[[#This Row],[asOf]]))</f>
        <v>41121</v>
      </c>
      <c r="N824" s="21">
        <v>3.55</v>
      </c>
      <c r="O824" s="21">
        <v>0.7</v>
      </c>
      <c r="P824" s="21">
        <v>3.4749999999999996</v>
      </c>
    </row>
    <row r="825" spans="8:16">
      <c r="H825" s="21"/>
      <c r="I825" s="21"/>
      <c r="J825" s="52"/>
      <c r="K825" s="21"/>
      <c r="L825" s="21" t="s">
        <v>834</v>
      </c>
      <c r="M825" s="25">
        <f>DATE(YEAR(OneWeekMtgRatesDataTable75[[#This Row],[asOf]]),MONTH(OneWeekMtgRatesDataTable75[[#This Row],[asOf]]),DAY(OneWeekMtgRatesDataTable75[[#This Row],[asOf]]))</f>
        <v>41120</v>
      </c>
      <c r="N825" s="21">
        <v>3.55</v>
      </c>
      <c r="O825" s="21">
        <v>0.7</v>
      </c>
      <c r="P825" s="21">
        <v>3.4749999999999996</v>
      </c>
    </row>
    <row r="826" spans="8:16">
      <c r="H826" s="21"/>
      <c r="I826" s="21"/>
      <c r="J826" s="52"/>
      <c r="K826" s="21"/>
      <c r="L826" s="21" t="s">
        <v>833</v>
      </c>
      <c r="M826" s="25">
        <f>DATE(YEAR(OneWeekMtgRatesDataTable75[[#This Row],[asOf]]),MONTH(OneWeekMtgRatesDataTable75[[#This Row],[asOf]]),DAY(OneWeekMtgRatesDataTable75[[#This Row],[asOf]]))</f>
        <v>41117</v>
      </c>
      <c r="N826" s="21">
        <v>3.55</v>
      </c>
      <c r="O826" s="21">
        <v>0.7</v>
      </c>
      <c r="P826" s="21">
        <v>3.4749999999999996</v>
      </c>
    </row>
    <row r="827" spans="8:16">
      <c r="H827" s="21"/>
      <c r="I827" s="21"/>
      <c r="J827" s="52"/>
      <c r="K827" s="21"/>
      <c r="L827" s="21" t="s">
        <v>832</v>
      </c>
      <c r="M827" s="25">
        <f>DATE(YEAR(OneWeekMtgRatesDataTable75[[#This Row],[asOf]]),MONTH(OneWeekMtgRatesDataTable75[[#This Row],[asOf]]),DAY(OneWeekMtgRatesDataTable75[[#This Row],[asOf]]))</f>
        <v>41116</v>
      </c>
      <c r="N827" s="21">
        <v>3.55</v>
      </c>
      <c r="O827" s="21">
        <v>0.7</v>
      </c>
      <c r="P827" s="21">
        <v>3.4749999999999996</v>
      </c>
    </row>
    <row r="828" spans="8:16">
      <c r="H828" s="21"/>
      <c r="I828" s="21"/>
      <c r="J828" s="52"/>
      <c r="K828" s="21"/>
      <c r="L828" s="21" t="s">
        <v>831</v>
      </c>
      <c r="M828" s="25">
        <f>DATE(YEAR(OneWeekMtgRatesDataTable75[[#This Row],[asOf]]),MONTH(OneWeekMtgRatesDataTable75[[#This Row],[asOf]]),DAY(OneWeekMtgRatesDataTable75[[#This Row],[asOf]]))</f>
        <v>41115</v>
      </c>
      <c r="N828" s="21">
        <v>3.49</v>
      </c>
      <c r="O828" s="21">
        <v>0.7</v>
      </c>
      <c r="P828" s="21">
        <v>3.415</v>
      </c>
    </row>
    <row r="829" spans="8:16">
      <c r="H829" s="21"/>
      <c r="I829" s="21"/>
      <c r="J829" s="52"/>
      <c r="K829" s="21"/>
      <c r="L829" s="21" t="s">
        <v>830</v>
      </c>
      <c r="M829" s="25">
        <f>DATE(YEAR(OneWeekMtgRatesDataTable75[[#This Row],[asOf]]),MONTH(OneWeekMtgRatesDataTable75[[#This Row],[asOf]]),DAY(OneWeekMtgRatesDataTable75[[#This Row],[asOf]]))</f>
        <v>41114</v>
      </c>
      <c r="N829" s="21">
        <v>3.49</v>
      </c>
      <c r="O829" s="21">
        <v>0.7</v>
      </c>
      <c r="P829" s="21">
        <v>3.415</v>
      </c>
    </row>
    <row r="830" spans="8:16">
      <c r="H830" s="21"/>
      <c r="I830" s="21"/>
      <c r="J830" s="52"/>
      <c r="K830" s="21"/>
      <c r="L830" s="21" t="s">
        <v>829</v>
      </c>
      <c r="M830" s="25">
        <f>DATE(YEAR(OneWeekMtgRatesDataTable75[[#This Row],[asOf]]),MONTH(OneWeekMtgRatesDataTable75[[#This Row],[asOf]]),DAY(OneWeekMtgRatesDataTable75[[#This Row],[asOf]]))</f>
        <v>41113</v>
      </c>
      <c r="N830" s="21">
        <v>3.49</v>
      </c>
      <c r="O830" s="21">
        <v>0.7</v>
      </c>
      <c r="P830" s="21">
        <v>3.415</v>
      </c>
    </row>
    <row r="831" spans="8:16">
      <c r="H831" s="21"/>
      <c r="I831" s="21"/>
      <c r="J831" s="52"/>
      <c r="K831" s="21"/>
      <c r="L831" s="21" t="s">
        <v>828</v>
      </c>
      <c r="M831" s="25">
        <f>DATE(YEAR(OneWeekMtgRatesDataTable75[[#This Row],[asOf]]),MONTH(OneWeekMtgRatesDataTable75[[#This Row],[asOf]]),DAY(OneWeekMtgRatesDataTable75[[#This Row],[asOf]]))</f>
        <v>41110</v>
      </c>
      <c r="N831" s="21">
        <v>3.49</v>
      </c>
      <c r="O831" s="21">
        <v>0.7</v>
      </c>
      <c r="P831" s="21">
        <v>3.415</v>
      </c>
    </row>
    <row r="832" spans="8:16">
      <c r="H832" s="21"/>
      <c r="I832" s="21"/>
      <c r="J832" s="52"/>
      <c r="K832" s="21"/>
      <c r="L832" s="21" t="s">
        <v>827</v>
      </c>
      <c r="M832" s="25">
        <f>DATE(YEAR(OneWeekMtgRatesDataTable75[[#This Row],[asOf]]),MONTH(OneWeekMtgRatesDataTable75[[#This Row],[asOf]]),DAY(OneWeekMtgRatesDataTable75[[#This Row],[asOf]]))</f>
        <v>41109</v>
      </c>
      <c r="N832" s="21">
        <v>3.49</v>
      </c>
      <c r="O832" s="21">
        <v>0.7</v>
      </c>
      <c r="P832" s="21">
        <v>3.415</v>
      </c>
    </row>
    <row r="833" spans="8:16">
      <c r="H833" s="21"/>
      <c r="I833" s="21"/>
      <c r="J833" s="52"/>
      <c r="K833" s="21"/>
      <c r="L833" s="21" t="s">
        <v>826</v>
      </c>
      <c r="M833" s="25">
        <f>DATE(YEAR(OneWeekMtgRatesDataTable75[[#This Row],[asOf]]),MONTH(OneWeekMtgRatesDataTable75[[#This Row],[asOf]]),DAY(OneWeekMtgRatesDataTable75[[#This Row],[asOf]]))</f>
        <v>41108</v>
      </c>
      <c r="N833" s="21">
        <v>3.53</v>
      </c>
      <c r="O833" s="21">
        <v>0.7</v>
      </c>
      <c r="P833" s="21">
        <v>3.4549999999999996</v>
      </c>
    </row>
    <row r="834" spans="8:16">
      <c r="H834" s="21"/>
      <c r="I834" s="21"/>
      <c r="J834" s="52"/>
      <c r="K834" s="21"/>
      <c r="L834" s="21" t="s">
        <v>825</v>
      </c>
      <c r="M834" s="25">
        <f>DATE(YEAR(OneWeekMtgRatesDataTable75[[#This Row],[asOf]]),MONTH(OneWeekMtgRatesDataTable75[[#This Row],[asOf]]),DAY(OneWeekMtgRatesDataTable75[[#This Row],[asOf]]))</f>
        <v>41107</v>
      </c>
      <c r="N834" s="21">
        <v>3.53</v>
      </c>
      <c r="O834" s="21">
        <v>0.7</v>
      </c>
      <c r="P834" s="21">
        <v>3.4549999999999996</v>
      </c>
    </row>
    <row r="835" spans="8:16">
      <c r="H835" s="21"/>
      <c r="I835" s="21"/>
      <c r="J835" s="52"/>
      <c r="K835" s="21"/>
      <c r="L835" s="21" t="s">
        <v>824</v>
      </c>
      <c r="M835" s="25">
        <f>DATE(YEAR(OneWeekMtgRatesDataTable75[[#This Row],[asOf]]),MONTH(OneWeekMtgRatesDataTable75[[#This Row],[asOf]]),DAY(OneWeekMtgRatesDataTable75[[#This Row],[asOf]]))</f>
        <v>41106</v>
      </c>
      <c r="N835" s="21">
        <v>3.53</v>
      </c>
      <c r="O835" s="21">
        <v>0.7</v>
      </c>
      <c r="P835" s="21">
        <v>3.4549999999999996</v>
      </c>
    </row>
    <row r="836" spans="8:16">
      <c r="H836" s="21"/>
      <c r="I836" s="21"/>
      <c r="J836" s="52"/>
      <c r="K836" s="21"/>
      <c r="L836" s="21" t="s">
        <v>823</v>
      </c>
      <c r="M836" s="25">
        <f>DATE(YEAR(OneWeekMtgRatesDataTable75[[#This Row],[asOf]]),MONTH(OneWeekMtgRatesDataTable75[[#This Row],[asOf]]),DAY(OneWeekMtgRatesDataTable75[[#This Row],[asOf]]))</f>
        <v>41103</v>
      </c>
      <c r="N836" s="21">
        <v>3.53</v>
      </c>
      <c r="O836" s="21">
        <v>0.7</v>
      </c>
      <c r="P836" s="21">
        <v>3.4549999999999996</v>
      </c>
    </row>
    <row r="837" spans="8:16">
      <c r="H837" s="21"/>
      <c r="I837" s="21"/>
      <c r="J837" s="52"/>
      <c r="K837" s="21"/>
      <c r="L837" s="21" t="s">
        <v>822</v>
      </c>
      <c r="M837" s="25">
        <f>DATE(YEAR(OneWeekMtgRatesDataTable75[[#This Row],[asOf]]),MONTH(OneWeekMtgRatesDataTable75[[#This Row],[asOf]]),DAY(OneWeekMtgRatesDataTable75[[#This Row],[asOf]]))</f>
        <v>41102</v>
      </c>
      <c r="N837" s="21">
        <v>3.53</v>
      </c>
      <c r="O837" s="21">
        <v>0.7</v>
      </c>
      <c r="P837" s="21">
        <v>3.4549999999999996</v>
      </c>
    </row>
    <row r="838" spans="8:16">
      <c r="H838" s="21"/>
      <c r="I838" s="21"/>
      <c r="J838" s="52"/>
      <c r="K838" s="21"/>
      <c r="L838" s="21" t="s">
        <v>821</v>
      </c>
      <c r="M838" s="25">
        <f>DATE(YEAR(OneWeekMtgRatesDataTable75[[#This Row],[asOf]]),MONTH(OneWeekMtgRatesDataTable75[[#This Row],[asOf]]),DAY(OneWeekMtgRatesDataTable75[[#This Row],[asOf]]))</f>
        <v>41101</v>
      </c>
      <c r="N838" s="21">
        <v>3.56</v>
      </c>
      <c r="O838" s="21">
        <v>0.7</v>
      </c>
      <c r="P838" s="21">
        <v>3.4849999999999999</v>
      </c>
    </row>
    <row r="839" spans="8:16">
      <c r="H839" s="21"/>
      <c r="I839" s="21"/>
      <c r="J839" s="52"/>
      <c r="K839" s="21"/>
      <c r="L839" s="21" t="s">
        <v>820</v>
      </c>
      <c r="M839" s="25">
        <f>DATE(YEAR(OneWeekMtgRatesDataTable75[[#This Row],[asOf]]),MONTH(OneWeekMtgRatesDataTable75[[#This Row],[asOf]]),DAY(OneWeekMtgRatesDataTable75[[#This Row],[asOf]]))</f>
        <v>41100</v>
      </c>
      <c r="N839" s="21">
        <v>3.56</v>
      </c>
      <c r="O839" s="21">
        <v>0.7</v>
      </c>
      <c r="P839" s="21">
        <v>3.4849999999999999</v>
      </c>
    </row>
    <row r="840" spans="8:16">
      <c r="H840" s="21"/>
      <c r="I840" s="21"/>
      <c r="J840" s="52"/>
      <c r="K840" s="21"/>
      <c r="L840" s="21" t="s">
        <v>819</v>
      </c>
      <c r="M840" s="25">
        <f>DATE(YEAR(OneWeekMtgRatesDataTable75[[#This Row],[asOf]]),MONTH(OneWeekMtgRatesDataTable75[[#This Row],[asOf]]),DAY(OneWeekMtgRatesDataTable75[[#This Row],[asOf]]))</f>
        <v>41099</v>
      </c>
      <c r="N840" s="21">
        <v>3.56</v>
      </c>
      <c r="O840" s="21">
        <v>0.7</v>
      </c>
      <c r="P840" s="21">
        <v>3.4849999999999999</v>
      </c>
    </row>
    <row r="841" spans="8:16">
      <c r="H841" s="21"/>
      <c r="I841" s="21"/>
      <c r="J841" s="52"/>
      <c r="K841" s="21"/>
      <c r="L841" s="21" t="s">
        <v>818</v>
      </c>
      <c r="M841" s="25">
        <f>DATE(YEAR(OneWeekMtgRatesDataTable75[[#This Row],[asOf]]),MONTH(OneWeekMtgRatesDataTable75[[#This Row],[asOf]]),DAY(OneWeekMtgRatesDataTable75[[#This Row],[asOf]]))</f>
        <v>41096</v>
      </c>
      <c r="N841" s="21">
        <v>3.56</v>
      </c>
      <c r="O841" s="21">
        <v>0.7</v>
      </c>
      <c r="P841" s="21">
        <v>3.4849999999999999</v>
      </c>
    </row>
    <row r="842" spans="8:16">
      <c r="H842" s="21"/>
      <c r="I842" s="21"/>
      <c r="J842" s="52"/>
      <c r="K842" s="21"/>
      <c r="L842" s="21" t="s">
        <v>817</v>
      </c>
      <c r="M842" s="25">
        <f>DATE(YEAR(OneWeekMtgRatesDataTable75[[#This Row],[asOf]]),MONTH(OneWeekMtgRatesDataTable75[[#This Row],[asOf]]),DAY(OneWeekMtgRatesDataTable75[[#This Row],[asOf]]))</f>
        <v>41095</v>
      </c>
      <c r="N842" s="21">
        <v>3.56</v>
      </c>
      <c r="O842" s="21">
        <v>0.7</v>
      </c>
      <c r="P842" s="21">
        <v>3.4849999999999999</v>
      </c>
    </row>
    <row r="843" spans="8:16">
      <c r="H843" s="21"/>
      <c r="I843" s="21"/>
      <c r="J843" s="52"/>
      <c r="K843" s="21"/>
      <c r="L843" s="21" t="s">
        <v>816</v>
      </c>
      <c r="M843" s="25">
        <f>DATE(YEAR(OneWeekMtgRatesDataTable75[[#This Row],[asOf]]),MONTH(OneWeekMtgRatesDataTable75[[#This Row],[asOf]]),DAY(OneWeekMtgRatesDataTable75[[#This Row],[asOf]]))</f>
        <v>41093</v>
      </c>
      <c r="N843" s="21">
        <v>3.62</v>
      </c>
      <c r="O843" s="21">
        <v>0.8</v>
      </c>
      <c r="P843" s="21">
        <v>3.5700000000000003</v>
      </c>
    </row>
    <row r="844" spans="8:16">
      <c r="H844" s="21"/>
      <c r="I844" s="21"/>
      <c r="J844" s="52"/>
      <c r="K844" s="21"/>
      <c r="L844" s="21" t="s">
        <v>815</v>
      </c>
      <c r="M844" s="25">
        <f>DATE(YEAR(OneWeekMtgRatesDataTable75[[#This Row],[asOf]]),MONTH(OneWeekMtgRatesDataTable75[[#This Row],[asOf]]),DAY(OneWeekMtgRatesDataTable75[[#This Row],[asOf]]))</f>
        <v>41092</v>
      </c>
      <c r="N844" s="21">
        <v>3.62</v>
      </c>
      <c r="O844" s="21">
        <v>0.8</v>
      </c>
      <c r="P844" s="21">
        <v>3.5700000000000003</v>
      </c>
    </row>
    <row r="845" spans="8:16">
      <c r="H845" s="21"/>
      <c r="I845" s="21"/>
      <c r="J845" s="52"/>
      <c r="K845" s="21"/>
      <c r="L845" s="21" t="s">
        <v>814</v>
      </c>
      <c r="M845" s="25">
        <f>DATE(YEAR(OneWeekMtgRatesDataTable75[[#This Row],[asOf]]),MONTH(OneWeekMtgRatesDataTable75[[#This Row],[asOf]]),DAY(OneWeekMtgRatesDataTable75[[#This Row],[asOf]]))</f>
        <v>41089</v>
      </c>
      <c r="N845" s="21">
        <v>3.62</v>
      </c>
      <c r="O845" s="21">
        <v>0.8</v>
      </c>
      <c r="P845" s="21">
        <v>3.5700000000000003</v>
      </c>
    </row>
    <row r="846" spans="8:16">
      <c r="H846" s="21"/>
      <c r="I846" s="21"/>
      <c r="J846" s="52"/>
      <c r="K846" s="21"/>
      <c r="L846" s="21" t="s">
        <v>813</v>
      </c>
      <c r="M846" s="25">
        <f>DATE(YEAR(OneWeekMtgRatesDataTable75[[#This Row],[asOf]]),MONTH(OneWeekMtgRatesDataTable75[[#This Row],[asOf]]),DAY(OneWeekMtgRatesDataTable75[[#This Row],[asOf]]))</f>
        <v>41088</v>
      </c>
      <c r="N846" s="21">
        <v>3.62</v>
      </c>
      <c r="O846" s="21">
        <v>0.8</v>
      </c>
      <c r="P846" s="21">
        <v>3.5700000000000003</v>
      </c>
    </row>
    <row r="847" spans="8:16">
      <c r="H847" s="21"/>
      <c r="I847" s="21"/>
      <c r="J847" s="52"/>
      <c r="K847" s="21"/>
      <c r="L847" s="21" t="s">
        <v>812</v>
      </c>
      <c r="M847" s="25">
        <f>DATE(YEAR(OneWeekMtgRatesDataTable75[[#This Row],[asOf]]),MONTH(OneWeekMtgRatesDataTable75[[#This Row],[asOf]]),DAY(OneWeekMtgRatesDataTable75[[#This Row],[asOf]]))</f>
        <v>41087</v>
      </c>
      <c r="N847" s="21">
        <v>3.66</v>
      </c>
      <c r="O847" s="21">
        <v>0.7</v>
      </c>
      <c r="P847" s="21">
        <v>3.585</v>
      </c>
    </row>
    <row r="848" spans="8:16">
      <c r="H848" s="21"/>
      <c r="I848" s="21"/>
      <c r="J848" s="52"/>
      <c r="K848" s="21"/>
      <c r="L848" s="21" t="s">
        <v>811</v>
      </c>
      <c r="M848" s="25">
        <f>DATE(YEAR(OneWeekMtgRatesDataTable75[[#This Row],[asOf]]),MONTH(OneWeekMtgRatesDataTable75[[#This Row],[asOf]]),DAY(OneWeekMtgRatesDataTable75[[#This Row],[asOf]]))</f>
        <v>41086</v>
      </c>
      <c r="N848" s="21">
        <v>3.66</v>
      </c>
      <c r="O848" s="21">
        <v>0.7</v>
      </c>
      <c r="P848" s="21">
        <v>3.585</v>
      </c>
    </row>
    <row r="849" spans="8:16">
      <c r="H849" s="21"/>
      <c r="I849" s="21"/>
      <c r="J849" s="52"/>
      <c r="K849" s="21"/>
      <c r="L849" s="21" t="s">
        <v>810</v>
      </c>
      <c r="M849" s="25">
        <f>DATE(YEAR(OneWeekMtgRatesDataTable75[[#This Row],[asOf]]),MONTH(OneWeekMtgRatesDataTable75[[#This Row],[asOf]]),DAY(OneWeekMtgRatesDataTable75[[#This Row],[asOf]]))</f>
        <v>41085</v>
      </c>
      <c r="N849" s="21">
        <v>3.66</v>
      </c>
      <c r="O849" s="21">
        <v>0.7</v>
      </c>
      <c r="P849" s="21">
        <v>3.585</v>
      </c>
    </row>
    <row r="850" spans="8:16">
      <c r="H850" s="21"/>
      <c r="I850" s="21"/>
      <c r="J850" s="52"/>
      <c r="K850" s="21"/>
      <c r="L850" s="21" t="s">
        <v>809</v>
      </c>
      <c r="M850" s="25">
        <f>DATE(YEAR(OneWeekMtgRatesDataTable75[[#This Row],[asOf]]),MONTH(OneWeekMtgRatesDataTable75[[#This Row],[asOf]]),DAY(OneWeekMtgRatesDataTable75[[#This Row],[asOf]]))</f>
        <v>41082</v>
      </c>
      <c r="N850" s="21">
        <v>3.66</v>
      </c>
      <c r="O850" s="21">
        <v>0.7</v>
      </c>
      <c r="P850" s="21">
        <v>3.585</v>
      </c>
    </row>
    <row r="851" spans="8:16">
      <c r="H851" s="21"/>
      <c r="I851" s="21"/>
      <c r="J851" s="52"/>
      <c r="K851" s="21"/>
      <c r="L851" s="21" t="s">
        <v>808</v>
      </c>
      <c r="M851" s="25">
        <f>DATE(YEAR(OneWeekMtgRatesDataTable75[[#This Row],[asOf]]),MONTH(OneWeekMtgRatesDataTable75[[#This Row],[asOf]]),DAY(OneWeekMtgRatesDataTable75[[#This Row],[asOf]]))</f>
        <v>41081</v>
      </c>
      <c r="N851" s="21">
        <v>3.66</v>
      </c>
      <c r="O851" s="21">
        <v>0.7</v>
      </c>
      <c r="P851" s="21">
        <v>3.585</v>
      </c>
    </row>
    <row r="852" spans="8:16">
      <c r="H852" s="21"/>
      <c r="I852" s="21"/>
      <c r="J852" s="52"/>
      <c r="K852" s="21"/>
      <c r="L852" s="21" t="s">
        <v>807</v>
      </c>
      <c r="M852" s="25">
        <f>DATE(YEAR(OneWeekMtgRatesDataTable75[[#This Row],[asOf]]),MONTH(OneWeekMtgRatesDataTable75[[#This Row],[asOf]]),DAY(OneWeekMtgRatesDataTable75[[#This Row],[asOf]]))</f>
        <v>41080</v>
      </c>
      <c r="N852" s="21">
        <v>3.66</v>
      </c>
      <c r="O852" s="21">
        <v>0.7</v>
      </c>
      <c r="P852" s="21">
        <v>3.585</v>
      </c>
    </row>
    <row r="853" spans="8:16">
      <c r="H853" s="21"/>
      <c r="I853" s="21"/>
      <c r="J853" s="52"/>
      <c r="K853" s="21"/>
      <c r="L853" s="21" t="s">
        <v>806</v>
      </c>
      <c r="M853" s="25">
        <f>DATE(YEAR(OneWeekMtgRatesDataTable75[[#This Row],[asOf]]),MONTH(OneWeekMtgRatesDataTable75[[#This Row],[asOf]]),DAY(OneWeekMtgRatesDataTable75[[#This Row],[asOf]]))</f>
        <v>41079</v>
      </c>
      <c r="N853" s="21">
        <v>3.66</v>
      </c>
      <c r="O853" s="21">
        <v>0.7</v>
      </c>
      <c r="P853" s="21">
        <v>3.585</v>
      </c>
    </row>
    <row r="854" spans="8:16">
      <c r="H854" s="21"/>
      <c r="I854" s="21"/>
      <c r="J854" s="52"/>
      <c r="K854" s="21"/>
      <c r="L854" s="21" t="s">
        <v>805</v>
      </c>
      <c r="M854" s="25">
        <f>DATE(YEAR(OneWeekMtgRatesDataTable75[[#This Row],[asOf]]),MONTH(OneWeekMtgRatesDataTable75[[#This Row],[asOf]]),DAY(OneWeekMtgRatesDataTable75[[#This Row],[asOf]]))</f>
        <v>41078</v>
      </c>
      <c r="N854" s="21">
        <v>3.66</v>
      </c>
      <c r="O854" s="21">
        <v>0.7</v>
      </c>
      <c r="P854" s="21">
        <v>3.585</v>
      </c>
    </row>
    <row r="855" spans="8:16">
      <c r="H855" s="21"/>
      <c r="I855" s="21"/>
      <c r="J855" s="52"/>
      <c r="K855" s="21"/>
      <c r="L855" s="21" t="s">
        <v>804</v>
      </c>
      <c r="M855" s="25">
        <f>DATE(YEAR(OneWeekMtgRatesDataTable75[[#This Row],[asOf]]),MONTH(OneWeekMtgRatesDataTable75[[#This Row],[asOf]]),DAY(OneWeekMtgRatesDataTable75[[#This Row],[asOf]]))</f>
        <v>41075</v>
      </c>
      <c r="N855" s="21">
        <v>3.66</v>
      </c>
      <c r="O855" s="21">
        <v>0.7</v>
      </c>
      <c r="P855" s="21">
        <v>3.585</v>
      </c>
    </row>
    <row r="856" spans="8:16">
      <c r="H856" s="21"/>
      <c r="I856" s="21"/>
      <c r="J856" s="52"/>
      <c r="K856" s="21"/>
      <c r="L856" s="21" t="s">
        <v>803</v>
      </c>
      <c r="M856" s="25">
        <f>DATE(YEAR(OneWeekMtgRatesDataTable75[[#This Row],[asOf]]),MONTH(OneWeekMtgRatesDataTable75[[#This Row],[asOf]]),DAY(OneWeekMtgRatesDataTable75[[#This Row],[asOf]]))</f>
        <v>41074</v>
      </c>
      <c r="N856" s="21">
        <v>3.66</v>
      </c>
      <c r="O856" s="21">
        <v>0.7</v>
      </c>
      <c r="P856" s="21">
        <v>3.585</v>
      </c>
    </row>
    <row r="857" spans="8:16">
      <c r="H857" s="21"/>
      <c r="I857" s="21"/>
      <c r="J857" s="52"/>
      <c r="K857" s="21"/>
      <c r="L857" s="21" t="s">
        <v>802</v>
      </c>
      <c r="M857" s="25">
        <f>DATE(YEAR(OneWeekMtgRatesDataTable75[[#This Row],[asOf]]),MONTH(OneWeekMtgRatesDataTable75[[#This Row],[asOf]]),DAY(OneWeekMtgRatesDataTable75[[#This Row],[asOf]]))</f>
        <v>41073</v>
      </c>
      <c r="N857" s="21">
        <v>3.71</v>
      </c>
      <c r="O857" s="21">
        <v>0.7</v>
      </c>
      <c r="P857" s="21">
        <v>3.6349999999999998</v>
      </c>
    </row>
    <row r="858" spans="8:16">
      <c r="H858" s="21"/>
      <c r="I858" s="21"/>
      <c r="J858" s="52"/>
      <c r="K858" s="21"/>
      <c r="L858" s="21" t="s">
        <v>801</v>
      </c>
      <c r="M858" s="25">
        <f>DATE(YEAR(OneWeekMtgRatesDataTable75[[#This Row],[asOf]]),MONTH(OneWeekMtgRatesDataTable75[[#This Row],[asOf]]),DAY(OneWeekMtgRatesDataTable75[[#This Row],[asOf]]))</f>
        <v>41072</v>
      </c>
      <c r="N858" s="21">
        <v>3.71</v>
      </c>
      <c r="O858" s="21">
        <v>0.7</v>
      </c>
      <c r="P858" s="21">
        <v>3.6349999999999998</v>
      </c>
    </row>
    <row r="859" spans="8:16">
      <c r="H859" s="21"/>
      <c r="I859" s="21"/>
      <c r="J859" s="52"/>
      <c r="K859" s="21"/>
      <c r="L859" s="21" t="s">
        <v>800</v>
      </c>
      <c r="M859" s="25">
        <f>DATE(YEAR(OneWeekMtgRatesDataTable75[[#This Row],[asOf]]),MONTH(OneWeekMtgRatesDataTable75[[#This Row],[asOf]]),DAY(OneWeekMtgRatesDataTable75[[#This Row],[asOf]]))</f>
        <v>41071</v>
      </c>
      <c r="N859" s="21">
        <v>3.71</v>
      </c>
      <c r="O859" s="21">
        <v>0.7</v>
      </c>
      <c r="P859" s="21">
        <v>3.6349999999999998</v>
      </c>
    </row>
    <row r="860" spans="8:16">
      <c r="H860" s="21"/>
      <c r="I860" s="21"/>
      <c r="J860" s="52"/>
      <c r="K860" s="21"/>
      <c r="L860" s="21" t="s">
        <v>799</v>
      </c>
      <c r="M860" s="25">
        <f>DATE(YEAR(OneWeekMtgRatesDataTable75[[#This Row],[asOf]]),MONTH(OneWeekMtgRatesDataTable75[[#This Row],[asOf]]),DAY(OneWeekMtgRatesDataTable75[[#This Row],[asOf]]))</f>
        <v>41068</v>
      </c>
      <c r="N860" s="21">
        <v>3.71</v>
      </c>
      <c r="O860" s="21">
        <v>0.7</v>
      </c>
      <c r="P860" s="21">
        <v>3.6349999999999998</v>
      </c>
    </row>
    <row r="861" spans="8:16">
      <c r="H861" s="21"/>
      <c r="I861" s="21"/>
      <c r="J861" s="52"/>
      <c r="K861" s="21"/>
      <c r="L861" s="21" t="s">
        <v>798</v>
      </c>
      <c r="M861" s="25">
        <f>DATE(YEAR(OneWeekMtgRatesDataTable75[[#This Row],[asOf]]),MONTH(OneWeekMtgRatesDataTable75[[#This Row],[asOf]]),DAY(OneWeekMtgRatesDataTable75[[#This Row],[asOf]]))</f>
        <v>41067</v>
      </c>
      <c r="N861" s="21">
        <v>3.71</v>
      </c>
      <c r="O861" s="21">
        <v>0.7</v>
      </c>
      <c r="P861" s="21">
        <v>3.6349999999999998</v>
      </c>
    </row>
    <row r="862" spans="8:16">
      <c r="H862" s="21"/>
      <c r="I862" s="21"/>
      <c r="J862" s="52"/>
      <c r="K862" s="21"/>
      <c r="L862" s="21" t="s">
        <v>797</v>
      </c>
      <c r="M862" s="25">
        <f>DATE(YEAR(OneWeekMtgRatesDataTable75[[#This Row],[asOf]]),MONTH(OneWeekMtgRatesDataTable75[[#This Row],[asOf]]),DAY(OneWeekMtgRatesDataTable75[[#This Row],[asOf]]))</f>
        <v>41066</v>
      </c>
      <c r="N862" s="21">
        <v>3.67</v>
      </c>
      <c r="O862" s="21">
        <v>0.7</v>
      </c>
      <c r="P862" s="21">
        <v>3.5949999999999998</v>
      </c>
    </row>
    <row r="863" spans="8:16">
      <c r="H863" s="21"/>
      <c r="I863" s="21"/>
      <c r="J863" s="52"/>
      <c r="K863" s="21"/>
      <c r="L863" s="21" t="s">
        <v>796</v>
      </c>
      <c r="M863" s="25">
        <f>DATE(YEAR(OneWeekMtgRatesDataTable75[[#This Row],[asOf]]),MONTH(OneWeekMtgRatesDataTable75[[#This Row],[asOf]]),DAY(OneWeekMtgRatesDataTable75[[#This Row],[asOf]]))</f>
        <v>41065</v>
      </c>
      <c r="N863" s="21">
        <v>3.67</v>
      </c>
      <c r="O863" s="21">
        <v>0.7</v>
      </c>
      <c r="P863" s="21">
        <v>3.5949999999999998</v>
      </c>
    </row>
    <row r="864" spans="8:16">
      <c r="H864" s="21"/>
      <c r="I864" s="21"/>
      <c r="J864" s="52"/>
      <c r="K864" s="21"/>
      <c r="L864" s="21" t="s">
        <v>795</v>
      </c>
      <c r="M864" s="25">
        <f>DATE(YEAR(OneWeekMtgRatesDataTable75[[#This Row],[asOf]]),MONTH(OneWeekMtgRatesDataTable75[[#This Row],[asOf]]),DAY(OneWeekMtgRatesDataTable75[[#This Row],[asOf]]))</f>
        <v>41064</v>
      </c>
      <c r="N864" s="21">
        <v>3.67</v>
      </c>
      <c r="O864" s="21">
        <v>0.7</v>
      </c>
      <c r="P864" s="21">
        <v>3.5949999999999998</v>
      </c>
    </row>
    <row r="865" spans="8:16">
      <c r="H865" s="21"/>
      <c r="I865" s="21"/>
      <c r="J865" s="52"/>
      <c r="K865" s="21"/>
      <c r="L865" s="21" t="s">
        <v>794</v>
      </c>
      <c r="M865" s="25">
        <f>DATE(YEAR(OneWeekMtgRatesDataTable75[[#This Row],[asOf]]),MONTH(OneWeekMtgRatesDataTable75[[#This Row],[asOf]]),DAY(OneWeekMtgRatesDataTable75[[#This Row],[asOf]]))</f>
        <v>41061</v>
      </c>
      <c r="N865" s="21">
        <v>3.67</v>
      </c>
      <c r="O865" s="21">
        <v>0.7</v>
      </c>
      <c r="P865" s="21">
        <v>3.5949999999999998</v>
      </c>
    </row>
    <row r="866" spans="8:16">
      <c r="H866" s="21"/>
      <c r="I866" s="21"/>
      <c r="J866" s="52"/>
      <c r="K866" s="21"/>
      <c r="L866" s="21" t="s">
        <v>793</v>
      </c>
      <c r="M866" s="25">
        <f>DATE(YEAR(OneWeekMtgRatesDataTable75[[#This Row],[asOf]]),MONTH(OneWeekMtgRatesDataTable75[[#This Row],[asOf]]),DAY(OneWeekMtgRatesDataTable75[[#This Row],[asOf]]))</f>
        <v>41060</v>
      </c>
      <c r="N866" s="21">
        <v>3.67</v>
      </c>
      <c r="O866" s="21">
        <v>0.7</v>
      </c>
      <c r="P866" s="21">
        <v>3.5949999999999998</v>
      </c>
    </row>
    <row r="867" spans="8:16">
      <c r="H867" s="21"/>
      <c r="I867" s="21"/>
      <c r="J867" s="52"/>
      <c r="K867" s="21"/>
      <c r="L867" s="21" t="s">
        <v>792</v>
      </c>
      <c r="M867" s="25">
        <f>DATE(YEAR(OneWeekMtgRatesDataTable75[[#This Row],[asOf]]),MONTH(OneWeekMtgRatesDataTable75[[#This Row],[asOf]]),DAY(OneWeekMtgRatesDataTable75[[#This Row],[asOf]]))</f>
        <v>41059</v>
      </c>
      <c r="N867" s="21">
        <v>3.75</v>
      </c>
      <c r="O867" s="21">
        <v>0.8</v>
      </c>
      <c r="P867" s="21">
        <v>3.7</v>
      </c>
    </row>
    <row r="868" spans="8:16">
      <c r="H868" s="21"/>
      <c r="I868" s="21"/>
      <c r="J868" s="52"/>
      <c r="K868" s="21"/>
      <c r="L868" s="21" t="s">
        <v>791</v>
      </c>
      <c r="M868" s="25">
        <f>DATE(YEAR(OneWeekMtgRatesDataTable75[[#This Row],[asOf]]),MONTH(OneWeekMtgRatesDataTable75[[#This Row],[asOf]]),DAY(OneWeekMtgRatesDataTable75[[#This Row],[asOf]]))</f>
        <v>41058</v>
      </c>
      <c r="N868" s="21">
        <v>3.75</v>
      </c>
      <c r="O868" s="21">
        <v>0.8</v>
      </c>
      <c r="P868" s="21">
        <v>3.7</v>
      </c>
    </row>
    <row r="869" spans="8:16">
      <c r="H869" s="21"/>
      <c r="I869" s="21"/>
      <c r="J869" s="52"/>
      <c r="K869" s="21"/>
      <c r="L869" s="21" t="s">
        <v>790</v>
      </c>
      <c r="M869" s="25">
        <f>DATE(YEAR(OneWeekMtgRatesDataTable75[[#This Row],[asOf]]),MONTH(OneWeekMtgRatesDataTable75[[#This Row],[asOf]]),DAY(OneWeekMtgRatesDataTable75[[#This Row],[asOf]]))</f>
        <v>41054</v>
      </c>
      <c r="N869" s="21">
        <v>3.75</v>
      </c>
      <c r="O869" s="21">
        <v>0.8</v>
      </c>
      <c r="P869" s="21">
        <v>3.7</v>
      </c>
    </row>
    <row r="870" spans="8:16">
      <c r="H870" s="21"/>
      <c r="I870" s="21"/>
      <c r="J870" s="52"/>
      <c r="K870" s="21"/>
      <c r="L870" s="21" t="s">
        <v>789</v>
      </c>
      <c r="M870" s="25">
        <f>DATE(YEAR(OneWeekMtgRatesDataTable75[[#This Row],[asOf]]),MONTH(OneWeekMtgRatesDataTable75[[#This Row],[asOf]]),DAY(OneWeekMtgRatesDataTable75[[#This Row],[asOf]]))</f>
        <v>41053</v>
      </c>
      <c r="N870" s="21">
        <v>3.75</v>
      </c>
      <c r="O870" s="21">
        <v>0.8</v>
      </c>
      <c r="P870" s="21">
        <v>3.7</v>
      </c>
    </row>
    <row r="871" spans="8:16">
      <c r="H871" s="21"/>
      <c r="I871" s="21"/>
      <c r="J871" s="52"/>
      <c r="K871" s="21"/>
      <c r="L871" s="21" t="s">
        <v>788</v>
      </c>
      <c r="M871" s="25">
        <f>DATE(YEAR(OneWeekMtgRatesDataTable75[[#This Row],[asOf]]),MONTH(OneWeekMtgRatesDataTable75[[#This Row],[asOf]]),DAY(OneWeekMtgRatesDataTable75[[#This Row],[asOf]]))</f>
        <v>41052</v>
      </c>
      <c r="N871" s="21">
        <v>3.78</v>
      </c>
      <c r="O871" s="21">
        <v>0.8</v>
      </c>
      <c r="P871" s="21">
        <v>3.73</v>
      </c>
    </row>
    <row r="872" spans="8:16">
      <c r="H872" s="21"/>
      <c r="I872" s="21"/>
      <c r="J872" s="52"/>
      <c r="K872" s="21"/>
      <c r="L872" s="21" t="s">
        <v>787</v>
      </c>
      <c r="M872" s="25">
        <f>DATE(YEAR(OneWeekMtgRatesDataTable75[[#This Row],[asOf]]),MONTH(OneWeekMtgRatesDataTable75[[#This Row],[asOf]]),DAY(OneWeekMtgRatesDataTable75[[#This Row],[asOf]]))</f>
        <v>41051</v>
      </c>
      <c r="N872" s="21">
        <v>3.78</v>
      </c>
      <c r="O872" s="21">
        <v>0.8</v>
      </c>
      <c r="P872" s="21">
        <v>3.73</v>
      </c>
    </row>
    <row r="873" spans="8:16">
      <c r="H873" s="21"/>
      <c r="I873" s="21"/>
      <c r="J873" s="52"/>
      <c r="K873" s="21"/>
      <c r="L873" s="21" t="s">
        <v>786</v>
      </c>
      <c r="M873" s="25">
        <f>DATE(YEAR(OneWeekMtgRatesDataTable75[[#This Row],[asOf]]),MONTH(OneWeekMtgRatesDataTable75[[#This Row],[asOf]]),DAY(OneWeekMtgRatesDataTable75[[#This Row],[asOf]]))</f>
        <v>41050</v>
      </c>
      <c r="N873" s="21">
        <v>3.78</v>
      </c>
      <c r="O873" s="21">
        <v>0.8</v>
      </c>
      <c r="P873" s="21">
        <v>3.73</v>
      </c>
    </row>
    <row r="874" spans="8:16">
      <c r="H874" s="21"/>
      <c r="I874" s="21"/>
      <c r="J874" s="52"/>
      <c r="K874" s="21"/>
      <c r="L874" s="21" t="s">
        <v>785</v>
      </c>
      <c r="M874" s="25">
        <f>DATE(YEAR(OneWeekMtgRatesDataTable75[[#This Row],[asOf]]),MONTH(OneWeekMtgRatesDataTable75[[#This Row],[asOf]]),DAY(OneWeekMtgRatesDataTable75[[#This Row],[asOf]]))</f>
        <v>41047</v>
      </c>
      <c r="N874" s="21">
        <v>3.78</v>
      </c>
      <c r="O874" s="21">
        <v>0.8</v>
      </c>
      <c r="P874" s="21">
        <v>3.73</v>
      </c>
    </row>
    <row r="875" spans="8:16">
      <c r="H875" s="21"/>
      <c r="I875" s="21"/>
      <c r="J875" s="52"/>
      <c r="K875" s="21"/>
      <c r="L875" s="21" t="s">
        <v>784</v>
      </c>
      <c r="M875" s="25">
        <f>DATE(YEAR(OneWeekMtgRatesDataTable75[[#This Row],[asOf]]),MONTH(OneWeekMtgRatesDataTable75[[#This Row],[asOf]]),DAY(OneWeekMtgRatesDataTable75[[#This Row],[asOf]]))</f>
        <v>41046</v>
      </c>
      <c r="N875" s="21">
        <v>3.78</v>
      </c>
      <c r="O875" s="21">
        <v>0.8</v>
      </c>
      <c r="P875" s="21">
        <v>3.73</v>
      </c>
    </row>
    <row r="876" spans="8:16">
      <c r="H876" s="21"/>
      <c r="I876" s="21"/>
      <c r="J876" s="52"/>
      <c r="K876" s="21"/>
      <c r="L876" s="21" t="s">
        <v>783</v>
      </c>
      <c r="M876" s="25">
        <f>DATE(YEAR(OneWeekMtgRatesDataTable75[[#This Row],[asOf]]),MONTH(OneWeekMtgRatesDataTable75[[#This Row],[asOf]]),DAY(OneWeekMtgRatesDataTable75[[#This Row],[asOf]]))</f>
        <v>41045</v>
      </c>
      <c r="N876" s="21">
        <v>3.79</v>
      </c>
      <c r="O876" s="21">
        <v>0.7</v>
      </c>
      <c r="P876" s="21">
        <v>3.7149999999999999</v>
      </c>
    </row>
    <row r="877" spans="8:16">
      <c r="H877" s="21"/>
      <c r="I877" s="21"/>
      <c r="J877" s="52"/>
      <c r="K877" s="21"/>
      <c r="L877" s="21" t="s">
        <v>782</v>
      </c>
      <c r="M877" s="25">
        <f>DATE(YEAR(OneWeekMtgRatesDataTable75[[#This Row],[asOf]]),MONTH(OneWeekMtgRatesDataTable75[[#This Row],[asOf]]),DAY(OneWeekMtgRatesDataTable75[[#This Row],[asOf]]))</f>
        <v>41044</v>
      </c>
      <c r="N877" s="21">
        <v>3.79</v>
      </c>
      <c r="O877" s="21">
        <v>0.7</v>
      </c>
      <c r="P877" s="21">
        <v>3.7149999999999999</v>
      </c>
    </row>
    <row r="878" spans="8:16">
      <c r="H878" s="21"/>
      <c r="I878" s="21"/>
      <c r="J878" s="52"/>
      <c r="K878" s="21"/>
      <c r="L878" s="21" t="s">
        <v>781</v>
      </c>
      <c r="M878" s="25">
        <f>DATE(YEAR(OneWeekMtgRatesDataTable75[[#This Row],[asOf]]),MONTH(OneWeekMtgRatesDataTable75[[#This Row],[asOf]]),DAY(OneWeekMtgRatesDataTable75[[#This Row],[asOf]]))</f>
        <v>41043</v>
      </c>
      <c r="N878" s="21">
        <v>3.79</v>
      </c>
      <c r="O878" s="21">
        <v>0.7</v>
      </c>
      <c r="P878" s="21">
        <v>3.7149999999999999</v>
      </c>
    </row>
    <row r="879" spans="8:16">
      <c r="H879" s="21"/>
      <c r="I879" s="21"/>
      <c r="J879" s="52"/>
      <c r="K879" s="21"/>
      <c r="L879" s="21" t="s">
        <v>780</v>
      </c>
      <c r="M879" s="25">
        <f>DATE(YEAR(OneWeekMtgRatesDataTable75[[#This Row],[asOf]]),MONTH(OneWeekMtgRatesDataTable75[[#This Row],[asOf]]),DAY(OneWeekMtgRatesDataTable75[[#This Row],[asOf]]))</f>
        <v>41040</v>
      </c>
      <c r="N879" s="21">
        <v>3.79</v>
      </c>
      <c r="O879" s="21">
        <v>0.7</v>
      </c>
      <c r="P879" s="21">
        <v>3.7149999999999999</v>
      </c>
    </row>
    <row r="880" spans="8:16">
      <c r="H880" s="21"/>
      <c r="I880" s="21"/>
      <c r="J880" s="52"/>
      <c r="K880" s="21"/>
      <c r="L880" s="21" t="s">
        <v>779</v>
      </c>
      <c r="M880" s="25">
        <f>DATE(YEAR(OneWeekMtgRatesDataTable75[[#This Row],[asOf]]),MONTH(OneWeekMtgRatesDataTable75[[#This Row],[asOf]]),DAY(OneWeekMtgRatesDataTable75[[#This Row],[asOf]]))</f>
        <v>41039</v>
      </c>
      <c r="N880" s="21">
        <v>3.79</v>
      </c>
      <c r="O880" s="21">
        <v>0.7</v>
      </c>
      <c r="P880" s="21">
        <v>3.7149999999999999</v>
      </c>
    </row>
    <row r="881" spans="8:16">
      <c r="H881" s="21"/>
      <c r="I881" s="21"/>
      <c r="J881" s="52"/>
      <c r="K881" s="21"/>
      <c r="L881" s="21" t="s">
        <v>778</v>
      </c>
      <c r="M881" s="25">
        <f>DATE(YEAR(OneWeekMtgRatesDataTable75[[#This Row],[asOf]]),MONTH(OneWeekMtgRatesDataTable75[[#This Row],[asOf]]),DAY(OneWeekMtgRatesDataTable75[[#This Row],[asOf]]))</f>
        <v>41038</v>
      </c>
      <c r="N881" s="21">
        <v>3.83</v>
      </c>
      <c r="O881" s="21">
        <v>0.7</v>
      </c>
      <c r="P881" s="21">
        <v>3.7549999999999999</v>
      </c>
    </row>
    <row r="882" spans="8:16">
      <c r="H882" s="21"/>
      <c r="I882" s="21"/>
      <c r="J882" s="52"/>
      <c r="K882" s="21"/>
      <c r="L882" s="21" t="s">
        <v>777</v>
      </c>
      <c r="M882" s="25">
        <f>DATE(YEAR(OneWeekMtgRatesDataTable75[[#This Row],[asOf]]),MONTH(OneWeekMtgRatesDataTable75[[#This Row],[asOf]]),DAY(OneWeekMtgRatesDataTable75[[#This Row],[asOf]]))</f>
        <v>41037</v>
      </c>
      <c r="N882" s="21">
        <v>3.83</v>
      </c>
      <c r="O882" s="21">
        <v>0.7</v>
      </c>
      <c r="P882" s="21">
        <v>3.7549999999999999</v>
      </c>
    </row>
    <row r="883" spans="8:16">
      <c r="H883" s="21"/>
      <c r="I883" s="21"/>
      <c r="J883" s="52"/>
      <c r="K883" s="21"/>
      <c r="L883" s="21" t="s">
        <v>776</v>
      </c>
      <c r="M883" s="25">
        <f>DATE(YEAR(OneWeekMtgRatesDataTable75[[#This Row],[asOf]]),MONTH(OneWeekMtgRatesDataTable75[[#This Row],[asOf]]),DAY(OneWeekMtgRatesDataTable75[[#This Row],[asOf]]))</f>
        <v>41036</v>
      </c>
      <c r="N883" s="21">
        <v>3.83</v>
      </c>
      <c r="O883" s="21">
        <v>0.7</v>
      </c>
      <c r="P883" s="21">
        <v>3.7549999999999999</v>
      </c>
    </row>
    <row r="884" spans="8:16">
      <c r="H884" s="21"/>
      <c r="I884" s="21"/>
      <c r="J884" s="52"/>
      <c r="K884" s="21"/>
      <c r="L884" s="21" t="s">
        <v>775</v>
      </c>
      <c r="M884" s="25">
        <f>DATE(YEAR(OneWeekMtgRatesDataTable75[[#This Row],[asOf]]),MONTH(OneWeekMtgRatesDataTable75[[#This Row],[asOf]]),DAY(OneWeekMtgRatesDataTable75[[#This Row],[asOf]]))</f>
        <v>41033</v>
      </c>
      <c r="N884" s="21">
        <v>3.83</v>
      </c>
      <c r="O884" s="21">
        <v>0.7</v>
      </c>
      <c r="P884" s="21">
        <v>3.7549999999999999</v>
      </c>
    </row>
    <row r="885" spans="8:16">
      <c r="H885" s="21"/>
      <c r="I885" s="21"/>
      <c r="J885" s="52"/>
      <c r="K885" s="21"/>
      <c r="L885" s="21" t="s">
        <v>774</v>
      </c>
      <c r="M885" s="25">
        <f>DATE(YEAR(OneWeekMtgRatesDataTable75[[#This Row],[asOf]]),MONTH(OneWeekMtgRatesDataTable75[[#This Row],[asOf]]),DAY(OneWeekMtgRatesDataTable75[[#This Row],[asOf]]))</f>
        <v>41032</v>
      </c>
      <c r="N885" s="21">
        <v>3.83</v>
      </c>
      <c r="O885" s="21">
        <v>0.7</v>
      </c>
      <c r="P885" s="21">
        <v>3.7549999999999999</v>
      </c>
    </row>
    <row r="886" spans="8:16">
      <c r="H886" s="21"/>
      <c r="I886" s="21"/>
      <c r="J886" s="52"/>
      <c r="K886" s="21"/>
      <c r="L886" s="21" t="s">
        <v>773</v>
      </c>
      <c r="M886" s="25">
        <f>DATE(YEAR(OneWeekMtgRatesDataTable75[[#This Row],[asOf]]),MONTH(OneWeekMtgRatesDataTable75[[#This Row],[asOf]]),DAY(OneWeekMtgRatesDataTable75[[#This Row],[asOf]]))</f>
        <v>41031</v>
      </c>
      <c r="N886" s="21">
        <v>3.84</v>
      </c>
      <c r="O886" s="21">
        <v>0.8</v>
      </c>
      <c r="P886" s="21">
        <v>3.79</v>
      </c>
    </row>
    <row r="887" spans="8:16">
      <c r="H887" s="21"/>
      <c r="I887" s="21"/>
      <c r="J887" s="52"/>
      <c r="K887" s="21"/>
      <c r="L887" s="21" t="s">
        <v>772</v>
      </c>
      <c r="M887" s="25">
        <f>DATE(YEAR(OneWeekMtgRatesDataTable75[[#This Row],[asOf]]),MONTH(OneWeekMtgRatesDataTable75[[#This Row],[asOf]]),DAY(OneWeekMtgRatesDataTable75[[#This Row],[asOf]]))</f>
        <v>41030</v>
      </c>
      <c r="N887" s="21">
        <v>3.84</v>
      </c>
      <c r="O887" s="21">
        <v>0.8</v>
      </c>
      <c r="P887" s="21">
        <v>3.79</v>
      </c>
    </row>
    <row r="888" spans="8:16">
      <c r="H888" s="21"/>
      <c r="I888" s="21"/>
      <c r="J888" s="52"/>
      <c r="K888" s="21"/>
      <c r="L888" s="21" t="s">
        <v>771</v>
      </c>
      <c r="M888" s="25">
        <f>DATE(YEAR(OneWeekMtgRatesDataTable75[[#This Row],[asOf]]),MONTH(OneWeekMtgRatesDataTable75[[#This Row],[asOf]]),DAY(OneWeekMtgRatesDataTable75[[#This Row],[asOf]]))</f>
        <v>41029</v>
      </c>
      <c r="N888" s="21">
        <v>3.84</v>
      </c>
      <c r="O888" s="21">
        <v>0.8</v>
      </c>
      <c r="P888" s="21">
        <v>3.79</v>
      </c>
    </row>
    <row r="889" spans="8:16">
      <c r="H889" s="21"/>
      <c r="I889" s="21"/>
      <c r="J889" s="52"/>
      <c r="K889" s="21"/>
      <c r="L889" s="21" t="s">
        <v>770</v>
      </c>
      <c r="M889" s="25">
        <f>DATE(YEAR(OneWeekMtgRatesDataTable75[[#This Row],[asOf]]),MONTH(OneWeekMtgRatesDataTable75[[#This Row],[asOf]]),DAY(OneWeekMtgRatesDataTable75[[#This Row],[asOf]]))</f>
        <v>41026</v>
      </c>
      <c r="N889" s="21">
        <v>3.84</v>
      </c>
      <c r="O889" s="21">
        <v>0.8</v>
      </c>
      <c r="P889" s="21">
        <v>3.79</v>
      </c>
    </row>
    <row r="890" spans="8:16">
      <c r="H890" s="21"/>
      <c r="I890" s="21"/>
      <c r="J890" s="52"/>
      <c r="K890" s="21"/>
      <c r="L890" s="21" t="s">
        <v>769</v>
      </c>
      <c r="M890" s="25">
        <f>DATE(YEAR(OneWeekMtgRatesDataTable75[[#This Row],[asOf]]),MONTH(OneWeekMtgRatesDataTable75[[#This Row],[asOf]]),DAY(OneWeekMtgRatesDataTable75[[#This Row],[asOf]]))</f>
        <v>41025</v>
      </c>
      <c r="N890" s="21">
        <v>3.84</v>
      </c>
      <c r="O890" s="21">
        <v>0.8</v>
      </c>
      <c r="P890" s="21">
        <v>3.79</v>
      </c>
    </row>
    <row r="891" spans="8:16">
      <c r="H891" s="21"/>
      <c r="I891" s="21"/>
      <c r="J891" s="52"/>
      <c r="K891" s="21"/>
      <c r="L891" s="21" t="s">
        <v>768</v>
      </c>
      <c r="M891" s="25">
        <f>DATE(YEAR(OneWeekMtgRatesDataTable75[[#This Row],[asOf]]),MONTH(OneWeekMtgRatesDataTable75[[#This Row],[asOf]]),DAY(OneWeekMtgRatesDataTable75[[#This Row],[asOf]]))</f>
        <v>41024</v>
      </c>
      <c r="N891" s="21">
        <v>3.88</v>
      </c>
      <c r="O891" s="21">
        <v>0.7</v>
      </c>
      <c r="P891" s="21">
        <v>3.8049999999999997</v>
      </c>
    </row>
    <row r="892" spans="8:16">
      <c r="H892" s="21"/>
      <c r="I892" s="21"/>
      <c r="J892" s="52"/>
      <c r="K892" s="21"/>
      <c r="L892" s="21" t="s">
        <v>767</v>
      </c>
      <c r="M892" s="25">
        <f>DATE(YEAR(OneWeekMtgRatesDataTable75[[#This Row],[asOf]]),MONTH(OneWeekMtgRatesDataTable75[[#This Row],[asOf]]),DAY(OneWeekMtgRatesDataTable75[[#This Row],[asOf]]))</f>
        <v>41023</v>
      </c>
      <c r="N892" s="21">
        <v>3.88</v>
      </c>
      <c r="O892" s="21">
        <v>0.7</v>
      </c>
      <c r="P892" s="21">
        <v>3.8049999999999997</v>
      </c>
    </row>
    <row r="893" spans="8:16">
      <c r="H893" s="21"/>
      <c r="I893" s="21"/>
      <c r="J893" s="52"/>
      <c r="K893" s="21"/>
      <c r="L893" s="21" t="s">
        <v>766</v>
      </c>
      <c r="M893" s="25">
        <f>DATE(YEAR(OneWeekMtgRatesDataTable75[[#This Row],[asOf]]),MONTH(OneWeekMtgRatesDataTable75[[#This Row],[asOf]]),DAY(OneWeekMtgRatesDataTable75[[#This Row],[asOf]]))</f>
        <v>41022</v>
      </c>
      <c r="N893" s="21">
        <v>3.88</v>
      </c>
      <c r="O893" s="21">
        <v>0.7</v>
      </c>
      <c r="P893" s="21">
        <v>3.8049999999999997</v>
      </c>
    </row>
    <row r="894" spans="8:16">
      <c r="H894" s="21"/>
      <c r="I894" s="21"/>
      <c r="J894" s="52"/>
      <c r="K894" s="21"/>
      <c r="L894" s="21" t="s">
        <v>765</v>
      </c>
      <c r="M894" s="25">
        <f>DATE(YEAR(OneWeekMtgRatesDataTable75[[#This Row],[asOf]]),MONTH(OneWeekMtgRatesDataTable75[[#This Row],[asOf]]),DAY(OneWeekMtgRatesDataTable75[[#This Row],[asOf]]))</f>
        <v>41019</v>
      </c>
      <c r="N894" s="21">
        <v>3.88</v>
      </c>
      <c r="O894" s="21">
        <v>0.7</v>
      </c>
      <c r="P894" s="21">
        <v>3.8049999999999997</v>
      </c>
    </row>
    <row r="895" spans="8:16">
      <c r="H895" s="21"/>
      <c r="I895" s="21"/>
      <c r="J895" s="52"/>
      <c r="K895" s="21"/>
      <c r="L895" s="21" t="s">
        <v>764</v>
      </c>
      <c r="M895" s="25">
        <f>DATE(YEAR(OneWeekMtgRatesDataTable75[[#This Row],[asOf]]),MONTH(OneWeekMtgRatesDataTable75[[#This Row],[asOf]]),DAY(OneWeekMtgRatesDataTable75[[#This Row],[asOf]]))</f>
        <v>41018</v>
      </c>
      <c r="N895" s="21">
        <v>3.88</v>
      </c>
      <c r="O895" s="21">
        <v>0.7</v>
      </c>
      <c r="P895" s="21">
        <v>3.8049999999999997</v>
      </c>
    </row>
    <row r="896" spans="8:16">
      <c r="H896" s="21"/>
      <c r="I896" s="21"/>
      <c r="J896" s="52"/>
      <c r="K896" s="21"/>
      <c r="L896" s="21" t="s">
        <v>763</v>
      </c>
      <c r="M896" s="25">
        <f>DATE(YEAR(OneWeekMtgRatesDataTable75[[#This Row],[asOf]]),MONTH(OneWeekMtgRatesDataTable75[[#This Row],[asOf]]),DAY(OneWeekMtgRatesDataTable75[[#This Row],[asOf]]))</f>
        <v>41017</v>
      </c>
      <c r="N896" s="21">
        <v>3.9</v>
      </c>
      <c r="O896" s="21">
        <v>0.8</v>
      </c>
      <c r="P896" s="21">
        <v>3.85</v>
      </c>
    </row>
    <row r="897" spans="8:16">
      <c r="H897" s="21"/>
      <c r="I897" s="21"/>
      <c r="J897" s="52"/>
      <c r="K897" s="21"/>
      <c r="L897" s="21" t="s">
        <v>762</v>
      </c>
      <c r="M897" s="25">
        <f>DATE(YEAR(OneWeekMtgRatesDataTable75[[#This Row],[asOf]]),MONTH(OneWeekMtgRatesDataTable75[[#This Row],[asOf]]),DAY(OneWeekMtgRatesDataTable75[[#This Row],[asOf]]))</f>
        <v>41016</v>
      </c>
      <c r="N897" s="21">
        <v>3.9</v>
      </c>
      <c r="O897" s="21">
        <v>0.8</v>
      </c>
      <c r="P897" s="21">
        <v>3.85</v>
      </c>
    </row>
    <row r="898" spans="8:16">
      <c r="H898" s="21"/>
      <c r="I898" s="21"/>
      <c r="J898" s="52"/>
      <c r="K898" s="21"/>
      <c r="L898" s="21" t="s">
        <v>761</v>
      </c>
      <c r="M898" s="25">
        <f>DATE(YEAR(OneWeekMtgRatesDataTable75[[#This Row],[asOf]]),MONTH(OneWeekMtgRatesDataTable75[[#This Row],[asOf]]),DAY(OneWeekMtgRatesDataTable75[[#This Row],[asOf]]))</f>
        <v>41015</v>
      </c>
      <c r="N898" s="21">
        <v>3.9</v>
      </c>
      <c r="O898" s="21">
        <v>0.8</v>
      </c>
      <c r="P898" s="21">
        <v>3.85</v>
      </c>
    </row>
    <row r="899" spans="8:16">
      <c r="H899" s="21"/>
      <c r="I899" s="21"/>
      <c r="J899" s="52"/>
      <c r="K899" s="21"/>
      <c r="L899" s="21" t="s">
        <v>760</v>
      </c>
      <c r="M899" s="25">
        <f>DATE(YEAR(OneWeekMtgRatesDataTable75[[#This Row],[asOf]]),MONTH(OneWeekMtgRatesDataTable75[[#This Row],[asOf]]),DAY(OneWeekMtgRatesDataTable75[[#This Row],[asOf]]))</f>
        <v>41012</v>
      </c>
      <c r="N899" s="21">
        <v>3.9</v>
      </c>
      <c r="O899" s="21">
        <v>0.8</v>
      </c>
      <c r="P899" s="21">
        <v>3.85</v>
      </c>
    </row>
    <row r="900" spans="8:16">
      <c r="H900" s="21"/>
      <c r="I900" s="21"/>
      <c r="J900" s="52"/>
      <c r="K900" s="21"/>
      <c r="L900" s="21" t="s">
        <v>759</v>
      </c>
      <c r="M900" s="25">
        <f>DATE(YEAR(OneWeekMtgRatesDataTable75[[#This Row],[asOf]]),MONTH(OneWeekMtgRatesDataTable75[[#This Row],[asOf]]),DAY(OneWeekMtgRatesDataTable75[[#This Row],[asOf]]))</f>
        <v>41011</v>
      </c>
      <c r="N900" s="21">
        <v>3.9</v>
      </c>
      <c r="O900" s="21">
        <v>0.8</v>
      </c>
      <c r="P900" s="21">
        <v>3.85</v>
      </c>
    </row>
    <row r="901" spans="8:16">
      <c r="H901" s="21"/>
      <c r="I901" s="21"/>
      <c r="J901" s="52"/>
      <c r="K901" s="21"/>
      <c r="L901" s="21" t="s">
        <v>758</v>
      </c>
      <c r="M901" s="25">
        <f>DATE(YEAR(OneWeekMtgRatesDataTable75[[#This Row],[asOf]]),MONTH(OneWeekMtgRatesDataTable75[[#This Row],[asOf]]),DAY(OneWeekMtgRatesDataTable75[[#This Row],[asOf]]))</f>
        <v>41010</v>
      </c>
      <c r="N901" s="21">
        <v>3.88</v>
      </c>
      <c r="O901" s="21">
        <v>0.7</v>
      </c>
      <c r="P901" s="21">
        <v>3.8049999999999997</v>
      </c>
    </row>
    <row r="902" spans="8:16">
      <c r="H902" s="21"/>
      <c r="I902" s="21"/>
      <c r="J902" s="52"/>
      <c r="K902" s="21"/>
      <c r="L902" s="21" t="s">
        <v>757</v>
      </c>
      <c r="M902" s="25">
        <f>DATE(YEAR(OneWeekMtgRatesDataTable75[[#This Row],[asOf]]),MONTH(OneWeekMtgRatesDataTable75[[#This Row],[asOf]]),DAY(OneWeekMtgRatesDataTable75[[#This Row],[asOf]]))</f>
        <v>41009</v>
      </c>
      <c r="N902" s="21">
        <v>3.88</v>
      </c>
      <c r="O902" s="21">
        <v>0.7</v>
      </c>
      <c r="P902" s="21">
        <v>3.8049999999999997</v>
      </c>
    </row>
    <row r="903" spans="8:16">
      <c r="H903" s="21"/>
      <c r="I903" s="21"/>
      <c r="J903" s="52"/>
      <c r="K903" s="21"/>
      <c r="L903" s="21" t="s">
        <v>756</v>
      </c>
      <c r="M903" s="25">
        <f>DATE(YEAR(OneWeekMtgRatesDataTable75[[#This Row],[asOf]]),MONTH(OneWeekMtgRatesDataTable75[[#This Row],[asOf]]),DAY(OneWeekMtgRatesDataTable75[[#This Row],[asOf]]))</f>
        <v>41008</v>
      </c>
      <c r="N903" s="21">
        <v>3.88</v>
      </c>
      <c r="O903" s="21">
        <v>0.7</v>
      </c>
      <c r="P903" s="21">
        <v>3.8049999999999997</v>
      </c>
    </row>
    <row r="904" spans="8:16">
      <c r="H904" s="21"/>
      <c r="I904" s="21"/>
      <c r="J904" s="52"/>
      <c r="K904" s="21"/>
      <c r="L904" s="21" t="s">
        <v>755</v>
      </c>
      <c r="M904" s="25">
        <f>DATE(YEAR(OneWeekMtgRatesDataTable75[[#This Row],[asOf]]),MONTH(OneWeekMtgRatesDataTable75[[#This Row],[asOf]]),DAY(OneWeekMtgRatesDataTable75[[#This Row],[asOf]]))</f>
        <v>41005</v>
      </c>
      <c r="N904" s="21">
        <v>3.88</v>
      </c>
      <c r="O904" s="21">
        <v>0.7</v>
      </c>
      <c r="P904" s="21">
        <v>3.8049999999999997</v>
      </c>
    </row>
    <row r="905" spans="8:16">
      <c r="H905" s="21"/>
      <c r="I905" s="21"/>
      <c r="J905" s="52"/>
      <c r="K905" s="21"/>
      <c r="L905" s="21" t="s">
        <v>754</v>
      </c>
      <c r="M905" s="25">
        <f>DATE(YEAR(OneWeekMtgRatesDataTable75[[#This Row],[asOf]]),MONTH(OneWeekMtgRatesDataTable75[[#This Row],[asOf]]),DAY(OneWeekMtgRatesDataTable75[[#This Row],[asOf]]))</f>
        <v>41004</v>
      </c>
      <c r="N905" s="21">
        <v>3.88</v>
      </c>
      <c r="O905" s="21">
        <v>0.7</v>
      </c>
      <c r="P905" s="21">
        <v>3.8049999999999997</v>
      </c>
    </row>
    <row r="906" spans="8:16">
      <c r="H906" s="21"/>
      <c r="I906" s="21"/>
      <c r="J906" s="52"/>
      <c r="K906" s="21"/>
      <c r="L906" s="21" t="s">
        <v>753</v>
      </c>
      <c r="M906" s="25">
        <f>DATE(YEAR(OneWeekMtgRatesDataTable75[[#This Row],[asOf]]),MONTH(OneWeekMtgRatesDataTable75[[#This Row],[asOf]]),DAY(OneWeekMtgRatesDataTable75[[#This Row],[asOf]]))</f>
        <v>41003</v>
      </c>
      <c r="N906" s="21">
        <v>3.98</v>
      </c>
      <c r="O906" s="21">
        <v>0.7</v>
      </c>
      <c r="P906" s="21">
        <v>3.9049999999999998</v>
      </c>
    </row>
    <row r="907" spans="8:16">
      <c r="H907" s="21"/>
      <c r="I907" s="21"/>
      <c r="J907" s="52"/>
      <c r="K907" s="21"/>
      <c r="L907" s="21" t="s">
        <v>752</v>
      </c>
      <c r="M907" s="25">
        <f>DATE(YEAR(OneWeekMtgRatesDataTable75[[#This Row],[asOf]]),MONTH(OneWeekMtgRatesDataTable75[[#This Row],[asOf]]),DAY(OneWeekMtgRatesDataTable75[[#This Row],[asOf]]))</f>
        <v>41002</v>
      </c>
      <c r="N907" s="21">
        <v>3.98</v>
      </c>
      <c r="O907" s="21">
        <v>0.7</v>
      </c>
      <c r="P907" s="21">
        <v>3.9049999999999998</v>
      </c>
    </row>
    <row r="908" spans="8:16">
      <c r="H908" s="21"/>
      <c r="I908" s="21"/>
      <c r="J908" s="52"/>
      <c r="K908" s="21"/>
      <c r="L908" s="21" t="s">
        <v>751</v>
      </c>
      <c r="M908" s="25">
        <f>DATE(YEAR(OneWeekMtgRatesDataTable75[[#This Row],[asOf]]),MONTH(OneWeekMtgRatesDataTable75[[#This Row],[asOf]]),DAY(OneWeekMtgRatesDataTable75[[#This Row],[asOf]]))</f>
        <v>41001</v>
      </c>
      <c r="N908" s="21">
        <v>3.98</v>
      </c>
      <c r="O908" s="21">
        <v>0.7</v>
      </c>
      <c r="P908" s="21">
        <v>3.9049999999999998</v>
      </c>
    </row>
    <row r="909" spans="8:16">
      <c r="H909" s="21"/>
      <c r="I909" s="21"/>
      <c r="J909" s="52"/>
      <c r="K909" s="21"/>
      <c r="L909" s="21" t="s">
        <v>750</v>
      </c>
      <c r="M909" s="25">
        <f>DATE(YEAR(OneWeekMtgRatesDataTable75[[#This Row],[asOf]]),MONTH(OneWeekMtgRatesDataTable75[[#This Row],[asOf]]),DAY(OneWeekMtgRatesDataTable75[[#This Row],[asOf]]))</f>
        <v>40998</v>
      </c>
      <c r="N909" s="21">
        <v>3.98</v>
      </c>
      <c r="O909" s="21">
        <v>0.7</v>
      </c>
      <c r="P909" s="21">
        <v>3.9049999999999998</v>
      </c>
    </row>
    <row r="910" spans="8:16">
      <c r="H910" s="21"/>
      <c r="I910" s="21"/>
      <c r="J910" s="52"/>
      <c r="K910" s="21"/>
      <c r="L910" s="21" t="s">
        <v>749</v>
      </c>
      <c r="M910" s="25">
        <f>DATE(YEAR(OneWeekMtgRatesDataTable75[[#This Row],[asOf]]),MONTH(OneWeekMtgRatesDataTable75[[#This Row],[asOf]]),DAY(OneWeekMtgRatesDataTable75[[#This Row],[asOf]]))</f>
        <v>40997</v>
      </c>
      <c r="N910" s="21">
        <v>3.98</v>
      </c>
      <c r="O910" s="21">
        <v>0.7</v>
      </c>
      <c r="P910" s="21">
        <v>3.9049999999999998</v>
      </c>
    </row>
    <row r="911" spans="8:16">
      <c r="H911" s="21"/>
      <c r="I911" s="21"/>
      <c r="J911" s="52"/>
      <c r="K911" s="21"/>
      <c r="L911" s="21" t="s">
        <v>748</v>
      </c>
      <c r="M911" s="25">
        <f>DATE(YEAR(OneWeekMtgRatesDataTable75[[#This Row],[asOf]]),MONTH(OneWeekMtgRatesDataTable75[[#This Row],[asOf]]),DAY(OneWeekMtgRatesDataTable75[[#This Row],[asOf]]))</f>
        <v>40996</v>
      </c>
      <c r="N911" s="21">
        <v>3.99</v>
      </c>
      <c r="O911" s="21">
        <v>0.7</v>
      </c>
      <c r="P911" s="21">
        <v>3.915</v>
      </c>
    </row>
    <row r="912" spans="8:16">
      <c r="H912" s="21"/>
      <c r="I912" s="21"/>
      <c r="J912" s="52"/>
      <c r="K912" s="21"/>
      <c r="L912" s="21" t="s">
        <v>747</v>
      </c>
      <c r="M912" s="25">
        <f>DATE(YEAR(OneWeekMtgRatesDataTable75[[#This Row],[asOf]]),MONTH(OneWeekMtgRatesDataTable75[[#This Row],[asOf]]),DAY(OneWeekMtgRatesDataTable75[[#This Row],[asOf]]))</f>
        <v>40995</v>
      </c>
      <c r="N912" s="21">
        <v>3.99</v>
      </c>
      <c r="O912" s="21">
        <v>0.7</v>
      </c>
      <c r="P912" s="21">
        <v>3.915</v>
      </c>
    </row>
    <row r="913" spans="8:16">
      <c r="H913" s="21"/>
      <c r="I913" s="21"/>
      <c r="J913" s="52"/>
      <c r="K913" s="21"/>
      <c r="L913" s="21" t="s">
        <v>746</v>
      </c>
      <c r="M913" s="25">
        <f>DATE(YEAR(OneWeekMtgRatesDataTable75[[#This Row],[asOf]]),MONTH(OneWeekMtgRatesDataTable75[[#This Row],[asOf]]),DAY(OneWeekMtgRatesDataTable75[[#This Row],[asOf]]))</f>
        <v>40994</v>
      </c>
      <c r="N913" s="21">
        <v>3.99</v>
      </c>
      <c r="O913" s="21">
        <v>0.7</v>
      </c>
      <c r="P913" s="21">
        <v>3.915</v>
      </c>
    </row>
    <row r="914" spans="8:16">
      <c r="H914" s="21"/>
      <c r="I914" s="21"/>
      <c r="J914" s="52"/>
      <c r="K914" s="21"/>
      <c r="L914" s="21" t="s">
        <v>745</v>
      </c>
      <c r="M914" s="25">
        <f>DATE(YEAR(OneWeekMtgRatesDataTable75[[#This Row],[asOf]]),MONTH(OneWeekMtgRatesDataTable75[[#This Row],[asOf]]),DAY(OneWeekMtgRatesDataTable75[[#This Row],[asOf]]))</f>
        <v>40991</v>
      </c>
      <c r="N914" s="21">
        <v>3.99</v>
      </c>
      <c r="O914" s="21">
        <v>0.7</v>
      </c>
      <c r="P914" s="21">
        <v>3.915</v>
      </c>
    </row>
    <row r="915" spans="8:16">
      <c r="H915" s="21"/>
      <c r="I915" s="21"/>
      <c r="J915" s="52"/>
      <c r="K915" s="21"/>
      <c r="L915" s="21" t="s">
        <v>744</v>
      </c>
      <c r="M915" s="25">
        <f>DATE(YEAR(OneWeekMtgRatesDataTable75[[#This Row],[asOf]]),MONTH(OneWeekMtgRatesDataTable75[[#This Row],[asOf]]),DAY(OneWeekMtgRatesDataTable75[[#This Row],[asOf]]))</f>
        <v>40990</v>
      </c>
      <c r="N915" s="21">
        <v>3.99</v>
      </c>
      <c r="O915" s="21">
        <v>0.7</v>
      </c>
      <c r="P915" s="21">
        <v>3.915</v>
      </c>
    </row>
    <row r="916" spans="8:16">
      <c r="H916" s="21"/>
      <c r="I916" s="21"/>
      <c r="J916" s="52"/>
      <c r="K916" s="21"/>
      <c r="L916" s="21" t="s">
        <v>743</v>
      </c>
      <c r="M916" s="25">
        <f>DATE(YEAR(OneWeekMtgRatesDataTable75[[#This Row],[asOf]]),MONTH(OneWeekMtgRatesDataTable75[[#This Row],[asOf]]),DAY(OneWeekMtgRatesDataTable75[[#This Row],[asOf]]))</f>
        <v>40989</v>
      </c>
      <c r="N916" s="21">
        <v>4.08</v>
      </c>
      <c r="O916" s="21">
        <v>0.8</v>
      </c>
      <c r="P916" s="21">
        <v>4.03</v>
      </c>
    </row>
    <row r="917" spans="8:16">
      <c r="H917" s="21"/>
      <c r="I917" s="21"/>
      <c r="J917" s="52"/>
      <c r="K917" s="21"/>
      <c r="L917" s="21" t="s">
        <v>742</v>
      </c>
      <c r="M917" s="25">
        <f>DATE(YEAR(OneWeekMtgRatesDataTable75[[#This Row],[asOf]]),MONTH(OneWeekMtgRatesDataTable75[[#This Row],[asOf]]),DAY(OneWeekMtgRatesDataTable75[[#This Row],[asOf]]))</f>
        <v>40988</v>
      </c>
      <c r="N917" s="21">
        <v>4.08</v>
      </c>
      <c r="O917" s="21">
        <v>0.8</v>
      </c>
      <c r="P917" s="21">
        <v>4.03</v>
      </c>
    </row>
    <row r="918" spans="8:16">
      <c r="H918" s="21"/>
      <c r="I918" s="21"/>
      <c r="J918" s="52"/>
      <c r="K918" s="21"/>
      <c r="L918" s="21" t="s">
        <v>741</v>
      </c>
      <c r="M918" s="25">
        <f>DATE(YEAR(OneWeekMtgRatesDataTable75[[#This Row],[asOf]]),MONTH(OneWeekMtgRatesDataTable75[[#This Row],[asOf]]),DAY(OneWeekMtgRatesDataTable75[[#This Row],[asOf]]))</f>
        <v>40987</v>
      </c>
      <c r="N918" s="21">
        <v>4.08</v>
      </c>
      <c r="O918" s="21">
        <v>0.8</v>
      </c>
      <c r="P918" s="21">
        <v>4.03</v>
      </c>
    </row>
    <row r="919" spans="8:16">
      <c r="H919" s="21"/>
      <c r="I919" s="21"/>
      <c r="J919" s="52"/>
      <c r="K919" s="21"/>
      <c r="L919" s="21" t="s">
        <v>740</v>
      </c>
      <c r="M919" s="25">
        <f>DATE(YEAR(OneWeekMtgRatesDataTable75[[#This Row],[asOf]]),MONTH(OneWeekMtgRatesDataTable75[[#This Row],[asOf]]),DAY(OneWeekMtgRatesDataTable75[[#This Row],[asOf]]))</f>
        <v>40984</v>
      </c>
      <c r="N919" s="21">
        <v>4.08</v>
      </c>
      <c r="O919" s="21">
        <v>0.8</v>
      </c>
      <c r="P919" s="21">
        <v>4.03</v>
      </c>
    </row>
    <row r="920" spans="8:16">
      <c r="H920" s="21"/>
      <c r="I920" s="21"/>
      <c r="J920" s="52"/>
      <c r="K920" s="21"/>
      <c r="L920" s="21" t="s">
        <v>739</v>
      </c>
      <c r="M920" s="25">
        <f>DATE(YEAR(OneWeekMtgRatesDataTable75[[#This Row],[asOf]]),MONTH(OneWeekMtgRatesDataTable75[[#This Row],[asOf]]),DAY(OneWeekMtgRatesDataTable75[[#This Row],[asOf]]))</f>
        <v>40983</v>
      </c>
      <c r="N920" s="21">
        <v>4.08</v>
      </c>
      <c r="O920" s="21">
        <v>0.8</v>
      </c>
      <c r="P920" s="21">
        <v>4.03</v>
      </c>
    </row>
    <row r="921" spans="8:16">
      <c r="H921" s="21"/>
      <c r="I921" s="21"/>
      <c r="J921" s="52"/>
      <c r="K921" s="21"/>
      <c r="L921" s="21" t="s">
        <v>738</v>
      </c>
      <c r="M921" s="25">
        <f>DATE(YEAR(OneWeekMtgRatesDataTable75[[#This Row],[asOf]]),MONTH(OneWeekMtgRatesDataTable75[[#This Row],[asOf]]),DAY(OneWeekMtgRatesDataTable75[[#This Row],[asOf]]))</f>
        <v>40982</v>
      </c>
      <c r="N921" s="21">
        <v>3.92</v>
      </c>
      <c r="O921" s="21">
        <v>0.8</v>
      </c>
      <c r="P921" s="21">
        <v>3.87</v>
      </c>
    </row>
    <row r="922" spans="8:16">
      <c r="H922" s="21"/>
      <c r="I922" s="21"/>
      <c r="J922" s="52"/>
      <c r="K922" s="21"/>
      <c r="L922" s="21" t="s">
        <v>737</v>
      </c>
      <c r="M922" s="25">
        <f>DATE(YEAR(OneWeekMtgRatesDataTable75[[#This Row],[asOf]]),MONTH(OneWeekMtgRatesDataTable75[[#This Row],[asOf]]),DAY(OneWeekMtgRatesDataTable75[[#This Row],[asOf]]))</f>
        <v>40981</v>
      </c>
      <c r="N922" s="21">
        <v>3.92</v>
      </c>
      <c r="O922" s="21">
        <v>0.8</v>
      </c>
      <c r="P922" s="21">
        <v>3.87</v>
      </c>
    </row>
    <row r="923" spans="8:16">
      <c r="H923" s="21"/>
      <c r="I923" s="21"/>
      <c r="J923" s="52"/>
      <c r="K923" s="21"/>
      <c r="L923" s="21" t="s">
        <v>736</v>
      </c>
      <c r="M923" s="25">
        <f>DATE(YEAR(OneWeekMtgRatesDataTable75[[#This Row],[asOf]]),MONTH(OneWeekMtgRatesDataTable75[[#This Row],[asOf]]),DAY(OneWeekMtgRatesDataTable75[[#This Row],[asOf]]))</f>
        <v>40980</v>
      </c>
      <c r="N923" s="21">
        <v>3.92</v>
      </c>
      <c r="O923" s="21">
        <v>0.8</v>
      </c>
      <c r="P923" s="21">
        <v>3.87</v>
      </c>
    </row>
    <row r="924" spans="8:16">
      <c r="H924" s="21"/>
      <c r="I924" s="21"/>
      <c r="J924" s="52"/>
      <c r="K924" s="21"/>
      <c r="L924" s="21" t="s">
        <v>735</v>
      </c>
      <c r="M924" s="25">
        <f>DATE(YEAR(OneWeekMtgRatesDataTable75[[#This Row],[asOf]]),MONTH(OneWeekMtgRatesDataTable75[[#This Row],[asOf]]),DAY(OneWeekMtgRatesDataTable75[[#This Row],[asOf]]))</f>
        <v>40977</v>
      </c>
      <c r="N924" s="21">
        <v>3.92</v>
      </c>
      <c r="O924" s="21">
        <v>0.8</v>
      </c>
      <c r="P924" s="21">
        <v>3.87</v>
      </c>
    </row>
    <row r="925" spans="8:16">
      <c r="H925" s="21"/>
      <c r="I925" s="21"/>
      <c r="J925" s="52"/>
      <c r="K925" s="21"/>
      <c r="L925" s="21" t="s">
        <v>734</v>
      </c>
      <c r="M925" s="25">
        <f>DATE(YEAR(OneWeekMtgRatesDataTable75[[#This Row],[asOf]]),MONTH(OneWeekMtgRatesDataTable75[[#This Row],[asOf]]),DAY(OneWeekMtgRatesDataTable75[[#This Row],[asOf]]))</f>
        <v>40976</v>
      </c>
      <c r="N925" s="21">
        <v>3.92</v>
      </c>
      <c r="O925" s="21">
        <v>0.8</v>
      </c>
      <c r="P925" s="21">
        <v>3.87</v>
      </c>
    </row>
    <row r="926" spans="8:16">
      <c r="H926" s="21"/>
      <c r="I926" s="21"/>
      <c r="J926" s="52"/>
      <c r="K926" s="21"/>
      <c r="L926" s="21" t="s">
        <v>733</v>
      </c>
      <c r="M926" s="25">
        <f>DATE(YEAR(OneWeekMtgRatesDataTable75[[#This Row],[asOf]]),MONTH(OneWeekMtgRatesDataTable75[[#This Row],[asOf]]),DAY(OneWeekMtgRatesDataTable75[[#This Row],[asOf]]))</f>
        <v>40975</v>
      </c>
      <c r="N926" s="21">
        <v>3.88</v>
      </c>
      <c r="O926" s="21">
        <v>0.8</v>
      </c>
      <c r="P926" s="21">
        <v>3.83</v>
      </c>
    </row>
    <row r="927" spans="8:16">
      <c r="H927" s="21"/>
      <c r="I927" s="21"/>
      <c r="J927" s="52"/>
      <c r="K927" s="21"/>
      <c r="L927" s="21" t="s">
        <v>732</v>
      </c>
      <c r="M927" s="25">
        <f>DATE(YEAR(OneWeekMtgRatesDataTable75[[#This Row],[asOf]]),MONTH(OneWeekMtgRatesDataTable75[[#This Row],[asOf]]),DAY(OneWeekMtgRatesDataTable75[[#This Row],[asOf]]))</f>
        <v>40974</v>
      </c>
      <c r="N927" s="21">
        <v>3.88</v>
      </c>
      <c r="O927" s="21">
        <v>0.8</v>
      </c>
      <c r="P927" s="21">
        <v>3.83</v>
      </c>
    </row>
    <row r="928" spans="8:16">
      <c r="H928" s="21"/>
      <c r="I928" s="21"/>
      <c r="J928" s="52"/>
      <c r="K928" s="21"/>
      <c r="L928" s="21" t="s">
        <v>731</v>
      </c>
      <c r="M928" s="25">
        <f>DATE(YEAR(OneWeekMtgRatesDataTable75[[#This Row],[asOf]]),MONTH(OneWeekMtgRatesDataTable75[[#This Row],[asOf]]),DAY(OneWeekMtgRatesDataTable75[[#This Row],[asOf]]))</f>
        <v>40973</v>
      </c>
      <c r="N928" s="21">
        <v>3.88</v>
      </c>
      <c r="O928" s="21">
        <v>0.8</v>
      </c>
      <c r="P928" s="21">
        <v>3.83</v>
      </c>
    </row>
    <row r="929" spans="8:16">
      <c r="H929" s="21"/>
      <c r="I929" s="21"/>
      <c r="J929" s="52"/>
      <c r="K929" s="21"/>
      <c r="L929" s="21" t="s">
        <v>730</v>
      </c>
      <c r="M929" s="25">
        <f>DATE(YEAR(OneWeekMtgRatesDataTable75[[#This Row],[asOf]]),MONTH(OneWeekMtgRatesDataTable75[[#This Row],[asOf]]),DAY(OneWeekMtgRatesDataTable75[[#This Row],[asOf]]))</f>
        <v>40970</v>
      </c>
      <c r="N929" s="21">
        <v>3.88</v>
      </c>
      <c r="O929" s="21">
        <v>0.8</v>
      </c>
      <c r="P929" s="21">
        <v>3.83</v>
      </c>
    </row>
    <row r="930" spans="8:16">
      <c r="H930" s="21"/>
      <c r="I930" s="21"/>
      <c r="J930" s="52"/>
      <c r="K930" s="21"/>
      <c r="L930" s="21" t="s">
        <v>729</v>
      </c>
      <c r="M930" s="25">
        <f>DATE(YEAR(OneWeekMtgRatesDataTable75[[#This Row],[asOf]]),MONTH(OneWeekMtgRatesDataTable75[[#This Row],[asOf]]),DAY(OneWeekMtgRatesDataTable75[[#This Row],[asOf]]))</f>
        <v>40969</v>
      </c>
      <c r="N930" s="21">
        <v>3.88</v>
      </c>
      <c r="O930" s="21">
        <v>0.8</v>
      </c>
      <c r="P930" s="21">
        <v>3.83</v>
      </c>
    </row>
    <row r="931" spans="8:16">
      <c r="H931" s="21"/>
      <c r="I931" s="21"/>
      <c r="J931" s="52"/>
      <c r="K931" s="21"/>
      <c r="L931" s="21" t="s">
        <v>728</v>
      </c>
      <c r="M931" s="25">
        <f>DATE(YEAR(OneWeekMtgRatesDataTable75[[#This Row],[asOf]]),MONTH(OneWeekMtgRatesDataTable75[[#This Row],[asOf]]),DAY(OneWeekMtgRatesDataTable75[[#This Row],[asOf]]))</f>
        <v>40968</v>
      </c>
      <c r="N931" s="21">
        <v>3.9</v>
      </c>
      <c r="O931" s="21">
        <v>0.8</v>
      </c>
      <c r="P931" s="21">
        <v>3.85</v>
      </c>
    </row>
    <row r="932" spans="8:16">
      <c r="H932" s="21"/>
      <c r="I932" s="21"/>
      <c r="J932" s="52"/>
      <c r="K932" s="21"/>
      <c r="L932" s="21" t="s">
        <v>727</v>
      </c>
      <c r="M932" s="25">
        <f>DATE(YEAR(OneWeekMtgRatesDataTable75[[#This Row],[asOf]]),MONTH(OneWeekMtgRatesDataTable75[[#This Row],[asOf]]),DAY(OneWeekMtgRatesDataTable75[[#This Row],[asOf]]))</f>
        <v>40967</v>
      </c>
      <c r="N932" s="21">
        <v>3.9</v>
      </c>
      <c r="O932" s="21">
        <v>0.8</v>
      </c>
      <c r="P932" s="21">
        <v>3.85</v>
      </c>
    </row>
    <row r="933" spans="8:16">
      <c r="H933" s="21"/>
      <c r="I933" s="21"/>
      <c r="J933" s="52"/>
      <c r="K933" s="21"/>
      <c r="L933" s="21" t="s">
        <v>726</v>
      </c>
      <c r="M933" s="25">
        <f>DATE(YEAR(OneWeekMtgRatesDataTable75[[#This Row],[asOf]]),MONTH(OneWeekMtgRatesDataTable75[[#This Row],[asOf]]),DAY(OneWeekMtgRatesDataTable75[[#This Row],[asOf]]))</f>
        <v>40966</v>
      </c>
      <c r="N933" s="21">
        <v>3.9</v>
      </c>
      <c r="O933" s="21">
        <v>0.8</v>
      </c>
      <c r="P933" s="21">
        <v>3.85</v>
      </c>
    </row>
    <row r="934" spans="8:16">
      <c r="H934" s="21"/>
      <c r="I934" s="21"/>
      <c r="J934" s="52"/>
      <c r="K934" s="21"/>
      <c r="L934" s="21" t="s">
        <v>725</v>
      </c>
      <c r="M934" s="25">
        <f>DATE(YEAR(OneWeekMtgRatesDataTable75[[#This Row],[asOf]]),MONTH(OneWeekMtgRatesDataTable75[[#This Row],[asOf]]),DAY(OneWeekMtgRatesDataTable75[[#This Row],[asOf]]))</f>
        <v>40963</v>
      </c>
      <c r="N934" s="21">
        <v>3.9</v>
      </c>
      <c r="O934" s="21">
        <v>0.8</v>
      </c>
      <c r="P934" s="21">
        <v>3.85</v>
      </c>
    </row>
    <row r="935" spans="8:16">
      <c r="H935" s="21"/>
      <c r="I935" s="21"/>
      <c r="J935" s="52"/>
      <c r="K935" s="21"/>
      <c r="L935" s="21" t="s">
        <v>724</v>
      </c>
      <c r="M935" s="25">
        <f>DATE(YEAR(OneWeekMtgRatesDataTable75[[#This Row],[asOf]]),MONTH(OneWeekMtgRatesDataTable75[[#This Row],[asOf]]),DAY(OneWeekMtgRatesDataTable75[[#This Row],[asOf]]))</f>
        <v>40962</v>
      </c>
      <c r="N935" s="21">
        <v>3.9</v>
      </c>
      <c r="O935" s="21">
        <v>0.8</v>
      </c>
      <c r="P935" s="21">
        <v>3.85</v>
      </c>
    </row>
    <row r="936" spans="8:16">
      <c r="H936" s="21"/>
      <c r="I936" s="21"/>
      <c r="J936" s="52"/>
      <c r="K936" s="21"/>
      <c r="L936" s="21" t="s">
        <v>723</v>
      </c>
      <c r="M936" s="25">
        <f>DATE(YEAR(OneWeekMtgRatesDataTable75[[#This Row],[asOf]]),MONTH(OneWeekMtgRatesDataTable75[[#This Row],[asOf]]),DAY(OneWeekMtgRatesDataTable75[[#This Row],[asOf]]))</f>
        <v>40961</v>
      </c>
      <c r="N936" s="21">
        <v>3.95</v>
      </c>
      <c r="O936" s="21">
        <v>0.8</v>
      </c>
      <c r="P936" s="21">
        <v>3.9000000000000004</v>
      </c>
    </row>
    <row r="937" spans="8:16">
      <c r="H937" s="21"/>
      <c r="I937" s="21"/>
      <c r="J937" s="52"/>
      <c r="K937" s="21"/>
      <c r="L937" s="21" t="s">
        <v>722</v>
      </c>
      <c r="M937" s="25">
        <f>DATE(YEAR(OneWeekMtgRatesDataTable75[[#This Row],[asOf]]),MONTH(OneWeekMtgRatesDataTable75[[#This Row],[asOf]]),DAY(OneWeekMtgRatesDataTable75[[#This Row],[asOf]]))</f>
        <v>40960</v>
      </c>
      <c r="N937" s="21">
        <v>3.95</v>
      </c>
      <c r="O937" s="21">
        <v>0.8</v>
      </c>
      <c r="P937" s="21">
        <v>3.9000000000000004</v>
      </c>
    </row>
    <row r="938" spans="8:16">
      <c r="H938" s="21"/>
      <c r="I938" s="21"/>
      <c r="J938" s="52"/>
      <c r="K938" s="21"/>
      <c r="L938" s="21" t="s">
        <v>721</v>
      </c>
      <c r="M938" s="25">
        <f>DATE(YEAR(OneWeekMtgRatesDataTable75[[#This Row],[asOf]]),MONTH(OneWeekMtgRatesDataTable75[[#This Row],[asOf]]),DAY(OneWeekMtgRatesDataTable75[[#This Row],[asOf]]))</f>
        <v>40956</v>
      </c>
      <c r="N938" s="21">
        <v>3.95</v>
      </c>
      <c r="O938" s="21">
        <v>0.8</v>
      </c>
      <c r="P938" s="21">
        <v>3.9000000000000004</v>
      </c>
    </row>
    <row r="939" spans="8:16">
      <c r="H939" s="21"/>
      <c r="I939" s="21"/>
      <c r="J939" s="52"/>
      <c r="K939" s="21"/>
      <c r="L939" s="21" t="s">
        <v>720</v>
      </c>
      <c r="M939" s="25">
        <f>DATE(YEAR(OneWeekMtgRatesDataTable75[[#This Row],[asOf]]),MONTH(OneWeekMtgRatesDataTable75[[#This Row],[asOf]]),DAY(OneWeekMtgRatesDataTable75[[#This Row],[asOf]]))</f>
        <v>40955</v>
      </c>
      <c r="N939" s="21">
        <v>3.95</v>
      </c>
      <c r="O939" s="21">
        <v>0.8</v>
      </c>
      <c r="P939" s="21">
        <v>3.9000000000000004</v>
      </c>
    </row>
    <row r="940" spans="8:16">
      <c r="H940" s="21"/>
      <c r="I940" s="21"/>
      <c r="J940" s="52"/>
      <c r="K940" s="21"/>
      <c r="L940" s="21" t="s">
        <v>719</v>
      </c>
      <c r="M940" s="25">
        <f>DATE(YEAR(OneWeekMtgRatesDataTable75[[#This Row],[asOf]]),MONTH(OneWeekMtgRatesDataTable75[[#This Row],[asOf]]),DAY(OneWeekMtgRatesDataTable75[[#This Row],[asOf]]))</f>
        <v>40954</v>
      </c>
      <c r="N940" s="21">
        <v>3.87</v>
      </c>
      <c r="O940" s="21">
        <v>0.8</v>
      </c>
      <c r="P940" s="21">
        <v>3.8200000000000003</v>
      </c>
    </row>
    <row r="941" spans="8:16">
      <c r="H941" s="21"/>
      <c r="I941" s="21"/>
      <c r="J941" s="52"/>
      <c r="K941" s="21"/>
      <c r="L941" s="21" t="s">
        <v>718</v>
      </c>
      <c r="M941" s="25">
        <f>DATE(YEAR(OneWeekMtgRatesDataTable75[[#This Row],[asOf]]),MONTH(OneWeekMtgRatesDataTable75[[#This Row],[asOf]]),DAY(OneWeekMtgRatesDataTable75[[#This Row],[asOf]]))</f>
        <v>40953</v>
      </c>
      <c r="N941" s="21">
        <v>3.87</v>
      </c>
      <c r="O941" s="21">
        <v>0.8</v>
      </c>
      <c r="P941" s="21">
        <v>3.8200000000000003</v>
      </c>
    </row>
    <row r="942" spans="8:16">
      <c r="H942" s="21"/>
      <c r="I942" s="21"/>
      <c r="J942" s="52"/>
      <c r="K942" s="21"/>
      <c r="L942" s="21" t="s">
        <v>717</v>
      </c>
      <c r="M942" s="25">
        <f>DATE(YEAR(OneWeekMtgRatesDataTable75[[#This Row],[asOf]]),MONTH(OneWeekMtgRatesDataTable75[[#This Row],[asOf]]),DAY(OneWeekMtgRatesDataTable75[[#This Row],[asOf]]))</f>
        <v>40952</v>
      </c>
      <c r="N942" s="21">
        <v>3.87</v>
      </c>
      <c r="O942" s="21">
        <v>0.8</v>
      </c>
      <c r="P942" s="21">
        <v>3.8200000000000003</v>
      </c>
    </row>
    <row r="943" spans="8:16">
      <c r="H943" s="21"/>
      <c r="I943" s="21"/>
      <c r="J943" s="52"/>
      <c r="K943" s="21"/>
      <c r="L943" s="21" t="s">
        <v>716</v>
      </c>
      <c r="M943" s="25">
        <f>DATE(YEAR(OneWeekMtgRatesDataTable75[[#This Row],[asOf]]),MONTH(OneWeekMtgRatesDataTable75[[#This Row],[asOf]]),DAY(OneWeekMtgRatesDataTable75[[#This Row],[asOf]]))</f>
        <v>40949</v>
      </c>
      <c r="N943" s="21">
        <v>3.87</v>
      </c>
      <c r="O943" s="21">
        <v>0.8</v>
      </c>
      <c r="P943" s="21">
        <v>3.8200000000000003</v>
      </c>
    </row>
    <row r="944" spans="8:16">
      <c r="H944" s="21"/>
      <c r="I944" s="21"/>
      <c r="J944" s="52"/>
      <c r="K944" s="21"/>
      <c r="L944" s="21" t="s">
        <v>715</v>
      </c>
      <c r="M944" s="25">
        <f>DATE(YEAR(OneWeekMtgRatesDataTable75[[#This Row],[asOf]]),MONTH(OneWeekMtgRatesDataTable75[[#This Row],[asOf]]),DAY(OneWeekMtgRatesDataTable75[[#This Row],[asOf]]))</f>
        <v>40948</v>
      </c>
      <c r="N944" s="21">
        <v>3.87</v>
      </c>
      <c r="O944" s="21">
        <v>0.8</v>
      </c>
      <c r="P944" s="21">
        <v>3.8200000000000003</v>
      </c>
    </row>
    <row r="945" spans="8:16">
      <c r="H945" s="21"/>
      <c r="I945" s="21"/>
      <c r="J945" s="52"/>
      <c r="K945" s="21"/>
      <c r="L945" s="21" t="s">
        <v>714</v>
      </c>
      <c r="M945" s="25">
        <f>DATE(YEAR(OneWeekMtgRatesDataTable75[[#This Row],[asOf]]),MONTH(OneWeekMtgRatesDataTable75[[#This Row],[asOf]]),DAY(OneWeekMtgRatesDataTable75[[#This Row],[asOf]]))</f>
        <v>40947</v>
      </c>
      <c r="N945" s="21">
        <v>3.87</v>
      </c>
      <c r="O945" s="21">
        <v>0.8</v>
      </c>
      <c r="P945" s="21">
        <v>3.8200000000000003</v>
      </c>
    </row>
    <row r="946" spans="8:16">
      <c r="H946" s="21"/>
      <c r="I946" s="21"/>
      <c r="J946" s="52"/>
      <c r="K946" s="21"/>
      <c r="L946" s="21" t="s">
        <v>713</v>
      </c>
      <c r="M946" s="25">
        <f>DATE(YEAR(OneWeekMtgRatesDataTable75[[#This Row],[asOf]]),MONTH(OneWeekMtgRatesDataTable75[[#This Row],[asOf]]),DAY(OneWeekMtgRatesDataTable75[[#This Row],[asOf]]))</f>
        <v>40946</v>
      </c>
      <c r="N946" s="21">
        <v>3.87</v>
      </c>
      <c r="O946" s="21">
        <v>0.8</v>
      </c>
      <c r="P946" s="21">
        <v>3.8200000000000003</v>
      </c>
    </row>
    <row r="947" spans="8:16">
      <c r="H947" s="21"/>
      <c r="I947" s="21"/>
      <c r="J947" s="52"/>
      <c r="K947" s="21"/>
      <c r="L947" s="21" t="s">
        <v>712</v>
      </c>
      <c r="M947" s="25">
        <f>DATE(YEAR(OneWeekMtgRatesDataTable75[[#This Row],[asOf]]),MONTH(OneWeekMtgRatesDataTable75[[#This Row],[asOf]]),DAY(OneWeekMtgRatesDataTable75[[#This Row],[asOf]]))</f>
        <v>40945</v>
      </c>
      <c r="N947" s="21">
        <v>3.87</v>
      </c>
      <c r="O947" s="21">
        <v>0.8</v>
      </c>
      <c r="P947" s="21">
        <v>3.8200000000000003</v>
      </c>
    </row>
    <row r="948" spans="8:16">
      <c r="H948" s="21"/>
      <c r="I948" s="21"/>
      <c r="J948" s="52"/>
      <c r="K948" s="21"/>
      <c r="L948" s="21" t="s">
        <v>711</v>
      </c>
      <c r="M948" s="25">
        <f>DATE(YEAR(OneWeekMtgRatesDataTable75[[#This Row],[asOf]]),MONTH(OneWeekMtgRatesDataTable75[[#This Row],[asOf]]),DAY(OneWeekMtgRatesDataTable75[[#This Row],[asOf]]))</f>
        <v>40942</v>
      </c>
      <c r="N948" s="21">
        <v>3.87</v>
      </c>
      <c r="O948" s="21">
        <v>0.8</v>
      </c>
      <c r="P948" s="21">
        <v>3.8200000000000003</v>
      </c>
    </row>
    <row r="949" spans="8:16">
      <c r="H949" s="21"/>
      <c r="I949" s="21"/>
      <c r="J949" s="52"/>
      <c r="K949" s="21"/>
      <c r="L949" s="21" t="s">
        <v>710</v>
      </c>
      <c r="M949" s="25">
        <f>DATE(YEAR(OneWeekMtgRatesDataTable75[[#This Row],[asOf]]),MONTH(OneWeekMtgRatesDataTable75[[#This Row],[asOf]]),DAY(OneWeekMtgRatesDataTable75[[#This Row],[asOf]]))</f>
        <v>40941</v>
      </c>
      <c r="N949" s="21">
        <v>3.87</v>
      </c>
      <c r="O949" s="21">
        <v>0.8</v>
      </c>
      <c r="P949" s="21">
        <v>3.8200000000000003</v>
      </c>
    </row>
    <row r="950" spans="8:16">
      <c r="H950" s="21"/>
      <c r="I950" s="21"/>
      <c r="J950" s="52"/>
      <c r="K950" s="21"/>
      <c r="L950" s="21" t="s">
        <v>709</v>
      </c>
      <c r="M950" s="25">
        <f>DATE(YEAR(OneWeekMtgRatesDataTable75[[#This Row],[asOf]]),MONTH(OneWeekMtgRatesDataTable75[[#This Row],[asOf]]),DAY(OneWeekMtgRatesDataTable75[[#This Row],[asOf]]))</f>
        <v>40940</v>
      </c>
      <c r="N950" s="21">
        <v>3.87</v>
      </c>
      <c r="O950" s="21">
        <v>0.8</v>
      </c>
      <c r="P950" s="21">
        <v>3.8200000000000003</v>
      </c>
    </row>
    <row r="951" spans="8:16">
      <c r="H951" s="21"/>
      <c r="I951" s="21"/>
      <c r="J951" s="52"/>
      <c r="K951" s="21"/>
      <c r="L951" s="21" t="s">
        <v>708</v>
      </c>
      <c r="M951" s="25">
        <f>DATE(YEAR(OneWeekMtgRatesDataTable75[[#This Row],[asOf]]),MONTH(OneWeekMtgRatesDataTable75[[#This Row],[asOf]]),DAY(OneWeekMtgRatesDataTable75[[#This Row],[asOf]]))</f>
        <v>40939</v>
      </c>
      <c r="N951" s="21">
        <v>3.87</v>
      </c>
      <c r="O951" s="21">
        <v>0.8</v>
      </c>
      <c r="P951" s="21">
        <v>3.8200000000000003</v>
      </c>
    </row>
    <row r="952" spans="8:16">
      <c r="H952" s="21"/>
      <c r="I952" s="21"/>
      <c r="J952" s="52"/>
      <c r="K952" s="21"/>
      <c r="L952" s="21" t="s">
        <v>707</v>
      </c>
      <c r="M952" s="25">
        <f>DATE(YEAR(OneWeekMtgRatesDataTable75[[#This Row],[asOf]]),MONTH(OneWeekMtgRatesDataTable75[[#This Row],[asOf]]),DAY(OneWeekMtgRatesDataTable75[[#This Row],[asOf]]))</f>
        <v>40938</v>
      </c>
      <c r="N952" s="21">
        <v>3.87</v>
      </c>
      <c r="O952" s="21">
        <v>0.8</v>
      </c>
      <c r="P952" s="21">
        <v>3.8200000000000003</v>
      </c>
    </row>
    <row r="953" spans="8:16">
      <c r="H953" s="21"/>
      <c r="I953" s="21"/>
      <c r="J953" s="52"/>
      <c r="K953" s="21"/>
      <c r="L953" s="21" t="s">
        <v>706</v>
      </c>
      <c r="M953" s="25">
        <f>DATE(YEAR(OneWeekMtgRatesDataTable75[[#This Row],[asOf]]),MONTH(OneWeekMtgRatesDataTable75[[#This Row],[asOf]]),DAY(OneWeekMtgRatesDataTable75[[#This Row],[asOf]]))</f>
        <v>40935</v>
      </c>
      <c r="N953" s="21">
        <v>3.87</v>
      </c>
      <c r="O953" s="21">
        <v>0.8</v>
      </c>
      <c r="P953" s="21">
        <v>3.8200000000000003</v>
      </c>
    </row>
    <row r="954" spans="8:16">
      <c r="H954" s="21"/>
      <c r="I954" s="21"/>
      <c r="J954" s="52"/>
      <c r="K954" s="21"/>
      <c r="L954" s="21" t="s">
        <v>705</v>
      </c>
      <c r="M954" s="25">
        <f>DATE(YEAR(OneWeekMtgRatesDataTable75[[#This Row],[asOf]]),MONTH(OneWeekMtgRatesDataTable75[[#This Row],[asOf]]),DAY(OneWeekMtgRatesDataTable75[[#This Row],[asOf]]))</f>
        <v>40934</v>
      </c>
      <c r="N954" s="21">
        <v>3.87</v>
      </c>
      <c r="O954" s="21">
        <v>0.8</v>
      </c>
      <c r="P954" s="21">
        <v>3.8200000000000003</v>
      </c>
    </row>
    <row r="955" spans="8:16">
      <c r="H955" s="21"/>
      <c r="I955" s="21"/>
      <c r="J955" s="52"/>
      <c r="K955" s="21"/>
      <c r="L955" s="21" t="s">
        <v>704</v>
      </c>
      <c r="M955" s="25">
        <f>DATE(YEAR(OneWeekMtgRatesDataTable75[[#This Row],[asOf]]),MONTH(OneWeekMtgRatesDataTable75[[#This Row],[asOf]]),DAY(OneWeekMtgRatesDataTable75[[#This Row],[asOf]]))</f>
        <v>40933</v>
      </c>
      <c r="N955" s="21">
        <v>3.98</v>
      </c>
      <c r="O955" s="21">
        <v>0.7</v>
      </c>
      <c r="P955" s="21">
        <v>3.9049999999999998</v>
      </c>
    </row>
    <row r="956" spans="8:16">
      <c r="H956" s="21"/>
      <c r="I956" s="21"/>
      <c r="J956" s="52"/>
      <c r="K956" s="21"/>
      <c r="L956" s="21" t="s">
        <v>703</v>
      </c>
      <c r="M956" s="25">
        <f>DATE(YEAR(OneWeekMtgRatesDataTable75[[#This Row],[asOf]]),MONTH(OneWeekMtgRatesDataTable75[[#This Row],[asOf]]),DAY(OneWeekMtgRatesDataTable75[[#This Row],[asOf]]))</f>
        <v>40932</v>
      </c>
      <c r="N956" s="21">
        <v>3.98</v>
      </c>
      <c r="O956" s="21">
        <v>0.7</v>
      </c>
      <c r="P956" s="21">
        <v>3.9049999999999998</v>
      </c>
    </row>
    <row r="957" spans="8:16">
      <c r="H957" s="21"/>
      <c r="I957" s="21"/>
      <c r="J957" s="52"/>
      <c r="K957" s="21"/>
      <c r="L957" s="21" t="s">
        <v>702</v>
      </c>
      <c r="M957" s="25">
        <f>DATE(YEAR(OneWeekMtgRatesDataTable75[[#This Row],[asOf]]),MONTH(OneWeekMtgRatesDataTable75[[#This Row],[asOf]]),DAY(OneWeekMtgRatesDataTable75[[#This Row],[asOf]]))</f>
        <v>40931</v>
      </c>
      <c r="N957" s="21">
        <v>3.98</v>
      </c>
      <c r="O957" s="21">
        <v>0.7</v>
      </c>
      <c r="P957" s="21">
        <v>3.9049999999999998</v>
      </c>
    </row>
    <row r="958" spans="8:16">
      <c r="H958" s="21"/>
      <c r="I958" s="21"/>
      <c r="J958" s="52"/>
      <c r="K958" s="21"/>
      <c r="L958" s="21" t="s">
        <v>701</v>
      </c>
      <c r="M958" s="25">
        <f>DATE(YEAR(OneWeekMtgRatesDataTable75[[#This Row],[asOf]]),MONTH(OneWeekMtgRatesDataTable75[[#This Row],[asOf]]),DAY(OneWeekMtgRatesDataTable75[[#This Row],[asOf]]))</f>
        <v>40928</v>
      </c>
      <c r="N958" s="21">
        <v>3.98</v>
      </c>
      <c r="O958" s="21">
        <v>0.7</v>
      </c>
      <c r="P958" s="21">
        <v>3.9049999999999998</v>
      </c>
    </row>
    <row r="959" spans="8:16">
      <c r="H959" s="21"/>
      <c r="I959" s="21"/>
      <c r="J959" s="52"/>
      <c r="K959" s="21"/>
      <c r="L959" s="21" t="s">
        <v>700</v>
      </c>
      <c r="M959" s="25">
        <f>DATE(YEAR(OneWeekMtgRatesDataTable75[[#This Row],[asOf]]),MONTH(OneWeekMtgRatesDataTable75[[#This Row],[asOf]]),DAY(OneWeekMtgRatesDataTable75[[#This Row],[asOf]]))</f>
        <v>40927</v>
      </c>
      <c r="N959" s="21">
        <v>3.98</v>
      </c>
      <c r="O959" s="21">
        <v>0.7</v>
      </c>
      <c r="P959" s="21">
        <v>3.9049999999999998</v>
      </c>
    </row>
    <row r="960" spans="8:16">
      <c r="H960" s="21"/>
      <c r="I960" s="21"/>
      <c r="J960" s="52"/>
      <c r="K960" s="21"/>
      <c r="L960" s="21" t="s">
        <v>699</v>
      </c>
      <c r="M960" s="25">
        <f>DATE(YEAR(OneWeekMtgRatesDataTable75[[#This Row],[asOf]]),MONTH(OneWeekMtgRatesDataTable75[[#This Row],[asOf]]),DAY(OneWeekMtgRatesDataTable75[[#This Row],[asOf]]))</f>
        <v>40926</v>
      </c>
      <c r="N960" s="21">
        <v>3.88</v>
      </c>
      <c r="O960" s="21">
        <v>0.8</v>
      </c>
      <c r="P960" s="21">
        <v>3.83</v>
      </c>
    </row>
    <row r="961" spans="8:16">
      <c r="H961" s="21"/>
      <c r="I961" s="21"/>
      <c r="J961" s="52"/>
      <c r="K961" s="21"/>
      <c r="L961" s="21" t="s">
        <v>698</v>
      </c>
      <c r="M961" s="25">
        <f>DATE(YEAR(OneWeekMtgRatesDataTable75[[#This Row],[asOf]]),MONTH(OneWeekMtgRatesDataTable75[[#This Row],[asOf]]),DAY(OneWeekMtgRatesDataTable75[[#This Row],[asOf]]))</f>
        <v>40925</v>
      </c>
      <c r="N961" s="21">
        <v>3.88</v>
      </c>
      <c r="O961" s="21">
        <v>0.8</v>
      </c>
      <c r="P961" s="21">
        <v>3.83</v>
      </c>
    </row>
    <row r="962" spans="8:16">
      <c r="H962" s="21"/>
      <c r="I962" s="21"/>
      <c r="J962" s="52"/>
      <c r="K962" s="21"/>
      <c r="L962" s="21" t="s">
        <v>697</v>
      </c>
      <c r="M962" s="25">
        <f>DATE(YEAR(OneWeekMtgRatesDataTable75[[#This Row],[asOf]]),MONTH(OneWeekMtgRatesDataTable75[[#This Row],[asOf]]),DAY(OneWeekMtgRatesDataTable75[[#This Row],[asOf]]))</f>
        <v>40921</v>
      </c>
      <c r="N962" s="21">
        <v>3.88</v>
      </c>
      <c r="O962" s="21">
        <v>0.8</v>
      </c>
      <c r="P962" s="21">
        <v>3.83</v>
      </c>
    </row>
    <row r="963" spans="8:16">
      <c r="H963" s="21"/>
      <c r="I963" s="21"/>
      <c r="J963" s="52"/>
      <c r="K963" s="21"/>
      <c r="L963" s="21" t="s">
        <v>696</v>
      </c>
      <c r="M963" s="25">
        <f>DATE(YEAR(OneWeekMtgRatesDataTable75[[#This Row],[asOf]]),MONTH(OneWeekMtgRatesDataTable75[[#This Row],[asOf]]),DAY(OneWeekMtgRatesDataTable75[[#This Row],[asOf]]))</f>
        <v>40920</v>
      </c>
      <c r="N963" s="21">
        <v>3.88</v>
      </c>
      <c r="O963" s="21">
        <v>0.8</v>
      </c>
      <c r="P963" s="21">
        <v>3.83</v>
      </c>
    </row>
    <row r="964" spans="8:16">
      <c r="H964" s="21"/>
      <c r="I964" s="21"/>
      <c r="J964" s="52"/>
      <c r="K964" s="21"/>
      <c r="L964" s="21" t="s">
        <v>695</v>
      </c>
      <c r="M964" s="25">
        <f>DATE(YEAR(OneWeekMtgRatesDataTable75[[#This Row],[asOf]]),MONTH(OneWeekMtgRatesDataTable75[[#This Row],[asOf]]),DAY(OneWeekMtgRatesDataTable75[[#This Row],[asOf]]))</f>
        <v>40919</v>
      </c>
      <c r="N964" s="21">
        <v>3.89</v>
      </c>
      <c r="O964" s="21">
        <v>0.7</v>
      </c>
      <c r="P964" s="21">
        <v>3.8149999999999999</v>
      </c>
    </row>
    <row r="965" spans="8:16">
      <c r="H965" s="21"/>
      <c r="I965" s="21"/>
      <c r="J965" s="52"/>
      <c r="K965" s="21"/>
      <c r="L965" s="21" t="s">
        <v>694</v>
      </c>
      <c r="M965" s="25">
        <f>DATE(YEAR(OneWeekMtgRatesDataTable75[[#This Row],[asOf]]),MONTH(OneWeekMtgRatesDataTable75[[#This Row],[asOf]]),DAY(OneWeekMtgRatesDataTable75[[#This Row],[asOf]]))</f>
        <v>40918</v>
      </c>
      <c r="N965" s="21">
        <v>3.89</v>
      </c>
      <c r="O965" s="21">
        <v>0.7</v>
      </c>
      <c r="P965" s="21">
        <v>3.8149999999999999</v>
      </c>
    </row>
    <row r="966" spans="8:16">
      <c r="H966" s="21"/>
      <c r="I966" s="21"/>
      <c r="J966" s="52"/>
      <c r="K966" s="21"/>
      <c r="L966" s="21" t="s">
        <v>693</v>
      </c>
      <c r="M966" s="25">
        <f>DATE(YEAR(OneWeekMtgRatesDataTable75[[#This Row],[asOf]]),MONTH(OneWeekMtgRatesDataTable75[[#This Row],[asOf]]),DAY(OneWeekMtgRatesDataTable75[[#This Row],[asOf]]))</f>
        <v>40917</v>
      </c>
      <c r="N966" s="21">
        <v>3.89</v>
      </c>
      <c r="O966" s="21">
        <v>0.7</v>
      </c>
      <c r="P966" s="21">
        <v>3.8149999999999999</v>
      </c>
    </row>
    <row r="967" spans="8:16">
      <c r="H967" s="21"/>
      <c r="I967" s="21"/>
      <c r="J967" s="52"/>
      <c r="K967" s="21"/>
      <c r="L967" s="21" t="s">
        <v>692</v>
      </c>
      <c r="M967" s="25">
        <f>DATE(YEAR(OneWeekMtgRatesDataTable75[[#This Row],[asOf]]),MONTH(OneWeekMtgRatesDataTable75[[#This Row],[asOf]]),DAY(OneWeekMtgRatesDataTable75[[#This Row],[asOf]]))</f>
        <v>40914</v>
      </c>
      <c r="N967" s="21">
        <v>3.89</v>
      </c>
      <c r="O967" s="21">
        <v>0.7</v>
      </c>
      <c r="P967" s="21">
        <v>3.8149999999999999</v>
      </c>
    </row>
    <row r="968" spans="8:16">
      <c r="H968" s="21"/>
      <c r="I968" s="21"/>
      <c r="J968" s="52"/>
      <c r="K968" s="21"/>
      <c r="L968" s="21" t="s">
        <v>691</v>
      </c>
      <c r="M968" s="25">
        <f>DATE(YEAR(OneWeekMtgRatesDataTable75[[#This Row],[asOf]]),MONTH(OneWeekMtgRatesDataTable75[[#This Row],[asOf]]),DAY(OneWeekMtgRatesDataTable75[[#This Row],[asOf]]))</f>
        <v>40913</v>
      </c>
      <c r="N968" s="21">
        <v>3.89</v>
      </c>
      <c r="O968" s="21">
        <v>0.7</v>
      </c>
      <c r="P968" s="21">
        <v>3.8149999999999999</v>
      </c>
    </row>
    <row r="969" spans="8:16">
      <c r="H969" s="21"/>
      <c r="I969" s="21"/>
      <c r="J969" s="52"/>
      <c r="K969" s="21"/>
      <c r="L969" s="21" t="s">
        <v>690</v>
      </c>
      <c r="M969" s="25">
        <f>DATE(YEAR(OneWeekMtgRatesDataTable75[[#This Row],[asOf]]),MONTH(OneWeekMtgRatesDataTable75[[#This Row],[asOf]]),DAY(OneWeekMtgRatesDataTable75[[#This Row],[asOf]]))</f>
        <v>40912</v>
      </c>
      <c r="N969" s="21">
        <v>3.91</v>
      </c>
      <c r="O969" s="21">
        <v>0.8</v>
      </c>
      <c r="P969" s="21">
        <v>3.8600000000000003</v>
      </c>
    </row>
    <row r="970" spans="8:16">
      <c r="H970" s="21"/>
      <c r="I970" s="21"/>
      <c r="J970" s="52"/>
      <c r="K970" s="21"/>
      <c r="L970" s="21" t="s">
        <v>689</v>
      </c>
      <c r="M970" s="25">
        <f>DATE(YEAR(OneWeekMtgRatesDataTable75[[#This Row],[asOf]]),MONTH(OneWeekMtgRatesDataTable75[[#This Row],[asOf]]),DAY(OneWeekMtgRatesDataTable75[[#This Row],[asOf]]))</f>
        <v>40911</v>
      </c>
      <c r="N970" s="21">
        <v>3.91</v>
      </c>
      <c r="O970" s="21">
        <v>0.8</v>
      </c>
      <c r="P970" s="21">
        <v>3.8600000000000003</v>
      </c>
    </row>
    <row r="971" spans="8:16">
      <c r="H971" s="21"/>
      <c r="I971" s="21"/>
      <c r="J971" s="52"/>
      <c r="K971" s="21"/>
      <c r="L971" s="21" t="s">
        <v>688</v>
      </c>
      <c r="M971" s="25">
        <f>DATE(YEAR(OneWeekMtgRatesDataTable75[[#This Row],[asOf]]),MONTH(OneWeekMtgRatesDataTable75[[#This Row],[asOf]]),DAY(OneWeekMtgRatesDataTable75[[#This Row],[asOf]]))</f>
        <v>40907</v>
      </c>
      <c r="N971" s="21">
        <v>3.91</v>
      </c>
      <c r="O971" s="21">
        <v>0.8</v>
      </c>
      <c r="P971" s="21">
        <v>3.8600000000000003</v>
      </c>
    </row>
    <row r="972" spans="8:16">
      <c r="H972" s="21"/>
      <c r="I972" s="21"/>
      <c r="J972" s="52"/>
      <c r="K972" s="21"/>
      <c r="L972" s="21" t="s">
        <v>687</v>
      </c>
      <c r="M972" s="25">
        <f>DATE(YEAR(OneWeekMtgRatesDataTable75[[#This Row],[asOf]]),MONTH(OneWeekMtgRatesDataTable75[[#This Row],[asOf]]),DAY(OneWeekMtgRatesDataTable75[[#This Row],[asOf]]))</f>
        <v>40906</v>
      </c>
      <c r="N972" s="21">
        <v>3.91</v>
      </c>
      <c r="O972" s="21">
        <v>0.8</v>
      </c>
      <c r="P972" s="21">
        <v>3.8600000000000003</v>
      </c>
    </row>
    <row r="973" spans="8:16">
      <c r="H973" s="21"/>
      <c r="I973" s="21"/>
      <c r="J973" s="52"/>
      <c r="K973" s="21"/>
      <c r="L973" s="21" t="s">
        <v>686</v>
      </c>
      <c r="M973" s="25">
        <f>DATE(YEAR(OneWeekMtgRatesDataTable75[[#This Row],[asOf]]),MONTH(OneWeekMtgRatesDataTable75[[#This Row],[asOf]]),DAY(OneWeekMtgRatesDataTable75[[#This Row],[asOf]]))</f>
        <v>40905</v>
      </c>
      <c r="N973" s="21">
        <v>3.95</v>
      </c>
      <c r="O973" s="21">
        <v>0.7</v>
      </c>
      <c r="P973" s="21">
        <v>3.875</v>
      </c>
    </row>
    <row r="974" spans="8:16">
      <c r="H974" s="21"/>
      <c r="I974" s="21"/>
      <c r="J974" s="52"/>
      <c r="K974" s="21"/>
      <c r="L974" s="21" t="s">
        <v>685</v>
      </c>
      <c r="M974" s="25">
        <f>DATE(YEAR(OneWeekMtgRatesDataTable75[[#This Row],[asOf]]),MONTH(OneWeekMtgRatesDataTable75[[#This Row],[asOf]]),DAY(OneWeekMtgRatesDataTable75[[#This Row],[asOf]]))</f>
        <v>40904</v>
      </c>
      <c r="N974" s="21">
        <v>3.95</v>
      </c>
      <c r="O974" s="21">
        <v>0.7</v>
      </c>
      <c r="P974" s="21">
        <v>3.875</v>
      </c>
    </row>
    <row r="975" spans="8:16">
      <c r="H975" s="21"/>
      <c r="I975" s="21"/>
      <c r="J975" s="52"/>
      <c r="K975" s="21"/>
      <c r="L975" s="21" t="s">
        <v>684</v>
      </c>
      <c r="M975" s="25">
        <f>DATE(YEAR(OneWeekMtgRatesDataTable75[[#This Row],[asOf]]),MONTH(OneWeekMtgRatesDataTable75[[#This Row],[asOf]]),DAY(OneWeekMtgRatesDataTable75[[#This Row],[asOf]]))</f>
        <v>40900</v>
      </c>
      <c r="N975" s="21">
        <v>3.95</v>
      </c>
      <c r="O975" s="21">
        <v>0.7</v>
      </c>
      <c r="P975" s="21">
        <v>3.875</v>
      </c>
    </row>
    <row r="976" spans="8:16">
      <c r="H976" s="21"/>
      <c r="I976" s="21"/>
      <c r="J976" s="52"/>
      <c r="K976" s="21"/>
      <c r="L976" s="21" t="s">
        <v>683</v>
      </c>
      <c r="M976" s="25">
        <f>DATE(YEAR(OneWeekMtgRatesDataTable75[[#This Row],[asOf]]),MONTH(OneWeekMtgRatesDataTable75[[#This Row],[asOf]]),DAY(OneWeekMtgRatesDataTable75[[#This Row],[asOf]]))</f>
        <v>40899</v>
      </c>
      <c r="N976" s="21">
        <v>3.95</v>
      </c>
      <c r="O976" s="21">
        <v>0.7</v>
      </c>
      <c r="P976" s="21">
        <v>3.875</v>
      </c>
    </row>
    <row r="977" spans="8:16">
      <c r="H977" s="21"/>
      <c r="I977" s="21"/>
      <c r="J977" s="52"/>
      <c r="K977" s="21"/>
      <c r="L977" s="21" t="s">
        <v>682</v>
      </c>
      <c r="M977" s="25">
        <f>DATE(YEAR(OneWeekMtgRatesDataTable75[[#This Row],[asOf]]),MONTH(OneWeekMtgRatesDataTable75[[#This Row],[asOf]]),DAY(OneWeekMtgRatesDataTable75[[#This Row],[asOf]]))</f>
        <v>40898</v>
      </c>
      <c r="N977" s="21">
        <v>3.91</v>
      </c>
      <c r="O977" s="21">
        <v>0.7</v>
      </c>
      <c r="P977" s="21">
        <v>3.835</v>
      </c>
    </row>
    <row r="978" spans="8:16">
      <c r="H978" s="21"/>
      <c r="I978" s="21"/>
      <c r="J978" s="52"/>
      <c r="K978" s="21"/>
      <c r="L978" s="21" t="s">
        <v>681</v>
      </c>
      <c r="M978" s="25">
        <f>DATE(YEAR(OneWeekMtgRatesDataTable75[[#This Row],[asOf]]),MONTH(OneWeekMtgRatesDataTable75[[#This Row],[asOf]]),DAY(OneWeekMtgRatesDataTable75[[#This Row],[asOf]]))</f>
        <v>40897</v>
      </c>
      <c r="N978" s="21">
        <v>3.91</v>
      </c>
      <c r="O978" s="21">
        <v>0.7</v>
      </c>
      <c r="P978" s="21">
        <v>3.835</v>
      </c>
    </row>
    <row r="979" spans="8:16">
      <c r="H979" s="21"/>
      <c r="I979" s="21"/>
      <c r="J979" s="52"/>
      <c r="K979" s="21"/>
      <c r="L979" s="21" t="s">
        <v>680</v>
      </c>
      <c r="M979" s="25">
        <f>DATE(YEAR(OneWeekMtgRatesDataTable75[[#This Row],[asOf]]),MONTH(OneWeekMtgRatesDataTable75[[#This Row],[asOf]]),DAY(OneWeekMtgRatesDataTable75[[#This Row],[asOf]]))</f>
        <v>40896</v>
      </c>
      <c r="N979" s="21">
        <v>3.91</v>
      </c>
      <c r="O979" s="21">
        <v>0.7</v>
      </c>
      <c r="P979" s="21">
        <v>3.835</v>
      </c>
    </row>
    <row r="980" spans="8:16">
      <c r="H980" s="21"/>
      <c r="I980" s="21"/>
      <c r="J980" s="52"/>
      <c r="K980" s="21"/>
      <c r="L980" s="21" t="s">
        <v>679</v>
      </c>
      <c r="M980" s="25">
        <f>DATE(YEAR(OneWeekMtgRatesDataTable75[[#This Row],[asOf]]),MONTH(OneWeekMtgRatesDataTable75[[#This Row],[asOf]]),DAY(OneWeekMtgRatesDataTable75[[#This Row],[asOf]]))</f>
        <v>40893</v>
      </c>
      <c r="N980" s="21">
        <v>3.91</v>
      </c>
      <c r="O980" s="21">
        <v>0.7</v>
      </c>
      <c r="P980" s="21">
        <v>3.835</v>
      </c>
    </row>
    <row r="981" spans="8:16">
      <c r="H981" s="21"/>
      <c r="I981" s="21"/>
      <c r="J981" s="52"/>
      <c r="K981" s="21"/>
      <c r="L981" s="21" t="s">
        <v>678</v>
      </c>
      <c r="M981" s="25">
        <f>DATE(YEAR(OneWeekMtgRatesDataTable75[[#This Row],[asOf]]),MONTH(OneWeekMtgRatesDataTable75[[#This Row],[asOf]]),DAY(OneWeekMtgRatesDataTable75[[#This Row],[asOf]]))</f>
        <v>40892</v>
      </c>
      <c r="N981" s="21">
        <v>3.91</v>
      </c>
      <c r="O981" s="21">
        <v>0.7</v>
      </c>
      <c r="P981" s="21">
        <v>3.835</v>
      </c>
    </row>
    <row r="982" spans="8:16">
      <c r="H982" s="21"/>
      <c r="I982" s="21"/>
      <c r="J982" s="52"/>
      <c r="K982" s="21"/>
      <c r="L982" s="21" t="s">
        <v>677</v>
      </c>
      <c r="M982" s="25">
        <f>DATE(YEAR(OneWeekMtgRatesDataTable75[[#This Row],[asOf]]),MONTH(OneWeekMtgRatesDataTable75[[#This Row],[asOf]]),DAY(OneWeekMtgRatesDataTable75[[#This Row],[asOf]]))</f>
        <v>40891</v>
      </c>
      <c r="N982" s="21">
        <v>3.94</v>
      </c>
      <c r="O982" s="21">
        <v>0.8</v>
      </c>
      <c r="P982" s="21">
        <v>3.89</v>
      </c>
    </row>
    <row r="983" spans="8:16">
      <c r="H983" s="21"/>
      <c r="I983" s="21"/>
      <c r="J983" s="52"/>
      <c r="K983" s="21"/>
      <c r="L983" s="21" t="s">
        <v>676</v>
      </c>
      <c r="M983" s="25">
        <f>DATE(YEAR(OneWeekMtgRatesDataTable75[[#This Row],[asOf]]),MONTH(OneWeekMtgRatesDataTable75[[#This Row],[asOf]]),DAY(OneWeekMtgRatesDataTable75[[#This Row],[asOf]]))</f>
        <v>40890</v>
      </c>
      <c r="N983" s="21">
        <v>3.94</v>
      </c>
      <c r="O983" s="21">
        <v>0.8</v>
      </c>
      <c r="P983" s="21">
        <v>3.89</v>
      </c>
    </row>
    <row r="984" spans="8:16">
      <c r="H984" s="21"/>
      <c r="I984" s="21"/>
      <c r="J984" s="52"/>
      <c r="K984" s="21"/>
      <c r="L984" s="21" t="s">
        <v>675</v>
      </c>
      <c r="M984" s="25">
        <f>DATE(YEAR(OneWeekMtgRatesDataTable75[[#This Row],[asOf]]),MONTH(OneWeekMtgRatesDataTable75[[#This Row],[asOf]]),DAY(OneWeekMtgRatesDataTable75[[#This Row],[asOf]]))</f>
        <v>40889</v>
      </c>
      <c r="N984" s="21">
        <v>3.94</v>
      </c>
      <c r="O984" s="21">
        <v>0.8</v>
      </c>
      <c r="P984" s="21">
        <v>3.89</v>
      </c>
    </row>
    <row r="985" spans="8:16">
      <c r="H985" s="21"/>
      <c r="I985" s="21"/>
      <c r="J985" s="52"/>
      <c r="K985" s="21"/>
      <c r="L985" s="21" t="s">
        <v>674</v>
      </c>
      <c r="M985" s="25">
        <f>DATE(YEAR(OneWeekMtgRatesDataTable75[[#This Row],[asOf]]),MONTH(OneWeekMtgRatesDataTable75[[#This Row],[asOf]]),DAY(OneWeekMtgRatesDataTable75[[#This Row],[asOf]]))</f>
        <v>40886</v>
      </c>
      <c r="N985" s="21">
        <v>3.94</v>
      </c>
      <c r="O985" s="21">
        <v>0.8</v>
      </c>
      <c r="P985" s="21">
        <v>3.89</v>
      </c>
    </row>
    <row r="986" spans="8:16">
      <c r="H986" s="21"/>
      <c r="I986" s="21"/>
      <c r="J986" s="52"/>
      <c r="K986" s="21"/>
      <c r="L986" s="21" t="s">
        <v>673</v>
      </c>
      <c r="M986" s="25">
        <f>DATE(YEAR(OneWeekMtgRatesDataTable75[[#This Row],[asOf]]),MONTH(OneWeekMtgRatesDataTable75[[#This Row],[asOf]]),DAY(OneWeekMtgRatesDataTable75[[#This Row],[asOf]]))</f>
        <v>40885</v>
      </c>
      <c r="N986" s="21">
        <v>3.94</v>
      </c>
      <c r="O986" s="21">
        <v>0.8</v>
      </c>
      <c r="P986" s="21">
        <v>3.89</v>
      </c>
    </row>
    <row r="987" spans="8:16">
      <c r="H987" s="21"/>
      <c r="I987" s="21"/>
      <c r="J987" s="52"/>
      <c r="K987" s="21"/>
      <c r="L987" s="21" t="s">
        <v>672</v>
      </c>
      <c r="M987" s="25">
        <f>DATE(YEAR(OneWeekMtgRatesDataTable75[[#This Row],[asOf]]),MONTH(OneWeekMtgRatesDataTable75[[#This Row],[asOf]]),DAY(OneWeekMtgRatesDataTable75[[#This Row],[asOf]]))</f>
        <v>40884</v>
      </c>
      <c r="N987" s="21">
        <v>3.99</v>
      </c>
      <c r="O987" s="21">
        <v>0.7</v>
      </c>
      <c r="P987" s="21">
        <v>3.915</v>
      </c>
    </row>
    <row r="988" spans="8:16">
      <c r="H988" s="21"/>
      <c r="I988" s="21"/>
      <c r="J988" s="52"/>
      <c r="K988" s="21"/>
      <c r="L988" s="21" t="s">
        <v>671</v>
      </c>
      <c r="M988" s="25">
        <f>DATE(YEAR(OneWeekMtgRatesDataTable75[[#This Row],[asOf]]),MONTH(OneWeekMtgRatesDataTable75[[#This Row],[asOf]]),DAY(OneWeekMtgRatesDataTable75[[#This Row],[asOf]]))</f>
        <v>40883</v>
      </c>
      <c r="N988" s="21">
        <v>3.99</v>
      </c>
      <c r="O988" s="21">
        <v>0.7</v>
      </c>
      <c r="P988" s="21">
        <v>3.915</v>
      </c>
    </row>
    <row r="989" spans="8:16">
      <c r="H989" s="21"/>
      <c r="I989" s="21"/>
      <c r="J989" s="52"/>
      <c r="K989" s="21"/>
      <c r="L989" s="21" t="s">
        <v>670</v>
      </c>
      <c r="M989" s="25">
        <f>DATE(YEAR(OneWeekMtgRatesDataTable75[[#This Row],[asOf]]),MONTH(OneWeekMtgRatesDataTable75[[#This Row],[asOf]]),DAY(OneWeekMtgRatesDataTable75[[#This Row],[asOf]]))</f>
        <v>40882</v>
      </c>
      <c r="N989" s="21">
        <v>3.99</v>
      </c>
      <c r="O989" s="21">
        <v>0.7</v>
      </c>
      <c r="P989" s="21">
        <v>3.915</v>
      </c>
    </row>
    <row r="990" spans="8:16">
      <c r="H990" s="21"/>
      <c r="I990" s="21"/>
      <c r="J990" s="52"/>
      <c r="K990" s="21"/>
      <c r="L990" s="21" t="s">
        <v>669</v>
      </c>
      <c r="M990" s="25">
        <f>DATE(YEAR(OneWeekMtgRatesDataTable75[[#This Row],[asOf]]),MONTH(OneWeekMtgRatesDataTable75[[#This Row],[asOf]]),DAY(OneWeekMtgRatesDataTable75[[#This Row],[asOf]]))</f>
        <v>40879</v>
      </c>
      <c r="N990" s="21">
        <v>3.99</v>
      </c>
      <c r="O990" s="21">
        <v>0.7</v>
      </c>
      <c r="P990" s="21">
        <v>3.915</v>
      </c>
    </row>
    <row r="991" spans="8:16">
      <c r="H991" s="21"/>
      <c r="I991" s="21"/>
      <c r="J991" s="52"/>
      <c r="K991" s="21"/>
      <c r="L991" s="21" t="s">
        <v>668</v>
      </c>
      <c r="M991" s="25">
        <f>DATE(YEAR(OneWeekMtgRatesDataTable75[[#This Row],[asOf]]),MONTH(OneWeekMtgRatesDataTable75[[#This Row],[asOf]]),DAY(OneWeekMtgRatesDataTable75[[#This Row],[asOf]]))</f>
        <v>40878</v>
      </c>
      <c r="N991" s="21">
        <v>3.99</v>
      </c>
      <c r="O991" s="21">
        <v>0.7</v>
      </c>
      <c r="P991" s="21">
        <v>3.915</v>
      </c>
    </row>
    <row r="992" spans="8:16">
      <c r="H992" s="21"/>
      <c r="I992" s="21"/>
      <c r="J992" s="52"/>
      <c r="K992" s="21"/>
      <c r="L992" s="21" t="s">
        <v>667</v>
      </c>
      <c r="M992" s="25">
        <f>DATE(YEAR(OneWeekMtgRatesDataTable75[[#This Row],[asOf]]),MONTH(OneWeekMtgRatesDataTable75[[#This Row],[asOf]]),DAY(OneWeekMtgRatesDataTable75[[#This Row],[asOf]]))</f>
        <v>40877</v>
      </c>
      <c r="N992" s="21">
        <v>4</v>
      </c>
      <c r="O992" s="21">
        <v>0.7</v>
      </c>
      <c r="P992" s="21">
        <v>3.9249999999999998</v>
      </c>
    </row>
    <row r="993" spans="8:16">
      <c r="H993" s="21"/>
      <c r="I993" s="21"/>
      <c r="J993" s="52"/>
      <c r="K993" s="21"/>
      <c r="L993" s="21" t="s">
        <v>666</v>
      </c>
      <c r="M993" s="25">
        <f>DATE(YEAR(OneWeekMtgRatesDataTable75[[#This Row],[asOf]]),MONTH(OneWeekMtgRatesDataTable75[[#This Row],[asOf]]),DAY(OneWeekMtgRatesDataTable75[[#This Row],[asOf]]))</f>
        <v>40876</v>
      </c>
      <c r="N993" s="21">
        <v>4</v>
      </c>
      <c r="O993" s="21">
        <v>0.7</v>
      </c>
      <c r="P993" s="21">
        <v>3.9249999999999998</v>
      </c>
    </row>
    <row r="994" spans="8:16">
      <c r="H994" s="21"/>
      <c r="I994" s="21"/>
      <c r="J994" s="52"/>
      <c r="K994" s="21"/>
      <c r="L994" s="21" t="s">
        <v>665</v>
      </c>
      <c r="M994" s="25">
        <f>DATE(YEAR(OneWeekMtgRatesDataTable75[[#This Row],[asOf]]),MONTH(OneWeekMtgRatesDataTable75[[#This Row],[asOf]]),DAY(OneWeekMtgRatesDataTable75[[#This Row],[asOf]]))</f>
        <v>40875</v>
      </c>
      <c r="N994" s="21">
        <v>4</v>
      </c>
      <c r="O994" s="21">
        <v>0.7</v>
      </c>
      <c r="P994" s="21">
        <v>3.9249999999999998</v>
      </c>
    </row>
    <row r="995" spans="8:16">
      <c r="H995" s="21"/>
      <c r="I995" s="21"/>
      <c r="J995" s="52"/>
      <c r="K995" s="21"/>
      <c r="L995" s="21" t="s">
        <v>664</v>
      </c>
      <c r="M995" s="25">
        <f>DATE(YEAR(OneWeekMtgRatesDataTable75[[#This Row],[asOf]]),MONTH(OneWeekMtgRatesDataTable75[[#This Row],[asOf]]),DAY(OneWeekMtgRatesDataTable75[[#This Row],[asOf]]))</f>
        <v>40872</v>
      </c>
      <c r="N995" s="21">
        <v>4</v>
      </c>
      <c r="O995" s="21">
        <v>0.7</v>
      </c>
      <c r="P995" s="21">
        <v>3.9249999999999998</v>
      </c>
    </row>
    <row r="996" spans="8:16">
      <c r="H996" s="21"/>
      <c r="I996" s="21"/>
      <c r="J996" s="52"/>
      <c r="K996" s="21"/>
      <c r="L996" s="21" t="s">
        <v>662</v>
      </c>
      <c r="M996" s="25">
        <f>DATE(YEAR(OneWeekMtgRatesDataTable75[[#This Row],[asOf]]),MONTH(OneWeekMtgRatesDataTable75[[#This Row],[asOf]]),DAY(OneWeekMtgRatesDataTable75[[#This Row],[asOf]]))</f>
        <v>40869</v>
      </c>
      <c r="N996" s="21">
        <v>3.98</v>
      </c>
      <c r="O996" s="21">
        <v>0.7</v>
      </c>
      <c r="P996" s="21">
        <v>3.9049999999999998</v>
      </c>
    </row>
    <row r="997" spans="8:16">
      <c r="H997" s="21"/>
      <c r="I997" s="21"/>
      <c r="J997" s="52"/>
      <c r="K997" s="21"/>
      <c r="L997" s="21" t="s">
        <v>661</v>
      </c>
      <c r="M997" s="25">
        <f>DATE(YEAR(OneWeekMtgRatesDataTable75[[#This Row],[asOf]]),MONTH(OneWeekMtgRatesDataTable75[[#This Row],[asOf]]),DAY(OneWeekMtgRatesDataTable75[[#This Row],[asOf]]))</f>
        <v>40868</v>
      </c>
      <c r="N997" s="21">
        <v>3.98</v>
      </c>
      <c r="O997" s="21">
        <v>0.7</v>
      </c>
      <c r="P997" s="21">
        <v>3.9049999999999998</v>
      </c>
    </row>
    <row r="998" spans="8:16">
      <c r="H998" s="21"/>
      <c r="I998" s="21"/>
      <c r="J998" s="52"/>
      <c r="K998" s="21"/>
      <c r="L998" s="21" t="s">
        <v>660</v>
      </c>
      <c r="M998" s="25">
        <f>DATE(YEAR(OneWeekMtgRatesDataTable75[[#This Row],[asOf]]),MONTH(OneWeekMtgRatesDataTable75[[#This Row],[asOf]]),DAY(OneWeekMtgRatesDataTable75[[#This Row],[asOf]]))</f>
        <v>40865</v>
      </c>
      <c r="N998" s="21">
        <v>3.98</v>
      </c>
      <c r="O998" s="21">
        <v>0.7</v>
      </c>
      <c r="P998" s="21">
        <v>3.9049999999999998</v>
      </c>
    </row>
    <row r="999" spans="8:16">
      <c r="H999" s="21"/>
      <c r="I999" s="21"/>
      <c r="J999" s="52"/>
      <c r="K999" s="21"/>
      <c r="L999" s="21" t="s">
        <v>659</v>
      </c>
      <c r="M999" s="25">
        <f>DATE(YEAR(OneWeekMtgRatesDataTable75[[#This Row],[asOf]]),MONTH(OneWeekMtgRatesDataTable75[[#This Row],[asOf]]),DAY(OneWeekMtgRatesDataTable75[[#This Row],[asOf]]))</f>
        <v>40864</v>
      </c>
      <c r="N999" s="21">
        <v>3.98</v>
      </c>
      <c r="O999" s="21">
        <v>0.7</v>
      </c>
      <c r="P999" s="21">
        <v>3.9049999999999998</v>
      </c>
    </row>
    <row r="1000" spans="8:16">
      <c r="H1000" s="21"/>
      <c r="I1000" s="21"/>
      <c r="J1000" s="52"/>
      <c r="K1000" s="21"/>
      <c r="L1000" s="21" t="s">
        <v>658</v>
      </c>
      <c r="M1000" s="25">
        <f>DATE(YEAR(OneWeekMtgRatesDataTable75[[#This Row],[asOf]]),MONTH(OneWeekMtgRatesDataTable75[[#This Row],[asOf]]),DAY(OneWeekMtgRatesDataTable75[[#This Row],[asOf]]))</f>
        <v>40863</v>
      </c>
      <c r="N1000" s="21">
        <v>3.98</v>
      </c>
      <c r="O1000" s="21">
        <v>0.7</v>
      </c>
      <c r="P1000" s="21">
        <v>3.9049999999999998</v>
      </c>
    </row>
    <row r="1001" spans="8:16">
      <c r="H1001" s="21"/>
      <c r="I1001" s="21"/>
      <c r="J1001" s="52"/>
      <c r="K1001" s="21"/>
      <c r="L1001" s="21" t="s">
        <v>658</v>
      </c>
      <c r="M1001" s="25">
        <f>DATE(YEAR(OneWeekMtgRatesDataTable75[[#This Row],[asOf]]),MONTH(OneWeekMtgRatesDataTable75[[#This Row],[asOf]]),DAY(OneWeekMtgRatesDataTable75[[#This Row],[asOf]]))</f>
        <v>40863</v>
      </c>
      <c r="N1001" s="21">
        <v>4</v>
      </c>
      <c r="O1001" s="21">
        <v>0.7</v>
      </c>
      <c r="P1001" s="21">
        <v>3.9249999999999998</v>
      </c>
    </row>
    <row r="1002" spans="8:16">
      <c r="H1002" s="21"/>
      <c r="I1002" s="21"/>
      <c r="J1002" s="52"/>
      <c r="K1002" s="21"/>
      <c r="L1002" s="21" t="s">
        <v>657</v>
      </c>
      <c r="M1002" s="25">
        <f>DATE(YEAR(OneWeekMtgRatesDataTable75[[#This Row],[asOf]]),MONTH(OneWeekMtgRatesDataTable75[[#This Row],[asOf]]),DAY(OneWeekMtgRatesDataTable75[[#This Row],[asOf]]))</f>
        <v>40862</v>
      </c>
      <c r="N1002" s="21">
        <v>4</v>
      </c>
      <c r="O1002" s="21">
        <v>0.7</v>
      </c>
      <c r="P1002" s="21">
        <v>3.9249999999999998</v>
      </c>
    </row>
    <row r="1003" spans="8:16">
      <c r="H1003" s="21"/>
      <c r="I1003" s="21"/>
      <c r="J1003" s="52"/>
      <c r="K1003" s="21"/>
      <c r="L1003" s="21" t="s">
        <v>656</v>
      </c>
      <c r="M1003" s="25">
        <f>DATE(YEAR(OneWeekMtgRatesDataTable75[[#This Row],[asOf]]),MONTH(OneWeekMtgRatesDataTable75[[#This Row],[asOf]]),DAY(OneWeekMtgRatesDataTable75[[#This Row],[asOf]]))</f>
        <v>40861</v>
      </c>
      <c r="N1003" s="21">
        <v>4</v>
      </c>
      <c r="O1003" s="21">
        <v>0.7</v>
      </c>
      <c r="P1003" s="21">
        <v>3.9249999999999998</v>
      </c>
    </row>
    <row r="1004" spans="8:16">
      <c r="H1004" s="21"/>
      <c r="I1004" s="21"/>
      <c r="J1004" s="52"/>
      <c r="K1004" s="21"/>
      <c r="L1004" s="21" t="s">
        <v>655</v>
      </c>
      <c r="M1004" s="25">
        <f>DATE(YEAR(OneWeekMtgRatesDataTable75[[#This Row],[asOf]]),MONTH(OneWeekMtgRatesDataTable75[[#This Row],[asOf]]),DAY(OneWeekMtgRatesDataTable75[[#This Row],[asOf]]))</f>
        <v>40857</v>
      </c>
      <c r="N1004" s="21">
        <v>4</v>
      </c>
      <c r="O1004" s="21">
        <v>0.7</v>
      </c>
      <c r="P1004" s="21">
        <v>3.9249999999999998</v>
      </c>
    </row>
    <row r="1005" spans="8:16">
      <c r="H1005" s="21"/>
      <c r="I1005" s="21"/>
      <c r="J1005" s="52"/>
      <c r="K1005" s="21"/>
      <c r="L1005" s="21" t="s">
        <v>654</v>
      </c>
      <c r="M1005" s="25">
        <f>DATE(YEAR(OneWeekMtgRatesDataTable75[[#This Row],[asOf]]),MONTH(OneWeekMtgRatesDataTable75[[#This Row],[asOf]]),DAY(OneWeekMtgRatesDataTable75[[#This Row],[asOf]]))</f>
        <v>40856</v>
      </c>
      <c r="N1005" s="21">
        <v>3.99</v>
      </c>
      <c r="O1005" s="21">
        <v>0.7</v>
      </c>
      <c r="P1005" s="21">
        <v>3.915</v>
      </c>
    </row>
    <row r="1006" spans="8:16">
      <c r="H1006" s="21"/>
      <c r="I1006" s="21"/>
      <c r="J1006" s="52"/>
      <c r="K1006" s="21"/>
      <c r="L1006" s="21" t="s">
        <v>653</v>
      </c>
      <c r="M1006" s="25">
        <f>DATE(YEAR(OneWeekMtgRatesDataTable75[[#This Row],[asOf]]),MONTH(OneWeekMtgRatesDataTable75[[#This Row],[asOf]]),DAY(OneWeekMtgRatesDataTable75[[#This Row],[asOf]]))</f>
        <v>40855</v>
      </c>
      <c r="N1006" s="21">
        <v>3.99</v>
      </c>
      <c r="O1006" s="21">
        <v>0.7</v>
      </c>
      <c r="P1006" s="21">
        <v>3.915</v>
      </c>
    </row>
    <row r="1007" spans="8:16">
      <c r="H1007" s="21"/>
      <c r="I1007" s="21"/>
      <c r="J1007" s="52"/>
      <c r="K1007" s="21"/>
      <c r="L1007" s="21" t="s">
        <v>652</v>
      </c>
      <c r="M1007" s="25">
        <f>DATE(YEAR(OneWeekMtgRatesDataTable75[[#This Row],[asOf]]),MONTH(OneWeekMtgRatesDataTable75[[#This Row],[asOf]]),DAY(OneWeekMtgRatesDataTable75[[#This Row],[asOf]]))</f>
        <v>40854</v>
      </c>
      <c r="N1007" s="21">
        <v>3.99</v>
      </c>
      <c r="O1007" s="21">
        <v>0.7</v>
      </c>
      <c r="P1007" s="21">
        <v>3.915</v>
      </c>
    </row>
    <row r="1008" spans="8:16">
      <c r="H1008" s="21"/>
      <c r="I1008" s="21"/>
      <c r="J1008" s="52"/>
      <c r="K1008" s="21"/>
      <c r="L1008" s="21" t="s">
        <v>651</v>
      </c>
      <c r="M1008" s="25">
        <f>DATE(YEAR(OneWeekMtgRatesDataTable75[[#This Row],[asOf]]),MONTH(OneWeekMtgRatesDataTable75[[#This Row],[asOf]]),DAY(OneWeekMtgRatesDataTable75[[#This Row],[asOf]]))</f>
        <v>40851</v>
      </c>
      <c r="N1008" s="21">
        <v>3.99</v>
      </c>
      <c r="O1008" s="21">
        <v>0.7</v>
      </c>
      <c r="P1008" s="21">
        <v>3.915</v>
      </c>
    </row>
    <row r="1009" spans="8:16">
      <c r="H1009" s="21"/>
      <c r="I1009" s="21"/>
      <c r="J1009" s="52"/>
      <c r="K1009" s="21"/>
      <c r="L1009" s="21" t="s">
        <v>650</v>
      </c>
      <c r="M1009" s="25">
        <f>DATE(YEAR(OneWeekMtgRatesDataTable75[[#This Row],[asOf]]),MONTH(OneWeekMtgRatesDataTable75[[#This Row],[asOf]]),DAY(OneWeekMtgRatesDataTable75[[#This Row],[asOf]]))</f>
        <v>40850</v>
      </c>
      <c r="N1009" s="21">
        <v>3.99</v>
      </c>
      <c r="O1009" s="21">
        <v>0.7</v>
      </c>
      <c r="P1009" s="21">
        <v>3.915</v>
      </c>
    </row>
    <row r="1010" spans="8:16">
      <c r="H1010" s="21"/>
      <c r="I1010" s="21"/>
      <c r="J1010" s="52"/>
      <c r="K1010" s="21"/>
      <c r="L1010" s="21" t="s">
        <v>649</v>
      </c>
      <c r="M1010" s="25">
        <f>DATE(YEAR(OneWeekMtgRatesDataTable75[[#This Row],[asOf]]),MONTH(OneWeekMtgRatesDataTable75[[#This Row],[asOf]]),DAY(OneWeekMtgRatesDataTable75[[#This Row],[asOf]]))</f>
        <v>40849</v>
      </c>
      <c r="N1010" s="21">
        <v>4</v>
      </c>
      <c r="O1010" s="21">
        <v>0.7</v>
      </c>
      <c r="P1010" s="21">
        <v>3.9249999999999998</v>
      </c>
    </row>
    <row r="1011" spans="8:16">
      <c r="H1011" s="21"/>
      <c r="I1011" s="21"/>
      <c r="J1011" s="52"/>
      <c r="K1011" s="21"/>
      <c r="L1011" s="21" t="s">
        <v>648</v>
      </c>
      <c r="M1011" s="25">
        <f>DATE(YEAR(OneWeekMtgRatesDataTable75[[#This Row],[asOf]]),MONTH(OneWeekMtgRatesDataTable75[[#This Row],[asOf]]),DAY(OneWeekMtgRatesDataTable75[[#This Row],[asOf]]))</f>
        <v>40848</v>
      </c>
      <c r="N1011" s="21">
        <v>4</v>
      </c>
      <c r="O1011" s="21">
        <v>0.7</v>
      </c>
      <c r="P1011" s="21">
        <v>3.9249999999999998</v>
      </c>
    </row>
    <row r="1012" spans="8:16">
      <c r="H1012" s="21"/>
      <c r="I1012" s="21"/>
      <c r="J1012" s="52"/>
      <c r="K1012" s="21"/>
      <c r="L1012" s="21" t="s">
        <v>647</v>
      </c>
      <c r="M1012" s="25">
        <f>DATE(YEAR(OneWeekMtgRatesDataTable75[[#This Row],[asOf]]),MONTH(OneWeekMtgRatesDataTable75[[#This Row],[asOf]]),DAY(OneWeekMtgRatesDataTable75[[#This Row],[asOf]]))</f>
        <v>40847</v>
      </c>
      <c r="N1012" s="21">
        <v>4</v>
      </c>
      <c r="O1012" s="21">
        <v>0.7</v>
      </c>
      <c r="P1012" s="21">
        <v>3.9249999999999998</v>
      </c>
    </row>
    <row r="1013" spans="8:16">
      <c r="H1013" s="21"/>
      <c r="I1013" s="21"/>
      <c r="J1013" s="52"/>
      <c r="K1013" s="21"/>
      <c r="L1013" s="21" t="s">
        <v>646</v>
      </c>
      <c r="M1013" s="25">
        <f>DATE(YEAR(OneWeekMtgRatesDataTable75[[#This Row],[asOf]]),MONTH(OneWeekMtgRatesDataTable75[[#This Row],[asOf]]),DAY(OneWeekMtgRatesDataTable75[[#This Row],[asOf]]))</f>
        <v>40844</v>
      </c>
      <c r="N1013" s="21">
        <v>4</v>
      </c>
      <c r="O1013" s="21">
        <v>0.7</v>
      </c>
      <c r="P1013" s="21">
        <v>3.9249999999999998</v>
      </c>
    </row>
    <row r="1014" spans="8:16">
      <c r="H1014" s="21"/>
      <c r="I1014" s="21"/>
      <c r="J1014" s="52"/>
      <c r="K1014" s="21"/>
      <c r="L1014" s="21" t="s">
        <v>645</v>
      </c>
      <c r="M1014" s="25">
        <f>DATE(YEAR(OneWeekMtgRatesDataTable75[[#This Row],[asOf]]),MONTH(OneWeekMtgRatesDataTable75[[#This Row],[asOf]]),DAY(OneWeekMtgRatesDataTable75[[#This Row],[asOf]]))</f>
        <v>40843</v>
      </c>
      <c r="N1014" s="21">
        <v>4</v>
      </c>
      <c r="O1014" s="21">
        <v>0.7</v>
      </c>
      <c r="P1014" s="21">
        <v>3.9249999999999998</v>
      </c>
    </row>
    <row r="1015" spans="8:16">
      <c r="H1015" s="21"/>
      <c r="I1015" s="21"/>
      <c r="J1015" s="52"/>
      <c r="K1015" s="21"/>
      <c r="L1015" s="21" t="s">
        <v>644</v>
      </c>
      <c r="M1015" s="25">
        <f>DATE(YEAR(OneWeekMtgRatesDataTable75[[#This Row],[asOf]]),MONTH(OneWeekMtgRatesDataTable75[[#This Row],[asOf]]),DAY(OneWeekMtgRatesDataTable75[[#This Row],[asOf]]))</f>
        <v>40842</v>
      </c>
      <c r="N1015" s="21">
        <v>4.0999999999999996</v>
      </c>
      <c r="O1015" s="21">
        <v>0.8</v>
      </c>
      <c r="P1015" s="21">
        <v>4.05</v>
      </c>
    </row>
    <row r="1016" spans="8:16">
      <c r="H1016" s="21"/>
      <c r="I1016" s="21"/>
      <c r="J1016" s="52"/>
      <c r="K1016" s="21"/>
      <c r="L1016" s="21" t="s">
        <v>643</v>
      </c>
      <c r="M1016" s="25">
        <f>DATE(YEAR(OneWeekMtgRatesDataTable75[[#This Row],[asOf]]),MONTH(OneWeekMtgRatesDataTable75[[#This Row],[asOf]]),DAY(OneWeekMtgRatesDataTable75[[#This Row],[asOf]]))</f>
        <v>40841</v>
      </c>
      <c r="N1016" s="21">
        <v>4.0999999999999996</v>
      </c>
      <c r="O1016" s="21">
        <v>0.8</v>
      </c>
      <c r="P1016" s="21">
        <v>4.05</v>
      </c>
    </row>
    <row r="1017" spans="8:16">
      <c r="H1017" s="21"/>
      <c r="I1017" s="21"/>
      <c r="J1017" s="52"/>
      <c r="K1017" s="21"/>
      <c r="L1017" s="21" t="s">
        <v>642</v>
      </c>
      <c r="M1017" s="25">
        <f>DATE(YEAR(OneWeekMtgRatesDataTable75[[#This Row],[asOf]]),MONTH(OneWeekMtgRatesDataTable75[[#This Row],[asOf]]),DAY(OneWeekMtgRatesDataTable75[[#This Row],[asOf]]))</f>
        <v>40840</v>
      </c>
      <c r="N1017" s="21">
        <v>4.0999999999999996</v>
      </c>
      <c r="O1017" s="21">
        <v>0.8</v>
      </c>
      <c r="P1017" s="21">
        <v>4.05</v>
      </c>
    </row>
    <row r="1018" spans="8:16">
      <c r="H1018" s="21"/>
      <c r="I1018" s="21"/>
      <c r="J1018" s="52"/>
      <c r="K1018" s="21"/>
      <c r="L1018" s="21" t="s">
        <v>641</v>
      </c>
      <c r="M1018" s="25">
        <f>DATE(YEAR(OneWeekMtgRatesDataTable75[[#This Row],[asOf]]),MONTH(OneWeekMtgRatesDataTable75[[#This Row],[asOf]]),DAY(OneWeekMtgRatesDataTable75[[#This Row],[asOf]]))</f>
        <v>40837</v>
      </c>
      <c r="N1018" s="21">
        <v>4.0999999999999996</v>
      </c>
      <c r="O1018" s="21">
        <v>0.8</v>
      </c>
      <c r="P1018" s="21">
        <v>4.05</v>
      </c>
    </row>
    <row r="1019" spans="8:16">
      <c r="H1019" s="21"/>
      <c r="I1019" s="21"/>
      <c r="J1019" s="52"/>
      <c r="K1019" s="21"/>
      <c r="L1019" s="21" t="s">
        <v>640</v>
      </c>
      <c r="M1019" s="25">
        <f>DATE(YEAR(OneWeekMtgRatesDataTable75[[#This Row],[asOf]]),MONTH(OneWeekMtgRatesDataTable75[[#This Row],[asOf]]),DAY(OneWeekMtgRatesDataTable75[[#This Row],[asOf]]))</f>
        <v>40836</v>
      </c>
      <c r="N1019" s="21">
        <v>4.0999999999999996</v>
      </c>
      <c r="O1019" s="21">
        <v>0.8</v>
      </c>
      <c r="P1019" s="21">
        <v>4.05</v>
      </c>
    </row>
    <row r="1020" spans="8:16">
      <c r="H1020" s="21"/>
      <c r="I1020" s="21"/>
      <c r="J1020" s="52"/>
      <c r="K1020" s="21"/>
      <c r="L1020" s="21" t="s">
        <v>639</v>
      </c>
      <c r="M1020" s="25">
        <f>DATE(YEAR(OneWeekMtgRatesDataTable75[[#This Row],[asOf]]),MONTH(OneWeekMtgRatesDataTable75[[#This Row],[asOf]]),DAY(OneWeekMtgRatesDataTable75[[#This Row],[asOf]]))</f>
        <v>40835</v>
      </c>
      <c r="N1020" s="21">
        <v>4.1100000000000003</v>
      </c>
      <c r="O1020" s="21">
        <v>0.8</v>
      </c>
      <c r="P1020" s="21">
        <v>4.0600000000000005</v>
      </c>
    </row>
    <row r="1021" spans="8:16">
      <c r="H1021" s="21"/>
      <c r="I1021" s="21"/>
      <c r="J1021" s="52"/>
      <c r="K1021" s="21"/>
      <c r="L1021" s="21" t="s">
        <v>638</v>
      </c>
      <c r="M1021" s="25">
        <f>DATE(YEAR(OneWeekMtgRatesDataTable75[[#This Row],[asOf]]),MONTH(OneWeekMtgRatesDataTable75[[#This Row],[asOf]]),DAY(OneWeekMtgRatesDataTable75[[#This Row],[asOf]]))</f>
        <v>40834</v>
      </c>
      <c r="N1021" s="21">
        <v>4.1100000000000003</v>
      </c>
      <c r="O1021" s="21">
        <v>0.8</v>
      </c>
      <c r="P1021" s="21">
        <v>4.0600000000000005</v>
      </c>
    </row>
    <row r="1022" spans="8:16">
      <c r="H1022" s="21"/>
      <c r="I1022" s="21"/>
      <c r="J1022" s="52"/>
      <c r="K1022" s="21"/>
      <c r="L1022" s="21" t="s">
        <v>637</v>
      </c>
      <c r="M1022" s="25">
        <f>DATE(YEAR(OneWeekMtgRatesDataTable75[[#This Row],[asOf]]),MONTH(OneWeekMtgRatesDataTable75[[#This Row],[asOf]]),DAY(OneWeekMtgRatesDataTable75[[#This Row],[asOf]]))</f>
        <v>40833</v>
      </c>
      <c r="N1022" s="21">
        <v>4.1100000000000003</v>
      </c>
      <c r="O1022" s="21">
        <v>0.8</v>
      </c>
      <c r="P1022" s="21">
        <v>4.0600000000000005</v>
      </c>
    </row>
    <row r="1023" spans="8:16">
      <c r="H1023" s="21"/>
      <c r="I1023" s="21"/>
      <c r="J1023" s="52"/>
      <c r="K1023" s="21"/>
      <c r="L1023" s="21" t="s">
        <v>636</v>
      </c>
      <c r="M1023" s="25">
        <f>DATE(YEAR(OneWeekMtgRatesDataTable75[[#This Row],[asOf]]),MONTH(OneWeekMtgRatesDataTable75[[#This Row],[asOf]]),DAY(OneWeekMtgRatesDataTable75[[#This Row],[asOf]]))</f>
        <v>40830</v>
      </c>
      <c r="N1023" s="21">
        <v>4.1100000000000003</v>
      </c>
      <c r="O1023" s="21">
        <v>0.8</v>
      </c>
      <c r="P1023" s="21">
        <v>4.0600000000000005</v>
      </c>
    </row>
    <row r="1024" spans="8:16">
      <c r="H1024" s="21"/>
      <c r="I1024" s="21"/>
      <c r="J1024" s="52"/>
      <c r="K1024" s="21"/>
      <c r="L1024" s="21" t="s">
        <v>635</v>
      </c>
      <c r="M1024" s="25">
        <f>DATE(YEAR(OneWeekMtgRatesDataTable75[[#This Row],[asOf]]),MONTH(OneWeekMtgRatesDataTable75[[#This Row],[asOf]]),DAY(OneWeekMtgRatesDataTable75[[#This Row],[asOf]]))</f>
        <v>40829</v>
      </c>
      <c r="N1024" s="21">
        <v>4.1100000000000003</v>
      </c>
      <c r="O1024" s="21">
        <v>0.8</v>
      </c>
      <c r="P1024" s="21">
        <v>4.0600000000000005</v>
      </c>
    </row>
    <row r="1025" spans="8:16">
      <c r="H1025" s="21"/>
      <c r="I1025" s="21"/>
      <c r="J1025" s="52"/>
      <c r="K1025" s="21"/>
      <c r="L1025" s="21" t="s">
        <v>634</v>
      </c>
      <c r="M1025" s="25">
        <f>DATE(YEAR(OneWeekMtgRatesDataTable75[[#This Row],[asOf]]),MONTH(OneWeekMtgRatesDataTable75[[#This Row],[asOf]]),DAY(OneWeekMtgRatesDataTable75[[#This Row],[asOf]]))</f>
        <v>40828</v>
      </c>
      <c r="N1025" s="21">
        <v>4.12</v>
      </c>
      <c r="O1025" s="21">
        <v>0.8</v>
      </c>
      <c r="P1025" s="21">
        <v>4.07</v>
      </c>
    </row>
    <row r="1026" spans="8:16">
      <c r="H1026" s="21"/>
      <c r="I1026" s="21"/>
      <c r="J1026" s="52"/>
      <c r="K1026" s="21"/>
      <c r="L1026" s="21" t="s">
        <v>633</v>
      </c>
      <c r="M1026" s="25">
        <f>DATE(YEAR(OneWeekMtgRatesDataTable75[[#This Row],[asOf]]),MONTH(OneWeekMtgRatesDataTable75[[#This Row],[asOf]]),DAY(OneWeekMtgRatesDataTable75[[#This Row],[asOf]]))</f>
        <v>40827</v>
      </c>
      <c r="N1026" s="21">
        <v>4.12</v>
      </c>
      <c r="O1026" s="21">
        <v>0.8</v>
      </c>
      <c r="P1026" s="21">
        <v>4.07</v>
      </c>
    </row>
    <row r="1027" spans="8:16">
      <c r="H1027" s="21"/>
      <c r="I1027" s="21"/>
      <c r="J1027" s="52"/>
      <c r="K1027" s="21"/>
      <c r="L1027" s="21" t="s">
        <v>632</v>
      </c>
      <c r="M1027" s="25">
        <f>DATE(YEAR(OneWeekMtgRatesDataTable75[[#This Row],[asOf]]),MONTH(OneWeekMtgRatesDataTable75[[#This Row],[asOf]]),DAY(OneWeekMtgRatesDataTable75[[#This Row],[asOf]]))</f>
        <v>40823</v>
      </c>
      <c r="N1027" s="21">
        <v>4.12</v>
      </c>
      <c r="O1027" s="21">
        <v>0.8</v>
      </c>
      <c r="P1027" s="21">
        <v>4.07</v>
      </c>
    </row>
    <row r="1028" spans="8:16">
      <c r="H1028" s="21"/>
      <c r="I1028" s="21"/>
      <c r="J1028" s="52"/>
      <c r="K1028" s="21"/>
      <c r="L1028" s="21" t="s">
        <v>631</v>
      </c>
      <c r="M1028" s="25">
        <f>DATE(YEAR(OneWeekMtgRatesDataTable75[[#This Row],[asOf]]),MONTH(OneWeekMtgRatesDataTable75[[#This Row],[asOf]]),DAY(OneWeekMtgRatesDataTable75[[#This Row],[asOf]]))</f>
        <v>40822</v>
      </c>
      <c r="N1028" s="21">
        <v>4.12</v>
      </c>
      <c r="O1028" s="21">
        <v>0.8</v>
      </c>
      <c r="P1028" s="21">
        <v>4.07</v>
      </c>
    </row>
    <row r="1029" spans="8:16">
      <c r="H1029" s="21"/>
      <c r="I1029" s="21"/>
      <c r="J1029" s="52"/>
      <c r="K1029" s="21"/>
      <c r="L1029" s="21" t="s">
        <v>630</v>
      </c>
      <c r="M1029" s="25">
        <f>DATE(YEAR(OneWeekMtgRatesDataTable75[[#This Row],[asOf]]),MONTH(OneWeekMtgRatesDataTable75[[#This Row],[asOf]]),DAY(OneWeekMtgRatesDataTable75[[#This Row],[asOf]]))</f>
        <v>40821</v>
      </c>
      <c r="N1029" s="21">
        <v>3.94</v>
      </c>
      <c r="O1029" s="21">
        <v>0.8</v>
      </c>
      <c r="P1029" s="21">
        <v>3.89</v>
      </c>
    </row>
    <row r="1030" spans="8:16">
      <c r="H1030" s="21"/>
      <c r="I1030" s="21"/>
      <c r="J1030" s="52"/>
      <c r="K1030" s="21"/>
      <c r="L1030" s="21" t="s">
        <v>629</v>
      </c>
      <c r="M1030" s="25">
        <f>DATE(YEAR(OneWeekMtgRatesDataTable75[[#This Row],[asOf]]),MONTH(OneWeekMtgRatesDataTable75[[#This Row],[asOf]]),DAY(OneWeekMtgRatesDataTable75[[#This Row],[asOf]]))</f>
        <v>40820</v>
      </c>
      <c r="N1030" s="21">
        <v>3.94</v>
      </c>
      <c r="O1030" s="21">
        <v>0.8</v>
      </c>
      <c r="P1030" s="21">
        <v>3.89</v>
      </c>
    </row>
    <row r="1031" spans="8:16">
      <c r="H1031" s="21"/>
      <c r="I1031" s="21"/>
      <c r="J1031" s="52"/>
      <c r="K1031" s="21"/>
      <c r="L1031" s="21" t="s">
        <v>628</v>
      </c>
      <c r="M1031" s="25">
        <f>DATE(YEAR(OneWeekMtgRatesDataTable75[[#This Row],[asOf]]),MONTH(OneWeekMtgRatesDataTable75[[#This Row],[asOf]]),DAY(OneWeekMtgRatesDataTable75[[#This Row],[asOf]]))</f>
        <v>40819</v>
      </c>
      <c r="N1031" s="21">
        <v>3.94</v>
      </c>
      <c r="O1031" s="21">
        <v>0.8</v>
      </c>
      <c r="P1031" s="21">
        <v>3.89</v>
      </c>
    </row>
    <row r="1032" spans="8:16">
      <c r="H1032" s="21"/>
      <c r="I1032" s="21"/>
      <c r="J1032" s="52"/>
      <c r="K1032" s="21"/>
      <c r="L1032" s="21" t="s">
        <v>627</v>
      </c>
      <c r="M1032" s="25">
        <f>DATE(YEAR(OneWeekMtgRatesDataTable75[[#This Row],[asOf]]),MONTH(OneWeekMtgRatesDataTable75[[#This Row],[asOf]]),DAY(OneWeekMtgRatesDataTable75[[#This Row],[asOf]]))</f>
        <v>40816</v>
      </c>
      <c r="N1032" s="21">
        <v>3.94</v>
      </c>
      <c r="O1032" s="21">
        <v>0.8</v>
      </c>
      <c r="P1032" s="21">
        <v>3.89</v>
      </c>
    </row>
    <row r="1033" spans="8:16">
      <c r="H1033" s="21"/>
      <c r="I1033" s="21"/>
      <c r="J1033" s="52"/>
      <c r="K1033" s="21"/>
      <c r="L1033" s="21" t="s">
        <v>626</v>
      </c>
      <c r="M1033" s="25">
        <f>DATE(YEAR(OneWeekMtgRatesDataTable75[[#This Row],[asOf]]),MONTH(OneWeekMtgRatesDataTable75[[#This Row],[asOf]]),DAY(OneWeekMtgRatesDataTable75[[#This Row],[asOf]]))</f>
        <v>40815</v>
      </c>
      <c r="N1033" s="21">
        <v>3.94</v>
      </c>
      <c r="O1033" s="21">
        <v>0.8</v>
      </c>
      <c r="P1033" s="21">
        <v>3.89</v>
      </c>
    </row>
    <row r="1034" spans="8:16">
      <c r="H1034" s="21"/>
      <c r="I1034" s="21"/>
      <c r="J1034" s="52"/>
      <c r="K1034" s="21"/>
      <c r="L1034" s="21" t="s">
        <v>625</v>
      </c>
      <c r="M1034" s="25">
        <f>DATE(YEAR(OneWeekMtgRatesDataTable75[[#This Row],[asOf]]),MONTH(OneWeekMtgRatesDataTable75[[#This Row],[asOf]]),DAY(OneWeekMtgRatesDataTable75[[#This Row],[asOf]]))</f>
        <v>40814</v>
      </c>
      <c r="N1034" s="21">
        <v>4.01</v>
      </c>
      <c r="O1034" s="21">
        <v>0.7</v>
      </c>
      <c r="P1034" s="21">
        <v>3.9349999999999996</v>
      </c>
    </row>
    <row r="1035" spans="8:16">
      <c r="H1035" s="21"/>
      <c r="I1035" s="21"/>
      <c r="J1035" s="52"/>
      <c r="K1035" s="21"/>
      <c r="L1035" s="21" t="s">
        <v>624</v>
      </c>
      <c r="M1035" s="25">
        <f>DATE(YEAR(OneWeekMtgRatesDataTable75[[#This Row],[asOf]]),MONTH(OneWeekMtgRatesDataTable75[[#This Row],[asOf]]),DAY(OneWeekMtgRatesDataTable75[[#This Row],[asOf]]))</f>
        <v>40813</v>
      </c>
      <c r="N1035" s="21">
        <v>4.01</v>
      </c>
      <c r="O1035" s="21">
        <v>0.7</v>
      </c>
      <c r="P1035" s="21">
        <v>3.9349999999999996</v>
      </c>
    </row>
    <row r="1036" spans="8:16">
      <c r="H1036" s="21"/>
      <c r="I1036" s="21"/>
      <c r="J1036" s="52"/>
      <c r="K1036" s="21"/>
      <c r="L1036" s="21" t="s">
        <v>623</v>
      </c>
      <c r="M1036" s="25">
        <f>DATE(YEAR(OneWeekMtgRatesDataTable75[[#This Row],[asOf]]),MONTH(OneWeekMtgRatesDataTable75[[#This Row],[asOf]]),DAY(OneWeekMtgRatesDataTable75[[#This Row],[asOf]]))</f>
        <v>40812</v>
      </c>
      <c r="N1036" s="21">
        <v>4.01</v>
      </c>
      <c r="O1036" s="21">
        <v>0.7</v>
      </c>
      <c r="P1036" s="21">
        <v>3.9349999999999996</v>
      </c>
    </row>
    <row r="1037" spans="8:16">
      <c r="H1037" s="21"/>
      <c r="I1037" s="21"/>
      <c r="J1037" s="52"/>
      <c r="K1037" s="21"/>
      <c r="L1037" s="21" t="s">
        <v>622</v>
      </c>
      <c r="M1037" s="25">
        <f>DATE(YEAR(OneWeekMtgRatesDataTable75[[#This Row],[asOf]]),MONTH(OneWeekMtgRatesDataTable75[[#This Row],[asOf]]),DAY(OneWeekMtgRatesDataTable75[[#This Row],[asOf]]))</f>
        <v>40809</v>
      </c>
      <c r="N1037" s="21">
        <v>4.01</v>
      </c>
      <c r="O1037" s="21">
        <v>0.7</v>
      </c>
      <c r="P1037" s="21">
        <v>3.9349999999999996</v>
      </c>
    </row>
    <row r="1038" spans="8:16">
      <c r="H1038" s="21"/>
      <c r="I1038" s="21"/>
      <c r="J1038" s="52"/>
      <c r="K1038" s="21"/>
      <c r="L1038" s="21" t="s">
        <v>621</v>
      </c>
      <c r="M1038" s="25">
        <f>DATE(YEAR(OneWeekMtgRatesDataTable75[[#This Row],[asOf]]),MONTH(OneWeekMtgRatesDataTable75[[#This Row],[asOf]]),DAY(OneWeekMtgRatesDataTable75[[#This Row],[asOf]]))</f>
        <v>40808</v>
      </c>
      <c r="N1038" s="21">
        <v>4.01</v>
      </c>
      <c r="O1038" s="21">
        <v>0.7</v>
      </c>
      <c r="P1038" s="21">
        <v>3.9349999999999996</v>
      </c>
    </row>
    <row r="1039" spans="8:16">
      <c r="H1039" s="21"/>
      <c r="I1039" s="21"/>
      <c r="J1039" s="52"/>
      <c r="K1039" s="21"/>
      <c r="L1039" s="21" t="s">
        <v>620</v>
      </c>
      <c r="M1039" s="25">
        <f>DATE(YEAR(OneWeekMtgRatesDataTable75[[#This Row],[asOf]]),MONTH(OneWeekMtgRatesDataTable75[[#This Row],[asOf]]),DAY(OneWeekMtgRatesDataTable75[[#This Row],[asOf]]))</f>
        <v>40807</v>
      </c>
      <c r="N1039" s="21">
        <v>4.09</v>
      </c>
      <c r="O1039" s="21">
        <v>0.7</v>
      </c>
      <c r="P1039" s="21">
        <v>4.0149999999999997</v>
      </c>
    </row>
    <row r="1040" spans="8:16">
      <c r="H1040" s="21"/>
      <c r="I1040" s="21"/>
      <c r="J1040" s="52"/>
      <c r="K1040" s="21"/>
      <c r="L1040" s="21" t="s">
        <v>619</v>
      </c>
      <c r="M1040" s="25">
        <f>DATE(YEAR(OneWeekMtgRatesDataTable75[[#This Row],[asOf]]),MONTH(OneWeekMtgRatesDataTable75[[#This Row],[asOf]]),DAY(OneWeekMtgRatesDataTable75[[#This Row],[asOf]]))</f>
        <v>40806</v>
      </c>
      <c r="N1040" s="21">
        <v>4.09</v>
      </c>
      <c r="O1040" s="21">
        <v>0.7</v>
      </c>
      <c r="P1040" s="21">
        <v>4.0149999999999997</v>
      </c>
    </row>
    <row r="1041" spans="8:16">
      <c r="H1041" s="21"/>
      <c r="I1041" s="21"/>
      <c r="J1041" s="52"/>
      <c r="K1041" s="21"/>
      <c r="L1041" s="21" t="s">
        <v>618</v>
      </c>
      <c r="M1041" s="25">
        <f>DATE(YEAR(OneWeekMtgRatesDataTable75[[#This Row],[asOf]]),MONTH(OneWeekMtgRatesDataTable75[[#This Row],[asOf]]),DAY(OneWeekMtgRatesDataTable75[[#This Row],[asOf]]))</f>
        <v>40805</v>
      </c>
      <c r="N1041" s="21">
        <v>4.09</v>
      </c>
      <c r="O1041" s="21">
        <v>0.7</v>
      </c>
      <c r="P1041" s="21">
        <v>4.0149999999999997</v>
      </c>
    </row>
    <row r="1042" spans="8:16">
      <c r="H1042" s="21"/>
      <c r="I1042" s="21"/>
      <c r="J1042" s="52"/>
      <c r="K1042" s="21"/>
      <c r="L1042" s="21" t="s">
        <v>617</v>
      </c>
      <c r="M1042" s="25">
        <f>DATE(YEAR(OneWeekMtgRatesDataTable75[[#This Row],[asOf]]),MONTH(OneWeekMtgRatesDataTable75[[#This Row],[asOf]]),DAY(OneWeekMtgRatesDataTable75[[#This Row],[asOf]]))</f>
        <v>40802</v>
      </c>
      <c r="N1042" s="21">
        <v>4.09</v>
      </c>
      <c r="O1042" s="21">
        <v>0.7</v>
      </c>
      <c r="P1042" s="21">
        <v>4.0149999999999997</v>
      </c>
    </row>
    <row r="1043" spans="8:16">
      <c r="H1043" s="21"/>
      <c r="I1043" s="21"/>
      <c r="J1043" s="52"/>
      <c r="K1043" s="21"/>
      <c r="L1043" s="21" t="s">
        <v>616</v>
      </c>
      <c r="M1043" s="25">
        <f>DATE(YEAR(OneWeekMtgRatesDataTable75[[#This Row],[asOf]]),MONTH(OneWeekMtgRatesDataTable75[[#This Row],[asOf]]),DAY(OneWeekMtgRatesDataTable75[[#This Row],[asOf]]))</f>
        <v>40801</v>
      </c>
      <c r="N1043" s="21">
        <v>4.09</v>
      </c>
      <c r="O1043" s="21">
        <v>0.7</v>
      </c>
      <c r="P1043" s="21">
        <v>4.0149999999999997</v>
      </c>
    </row>
    <row r="1044" spans="8:16">
      <c r="H1044" s="21"/>
      <c r="I1044" s="21"/>
      <c r="J1044" s="52"/>
      <c r="K1044" s="21"/>
      <c r="L1044" s="21" t="s">
        <v>615</v>
      </c>
      <c r="M1044" s="25">
        <f>DATE(YEAR(OneWeekMtgRatesDataTable75[[#This Row],[asOf]]),MONTH(OneWeekMtgRatesDataTable75[[#This Row],[asOf]]),DAY(OneWeekMtgRatesDataTable75[[#This Row],[asOf]]))</f>
        <v>40800</v>
      </c>
      <c r="N1044" s="21">
        <v>4.09</v>
      </c>
      <c r="O1044" s="21">
        <v>0.7</v>
      </c>
      <c r="P1044" s="21">
        <v>4.0149999999999997</v>
      </c>
    </row>
    <row r="1045" spans="8:16">
      <c r="H1045" s="21"/>
      <c r="I1045" s="21"/>
      <c r="J1045" s="52"/>
      <c r="K1045" s="21"/>
      <c r="L1045" s="21" t="s">
        <v>614</v>
      </c>
      <c r="M1045" s="25">
        <f>DATE(YEAR(OneWeekMtgRatesDataTable75[[#This Row],[asOf]]),MONTH(OneWeekMtgRatesDataTable75[[#This Row],[asOf]]),DAY(OneWeekMtgRatesDataTable75[[#This Row],[asOf]]))</f>
        <v>40799</v>
      </c>
      <c r="N1045" s="21">
        <v>4.09</v>
      </c>
      <c r="O1045" s="21">
        <v>0.7</v>
      </c>
      <c r="P1045" s="21">
        <v>4.0149999999999997</v>
      </c>
    </row>
    <row r="1046" spans="8:16">
      <c r="H1046" s="21"/>
      <c r="I1046" s="21"/>
      <c r="J1046" s="52"/>
      <c r="K1046" s="21"/>
      <c r="L1046" s="21" t="s">
        <v>613</v>
      </c>
      <c r="M1046" s="25">
        <f>DATE(YEAR(OneWeekMtgRatesDataTable75[[#This Row],[asOf]]),MONTH(OneWeekMtgRatesDataTable75[[#This Row],[asOf]]),DAY(OneWeekMtgRatesDataTable75[[#This Row],[asOf]]))</f>
        <v>40798</v>
      </c>
      <c r="N1046" s="21">
        <v>4.09</v>
      </c>
      <c r="O1046" s="21">
        <v>0.7</v>
      </c>
      <c r="P1046" s="21">
        <v>4.0149999999999997</v>
      </c>
    </row>
    <row r="1047" spans="8:16">
      <c r="H1047" s="21"/>
      <c r="I1047" s="21"/>
      <c r="J1047" s="52"/>
      <c r="K1047" s="21"/>
      <c r="L1047" s="21" t="s">
        <v>612</v>
      </c>
      <c r="M1047" s="25">
        <f>DATE(YEAR(OneWeekMtgRatesDataTable75[[#This Row],[asOf]]),MONTH(OneWeekMtgRatesDataTable75[[#This Row],[asOf]]),DAY(OneWeekMtgRatesDataTable75[[#This Row],[asOf]]))</f>
        <v>40795</v>
      </c>
      <c r="N1047" s="21">
        <v>4.09</v>
      </c>
      <c r="O1047" s="21">
        <v>0.7</v>
      </c>
      <c r="P1047" s="21">
        <v>4.0149999999999997</v>
      </c>
    </row>
    <row r="1048" spans="8:16">
      <c r="H1048" s="21"/>
      <c r="I1048" s="21"/>
      <c r="J1048" s="52"/>
      <c r="K1048" s="21"/>
      <c r="L1048" s="21" t="s">
        <v>611</v>
      </c>
      <c r="M1048" s="25">
        <f>DATE(YEAR(OneWeekMtgRatesDataTable75[[#This Row],[asOf]]),MONTH(OneWeekMtgRatesDataTable75[[#This Row],[asOf]]),DAY(OneWeekMtgRatesDataTable75[[#This Row],[asOf]]))</f>
        <v>40794</v>
      </c>
      <c r="N1048" s="21">
        <v>4.09</v>
      </c>
      <c r="O1048" s="21">
        <v>0.7</v>
      </c>
      <c r="P1048" s="21">
        <v>4.0149999999999997</v>
      </c>
    </row>
    <row r="1049" spans="8:16">
      <c r="H1049" s="21"/>
      <c r="I1049" s="21"/>
      <c r="J1049" s="52"/>
      <c r="K1049" s="21"/>
      <c r="L1049" s="21" t="s">
        <v>610</v>
      </c>
      <c r="M1049" s="25">
        <f>DATE(YEAR(OneWeekMtgRatesDataTable75[[#This Row],[asOf]]),MONTH(OneWeekMtgRatesDataTable75[[#This Row],[asOf]]),DAY(OneWeekMtgRatesDataTable75[[#This Row],[asOf]]))</f>
        <v>40793</v>
      </c>
      <c r="N1049" s="21">
        <v>4.12</v>
      </c>
      <c r="O1049" s="21">
        <v>0.7</v>
      </c>
      <c r="P1049" s="21">
        <v>4.0449999999999999</v>
      </c>
    </row>
    <row r="1050" spans="8:16">
      <c r="H1050" s="21"/>
      <c r="I1050" s="21"/>
      <c r="J1050" s="52"/>
      <c r="K1050" s="21"/>
      <c r="L1050" s="21" t="s">
        <v>609</v>
      </c>
      <c r="M1050" s="25">
        <f>DATE(YEAR(OneWeekMtgRatesDataTable75[[#This Row],[asOf]]),MONTH(OneWeekMtgRatesDataTable75[[#This Row],[asOf]]),DAY(OneWeekMtgRatesDataTable75[[#This Row],[asOf]]))</f>
        <v>40792</v>
      </c>
      <c r="N1050" s="21">
        <v>4.12</v>
      </c>
      <c r="O1050" s="21">
        <v>0.7</v>
      </c>
      <c r="P1050" s="21">
        <v>4.0449999999999999</v>
      </c>
    </row>
    <row r="1051" spans="8:16">
      <c r="H1051" s="21"/>
      <c r="I1051" s="21"/>
      <c r="J1051" s="52"/>
      <c r="K1051" s="21"/>
      <c r="L1051" s="21" t="s">
        <v>608</v>
      </c>
      <c r="M1051" s="25">
        <f>DATE(YEAR(OneWeekMtgRatesDataTable75[[#This Row],[asOf]]),MONTH(OneWeekMtgRatesDataTable75[[#This Row],[asOf]]),DAY(OneWeekMtgRatesDataTable75[[#This Row],[asOf]]))</f>
        <v>40788</v>
      </c>
      <c r="N1051" s="21">
        <v>4.12</v>
      </c>
      <c r="O1051" s="21">
        <v>0.7</v>
      </c>
      <c r="P1051" s="21">
        <v>4.0449999999999999</v>
      </c>
    </row>
    <row r="1052" spans="8:16">
      <c r="H1052" s="21"/>
      <c r="I1052" s="21"/>
      <c r="J1052" s="52"/>
      <c r="K1052" s="21"/>
      <c r="L1052" s="21" t="s">
        <v>607</v>
      </c>
      <c r="M1052" s="25">
        <f>DATE(YEAR(OneWeekMtgRatesDataTable75[[#This Row],[asOf]]),MONTH(OneWeekMtgRatesDataTable75[[#This Row],[asOf]]),DAY(OneWeekMtgRatesDataTable75[[#This Row],[asOf]]))</f>
        <v>40787</v>
      </c>
      <c r="N1052" s="21">
        <v>4.12</v>
      </c>
      <c r="O1052" s="21">
        <v>0.7</v>
      </c>
      <c r="P1052" s="21">
        <v>4.0449999999999999</v>
      </c>
    </row>
    <row r="1053" spans="8:16">
      <c r="H1053" s="21"/>
      <c r="I1053" s="21"/>
      <c r="J1053" s="52"/>
      <c r="K1053" s="21"/>
      <c r="L1053" s="21" t="s">
        <v>606</v>
      </c>
      <c r="M1053" s="25">
        <f>DATE(YEAR(OneWeekMtgRatesDataTable75[[#This Row],[asOf]]),MONTH(OneWeekMtgRatesDataTable75[[#This Row],[asOf]]),DAY(OneWeekMtgRatesDataTable75[[#This Row],[asOf]]))</f>
        <v>40786</v>
      </c>
      <c r="N1053" s="21">
        <v>4.22</v>
      </c>
      <c r="O1053" s="21">
        <v>0.7</v>
      </c>
      <c r="P1053" s="21">
        <v>4.1449999999999996</v>
      </c>
    </row>
    <row r="1054" spans="8:16">
      <c r="H1054" s="21"/>
      <c r="I1054" s="21"/>
      <c r="J1054" s="52"/>
      <c r="K1054" s="21"/>
      <c r="L1054" s="21" t="s">
        <v>605</v>
      </c>
      <c r="M1054" s="25">
        <f>DATE(YEAR(OneWeekMtgRatesDataTable75[[#This Row],[asOf]]),MONTH(OneWeekMtgRatesDataTable75[[#This Row],[asOf]]),DAY(OneWeekMtgRatesDataTable75[[#This Row],[asOf]]))</f>
        <v>40785</v>
      </c>
      <c r="N1054" s="21">
        <v>4.22</v>
      </c>
      <c r="O1054" s="21">
        <v>0.7</v>
      </c>
      <c r="P1054" s="21">
        <v>4.1449999999999996</v>
      </c>
    </row>
    <row r="1055" spans="8:16">
      <c r="H1055" s="21"/>
      <c r="I1055" s="21"/>
      <c r="J1055" s="52"/>
      <c r="K1055" s="21"/>
      <c r="L1055" s="21" t="s">
        <v>604</v>
      </c>
      <c r="M1055" s="25">
        <f>DATE(YEAR(OneWeekMtgRatesDataTable75[[#This Row],[asOf]]),MONTH(OneWeekMtgRatesDataTable75[[#This Row],[asOf]]),DAY(OneWeekMtgRatesDataTable75[[#This Row],[asOf]]))</f>
        <v>40784</v>
      </c>
      <c r="N1055" s="21">
        <v>4.22</v>
      </c>
      <c r="O1055" s="21">
        <v>0.7</v>
      </c>
      <c r="P1055" s="21">
        <v>4.1449999999999996</v>
      </c>
    </row>
    <row r="1056" spans="8:16">
      <c r="H1056" s="21"/>
      <c r="I1056" s="21"/>
      <c r="J1056" s="52"/>
      <c r="K1056" s="21"/>
      <c r="L1056" s="21" t="s">
        <v>603</v>
      </c>
      <c r="M1056" s="25">
        <f>DATE(YEAR(OneWeekMtgRatesDataTable75[[#This Row],[asOf]]),MONTH(OneWeekMtgRatesDataTable75[[#This Row],[asOf]]),DAY(OneWeekMtgRatesDataTable75[[#This Row],[asOf]]))</f>
        <v>40781</v>
      </c>
      <c r="N1056" s="21">
        <v>4.22</v>
      </c>
      <c r="O1056" s="21">
        <v>0.7</v>
      </c>
      <c r="P1056" s="21">
        <v>4.1449999999999996</v>
      </c>
    </row>
    <row r="1057" spans="8:16">
      <c r="H1057" s="21"/>
      <c r="I1057" s="21"/>
      <c r="J1057" s="52"/>
      <c r="K1057" s="21"/>
      <c r="L1057" s="21" t="s">
        <v>602</v>
      </c>
      <c r="M1057" s="25">
        <f>DATE(YEAR(OneWeekMtgRatesDataTable75[[#This Row],[asOf]]),MONTH(OneWeekMtgRatesDataTable75[[#This Row],[asOf]]),DAY(OneWeekMtgRatesDataTable75[[#This Row],[asOf]]))</f>
        <v>40780</v>
      </c>
      <c r="N1057" s="21">
        <v>4.22</v>
      </c>
      <c r="O1057" s="21">
        <v>0.7</v>
      </c>
      <c r="P1057" s="21">
        <v>4.1449999999999996</v>
      </c>
    </row>
    <row r="1058" spans="8:16">
      <c r="H1058" s="21"/>
      <c r="I1058" s="21"/>
      <c r="J1058" s="52"/>
      <c r="K1058" s="21"/>
      <c r="L1058" s="21" t="s">
        <v>601</v>
      </c>
      <c r="M1058" s="25">
        <f>DATE(YEAR(OneWeekMtgRatesDataTable75[[#This Row],[asOf]]),MONTH(OneWeekMtgRatesDataTable75[[#This Row],[asOf]]),DAY(OneWeekMtgRatesDataTable75[[#This Row],[asOf]]))</f>
        <v>40779</v>
      </c>
      <c r="N1058" s="21">
        <v>4.22</v>
      </c>
      <c r="O1058" s="21">
        <v>0.7</v>
      </c>
      <c r="P1058" s="21">
        <v>4.1449999999999996</v>
      </c>
    </row>
    <row r="1059" spans="8:16">
      <c r="H1059" s="21"/>
      <c r="I1059" s="21"/>
      <c r="J1059" s="52"/>
      <c r="K1059" s="21"/>
      <c r="L1059" s="21" t="s">
        <v>600</v>
      </c>
      <c r="M1059" s="25">
        <f>DATE(YEAR(OneWeekMtgRatesDataTable75[[#This Row],[asOf]]),MONTH(OneWeekMtgRatesDataTable75[[#This Row],[asOf]]),DAY(OneWeekMtgRatesDataTable75[[#This Row],[asOf]]))</f>
        <v>40778</v>
      </c>
      <c r="N1059" s="21">
        <v>4.22</v>
      </c>
      <c r="O1059" s="21">
        <v>0.7</v>
      </c>
      <c r="P1059" s="21">
        <v>4.1449999999999996</v>
      </c>
    </row>
    <row r="1060" spans="8:16">
      <c r="H1060" s="21"/>
      <c r="I1060" s="21"/>
      <c r="J1060" s="52"/>
      <c r="K1060" s="21"/>
      <c r="L1060" s="21" t="s">
        <v>599</v>
      </c>
      <c r="M1060" s="25">
        <f>DATE(YEAR(OneWeekMtgRatesDataTable75[[#This Row],[asOf]]),MONTH(OneWeekMtgRatesDataTable75[[#This Row],[asOf]]),DAY(OneWeekMtgRatesDataTable75[[#This Row],[asOf]]))</f>
        <v>40777</v>
      </c>
      <c r="N1060" s="21">
        <v>4.22</v>
      </c>
      <c r="O1060" s="21">
        <v>0.7</v>
      </c>
      <c r="P1060" s="21">
        <v>4.1449999999999996</v>
      </c>
    </row>
    <row r="1061" spans="8:16">
      <c r="H1061" s="21"/>
      <c r="I1061" s="21"/>
      <c r="J1061" s="52"/>
      <c r="K1061" s="21"/>
      <c r="L1061" s="21" t="s">
        <v>598</v>
      </c>
      <c r="M1061" s="25">
        <f>DATE(YEAR(OneWeekMtgRatesDataTable75[[#This Row],[asOf]]),MONTH(OneWeekMtgRatesDataTable75[[#This Row],[asOf]]),DAY(OneWeekMtgRatesDataTable75[[#This Row],[asOf]]))</f>
        <v>40774</v>
      </c>
      <c r="N1061" s="21">
        <v>4.22</v>
      </c>
      <c r="O1061" s="21">
        <v>0.7</v>
      </c>
      <c r="P1061" s="21">
        <v>4.1449999999999996</v>
      </c>
    </row>
    <row r="1062" spans="8:16">
      <c r="H1062" s="21"/>
      <c r="I1062" s="21"/>
      <c r="J1062" s="52"/>
      <c r="K1062" s="21"/>
      <c r="L1062" s="21" t="s">
        <v>597</v>
      </c>
      <c r="M1062" s="25">
        <f>DATE(YEAR(OneWeekMtgRatesDataTable75[[#This Row],[asOf]]),MONTH(OneWeekMtgRatesDataTable75[[#This Row],[asOf]]),DAY(OneWeekMtgRatesDataTable75[[#This Row],[asOf]]))</f>
        <v>40773</v>
      </c>
      <c r="N1062" s="21">
        <v>4.22</v>
      </c>
      <c r="O1062" s="21">
        <v>0.7</v>
      </c>
      <c r="P1062" s="21">
        <v>4.1449999999999996</v>
      </c>
    </row>
    <row r="1063" spans="8:16">
      <c r="H1063" s="21"/>
      <c r="I1063" s="21"/>
      <c r="J1063" s="52"/>
      <c r="K1063" s="21"/>
      <c r="L1063" s="21" t="s">
        <v>596</v>
      </c>
      <c r="M1063" s="25">
        <f>DATE(YEAR(OneWeekMtgRatesDataTable75[[#This Row],[asOf]]),MONTH(OneWeekMtgRatesDataTable75[[#This Row],[asOf]]),DAY(OneWeekMtgRatesDataTable75[[#This Row],[asOf]]))</f>
        <v>40772</v>
      </c>
      <c r="N1063" s="21">
        <v>4.1500000000000004</v>
      </c>
      <c r="O1063" s="21">
        <v>0.7</v>
      </c>
      <c r="P1063" s="21">
        <v>4.0750000000000002</v>
      </c>
    </row>
    <row r="1064" spans="8:16">
      <c r="H1064" s="21"/>
      <c r="I1064" s="21"/>
      <c r="J1064" s="52"/>
      <c r="K1064" s="21"/>
      <c r="L1064" s="21" t="s">
        <v>595</v>
      </c>
      <c r="M1064" s="25">
        <f>DATE(YEAR(OneWeekMtgRatesDataTable75[[#This Row],[asOf]]),MONTH(OneWeekMtgRatesDataTable75[[#This Row],[asOf]]),DAY(OneWeekMtgRatesDataTable75[[#This Row],[asOf]]))</f>
        <v>40771</v>
      </c>
      <c r="N1064" s="21">
        <v>4.1500000000000004</v>
      </c>
      <c r="O1064" s="21">
        <v>0.7</v>
      </c>
      <c r="P1064" s="21">
        <v>4.0750000000000002</v>
      </c>
    </row>
    <row r="1065" spans="8:16">
      <c r="H1065" s="21"/>
      <c r="I1065" s="21"/>
      <c r="J1065" s="52"/>
      <c r="K1065" s="21"/>
      <c r="L1065" s="21" t="s">
        <v>594</v>
      </c>
      <c r="M1065" s="25">
        <f>DATE(YEAR(OneWeekMtgRatesDataTable75[[#This Row],[asOf]]),MONTH(OneWeekMtgRatesDataTable75[[#This Row],[asOf]]),DAY(OneWeekMtgRatesDataTable75[[#This Row],[asOf]]))</f>
        <v>40770</v>
      </c>
      <c r="N1065" s="21">
        <v>4.1500000000000004</v>
      </c>
      <c r="O1065" s="21">
        <v>0.7</v>
      </c>
      <c r="P1065" s="21">
        <v>4.0750000000000002</v>
      </c>
    </row>
    <row r="1066" spans="8:16">
      <c r="H1066" s="21"/>
      <c r="I1066" s="21"/>
      <c r="J1066" s="52"/>
      <c r="K1066" s="21"/>
      <c r="L1066" s="21" t="s">
        <v>593</v>
      </c>
      <c r="M1066" s="25">
        <f>DATE(YEAR(OneWeekMtgRatesDataTable75[[#This Row],[asOf]]),MONTH(OneWeekMtgRatesDataTable75[[#This Row],[asOf]]),DAY(OneWeekMtgRatesDataTable75[[#This Row],[asOf]]))</f>
        <v>40767</v>
      </c>
      <c r="N1066" s="21">
        <v>4.1500000000000004</v>
      </c>
      <c r="O1066" s="21">
        <v>0.7</v>
      </c>
      <c r="P1066" s="21">
        <v>4.0750000000000002</v>
      </c>
    </row>
    <row r="1067" spans="8:16">
      <c r="H1067" s="21"/>
      <c r="I1067" s="21"/>
      <c r="J1067" s="52"/>
      <c r="K1067" s="21"/>
      <c r="L1067" s="21" t="s">
        <v>592</v>
      </c>
      <c r="M1067" s="25">
        <f>DATE(YEAR(OneWeekMtgRatesDataTable75[[#This Row],[asOf]]),MONTH(OneWeekMtgRatesDataTable75[[#This Row],[asOf]]),DAY(OneWeekMtgRatesDataTable75[[#This Row],[asOf]]))</f>
        <v>40766</v>
      </c>
      <c r="N1067" s="21">
        <v>4.1500000000000004</v>
      </c>
      <c r="O1067" s="21">
        <v>0.7</v>
      </c>
      <c r="P1067" s="21">
        <v>4.0750000000000002</v>
      </c>
    </row>
    <row r="1068" spans="8:16">
      <c r="H1068" s="21"/>
      <c r="I1068" s="21"/>
      <c r="J1068" s="52"/>
      <c r="K1068" s="21"/>
      <c r="L1068" s="21" t="s">
        <v>591</v>
      </c>
      <c r="M1068" s="25">
        <f>DATE(YEAR(OneWeekMtgRatesDataTable75[[#This Row],[asOf]]),MONTH(OneWeekMtgRatesDataTable75[[#This Row],[asOf]]),DAY(OneWeekMtgRatesDataTable75[[#This Row],[asOf]]))</f>
        <v>40765</v>
      </c>
      <c r="N1068" s="21">
        <v>4.32</v>
      </c>
      <c r="O1068" s="21">
        <v>0.7</v>
      </c>
      <c r="P1068" s="21">
        <v>4.2450000000000001</v>
      </c>
    </row>
    <row r="1069" spans="8:16">
      <c r="H1069" s="21"/>
      <c r="I1069" s="21"/>
      <c r="J1069" s="52"/>
      <c r="K1069" s="21"/>
      <c r="L1069" s="21" t="s">
        <v>590</v>
      </c>
      <c r="M1069" s="25">
        <f>DATE(YEAR(OneWeekMtgRatesDataTable75[[#This Row],[asOf]]),MONTH(OneWeekMtgRatesDataTable75[[#This Row],[asOf]]),DAY(OneWeekMtgRatesDataTable75[[#This Row],[asOf]]))</f>
        <v>40764</v>
      </c>
      <c r="N1069" s="21">
        <v>4.32</v>
      </c>
      <c r="O1069" s="21">
        <v>0.7</v>
      </c>
      <c r="P1069" s="21">
        <v>4.2450000000000001</v>
      </c>
    </row>
    <row r="1070" spans="8:16">
      <c r="H1070" s="21"/>
      <c r="I1070" s="21"/>
      <c r="J1070" s="52"/>
      <c r="K1070" s="21"/>
      <c r="L1070" s="21" t="s">
        <v>589</v>
      </c>
      <c r="M1070" s="25">
        <f>DATE(YEAR(OneWeekMtgRatesDataTable75[[#This Row],[asOf]]),MONTH(OneWeekMtgRatesDataTable75[[#This Row],[asOf]]),DAY(OneWeekMtgRatesDataTable75[[#This Row],[asOf]]))</f>
        <v>40763</v>
      </c>
      <c r="N1070" s="21">
        <v>4.32</v>
      </c>
      <c r="O1070" s="21">
        <v>0.7</v>
      </c>
      <c r="P1070" s="21">
        <v>4.2450000000000001</v>
      </c>
    </row>
    <row r="1071" spans="8:16">
      <c r="H1071" s="21"/>
      <c r="I1071" s="21"/>
      <c r="J1071" s="52"/>
      <c r="K1071" s="21"/>
      <c r="L1071" s="21" t="s">
        <v>588</v>
      </c>
      <c r="M1071" s="25">
        <f>DATE(YEAR(OneWeekMtgRatesDataTable75[[#This Row],[asOf]]),MONTH(OneWeekMtgRatesDataTable75[[#This Row],[asOf]]),DAY(OneWeekMtgRatesDataTable75[[#This Row],[asOf]]))</f>
        <v>40760</v>
      </c>
      <c r="N1071" s="21">
        <v>4.32</v>
      </c>
      <c r="O1071" s="21">
        <v>0.7</v>
      </c>
      <c r="P1071" s="21">
        <v>4.2450000000000001</v>
      </c>
    </row>
    <row r="1072" spans="8:16">
      <c r="H1072" s="21"/>
      <c r="I1072" s="21"/>
      <c r="J1072" s="52"/>
      <c r="K1072" s="21"/>
      <c r="L1072" s="21" t="s">
        <v>587</v>
      </c>
      <c r="M1072" s="25">
        <f>DATE(YEAR(OneWeekMtgRatesDataTable75[[#This Row],[asOf]]),MONTH(OneWeekMtgRatesDataTable75[[#This Row],[asOf]]),DAY(OneWeekMtgRatesDataTable75[[#This Row],[asOf]]))</f>
        <v>40759</v>
      </c>
      <c r="N1072" s="21">
        <v>4.32</v>
      </c>
      <c r="O1072" s="21">
        <v>0.7</v>
      </c>
      <c r="P1072" s="21">
        <v>4.2450000000000001</v>
      </c>
    </row>
    <row r="1073" spans="8:16">
      <c r="H1073" s="21"/>
      <c r="I1073" s="21"/>
      <c r="J1073" s="52"/>
      <c r="K1073" s="21"/>
      <c r="L1073" s="21" t="s">
        <v>586</v>
      </c>
      <c r="M1073" s="25">
        <f>DATE(YEAR(OneWeekMtgRatesDataTable75[[#This Row],[asOf]]),MONTH(OneWeekMtgRatesDataTable75[[#This Row],[asOf]]),DAY(OneWeekMtgRatesDataTable75[[#This Row],[asOf]]))</f>
        <v>40758</v>
      </c>
      <c r="N1073" s="21">
        <v>4.3899999999999997</v>
      </c>
      <c r="O1073" s="21">
        <v>0.8</v>
      </c>
      <c r="P1073" s="21">
        <v>4.34</v>
      </c>
    </row>
    <row r="1074" spans="8:16">
      <c r="H1074" s="21"/>
      <c r="I1074" s="21"/>
      <c r="J1074" s="52"/>
      <c r="K1074" s="21"/>
      <c r="L1074" s="21" t="s">
        <v>585</v>
      </c>
      <c r="M1074" s="25">
        <f>DATE(YEAR(OneWeekMtgRatesDataTable75[[#This Row],[asOf]]),MONTH(OneWeekMtgRatesDataTable75[[#This Row],[asOf]]),DAY(OneWeekMtgRatesDataTable75[[#This Row],[asOf]]))</f>
        <v>40757</v>
      </c>
      <c r="N1074" s="21">
        <v>4.3899999999999997</v>
      </c>
      <c r="O1074" s="21">
        <v>0.8</v>
      </c>
      <c r="P1074" s="21">
        <v>4.34</v>
      </c>
    </row>
    <row r="1075" spans="8:16">
      <c r="H1075" s="21"/>
      <c r="I1075" s="21"/>
      <c r="J1075" s="52"/>
      <c r="K1075" s="21"/>
      <c r="L1075" s="21" t="s">
        <v>584</v>
      </c>
      <c r="M1075" s="25">
        <f>DATE(YEAR(OneWeekMtgRatesDataTable75[[#This Row],[asOf]]),MONTH(OneWeekMtgRatesDataTable75[[#This Row],[asOf]]),DAY(OneWeekMtgRatesDataTable75[[#This Row],[asOf]]))</f>
        <v>40756</v>
      </c>
      <c r="N1075" s="21">
        <v>4.3899999999999997</v>
      </c>
      <c r="O1075" s="21">
        <v>0.8</v>
      </c>
      <c r="P1075" s="21">
        <v>4.34</v>
      </c>
    </row>
    <row r="1076" spans="8:16">
      <c r="H1076" s="21"/>
      <c r="I1076" s="21"/>
      <c r="J1076" s="52"/>
      <c r="K1076" s="21"/>
      <c r="L1076" s="21" t="s">
        <v>583</v>
      </c>
      <c r="M1076" s="25">
        <f>DATE(YEAR(OneWeekMtgRatesDataTable75[[#This Row],[asOf]]),MONTH(OneWeekMtgRatesDataTable75[[#This Row],[asOf]]),DAY(OneWeekMtgRatesDataTable75[[#This Row],[asOf]]))</f>
        <v>40753</v>
      </c>
      <c r="N1076" s="21">
        <v>4.3899999999999997</v>
      </c>
      <c r="O1076" s="21">
        <v>0.8</v>
      </c>
      <c r="P1076" s="21">
        <v>4.34</v>
      </c>
    </row>
    <row r="1077" spans="8:16">
      <c r="H1077" s="21"/>
      <c r="I1077" s="21"/>
      <c r="J1077" s="52"/>
      <c r="K1077" s="21"/>
      <c r="L1077" s="21" t="s">
        <v>582</v>
      </c>
      <c r="M1077" s="25">
        <f>DATE(YEAR(OneWeekMtgRatesDataTable75[[#This Row],[asOf]]),MONTH(OneWeekMtgRatesDataTable75[[#This Row],[asOf]]),DAY(OneWeekMtgRatesDataTable75[[#This Row],[asOf]]))</f>
        <v>40752</v>
      </c>
      <c r="N1077" s="21">
        <v>4.3899999999999997</v>
      </c>
      <c r="O1077" s="21">
        <v>0.8</v>
      </c>
      <c r="P1077" s="21">
        <v>4.34</v>
      </c>
    </row>
    <row r="1078" spans="8:16">
      <c r="H1078" s="21"/>
      <c r="I1078" s="21"/>
      <c r="J1078" s="52"/>
      <c r="K1078" s="21"/>
      <c r="L1078" s="21" t="s">
        <v>581</v>
      </c>
      <c r="M1078" s="25">
        <f>DATE(YEAR(OneWeekMtgRatesDataTable75[[#This Row],[asOf]]),MONTH(OneWeekMtgRatesDataTable75[[#This Row],[asOf]]),DAY(OneWeekMtgRatesDataTable75[[#This Row],[asOf]]))</f>
        <v>40751</v>
      </c>
      <c r="N1078" s="21">
        <v>4.55</v>
      </c>
      <c r="O1078" s="21">
        <v>0.8</v>
      </c>
      <c r="P1078" s="21">
        <v>4.5</v>
      </c>
    </row>
    <row r="1079" spans="8:16">
      <c r="H1079" s="21"/>
      <c r="I1079" s="21"/>
      <c r="J1079" s="52"/>
      <c r="K1079" s="21"/>
      <c r="L1079" s="21" t="s">
        <v>580</v>
      </c>
      <c r="M1079" s="25">
        <f>DATE(YEAR(OneWeekMtgRatesDataTable75[[#This Row],[asOf]]),MONTH(OneWeekMtgRatesDataTable75[[#This Row],[asOf]]),DAY(OneWeekMtgRatesDataTable75[[#This Row],[asOf]]))</f>
        <v>40750</v>
      </c>
      <c r="N1079" s="21">
        <v>4.55</v>
      </c>
      <c r="O1079" s="21">
        <v>0.8</v>
      </c>
      <c r="P1079" s="21">
        <v>4.5</v>
      </c>
    </row>
    <row r="1080" spans="8:16">
      <c r="H1080" s="21"/>
      <c r="I1080" s="21"/>
      <c r="J1080" s="52"/>
      <c r="K1080" s="21"/>
      <c r="L1080" s="21" t="s">
        <v>579</v>
      </c>
      <c r="M1080" s="25">
        <f>DATE(YEAR(OneWeekMtgRatesDataTable75[[#This Row],[asOf]]),MONTH(OneWeekMtgRatesDataTable75[[#This Row],[asOf]]),DAY(OneWeekMtgRatesDataTable75[[#This Row],[asOf]]))</f>
        <v>40749</v>
      </c>
      <c r="N1080" s="21">
        <v>4.55</v>
      </c>
      <c r="O1080" s="21">
        <v>0.8</v>
      </c>
      <c r="P1080" s="21">
        <v>4.5</v>
      </c>
    </row>
    <row r="1081" spans="8:16">
      <c r="H1081" s="21"/>
      <c r="I1081" s="21"/>
      <c r="J1081" s="52"/>
      <c r="K1081" s="21"/>
      <c r="L1081" s="21" t="s">
        <v>578</v>
      </c>
      <c r="M1081" s="25">
        <f>DATE(YEAR(OneWeekMtgRatesDataTable75[[#This Row],[asOf]]),MONTH(OneWeekMtgRatesDataTable75[[#This Row],[asOf]]),DAY(OneWeekMtgRatesDataTable75[[#This Row],[asOf]]))</f>
        <v>40746</v>
      </c>
      <c r="N1081" s="21">
        <v>4.55</v>
      </c>
      <c r="O1081" s="21">
        <v>0.8</v>
      </c>
      <c r="P1081" s="21">
        <v>4.5</v>
      </c>
    </row>
    <row r="1082" spans="8:16">
      <c r="H1082" s="21"/>
      <c r="I1082" s="21"/>
      <c r="J1082" s="52"/>
      <c r="K1082" s="21"/>
      <c r="L1082" s="21" t="s">
        <v>577</v>
      </c>
      <c r="M1082" s="25">
        <f>DATE(YEAR(OneWeekMtgRatesDataTable75[[#This Row],[asOf]]),MONTH(OneWeekMtgRatesDataTable75[[#This Row],[asOf]]),DAY(OneWeekMtgRatesDataTable75[[#This Row],[asOf]]))</f>
        <v>40745</v>
      </c>
      <c r="N1082" s="21">
        <v>4.55</v>
      </c>
      <c r="O1082" s="21">
        <v>0.8</v>
      </c>
      <c r="P1082" s="21">
        <v>4.5</v>
      </c>
    </row>
    <row r="1083" spans="8:16">
      <c r="H1083" s="21"/>
      <c r="I1083" s="21"/>
      <c r="J1083" s="52"/>
      <c r="K1083" s="21"/>
      <c r="L1083" s="21" t="s">
        <v>576</v>
      </c>
      <c r="M1083" s="25">
        <f>DATE(YEAR(OneWeekMtgRatesDataTable75[[#This Row],[asOf]]),MONTH(OneWeekMtgRatesDataTable75[[#This Row],[asOf]]),DAY(OneWeekMtgRatesDataTable75[[#This Row],[asOf]]))</f>
        <v>40744</v>
      </c>
      <c r="N1083" s="21">
        <v>4.5199999999999996</v>
      </c>
      <c r="O1083" s="21">
        <v>0.7</v>
      </c>
      <c r="P1083" s="21">
        <v>4.4449999999999994</v>
      </c>
    </row>
    <row r="1084" spans="8:16">
      <c r="H1084" s="21"/>
      <c r="I1084" s="21"/>
      <c r="J1084" s="52"/>
      <c r="K1084" s="21"/>
      <c r="L1084" s="21" t="s">
        <v>575</v>
      </c>
      <c r="M1084" s="25">
        <f>DATE(YEAR(OneWeekMtgRatesDataTable75[[#This Row],[asOf]]),MONTH(OneWeekMtgRatesDataTable75[[#This Row],[asOf]]),DAY(OneWeekMtgRatesDataTable75[[#This Row],[asOf]]))</f>
        <v>40743</v>
      </c>
      <c r="N1084" s="21">
        <v>4.5199999999999996</v>
      </c>
      <c r="O1084" s="21">
        <v>0.7</v>
      </c>
      <c r="P1084" s="21">
        <v>4.4449999999999994</v>
      </c>
    </row>
    <row r="1085" spans="8:16">
      <c r="H1085" s="21"/>
      <c r="I1085" s="21"/>
      <c r="J1085" s="52"/>
      <c r="K1085" s="21"/>
      <c r="L1085" s="21" t="s">
        <v>574</v>
      </c>
      <c r="M1085" s="25">
        <f>DATE(YEAR(OneWeekMtgRatesDataTable75[[#This Row],[asOf]]),MONTH(OneWeekMtgRatesDataTable75[[#This Row],[asOf]]),DAY(OneWeekMtgRatesDataTable75[[#This Row],[asOf]]))</f>
        <v>40742</v>
      </c>
      <c r="N1085" s="21">
        <v>4.5199999999999996</v>
      </c>
      <c r="O1085" s="21">
        <v>0.7</v>
      </c>
      <c r="P1085" s="21">
        <v>4.4449999999999994</v>
      </c>
    </row>
    <row r="1086" spans="8:16">
      <c r="H1086" s="21"/>
      <c r="I1086" s="21"/>
      <c r="J1086" s="52"/>
      <c r="K1086" s="21"/>
      <c r="L1086" s="21" t="s">
        <v>573</v>
      </c>
      <c r="M1086" s="25">
        <f>DATE(YEAR(OneWeekMtgRatesDataTable75[[#This Row],[asOf]]),MONTH(OneWeekMtgRatesDataTable75[[#This Row],[asOf]]),DAY(OneWeekMtgRatesDataTable75[[#This Row],[asOf]]))</f>
        <v>40739</v>
      </c>
      <c r="N1086" s="21">
        <v>4.5199999999999996</v>
      </c>
      <c r="O1086" s="21">
        <v>0.7</v>
      </c>
      <c r="P1086" s="21">
        <v>4.4449999999999994</v>
      </c>
    </row>
    <row r="1087" spans="8:16">
      <c r="H1087" s="21"/>
      <c r="I1087" s="21"/>
      <c r="J1087" s="52"/>
      <c r="K1087" s="21"/>
      <c r="L1087" s="21" t="s">
        <v>572</v>
      </c>
      <c r="M1087" s="25">
        <f>DATE(YEAR(OneWeekMtgRatesDataTable75[[#This Row],[asOf]]),MONTH(OneWeekMtgRatesDataTable75[[#This Row],[asOf]]),DAY(OneWeekMtgRatesDataTable75[[#This Row],[asOf]]))</f>
        <v>40738</v>
      </c>
      <c r="N1087" s="21">
        <v>4.5199999999999996</v>
      </c>
      <c r="O1087" s="21">
        <v>0.7</v>
      </c>
      <c r="P1087" s="21">
        <v>4.4449999999999994</v>
      </c>
    </row>
    <row r="1088" spans="8:16">
      <c r="H1088" s="21"/>
      <c r="I1088" s="21"/>
      <c r="J1088" s="52"/>
      <c r="K1088" s="21"/>
      <c r="L1088" s="21" t="s">
        <v>571</v>
      </c>
      <c r="M1088" s="25">
        <f>DATE(YEAR(OneWeekMtgRatesDataTable75[[#This Row],[asOf]]),MONTH(OneWeekMtgRatesDataTable75[[#This Row],[asOf]]),DAY(OneWeekMtgRatesDataTable75[[#This Row],[asOf]]))</f>
        <v>40737</v>
      </c>
      <c r="N1088" s="21">
        <v>4.51</v>
      </c>
      <c r="O1088" s="21">
        <v>0.7</v>
      </c>
      <c r="P1088" s="21">
        <v>4.4349999999999996</v>
      </c>
    </row>
    <row r="1089" spans="8:16">
      <c r="H1089" s="21"/>
      <c r="I1089" s="21"/>
      <c r="J1089" s="52"/>
      <c r="K1089" s="21"/>
      <c r="L1089" s="21" t="s">
        <v>570</v>
      </c>
      <c r="M1089" s="25">
        <f>DATE(YEAR(OneWeekMtgRatesDataTable75[[#This Row],[asOf]]),MONTH(OneWeekMtgRatesDataTable75[[#This Row],[asOf]]),DAY(OneWeekMtgRatesDataTable75[[#This Row],[asOf]]))</f>
        <v>40736</v>
      </c>
      <c r="N1089" s="21">
        <v>4.51</v>
      </c>
      <c r="O1089" s="21">
        <v>0.7</v>
      </c>
      <c r="P1089" s="21">
        <v>4.4349999999999996</v>
      </c>
    </row>
    <row r="1090" spans="8:16">
      <c r="H1090" s="21"/>
      <c r="I1090" s="21"/>
      <c r="J1090" s="52"/>
      <c r="K1090" s="21"/>
      <c r="L1090" s="21" t="s">
        <v>569</v>
      </c>
      <c r="M1090" s="25">
        <f>DATE(YEAR(OneWeekMtgRatesDataTable75[[#This Row],[asOf]]),MONTH(OneWeekMtgRatesDataTable75[[#This Row],[asOf]]),DAY(OneWeekMtgRatesDataTable75[[#This Row],[asOf]]))</f>
        <v>40735</v>
      </c>
      <c r="N1090" s="21">
        <v>4.51</v>
      </c>
      <c r="O1090" s="21">
        <v>0.7</v>
      </c>
      <c r="P1090" s="21">
        <v>4.4349999999999996</v>
      </c>
    </row>
    <row r="1091" spans="8:16">
      <c r="H1091" s="21"/>
      <c r="I1091" s="21"/>
      <c r="J1091" s="52"/>
      <c r="K1091" s="21"/>
      <c r="L1091" s="21" t="s">
        <v>568</v>
      </c>
      <c r="M1091" s="25">
        <f>DATE(YEAR(OneWeekMtgRatesDataTable75[[#This Row],[asOf]]),MONTH(OneWeekMtgRatesDataTable75[[#This Row],[asOf]]),DAY(OneWeekMtgRatesDataTable75[[#This Row],[asOf]]))</f>
        <v>40732</v>
      </c>
      <c r="N1091" s="21">
        <v>4.51</v>
      </c>
      <c r="O1091" s="21">
        <v>0.7</v>
      </c>
      <c r="P1091" s="21">
        <v>4.4349999999999996</v>
      </c>
    </row>
    <row r="1092" spans="8:16">
      <c r="H1092" s="21"/>
      <c r="I1092" s="21"/>
      <c r="J1092" s="52"/>
      <c r="K1092" s="21"/>
      <c r="L1092" s="21" t="s">
        <v>567</v>
      </c>
      <c r="M1092" s="25">
        <f>DATE(YEAR(OneWeekMtgRatesDataTable75[[#This Row],[asOf]]),MONTH(OneWeekMtgRatesDataTable75[[#This Row],[asOf]]),DAY(OneWeekMtgRatesDataTable75[[#This Row],[asOf]]))</f>
        <v>40731</v>
      </c>
      <c r="N1092" s="21">
        <v>4.51</v>
      </c>
      <c r="O1092" s="21">
        <v>0.7</v>
      </c>
      <c r="P1092" s="21">
        <v>4.4349999999999996</v>
      </c>
    </row>
    <row r="1093" spans="8:16">
      <c r="H1093" s="21"/>
      <c r="I1093" s="21"/>
      <c r="J1093" s="52"/>
      <c r="K1093" s="21"/>
      <c r="L1093" s="21" t="s">
        <v>566</v>
      </c>
      <c r="M1093" s="25">
        <f>DATE(YEAR(OneWeekMtgRatesDataTable75[[#This Row],[asOf]]),MONTH(OneWeekMtgRatesDataTable75[[#This Row],[asOf]]),DAY(OneWeekMtgRatesDataTable75[[#This Row],[asOf]]))</f>
        <v>40730</v>
      </c>
      <c r="N1093" s="21">
        <v>4.5999999999999996</v>
      </c>
      <c r="O1093" s="21">
        <v>0.7</v>
      </c>
      <c r="P1093" s="21">
        <v>4.5249999999999995</v>
      </c>
    </row>
    <row r="1094" spans="8:16">
      <c r="H1094" s="21"/>
      <c r="I1094" s="21"/>
      <c r="J1094" s="52"/>
      <c r="K1094" s="21"/>
      <c r="L1094" s="21" t="s">
        <v>565</v>
      </c>
      <c r="M1094" s="25">
        <f>DATE(YEAR(OneWeekMtgRatesDataTable75[[#This Row],[asOf]]),MONTH(OneWeekMtgRatesDataTable75[[#This Row],[asOf]]),DAY(OneWeekMtgRatesDataTable75[[#This Row],[asOf]]))</f>
        <v>40729</v>
      </c>
      <c r="N1094" s="21">
        <v>4.5999999999999996</v>
      </c>
      <c r="O1094" s="21">
        <v>0.7</v>
      </c>
      <c r="P1094" s="21">
        <v>4.5249999999999995</v>
      </c>
    </row>
    <row r="1095" spans="8:16">
      <c r="H1095" s="21"/>
      <c r="I1095" s="21"/>
      <c r="J1095" s="52"/>
      <c r="K1095" s="21"/>
      <c r="L1095" s="21" t="s">
        <v>564</v>
      </c>
      <c r="M1095" s="25">
        <f>DATE(YEAR(OneWeekMtgRatesDataTable75[[#This Row],[asOf]]),MONTH(OneWeekMtgRatesDataTable75[[#This Row],[asOf]]),DAY(OneWeekMtgRatesDataTable75[[#This Row],[asOf]]))</f>
        <v>40725</v>
      </c>
      <c r="N1095" s="21">
        <v>4.5999999999999996</v>
      </c>
      <c r="O1095" s="21">
        <v>0.7</v>
      </c>
      <c r="P1095" s="21">
        <v>4.5249999999999995</v>
      </c>
    </row>
    <row r="1096" spans="8:16">
      <c r="H1096" s="21"/>
      <c r="I1096" s="21"/>
      <c r="J1096" s="52"/>
      <c r="K1096" s="21"/>
      <c r="L1096" s="21" t="s">
        <v>563</v>
      </c>
      <c r="M1096" s="25">
        <f>DATE(YEAR(OneWeekMtgRatesDataTable75[[#This Row],[asOf]]),MONTH(OneWeekMtgRatesDataTable75[[#This Row],[asOf]]),DAY(OneWeekMtgRatesDataTable75[[#This Row],[asOf]]))</f>
        <v>40724</v>
      </c>
      <c r="N1096" s="21">
        <v>4.5999999999999996</v>
      </c>
      <c r="O1096" s="21">
        <v>0.7</v>
      </c>
      <c r="P1096" s="21">
        <v>4.5249999999999995</v>
      </c>
    </row>
    <row r="1097" spans="8:16">
      <c r="H1097" s="21"/>
      <c r="I1097" s="21"/>
      <c r="J1097" s="52"/>
      <c r="K1097" s="21"/>
      <c r="L1097" s="21" t="s">
        <v>562</v>
      </c>
      <c r="M1097" s="25">
        <f>DATE(YEAR(OneWeekMtgRatesDataTable75[[#This Row],[asOf]]),MONTH(OneWeekMtgRatesDataTable75[[#This Row],[asOf]]),DAY(OneWeekMtgRatesDataTable75[[#This Row],[asOf]]))</f>
        <v>40723</v>
      </c>
      <c r="N1097" s="21">
        <v>4.51</v>
      </c>
      <c r="O1097" s="21">
        <v>0.7</v>
      </c>
      <c r="P1097" s="21">
        <v>4.4349999999999996</v>
      </c>
    </row>
    <row r="1098" spans="8:16">
      <c r="H1098" s="21"/>
      <c r="I1098" s="21"/>
      <c r="J1098" s="52"/>
      <c r="K1098" s="21"/>
      <c r="L1098" s="21" t="s">
        <v>561</v>
      </c>
      <c r="M1098" s="25">
        <f>DATE(YEAR(OneWeekMtgRatesDataTable75[[#This Row],[asOf]]),MONTH(OneWeekMtgRatesDataTable75[[#This Row],[asOf]]),DAY(OneWeekMtgRatesDataTable75[[#This Row],[asOf]]))</f>
        <v>40722</v>
      </c>
      <c r="N1098" s="21">
        <v>4.51</v>
      </c>
      <c r="O1098" s="21">
        <v>0.7</v>
      </c>
      <c r="P1098" s="21">
        <v>4.4349999999999996</v>
      </c>
    </row>
    <row r="1099" spans="8:16">
      <c r="H1099" s="21"/>
      <c r="I1099" s="21"/>
      <c r="J1099" s="52"/>
      <c r="K1099" s="21"/>
      <c r="L1099" s="21" t="s">
        <v>560</v>
      </c>
      <c r="M1099" s="25">
        <f>DATE(YEAR(OneWeekMtgRatesDataTable75[[#This Row],[asOf]]),MONTH(OneWeekMtgRatesDataTable75[[#This Row],[asOf]]),DAY(OneWeekMtgRatesDataTable75[[#This Row],[asOf]]))</f>
        <v>40721</v>
      </c>
      <c r="N1099" s="21">
        <v>4.51</v>
      </c>
      <c r="O1099" s="21">
        <v>0.7</v>
      </c>
      <c r="P1099" s="21">
        <v>4.4349999999999996</v>
      </c>
    </row>
    <row r="1100" spans="8:16">
      <c r="H1100" s="21"/>
      <c r="I1100" s="21"/>
      <c r="J1100" s="52"/>
      <c r="K1100" s="21"/>
      <c r="L1100" s="21" t="s">
        <v>559</v>
      </c>
      <c r="M1100" s="25">
        <f>DATE(YEAR(OneWeekMtgRatesDataTable75[[#This Row],[asOf]]),MONTH(OneWeekMtgRatesDataTable75[[#This Row],[asOf]]),DAY(OneWeekMtgRatesDataTable75[[#This Row],[asOf]]))</f>
        <v>40718</v>
      </c>
      <c r="N1100" s="21">
        <v>4.51</v>
      </c>
      <c r="O1100" s="21">
        <v>0.7</v>
      </c>
      <c r="P1100" s="21">
        <v>4.4349999999999996</v>
      </c>
    </row>
    <row r="1101" spans="8:16">
      <c r="H1101" s="21"/>
      <c r="I1101" s="21"/>
      <c r="J1101" s="52"/>
      <c r="K1101" s="21"/>
      <c r="L1101" s="21" t="s">
        <v>558</v>
      </c>
      <c r="M1101" s="25">
        <f>DATE(YEAR(OneWeekMtgRatesDataTable75[[#This Row],[asOf]]),MONTH(OneWeekMtgRatesDataTable75[[#This Row],[asOf]]),DAY(OneWeekMtgRatesDataTable75[[#This Row],[asOf]]))</f>
        <v>40717</v>
      </c>
      <c r="N1101" s="21">
        <v>4.51</v>
      </c>
      <c r="O1101" s="21">
        <v>0.7</v>
      </c>
      <c r="P1101" s="21">
        <v>4.4349999999999996</v>
      </c>
    </row>
    <row r="1102" spans="8:16">
      <c r="H1102" s="21"/>
      <c r="I1102" s="21"/>
      <c r="J1102" s="52"/>
      <c r="K1102" s="21"/>
      <c r="L1102" s="21" t="s">
        <v>557</v>
      </c>
      <c r="M1102" s="25">
        <f>DATE(YEAR(OneWeekMtgRatesDataTable75[[#This Row],[asOf]]),MONTH(OneWeekMtgRatesDataTable75[[#This Row],[asOf]]),DAY(OneWeekMtgRatesDataTable75[[#This Row],[asOf]]))</f>
        <v>40716</v>
      </c>
      <c r="N1102" s="21">
        <v>4.5</v>
      </c>
      <c r="O1102" s="21">
        <v>0.8</v>
      </c>
      <c r="P1102" s="21">
        <v>4.45</v>
      </c>
    </row>
    <row r="1103" spans="8:16">
      <c r="H1103" s="21"/>
      <c r="I1103" s="21"/>
      <c r="J1103" s="52"/>
      <c r="K1103" s="21"/>
      <c r="L1103" s="21" t="s">
        <v>556</v>
      </c>
      <c r="M1103" s="25">
        <f>DATE(YEAR(OneWeekMtgRatesDataTable75[[#This Row],[asOf]]),MONTH(OneWeekMtgRatesDataTable75[[#This Row],[asOf]]),DAY(OneWeekMtgRatesDataTable75[[#This Row],[asOf]]))</f>
        <v>40715</v>
      </c>
      <c r="N1103" s="21">
        <v>4.5</v>
      </c>
      <c r="O1103" s="21">
        <v>0.8</v>
      </c>
      <c r="P1103" s="21">
        <v>4.45</v>
      </c>
    </row>
    <row r="1104" spans="8:16">
      <c r="H1104" s="21"/>
      <c r="I1104" s="21"/>
      <c r="J1104" s="52"/>
      <c r="K1104" s="21"/>
      <c r="L1104" s="21" t="s">
        <v>555</v>
      </c>
      <c r="M1104" s="25">
        <f>DATE(YEAR(OneWeekMtgRatesDataTable75[[#This Row],[asOf]]),MONTH(OneWeekMtgRatesDataTable75[[#This Row],[asOf]]),DAY(OneWeekMtgRatesDataTable75[[#This Row],[asOf]]))</f>
        <v>40714</v>
      </c>
      <c r="N1104" s="21">
        <v>4.5</v>
      </c>
      <c r="O1104" s="21">
        <v>0.8</v>
      </c>
      <c r="P1104" s="21">
        <v>4.45</v>
      </c>
    </row>
    <row r="1105" spans="8:16">
      <c r="H1105" s="21"/>
      <c r="I1105" s="21"/>
      <c r="J1105" s="52"/>
      <c r="K1105" s="21"/>
      <c r="L1105" s="21" t="s">
        <v>554</v>
      </c>
      <c r="M1105" s="25">
        <f>DATE(YEAR(OneWeekMtgRatesDataTable75[[#This Row],[asOf]]),MONTH(OneWeekMtgRatesDataTable75[[#This Row],[asOf]]),DAY(OneWeekMtgRatesDataTable75[[#This Row],[asOf]]))</f>
        <v>40711</v>
      </c>
      <c r="N1105" s="21">
        <v>4.5</v>
      </c>
      <c r="O1105" s="21">
        <v>0.8</v>
      </c>
      <c r="P1105" s="21">
        <v>4.45</v>
      </c>
    </row>
    <row r="1106" spans="8:16">
      <c r="H1106" s="21"/>
      <c r="I1106" s="21"/>
      <c r="J1106" s="52"/>
      <c r="K1106" s="21"/>
      <c r="L1106" s="21" t="s">
        <v>553</v>
      </c>
      <c r="M1106" s="25">
        <f>DATE(YEAR(OneWeekMtgRatesDataTable75[[#This Row],[asOf]]),MONTH(OneWeekMtgRatesDataTable75[[#This Row],[asOf]]),DAY(OneWeekMtgRatesDataTable75[[#This Row],[asOf]]))</f>
        <v>40710</v>
      </c>
      <c r="N1106" s="21">
        <v>4.5</v>
      </c>
      <c r="O1106" s="21">
        <v>0.8</v>
      </c>
      <c r="P1106" s="21">
        <v>4.45</v>
      </c>
    </row>
    <row r="1107" spans="8:16">
      <c r="H1107" s="21"/>
      <c r="I1107" s="21"/>
      <c r="J1107" s="52"/>
      <c r="K1107" s="21"/>
      <c r="L1107" s="21" t="s">
        <v>552</v>
      </c>
      <c r="M1107" s="25">
        <f>DATE(YEAR(OneWeekMtgRatesDataTable75[[#This Row],[asOf]]),MONTH(OneWeekMtgRatesDataTable75[[#This Row],[asOf]]),DAY(OneWeekMtgRatesDataTable75[[#This Row],[asOf]]))</f>
        <v>40709</v>
      </c>
      <c r="N1107" s="21">
        <v>4.5</v>
      </c>
      <c r="O1107" s="21">
        <v>0.7</v>
      </c>
      <c r="P1107" s="21">
        <v>4.4249999999999998</v>
      </c>
    </row>
    <row r="1108" spans="8:16">
      <c r="H1108" s="21"/>
      <c r="I1108" s="21"/>
      <c r="J1108" s="52"/>
      <c r="K1108" s="21"/>
      <c r="L1108" s="21" t="s">
        <v>551</v>
      </c>
      <c r="M1108" s="25">
        <f>DATE(YEAR(OneWeekMtgRatesDataTable75[[#This Row],[asOf]]),MONTH(OneWeekMtgRatesDataTable75[[#This Row],[asOf]]),DAY(OneWeekMtgRatesDataTable75[[#This Row],[asOf]]))</f>
        <v>40708</v>
      </c>
      <c r="N1108" s="21">
        <v>4.5</v>
      </c>
      <c r="O1108" s="21">
        <v>0.7</v>
      </c>
      <c r="P1108" s="21">
        <v>4.4249999999999998</v>
      </c>
    </row>
    <row r="1109" spans="8:16">
      <c r="H1109" s="21"/>
      <c r="I1109" s="21"/>
      <c r="J1109" s="52"/>
      <c r="K1109" s="21"/>
      <c r="L1109" s="21" t="s">
        <v>550</v>
      </c>
      <c r="M1109" s="25">
        <f>DATE(YEAR(OneWeekMtgRatesDataTable75[[#This Row],[asOf]]),MONTH(OneWeekMtgRatesDataTable75[[#This Row],[asOf]]),DAY(OneWeekMtgRatesDataTable75[[#This Row],[asOf]]))</f>
        <v>40707</v>
      </c>
      <c r="N1109" s="21">
        <v>4.5</v>
      </c>
      <c r="O1109" s="21">
        <v>0.7</v>
      </c>
      <c r="P1109" s="21">
        <v>4.4249999999999998</v>
      </c>
    </row>
    <row r="1110" spans="8:16">
      <c r="H1110" s="21"/>
      <c r="I1110" s="21"/>
      <c r="J1110" s="52"/>
      <c r="K1110" s="21"/>
      <c r="L1110" s="21" t="s">
        <v>549</v>
      </c>
      <c r="M1110" s="25">
        <f>DATE(YEAR(OneWeekMtgRatesDataTable75[[#This Row],[asOf]]),MONTH(OneWeekMtgRatesDataTable75[[#This Row],[asOf]]),DAY(OneWeekMtgRatesDataTable75[[#This Row],[asOf]]))</f>
        <v>40704</v>
      </c>
      <c r="N1110" s="21">
        <v>4.5</v>
      </c>
      <c r="O1110" s="21">
        <v>0.7</v>
      </c>
      <c r="P1110" s="21">
        <v>4.4249999999999998</v>
      </c>
    </row>
    <row r="1111" spans="8:16">
      <c r="H1111" s="21"/>
      <c r="I1111" s="21"/>
      <c r="J1111" s="52"/>
      <c r="K1111" s="21"/>
      <c r="L1111" s="21" t="s">
        <v>548</v>
      </c>
      <c r="M1111" s="25">
        <f>DATE(YEAR(OneWeekMtgRatesDataTable75[[#This Row],[asOf]]),MONTH(OneWeekMtgRatesDataTable75[[#This Row],[asOf]]),DAY(OneWeekMtgRatesDataTable75[[#This Row],[asOf]]))</f>
        <v>40703</v>
      </c>
      <c r="N1111" s="21">
        <v>4.5</v>
      </c>
      <c r="O1111" s="21">
        <v>0.7</v>
      </c>
      <c r="P1111" s="21">
        <v>4.4249999999999998</v>
      </c>
    </row>
    <row r="1112" spans="8:16">
      <c r="H1112" s="21"/>
      <c r="I1112" s="21"/>
      <c r="J1112" s="52"/>
      <c r="K1112" s="21"/>
      <c r="L1112" s="21" t="s">
        <v>547</v>
      </c>
      <c r="M1112" s="25">
        <f>DATE(YEAR(OneWeekMtgRatesDataTable75[[#This Row],[asOf]]),MONTH(OneWeekMtgRatesDataTable75[[#This Row],[asOf]]),DAY(OneWeekMtgRatesDataTable75[[#This Row],[asOf]]))</f>
        <v>40702</v>
      </c>
      <c r="N1112" s="21">
        <v>4.49</v>
      </c>
      <c r="O1112" s="21">
        <v>0.7</v>
      </c>
      <c r="P1112" s="21">
        <v>4.415</v>
      </c>
    </row>
    <row r="1113" spans="8:16">
      <c r="H1113" s="21"/>
      <c r="I1113" s="21"/>
      <c r="J1113" s="52"/>
      <c r="K1113" s="21"/>
      <c r="L1113" s="21" t="s">
        <v>546</v>
      </c>
      <c r="M1113" s="25">
        <f>DATE(YEAR(OneWeekMtgRatesDataTable75[[#This Row],[asOf]]),MONTH(OneWeekMtgRatesDataTable75[[#This Row],[asOf]]),DAY(OneWeekMtgRatesDataTable75[[#This Row],[asOf]]))</f>
        <v>40701</v>
      </c>
      <c r="N1113" s="21">
        <v>4.49</v>
      </c>
      <c r="O1113" s="21">
        <v>0.7</v>
      </c>
      <c r="P1113" s="21">
        <v>4.415</v>
      </c>
    </row>
    <row r="1114" spans="8:16">
      <c r="H1114" s="21"/>
      <c r="I1114" s="21"/>
      <c r="J1114" s="52"/>
      <c r="K1114" s="21"/>
      <c r="L1114" s="21" t="s">
        <v>545</v>
      </c>
      <c r="M1114" s="25">
        <f>DATE(YEAR(OneWeekMtgRatesDataTable75[[#This Row],[asOf]]),MONTH(OneWeekMtgRatesDataTable75[[#This Row],[asOf]]),DAY(OneWeekMtgRatesDataTable75[[#This Row],[asOf]]))</f>
        <v>40700</v>
      </c>
      <c r="N1114" s="21">
        <v>4.49</v>
      </c>
      <c r="O1114" s="21">
        <v>0.7</v>
      </c>
      <c r="P1114" s="21">
        <v>4.415</v>
      </c>
    </row>
    <row r="1115" spans="8:16">
      <c r="H1115" s="21"/>
      <c r="I1115" s="21"/>
      <c r="J1115" s="52"/>
      <c r="K1115" s="21"/>
      <c r="L1115" s="21" t="s">
        <v>544</v>
      </c>
      <c r="M1115" s="25">
        <f>DATE(YEAR(OneWeekMtgRatesDataTable75[[#This Row],[asOf]]),MONTH(OneWeekMtgRatesDataTable75[[#This Row],[asOf]]),DAY(OneWeekMtgRatesDataTable75[[#This Row],[asOf]]))</f>
        <v>40697</v>
      </c>
      <c r="N1115" s="21">
        <v>4.49</v>
      </c>
      <c r="O1115" s="21">
        <v>0.7</v>
      </c>
      <c r="P1115" s="21">
        <v>4.415</v>
      </c>
    </row>
    <row r="1116" spans="8:16">
      <c r="H1116" s="21"/>
      <c r="I1116" s="21"/>
      <c r="J1116" s="52"/>
      <c r="K1116" s="21"/>
      <c r="L1116" s="21" t="s">
        <v>543</v>
      </c>
      <c r="M1116" s="25">
        <f>DATE(YEAR(OneWeekMtgRatesDataTable75[[#This Row],[asOf]]),MONTH(OneWeekMtgRatesDataTable75[[#This Row],[asOf]]),DAY(OneWeekMtgRatesDataTable75[[#This Row],[asOf]]))</f>
        <v>40696</v>
      </c>
      <c r="N1116" s="21">
        <v>4.49</v>
      </c>
      <c r="O1116" s="21">
        <v>0.7</v>
      </c>
      <c r="P1116" s="21">
        <v>4.415</v>
      </c>
    </row>
    <row r="1117" spans="8:16">
      <c r="H1117" s="21"/>
      <c r="I1117" s="21"/>
      <c r="J1117" s="52"/>
      <c r="K1117" s="21"/>
      <c r="L1117" s="21" t="s">
        <v>542</v>
      </c>
      <c r="M1117" s="25">
        <f>DATE(YEAR(OneWeekMtgRatesDataTable75[[#This Row],[asOf]]),MONTH(OneWeekMtgRatesDataTable75[[#This Row],[asOf]]),DAY(OneWeekMtgRatesDataTable75[[#This Row],[asOf]]))</f>
        <v>40695</v>
      </c>
      <c r="N1117" s="21">
        <v>4.55</v>
      </c>
      <c r="O1117" s="21">
        <v>0.6</v>
      </c>
      <c r="P1117" s="21">
        <v>4.45</v>
      </c>
    </row>
    <row r="1118" spans="8:16">
      <c r="H1118" s="21"/>
      <c r="I1118" s="21"/>
      <c r="J1118" s="52"/>
      <c r="K1118" s="21"/>
      <c r="L1118" s="21" t="s">
        <v>541</v>
      </c>
      <c r="M1118" s="25">
        <f>DATE(YEAR(OneWeekMtgRatesDataTable75[[#This Row],[asOf]]),MONTH(OneWeekMtgRatesDataTable75[[#This Row],[asOf]]),DAY(OneWeekMtgRatesDataTable75[[#This Row],[asOf]]))</f>
        <v>40694</v>
      </c>
      <c r="N1118" s="21">
        <v>4.55</v>
      </c>
      <c r="O1118" s="21">
        <v>0.6</v>
      </c>
      <c r="P1118" s="21">
        <v>4.45</v>
      </c>
    </row>
    <row r="1119" spans="8:16">
      <c r="H1119" s="21"/>
      <c r="I1119" s="21"/>
      <c r="J1119" s="52"/>
      <c r="K1119" s="21"/>
      <c r="L1119" s="21" t="s">
        <v>540</v>
      </c>
      <c r="M1119" s="25">
        <f>DATE(YEAR(OneWeekMtgRatesDataTable75[[#This Row],[asOf]]),MONTH(OneWeekMtgRatesDataTable75[[#This Row],[asOf]]),DAY(OneWeekMtgRatesDataTable75[[#This Row],[asOf]]))</f>
        <v>40690</v>
      </c>
      <c r="N1119" s="21">
        <v>4.55</v>
      </c>
      <c r="O1119" s="21">
        <v>0.6</v>
      </c>
      <c r="P1119" s="21">
        <v>4.45</v>
      </c>
    </row>
    <row r="1120" spans="8:16">
      <c r="H1120" s="21"/>
      <c r="I1120" s="21"/>
      <c r="J1120" s="52"/>
      <c r="K1120" s="21"/>
      <c r="L1120" s="21" t="s">
        <v>539</v>
      </c>
      <c r="M1120" s="25">
        <f>DATE(YEAR(OneWeekMtgRatesDataTable75[[#This Row],[asOf]]),MONTH(OneWeekMtgRatesDataTable75[[#This Row],[asOf]]),DAY(OneWeekMtgRatesDataTable75[[#This Row],[asOf]]))</f>
        <v>40689</v>
      </c>
      <c r="N1120" s="21">
        <v>4.55</v>
      </c>
      <c r="O1120" s="21">
        <v>0.6</v>
      </c>
      <c r="P1120" s="21">
        <v>4.45</v>
      </c>
    </row>
    <row r="1121" spans="8:16">
      <c r="H1121" s="21"/>
      <c r="I1121" s="21"/>
      <c r="J1121" s="52"/>
      <c r="K1121" s="21"/>
      <c r="L1121" s="21" t="s">
        <v>538</v>
      </c>
      <c r="M1121" s="25">
        <f>DATE(YEAR(OneWeekMtgRatesDataTable75[[#This Row],[asOf]]),MONTH(OneWeekMtgRatesDataTable75[[#This Row],[asOf]]),DAY(OneWeekMtgRatesDataTable75[[#This Row],[asOf]]))</f>
        <v>40688</v>
      </c>
      <c r="N1121" s="21">
        <v>4.5999999999999996</v>
      </c>
      <c r="O1121" s="21">
        <v>0.7</v>
      </c>
      <c r="P1121" s="21">
        <v>4.5249999999999995</v>
      </c>
    </row>
    <row r="1122" spans="8:16">
      <c r="H1122" s="21"/>
      <c r="I1122" s="21"/>
      <c r="J1122" s="52"/>
      <c r="K1122" s="21"/>
      <c r="L1122" s="21" t="s">
        <v>537</v>
      </c>
      <c r="M1122" s="25">
        <f>DATE(YEAR(OneWeekMtgRatesDataTable75[[#This Row],[asOf]]),MONTH(OneWeekMtgRatesDataTable75[[#This Row],[asOf]]),DAY(OneWeekMtgRatesDataTable75[[#This Row],[asOf]]))</f>
        <v>40687</v>
      </c>
      <c r="N1122" s="21">
        <v>4.5999999999999996</v>
      </c>
      <c r="O1122" s="21">
        <v>0.7</v>
      </c>
      <c r="P1122" s="21">
        <v>4.5249999999999995</v>
      </c>
    </row>
    <row r="1123" spans="8:16">
      <c r="H1123" s="21"/>
      <c r="I1123" s="21"/>
      <c r="J1123" s="52"/>
      <c r="K1123" s="21"/>
      <c r="L1123" s="21" t="s">
        <v>536</v>
      </c>
      <c r="M1123" s="25">
        <f>DATE(YEAR(OneWeekMtgRatesDataTable75[[#This Row],[asOf]]),MONTH(OneWeekMtgRatesDataTable75[[#This Row],[asOf]]),DAY(OneWeekMtgRatesDataTable75[[#This Row],[asOf]]))</f>
        <v>40686</v>
      </c>
      <c r="N1123" s="21">
        <v>4.5999999999999996</v>
      </c>
      <c r="O1123" s="21">
        <v>0.7</v>
      </c>
      <c r="P1123" s="21">
        <v>4.5249999999999995</v>
      </c>
    </row>
    <row r="1124" spans="8:16">
      <c r="H1124" s="21"/>
      <c r="I1124" s="21"/>
      <c r="J1124" s="52"/>
      <c r="K1124" s="21"/>
      <c r="L1124" s="21" t="s">
        <v>535</v>
      </c>
      <c r="M1124" s="25">
        <f>DATE(YEAR(OneWeekMtgRatesDataTable75[[#This Row],[asOf]]),MONTH(OneWeekMtgRatesDataTable75[[#This Row],[asOf]]),DAY(OneWeekMtgRatesDataTable75[[#This Row],[asOf]]))</f>
        <v>40683</v>
      </c>
      <c r="N1124" s="21">
        <v>4.5999999999999996</v>
      </c>
      <c r="O1124" s="21">
        <v>0.7</v>
      </c>
      <c r="P1124" s="21">
        <v>4.5249999999999995</v>
      </c>
    </row>
    <row r="1125" spans="8:16">
      <c r="H1125" s="21"/>
      <c r="I1125" s="21"/>
      <c r="J1125" s="52"/>
      <c r="K1125" s="21"/>
      <c r="L1125" s="21" t="s">
        <v>534</v>
      </c>
      <c r="M1125" s="25">
        <f>DATE(YEAR(OneWeekMtgRatesDataTable75[[#This Row],[asOf]]),MONTH(OneWeekMtgRatesDataTable75[[#This Row],[asOf]]),DAY(OneWeekMtgRatesDataTable75[[#This Row],[asOf]]))</f>
        <v>40682</v>
      </c>
      <c r="N1125" s="21">
        <v>4.5999999999999996</v>
      </c>
      <c r="O1125" s="21">
        <v>0.7</v>
      </c>
      <c r="P1125" s="21">
        <v>4.5249999999999995</v>
      </c>
    </row>
    <row r="1126" spans="8:16">
      <c r="H1126" s="21"/>
      <c r="I1126" s="21"/>
      <c r="J1126" s="52"/>
      <c r="K1126" s="21"/>
      <c r="L1126" s="21" t="s">
        <v>533</v>
      </c>
      <c r="M1126" s="25">
        <f>DATE(YEAR(OneWeekMtgRatesDataTable75[[#This Row],[asOf]]),MONTH(OneWeekMtgRatesDataTable75[[#This Row],[asOf]]),DAY(OneWeekMtgRatesDataTable75[[#This Row],[asOf]]))</f>
        <v>40681</v>
      </c>
      <c r="N1126" s="21">
        <v>4.6100000000000003</v>
      </c>
      <c r="O1126" s="21">
        <v>0.7</v>
      </c>
      <c r="P1126" s="21">
        <v>4.5350000000000001</v>
      </c>
    </row>
    <row r="1127" spans="8:16">
      <c r="H1127" s="21"/>
      <c r="I1127" s="21"/>
      <c r="J1127" s="52"/>
      <c r="K1127" s="21"/>
      <c r="L1127" s="21" t="s">
        <v>532</v>
      </c>
      <c r="M1127" s="25">
        <f>DATE(YEAR(OneWeekMtgRatesDataTable75[[#This Row],[asOf]]),MONTH(OneWeekMtgRatesDataTable75[[#This Row],[asOf]]),DAY(OneWeekMtgRatesDataTable75[[#This Row],[asOf]]))</f>
        <v>40680</v>
      </c>
      <c r="N1127" s="21">
        <v>4.6100000000000003</v>
      </c>
      <c r="O1127" s="21">
        <v>0.7</v>
      </c>
      <c r="P1127" s="21">
        <v>4.5350000000000001</v>
      </c>
    </row>
    <row r="1128" spans="8:16">
      <c r="H1128" s="21"/>
      <c r="I1128" s="21"/>
      <c r="J1128" s="52"/>
      <c r="K1128" s="21"/>
      <c r="L1128" s="21" t="s">
        <v>531</v>
      </c>
      <c r="M1128" s="25">
        <f>DATE(YEAR(OneWeekMtgRatesDataTable75[[#This Row],[asOf]]),MONTH(OneWeekMtgRatesDataTable75[[#This Row],[asOf]]),DAY(OneWeekMtgRatesDataTable75[[#This Row],[asOf]]))</f>
        <v>40679</v>
      </c>
      <c r="N1128" s="21">
        <v>4.6100000000000003</v>
      </c>
      <c r="O1128" s="21">
        <v>0.7</v>
      </c>
      <c r="P1128" s="21">
        <v>4.5350000000000001</v>
      </c>
    </row>
    <row r="1129" spans="8:16">
      <c r="H1129" s="21"/>
      <c r="I1129" s="21"/>
      <c r="J1129" s="52"/>
      <c r="K1129" s="21"/>
      <c r="L1129" s="21" t="s">
        <v>530</v>
      </c>
      <c r="M1129" s="25">
        <f>DATE(YEAR(OneWeekMtgRatesDataTable75[[#This Row],[asOf]]),MONTH(OneWeekMtgRatesDataTable75[[#This Row],[asOf]]),DAY(OneWeekMtgRatesDataTable75[[#This Row],[asOf]]))</f>
        <v>40676</v>
      </c>
      <c r="N1129" s="21">
        <v>4.6100000000000003</v>
      </c>
      <c r="O1129" s="21">
        <v>0.7</v>
      </c>
      <c r="P1129" s="21">
        <v>4.5350000000000001</v>
      </c>
    </row>
    <row r="1130" spans="8:16">
      <c r="H1130" s="21"/>
      <c r="I1130" s="21"/>
      <c r="J1130" s="52"/>
      <c r="K1130" s="21"/>
      <c r="L1130" s="21" t="s">
        <v>529</v>
      </c>
      <c r="M1130" s="25">
        <f>DATE(YEAR(OneWeekMtgRatesDataTable75[[#This Row],[asOf]]),MONTH(OneWeekMtgRatesDataTable75[[#This Row],[asOf]]),DAY(OneWeekMtgRatesDataTable75[[#This Row],[asOf]]))</f>
        <v>40675</v>
      </c>
      <c r="N1130" s="21">
        <v>4.6100000000000003</v>
      </c>
      <c r="O1130" s="21">
        <v>0.7</v>
      </c>
      <c r="P1130" s="21">
        <v>4.5350000000000001</v>
      </c>
    </row>
    <row r="1131" spans="8:16">
      <c r="H1131" s="21"/>
      <c r="I1131" s="21"/>
      <c r="J1131" s="52"/>
      <c r="K1131" s="21"/>
      <c r="L1131" s="21" t="s">
        <v>528</v>
      </c>
      <c r="M1131" s="25">
        <f>DATE(YEAR(OneWeekMtgRatesDataTable75[[#This Row],[asOf]]),MONTH(OneWeekMtgRatesDataTable75[[#This Row],[asOf]]),DAY(OneWeekMtgRatesDataTable75[[#This Row],[asOf]]))</f>
        <v>40674</v>
      </c>
      <c r="N1131" s="21">
        <v>4.63</v>
      </c>
      <c r="O1131" s="21">
        <v>0.7</v>
      </c>
      <c r="P1131" s="21">
        <v>4.5549999999999997</v>
      </c>
    </row>
    <row r="1132" spans="8:16">
      <c r="H1132" s="21"/>
      <c r="I1132" s="21"/>
      <c r="J1132" s="52"/>
      <c r="K1132" s="21"/>
      <c r="L1132" s="21" t="s">
        <v>527</v>
      </c>
      <c r="M1132" s="25">
        <f>DATE(YEAR(OneWeekMtgRatesDataTable75[[#This Row],[asOf]]),MONTH(OneWeekMtgRatesDataTable75[[#This Row],[asOf]]),DAY(OneWeekMtgRatesDataTable75[[#This Row],[asOf]]))</f>
        <v>40673</v>
      </c>
      <c r="N1132" s="21">
        <v>4.63</v>
      </c>
      <c r="O1132" s="21">
        <v>0.7</v>
      </c>
      <c r="P1132" s="21">
        <v>4.5549999999999997</v>
      </c>
    </row>
    <row r="1133" spans="8:16">
      <c r="H1133" s="21"/>
      <c r="I1133" s="21"/>
      <c r="J1133" s="52"/>
      <c r="K1133" s="21"/>
      <c r="L1133" s="21" t="s">
        <v>526</v>
      </c>
      <c r="M1133" s="25">
        <f>DATE(YEAR(OneWeekMtgRatesDataTable75[[#This Row],[asOf]]),MONTH(OneWeekMtgRatesDataTable75[[#This Row],[asOf]]),DAY(OneWeekMtgRatesDataTable75[[#This Row],[asOf]]))</f>
        <v>40672</v>
      </c>
      <c r="N1133" s="21">
        <v>4.63</v>
      </c>
      <c r="O1133" s="21">
        <v>0.7</v>
      </c>
      <c r="P1133" s="21">
        <v>4.5549999999999997</v>
      </c>
    </row>
    <row r="1134" spans="8:16">
      <c r="H1134" s="21"/>
      <c r="I1134" s="21"/>
      <c r="J1134" s="52"/>
      <c r="K1134" s="21"/>
      <c r="L1134" s="21" t="s">
        <v>525</v>
      </c>
      <c r="M1134" s="25">
        <f>DATE(YEAR(OneWeekMtgRatesDataTable75[[#This Row],[asOf]]),MONTH(OneWeekMtgRatesDataTable75[[#This Row],[asOf]]),DAY(OneWeekMtgRatesDataTable75[[#This Row],[asOf]]))</f>
        <v>40669</v>
      </c>
      <c r="N1134" s="21">
        <v>4.63</v>
      </c>
      <c r="O1134" s="21">
        <v>0.7</v>
      </c>
      <c r="P1134" s="21">
        <v>4.5549999999999997</v>
      </c>
    </row>
    <row r="1135" spans="8:16">
      <c r="H1135" s="21"/>
      <c r="I1135" s="21"/>
      <c r="J1135" s="52"/>
      <c r="K1135" s="21"/>
      <c r="L1135" s="21" t="s">
        <v>524</v>
      </c>
      <c r="M1135" s="25">
        <f>DATE(YEAR(OneWeekMtgRatesDataTable75[[#This Row],[asOf]]),MONTH(OneWeekMtgRatesDataTable75[[#This Row],[asOf]]),DAY(OneWeekMtgRatesDataTable75[[#This Row],[asOf]]))</f>
        <v>40668</v>
      </c>
      <c r="N1135" s="21">
        <v>4.63</v>
      </c>
      <c r="O1135" s="21">
        <v>0.7</v>
      </c>
      <c r="P1135" s="21">
        <v>4.5549999999999997</v>
      </c>
    </row>
    <row r="1136" spans="8:16">
      <c r="H1136" s="21"/>
      <c r="I1136" s="21"/>
      <c r="J1136" s="52"/>
      <c r="K1136" s="21"/>
      <c r="L1136" s="21" t="s">
        <v>523</v>
      </c>
      <c r="M1136" s="25">
        <f>DATE(YEAR(OneWeekMtgRatesDataTable75[[#This Row],[asOf]]),MONTH(OneWeekMtgRatesDataTable75[[#This Row],[asOf]]),DAY(OneWeekMtgRatesDataTable75[[#This Row],[asOf]]))</f>
        <v>40667</v>
      </c>
      <c r="N1136" s="21">
        <v>4.71</v>
      </c>
      <c r="O1136" s="21">
        <v>0.7</v>
      </c>
      <c r="P1136" s="21">
        <v>4.6349999999999998</v>
      </c>
    </row>
    <row r="1137" spans="8:16">
      <c r="H1137" s="21"/>
      <c r="I1137" s="21"/>
      <c r="J1137" s="52"/>
      <c r="K1137" s="21"/>
      <c r="L1137" s="21" t="s">
        <v>522</v>
      </c>
      <c r="M1137" s="25">
        <f>DATE(YEAR(OneWeekMtgRatesDataTable75[[#This Row],[asOf]]),MONTH(OneWeekMtgRatesDataTable75[[#This Row],[asOf]]),DAY(OneWeekMtgRatesDataTable75[[#This Row],[asOf]]))</f>
        <v>40666</v>
      </c>
      <c r="N1137" s="21">
        <v>4.71</v>
      </c>
      <c r="O1137" s="21">
        <v>0.7</v>
      </c>
      <c r="P1137" s="21">
        <v>4.6349999999999998</v>
      </c>
    </row>
    <row r="1138" spans="8:16">
      <c r="H1138" s="21"/>
      <c r="I1138" s="21"/>
      <c r="J1138" s="52"/>
      <c r="K1138" s="21"/>
      <c r="L1138" s="21" t="s">
        <v>521</v>
      </c>
      <c r="M1138" s="25">
        <f>DATE(YEAR(OneWeekMtgRatesDataTable75[[#This Row],[asOf]]),MONTH(OneWeekMtgRatesDataTable75[[#This Row],[asOf]]),DAY(OneWeekMtgRatesDataTable75[[#This Row],[asOf]]))</f>
        <v>40665</v>
      </c>
      <c r="N1138" s="21">
        <v>4.71</v>
      </c>
      <c r="O1138" s="21">
        <v>0.7</v>
      </c>
      <c r="P1138" s="21">
        <v>4.6349999999999998</v>
      </c>
    </row>
    <row r="1139" spans="8:16">
      <c r="H1139" s="21"/>
      <c r="I1139" s="21"/>
      <c r="J1139" s="52"/>
      <c r="K1139" s="21"/>
      <c r="L1139" s="21" t="s">
        <v>520</v>
      </c>
      <c r="M1139" s="25">
        <f>DATE(YEAR(OneWeekMtgRatesDataTable75[[#This Row],[asOf]]),MONTH(OneWeekMtgRatesDataTable75[[#This Row],[asOf]]),DAY(OneWeekMtgRatesDataTable75[[#This Row],[asOf]]))</f>
        <v>40662</v>
      </c>
      <c r="N1139" s="21">
        <v>4.71</v>
      </c>
      <c r="O1139" s="21">
        <v>0.7</v>
      </c>
      <c r="P1139" s="21">
        <v>4.6349999999999998</v>
      </c>
    </row>
    <row r="1140" spans="8:16">
      <c r="H1140" s="21"/>
      <c r="I1140" s="21"/>
      <c r="J1140" s="52"/>
      <c r="K1140" s="21"/>
      <c r="L1140" s="21" t="s">
        <v>519</v>
      </c>
      <c r="M1140" s="25">
        <f>DATE(YEAR(OneWeekMtgRatesDataTable75[[#This Row],[asOf]]),MONTH(OneWeekMtgRatesDataTable75[[#This Row],[asOf]]),DAY(OneWeekMtgRatesDataTable75[[#This Row],[asOf]]))</f>
        <v>40661</v>
      </c>
      <c r="N1140" s="21">
        <v>4.71</v>
      </c>
      <c r="O1140" s="21">
        <v>0.7</v>
      </c>
      <c r="P1140" s="21">
        <v>4.6349999999999998</v>
      </c>
    </row>
    <row r="1141" spans="8:16">
      <c r="H1141" s="21"/>
      <c r="I1141" s="21"/>
      <c r="J1141" s="52"/>
      <c r="K1141" s="21"/>
      <c r="L1141" s="21" t="s">
        <v>518</v>
      </c>
      <c r="M1141" s="25">
        <f>DATE(YEAR(OneWeekMtgRatesDataTable75[[#This Row],[asOf]]),MONTH(OneWeekMtgRatesDataTable75[[#This Row],[asOf]]),DAY(OneWeekMtgRatesDataTable75[[#This Row],[asOf]]))</f>
        <v>40660</v>
      </c>
      <c r="N1141" s="21">
        <v>4.78</v>
      </c>
      <c r="O1141" s="21">
        <v>0.7</v>
      </c>
      <c r="P1141" s="21">
        <v>4.7050000000000001</v>
      </c>
    </row>
    <row r="1142" spans="8:16">
      <c r="H1142" s="21"/>
      <c r="I1142" s="21"/>
      <c r="J1142" s="52"/>
      <c r="K1142" s="21"/>
      <c r="L1142" s="21" t="s">
        <v>517</v>
      </c>
      <c r="M1142" s="25">
        <f>DATE(YEAR(OneWeekMtgRatesDataTable75[[#This Row],[asOf]]),MONTH(OneWeekMtgRatesDataTable75[[#This Row],[asOf]]),DAY(OneWeekMtgRatesDataTable75[[#This Row],[asOf]]))</f>
        <v>40659</v>
      </c>
      <c r="N1142" s="21">
        <v>4.78</v>
      </c>
      <c r="O1142" s="21">
        <v>0.7</v>
      </c>
      <c r="P1142" s="21">
        <v>4.7050000000000001</v>
      </c>
    </row>
    <row r="1143" spans="8:16">
      <c r="H1143" s="21"/>
      <c r="I1143" s="21"/>
      <c r="J1143" s="52"/>
      <c r="K1143" s="21"/>
      <c r="L1143" s="21" t="s">
        <v>516</v>
      </c>
      <c r="M1143" s="25">
        <f>DATE(YEAR(OneWeekMtgRatesDataTable75[[#This Row],[asOf]]),MONTH(OneWeekMtgRatesDataTable75[[#This Row],[asOf]]),DAY(OneWeekMtgRatesDataTable75[[#This Row],[asOf]]))</f>
        <v>40658</v>
      </c>
      <c r="N1143" s="21">
        <v>4.78</v>
      </c>
      <c r="O1143" s="21">
        <v>0.7</v>
      </c>
      <c r="P1143" s="21">
        <v>4.7050000000000001</v>
      </c>
    </row>
    <row r="1144" spans="8:16">
      <c r="H1144" s="21"/>
      <c r="I1144" s="21"/>
      <c r="J1144" s="52"/>
      <c r="K1144" s="21"/>
      <c r="L1144" s="21" t="s">
        <v>515</v>
      </c>
      <c r="M1144" s="25">
        <f>DATE(YEAR(OneWeekMtgRatesDataTable75[[#This Row],[asOf]]),MONTH(OneWeekMtgRatesDataTable75[[#This Row],[asOf]]),DAY(OneWeekMtgRatesDataTable75[[#This Row],[asOf]]))</f>
        <v>40654</v>
      </c>
      <c r="N1144" s="21">
        <v>4.78</v>
      </c>
      <c r="O1144" s="21">
        <v>0.7</v>
      </c>
      <c r="P1144" s="21">
        <v>4.7050000000000001</v>
      </c>
    </row>
    <row r="1145" spans="8:16">
      <c r="H1145" s="21"/>
      <c r="I1145" s="21"/>
      <c r="J1145" s="52"/>
      <c r="K1145" s="21"/>
      <c r="L1145" s="21" t="s">
        <v>514</v>
      </c>
      <c r="M1145" s="25">
        <f>DATE(YEAR(OneWeekMtgRatesDataTable75[[#This Row],[asOf]]),MONTH(OneWeekMtgRatesDataTable75[[#This Row],[asOf]]),DAY(OneWeekMtgRatesDataTable75[[#This Row],[asOf]]))</f>
        <v>40653</v>
      </c>
      <c r="N1145" s="21">
        <v>4.8</v>
      </c>
      <c r="O1145" s="21">
        <v>0.7</v>
      </c>
      <c r="P1145" s="21">
        <v>4.7249999999999996</v>
      </c>
    </row>
    <row r="1146" spans="8:16">
      <c r="H1146" s="21"/>
      <c r="I1146" s="21"/>
      <c r="J1146" s="52"/>
      <c r="K1146" s="21"/>
      <c r="L1146" s="21" t="s">
        <v>513</v>
      </c>
      <c r="M1146" s="25">
        <f>DATE(YEAR(OneWeekMtgRatesDataTable75[[#This Row],[asOf]]),MONTH(OneWeekMtgRatesDataTable75[[#This Row],[asOf]]),DAY(OneWeekMtgRatesDataTable75[[#This Row],[asOf]]))</f>
        <v>40652</v>
      </c>
      <c r="N1146" s="21">
        <v>4.8</v>
      </c>
      <c r="O1146" s="21">
        <v>0.7</v>
      </c>
      <c r="P1146" s="21">
        <v>4.7249999999999996</v>
      </c>
    </row>
    <row r="1147" spans="8:16">
      <c r="H1147" s="21"/>
      <c r="I1147" s="21"/>
      <c r="J1147" s="52"/>
      <c r="K1147" s="21"/>
      <c r="L1147" s="21" t="s">
        <v>512</v>
      </c>
      <c r="M1147" s="25">
        <f>DATE(YEAR(OneWeekMtgRatesDataTable75[[#This Row],[asOf]]),MONTH(OneWeekMtgRatesDataTable75[[#This Row],[asOf]]),DAY(OneWeekMtgRatesDataTable75[[#This Row],[asOf]]))</f>
        <v>40651</v>
      </c>
      <c r="N1147" s="21">
        <v>4.8</v>
      </c>
      <c r="O1147" s="21">
        <v>0.7</v>
      </c>
      <c r="P1147" s="21">
        <v>4.7249999999999996</v>
      </c>
    </row>
    <row r="1148" spans="8:16">
      <c r="H1148" s="21"/>
      <c r="I1148" s="21"/>
      <c r="J1148" s="52"/>
      <c r="K1148" s="21"/>
      <c r="L1148" s="21" t="s">
        <v>511</v>
      </c>
      <c r="M1148" s="25">
        <f>DATE(YEAR(OneWeekMtgRatesDataTable75[[#This Row],[asOf]]),MONTH(OneWeekMtgRatesDataTable75[[#This Row],[asOf]]),DAY(OneWeekMtgRatesDataTable75[[#This Row],[asOf]]))</f>
        <v>40648</v>
      </c>
      <c r="N1148" s="21">
        <v>4.8</v>
      </c>
      <c r="O1148" s="21">
        <v>0.7</v>
      </c>
      <c r="P1148" s="21">
        <v>4.7249999999999996</v>
      </c>
    </row>
    <row r="1149" spans="8:16">
      <c r="H1149" s="21"/>
      <c r="I1149" s="21"/>
      <c r="J1149" s="52"/>
      <c r="K1149" s="21"/>
      <c r="L1149" s="21" t="s">
        <v>510</v>
      </c>
      <c r="M1149" s="25">
        <f>DATE(YEAR(OneWeekMtgRatesDataTable75[[#This Row],[asOf]]),MONTH(OneWeekMtgRatesDataTable75[[#This Row],[asOf]]),DAY(OneWeekMtgRatesDataTable75[[#This Row],[asOf]]))</f>
        <v>40647</v>
      </c>
      <c r="N1149" s="21">
        <v>4.8</v>
      </c>
      <c r="O1149" s="21">
        <v>0.7</v>
      </c>
      <c r="P1149" s="21">
        <v>4.7249999999999996</v>
      </c>
    </row>
    <row r="1150" spans="8:16">
      <c r="H1150" s="21"/>
      <c r="I1150" s="21"/>
      <c r="J1150" s="52"/>
      <c r="K1150" s="21"/>
      <c r="L1150" s="21" t="s">
        <v>509</v>
      </c>
      <c r="M1150" s="25">
        <f>DATE(YEAR(OneWeekMtgRatesDataTable75[[#This Row],[asOf]]),MONTH(OneWeekMtgRatesDataTable75[[#This Row],[asOf]]),DAY(OneWeekMtgRatesDataTable75[[#This Row],[asOf]]))</f>
        <v>40646</v>
      </c>
      <c r="N1150" s="21">
        <v>4.91</v>
      </c>
      <c r="O1150" s="21">
        <v>0.6</v>
      </c>
      <c r="P1150" s="21">
        <v>4.8100000000000005</v>
      </c>
    </row>
    <row r="1151" spans="8:16">
      <c r="H1151" s="21"/>
      <c r="I1151" s="21"/>
      <c r="J1151" s="52"/>
      <c r="K1151" s="21"/>
      <c r="L1151" s="21" t="s">
        <v>508</v>
      </c>
      <c r="M1151" s="25">
        <f>DATE(YEAR(OneWeekMtgRatesDataTable75[[#This Row],[asOf]]),MONTH(OneWeekMtgRatesDataTable75[[#This Row],[asOf]]),DAY(OneWeekMtgRatesDataTable75[[#This Row],[asOf]]))</f>
        <v>40645</v>
      </c>
      <c r="N1151" s="21">
        <v>4.91</v>
      </c>
      <c r="O1151" s="21">
        <v>0.6</v>
      </c>
      <c r="P1151" s="21">
        <v>4.8100000000000005</v>
      </c>
    </row>
    <row r="1152" spans="8:16">
      <c r="H1152" s="21"/>
      <c r="I1152" s="21"/>
      <c r="J1152" s="52"/>
      <c r="K1152" s="21"/>
      <c r="L1152" s="21" t="s">
        <v>507</v>
      </c>
      <c r="M1152" s="25">
        <f>DATE(YEAR(OneWeekMtgRatesDataTable75[[#This Row],[asOf]]),MONTH(OneWeekMtgRatesDataTable75[[#This Row],[asOf]]),DAY(OneWeekMtgRatesDataTable75[[#This Row],[asOf]]))</f>
        <v>40644</v>
      </c>
      <c r="N1152" s="21">
        <v>4.91</v>
      </c>
      <c r="O1152" s="21">
        <v>0.6</v>
      </c>
      <c r="P1152" s="21">
        <v>4.8100000000000005</v>
      </c>
    </row>
    <row r="1153" spans="8:16">
      <c r="H1153" s="21"/>
      <c r="I1153" s="21"/>
      <c r="J1153" s="52"/>
      <c r="K1153" s="21"/>
      <c r="L1153" s="21" t="s">
        <v>506</v>
      </c>
      <c r="M1153" s="25">
        <f>DATE(YEAR(OneWeekMtgRatesDataTable75[[#This Row],[asOf]]),MONTH(OneWeekMtgRatesDataTable75[[#This Row],[asOf]]),DAY(OneWeekMtgRatesDataTable75[[#This Row],[asOf]]))</f>
        <v>40641</v>
      </c>
      <c r="N1153" s="21">
        <v>4.91</v>
      </c>
      <c r="O1153" s="21">
        <v>0.6</v>
      </c>
      <c r="P1153" s="21">
        <v>4.8100000000000005</v>
      </c>
    </row>
    <row r="1154" spans="8:16">
      <c r="H1154" s="21"/>
      <c r="I1154" s="21"/>
      <c r="J1154" s="52"/>
      <c r="K1154" s="21"/>
      <c r="L1154" s="21" t="s">
        <v>505</v>
      </c>
      <c r="M1154" s="25">
        <f>DATE(YEAR(OneWeekMtgRatesDataTable75[[#This Row],[asOf]]),MONTH(OneWeekMtgRatesDataTable75[[#This Row],[asOf]]),DAY(OneWeekMtgRatesDataTable75[[#This Row],[asOf]]))</f>
        <v>40640</v>
      </c>
      <c r="N1154" s="21">
        <v>4.91</v>
      </c>
      <c r="O1154" s="21">
        <v>0.6</v>
      </c>
      <c r="P1154" s="21">
        <v>4.8100000000000005</v>
      </c>
    </row>
    <row r="1155" spans="8:16">
      <c r="H1155" s="21"/>
      <c r="I1155" s="21"/>
      <c r="J1155" s="52"/>
      <c r="K1155" s="21"/>
      <c r="L1155" s="21" t="s">
        <v>504</v>
      </c>
      <c r="M1155" s="25">
        <f>DATE(YEAR(OneWeekMtgRatesDataTable75[[#This Row],[asOf]]),MONTH(OneWeekMtgRatesDataTable75[[#This Row],[asOf]]),DAY(OneWeekMtgRatesDataTable75[[#This Row],[asOf]]))</f>
        <v>40639</v>
      </c>
      <c r="N1155" s="21">
        <v>4.87</v>
      </c>
      <c r="O1155" s="21">
        <v>0.7</v>
      </c>
      <c r="P1155" s="21">
        <v>4.7949999999999999</v>
      </c>
    </row>
    <row r="1156" spans="8:16">
      <c r="H1156" s="21"/>
      <c r="I1156" s="21"/>
      <c r="J1156" s="52"/>
      <c r="K1156" s="21"/>
      <c r="L1156" s="21" t="s">
        <v>503</v>
      </c>
      <c r="M1156" s="25">
        <f>DATE(YEAR(OneWeekMtgRatesDataTable75[[#This Row],[asOf]]),MONTH(OneWeekMtgRatesDataTable75[[#This Row],[asOf]]),DAY(OneWeekMtgRatesDataTable75[[#This Row],[asOf]]))</f>
        <v>40638</v>
      </c>
      <c r="N1156" s="21">
        <v>4.87</v>
      </c>
      <c r="O1156" s="21">
        <v>0.7</v>
      </c>
      <c r="P1156" s="21">
        <v>4.7949999999999999</v>
      </c>
    </row>
    <row r="1157" spans="8:16">
      <c r="H1157" s="21"/>
      <c r="I1157" s="21"/>
      <c r="J1157" s="52"/>
      <c r="K1157" s="21"/>
      <c r="L1157" s="21" t="s">
        <v>502</v>
      </c>
      <c r="M1157" s="25">
        <f>DATE(YEAR(OneWeekMtgRatesDataTable75[[#This Row],[asOf]]),MONTH(OneWeekMtgRatesDataTable75[[#This Row],[asOf]]),DAY(OneWeekMtgRatesDataTable75[[#This Row],[asOf]]))</f>
        <v>40637</v>
      </c>
      <c r="N1157" s="21">
        <v>4.87</v>
      </c>
      <c r="O1157" s="21">
        <v>0.7</v>
      </c>
      <c r="P1157" s="21">
        <v>4.7949999999999999</v>
      </c>
    </row>
    <row r="1158" spans="8:16">
      <c r="H1158" s="21"/>
      <c r="I1158" s="21"/>
      <c r="J1158" s="52"/>
      <c r="K1158" s="21"/>
      <c r="L1158" s="21" t="s">
        <v>501</v>
      </c>
      <c r="M1158" s="25">
        <f>DATE(YEAR(OneWeekMtgRatesDataTable75[[#This Row],[asOf]]),MONTH(OneWeekMtgRatesDataTable75[[#This Row],[asOf]]),DAY(OneWeekMtgRatesDataTable75[[#This Row],[asOf]]))</f>
        <v>40634</v>
      </c>
      <c r="N1158" s="21">
        <v>4.87</v>
      </c>
      <c r="O1158" s="21">
        <v>0.7</v>
      </c>
      <c r="P1158" s="21">
        <v>4.7949999999999999</v>
      </c>
    </row>
    <row r="1159" spans="8:16">
      <c r="H1159" s="21"/>
      <c r="I1159" s="21"/>
      <c r="J1159" s="52"/>
      <c r="K1159" s="21"/>
      <c r="L1159" s="21" t="s">
        <v>500</v>
      </c>
      <c r="M1159" s="25">
        <f>DATE(YEAR(OneWeekMtgRatesDataTable75[[#This Row],[asOf]]),MONTH(OneWeekMtgRatesDataTable75[[#This Row],[asOf]]),DAY(OneWeekMtgRatesDataTable75[[#This Row],[asOf]]))</f>
        <v>40633</v>
      </c>
      <c r="N1159" s="21">
        <v>4.87</v>
      </c>
      <c r="O1159" s="21">
        <v>0.7</v>
      </c>
      <c r="P1159" s="21">
        <v>4.7949999999999999</v>
      </c>
    </row>
    <row r="1160" spans="8:16">
      <c r="H1160" s="21"/>
      <c r="I1160" s="21"/>
      <c r="J1160" s="52"/>
      <c r="K1160" s="21"/>
      <c r="L1160" s="21" t="s">
        <v>499</v>
      </c>
      <c r="M1160" s="25">
        <f>DATE(YEAR(OneWeekMtgRatesDataTable75[[#This Row],[asOf]]),MONTH(OneWeekMtgRatesDataTable75[[#This Row],[asOf]]),DAY(OneWeekMtgRatesDataTable75[[#This Row],[asOf]]))</f>
        <v>40632</v>
      </c>
      <c r="N1160" s="21">
        <v>4.8600000000000003</v>
      </c>
      <c r="O1160" s="21">
        <v>0.7</v>
      </c>
      <c r="P1160" s="21">
        <v>4.7850000000000001</v>
      </c>
    </row>
    <row r="1161" spans="8:16">
      <c r="H1161" s="21"/>
      <c r="I1161" s="21"/>
      <c r="J1161" s="52"/>
      <c r="K1161" s="21"/>
      <c r="L1161" s="21" t="s">
        <v>498</v>
      </c>
      <c r="M1161" s="25">
        <f>DATE(YEAR(OneWeekMtgRatesDataTable75[[#This Row],[asOf]]),MONTH(OneWeekMtgRatesDataTable75[[#This Row],[asOf]]),DAY(OneWeekMtgRatesDataTable75[[#This Row],[asOf]]))</f>
        <v>40631</v>
      </c>
      <c r="N1161" s="21">
        <v>4.8600000000000003</v>
      </c>
      <c r="O1161" s="21">
        <v>0.7</v>
      </c>
      <c r="P1161" s="21">
        <v>4.7850000000000001</v>
      </c>
    </row>
    <row r="1162" spans="8:16">
      <c r="H1162" s="21"/>
      <c r="I1162" s="21"/>
      <c r="J1162" s="52"/>
      <c r="K1162" s="21"/>
      <c r="L1162" s="21" t="s">
        <v>497</v>
      </c>
      <c r="M1162" s="25">
        <f>DATE(YEAR(OneWeekMtgRatesDataTable75[[#This Row],[asOf]]),MONTH(OneWeekMtgRatesDataTable75[[#This Row],[asOf]]),DAY(OneWeekMtgRatesDataTable75[[#This Row],[asOf]]))</f>
        <v>40630</v>
      </c>
      <c r="N1162" s="21">
        <v>4.8600000000000003</v>
      </c>
      <c r="O1162" s="21">
        <v>0.7</v>
      </c>
      <c r="P1162" s="21">
        <v>4.7850000000000001</v>
      </c>
    </row>
    <row r="1163" spans="8:16">
      <c r="H1163" s="21"/>
      <c r="I1163" s="21"/>
      <c r="J1163" s="52"/>
      <c r="K1163" s="21"/>
      <c r="L1163" s="21" t="s">
        <v>496</v>
      </c>
      <c r="M1163" s="25">
        <f>DATE(YEAR(OneWeekMtgRatesDataTable75[[#This Row],[asOf]]),MONTH(OneWeekMtgRatesDataTable75[[#This Row],[asOf]]),DAY(OneWeekMtgRatesDataTable75[[#This Row],[asOf]]))</f>
        <v>40627</v>
      </c>
      <c r="N1163" s="21">
        <v>4.8600000000000003</v>
      </c>
      <c r="O1163" s="21">
        <v>0.7</v>
      </c>
      <c r="P1163" s="21">
        <v>4.7850000000000001</v>
      </c>
    </row>
    <row r="1164" spans="8:16">
      <c r="H1164" s="21"/>
      <c r="I1164" s="21"/>
      <c r="J1164" s="52"/>
      <c r="K1164" s="21"/>
      <c r="L1164" s="21" t="s">
        <v>495</v>
      </c>
      <c r="M1164" s="25">
        <f>DATE(YEAR(OneWeekMtgRatesDataTable75[[#This Row],[asOf]]),MONTH(OneWeekMtgRatesDataTable75[[#This Row],[asOf]]),DAY(OneWeekMtgRatesDataTable75[[#This Row],[asOf]]))</f>
        <v>40626</v>
      </c>
      <c r="N1164" s="21">
        <v>4.8600000000000003</v>
      </c>
      <c r="O1164" s="21">
        <v>0.7</v>
      </c>
      <c r="P1164" s="21">
        <v>4.7850000000000001</v>
      </c>
    </row>
    <row r="1165" spans="8:16">
      <c r="H1165" s="21"/>
      <c r="I1165" s="21"/>
      <c r="J1165" s="52"/>
      <c r="K1165" s="21"/>
      <c r="L1165" s="21" t="s">
        <v>494</v>
      </c>
      <c r="M1165" s="25">
        <f>DATE(YEAR(OneWeekMtgRatesDataTable75[[#This Row],[asOf]]),MONTH(OneWeekMtgRatesDataTable75[[#This Row],[asOf]]),DAY(OneWeekMtgRatesDataTable75[[#This Row],[asOf]]))</f>
        <v>40625</v>
      </c>
      <c r="N1165" s="21">
        <v>4.8099999999999996</v>
      </c>
      <c r="O1165" s="21">
        <v>0.7</v>
      </c>
      <c r="P1165" s="21">
        <v>4.7349999999999994</v>
      </c>
    </row>
    <row r="1166" spans="8:16">
      <c r="H1166" s="21"/>
      <c r="I1166" s="21"/>
      <c r="J1166" s="52"/>
      <c r="K1166" s="21"/>
      <c r="L1166" s="21" t="s">
        <v>493</v>
      </c>
      <c r="M1166" s="25">
        <f>DATE(YEAR(OneWeekMtgRatesDataTable75[[#This Row],[asOf]]),MONTH(OneWeekMtgRatesDataTable75[[#This Row],[asOf]]),DAY(OneWeekMtgRatesDataTable75[[#This Row],[asOf]]))</f>
        <v>40624</v>
      </c>
      <c r="N1166" s="21">
        <v>4.8099999999999996</v>
      </c>
      <c r="O1166" s="21">
        <v>0.7</v>
      </c>
      <c r="P1166" s="21">
        <v>4.7349999999999994</v>
      </c>
    </row>
    <row r="1167" spans="8:16">
      <c r="H1167" s="21"/>
      <c r="I1167" s="21"/>
      <c r="J1167" s="52"/>
      <c r="K1167" s="21"/>
      <c r="L1167" s="21" t="s">
        <v>492</v>
      </c>
      <c r="M1167" s="25">
        <f>DATE(YEAR(OneWeekMtgRatesDataTable75[[#This Row],[asOf]]),MONTH(OneWeekMtgRatesDataTable75[[#This Row],[asOf]]),DAY(OneWeekMtgRatesDataTable75[[#This Row],[asOf]]))</f>
        <v>40623</v>
      </c>
      <c r="N1167" s="21">
        <v>4.8099999999999996</v>
      </c>
      <c r="O1167" s="21">
        <v>0.7</v>
      </c>
      <c r="P1167" s="21">
        <v>4.7349999999999994</v>
      </c>
    </row>
    <row r="1168" spans="8:16">
      <c r="H1168" s="21"/>
      <c r="I1168" s="21"/>
      <c r="J1168" s="52"/>
      <c r="K1168" s="21"/>
      <c r="L1168" s="21" t="s">
        <v>491</v>
      </c>
      <c r="M1168" s="25">
        <f>DATE(YEAR(OneWeekMtgRatesDataTable75[[#This Row],[asOf]]),MONTH(OneWeekMtgRatesDataTable75[[#This Row],[asOf]]),DAY(OneWeekMtgRatesDataTable75[[#This Row],[asOf]]))</f>
        <v>40620</v>
      </c>
      <c r="N1168" s="21">
        <v>4.8099999999999996</v>
      </c>
      <c r="O1168" s="21">
        <v>0.7</v>
      </c>
      <c r="P1168" s="21">
        <v>4.7349999999999994</v>
      </c>
    </row>
    <row r="1169" spans="8:16">
      <c r="H1169" s="21"/>
      <c r="I1169" s="21"/>
      <c r="J1169" s="52"/>
      <c r="K1169" s="21"/>
      <c r="L1169" s="21" t="s">
        <v>490</v>
      </c>
      <c r="M1169" s="25">
        <f>DATE(YEAR(OneWeekMtgRatesDataTable75[[#This Row],[asOf]]),MONTH(OneWeekMtgRatesDataTable75[[#This Row],[asOf]]),DAY(OneWeekMtgRatesDataTable75[[#This Row],[asOf]]))</f>
        <v>40619</v>
      </c>
      <c r="N1169" s="21">
        <v>4.8099999999999996</v>
      </c>
      <c r="O1169" s="21">
        <v>0.7</v>
      </c>
      <c r="P1169" s="21">
        <v>4.7349999999999994</v>
      </c>
    </row>
    <row r="1170" spans="8:16">
      <c r="H1170" s="21"/>
      <c r="I1170" s="21"/>
      <c r="J1170" s="52"/>
      <c r="K1170" s="21"/>
      <c r="L1170" s="21" t="s">
        <v>489</v>
      </c>
      <c r="M1170" s="25">
        <f>DATE(YEAR(OneWeekMtgRatesDataTable75[[#This Row],[asOf]]),MONTH(OneWeekMtgRatesDataTable75[[#This Row],[asOf]]),DAY(OneWeekMtgRatesDataTable75[[#This Row],[asOf]]))</f>
        <v>40618</v>
      </c>
      <c r="N1170" s="21">
        <v>4.76</v>
      </c>
      <c r="O1170" s="21">
        <v>0.7</v>
      </c>
      <c r="P1170" s="21">
        <v>4.6849999999999996</v>
      </c>
    </row>
    <row r="1171" spans="8:16">
      <c r="H1171" s="21"/>
      <c r="I1171" s="21"/>
      <c r="J1171" s="52"/>
      <c r="K1171" s="21"/>
      <c r="L1171" s="21" t="s">
        <v>488</v>
      </c>
      <c r="M1171" s="25">
        <f>DATE(YEAR(OneWeekMtgRatesDataTable75[[#This Row],[asOf]]),MONTH(OneWeekMtgRatesDataTable75[[#This Row],[asOf]]),DAY(OneWeekMtgRatesDataTable75[[#This Row],[asOf]]))</f>
        <v>40617</v>
      </c>
      <c r="N1171" s="21">
        <v>4.76</v>
      </c>
      <c r="O1171" s="21">
        <v>0.7</v>
      </c>
      <c r="P1171" s="21">
        <v>4.6849999999999996</v>
      </c>
    </row>
    <row r="1172" spans="8:16">
      <c r="H1172" s="21"/>
      <c r="I1172" s="21"/>
      <c r="J1172" s="52"/>
      <c r="K1172" s="21"/>
      <c r="L1172" s="21" t="s">
        <v>487</v>
      </c>
      <c r="M1172" s="25">
        <f>DATE(YEAR(OneWeekMtgRatesDataTable75[[#This Row],[asOf]]),MONTH(OneWeekMtgRatesDataTable75[[#This Row],[asOf]]),DAY(OneWeekMtgRatesDataTable75[[#This Row],[asOf]]))</f>
        <v>40616</v>
      </c>
      <c r="N1172" s="21">
        <v>4.76</v>
      </c>
      <c r="O1172" s="21">
        <v>0.7</v>
      </c>
      <c r="P1172" s="21">
        <v>4.6849999999999996</v>
      </c>
    </row>
    <row r="1173" spans="8:16">
      <c r="H1173" s="21"/>
      <c r="I1173" s="21"/>
      <c r="J1173" s="52"/>
      <c r="K1173" s="21"/>
      <c r="L1173" s="21" t="s">
        <v>486</v>
      </c>
      <c r="M1173" s="25">
        <f>DATE(YEAR(OneWeekMtgRatesDataTable75[[#This Row],[asOf]]),MONTH(OneWeekMtgRatesDataTable75[[#This Row],[asOf]]),DAY(OneWeekMtgRatesDataTable75[[#This Row],[asOf]]))</f>
        <v>40613</v>
      </c>
      <c r="N1173" s="21">
        <v>4.76</v>
      </c>
      <c r="O1173" s="21">
        <v>0.7</v>
      </c>
      <c r="P1173" s="21">
        <v>4.6849999999999996</v>
      </c>
    </row>
    <row r="1174" spans="8:16">
      <c r="H1174" s="21"/>
      <c r="I1174" s="21"/>
      <c r="J1174" s="52"/>
      <c r="K1174" s="21"/>
      <c r="L1174" s="21" t="s">
        <v>485</v>
      </c>
      <c r="M1174" s="25">
        <f>DATE(YEAR(OneWeekMtgRatesDataTable75[[#This Row],[asOf]]),MONTH(OneWeekMtgRatesDataTable75[[#This Row],[asOf]]),DAY(OneWeekMtgRatesDataTable75[[#This Row],[asOf]]))</f>
        <v>40612</v>
      </c>
      <c r="N1174" s="21">
        <v>4.76</v>
      </c>
      <c r="O1174" s="21">
        <v>0.7</v>
      </c>
      <c r="P1174" s="21">
        <v>4.6849999999999996</v>
      </c>
    </row>
    <row r="1175" spans="8:16">
      <c r="H1175" s="21"/>
      <c r="I1175" s="21"/>
      <c r="J1175" s="52"/>
      <c r="K1175" s="21"/>
      <c r="L1175" s="21" t="s">
        <v>484</v>
      </c>
      <c r="M1175" s="25">
        <f>DATE(YEAR(OneWeekMtgRatesDataTable75[[#This Row],[asOf]]),MONTH(OneWeekMtgRatesDataTable75[[#This Row],[asOf]]),DAY(OneWeekMtgRatesDataTable75[[#This Row],[asOf]]))</f>
        <v>40611</v>
      </c>
      <c r="N1175" s="21">
        <v>4.88</v>
      </c>
      <c r="O1175" s="21">
        <v>0.7</v>
      </c>
      <c r="P1175" s="21">
        <v>4.8049999999999997</v>
      </c>
    </row>
    <row r="1176" spans="8:16">
      <c r="H1176" s="21"/>
      <c r="I1176" s="21"/>
      <c r="J1176" s="52"/>
      <c r="K1176" s="21"/>
      <c r="L1176" s="21" t="s">
        <v>483</v>
      </c>
      <c r="M1176" s="25">
        <f>DATE(YEAR(OneWeekMtgRatesDataTable75[[#This Row],[asOf]]),MONTH(OneWeekMtgRatesDataTable75[[#This Row],[asOf]]),DAY(OneWeekMtgRatesDataTable75[[#This Row],[asOf]]))</f>
        <v>40610</v>
      </c>
      <c r="N1176" s="21">
        <v>4.88</v>
      </c>
      <c r="O1176" s="21">
        <v>0.7</v>
      </c>
      <c r="P1176" s="21">
        <v>4.8049999999999997</v>
      </c>
    </row>
    <row r="1177" spans="8:16">
      <c r="H1177" s="21"/>
      <c r="I1177" s="21"/>
      <c r="J1177" s="52"/>
      <c r="K1177" s="21"/>
      <c r="L1177" s="21" t="s">
        <v>482</v>
      </c>
      <c r="M1177" s="25">
        <f>DATE(YEAR(OneWeekMtgRatesDataTable75[[#This Row],[asOf]]),MONTH(OneWeekMtgRatesDataTable75[[#This Row],[asOf]]),DAY(OneWeekMtgRatesDataTable75[[#This Row],[asOf]]))</f>
        <v>40609</v>
      </c>
      <c r="N1177" s="21">
        <v>4.88</v>
      </c>
      <c r="O1177" s="21">
        <v>0.7</v>
      </c>
      <c r="P1177" s="21">
        <v>4.8049999999999997</v>
      </c>
    </row>
    <row r="1178" spans="8:16">
      <c r="H1178" s="21"/>
      <c r="I1178" s="21"/>
      <c r="J1178" s="52"/>
      <c r="K1178" s="21"/>
      <c r="L1178" s="21" t="s">
        <v>481</v>
      </c>
      <c r="M1178" s="25">
        <f>DATE(YEAR(OneWeekMtgRatesDataTable75[[#This Row],[asOf]]),MONTH(OneWeekMtgRatesDataTable75[[#This Row],[asOf]]),DAY(OneWeekMtgRatesDataTable75[[#This Row],[asOf]]))</f>
        <v>40606</v>
      </c>
      <c r="N1178" s="21">
        <v>4.88</v>
      </c>
      <c r="O1178" s="21">
        <v>0.7</v>
      </c>
      <c r="P1178" s="21">
        <v>4.8049999999999997</v>
      </c>
    </row>
    <row r="1179" spans="8:16">
      <c r="H1179" s="21"/>
      <c r="I1179" s="21"/>
      <c r="J1179" s="52"/>
      <c r="K1179" s="21"/>
      <c r="L1179" s="21" t="s">
        <v>480</v>
      </c>
      <c r="M1179" s="25">
        <f>DATE(YEAR(OneWeekMtgRatesDataTable75[[#This Row],[asOf]]),MONTH(OneWeekMtgRatesDataTable75[[#This Row],[asOf]]),DAY(OneWeekMtgRatesDataTable75[[#This Row],[asOf]]))</f>
        <v>40605</v>
      </c>
      <c r="N1179" s="21">
        <v>4.88</v>
      </c>
      <c r="O1179" s="21">
        <v>0.7</v>
      </c>
      <c r="P1179" s="21">
        <v>4.8049999999999997</v>
      </c>
    </row>
    <row r="1180" spans="8:16">
      <c r="H1180" s="21"/>
      <c r="I1180" s="21"/>
      <c r="J1180" s="52"/>
      <c r="K1180" s="21"/>
      <c r="L1180" s="21" t="s">
        <v>479</v>
      </c>
      <c r="M1180" s="25">
        <f>DATE(YEAR(OneWeekMtgRatesDataTable75[[#This Row],[asOf]]),MONTH(OneWeekMtgRatesDataTable75[[#This Row],[asOf]]),DAY(OneWeekMtgRatesDataTable75[[#This Row],[asOf]]))</f>
        <v>40604</v>
      </c>
      <c r="N1180" s="21">
        <v>4.87</v>
      </c>
      <c r="O1180" s="21">
        <v>0.7</v>
      </c>
      <c r="P1180" s="21">
        <v>4.7949999999999999</v>
      </c>
    </row>
    <row r="1181" spans="8:16">
      <c r="H1181" s="21"/>
      <c r="I1181" s="21"/>
      <c r="J1181" s="52"/>
      <c r="K1181" s="21"/>
      <c r="L1181" s="21" t="s">
        <v>478</v>
      </c>
      <c r="M1181" s="25">
        <f>DATE(YEAR(OneWeekMtgRatesDataTable75[[#This Row],[asOf]]),MONTH(OneWeekMtgRatesDataTable75[[#This Row],[asOf]]),DAY(OneWeekMtgRatesDataTable75[[#This Row],[asOf]]))</f>
        <v>40603</v>
      </c>
      <c r="N1181" s="21">
        <v>4.87</v>
      </c>
      <c r="O1181" s="21">
        <v>0.7</v>
      </c>
      <c r="P1181" s="21">
        <v>4.7949999999999999</v>
      </c>
    </row>
    <row r="1182" spans="8:16">
      <c r="H1182" s="21"/>
      <c r="I1182" s="21"/>
      <c r="J1182" s="52"/>
      <c r="K1182" s="21"/>
      <c r="L1182" s="21" t="s">
        <v>477</v>
      </c>
      <c r="M1182" s="25">
        <f>DATE(YEAR(OneWeekMtgRatesDataTable75[[#This Row],[asOf]]),MONTH(OneWeekMtgRatesDataTable75[[#This Row],[asOf]]),DAY(OneWeekMtgRatesDataTable75[[#This Row],[asOf]]))</f>
        <v>40602</v>
      </c>
      <c r="N1182" s="21">
        <v>4.87</v>
      </c>
      <c r="O1182" s="21">
        <v>0.7</v>
      </c>
      <c r="P1182" s="21">
        <v>4.7949999999999999</v>
      </c>
    </row>
    <row r="1183" spans="8:16">
      <c r="H1183" s="21"/>
      <c r="I1183" s="21"/>
      <c r="J1183" s="52"/>
      <c r="K1183" s="21"/>
      <c r="L1183" s="21" t="s">
        <v>476</v>
      </c>
      <c r="M1183" s="25">
        <f>DATE(YEAR(OneWeekMtgRatesDataTable75[[#This Row],[asOf]]),MONTH(OneWeekMtgRatesDataTable75[[#This Row],[asOf]]),DAY(OneWeekMtgRatesDataTable75[[#This Row],[asOf]]))</f>
        <v>40599</v>
      </c>
      <c r="N1183" s="21">
        <v>4.87</v>
      </c>
      <c r="O1183" s="21">
        <v>0.7</v>
      </c>
      <c r="P1183" s="21">
        <v>4.7949999999999999</v>
      </c>
    </row>
    <row r="1184" spans="8:16">
      <c r="H1184" s="21"/>
      <c r="I1184" s="21"/>
      <c r="J1184" s="52"/>
      <c r="K1184" s="21"/>
      <c r="L1184" s="21" t="s">
        <v>475</v>
      </c>
      <c r="M1184" s="25">
        <f>DATE(YEAR(OneWeekMtgRatesDataTable75[[#This Row],[asOf]]),MONTH(OneWeekMtgRatesDataTable75[[#This Row],[asOf]]),DAY(OneWeekMtgRatesDataTable75[[#This Row],[asOf]]))</f>
        <v>40598</v>
      </c>
      <c r="N1184" s="21">
        <v>4.87</v>
      </c>
      <c r="O1184" s="21">
        <v>0.7</v>
      </c>
      <c r="P1184" s="21">
        <v>4.7949999999999999</v>
      </c>
    </row>
    <row r="1185" spans="8:16">
      <c r="H1185" s="21"/>
      <c r="I1185" s="21"/>
      <c r="J1185" s="52"/>
      <c r="K1185" s="21"/>
      <c r="L1185" s="21" t="s">
        <v>474</v>
      </c>
      <c r="M1185" s="25">
        <f>DATE(YEAR(OneWeekMtgRatesDataTable75[[#This Row],[asOf]]),MONTH(OneWeekMtgRatesDataTable75[[#This Row],[asOf]]),DAY(OneWeekMtgRatesDataTable75[[#This Row],[asOf]]))</f>
        <v>40597</v>
      </c>
      <c r="N1185" s="21">
        <v>4.95</v>
      </c>
      <c r="O1185" s="21">
        <v>0.6</v>
      </c>
      <c r="P1185" s="21">
        <v>4.8500000000000005</v>
      </c>
    </row>
    <row r="1186" spans="8:16">
      <c r="H1186" s="21"/>
      <c r="I1186" s="21"/>
      <c r="J1186" s="52"/>
      <c r="K1186" s="21"/>
      <c r="L1186" s="21" t="s">
        <v>473</v>
      </c>
      <c r="M1186" s="25">
        <f>DATE(YEAR(OneWeekMtgRatesDataTable75[[#This Row],[asOf]]),MONTH(OneWeekMtgRatesDataTable75[[#This Row],[asOf]]),DAY(OneWeekMtgRatesDataTable75[[#This Row],[asOf]]))</f>
        <v>40596</v>
      </c>
      <c r="N1186" s="21">
        <v>4.95</v>
      </c>
      <c r="O1186" s="21">
        <v>0.6</v>
      </c>
      <c r="P1186" s="21">
        <v>4.8500000000000005</v>
      </c>
    </row>
    <row r="1187" spans="8:16">
      <c r="H1187" s="21"/>
      <c r="I1187" s="21"/>
      <c r="J1187" s="52"/>
      <c r="K1187" s="21"/>
      <c r="L1187" s="21" t="s">
        <v>472</v>
      </c>
      <c r="M1187" s="25">
        <f>DATE(YEAR(OneWeekMtgRatesDataTable75[[#This Row],[asOf]]),MONTH(OneWeekMtgRatesDataTable75[[#This Row],[asOf]]),DAY(OneWeekMtgRatesDataTable75[[#This Row],[asOf]]))</f>
        <v>40592</v>
      </c>
      <c r="N1187" s="21">
        <v>4.95</v>
      </c>
      <c r="O1187" s="21">
        <v>0.6</v>
      </c>
      <c r="P1187" s="21">
        <v>4.8500000000000005</v>
      </c>
    </row>
    <row r="1188" spans="8:16">
      <c r="H1188" s="21"/>
      <c r="I1188" s="21"/>
      <c r="J1188" s="52"/>
      <c r="K1188" s="21"/>
      <c r="L1188" s="21" t="s">
        <v>471</v>
      </c>
      <c r="M1188" s="25">
        <f>DATE(YEAR(OneWeekMtgRatesDataTable75[[#This Row],[asOf]]),MONTH(OneWeekMtgRatesDataTable75[[#This Row],[asOf]]),DAY(OneWeekMtgRatesDataTable75[[#This Row],[asOf]]))</f>
        <v>40591</v>
      </c>
      <c r="N1188" s="21">
        <v>4.95</v>
      </c>
      <c r="O1188" s="21">
        <v>0.6</v>
      </c>
      <c r="P1188" s="21">
        <v>4.8500000000000005</v>
      </c>
    </row>
    <row r="1189" spans="8:16">
      <c r="H1189" s="21"/>
      <c r="I1189" s="21"/>
      <c r="J1189" s="52"/>
      <c r="K1189" s="21"/>
      <c r="L1189" s="21" t="s">
        <v>470</v>
      </c>
      <c r="M1189" s="25">
        <f>DATE(YEAR(OneWeekMtgRatesDataTable75[[#This Row],[asOf]]),MONTH(OneWeekMtgRatesDataTable75[[#This Row],[asOf]]),DAY(OneWeekMtgRatesDataTable75[[#This Row],[asOf]]))</f>
        <v>40590</v>
      </c>
      <c r="N1189" s="21">
        <v>5</v>
      </c>
      <c r="O1189" s="21">
        <v>0.7</v>
      </c>
      <c r="P1189" s="21">
        <v>4.9249999999999998</v>
      </c>
    </row>
    <row r="1190" spans="8:16">
      <c r="H1190" s="21"/>
      <c r="I1190" s="21"/>
      <c r="J1190" s="52"/>
      <c r="K1190" s="21"/>
      <c r="L1190" s="21" t="s">
        <v>469</v>
      </c>
      <c r="M1190" s="25">
        <f>DATE(YEAR(OneWeekMtgRatesDataTable75[[#This Row],[asOf]]),MONTH(OneWeekMtgRatesDataTable75[[#This Row],[asOf]]),DAY(OneWeekMtgRatesDataTable75[[#This Row],[asOf]]))</f>
        <v>40589</v>
      </c>
      <c r="N1190" s="21">
        <v>5</v>
      </c>
      <c r="O1190" s="21">
        <v>0.7</v>
      </c>
      <c r="P1190" s="21">
        <v>4.9249999999999998</v>
      </c>
    </row>
    <row r="1191" spans="8:16">
      <c r="H1191" s="21"/>
      <c r="I1191" s="21"/>
      <c r="J1191" s="52"/>
      <c r="K1191" s="21"/>
      <c r="L1191" s="21" t="s">
        <v>468</v>
      </c>
      <c r="M1191" s="25">
        <f>DATE(YEAR(OneWeekMtgRatesDataTable75[[#This Row],[asOf]]),MONTH(OneWeekMtgRatesDataTable75[[#This Row],[asOf]]),DAY(OneWeekMtgRatesDataTable75[[#This Row],[asOf]]))</f>
        <v>40588</v>
      </c>
      <c r="N1191" s="21">
        <v>5</v>
      </c>
      <c r="O1191" s="21">
        <v>0.7</v>
      </c>
      <c r="P1191" s="21">
        <v>4.9249999999999998</v>
      </c>
    </row>
    <row r="1192" spans="8:16">
      <c r="H1192" s="21"/>
      <c r="I1192" s="21"/>
      <c r="J1192" s="52"/>
      <c r="K1192" s="21"/>
      <c r="L1192" s="21" t="s">
        <v>467</v>
      </c>
      <c r="M1192" s="25">
        <f>DATE(YEAR(OneWeekMtgRatesDataTable75[[#This Row],[asOf]]),MONTH(OneWeekMtgRatesDataTable75[[#This Row],[asOf]]),DAY(OneWeekMtgRatesDataTable75[[#This Row],[asOf]]))</f>
        <v>40585</v>
      </c>
      <c r="N1192" s="21">
        <v>5</v>
      </c>
      <c r="O1192" s="21">
        <v>0.7</v>
      </c>
      <c r="P1192" s="21">
        <v>4.9249999999999998</v>
      </c>
    </row>
    <row r="1193" spans="8:16">
      <c r="H1193" s="21"/>
      <c r="I1193" s="21"/>
      <c r="J1193" s="52"/>
      <c r="K1193" s="21"/>
      <c r="L1193" s="21" t="s">
        <v>466</v>
      </c>
      <c r="M1193" s="25">
        <f>DATE(YEAR(OneWeekMtgRatesDataTable75[[#This Row],[asOf]]),MONTH(OneWeekMtgRatesDataTable75[[#This Row],[asOf]]),DAY(OneWeekMtgRatesDataTable75[[#This Row],[asOf]]))</f>
        <v>40584</v>
      </c>
      <c r="N1193" s="21">
        <v>5</v>
      </c>
      <c r="O1193" s="21">
        <v>0.7</v>
      </c>
      <c r="P1193" s="21">
        <v>4.9249999999999998</v>
      </c>
    </row>
    <row r="1194" spans="8:16">
      <c r="H1194" s="21"/>
      <c r="I1194" s="21"/>
      <c r="J1194" s="52"/>
      <c r="K1194" s="21"/>
      <c r="L1194" s="21" t="s">
        <v>465</v>
      </c>
      <c r="M1194" s="25">
        <f>DATE(YEAR(OneWeekMtgRatesDataTable75[[#This Row],[asOf]]),MONTH(OneWeekMtgRatesDataTable75[[#This Row],[asOf]]),DAY(OneWeekMtgRatesDataTable75[[#This Row],[asOf]]))</f>
        <v>40583</v>
      </c>
      <c r="N1194" s="21">
        <v>5.05</v>
      </c>
      <c r="O1194" s="21">
        <v>0.7</v>
      </c>
      <c r="P1194" s="21">
        <v>4.9749999999999996</v>
      </c>
    </row>
    <row r="1195" spans="8:16">
      <c r="H1195" s="21"/>
      <c r="I1195" s="21"/>
      <c r="J1195" s="52"/>
      <c r="K1195" s="21"/>
      <c r="L1195" s="21" t="s">
        <v>464</v>
      </c>
      <c r="M1195" s="25">
        <f>DATE(YEAR(OneWeekMtgRatesDataTable75[[#This Row],[asOf]]),MONTH(OneWeekMtgRatesDataTable75[[#This Row],[asOf]]),DAY(OneWeekMtgRatesDataTable75[[#This Row],[asOf]]))</f>
        <v>40582</v>
      </c>
      <c r="N1195" s="21">
        <v>5.05</v>
      </c>
      <c r="O1195" s="21">
        <v>0.7</v>
      </c>
      <c r="P1195" s="21">
        <v>4.9749999999999996</v>
      </c>
    </row>
    <row r="1196" spans="8:16">
      <c r="H1196" s="21"/>
      <c r="I1196" s="21"/>
      <c r="J1196" s="52"/>
      <c r="K1196" s="21"/>
      <c r="L1196" s="21" t="s">
        <v>463</v>
      </c>
      <c r="M1196" s="25">
        <f>DATE(YEAR(OneWeekMtgRatesDataTable75[[#This Row],[asOf]]),MONTH(OneWeekMtgRatesDataTable75[[#This Row],[asOf]]),DAY(OneWeekMtgRatesDataTable75[[#This Row],[asOf]]))</f>
        <v>40581</v>
      </c>
      <c r="N1196" s="21">
        <v>5.05</v>
      </c>
      <c r="O1196" s="21">
        <v>0.7</v>
      </c>
      <c r="P1196" s="21">
        <v>4.9749999999999996</v>
      </c>
    </row>
    <row r="1197" spans="8:16">
      <c r="H1197" s="21"/>
      <c r="I1197" s="21"/>
      <c r="J1197" s="52"/>
      <c r="K1197" s="21"/>
      <c r="L1197" s="21" t="s">
        <v>462</v>
      </c>
      <c r="M1197" s="25">
        <f>DATE(YEAR(OneWeekMtgRatesDataTable75[[#This Row],[asOf]]),MONTH(OneWeekMtgRatesDataTable75[[#This Row],[asOf]]),DAY(OneWeekMtgRatesDataTable75[[#This Row],[asOf]]))</f>
        <v>40578</v>
      </c>
      <c r="N1197" s="21">
        <v>5.05</v>
      </c>
      <c r="O1197" s="21">
        <v>0.7</v>
      </c>
      <c r="P1197" s="21">
        <v>4.9749999999999996</v>
      </c>
    </row>
    <row r="1198" spans="8:16">
      <c r="H1198" s="21"/>
      <c r="I1198" s="21"/>
      <c r="J1198" s="52"/>
      <c r="K1198" s="21"/>
      <c r="L1198" s="21" t="s">
        <v>461</v>
      </c>
      <c r="M1198" s="25">
        <f>DATE(YEAR(OneWeekMtgRatesDataTable75[[#This Row],[asOf]]),MONTH(OneWeekMtgRatesDataTable75[[#This Row],[asOf]]),DAY(OneWeekMtgRatesDataTable75[[#This Row],[asOf]]))</f>
        <v>40577</v>
      </c>
      <c r="N1198" s="21">
        <v>5.05</v>
      </c>
      <c r="O1198" s="21">
        <v>0.7</v>
      </c>
      <c r="P1198" s="21">
        <v>4.9749999999999996</v>
      </c>
    </row>
    <row r="1199" spans="8:16">
      <c r="H1199" s="21"/>
      <c r="I1199" s="21"/>
      <c r="J1199" s="52"/>
      <c r="K1199" s="21"/>
      <c r="L1199" s="21" t="s">
        <v>460</v>
      </c>
      <c r="M1199" s="25">
        <f>DATE(YEAR(OneWeekMtgRatesDataTable75[[#This Row],[asOf]]),MONTH(OneWeekMtgRatesDataTable75[[#This Row],[asOf]]),DAY(OneWeekMtgRatesDataTable75[[#This Row],[asOf]]))</f>
        <v>40576</v>
      </c>
      <c r="N1199" s="21">
        <v>4.8099999999999996</v>
      </c>
      <c r="O1199" s="21">
        <v>0.8</v>
      </c>
      <c r="P1199" s="21">
        <v>4.76</v>
      </c>
    </row>
    <row r="1200" spans="8:16">
      <c r="H1200" s="21"/>
      <c r="I1200" s="21"/>
      <c r="J1200" s="52"/>
      <c r="K1200" s="21"/>
      <c r="L1200" s="21" t="s">
        <v>459</v>
      </c>
      <c r="M1200" s="25">
        <f>DATE(YEAR(OneWeekMtgRatesDataTable75[[#This Row],[asOf]]),MONTH(OneWeekMtgRatesDataTable75[[#This Row],[asOf]]),DAY(OneWeekMtgRatesDataTable75[[#This Row],[asOf]]))</f>
        <v>40575</v>
      </c>
      <c r="N1200" s="21">
        <v>4.8099999999999996</v>
      </c>
      <c r="O1200" s="21">
        <v>0.8</v>
      </c>
      <c r="P1200" s="21">
        <v>4.76</v>
      </c>
    </row>
    <row r="1201" spans="8:16">
      <c r="H1201" s="21"/>
      <c r="I1201" s="21"/>
      <c r="J1201" s="52"/>
      <c r="K1201" s="21"/>
      <c r="L1201" s="21" t="s">
        <v>458</v>
      </c>
      <c r="M1201" s="25">
        <f>DATE(YEAR(OneWeekMtgRatesDataTable75[[#This Row],[asOf]]),MONTH(OneWeekMtgRatesDataTable75[[#This Row],[asOf]]),DAY(OneWeekMtgRatesDataTable75[[#This Row],[asOf]]))</f>
        <v>40574</v>
      </c>
      <c r="N1201" s="21">
        <v>4.8099999999999996</v>
      </c>
      <c r="O1201" s="21">
        <v>0.8</v>
      </c>
      <c r="P1201" s="21">
        <v>4.76</v>
      </c>
    </row>
    <row r="1202" spans="8:16">
      <c r="H1202" s="21"/>
      <c r="I1202" s="21"/>
      <c r="J1202" s="52"/>
      <c r="K1202" s="21"/>
      <c r="L1202" s="21" t="s">
        <v>457</v>
      </c>
      <c r="M1202" s="25">
        <f>DATE(YEAR(OneWeekMtgRatesDataTable75[[#This Row],[asOf]]),MONTH(OneWeekMtgRatesDataTable75[[#This Row],[asOf]]),DAY(OneWeekMtgRatesDataTable75[[#This Row],[asOf]]))</f>
        <v>40571</v>
      </c>
      <c r="N1202" s="21">
        <v>4.8099999999999996</v>
      </c>
      <c r="O1202" s="21">
        <v>0.8</v>
      </c>
      <c r="P1202" s="21">
        <v>4.76</v>
      </c>
    </row>
    <row r="1203" spans="8:16">
      <c r="H1203" s="21"/>
      <c r="I1203" s="21"/>
      <c r="J1203" s="52"/>
      <c r="K1203" s="21"/>
      <c r="L1203" s="21" t="s">
        <v>456</v>
      </c>
      <c r="M1203" s="25">
        <f>DATE(YEAR(OneWeekMtgRatesDataTable75[[#This Row],[asOf]]),MONTH(OneWeekMtgRatesDataTable75[[#This Row],[asOf]]),DAY(OneWeekMtgRatesDataTable75[[#This Row],[asOf]]))</f>
        <v>40570</v>
      </c>
      <c r="N1203" s="21">
        <v>4.8099999999999996</v>
      </c>
      <c r="O1203" s="21">
        <v>0.8</v>
      </c>
      <c r="P1203" s="21">
        <v>4.76</v>
      </c>
    </row>
    <row r="1204" spans="8:16">
      <c r="H1204" s="21"/>
      <c r="I1204" s="21"/>
      <c r="J1204" s="52"/>
      <c r="K1204" s="21"/>
      <c r="L1204" s="21" t="s">
        <v>455</v>
      </c>
      <c r="M1204" s="25">
        <f>DATE(YEAR(OneWeekMtgRatesDataTable75[[#This Row],[asOf]]),MONTH(OneWeekMtgRatesDataTable75[[#This Row],[asOf]]),DAY(OneWeekMtgRatesDataTable75[[#This Row],[asOf]]))</f>
        <v>40569</v>
      </c>
      <c r="N1204" s="21">
        <v>4.8</v>
      </c>
      <c r="O1204" s="21">
        <v>0.7</v>
      </c>
      <c r="P1204" s="21">
        <v>4.7249999999999996</v>
      </c>
    </row>
    <row r="1205" spans="8:16">
      <c r="H1205" s="21"/>
      <c r="I1205" s="21"/>
      <c r="J1205" s="52"/>
      <c r="K1205" s="21"/>
      <c r="L1205" s="21" t="s">
        <v>454</v>
      </c>
      <c r="M1205" s="25">
        <f>DATE(YEAR(OneWeekMtgRatesDataTable75[[#This Row],[asOf]]),MONTH(OneWeekMtgRatesDataTable75[[#This Row],[asOf]]),DAY(OneWeekMtgRatesDataTable75[[#This Row],[asOf]]))</f>
        <v>40568</v>
      </c>
      <c r="N1205" s="21">
        <v>4.8</v>
      </c>
      <c r="O1205" s="21">
        <v>0.7</v>
      </c>
      <c r="P1205" s="21">
        <v>4.7249999999999996</v>
      </c>
    </row>
    <row r="1206" spans="8:16">
      <c r="H1206" s="21"/>
      <c r="I1206" s="21"/>
      <c r="J1206" s="52"/>
      <c r="K1206" s="21"/>
      <c r="L1206" s="21" t="s">
        <v>453</v>
      </c>
      <c r="M1206" s="25">
        <f>DATE(YEAR(OneWeekMtgRatesDataTable75[[#This Row],[asOf]]),MONTH(OneWeekMtgRatesDataTable75[[#This Row],[asOf]]),DAY(OneWeekMtgRatesDataTable75[[#This Row],[asOf]]))</f>
        <v>40567</v>
      </c>
      <c r="N1206" s="21">
        <v>4.8</v>
      </c>
      <c r="O1206" s="21">
        <v>0.7</v>
      </c>
      <c r="P1206" s="21">
        <v>4.7249999999999996</v>
      </c>
    </row>
    <row r="1207" spans="8:16">
      <c r="H1207" s="21"/>
      <c r="I1207" s="21"/>
      <c r="J1207" s="52"/>
      <c r="K1207" s="21"/>
      <c r="L1207" s="21" t="s">
        <v>452</v>
      </c>
      <c r="M1207" s="25">
        <f>DATE(YEAR(OneWeekMtgRatesDataTable75[[#This Row],[asOf]]),MONTH(OneWeekMtgRatesDataTable75[[#This Row],[asOf]]),DAY(OneWeekMtgRatesDataTable75[[#This Row],[asOf]]))</f>
        <v>40564</v>
      </c>
      <c r="N1207" s="21">
        <v>4.8</v>
      </c>
      <c r="O1207" s="21">
        <v>0.7</v>
      </c>
      <c r="P1207" s="21">
        <v>4.7249999999999996</v>
      </c>
    </row>
    <row r="1208" spans="8:16">
      <c r="H1208" s="21"/>
      <c r="I1208" s="21"/>
      <c r="J1208" s="52"/>
      <c r="K1208" s="21"/>
      <c r="L1208" s="21" t="s">
        <v>451</v>
      </c>
      <c r="M1208" s="25">
        <f>DATE(YEAR(OneWeekMtgRatesDataTable75[[#This Row],[asOf]]),MONTH(OneWeekMtgRatesDataTable75[[#This Row],[asOf]]),DAY(OneWeekMtgRatesDataTable75[[#This Row],[asOf]]))</f>
        <v>40563</v>
      </c>
      <c r="N1208" s="21">
        <v>4.8</v>
      </c>
      <c r="O1208" s="21">
        <v>0.7</v>
      </c>
      <c r="P1208" s="21">
        <v>4.7249999999999996</v>
      </c>
    </row>
    <row r="1209" spans="8:16">
      <c r="H1209" s="21"/>
      <c r="I1209" s="21"/>
      <c r="J1209" s="52"/>
      <c r="K1209" s="21"/>
      <c r="L1209" s="21" t="s">
        <v>450</v>
      </c>
      <c r="M1209" s="25">
        <f>DATE(YEAR(OneWeekMtgRatesDataTable75[[#This Row],[asOf]]),MONTH(OneWeekMtgRatesDataTable75[[#This Row],[asOf]]),DAY(OneWeekMtgRatesDataTable75[[#This Row],[asOf]]))</f>
        <v>40562</v>
      </c>
      <c r="N1209" s="21">
        <v>4.74</v>
      </c>
      <c r="O1209" s="21">
        <v>0.8</v>
      </c>
      <c r="P1209" s="21">
        <v>4.6900000000000004</v>
      </c>
    </row>
    <row r="1210" spans="8:16">
      <c r="H1210" s="21"/>
      <c r="I1210" s="21"/>
      <c r="J1210" s="52"/>
      <c r="K1210" s="21"/>
      <c r="L1210" s="21" t="s">
        <v>449</v>
      </c>
      <c r="M1210" s="25">
        <f>DATE(YEAR(OneWeekMtgRatesDataTable75[[#This Row],[asOf]]),MONTH(OneWeekMtgRatesDataTable75[[#This Row],[asOf]]),DAY(OneWeekMtgRatesDataTable75[[#This Row],[asOf]]))</f>
        <v>40561</v>
      </c>
      <c r="N1210" s="21">
        <v>4.74</v>
      </c>
      <c r="O1210" s="21">
        <v>0.8</v>
      </c>
      <c r="P1210" s="21">
        <v>4.6900000000000004</v>
      </c>
    </row>
    <row r="1211" spans="8:16">
      <c r="H1211" s="21"/>
      <c r="I1211" s="21"/>
      <c r="J1211" s="52"/>
      <c r="K1211" s="21"/>
      <c r="L1211" s="21" t="s">
        <v>448</v>
      </c>
      <c r="M1211" s="25">
        <f>DATE(YEAR(OneWeekMtgRatesDataTable75[[#This Row],[asOf]]),MONTH(OneWeekMtgRatesDataTable75[[#This Row],[asOf]]),DAY(OneWeekMtgRatesDataTable75[[#This Row],[asOf]]))</f>
        <v>40557</v>
      </c>
      <c r="N1211" s="21">
        <v>4.74</v>
      </c>
      <c r="O1211" s="21">
        <v>0.8</v>
      </c>
      <c r="P1211" s="21">
        <v>4.6900000000000004</v>
      </c>
    </row>
    <row r="1212" spans="8:16">
      <c r="H1212" s="21"/>
      <c r="I1212" s="21"/>
      <c r="J1212" s="52"/>
      <c r="K1212" s="21"/>
      <c r="L1212" s="21" t="s">
        <v>447</v>
      </c>
      <c r="M1212" s="25">
        <f>DATE(YEAR(OneWeekMtgRatesDataTable75[[#This Row],[asOf]]),MONTH(OneWeekMtgRatesDataTable75[[#This Row],[asOf]]),DAY(OneWeekMtgRatesDataTable75[[#This Row],[asOf]]))</f>
        <v>40556</v>
      </c>
      <c r="N1212" s="21">
        <v>4.74</v>
      </c>
      <c r="O1212" s="21">
        <v>0.8</v>
      </c>
      <c r="P1212" s="21">
        <v>4.6900000000000004</v>
      </c>
    </row>
    <row r="1213" spans="8:16">
      <c r="H1213" s="21"/>
      <c r="I1213" s="21"/>
      <c r="J1213" s="52"/>
      <c r="K1213" s="21"/>
      <c r="L1213" s="21" t="s">
        <v>446</v>
      </c>
      <c r="M1213" s="25">
        <f>DATE(YEAR(OneWeekMtgRatesDataTable75[[#This Row],[asOf]]),MONTH(OneWeekMtgRatesDataTable75[[#This Row],[asOf]]),DAY(OneWeekMtgRatesDataTable75[[#This Row],[asOf]]))</f>
        <v>40555</v>
      </c>
      <c r="N1213" s="21">
        <v>4.71</v>
      </c>
      <c r="O1213" s="21">
        <v>0.8</v>
      </c>
      <c r="P1213" s="21">
        <v>4.66</v>
      </c>
    </row>
    <row r="1214" spans="8:16">
      <c r="H1214" s="21"/>
      <c r="I1214" s="21"/>
      <c r="J1214" s="52"/>
      <c r="K1214" s="21"/>
      <c r="L1214" s="21" t="s">
        <v>445</v>
      </c>
      <c r="M1214" s="25">
        <f>DATE(YEAR(OneWeekMtgRatesDataTable75[[#This Row],[asOf]]),MONTH(OneWeekMtgRatesDataTable75[[#This Row],[asOf]]),DAY(OneWeekMtgRatesDataTable75[[#This Row],[asOf]]))</f>
        <v>40554</v>
      </c>
      <c r="N1214" s="21">
        <v>4.71</v>
      </c>
      <c r="O1214" s="21">
        <v>0.8</v>
      </c>
      <c r="P1214" s="21">
        <v>4.66</v>
      </c>
    </row>
    <row r="1215" spans="8:16">
      <c r="H1215" s="21"/>
      <c r="I1215" s="21"/>
      <c r="J1215" s="52"/>
      <c r="K1215" s="21"/>
      <c r="L1215" s="21" t="s">
        <v>444</v>
      </c>
      <c r="M1215" s="25">
        <f>DATE(YEAR(OneWeekMtgRatesDataTable75[[#This Row],[asOf]]),MONTH(OneWeekMtgRatesDataTable75[[#This Row],[asOf]]),DAY(OneWeekMtgRatesDataTable75[[#This Row],[asOf]]))</f>
        <v>40553</v>
      </c>
      <c r="N1215" s="21">
        <v>4.71</v>
      </c>
      <c r="O1215" s="21">
        <v>0.8</v>
      </c>
      <c r="P1215" s="21">
        <v>4.66</v>
      </c>
    </row>
    <row r="1216" spans="8:16">
      <c r="H1216" s="21"/>
      <c r="I1216" s="21"/>
      <c r="J1216" s="52"/>
      <c r="K1216" s="21"/>
      <c r="L1216" s="21" t="s">
        <v>443</v>
      </c>
      <c r="M1216" s="25">
        <f>DATE(YEAR(OneWeekMtgRatesDataTable75[[#This Row],[asOf]]),MONTH(OneWeekMtgRatesDataTable75[[#This Row],[asOf]]),DAY(OneWeekMtgRatesDataTable75[[#This Row],[asOf]]))</f>
        <v>40550</v>
      </c>
      <c r="N1216" s="21">
        <v>4.71</v>
      </c>
      <c r="O1216" s="21">
        <v>0.8</v>
      </c>
      <c r="P1216" s="21">
        <v>4.66</v>
      </c>
    </row>
    <row r="1217" spans="8:16">
      <c r="H1217" s="21"/>
      <c r="I1217" s="21"/>
      <c r="J1217" s="52"/>
      <c r="K1217" s="21"/>
      <c r="L1217" s="21" t="s">
        <v>442</v>
      </c>
      <c r="M1217" s="25">
        <f>DATE(YEAR(OneWeekMtgRatesDataTable75[[#This Row],[asOf]]),MONTH(OneWeekMtgRatesDataTable75[[#This Row],[asOf]]),DAY(OneWeekMtgRatesDataTable75[[#This Row],[asOf]]))</f>
        <v>40549</v>
      </c>
      <c r="N1217" s="21">
        <v>4.71</v>
      </c>
      <c r="O1217" s="21">
        <v>0.8</v>
      </c>
      <c r="P1217" s="21">
        <v>4.66</v>
      </c>
    </row>
    <row r="1218" spans="8:16">
      <c r="H1218" s="21"/>
      <c r="I1218" s="21"/>
      <c r="J1218" s="52"/>
      <c r="K1218" s="21"/>
      <c r="L1218" s="21" t="s">
        <v>441</v>
      </c>
      <c r="M1218" s="25">
        <f>DATE(YEAR(OneWeekMtgRatesDataTable75[[#This Row],[asOf]]),MONTH(OneWeekMtgRatesDataTable75[[#This Row],[asOf]]),DAY(OneWeekMtgRatesDataTable75[[#This Row],[asOf]]))</f>
        <v>40548</v>
      </c>
      <c r="N1218" s="21">
        <v>4.7699999999999996</v>
      </c>
      <c r="O1218" s="21">
        <v>0.8</v>
      </c>
      <c r="P1218" s="21">
        <v>4.72</v>
      </c>
    </row>
    <row r="1219" spans="8:16">
      <c r="H1219" s="21"/>
      <c r="I1219" s="21"/>
      <c r="J1219" s="52"/>
      <c r="K1219" s="21"/>
      <c r="L1219" s="21" t="s">
        <v>440</v>
      </c>
      <c r="M1219" s="25">
        <f>DATE(YEAR(OneWeekMtgRatesDataTable75[[#This Row],[asOf]]),MONTH(OneWeekMtgRatesDataTable75[[#This Row],[asOf]]),DAY(OneWeekMtgRatesDataTable75[[#This Row],[asOf]]))</f>
        <v>40547</v>
      </c>
      <c r="N1219" s="21">
        <v>4.7699999999999996</v>
      </c>
      <c r="O1219" s="21">
        <v>0.8</v>
      </c>
      <c r="P1219" s="21">
        <v>4.72</v>
      </c>
    </row>
    <row r="1220" spans="8:16">
      <c r="H1220" s="21"/>
      <c r="I1220" s="21"/>
      <c r="J1220" s="52"/>
      <c r="K1220" s="21"/>
      <c r="L1220" s="21" t="s">
        <v>439</v>
      </c>
      <c r="M1220" s="25">
        <f>DATE(YEAR(OneWeekMtgRatesDataTable75[[#This Row],[asOf]]),MONTH(OneWeekMtgRatesDataTable75[[#This Row],[asOf]]),DAY(OneWeekMtgRatesDataTable75[[#This Row],[asOf]]))</f>
        <v>40546</v>
      </c>
      <c r="N1220" s="21">
        <v>4.7699999999999996</v>
      </c>
      <c r="O1220" s="21">
        <v>0.8</v>
      </c>
      <c r="P1220" s="21">
        <v>4.72</v>
      </c>
    </row>
    <row r="1221" spans="8:16">
      <c r="H1221" s="21"/>
      <c r="I1221" s="21"/>
      <c r="J1221" s="52"/>
      <c r="K1221" s="21"/>
      <c r="L1221" s="21" t="s">
        <v>438</v>
      </c>
      <c r="M1221" s="25">
        <f>DATE(YEAR(OneWeekMtgRatesDataTable75[[#This Row],[asOf]]),MONTH(OneWeekMtgRatesDataTable75[[#This Row],[asOf]]),DAY(OneWeekMtgRatesDataTable75[[#This Row],[asOf]]))</f>
        <v>40543</v>
      </c>
      <c r="N1221" s="21">
        <v>4.7699999999999996</v>
      </c>
      <c r="O1221" s="21">
        <v>0.8</v>
      </c>
      <c r="P1221" s="21">
        <v>4.72</v>
      </c>
    </row>
    <row r="1222" spans="8:16">
      <c r="H1222" s="21"/>
      <c r="I1222" s="21"/>
      <c r="J1222" s="52"/>
      <c r="K1222" s="21"/>
      <c r="L1222" s="21" t="s">
        <v>437</v>
      </c>
      <c r="M1222" s="25">
        <f>DATE(YEAR(OneWeekMtgRatesDataTable75[[#This Row],[asOf]]),MONTH(OneWeekMtgRatesDataTable75[[#This Row],[asOf]]),DAY(OneWeekMtgRatesDataTable75[[#This Row],[asOf]]))</f>
        <v>40542</v>
      </c>
      <c r="N1222" s="21">
        <v>4.7699999999999996</v>
      </c>
      <c r="O1222" s="21">
        <v>0.8</v>
      </c>
      <c r="P1222" s="21">
        <v>4.72</v>
      </c>
    </row>
    <row r="1223" spans="8:16">
      <c r="H1223" s="21"/>
      <c r="I1223" s="21"/>
      <c r="J1223" s="52"/>
      <c r="K1223" s="21"/>
      <c r="L1223" s="21" t="s">
        <v>436</v>
      </c>
      <c r="M1223" s="25">
        <f>DATE(YEAR(OneWeekMtgRatesDataTable75[[#This Row],[asOf]]),MONTH(OneWeekMtgRatesDataTable75[[#This Row],[asOf]]),DAY(OneWeekMtgRatesDataTable75[[#This Row],[asOf]]))</f>
        <v>40541</v>
      </c>
      <c r="N1223" s="21">
        <v>4.8600000000000003</v>
      </c>
      <c r="O1223" s="21">
        <v>0.8</v>
      </c>
      <c r="P1223" s="21">
        <v>4.8100000000000005</v>
      </c>
    </row>
    <row r="1224" spans="8:16">
      <c r="H1224" s="21"/>
      <c r="I1224" s="21"/>
      <c r="J1224" s="52"/>
      <c r="K1224" s="21"/>
      <c r="L1224" s="21" t="s">
        <v>435</v>
      </c>
      <c r="M1224" s="25">
        <f>DATE(YEAR(OneWeekMtgRatesDataTable75[[#This Row],[asOf]]),MONTH(OneWeekMtgRatesDataTable75[[#This Row],[asOf]]),DAY(OneWeekMtgRatesDataTable75[[#This Row],[asOf]]))</f>
        <v>40540</v>
      </c>
      <c r="N1224" s="21">
        <v>4.8600000000000003</v>
      </c>
      <c r="O1224" s="21">
        <v>0.8</v>
      </c>
      <c r="P1224" s="21">
        <v>4.8100000000000005</v>
      </c>
    </row>
    <row r="1225" spans="8:16">
      <c r="H1225" s="21"/>
      <c r="I1225" s="21"/>
      <c r="J1225" s="52"/>
      <c r="K1225" s="21"/>
      <c r="L1225" s="21" t="s">
        <v>434</v>
      </c>
      <c r="M1225" s="25">
        <f>DATE(YEAR(OneWeekMtgRatesDataTable75[[#This Row],[asOf]]),MONTH(OneWeekMtgRatesDataTable75[[#This Row],[asOf]]),DAY(OneWeekMtgRatesDataTable75[[#This Row],[asOf]]))</f>
        <v>40539</v>
      </c>
      <c r="N1225" s="21">
        <v>4.8600000000000003</v>
      </c>
      <c r="O1225" s="21">
        <v>0.8</v>
      </c>
      <c r="P1225" s="21">
        <v>4.8100000000000005</v>
      </c>
    </row>
    <row r="1226" spans="8:16">
      <c r="H1226" s="21"/>
      <c r="I1226" s="21"/>
      <c r="J1226" s="52"/>
      <c r="K1226" s="21"/>
      <c r="L1226" s="21" t="s">
        <v>433</v>
      </c>
      <c r="M1226" s="25">
        <f>DATE(YEAR(OneWeekMtgRatesDataTable75[[#This Row],[asOf]]),MONTH(OneWeekMtgRatesDataTable75[[#This Row],[asOf]]),DAY(OneWeekMtgRatesDataTable75[[#This Row],[asOf]]))</f>
        <v>40535</v>
      </c>
      <c r="N1226" s="21">
        <v>4.8600000000000003</v>
      </c>
      <c r="O1226" s="21">
        <v>0.8</v>
      </c>
      <c r="P1226" s="21">
        <v>4.8100000000000005</v>
      </c>
    </row>
    <row r="1227" spans="8:16">
      <c r="H1227" s="21"/>
      <c r="I1227" s="21"/>
      <c r="J1227" s="52"/>
      <c r="K1227" s="21"/>
      <c r="L1227" s="21" t="s">
        <v>432</v>
      </c>
      <c r="M1227" s="25">
        <f>DATE(YEAR(OneWeekMtgRatesDataTable75[[#This Row],[asOf]]),MONTH(OneWeekMtgRatesDataTable75[[#This Row],[asOf]]),DAY(OneWeekMtgRatesDataTable75[[#This Row],[asOf]]))</f>
        <v>40534</v>
      </c>
      <c r="N1227" s="21">
        <v>4.8099999999999996</v>
      </c>
      <c r="O1227" s="21">
        <v>0.7</v>
      </c>
      <c r="P1227" s="21">
        <v>4.7349999999999994</v>
      </c>
    </row>
    <row r="1228" spans="8:16">
      <c r="H1228" s="21"/>
      <c r="I1228" s="21"/>
      <c r="J1228" s="52"/>
      <c r="K1228" s="21"/>
      <c r="L1228" s="21" t="s">
        <v>431</v>
      </c>
      <c r="M1228" s="25">
        <f>DATE(YEAR(OneWeekMtgRatesDataTable75[[#This Row],[asOf]]),MONTH(OneWeekMtgRatesDataTable75[[#This Row],[asOf]]),DAY(OneWeekMtgRatesDataTable75[[#This Row],[asOf]]))</f>
        <v>40533</v>
      </c>
      <c r="N1228" s="21">
        <v>4.8099999999999996</v>
      </c>
      <c r="O1228" s="21">
        <v>0.7</v>
      </c>
      <c r="P1228" s="21">
        <v>4.7349999999999994</v>
      </c>
    </row>
    <row r="1229" spans="8:16">
      <c r="H1229" s="21"/>
      <c r="I1229" s="21"/>
      <c r="J1229" s="52"/>
      <c r="K1229" s="21"/>
      <c r="L1229" s="21" t="s">
        <v>430</v>
      </c>
      <c r="M1229" s="25">
        <f>DATE(YEAR(OneWeekMtgRatesDataTable75[[#This Row],[asOf]]),MONTH(OneWeekMtgRatesDataTable75[[#This Row],[asOf]]),DAY(OneWeekMtgRatesDataTable75[[#This Row],[asOf]]))</f>
        <v>40532</v>
      </c>
      <c r="N1229" s="21">
        <v>4.8099999999999996</v>
      </c>
      <c r="O1229" s="21">
        <v>0.7</v>
      </c>
      <c r="P1229" s="21">
        <v>4.7349999999999994</v>
      </c>
    </row>
    <row r="1230" spans="8:16">
      <c r="H1230" s="21"/>
      <c r="I1230" s="21"/>
      <c r="J1230" s="52"/>
      <c r="K1230" s="21"/>
      <c r="L1230" s="21" t="s">
        <v>429</v>
      </c>
      <c r="M1230" s="25">
        <f>DATE(YEAR(OneWeekMtgRatesDataTable75[[#This Row],[asOf]]),MONTH(OneWeekMtgRatesDataTable75[[#This Row],[asOf]]),DAY(OneWeekMtgRatesDataTable75[[#This Row],[asOf]]))</f>
        <v>40529</v>
      </c>
      <c r="N1230" s="21">
        <v>4.8099999999999996</v>
      </c>
      <c r="O1230" s="21">
        <v>0.7</v>
      </c>
      <c r="P1230" s="21">
        <v>4.7349999999999994</v>
      </c>
    </row>
    <row r="1231" spans="8:16">
      <c r="H1231" s="21"/>
      <c r="I1231" s="21"/>
      <c r="J1231" s="52"/>
      <c r="K1231" s="21"/>
      <c r="L1231" s="21" t="s">
        <v>428</v>
      </c>
      <c r="M1231" s="25">
        <f>DATE(YEAR(OneWeekMtgRatesDataTable75[[#This Row],[asOf]]),MONTH(OneWeekMtgRatesDataTable75[[#This Row],[asOf]]),DAY(OneWeekMtgRatesDataTable75[[#This Row],[asOf]]))</f>
        <v>40528</v>
      </c>
      <c r="N1231" s="21">
        <v>4.8099999999999996</v>
      </c>
      <c r="O1231" s="21">
        <v>0.7</v>
      </c>
      <c r="P1231" s="21">
        <v>4.7349999999999994</v>
      </c>
    </row>
    <row r="1232" spans="8:16">
      <c r="H1232" s="21"/>
      <c r="I1232" s="21"/>
      <c r="J1232" s="52"/>
      <c r="K1232" s="21"/>
      <c r="L1232" s="21" t="s">
        <v>427</v>
      </c>
      <c r="M1232" s="25">
        <f>DATE(YEAR(OneWeekMtgRatesDataTable75[[#This Row],[asOf]]),MONTH(OneWeekMtgRatesDataTable75[[#This Row],[asOf]]),DAY(OneWeekMtgRatesDataTable75[[#This Row],[asOf]]))</f>
        <v>40527</v>
      </c>
      <c r="N1232" s="21">
        <v>4.83</v>
      </c>
      <c r="O1232" s="21">
        <v>0.7</v>
      </c>
      <c r="P1232" s="21">
        <v>4.7549999999999999</v>
      </c>
    </row>
    <row r="1233" spans="8:16">
      <c r="H1233" s="21"/>
      <c r="I1233" s="21"/>
      <c r="J1233" s="52"/>
      <c r="K1233" s="21"/>
      <c r="L1233" s="21" t="s">
        <v>426</v>
      </c>
      <c r="M1233" s="25">
        <f>DATE(YEAR(OneWeekMtgRatesDataTable75[[#This Row],[asOf]]),MONTH(OneWeekMtgRatesDataTable75[[#This Row],[asOf]]),DAY(OneWeekMtgRatesDataTable75[[#This Row],[asOf]]))</f>
        <v>40526</v>
      </c>
      <c r="N1233" s="21">
        <v>4.83</v>
      </c>
      <c r="O1233" s="21">
        <v>0.7</v>
      </c>
      <c r="P1233" s="21">
        <v>4.7549999999999999</v>
      </c>
    </row>
    <row r="1234" spans="8:16">
      <c r="H1234" s="21"/>
      <c r="I1234" s="21"/>
      <c r="J1234" s="52"/>
      <c r="K1234" s="21"/>
      <c r="L1234" s="21" t="s">
        <v>425</v>
      </c>
      <c r="M1234" s="25">
        <f>DATE(YEAR(OneWeekMtgRatesDataTable75[[#This Row],[asOf]]),MONTH(OneWeekMtgRatesDataTable75[[#This Row],[asOf]]),DAY(OneWeekMtgRatesDataTable75[[#This Row],[asOf]]))</f>
        <v>40525</v>
      </c>
      <c r="N1234" s="21">
        <v>4.83</v>
      </c>
      <c r="O1234" s="21">
        <v>0.7</v>
      </c>
      <c r="P1234" s="21">
        <v>4.7549999999999999</v>
      </c>
    </row>
    <row r="1235" spans="8:16">
      <c r="H1235" s="21"/>
      <c r="I1235" s="21"/>
      <c r="J1235" s="52"/>
      <c r="K1235" s="21"/>
      <c r="L1235" s="21" t="s">
        <v>424</v>
      </c>
      <c r="M1235" s="25">
        <f>DATE(YEAR(OneWeekMtgRatesDataTable75[[#This Row],[asOf]]),MONTH(OneWeekMtgRatesDataTable75[[#This Row],[asOf]]),DAY(OneWeekMtgRatesDataTable75[[#This Row],[asOf]]))</f>
        <v>40522</v>
      </c>
      <c r="N1235" s="21">
        <v>4.83</v>
      </c>
      <c r="O1235" s="21">
        <v>0.7</v>
      </c>
      <c r="P1235" s="21">
        <v>4.7549999999999999</v>
      </c>
    </row>
    <row r="1236" spans="8:16">
      <c r="H1236" s="21"/>
      <c r="I1236" s="21"/>
      <c r="J1236" s="52"/>
      <c r="K1236" s="21"/>
      <c r="L1236" s="21" t="s">
        <v>423</v>
      </c>
      <c r="M1236" s="25">
        <f>DATE(YEAR(OneWeekMtgRatesDataTable75[[#This Row],[asOf]]),MONTH(OneWeekMtgRatesDataTable75[[#This Row],[asOf]]),DAY(OneWeekMtgRatesDataTable75[[#This Row],[asOf]]))</f>
        <v>40521</v>
      </c>
      <c r="N1236" s="21">
        <v>4.83</v>
      </c>
      <c r="O1236" s="21">
        <v>0.7</v>
      </c>
      <c r="P1236" s="21">
        <v>4.7549999999999999</v>
      </c>
    </row>
    <row r="1237" spans="8:16">
      <c r="H1237" s="21"/>
      <c r="I1237" s="21"/>
      <c r="J1237" s="52"/>
      <c r="K1237" s="21"/>
      <c r="L1237" s="21" t="s">
        <v>422</v>
      </c>
      <c r="M1237" s="25">
        <f>DATE(YEAR(OneWeekMtgRatesDataTable75[[#This Row],[asOf]]),MONTH(OneWeekMtgRatesDataTable75[[#This Row],[asOf]]),DAY(OneWeekMtgRatesDataTable75[[#This Row],[asOf]]))</f>
        <v>40520</v>
      </c>
      <c r="N1237" s="21">
        <v>4.6100000000000003</v>
      </c>
      <c r="O1237" s="21">
        <v>0.7</v>
      </c>
      <c r="P1237" s="21">
        <v>4.5350000000000001</v>
      </c>
    </row>
    <row r="1238" spans="8:16">
      <c r="H1238" s="21"/>
      <c r="I1238" s="21"/>
      <c r="J1238" s="52"/>
      <c r="K1238" s="21"/>
      <c r="L1238" s="21" t="s">
        <v>421</v>
      </c>
      <c r="M1238" s="25">
        <f>DATE(YEAR(OneWeekMtgRatesDataTable75[[#This Row],[asOf]]),MONTH(OneWeekMtgRatesDataTable75[[#This Row],[asOf]]),DAY(OneWeekMtgRatesDataTable75[[#This Row],[asOf]]))</f>
        <v>40519</v>
      </c>
      <c r="N1238" s="21">
        <v>4.6100000000000003</v>
      </c>
      <c r="O1238" s="21">
        <v>0.7</v>
      </c>
      <c r="P1238" s="21">
        <v>4.5350000000000001</v>
      </c>
    </row>
    <row r="1239" spans="8:16">
      <c r="H1239" s="21"/>
      <c r="I1239" s="21"/>
      <c r="J1239" s="52"/>
      <c r="K1239" s="21"/>
      <c r="L1239" s="21" t="s">
        <v>420</v>
      </c>
      <c r="M1239" s="25">
        <f>DATE(YEAR(OneWeekMtgRatesDataTable75[[#This Row],[asOf]]),MONTH(OneWeekMtgRatesDataTable75[[#This Row],[asOf]]),DAY(OneWeekMtgRatesDataTable75[[#This Row],[asOf]]))</f>
        <v>40518</v>
      </c>
      <c r="N1239" s="21">
        <v>4.6100000000000003</v>
      </c>
      <c r="O1239" s="21">
        <v>0.7</v>
      </c>
      <c r="P1239" s="21">
        <v>4.5350000000000001</v>
      </c>
    </row>
    <row r="1240" spans="8:16">
      <c r="H1240" s="21"/>
      <c r="I1240" s="21"/>
      <c r="J1240" s="52"/>
      <c r="K1240" s="21"/>
      <c r="L1240" s="21" t="s">
        <v>419</v>
      </c>
      <c r="M1240" s="25">
        <f>DATE(YEAR(OneWeekMtgRatesDataTable75[[#This Row],[asOf]]),MONTH(OneWeekMtgRatesDataTable75[[#This Row],[asOf]]),DAY(OneWeekMtgRatesDataTable75[[#This Row],[asOf]]))</f>
        <v>40515</v>
      </c>
      <c r="N1240" s="21">
        <v>4.6100000000000003</v>
      </c>
      <c r="O1240" s="21">
        <v>0.7</v>
      </c>
      <c r="P1240" s="21">
        <v>4.5350000000000001</v>
      </c>
    </row>
    <row r="1241" spans="8:16">
      <c r="H1241" s="21"/>
      <c r="I1241" s="21"/>
      <c r="J1241" s="52"/>
      <c r="K1241" s="21"/>
      <c r="L1241" s="21" t="s">
        <v>418</v>
      </c>
      <c r="M1241" s="25">
        <f>DATE(YEAR(OneWeekMtgRatesDataTable75[[#This Row],[asOf]]),MONTH(OneWeekMtgRatesDataTable75[[#This Row],[asOf]]),DAY(OneWeekMtgRatesDataTable75[[#This Row],[asOf]]))</f>
        <v>40514</v>
      </c>
      <c r="N1241" s="21">
        <v>4.6100000000000003</v>
      </c>
      <c r="O1241" s="21">
        <v>0.7</v>
      </c>
      <c r="P1241" s="21">
        <v>4.5350000000000001</v>
      </c>
    </row>
    <row r="1242" spans="8:16">
      <c r="H1242" s="21"/>
      <c r="I1242" s="21"/>
      <c r="J1242" s="52"/>
      <c r="K1242" s="21"/>
      <c r="L1242" s="21" t="s">
        <v>417</v>
      </c>
      <c r="M1242" s="25">
        <f>DATE(YEAR(OneWeekMtgRatesDataTable75[[#This Row],[asOf]]),MONTH(OneWeekMtgRatesDataTable75[[#This Row],[asOf]]),DAY(OneWeekMtgRatesDataTable75[[#This Row],[asOf]]))</f>
        <v>40513</v>
      </c>
      <c r="N1242" s="21">
        <v>4.46</v>
      </c>
      <c r="O1242" s="21">
        <v>0.8</v>
      </c>
      <c r="P1242" s="21">
        <v>4.41</v>
      </c>
    </row>
    <row r="1243" spans="8:16">
      <c r="H1243" s="21"/>
      <c r="I1243" s="21"/>
      <c r="J1243" s="52"/>
      <c r="K1243" s="21"/>
      <c r="L1243" s="21" t="s">
        <v>416</v>
      </c>
      <c r="M1243" s="25">
        <f>DATE(YEAR(OneWeekMtgRatesDataTable75[[#This Row],[asOf]]),MONTH(OneWeekMtgRatesDataTable75[[#This Row],[asOf]]),DAY(OneWeekMtgRatesDataTable75[[#This Row],[asOf]]))</f>
        <v>40512</v>
      </c>
      <c r="N1243" s="21">
        <v>4.46</v>
      </c>
      <c r="O1243" s="21">
        <v>0.8</v>
      </c>
      <c r="P1243" s="21">
        <v>4.41</v>
      </c>
    </row>
    <row r="1244" spans="8:16">
      <c r="H1244" s="21"/>
      <c r="I1244" s="21"/>
      <c r="J1244" s="52"/>
      <c r="K1244" s="21"/>
      <c r="L1244" s="21" t="s">
        <v>415</v>
      </c>
      <c r="M1244" s="25">
        <f>DATE(YEAR(OneWeekMtgRatesDataTable75[[#This Row],[asOf]]),MONTH(OneWeekMtgRatesDataTable75[[#This Row],[asOf]]),DAY(OneWeekMtgRatesDataTable75[[#This Row],[asOf]]))</f>
        <v>40511</v>
      </c>
      <c r="N1244" s="21">
        <v>4.46</v>
      </c>
      <c r="O1244" s="21">
        <v>0.8</v>
      </c>
      <c r="P1244" s="21">
        <v>4.41</v>
      </c>
    </row>
    <row r="1245" spans="8:16">
      <c r="H1245" s="21"/>
      <c r="I1245" s="21"/>
      <c r="J1245" s="52"/>
      <c r="K1245" s="21"/>
      <c r="L1245" s="21" t="s">
        <v>414</v>
      </c>
      <c r="M1245" s="25">
        <f>DATE(YEAR(OneWeekMtgRatesDataTable75[[#This Row],[asOf]]),MONTH(OneWeekMtgRatesDataTable75[[#This Row],[asOf]]),DAY(OneWeekMtgRatesDataTable75[[#This Row],[asOf]]))</f>
        <v>40508</v>
      </c>
      <c r="N1245" s="21">
        <v>4.46</v>
      </c>
      <c r="O1245" s="21">
        <v>0.8</v>
      </c>
      <c r="P1245" s="21">
        <v>4.41</v>
      </c>
    </row>
    <row r="1246" spans="8:16">
      <c r="H1246" s="21"/>
      <c r="I1246" s="21"/>
      <c r="J1246" s="52"/>
      <c r="K1246" s="21"/>
      <c r="L1246" s="21" t="s">
        <v>412</v>
      </c>
      <c r="M1246" s="25">
        <f>DATE(YEAR(OneWeekMtgRatesDataTable75[[#This Row],[asOf]]),MONTH(OneWeekMtgRatesDataTable75[[#This Row],[asOf]]),DAY(OneWeekMtgRatesDataTable75[[#This Row],[asOf]]))</f>
        <v>40505</v>
      </c>
      <c r="N1246" s="21">
        <v>4.4000000000000004</v>
      </c>
      <c r="O1246" s="21">
        <v>0.8</v>
      </c>
      <c r="P1246" s="21">
        <v>4.3500000000000005</v>
      </c>
    </row>
    <row r="1247" spans="8:16">
      <c r="H1247" s="21"/>
      <c r="I1247" s="21"/>
      <c r="J1247" s="52"/>
      <c r="K1247" s="21"/>
      <c r="L1247" s="21" t="s">
        <v>411</v>
      </c>
      <c r="M1247" s="25">
        <f>DATE(YEAR(OneWeekMtgRatesDataTable75[[#This Row],[asOf]]),MONTH(OneWeekMtgRatesDataTable75[[#This Row],[asOf]]),DAY(OneWeekMtgRatesDataTable75[[#This Row],[asOf]]))</f>
        <v>40504</v>
      </c>
      <c r="N1247" s="21">
        <v>4.4000000000000004</v>
      </c>
      <c r="O1247" s="21">
        <v>0.8</v>
      </c>
      <c r="P1247" s="21">
        <v>4.3500000000000005</v>
      </c>
    </row>
    <row r="1248" spans="8:16">
      <c r="H1248" s="21"/>
      <c r="I1248" s="21"/>
      <c r="J1248" s="52"/>
      <c r="K1248" s="21"/>
      <c r="L1248" s="21" t="s">
        <v>410</v>
      </c>
      <c r="M1248" s="25">
        <f>DATE(YEAR(OneWeekMtgRatesDataTable75[[#This Row],[asOf]]),MONTH(OneWeekMtgRatesDataTable75[[#This Row],[asOf]]),DAY(OneWeekMtgRatesDataTable75[[#This Row],[asOf]]))</f>
        <v>40501</v>
      </c>
      <c r="N1248" s="21">
        <v>4.4000000000000004</v>
      </c>
      <c r="O1248" s="21">
        <v>0.8</v>
      </c>
      <c r="P1248" s="21">
        <v>4.3500000000000005</v>
      </c>
    </row>
    <row r="1249" spans="8:16">
      <c r="H1249" s="21"/>
      <c r="I1249" s="21"/>
      <c r="J1249" s="52"/>
      <c r="K1249" s="21"/>
      <c r="L1249" s="21" t="s">
        <v>409</v>
      </c>
      <c r="M1249" s="25">
        <f>DATE(YEAR(OneWeekMtgRatesDataTable75[[#This Row],[asOf]]),MONTH(OneWeekMtgRatesDataTable75[[#This Row],[asOf]]),DAY(OneWeekMtgRatesDataTable75[[#This Row],[asOf]]))</f>
        <v>40500</v>
      </c>
      <c r="N1249" s="21">
        <v>4.4000000000000004</v>
      </c>
      <c r="O1249" s="21">
        <v>0.8</v>
      </c>
      <c r="P1249" s="21">
        <v>4.3500000000000005</v>
      </c>
    </row>
    <row r="1250" spans="8:16">
      <c r="H1250" s="21"/>
      <c r="I1250" s="21"/>
      <c r="J1250" s="52"/>
      <c r="K1250" s="21"/>
      <c r="L1250" s="21" t="s">
        <v>408</v>
      </c>
      <c r="M1250" s="25">
        <f>DATE(YEAR(OneWeekMtgRatesDataTable75[[#This Row],[asOf]]),MONTH(OneWeekMtgRatesDataTable75[[#This Row],[asOf]]),DAY(OneWeekMtgRatesDataTable75[[#This Row],[asOf]]))</f>
        <v>40499</v>
      </c>
      <c r="N1250" s="21">
        <v>4.4000000000000004</v>
      </c>
      <c r="O1250" s="21">
        <v>0.8</v>
      </c>
      <c r="P1250" s="21">
        <v>4.3500000000000005</v>
      </c>
    </row>
    <row r="1251" spans="8:16">
      <c r="H1251" s="21"/>
      <c r="I1251" s="21"/>
      <c r="J1251" s="52"/>
      <c r="K1251" s="21"/>
      <c r="L1251" s="21" t="s">
        <v>408</v>
      </c>
      <c r="M1251" s="25">
        <f>DATE(YEAR(OneWeekMtgRatesDataTable75[[#This Row],[asOf]]),MONTH(OneWeekMtgRatesDataTable75[[#This Row],[asOf]]),DAY(OneWeekMtgRatesDataTable75[[#This Row],[asOf]]))</f>
        <v>40499</v>
      </c>
      <c r="N1251" s="21">
        <v>4.3899999999999997</v>
      </c>
      <c r="O1251" s="21">
        <v>0.9</v>
      </c>
      <c r="P1251" s="21">
        <v>4.3649999999999993</v>
      </c>
    </row>
    <row r="1252" spans="8:16">
      <c r="H1252" s="21"/>
      <c r="I1252" s="21"/>
      <c r="J1252" s="52"/>
      <c r="K1252" s="21"/>
      <c r="L1252" s="21" t="s">
        <v>407</v>
      </c>
      <c r="M1252" s="25">
        <f>DATE(YEAR(OneWeekMtgRatesDataTable75[[#This Row],[asOf]]),MONTH(OneWeekMtgRatesDataTable75[[#This Row],[asOf]]),DAY(OneWeekMtgRatesDataTable75[[#This Row],[asOf]]))</f>
        <v>40498</v>
      </c>
      <c r="N1252" s="21">
        <v>4.3899999999999997</v>
      </c>
      <c r="O1252" s="21">
        <v>0.9</v>
      </c>
      <c r="P1252" s="21">
        <v>4.3649999999999993</v>
      </c>
    </row>
    <row r="1253" spans="8:16">
      <c r="H1253" s="21"/>
      <c r="I1253" s="21"/>
      <c r="J1253" s="52"/>
      <c r="K1253" s="21"/>
      <c r="L1253" s="21" t="s">
        <v>406</v>
      </c>
      <c r="M1253" s="25">
        <f>DATE(YEAR(OneWeekMtgRatesDataTable75[[#This Row],[asOf]]),MONTH(OneWeekMtgRatesDataTable75[[#This Row],[asOf]]),DAY(OneWeekMtgRatesDataTable75[[#This Row],[asOf]]))</f>
        <v>40497</v>
      </c>
      <c r="N1253" s="21">
        <v>4.3899999999999997</v>
      </c>
      <c r="O1253" s="21">
        <v>0.9</v>
      </c>
      <c r="P1253" s="21">
        <v>4.3649999999999993</v>
      </c>
    </row>
    <row r="1254" spans="8:16">
      <c r="H1254" s="21"/>
      <c r="I1254" s="21"/>
      <c r="J1254" s="52"/>
      <c r="K1254" s="21"/>
      <c r="L1254" s="21" t="s">
        <v>405</v>
      </c>
      <c r="M1254" s="25">
        <f>DATE(YEAR(OneWeekMtgRatesDataTable75[[#This Row],[asOf]]),MONTH(OneWeekMtgRatesDataTable75[[#This Row],[asOf]]),DAY(OneWeekMtgRatesDataTable75[[#This Row],[asOf]]))</f>
        <v>40494</v>
      </c>
      <c r="N1254" s="21">
        <v>4.3899999999999997</v>
      </c>
      <c r="O1254" s="21">
        <v>0.9</v>
      </c>
      <c r="P1254" s="21">
        <v>4.3649999999999993</v>
      </c>
    </row>
    <row r="1255" spans="8:16">
      <c r="H1255" s="21"/>
      <c r="I1255" s="21"/>
      <c r="J1255" s="52"/>
      <c r="K1255" s="21"/>
      <c r="L1255" s="21" t="s">
        <v>404</v>
      </c>
      <c r="M1255" s="25">
        <f>DATE(YEAR(OneWeekMtgRatesDataTable75[[#This Row],[asOf]]),MONTH(OneWeekMtgRatesDataTable75[[#This Row],[asOf]]),DAY(OneWeekMtgRatesDataTable75[[#This Row],[asOf]]))</f>
        <v>40492</v>
      </c>
      <c r="N1255" s="21">
        <v>4.17</v>
      </c>
      <c r="O1255" s="21">
        <v>0.8</v>
      </c>
      <c r="P1255" s="21">
        <v>4.12</v>
      </c>
    </row>
    <row r="1256" spans="8:16">
      <c r="H1256" s="21"/>
      <c r="I1256" s="21"/>
      <c r="J1256" s="52"/>
      <c r="K1256" s="21"/>
      <c r="L1256" s="21" t="s">
        <v>403</v>
      </c>
      <c r="M1256" s="25">
        <f>DATE(YEAR(OneWeekMtgRatesDataTable75[[#This Row],[asOf]]),MONTH(OneWeekMtgRatesDataTable75[[#This Row],[asOf]]),DAY(OneWeekMtgRatesDataTable75[[#This Row],[asOf]]))</f>
        <v>40491</v>
      </c>
      <c r="N1256" s="21">
        <v>4.17</v>
      </c>
      <c r="O1256" s="21">
        <v>0.8</v>
      </c>
      <c r="P1256" s="21">
        <v>4.12</v>
      </c>
    </row>
    <row r="1257" spans="8:16">
      <c r="H1257" s="21"/>
      <c r="I1257" s="21"/>
      <c r="J1257" s="52"/>
      <c r="K1257" s="21"/>
      <c r="L1257" s="21" t="s">
        <v>402</v>
      </c>
      <c r="M1257" s="25">
        <f>DATE(YEAR(OneWeekMtgRatesDataTable75[[#This Row],[asOf]]),MONTH(OneWeekMtgRatesDataTable75[[#This Row],[asOf]]),DAY(OneWeekMtgRatesDataTable75[[#This Row],[asOf]]))</f>
        <v>40490</v>
      </c>
      <c r="N1257" s="21">
        <v>4.17</v>
      </c>
      <c r="O1257" s="21">
        <v>0.8</v>
      </c>
      <c r="P1257" s="21">
        <v>4.12</v>
      </c>
    </row>
    <row r="1258" spans="8:16">
      <c r="H1258" s="21"/>
      <c r="I1258" s="21"/>
      <c r="J1258" s="52"/>
      <c r="K1258" s="21"/>
      <c r="L1258" s="21" t="s">
        <v>401</v>
      </c>
      <c r="M1258" s="25">
        <f>DATE(YEAR(OneWeekMtgRatesDataTable75[[#This Row],[asOf]]),MONTH(OneWeekMtgRatesDataTable75[[#This Row],[asOf]]),DAY(OneWeekMtgRatesDataTable75[[#This Row],[asOf]]))</f>
        <v>40487</v>
      </c>
      <c r="N1258" s="21">
        <v>4.17</v>
      </c>
      <c r="O1258" s="21">
        <v>0.8</v>
      </c>
      <c r="P1258" s="21">
        <v>4.12</v>
      </c>
    </row>
    <row r="1259" spans="8:16">
      <c r="H1259" s="21"/>
      <c r="I1259" s="21"/>
      <c r="J1259" s="52"/>
      <c r="K1259" s="21"/>
      <c r="L1259" s="21" t="s">
        <v>400</v>
      </c>
      <c r="M1259" s="25">
        <f>DATE(YEAR(OneWeekMtgRatesDataTable75[[#This Row],[asOf]]),MONTH(OneWeekMtgRatesDataTable75[[#This Row],[asOf]]),DAY(OneWeekMtgRatesDataTable75[[#This Row],[asOf]]))</f>
        <v>40486</v>
      </c>
      <c r="N1259" s="21">
        <v>4.17</v>
      </c>
      <c r="O1259" s="21">
        <v>0.8</v>
      </c>
      <c r="P1259" s="21">
        <v>4.12</v>
      </c>
    </row>
    <row r="1260" spans="8:16">
      <c r="H1260" s="21"/>
      <c r="I1260" s="21"/>
      <c r="J1260" s="52"/>
      <c r="K1260" s="21"/>
      <c r="L1260" s="21" t="s">
        <v>399</v>
      </c>
      <c r="M1260" s="25">
        <f>DATE(YEAR(OneWeekMtgRatesDataTable75[[#This Row],[asOf]]),MONTH(OneWeekMtgRatesDataTable75[[#This Row],[asOf]]),DAY(OneWeekMtgRatesDataTable75[[#This Row],[asOf]]))</f>
        <v>40485</v>
      </c>
      <c r="N1260" s="21">
        <v>4.24</v>
      </c>
      <c r="O1260" s="21">
        <v>0.8</v>
      </c>
      <c r="P1260" s="21">
        <v>4.1900000000000004</v>
      </c>
    </row>
    <row r="1261" spans="8:16">
      <c r="H1261" s="21"/>
      <c r="I1261" s="21"/>
      <c r="J1261" s="52"/>
      <c r="K1261" s="21"/>
      <c r="L1261" s="21" t="s">
        <v>398</v>
      </c>
      <c r="M1261" s="25">
        <f>DATE(YEAR(OneWeekMtgRatesDataTable75[[#This Row],[asOf]]),MONTH(OneWeekMtgRatesDataTable75[[#This Row],[asOf]]),DAY(OneWeekMtgRatesDataTable75[[#This Row],[asOf]]))</f>
        <v>40484</v>
      </c>
      <c r="N1261" s="21">
        <v>4.24</v>
      </c>
      <c r="O1261" s="21">
        <v>0.8</v>
      </c>
      <c r="P1261" s="21">
        <v>4.1900000000000004</v>
      </c>
    </row>
    <row r="1262" spans="8:16">
      <c r="H1262" s="21"/>
      <c r="I1262" s="21"/>
      <c r="J1262" s="52"/>
      <c r="K1262" s="21"/>
      <c r="L1262" s="21" t="s">
        <v>397</v>
      </c>
      <c r="M1262" s="25">
        <f>DATE(YEAR(OneWeekMtgRatesDataTable75[[#This Row],[asOf]]),MONTH(OneWeekMtgRatesDataTable75[[#This Row],[asOf]]),DAY(OneWeekMtgRatesDataTable75[[#This Row],[asOf]]))</f>
        <v>40483</v>
      </c>
      <c r="N1262" s="21">
        <v>4.24</v>
      </c>
      <c r="O1262" s="21">
        <v>0.8</v>
      </c>
      <c r="P1262" s="21">
        <v>4.1900000000000004</v>
      </c>
    </row>
    <row r="1263" spans="8:16">
      <c r="H1263" s="21"/>
      <c r="I1263" s="21"/>
      <c r="J1263" s="52"/>
      <c r="K1263" s="21"/>
      <c r="L1263" s="21" t="s">
        <v>396</v>
      </c>
      <c r="M1263" s="25">
        <f>DATE(YEAR(OneWeekMtgRatesDataTable75[[#This Row],[asOf]]),MONTH(OneWeekMtgRatesDataTable75[[#This Row],[asOf]]),DAY(OneWeekMtgRatesDataTable75[[#This Row],[asOf]]))</f>
        <v>40480</v>
      </c>
      <c r="N1263" s="21">
        <v>4.24</v>
      </c>
      <c r="O1263" s="21">
        <v>0.8</v>
      </c>
      <c r="P1263" s="21">
        <v>4.1900000000000004</v>
      </c>
    </row>
    <row r="1264" spans="8:16">
      <c r="H1264" s="21"/>
      <c r="I1264" s="21"/>
      <c r="J1264" s="52"/>
      <c r="K1264" s="21"/>
      <c r="L1264" s="21" t="s">
        <v>395</v>
      </c>
      <c r="M1264" s="25">
        <f>DATE(YEAR(OneWeekMtgRatesDataTable75[[#This Row],[asOf]]),MONTH(OneWeekMtgRatesDataTable75[[#This Row],[asOf]]),DAY(OneWeekMtgRatesDataTable75[[#This Row],[asOf]]))</f>
        <v>40479</v>
      </c>
      <c r="N1264" s="21">
        <v>4.24</v>
      </c>
      <c r="O1264" s="21">
        <v>0.8</v>
      </c>
      <c r="P1264" s="21">
        <v>4.1900000000000004</v>
      </c>
    </row>
    <row r="1265" spans="8:16">
      <c r="H1265" s="21"/>
      <c r="I1265" s="21"/>
      <c r="J1265" s="52"/>
      <c r="K1265" s="21"/>
      <c r="L1265" s="21" t="s">
        <v>394</v>
      </c>
      <c r="M1265" s="25">
        <f>DATE(YEAR(OneWeekMtgRatesDataTable75[[#This Row],[asOf]]),MONTH(OneWeekMtgRatesDataTable75[[#This Row],[asOf]]),DAY(OneWeekMtgRatesDataTable75[[#This Row],[asOf]]))</f>
        <v>40478</v>
      </c>
      <c r="N1265" s="21">
        <v>4.2300000000000004</v>
      </c>
      <c r="O1265" s="21">
        <v>0.8</v>
      </c>
      <c r="P1265" s="21">
        <v>4.1800000000000006</v>
      </c>
    </row>
    <row r="1266" spans="8:16">
      <c r="H1266" s="21"/>
      <c r="I1266" s="21"/>
      <c r="J1266" s="52"/>
      <c r="K1266" s="21"/>
      <c r="L1266" s="21" t="s">
        <v>393</v>
      </c>
      <c r="M1266" s="25">
        <f>DATE(YEAR(OneWeekMtgRatesDataTable75[[#This Row],[asOf]]),MONTH(OneWeekMtgRatesDataTable75[[#This Row],[asOf]]),DAY(OneWeekMtgRatesDataTable75[[#This Row],[asOf]]))</f>
        <v>40477</v>
      </c>
      <c r="N1266" s="21">
        <v>4.2300000000000004</v>
      </c>
      <c r="O1266" s="21">
        <v>0.8</v>
      </c>
      <c r="P1266" s="21">
        <v>4.1800000000000006</v>
      </c>
    </row>
    <row r="1267" spans="8:16">
      <c r="H1267" s="21"/>
      <c r="I1267" s="21"/>
      <c r="J1267" s="52"/>
      <c r="K1267" s="21"/>
      <c r="L1267" s="21" t="s">
        <v>392</v>
      </c>
      <c r="M1267" s="25">
        <f>DATE(YEAR(OneWeekMtgRatesDataTable75[[#This Row],[asOf]]),MONTH(OneWeekMtgRatesDataTable75[[#This Row],[asOf]]),DAY(OneWeekMtgRatesDataTable75[[#This Row],[asOf]]))</f>
        <v>40476</v>
      </c>
      <c r="N1267" s="21">
        <v>4.2300000000000004</v>
      </c>
      <c r="O1267" s="21">
        <v>0.8</v>
      </c>
      <c r="P1267" s="21">
        <v>4.1800000000000006</v>
      </c>
    </row>
    <row r="1268" spans="8:16">
      <c r="H1268" s="21"/>
      <c r="I1268" s="21"/>
      <c r="J1268" s="52"/>
      <c r="K1268" s="21"/>
      <c r="L1268" s="21" t="s">
        <v>391</v>
      </c>
      <c r="M1268" s="25">
        <f>DATE(YEAR(OneWeekMtgRatesDataTable75[[#This Row],[asOf]]),MONTH(OneWeekMtgRatesDataTable75[[#This Row],[asOf]]),DAY(OneWeekMtgRatesDataTable75[[#This Row],[asOf]]))</f>
        <v>40473</v>
      </c>
      <c r="N1268" s="21">
        <v>4.2300000000000004</v>
      </c>
      <c r="O1268" s="21">
        <v>0.8</v>
      </c>
      <c r="P1268" s="21">
        <v>4.1800000000000006</v>
      </c>
    </row>
    <row r="1269" spans="8:16">
      <c r="H1269" s="21"/>
      <c r="I1269" s="21"/>
      <c r="J1269" s="52"/>
      <c r="K1269" s="21"/>
      <c r="L1269" s="21" t="s">
        <v>390</v>
      </c>
      <c r="M1269" s="25">
        <f>DATE(YEAR(OneWeekMtgRatesDataTable75[[#This Row],[asOf]]),MONTH(OneWeekMtgRatesDataTable75[[#This Row],[asOf]]),DAY(OneWeekMtgRatesDataTable75[[#This Row],[asOf]]))</f>
        <v>40472</v>
      </c>
      <c r="N1269" s="21">
        <v>4.2300000000000004</v>
      </c>
      <c r="O1269" s="21">
        <v>0.8</v>
      </c>
      <c r="P1269" s="21">
        <v>4.1800000000000006</v>
      </c>
    </row>
    <row r="1270" spans="8:16">
      <c r="H1270" s="21"/>
      <c r="I1270" s="21"/>
      <c r="J1270" s="52"/>
      <c r="K1270" s="21"/>
      <c r="L1270" s="21" t="s">
        <v>389</v>
      </c>
      <c r="M1270" s="25">
        <f>DATE(YEAR(OneWeekMtgRatesDataTable75[[#This Row],[asOf]]),MONTH(OneWeekMtgRatesDataTable75[[#This Row],[asOf]]),DAY(OneWeekMtgRatesDataTable75[[#This Row],[asOf]]))</f>
        <v>40471</v>
      </c>
      <c r="N1270" s="21">
        <v>4.21</v>
      </c>
      <c r="O1270" s="21">
        <v>0.8</v>
      </c>
      <c r="P1270" s="21">
        <v>4.16</v>
      </c>
    </row>
    <row r="1271" spans="8:16">
      <c r="H1271" s="21"/>
      <c r="I1271" s="21"/>
      <c r="J1271" s="52"/>
      <c r="K1271" s="21"/>
      <c r="L1271" s="21" t="s">
        <v>388</v>
      </c>
      <c r="M1271" s="25">
        <f>DATE(YEAR(OneWeekMtgRatesDataTable75[[#This Row],[asOf]]),MONTH(OneWeekMtgRatesDataTable75[[#This Row],[asOf]]),DAY(OneWeekMtgRatesDataTable75[[#This Row],[asOf]]))</f>
        <v>40470</v>
      </c>
      <c r="N1271" s="21">
        <v>4.21</v>
      </c>
      <c r="O1271" s="21">
        <v>0.8</v>
      </c>
      <c r="P1271" s="21">
        <v>4.16</v>
      </c>
    </row>
    <row r="1272" spans="8:16">
      <c r="H1272" s="21"/>
      <c r="I1272" s="21"/>
      <c r="J1272" s="52"/>
      <c r="K1272" s="21"/>
      <c r="L1272" s="21" t="s">
        <v>387</v>
      </c>
      <c r="M1272" s="25">
        <f>DATE(YEAR(OneWeekMtgRatesDataTable75[[#This Row],[asOf]]),MONTH(OneWeekMtgRatesDataTable75[[#This Row],[asOf]]),DAY(OneWeekMtgRatesDataTable75[[#This Row],[asOf]]))</f>
        <v>40469</v>
      </c>
      <c r="N1272" s="21">
        <v>4.21</v>
      </c>
      <c r="O1272" s="21">
        <v>0.8</v>
      </c>
      <c r="P1272" s="21">
        <v>4.16</v>
      </c>
    </row>
    <row r="1273" spans="8:16">
      <c r="H1273" s="21"/>
      <c r="I1273" s="21"/>
      <c r="J1273" s="52"/>
      <c r="K1273" s="21"/>
      <c r="L1273" s="21" t="s">
        <v>386</v>
      </c>
      <c r="M1273" s="25">
        <f>DATE(YEAR(OneWeekMtgRatesDataTable75[[#This Row],[asOf]]),MONTH(OneWeekMtgRatesDataTable75[[#This Row],[asOf]]),DAY(OneWeekMtgRatesDataTable75[[#This Row],[asOf]]))</f>
        <v>40466</v>
      </c>
      <c r="N1273" s="21">
        <v>4.21</v>
      </c>
      <c r="O1273" s="21">
        <v>0.8</v>
      </c>
      <c r="P1273" s="21">
        <v>4.16</v>
      </c>
    </row>
    <row r="1274" spans="8:16">
      <c r="H1274" s="21"/>
      <c r="I1274" s="21"/>
      <c r="J1274" s="52"/>
      <c r="K1274" s="21"/>
      <c r="L1274" s="21" t="s">
        <v>385</v>
      </c>
      <c r="M1274" s="25">
        <f>DATE(YEAR(OneWeekMtgRatesDataTable75[[#This Row],[asOf]]),MONTH(OneWeekMtgRatesDataTable75[[#This Row],[asOf]]),DAY(OneWeekMtgRatesDataTable75[[#This Row],[asOf]]))</f>
        <v>40465</v>
      </c>
      <c r="N1274" s="21">
        <v>4.21</v>
      </c>
      <c r="O1274" s="21">
        <v>0.8</v>
      </c>
      <c r="P1274" s="21">
        <v>4.16</v>
      </c>
    </row>
    <row r="1275" spans="8:16">
      <c r="H1275" s="21"/>
      <c r="I1275" s="21"/>
      <c r="J1275" s="52"/>
      <c r="K1275" s="21"/>
      <c r="L1275" s="21" t="s">
        <v>384</v>
      </c>
      <c r="M1275" s="25">
        <f>DATE(YEAR(OneWeekMtgRatesDataTable75[[#This Row],[asOf]]),MONTH(OneWeekMtgRatesDataTable75[[#This Row],[asOf]]),DAY(OneWeekMtgRatesDataTable75[[#This Row],[asOf]]))</f>
        <v>40464</v>
      </c>
      <c r="N1275" s="21">
        <v>4.1900000000000004</v>
      </c>
      <c r="O1275" s="21">
        <v>0.8</v>
      </c>
      <c r="P1275" s="21">
        <v>4.1400000000000006</v>
      </c>
    </row>
    <row r="1276" spans="8:16">
      <c r="H1276" s="21"/>
      <c r="I1276" s="21"/>
      <c r="J1276" s="52"/>
      <c r="K1276" s="21"/>
      <c r="L1276" s="21" t="s">
        <v>383</v>
      </c>
      <c r="M1276" s="25">
        <f>DATE(YEAR(OneWeekMtgRatesDataTable75[[#This Row],[asOf]]),MONTH(OneWeekMtgRatesDataTable75[[#This Row],[asOf]]),DAY(OneWeekMtgRatesDataTable75[[#This Row],[asOf]]))</f>
        <v>40463</v>
      </c>
      <c r="N1276" s="21">
        <v>4.1900000000000004</v>
      </c>
      <c r="O1276" s="21">
        <v>0.8</v>
      </c>
      <c r="P1276" s="21">
        <v>4.1400000000000006</v>
      </c>
    </row>
    <row r="1277" spans="8:16">
      <c r="H1277" s="21"/>
      <c r="I1277" s="21"/>
      <c r="J1277" s="52"/>
      <c r="K1277" s="21"/>
      <c r="L1277" s="21" t="s">
        <v>382</v>
      </c>
      <c r="M1277" s="25">
        <f>DATE(YEAR(OneWeekMtgRatesDataTable75[[#This Row],[asOf]]),MONTH(OneWeekMtgRatesDataTable75[[#This Row],[asOf]]),DAY(OneWeekMtgRatesDataTable75[[#This Row],[asOf]]))</f>
        <v>40459</v>
      </c>
      <c r="N1277" s="21">
        <v>4.1900000000000004</v>
      </c>
      <c r="O1277" s="21">
        <v>0.8</v>
      </c>
      <c r="P1277" s="21">
        <v>4.1400000000000006</v>
      </c>
    </row>
    <row r="1278" spans="8:16">
      <c r="H1278" s="21"/>
      <c r="I1278" s="21"/>
      <c r="J1278" s="52"/>
      <c r="K1278" s="21"/>
      <c r="L1278" s="21" t="s">
        <v>381</v>
      </c>
      <c r="M1278" s="25">
        <f>DATE(YEAR(OneWeekMtgRatesDataTable75[[#This Row],[asOf]]),MONTH(OneWeekMtgRatesDataTable75[[#This Row],[asOf]]),DAY(OneWeekMtgRatesDataTable75[[#This Row],[asOf]]))</f>
        <v>40458</v>
      </c>
      <c r="N1278" s="21">
        <v>4.1900000000000004</v>
      </c>
      <c r="O1278" s="21">
        <v>0.8</v>
      </c>
      <c r="P1278" s="21">
        <v>4.1400000000000006</v>
      </c>
    </row>
    <row r="1279" spans="8:16">
      <c r="H1279" s="21"/>
      <c r="I1279" s="21"/>
      <c r="J1279" s="52"/>
      <c r="K1279" s="21"/>
      <c r="L1279" s="21" t="s">
        <v>380</v>
      </c>
      <c r="M1279" s="25">
        <f>DATE(YEAR(OneWeekMtgRatesDataTable75[[#This Row],[asOf]]),MONTH(OneWeekMtgRatesDataTable75[[#This Row],[asOf]]),DAY(OneWeekMtgRatesDataTable75[[#This Row],[asOf]]))</f>
        <v>40457</v>
      </c>
      <c r="N1279" s="21">
        <v>4.2699999999999996</v>
      </c>
      <c r="O1279" s="21">
        <v>0.8</v>
      </c>
      <c r="P1279" s="21">
        <v>4.22</v>
      </c>
    </row>
    <row r="1280" spans="8:16">
      <c r="H1280" s="21"/>
      <c r="I1280" s="21"/>
      <c r="J1280" s="52"/>
      <c r="K1280" s="21"/>
      <c r="L1280" s="21" t="s">
        <v>379</v>
      </c>
      <c r="M1280" s="25">
        <f>DATE(YEAR(OneWeekMtgRatesDataTable75[[#This Row],[asOf]]),MONTH(OneWeekMtgRatesDataTable75[[#This Row],[asOf]]),DAY(OneWeekMtgRatesDataTable75[[#This Row],[asOf]]))</f>
        <v>40456</v>
      </c>
      <c r="N1280" s="21">
        <v>4.2699999999999996</v>
      </c>
      <c r="O1280" s="21">
        <v>0.8</v>
      </c>
      <c r="P1280" s="21">
        <v>4.22</v>
      </c>
    </row>
    <row r="1281" spans="8:16">
      <c r="H1281" s="21"/>
      <c r="I1281" s="21"/>
      <c r="J1281" s="52"/>
      <c r="K1281" s="21"/>
      <c r="L1281" s="21" t="s">
        <v>378</v>
      </c>
      <c r="M1281" s="25">
        <f>DATE(YEAR(OneWeekMtgRatesDataTable75[[#This Row],[asOf]]),MONTH(OneWeekMtgRatesDataTable75[[#This Row],[asOf]]),DAY(OneWeekMtgRatesDataTable75[[#This Row],[asOf]]))</f>
        <v>40455</v>
      </c>
      <c r="N1281" s="21">
        <v>4.2699999999999996</v>
      </c>
      <c r="O1281" s="21">
        <v>0.8</v>
      </c>
      <c r="P1281" s="21">
        <v>4.22</v>
      </c>
    </row>
    <row r="1282" spans="8:16">
      <c r="H1282" s="21"/>
      <c r="I1282" s="21"/>
      <c r="J1282" s="52"/>
      <c r="K1282" s="21"/>
      <c r="L1282" s="21" t="s">
        <v>377</v>
      </c>
      <c r="M1282" s="25">
        <f>DATE(YEAR(OneWeekMtgRatesDataTable75[[#This Row],[asOf]]),MONTH(OneWeekMtgRatesDataTable75[[#This Row],[asOf]]),DAY(OneWeekMtgRatesDataTable75[[#This Row],[asOf]]))</f>
        <v>40452</v>
      </c>
      <c r="N1282" s="21">
        <v>4.2699999999999996</v>
      </c>
      <c r="O1282" s="21">
        <v>0.8</v>
      </c>
      <c r="P1282" s="21">
        <v>4.22</v>
      </c>
    </row>
    <row r="1283" spans="8:16">
      <c r="H1283" s="21"/>
      <c r="I1283" s="21"/>
      <c r="J1283" s="52"/>
      <c r="K1283" s="21"/>
      <c r="L1283" s="21" t="s">
        <v>376</v>
      </c>
      <c r="M1283" s="25">
        <f>DATE(YEAR(OneWeekMtgRatesDataTable75[[#This Row],[asOf]]),MONTH(OneWeekMtgRatesDataTable75[[#This Row],[asOf]]),DAY(OneWeekMtgRatesDataTable75[[#This Row],[asOf]]))</f>
        <v>40451</v>
      </c>
      <c r="N1283" s="21">
        <v>4.2699999999999996</v>
      </c>
      <c r="O1283" s="21">
        <v>0.8</v>
      </c>
      <c r="P1283" s="21">
        <v>4.22</v>
      </c>
    </row>
    <row r="1284" spans="8:16">
      <c r="H1284" s="21"/>
      <c r="I1284" s="21"/>
      <c r="J1284" s="52"/>
      <c r="K1284" s="21"/>
      <c r="L1284" s="21" t="s">
        <v>375</v>
      </c>
      <c r="M1284" s="25">
        <f>DATE(YEAR(OneWeekMtgRatesDataTable75[[#This Row],[asOf]]),MONTH(OneWeekMtgRatesDataTable75[[#This Row],[asOf]]),DAY(OneWeekMtgRatesDataTable75[[#This Row],[asOf]]))</f>
        <v>40450</v>
      </c>
      <c r="N1284" s="21">
        <v>4.32</v>
      </c>
      <c r="O1284" s="21">
        <v>0.8</v>
      </c>
      <c r="P1284" s="21">
        <v>4.2700000000000005</v>
      </c>
    </row>
    <row r="1285" spans="8:16">
      <c r="H1285" s="21"/>
      <c r="I1285" s="21"/>
      <c r="J1285" s="52"/>
      <c r="K1285" s="21"/>
      <c r="L1285" s="21" t="s">
        <v>374</v>
      </c>
      <c r="M1285" s="25">
        <f>DATE(YEAR(OneWeekMtgRatesDataTable75[[#This Row],[asOf]]),MONTH(OneWeekMtgRatesDataTable75[[#This Row],[asOf]]),DAY(OneWeekMtgRatesDataTable75[[#This Row],[asOf]]))</f>
        <v>40449</v>
      </c>
      <c r="N1285" s="21">
        <v>4.32</v>
      </c>
      <c r="O1285" s="21">
        <v>0.8</v>
      </c>
      <c r="P1285" s="21">
        <v>4.2700000000000005</v>
      </c>
    </row>
    <row r="1286" spans="8:16">
      <c r="H1286" s="21"/>
      <c r="I1286" s="21"/>
      <c r="J1286" s="52"/>
      <c r="K1286" s="21"/>
      <c r="L1286" s="21" t="s">
        <v>373</v>
      </c>
      <c r="M1286" s="25">
        <f>DATE(YEAR(OneWeekMtgRatesDataTable75[[#This Row],[asOf]]),MONTH(OneWeekMtgRatesDataTable75[[#This Row],[asOf]]),DAY(OneWeekMtgRatesDataTable75[[#This Row],[asOf]]))</f>
        <v>40448</v>
      </c>
      <c r="N1286" s="21">
        <v>4.32</v>
      </c>
      <c r="O1286" s="21">
        <v>0.8</v>
      </c>
      <c r="P1286" s="21">
        <v>4.2700000000000005</v>
      </c>
    </row>
    <row r="1287" spans="8:16">
      <c r="H1287" s="21"/>
      <c r="I1287" s="21"/>
      <c r="J1287" s="52"/>
      <c r="K1287" s="21"/>
      <c r="L1287" s="21" t="s">
        <v>372</v>
      </c>
      <c r="M1287" s="25">
        <f>DATE(YEAR(OneWeekMtgRatesDataTable75[[#This Row],[asOf]]),MONTH(OneWeekMtgRatesDataTable75[[#This Row],[asOf]]),DAY(OneWeekMtgRatesDataTable75[[#This Row],[asOf]]))</f>
        <v>40445</v>
      </c>
      <c r="N1287" s="21">
        <v>4.32</v>
      </c>
      <c r="O1287" s="21">
        <v>0.8</v>
      </c>
      <c r="P1287" s="21">
        <v>4.2700000000000005</v>
      </c>
    </row>
    <row r="1288" spans="8:16">
      <c r="H1288" s="21"/>
      <c r="I1288" s="21"/>
      <c r="J1288" s="52"/>
      <c r="K1288" s="21"/>
      <c r="L1288" s="21" t="s">
        <v>371</v>
      </c>
      <c r="M1288" s="25">
        <f>DATE(YEAR(OneWeekMtgRatesDataTable75[[#This Row],[asOf]]),MONTH(OneWeekMtgRatesDataTable75[[#This Row],[asOf]]),DAY(OneWeekMtgRatesDataTable75[[#This Row],[asOf]]))</f>
        <v>40444</v>
      </c>
      <c r="N1288" s="21">
        <v>4.32</v>
      </c>
      <c r="O1288" s="21">
        <v>0.8</v>
      </c>
      <c r="P1288" s="21">
        <v>4.2700000000000005</v>
      </c>
    </row>
    <row r="1289" spans="8:16">
      <c r="H1289" s="21"/>
      <c r="I1289" s="21"/>
      <c r="J1289" s="52"/>
      <c r="K1289" s="21"/>
      <c r="L1289" s="21" t="s">
        <v>370</v>
      </c>
      <c r="M1289" s="25">
        <f>DATE(YEAR(OneWeekMtgRatesDataTable75[[#This Row],[asOf]]),MONTH(OneWeekMtgRatesDataTable75[[#This Row],[asOf]]),DAY(OneWeekMtgRatesDataTable75[[#This Row],[asOf]]))</f>
        <v>40443</v>
      </c>
      <c r="N1289" s="21">
        <v>4.37</v>
      </c>
      <c r="O1289" s="21">
        <v>0.7</v>
      </c>
      <c r="P1289" s="21">
        <v>4.2949999999999999</v>
      </c>
    </row>
    <row r="1290" spans="8:16">
      <c r="H1290" s="21"/>
      <c r="I1290" s="21"/>
      <c r="J1290" s="52"/>
      <c r="K1290" s="21"/>
      <c r="L1290" s="21" t="s">
        <v>369</v>
      </c>
      <c r="M1290" s="25">
        <f>DATE(YEAR(OneWeekMtgRatesDataTable75[[#This Row],[asOf]]),MONTH(OneWeekMtgRatesDataTable75[[#This Row],[asOf]]),DAY(OneWeekMtgRatesDataTable75[[#This Row],[asOf]]))</f>
        <v>40442</v>
      </c>
      <c r="N1290" s="21">
        <v>4.37</v>
      </c>
      <c r="O1290" s="21">
        <v>0.7</v>
      </c>
      <c r="P1290" s="21">
        <v>4.2949999999999999</v>
      </c>
    </row>
    <row r="1291" spans="8:16">
      <c r="H1291" s="21"/>
      <c r="I1291" s="21"/>
      <c r="J1291" s="52"/>
      <c r="K1291" s="21"/>
      <c r="L1291" s="21" t="s">
        <v>368</v>
      </c>
      <c r="M1291" s="25">
        <f>DATE(YEAR(OneWeekMtgRatesDataTable75[[#This Row],[asOf]]),MONTH(OneWeekMtgRatesDataTable75[[#This Row],[asOf]]),DAY(OneWeekMtgRatesDataTable75[[#This Row],[asOf]]))</f>
        <v>40441</v>
      </c>
      <c r="N1291" s="21">
        <v>4.37</v>
      </c>
      <c r="O1291" s="21">
        <v>0.7</v>
      </c>
      <c r="P1291" s="21">
        <v>4.2949999999999999</v>
      </c>
    </row>
    <row r="1292" spans="8:16">
      <c r="H1292" s="21"/>
      <c r="I1292" s="21"/>
      <c r="J1292" s="52"/>
      <c r="K1292" s="21"/>
      <c r="L1292" s="21" t="s">
        <v>367</v>
      </c>
      <c r="M1292" s="25">
        <f>DATE(YEAR(OneWeekMtgRatesDataTable75[[#This Row],[asOf]]),MONTH(OneWeekMtgRatesDataTable75[[#This Row],[asOf]]),DAY(OneWeekMtgRatesDataTable75[[#This Row],[asOf]]))</f>
        <v>40438</v>
      </c>
      <c r="N1292" s="21">
        <v>4.37</v>
      </c>
      <c r="O1292" s="21">
        <v>0.7</v>
      </c>
      <c r="P1292" s="21">
        <v>4.2949999999999999</v>
      </c>
    </row>
    <row r="1293" spans="8:16">
      <c r="H1293" s="21"/>
      <c r="I1293" s="21"/>
      <c r="J1293" s="52"/>
      <c r="K1293" s="21"/>
      <c r="L1293" s="21" t="s">
        <v>366</v>
      </c>
      <c r="M1293" s="25">
        <f>DATE(YEAR(OneWeekMtgRatesDataTable75[[#This Row],[asOf]]),MONTH(OneWeekMtgRatesDataTable75[[#This Row],[asOf]]),DAY(OneWeekMtgRatesDataTable75[[#This Row],[asOf]]))</f>
        <v>40437</v>
      </c>
      <c r="N1293" s="21">
        <v>4.37</v>
      </c>
      <c r="O1293" s="21">
        <v>0.7</v>
      </c>
      <c r="P1293" s="21">
        <v>4.2949999999999999</v>
      </c>
    </row>
    <row r="1294" spans="8:16">
      <c r="H1294" s="21"/>
      <c r="I1294" s="21"/>
      <c r="J1294" s="52"/>
      <c r="K1294" s="21"/>
      <c r="L1294" s="21" t="s">
        <v>365</v>
      </c>
      <c r="M1294" s="25">
        <f>DATE(YEAR(OneWeekMtgRatesDataTable75[[#This Row],[asOf]]),MONTH(OneWeekMtgRatesDataTable75[[#This Row],[asOf]]),DAY(OneWeekMtgRatesDataTable75[[#This Row],[asOf]]))</f>
        <v>40436</v>
      </c>
      <c r="N1294" s="21">
        <v>4.37</v>
      </c>
      <c r="O1294" s="21">
        <v>0.7</v>
      </c>
      <c r="P1294" s="21">
        <v>4.2949999999999999</v>
      </c>
    </row>
    <row r="1295" spans="8:16">
      <c r="H1295" s="21"/>
      <c r="I1295" s="21"/>
      <c r="J1295" s="52"/>
      <c r="K1295" s="21"/>
      <c r="L1295" s="21" t="s">
        <v>364</v>
      </c>
      <c r="M1295" s="25">
        <f>DATE(YEAR(OneWeekMtgRatesDataTable75[[#This Row],[asOf]]),MONTH(OneWeekMtgRatesDataTable75[[#This Row],[asOf]]),DAY(OneWeekMtgRatesDataTable75[[#This Row],[asOf]]))</f>
        <v>40435</v>
      </c>
      <c r="N1295" s="21">
        <v>4.37</v>
      </c>
      <c r="O1295" s="21">
        <v>0.7</v>
      </c>
      <c r="P1295" s="21">
        <v>4.2949999999999999</v>
      </c>
    </row>
    <row r="1296" spans="8:16">
      <c r="H1296" s="21"/>
      <c r="I1296" s="21"/>
      <c r="J1296" s="52"/>
      <c r="K1296" s="21"/>
      <c r="L1296" s="21" t="s">
        <v>363</v>
      </c>
      <c r="M1296" s="25">
        <f>DATE(YEAR(OneWeekMtgRatesDataTable75[[#This Row],[asOf]]),MONTH(OneWeekMtgRatesDataTable75[[#This Row],[asOf]]),DAY(OneWeekMtgRatesDataTable75[[#This Row],[asOf]]))</f>
        <v>40434</v>
      </c>
      <c r="N1296" s="21">
        <v>4.37</v>
      </c>
      <c r="O1296" s="21">
        <v>0.7</v>
      </c>
      <c r="P1296" s="21">
        <v>4.2949999999999999</v>
      </c>
    </row>
    <row r="1297" spans="8:16">
      <c r="H1297" s="21"/>
      <c r="I1297" s="21"/>
      <c r="J1297" s="52"/>
      <c r="K1297" s="21"/>
      <c r="L1297" s="21" t="s">
        <v>362</v>
      </c>
      <c r="M1297" s="25">
        <f>DATE(YEAR(OneWeekMtgRatesDataTable75[[#This Row],[asOf]]),MONTH(OneWeekMtgRatesDataTable75[[#This Row],[asOf]]),DAY(OneWeekMtgRatesDataTable75[[#This Row],[asOf]]))</f>
        <v>40431</v>
      </c>
      <c r="N1297" s="21">
        <v>4.37</v>
      </c>
      <c r="O1297" s="21">
        <v>0.7</v>
      </c>
      <c r="P1297" s="21">
        <v>4.2949999999999999</v>
      </c>
    </row>
    <row r="1298" spans="8:16">
      <c r="H1298" s="21"/>
      <c r="I1298" s="21"/>
      <c r="J1298" s="52"/>
      <c r="K1298" s="21"/>
      <c r="L1298" s="21" t="s">
        <v>361</v>
      </c>
      <c r="M1298" s="25">
        <f>DATE(YEAR(OneWeekMtgRatesDataTable75[[#This Row],[asOf]]),MONTH(OneWeekMtgRatesDataTable75[[#This Row],[asOf]]),DAY(OneWeekMtgRatesDataTable75[[#This Row],[asOf]]))</f>
        <v>40430</v>
      </c>
      <c r="N1298" s="21">
        <v>4.37</v>
      </c>
      <c r="O1298" s="21">
        <v>0.7</v>
      </c>
      <c r="P1298" s="21">
        <v>4.2949999999999999</v>
      </c>
    </row>
    <row r="1299" spans="8:16">
      <c r="H1299" s="21"/>
      <c r="I1299" s="21"/>
      <c r="J1299" s="52"/>
      <c r="K1299" s="21"/>
      <c r="L1299" s="21" t="s">
        <v>360</v>
      </c>
      <c r="M1299" s="25">
        <f>DATE(YEAR(OneWeekMtgRatesDataTable75[[#This Row],[asOf]]),MONTH(OneWeekMtgRatesDataTable75[[#This Row],[asOf]]),DAY(OneWeekMtgRatesDataTable75[[#This Row],[asOf]]))</f>
        <v>40429</v>
      </c>
      <c r="N1299" s="21">
        <v>4.3499999999999996</v>
      </c>
      <c r="O1299" s="21">
        <v>0.7</v>
      </c>
      <c r="P1299" s="21">
        <v>4.2749999999999995</v>
      </c>
    </row>
    <row r="1300" spans="8:16">
      <c r="H1300" s="21"/>
      <c r="I1300" s="21"/>
      <c r="J1300" s="52"/>
      <c r="K1300" s="21"/>
      <c r="L1300" s="21" t="s">
        <v>359</v>
      </c>
      <c r="M1300" s="25">
        <f>DATE(YEAR(OneWeekMtgRatesDataTable75[[#This Row],[asOf]]),MONTH(OneWeekMtgRatesDataTable75[[#This Row],[asOf]]),DAY(OneWeekMtgRatesDataTable75[[#This Row],[asOf]]))</f>
        <v>40428</v>
      </c>
      <c r="N1300" s="21">
        <v>4.3499999999999996</v>
      </c>
      <c r="O1300" s="21">
        <v>0.7</v>
      </c>
      <c r="P1300" s="21">
        <v>4.2749999999999995</v>
      </c>
    </row>
    <row r="1301" spans="8:16">
      <c r="H1301" s="21"/>
      <c r="I1301" s="21"/>
      <c r="J1301" s="52"/>
      <c r="K1301" s="21"/>
      <c r="L1301" s="21" t="s">
        <v>358</v>
      </c>
      <c r="M1301" s="25">
        <f>DATE(YEAR(OneWeekMtgRatesDataTable75[[#This Row],[asOf]]),MONTH(OneWeekMtgRatesDataTable75[[#This Row],[asOf]]),DAY(OneWeekMtgRatesDataTable75[[#This Row],[asOf]]))</f>
        <v>40424</v>
      </c>
      <c r="N1301" s="21">
        <v>4.3499999999999996</v>
      </c>
      <c r="O1301" s="21">
        <v>0.7</v>
      </c>
      <c r="P1301" s="21">
        <v>4.2749999999999995</v>
      </c>
    </row>
    <row r="1302" spans="8:16">
      <c r="H1302" s="21"/>
      <c r="I1302" s="21"/>
      <c r="J1302" s="52"/>
      <c r="K1302" s="21"/>
      <c r="L1302" s="21" t="s">
        <v>357</v>
      </c>
      <c r="M1302" s="25">
        <f>DATE(YEAR(OneWeekMtgRatesDataTable75[[#This Row],[asOf]]),MONTH(OneWeekMtgRatesDataTable75[[#This Row],[asOf]]),DAY(OneWeekMtgRatesDataTable75[[#This Row],[asOf]]))</f>
        <v>40423</v>
      </c>
      <c r="N1302" s="21">
        <v>4.3499999999999996</v>
      </c>
      <c r="O1302" s="21">
        <v>0.7</v>
      </c>
      <c r="P1302" s="21">
        <v>4.2749999999999995</v>
      </c>
    </row>
    <row r="1303" spans="8:16">
      <c r="H1303" s="21"/>
      <c r="I1303" s="21"/>
      <c r="J1303" s="52"/>
      <c r="K1303" s="21"/>
      <c r="L1303" s="21" t="s">
        <v>356</v>
      </c>
      <c r="M1303" s="25">
        <f>DATE(YEAR(OneWeekMtgRatesDataTable75[[#This Row],[asOf]]),MONTH(OneWeekMtgRatesDataTable75[[#This Row],[asOf]]),DAY(OneWeekMtgRatesDataTable75[[#This Row],[asOf]]))</f>
        <v>40422</v>
      </c>
      <c r="N1303" s="21">
        <v>4.32</v>
      </c>
      <c r="O1303" s="21">
        <v>0.7</v>
      </c>
      <c r="P1303" s="21">
        <v>4.2450000000000001</v>
      </c>
    </row>
    <row r="1304" spans="8:16">
      <c r="H1304" s="21"/>
      <c r="I1304" s="21"/>
      <c r="J1304" s="52"/>
      <c r="K1304" s="21"/>
      <c r="L1304" s="21" t="s">
        <v>355</v>
      </c>
      <c r="M1304" s="25">
        <f>DATE(YEAR(OneWeekMtgRatesDataTable75[[#This Row],[asOf]]),MONTH(OneWeekMtgRatesDataTable75[[#This Row],[asOf]]),DAY(OneWeekMtgRatesDataTable75[[#This Row],[asOf]]))</f>
        <v>40421</v>
      </c>
      <c r="N1304" s="21">
        <v>4.32</v>
      </c>
      <c r="O1304" s="21">
        <v>0.7</v>
      </c>
      <c r="P1304" s="21">
        <v>4.2450000000000001</v>
      </c>
    </row>
    <row r="1305" spans="8:16">
      <c r="H1305" s="21"/>
      <c r="I1305" s="21"/>
      <c r="J1305" s="52"/>
      <c r="K1305" s="21"/>
      <c r="L1305" s="21" t="s">
        <v>354</v>
      </c>
      <c r="M1305" s="25">
        <f>DATE(YEAR(OneWeekMtgRatesDataTable75[[#This Row],[asOf]]),MONTH(OneWeekMtgRatesDataTable75[[#This Row],[asOf]]),DAY(OneWeekMtgRatesDataTable75[[#This Row],[asOf]]))</f>
        <v>40420</v>
      </c>
      <c r="N1305" s="21">
        <v>4.32</v>
      </c>
      <c r="O1305" s="21">
        <v>0.7</v>
      </c>
      <c r="P1305" s="21">
        <v>4.2450000000000001</v>
      </c>
    </row>
    <row r="1306" spans="8:16">
      <c r="H1306" s="21"/>
      <c r="I1306" s="21"/>
      <c r="J1306" s="52"/>
      <c r="K1306" s="21"/>
      <c r="L1306" s="21" t="s">
        <v>353</v>
      </c>
      <c r="M1306" s="25">
        <f>DATE(YEAR(OneWeekMtgRatesDataTable75[[#This Row],[asOf]]),MONTH(OneWeekMtgRatesDataTable75[[#This Row],[asOf]]),DAY(OneWeekMtgRatesDataTable75[[#This Row],[asOf]]))</f>
        <v>40417</v>
      </c>
      <c r="N1306" s="21">
        <v>4.32</v>
      </c>
      <c r="O1306" s="21">
        <v>0.7</v>
      </c>
      <c r="P1306" s="21">
        <v>4.2450000000000001</v>
      </c>
    </row>
    <row r="1307" spans="8:16">
      <c r="H1307" s="21"/>
      <c r="I1307" s="21"/>
      <c r="J1307" s="52"/>
      <c r="K1307" s="21"/>
      <c r="L1307" s="21" t="s">
        <v>352</v>
      </c>
      <c r="M1307" s="25">
        <f>DATE(YEAR(OneWeekMtgRatesDataTable75[[#This Row],[asOf]]),MONTH(OneWeekMtgRatesDataTable75[[#This Row],[asOf]]),DAY(OneWeekMtgRatesDataTable75[[#This Row],[asOf]]))</f>
        <v>40416</v>
      </c>
      <c r="N1307" s="21">
        <v>4.32</v>
      </c>
      <c r="O1307" s="21">
        <v>0.7</v>
      </c>
      <c r="P1307" s="21">
        <v>4.2450000000000001</v>
      </c>
    </row>
    <row r="1308" spans="8:16">
      <c r="H1308" s="21"/>
      <c r="I1308" s="21"/>
      <c r="J1308" s="52"/>
      <c r="K1308" s="21"/>
      <c r="L1308" s="21" t="s">
        <v>351</v>
      </c>
      <c r="M1308" s="25">
        <f>DATE(YEAR(OneWeekMtgRatesDataTable75[[#This Row],[asOf]]),MONTH(OneWeekMtgRatesDataTable75[[#This Row],[asOf]]),DAY(OneWeekMtgRatesDataTable75[[#This Row],[asOf]]))</f>
        <v>40415</v>
      </c>
      <c r="N1308" s="21">
        <v>4.3600000000000003</v>
      </c>
      <c r="O1308" s="21">
        <v>0.7</v>
      </c>
      <c r="P1308" s="21">
        <v>4.2850000000000001</v>
      </c>
    </row>
    <row r="1309" spans="8:16">
      <c r="H1309" s="21"/>
      <c r="I1309" s="21"/>
      <c r="J1309" s="52"/>
      <c r="K1309" s="21"/>
      <c r="L1309" s="21" t="s">
        <v>350</v>
      </c>
      <c r="M1309" s="25">
        <f>DATE(YEAR(OneWeekMtgRatesDataTable75[[#This Row],[asOf]]),MONTH(OneWeekMtgRatesDataTable75[[#This Row],[asOf]]),DAY(OneWeekMtgRatesDataTable75[[#This Row],[asOf]]))</f>
        <v>40414</v>
      </c>
      <c r="N1309" s="21">
        <v>4.3600000000000003</v>
      </c>
      <c r="O1309" s="21">
        <v>0.7</v>
      </c>
      <c r="P1309" s="21">
        <v>4.2850000000000001</v>
      </c>
    </row>
    <row r="1310" spans="8:16">
      <c r="H1310" s="21"/>
      <c r="I1310" s="21"/>
      <c r="J1310" s="52"/>
      <c r="K1310" s="21"/>
      <c r="L1310" s="21" t="s">
        <v>349</v>
      </c>
      <c r="M1310" s="25">
        <f>DATE(YEAR(OneWeekMtgRatesDataTable75[[#This Row],[asOf]]),MONTH(OneWeekMtgRatesDataTable75[[#This Row],[asOf]]),DAY(OneWeekMtgRatesDataTable75[[#This Row],[asOf]]))</f>
        <v>40413</v>
      </c>
      <c r="N1310" s="21">
        <v>4.3600000000000003</v>
      </c>
      <c r="O1310" s="21">
        <v>0.7</v>
      </c>
      <c r="P1310" s="21">
        <v>4.2850000000000001</v>
      </c>
    </row>
    <row r="1311" spans="8:16">
      <c r="H1311" s="21"/>
      <c r="I1311" s="21"/>
      <c r="J1311" s="52"/>
      <c r="K1311" s="21"/>
      <c r="L1311" s="21" t="s">
        <v>348</v>
      </c>
      <c r="M1311" s="25">
        <f>DATE(YEAR(OneWeekMtgRatesDataTable75[[#This Row],[asOf]]),MONTH(OneWeekMtgRatesDataTable75[[#This Row],[asOf]]),DAY(OneWeekMtgRatesDataTable75[[#This Row],[asOf]]))</f>
        <v>40410</v>
      </c>
      <c r="N1311" s="21">
        <v>4.3600000000000003</v>
      </c>
      <c r="O1311" s="21">
        <v>0.7</v>
      </c>
      <c r="P1311" s="21">
        <v>4.2850000000000001</v>
      </c>
    </row>
    <row r="1312" spans="8:16">
      <c r="H1312" s="21"/>
      <c r="I1312" s="21"/>
      <c r="J1312" s="52"/>
      <c r="K1312" s="21"/>
      <c r="L1312" s="21" t="s">
        <v>347</v>
      </c>
      <c r="M1312" s="25">
        <f>DATE(YEAR(OneWeekMtgRatesDataTable75[[#This Row],[asOf]]),MONTH(OneWeekMtgRatesDataTable75[[#This Row],[asOf]]),DAY(OneWeekMtgRatesDataTable75[[#This Row],[asOf]]))</f>
        <v>40409</v>
      </c>
      <c r="N1312" s="21">
        <v>4.3600000000000003</v>
      </c>
      <c r="O1312" s="21">
        <v>0.7</v>
      </c>
      <c r="P1312" s="21">
        <v>4.2850000000000001</v>
      </c>
    </row>
    <row r="1313" spans="8:16">
      <c r="H1313" s="21"/>
      <c r="I1313" s="21"/>
      <c r="J1313" s="52"/>
      <c r="K1313" s="21"/>
      <c r="L1313" s="21" t="s">
        <v>346</v>
      </c>
      <c r="M1313" s="25">
        <f>DATE(YEAR(OneWeekMtgRatesDataTable75[[#This Row],[asOf]]),MONTH(OneWeekMtgRatesDataTable75[[#This Row],[asOf]]),DAY(OneWeekMtgRatesDataTable75[[#This Row],[asOf]]))</f>
        <v>40408</v>
      </c>
      <c r="N1313" s="21">
        <v>4.42</v>
      </c>
      <c r="O1313" s="21">
        <v>0.7</v>
      </c>
      <c r="P1313" s="21">
        <v>4.3449999999999998</v>
      </c>
    </row>
    <row r="1314" spans="8:16">
      <c r="H1314" s="21"/>
      <c r="I1314" s="21"/>
      <c r="J1314" s="52"/>
      <c r="K1314" s="21"/>
      <c r="L1314" s="21" t="s">
        <v>345</v>
      </c>
      <c r="M1314" s="25">
        <f>DATE(YEAR(OneWeekMtgRatesDataTable75[[#This Row],[asOf]]),MONTH(OneWeekMtgRatesDataTable75[[#This Row],[asOf]]),DAY(OneWeekMtgRatesDataTable75[[#This Row],[asOf]]))</f>
        <v>40407</v>
      </c>
      <c r="N1314" s="21">
        <v>4.42</v>
      </c>
      <c r="O1314" s="21">
        <v>0.7</v>
      </c>
      <c r="P1314" s="21">
        <v>4.3449999999999998</v>
      </c>
    </row>
    <row r="1315" spans="8:16">
      <c r="H1315" s="21"/>
      <c r="I1315" s="21"/>
      <c r="J1315" s="52"/>
      <c r="K1315" s="21"/>
      <c r="L1315" s="21" t="s">
        <v>344</v>
      </c>
      <c r="M1315" s="25">
        <f>DATE(YEAR(OneWeekMtgRatesDataTable75[[#This Row],[asOf]]),MONTH(OneWeekMtgRatesDataTable75[[#This Row],[asOf]]),DAY(OneWeekMtgRatesDataTable75[[#This Row],[asOf]]))</f>
        <v>40406</v>
      </c>
      <c r="N1315" s="21">
        <v>4.42</v>
      </c>
      <c r="O1315" s="21">
        <v>0.7</v>
      </c>
      <c r="P1315" s="21">
        <v>4.3449999999999998</v>
      </c>
    </row>
    <row r="1316" spans="8:16">
      <c r="H1316" s="21"/>
      <c r="I1316" s="21"/>
      <c r="J1316" s="52"/>
      <c r="K1316" s="21"/>
      <c r="L1316" s="21" t="s">
        <v>343</v>
      </c>
      <c r="M1316" s="25">
        <f>DATE(YEAR(OneWeekMtgRatesDataTable75[[#This Row],[asOf]]),MONTH(OneWeekMtgRatesDataTable75[[#This Row],[asOf]]),DAY(OneWeekMtgRatesDataTable75[[#This Row],[asOf]]))</f>
        <v>40403</v>
      </c>
      <c r="N1316" s="21">
        <v>4.42</v>
      </c>
      <c r="O1316" s="21">
        <v>0.7</v>
      </c>
      <c r="P1316" s="21">
        <v>4.3449999999999998</v>
      </c>
    </row>
    <row r="1317" spans="8:16">
      <c r="H1317" s="21"/>
      <c r="I1317" s="21"/>
      <c r="J1317" s="52"/>
      <c r="K1317" s="21"/>
      <c r="L1317" s="21" t="s">
        <v>342</v>
      </c>
      <c r="M1317" s="25">
        <f>DATE(YEAR(OneWeekMtgRatesDataTable75[[#This Row],[asOf]]),MONTH(OneWeekMtgRatesDataTable75[[#This Row],[asOf]]),DAY(OneWeekMtgRatesDataTable75[[#This Row],[asOf]]))</f>
        <v>40402</v>
      </c>
      <c r="N1317" s="21">
        <v>4.42</v>
      </c>
      <c r="O1317" s="21">
        <v>0.7</v>
      </c>
      <c r="P1317" s="21">
        <v>4.3449999999999998</v>
      </c>
    </row>
    <row r="1318" spans="8:16">
      <c r="H1318" s="21"/>
      <c r="I1318" s="21"/>
      <c r="J1318" s="52"/>
      <c r="K1318" s="21"/>
      <c r="L1318" s="21" t="s">
        <v>341</v>
      </c>
      <c r="M1318" s="25">
        <f>DATE(YEAR(OneWeekMtgRatesDataTable75[[#This Row],[asOf]]),MONTH(OneWeekMtgRatesDataTable75[[#This Row],[asOf]]),DAY(OneWeekMtgRatesDataTable75[[#This Row],[asOf]]))</f>
        <v>40401</v>
      </c>
      <c r="N1318" s="21">
        <v>4.4400000000000004</v>
      </c>
      <c r="O1318" s="21">
        <v>0.7</v>
      </c>
      <c r="P1318" s="21">
        <v>4.3650000000000002</v>
      </c>
    </row>
    <row r="1319" spans="8:16">
      <c r="H1319" s="21"/>
      <c r="I1319" s="21"/>
      <c r="J1319" s="52"/>
      <c r="K1319" s="21"/>
      <c r="L1319" s="21" t="s">
        <v>340</v>
      </c>
      <c r="M1319" s="25">
        <f>DATE(YEAR(OneWeekMtgRatesDataTable75[[#This Row],[asOf]]),MONTH(OneWeekMtgRatesDataTable75[[#This Row],[asOf]]),DAY(OneWeekMtgRatesDataTable75[[#This Row],[asOf]]))</f>
        <v>40400</v>
      </c>
      <c r="N1319" s="21">
        <v>4.4400000000000004</v>
      </c>
      <c r="O1319" s="21">
        <v>0.7</v>
      </c>
      <c r="P1319" s="21">
        <v>4.3650000000000002</v>
      </c>
    </row>
    <row r="1320" spans="8:16">
      <c r="H1320" s="21"/>
      <c r="I1320" s="21"/>
      <c r="J1320" s="52"/>
      <c r="K1320" s="21"/>
      <c r="L1320" s="21" t="s">
        <v>339</v>
      </c>
      <c r="M1320" s="25">
        <f>DATE(YEAR(OneWeekMtgRatesDataTable75[[#This Row],[asOf]]),MONTH(OneWeekMtgRatesDataTable75[[#This Row],[asOf]]),DAY(OneWeekMtgRatesDataTable75[[#This Row],[asOf]]))</f>
        <v>40399</v>
      </c>
      <c r="N1320" s="21">
        <v>4.4400000000000004</v>
      </c>
      <c r="O1320" s="21">
        <v>0.7</v>
      </c>
      <c r="P1320" s="21">
        <v>4.3650000000000002</v>
      </c>
    </row>
    <row r="1321" spans="8:16">
      <c r="H1321" s="21"/>
      <c r="I1321" s="21"/>
      <c r="J1321" s="52"/>
      <c r="K1321" s="21"/>
      <c r="L1321" s="21" t="s">
        <v>338</v>
      </c>
      <c r="M1321" s="25">
        <f>DATE(YEAR(OneWeekMtgRatesDataTable75[[#This Row],[asOf]]),MONTH(OneWeekMtgRatesDataTable75[[#This Row],[asOf]]),DAY(OneWeekMtgRatesDataTable75[[#This Row],[asOf]]))</f>
        <v>40396</v>
      </c>
      <c r="N1321" s="21">
        <v>4.4400000000000004</v>
      </c>
      <c r="O1321" s="21">
        <v>0.7</v>
      </c>
      <c r="P1321" s="21">
        <v>4.3650000000000002</v>
      </c>
    </row>
    <row r="1322" spans="8:16">
      <c r="H1322" s="21"/>
      <c r="I1322" s="21"/>
      <c r="J1322" s="52"/>
      <c r="K1322" s="21"/>
      <c r="L1322" s="21" t="s">
        <v>337</v>
      </c>
      <c r="M1322" s="25">
        <f>DATE(YEAR(OneWeekMtgRatesDataTable75[[#This Row],[asOf]]),MONTH(OneWeekMtgRatesDataTable75[[#This Row],[asOf]]),DAY(OneWeekMtgRatesDataTable75[[#This Row],[asOf]]))</f>
        <v>40395</v>
      </c>
      <c r="N1322" s="21">
        <v>4.4400000000000004</v>
      </c>
      <c r="O1322" s="21">
        <v>0.7</v>
      </c>
      <c r="P1322" s="21">
        <v>4.3650000000000002</v>
      </c>
    </row>
    <row r="1323" spans="8:16">
      <c r="H1323" s="21"/>
      <c r="I1323" s="21"/>
      <c r="J1323" s="52"/>
      <c r="K1323" s="21"/>
      <c r="L1323" s="21" t="s">
        <v>336</v>
      </c>
      <c r="M1323" s="25">
        <f>DATE(YEAR(OneWeekMtgRatesDataTable75[[#This Row],[asOf]]),MONTH(OneWeekMtgRatesDataTable75[[#This Row],[asOf]]),DAY(OneWeekMtgRatesDataTable75[[#This Row],[asOf]]))</f>
        <v>40394</v>
      </c>
      <c r="N1323" s="21">
        <v>4.49</v>
      </c>
      <c r="O1323" s="21">
        <v>0.7</v>
      </c>
      <c r="P1323" s="21">
        <v>4.415</v>
      </c>
    </row>
    <row r="1324" spans="8:16">
      <c r="H1324" s="21"/>
      <c r="I1324" s="21"/>
      <c r="J1324" s="52"/>
      <c r="K1324" s="21"/>
      <c r="L1324" s="21" t="s">
        <v>335</v>
      </c>
      <c r="M1324" s="25">
        <f>DATE(YEAR(OneWeekMtgRatesDataTable75[[#This Row],[asOf]]),MONTH(OneWeekMtgRatesDataTable75[[#This Row],[asOf]]),DAY(OneWeekMtgRatesDataTable75[[#This Row],[asOf]]))</f>
        <v>40393</v>
      </c>
      <c r="N1324" s="21">
        <v>4.49</v>
      </c>
      <c r="O1324" s="21">
        <v>0.7</v>
      </c>
      <c r="P1324" s="21">
        <v>4.415</v>
      </c>
    </row>
    <row r="1325" spans="8:16">
      <c r="H1325" s="21"/>
      <c r="I1325" s="21"/>
      <c r="J1325" s="52"/>
      <c r="K1325" s="21"/>
      <c r="L1325" s="21" t="s">
        <v>334</v>
      </c>
      <c r="M1325" s="25">
        <f>DATE(YEAR(OneWeekMtgRatesDataTable75[[#This Row],[asOf]]),MONTH(OneWeekMtgRatesDataTable75[[#This Row],[asOf]]),DAY(OneWeekMtgRatesDataTable75[[#This Row],[asOf]]))</f>
        <v>40392</v>
      </c>
      <c r="N1325" s="21">
        <v>4.49</v>
      </c>
      <c r="O1325" s="21">
        <v>0.7</v>
      </c>
      <c r="P1325" s="21">
        <v>4.415</v>
      </c>
    </row>
    <row r="1326" spans="8:16">
      <c r="H1326" s="21"/>
      <c r="I1326" s="21"/>
      <c r="J1326" s="52"/>
      <c r="K1326" s="21"/>
      <c r="L1326" s="21" t="s">
        <v>333</v>
      </c>
      <c r="M1326" s="25">
        <f>DATE(YEAR(OneWeekMtgRatesDataTable75[[#This Row],[asOf]]),MONTH(OneWeekMtgRatesDataTable75[[#This Row],[asOf]]),DAY(OneWeekMtgRatesDataTable75[[#This Row],[asOf]]))</f>
        <v>40389</v>
      </c>
      <c r="N1326" s="21">
        <v>4.49</v>
      </c>
      <c r="O1326" s="21">
        <v>0.7</v>
      </c>
      <c r="P1326" s="21">
        <v>4.415</v>
      </c>
    </row>
    <row r="1327" spans="8:16">
      <c r="H1327" s="21"/>
      <c r="I1327" s="21"/>
      <c r="J1327" s="52"/>
      <c r="K1327" s="21"/>
      <c r="L1327" s="21" t="s">
        <v>332</v>
      </c>
      <c r="M1327" s="25">
        <f>DATE(YEAR(OneWeekMtgRatesDataTable75[[#This Row],[asOf]]),MONTH(OneWeekMtgRatesDataTable75[[#This Row],[asOf]]),DAY(OneWeekMtgRatesDataTable75[[#This Row],[asOf]]))</f>
        <v>40388</v>
      </c>
      <c r="N1327" s="21">
        <v>4.49</v>
      </c>
      <c r="O1327" s="21">
        <v>0.7</v>
      </c>
      <c r="P1327" s="21">
        <v>4.415</v>
      </c>
    </row>
    <row r="1328" spans="8:16">
      <c r="H1328" s="21"/>
      <c r="I1328" s="21"/>
      <c r="J1328" s="52"/>
      <c r="K1328" s="21"/>
      <c r="L1328" s="21" t="s">
        <v>331</v>
      </c>
      <c r="M1328" s="25">
        <f>DATE(YEAR(OneWeekMtgRatesDataTable75[[#This Row],[asOf]]),MONTH(OneWeekMtgRatesDataTable75[[#This Row],[asOf]]),DAY(OneWeekMtgRatesDataTable75[[#This Row],[asOf]]))</f>
        <v>40387</v>
      </c>
      <c r="N1328" s="21">
        <v>4.54</v>
      </c>
      <c r="O1328" s="21">
        <v>0.7</v>
      </c>
      <c r="P1328" s="21">
        <v>4.4649999999999999</v>
      </c>
    </row>
    <row r="1329" spans="8:16">
      <c r="H1329" s="21"/>
      <c r="I1329" s="21"/>
      <c r="J1329" s="52"/>
      <c r="K1329" s="21"/>
      <c r="L1329" s="21" t="s">
        <v>330</v>
      </c>
      <c r="M1329" s="25">
        <f>DATE(YEAR(OneWeekMtgRatesDataTable75[[#This Row],[asOf]]),MONTH(OneWeekMtgRatesDataTable75[[#This Row],[asOf]]),DAY(OneWeekMtgRatesDataTable75[[#This Row],[asOf]]))</f>
        <v>40386</v>
      </c>
      <c r="N1329" s="21">
        <v>4.54</v>
      </c>
      <c r="O1329" s="21">
        <v>0.7</v>
      </c>
      <c r="P1329" s="21">
        <v>4.4649999999999999</v>
      </c>
    </row>
    <row r="1330" spans="8:16">
      <c r="H1330" s="21"/>
      <c r="I1330" s="21"/>
      <c r="J1330" s="52"/>
      <c r="K1330" s="21"/>
      <c r="L1330" s="21" t="s">
        <v>329</v>
      </c>
      <c r="M1330" s="25">
        <f>DATE(YEAR(OneWeekMtgRatesDataTable75[[#This Row],[asOf]]),MONTH(OneWeekMtgRatesDataTable75[[#This Row],[asOf]]),DAY(OneWeekMtgRatesDataTable75[[#This Row],[asOf]]))</f>
        <v>40385</v>
      </c>
      <c r="N1330" s="21">
        <v>4.54</v>
      </c>
      <c r="O1330" s="21">
        <v>0.7</v>
      </c>
      <c r="P1330" s="21">
        <v>4.4649999999999999</v>
      </c>
    </row>
    <row r="1331" spans="8:16">
      <c r="H1331" s="21"/>
      <c r="I1331" s="21"/>
      <c r="J1331" s="52"/>
      <c r="K1331" s="21"/>
      <c r="L1331" s="21" t="s">
        <v>328</v>
      </c>
      <c r="M1331" s="25">
        <f>DATE(YEAR(OneWeekMtgRatesDataTable75[[#This Row],[asOf]]),MONTH(OneWeekMtgRatesDataTable75[[#This Row],[asOf]]),DAY(OneWeekMtgRatesDataTable75[[#This Row],[asOf]]))</f>
        <v>40382</v>
      </c>
      <c r="N1331" s="21">
        <v>4.54</v>
      </c>
      <c r="O1331" s="21">
        <v>0.7</v>
      </c>
      <c r="P1331" s="21">
        <v>4.4649999999999999</v>
      </c>
    </row>
    <row r="1332" spans="8:16">
      <c r="H1332" s="21"/>
      <c r="I1332" s="21"/>
      <c r="J1332" s="52"/>
      <c r="K1332" s="21"/>
      <c r="L1332" s="21" t="s">
        <v>327</v>
      </c>
      <c r="M1332" s="25">
        <f>DATE(YEAR(OneWeekMtgRatesDataTable75[[#This Row],[asOf]]),MONTH(OneWeekMtgRatesDataTable75[[#This Row],[asOf]]),DAY(OneWeekMtgRatesDataTable75[[#This Row],[asOf]]))</f>
        <v>40381</v>
      </c>
      <c r="N1332" s="21">
        <v>4.54</v>
      </c>
      <c r="O1332" s="21">
        <v>0.7</v>
      </c>
      <c r="P1332" s="21">
        <v>4.4649999999999999</v>
      </c>
    </row>
    <row r="1333" spans="8:16">
      <c r="H1333" s="21"/>
      <c r="I1333" s="21"/>
      <c r="J1333" s="52"/>
      <c r="K1333" s="21"/>
      <c r="L1333" s="21" t="s">
        <v>326</v>
      </c>
      <c r="M1333" s="25">
        <f>DATE(YEAR(OneWeekMtgRatesDataTable75[[#This Row],[asOf]]),MONTH(OneWeekMtgRatesDataTable75[[#This Row],[asOf]]),DAY(OneWeekMtgRatesDataTable75[[#This Row],[asOf]]))</f>
        <v>40380</v>
      </c>
      <c r="N1333" s="21">
        <v>4.5599999999999996</v>
      </c>
      <c r="O1333" s="21">
        <v>0.7</v>
      </c>
      <c r="P1333" s="21">
        <v>4.4849999999999994</v>
      </c>
    </row>
    <row r="1334" spans="8:16">
      <c r="H1334" s="21"/>
      <c r="I1334" s="21"/>
      <c r="J1334" s="52"/>
      <c r="K1334" s="21"/>
      <c r="L1334" s="21" t="s">
        <v>325</v>
      </c>
      <c r="M1334" s="25">
        <f>DATE(YEAR(OneWeekMtgRatesDataTable75[[#This Row],[asOf]]),MONTH(OneWeekMtgRatesDataTable75[[#This Row],[asOf]]),DAY(OneWeekMtgRatesDataTable75[[#This Row],[asOf]]))</f>
        <v>40379</v>
      </c>
      <c r="N1334" s="21">
        <v>4.5599999999999996</v>
      </c>
      <c r="O1334" s="21">
        <v>0.7</v>
      </c>
      <c r="P1334" s="21">
        <v>4.4849999999999994</v>
      </c>
    </row>
    <row r="1335" spans="8:16">
      <c r="H1335" s="21"/>
      <c r="I1335" s="21"/>
      <c r="J1335" s="52"/>
      <c r="K1335" s="21"/>
      <c r="L1335" s="21" t="s">
        <v>324</v>
      </c>
      <c r="M1335" s="25">
        <f>DATE(YEAR(OneWeekMtgRatesDataTable75[[#This Row],[asOf]]),MONTH(OneWeekMtgRatesDataTable75[[#This Row],[asOf]]),DAY(OneWeekMtgRatesDataTable75[[#This Row],[asOf]]))</f>
        <v>40378</v>
      </c>
      <c r="N1335" s="21">
        <v>4.5599999999999996</v>
      </c>
      <c r="O1335" s="21">
        <v>0.7</v>
      </c>
      <c r="P1335" s="21">
        <v>4.4849999999999994</v>
      </c>
    </row>
    <row r="1336" spans="8:16">
      <c r="H1336" s="21"/>
      <c r="I1336" s="21"/>
      <c r="J1336" s="52"/>
      <c r="K1336" s="21"/>
      <c r="L1336" s="21" t="s">
        <v>323</v>
      </c>
      <c r="M1336" s="25">
        <f>DATE(YEAR(OneWeekMtgRatesDataTable75[[#This Row],[asOf]]),MONTH(OneWeekMtgRatesDataTable75[[#This Row],[asOf]]),DAY(OneWeekMtgRatesDataTable75[[#This Row],[asOf]]))</f>
        <v>40375</v>
      </c>
      <c r="N1336" s="21">
        <v>4.5599999999999996</v>
      </c>
      <c r="O1336" s="21">
        <v>0.7</v>
      </c>
      <c r="P1336" s="21">
        <v>4.4849999999999994</v>
      </c>
    </row>
    <row r="1337" spans="8:16">
      <c r="H1337" s="21"/>
      <c r="I1337" s="21"/>
      <c r="J1337" s="52"/>
      <c r="K1337" s="21"/>
      <c r="L1337" s="21" t="s">
        <v>322</v>
      </c>
      <c r="M1337" s="25">
        <f>DATE(YEAR(OneWeekMtgRatesDataTable75[[#This Row],[asOf]]),MONTH(OneWeekMtgRatesDataTable75[[#This Row],[asOf]]),DAY(OneWeekMtgRatesDataTable75[[#This Row],[asOf]]))</f>
        <v>40374</v>
      </c>
      <c r="N1337" s="21">
        <v>4.5599999999999996</v>
      </c>
      <c r="O1337" s="21">
        <v>0.7</v>
      </c>
      <c r="P1337" s="21">
        <v>4.4849999999999994</v>
      </c>
    </row>
    <row r="1338" spans="8:16">
      <c r="H1338" s="21"/>
      <c r="I1338" s="21"/>
      <c r="J1338" s="52"/>
      <c r="K1338" s="21"/>
      <c r="L1338" s="21" t="s">
        <v>321</v>
      </c>
      <c r="M1338" s="25">
        <f>DATE(YEAR(OneWeekMtgRatesDataTable75[[#This Row],[asOf]]),MONTH(OneWeekMtgRatesDataTable75[[#This Row],[asOf]]),DAY(OneWeekMtgRatesDataTable75[[#This Row],[asOf]]))</f>
        <v>40373</v>
      </c>
      <c r="N1338" s="21">
        <v>4.57</v>
      </c>
      <c r="O1338" s="21">
        <v>0.7</v>
      </c>
      <c r="P1338" s="21">
        <v>4.4950000000000001</v>
      </c>
    </row>
    <row r="1339" spans="8:16">
      <c r="H1339" s="21"/>
      <c r="I1339" s="21"/>
      <c r="J1339" s="52"/>
      <c r="K1339" s="21"/>
      <c r="L1339" s="21" t="s">
        <v>320</v>
      </c>
      <c r="M1339" s="25">
        <f>DATE(YEAR(OneWeekMtgRatesDataTable75[[#This Row],[asOf]]),MONTH(OneWeekMtgRatesDataTable75[[#This Row],[asOf]]),DAY(OneWeekMtgRatesDataTable75[[#This Row],[asOf]]))</f>
        <v>40372</v>
      </c>
      <c r="N1339" s="21">
        <v>4.57</v>
      </c>
      <c r="O1339" s="21">
        <v>0.7</v>
      </c>
      <c r="P1339" s="21">
        <v>4.4950000000000001</v>
      </c>
    </row>
    <row r="1340" spans="8:16">
      <c r="H1340" s="21"/>
      <c r="I1340" s="21"/>
      <c r="J1340" s="52"/>
      <c r="K1340" s="21"/>
      <c r="L1340" s="21" t="s">
        <v>319</v>
      </c>
      <c r="M1340" s="25">
        <f>DATE(YEAR(OneWeekMtgRatesDataTable75[[#This Row],[asOf]]),MONTH(OneWeekMtgRatesDataTable75[[#This Row],[asOf]]),DAY(OneWeekMtgRatesDataTable75[[#This Row],[asOf]]))</f>
        <v>40371</v>
      </c>
      <c r="N1340" s="21">
        <v>4.57</v>
      </c>
      <c r="O1340" s="21">
        <v>0.7</v>
      </c>
      <c r="P1340" s="21">
        <v>4.4950000000000001</v>
      </c>
    </row>
    <row r="1341" spans="8:16">
      <c r="H1341" s="21"/>
      <c r="I1341" s="21"/>
      <c r="J1341" s="52"/>
      <c r="K1341" s="21"/>
      <c r="L1341" s="21" t="s">
        <v>318</v>
      </c>
      <c r="M1341" s="25">
        <f>DATE(YEAR(OneWeekMtgRatesDataTable75[[#This Row],[asOf]]),MONTH(OneWeekMtgRatesDataTable75[[#This Row],[asOf]]),DAY(OneWeekMtgRatesDataTable75[[#This Row],[asOf]]))</f>
        <v>40368</v>
      </c>
      <c r="N1341" s="21">
        <v>4.57</v>
      </c>
      <c r="O1341" s="21">
        <v>0.7</v>
      </c>
      <c r="P1341" s="21">
        <v>4.4950000000000001</v>
      </c>
    </row>
    <row r="1342" spans="8:16">
      <c r="H1342" s="21"/>
      <c r="I1342" s="21"/>
      <c r="J1342" s="52"/>
      <c r="K1342" s="21"/>
      <c r="L1342" s="21" t="s">
        <v>317</v>
      </c>
      <c r="M1342" s="25">
        <f>DATE(YEAR(OneWeekMtgRatesDataTable75[[#This Row],[asOf]]),MONTH(OneWeekMtgRatesDataTable75[[#This Row],[asOf]]),DAY(OneWeekMtgRatesDataTable75[[#This Row],[asOf]]))</f>
        <v>40367</v>
      </c>
      <c r="N1342" s="21">
        <v>4.57</v>
      </c>
      <c r="O1342" s="21">
        <v>0.7</v>
      </c>
      <c r="P1342" s="21">
        <v>4.4950000000000001</v>
      </c>
    </row>
    <row r="1343" spans="8:16">
      <c r="H1343" s="21"/>
      <c r="I1343" s="21"/>
      <c r="J1343" s="52"/>
      <c r="K1343" s="21"/>
      <c r="L1343" s="21" t="s">
        <v>316</v>
      </c>
      <c r="M1343" s="25">
        <f>DATE(YEAR(OneWeekMtgRatesDataTable75[[#This Row],[asOf]]),MONTH(OneWeekMtgRatesDataTable75[[#This Row],[asOf]]),DAY(OneWeekMtgRatesDataTable75[[#This Row],[asOf]]))</f>
        <v>40366</v>
      </c>
      <c r="N1343" s="21">
        <v>4.57</v>
      </c>
      <c r="O1343" s="21">
        <v>0.7</v>
      </c>
      <c r="P1343" s="21">
        <v>4.4950000000000001</v>
      </c>
    </row>
    <row r="1344" spans="8:16">
      <c r="H1344" s="21"/>
      <c r="I1344" s="21"/>
      <c r="J1344" s="52"/>
      <c r="K1344" s="21"/>
      <c r="L1344" s="21" t="s">
        <v>315</v>
      </c>
      <c r="M1344" s="25">
        <f>DATE(YEAR(OneWeekMtgRatesDataTable75[[#This Row],[asOf]]),MONTH(OneWeekMtgRatesDataTable75[[#This Row],[asOf]]),DAY(OneWeekMtgRatesDataTable75[[#This Row],[asOf]]))</f>
        <v>40365</v>
      </c>
      <c r="N1344" s="21">
        <v>4.57</v>
      </c>
      <c r="O1344" s="21">
        <v>0.7</v>
      </c>
      <c r="P1344" s="21">
        <v>4.4950000000000001</v>
      </c>
    </row>
    <row r="1345" spans="8:16">
      <c r="H1345" s="21"/>
      <c r="I1345" s="21"/>
      <c r="J1345" s="52"/>
      <c r="K1345" s="21"/>
      <c r="L1345" s="21" t="s">
        <v>314</v>
      </c>
      <c r="M1345" s="25">
        <f>DATE(YEAR(OneWeekMtgRatesDataTable75[[#This Row],[asOf]]),MONTH(OneWeekMtgRatesDataTable75[[#This Row],[asOf]]),DAY(OneWeekMtgRatesDataTable75[[#This Row],[asOf]]))</f>
        <v>40361</v>
      </c>
      <c r="N1345" s="21">
        <v>4.57</v>
      </c>
      <c r="O1345" s="21">
        <v>0.7</v>
      </c>
      <c r="P1345" s="21">
        <v>4.4950000000000001</v>
      </c>
    </row>
    <row r="1346" spans="8:16">
      <c r="H1346" s="21"/>
      <c r="I1346" s="21"/>
      <c r="J1346" s="52"/>
      <c r="K1346" s="21"/>
      <c r="L1346" s="21" t="s">
        <v>313</v>
      </c>
      <c r="M1346" s="25">
        <f>DATE(YEAR(OneWeekMtgRatesDataTable75[[#This Row],[asOf]]),MONTH(OneWeekMtgRatesDataTable75[[#This Row],[asOf]]),DAY(OneWeekMtgRatesDataTable75[[#This Row],[asOf]]))</f>
        <v>40360</v>
      </c>
      <c r="N1346" s="21">
        <v>4.57</v>
      </c>
      <c r="O1346" s="21">
        <v>0.7</v>
      </c>
      <c r="P1346" s="21">
        <v>4.4950000000000001</v>
      </c>
    </row>
    <row r="1347" spans="8:16">
      <c r="H1347" s="21"/>
      <c r="I1347" s="21"/>
      <c r="J1347" s="52"/>
      <c r="K1347" s="21"/>
      <c r="L1347" s="21" t="s">
        <v>312</v>
      </c>
      <c r="M1347" s="25">
        <f>DATE(YEAR(OneWeekMtgRatesDataTable75[[#This Row],[asOf]]),MONTH(OneWeekMtgRatesDataTable75[[#This Row],[asOf]]),DAY(OneWeekMtgRatesDataTable75[[#This Row],[asOf]]))</f>
        <v>40359</v>
      </c>
      <c r="N1347" s="21">
        <v>4.58</v>
      </c>
      <c r="O1347" s="21">
        <v>0.7</v>
      </c>
      <c r="P1347" s="21">
        <v>4.5049999999999999</v>
      </c>
    </row>
    <row r="1348" spans="8:16">
      <c r="H1348" s="21"/>
      <c r="I1348" s="21"/>
      <c r="J1348" s="52"/>
      <c r="K1348" s="21"/>
      <c r="L1348" s="21" t="s">
        <v>311</v>
      </c>
      <c r="M1348" s="25">
        <f>DATE(YEAR(OneWeekMtgRatesDataTable75[[#This Row],[asOf]]),MONTH(OneWeekMtgRatesDataTable75[[#This Row],[asOf]]),DAY(OneWeekMtgRatesDataTable75[[#This Row],[asOf]]))</f>
        <v>40358</v>
      </c>
      <c r="N1348" s="21">
        <v>4.58</v>
      </c>
      <c r="O1348" s="21">
        <v>0.7</v>
      </c>
      <c r="P1348" s="21">
        <v>4.5049999999999999</v>
      </c>
    </row>
    <row r="1349" spans="8:16">
      <c r="H1349" s="21"/>
      <c r="I1349" s="21"/>
      <c r="J1349" s="52"/>
      <c r="K1349" s="21"/>
      <c r="L1349" s="21" t="s">
        <v>310</v>
      </c>
      <c r="M1349" s="25">
        <f>DATE(YEAR(OneWeekMtgRatesDataTable75[[#This Row],[asOf]]),MONTH(OneWeekMtgRatesDataTable75[[#This Row],[asOf]]),DAY(OneWeekMtgRatesDataTable75[[#This Row],[asOf]]))</f>
        <v>40357</v>
      </c>
      <c r="N1349" s="21">
        <v>4.58</v>
      </c>
      <c r="O1349" s="21">
        <v>0.7</v>
      </c>
      <c r="P1349" s="21">
        <v>4.5049999999999999</v>
      </c>
    </row>
    <row r="1350" spans="8:16">
      <c r="H1350" s="21"/>
      <c r="I1350" s="21"/>
      <c r="J1350" s="52"/>
      <c r="K1350" s="21"/>
      <c r="L1350" s="21" t="s">
        <v>309</v>
      </c>
      <c r="M1350" s="25">
        <f>DATE(YEAR(OneWeekMtgRatesDataTable75[[#This Row],[asOf]]),MONTH(OneWeekMtgRatesDataTable75[[#This Row],[asOf]]),DAY(OneWeekMtgRatesDataTable75[[#This Row],[asOf]]))</f>
        <v>40354</v>
      </c>
      <c r="N1350" s="21">
        <v>4.58</v>
      </c>
      <c r="O1350" s="21">
        <v>0.7</v>
      </c>
      <c r="P1350" s="21">
        <v>4.5049999999999999</v>
      </c>
    </row>
    <row r="1351" spans="8:16">
      <c r="H1351" s="21"/>
      <c r="I1351" s="21"/>
      <c r="J1351" s="52"/>
      <c r="K1351" s="21"/>
      <c r="L1351" s="21" t="s">
        <v>308</v>
      </c>
      <c r="M1351" s="25">
        <f>DATE(YEAR(OneWeekMtgRatesDataTable75[[#This Row],[asOf]]),MONTH(OneWeekMtgRatesDataTable75[[#This Row],[asOf]]),DAY(OneWeekMtgRatesDataTable75[[#This Row],[asOf]]))</f>
        <v>40353</v>
      </c>
      <c r="N1351" s="21">
        <v>4.58</v>
      </c>
      <c r="O1351" s="21">
        <v>0.7</v>
      </c>
      <c r="P1351" s="21">
        <v>4.5049999999999999</v>
      </c>
    </row>
    <row r="1352" spans="8:16">
      <c r="H1352" s="21"/>
      <c r="I1352" s="21"/>
      <c r="J1352" s="52"/>
      <c r="K1352" s="21"/>
      <c r="L1352" s="21" t="s">
        <v>307</v>
      </c>
      <c r="M1352" s="25">
        <f>DATE(YEAR(OneWeekMtgRatesDataTable75[[#This Row],[asOf]]),MONTH(OneWeekMtgRatesDataTable75[[#This Row],[asOf]]),DAY(OneWeekMtgRatesDataTable75[[#This Row],[asOf]]))</f>
        <v>40352</v>
      </c>
      <c r="N1352" s="21">
        <v>4.6900000000000004</v>
      </c>
      <c r="O1352" s="21">
        <v>0.7</v>
      </c>
      <c r="P1352" s="21">
        <v>4.6150000000000002</v>
      </c>
    </row>
    <row r="1353" spans="8:16">
      <c r="H1353" s="21"/>
      <c r="I1353" s="21"/>
      <c r="J1353" s="52"/>
      <c r="K1353" s="21"/>
      <c r="L1353" s="21" t="s">
        <v>306</v>
      </c>
      <c r="M1353" s="25">
        <f>DATE(YEAR(OneWeekMtgRatesDataTable75[[#This Row],[asOf]]),MONTH(OneWeekMtgRatesDataTable75[[#This Row],[asOf]]),DAY(OneWeekMtgRatesDataTable75[[#This Row],[asOf]]))</f>
        <v>40351</v>
      </c>
      <c r="N1353" s="21">
        <v>4.6900000000000004</v>
      </c>
      <c r="O1353" s="21">
        <v>0.7</v>
      </c>
      <c r="P1353" s="21">
        <v>4.6150000000000002</v>
      </c>
    </row>
    <row r="1354" spans="8:16">
      <c r="H1354" s="21"/>
      <c r="I1354" s="21"/>
      <c r="J1354" s="52"/>
      <c r="K1354" s="21"/>
      <c r="L1354" s="21" t="s">
        <v>305</v>
      </c>
      <c r="M1354" s="25">
        <f>DATE(YEAR(OneWeekMtgRatesDataTable75[[#This Row],[asOf]]),MONTH(OneWeekMtgRatesDataTable75[[#This Row],[asOf]]),DAY(OneWeekMtgRatesDataTable75[[#This Row],[asOf]]))</f>
        <v>40350</v>
      </c>
      <c r="N1354" s="21">
        <v>4.6900000000000004</v>
      </c>
      <c r="O1354" s="21">
        <v>0.7</v>
      </c>
      <c r="P1354" s="21">
        <v>4.6150000000000002</v>
      </c>
    </row>
    <row r="1355" spans="8:16">
      <c r="H1355" s="21"/>
      <c r="I1355" s="21"/>
      <c r="J1355" s="52"/>
      <c r="K1355" s="21"/>
      <c r="L1355" s="21" t="s">
        <v>304</v>
      </c>
      <c r="M1355" s="25">
        <f>DATE(YEAR(OneWeekMtgRatesDataTable75[[#This Row],[asOf]]),MONTH(OneWeekMtgRatesDataTable75[[#This Row],[asOf]]),DAY(OneWeekMtgRatesDataTable75[[#This Row],[asOf]]))</f>
        <v>40347</v>
      </c>
      <c r="N1355" s="21">
        <v>4.6900000000000004</v>
      </c>
      <c r="O1355" s="21">
        <v>0.7</v>
      </c>
      <c r="P1355" s="21">
        <v>4.6150000000000002</v>
      </c>
    </row>
    <row r="1356" spans="8:16">
      <c r="H1356" s="21"/>
      <c r="I1356" s="21"/>
      <c r="J1356" s="52"/>
      <c r="K1356" s="21"/>
      <c r="L1356" s="21" t="s">
        <v>303</v>
      </c>
      <c r="M1356" s="25">
        <f>DATE(YEAR(OneWeekMtgRatesDataTable75[[#This Row],[asOf]]),MONTH(OneWeekMtgRatesDataTable75[[#This Row],[asOf]]),DAY(OneWeekMtgRatesDataTable75[[#This Row],[asOf]]))</f>
        <v>40346</v>
      </c>
      <c r="N1356" s="21">
        <v>4.6900000000000004</v>
      </c>
      <c r="O1356" s="21">
        <v>0.7</v>
      </c>
      <c r="P1356" s="21">
        <v>4.6150000000000002</v>
      </c>
    </row>
    <row r="1357" spans="8:16">
      <c r="H1357" s="21"/>
      <c r="I1357" s="21"/>
      <c r="J1357" s="52"/>
      <c r="K1357" s="21"/>
      <c r="L1357" s="21" t="s">
        <v>302</v>
      </c>
      <c r="M1357" s="25">
        <f>DATE(YEAR(OneWeekMtgRatesDataTable75[[#This Row],[asOf]]),MONTH(OneWeekMtgRatesDataTable75[[#This Row],[asOf]]),DAY(OneWeekMtgRatesDataTable75[[#This Row],[asOf]]))</f>
        <v>40345</v>
      </c>
      <c r="N1357" s="21">
        <v>4.75</v>
      </c>
      <c r="O1357" s="21">
        <v>0.7</v>
      </c>
      <c r="P1357" s="21">
        <v>4.6749999999999998</v>
      </c>
    </row>
    <row r="1358" spans="8:16">
      <c r="H1358" s="21"/>
      <c r="I1358" s="21"/>
      <c r="J1358" s="52"/>
      <c r="K1358" s="21"/>
      <c r="L1358" s="21" t="s">
        <v>301</v>
      </c>
      <c r="M1358" s="25">
        <f>DATE(YEAR(OneWeekMtgRatesDataTable75[[#This Row],[asOf]]),MONTH(OneWeekMtgRatesDataTable75[[#This Row],[asOf]]),DAY(OneWeekMtgRatesDataTable75[[#This Row],[asOf]]))</f>
        <v>40344</v>
      </c>
      <c r="N1358" s="21">
        <v>4.75</v>
      </c>
      <c r="O1358" s="21">
        <v>0.7</v>
      </c>
      <c r="P1358" s="21">
        <v>4.6749999999999998</v>
      </c>
    </row>
    <row r="1359" spans="8:16">
      <c r="H1359" s="21"/>
      <c r="I1359" s="21"/>
      <c r="J1359" s="52"/>
      <c r="K1359" s="21"/>
      <c r="L1359" s="21" t="s">
        <v>300</v>
      </c>
      <c r="M1359" s="25">
        <f>DATE(YEAR(OneWeekMtgRatesDataTable75[[#This Row],[asOf]]),MONTH(OneWeekMtgRatesDataTable75[[#This Row],[asOf]]),DAY(OneWeekMtgRatesDataTable75[[#This Row],[asOf]]))</f>
        <v>40343</v>
      </c>
      <c r="N1359" s="21">
        <v>4.75</v>
      </c>
      <c r="O1359" s="21">
        <v>0.7</v>
      </c>
      <c r="P1359" s="21">
        <v>4.6749999999999998</v>
      </c>
    </row>
    <row r="1360" spans="8:16">
      <c r="H1360" s="21"/>
      <c r="I1360" s="21"/>
      <c r="J1360" s="52"/>
      <c r="K1360" s="21"/>
      <c r="L1360" s="21" t="s">
        <v>299</v>
      </c>
      <c r="M1360" s="25">
        <f>DATE(YEAR(OneWeekMtgRatesDataTable75[[#This Row],[asOf]]),MONTH(OneWeekMtgRatesDataTable75[[#This Row],[asOf]]),DAY(OneWeekMtgRatesDataTable75[[#This Row],[asOf]]))</f>
        <v>40340</v>
      </c>
      <c r="N1360" s="21">
        <v>4.75</v>
      </c>
      <c r="O1360" s="21">
        <v>0.7</v>
      </c>
      <c r="P1360" s="21">
        <v>4.6749999999999998</v>
      </c>
    </row>
    <row r="1361" spans="8:16">
      <c r="H1361" s="21"/>
      <c r="I1361" s="21"/>
      <c r="J1361" s="52"/>
      <c r="K1361" s="21"/>
      <c r="L1361" s="21" t="s">
        <v>298</v>
      </c>
      <c r="M1361" s="25">
        <f>DATE(YEAR(OneWeekMtgRatesDataTable75[[#This Row],[asOf]]),MONTH(OneWeekMtgRatesDataTable75[[#This Row],[asOf]]),DAY(OneWeekMtgRatesDataTable75[[#This Row],[asOf]]))</f>
        <v>40339</v>
      </c>
      <c r="N1361" s="21">
        <v>4.75</v>
      </c>
      <c r="O1361" s="21">
        <v>0.7</v>
      </c>
      <c r="P1361" s="21">
        <v>4.6749999999999998</v>
      </c>
    </row>
    <row r="1362" spans="8:16">
      <c r="H1362" s="21"/>
      <c r="I1362" s="21"/>
      <c r="J1362" s="52"/>
      <c r="K1362" s="21"/>
      <c r="L1362" s="21" t="s">
        <v>297</v>
      </c>
      <c r="M1362" s="25">
        <f>DATE(YEAR(OneWeekMtgRatesDataTable75[[#This Row],[asOf]]),MONTH(OneWeekMtgRatesDataTable75[[#This Row],[asOf]]),DAY(OneWeekMtgRatesDataTable75[[#This Row],[asOf]]))</f>
        <v>40338</v>
      </c>
      <c r="N1362" s="21">
        <v>4.72</v>
      </c>
      <c r="O1362" s="21">
        <v>0.7</v>
      </c>
      <c r="P1362" s="21">
        <v>4.6449999999999996</v>
      </c>
    </row>
    <row r="1363" spans="8:16">
      <c r="H1363" s="21"/>
      <c r="I1363" s="21"/>
      <c r="J1363" s="52"/>
      <c r="K1363" s="21"/>
      <c r="L1363" s="21" t="s">
        <v>296</v>
      </c>
      <c r="M1363" s="25">
        <f>DATE(YEAR(OneWeekMtgRatesDataTable75[[#This Row],[asOf]]),MONTH(OneWeekMtgRatesDataTable75[[#This Row],[asOf]]),DAY(OneWeekMtgRatesDataTable75[[#This Row],[asOf]]))</f>
        <v>40337</v>
      </c>
      <c r="N1363" s="21">
        <v>4.72</v>
      </c>
      <c r="O1363" s="21">
        <v>0.7</v>
      </c>
      <c r="P1363" s="21">
        <v>4.6449999999999996</v>
      </c>
    </row>
    <row r="1364" spans="8:16">
      <c r="H1364" s="21"/>
      <c r="I1364" s="21"/>
      <c r="J1364" s="52"/>
      <c r="K1364" s="21"/>
      <c r="L1364" s="21" t="s">
        <v>295</v>
      </c>
      <c r="M1364" s="25">
        <f>DATE(YEAR(OneWeekMtgRatesDataTable75[[#This Row],[asOf]]),MONTH(OneWeekMtgRatesDataTable75[[#This Row],[asOf]]),DAY(OneWeekMtgRatesDataTable75[[#This Row],[asOf]]))</f>
        <v>40336</v>
      </c>
      <c r="N1364" s="21">
        <v>4.72</v>
      </c>
      <c r="O1364" s="21">
        <v>0.7</v>
      </c>
      <c r="P1364" s="21">
        <v>4.6449999999999996</v>
      </c>
    </row>
    <row r="1365" spans="8:16">
      <c r="H1365" s="21"/>
      <c r="I1365" s="21"/>
      <c r="J1365" s="52"/>
      <c r="K1365" s="21"/>
      <c r="L1365" s="21" t="s">
        <v>294</v>
      </c>
      <c r="M1365" s="25">
        <f>DATE(YEAR(OneWeekMtgRatesDataTable75[[#This Row],[asOf]]),MONTH(OneWeekMtgRatesDataTable75[[#This Row],[asOf]]),DAY(OneWeekMtgRatesDataTable75[[#This Row],[asOf]]))</f>
        <v>40333</v>
      </c>
      <c r="N1365" s="21">
        <v>4.72</v>
      </c>
      <c r="O1365" s="21">
        <v>0.7</v>
      </c>
      <c r="P1365" s="21">
        <v>4.6449999999999996</v>
      </c>
    </row>
    <row r="1366" spans="8:16">
      <c r="H1366" s="21"/>
      <c r="I1366" s="21"/>
      <c r="J1366" s="52"/>
      <c r="K1366" s="21"/>
      <c r="L1366" s="21" t="s">
        <v>293</v>
      </c>
      <c r="M1366" s="25">
        <f>DATE(YEAR(OneWeekMtgRatesDataTable75[[#This Row],[asOf]]),MONTH(OneWeekMtgRatesDataTable75[[#This Row],[asOf]]),DAY(OneWeekMtgRatesDataTable75[[#This Row],[asOf]]))</f>
        <v>40332</v>
      </c>
      <c r="N1366" s="21">
        <v>4.72</v>
      </c>
      <c r="O1366" s="21">
        <v>0.7</v>
      </c>
      <c r="P1366" s="21">
        <v>4.6449999999999996</v>
      </c>
    </row>
    <row r="1367" spans="8:16">
      <c r="H1367" s="21"/>
      <c r="I1367" s="21"/>
      <c r="J1367" s="52"/>
      <c r="K1367" s="21"/>
      <c r="L1367" s="21" t="s">
        <v>292</v>
      </c>
      <c r="M1367" s="25">
        <f>DATE(YEAR(OneWeekMtgRatesDataTable75[[#This Row],[asOf]]),MONTH(OneWeekMtgRatesDataTable75[[#This Row],[asOf]]),DAY(OneWeekMtgRatesDataTable75[[#This Row],[asOf]]))</f>
        <v>40331</v>
      </c>
      <c r="N1367" s="21">
        <v>4.79</v>
      </c>
      <c r="O1367" s="21">
        <v>0.8</v>
      </c>
      <c r="P1367" s="21">
        <v>4.74</v>
      </c>
    </row>
    <row r="1368" spans="8:16">
      <c r="H1368" s="21"/>
      <c r="I1368" s="21"/>
      <c r="J1368" s="52"/>
      <c r="K1368" s="21"/>
      <c r="L1368" s="21" t="s">
        <v>291</v>
      </c>
      <c r="M1368" s="25">
        <f>DATE(YEAR(OneWeekMtgRatesDataTable75[[#This Row],[asOf]]),MONTH(OneWeekMtgRatesDataTable75[[#This Row],[asOf]]),DAY(OneWeekMtgRatesDataTable75[[#This Row],[asOf]]))</f>
        <v>40330</v>
      </c>
      <c r="N1368" s="21">
        <v>4.79</v>
      </c>
      <c r="O1368" s="21">
        <v>0.8</v>
      </c>
      <c r="P1368" s="21">
        <v>4.74</v>
      </c>
    </row>
    <row r="1369" spans="8:16">
      <c r="H1369" s="21"/>
      <c r="I1369" s="21"/>
      <c r="J1369" s="52"/>
      <c r="K1369" s="21"/>
      <c r="L1369" s="21" t="s">
        <v>290</v>
      </c>
      <c r="M1369" s="25">
        <f>DATE(YEAR(OneWeekMtgRatesDataTable75[[#This Row],[asOf]]),MONTH(OneWeekMtgRatesDataTable75[[#This Row],[asOf]]),DAY(OneWeekMtgRatesDataTable75[[#This Row],[asOf]]))</f>
        <v>40326</v>
      </c>
      <c r="N1369" s="21">
        <v>4.79</v>
      </c>
      <c r="O1369" s="21">
        <v>0.8</v>
      </c>
      <c r="P1369" s="21">
        <v>4.74</v>
      </c>
    </row>
    <row r="1370" spans="8:16">
      <c r="H1370" s="21"/>
      <c r="I1370" s="21"/>
      <c r="J1370" s="52"/>
      <c r="K1370" s="21"/>
      <c r="L1370" s="21" t="s">
        <v>289</v>
      </c>
      <c r="M1370" s="25">
        <f>DATE(YEAR(OneWeekMtgRatesDataTable75[[#This Row],[asOf]]),MONTH(OneWeekMtgRatesDataTable75[[#This Row],[asOf]]),DAY(OneWeekMtgRatesDataTable75[[#This Row],[asOf]]))</f>
        <v>40325</v>
      </c>
      <c r="N1370" s="21">
        <v>4.79</v>
      </c>
      <c r="O1370" s="21">
        <v>0.8</v>
      </c>
      <c r="P1370" s="21">
        <v>4.74</v>
      </c>
    </row>
    <row r="1371" spans="8:16">
      <c r="H1371" s="21"/>
      <c r="I1371" s="21"/>
      <c r="J1371" s="52"/>
      <c r="K1371" s="21"/>
      <c r="L1371" s="21" t="s">
        <v>288</v>
      </c>
      <c r="M1371" s="25">
        <f>DATE(YEAR(OneWeekMtgRatesDataTable75[[#This Row],[asOf]]),MONTH(OneWeekMtgRatesDataTable75[[#This Row],[asOf]]),DAY(OneWeekMtgRatesDataTable75[[#This Row],[asOf]]))</f>
        <v>40324</v>
      </c>
      <c r="N1371" s="21">
        <v>4.78</v>
      </c>
      <c r="O1371" s="21">
        <v>0.7</v>
      </c>
      <c r="P1371" s="21">
        <v>4.7050000000000001</v>
      </c>
    </row>
    <row r="1372" spans="8:16">
      <c r="H1372" s="21"/>
      <c r="I1372" s="21"/>
      <c r="J1372" s="52"/>
      <c r="K1372" s="21"/>
      <c r="L1372" s="21" t="s">
        <v>287</v>
      </c>
      <c r="M1372" s="25">
        <f>DATE(YEAR(OneWeekMtgRatesDataTable75[[#This Row],[asOf]]),MONTH(OneWeekMtgRatesDataTable75[[#This Row],[asOf]]),DAY(OneWeekMtgRatesDataTable75[[#This Row],[asOf]]))</f>
        <v>40323</v>
      </c>
      <c r="N1372" s="21">
        <v>4.78</v>
      </c>
      <c r="O1372" s="21">
        <v>0.7</v>
      </c>
      <c r="P1372" s="21">
        <v>4.7050000000000001</v>
      </c>
    </row>
    <row r="1373" spans="8:16">
      <c r="H1373" s="21"/>
      <c r="I1373" s="21"/>
      <c r="J1373" s="52"/>
      <c r="K1373" s="21"/>
      <c r="L1373" s="21" t="s">
        <v>286</v>
      </c>
      <c r="M1373" s="25">
        <f>DATE(YEAR(OneWeekMtgRatesDataTable75[[#This Row],[asOf]]),MONTH(OneWeekMtgRatesDataTable75[[#This Row],[asOf]]),DAY(OneWeekMtgRatesDataTable75[[#This Row],[asOf]]))</f>
        <v>40322</v>
      </c>
      <c r="N1373" s="21">
        <v>4.78</v>
      </c>
      <c r="O1373" s="21">
        <v>0.7</v>
      </c>
      <c r="P1373" s="21">
        <v>4.7050000000000001</v>
      </c>
    </row>
    <row r="1374" spans="8:16">
      <c r="H1374" s="21"/>
      <c r="I1374" s="21"/>
      <c r="J1374" s="52"/>
      <c r="K1374" s="21"/>
      <c r="L1374" s="21" t="s">
        <v>285</v>
      </c>
      <c r="M1374" s="25">
        <f>DATE(YEAR(OneWeekMtgRatesDataTable75[[#This Row],[asOf]]),MONTH(OneWeekMtgRatesDataTable75[[#This Row],[asOf]]),DAY(OneWeekMtgRatesDataTable75[[#This Row],[asOf]]))</f>
        <v>40319</v>
      </c>
      <c r="N1374" s="21">
        <v>4.78</v>
      </c>
      <c r="O1374" s="21">
        <v>0.7</v>
      </c>
      <c r="P1374" s="21">
        <v>4.7050000000000001</v>
      </c>
    </row>
    <row r="1375" spans="8:16">
      <c r="H1375" s="21"/>
      <c r="I1375" s="21"/>
      <c r="J1375" s="52"/>
      <c r="K1375" s="21"/>
      <c r="L1375" s="21" t="s">
        <v>284</v>
      </c>
      <c r="M1375" s="25">
        <f>DATE(YEAR(OneWeekMtgRatesDataTable75[[#This Row],[asOf]]),MONTH(OneWeekMtgRatesDataTable75[[#This Row],[asOf]]),DAY(OneWeekMtgRatesDataTable75[[#This Row],[asOf]]))</f>
        <v>40318</v>
      </c>
      <c r="N1375" s="21">
        <v>4.78</v>
      </c>
      <c r="O1375" s="21">
        <v>0.7</v>
      </c>
      <c r="P1375" s="21">
        <v>4.7050000000000001</v>
      </c>
    </row>
    <row r="1376" spans="8:16">
      <c r="H1376" s="21"/>
      <c r="I1376" s="21"/>
      <c r="J1376" s="52"/>
      <c r="K1376" s="21"/>
      <c r="L1376" s="21" t="s">
        <v>283</v>
      </c>
      <c r="M1376" s="25">
        <f>DATE(YEAR(OneWeekMtgRatesDataTable75[[#This Row],[asOf]]),MONTH(OneWeekMtgRatesDataTable75[[#This Row],[asOf]]),DAY(OneWeekMtgRatesDataTable75[[#This Row],[asOf]]))</f>
        <v>40317</v>
      </c>
      <c r="N1376" s="21">
        <v>4.84</v>
      </c>
      <c r="O1376" s="21">
        <v>0.7</v>
      </c>
      <c r="P1376" s="21">
        <v>4.7649999999999997</v>
      </c>
    </row>
    <row r="1377" spans="8:16">
      <c r="H1377" s="21"/>
      <c r="I1377" s="21"/>
      <c r="J1377" s="52"/>
      <c r="K1377" s="21"/>
      <c r="L1377" s="21" t="s">
        <v>282</v>
      </c>
      <c r="M1377" s="25">
        <f>DATE(YEAR(OneWeekMtgRatesDataTable75[[#This Row],[asOf]]),MONTH(OneWeekMtgRatesDataTable75[[#This Row],[asOf]]),DAY(OneWeekMtgRatesDataTable75[[#This Row],[asOf]]))</f>
        <v>40316</v>
      </c>
      <c r="N1377" s="21">
        <v>4.84</v>
      </c>
      <c r="O1377" s="21">
        <v>0.7</v>
      </c>
      <c r="P1377" s="21">
        <v>4.7649999999999997</v>
      </c>
    </row>
    <row r="1378" spans="8:16">
      <c r="H1378" s="21"/>
      <c r="I1378" s="21"/>
      <c r="J1378" s="52"/>
      <c r="K1378" s="21"/>
      <c r="L1378" s="21" t="s">
        <v>281</v>
      </c>
      <c r="M1378" s="25">
        <f>DATE(YEAR(OneWeekMtgRatesDataTable75[[#This Row],[asOf]]),MONTH(OneWeekMtgRatesDataTable75[[#This Row],[asOf]]),DAY(OneWeekMtgRatesDataTable75[[#This Row],[asOf]]))</f>
        <v>40315</v>
      </c>
      <c r="N1378" s="21">
        <v>4.84</v>
      </c>
      <c r="O1378" s="21">
        <v>0.7</v>
      </c>
      <c r="P1378" s="21">
        <v>4.7649999999999997</v>
      </c>
    </row>
    <row r="1379" spans="8:16">
      <c r="H1379" s="21"/>
      <c r="I1379" s="21"/>
      <c r="J1379" s="52"/>
      <c r="K1379" s="21"/>
      <c r="L1379" s="21" t="s">
        <v>280</v>
      </c>
      <c r="M1379" s="25">
        <f>DATE(YEAR(OneWeekMtgRatesDataTable75[[#This Row],[asOf]]),MONTH(OneWeekMtgRatesDataTable75[[#This Row],[asOf]]),DAY(OneWeekMtgRatesDataTable75[[#This Row],[asOf]]))</f>
        <v>40312</v>
      </c>
      <c r="N1379" s="21">
        <v>4.84</v>
      </c>
      <c r="O1379" s="21">
        <v>0.7</v>
      </c>
      <c r="P1379" s="21">
        <v>4.7649999999999997</v>
      </c>
    </row>
    <row r="1380" spans="8:16">
      <c r="H1380" s="21"/>
      <c r="I1380" s="21"/>
      <c r="J1380" s="52"/>
      <c r="K1380" s="21"/>
      <c r="L1380" s="21" t="s">
        <v>279</v>
      </c>
      <c r="M1380" s="25">
        <f>DATE(YEAR(OneWeekMtgRatesDataTable75[[#This Row],[asOf]]),MONTH(OneWeekMtgRatesDataTable75[[#This Row],[asOf]]),DAY(OneWeekMtgRatesDataTable75[[#This Row],[asOf]]))</f>
        <v>40311</v>
      </c>
      <c r="N1380" s="21">
        <v>4.84</v>
      </c>
      <c r="O1380" s="21">
        <v>0.7</v>
      </c>
      <c r="P1380" s="21">
        <v>4.7649999999999997</v>
      </c>
    </row>
    <row r="1381" spans="8:16">
      <c r="H1381" s="21"/>
      <c r="I1381" s="21"/>
      <c r="J1381" s="52"/>
      <c r="K1381" s="21"/>
      <c r="L1381" s="21" t="s">
        <v>278</v>
      </c>
      <c r="M1381" s="25">
        <f>DATE(YEAR(OneWeekMtgRatesDataTable75[[#This Row],[asOf]]),MONTH(OneWeekMtgRatesDataTable75[[#This Row],[asOf]]),DAY(OneWeekMtgRatesDataTable75[[#This Row],[asOf]]))</f>
        <v>40310</v>
      </c>
      <c r="N1381" s="21">
        <v>4.93</v>
      </c>
      <c r="O1381" s="21">
        <v>0.7</v>
      </c>
      <c r="P1381" s="21">
        <v>4.8549999999999995</v>
      </c>
    </row>
    <row r="1382" spans="8:16">
      <c r="H1382" s="21"/>
      <c r="I1382" s="21"/>
      <c r="J1382" s="52"/>
      <c r="K1382" s="21"/>
      <c r="L1382" s="21" t="s">
        <v>277</v>
      </c>
      <c r="M1382" s="25">
        <f>DATE(YEAR(OneWeekMtgRatesDataTable75[[#This Row],[asOf]]),MONTH(OneWeekMtgRatesDataTable75[[#This Row],[asOf]]),DAY(OneWeekMtgRatesDataTable75[[#This Row],[asOf]]))</f>
        <v>40309</v>
      </c>
      <c r="N1382" s="21">
        <v>4.93</v>
      </c>
      <c r="O1382" s="21">
        <v>0.7</v>
      </c>
      <c r="P1382" s="21">
        <v>4.8549999999999995</v>
      </c>
    </row>
    <row r="1383" spans="8:16">
      <c r="H1383" s="21"/>
      <c r="I1383" s="21"/>
      <c r="J1383" s="52"/>
      <c r="K1383" s="21"/>
      <c r="L1383" s="21" t="s">
        <v>276</v>
      </c>
      <c r="M1383" s="25">
        <f>DATE(YEAR(OneWeekMtgRatesDataTable75[[#This Row],[asOf]]),MONTH(OneWeekMtgRatesDataTable75[[#This Row],[asOf]]),DAY(OneWeekMtgRatesDataTable75[[#This Row],[asOf]]))</f>
        <v>40308</v>
      </c>
      <c r="N1383" s="21">
        <v>4.93</v>
      </c>
      <c r="O1383" s="21">
        <v>0.7</v>
      </c>
      <c r="P1383" s="21">
        <v>4.8549999999999995</v>
      </c>
    </row>
    <row r="1384" spans="8:16">
      <c r="H1384" s="21"/>
      <c r="I1384" s="21"/>
      <c r="J1384" s="52"/>
      <c r="K1384" s="21"/>
      <c r="L1384" s="21" t="s">
        <v>275</v>
      </c>
      <c r="M1384" s="25">
        <f>DATE(YEAR(OneWeekMtgRatesDataTable75[[#This Row],[asOf]]),MONTH(OneWeekMtgRatesDataTable75[[#This Row],[asOf]]),DAY(OneWeekMtgRatesDataTable75[[#This Row],[asOf]]))</f>
        <v>40305</v>
      </c>
      <c r="N1384" s="21">
        <v>4.93</v>
      </c>
      <c r="O1384" s="21">
        <v>0.7</v>
      </c>
      <c r="P1384" s="21">
        <v>4.8549999999999995</v>
      </c>
    </row>
    <row r="1385" spans="8:16">
      <c r="H1385" s="21"/>
      <c r="I1385" s="21"/>
      <c r="J1385" s="52"/>
      <c r="K1385" s="21"/>
      <c r="L1385" s="21" t="s">
        <v>274</v>
      </c>
      <c r="M1385" s="25">
        <f>DATE(YEAR(OneWeekMtgRatesDataTable75[[#This Row],[asOf]]),MONTH(OneWeekMtgRatesDataTable75[[#This Row],[asOf]]),DAY(OneWeekMtgRatesDataTable75[[#This Row],[asOf]]))</f>
        <v>40304</v>
      </c>
      <c r="N1385" s="21">
        <v>4.93</v>
      </c>
      <c r="O1385" s="21">
        <v>0.7</v>
      </c>
      <c r="P1385" s="21">
        <v>4.8549999999999995</v>
      </c>
    </row>
    <row r="1386" spans="8:16">
      <c r="H1386" s="21"/>
      <c r="I1386" s="21"/>
      <c r="J1386" s="52"/>
      <c r="K1386" s="21"/>
      <c r="L1386" s="21" t="s">
        <v>273</v>
      </c>
      <c r="M1386" s="25">
        <f>DATE(YEAR(OneWeekMtgRatesDataTable75[[#This Row],[asOf]]),MONTH(OneWeekMtgRatesDataTable75[[#This Row],[asOf]]),DAY(OneWeekMtgRatesDataTable75[[#This Row],[asOf]]))</f>
        <v>40303</v>
      </c>
      <c r="N1386" s="21">
        <v>5</v>
      </c>
      <c r="O1386" s="21">
        <v>0.7</v>
      </c>
      <c r="P1386" s="21">
        <v>4.9249999999999998</v>
      </c>
    </row>
    <row r="1387" spans="8:16">
      <c r="H1387" s="21"/>
      <c r="I1387" s="21"/>
      <c r="J1387" s="52"/>
      <c r="K1387" s="21"/>
      <c r="L1387" s="21" t="s">
        <v>272</v>
      </c>
      <c r="M1387" s="25">
        <f>DATE(YEAR(OneWeekMtgRatesDataTable75[[#This Row],[asOf]]),MONTH(OneWeekMtgRatesDataTable75[[#This Row],[asOf]]),DAY(OneWeekMtgRatesDataTable75[[#This Row],[asOf]]))</f>
        <v>40302</v>
      </c>
      <c r="N1387" s="21">
        <v>5</v>
      </c>
      <c r="O1387" s="21">
        <v>0.7</v>
      </c>
      <c r="P1387" s="21">
        <v>4.9249999999999998</v>
      </c>
    </row>
    <row r="1388" spans="8:16">
      <c r="H1388" s="21"/>
      <c r="I1388" s="21"/>
      <c r="J1388" s="52"/>
      <c r="K1388" s="21"/>
      <c r="L1388" s="21" t="s">
        <v>271</v>
      </c>
      <c r="M1388" s="25">
        <f>DATE(YEAR(OneWeekMtgRatesDataTable75[[#This Row],[asOf]]),MONTH(OneWeekMtgRatesDataTable75[[#This Row],[asOf]]),DAY(OneWeekMtgRatesDataTable75[[#This Row],[asOf]]))</f>
        <v>40301</v>
      </c>
      <c r="N1388" s="21">
        <v>5</v>
      </c>
      <c r="O1388" s="21">
        <v>0.7</v>
      </c>
      <c r="P1388" s="21">
        <v>4.9249999999999998</v>
      </c>
    </row>
    <row r="1389" spans="8:16">
      <c r="H1389" s="21"/>
      <c r="I1389" s="21"/>
      <c r="J1389" s="52"/>
      <c r="K1389" s="21"/>
      <c r="L1389" s="21" t="s">
        <v>270</v>
      </c>
      <c r="M1389" s="25">
        <f>DATE(YEAR(OneWeekMtgRatesDataTable75[[#This Row],[asOf]]),MONTH(OneWeekMtgRatesDataTable75[[#This Row],[asOf]]),DAY(OneWeekMtgRatesDataTable75[[#This Row],[asOf]]))</f>
        <v>40298</v>
      </c>
      <c r="N1389" s="21">
        <v>5</v>
      </c>
      <c r="O1389" s="21">
        <v>0.7</v>
      </c>
      <c r="P1389" s="21">
        <v>4.9249999999999998</v>
      </c>
    </row>
    <row r="1390" spans="8:16">
      <c r="H1390" s="21"/>
      <c r="I1390" s="21"/>
      <c r="J1390" s="52"/>
      <c r="K1390" s="21"/>
      <c r="L1390" s="21" t="s">
        <v>269</v>
      </c>
      <c r="M1390" s="25">
        <f>DATE(YEAR(OneWeekMtgRatesDataTable75[[#This Row],[asOf]]),MONTH(OneWeekMtgRatesDataTable75[[#This Row],[asOf]]),DAY(OneWeekMtgRatesDataTable75[[#This Row],[asOf]]))</f>
        <v>40297</v>
      </c>
      <c r="N1390" s="21">
        <v>5</v>
      </c>
      <c r="O1390" s="21">
        <v>0.7</v>
      </c>
      <c r="P1390" s="21">
        <v>4.9249999999999998</v>
      </c>
    </row>
    <row r="1391" spans="8:16">
      <c r="H1391" s="21"/>
      <c r="I1391" s="21"/>
      <c r="J1391" s="52"/>
      <c r="K1391" s="21"/>
      <c r="L1391" s="21" t="s">
        <v>268</v>
      </c>
      <c r="M1391" s="25">
        <f>DATE(YEAR(OneWeekMtgRatesDataTable75[[#This Row],[asOf]]),MONTH(OneWeekMtgRatesDataTable75[[#This Row],[asOf]]),DAY(OneWeekMtgRatesDataTable75[[#This Row],[asOf]]))</f>
        <v>40296</v>
      </c>
      <c r="N1391" s="21">
        <v>5.0599999999999996</v>
      </c>
      <c r="O1391" s="21">
        <v>0.7</v>
      </c>
      <c r="P1391" s="21">
        <v>4.9849999999999994</v>
      </c>
    </row>
    <row r="1392" spans="8:16">
      <c r="H1392" s="21"/>
      <c r="I1392" s="21"/>
      <c r="J1392" s="52"/>
      <c r="K1392" s="21"/>
      <c r="L1392" s="21" t="s">
        <v>267</v>
      </c>
      <c r="M1392" s="25">
        <f>DATE(YEAR(OneWeekMtgRatesDataTable75[[#This Row],[asOf]]),MONTH(OneWeekMtgRatesDataTable75[[#This Row],[asOf]]),DAY(OneWeekMtgRatesDataTable75[[#This Row],[asOf]]))</f>
        <v>40295</v>
      </c>
      <c r="N1392" s="21">
        <v>5.0599999999999996</v>
      </c>
      <c r="O1392" s="21">
        <v>0.7</v>
      </c>
      <c r="P1392" s="21">
        <v>4.9849999999999994</v>
      </c>
    </row>
    <row r="1393" spans="8:16">
      <c r="H1393" s="21"/>
      <c r="I1393" s="21"/>
      <c r="J1393" s="52"/>
      <c r="K1393" s="21"/>
      <c r="L1393" s="21" t="s">
        <v>266</v>
      </c>
      <c r="M1393" s="25">
        <f>DATE(YEAR(OneWeekMtgRatesDataTable75[[#This Row],[asOf]]),MONTH(OneWeekMtgRatesDataTable75[[#This Row],[asOf]]),DAY(OneWeekMtgRatesDataTable75[[#This Row],[asOf]]))</f>
        <v>40294</v>
      </c>
      <c r="N1393" s="21">
        <v>5.0599999999999996</v>
      </c>
      <c r="O1393" s="21">
        <v>0.7</v>
      </c>
      <c r="P1393" s="21">
        <v>4.9849999999999994</v>
      </c>
    </row>
    <row r="1394" spans="8:16">
      <c r="H1394" s="21"/>
      <c r="I1394" s="21"/>
      <c r="J1394" s="52"/>
      <c r="K1394" s="21"/>
      <c r="L1394" s="21" t="s">
        <v>265</v>
      </c>
      <c r="M1394" s="25">
        <f>DATE(YEAR(OneWeekMtgRatesDataTable75[[#This Row],[asOf]]),MONTH(OneWeekMtgRatesDataTable75[[#This Row],[asOf]]),DAY(OneWeekMtgRatesDataTable75[[#This Row],[asOf]]))</f>
        <v>40291</v>
      </c>
      <c r="N1394" s="21">
        <v>5.0599999999999996</v>
      </c>
      <c r="O1394" s="21">
        <v>0.7</v>
      </c>
      <c r="P1394" s="21">
        <v>4.9849999999999994</v>
      </c>
    </row>
    <row r="1395" spans="8:16">
      <c r="H1395" s="21"/>
      <c r="I1395" s="21"/>
      <c r="J1395" s="52"/>
      <c r="K1395" s="21"/>
      <c r="L1395" s="21" t="s">
        <v>264</v>
      </c>
      <c r="M1395" s="25">
        <f>DATE(YEAR(OneWeekMtgRatesDataTable75[[#This Row],[asOf]]),MONTH(OneWeekMtgRatesDataTable75[[#This Row],[asOf]]),DAY(OneWeekMtgRatesDataTable75[[#This Row],[asOf]]))</f>
        <v>40290</v>
      </c>
      <c r="N1395" s="21">
        <v>5.0599999999999996</v>
      </c>
      <c r="O1395" s="21">
        <v>0.7</v>
      </c>
      <c r="P1395" s="21">
        <v>4.9849999999999994</v>
      </c>
    </row>
    <row r="1396" spans="8:16">
      <c r="H1396" s="21"/>
      <c r="I1396" s="21"/>
      <c r="J1396" s="52"/>
      <c r="K1396" s="21"/>
      <c r="L1396" s="21" t="s">
        <v>263</v>
      </c>
      <c r="M1396" s="25">
        <f>DATE(YEAR(OneWeekMtgRatesDataTable75[[#This Row],[asOf]]),MONTH(OneWeekMtgRatesDataTable75[[#This Row],[asOf]]),DAY(OneWeekMtgRatesDataTable75[[#This Row],[asOf]]))</f>
        <v>40289</v>
      </c>
      <c r="N1396" s="21">
        <v>5.07</v>
      </c>
      <c r="O1396" s="21">
        <v>0.7</v>
      </c>
      <c r="P1396" s="21">
        <v>4.9950000000000001</v>
      </c>
    </row>
    <row r="1397" spans="8:16">
      <c r="H1397" s="21"/>
      <c r="I1397" s="21"/>
      <c r="J1397" s="52"/>
      <c r="K1397" s="21"/>
      <c r="L1397" s="21" t="s">
        <v>262</v>
      </c>
      <c r="M1397" s="25">
        <f>DATE(YEAR(OneWeekMtgRatesDataTable75[[#This Row],[asOf]]),MONTH(OneWeekMtgRatesDataTable75[[#This Row],[asOf]]),DAY(OneWeekMtgRatesDataTable75[[#This Row],[asOf]]))</f>
        <v>40288</v>
      </c>
      <c r="N1397" s="21">
        <v>5.07</v>
      </c>
      <c r="O1397" s="21">
        <v>0.7</v>
      </c>
      <c r="P1397" s="21">
        <v>4.9950000000000001</v>
      </c>
    </row>
    <row r="1398" spans="8:16">
      <c r="H1398" s="21"/>
      <c r="I1398" s="21"/>
      <c r="J1398" s="52"/>
      <c r="K1398" s="21"/>
      <c r="L1398" s="21" t="s">
        <v>261</v>
      </c>
      <c r="M1398" s="25">
        <f>DATE(YEAR(OneWeekMtgRatesDataTable75[[#This Row],[asOf]]),MONTH(OneWeekMtgRatesDataTable75[[#This Row],[asOf]]),DAY(OneWeekMtgRatesDataTable75[[#This Row],[asOf]]))</f>
        <v>40287</v>
      </c>
      <c r="N1398" s="21">
        <v>5.07</v>
      </c>
      <c r="O1398" s="21">
        <v>0.7</v>
      </c>
      <c r="P1398" s="21">
        <v>4.9950000000000001</v>
      </c>
    </row>
    <row r="1399" spans="8:16">
      <c r="H1399" s="21"/>
      <c r="I1399" s="21"/>
      <c r="J1399" s="52"/>
      <c r="K1399" s="21"/>
      <c r="L1399" s="21" t="s">
        <v>260</v>
      </c>
      <c r="M1399" s="25">
        <f>DATE(YEAR(OneWeekMtgRatesDataTable75[[#This Row],[asOf]]),MONTH(OneWeekMtgRatesDataTable75[[#This Row],[asOf]]),DAY(OneWeekMtgRatesDataTable75[[#This Row],[asOf]]))</f>
        <v>40284</v>
      </c>
      <c r="N1399" s="21">
        <v>5.07</v>
      </c>
      <c r="O1399" s="21">
        <v>0.7</v>
      </c>
      <c r="P1399" s="21">
        <v>4.9950000000000001</v>
      </c>
    </row>
    <row r="1400" spans="8:16">
      <c r="H1400" s="21"/>
      <c r="I1400" s="21"/>
      <c r="J1400" s="52"/>
      <c r="K1400" s="21"/>
      <c r="L1400" s="21" t="s">
        <v>259</v>
      </c>
      <c r="M1400" s="25">
        <f>DATE(YEAR(OneWeekMtgRatesDataTable75[[#This Row],[asOf]]),MONTH(OneWeekMtgRatesDataTable75[[#This Row],[asOf]]),DAY(OneWeekMtgRatesDataTable75[[#This Row],[asOf]]))</f>
        <v>40283</v>
      </c>
      <c r="N1400" s="21">
        <v>5.07</v>
      </c>
      <c r="O1400" s="21">
        <v>0.7</v>
      </c>
      <c r="P1400" s="21">
        <v>4.9950000000000001</v>
      </c>
    </row>
    <row r="1401" spans="8:16">
      <c r="H1401" s="21"/>
      <c r="I1401" s="21"/>
      <c r="J1401" s="52"/>
      <c r="K1401" s="21"/>
      <c r="L1401" s="21" t="s">
        <v>258</v>
      </c>
      <c r="M1401" s="25">
        <f>DATE(YEAR(OneWeekMtgRatesDataTable75[[#This Row],[asOf]]),MONTH(OneWeekMtgRatesDataTable75[[#This Row],[asOf]]),DAY(OneWeekMtgRatesDataTable75[[#This Row],[asOf]]))</f>
        <v>40282</v>
      </c>
      <c r="N1401" s="21">
        <v>5.07</v>
      </c>
      <c r="O1401" s="21">
        <v>0.6</v>
      </c>
      <c r="P1401" s="21">
        <v>4.9700000000000006</v>
      </c>
    </row>
    <row r="1402" spans="8:16">
      <c r="H1402" s="21"/>
      <c r="I1402" s="21"/>
      <c r="J1402" s="52"/>
      <c r="K1402" s="21"/>
      <c r="L1402" s="21" t="s">
        <v>257</v>
      </c>
      <c r="M1402" s="25">
        <f>DATE(YEAR(OneWeekMtgRatesDataTable75[[#This Row],[asOf]]),MONTH(OneWeekMtgRatesDataTable75[[#This Row],[asOf]]),DAY(OneWeekMtgRatesDataTable75[[#This Row],[asOf]]))</f>
        <v>40281</v>
      </c>
      <c r="N1402" s="21">
        <v>5.07</v>
      </c>
      <c r="O1402" s="21">
        <v>0.6</v>
      </c>
      <c r="P1402" s="21">
        <v>4.9700000000000006</v>
      </c>
    </row>
    <row r="1403" spans="8:16">
      <c r="H1403" s="21"/>
      <c r="I1403" s="21"/>
      <c r="J1403" s="52"/>
      <c r="K1403" s="21"/>
      <c r="L1403" s="21" t="s">
        <v>256</v>
      </c>
      <c r="M1403" s="25">
        <f>DATE(YEAR(OneWeekMtgRatesDataTable75[[#This Row],[asOf]]),MONTH(OneWeekMtgRatesDataTable75[[#This Row],[asOf]]),DAY(OneWeekMtgRatesDataTable75[[#This Row],[asOf]]))</f>
        <v>40280</v>
      </c>
      <c r="N1403" s="21">
        <v>5.07</v>
      </c>
      <c r="O1403" s="21">
        <v>0.6</v>
      </c>
      <c r="P1403" s="21">
        <v>4.9700000000000006</v>
      </c>
    </row>
    <row r="1404" spans="8:16">
      <c r="H1404" s="21"/>
      <c r="I1404" s="21"/>
      <c r="J1404" s="52"/>
      <c r="K1404" s="21"/>
      <c r="L1404" s="21" t="s">
        <v>255</v>
      </c>
      <c r="M1404" s="25">
        <f>DATE(YEAR(OneWeekMtgRatesDataTable75[[#This Row],[asOf]]),MONTH(OneWeekMtgRatesDataTable75[[#This Row],[asOf]]),DAY(OneWeekMtgRatesDataTable75[[#This Row],[asOf]]))</f>
        <v>40277</v>
      </c>
      <c r="N1404" s="21">
        <v>5.07</v>
      </c>
      <c r="O1404" s="21">
        <v>0.6</v>
      </c>
      <c r="P1404" s="21">
        <v>4.9700000000000006</v>
      </c>
    </row>
    <row r="1405" spans="8:16">
      <c r="H1405" s="21"/>
      <c r="I1405" s="21"/>
      <c r="J1405" s="52"/>
      <c r="K1405" s="21"/>
      <c r="L1405" s="21" t="s">
        <v>254</v>
      </c>
      <c r="M1405" s="25">
        <f>DATE(YEAR(OneWeekMtgRatesDataTable75[[#This Row],[asOf]]),MONTH(OneWeekMtgRatesDataTable75[[#This Row],[asOf]]),DAY(OneWeekMtgRatesDataTable75[[#This Row],[asOf]]))</f>
        <v>40276</v>
      </c>
      <c r="N1405" s="21">
        <v>5.07</v>
      </c>
      <c r="O1405" s="21">
        <v>0.6</v>
      </c>
      <c r="P1405" s="21">
        <v>4.9700000000000006</v>
      </c>
    </row>
    <row r="1406" spans="8:16">
      <c r="H1406" s="21"/>
      <c r="I1406" s="21"/>
      <c r="J1406" s="52"/>
      <c r="K1406" s="21"/>
      <c r="L1406" s="21" t="s">
        <v>253</v>
      </c>
      <c r="M1406" s="25">
        <f>DATE(YEAR(OneWeekMtgRatesDataTable75[[#This Row],[asOf]]),MONTH(OneWeekMtgRatesDataTable75[[#This Row],[asOf]]),DAY(OneWeekMtgRatesDataTable75[[#This Row],[asOf]]))</f>
        <v>40275</v>
      </c>
      <c r="N1406" s="21">
        <v>5.21</v>
      </c>
      <c r="O1406" s="21">
        <v>0.6</v>
      </c>
      <c r="P1406" s="21">
        <v>5.1100000000000003</v>
      </c>
    </row>
    <row r="1407" spans="8:16">
      <c r="H1407" s="21"/>
      <c r="I1407" s="21"/>
      <c r="J1407" s="52"/>
      <c r="K1407" s="21"/>
      <c r="L1407" s="21" t="s">
        <v>252</v>
      </c>
      <c r="M1407" s="25">
        <f>DATE(YEAR(OneWeekMtgRatesDataTable75[[#This Row],[asOf]]),MONTH(OneWeekMtgRatesDataTable75[[#This Row],[asOf]]),DAY(OneWeekMtgRatesDataTable75[[#This Row],[asOf]]))</f>
        <v>40274</v>
      </c>
      <c r="N1407" s="21">
        <v>5.21</v>
      </c>
      <c r="O1407" s="21">
        <v>0.6</v>
      </c>
      <c r="P1407" s="21">
        <v>5.1100000000000003</v>
      </c>
    </row>
    <row r="1408" spans="8:16">
      <c r="H1408" s="21"/>
      <c r="I1408" s="21"/>
      <c r="J1408" s="52"/>
      <c r="K1408" s="21"/>
      <c r="L1408" s="21" t="s">
        <v>251</v>
      </c>
      <c r="M1408" s="25">
        <f>DATE(YEAR(OneWeekMtgRatesDataTable75[[#This Row],[asOf]]),MONTH(OneWeekMtgRatesDataTable75[[#This Row],[asOf]]),DAY(OneWeekMtgRatesDataTable75[[#This Row],[asOf]]))</f>
        <v>40273</v>
      </c>
      <c r="N1408" s="21">
        <v>5.21</v>
      </c>
      <c r="O1408" s="21">
        <v>0.6</v>
      </c>
      <c r="P1408" s="21">
        <v>5.1100000000000003</v>
      </c>
    </row>
    <row r="1409" spans="8:16">
      <c r="H1409" s="21"/>
      <c r="I1409" s="21"/>
      <c r="J1409" s="52"/>
      <c r="K1409" s="21"/>
      <c r="L1409" s="21" t="s">
        <v>1649</v>
      </c>
      <c r="M1409" s="25">
        <f>DATE(YEAR(OneWeekMtgRatesDataTable75[[#This Row],[asOf]]),MONTH(OneWeekMtgRatesDataTable75[[#This Row],[asOf]]),DAY(OneWeekMtgRatesDataTable75[[#This Row],[asOf]]))</f>
        <v>40270</v>
      </c>
      <c r="N1409" s="21">
        <v>5.21</v>
      </c>
      <c r="O1409" s="21">
        <v>0.6</v>
      </c>
      <c r="P1409" s="21">
        <v>5.1100000000000003</v>
      </c>
    </row>
    <row r="1410" spans="8:16">
      <c r="H1410" s="21"/>
      <c r="I1410" s="21"/>
      <c r="J1410" s="52"/>
      <c r="K1410" s="21"/>
      <c r="L1410" s="21" t="s">
        <v>250</v>
      </c>
      <c r="M1410" s="25">
        <f>DATE(YEAR(OneWeekMtgRatesDataTable75[[#This Row],[asOf]]),MONTH(OneWeekMtgRatesDataTable75[[#This Row],[asOf]]),DAY(OneWeekMtgRatesDataTable75[[#This Row],[asOf]]))</f>
        <v>40269</v>
      </c>
      <c r="N1410" s="21">
        <v>5.21</v>
      </c>
      <c r="O1410" s="21">
        <v>0.6</v>
      </c>
      <c r="P1410" s="21">
        <v>5.1100000000000003</v>
      </c>
    </row>
    <row r="1411" spans="8:16">
      <c r="H1411" s="21"/>
      <c r="I1411" s="21"/>
      <c r="J1411" s="52"/>
      <c r="K1411" s="21"/>
      <c r="L1411" s="21" t="s">
        <v>249</v>
      </c>
      <c r="M1411" s="25">
        <f>DATE(YEAR(OneWeekMtgRatesDataTable75[[#This Row],[asOf]]),MONTH(OneWeekMtgRatesDataTable75[[#This Row],[asOf]]),DAY(OneWeekMtgRatesDataTable75[[#This Row],[asOf]]))</f>
        <v>40268</v>
      </c>
      <c r="N1411" s="21">
        <v>5.08</v>
      </c>
      <c r="O1411" s="21">
        <v>0.7</v>
      </c>
      <c r="P1411" s="21">
        <v>5.0049999999999999</v>
      </c>
    </row>
    <row r="1412" spans="8:16">
      <c r="H1412" s="21"/>
      <c r="I1412" s="21"/>
      <c r="J1412" s="52"/>
      <c r="K1412" s="21"/>
      <c r="L1412" s="21" t="s">
        <v>248</v>
      </c>
      <c r="M1412" s="25">
        <f>DATE(YEAR(OneWeekMtgRatesDataTable75[[#This Row],[asOf]]),MONTH(OneWeekMtgRatesDataTable75[[#This Row],[asOf]]),DAY(OneWeekMtgRatesDataTable75[[#This Row],[asOf]]))</f>
        <v>40267</v>
      </c>
      <c r="N1412" s="21">
        <v>5.08</v>
      </c>
      <c r="O1412" s="21">
        <v>0.7</v>
      </c>
      <c r="P1412" s="21">
        <v>5.0049999999999999</v>
      </c>
    </row>
    <row r="1413" spans="8:16">
      <c r="H1413" s="21"/>
      <c r="I1413" s="21"/>
      <c r="J1413" s="52"/>
      <c r="K1413" s="21"/>
      <c r="L1413" s="21" t="s">
        <v>247</v>
      </c>
      <c r="M1413" s="25">
        <f>DATE(YEAR(OneWeekMtgRatesDataTable75[[#This Row],[asOf]]),MONTH(OneWeekMtgRatesDataTable75[[#This Row],[asOf]]),DAY(OneWeekMtgRatesDataTable75[[#This Row],[asOf]]))</f>
        <v>40266</v>
      </c>
      <c r="N1413" s="21">
        <v>5.08</v>
      </c>
      <c r="O1413" s="21">
        <v>0.7</v>
      </c>
      <c r="P1413" s="21">
        <v>5.0049999999999999</v>
      </c>
    </row>
    <row r="1414" spans="8:16">
      <c r="H1414" s="21"/>
      <c r="I1414" s="21"/>
      <c r="J1414" s="52"/>
      <c r="K1414" s="21"/>
      <c r="L1414" s="21" t="s">
        <v>246</v>
      </c>
      <c r="M1414" s="25">
        <f>DATE(YEAR(OneWeekMtgRatesDataTable75[[#This Row],[asOf]]),MONTH(OneWeekMtgRatesDataTable75[[#This Row],[asOf]]),DAY(OneWeekMtgRatesDataTable75[[#This Row],[asOf]]))</f>
        <v>40263</v>
      </c>
      <c r="N1414" s="21">
        <v>5.08</v>
      </c>
      <c r="O1414" s="21">
        <v>0.7</v>
      </c>
      <c r="P1414" s="21">
        <v>5.0049999999999999</v>
      </c>
    </row>
    <row r="1415" spans="8:16">
      <c r="H1415" s="21"/>
      <c r="I1415" s="21"/>
      <c r="J1415" s="52"/>
      <c r="K1415" s="21"/>
      <c r="L1415" s="21" t="s">
        <v>245</v>
      </c>
      <c r="M1415" s="25">
        <f>DATE(YEAR(OneWeekMtgRatesDataTable75[[#This Row],[asOf]]),MONTH(OneWeekMtgRatesDataTable75[[#This Row],[asOf]]),DAY(OneWeekMtgRatesDataTable75[[#This Row],[asOf]]))</f>
        <v>40262</v>
      </c>
      <c r="N1415" s="21">
        <v>5.08</v>
      </c>
      <c r="O1415" s="21">
        <v>0.7</v>
      </c>
      <c r="P1415" s="21">
        <v>5.0049999999999999</v>
      </c>
    </row>
    <row r="1416" spans="8:16">
      <c r="H1416" s="21"/>
      <c r="I1416" s="21"/>
      <c r="J1416" s="52"/>
      <c r="K1416" s="21"/>
      <c r="L1416" s="21" t="s">
        <v>244</v>
      </c>
      <c r="M1416" s="25">
        <f>DATE(YEAR(OneWeekMtgRatesDataTable75[[#This Row],[asOf]]),MONTH(OneWeekMtgRatesDataTable75[[#This Row],[asOf]]),DAY(OneWeekMtgRatesDataTable75[[#This Row],[asOf]]))</f>
        <v>40261</v>
      </c>
      <c r="N1416" s="21">
        <v>4.99</v>
      </c>
      <c r="O1416" s="21">
        <v>0.6</v>
      </c>
      <c r="P1416" s="21">
        <v>4.8900000000000006</v>
      </c>
    </row>
    <row r="1417" spans="8:16">
      <c r="H1417" s="21"/>
      <c r="I1417" s="21"/>
      <c r="J1417" s="52"/>
      <c r="K1417" s="21"/>
      <c r="L1417" s="21" t="s">
        <v>243</v>
      </c>
      <c r="M1417" s="25">
        <f>DATE(YEAR(OneWeekMtgRatesDataTable75[[#This Row],[asOf]]),MONTH(OneWeekMtgRatesDataTable75[[#This Row],[asOf]]),DAY(OneWeekMtgRatesDataTable75[[#This Row],[asOf]]))</f>
        <v>40260</v>
      </c>
      <c r="N1417" s="21">
        <v>4.99</v>
      </c>
      <c r="O1417" s="21">
        <v>0.6</v>
      </c>
      <c r="P1417" s="21">
        <v>4.8900000000000006</v>
      </c>
    </row>
    <row r="1418" spans="8:16">
      <c r="H1418" s="21"/>
      <c r="I1418" s="21"/>
      <c r="J1418" s="52"/>
      <c r="K1418" s="21"/>
      <c r="L1418" s="21" t="s">
        <v>242</v>
      </c>
      <c r="M1418" s="25">
        <f>DATE(YEAR(OneWeekMtgRatesDataTable75[[#This Row],[asOf]]),MONTH(OneWeekMtgRatesDataTable75[[#This Row],[asOf]]),DAY(OneWeekMtgRatesDataTable75[[#This Row],[asOf]]))</f>
        <v>40259</v>
      </c>
      <c r="N1418" s="21">
        <v>4.99</v>
      </c>
      <c r="O1418" s="21">
        <v>0.6</v>
      </c>
      <c r="P1418" s="21">
        <v>4.8900000000000006</v>
      </c>
    </row>
    <row r="1419" spans="8:16">
      <c r="H1419" s="21"/>
      <c r="I1419" s="21"/>
      <c r="J1419" s="52"/>
      <c r="K1419" s="21"/>
      <c r="L1419" s="21" t="s">
        <v>241</v>
      </c>
      <c r="M1419" s="25">
        <f>DATE(YEAR(OneWeekMtgRatesDataTable75[[#This Row],[asOf]]),MONTH(OneWeekMtgRatesDataTable75[[#This Row],[asOf]]),DAY(OneWeekMtgRatesDataTable75[[#This Row],[asOf]]))</f>
        <v>40256</v>
      </c>
      <c r="N1419" s="21">
        <v>4.99</v>
      </c>
      <c r="O1419" s="21">
        <v>0.6</v>
      </c>
      <c r="P1419" s="21">
        <v>4.8900000000000006</v>
      </c>
    </row>
    <row r="1420" spans="8:16">
      <c r="H1420" s="21"/>
      <c r="I1420" s="21"/>
      <c r="J1420" s="52"/>
      <c r="K1420" s="21"/>
      <c r="L1420" s="21" t="s">
        <v>240</v>
      </c>
      <c r="M1420" s="25">
        <f>DATE(YEAR(OneWeekMtgRatesDataTable75[[#This Row],[asOf]]),MONTH(OneWeekMtgRatesDataTable75[[#This Row],[asOf]]),DAY(OneWeekMtgRatesDataTable75[[#This Row],[asOf]]))</f>
        <v>40255</v>
      </c>
      <c r="N1420" s="21">
        <v>4.99</v>
      </c>
      <c r="O1420" s="21">
        <v>0.6</v>
      </c>
      <c r="P1420" s="21">
        <v>4.8900000000000006</v>
      </c>
    </row>
    <row r="1421" spans="8:16">
      <c r="H1421" s="21"/>
      <c r="I1421" s="21"/>
      <c r="J1421" s="52"/>
      <c r="K1421" s="21"/>
      <c r="L1421" s="21" t="s">
        <v>239</v>
      </c>
      <c r="M1421" s="25">
        <f>DATE(YEAR(OneWeekMtgRatesDataTable75[[#This Row],[asOf]]),MONTH(OneWeekMtgRatesDataTable75[[#This Row],[asOf]]),DAY(OneWeekMtgRatesDataTable75[[#This Row],[asOf]]))</f>
        <v>40254</v>
      </c>
      <c r="N1421" s="21">
        <v>4.96</v>
      </c>
      <c r="O1421" s="21">
        <v>0.7</v>
      </c>
      <c r="P1421" s="21">
        <v>4.8849999999999998</v>
      </c>
    </row>
    <row r="1422" spans="8:16">
      <c r="H1422" s="21"/>
      <c r="I1422" s="21"/>
      <c r="J1422" s="52"/>
      <c r="K1422" s="21"/>
      <c r="L1422" s="21" t="s">
        <v>238</v>
      </c>
      <c r="M1422" s="25">
        <f>DATE(YEAR(OneWeekMtgRatesDataTable75[[#This Row],[asOf]]),MONTH(OneWeekMtgRatesDataTable75[[#This Row],[asOf]]),DAY(OneWeekMtgRatesDataTable75[[#This Row],[asOf]]))</f>
        <v>40253</v>
      </c>
      <c r="N1422" s="21">
        <v>4.96</v>
      </c>
      <c r="O1422" s="21">
        <v>0.7</v>
      </c>
      <c r="P1422" s="21">
        <v>4.8849999999999998</v>
      </c>
    </row>
    <row r="1423" spans="8:16">
      <c r="H1423" s="21"/>
      <c r="I1423" s="21"/>
      <c r="J1423" s="52"/>
      <c r="K1423" s="21"/>
      <c r="L1423" s="21" t="s">
        <v>237</v>
      </c>
      <c r="M1423" s="25">
        <f>DATE(YEAR(OneWeekMtgRatesDataTable75[[#This Row],[asOf]]),MONTH(OneWeekMtgRatesDataTable75[[#This Row],[asOf]]),DAY(OneWeekMtgRatesDataTable75[[#This Row],[asOf]]))</f>
        <v>40252</v>
      </c>
      <c r="N1423" s="21">
        <v>4.96</v>
      </c>
      <c r="O1423" s="21">
        <v>0.7</v>
      </c>
      <c r="P1423" s="21">
        <v>4.8849999999999998</v>
      </c>
    </row>
    <row r="1424" spans="8:16">
      <c r="H1424" s="21"/>
      <c r="I1424" s="21"/>
      <c r="J1424" s="52"/>
      <c r="K1424" s="21"/>
      <c r="L1424" s="21" t="s">
        <v>236</v>
      </c>
      <c r="M1424" s="25">
        <f>DATE(YEAR(OneWeekMtgRatesDataTable75[[#This Row],[asOf]]),MONTH(OneWeekMtgRatesDataTable75[[#This Row],[asOf]]),DAY(OneWeekMtgRatesDataTable75[[#This Row],[asOf]]))</f>
        <v>40249</v>
      </c>
      <c r="N1424" s="21">
        <v>4.96</v>
      </c>
      <c r="O1424" s="21">
        <v>0.7</v>
      </c>
      <c r="P1424" s="21">
        <v>4.8849999999999998</v>
      </c>
    </row>
    <row r="1425" spans="8:16">
      <c r="H1425" s="21"/>
      <c r="I1425" s="21"/>
      <c r="J1425" s="52"/>
      <c r="K1425" s="21"/>
      <c r="L1425" s="21" t="s">
        <v>235</v>
      </c>
      <c r="M1425" s="25">
        <f>DATE(YEAR(OneWeekMtgRatesDataTable75[[#This Row],[asOf]]),MONTH(OneWeekMtgRatesDataTable75[[#This Row],[asOf]]),DAY(OneWeekMtgRatesDataTable75[[#This Row],[asOf]]))</f>
        <v>40248</v>
      </c>
      <c r="N1425" s="21">
        <v>4.96</v>
      </c>
      <c r="O1425" s="21">
        <v>0.7</v>
      </c>
      <c r="P1425" s="21">
        <v>4.8849999999999998</v>
      </c>
    </row>
    <row r="1426" spans="8:16">
      <c r="H1426" s="21"/>
      <c r="I1426" s="21"/>
      <c r="J1426" s="52"/>
      <c r="K1426" s="21"/>
      <c r="L1426" s="21" t="s">
        <v>234</v>
      </c>
      <c r="M1426" s="25">
        <f>DATE(YEAR(OneWeekMtgRatesDataTable75[[#This Row],[asOf]]),MONTH(OneWeekMtgRatesDataTable75[[#This Row],[asOf]]),DAY(OneWeekMtgRatesDataTable75[[#This Row],[asOf]]))</f>
        <v>40247</v>
      </c>
      <c r="N1426" s="21">
        <v>4.95</v>
      </c>
      <c r="O1426" s="21">
        <v>0.7</v>
      </c>
      <c r="P1426" s="21">
        <v>4.875</v>
      </c>
    </row>
    <row r="1427" spans="8:16">
      <c r="H1427" s="21"/>
      <c r="I1427" s="21"/>
      <c r="J1427" s="52"/>
      <c r="K1427" s="21"/>
      <c r="L1427" s="21" t="s">
        <v>233</v>
      </c>
      <c r="M1427" s="25">
        <f>DATE(YEAR(OneWeekMtgRatesDataTable75[[#This Row],[asOf]]),MONTH(OneWeekMtgRatesDataTable75[[#This Row],[asOf]]),DAY(OneWeekMtgRatesDataTable75[[#This Row],[asOf]]))</f>
        <v>40246</v>
      </c>
      <c r="N1427" s="21">
        <v>4.95</v>
      </c>
      <c r="O1427" s="21">
        <v>0.7</v>
      </c>
      <c r="P1427" s="21">
        <v>4.875</v>
      </c>
    </row>
    <row r="1428" spans="8:16">
      <c r="H1428" s="21"/>
      <c r="I1428" s="21"/>
      <c r="J1428" s="52"/>
      <c r="K1428" s="21"/>
      <c r="L1428" s="21" t="s">
        <v>232</v>
      </c>
      <c r="M1428" s="25">
        <f>DATE(YEAR(OneWeekMtgRatesDataTable75[[#This Row],[asOf]]),MONTH(OneWeekMtgRatesDataTable75[[#This Row],[asOf]]),DAY(OneWeekMtgRatesDataTable75[[#This Row],[asOf]]))</f>
        <v>40245</v>
      </c>
      <c r="N1428" s="21">
        <v>4.95</v>
      </c>
      <c r="O1428" s="21">
        <v>0.7</v>
      </c>
      <c r="P1428" s="21">
        <v>4.875</v>
      </c>
    </row>
    <row r="1429" spans="8:16">
      <c r="H1429" s="21"/>
      <c r="I1429" s="21"/>
      <c r="J1429" s="52"/>
      <c r="K1429" s="21"/>
      <c r="L1429" s="21" t="s">
        <v>231</v>
      </c>
      <c r="M1429" s="25">
        <f>DATE(YEAR(OneWeekMtgRatesDataTable75[[#This Row],[asOf]]),MONTH(OneWeekMtgRatesDataTable75[[#This Row],[asOf]]),DAY(OneWeekMtgRatesDataTable75[[#This Row],[asOf]]))</f>
        <v>40242</v>
      </c>
      <c r="N1429" s="21">
        <v>4.95</v>
      </c>
      <c r="O1429" s="21">
        <v>0.7</v>
      </c>
      <c r="P1429" s="21">
        <v>4.875</v>
      </c>
    </row>
    <row r="1430" spans="8:16">
      <c r="H1430" s="21"/>
      <c r="I1430" s="21"/>
      <c r="J1430" s="52"/>
      <c r="K1430" s="21"/>
      <c r="L1430" s="21" t="s">
        <v>230</v>
      </c>
      <c r="M1430" s="25">
        <f>DATE(YEAR(OneWeekMtgRatesDataTable75[[#This Row],[asOf]]),MONTH(OneWeekMtgRatesDataTable75[[#This Row],[asOf]]),DAY(OneWeekMtgRatesDataTable75[[#This Row],[asOf]]))</f>
        <v>40241</v>
      </c>
      <c r="N1430" s="21">
        <v>4.95</v>
      </c>
      <c r="O1430" s="21">
        <v>0.7</v>
      </c>
      <c r="P1430" s="21">
        <v>4.875</v>
      </c>
    </row>
    <row r="1431" spans="8:16">
      <c r="H1431" s="21"/>
      <c r="I1431" s="21"/>
      <c r="J1431" s="52"/>
      <c r="K1431" s="21"/>
      <c r="L1431" s="21" t="s">
        <v>229</v>
      </c>
      <c r="M1431" s="25">
        <f>DATE(YEAR(OneWeekMtgRatesDataTable75[[#This Row],[asOf]]),MONTH(OneWeekMtgRatesDataTable75[[#This Row],[asOf]]),DAY(OneWeekMtgRatesDataTable75[[#This Row],[asOf]]))</f>
        <v>40240</v>
      </c>
      <c r="N1431" s="21">
        <v>4.97</v>
      </c>
      <c r="O1431" s="21">
        <v>0.7</v>
      </c>
      <c r="P1431" s="21">
        <v>4.8949999999999996</v>
      </c>
    </row>
    <row r="1432" spans="8:16">
      <c r="H1432" s="21"/>
      <c r="I1432" s="21"/>
      <c r="J1432" s="52"/>
      <c r="K1432" s="21"/>
      <c r="L1432" s="21" t="s">
        <v>228</v>
      </c>
      <c r="M1432" s="25">
        <f>DATE(YEAR(OneWeekMtgRatesDataTable75[[#This Row],[asOf]]),MONTH(OneWeekMtgRatesDataTable75[[#This Row],[asOf]]),DAY(OneWeekMtgRatesDataTable75[[#This Row],[asOf]]))</f>
        <v>40239</v>
      </c>
      <c r="N1432" s="21">
        <v>4.97</v>
      </c>
      <c r="O1432" s="21">
        <v>0.7</v>
      </c>
      <c r="P1432" s="21">
        <v>4.8949999999999996</v>
      </c>
    </row>
    <row r="1433" spans="8:16">
      <c r="H1433" s="21"/>
      <c r="I1433" s="21"/>
      <c r="J1433" s="52"/>
      <c r="K1433" s="21"/>
      <c r="L1433" s="21" t="s">
        <v>227</v>
      </c>
      <c r="M1433" s="25">
        <f>DATE(YEAR(OneWeekMtgRatesDataTable75[[#This Row],[asOf]]),MONTH(OneWeekMtgRatesDataTable75[[#This Row],[asOf]]),DAY(OneWeekMtgRatesDataTable75[[#This Row],[asOf]]))</f>
        <v>40238</v>
      </c>
      <c r="N1433" s="21">
        <v>4.97</v>
      </c>
      <c r="O1433" s="21">
        <v>0.7</v>
      </c>
      <c r="P1433" s="21">
        <v>4.8949999999999996</v>
      </c>
    </row>
    <row r="1434" spans="8:16">
      <c r="H1434" s="21"/>
      <c r="I1434" s="21"/>
      <c r="J1434" s="52"/>
      <c r="K1434" s="21"/>
      <c r="L1434" s="21" t="s">
        <v>226</v>
      </c>
      <c r="M1434" s="25">
        <f>DATE(YEAR(OneWeekMtgRatesDataTable75[[#This Row],[asOf]]),MONTH(OneWeekMtgRatesDataTable75[[#This Row],[asOf]]),DAY(OneWeekMtgRatesDataTable75[[#This Row],[asOf]]))</f>
        <v>40235</v>
      </c>
      <c r="N1434" s="21">
        <v>4.97</v>
      </c>
      <c r="O1434" s="21">
        <v>0.7</v>
      </c>
      <c r="P1434" s="21">
        <v>4.8949999999999996</v>
      </c>
    </row>
    <row r="1435" spans="8:16">
      <c r="H1435" s="21"/>
      <c r="I1435" s="21"/>
      <c r="J1435" s="52"/>
      <c r="K1435" s="21"/>
      <c r="L1435" s="21" t="s">
        <v>225</v>
      </c>
      <c r="M1435" s="25">
        <f>DATE(YEAR(OneWeekMtgRatesDataTable75[[#This Row],[asOf]]),MONTH(OneWeekMtgRatesDataTable75[[#This Row],[asOf]]),DAY(OneWeekMtgRatesDataTable75[[#This Row],[asOf]]))</f>
        <v>40234</v>
      </c>
      <c r="N1435" s="21">
        <v>4.97</v>
      </c>
      <c r="O1435" s="21">
        <v>0.7</v>
      </c>
      <c r="P1435" s="21">
        <v>4.8949999999999996</v>
      </c>
    </row>
    <row r="1436" spans="8:16">
      <c r="H1436" s="21"/>
      <c r="I1436" s="21"/>
      <c r="J1436" s="52"/>
      <c r="K1436" s="21"/>
      <c r="L1436" s="21" t="s">
        <v>224</v>
      </c>
      <c r="M1436" s="25">
        <f>DATE(YEAR(OneWeekMtgRatesDataTable75[[#This Row],[asOf]]),MONTH(OneWeekMtgRatesDataTable75[[#This Row],[asOf]]),DAY(OneWeekMtgRatesDataTable75[[#This Row],[asOf]]))</f>
        <v>40233</v>
      </c>
      <c r="N1436" s="21">
        <v>5.05</v>
      </c>
      <c r="O1436" s="21">
        <v>0.7</v>
      </c>
      <c r="P1436" s="21">
        <v>4.9749999999999996</v>
      </c>
    </row>
    <row r="1437" spans="8:16">
      <c r="H1437" s="21"/>
      <c r="I1437" s="21"/>
      <c r="J1437" s="52"/>
      <c r="K1437" s="21"/>
      <c r="L1437" s="21" t="s">
        <v>223</v>
      </c>
      <c r="M1437" s="25">
        <f>DATE(YEAR(OneWeekMtgRatesDataTable75[[#This Row],[asOf]]),MONTH(OneWeekMtgRatesDataTable75[[#This Row],[asOf]]),DAY(OneWeekMtgRatesDataTable75[[#This Row],[asOf]]))</f>
        <v>40232</v>
      </c>
      <c r="N1437" s="21">
        <v>5.05</v>
      </c>
      <c r="O1437" s="21">
        <v>0.7</v>
      </c>
      <c r="P1437" s="21">
        <v>4.9749999999999996</v>
      </c>
    </row>
    <row r="1438" spans="8:16">
      <c r="H1438" s="21"/>
      <c r="I1438" s="21"/>
      <c r="J1438" s="52"/>
      <c r="K1438" s="21"/>
      <c r="L1438" s="21" t="s">
        <v>222</v>
      </c>
      <c r="M1438" s="25">
        <f>DATE(YEAR(OneWeekMtgRatesDataTable75[[#This Row],[asOf]]),MONTH(OneWeekMtgRatesDataTable75[[#This Row],[asOf]]),DAY(OneWeekMtgRatesDataTable75[[#This Row],[asOf]]))</f>
        <v>40231</v>
      </c>
      <c r="N1438" s="21">
        <v>5.05</v>
      </c>
      <c r="O1438" s="21">
        <v>0.7</v>
      </c>
      <c r="P1438" s="21">
        <v>4.9749999999999996</v>
      </c>
    </row>
    <row r="1439" spans="8:16">
      <c r="H1439" s="21"/>
      <c r="I1439" s="21"/>
      <c r="J1439" s="52"/>
      <c r="K1439" s="21"/>
      <c r="L1439" s="21" t="s">
        <v>221</v>
      </c>
      <c r="M1439" s="25">
        <f>DATE(YEAR(OneWeekMtgRatesDataTable75[[#This Row],[asOf]]),MONTH(OneWeekMtgRatesDataTable75[[#This Row],[asOf]]),DAY(OneWeekMtgRatesDataTable75[[#This Row],[asOf]]))</f>
        <v>40228</v>
      </c>
      <c r="N1439" s="21">
        <v>5.05</v>
      </c>
      <c r="O1439" s="21">
        <v>0.7</v>
      </c>
      <c r="P1439" s="21">
        <v>4.9749999999999996</v>
      </c>
    </row>
    <row r="1440" spans="8:16">
      <c r="H1440" s="21"/>
      <c r="I1440" s="21"/>
      <c r="J1440" s="52"/>
      <c r="K1440" s="21"/>
      <c r="L1440" s="21" t="s">
        <v>220</v>
      </c>
      <c r="M1440" s="25">
        <f>DATE(YEAR(OneWeekMtgRatesDataTable75[[#This Row],[asOf]]),MONTH(OneWeekMtgRatesDataTable75[[#This Row],[asOf]]),DAY(OneWeekMtgRatesDataTable75[[#This Row],[asOf]]))</f>
        <v>40227</v>
      </c>
      <c r="N1440" s="21">
        <v>5.05</v>
      </c>
      <c r="O1440" s="21">
        <v>0.7</v>
      </c>
      <c r="P1440" s="21">
        <v>4.9749999999999996</v>
      </c>
    </row>
    <row r="1441" spans="8:16">
      <c r="H1441" s="21"/>
      <c r="I1441" s="21"/>
      <c r="J1441" s="52"/>
      <c r="K1441" s="21"/>
      <c r="L1441" s="21" t="s">
        <v>219</v>
      </c>
      <c r="M1441" s="25">
        <f>DATE(YEAR(OneWeekMtgRatesDataTable75[[#This Row],[asOf]]),MONTH(OneWeekMtgRatesDataTable75[[#This Row],[asOf]]),DAY(OneWeekMtgRatesDataTable75[[#This Row],[asOf]]))</f>
        <v>40226</v>
      </c>
      <c r="N1441" s="21">
        <v>4.93</v>
      </c>
      <c r="O1441" s="21">
        <v>0.7</v>
      </c>
      <c r="P1441" s="21">
        <v>4.8549999999999995</v>
      </c>
    </row>
    <row r="1442" spans="8:16">
      <c r="H1442" s="21"/>
      <c r="I1442" s="21"/>
      <c r="J1442" s="52"/>
      <c r="K1442" s="21"/>
      <c r="L1442" s="21" t="s">
        <v>218</v>
      </c>
      <c r="M1442" s="25">
        <f>DATE(YEAR(OneWeekMtgRatesDataTable75[[#This Row],[asOf]]),MONTH(OneWeekMtgRatesDataTable75[[#This Row],[asOf]]),DAY(OneWeekMtgRatesDataTable75[[#This Row],[asOf]]))</f>
        <v>40225</v>
      </c>
      <c r="N1442" s="21">
        <v>4.93</v>
      </c>
      <c r="O1442" s="21">
        <v>0.7</v>
      </c>
      <c r="P1442" s="21">
        <v>4.8549999999999995</v>
      </c>
    </row>
    <row r="1443" spans="8:16">
      <c r="H1443" s="21"/>
      <c r="I1443" s="21"/>
      <c r="J1443" s="52"/>
      <c r="K1443" s="21"/>
      <c r="L1443" s="21" t="s">
        <v>217</v>
      </c>
      <c r="M1443" s="25">
        <f>DATE(YEAR(OneWeekMtgRatesDataTable75[[#This Row],[asOf]]),MONTH(OneWeekMtgRatesDataTable75[[#This Row],[asOf]]),DAY(OneWeekMtgRatesDataTable75[[#This Row],[asOf]]))</f>
        <v>40221</v>
      </c>
      <c r="N1443" s="21">
        <v>4.93</v>
      </c>
      <c r="O1443" s="21">
        <v>0.7</v>
      </c>
      <c r="P1443" s="21">
        <v>4.8549999999999995</v>
      </c>
    </row>
    <row r="1444" spans="8:16">
      <c r="H1444" s="21"/>
      <c r="I1444" s="21"/>
      <c r="J1444" s="52"/>
      <c r="K1444" s="21"/>
      <c r="L1444" s="21" t="s">
        <v>216</v>
      </c>
      <c r="M1444" s="25">
        <f>DATE(YEAR(OneWeekMtgRatesDataTable75[[#This Row],[asOf]]),MONTH(OneWeekMtgRatesDataTable75[[#This Row],[asOf]]),DAY(OneWeekMtgRatesDataTable75[[#This Row],[asOf]]))</f>
        <v>40220</v>
      </c>
      <c r="N1444" s="21">
        <v>4.93</v>
      </c>
      <c r="O1444" s="21">
        <v>0.7</v>
      </c>
      <c r="P1444" s="21">
        <v>4.8549999999999995</v>
      </c>
    </row>
    <row r="1445" spans="8:16">
      <c r="H1445" s="21"/>
      <c r="I1445" s="21"/>
      <c r="J1445" s="52"/>
      <c r="K1445" s="21"/>
      <c r="L1445" s="21" t="s">
        <v>215</v>
      </c>
      <c r="M1445" s="25">
        <f>DATE(YEAR(OneWeekMtgRatesDataTable75[[#This Row],[asOf]]),MONTH(OneWeekMtgRatesDataTable75[[#This Row],[asOf]]),DAY(OneWeekMtgRatesDataTable75[[#This Row],[asOf]]))</f>
        <v>40219</v>
      </c>
      <c r="N1445" s="21">
        <v>4.97</v>
      </c>
      <c r="O1445" s="21">
        <v>0.7</v>
      </c>
      <c r="P1445" s="21">
        <v>4.8949999999999996</v>
      </c>
    </row>
    <row r="1446" spans="8:16">
      <c r="H1446" s="21"/>
      <c r="I1446" s="21"/>
      <c r="J1446" s="52"/>
      <c r="K1446" s="21"/>
      <c r="L1446" s="21" t="s">
        <v>214</v>
      </c>
      <c r="M1446" s="25">
        <f>DATE(YEAR(OneWeekMtgRatesDataTable75[[#This Row],[asOf]]),MONTH(OneWeekMtgRatesDataTable75[[#This Row],[asOf]]),DAY(OneWeekMtgRatesDataTable75[[#This Row],[asOf]]))</f>
        <v>40218</v>
      </c>
      <c r="N1446" s="21">
        <v>4.97</v>
      </c>
      <c r="O1446" s="21">
        <v>0.7</v>
      </c>
      <c r="P1446" s="21">
        <v>4.8949999999999996</v>
      </c>
    </row>
    <row r="1447" spans="8:16">
      <c r="H1447" s="21"/>
      <c r="I1447" s="21"/>
      <c r="J1447" s="52"/>
      <c r="K1447" s="21"/>
      <c r="L1447" s="21" t="s">
        <v>213</v>
      </c>
      <c r="M1447" s="25">
        <f>DATE(YEAR(OneWeekMtgRatesDataTable75[[#This Row],[asOf]]),MONTH(OneWeekMtgRatesDataTable75[[#This Row],[asOf]]),DAY(OneWeekMtgRatesDataTable75[[#This Row],[asOf]]))</f>
        <v>40217</v>
      </c>
      <c r="N1447" s="21">
        <v>4.97</v>
      </c>
      <c r="O1447" s="21">
        <v>0.7</v>
      </c>
      <c r="P1447" s="21">
        <v>4.8949999999999996</v>
      </c>
    </row>
    <row r="1448" spans="8:16">
      <c r="H1448" s="21"/>
      <c r="I1448" s="21"/>
      <c r="J1448" s="52"/>
      <c r="K1448" s="21"/>
      <c r="L1448" s="21" t="s">
        <v>212</v>
      </c>
      <c r="M1448" s="25">
        <f>DATE(YEAR(OneWeekMtgRatesDataTable75[[#This Row],[asOf]]),MONTH(OneWeekMtgRatesDataTable75[[#This Row],[asOf]]),DAY(OneWeekMtgRatesDataTable75[[#This Row],[asOf]]))</f>
        <v>40214</v>
      </c>
      <c r="N1448" s="21">
        <v>4.97</v>
      </c>
      <c r="O1448" s="21">
        <v>0.7</v>
      </c>
      <c r="P1448" s="21">
        <v>4.8949999999999996</v>
      </c>
    </row>
    <row r="1449" spans="8:16">
      <c r="H1449" s="21"/>
      <c r="I1449" s="21"/>
      <c r="J1449" s="52"/>
      <c r="K1449" s="21"/>
      <c r="L1449" s="21" t="s">
        <v>211</v>
      </c>
      <c r="M1449" s="25">
        <f>DATE(YEAR(OneWeekMtgRatesDataTable75[[#This Row],[asOf]]),MONTH(OneWeekMtgRatesDataTable75[[#This Row],[asOf]]),DAY(OneWeekMtgRatesDataTable75[[#This Row],[asOf]]))</f>
        <v>40213</v>
      </c>
      <c r="N1449" s="21">
        <v>4.97</v>
      </c>
      <c r="O1449" s="21">
        <v>0.7</v>
      </c>
      <c r="P1449" s="21">
        <v>4.8949999999999996</v>
      </c>
    </row>
    <row r="1450" spans="8:16">
      <c r="H1450" s="21"/>
      <c r="I1450" s="21"/>
      <c r="J1450" s="52"/>
      <c r="K1450" s="21"/>
      <c r="L1450" s="21" t="s">
        <v>210</v>
      </c>
      <c r="M1450" s="25">
        <f>DATE(YEAR(OneWeekMtgRatesDataTable75[[#This Row],[asOf]]),MONTH(OneWeekMtgRatesDataTable75[[#This Row],[asOf]]),DAY(OneWeekMtgRatesDataTable75[[#This Row],[asOf]]))</f>
        <v>40212</v>
      </c>
      <c r="N1450" s="21">
        <v>5.01</v>
      </c>
      <c r="O1450" s="21">
        <v>0.7</v>
      </c>
      <c r="P1450" s="21">
        <v>4.9349999999999996</v>
      </c>
    </row>
    <row r="1451" spans="8:16">
      <c r="H1451" s="21"/>
      <c r="I1451" s="21"/>
      <c r="J1451" s="52"/>
      <c r="K1451" s="21"/>
      <c r="L1451" s="21" t="s">
        <v>209</v>
      </c>
      <c r="M1451" s="25">
        <f>DATE(YEAR(OneWeekMtgRatesDataTable75[[#This Row],[asOf]]),MONTH(OneWeekMtgRatesDataTable75[[#This Row],[asOf]]),DAY(OneWeekMtgRatesDataTable75[[#This Row],[asOf]]))</f>
        <v>40211</v>
      </c>
      <c r="N1451" s="21">
        <v>5.01</v>
      </c>
      <c r="O1451" s="21">
        <v>0.7</v>
      </c>
      <c r="P1451" s="21">
        <v>4.9349999999999996</v>
      </c>
    </row>
    <row r="1452" spans="8:16">
      <c r="H1452" s="21"/>
      <c r="I1452" s="21"/>
      <c r="J1452" s="52"/>
      <c r="K1452" s="21"/>
      <c r="L1452" s="21" t="s">
        <v>208</v>
      </c>
      <c r="M1452" s="25">
        <f>DATE(YEAR(OneWeekMtgRatesDataTable75[[#This Row],[asOf]]),MONTH(OneWeekMtgRatesDataTable75[[#This Row],[asOf]]),DAY(OneWeekMtgRatesDataTable75[[#This Row],[asOf]]))</f>
        <v>40210</v>
      </c>
      <c r="N1452" s="21">
        <v>5.01</v>
      </c>
      <c r="O1452" s="21">
        <v>0.7</v>
      </c>
      <c r="P1452" s="21">
        <v>4.9349999999999996</v>
      </c>
    </row>
    <row r="1453" spans="8:16">
      <c r="H1453" s="21"/>
      <c r="I1453" s="21"/>
      <c r="J1453" s="52"/>
      <c r="K1453" s="21"/>
      <c r="L1453" s="21" t="s">
        <v>207</v>
      </c>
      <c r="M1453" s="25">
        <f>DATE(YEAR(OneWeekMtgRatesDataTable75[[#This Row],[asOf]]),MONTH(OneWeekMtgRatesDataTable75[[#This Row],[asOf]]),DAY(OneWeekMtgRatesDataTable75[[#This Row],[asOf]]))</f>
        <v>40207</v>
      </c>
      <c r="N1453" s="21">
        <v>5.01</v>
      </c>
      <c r="O1453" s="21">
        <v>0.7</v>
      </c>
      <c r="P1453" s="21">
        <v>4.9349999999999996</v>
      </c>
    </row>
    <row r="1454" spans="8:16">
      <c r="H1454" s="21"/>
      <c r="I1454" s="21"/>
      <c r="J1454" s="52"/>
      <c r="K1454" s="21"/>
      <c r="L1454" s="21" t="s">
        <v>206</v>
      </c>
      <c r="M1454" s="25">
        <f>DATE(YEAR(OneWeekMtgRatesDataTable75[[#This Row],[asOf]]),MONTH(OneWeekMtgRatesDataTable75[[#This Row],[asOf]]),DAY(OneWeekMtgRatesDataTable75[[#This Row],[asOf]]))</f>
        <v>40206</v>
      </c>
      <c r="N1454" s="21">
        <v>5.01</v>
      </c>
      <c r="O1454" s="21">
        <v>0.7</v>
      </c>
      <c r="P1454" s="21">
        <v>4.9349999999999996</v>
      </c>
    </row>
    <row r="1455" spans="8:16">
      <c r="H1455" s="21"/>
      <c r="I1455" s="21"/>
      <c r="J1455" s="52"/>
      <c r="K1455" s="21"/>
      <c r="L1455" s="21" t="s">
        <v>205</v>
      </c>
      <c r="M1455" s="25">
        <f>DATE(YEAR(OneWeekMtgRatesDataTable75[[#This Row],[asOf]]),MONTH(OneWeekMtgRatesDataTable75[[#This Row],[asOf]]),DAY(OneWeekMtgRatesDataTable75[[#This Row],[asOf]]))</f>
        <v>40205</v>
      </c>
      <c r="N1455" s="21">
        <v>4.9800000000000004</v>
      </c>
      <c r="O1455" s="21">
        <v>0.6</v>
      </c>
      <c r="P1455" s="21">
        <v>4.8800000000000008</v>
      </c>
    </row>
    <row r="1456" spans="8:16">
      <c r="H1456" s="21"/>
      <c r="I1456" s="21"/>
      <c r="J1456" s="52"/>
      <c r="K1456" s="21"/>
      <c r="L1456" s="21" t="s">
        <v>204</v>
      </c>
      <c r="M1456" s="25">
        <f>DATE(YEAR(OneWeekMtgRatesDataTable75[[#This Row],[asOf]]),MONTH(OneWeekMtgRatesDataTable75[[#This Row],[asOf]]),DAY(OneWeekMtgRatesDataTable75[[#This Row],[asOf]]))</f>
        <v>40204</v>
      </c>
      <c r="N1456" s="21">
        <v>4.9800000000000004</v>
      </c>
      <c r="O1456" s="21">
        <v>0.6</v>
      </c>
      <c r="P1456" s="21">
        <v>4.8800000000000008</v>
      </c>
    </row>
    <row r="1457" spans="8:16">
      <c r="H1457" s="21"/>
      <c r="I1457" s="21"/>
      <c r="J1457" s="52"/>
      <c r="K1457" s="21"/>
      <c r="L1457" s="21" t="s">
        <v>203</v>
      </c>
      <c r="M1457" s="25">
        <f>DATE(YEAR(OneWeekMtgRatesDataTable75[[#This Row],[asOf]]),MONTH(OneWeekMtgRatesDataTable75[[#This Row],[asOf]]),DAY(OneWeekMtgRatesDataTable75[[#This Row],[asOf]]))</f>
        <v>40203</v>
      </c>
      <c r="N1457" s="21">
        <v>4.9800000000000004</v>
      </c>
      <c r="O1457" s="21">
        <v>0.6</v>
      </c>
      <c r="P1457" s="21">
        <v>4.8800000000000008</v>
      </c>
    </row>
    <row r="1458" spans="8:16">
      <c r="H1458" s="21"/>
      <c r="I1458" s="21"/>
      <c r="J1458" s="52"/>
      <c r="K1458" s="21"/>
      <c r="L1458" s="21" t="s">
        <v>202</v>
      </c>
      <c r="M1458" s="25">
        <f>DATE(YEAR(OneWeekMtgRatesDataTable75[[#This Row],[asOf]]),MONTH(OneWeekMtgRatesDataTable75[[#This Row],[asOf]]),DAY(OneWeekMtgRatesDataTable75[[#This Row],[asOf]]))</f>
        <v>40200</v>
      </c>
      <c r="N1458" s="21">
        <v>4.9800000000000004</v>
      </c>
      <c r="O1458" s="21">
        <v>0.6</v>
      </c>
      <c r="P1458" s="21">
        <v>4.8800000000000008</v>
      </c>
    </row>
    <row r="1459" spans="8:16">
      <c r="H1459" s="21"/>
      <c r="I1459" s="21"/>
      <c r="J1459" s="52"/>
      <c r="K1459" s="21"/>
      <c r="L1459" s="21" t="s">
        <v>201</v>
      </c>
      <c r="M1459" s="25">
        <f>DATE(YEAR(OneWeekMtgRatesDataTable75[[#This Row],[asOf]]),MONTH(OneWeekMtgRatesDataTable75[[#This Row],[asOf]]),DAY(OneWeekMtgRatesDataTable75[[#This Row],[asOf]]))</f>
        <v>40199</v>
      </c>
      <c r="N1459" s="21">
        <v>4.9800000000000004</v>
      </c>
      <c r="O1459" s="21">
        <v>0.6</v>
      </c>
      <c r="P1459" s="21">
        <v>4.8800000000000008</v>
      </c>
    </row>
    <row r="1460" spans="8:16">
      <c r="H1460" s="21"/>
      <c r="I1460" s="21"/>
      <c r="J1460" s="52"/>
      <c r="K1460" s="21"/>
      <c r="L1460" s="21" t="s">
        <v>200</v>
      </c>
      <c r="M1460" s="25">
        <f>DATE(YEAR(OneWeekMtgRatesDataTable75[[#This Row],[asOf]]),MONTH(OneWeekMtgRatesDataTable75[[#This Row],[asOf]]),DAY(OneWeekMtgRatesDataTable75[[#This Row],[asOf]]))</f>
        <v>40198</v>
      </c>
      <c r="N1460" s="21">
        <v>4.99</v>
      </c>
      <c r="O1460" s="21">
        <v>0.7</v>
      </c>
      <c r="P1460" s="21">
        <v>4.915</v>
      </c>
    </row>
    <row r="1461" spans="8:16">
      <c r="H1461" s="21"/>
      <c r="I1461" s="21"/>
      <c r="J1461" s="52"/>
      <c r="K1461" s="21"/>
      <c r="L1461" s="21" t="s">
        <v>199</v>
      </c>
      <c r="M1461" s="25">
        <f>DATE(YEAR(OneWeekMtgRatesDataTable75[[#This Row],[asOf]]),MONTH(OneWeekMtgRatesDataTable75[[#This Row],[asOf]]),DAY(OneWeekMtgRatesDataTable75[[#This Row],[asOf]]))</f>
        <v>40197</v>
      </c>
      <c r="N1461" s="21">
        <v>4.99</v>
      </c>
      <c r="O1461" s="21">
        <v>0.7</v>
      </c>
      <c r="P1461" s="21">
        <v>4.915</v>
      </c>
    </row>
    <row r="1462" spans="8:16">
      <c r="H1462" s="21"/>
      <c r="I1462" s="21"/>
      <c r="J1462" s="52"/>
      <c r="K1462" s="21"/>
      <c r="L1462" s="21" t="s">
        <v>198</v>
      </c>
      <c r="M1462" s="25">
        <f>DATE(YEAR(OneWeekMtgRatesDataTable75[[#This Row],[asOf]]),MONTH(OneWeekMtgRatesDataTable75[[#This Row],[asOf]]),DAY(OneWeekMtgRatesDataTable75[[#This Row],[asOf]]))</f>
        <v>40193</v>
      </c>
      <c r="N1462" s="21">
        <v>4.99</v>
      </c>
      <c r="O1462" s="21">
        <v>0.7</v>
      </c>
      <c r="P1462" s="21">
        <v>4.915</v>
      </c>
    </row>
    <row r="1463" spans="8:16">
      <c r="H1463" s="21"/>
      <c r="I1463" s="21"/>
      <c r="J1463" s="52"/>
      <c r="K1463" s="21"/>
      <c r="L1463" s="21" t="s">
        <v>197</v>
      </c>
      <c r="M1463" s="25">
        <f>DATE(YEAR(OneWeekMtgRatesDataTable75[[#This Row],[asOf]]),MONTH(OneWeekMtgRatesDataTable75[[#This Row],[asOf]]),DAY(OneWeekMtgRatesDataTable75[[#This Row],[asOf]]))</f>
        <v>40192</v>
      </c>
      <c r="N1463" s="21">
        <v>4.99</v>
      </c>
      <c r="O1463" s="21">
        <v>0.7</v>
      </c>
      <c r="P1463" s="21">
        <v>4.915</v>
      </c>
    </row>
    <row r="1464" spans="8:16">
      <c r="H1464" s="21"/>
      <c r="I1464" s="21"/>
      <c r="J1464" s="52"/>
      <c r="K1464" s="21"/>
      <c r="L1464" s="21" t="s">
        <v>196</v>
      </c>
      <c r="M1464" s="25">
        <f>DATE(YEAR(OneWeekMtgRatesDataTable75[[#This Row],[asOf]]),MONTH(OneWeekMtgRatesDataTable75[[#This Row],[asOf]]),DAY(OneWeekMtgRatesDataTable75[[#This Row],[asOf]]))</f>
        <v>40191</v>
      </c>
      <c r="N1464" s="21">
        <v>5.0599999999999996</v>
      </c>
      <c r="O1464" s="21">
        <v>0.7</v>
      </c>
      <c r="P1464" s="21">
        <v>4.9849999999999994</v>
      </c>
    </row>
    <row r="1465" spans="8:16">
      <c r="H1465" s="21"/>
      <c r="I1465" s="21"/>
      <c r="J1465" s="52"/>
      <c r="K1465" s="21"/>
      <c r="L1465" s="21" t="s">
        <v>195</v>
      </c>
      <c r="M1465" s="25">
        <f>DATE(YEAR(OneWeekMtgRatesDataTable75[[#This Row],[asOf]]),MONTH(OneWeekMtgRatesDataTable75[[#This Row],[asOf]]),DAY(OneWeekMtgRatesDataTable75[[#This Row],[asOf]]))</f>
        <v>40190</v>
      </c>
      <c r="N1465" s="21">
        <v>5.0599999999999996</v>
      </c>
      <c r="O1465" s="21">
        <v>0.7</v>
      </c>
      <c r="P1465" s="21">
        <v>4.9849999999999994</v>
      </c>
    </row>
    <row r="1466" spans="8:16">
      <c r="H1466" s="21"/>
      <c r="I1466" s="21"/>
      <c r="J1466" s="52"/>
      <c r="K1466" s="21"/>
      <c r="L1466" s="21" t="s">
        <v>194</v>
      </c>
      <c r="M1466" s="25">
        <f>DATE(YEAR(OneWeekMtgRatesDataTable75[[#This Row],[asOf]]),MONTH(OneWeekMtgRatesDataTable75[[#This Row],[asOf]]),DAY(OneWeekMtgRatesDataTable75[[#This Row],[asOf]]))</f>
        <v>40189</v>
      </c>
      <c r="N1466" s="21">
        <v>5.0599999999999996</v>
      </c>
      <c r="O1466" s="21">
        <v>0.7</v>
      </c>
      <c r="P1466" s="21">
        <v>4.9849999999999994</v>
      </c>
    </row>
    <row r="1467" spans="8:16">
      <c r="H1467" s="21"/>
      <c r="I1467" s="21"/>
      <c r="J1467" s="52"/>
      <c r="K1467" s="21"/>
      <c r="L1467" s="21" t="s">
        <v>193</v>
      </c>
      <c r="M1467" s="25">
        <f>DATE(YEAR(OneWeekMtgRatesDataTable75[[#This Row],[asOf]]),MONTH(OneWeekMtgRatesDataTable75[[#This Row],[asOf]]),DAY(OneWeekMtgRatesDataTable75[[#This Row],[asOf]]))</f>
        <v>40186</v>
      </c>
      <c r="N1467" s="21">
        <v>5.0599999999999996</v>
      </c>
      <c r="O1467" s="21">
        <v>0.7</v>
      </c>
      <c r="P1467" s="21">
        <v>4.9849999999999994</v>
      </c>
    </row>
    <row r="1468" spans="8:16">
      <c r="H1468" s="21"/>
      <c r="I1468" s="21"/>
      <c r="J1468" s="52"/>
      <c r="K1468" s="21"/>
      <c r="L1468" s="21" t="s">
        <v>192</v>
      </c>
      <c r="M1468" s="25">
        <f>DATE(YEAR(OneWeekMtgRatesDataTable75[[#This Row],[asOf]]),MONTH(OneWeekMtgRatesDataTable75[[#This Row],[asOf]]),DAY(OneWeekMtgRatesDataTable75[[#This Row],[asOf]]))</f>
        <v>40185</v>
      </c>
      <c r="N1468" s="21">
        <v>5.0599999999999996</v>
      </c>
      <c r="O1468" s="21">
        <v>0.7</v>
      </c>
      <c r="P1468" s="21">
        <v>4.9849999999999994</v>
      </c>
    </row>
    <row r="1469" spans="8:16">
      <c r="H1469" s="21"/>
      <c r="I1469" s="21"/>
      <c r="J1469" s="52"/>
      <c r="K1469" s="21"/>
      <c r="L1469" s="21" t="s">
        <v>191</v>
      </c>
      <c r="M1469" s="25">
        <f>DATE(YEAR(OneWeekMtgRatesDataTable75[[#This Row],[asOf]]),MONTH(OneWeekMtgRatesDataTable75[[#This Row],[asOf]]),DAY(OneWeekMtgRatesDataTable75[[#This Row],[asOf]]))</f>
        <v>40184</v>
      </c>
      <c r="N1469" s="21">
        <v>5.09</v>
      </c>
      <c r="O1469" s="21">
        <v>0.7</v>
      </c>
      <c r="P1469" s="21">
        <v>5.0149999999999997</v>
      </c>
    </row>
    <row r="1470" spans="8:16">
      <c r="H1470" s="21"/>
      <c r="I1470" s="21"/>
      <c r="J1470" s="52"/>
      <c r="K1470" s="21"/>
      <c r="L1470" s="21" t="s">
        <v>190</v>
      </c>
      <c r="M1470" s="25">
        <f>DATE(YEAR(OneWeekMtgRatesDataTable75[[#This Row],[asOf]]),MONTH(OneWeekMtgRatesDataTable75[[#This Row],[asOf]]),DAY(OneWeekMtgRatesDataTable75[[#This Row],[asOf]]))</f>
        <v>40183</v>
      </c>
      <c r="N1470" s="21">
        <v>5.09</v>
      </c>
      <c r="O1470" s="21">
        <v>0.7</v>
      </c>
      <c r="P1470" s="21">
        <v>5.0149999999999997</v>
      </c>
    </row>
    <row r="1471" spans="8:16">
      <c r="H1471" s="21"/>
      <c r="I1471" s="21"/>
      <c r="J1471" s="52"/>
      <c r="K1471" s="21"/>
      <c r="L1471" s="21" t="s">
        <v>189</v>
      </c>
      <c r="M1471" s="25">
        <f>DATE(YEAR(OneWeekMtgRatesDataTable75[[#This Row],[asOf]]),MONTH(OneWeekMtgRatesDataTable75[[#This Row],[asOf]]),DAY(OneWeekMtgRatesDataTable75[[#This Row],[asOf]]))</f>
        <v>40182</v>
      </c>
      <c r="N1471" s="21">
        <v>5.09</v>
      </c>
      <c r="O1471" s="21">
        <v>0.7</v>
      </c>
      <c r="P1471" s="21">
        <v>5.0149999999999997</v>
      </c>
    </row>
    <row r="1472" spans="8:16">
      <c r="H1472" s="21"/>
      <c r="I1472" s="21"/>
      <c r="J1472" s="52"/>
      <c r="K1472" s="21"/>
      <c r="L1472" s="21" t="s">
        <v>188</v>
      </c>
      <c r="M1472" s="25">
        <f>DATE(YEAR(OneWeekMtgRatesDataTable75[[#This Row],[asOf]]),MONTH(OneWeekMtgRatesDataTable75[[#This Row],[asOf]]),DAY(OneWeekMtgRatesDataTable75[[#This Row],[asOf]]))</f>
        <v>40178</v>
      </c>
      <c r="N1472" s="21">
        <v>5.09</v>
      </c>
      <c r="O1472" s="21">
        <v>0.7</v>
      </c>
      <c r="P1472" s="21">
        <v>5.0149999999999997</v>
      </c>
    </row>
    <row r="1473" spans="8:16">
      <c r="H1473" s="21"/>
      <c r="I1473" s="21"/>
      <c r="J1473" s="52"/>
      <c r="K1473" s="21"/>
      <c r="L1473" s="21" t="s">
        <v>187</v>
      </c>
      <c r="M1473" s="25">
        <f>DATE(YEAR(OneWeekMtgRatesDataTable75[[#This Row],[asOf]]),MONTH(OneWeekMtgRatesDataTable75[[#This Row],[asOf]]),DAY(OneWeekMtgRatesDataTable75[[#This Row],[asOf]]))</f>
        <v>40177</v>
      </c>
      <c r="N1473" s="21">
        <v>5.14</v>
      </c>
      <c r="O1473" s="21">
        <v>0.7</v>
      </c>
      <c r="P1473" s="21">
        <v>5.0649999999999995</v>
      </c>
    </row>
    <row r="1474" spans="8:16">
      <c r="H1474" s="21"/>
      <c r="I1474" s="21"/>
      <c r="J1474" s="52"/>
      <c r="K1474" s="21"/>
      <c r="L1474" s="21" t="s">
        <v>186</v>
      </c>
      <c r="M1474" s="25">
        <f>DATE(YEAR(OneWeekMtgRatesDataTable75[[#This Row],[asOf]]),MONTH(OneWeekMtgRatesDataTable75[[#This Row],[asOf]]),DAY(OneWeekMtgRatesDataTable75[[#This Row],[asOf]]))</f>
        <v>40176</v>
      </c>
      <c r="N1474" s="21">
        <v>5.14</v>
      </c>
      <c r="O1474" s="21">
        <v>0.7</v>
      </c>
      <c r="P1474" s="21">
        <v>5.0649999999999995</v>
      </c>
    </row>
    <row r="1475" spans="8:16">
      <c r="H1475" s="21"/>
      <c r="I1475" s="21"/>
      <c r="J1475" s="52"/>
      <c r="K1475" s="21"/>
      <c r="L1475" s="21" t="s">
        <v>185</v>
      </c>
      <c r="M1475" s="25">
        <f>DATE(YEAR(OneWeekMtgRatesDataTable75[[#This Row],[asOf]]),MONTH(OneWeekMtgRatesDataTable75[[#This Row],[asOf]]),DAY(OneWeekMtgRatesDataTable75[[#This Row],[asOf]]))</f>
        <v>40175</v>
      </c>
      <c r="N1475" s="21">
        <v>5.14</v>
      </c>
      <c r="O1475" s="21">
        <v>0.7</v>
      </c>
      <c r="P1475" s="21">
        <v>5.0649999999999995</v>
      </c>
    </row>
    <row r="1476" spans="8:16">
      <c r="H1476" s="21"/>
      <c r="I1476" s="21"/>
      <c r="J1476" s="52"/>
      <c r="K1476" s="21"/>
      <c r="L1476" s="21" t="s">
        <v>184</v>
      </c>
      <c r="M1476" s="25">
        <f>DATE(YEAR(OneWeekMtgRatesDataTable75[[#This Row],[asOf]]),MONTH(OneWeekMtgRatesDataTable75[[#This Row],[asOf]]),DAY(OneWeekMtgRatesDataTable75[[#This Row],[asOf]]))</f>
        <v>40171</v>
      </c>
      <c r="N1476" s="21">
        <v>5.14</v>
      </c>
      <c r="O1476" s="21">
        <v>0.7</v>
      </c>
      <c r="P1476" s="21">
        <v>5.0649999999999995</v>
      </c>
    </row>
    <row r="1477" spans="8:16">
      <c r="H1477" s="21"/>
      <c r="I1477" s="21"/>
      <c r="J1477" s="52"/>
      <c r="K1477" s="21"/>
      <c r="L1477" s="21" t="s">
        <v>183</v>
      </c>
      <c r="M1477" s="25">
        <f>DATE(YEAR(OneWeekMtgRatesDataTable75[[#This Row],[asOf]]),MONTH(OneWeekMtgRatesDataTable75[[#This Row],[asOf]]),DAY(OneWeekMtgRatesDataTable75[[#This Row],[asOf]]))</f>
        <v>40170</v>
      </c>
      <c r="N1477" s="21">
        <v>5.05</v>
      </c>
      <c r="O1477" s="21">
        <v>0.7</v>
      </c>
      <c r="P1477" s="21">
        <v>4.9749999999999996</v>
      </c>
    </row>
    <row r="1478" spans="8:16">
      <c r="H1478" s="21"/>
      <c r="I1478" s="21"/>
      <c r="J1478" s="52"/>
      <c r="K1478" s="21"/>
      <c r="L1478" s="21" t="s">
        <v>182</v>
      </c>
      <c r="M1478" s="25">
        <f>DATE(YEAR(OneWeekMtgRatesDataTable75[[#This Row],[asOf]]),MONTH(OneWeekMtgRatesDataTable75[[#This Row],[asOf]]),DAY(OneWeekMtgRatesDataTable75[[#This Row],[asOf]]))</f>
        <v>40169</v>
      </c>
      <c r="N1478" s="21">
        <v>5.05</v>
      </c>
      <c r="O1478" s="21">
        <v>0.7</v>
      </c>
      <c r="P1478" s="21">
        <v>4.9749999999999996</v>
      </c>
    </row>
    <row r="1479" spans="8:16">
      <c r="H1479" s="21"/>
      <c r="I1479" s="21"/>
      <c r="J1479" s="52"/>
      <c r="K1479" s="21"/>
      <c r="L1479" s="21" t="s">
        <v>181</v>
      </c>
      <c r="M1479" s="25">
        <f>DATE(YEAR(OneWeekMtgRatesDataTable75[[#This Row],[asOf]]),MONTH(OneWeekMtgRatesDataTable75[[#This Row],[asOf]]),DAY(OneWeekMtgRatesDataTable75[[#This Row],[asOf]]))</f>
        <v>40168</v>
      </c>
      <c r="N1479" s="21">
        <v>5.05</v>
      </c>
      <c r="O1479" s="21">
        <v>0.7</v>
      </c>
      <c r="P1479" s="21">
        <v>4.9749999999999996</v>
      </c>
    </row>
    <row r="1480" spans="8:16">
      <c r="H1480" s="21"/>
      <c r="I1480" s="21"/>
      <c r="J1480" s="52"/>
      <c r="K1480" s="21"/>
      <c r="L1480" s="21" t="s">
        <v>180</v>
      </c>
      <c r="M1480" s="25">
        <f>DATE(YEAR(OneWeekMtgRatesDataTable75[[#This Row],[asOf]]),MONTH(OneWeekMtgRatesDataTable75[[#This Row],[asOf]]),DAY(OneWeekMtgRatesDataTable75[[#This Row],[asOf]]))</f>
        <v>40165</v>
      </c>
      <c r="N1480" s="21">
        <v>5.05</v>
      </c>
      <c r="O1480" s="21">
        <v>0.7</v>
      </c>
      <c r="P1480" s="21">
        <v>4.9749999999999996</v>
      </c>
    </row>
    <row r="1481" spans="8:16">
      <c r="H1481" s="21"/>
      <c r="I1481" s="21"/>
      <c r="J1481" s="52"/>
      <c r="K1481" s="21"/>
      <c r="L1481" s="21" t="s">
        <v>179</v>
      </c>
      <c r="M1481" s="25">
        <f>DATE(YEAR(OneWeekMtgRatesDataTable75[[#This Row],[asOf]]),MONTH(OneWeekMtgRatesDataTable75[[#This Row],[asOf]]),DAY(OneWeekMtgRatesDataTable75[[#This Row],[asOf]]))</f>
        <v>40164</v>
      </c>
      <c r="N1481" s="21">
        <v>5.05</v>
      </c>
      <c r="O1481" s="21">
        <v>0.7</v>
      </c>
      <c r="P1481" s="21">
        <v>4.9749999999999996</v>
      </c>
    </row>
    <row r="1482" spans="8:16">
      <c r="H1482" s="21"/>
      <c r="I1482" s="21"/>
      <c r="J1482" s="52"/>
      <c r="K1482" s="21"/>
      <c r="L1482" s="21" t="s">
        <v>178</v>
      </c>
      <c r="M1482" s="25">
        <f>DATE(YEAR(OneWeekMtgRatesDataTable75[[#This Row],[asOf]]),MONTH(OneWeekMtgRatesDataTable75[[#This Row],[asOf]]),DAY(OneWeekMtgRatesDataTable75[[#This Row],[asOf]]))</f>
        <v>40163</v>
      </c>
      <c r="N1482" s="21">
        <v>4.9400000000000004</v>
      </c>
      <c r="O1482" s="21">
        <v>0.7</v>
      </c>
      <c r="P1482" s="21">
        <v>4.8650000000000002</v>
      </c>
    </row>
    <row r="1483" spans="8:16">
      <c r="H1483" s="21"/>
      <c r="I1483" s="21"/>
      <c r="J1483" s="52"/>
      <c r="K1483" s="21"/>
      <c r="L1483" s="21" t="s">
        <v>177</v>
      </c>
      <c r="M1483" s="25">
        <f>DATE(YEAR(OneWeekMtgRatesDataTable75[[#This Row],[asOf]]),MONTH(OneWeekMtgRatesDataTable75[[#This Row],[asOf]]),DAY(OneWeekMtgRatesDataTable75[[#This Row],[asOf]]))</f>
        <v>40162</v>
      </c>
      <c r="N1483" s="21">
        <v>4.9400000000000004</v>
      </c>
      <c r="O1483" s="21">
        <v>0.7</v>
      </c>
      <c r="P1483" s="21">
        <v>4.8650000000000002</v>
      </c>
    </row>
    <row r="1484" spans="8:16">
      <c r="H1484" s="21"/>
      <c r="I1484" s="21"/>
      <c r="J1484" s="52"/>
      <c r="K1484" s="21"/>
      <c r="L1484" s="21" t="s">
        <v>176</v>
      </c>
      <c r="M1484" s="25">
        <f>DATE(YEAR(OneWeekMtgRatesDataTable75[[#This Row],[asOf]]),MONTH(OneWeekMtgRatesDataTable75[[#This Row],[asOf]]),DAY(OneWeekMtgRatesDataTable75[[#This Row],[asOf]]))</f>
        <v>40161</v>
      </c>
      <c r="N1484" s="21">
        <v>4.9400000000000004</v>
      </c>
      <c r="O1484" s="21">
        <v>0.7</v>
      </c>
      <c r="P1484" s="21">
        <v>4.8650000000000002</v>
      </c>
    </row>
    <row r="1485" spans="8:16">
      <c r="H1485" s="21"/>
      <c r="I1485" s="21"/>
      <c r="J1485" s="52"/>
      <c r="K1485" s="21"/>
      <c r="L1485" s="21" t="s">
        <v>175</v>
      </c>
      <c r="M1485" s="25">
        <f>DATE(YEAR(OneWeekMtgRatesDataTable75[[#This Row],[asOf]]),MONTH(OneWeekMtgRatesDataTable75[[#This Row],[asOf]]),DAY(OneWeekMtgRatesDataTable75[[#This Row],[asOf]]))</f>
        <v>40158</v>
      </c>
      <c r="N1485" s="21">
        <v>4.9400000000000004</v>
      </c>
      <c r="O1485" s="21">
        <v>0.7</v>
      </c>
      <c r="P1485" s="21">
        <v>4.8650000000000002</v>
      </c>
    </row>
    <row r="1486" spans="8:16">
      <c r="H1486" s="21"/>
      <c r="I1486" s="21"/>
      <c r="J1486" s="52"/>
      <c r="K1486" s="21"/>
      <c r="L1486" s="21" t="s">
        <v>174</v>
      </c>
      <c r="M1486" s="25">
        <f>DATE(YEAR(OneWeekMtgRatesDataTable75[[#This Row],[asOf]]),MONTH(OneWeekMtgRatesDataTable75[[#This Row],[asOf]]),DAY(OneWeekMtgRatesDataTable75[[#This Row],[asOf]]))</f>
        <v>40157</v>
      </c>
      <c r="N1486" s="21">
        <v>4.9400000000000004</v>
      </c>
      <c r="O1486" s="21">
        <v>0.7</v>
      </c>
      <c r="P1486" s="21">
        <v>4.8650000000000002</v>
      </c>
    </row>
    <row r="1487" spans="8:16">
      <c r="H1487" s="21"/>
      <c r="I1487" s="21"/>
      <c r="J1487" s="52"/>
      <c r="K1487" s="21"/>
      <c r="L1487" s="21" t="s">
        <v>173</v>
      </c>
      <c r="M1487" s="25">
        <f>DATE(YEAR(OneWeekMtgRatesDataTable75[[#This Row],[asOf]]),MONTH(OneWeekMtgRatesDataTable75[[#This Row],[asOf]]),DAY(OneWeekMtgRatesDataTable75[[#This Row],[asOf]]))</f>
        <v>40156</v>
      </c>
      <c r="N1487" s="21">
        <v>4.8099999999999996</v>
      </c>
      <c r="O1487" s="21">
        <v>0.7</v>
      </c>
      <c r="P1487" s="21">
        <v>4.7349999999999994</v>
      </c>
    </row>
    <row r="1488" spans="8:16">
      <c r="H1488" s="21"/>
      <c r="I1488" s="21"/>
      <c r="J1488" s="52"/>
      <c r="K1488" s="21"/>
      <c r="L1488" s="21" t="s">
        <v>172</v>
      </c>
      <c r="M1488" s="25">
        <f>DATE(YEAR(OneWeekMtgRatesDataTable75[[#This Row],[asOf]]),MONTH(OneWeekMtgRatesDataTable75[[#This Row],[asOf]]),DAY(OneWeekMtgRatesDataTable75[[#This Row],[asOf]]))</f>
        <v>40155</v>
      </c>
      <c r="N1488" s="21">
        <v>4.8099999999999996</v>
      </c>
      <c r="O1488" s="21">
        <v>0.7</v>
      </c>
      <c r="P1488" s="21">
        <v>4.7349999999999994</v>
      </c>
    </row>
    <row r="1489" spans="8:16">
      <c r="H1489" s="21"/>
      <c r="I1489" s="21"/>
      <c r="J1489" s="52"/>
      <c r="K1489" s="21"/>
      <c r="L1489" s="21" t="s">
        <v>171</v>
      </c>
      <c r="M1489" s="25">
        <f>DATE(YEAR(OneWeekMtgRatesDataTable75[[#This Row],[asOf]]),MONTH(OneWeekMtgRatesDataTable75[[#This Row],[asOf]]),DAY(OneWeekMtgRatesDataTable75[[#This Row],[asOf]]))</f>
        <v>40154</v>
      </c>
      <c r="N1489" s="21">
        <v>4.8099999999999996</v>
      </c>
      <c r="O1489" s="21">
        <v>0.7</v>
      </c>
      <c r="P1489" s="21">
        <v>4.7349999999999994</v>
      </c>
    </row>
    <row r="1490" spans="8:16">
      <c r="H1490" s="21"/>
      <c r="I1490" s="21"/>
      <c r="J1490" s="52"/>
      <c r="K1490" s="21"/>
      <c r="L1490" s="21" t="s">
        <v>170</v>
      </c>
      <c r="M1490" s="25">
        <f>DATE(YEAR(OneWeekMtgRatesDataTable75[[#This Row],[asOf]]),MONTH(OneWeekMtgRatesDataTable75[[#This Row],[asOf]]),DAY(OneWeekMtgRatesDataTable75[[#This Row],[asOf]]))</f>
        <v>40151</v>
      </c>
      <c r="N1490" s="21">
        <v>4.8099999999999996</v>
      </c>
      <c r="O1490" s="21">
        <v>0.7</v>
      </c>
      <c r="P1490" s="21">
        <v>4.7349999999999994</v>
      </c>
    </row>
    <row r="1491" spans="8:16">
      <c r="H1491" s="21"/>
      <c r="I1491" s="21"/>
      <c r="J1491" s="52"/>
      <c r="K1491" s="21"/>
      <c r="L1491" s="21" t="s">
        <v>169</v>
      </c>
      <c r="M1491" s="25">
        <f>DATE(YEAR(OneWeekMtgRatesDataTable75[[#This Row],[asOf]]),MONTH(OneWeekMtgRatesDataTable75[[#This Row],[asOf]]),DAY(OneWeekMtgRatesDataTable75[[#This Row],[asOf]]))</f>
        <v>40150</v>
      </c>
      <c r="N1491" s="21">
        <v>4.8099999999999996</v>
      </c>
      <c r="O1491" s="21">
        <v>0.7</v>
      </c>
      <c r="P1491" s="21">
        <v>4.7349999999999994</v>
      </c>
    </row>
    <row r="1492" spans="8:16">
      <c r="H1492" s="21"/>
      <c r="I1492" s="21"/>
      <c r="J1492" s="52"/>
      <c r="K1492" s="21"/>
      <c r="L1492" s="21" t="s">
        <v>168</v>
      </c>
      <c r="M1492" s="25">
        <f>DATE(YEAR(OneWeekMtgRatesDataTable75[[#This Row],[asOf]]),MONTH(OneWeekMtgRatesDataTable75[[#This Row],[asOf]]),DAY(OneWeekMtgRatesDataTable75[[#This Row],[asOf]]))</f>
        <v>40149</v>
      </c>
      <c r="N1492" s="21">
        <v>4.71</v>
      </c>
      <c r="O1492" s="21">
        <v>0.7</v>
      </c>
      <c r="P1492" s="21">
        <v>4.6349999999999998</v>
      </c>
    </row>
    <row r="1493" spans="8:16">
      <c r="H1493" s="21"/>
      <c r="I1493" s="21"/>
      <c r="J1493" s="52"/>
      <c r="K1493" s="21"/>
      <c r="L1493" s="21" t="s">
        <v>167</v>
      </c>
      <c r="M1493" s="25">
        <f>DATE(YEAR(OneWeekMtgRatesDataTable75[[#This Row],[asOf]]),MONTH(OneWeekMtgRatesDataTable75[[#This Row],[asOf]]),DAY(OneWeekMtgRatesDataTable75[[#This Row],[asOf]]))</f>
        <v>40148</v>
      </c>
      <c r="N1493" s="21">
        <v>4.71</v>
      </c>
      <c r="O1493" s="21">
        <v>0.7</v>
      </c>
      <c r="P1493" s="21">
        <v>4.6349999999999998</v>
      </c>
    </row>
    <row r="1494" spans="8:16">
      <c r="H1494" s="21"/>
      <c r="I1494" s="21"/>
      <c r="J1494" s="52"/>
      <c r="K1494" s="21"/>
      <c r="L1494" s="21" t="s">
        <v>166</v>
      </c>
      <c r="M1494" s="25">
        <f>DATE(YEAR(OneWeekMtgRatesDataTable75[[#This Row],[asOf]]),MONTH(OneWeekMtgRatesDataTable75[[#This Row],[asOf]]),DAY(OneWeekMtgRatesDataTable75[[#This Row],[asOf]]))</f>
        <v>40147</v>
      </c>
      <c r="N1494" s="21">
        <v>4.71</v>
      </c>
      <c r="O1494" s="21">
        <v>0.7</v>
      </c>
      <c r="P1494" s="21">
        <v>4.6349999999999998</v>
      </c>
    </row>
    <row r="1495" spans="8:16">
      <c r="H1495" s="21"/>
      <c r="I1495" s="21"/>
      <c r="J1495" s="52"/>
      <c r="K1495" s="21"/>
      <c r="L1495" s="21" t="s">
        <v>165</v>
      </c>
      <c r="M1495" s="25">
        <f>DATE(YEAR(OneWeekMtgRatesDataTable75[[#This Row],[asOf]]),MONTH(OneWeekMtgRatesDataTable75[[#This Row],[asOf]]),DAY(OneWeekMtgRatesDataTable75[[#This Row],[asOf]]))</f>
        <v>40144</v>
      </c>
      <c r="N1495" s="21">
        <v>4.71</v>
      </c>
      <c r="O1495" s="21">
        <v>0.7</v>
      </c>
      <c r="P1495" s="21">
        <v>4.6349999999999998</v>
      </c>
    </row>
    <row r="1496" spans="8:16">
      <c r="H1496" s="21"/>
      <c r="I1496" s="21"/>
      <c r="J1496" s="52"/>
      <c r="K1496" s="21"/>
      <c r="L1496" s="21" t="s">
        <v>163</v>
      </c>
      <c r="M1496" s="25">
        <f>DATE(YEAR(OneWeekMtgRatesDataTable75[[#This Row],[asOf]]),MONTH(OneWeekMtgRatesDataTable75[[#This Row],[asOf]]),DAY(OneWeekMtgRatesDataTable75[[#This Row],[asOf]]))</f>
        <v>40141</v>
      </c>
      <c r="N1496" s="21">
        <v>4.78</v>
      </c>
      <c r="O1496" s="21">
        <v>0.7</v>
      </c>
      <c r="P1496" s="21">
        <v>4.7050000000000001</v>
      </c>
    </row>
    <row r="1497" spans="8:16">
      <c r="H1497" s="21"/>
      <c r="I1497" s="21"/>
      <c r="J1497" s="52"/>
      <c r="K1497" s="21"/>
      <c r="L1497" s="21" t="s">
        <v>162</v>
      </c>
      <c r="M1497" s="25">
        <f>DATE(YEAR(OneWeekMtgRatesDataTable75[[#This Row],[asOf]]),MONTH(OneWeekMtgRatesDataTable75[[#This Row],[asOf]]),DAY(OneWeekMtgRatesDataTable75[[#This Row],[asOf]]))</f>
        <v>40140</v>
      </c>
      <c r="N1497" s="21">
        <v>4.78</v>
      </c>
      <c r="O1497" s="21">
        <v>0.7</v>
      </c>
      <c r="P1497" s="21">
        <v>4.7050000000000001</v>
      </c>
    </row>
    <row r="1498" spans="8:16">
      <c r="H1498" s="21"/>
      <c r="I1498" s="21"/>
      <c r="J1498" s="52"/>
      <c r="K1498" s="21"/>
      <c r="L1498" s="21" t="s">
        <v>161</v>
      </c>
      <c r="M1498" s="25">
        <f>DATE(YEAR(OneWeekMtgRatesDataTable75[[#This Row],[asOf]]),MONTH(OneWeekMtgRatesDataTable75[[#This Row],[asOf]]),DAY(OneWeekMtgRatesDataTable75[[#This Row],[asOf]]))</f>
        <v>40137</v>
      </c>
      <c r="N1498" s="21">
        <v>4.78</v>
      </c>
      <c r="O1498" s="21">
        <v>0.7</v>
      </c>
      <c r="P1498" s="21">
        <v>4.7050000000000001</v>
      </c>
    </row>
    <row r="1499" spans="8:16">
      <c r="H1499" s="21"/>
      <c r="I1499" s="21"/>
      <c r="J1499" s="52"/>
      <c r="K1499" s="21"/>
      <c r="L1499" s="21" t="s">
        <v>160</v>
      </c>
      <c r="M1499" s="25">
        <f>DATE(YEAR(OneWeekMtgRatesDataTable75[[#This Row],[asOf]]),MONTH(OneWeekMtgRatesDataTable75[[#This Row],[asOf]]),DAY(OneWeekMtgRatesDataTable75[[#This Row],[asOf]]))</f>
        <v>40136</v>
      </c>
      <c r="N1499" s="21">
        <v>4.78</v>
      </c>
      <c r="O1499" s="21">
        <v>0.7</v>
      </c>
      <c r="P1499" s="21">
        <v>4.7050000000000001</v>
      </c>
    </row>
    <row r="1500" spans="8:16">
      <c r="H1500" s="21"/>
      <c r="I1500" s="21"/>
      <c r="J1500" s="52"/>
      <c r="K1500" s="21"/>
      <c r="L1500" s="21" t="s">
        <v>159</v>
      </c>
      <c r="M1500" s="25">
        <f>DATE(YEAR(OneWeekMtgRatesDataTable75[[#This Row],[asOf]]),MONTH(OneWeekMtgRatesDataTable75[[#This Row],[asOf]]),DAY(OneWeekMtgRatesDataTable75[[#This Row],[asOf]]))</f>
        <v>40135</v>
      </c>
      <c r="N1500" s="21">
        <v>4.78</v>
      </c>
      <c r="O1500" s="21">
        <v>0.7</v>
      </c>
      <c r="P1500" s="21">
        <v>4.7050000000000001</v>
      </c>
    </row>
    <row r="1501" spans="8:16">
      <c r="H1501" s="21"/>
      <c r="I1501" s="21"/>
      <c r="J1501" s="52"/>
      <c r="K1501" s="21"/>
      <c r="L1501" s="21" t="s">
        <v>159</v>
      </c>
      <c r="M1501" s="25">
        <f>DATE(YEAR(OneWeekMtgRatesDataTable75[[#This Row],[asOf]]),MONTH(OneWeekMtgRatesDataTable75[[#This Row],[asOf]]),DAY(OneWeekMtgRatesDataTable75[[#This Row],[asOf]]))</f>
        <v>40135</v>
      </c>
      <c r="N1501" s="21">
        <v>4.83</v>
      </c>
      <c r="O1501" s="21">
        <v>0.7</v>
      </c>
      <c r="P1501" s="21">
        <v>4.7549999999999999</v>
      </c>
    </row>
    <row r="1502" spans="8:16">
      <c r="H1502" s="21"/>
      <c r="I1502" s="21"/>
      <c r="J1502" s="52"/>
      <c r="K1502" s="21"/>
      <c r="L1502" s="21" t="s">
        <v>158</v>
      </c>
      <c r="M1502" s="25">
        <f>DATE(YEAR(OneWeekMtgRatesDataTable75[[#This Row],[asOf]]),MONTH(OneWeekMtgRatesDataTable75[[#This Row],[asOf]]),DAY(OneWeekMtgRatesDataTable75[[#This Row],[asOf]]))</f>
        <v>40134</v>
      </c>
      <c r="N1502" s="21">
        <v>4.83</v>
      </c>
      <c r="O1502" s="21">
        <v>0.7</v>
      </c>
      <c r="P1502" s="21">
        <v>4.7549999999999999</v>
      </c>
    </row>
    <row r="1503" spans="8:16">
      <c r="H1503" s="21"/>
      <c r="I1503" s="21"/>
      <c r="J1503" s="52"/>
      <c r="K1503" s="21"/>
      <c r="L1503" s="21" t="s">
        <v>157</v>
      </c>
      <c r="M1503" s="25">
        <f>DATE(YEAR(OneWeekMtgRatesDataTable75[[#This Row],[asOf]]),MONTH(OneWeekMtgRatesDataTable75[[#This Row],[asOf]]),DAY(OneWeekMtgRatesDataTable75[[#This Row],[asOf]]))</f>
        <v>40133</v>
      </c>
      <c r="N1503" s="21">
        <v>4.83</v>
      </c>
      <c r="O1503" s="21">
        <v>0.7</v>
      </c>
      <c r="P1503" s="21">
        <v>4.7549999999999999</v>
      </c>
    </row>
    <row r="1504" spans="8:16">
      <c r="H1504" s="21"/>
      <c r="I1504" s="21"/>
      <c r="J1504" s="52"/>
      <c r="K1504" s="21"/>
      <c r="L1504" s="21" t="s">
        <v>156</v>
      </c>
      <c r="M1504" s="25">
        <f>DATE(YEAR(OneWeekMtgRatesDataTable75[[#This Row],[asOf]]),MONTH(OneWeekMtgRatesDataTable75[[#This Row],[asOf]]),DAY(OneWeekMtgRatesDataTable75[[#This Row],[asOf]]))</f>
        <v>40130</v>
      </c>
      <c r="N1504" s="21">
        <v>4.83</v>
      </c>
      <c r="O1504" s="21">
        <v>0.7</v>
      </c>
      <c r="P1504" s="21">
        <v>4.7549999999999999</v>
      </c>
    </row>
    <row r="1505" spans="8:16">
      <c r="H1505" s="21"/>
      <c r="I1505" s="21"/>
      <c r="J1505" s="52"/>
      <c r="K1505" s="21"/>
      <c r="L1505" s="21" t="s">
        <v>155</v>
      </c>
      <c r="M1505" s="25">
        <f>DATE(YEAR(OneWeekMtgRatesDataTable75[[#This Row],[asOf]]),MONTH(OneWeekMtgRatesDataTable75[[#This Row],[asOf]]),DAY(OneWeekMtgRatesDataTable75[[#This Row],[asOf]]))</f>
        <v>40129</v>
      </c>
      <c r="N1505" s="21">
        <v>4.83</v>
      </c>
      <c r="O1505" s="21">
        <v>0.7</v>
      </c>
      <c r="P1505" s="21">
        <v>4.7549999999999999</v>
      </c>
    </row>
    <row r="1506" spans="8:16">
      <c r="H1506" s="21"/>
      <c r="I1506" s="21"/>
      <c r="J1506" s="52"/>
      <c r="K1506" s="21"/>
      <c r="L1506" s="21" t="s">
        <v>154</v>
      </c>
      <c r="M1506" s="25">
        <f>DATE(YEAR(OneWeekMtgRatesDataTable75[[#This Row],[asOf]]),MONTH(OneWeekMtgRatesDataTable75[[#This Row],[asOf]]),DAY(OneWeekMtgRatesDataTable75[[#This Row],[asOf]]))</f>
        <v>40127</v>
      </c>
      <c r="N1506" s="21">
        <v>4.91</v>
      </c>
      <c r="O1506" s="21">
        <v>0.7</v>
      </c>
      <c r="P1506" s="21">
        <v>4.835</v>
      </c>
    </row>
    <row r="1507" spans="8:16">
      <c r="H1507" s="21"/>
      <c r="I1507" s="21"/>
      <c r="J1507" s="52"/>
      <c r="K1507" s="21"/>
      <c r="L1507" s="21" t="s">
        <v>153</v>
      </c>
      <c r="M1507" s="25">
        <f>DATE(YEAR(OneWeekMtgRatesDataTable75[[#This Row],[asOf]]),MONTH(OneWeekMtgRatesDataTable75[[#This Row],[asOf]]),DAY(OneWeekMtgRatesDataTable75[[#This Row],[asOf]]))</f>
        <v>40126</v>
      </c>
      <c r="N1507" s="21">
        <v>4.91</v>
      </c>
      <c r="O1507" s="21">
        <v>0.7</v>
      </c>
      <c r="P1507" s="21">
        <v>4.835</v>
      </c>
    </row>
    <row r="1508" spans="8:16">
      <c r="H1508" s="21"/>
      <c r="I1508" s="21"/>
      <c r="J1508" s="52"/>
      <c r="K1508" s="21"/>
      <c r="L1508" s="21" t="s">
        <v>152</v>
      </c>
      <c r="M1508" s="25">
        <f>DATE(YEAR(OneWeekMtgRatesDataTable75[[#This Row],[asOf]]),MONTH(OneWeekMtgRatesDataTable75[[#This Row],[asOf]]),DAY(OneWeekMtgRatesDataTable75[[#This Row],[asOf]]))</f>
        <v>40123</v>
      </c>
      <c r="N1508" s="21">
        <v>4.91</v>
      </c>
      <c r="O1508" s="21">
        <v>0.7</v>
      </c>
      <c r="P1508" s="21">
        <v>4.835</v>
      </c>
    </row>
    <row r="1509" spans="8:16">
      <c r="H1509" s="21"/>
      <c r="I1509" s="21"/>
      <c r="J1509" s="52"/>
      <c r="K1509" s="21"/>
      <c r="L1509" s="21" t="s">
        <v>151</v>
      </c>
      <c r="M1509" s="25">
        <f>DATE(YEAR(OneWeekMtgRatesDataTable75[[#This Row],[asOf]]),MONTH(OneWeekMtgRatesDataTable75[[#This Row],[asOf]]),DAY(OneWeekMtgRatesDataTable75[[#This Row],[asOf]]))</f>
        <v>40122</v>
      </c>
      <c r="N1509" s="21">
        <v>4.91</v>
      </c>
      <c r="O1509" s="21">
        <v>0.7</v>
      </c>
      <c r="P1509" s="21">
        <v>4.835</v>
      </c>
    </row>
    <row r="1510" spans="8:16">
      <c r="H1510" s="21"/>
      <c r="I1510" s="21"/>
      <c r="J1510" s="52"/>
      <c r="K1510" s="21"/>
      <c r="L1510" s="21" t="s">
        <v>150</v>
      </c>
      <c r="M1510" s="25">
        <f>DATE(YEAR(OneWeekMtgRatesDataTable75[[#This Row],[asOf]]),MONTH(OneWeekMtgRatesDataTable75[[#This Row],[asOf]]),DAY(OneWeekMtgRatesDataTable75[[#This Row],[asOf]]))</f>
        <v>40121</v>
      </c>
      <c r="N1510" s="21">
        <v>4.9800000000000004</v>
      </c>
      <c r="O1510" s="21">
        <v>0.7</v>
      </c>
      <c r="P1510" s="21">
        <v>4.9050000000000002</v>
      </c>
    </row>
    <row r="1511" spans="8:16">
      <c r="H1511" s="21"/>
      <c r="I1511" s="21"/>
      <c r="J1511" s="52"/>
      <c r="K1511" s="21"/>
      <c r="L1511" s="21" t="s">
        <v>149</v>
      </c>
      <c r="M1511" s="25">
        <f>DATE(YEAR(OneWeekMtgRatesDataTable75[[#This Row],[asOf]]),MONTH(OneWeekMtgRatesDataTable75[[#This Row],[asOf]]),DAY(OneWeekMtgRatesDataTable75[[#This Row],[asOf]]))</f>
        <v>40120</v>
      </c>
      <c r="N1511" s="21">
        <v>4.9800000000000004</v>
      </c>
      <c r="O1511" s="21">
        <v>0.7</v>
      </c>
      <c r="P1511" s="21">
        <v>4.9050000000000002</v>
      </c>
    </row>
    <row r="1512" spans="8:16">
      <c r="H1512" s="21"/>
      <c r="I1512" s="21"/>
      <c r="J1512" s="52"/>
      <c r="K1512" s="21"/>
      <c r="L1512" s="21" t="s">
        <v>148</v>
      </c>
      <c r="M1512" s="25">
        <f>DATE(YEAR(OneWeekMtgRatesDataTable75[[#This Row],[asOf]]),MONTH(OneWeekMtgRatesDataTable75[[#This Row],[asOf]]),DAY(OneWeekMtgRatesDataTable75[[#This Row],[asOf]]))</f>
        <v>40119</v>
      </c>
      <c r="N1512" s="21">
        <v>4.9800000000000004</v>
      </c>
      <c r="O1512" s="21">
        <v>0.7</v>
      </c>
      <c r="P1512" s="21">
        <v>4.9050000000000002</v>
      </c>
    </row>
    <row r="1513" spans="8:16">
      <c r="H1513" s="21"/>
      <c r="I1513" s="21"/>
      <c r="J1513" s="52"/>
      <c r="K1513" s="21"/>
      <c r="L1513" s="21" t="s">
        <v>147</v>
      </c>
      <c r="M1513" s="25">
        <f>DATE(YEAR(OneWeekMtgRatesDataTable75[[#This Row],[asOf]]),MONTH(OneWeekMtgRatesDataTable75[[#This Row],[asOf]]),DAY(OneWeekMtgRatesDataTable75[[#This Row],[asOf]]))</f>
        <v>40116</v>
      </c>
      <c r="N1513" s="21">
        <v>4.9800000000000004</v>
      </c>
      <c r="O1513" s="21">
        <v>0.7</v>
      </c>
      <c r="P1513" s="21">
        <v>4.9050000000000002</v>
      </c>
    </row>
    <row r="1514" spans="8:16">
      <c r="H1514" s="21"/>
      <c r="I1514" s="21"/>
      <c r="J1514" s="52"/>
      <c r="K1514" s="21"/>
      <c r="L1514" s="21" t="s">
        <v>146</v>
      </c>
      <c r="M1514" s="25">
        <f>DATE(YEAR(OneWeekMtgRatesDataTable75[[#This Row],[asOf]]),MONTH(OneWeekMtgRatesDataTable75[[#This Row],[asOf]]),DAY(OneWeekMtgRatesDataTable75[[#This Row],[asOf]]))</f>
        <v>40115</v>
      </c>
      <c r="N1514" s="21">
        <v>4.9800000000000004</v>
      </c>
      <c r="O1514" s="21">
        <v>0.7</v>
      </c>
      <c r="P1514" s="21">
        <v>4.9050000000000002</v>
      </c>
    </row>
    <row r="1515" spans="8:16">
      <c r="H1515" s="21"/>
      <c r="I1515" s="21"/>
      <c r="J1515" s="52"/>
      <c r="K1515" s="21"/>
      <c r="L1515" s="21" t="s">
        <v>145</v>
      </c>
      <c r="M1515" s="25">
        <f>DATE(YEAR(OneWeekMtgRatesDataTable75[[#This Row],[asOf]]),MONTH(OneWeekMtgRatesDataTable75[[#This Row],[asOf]]),DAY(OneWeekMtgRatesDataTable75[[#This Row],[asOf]]))</f>
        <v>40114</v>
      </c>
      <c r="N1515" s="21">
        <v>5.03</v>
      </c>
      <c r="O1515" s="21">
        <v>0.7</v>
      </c>
      <c r="P1515" s="21">
        <v>4.9550000000000001</v>
      </c>
    </row>
    <row r="1516" spans="8:16">
      <c r="H1516" s="21"/>
      <c r="I1516" s="21"/>
      <c r="J1516" s="52"/>
      <c r="K1516" s="21"/>
      <c r="L1516" s="21" t="s">
        <v>144</v>
      </c>
      <c r="M1516" s="25">
        <f>DATE(YEAR(OneWeekMtgRatesDataTable75[[#This Row],[asOf]]),MONTH(OneWeekMtgRatesDataTable75[[#This Row],[asOf]]),DAY(OneWeekMtgRatesDataTable75[[#This Row],[asOf]]))</f>
        <v>40113</v>
      </c>
      <c r="N1516" s="21">
        <v>5.03</v>
      </c>
      <c r="O1516" s="21">
        <v>0.7</v>
      </c>
      <c r="P1516" s="21">
        <v>4.9550000000000001</v>
      </c>
    </row>
    <row r="1517" spans="8:16">
      <c r="H1517" s="21"/>
      <c r="I1517" s="21"/>
      <c r="J1517" s="52"/>
      <c r="K1517" s="21"/>
      <c r="L1517" s="21" t="s">
        <v>143</v>
      </c>
      <c r="M1517" s="25">
        <f>DATE(YEAR(OneWeekMtgRatesDataTable75[[#This Row],[asOf]]),MONTH(OneWeekMtgRatesDataTable75[[#This Row],[asOf]]),DAY(OneWeekMtgRatesDataTable75[[#This Row],[asOf]]))</f>
        <v>40112</v>
      </c>
      <c r="N1517" s="21">
        <v>5.03</v>
      </c>
      <c r="O1517" s="21">
        <v>0.7</v>
      </c>
      <c r="P1517" s="21">
        <v>4.9550000000000001</v>
      </c>
    </row>
    <row r="1518" spans="8:16">
      <c r="H1518" s="21"/>
      <c r="I1518" s="21"/>
      <c r="J1518" s="52"/>
      <c r="K1518" s="21"/>
      <c r="L1518" s="21" t="s">
        <v>142</v>
      </c>
      <c r="M1518" s="25">
        <f>DATE(YEAR(OneWeekMtgRatesDataTable75[[#This Row],[asOf]]),MONTH(OneWeekMtgRatesDataTable75[[#This Row],[asOf]]),DAY(OneWeekMtgRatesDataTable75[[#This Row],[asOf]]))</f>
        <v>40109</v>
      </c>
      <c r="N1518" s="21">
        <v>5.03</v>
      </c>
      <c r="O1518" s="21">
        <v>0.7</v>
      </c>
      <c r="P1518" s="21">
        <v>4.9550000000000001</v>
      </c>
    </row>
    <row r="1519" spans="8:16">
      <c r="H1519" s="21"/>
      <c r="I1519" s="21"/>
      <c r="J1519" s="52"/>
      <c r="K1519" s="21"/>
      <c r="L1519" s="21" t="s">
        <v>141</v>
      </c>
      <c r="M1519" s="25">
        <f>DATE(YEAR(OneWeekMtgRatesDataTable75[[#This Row],[asOf]]),MONTH(OneWeekMtgRatesDataTable75[[#This Row],[asOf]]),DAY(OneWeekMtgRatesDataTable75[[#This Row],[asOf]]))</f>
        <v>40108</v>
      </c>
      <c r="N1519" s="21">
        <v>5.03</v>
      </c>
      <c r="O1519" s="21">
        <v>0.7</v>
      </c>
      <c r="P1519" s="21">
        <v>4.9550000000000001</v>
      </c>
    </row>
    <row r="1520" spans="8:16">
      <c r="H1520" s="21"/>
      <c r="I1520" s="21"/>
      <c r="J1520" s="52"/>
      <c r="K1520" s="21"/>
      <c r="L1520" s="21" t="s">
        <v>140</v>
      </c>
      <c r="M1520" s="25">
        <f>DATE(YEAR(OneWeekMtgRatesDataTable75[[#This Row],[asOf]]),MONTH(OneWeekMtgRatesDataTable75[[#This Row],[asOf]]),DAY(OneWeekMtgRatesDataTable75[[#This Row],[asOf]]))</f>
        <v>40107</v>
      </c>
      <c r="N1520" s="21">
        <v>5</v>
      </c>
      <c r="O1520" s="21">
        <v>0.7</v>
      </c>
      <c r="P1520" s="21">
        <v>4.9249999999999998</v>
      </c>
    </row>
    <row r="1521" spans="8:16">
      <c r="H1521" s="21"/>
      <c r="I1521" s="21"/>
      <c r="J1521" s="52"/>
      <c r="K1521" s="21"/>
      <c r="L1521" s="21" t="s">
        <v>139</v>
      </c>
      <c r="M1521" s="25">
        <f>DATE(YEAR(OneWeekMtgRatesDataTable75[[#This Row],[asOf]]),MONTH(OneWeekMtgRatesDataTable75[[#This Row],[asOf]]),DAY(OneWeekMtgRatesDataTable75[[#This Row],[asOf]]))</f>
        <v>40106</v>
      </c>
      <c r="N1521" s="21">
        <v>5</v>
      </c>
      <c r="O1521" s="21">
        <v>0.7</v>
      </c>
      <c r="P1521" s="21">
        <v>4.9249999999999998</v>
      </c>
    </row>
    <row r="1522" spans="8:16">
      <c r="H1522" s="21"/>
      <c r="I1522" s="21"/>
      <c r="J1522" s="52"/>
      <c r="K1522" s="32"/>
      <c r="L1522" s="32" t="s">
        <v>138</v>
      </c>
      <c r="M1522" s="25">
        <f>DATE(YEAR(OneWeekMtgRatesDataTable75[[#This Row],[asOf]]),MONTH(OneWeekMtgRatesDataTable75[[#This Row],[asOf]]),DAY(OneWeekMtgRatesDataTable75[[#This Row],[asOf]]))</f>
        <v>40105</v>
      </c>
      <c r="N1522" s="32">
        <v>5</v>
      </c>
      <c r="O1522" s="32">
        <v>0.7</v>
      </c>
      <c r="P1522" s="32">
        <v>4.9249999999999998</v>
      </c>
    </row>
    <row r="1523" spans="8:16">
      <c r="H1523" s="21"/>
      <c r="I1523" s="21"/>
      <c r="J1523" s="52"/>
      <c r="K1523" s="32"/>
      <c r="L1523" s="32" t="s">
        <v>137</v>
      </c>
      <c r="M1523" s="25">
        <f>DATE(YEAR(OneWeekMtgRatesDataTable75[[#This Row],[asOf]]),MONTH(OneWeekMtgRatesDataTable75[[#This Row],[asOf]]),DAY(OneWeekMtgRatesDataTable75[[#This Row],[asOf]]))</f>
        <v>40102</v>
      </c>
      <c r="N1523" s="32">
        <v>5</v>
      </c>
      <c r="O1523" s="32">
        <v>0.7</v>
      </c>
      <c r="P1523" s="32">
        <v>4.9249999999999998</v>
      </c>
    </row>
    <row r="1524" spans="8:16">
      <c r="H1524" s="21"/>
      <c r="I1524" s="21"/>
      <c r="J1524" s="52"/>
      <c r="K1524" s="32"/>
      <c r="L1524" s="32" t="s">
        <v>136</v>
      </c>
      <c r="M1524" s="25">
        <f>DATE(YEAR(OneWeekMtgRatesDataTable75[[#This Row],[asOf]]),MONTH(OneWeekMtgRatesDataTable75[[#This Row],[asOf]]),DAY(OneWeekMtgRatesDataTable75[[#This Row],[asOf]]))</f>
        <v>40101</v>
      </c>
      <c r="N1524" s="32">
        <v>5</v>
      </c>
      <c r="O1524" s="32">
        <v>0.7</v>
      </c>
      <c r="P1524" s="32">
        <v>4.9249999999999998</v>
      </c>
    </row>
    <row r="1525" spans="8:16">
      <c r="H1525" s="21"/>
      <c r="I1525" s="21"/>
      <c r="J1525" s="52"/>
      <c r="K1525" s="32"/>
      <c r="L1525" s="32" t="s">
        <v>135</v>
      </c>
      <c r="M1525" s="25">
        <f>DATE(YEAR(OneWeekMtgRatesDataTable75[[#This Row],[asOf]]),MONTH(OneWeekMtgRatesDataTable75[[#This Row],[asOf]]),DAY(OneWeekMtgRatesDataTable75[[#This Row],[asOf]]))</f>
        <v>40100</v>
      </c>
      <c r="N1525" s="32">
        <v>4.92</v>
      </c>
      <c r="O1525" s="32">
        <v>0.7</v>
      </c>
      <c r="P1525" s="32">
        <v>4.8449999999999998</v>
      </c>
    </row>
    <row r="1526" spans="8:16">
      <c r="H1526" s="21"/>
      <c r="I1526" s="21"/>
      <c r="J1526" s="52"/>
      <c r="K1526" s="32"/>
      <c r="L1526" s="32" t="s">
        <v>134</v>
      </c>
      <c r="M1526" s="25">
        <f>DATE(YEAR(OneWeekMtgRatesDataTable75[[#This Row],[asOf]]),MONTH(OneWeekMtgRatesDataTable75[[#This Row],[asOf]]),DAY(OneWeekMtgRatesDataTable75[[#This Row],[asOf]]))</f>
        <v>40099</v>
      </c>
      <c r="N1526" s="32">
        <v>4.92</v>
      </c>
      <c r="O1526" s="32">
        <v>0.7</v>
      </c>
      <c r="P1526" s="32">
        <v>4.8449999999999998</v>
      </c>
    </row>
    <row r="1527" spans="8:16">
      <c r="H1527" s="21"/>
      <c r="I1527" s="21"/>
      <c r="J1527" s="52"/>
      <c r="K1527" s="32"/>
      <c r="L1527" s="32" t="s">
        <v>133</v>
      </c>
      <c r="M1527" s="25">
        <f>DATE(YEAR(OneWeekMtgRatesDataTable75[[#This Row],[asOf]]),MONTH(OneWeekMtgRatesDataTable75[[#This Row],[asOf]]),DAY(OneWeekMtgRatesDataTable75[[#This Row],[asOf]]))</f>
        <v>40095</v>
      </c>
      <c r="N1527" s="32">
        <v>4.92</v>
      </c>
      <c r="O1527" s="32">
        <v>0.7</v>
      </c>
      <c r="P1527" s="32">
        <v>4.8449999999999998</v>
      </c>
    </row>
    <row r="1528" spans="8:16">
      <c r="H1528" s="21"/>
      <c r="I1528" s="21"/>
      <c r="J1528" s="52"/>
      <c r="K1528" s="32"/>
      <c r="L1528" s="32" t="s">
        <v>132</v>
      </c>
      <c r="M1528" s="25">
        <f>DATE(YEAR(OneWeekMtgRatesDataTable75[[#This Row],[asOf]]),MONTH(OneWeekMtgRatesDataTable75[[#This Row],[asOf]]),DAY(OneWeekMtgRatesDataTable75[[#This Row],[asOf]]))</f>
        <v>40094</v>
      </c>
      <c r="N1528" s="32">
        <v>4.92</v>
      </c>
      <c r="O1528" s="32">
        <v>0.7</v>
      </c>
      <c r="P1528" s="32">
        <v>4.8449999999999998</v>
      </c>
    </row>
    <row r="1529" spans="8:16">
      <c r="H1529" s="21"/>
      <c r="I1529" s="21"/>
      <c r="J1529" s="52"/>
      <c r="K1529" s="32"/>
      <c r="L1529" s="32" t="s">
        <v>131</v>
      </c>
      <c r="M1529" s="25">
        <f>DATE(YEAR(OneWeekMtgRatesDataTable75[[#This Row],[asOf]]),MONTH(OneWeekMtgRatesDataTable75[[#This Row],[asOf]]),DAY(OneWeekMtgRatesDataTable75[[#This Row],[asOf]]))</f>
        <v>40093</v>
      </c>
      <c r="N1529" s="32">
        <v>4.87</v>
      </c>
      <c r="O1529" s="32">
        <v>0.7</v>
      </c>
      <c r="P1529" s="32">
        <v>4.7949999999999999</v>
      </c>
    </row>
    <row r="1530" spans="8:16">
      <c r="H1530" s="21"/>
      <c r="I1530" s="21"/>
      <c r="J1530" s="52"/>
      <c r="K1530" s="32"/>
      <c r="L1530" s="32" t="s">
        <v>130</v>
      </c>
      <c r="M1530" s="25">
        <f>DATE(YEAR(OneWeekMtgRatesDataTable75[[#This Row],[asOf]]),MONTH(OneWeekMtgRatesDataTable75[[#This Row],[asOf]]),DAY(OneWeekMtgRatesDataTable75[[#This Row],[asOf]]))</f>
        <v>40092</v>
      </c>
      <c r="N1530" s="32">
        <v>4.87</v>
      </c>
      <c r="O1530" s="32">
        <v>0.7</v>
      </c>
      <c r="P1530" s="32">
        <v>4.7949999999999999</v>
      </c>
    </row>
    <row r="1531" spans="8:16">
      <c r="H1531" s="21"/>
      <c r="I1531" s="21"/>
      <c r="J1531" s="52"/>
      <c r="K1531" s="32"/>
      <c r="L1531" s="32" t="s">
        <v>129</v>
      </c>
      <c r="M1531" s="25">
        <f>DATE(YEAR(OneWeekMtgRatesDataTable75[[#This Row],[asOf]]),MONTH(OneWeekMtgRatesDataTable75[[#This Row],[asOf]]),DAY(OneWeekMtgRatesDataTable75[[#This Row],[asOf]]))</f>
        <v>40091</v>
      </c>
      <c r="N1531" s="32">
        <v>4.87</v>
      </c>
      <c r="O1531" s="32">
        <v>0.7</v>
      </c>
      <c r="P1531" s="32">
        <v>4.7949999999999999</v>
      </c>
    </row>
    <row r="1532" spans="8:16">
      <c r="H1532" s="21"/>
      <c r="I1532" s="21"/>
      <c r="J1532" s="52"/>
      <c r="K1532" s="32"/>
      <c r="L1532" s="32" t="s">
        <v>128</v>
      </c>
      <c r="M1532" s="25">
        <f>DATE(YEAR(OneWeekMtgRatesDataTable75[[#This Row],[asOf]]),MONTH(OneWeekMtgRatesDataTable75[[#This Row],[asOf]]),DAY(OneWeekMtgRatesDataTable75[[#This Row],[asOf]]))</f>
        <v>40088</v>
      </c>
      <c r="N1532" s="32">
        <v>4.87</v>
      </c>
      <c r="O1532" s="32">
        <v>0.7</v>
      </c>
      <c r="P1532" s="32">
        <v>4.7949999999999999</v>
      </c>
    </row>
    <row r="1533" spans="8:16">
      <c r="H1533" s="21"/>
      <c r="I1533" s="21"/>
      <c r="J1533" s="52"/>
      <c r="K1533" s="32"/>
      <c r="L1533" s="32" t="s">
        <v>127</v>
      </c>
      <c r="M1533" s="25">
        <f>DATE(YEAR(OneWeekMtgRatesDataTable75[[#This Row],[asOf]]),MONTH(OneWeekMtgRatesDataTable75[[#This Row],[asOf]]),DAY(OneWeekMtgRatesDataTable75[[#This Row],[asOf]]))</f>
        <v>40087</v>
      </c>
      <c r="N1533" s="32">
        <v>4.87</v>
      </c>
      <c r="O1533" s="32">
        <v>0.7</v>
      </c>
      <c r="P1533" s="32">
        <v>4.7949999999999999</v>
      </c>
    </row>
    <row r="1534" spans="8:16">
      <c r="H1534" s="21"/>
      <c r="I1534" s="21"/>
      <c r="J1534" s="52"/>
      <c r="K1534" s="32"/>
      <c r="L1534" s="32" t="s">
        <v>126</v>
      </c>
      <c r="M1534" s="25">
        <f>DATE(YEAR(OneWeekMtgRatesDataTable75[[#This Row],[asOf]]),MONTH(OneWeekMtgRatesDataTable75[[#This Row],[asOf]]),DAY(OneWeekMtgRatesDataTable75[[#This Row],[asOf]]))</f>
        <v>40086</v>
      </c>
      <c r="N1534" s="32">
        <v>4.9400000000000004</v>
      </c>
      <c r="O1534" s="32">
        <v>0.7</v>
      </c>
      <c r="P1534" s="32">
        <v>4.8650000000000002</v>
      </c>
    </row>
    <row r="1535" spans="8:16">
      <c r="H1535" s="21"/>
      <c r="I1535" s="21"/>
      <c r="J1535" s="52"/>
      <c r="K1535" s="32"/>
      <c r="L1535" s="32" t="s">
        <v>125</v>
      </c>
      <c r="M1535" s="25">
        <f>DATE(YEAR(OneWeekMtgRatesDataTable75[[#This Row],[asOf]]),MONTH(OneWeekMtgRatesDataTable75[[#This Row],[asOf]]),DAY(OneWeekMtgRatesDataTable75[[#This Row],[asOf]]))</f>
        <v>40085</v>
      </c>
      <c r="N1535" s="32">
        <v>4.9400000000000004</v>
      </c>
      <c r="O1535" s="32">
        <v>0.7</v>
      </c>
      <c r="P1535" s="32">
        <v>4.8650000000000002</v>
      </c>
    </row>
    <row r="1536" spans="8:16">
      <c r="H1536" s="21"/>
      <c r="I1536" s="21"/>
      <c r="J1536" s="52"/>
      <c r="K1536" s="32"/>
      <c r="L1536" s="32" t="s">
        <v>124</v>
      </c>
      <c r="M1536" s="25">
        <f>DATE(YEAR(OneWeekMtgRatesDataTable75[[#This Row],[asOf]]),MONTH(OneWeekMtgRatesDataTable75[[#This Row],[asOf]]),DAY(OneWeekMtgRatesDataTable75[[#This Row],[asOf]]))</f>
        <v>40084</v>
      </c>
      <c r="N1536" s="32">
        <v>4.9400000000000004</v>
      </c>
      <c r="O1536" s="32">
        <v>0.7</v>
      </c>
      <c r="P1536" s="32">
        <v>4.8650000000000002</v>
      </c>
    </row>
    <row r="1537" spans="8:16">
      <c r="H1537" s="21"/>
      <c r="I1537" s="21"/>
      <c r="J1537" s="52"/>
      <c r="K1537" s="32"/>
      <c r="L1537" s="32" t="s">
        <v>123</v>
      </c>
      <c r="M1537" s="25">
        <f>DATE(YEAR(OneWeekMtgRatesDataTable75[[#This Row],[asOf]]),MONTH(OneWeekMtgRatesDataTable75[[#This Row],[asOf]]),DAY(OneWeekMtgRatesDataTable75[[#This Row],[asOf]]))</f>
        <v>40081</v>
      </c>
      <c r="N1537" s="32">
        <v>4.9400000000000004</v>
      </c>
      <c r="O1537" s="32">
        <v>0.7</v>
      </c>
      <c r="P1537" s="32">
        <v>4.8650000000000002</v>
      </c>
    </row>
    <row r="1538" spans="8:16">
      <c r="H1538" s="21"/>
      <c r="I1538" s="21"/>
      <c r="J1538" s="52"/>
      <c r="K1538" s="32"/>
      <c r="L1538" s="32" t="s">
        <v>122</v>
      </c>
      <c r="M1538" s="25">
        <f>DATE(YEAR(OneWeekMtgRatesDataTable75[[#This Row],[asOf]]),MONTH(OneWeekMtgRatesDataTable75[[#This Row],[asOf]]),DAY(OneWeekMtgRatesDataTable75[[#This Row],[asOf]]))</f>
        <v>40080</v>
      </c>
      <c r="N1538" s="32">
        <v>4.9400000000000004</v>
      </c>
      <c r="O1538" s="32">
        <v>0.7</v>
      </c>
      <c r="P1538" s="32">
        <v>4.8650000000000002</v>
      </c>
    </row>
    <row r="1539" spans="8:16">
      <c r="H1539" s="21"/>
      <c r="I1539" s="21"/>
      <c r="J1539" s="52"/>
      <c r="K1539" s="32"/>
      <c r="L1539" s="32" t="s">
        <v>121</v>
      </c>
      <c r="M1539" s="25">
        <f>DATE(YEAR(OneWeekMtgRatesDataTable75[[#This Row],[asOf]]),MONTH(OneWeekMtgRatesDataTable75[[#This Row],[asOf]]),DAY(OneWeekMtgRatesDataTable75[[#This Row],[asOf]]))</f>
        <v>40079</v>
      </c>
      <c r="N1539" s="32">
        <v>5.04</v>
      </c>
      <c r="O1539" s="32">
        <v>0.6</v>
      </c>
      <c r="P1539" s="32">
        <v>4.9400000000000004</v>
      </c>
    </row>
    <row r="1540" spans="8:16">
      <c r="H1540" s="21"/>
      <c r="I1540" s="21"/>
      <c r="J1540" s="52"/>
      <c r="K1540" s="32"/>
      <c r="L1540" s="32" t="s">
        <v>120</v>
      </c>
      <c r="M1540" s="25">
        <f>DATE(YEAR(OneWeekMtgRatesDataTable75[[#This Row],[asOf]]),MONTH(OneWeekMtgRatesDataTable75[[#This Row],[asOf]]),DAY(OneWeekMtgRatesDataTable75[[#This Row],[asOf]]))</f>
        <v>40078</v>
      </c>
      <c r="N1540" s="32">
        <v>5.04</v>
      </c>
      <c r="O1540" s="32">
        <v>0.6</v>
      </c>
      <c r="P1540" s="32">
        <v>4.9400000000000004</v>
      </c>
    </row>
    <row r="1541" spans="8:16">
      <c r="H1541" s="21"/>
      <c r="I1541" s="21"/>
      <c r="J1541" s="52"/>
      <c r="K1541" s="32"/>
      <c r="L1541" s="32" t="s">
        <v>119</v>
      </c>
      <c r="M1541" s="25">
        <f>DATE(YEAR(OneWeekMtgRatesDataTable75[[#This Row],[asOf]]),MONTH(OneWeekMtgRatesDataTable75[[#This Row],[asOf]]),DAY(OneWeekMtgRatesDataTable75[[#This Row],[asOf]]))</f>
        <v>40077</v>
      </c>
      <c r="N1541" s="32">
        <v>5.04</v>
      </c>
      <c r="O1541" s="32">
        <v>0.6</v>
      </c>
      <c r="P1541" s="32">
        <v>4.9400000000000004</v>
      </c>
    </row>
    <row r="1542" spans="8:16">
      <c r="H1542" s="21"/>
      <c r="I1542" s="21"/>
      <c r="J1542" s="52"/>
      <c r="K1542" s="32"/>
      <c r="L1542" s="32" t="s">
        <v>118</v>
      </c>
      <c r="M1542" s="25">
        <f>DATE(YEAR(OneWeekMtgRatesDataTable75[[#This Row],[asOf]]),MONTH(OneWeekMtgRatesDataTable75[[#This Row],[asOf]]),DAY(OneWeekMtgRatesDataTable75[[#This Row],[asOf]]))</f>
        <v>40074</v>
      </c>
      <c r="N1542" s="32">
        <v>5.04</v>
      </c>
      <c r="O1542" s="32">
        <v>0.6</v>
      </c>
      <c r="P1542" s="32">
        <v>4.9400000000000004</v>
      </c>
    </row>
    <row r="1543" spans="8:16">
      <c r="H1543" s="21"/>
      <c r="I1543" s="21"/>
      <c r="J1543" s="52"/>
      <c r="K1543" s="21"/>
      <c r="L1543" s="21" t="s">
        <v>117</v>
      </c>
      <c r="M1543" s="25">
        <f>DATE(YEAR(OneWeekMtgRatesDataTable75[[#This Row],[asOf]]),MONTH(OneWeekMtgRatesDataTable75[[#This Row],[asOf]]),DAY(OneWeekMtgRatesDataTable75[[#This Row],[asOf]]))</f>
        <v>40073</v>
      </c>
      <c r="N1543" s="21">
        <v>5.04</v>
      </c>
      <c r="O1543" s="21">
        <v>0.6</v>
      </c>
      <c r="P1543" s="21">
        <v>4.9400000000000004</v>
      </c>
    </row>
    <row r="1544" spans="8:16">
      <c r="H1544" s="21"/>
      <c r="I1544" s="21"/>
      <c r="J1544" s="52"/>
      <c r="K1544" s="21"/>
      <c r="L1544" s="21" t="s">
        <v>116</v>
      </c>
      <c r="M1544" s="25">
        <f>DATE(YEAR(OneWeekMtgRatesDataTable75[[#This Row],[asOf]]),MONTH(OneWeekMtgRatesDataTable75[[#This Row],[asOf]]),DAY(OneWeekMtgRatesDataTable75[[#This Row],[asOf]]))</f>
        <v>40072</v>
      </c>
      <c r="N1544" s="21">
        <v>5.04</v>
      </c>
      <c r="O1544" s="21">
        <v>0.7</v>
      </c>
      <c r="P1544" s="21">
        <v>4.9649999999999999</v>
      </c>
    </row>
    <row r="1545" spans="8:16">
      <c r="H1545" s="21"/>
      <c r="I1545" s="21"/>
      <c r="J1545" s="52"/>
      <c r="K1545" s="21"/>
      <c r="L1545" s="21" t="s">
        <v>115</v>
      </c>
      <c r="M1545" s="25">
        <f>DATE(YEAR(OneWeekMtgRatesDataTable75[[#This Row],[asOf]]),MONTH(OneWeekMtgRatesDataTable75[[#This Row],[asOf]]),DAY(OneWeekMtgRatesDataTable75[[#This Row],[asOf]]))</f>
        <v>40071</v>
      </c>
      <c r="N1545" s="21">
        <v>5.04</v>
      </c>
      <c r="O1545" s="21">
        <v>0.7</v>
      </c>
      <c r="P1545" s="21">
        <v>4.9649999999999999</v>
      </c>
    </row>
    <row r="1546" spans="8:16">
      <c r="H1546" s="21"/>
      <c r="I1546" s="21"/>
      <c r="J1546" s="52"/>
      <c r="K1546" s="21"/>
      <c r="L1546" s="21" t="s">
        <v>114</v>
      </c>
      <c r="M1546" s="25">
        <f>DATE(YEAR(OneWeekMtgRatesDataTable75[[#This Row],[asOf]]),MONTH(OneWeekMtgRatesDataTable75[[#This Row],[asOf]]),DAY(OneWeekMtgRatesDataTable75[[#This Row],[asOf]]))</f>
        <v>40070</v>
      </c>
      <c r="N1546" s="21">
        <v>5.04</v>
      </c>
      <c r="O1546" s="21">
        <v>0.7</v>
      </c>
      <c r="P1546" s="21">
        <v>4.9649999999999999</v>
      </c>
    </row>
    <row r="1547" spans="8:16">
      <c r="H1547" s="21"/>
      <c r="I1547" s="21"/>
      <c r="J1547" s="52"/>
      <c r="K1547" s="21"/>
      <c r="L1547" s="21" t="s">
        <v>113</v>
      </c>
      <c r="M1547" s="25">
        <f>DATE(YEAR(OneWeekMtgRatesDataTable75[[#This Row],[asOf]]),MONTH(OneWeekMtgRatesDataTable75[[#This Row],[asOf]]),DAY(OneWeekMtgRatesDataTable75[[#This Row],[asOf]]))</f>
        <v>40067</v>
      </c>
      <c r="N1547" s="21">
        <v>5.04</v>
      </c>
      <c r="O1547" s="21">
        <v>0.7</v>
      </c>
      <c r="P1547" s="21">
        <v>4.9649999999999999</v>
      </c>
    </row>
    <row r="1548" spans="8:16">
      <c r="H1548" s="21"/>
      <c r="I1548" s="21"/>
      <c r="J1548" s="52"/>
      <c r="K1548" s="21"/>
      <c r="L1548" s="21" t="s">
        <v>112</v>
      </c>
      <c r="M1548" s="25">
        <f>DATE(YEAR(OneWeekMtgRatesDataTable75[[#This Row],[asOf]]),MONTH(OneWeekMtgRatesDataTable75[[#This Row],[asOf]]),DAY(OneWeekMtgRatesDataTable75[[#This Row],[asOf]]))</f>
        <v>40066</v>
      </c>
      <c r="N1548" s="21">
        <v>5.04</v>
      </c>
      <c r="O1548" s="21">
        <v>0.7</v>
      </c>
      <c r="P1548" s="21">
        <v>4.9649999999999999</v>
      </c>
    </row>
    <row r="1549" spans="8:16">
      <c r="H1549" s="21"/>
      <c r="I1549" s="21"/>
      <c r="J1549" s="52"/>
      <c r="K1549" s="21"/>
      <c r="L1549" s="21" t="s">
        <v>111</v>
      </c>
      <c r="M1549" s="25">
        <f>DATE(YEAR(OneWeekMtgRatesDataTable75[[#This Row],[asOf]]),MONTH(OneWeekMtgRatesDataTable75[[#This Row],[asOf]]),DAY(OneWeekMtgRatesDataTable75[[#This Row],[asOf]]))</f>
        <v>40065</v>
      </c>
      <c r="N1549" s="21">
        <v>5.07</v>
      </c>
      <c r="O1549" s="21">
        <v>0.7</v>
      </c>
      <c r="P1549" s="21">
        <v>4.9950000000000001</v>
      </c>
    </row>
    <row r="1550" spans="8:16">
      <c r="H1550" s="21"/>
      <c r="I1550" s="21"/>
      <c r="J1550" s="52"/>
      <c r="K1550" s="21"/>
      <c r="L1550" s="21" t="s">
        <v>110</v>
      </c>
      <c r="M1550" s="25">
        <f>DATE(YEAR(OneWeekMtgRatesDataTable75[[#This Row],[asOf]]),MONTH(OneWeekMtgRatesDataTable75[[#This Row],[asOf]]),DAY(OneWeekMtgRatesDataTable75[[#This Row],[asOf]]))</f>
        <v>40064</v>
      </c>
      <c r="N1550" s="21">
        <v>5.07</v>
      </c>
      <c r="O1550" s="21">
        <v>0.7</v>
      </c>
      <c r="P1550" s="21">
        <v>4.9950000000000001</v>
      </c>
    </row>
    <row r="1551" spans="8:16">
      <c r="H1551" s="21"/>
      <c r="I1551" s="21"/>
      <c r="J1551" s="52"/>
      <c r="K1551" s="21"/>
      <c r="L1551" s="21" t="s">
        <v>109</v>
      </c>
      <c r="M1551" s="25">
        <f>DATE(YEAR(OneWeekMtgRatesDataTable75[[#This Row],[asOf]]),MONTH(OneWeekMtgRatesDataTable75[[#This Row],[asOf]]),DAY(OneWeekMtgRatesDataTable75[[#This Row],[asOf]]))</f>
        <v>40060</v>
      </c>
      <c r="N1551" s="21">
        <v>5.07</v>
      </c>
      <c r="O1551" s="21">
        <v>0.7</v>
      </c>
      <c r="P1551" s="21">
        <v>4.9950000000000001</v>
      </c>
    </row>
    <row r="1552" spans="8:16">
      <c r="H1552" s="21"/>
      <c r="I1552" s="21"/>
      <c r="J1552" s="52"/>
      <c r="K1552" s="21"/>
      <c r="L1552" s="21" t="s">
        <v>108</v>
      </c>
      <c r="M1552" s="25">
        <f>DATE(YEAR(OneWeekMtgRatesDataTable75[[#This Row],[asOf]]),MONTH(OneWeekMtgRatesDataTable75[[#This Row],[asOf]]),DAY(OneWeekMtgRatesDataTable75[[#This Row],[asOf]]))</f>
        <v>40059</v>
      </c>
      <c r="N1552" s="21">
        <v>5.07</v>
      </c>
      <c r="O1552" s="21">
        <v>0.7</v>
      </c>
      <c r="P1552" s="21">
        <v>4.9950000000000001</v>
      </c>
    </row>
    <row r="1553" spans="8:16">
      <c r="H1553" s="21"/>
      <c r="I1553" s="21"/>
      <c r="J1553" s="52"/>
      <c r="K1553" s="21"/>
      <c r="L1553" s="21" t="s">
        <v>107</v>
      </c>
      <c r="M1553" s="25">
        <f>DATE(YEAR(OneWeekMtgRatesDataTable75[[#This Row],[asOf]]),MONTH(OneWeekMtgRatesDataTable75[[#This Row],[asOf]]),DAY(OneWeekMtgRatesDataTable75[[#This Row],[asOf]]))</f>
        <v>40058</v>
      </c>
      <c r="N1553" s="21">
        <v>5.08</v>
      </c>
      <c r="O1553" s="21">
        <v>0.7</v>
      </c>
      <c r="P1553" s="21">
        <v>5.0049999999999999</v>
      </c>
    </row>
    <row r="1554" spans="8:16">
      <c r="H1554" s="21"/>
      <c r="I1554" s="21"/>
      <c r="J1554" s="52"/>
      <c r="K1554" s="21"/>
      <c r="L1554" s="21" t="s">
        <v>106</v>
      </c>
      <c r="M1554" s="25">
        <f>DATE(YEAR(OneWeekMtgRatesDataTable75[[#This Row],[asOf]]),MONTH(OneWeekMtgRatesDataTable75[[#This Row],[asOf]]),DAY(OneWeekMtgRatesDataTable75[[#This Row],[asOf]]))</f>
        <v>40057</v>
      </c>
      <c r="N1554" s="21">
        <v>5.08</v>
      </c>
      <c r="O1554" s="21">
        <v>0.7</v>
      </c>
      <c r="P1554" s="21">
        <v>5.0049999999999999</v>
      </c>
    </row>
    <row r="1555" spans="8:16">
      <c r="H1555" s="21"/>
      <c r="I1555" s="21"/>
      <c r="J1555" s="52"/>
      <c r="K1555" s="21"/>
      <c r="L1555" s="21" t="s">
        <v>105</v>
      </c>
      <c r="M1555" s="25">
        <f>DATE(YEAR(OneWeekMtgRatesDataTable75[[#This Row],[asOf]]),MONTH(OneWeekMtgRatesDataTable75[[#This Row],[asOf]]),DAY(OneWeekMtgRatesDataTable75[[#This Row],[asOf]]))</f>
        <v>40056</v>
      </c>
      <c r="N1555" s="21">
        <v>5.08</v>
      </c>
      <c r="O1555" s="21">
        <v>0.7</v>
      </c>
      <c r="P1555" s="21">
        <v>5.0049999999999999</v>
      </c>
    </row>
    <row r="1556" spans="8:16">
      <c r="H1556" s="21"/>
      <c r="I1556" s="21"/>
      <c r="J1556" s="52"/>
      <c r="K1556" s="21"/>
      <c r="L1556" s="21" t="s">
        <v>104</v>
      </c>
      <c r="M1556" s="25">
        <f>DATE(YEAR(OneWeekMtgRatesDataTable75[[#This Row],[asOf]]),MONTH(OneWeekMtgRatesDataTable75[[#This Row],[asOf]]),DAY(OneWeekMtgRatesDataTable75[[#This Row],[asOf]]))</f>
        <v>40053</v>
      </c>
      <c r="N1556" s="21">
        <v>5.08</v>
      </c>
      <c r="O1556" s="21">
        <v>0.7</v>
      </c>
      <c r="P1556" s="21">
        <v>5.0049999999999999</v>
      </c>
    </row>
    <row r="1557" spans="8:16">
      <c r="H1557" s="21"/>
      <c r="I1557" s="21"/>
      <c r="J1557" s="52"/>
      <c r="K1557" s="21"/>
      <c r="L1557" s="21" t="s">
        <v>103</v>
      </c>
      <c r="M1557" s="25">
        <f>DATE(YEAR(OneWeekMtgRatesDataTable75[[#This Row],[asOf]]),MONTH(OneWeekMtgRatesDataTable75[[#This Row],[asOf]]),DAY(OneWeekMtgRatesDataTable75[[#This Row],[asOf]]))</f>
        <v>40052</v>
      </c>
      <c r="N1557" s="21">
        <v>5.08</v>
      </c>
      <c r="O1557" s="21">
        <v>0.7</v>
      </c>
      <c r="P1557" s="21">
        <v>5.0049999999999999</v>
      </c>
    </row>
    <row r="1558" spans="8:16">
      <c r="H1558" s="21"/>
      <c r="I1558" s="21"/>
      <c r="J1558" s="52"/>
      <c r="K1558" s="21"/>
      <c r="L1558" s="21" t="s">
        <v>102</v>
      </c>
      <c r="M1558" s="25">
        <f>DATE(YEAR(OneWeekMtgRatesDataTable75[[#This Row],[asOf]]),MONTH(OneWeekMtgRatesDataTable75[[#This Row],[asOf]]),DAY(OneWeekMtgRatesDataTable75[[#This Row],[asOf]]))</f>
        <v>40051</v>
      </c>
      <c r="N1558" s="21">
        <v>5.14</v>
      </c>
      <c r="O1558" s="21">
        <v>0.7</v>
      </c>
      <c r="P1558" s="21">
        <v>5.0649999999999995</v>
      </c>
    </row>
    <row r="1559" spans="8:16">
      <c r="H1559" s="21"/>
      <c r="I1559" s="21"/>
      <c r="J1559" s="52"/>
      <c r="K1559" s="21"/>
      <c r="L1559" s="21" t="s">
        <v>101</v>
      </c>
      <c r="M1559" s="25">
        <f>DATE(YEAR(OneWeekMtgRatesDataTable75[[#This Row],[asOf]]),MONTH(OneWeekMtgRatesDataTable75[[#This Row],[asOf]]),DAY(OneWeekMtgRatesDataTable75[[#This Row],[asOf]]))</f>
        <v>40050</v>
      </c>
      <c r="N1559" s="21">
        <v>5.14</v>
      </c>
      <c r="O1559" s="21">
        <v>0.7</v>
      </c>
      <c r="P1559" s="21">
        <v>5.0649999999999995</v>
      </c>
    </row>
    <row r="1560" spans="8:16">
      <c r="H1560" s="21"/>
      <c r="I1560" s="21"/>
      <c r="J1560" s="52"/>
      <c r="K1560" s="21"/>
      <c r="L1560" s="21" t="s">
        <v>100</v>
      </c>
      <c r="M1560" s="25">
        <f>DATE(YEAR(OneWeekMtgRatesDataTable75[[#This Row],[asOf]]),MONTH(OneWeekMtgRatesDataTable75[[#This Row],[asOf]]),DAY(OneWeekMtgRatesDataTable75[[#This Row],[asOf]]))</f>
        <v>40049</v>
      </c>
      <c r="N1560" s="21">
        <v>5.14</v>
      </c>
      <c r="O1560" s="21">
        <v>0.7</v>
      </c>
      <c r="P1560" s="21">
        <v>5.0649999999999995</v>
      </c>
    </row>
    <row r="1561" spans="8:16">
      <c r="H1561" s="21"/>
      <c r="I1561" s="21"/>
      <c r="J1561" s="52"/>
      <c r="K1561" s="21"/>
      <c r="L1561" s="21" t="s">
        <v>99</v>
      </c>
      <c r="M1561" s="25">
        <f>DATE(YEAR(OneWeekMtgRatesDataTable75[[#This Row],[asOf]]),MONTH(OneWeekMtgRatesDataTable75[[#This Row],[asOf]]),DAY(OneWeekMtgRatesDataTable75[[#This Row],[asOf]]))</f>
        <v>40046</v>
      </c>
      <c r="N1561" s="21">
        <v>5.14</v>
      </c>
      <c r="O1561" s="21">
        <v>0.7</v>
      </c>
      <c r="P1561" s="21">
        <v>5.0649999999999995</v>
      </c>
    </row>
    <row r="1562" spans="8:16">
      <c r="H1562" s="21"/>
      <c r="I1562" s="21"/>
      <c r="J1562" s="52"/>
      <c r="K1562" s="21"/>
      <c r="L1562" s="21" t="s">
        <v>98</v>
      </c>
      <c r="M1562" s="25">
        <f>DATE(YEAR(OneWeekMtgRatesDataTable75[[#This Row],[asOf]]),MONTH(OneWeekMtgRatesDataTable75[[#This Row],[asOf]]),DAY(OneWeekMtgRatesDataTable75[[#This Row],[asOf]]))</f>
        <v>40045</v>
      </c>
      <c r="N1562" s="21">
        <v>5.14</v>
      </c>
      <c r="O1562" s="21">
        <v>0.7</v>
      </c>
      <c r="P1562" s="21">
        <v>5.0649999999999995</v>
      </c>
    </row>
    <row r="1563" spans="8:16">
      <c r="H1563" s="21"/>
      <c r="I1563" s="21"/>
      <c r="J1563" s="52"/>
      <c r="K1563" s="21"/>
      <c r="L1563" s="21" t="s">
        <v>97</v>
      </c>
      <c r="M1563" s="25">
        <f>DATE(YEAR(OneWeekMtgRatesDataTable75[[#This Row],[asOf]]),MONTH(OneWeekMtgRatesDataTable75[[#This Row],[asOf]]),DAY(OneWeekMtgRatesDataTable75[[#This Row],[asOf]]))</f>
        <v>40044</v>
      </c>
      <c r="N1563" s="21">
        <v>5.12</v>
      </c>
      <c r="O1563" s="21">
        <v>0.7</v>
      </c>
      <c r="P1563" s="21">
        <v>5.0449999999999999</v>
      </c>
    </row>
    <row r="1564" spans="8:16">
      <c r="H1564" s="21"/>
      <c r="I1564" s="21"/>
      <c r="J1564" s="52"/>
      <c r="K1564" s="21"/>
      <c r="L1564" s="21" t="s">
        <v>96</v>
      </c>
      <c r="M1564" s="25">
        <f>DATE(YEAR(OneWeekMtgRatesDataTable75[[#This Row],[asOf]]),MONTH(OneWeekMtgRatesDataTable75[[#This Row],[asOf]]),DAY(OneWeekMtgRatesDataTable75[[#This Row],[asOf]]))</f>
        <v>40043</v>
      </c>
      <c r="N1564" s="21">
        <v>5.12</v>
      </c>
      <c r="O1564" s="21">
        <v>0.7</v>
      </c>
      <c r="P1564" s="21">
        <v>5.0449999999999999</v>
      </c>
    </row>
    <row r="1565" spans="8:16">
      <c r="H1565" s="21"/>
      <c r="I1565" s="21"/>
      <c r="J1565" s="52"/>
      <c r="K1565" s="21"/>
      <c r="L1565" s="21" t="s">
        <v>95</v>
      </c>
      <c r="M1565" s="25">
        <f>DATE(YEAR(OneWeekMtgRatesDataTable75[[#This Row],[asOf]]),MONTH(OneWeekMtgRatesDataTable75[[#This Row],[asOf]]),DAY(OneWeekMtgRatesDataTable75[[#This Row],[asOf]]))</f>
        <v>40042</v>
      </c>
      <c r="N1565" s="21">
        <v>5.12</v>
      </c>
      <c r="O1565" s="21">
        <v>0.7</v>
      </c>
      <c r="P1565" s="21">
        <v>5.0449999999999999</v>
      </c>
    </row>
    <row r="1566" spans="8:16">
      <c r="H1566" s="21"/>
      <c r="I1566" s="21"/>
      <c r="J1566" s="52"/>
      <c r="K1566" s="21"/>
      <c r="L1566" s="21" t="s">
        <v>94</v>
      </c>
      <c r="M1566" s="25">
        <f>DATE(YEAR(OneWeekMtgRatesDataTable75[[#This Row],[asOf]]),MONTH(OneWeekMtgRatesDataTable75[[#This Row],[asOf]]),DAY(OneWeekMtgRatesDataTable75[[#This Row],[asOf]]))</f>
        <v>40039</v>
      </c>
      <c r="N1566" s="21">
        <v>5.12</v>
      </c>
      <c r="O1566" s="21">
        <v>0.7</v>
      </c>
      <c r="P1566" s="21">
        <v>5.0449999999999999</v>
      </c>
    </row>
    <row r="1567" spans="8:16">
      <c r="H1567" s="21"/>
      <c r="I1567" s="21"/>
      <c r="J1567" s="52"/>
      <c r="K1567" s="21"/>
      <c r="L1567" s="21" t="s">
        <v>93</v>
      </c>
      <c r="M1567" s="25">
        <f>DATE(YEAR(OneWeekMtgRatesDataTable75[[#This Row],[asOf]]),MONTH(OneWeekMtgRatesDataTable75[[#This Row],[asOf]]),DAY(OneWeekMtgRatesDataTable75[[#This Row],[asOf]]))</f>
        <v>40038</v>
      </c>
      <c r="N1567" s="21">
        <v>5.12</v>
      </c>
      <c r="O1567" s="21">
        <v>0.7</v>
      </c>
      <c r="P1567" s="21">
        <v>5.0449999999999999</v>
      </c>
    </row>
    <row r="1568" spans="8:16">
      <c r="H1568" s="21"/>
      <c r="I1568" s="21"/>
      <c r="J1568" s="52"/>
      <c r="K1568" s="21"/>
      <c r="L1568" s="21" t="s">
        <v>92</v>
      </c>
      <c r="M1568" s="25">
        <f>DATE(YEAR(OneWeekMtgRatesDataTable75[[#This Row],[asOf]]),MONTH(OneWeekMtgRatesDataTable75[[#This Row],[asOf]]),DAY(OneWeekMtgRatesDataTable75[[#This Row],[asOf]]))</f>
        <v>40037</v>
      </c>
      <c r="N1568" s="21">
        <v>5.29</v>
      </c>
      <c r="O1568" s="21">
        <v>0.7</v>
      </c>
      <c r="P1568" s="21">
        <v>5.2149999999999999</v>
      </c>
    </row>
    <row r="1569" spans="8:16">
      <c r="H1569" s="21"/>
      <c r="I1569" s="21"/>
      <c r="J1569" s="52"/>
      <c r="K1569" s="21"/>
      <c r="L1569" s="21" t="s">
        <v>91</v>
      </c>
      <c r="M1569" s="25">
        <f>DATE(YEAR(OneWeekMtgRatesDataTable75[[#This Row],[asOf]]),MONTH(OneWeekMtgRatesDataTable75[[#This Row],[asOf]]),DAY(OneWeekMtgRatesDataTable75[[#This Row],[asOf]]))</f>
        <v>40036</v>
      </c>
      <c r="N1569" s="21">
        <v>5.29</v>
      </c>
      <c r="O1569" s="21">
        <v>0.7</v>
      </c>
      <c r="P1569" s="21">
        <v>5.2149999999999999</v>
      </c>
    </row>
    <row r="1570" spans="8:16">
      <c r="H1570" s="21"/>
      <c r="I1570" s="21"/>
      <c r="J1570" s="52"/>
      <c r="K1570" s="21"/>
      <c r="L1570" s="21" t="s">
        <v>90</v>
      </c>
      <c r="M1570" s="25">
        <f>DATE(YEAR(OneWeekMtgRatesDataTable75[[#This Row],[asOf]]),MONTH(OneWeekMtgRatesDataTable75[[#This Row],[asOf]]),DAY(OneWeekMtgRatesDataTable75[[#This Row],[asOf]]))</f>
        <v>40035</v>
      </c>
      <c r="N1570" s="21">
        <v>5.29</v>
      </c>
      <c r="O1570" s="21">
        <v>0.7</v>
      </c>
      <c r="P1570" s="21">
        <v>5.2149999999999999</v>
      </c>
    </row>
    <row r="1571" spans="8:16">
      <c r="H1571" s="21"/>
      <c r="I1571" s="21"/>
      <c r="J1571" s="52"/>
      <c r="K1571" s="21"/>
      <c r="L1571" s="21" t="s">
        <v>89</v>
      </c>
      <c r="M1571" s="25">
        <f>DATE(YEAR(OneWeekMtgRatesDataTable75[[#This Row],[asOf]]),MONTH(OneWeekMtgRatesDataTable75[[#This Row],[asOf]]),DAY(OneWeekMtgRatesDataTable75[[#This Row],[asOf]]))</f>
        <v>40032</v>
      </c>
      <c r="N1571" s="21">
        <v>5.29</v>
      </c>
      <c r="O1571" s="21">
        <v>0.7</v>
      </c>
      <c r="P1571" s="21">
        <v>5.2149999999999999</v>
      </c>
    </row>
    <row r="1572" spans="8:16">
      <c r="H1572" s="21"/>
      <c r="I1572" s="21"/>
      <c r="J1572" s="52"/>
      <c r="K1572" s="21"/>
      <c r="L1572" s="21" t="s">
        <v>88</v>
      </c>
      <c r="M1572" s="25">
        <f>DATE(YEAR(OneWeekMtgRatesDataTable75[[#This Row],[asOf]]),MONTH(OneWeekMtgRatesDataTable75[[#This Row],[asOf]]),DAY(OneWeekMtgRatesDataTable75[[#This Row],[asOf]]))</f>
        <v>40031</v>
      </c>
      <c r="N1572" s="21">
        <v>5.29</v>
      </c>
      <c r="O1572" s="21">
        <v>0.7</v>
      </c>
      <c r="P1572" s="21">
        <v>5.2149999999999999</v>
      </c>
    </row>
    <row r="1573" spans="8:16">
      <c r="H1573" s="21"/>
      <c r="I1573" s="21"/>
      <c r="J1573" s="52"/>
      <c r="K1573" s="21"/>
      <c r="L1573" s="21" t="s">
        <v>87</v>
      </c>
      <c r="M1573" s="25">
        <f>DATE(YEAR(OneWeekMtgRatesDataTable75[[#This Row],[asOf]]),MONTH(OneWeekMtgRatesDataTable75[[#This Row],[asOf]]),DAY(OneWeekMtgRatesDataTable75[[#This Row],[asOf]]))</f>
        <v>40030</v>
      </c>
      <c r="N1573" s="21">
        <v>5.22</v>
      </c>
      <c r="O1573" s="21">
        <v>0.6</v>
      </c>
      <c r="P1573" s="21">
        <v>5.12</v>
      </c>
    </row>
    <row r="1574" spans="8:16">
      <c r="H1574" s="21"/>
      <c r="I1574" s="21"/>
      <c r="J1574" s="52"/>
      <c r="K1574" s="21"/>
      <c r="L1574" s="21" t="s">
        <v>86</v>
      </c>
      <c r="M1574" s="25">
        <f>DATE(YEAR(OneWeekMtgRatesDataTable75[[#This Row],[asOf]]),MONTH(OneWeekMtgRatesDataTable75[[#This Row],[asOf]]),DAY(OneWeekMtgRatesDataTable75[[#This Row],[asOf]]))</f>
        <v>40029</v>
      </c>
      <c r="N1574" s="21">
        <v>5.22</v>
      </c>
      <c r="O1574" s="21">
        <v>0.6</v>
      </c>
      <c r="P1574" s="21">
        <v>5.12</v>
      </c>
    </row>
    <row r="1575" spans="8:16">
      <c r="H1575" s="21"/>
      <c r="I1575" s="21"/>
      <c r="J1575" s="52"/>
      <c r="K1575" s="21"/>
      <c r="L1575" s="21" t="s">
        <v>85</v>
      </c>
      <c r="M1575" s="25">
        <f>DATE(YEAR(OneWeekMtgRatesDataTable75[[#This Row],[asOf]]),MONTH(OneWeekMtgRatesDataTable75[[#This Row],[asOf]]),DAY(OneWeekMtgRatesDataTable75[[#This Row],[asOf]]))</f>
        <v>40028</v>
      </c>
      <c r="N1575" s="21">
        <v>5.22</v>
      </c>
      <c r="O1575" s="21">
        <v>0.6</v>
      </c>
      <c r="P1575" s="21">
        <v>5.12</v>
      </c>
    </row>
    <row r="1576" spans="8:16">
      <c r="H1576" s="21"/>
      <c r="I1576" s="21"/>
      <c r="J1576" s="52"/>
      <c r="K1576" s="21"/>
      <c r="L1576" s="21" t="s">
        <v>84</v>
      </c>
      <c r="M1576" s="25">
        <f>DATE(YEAR(OneWeekMtgRatesDataTable75[[#This Row],[asOf]]),MONTH(OneWeekMtgRatesDataTable75[[#This Row],[asOf]]),DAY(OneWeekMtgRatesDataTable75[[#This Row],[asOf]]))</f>
        <v>40025</v>
      </c>
      <c r="N1576" s="21">
        <v>5.22</v>
      </c>
      <c r="O1576" s="21">
        <v>0.6</v>
      </c>
      <c r="P1576" s="21">
        <v>5.12</v>
      </c>
    </row>
    <row r="1577" spans="8:16">
      <c r="H1577" s="21"/>
      <c r="I1577" s="21"/>
      <c r="J1577" s="52"/>
      <c r="K1577" s="21"/>
      <c r="L1577" s="21" t="s">
        <v>83</v>
      </c>
      <c r="M1577" s="25">
        <f>DATE(YEAR(OneWeekMtgRatesDataTable75[[#This Row],[asOf]]),MONTH(OneWeekMtgRatesDataTable75[[#This Row],[asOf]]),DAY(OneWeekMtgRatesDataTable75[[#This Row],[asOf]]))</f>
        <v>40024</v>
      </c>
      <c r="N1577" s="21">
        <v>5.22</v>
      </c>
      <c r="O1577" s="21">
        <v>0.6</v>
      </c>
      <c r="P1577" s="21">
        <v>5.12</v>
      </c>
    </row>
    <row r="1578" spans="8:16">
      <c r="H1578" s="21"/>
      <c r="I1578" s="21"/>
      <c r="J1578" s="52"/>
      <c r="K1578" s="21"/>
      <c r="L1578" s="21" t="s">
        <v>82</v>
      </c>
      <c r="M1578" s="25">
        <f>DATE(YEAR(OneWeekMtgRatesDataTable75[[#This Row],[asOf]]),MONTH(OneWeekMtgRatesDataTable75[[#This Row],[asOf]]),DAY(OneWeekMtgRatesDataTable75[[#This Row],[asOf]]))</f>
        <v>40023</v>
      </c>
      <c r="N1578" s="21">
        <v>5.25</v>
      </c>
      <c r="O1578" s="21">
        <v>0.7</v>
      </c>
      <c r="P1578" s="21">
        <v>5.1749999999999998</v>
      </c>
    </row>
    <row r="1579" spans="8:16">
      <c r="H1579" s="21"/>
      <c r="I1579" s="21"/>
      <c r="J1579" s="52"/>
      <c r="K1579" s="21"/>
      <c r="L1579" s="21" t="s">
        <v>81</v>
      </c>
      <c r="M1579" s="25">
        <f>DATE(YEAR(OneWeekMtgRatesDataTable75[[#This Row],[asOf]]),MONTH(OneWeekMtgRatesDataTable75[[#This Row],[asOf]]),DAY(OneWeekMtgRatesDataTable75[[#This Row],[asOf]]))</f>
        <v>40022</v>
      </c>
      <c r="N1579" s="21">
        <v>5.25</v>
      </c>
      <c r="O1579" s="21">
        <v>0.7</v>
      </c>
      <c r="P1579" s="21">
        <v>5.1749999999999998</v>
      </c>
    </row>
    <row r="1580" spans="8:16">
      <c r="H1580" s="21"/>
      <c r="I1580" s="21"/>
      <c r="J1580" s="52"/>
      <c r="K1580" s="21"/>
      <c r="L1580" s="21" t="s">
        <v>80</v>
      </c>
      <c r="M1580" s="25">
        <f>DATE(YEAR(OneWeekMtgRatesDataTable75[[#This Row],[asOf]]),MONTH(OneWeekMtgRatesDataTable75[[#This Row],[asOf]]),DAY(OneWeekMtgRatesDataTable75[[#This Row],[asOf]]))</f>
        <v>40021</v>
      </c>
      <c r="N1580" s="21">
        <v>5.25</v>
      </c>
      <c r="O1580" s="21">
        <v>0.7</v>
      </c>
      <c r="P1580" s="21">
        <v>5.1749999999999998</v>
      </c>
    </row>
    <row r="1581" spans="8:16">
      <c r="H1581" s="21"/>
      <c r="I1581" s="21"/>
      <c r="J1581" s="52"/>
      <c r="K1581" s="21"/>
      <c r="L1581" s="21" t="s">
        <v>79</v>
      </c>
      <c r="M1581" s="25">
        <f>DATE(YEAR(OneWeekMtgRatesDataTable75[[#This Row],[asOf]]),MONTH(OneWeekMtgRatesDataTable75[[#This Row],[asOf]]),DAY(OneWeekMtgRatesDataTable75[[#This Row],[asOf]]))</f>
        <v>40018</v>
      </c>
      <c r="N1581" s="21">
        <v>5.25</v>
      </c>
      <c r="O1581" s="21">
        <v>0.7</v>
      </c>
      <c r="P1581" s="21">
        <v>5.1749999999999998</v>
      </c>
    </row>
    <row r="1582" spans="8:16">
      <c r="H1582" s="21"/>
      <c r="I1582" s="21"/>
      <c r="J1582" s="52"/>
      <c r="K1582" s="21"/>
      <c r="L1582" s="21" t="s">
        <v>78</v>
      </c>
      <c r="M1582" s="25">
        <f>DATE(YEAR(OneWeekMtgRatesDataTable75[[#This Row],[asOf]]),MONTH(OneWeekMtgRatesDataTable75[[#This Row],[asOf]]),DAY(OneWeekMtgRatesDataTable75[[#This Row],[asOf]]))</f>
        <v>40017</v>
      </c>
      <c r="N1582" s="21">
        <v>5.25</v>
      </c>
      <c r="O1582" s="21">
        <v>0.7</v>
      </c>
      <c r="P1582" s="21">
        <v>5.1749999999999998</v>
      </c>
    </row>
    <row r="1583" spans="8:16">
      <c r="H1583" s="21"/>
      <c r="I1583" s="21"/>
      <c r="J1583" s="52"/>
      <c r="K1583" s="21"/>
      <c r="L1583" s="21" t="s">
        <v>77</v>
      </c>
      <c r="M1583" s="25">
        <f>DATE(YEAR(OneWeekMtgRatesDataTable75[[#This Row],[asOf]]),MONTH(OneWeekMtgRatesDataTable75[[#This Row],[asOf]]),DAY(OneWeekMtgRatesDataTable75[[#This Row],[asOf]]))</f>
        <v>40016</v>
      </c>
      <c r="N1583" s="21">
        <v>5.2</v>
      </c>
      <c r="O1583" s="21">
        <v>0.7</v>
      </c>
      <c r="P1583" s="21">
        <v>5.125</v>
      </c>
    </row>
    <row r="1584" spans="8:16">
      <c r="H1584" s="21"/>
      <c r="I1584" s="21"/>
      <c r="J1584" s="52"/>
      <c r="K1584" s="21"/>
      <c r="L1584" s="21" t="s">
        <v>76</v>
      </c>
      <c r="M1584" s="25">
        <f>DATE(YEAR(OneWeekMtgRatesDataTable75[[#This Row],[asOf]]),MONTH(OneWeekMtgRatesDataTable75[[#This Row],[asOf]]),DAY(OneWeekMtgRatesDataTable75[[#This Row],[asOf]]))</f>
        <v>40015</v>
      </c>
      <c r="N1584" s="21">
        <v>5.2</v>
      </c>
      <c r="O1584" s="21">
        <v>0.7</v>
      </c>
      <c r="P1584" s="21">
        <v>5.125</v>
      </c>
    </row>
    <row r="1585" spans="8:16">
      <c r="H1585" s="21"/>
      <c r="I1585" s="21"/>
      <c r="J1585" s="52"/>
      <c r="K1585" s="21"/>
      <c r="L1585" s="21" t="s">
        <v>75</v>
      </c>
      <c r="M1585" s="25">
        <f>DATE(YEAR(OneWeekMtgRatesDataTable75[[#This Row],[asOf]]),MONTH(OneWeekMtgRatesDataTable75[[#This Row],[asOf]]),DAY(OneWeekMtgRatesDataTable75[[#This Row],[asOf]]))</f>
        <v>40014</v>
      </c>
      <c r="N1585" s="21">
        <v>5.2</v>
      </c>
      <c r="O1585" s="21">
        <v>0.7</v>
      </c>
      <c r="P1585" s="21">
        <v>5.125</v>
      </c>
    </row>
    <row r="1586" spans="8:16">
      <c r="H1586" s="21"/>
      <c r="I1586" s="21"/>
      <c r="J1586" s="52"/>
      <c r="K1586" s="21"/>
      <c r="L1586" s="21" t="s">
        <v>74</v>
      </c>
      <c r="M1586" s="25">
        <f>DATE(YEAR(OneWeekMtgRatesDataTable75[[#This Row],[asOf]]),MONTH(OneWeekMtgRatesDataTable75[[#This Row],[asOf]]),DAY(OneWeekMtgRatesDataTable75[[#This Row],[asOf]]))</f>
        <v>40011</v>
      </c>
      <c r="N1586" s="21">
        <v>5.2</v>
      </c>
      <c r="O1586" s="21">
        <v>0.7</v>
      </c>
      <c r="P1586" s="21">
        <v>5.125</v>
      </c>
    </row>
    <row r="1587" spans="8:16">
      <c r="H1587" s="21"/>
      <c r="I1587" s="21"/>
      <c r="J1587" s="52"/>
      <c r="K1587" s="21"/>
      <c r="L1587" s="21" t="s">
        <v>73</v>
      </c>
      <c r="M1587" s="25">
        <f>DATE(YEAR(OneWeekMtgRatesDataTable75[[#This Row],[asOf]]),MONTH(OneWeekMtgRatesDataTable75[[#This Row],[asOf]]),DAY(OneWeekMtgRatesDataTable75[[#This Row],[asOf]]))</f>
        <v>40010</v>
      </c>
      <c r="N1587" s="21">
        <v>5.2</v>
      </c>
      <c r="O1587" s="21">
        <v>0.7</v>
      </c>
      <c r="P1587" s="21">
        <v>5.125</v>
      </c>
    </row>
    <row r="1588" spans="8:16">
      <c r="H1588" s="21"/>
      <c r="I1588" s="21"/>
      <c r="J1588" s="52"/>
      <c r="K1588" s="21"/>
      <c r="L1588" s="21" t="s">
        <v>72</v>
      </c>
      <c r="M1588" s="25">
        <f>DATE(YEAR(OneWeekMtgRatesDataTable75[[#This Row],[asOf]]),MONTH(OneWeekMtgRatesDataTable75[[#This Row],[asOf]]),DAY(OneWeekMtgRatesDataTable75[[#This Row],[asOf]]))</f>
        <v>40009</v>
      </c>
      <c r="N1588" s="21">
        <v>5.14</v>
      </c>
      <c r="O1588" s="21">
        <v>0.7</v>
      </c>
      <c r="P1588" s="21">
        <v>5.0649999999999995</v>
      </c>
    </row>
    <row r="1589" spans="8:16">
      <c r="H1589" s="21"/>
      <c r="I1589" s="21"/>
      <c r="J1589" s="52"/>
      <c r="K1589" s="21"/>
      <c r="L1589" s="21" t="s">
        <v>71</v>
      </c>
      <c r="M1589" s="25">
        <f>DATE(YEAR(OneWeekMtgRatesDataTable75[[#This Row],[asOf]]),MONTH(OneWeekMtgRatesDataTable75[[#This Row],[asOf]]),DAY(OneWeekMtgRatesDataTable75[[#This Row],[asOf]]))</f>
        <v>40008</v>
      </c>
      <c r="N1589" s="21">
        <v>5.14</v>
      </c>
      <c r="O1589" s="21">
        <v>0.7</v>
      </c>
      <c r="P1589" s="21">
        <v>5.0649999999999995</v>
      </c>
    </row>
    <row r="1590" spans="8:16">
      <c r="H1590" s="21"/>
      <c r="I1590" s="21"/>
      <c r="J1590" s="52"/>
      <c r="K1590" s="21"/>
      <c r="L1590" s="21" t="s">
        <v>70</v>
      </c>
      <c r="M1590" s="25">
        <f>DATE(YEAR(OneWeekMtgRatesDataTable75[[#This Row],[asOf]]),MONTH(OneWeekMtgRatesDataTable75[[#This Row],[asOf]]),DAY(OneWeekMtgRatesDataTable75[[#This Row],[asOf]]))</f>
        <v>40007</v>
      </c>
      <c r="N1590" s="21">
        <v>5.14</v>
      </c>
      <c r="O1590" s="21">
        <v>0.7</v>
      </c>
      <c r="P1590" s="21">
        <v>5.0649999999999995</v>
      </c>
    </row>
    <row r="1591" spans="8:16">
      <c r="H1591" s="21"/>
      <c r="I1591" s="21"/>
      <c r="J1591" s="52"/>
      <c r="K1591" s="21"/>
      <c r="L1591" s="21" t="s">
        <v>69</v>
      </c>
      <c r="M1591" s="25">
        <f>DATE(YEAR(OneWeekMtgRatesDataTable75[[#This Row],[asOf]]),MONTH(OneWeekMtgRatesDataTable75[[#This Row],[asOf]]),DAY(OneWeekMtgRatesDataTable75[[#This Row],[asOf]]))</f>
        <v>40004</v>
      </c>
      <c r="N1591" s="21">
        <v>5.14</v>
      </c>
      <c r="O1591" s="21">
        <v>0.7</v>
      </c>
      <c r="P1591" s="21">
        <v>5.0649999999999995</v>
      </c>
    </row>
    <row r="1592" spans="8:16">
      <c r="H1592" s="21"/>
      <c r="I1592" s="21"/>
      <c r="J1592" s="52"/>
      <c r="K1592" s="21"/>
      <c r="L1592" s="21" t="s">
        <v>68</v>
      </c>
      <c r="M1592" s="25">
        <f>DATE(YEAR(OneWeekMtgRatesDataTable75[[#This Row],[asOf]]),MONTH(OneWeekMtgRatesDataTable75[[#This Row],[asOf]]),DAY(OneWeekMtgRatesDataTable75[[#This Row],[asOf]]))</f>
        <v>40003</v>
      </c>
      <c r="N1592" s="21">
        <v>5.14</v>
      </c>
      <c r="O1592" s="21">
        <v>0.7</v>
      </c>
      <c r="P1592" s="21">
        <v>5.0649999999999995</v>
      </c>
    </row>
    <row r="1593" spans="8:16">
      <c r="H1593" s="21"/>
      <c r="I1593" s="21"/>
      <c r="J1593" s="52"/>
      <c r="K1593" s="21"/>
      <c r="L1593" s="21" t="s">
        <v>67</v>
      </c>
      <c r="M1593" s="25">
        <f>DATE(YEAR(OneWeekMtgRatesDataTable75[[#This Row],[asOf]]),MONTH(OneWeekMtgRatesDataTable75[[#This Row],[asOf]]),DAY(OneWeekMtgRatesDataTable75[[#This Row],[asOf]]))</f>
        <v>40002</v>
      </c>
      <c r="N1593" s="21">
        <v>5.2</v>
      </c>
      <c r="O1593" s="21">
        <v>0.7</v>
      </c>
      <c r="P1593" s="21">
        <v>5.125</v>
      </c>
    </row>
    <row r="1594" spans="8:16">
      <c r="H1594" s="21"/>
      <c r="I1594" s="21"/>
      <c r="J1594" s="52"/>
      <c r="K1594" s="21"/>
      <c r="L1594" s="21" t="s">
        <v>66</v>
      </c>
      <c r="M1594" s="25">
        <f>DATE(YEAR(OneWeekMtgRatesDataTable75[[#This Row],[asOf]]),MONTH(OneWeekMtgRatesDataTable75[[#This Row],[asOf]]),DAY(OneWeekMtgRatesDataTable75[[#This Row],[asOf]]))</f>
        <v>40001</v>
      </c>
      <c r="N1594" s="21">
        <v>5.2</v>
      </c>
      <c r="O1594" s="21">
        <v>0.7</v>
      </c>
      <c r="P1594" s="21">
        <v>5.125</v>
      </c>
    </row>
    <row r="1595" spans="8:16">
      <c r="H1595" s="21"/>
      <c r="I1595" s="21"/>
      <c r="J1595" s="52"/>
      <c r="K1595" s="21"/>
      <c r="L1595" s="21" t="s">
        <v>65</v>
      </c>
      <c r="M1595" s="25">
        <f>DATE(YEAR(OneWeekMtgRatesDataTable75[[#This Row],[asOf]]),MONTH(OneWeekMtgRatesDataTable75[[#This Row],[asOf]]),DAY(OneWeekMtgRatesDataTable75[[#This Row],[asOf]]))</f>
        <v>40000</v>
      </c>
      <c r="N1595" s="21">
        <v>5.2</v>
      </c>
      <c r="O1595" s="21">
        <v>0.7</v>
      </c>
      <c r="P1595" s="21">
        <v>5.125</v>
      </c>
    </row>
    <row r="1596" spans="8:16">
      <c r="H1596" s="21"/>
      <c r="I1596" s="21"/>
      <c r="J1596" s="52"/>
      <c r="K1596" s="21"/>
      <c r="L1596" s="21" t="s">
        <v>64</v>
      </c>
      <c r="M1596" s="25">
        <f>DATE(YEAR(OneWeekMtgRatesDataTable75[[#This Row],[asOf]]),MONTH(OneWeekMtgRatesDataTable75[[#This Row],[asOf]]),DAY(OneWeekMtgRatesDataTable75[[#This Row],[asOf]]))</f>
        <v>39996</v>
      </c>
      <c r="N1596" s="21">
        <v>5.2</v>
      </c>
      <c r="O1596" s="21">
        <v>0.7</v>
      </c>
      <c r="P1596" s="21">
        <v>5.125</v>
      </c>
    </row>
    <row r="1597" spans="8:16">
      <c r="H1597" s="21"/>
      <c r="I1597" s="21"/>
      <c r="J1597" s="52"/>
      <c r="K1597" s="21"/>
      <c r="L1597" s="21" t="s">
        <v>63</v>
      </c>
      <c r="M1597" s="25">
        <f>DATE(YEAR(OneWeekMtgRatesDataTable75[[#This Row],[asOf]]),MONTH(OneWeekMtgRatesDataTable75[[#This Row],[asOf]]),DAY(OneWeekMtgRatesDataTable75[[#This Row],[asOf]]))</f>
        <v>39995</v>
      </c>
      <c r="N1597" s="21">
        <v>5.32</v>
      </c>
      <c r="O1597" s="21">
        <v>0.7</v>
      </c>
      <c r="P1597" s="21">
        <v>5.2450000000000001</v>
      </c>
    </row>
    <row r="1598" spans="8:16">
      <c r="H1598" s="21"/>
      <c r="I1598" s="21"/>
      <c r="J1598" s="52"/>
      <c r="K1598" s="21"/>
      <c r="L1598" s="21" t="s">
        <v>62</v>
      </c>
      <c r="M1598" s="25">
        <f>DATE(YEAR(OneWeekMtgRatesDataTable75[[#This Row],[asOf]]),MONTH(OneWeekMtgRatesDataTable75[[#This Row],[asOf]]),DAY(OneWeekMtgRatesDataTable75[[#This Row],[asOf]]))</f>
        <v>39994</v>
      </c>
      <c r="N1598" s="21">
        <v>5.32</v>
      </c>
      <c r="O1598" s="21">
        <v>0.7</v>
      </c>
      <c r="P1598" s="21">
        <v>5.2450000000000001</v>
      </c>
    </row>
    <row r="1599" spans="8:16">
      <c r="H1599" s="21"/>
      <c r="I1599" s="21"/>
      <c r="J1599" s="52"/>
      <c r="K1599" s="21"/>
      <c r="L1599" s="21" t="s">
        <v>61</v>
      </c>
      <c r="M1599" s="25">
        <f>DATE(YEAR(OneWeekMtgRatesDataTable75[[#This Row],[asOf]]),MONTH(OneWeekMtgRatesDataTable75[[#This Row],[asOf]]),DAY(OneWeekMtgRatesDataTable75[[#This Row],[asOf]]))</f>
        <v>39993</v>
      </c>
      <c r="N1599" s="21">
        <v>5.32</v>
      </c>
      <c r="O1599" s="21">
        <v>0.7</v>
      </c>
      <c r="P1599" s="21">
        <v>5.2450000000000001</v>
      </c>
    </row>
    <row r="1600" spans="8:16">
      <c r="H1600" s="21"/>
      <c r="I1600" s="21"/>
      <c r="J1600" s="52"/>
      <c r="K1600" s="21"/>
      <c r="L1600" s="21" t="s">
        <v>60</v>
      </c>
      <c r="M1600" s="25">
        <f>DATE(YEAR(OneWeekMtgRatesDataTable75[[#This Row],[asOf]]),MONTH(OneWeekMtgRatesDataTable75[[#This Row],[asOf]]),DAY(OneWeekMtgRatesDataTable75[[#This Row],[asOf]]))</f>
        <v>39990</v>
      </c>
      <c r="N1600" s="21">
        <v>5.32</v>
      </c>
      <c r="O1600" s="21">
        <v>0.7</v>
      </c>
      <c r="P1600" s="21">
        <v>5.2450000000000001</v>
      </c>
    </row>
    <row r="1601" spans="8:16">
      <c r="H1601" s="21"/>
      <c r="I1601" s="21"/>
      <c r="J1601" s="52"/>
      <c r="K1601" s="21"/>
      <c r="L1601" s="21" t="s">
        <v>59</v>
      </c>
      <c r="M1601" s="25">
        <f>DATE(YEAR(OneWeekMtgRatesDataTable75[[#This Row],[asOf]]),MONTH(OneWeekMtgRatesDataTable75[[#This Row],[asOf]]),DAY(OneWeekMtgRatesDataTable75[[#This Row],[asOf]]))</f>
        <v>39989</v>
      </c>
      <c r="N1601" s="21">
        <v>5.32</v>
      </c>
      <c r="O1601" s="21">
        <v>0.7</v>
      </c>
      <c r="P1601" s="21">
        <v>5.2450000000000001</v>
      </c>
    </row>
    <row r="1602" spans="8:16">
      <c r="H1602" s="21"/>
      <c r="I1602" s="21"/>
      <c r="J1602" s="52"/>
      <c r="K1602" s="21"/>
      <c r="L1602" s="21" t="s">
        <v>58</v>
      </c>
      <c r="M1602" s="25">
        <f>DATE(YEAR(OneWeekMtgRatesDataTable75[[#This Row],[asOf]]),MONTH(OneWeekMtgRatesDataTable75[[#This Row],[asOf]]),DAY(OneWeekMtgRatesDataTable75[[#This Row],[asOf]]))</f>
        <v>39988</v>
      </c>
      <c r="N1602" s="21">
        <v>5.42</v>
      </c>
      <c r="O1602" s="21">
        <v>0.7</v>
      </c>
      <c r="P1602" s="21">
        <v>5.3449999999999998</v>
      </c>
    </row>
    <row r="1603" spans="8:16">
      <c r="H1603" s="21"/>
      <c r="I1603" s="21"/>
      <c r="J1603" s="52"/>
      <c r="K1603" s="21"/>
      <c r="L1603" s="21" t="s">
        <v>57</v>
      </c>
      <c r="M1603" s="25">
        <f>DATE(YEAR(OneWeekMtgRatesDataTable75[[#This Row],[asOf]]),MONTH(OneWeekMtgRatesDataTable75[[#This Row],[asOf]]),DAY(OneWeekMtgRatesDataTable75[[#This Row],[asOf]]))</f>
        <v>39987</v>
      </c>
      <c r="N1603" s="21">
        <v>5.42</v>
      </c>
      <c r="O1603" s="21">
        <v>0.7</v>
      </c>
      <c r="P1603" s="21">
        <v>5.3449999999999998</v>
      </c>
    </row>
    <row r="1604" spans="8:16">
      <c r="H1604" s="21"/>
      <c r="I1604" s="21"/>
      <c r="J1604" s="52"/>
      <c r="K1604" s="21"/>
      <c r="L1604" s="21" t="s">
        <v>56</v>
      </c>
      <c r="M1604" s="25">
        <f>DATE(YEAR(OneWeekMtgRatesDataTable75[[#This Row],[asOf]]),MONTH(OneWeekMtgRatesDataTable75[[#This Row],[asOf]]),DAY(OneWeekMtgRatesDataTable75[[#This Row],[asOf]]))</f>
        <v>39986</v>
      </c>
      <c r="N1604" s="21">
        <v>5.42</v>
      </c>
      <c r="O1604" s="21">
        <v>0.7</v>
      </c>
      <c r="P1604" s="21">
        <v>5.3449999999999998</v>
      </c>
    </row>
    <row r="1605" spans="8:16">
      <c r="H1605" s="21"/>
      <c r="I1605" s="21"/>
      <c r="J1605" s="52"/>
      <c r="K1605" s="21"/>
      <c r="L1605" s="21" t="s">
        <v>55</v>
      </c>
      <c r="M1605" s="25">
        <f>DATE(YEAR(OneWeekMtgRatesDataTable75[[#This Row],[asOf]]),MONTH(OneWeekMtgRatesDataTable75[[#This Row],[asOf]]),DAY(OneWeekMtgRatesDataTable75[[#This Row],[asOf]]))</f>
        <v>39983</v>
      </c>
      <c r="N1605" s="21">
        <v>5.42</v>
      </c>
      <c r="O1605" s="21">
        <v>0.7</v>
      </c>
      <c r="P1605" s="21">
        <v>5.3449999999999998</v>
      </c>
    </row>
    <row r="1606" spans="8:16">
      <c r="H1606" s="21"/>
      <c r="I1606" s="21"/>
      <c r="J1606" s="52"/>
      <c r="K1606" s="21"/>
      <c r="L1606" s="21" t="s">
        <v>54</v>
      </c>
      <c r="M1606" s="25">
        <f>DATE(YEAR(OneWeekMtgRatesDataTable75[[#This Row],[asOf]]),MONTH(OneWeekMtgRatesDataTable75[[#This Row],[asOf]]),DAY(OneWeekMtgRatesDataTable75[[#This Row],[asOf]]))</f>
        <v>39982</v>
      </c>
      <c r="N1606" s="21">
        <v>5.42</v>
      </c>
      <c r="O1606" s="21">
        <v>0.7</v>
      </c>
      <c r="P1606" s="21">
        <v>5.3449999999999998</v>
      </c>
    </row>
    <row r="1607" spans="8:16">
      <c r="H1607" s="21"/>
      <c r="I1607" s="21"/>
      <c r="J1607" s="52"/>
      <c r="K1607" s="21"/>
      <c r="L1607" s="21" t="s">
        <v>53</v>
      </c>
      <c r="M1607" s="25">
        <f>DATE(YEAR(OneWeekMtgRatesDataTable75[[#This Row],[asOf]]),MONTH(OneWeekMtgRatesDataTable75[[#This Row],[asOf]]),DAY(OneWeekMtgRatesDataTable75[[#This Row],[asOf]]))</f>
        <v>39981</v>
      </c>
      <c r="N1607" s="21">
        <v>5.38</v>
      </c>
      <c r="O1607" s="21">
        <v>0.7</v>
      </c>
      <c r="P1607" s="21">
        <v>5.3049999999999997</v>
      </c>
    </row>
    <row r="1608" spans="8:16">
      <c r="H1608" s="21"/>
      <c r="I1608" s="21"/>
      <c r="J1608" s="52"/>
      <c r="L1608" s="51" t="s">
        <v>52</v>
      </c>
      <c r="M1608" s="25">
        <f>DATE(YEAR(OneWeekMtgRatesDataTable75[[#This Row],[asOf]]),MONTH(OneWeekMtgRatesDataTable75[[#This Row],[asOf]]),DAY(OneWeekMtgRatesDataTable75[[#This Row],[asOf]]))</f>
        <v>39980</v>
      </c>
      <c r="N1608" s="51">
        <v>5.38</v>
      </c>
      <c r="O1608" s="51">
        <v>0.7</v>
      </c>
      <c r="P1608" s="51">
        <v>5.3049999999999997</v>
      </c>
    </row>
    <row r="1609" spans="8:16">
      <c r="H1609" s="21"/>
      <c r="I1609" s="21"/>
      <c r="J1609" s="52"/>
      <c r="L1609" s="51" t="s">
        <v>51</v>
      </c>
      <c r="M1609" s="25">
        <f>DATE(YEAR(OneWeekMtgRatesDataTable75[[#This Row],[asOf]]),MONTH(OneWeekMtgRatesDataTable75[[#This Row],[asOf]]),DAY(OneWeekMtgRatesDataTable75[[#This Row],[asOf]]))</f>
        <v>39979</v>
      </c>
      <c r="N1609" s="51">
        <v>5.38</v>
      </c>
      <c r="O1609" s="51">
        <v>0.7</v>
      </c>
      <c r="P1609" s="51">
        <v>5.3049999999999997</v>
      </c>
    </row>
    <row r="1610" spans="8:16">
      <c r="H1610" s="21"/>
      <c r="I1610" s="21"/>
      <c r="J1610" s="52"/>
      <c r="L1610" s="51" t="s">
        <v>50</v>
      </c>
      <c r="M1610" s="25">
        <f>DATE(YEAR(OneWeekMtgRatesDataTable75[[#This Row],[asOf]]),MONTH(OneWeekMtgRatesDataTable75[[#This Row],[asOf]]),DAY(OneWeekMtgRatesDataTable75[[#This Row],[asOf]]))</f>
        <v>39976</v>
      </c>
      <c r="N1610" s="51">
        <v>5.38</v>
      </c>
      <c r="O1610" s="51">
        <v>0.7</v>
      </c>
      <c r="P1610" s="51">
        <v>5.3049999999999997</v>
      </c>
    </row>
    <row r="1611" spans="8:16">
      <c r="H1611" s="21"/>
      <c r="I1611" s="21"/>
      <c r="J1611" s="52"/>
      <c r="L1611" s="51" t="s">
        <v>49</v>
      </c>
      <c r="M1611" s="25">
        <f>DATE(YEAR(OneWeekMtgRatesDataTable75[[#This Row],[asOf]]),MONTH(OneWeekMtgRatesDataTable75[[#This Row],[asOf]]),DAY(OneWeekMtgRatesDataTable75[[#This Row],[asOf]]))</f>
        <v>39975</v>
      </c>
      <c r="N1611" s="51">
        <v>5.38</v>
      </c>
      <c r="O1611" s="51">
        <v>0.7</v>
      </c>
      <c r="P1611" s="51">
        <v>5.3049999999999997</v>
      </c>
    </row>
    <row r="1612" spans="8:16">
      <c r="H1612" s="21"/>
      <c r="I1612" s="21"/>
      <c r="J1612" s="52"/>
      <c r="L1612" s="51" t="s">
        <v>48</v>
      </c>
      <c r="M1612" s="25">
        <f>DATE(YEAR(OneWeekMtgRatesDataTable75[[#This Row],[asOf]]),MONTH(OneWeekMtgRatesDataTable75[[#This Row],[asOf]]),DAY(OneWeekMtgRatesDataTable75[[#This Row],[asOf]]))</f>
        <v>39974</v>
      </c>
      <c r="N1612" s="51">
        <v>5.59</v>
      </c>
      <c r="O1612" s="51">
        <v>0.7</v>
      </c>
      <c r="P1612" s="51">
        <v>5.5149999999999997</v>
      </c>
    </row>
    <row r="1613" spans="8:16">
      <c r="H1613" s="21"/>
      <c r="I1613" s="21"/>
      <c r="J1613" s="52"/>
      <c r="L1613" s="51" t="s">
        <v>47</v>
      </c>
      <c r="M1613" s="25">
        <f>DATE(YEAR(OneWeekMtgRatesDataTable75[[#This Row],[asOf]]),MONTH(OneWeekMtgRatesDataTable75[[#This Row],[asOf]]),DAY(OneWeekMtgRatesDataTable75[[#This Row],[asOf]]))</f>
        <v>39973</v>
      </c>
      <c r="N1613" s="51">
        <v>5.59</v>
      </c>
      <c r="O1613" s="51">
        <v>0.7</v>
      </c>
      <c r="P1613" s="51">
        <v>5.5149999999999997</v>
      </c>
    </row>
    <row r="1614" spans="8:16">
      <c r="H1614" s="21"/>
      <c r="I1614" s="21"/>
      <c r="J1614" s="52"/>
      <c r="L1614" s="51" t="s">
        <v>46</v>
      </c>
      <c r="M1614" s="25">
        <f>DATE(YEAR(OneWeekMtgRatesDataTable75[[#This Row],[asOf]]),MONTH(OneWeekMtgRatesDataTable75[[#This Row],[asOf]]),DAY(OneWeekMtgRatesDataTable75[[#This Row],[asOf]]))</f>
        <v>39972</v>
      </c>
      <c r="N1614" s="51">
        <v>5.59</v>
      </c>
      <c r="O1614" s="51">
        <v>0.7</v>
      </c>
      <c r="P1614" s="51">
        <v>5.5149999999999997</v>
      </c>
    </row>
    <row r="1615" spans="8:16">
      <c r="H1615" s="21"/>
      <c r="I1615" s="21"/>
      <c r="J1615" s="52"/>
      <c r="L1615" s="51" t="s">
        <v>45</v>
      </c>
      <c r="M1615" s="25">
        <f>DATE(YEAR(OneWeekMtgRatesDataTable75[[#This Row],[asOf]]),MONTH(OneWeekMtgRatesDataTable75[[#This Row],[asOf]]),DAY(OneWeekMtgRatesDataTable75[[#This Row],[asOf]]))</f>
        <v>39969</v>
      </c>
      <c r="N1615" s="51">
        <v>5.59</v>
      </c>
      <c r="O1615" s="51">
        <v>0.7</v>
      </c>
      <c r="P1615" s="51">
        <v>5.5149999999999997</v>
      </c>
    </row>
    <row r="1616" spans="8:16">
      <c r="H1616" s="21"/>
      <c r="I1616" s="21"/>
      <c r="J1616" s="52"/>
      <c r="L1616" s="51" t="s">
        <v>44</v>
      </c>
      <c r="M1616" s="25">
        <f>DATE(YEAR(OneWeekMtgRatesDataTable75[[#This Row],[asOf]]),MONTH(OneWeekMtgRatesDataTable75[[#This Row],[asOf]]),DAY(OneWeekMtgRatesDataTable75[[#This Row],[asOf]]))</f>
        <v>39968</v>
      </c>
      <c r="N1616" s="51">
        <v>5.59</v>
      </c>
      <c r="O1616" s="51">
        <v>0.7</v>
      </c>
      <c r="P1616" s="51">
        <v>5.5149999999999997</v>
      </c>
    </row>
    <row r="1617" spans="8:16">
      <c r="H1617" s="21"/>
      <c r="I1617" s="21"/>
      <c r="J1617" s="52"/>
      <c r="L1617" s="51" t="s">
        <v>43</v>
      </c>
      <c r="M1617" s="25">
        <f>DATE(YEAR(OneWeekMtgRatesDataTable75[[#This Row],[asOf]]),MONTH(OneWeekMtgRatesDataTable75[[#This Row],[asOf]]),DAY(OneWeekMtgRatesDataTable75[[#This Row],[asOf]]))</f>
        <v>39967</v>
      </c>
      <c r="N1617" s="51">
        <v>5.29</v>
      </c>
      <c r="O1617" s="51">
        <v>0.7</v>
      </c>
      <c r="P1617" s="51">
        <v>5.2149999999999999</v>
      </c>
    </row>
    <row r="1618" spans="8:16">
      <c r="H1618" s="21"/>
      <c r="I1618" s="21"/>
      <c r="J1618" s="52"/>
      <c r="L1618" s="51" t="s">
        <v>42</v>
      </c>
      <c r="M1618" s="25">
        <f>DATE(YEAR(OneWeekMtgRatesDataTable75[[#This Row],[asOf]]),MONTH(OneWeekMtgRatesDataTable75[[#This Row],[asOf]]),DAY(OneWeekMtgRatesDataTable75[[#This Row],[asOf]]))</f>
        <v>39966</v>
      </c>
      <c r="N1618" s="51">
        <v>5.29</v>
      </c>
      <c r="O1618" s="51">
        <v>0.7</v>
      </c>
      <c r="P1618" s="51">
        <v>5.2149999999999999</v>
      </c>
    </row>
    <row r="1619" spans="8:16">
      <c r="H1619" s="21"/>
      <c r="I1619" s="21"/>
      <c r="J1619" s="52"/>
      <c r="L1619" s="51" t="s">
        <v>41</v>
      </c>
      <c r="M1619" s="25">
        <f>DATE(YEAR(OneWeekMtgRatesDataTable75[[#This Row],[asOf]]),MONTH(OneWeekMtgRatesDataTable75[[#This Row],[asOf]]),DAY(OneWeekMtgRatesDataTable75[[#This Row],[asOf]]))</f>
        <v>39965</v>
      </c>
      <c r="N1619" s="51">
        <v>5.29</v>
      </c>
      <c r="O1619" s="51">
        <v>0.7</v>
      </c>
      <c r="P1619" s="51">
        <v>5.2149999999999999</v>
      </c>
    </row>
    <row r="1620" spans="8:16">
      <c r="H1620" s="21"/>
      <c r="I1620" s="21"/>
      <c r="J1620" s="52"/>
      <c r="L1620" s="51" t="s">
        <v>40</v>
      </c>
      <c r="M1620" s="25">
        <f>DATE(YEAR(OneWeekMtgRatesDataTable75[[#This Row],[asOf]]),MONTH(OneWeekMtgRatesDataTable75[[#This Row],[asOf]]),DAY(OneWeekMtgRatesDataTable75[[#This Row],[asOf]]))</f>
        <v>39962</v>
      </c>
      <c r="N1620" s="51">
        <v>5.29</v>
      </c>
      <c r="O1620" s="51">
        <v>0.7</v>
      </c>
      <c r="P1620" s="51">
        <v>5.2149999999999999</v>
      </c>
    </row>
    <row r="1621" spans="8:16">
      <c r="H1621" s="21"/>
      <c r="I1621" s="21"/>
      <c r="J1621" s="52"/>
      <c r="L1621" s="51" t="s">
        <v>39</v>
      </c>
      <c r="M1621" s="25">
        <f>DATE(YEAR(OneWeekMtgRatesDataTable75[[#This Row],[asOf]]),MONTH(OneWeekMtgRatesDataTable75[[#This Row],[asOf]]),DAY(OneWeekMtgRatesDataTable75[[#This Row],[asOf]]))</f>
        <v>39961</v>
      </c>
      <c r="N1621" s="51">
        <v>5.29</v>
      </c>
      <c r="O1621" s="51">
        <v>0.7</v>
      </c>
      <c r="P1621" s="51">
        <v>5.2149999999999999</v>
      </c>
    </row>
    <row r="1622" spans="8:16">
      <c r="H1622" s="21"/>
      <c r="I1622" s="21"/>
      <c r="J1622" s="52"/>
      <c r="L1622" s="51" t="s">
        <v>38</v>
      </c>
      <c r="M1622" s="25">
        <f>DATE(YEAR(OneWeekMtgRatesDataTable75[[#This Row],[asOf]]),MONTH(OneWeekMtgRatesDataTable75[[#This Row],[asOf]]),DAY(OneWeekMtgRatesDataTable75[[#This Row],[asOf]]))</f>
        <v>39960</v>
      </c>
      <c r="N1622" s="51">
        <v>4.91</v>
      </c>
      <c r="O1622" s="51">
        <v>0.7</v>
      </c>
      <c r="P1622" s="51">
        <v>4.835</v>
      </c>
    </row>
    <row r="1623" spans="8:16">
      <c r="H1623" s="21"/>
      <c r="I1623" s="21"/>
      <c r="J1623" s="52"/>
      <c r="L1623" s="51" t="s">
        <v>37</v>
      </c>
      <c r="M1623" s="25">
        <f>DATE(YEAR(OneWeekMtgRatesDataTable75[[#This Row],[asOf]]),MONTH(OneWeekMtgRatesDataTable75[[#This Row],[asOf]]),DAY(OneWeekMtgRatesDataTable75[[#This Row],[asOf]]))</f>
        <v>39959</v>
      </c>
      <c r="N1623" s="51">
        <v>4.91</v>
      </c>
      <c r="O1623" s="51">
        <v>0.7</v>
      </c>
      <c r="P1623" s="51">
        <v>4.835</v>
      </c>
    </row>
    <row r="1624" spans="8:16">
      <c r="H1624" s="21"/>
      <c r="I1624" s="21"/>
      <c r="J1624" s="52"/>
      <c r="L1624" s="51" t="s">
        <v>36</v>
      </c>
      <c r="M1624" s="25">
        <f>DATE(YEAR(OneWeekMtgRatesDataTable75[[#This Row],[asOf]]),MONTH(OneWeekMtgRatesDataTable75[[#This Row],[asOf]]),DAY(OneWeekMtgRatesDataTable75[[#This Row],[asOf]]))</f>
        <v>39955</v>
      </c>
      <c r="N1624" s="51">
        <v>4.91</v>
      </c>
      <c r="O1624" s="51">
        <v>0.7</v>
      </c>
      <c r="P1624" s="51">
        <v>4.835</v>
      </c>
    </row>
    <row r="1625" spans="8:16">
      <c r="H1625" s="21"/>
      <c r="I1625" s="21"/>
      <c r="J1625" s="52"/>
      <c r="L1625" s="51" t="s">
        <v>35</v>
      </c>
      <c r="M1625" s="25">
        <f>DATE(YEAR(OneWeekMtgRatesDataTable75[[#This Row],[asOf]]),MONTH(OneWeekMtgRatesDataTable75[[#This Row],[asOf]]),DAY(OneWeekMtgRatesDataTable75[[#This Row],[asOf]]))</f>
        <v>39954</v>
      </c>
      <c r="N1625" s="51">
        <v>4.91</v>
      </c>
      <c r="O1625" s="51">
        <v>0.7</v>
      </c>
      <c r="P1625" s="51">
        <v>4.835</v>
      </c>
    </row>
    <row r="1626" spans="8:16">
      <c r="H1626" s="21"/>
      <c r="I1626" s="21"/>
      <c r="J1626" s="52"/>
      <c r="L1626" s="51" t="s">
        <v>34</v>
      </c>
      <c r="M1626" s="25">
        <f>DATE(YEAR(OneWeekMtgRatesDataTable75[[#This Row],[asOf]]),MONTH(OneWeekMtgRatesDataTable75[[#This Row],[asOf]]),DAY(OneWeekMtgRatesDataTable75[[#This Row],[asOf]]))</f>
        <v>39953</v>
      </c>
      <c r="N1626" s="51">
        <v>4.82</v>
      </c>
      <c r="O1626" s="51">
        <v>0.7</v>
      </c>
      <c r="P1626" s="51">
        <v>4.7450000000000001</v>
      </c>
    </row>
    <row r="1627" spans="8:16">
      <c r="H1627" s="21"/>
      <c r="I1627" s="21"/>
      <c r="J1627" s="52"/>
      <c r="L1627" s="51" t="s">
        <v>33</v>
      </c>
      <c r="M1627" s="25">
        <f>DATE(YEAR(OneWeekMtgRatesDataTable75[[#This Row],[asOf]]),MONTH(OneWeekMtgRatesDataTable75[[#This Row],[asOf]]),DAY(OneWeekMtgRatesDataTable75[[#This Row],[asOf]]))</f>
        <v>39952</v>
      </c>
      <c r="N1627" s="51">
        <v>4.82</v>
      </c>
      <c r="O1627" s="51">
        <v>0.7</v>
      </c>
      <c r="P1627" s="51">
        <v>4.7450000000000001</v>
      </c>
    </row>
    <row r="1628" spans="8:16">
      <c r="H1628" s="21"/>
      <c r="I1628" s="21"/>
      <c r="J1628" s="52"/>
      <c r="L1628" s="51" t="s">
        <v>32</v>
      </c>
      <c r="M1628" s="25">
        <f>DATE(YEAR(OneWeekMtgRatesDataTable75[[#This Row],[asOf]]),MONTH(OneWeekMtgRatesDataTable75[[#This Row],[asOf]]),DAY(OneWeekMtgRatesDataTable75[[#This Row],[asOf]]))</f>
        <v>39951</v>
      </c>
      <c r="N1628" s="51">
        <v>4.82</v>
      </c>
      <c r="O1628" s="51">
        <v>0.7</v>
      </c>
      <c r="P1628" s="51">
        <v>4.7450000000000001</v>
      </c>
    </row>
    <row r="1629" spans="8:16">
      <c r="H1629" s="21"/>
      <c r="I1629" s="21"/>
      <c r="J1629" s="52"/>
      <c r="L1629" s="51" t="s">
        <v>31</v>
      </c>
      <c r="M1629" s="25">
        <f>DATE(YEAR(OneWeekMtgRatesDataTable75[[#This Row],[asOf]]),MONTH(OneWeekMtgRatesDataTable75[[#This Row],[asOf]]),DAY(OneWeekMtgRatesDataTable75[[#This Row],[asOf]]))</f>
        <v>39948</v>
      </c>
      <c r="N1629" s="51">
        <v>4.82</v>
      </c>
      <c r="O1629" s="51">
        <v>0.7</v>
      </c>
      <c r="P1629" s="51">
        <v>4.7450000000000001</v>
      </c>
    </row>
    <row r="1630" spans="8:16">
      <c r="H1630" s="21"/>
      <c r="I1630" s="21"/>
      <c r="J1630" s="52"/>
      <c r="L1630" s="51" t="s">
        <v>30</v>
      </c>
      <c r="M1630" s="25">
        <f>DATE(YEAR(OneWeekMtgRatesDataTable75[[#This Row],[asOf]]),MONTH(OneWeekMtgRatesDataTable75[[#This Row],[asOf]]),DAY(OneWeekMtgRatesDataTable75[[#This Row],[asOf]]))</f>
        <v>39947</v>
      </c>
      <c r="N1630" s="51">
        <v>4.82</v>
      </c>
      <c r="O1630" s="51">
        <v>0.7</v>
      </c>
      <c r="P1630" s="51">
        <v>4.7450000000000001</v>
      </c>
    </row>
    <row r="1631" spans="8:16">
      <c r="H1631" s="21"/>
      <c r="I1631" s="21"/>
      <c r="J1631" s="52"/>
      <c r="L1631" s="51" t="s">
        <v>29</v>
      </c>
      <c r="M1631" s="25">
        <f>DATE(YEAR(OneWeekMtgRatesDataTable75[[#This Row],[asOf]]),MONTH(OneWeekMtgRatesDataTable75[[#This Row],[asOf]]),DAY(OneWeekMtgRatesDataTable75[[#This Row],[asOf]]))</f>
        <v>39946</v>
      </c>
      <c r="N1631" s="51">
        <v>4.8600000000000003</v>
      </c>
      <c r="O1631" s="51">
        <v>0.6</v>
      </c>
      <c r="P1631" s="51">
        <v>4.7600000000000007</v>
      </c>
    </row>
    <row r="1632" spans="8:16">
      <c r="H1632" s="21"/>
      <c r="I1632" s="21"/>
      <c r="J1632" s="52"/>
      <c r="L1632" s="51" t="s">
        <v>28</v>
      </c>
      <c r="M1632" s="25">
        <f>DATE(YEAR(OneWeekMtgRatesDataTable75[[#This Row],[asOf]]),MONTH(OneWeekMtgRatesDataTable75[[#This Row],[asOf]]),DAY(OneWeekMtgRatesDataTable75[[#This Row],[asOf]]))</f>
        <v>39945</v>
      </c>
      <c r="N1632" s="51">
        <v>4.8600000000000003</v>
      </c>
      <c r="O1632" s="51">
        <v>0.6</v>
      </c>
      <c r="P1632" s="51">
        <v>4.7600000000000007</v>
      </c>
    </row>
    <row r="1633" spans="8:16">
      <c r="H1633" s="21"/>
      <c r="I1633" s="21"/>
      <c r="J1633" s="52"/>
      <c r="L1633" s="51" t="s">
        <v>27</v>
      </c>
      <c r="M1633" s="25">
        <f>DATE(YEAR(OneWeekMtgRatesDataTable75[[#This Row],[asOf]]),MONTH(OneWeekMtgRatesDataTable75[[#This Row],[asOf]]),DAY(OneWeekMtgRatesDataTable75[[#This Row],[asOf]]))</f>
        <v>39944</v>
      </c>
      <c r="N1633" s="51">
        <v>4.8600000000000003</v>
      </c>
      <c r="O1633" s="51">
        <v>0.6</v>
      </c>
      <c r="P1633" s="51">
        <v>4.7600000000000007</v>
      </c>
    </row>
    <row r="1634" spans="8:16">
      <c r="H1634" s="21"/>
      <c r="I1634" s="21"/>
      <c r="J1634" s="52"/>
      <c r="L1634" s="51" t="s">
        <v>26</v>
      </c>
      <c r="M1634" s="25">
        <f>DATE(YEAR(OneWeekMtgRatesDataTable75[[#This Row],[asOf]]),MONTH(OneWeekMtgRatesDataTable75[[#This Row],[asOf]]),DAY(OneWeekMtgRatesDataTable75[[#This Row],[asOf]]))</f>
        <v>39941</v>
      </c>
      <c r="N1634" s="51">
        <v>4.8600000000000003</v>
      </c>
      <c r="O1634" s="51">
        <v>0.6</v>
      </c>
      <c r="P1634" s="51">
        <v>4.7600000000000007</v>
      </c>
    </row>
    <row r="1635" spans="8:16">
      <c r="H1635" s="21"/>
      <c r="I1635" s="21"/>
      <c r="J1635" s="52"/>
      <c r="L1635" s="51" t="s">
        <v>25</v>
      </c>
      <c r="M1635" s="25">
        <f>DATE(YEAR(OneWeekMtgRatesDataTable75[[#This Row],[asOf]]),MONTH(OneWeekMtgRatesDataTable75[[#This Row],[asOf]]),DAY(OneWeekMtgRatesDataTable75[[#This Row],[asOf]]))</f>
        <v>39940</v>
      </c>
      <c r="N1635" s="51">
        <v>4.8600000000000003</v>
      </c>
      <c r="O1635" s="51">
        <v>0.6</v>
      </c>
      <c r="P1635" s="51">
        <v>4.7600000000000007</v>
      </c>
    </row>
    <row r="1636" spans="8:16">
      <c r="H1636" s="21"/>
      <c r="I1636" s="21"/>
      <c r="J1636" s="52"/>
      <c r="L1636" s="51" t="s">
        <v>1650</v>
      </c>
      <c r="M1636" s="25">
        <f>DATE(YEAR(OneWeekMtgRatesDataTable75[[#This Row],[asOf]]),MONTH(OneWeekMtgRatesDataTable75[[#This Row],[asOf]]),DAY(OneWeekMtgRatesDataTable75[[#This Row],[asOf]]))</f>
        <v>39939</v>
      </c>
      <c r="N1636" s="51">
        <v>4.84</v>
      </c>
      <c r="O1636" s="51">
        <v>0.7</v>
      </c>
      <c r="P1636" s="51">
        <v>4.7649999999999997</v>
      </c>
    </row>
    <row r="1637" spans="8:16">
      <c r="H1637" s="21"/>
      <c r="I1637" s="21"/>
      <c r="J1637" s="52"/>
      <c r="L1637" s="51" t="s">
        <v>1651</v>
      </c>
      <c r="M1637" s="25">
        <f>DATE(YEAR(OneWeekMtgRatesDataTable75[[#This Row],[asOf]]),MONTH(OneWeekMtgRatesDataTable75[[#This Row],[asOf]]),DAY(OneWeekMtgRatesDataTable75[[#This Row],[asOf]]))</f>
        <v>39938</v>
      </c>
      <c r="N1637" s="51">
        <v>4.84</v>
      </c>
      <c r="O1637" s="51">
        <v>0.7</v>
      </c>
      <c r="P1637" s="51">
        <v>4.7649999999999997</v>
      </c>
    </row>
    <row r="1638" spans="8:16">
      <c r="H1638" s="21"/>
      <c r="I1638" s="21"/>
      <c r="J1638" s="52"/>
      <c r="L1638" s="51" t="s">
        <v>1652</v>
      </c>
      <c r="M1638" s="25">
        <f>DATE(YEAR(OneWeekMtgRatesDataTable75[[#This Row],[asOf]]),MONTH(OneWeekMtgRatesDataTable75[[#This Row],[asOf]]),DAY(OneWeekMtgRatesDataTable75[[#This Row],[asOf]]))</f>
        <v>39937</v>
      </c>
      <c r="N1638" s="51">
        <v>4.84</v>
      </c>
      <c r="O1638" s="51">
        <v>0.7</v>
      </c>
      <c r="P1638" s="51">
        <v>4.7649999999999997</v>
      </c>
    </row>
    <row r="1639" spans="8:16">
      <c r="H1639" s="21"/>
      <c r="I1639" s="21"/>
      <c r="J1639" s="52"/>
      <c r="L1639" s="51" t="s">
        <v>1653</v>
      </c>
      <c r="M1639" s="25">
        <f>DATE(YEAR(OneWeekMtgRatesDataTable75[[#This Row],[asOf]]),MONTH(OneWeekMtgRatesDataTable75[[#This Row],[asOf]]),DAY(OneWeekMtgRatesDataTable75[[#This Row],[asOf]]))</f>
        <v>39934</v>
      </c>
      <c r="N1639" s="51">
        <v>4.84</v>
      </c>
      <c r="O1639" s="51">
        <v>0.7</v>
      </c>
      <c r="P1639" s="51">
        <v>4.7649999999999997</v>
      </c>
    </row>
    <row r="1640" spans="8:16">
      <c r="H1640" s="21"/>
      <c r="I1640" s="21"/>
      <c r="J1640" s="52"/>
      <c r="L1640" s="51" t="s">
        <v>1654</v>
      </c>
      <c r="M1640" s="25">
        <f>DATE(YEAR(OneWeekMtgRatesDataTable75[[#This Row],[asOf]]),MONTH(OneWeekMtgRatesDataTable75[[#This Row],[asOf]]),DAY(OneWeekMtgRatesDataTable75[[#This Row],[asOf]]))</f>
        <v>39933</v>
      </c>
      <c r="N1640" s="51">
        <v>4.84</v>
      </c>
      <c r="O1640" s="51">
        <v>0.7</v>
      </c>
      <c r="P1640" s="51">
        <v>4.7649999999999997</v>
      </c>
    </row>
    <row r="1641" spans="8:16">
      <c r="H1641" s="21"/>
      <c r="I1641" s="21"/>
      <c r="J1641" s="52"/>
      <c r="L1641" s="51" t="s">
        <v>1655</v>
      </c>
      <c r="M1641" s="25">
        <f>DATE(YEAR(OneWeekMtgRatesDataTable75[[#This Row],[asOf]]),MONTH(OneWeekMtgRatesDataTable75[[#This Row],[asOf]]),DAY(OneWeekMtgRatesDataTable75[[#This Row],[asOf]]))</f>
        <v>39932</v>
      </c>
      <c r="N1641" s="51">
        <v>4.78</v>
      </c>
      <c r="O1641" s="51">
        <v>0.7</v>
      </c>
      <c r="P1641" s="51">
        <v>4.7050000000000001</v>
      </c>
    </row>
    <row r="1642" spans="8:16">
      <c r="H1642" s="21"/>
      <c r="I1642" s="21"/>
      <c r="J1642" s="52"/>
      <c r="L1642" s="51" t="s">
        <v>1656</v>
      </c>
      <c r="M1642" s="25">
        <f>DATE(YEAR(OneWeekMtgRatesDataTable75[[#This Row],[asOf]]),MONTH(OneWeekMtgRatesDataTable75[[#This Row],[asOf]]),DAY(OneWeekMtgRatesDataTable75[[#This Row],[asOf]]))</f>
        <v>39931</v>
      </c>
      <c r="N1642" s="51">
        <v>4.78</v>
      </c>
      <c r="O1642" s="51">
        <v>0.7</v>
      </c>
      <c r="P1642" s="51">
        <v>4.7050000000000001</v>
      </c>
    </row>
    <row r="1643" spans="8:16">
      <c r="H1643" s="21"/>
      <c r="I1643" s="21"/>
      <c r="J1643" s="52"/>
      <c r="L1643" s="51" t="s">
        <v>1657</v>
      </c>
      <c r="M1643" s="25">
        <f>DATE(YEAR(OneWeekMtgRatesDataTable75[[#This Row],[asOf]]),MONTH(OneWeekMtgRatesDataTable75[[#This Row],[asOf]]),DAY(OneWeekMtgRatesDataTable75[[#This Row],[asOf]]))</f>
        <v>39930</v>
      </c>
      <c r="N1643" s="51">
        <v>4.78</v>
      </c>
      <c r="O1643" s="51">
        <v>0.7</v>
      </c>
      <c r="P1643" s="51">
        <v>4.7050000000000001</v>
      </c>
    </row>
    <row r="1644" spans="8:16">
      <c r="H1644" s="21"/>
      <c r="I1644" s="21"/>
      <c r="J1644" s="52"/>
      <c r="L1644" s="51" t="s">
        <v>1658</v>
      </c>
      <c r="M1644" s="25">
        <f>DATE(YEAR(OneWeekMtgRatesDataTable75[[#This Row],[asOf]]),MONTH(OneWeekMtgRatesDataTable75[[#This Row],[asOf]]),DAY(OneWeekMtgRatesDataTable75[[#This Row],[asOf]]))</f>
        <v>39927</v>
      </c>
      <c r="N1644" s="51">
        <v>4.78</v>
      </c>
      <c r="O1644" s="51">
        <v>0.7</v>
      </c>
      <c r="P1644" s="51">
        <v>4.7050000000000001</v>
      </c>
    </row>
    <row r="1645" spans="8:16">
      <c r="H1645" s="21"/>
      <c r="I1645" s="21"/>
      <c r="J1645" s="52"/>
      <c r="L1645" s="51" t="s">
        <v>1659</v>
      </c>
      <c r="M1645" s="25">
        <f>DATE(YEAR(OneWeekMtgRatesDataTable75[[#This Row],[asOf]]),MONTH(OneWeekMtgRatesDataTable75[[#This Row],[asOf]]),DAY(OneWeekMtgRatesDataTable75[[#This Row],[asOf]]))</f>
        <v>39926</v>
      </c>
      <c r="N1645" s="51">
        <v>4.78</v>
      </c>
      <c r="O1645" s="51">
        <v>0.7</v>
      </c>
      <c r="P1645" s="51">
        <v>4.7050000000000001</v>
      </c>
    </row>
    <row r="1646" spans="8:16">
      <c r="H1646" s="21"/>
      <c r="I1646" s="21"/>
      <c r="J1646" s="52"/>
      <c r="L1646" s="51" t="s">
        <v>1660</v>
      </c>
      <c r="M1646" s="25">
        <f>DATE(YEAR(OneWeekMtgRatesDataTable75[[#This Row],[asOf]]),MONTH(OneWeekMtgRatesDataTable75[[#This Row],[asOf]]),DAY(OneWeekMtgRatesDataTable75[[#This Row],[asOf]]))</f>
        <v>39925</v>
      </c>
      <c r="N1646" s="51">
        <v>4.8</v>
      </c>
      <c r="O1646" s="51">
        <v>0.7</v>
      </c>
      <c r="P1646" s="51">
        <v>4.7249999999999996</v>
      </c>
    </row>
    <row r="1647" spans="8:16">
      <c r="H1647" s="21"/>
      <c r="I1647" s="21"/>
      <c r="J1647" s="52"/>
      <c r="L1647" s="51" t="s">
        <v>1661</v>
      </c>
      <c r="M1647" s="25">
        <f>DATE(YEAR(OneWeekMtgRatesDataTable75[[#This Row],[asOf]]),MONTH(OneWeekMtgRatesDataTable75[[#This Row],[asOf]]),DAY(OneWeekMtgRatesDataTable75[[#This Row],[asOf]]))</f>
        <v>39924</v>
      </c>
      <c r="N1647" s="51">
        <v>4.8</v>
      </c>
      <c r="O1647" s="51">
        <v>0.7</v>
      </c>
      <c r="P1647" s="51">
        <v>4.7249999999999996</v>
      </c>
    </row>
    <row r="1648" spans="8:16">
      <c r="H1648" s="21"/>
      <c r="I1648" s="21"/>
      <c r="J1648" s="52"/>
      <c r="L1648" s="51" t="s">
        <v>1662</v>
      </c>
      <c r="M1648" s="25">
        <f>DATE(YEAR(OneWeekMtgRatesDataTable75[[#This Row],[asOf]]),MONTH(OneWeekMtgRatesDataTable75[[#This Row],[asOf]]),DAY(OneWeekMtgRatesDataTable75[[#This Row],[asOf]]))</f>
        <v>39923</v>
      </c>
      <c r="N1648" s="51">
        <v>4.8</v>
      </c>
      <c r="O1648" s="51">
        <v>0.7</v>
      </c>
      <c r="P1648" s="51">
        <v>4.7249999999999996</v>
      </c>
    </row>
    <row r="1649" spans="8:16">
      <c r="H1649" s="21"/>
      <c r="I1649" s="21"/>
      <c r="J1649" s="52"/>
      <c r="L1649" s="51" t="s">
        <v>1663</v>
      </c>
      <c r="M1649" s="25">
        <f>DATE(YEAR(OneWeekMtgRatesDataTable75[[#This Row],[asOf]]),MONTH(OneWeekMtgRatesDataTable75[[#This Row],[asOf]]),DAY(OneWeekMtgRatesDataTable75[[#This Row],[asOf]]))</f>
        <v>39920</v>
      </c>
      <c r="N1649" s="51">
        <v>4.8</v>
      </c>
      <c r="O1649" s="51">
        <v>0.7</v>
      </c>
      <c r="P1649" s="51">
        <v>4.7249999999999996</v>
      </c>
    </row>
    <row r="1650" spans="8:16">
      <c r="H1650" s="21"/>
      <c r="I1650" s="21"/>
      <c r="J1650" s="52"/>
      <c r="L1650" s="51" t="s">
        <v>1664</v>
      </c>
      <c r="M1650" s="25">
        <f>DATE(YEAR(OneWeekMtgRatesDataTable75[[#This Row],[asOf]]),MONTH(OneWeekMtgRatesDataTable75[[#This Row],[asOf]]),DAY(OneWeekMtgRatesDataTable75[[#This Row],[asOf]]))</f>
        <v>39919</v>
      </c>
      <c r="N1650" s="51">
        <v>4.8</v>
      </c>
      <c r="O1650" s="51">
        <v>0.7</v>
      </c>
      <c r="P1650" s="51">
        <v>4.7249999999999996</v>
      </c>
    </row>
    <row r="1651" spans="8:16">
      <c r="H1651" s="21"/>
      <c r="I1651" s="21"/>
      <c r="J1651" s="52"/>
      <c r="L1651" s="51" t="s">
        <v>1665</v>
      </c>
      <c r="M1651" s="25">
        <f>DATE(YEAR(OneWeekMtgRatesDataTable75[[#This Row],[asOf]]),MONTH(OneWeekMtgRatesDataTable75[[#This Row],[asOf]]),DAY(OneWeekMtgRatesDataTable75[[#This Row],[asOf]]))</f>
        <v>39918</v>
      </c>
      <c r="N1651" s="51">
        <v>4.82</v>
      </c>
      <c r="O1651" s="51">
        <v>0.6</v>
      </c>
      <c r="P1651" s="51">
        <v>4.7200000000000006</v>
      </c>
    </row>
    <row r="1652" spans="8:16">
      <c r="H1652" s="21"/>
      <c r="I1652" s="21"/>
      <c r="J1652" s="52"/>
      <c r="L1652" s="51" t="s">
        <v>1666</v>
      </c>
      <c r="M1652" s="25">
        <f>DATE(YEAR(OneWeekMtgRatesDataTable75[[#This Row],[asOf]]),MONTH(OneWeekMtgRatesDataTable75[[#This Row],[asOf]]),DAY(OneWeekMtgRatesDataTable75[[#This Row],[asOf]]))</f>
        <v>39917</v>
      </c>
      <c r="N1652" s="51">
        <v>4.82</v>
      </c>
      <c r="O1652" s="51">
        <v>0.6</v>
      </c>
      <c r="P1652" s="51">
        <v>4.7200000000000006</v>
      </c>
    </row>
    <row r="1653" spans="8:16">
      <c r="H1653" s="21"/>
      <c r="I1653" s="21"/>
      <c r="J1653" s="52"/>
      <c r="L1653" s="51" t="s">
        <v>1667</v>
      </c>
      <c r="M1653" s="25">
        <f>DATE(YEAR(OneWeekMtgRatesDataTable75[[#This Row],[asOf]]),MONTH(OneWeekMtgRatesDataTable75[[#This Row],[asOf]]),DAY(OneWeekMtgRatesDataTable75[[#This Row],[asOf]]))</f>
        <v>39916</v>
      </c>
      <c r="N1653" s="51">
        <v>4.82</v>
      </c>
      <c r="O1653" s="51">
        <v>0.6</v>
      </c>
      <c r="P1653" s="51">
        <v>4.7200000000000006</v>
      </c>
    </row>
    <row r="1654" spans="8:16">
      <c r="H1654" s="21"/>
      <c r="I1654" s="21"/>
      <c r="J1654" s="52"/>
      <c r="L1654" s="51" t="s">
        <v>1668</v>
      </c>
      <c r="M1654" s="25">
        <f>DATE(YEAR(OneWeekMtgRatesDataTable75[[#This Row],[asOf]]),MONTH(OneWeekMtgRatesDataTable75[[#This Row],[asOf]]),DAY(OneWeekMtgRatesDataTable75[[#This Row],[asOf]]))</f>
        <v>39912</v>
      </c>
      <c r="N1654" s="51">
        <v>4.82</v>
      </c>
      <c r="O1654" s="51">
        <v>0.6</v>
      </c>
      <c r="P1654" s="51">
        <v>4.7200000000000006</v>
      </c>
    </row>
    <row r="1655" spans="8:16">
      <c r="H1655" s="21"/>
      <c r="I1655" s="21"/>
      <c r="J1655" s="52"/>
      <c r="L1655" s="51" t="s">
        <v>1669</v>
      </c>
      <c r="M1655" s="25">
        <f>DATE(YEAR(OneWeekMtgRatesDataTable75[[#This Row],[asOf]]),MONTH(OneWeekMtgRatesDataTable75[[#This Row],[asOf]]),DAY(OneWeekMtgRatesDataTable75[[#This Row],[asOf]]))</f>
        <v>39911</v>
      </c>
      <c r="N1655" s="51">
        <v>4.87</v>
      </c>
      <c r="O1655" s="51">
        <v>0.7</v>
      </c>
      <c r="P1655" s="51">
        <v>4.7949999999999999</v>
      </c>
    </row>
    <row r="1656" spans="8:16">
      <c r="H1656" s="21"/>
      <c r="I1656" s="21"/>
      <c r="J1656" s="52"/>
      <c r="L1656" s="51" t="s">
        <v>1670</v>
      </c>
      <c r="M1656" s="25">
        <f>DATE(YEAR(OneWeekMtgRatesDataTable75[[#This Row],[asOf]]),MONTH(OneWeekMtgRatesDataTable75[[#This Row],[asOf]]),DAY(OneWeekMtgRatesDataTable75[[#This Row],[asOf]]))</f>
        <v>39910</v>
      </c>
      <c r="N1656" s="51">
        <v>4.87</v>
      </c>
      <c r="O1656" s="51">
        <v>0.7</v>
      </c>
      <c r="P1656" s="51">
        <v>4.7949999999999999</v>
      </c>
    </row>
    <row r="1657" spans="8:16">
      <c r="H1657" s="21"/>
      <c r="I1657" s="21"/>
      <c r="J1657" s="52"/>
      <c r="L1657" s="51" t="s">
        <v>1671</v>
      </c>
      <c r="M1657" s="25">
        <f>DATE(YEAR(OneWeekMtgRatesDataTable75[[#This Row],[asOf]]),MONTH(OneWeekMtgRatesDataTable75[[#This Row],[asOf]]),DAY(OneWeekMtgRatesDataTable75[[#This Row],[asOf]]))</f>
        <v>39909</v>
      </c>
      <c r="N1657" s="51">
        <v>4.87</v>
      </c>
      <c r="O1657" s="51">
        <v>0.7</v>
      </c>
      <c r="P1657" s="51">
        <v>4.7949999999999999</v>
      </c>
    </row>
    <row r="1658" spans="8:16">
      <c r="H1658" s="21"/>
      <c r="I1658" s="21"/>
      <c r="J1658" s="52"/>
      <c r="L1658" s="51" t="s">
        <v>1672</v>
      </c>
      <c r="M1658" s="25">
        <f>DATE(YEAR(OneWeekMtgRatesDataTable75[[#This Row],[asOf]]),MONTH(OneWeekMtgRatesDataTable75[[#This Row],[asOf]]),DAY(OneWeekMtgRatesDataTable75[[#This Row],[asOf]]))</f>
        <v>39906</v>
      </c>
      <c r="N1658" s="51">
        <v>4.87</v>
      </c>
      <c r="O1658" s="51">
        <v>0.7</v>
      </c>
      <c r="P1658" s="51">
        <v>4.7949999999999999</v>
      </c>
    </row>
    <row r="1659" spans="8:16">
      <c r="H1659" s="21"/>
      <c r="I1659" s="21"/>
      <c r="J1659" s="52"/>
      <c r="L1659" s="51" t="s">
        <v>1673</v>
      </c>
      <c r="M1659" s="25">
        <f>DATE(YEAR(OneWeekMtgRatesDataTable75[[#This Row],[asOf]]),MONTH(OneWeekMtgRatesDataTable75[[#This Row],[asOf]]),DAY(OneWeekMtgRatesDataTable75[[#This Row],[asOf]]))</f>
        <v>39905</v>
      </c>
      <c r="N1659" s="51">
        <v>4.87</v>
      </c>
      <c r="O1659" s="51">
        <v>0.7</v>
      </c>
      <c r="P1659" s="51">
        <v>4.7949999999999999</v>
      </c>
    </row>
    <row r="1660" spans="8:16">
      <c r="H1660" s="21"/>
      <c r="I1660" s="21"/>
      <c r="J1660" s="52"/>
      <c r="L1660" s="51" t="s">
        <v>1674</v>
      </c>
      <c r="M1660" s="25">
        <f>DATE(YEAR(OneWeekMtgRatesDataTable75[[#This Row],[asOf]]),MONTH(OneWeekMtgRatesDataTable75[[#This Row],[asOf]]),DAY(OneWeekMtgRatesDataTable75[[#This Row],[asOf]]))</f>
        <v>39904</v>
      </c>
      <c r="N1660" s="51">
        <v>4.78</v>
      </c>
      <c r="O1660" s="51">
        <v>0.7</v>
      </c>
      <c r="P1660" s="51">
        <v>4.7050000000000001</v>
      </c>
    </row>
    <row r="1661" spans="8:16">
      <c r="H1661" s="21"/>
      <c r="I1661" s="21"/>
      <c r="J1661" s="52"/>
      <c r="L1661" s="51" t="s">
        <v>1675</v>
      </c>
      <c r="M1661" s="25">
        <f>DATE(YEAR(OneWeekMtgRatesDataTable75[[#This Row],[asOf]]),MONTH(OneWeekMtgRatesDataTable75[[#This Row],[asOf]]),DAY(OneWeekMtgRatesDataTable75[[#This Row],[asOf]]))</f>
        <v>39903</v>
      </c>
      <c r="N1661" s="51">
        <v>4.78</v>
      </c>
      <c r="O1661" s="51">
        <v>0.7</v>
      </c>
      <c r="P1661" s="51">
        <v>4.7050000000000001</v>
      </c>
    </row>
    <row r="1662" spans="8:16">
      <c r="H1662" s="21"/>
      <c r="I1662" s="21"/>
      <c r="J1662" s="52"/>
      <c r="L1662" s="51" t="s">
        <v>1676</v>
      </c>
      <c r="M1662" s="25">
        <f>DATE(YEAR(OneWeekMtgRatesDataTable75[[#This Row],[asOf]]),MONTH(OneWeekMtgRatesDataTable75[[#This Row],[asOf]]),DAY(OneWeekMtgRatesDataTable75[[#This Row],[asOf]]))</f>
        <v>39902</v>
      </c>
      <c r="N1662" s="51">
        <v>4.78</v>
      </c>
      <c r="O1662" s="51">
        <v>0.7</v>
      </c>
      <c r="P1662" s="51">
        <v>4.7050000000000001</v>
      </c>
    </row>
    <row r="1663" spans="8:16">
      <c r="H1663" s="21"/>
      <c r="I1663" s="21"/>
      <c r="J1663" s="52"/>
      <c r="L1663" s="51" t="s">
        <v>1677</v>
      </c>
      <c r="M1663" s="25">
        <f>DATE(YEAR(OneWeekMtgRatesDataTable75[[#This Row],[asOf]]),MONTH(OneWeekMtgRatesDataTable75[[#This Row],[asOf]]),DAY(OneWeekMtgRatesDataTable75[[#This Row],[asOf]]))</f>
        <v>39899</v>
      </c>
      <c r="N1663" s="51">
        <v>4.78</v>
      </c>
      <c r="O1663" s="51">
        <v>0.7</v>
      </c>
      <c r="P1663" s="51">
        <v>4.7050000000000001</v>
      </c>
    </row>
    <row r="1664" spans="8:16">
      <c r="H1664" s="21"/>
      <c r="I1664" s="21"/>
      <c r="J1664" s="52"/>
      <c r="L1664" s="51" t="s">
        <v>1678</v>
      </c>
      <c r="M1664" s="25">
        <f>DATE(YEAR(OneWeekMtgRatesDataTable75[[#This Row],[asOf]]),MONTH(OneWeekMtgRatesDataTable75[[#This Row],[asOf]]),DAY(OneWeekMtgRatesDataTable75[[#This Row],[asOf]]))</f>
        <v>39898</v>
      </c>
      <c r="N1664" s="51">
        <v>4.78</v>
      </c>
      <c r="O1664" s="51">
        <v>0.7</v>
      </c>
      <c r="P1664" s="51">
        <v>4.7050000000000001</v>
      </c>
    </row>
    <row r="1665" spans="8:16">
      <c r="H1665" s="21"/>
      <c r="I1665" s="21"/>
      <c r="J1665" s="52"/>
      <c r="L1665" s="51" t="s">
        <v>1679</v>
      </c>
      <c r="M1665" s="25">
        <f>DATE(YEAR(OneWeekMtgRatesDataTable75[[#This Row],[asOf]]),MONTH(OneWeekMtgRatesDataTable75[[#This Row],[asOf]]),DAY(OneWeekMtgRatesDataTable75[[#This Row],[asOf]]))</f>
        <v>39897</v>
      </c>
      <c r="N1665" s="51">
        <v>4.8499999999999996</v>
      </c>
      <c r="O1665" s="51">
        <v>0.7</v>
      </c>
      <c r="P1665" s="51">
        <v>4.7749999999999995</v>
      </c>
    </row>
    <row r="1666" spans="8:16">
      <c r="H1666" s="21"/>
      <c r="I1666" s="21"/>
      <c r="J1666" s="52"/>
      <c r="L1666" s="51" t="s">
        <v>1680</v>
      </c>
      <c r="M1666" s="25">
        <f>DATE(YEAR(OneWeekMtgRatesDataTable75[[#This Row],[asOf]]),MONTH(OneWeekMtgRatesDataTable75[[#This Row],[asOf]]),DAY(OneWeekMtgRatesDataTable75[[#This Row],[asOf]]))</f>
        <v>39896</v>
      </c>
      <c r="N1666" s="51">
        <v>4.8499999999999996</v>
      </c>
      <c r="O1666" s="51">
        <v>0.7</v>
      </c>
      <c r="P1666" s="51">
        <v>4.7749999999999995</v>
      </c>
    </row>
    <row r="1667" spans="8:16">
      <c r="H1667" s="21"/>
      <c r="I1667" s="21"/>
      <c r="J1667" s="52"/>
      <c r="L1667" s="51" t="s">
        <v>1681</v>
      </c>
      <c r="M1667" s="25">
        <f>DATE(YEAR(OneWeekMtgRatesDataTable75[[#This Row],[asOf]]),MONTH(OneWeekMtgRatesDataTable75[[#This Row],[asOf]]),DAY(OneWeekMtgRatesDataTable75[[#This Row],[asOf]]))</f>
        <v>39895</v>
      </c>
      <c r="N1667" s="51">
        <v>4.8499999999999996</v>
      </c>
      <c r="O1667" s="51">
        <v>0.7</v>
      </c>
      <c r="P1667" s="51">
        <v>4.7749999999999995</v>
      </c>
    </row>
    <row r="1668" spans="8:16">
      <c r="H1668" s="21"/>
      <c r="I1668" s="21"/>
      <c r="J1668" s="52"/>
      <c r="L1668" s="51" t="s">
        <v>1682</v>
      </c>
      <c r="M1668" s="25">
        <f>DATE(YEAR(OneWeekMtgRatesDataTable75[[#This Row],[asOf]]),MONTH(OneWeekMtgRatesDataTable75[[#This Row],[asOf]]),DAY(OneWeekMtgRatesDataTable75[[#This Row],[asOf]]))</f>
        <v>39892</v>
      </c>
      <c r="N1668" s="51">
        <v>4.8499999999999996</v>
      </c>
      <c r="O1668" s="51">
        <v>0.7</v>
      </c>
      <c r="P1668" s="51">
        <v>4.7749999999999995</v>
      </c>
    </row>
    <row r="1669" spans="8:16">
      <c r="H1669" s="21"/>
      <c r="I1669" s="21"/>
      <c r="J1669" s="52"/>
      <c r="L1669" s="51" t="s">
        <v>1683</v>
      </c>
      <c r="M1669" s="25">
        <f>DATE(YEAR(OneWeekMtgRatesDataTable75[[#This Row],[asOf]]),MONTH(OneWeekMtgRatesDataTable75[[#This Row],[asOf]]),DAY(OneWeekMtgRatesDataTable75[[#This Row],[asOf]]))</f>
        <v>39891</v>
      </c>
      <c r="N1669" s="51">
        <v>4.8499999999999996</v>
      </c>
      <c r="O1669" s="51">
        <v>0.7</v>
      </c>
      <c r="P1669" s="51">
        <v>4.7749999999999995</v>
      </c>
    </row>
    <row r="1670" spans="8:16">
      <c r="H1670" s="21"/>
      <c r="I1670" s="21"/>
      <c r="J1670" s="52"/>
      <c r="L1670" s="51" t="s">
        <v>1684</v>
      </c>
      <c r="M1670" s="25">
        <f>DATE(YEAR(OneWeekMtgRatesDataTable75[[#This Row],[asOf]]),MONTH(OneWeekMtgRatesDataTable75[[#This Row],[asOf]]),DAY(OneWeekMtgRatesDataTable75[[#This Row],[asOf]]))</f>
        <v>39890</v>
      </c>
      <c r="N1670" s="51">
        <v>4.9800000000000004</v>
      </c>
      <c r="O1670" s="51">
        <v>0.7</v>
      </c>
      <c r="P1670" s="51">
        <v>4.9050000000000002</v>
      </c>
    </row>
    <row r="1671" spans="8:16">
      <c r="H1671" s="21"/>
      <c r="I1671" s="21"/>
      <c r="J1671" s="52"/>
      <c r="L1671" s="51" t="s">
        <v>1685</v>
      </c>
      <c r="M1671" s="25">
        <f>DATE(YEAR(OneWeekMtgRatesDataTable75[[#This Row],[asOf]]),MONTH(OneWeekMtgRatesDataTable75[[#This Row],[asOf]]),DAY(OneWeekMtgRatesDataTable75[[#This Row],[asOf]]))</f>
        <v>39889</v>
      </c>
      <c r="N1671" s="51">
        <v>4.9800000000000004</v>
      </c>
      <c r="O1671" s="51">
        <v>0.7</v>
      </c>
      <c r="P1671" s="51">
        <v>4.9050000000000002</v>
      </c>
    </row>
    <row r="1672" spans="8:16">
      <c r="H1672" s="21"/>
      <c r="I1672" s="21"/>
      <c r="J1672" s="52"/>
      <c r="L1672" s="51" t="s">
        <v>1686</v>
      </c>
      <c r="M1672" s="25">
        <f>DATE(YEAR(OneWeekMtgRatesDataTable75[[#This Row],[asOf]]),MONTH(OneWeekMtgRatesDataTable75[[#This Row],[asOf]]),DAY(OneWeekMtgRatesDataTable75[[#This Row],[asOf]]))</f>
        <v>39888</v>
      </c>
      <c r="N1672" s="51">
        <v>4.9800000000000004</v>
      </c>
      <c r="O1672" s="51">
        <v>0.7</v>
      </c>
      <c r="P1672" s="51">
        <v>4.9050000000000002</v>
      </c>
    </row>
    <row r="1673" spans="8:16">
      <c r="H1673" s="21"/>
      <c r="I1673" s="21"/>
      <c r="J1673" s="52"/>
      <c r="L1673" s="51" t="s">
        <v>1687</v>
      </c>
      <c r="M1673" s="25">
        <f>DATE(YEAR(OneWeekMtgRatesDataTable75[[#This Row],[asOf]]),MONTH(OneWeekMtgRatesDataTable75[[#This Row],[asOf]]),DAY(OneWeekMtgRatesDataTable75[[#This Row],[asOf]]))</f>
        <v>39885</v>
      </c>
      <c r="N1673" s="51">
        <v>4.9800000000000004</v>
      </c>
      <c r="O1673" s="51">
        <v>0.7</v>
      </c>
      <c r="P1673" s="51">
        <v>4.9050000000000002</v>
      </c>
    </row>
    <row r="1674" spans="8:16">
      <c r="H1674" s="21"/>
      <c r="I1674" s="21"/>
      <c r="J1674" s="52"/>
      <c r="L1674" s="51" t="s">
        <v>1688</v>
      </c>
      <c r="M1674" s="25">
        <f>DATE(YEAR(OneWeekMtgRatesDataTable75[[#This Row],[asOf]]),MONTH(OneWeekMtgRatesDataTable75[[#This Row],[asOf]]),DAY(OneWeekMtgRatesDataTable75[[#This Row],[asOf]]))</f>
        <v>39884</v>
      </c>
      <c r="N1674" s="51">
        <v>4.9800000000000004</v>
      </c>
      <c r="O1674" s="51">
        <v>0.7</v>
      </c>
      <c r="P1674" s="51">
        <v>4.9050000000000002</v>
      </c>
    </row>
    <row r="1675" spans="8:16">
      <c r="H1675" s="21"/>
      <c r="I1675" s="21"/>
      <c r="J1675" s="52"/>
      <c r="L1675" s="51" t="s">
        <v>1689</v>
      </c>
      <c r="M1675" s="25">
        <f>DATE(YEAR(OneWeekMtgRatesDataTable75[[#This Row],[asOf]]),MONTH(OneWeekMtgRatesDataTable75[[#This Row],[asOf]]),DAY(OneWeekMtgRatesDataTable75[[#This Row],[asOf]]))</f>
        <v>39883</v>
      </c>
      <c r="N1675" s="51">
        <v>5.03</v>
      </c>
      <c r="O1675" s="51">
        <v>0.7</v>
      </c>
      <c r="P1675" s="51">
        <v>4.9550000000000001</v>
      </c>
    </row>
    <row r="1676" spans="8:16">
      <c r="H1676" s="21"/>
      <c r="I1676" s="21"/>
      <c r="J1676" s="52"/>
      <c r="L1676" s="51" t="s">
        <v>1690</v>
      </c>
      <c r="M1676" s="25">
        <f>DATE(YEAR(OneWeekMtgRatesDataTable75[[#This Row],[asOf]]),MONTH(OneWeekMtgRatesDataTable75[[#This Row],[asOf]]),DAY(OneWeekMtgRatesDataTable75[[#This Row],[asOf]]))</f>
        <v>39882</v>
      </c>
      <c r="N1676" s="51">
        <v>5.03</v>
      </c>
      <c r="O1676" s="51">
        <v>0.7</v>
      </c>
      <c r="P1676" s="51">
        <v>4.9550000000000001</v>
      </c>
    </row>
    <row r="1677" spans="8:16">
      <c r="H1677" s="21"/>
      <c r="I1677" s="21"/>
      <c r="J1677" s="52"/>
      <c r="L1677" s="51" t="s">
        <v>1691</v>
      </c>
      <c r="M1677" s="25">
        <f>DATE(YEAR(OneWeekMtgRatesDataTable75[[#This Row],[asOf]]),MONTH(OneWeekMtgRatesDataTable75[[#This Row],[asOf]]),DAY(OneWeekMtgRatesDataTable75[[#This Row],[asOf]]))</f>
        <v>39881</v>
      </c>
      <c r="N1677" s="51">
        <v>5.03</v>
      </c>
      <c r="O1677" s="51">
        <v>0.7</v>
      </c>
      <c r="P1677" s="51">
        <v>4.9550000000000001</v>
      </c>
    </row>
    <row r="1678" spans="8:16">
      <c r="H1678" s="21"/>
      <c r="I1678" s="21"/>
      <c r="J1678" s="52"/>
      <c r="L1678" s="51" t="s">
        <v>1692</v>
      </c>
      <c r="M1678" s="25">
        <f>DATE(YEAR(OneWeekMtgRatesDataTable75[[#This Row],[asOf]]),MONTH(OneWeekMtgRatesDataTable75[[#This Row],[asOf]]),DAY(OneWeekMtgRatesDataTable75[[#This Row],[asOf]]))</f>
        <v>39878</v>
      </c>
      <c r="N1678" s="51">
        <v>5.03</v>
      </c>
      <c r="O1678" s="51">
        <v>0.7</v>
      </c>
      <c r="P1678" s="51">
        <v>4.9550000000000001</v>
      </c>
    </row>
    <row r="1679" spans="8:16">
      <c r="H1679" s="21"/>
      <c r="I1679" s="21"/>
      <c r="J1679" s="52"/>
      <c r="L1679" s="51" t="s">
        <v>1693</v>
      </c>
      <c r="M1679" s="25">
        <f>DATE(YEAR(OneWeekMtgRatesDataTable75[[#This Row],[asOf]]),MONTH(OneWeekMtgRatesDataTable75[[#This Row],[asOf]]),DAY(OneWeekMtgRatesDataTable75[[#This Row],[asOf]]))</f>
        <v>39877</v>
      </c>
      <c r="N1679" s="51">
        <v>5.03</v>
      </c>
      <c r="O1679" s="51">
        <v>0.7</v>
      </c>
      <c r="P1679" s="51">
        <v>4.9550000000000001</v>
      </c>
    </row>
    <row r="1680" spans="8:16">
      <c r="H1680" s="21"/>
      <c r="I1680" s="21"/>
      <c r="J1680" s="52"/>
      <c r="L1680" s="51" t="s">
        <v>1694</v>
      </c>
      <c r="M1680" s="25">
        <f>DATE(YEAR(OneWeekMtgRatesDataTable75[[#This Row],[asOf]]),MONTH(OneWeekMtgRatesDataTable75[[#This Row],[asOf]]),DAY(OneWeekMtgRatesDataTable75[[#This Row],[asOf]]))</f>
        <v>39876</v>
      </c>
      <c r="N1680" s="51">
        <v>5.15</v>
      </c>
      <c r="O1680" s="51">
        <v>0.7</v>
      </c>
      <c r="P1680" s="51">
        <v>5.0750000000000002</v>
      </c>
    </row>
    <row r="1681" spans="8:16">
      <c r="H1681" s="21"/>
      <c r="I1681" s="21"/>
      <c r="J1681" s="52"/>
      <c r="L1681" s="51" t="s">
        <v>1695</v>
      </c>
      <c r="M1681" s="25">
        <f>DATE(YEAR(OneWeekMtgRatesDataTable75[[#This Row],[asOf]]),MONTH(OneWeekMtgRatesDataTable75[[#This Row],[asOf]]),DAY(OneWeekMtgRatesDataTable75[[#This Row],[asOf]]))</f>
        <v>39875</v>
      </c>
      <c r="N1681" s="51">
        <v>5.15</v>
      </c>
      <c r="O1681" s="51">
        <v>0.7</v>
      </c>
      <c r="P1681" s="51">
        <v>5.0750000000000002</v>
      </c>
    </row>
    <row r="1682" spans="8:16">
      <c r="H1682" s="21"/>
      <c r="I1682" s="21"/>
      <c r="J1682" s="52"/>
      <c r="L1682" s="51" t="s">
        <v>1696</v>
      </c>
      <c r="M1682" s="25">
        <f>DATE(YEAR(OneWeekMtgRatesDataTable75[[#This Row],[asOf]]),MONTH(OneWeekMtgRatesDataTable75[[#This Row],[asOf]]),DAY(OneWeekMtgRatesDataTable75[[#This Row],[asOf]]))</f>
        <v>39874</v>
      </c>
      <c r="N1682" s="51">
        <v>5.15</v>
      </c>
      <c r="O1682" s="51">
        <v>0.7</v>
      </c>
      <c r="P1682" s="51">
        <v>5.0750000000000002</v>
      </c>
    </row>
    <row r="1683" spans="8:16">
      <c r="H1683" s="21"/>
      <c r="I1683" s="21"/>
      <c r="J1683" s="52"/>
      <c r="L1683" s="51" t="s">
        <v>1697</v>
      </c>
      <c r="M1683" s="25">
        <f>DATE(YEAR(OneWeekMtgRatesDataTable75[[#This Row],[asOf]]),MONTH(OneWeekMtgRatesDataTable75[[#This Row],[asOf]]),DAY(OneWeekMtgRatesDataTable75[[#This Row],[asOf]]))</f>
        <v>39871</v>
      </c>
      <c r="N1683" s="51">
        <v>5.15</v>
      </c>
      <c r="O1683" s="51">
        <v>0.7</v>
      </c>
      <c r="P1683" s="51">
        <v>5.0750000000000002</v>
      </c>
    </row>
    <row r="1684" spans="8:16">
      <c r="H1684" s="32"/>
      <c r="I1684" s="32"/>
      <c r="J1684" s="54"/>
      <c r="L1684" s="51" t="s">
        <v>1698</v>
      </c>
      <c r="M1684" s="25">
        <f>DATE(YEAR(OneWeekMtgRatesDataTable75[[#This Row],[asOf]]),MONTH(OneWeekMtgRatesDataTable75[[#This Row],[asOf]]),DAY(OneWeekMtgRatesDataTable75[[#This Row],[asOf]]))</f>
        <v>39870</v>
      </c>
      <c r="N1684" s="51">
        <v>5.15</v>
      </c>
      <c r="O1684" s="51">
        <v>0.7</v>
      </c>
      <c r="P1684" s="51">
        <v>5.0750000000000002</v>
      </c>
    </row>
    <row r="1685" spans="8:16">
      <c r="H1685" s="32"/>
      <c r="I1685" s="32"/>
      <c r="J1685" s="54"/>
      <c r="L1685" s="51" t="s">
        <v>1699</v>
      </c>
      <c r="M1685" s="25">
        <f>DATE(YEAR(OneWeekMtgRatesDataTable75[[#This Row],[asOf]]),MONTH(OneWeekMtgRatesDataTable75[[#This Row],[asOf]]),DAY(OneWeekMtgRatesDataTable75[[#This Row],[asOf]]))</f>
        <v>39869</v>
      </c>
      <c r="N1685" s="51">
        <v>5.07</v>
      </c>
      <c r="O1685" s="51">
        <v>0.7</v>
      </c>
      <c r="P1685" s="51">
        <v>4.9950000000000001</v>
      </c>
    </row>
    <row r="1686" spans="8:16">
      <c r="H1686" s="32"/>
      <c r="I1686" s="32"/>
      <c r="J1686" s="54"/>
      <c r="L1686" s="51" t="s">
        <v>1700</v>
      </c>
      <c r="M1686" s="25">
        <f>DATE(YEAR(OneWeekMtgRatesDataTable75[[#This Row],[asOf]]),MONTH(OneWeekMtgRatesDataTable75[[#This Row],[asOf]]),DAY(OneWeekMtgRatesDataTable75[[#This Row],[asOf]]))</f>
        <v>39868</v>
      </c>
      <c r="N1686" s="51">
        <v>5.07</v>
      </c>
      <c r="O1686" s="51">
        <v>0.7</v>
      </c>
      <c r="P1686" s="51">
        <v>4.9950000000000001</v>
      </c>
    </row>
    <row r="1687" spans="8:16">
      <c r="H1687" s="32"/>
      <c r="I1687" s="32"/>
      <c r="J1687" s="54"/>
      <c r="L1687" s="51" t="s">
        <v>1701</v>
      </c>
      <c r="M1687" s="25">
        <f>DATE(YEAR(OneWeekMtgRatesDataTable75[[#This Row],[asOf]]),MONTH(OneWeekMtgRatesDataTable75[[#This Row],[asOf]]),DAY(OneWeekMtgRatesDataTable75[[#This Row],[asOf]]))</f>
        <v>39867</v>
      </c>
      <c r="N1687" s="51">
        <v>5.07</v>
      </c>
      <c r="O1687" s="51">
        <v>0.7</v>
      </c>
      <c r="P1687" s="51">
        <v>4.9950000000000001</v>
      </c>
    </row>
    <row r="1688" spans="8:16">
      <c r="H1688" s="32"/>
      <c r="I1688" s="32"/>
      <c r="J1688" s="54"/>
      <c r="L1688" s="51" t="s">
        <v>1702</v>
      </c>
      <c r="M1688" s="25">
        <f>DATE(YEAR(OneWeekMtgRatesDataTable75[[#This Row],[asOf]]),MONTH(OneWeekMtgRatesDataTable75[[#This Row],[asOf]]),DAY(OneWeekMtgRatesDataTable75[[#This Row],[asOf]]))</f>
        <v>39864</v>
      </c>
      <c r="N1688" s="51">
        <v>5.07</v>
      </c>
      <c r="O1688" s="51">
        <v>0.7</v>
      </c>
      <c r="P1688" s="51">
        <v>4.9950000000000001</v>
      </c>
    </row>
    <row r="1689" spans="8:16">
      <c r="H1689" s="32"/>
      <c r="I1689" s="32"/>
      <c r="J1689" s="54"/>
      <c r="L1689" s="51" t="s">
        <v>1703</v>
      </c>
      <c r="M1689" s="25">
        <f>DATE(YEAR(OneWeekMtgRatesDataTable75[[#This Row],[asOf]]),MONTH(OneWeekMtgRatesDataTable75[[#This Row],[asOf]]),DAY(OneWeekMtgRatesDataTable75[[#This Row],[asOf]]))</f>
        <v>39863</v>
      </c>
      <c r="N1689" s="51">
        <v>5.07</v>
      </c>
      <c r="O1689" s="51">
        <v>0.7</v>
      </c>
      <c r="P1689" s="51">
        <v>4.9950000000000001</v>
      </c>
    </row>
    <row r="1690" spans="8:16">
      <c r="H1690" s="32"/>
      <c r="I1690" s="32"/>
      <c r="J1690" s="54"/>
      <c r="L1690" s="51" t="s">
        <v>1704</v>
      </c>
      <c r="M1690" s="25">
        <f>DATE(YEAR(OneWeekMtgRatesDataTable75[[#This Row],[asOf]]),MONTH(OneWeekMtgRatesDataTable75[[#This Row],[asOf]]),DAY(OneWeekMtgRatesDataTable75[[#This Row],[asOf]]))</f>
        <v>39862</v>
      </c>
      <c r="N1690" s="51">
        <v>5.04</v>
      </c>
      <c r="O1690" s="51">
        <v>0.7</v>
      </c>
      <c r="P1690" s="51">
        <v>4.9649999999999999</v>
      </c>
    </row>
    <row r="1691" spans="8:16">
      <c r="H1691" s="32"/>
      <c r="I1691" s="32"/>
      <c r="J1691" s="54"/>
      <c r="L1691" s="51" t="s">
        <v>1705</v>
      </c>
      <c r="M1691" s="25">
        <f>DATE(YEAR(OneWeekMtgRatesDataTable75[[#This Row],[asOf]]),MONTH(OneWeekMtgRatesDataTable75[[#This Row],[asOf]]),DAY(OneWeekMtgRatesDataTable75[[#This Row],[asOf]]))</f>
        <v>39861</v>
      </c>
      <c r="N1691" s="51">
        <v>5.04</v>
      </c>
      <c r="O1691" s="51">
        <v>0.7</v>
      </c>
      <c r="P1691" s="51">
        <v>4.9649999999999999</v>
      </c>
    </row>
    <row r="1692" spans="8:16">
      <c r="H1692" s="32"/>
      <c r="I1692" s="32"/>
      <c r="J1692" s="54"/>
      <c r="L1692" s="51" t="s">
        <v>1706</v>
      </c>
      <c r="M1692" s="25">
        <f>DATE(YEAR(OneWeekMtgRatesDataTable75[[#This Row],[asOf]]),MONTH(OneWeekMtgRatesDataTable75[[#This Row],[asOf]]),DAY(OneWeekMtgRatesDataTable75[[#This Row],[asOf]]))</f>
        <v>39857</v>
      </c>
      <c r="N1692" s="51">
        <v>5.04</v>
      </c>
      <c r="O1692" s="51">
        <v>0.7</v>
      </c>
      <c r="P1692" s="51">
        <v>4.9649999999999999</v>
      </c>
    </row>
    <row r="1693" spans="8:16">
      <c r="H1693" s="32"/>
      <c r="I1693" s="32"/>
      <c r="J1693" s="54"/>
      <c r="L1693" s="51" t="s">
        <v>1707</v>
      </c>
      <c r="M1693" s="25">
        <f>DATE(YEAR(OneWeekMtgRatesDataTable75[[#This Row],[asOf]]),MONTH(OneWeekMtgRatesDataTable75[[#This Row],[asOf]]),DAY(OneWeekMtgRatesDataTable75[[#This Row],[asOf]]))</f>
        <v>39856</v>
      </c>
      <c r="N1693" s="51">
        <v>5.04</v>
      </c>
      <c r="O1693" s="51">
        <v>0.7</v>
      </c>
      <c r="P1693" s="51">
        <v>4.9649999999999999</v>
      </c>
    </row>
    <row r="1694" spans="8:16">
      <c r="H1694" s="32"/>
      <c r="I1694" s="32"/>
      <c r="J1694" s="54"/>
      <c r="L1694" s="51" t="s">
        <v>1708</v>
      </c>
      <c r="M1694" s="25">
        <f>DATE(YEAR(OneWeekMtgRatesDataTable75[[#This Row],[asOf]]),MONTH(OneWeekMtgRatesDataTable75[[#This Row],[asOf]]),DAY(OneWeekMtgRatesDataTable75[[#This Row],[asOf]]))</f>
        <v>39855</v>
      </c>
      <c r="N1694" s="51">
        <v>5.16</v>
      </c>
      <c r="O1694" s="51">
        <v>0.7</v>
      </c>
      <c r="P1694" s="51">
        <v>5.085</v>
      </c>
    </row>
    <row r="1695" spans="8:16">
      <c r="H1695" s="32"/>
      <c r="I1695" s="32"/>
      <c r="J1695" s="54"/>
      <c r="L1695" s="51" t="s">
        <v>1709</v>
      </c>
      <c r="M1695" s="25">
        <f>DATE(YEAR(OneWeekMtgRatesDataTable75[[#This Row],[asOf]]),MONTH(OneWeekMtgRatesDataTable75[[#This Row],[asOf]]),DAY(OneWeekMtgRatesDataTable75[[#This Row],[asOf]]))</f>
        <v>39854</v>
      </c>
      <c r="N1695" s="51">
        <v>5.16</v>
      </c>
      <c r="O1695" s="51">
        <v>0.7</v>
      </c>
      <c r="P1695" s="51">
        <v>5.085</v>
      </c>
    </row>
    <row r="1696" spans="8:16">
      <c r="H1696" s="32"/>
      <c r="I1696" s="32"/>
      <c r="J1696" s="54"/>
      <c r="L1696" s="51" t="s">
        <v>1710</v>
      </c>
      <c r="M1696" s="25">
        <f>DATE(YEAR(OneWeekMtgRatesDataTable75[[#This Row],[asOf]]),MONTH(OneWeekMtgRatesDataTable75[[#This Row],[asOf]]),DAY(OneWeekMtgRatesDataTable75[[#This Row],[asOf]]))</f>
        <v>39853</v>
      </c>
      <c r="N1696" s="51">
        <v>5.16</v>
      </c>
      <c r="O1696" s="51">
        <v>0.7</v>
      </c>
      <c r="P1696" s="51">
        <v>5.085</v>
      </c>
    </row>
    <row r="1697" spans="8:16">
      <c r="H1697" s="32"/>
      <c r="I1697" s="32"/>
      <c r="J1697" s="54"/>
      <c r="L1697" s="51" t="s">
        <v>1711</v>
      </c>
      <c r="M1697" s="25">
        <f>DATE(YEAR(OneWeekMtgRatesDataTable75[[#This Row],[asOf]]),MONTH(OneWeekMtgRatesDataTable75[[#This Row],[asOf]]),DAY(OneWeekMtgRatesDataTable75[[#This Row],[asOf]]))</f>
        <v>39850</v>
      </c>
      <c r="N1697" s="51">
        <v>5.16</v>
      </c>
      <c r="O1697" s="51">
        <v>0.7</v>
      </c>
      <c r="P1697" s="51">
        <v>5.085</v>
      </c>
    </row>
    <row r="1698" spans="8:16">
      <c r="H1698" s="32"/>
      <c r="I1698" s="32"/>
      <c r="J1698" s="54"/>
      <c r="L1698" s="51" t="s">
        <v>1712</v>
      </c>
      <c r="M1698" s="25">
        <f>DATE(YEAR(OneWeekMtgRatesDataTable75[[#This Row],[asOf]]),MONTH(OneWeekMtgRatesDataTable75[[#This Row],[asOf]]),DAY(OneWeekMtgRatesDataTable75[[#This Row],[asOf]]))</f>
        <v>39849</v>
      </c>
      <c r="N1698" s="51">
        <v>5.16</v>
      </c>
      <c r="O1698" s="51">
        <v>0.7</v>
      </c>
      <c r="P1698" s="51">
        <v>5.085</v>
      </c>
    </row>
    <row r="1699" spans="8:16">
      <c r="H1699" s="32"/>
      <c r="I1699" s="32"/>
      <c r="J1699" s="54"/>
      <c r="L1699" s="51" t="s">
        <v>1713</v>
      </c>
      <c r="M1699" s="25">
        <f>DATE(YEAR(OneWeekMtgRatesDataTable75[[#This Row],[asOf]]),MONTH(OneWeekMtgRatesDataTable75[[#This Row],[asOf]]),DAY(OneWeekMtgRatesDataTable75[[#This Row],[asOf]]))</f>
        <v>39848</v>
      </c>
      <c r="N1699" s="51">
        <v>5.25</v>
      </c>
      <c r="O1699" s="51">
        <v>0.8</v>
      </c>
      <c r="P1699" s="51">
        <v>5.2</v>
      </c>
    </row>
    <row r="1700" spans="8:16">
      <c r="H1700" s="32"/>
      <c r="I1700" s="32"/>
      <c r="J1700" s="54"/>
      <c r="L1700" s="51" t="s">
        <v>1714</v>
      </c>
      <c r="M1700" s="25">
        <f>DATE(YEAR(OneWeekMtgRatesDataTable75[[#This Row],[asOf]]),MONTH(OneWeekMtgRatesDataTable75[[#This Row],[asOf]]),DAY(OneWeekMtgRatesDataTable75[[#This Row],[asOf]]))</f>
        <v>39847</v>
      </c>
      <c r="N1700" s="51">
        <v>5.25</v>
      </c>
      <c r="O1700" s="51">
        <v>0.8</v>
      </c>
      <c r="P1700" s="51">
        <v>5.2</v>
      </c>
    </row>
    <row r="1701" spans="8:16">
      <c r="H1701" s="32"/>
      <c r="I1701" s="32"/>
      <c r="J1701" s="54"/>
      <c r="L1701" s="51" t="s">
        <v>1715</v>
      </c>
      <c r="M1701" s="25">
        <f>DATE(YEAR(OneWeekMtgRatesDataTable75[[#This Row],[asOf]]),MONTH(OneWeekMtgRatesDataTable75[[#This Row],[asOf]]),DAY(OneWeekMtgRatesDataTable75[[#This Row],[asOf]]))</f>
        <v>39846</v>
      </c>
      <c r="N1701" s="51">
        <v>5.25</v>
      </c>
      <c r="O1701" s="51">
        <v>0.8</v>
      </c>
      <c r="P1701" s="51">
        <v>5.2</v>
      </c>
    </row>
    <row r="1702" spans="8:16">
      <c r="H1702" s="32"/>
      <c r="I1702" s="32"/>
      <c r="J1702" s="54"/>
      <c r="L1702" s="51" t="s">
        <v>1716</v>
      </c>
      <c r="M1702" s="25">
        <f>DATE(YEAR(OneWeekMtgRatesDataTable75[[#This Row],[asOf]]),MONTH(OneWeekMtgRatesDataTable75[[#This Row],[asOf]]),DAY(OneWeekMtgRatesDataTable75[[#This Row],[asOf]]))</f>
        <v>39843</v>
      </c>
      <c r="N1702" s="51">
        <v>5.25</v>
      </c>
      <c r="O1702" s="51">
        <v>0.8</v>
      </c>
      <c r="P1702" s="51">
        <v>5.2</v>
      </c>
    </row>
    <row r="1703" spans="8:16">
      <c r="H1703" s="32"/>
      <c r="I1703" s="32"/>
      <c r="J1703" s="54"/>
      <c r="L1703" s="51" t="s">
        <v>1717</v>
      </c>
      <c r="M1703" s="25">
        <f>DATE(YEAR(OneWeekMtgRatesDataTable75[[#This Row],[asOf]]),MONTH(OneWeekMtgRatesDataTable75[[#This Row],[asOf]]),DAY(OneWeekMtgRatesDataTable75[[#This Row],[asOf]]))</f>
        <v>39842</v>
      </c>
      <c r="N1703" s="51">
        <v>5.25</v>
      </c>
      <c r="O1703" s="51">
        <v>0.8</v>
      </c>
      <c r="P1703" s="51">
        <v>5.2</v>
      </c>
    </row>
    <row r="1704" spans="8:16">
      <c r="H1704" s="32"/>
      <c r="I1704" s="32"/>
      <c r="J1704" s="54"/>
      <c r="L1704" s="51" t="s">
        <v>1718</v>
      </c>
      <c r="M1704" s="25">
        <f>DATE(YEAR(OneWeekMtgRatesDataTable75[[#This Row],[asOf]]),MONTH(OneWeekMtgRatesDataTable75[[#This Row],[asOf]]),DAY(OneWeekMtgRatesDataTable75[[#This Row],[asOf]]))</f>
        <v>39841</v>
      </c>
      <c r="N1704" s="51">
        <v>5.0999999999999996</v>
      </c>
      <c r="O1704" s="51">
        <v>0.7</v>
      </c>
      <c r="P1704" s="51">
        <v>5.0249999999999995</v>
      </c>
    </row>
    <row r="1705" spans="8:16">
      <c r="H1705" s="21"/>
      <c r="I1705" s="21"/>
      <c r="J1705" s="52"/>
      <c r="L1705" s="51" t="s">
        <v>1719</v>
      </c>
      <c r="M1705" s="25">
        <f>DATE(YEAR(OneWeekMtgRatesDataTable75[[#This Row],[asOf]]),MONTH(OneWeekMtgRatesDataTable75[[#This Row],[asOf]]),DAY(OneWeekMtgRatesDataTable75[[#This Row],[asOf]]))</f>
        <v>39840</v>
      </c>
      <c r="N1705" s="51">
        <v>5.0999999999999996</v>
      </c>
      <c r="O1705" s="51">
        <v>0.7</v>
      </c>
      <c r="P1705" s="51">
        <v>5.0249999999999995</v>
      </c>
    </row>
    <row r="1706" spans="8:16">
      <c r="H1706" s="21"/>
      <c r="I1706" s="21"/>
      <c r="J1706" s="52"/>
      <c r="L1706" s="51" t="s">
        <v>1720</v>
      </c>
      <c r="M1706" s="25">
        <f>DATE(YEAR(OneWeekMtgRatesDataTable75[[#This Row],[asOf]]),MONTH(OneWeekMtgRatesDataTable75[[#This Row],[asOf]]),DAY(OneWeekMtgRatesDataTable75[[#This Row],[asOf]]))</f>
        <v>39839</v>
      </c>
      <c r="N1706" s="51">
        <v>5.0999999999999996</v>
      </c>
      <c r="O1706" s="51">
        <v>0.7</v>
      </c>
      <c r="P1706" s="51">
        <v>5.0249999999999995</v>
      </c>
    </row>
    <row r="1707" spans="8:16">
      <c r="H1707" s="21"/>
      <c r="I1707" s="21"/>
      <c r="J1707" s="52"/>
      <c r="L1707" s="51" t="s">
        <v>1721</v>
      </c>
      <c r="M1707" s="25">
        <f>DATE(YEAR(OneWeekMtgRatesDataTable75[[#This Row],[asOf]]),MONTH(OneWeekMtgRatesDataTable75[[#This Row],[asOf]]),DAY(OneWeekMtgRatesDataTable75[[#This Row],[asOf]]))</f>
        <v>39836</v>
      </c>
      <c r="N1707" s="51">
        <v>5.0999999999999996</v>
      </c>
      <c r="O1707" s="51">
        <v>0.7</v>
      </c>
      <c r="P1707" s="51">
        <v>5.0249999999999995</v>
      </c>
    </row>
    <row r="1708" spans="8:16">
      <c r="H1708" s="21"/>
      <c r="I1708" s="21"/>
      <c r="J1708" s="52"/>
      <c r="L1708" s="51" t="s">
        <v>1722</v>
      </c>
      <c r="M1708" s="25">
        <f>DATE(YEAR(OneWeekMtgRatesDataTable75[[#This Row],[asOf]]),MONTH(OneWeekMtgRatesDataTable75[[#This Row],[asOf]]),DAY(OneWeekMtgRatesDataTable75[[#This Row],[asOf]]))</f>
        <v>39835</v>
      </c>
      <c r="N1708" s="51">
        <v>5.0999999999999996</v>
      </c>
      <c r="O1708" s="51">
        <v>0.7</v>
      </c>
      <c r="P1708" s="51">
        <v>5.0249999999999995</v>
      </c>
    </row>
    <row r="1709" spans="8:16">
      <c r="H1709" s="21"/>
      <c r="I1709" s="21"/>
      <c r="J1709" s="52"/>
      <c r="L1709" s="51" t="s">
        <v>1723</v>
      </c>
      <c r="M1709" s="25">
        <f>DATE(YEAR(OneWeekMtgRatesDataTable75[[#This Row],[asOf]]),MONTH(OneWeekMtgRatesDataTable75[[#This Row],[asOf]]),DAY(OneWeekMtgRatesDataTable75[[#This Row],[asOf]]))</f>
        <v>39834</v>
      </c>
      <c r="N1709" s="51">
        <v>5.12</v>
      </c>
      <c r="O1709" s="51">
        <v>0.7</v>
      </c>
      <c r="P1709" s="51">
        <v>5.0449999999999999</v>
      </c>
    </row>
    <row r="1710" spans="8:16">
      <c r="H1710" s="21"/>
      <c r="I1710" s="21"/>
      <c r="J1710" s="52"/>
      <c r="L1710" s="51" t="s">
        <v>1724</v>
      </c>
      <c r="M1710" s="25">
        <f>DATE(YEAR(OneWeekMtgRatesDataTable75[[#This Row],[asOf]]),MONTH(OneWeekMtgRatesDataTable75[[#This Row],[asOf]]),DAY(OneWeekMtgRatesDataTable75[[#This Row],[asOf]]))</f>
        <v>39833</v>
      </c>
      <c r="N1710" s="51">
        <v>5.12</v>
      </c>
      <c r="O1710" s="51">
        <v>0.7</v>
      </c>
      <c r="P1710" s="51">
        <v>5.0449999999999999</v>
      </c>
    </row>
    <row r="1711" spans="8:16">
      <c r="H1711" s="21"/>
      <c r="I1711" s="21"/>
      <c r="J1711" s="52"/>
      <c r="L1711" s="51" t="s">
        <v>1725</v>
      </c>
      <c r="M1711" s="25">
        <f>DATE(YEAR(OneWeekMtgRatesDataTable75[[#This Row],[asOf]]),MONTH(OneWeekMtgRatesDataTable75[[#This Row],[asOf]]),DAY(OneWeekMtgRatesDataTable75[[#This Row],[asOf]]))</f>
        <v>39829</v>
      </c>
      <c r="N1711" s="51">
        <v>5.12</v>
      </c>
      <c r="O1711" s="51">
        <v>0.7</v>
      </c>
      <c r="P1711" s="51">
        <v>5.0449999999999999</v>
      </c>
    </row>
    <row r="1712" spans="8:16">
      <c r="H1712" s="21"/>
      <c r="I1712" s="21"/>
      <c r="J1712" s="52"/>
      <c r="L1712" s="51" t="s">
        <v>1726</v>
      </c>
      <c r="M1712" s="25">
        <f>DATE(YEAR(OneWeekMtgRatesDataTable75[[#This Row],[asOf]]),MONTH(OneWeekMtgRatesDataTable75[[#This Row],[asOf]]),DAY(OneWeekMtgRatesDataTable75[[#This Row],[asOf]]))</f>
        <v>39828</v>
      </c>
      <c r="N1712" s="51">
        <v>5.12</v>
      </c>
      <c r="O1712" s="51">
        <v>0.7</v>
      </c>
      <c r="P1712" s="51">
        <v>5.0449999999999999</v>
      </c>
    </row>
    <row r="1713" spans="8:16">
      <c r="H1713" s="21"/>
      <c r="I1713" s="21"/>
      <c r="J1713" s="52"/>
      <c r="L1713" s="51" t="s">
        <v>1727</v>
      </c>
      <c r="M1713" s="25">
        <f>DATE(YEAR(OneWeekMtgRatesDataTable75[[#This Row],[asOf]]),MONTH(OneWeekMtgRatesDataTable75[[#This Row],[asOf]]),DAY(OneWeekMtgRatesDataTable75[[#This Row],[asOf]]))</f>
        <v>39827</v>
      </c>
      <c r="N1713" s="51">
        <v>4.96</v>
      </c>
      <c r="O1713" s="51">
        <v>0.7</v>
      </c>
      <c r="P1713" s="51">
        <v>4.8849999999999998</v>
      </c>
    </row>
    <row r="1714" spans="8:16">
      <c r="H1714" s="21"/>
      <c r="I1714" s="21"/>
      <c r="J1714" s="52"/>
      <c r="L1714" s="51" t="s">
        <v>1728</v>
      </c>
      <c r="M1714" s="25">
        <f>DATE(YEAR(OneWeekMtgRatesDataTable75[[#This Row],[asOf]]),MONTH(OneWeekMtgRatesDataTable75[[#This Row],[asOf]]),DAY(OneWeekMtgRatesDataTable75[[#This Row],[asOf]]))</f>
        <v>39826</v>
      </c>
      <c r="N1714" s="51">
        <v>4.96</v>
      </c>
      <c r="O1714" s="51">
        <v>0.7</v>
      </c>
      <c r="P1714" s="51">
        <v>4.8849999999999998</v>
      </c>
    </row>
    <row r="1715" spans="8:16">
      <c r="H1715" s="21"/>
      <c r="I1715" s="21"/>
      <c r="J1715" s="52"/>
      <c r="L1715" s="51" t="s">
        <v>1729</v>
      </c>
      <c r="M1715" s="25">
        <f>DATE(YEAR(OneWeekMtgRatesDataTable75[[#This Row],[asOf]]),MONTH(OneWeekMtgRatesDataTable75[[#This Row],[asOf]]),DAY(OneWeekMtgRatesDataTable75[[#This Row],[asOf]]))</f>
        <v>39825</v>
      </c>
      <c r="N1715" s="51">
        <v>4.96</v>
      </c>
      <c r="O1715" s="51">
        <v>0.7</v>
      </c>
      <c r="P1715" s="51">
        <v>4.8849999999999998</v>
      </c>
    </row>
    <row r="1716" spans="8:16">
      <c r="H1716" s="21"/>
      <c r="I1716" s="21"/>
      <c r="J1716" s="52"/>
      <c r="L1716" s="51" t="s">
        <v>1730</v>
      </c>
      <c r="M1716" s="25">
        <f>DATE(YEAR(OneWeekMtgRatesDataTable75[[#This Row],[asOf]]),MONTH(OneWeekMtgRatesDataTable75[[#This Row],[asOf]]),DAY(OneWeekMtgRatesDataTable75[[#This Row],[asOf]]))</f>
        <v>39822</v>
      </c>
      <c r="N1716" s="51">
        <v>4.96</v>
      </c>
      <c r="O1716" s="51">
        <v>0.7</v>
      </c>
      <c r="P1716" s="51">
        <v>4.8849999999999998</v>
      </c>
    </row>
    <row r="1717" spans="8:16">
      <c r="H1717" s="21"/>
      <c r="I1717" s="21"/>
      <c r="J1717" s="52"/>
      <c r="L1717" s="51" t="s">
        <v>1731</v>
      </c>
      <c r="M1717" s="25">
        <f>DATE(YEAR(OneWeekMtgRatesDataTable75[[#This Row],[asOf]]),MONTH(OneWeekMtgRatesDataTable75[[#This Row],[asOf]]),DAY(OneWeekMtgRatesDataTable75[[#This Row],[asOf]]))</f>
        <v>39821</v>
      </c>
      <c r="N1717" s="51">
        <v>4.96</v>
      </c>
      <c r="O1717" s="51">
        <v>0.7</v>
      </c>
      <c r="P1717" s="51">
        <v>4.8849999999999998</v>
      </c>
    </row>
    <row r="1718" spans="8:16">
      <c r="H1718" s="21"/>
      <c r="I1718" s="21"/>
      <c r="J1718" s="52"/>
      <c r="L1718" s="51" t="s">
        <v>1732</v>
      </c>
      <c r="M1718" s="25">
        <f>DATE(YEAR(OneWeekMtgRatesDataTable75[[#This Row],[asOf]]),MONTH(OneWeekMtgRatesDataTable75[[#This Row],[asOf]]),DAY(OneWeekMtgRatesDataTable75[[#This Row],[asOf]]))</f>
        <v>39820</v>
      </c>
      <c r="N1718" s="51">
        <v>5.01</v>
      </c>
      <c r="O1718" s="51">
        <v>0.6</v>
      </c>
      <c r="P1718" s="51">
        <v>4.91</v>
      </c>
    </row>
    <row r="1719" spans="8:16">
      <c r="H1719" s="21"/>
      <c r="I1719" s="21"/>
      <c r="J1719" s="52"/>
      <c r="L1719" s="51" t="s">
        <v>1733</v>
      </c>
      <c r="M1719" s="25">
        <f>DATE(YEAR(OneWeekMtgRatesDataTable75[[#This Row],[asOf]]),MONTH(OneWeekMtgRatesDataTable75[[#This Row],[asOf]]),DAY(OneWeekMtgRatesDataTable75[[#This Row],[asOf]]))</f>
        <v>39819</v>
      </c>
      <c r="N1719" s="51">
        <v>5.01</v>
      </c>
      <c r="O1719" s="51">
        <v>0.6</v>
      </c>
      <c r="P1719" s="51">
        <v>4.91</v>
      </c>
    </row>
    <row r="1720" spans="8:16">
      <c r="H1720" s="21"/>
      <c r="I1720" s="21"/>
      <c r="J1720" s="52"/>
      <c r="L1720" s="51" t="s">
        <v>1734</v>
      </c>
      <c r="M1720" s="25">
        <f>DATE(YEAR(OneWeekMtgRatesDataTable75[[#This Row],[asOf]]),MONTH(OneWeekMtgRatesDataTable75[[#This Row],[asOf]]),DAY(OneWeekMtgRatesDataTable75[[#This Row],[asOf]]))</f>
        <v>39818</v>
      </c>
      <c r="N1720" s="51">
        <v>5.01</v>
      </c>
      <c r="O1720" s="51">
        <v>0.6</v>
      </c>
      <c r="P1720" s="51">
        <v>4.91</v>
      </c>
    </row>
    <row r="1721" spans="8:16">
      <c r="H1721" s="21"/>
      <c r="I1721" s="21"/>
      <c r="J1721" s="52"/>
      <c r="L1721" s="51" t="s">
        <v>1735</v>
      </c>
      <c r="M1721" s="25">
        <f>DATE(YEAR(OneWeekMtgRatesDataTable75[[#This Row],[asOf]]),MONTH(OneWeekMtgRatesDataTable75[[#This Row],[asOf]]),DAY(OneWeekMtgRatesDataTable75[[#This Row],[asOf]]))</f>
        <v>39815</v>
      </c>
      <c r="N1721" s="51">
        <v>5.01</v>
      </c>
      <c r="O1721" s="51">
        <v>0.6</v>
      </c>
      <c r="P1721" s="51">
        <v>4.91</v>
      </c>
    </row>
    <row r="1722" spans="8:16">
      <c r="H1722" s="21"/>
      <c r="I1722" s="21"/>
      <c r="J1722" s="52"/>
      <c r="L1722" s="51" t="s">
        <v>1736</v>
      </c>
      <c r="M1722" s="25">
        <f>DATE(YEAR(OneWeekMtgRatesDataTable75[[#This Row],[asOf]]),MONTH(OneWeekMtgRatesDataTable75[[#This Row],[asOf]]),DAY(OneWeekMtgRatesDataTable75[[#This Row],[asOf]]))</f>
        <v>39812</v>
      </c>
      <c r="N1722" s="51">
        <v>5.0999999999999996</v>
      </c>
      <c r="O1722" s="51">
        <v>0.7</v>
      </c>
      <c r="P1722" s="51">
        <v>5.0249999999999995</v>
      </c>
    </row>
    <row r="1723" spans="8:16">
      <c r="H1723" s="21"/>
      <c r="I1723" s="21"/>
      <c r="J1723" s="52"/>
      <c r="L1723" s="51" t="s">
        <v>1737</v>
      </c>
      <c r="M1723" s="25">
        <f>DATE(YEAR(OneWeekMtgRatesDataTable75[[#This Row],[asOf]]),MONTH(OneWeekMtgRatesDataTable75[[#This Row],[asOf]]),DAY(OneWeekMtgRatesDataTable75[[#This Row],[asOf]]))</f>
        <v>39811</v>
      </c>
      <c r="N1723" s="51">
        <v>5.0999999999999996</v>
      </c>
      <c r="O1723" s="51">
        <v>0.7</v>
      </c>
      <c r="P1723" s="51">
        <v>5.0249999999999995</v>
      </c>
    </row>
    <row r="1724" spans="8:16">
      <c r="H1724" s="21"/>
      <c r="I1724" s="21"/>
      <c r="J1724" s="52"/>
      <c r="L1724" s="51" t="s">
        <v>1738</v>
      </c>
      <c r="M1724" s="25">
        <f>DATE(YEAR(OneWeekMtgRatesDataTable75[[#This Row],[asOf]]),MONTH(OneWeekMtgRatesDataTable75[[#This Row],[asOf]]),DAY(OneWeekMtgRatesDataTable75[[#This Row],[asOf]]))</f>
        <v>39808</v>
      </c>
      <c r="N1724" s="51">
        <v>5.0999999999999996</v>
      </c>
      <c r="O1724" s="51">
        <v>0.7</v>
      </c>
      <c r="P1724" s="51">
        <v>5.0249999999999995</v>
      </c>
    </row>
    <row r="1725" spans="8:16">
      <c r="H1725" s="21"/>
      <c r="I1725" s="21"/>
      <c r="J1725" s="52"/>
      <c r="L1725" s="51" t="s">
        <v>1739</v>
      </c>
      <c r="M1725" s="25">
        <f>DATE(YEAR(OneWeekMtgRatesDataTable75[[#This Row],[asOf]]),MONTH(OneWeekMtgRatesDataTable75[[#This Row],[asOf]]),DAY(OneWeekMtgRatesDataTable75[[#This Row],[asOf]]))</f>
        <v>39806</v>
      </c>
      <c r="N1725" s="51">
        <v>5.0999999999999996</v>
      </c>
      <c r="O1725" s="51">
        <v>0.7</v>
      </c>
      <c r="P1725" s="51">
        <v>5.0249999999999995</v>
      </c>
    </row>
    <row r="1726" spans="8:16">
      <c r="H1726" s="21"/>
      <c r="I1726" s="21"/>
      <c r="J1726" s="52"/>
      <c r="L1726" s="51" t="s">
        <v>1740</v>
      </c>
      <c r="M1726" s="25">
        <f>DATE(YEAR(OneWeekMtgRatesDataTable75[[#This Row],[asOf]]),MONTH(OneWeekMtgRatesDataTable75[[#This Row],[asOf]]),DAY(OneWeekMtgRatesDataTable75[[#This Row],[asOf]]))</f>
        <v>39805</v>
      </c>
      <c r="N1726" s="51">
        <v>5.14</v>
      </c>
      <c r="O1726" s="51">
        <v>0.8</v>
      </c>
      <c r="P1726" s="51">
        <v>5.09</v>
      </c>
    </row>
    <row r="1727" spans="8:16">
      <c r="H1727" s="21"/>
      <c r="I1727" s="21"/>
      <c r="J1727" s="52"/>
      <c r="L1727" s="51" t="s">
        <v>1741</v>
      </c>
      <c r="M1727" s="25">
        <f>DATE(YEAR(OneWeekMtgRatesDataTable75[[#This Row],[asOf]]),MONTH(OneWeekMtgRatesDataTable75[[#This Row],[asOf]]),DAY(OneWeekMtgRatesDataTable75[[#This Row],[asOf]]))</f>
        <v>39804</v>
      </c>
      <c r="N1727" s="51">
        <v>5.14</v>
      </c>
      <c r="O1727" s="51">
        <v>0.8</v>
      </c>
      <c r="P1727" s="51">
        <v>5.09</v>
      </c>
    </row>
    <row r="1728" spans="8:16">
      <c r="H1728" s="21"/>
      <c r="I1728" s="21"/>
      <c r="J1728" s="52"/>
      <c r="L1728" s="51" t="s">
        <v>1742</v>
      </c>
      <c r="M1728" s="25">
        <f>DATE(YEAR(OneWeekMtgRatesDataTable75[[#This Row],[asOf]]),MONTH(OneWeekMtgRatesDataTable75[[#This Row],[asOf]]),DAY(OneWeekMtgRatesDataTable75[[#This Row],[asOf]]))</f>
        <v>39801</v>
      </c>
      <c r="N1728" s="51">
        <v>5.14</v>
      </c>
      <c r="O1728" s="51">
        <v>0.8</v>
      </c>
      <c r="P1728" s="51">
        <v>5.09</v>
      </c>
    </row>
    <row r="1729" spans="8:16">
      <c r="H1729" s="21"/>
      <c r="I1729" s="21"/>
      <c r="J1729" s="52"/>
      <c r="L1729" s="51" t="s">
        <v>1743</v>
      </c>
      <c r="M1729" s="25">
        <f>DATE(YEAR(OneWeekMtgRatesDataTable75[[#This Row],[asOf]]),MONTH(OneWeekMtgRatesDataTable75[[#This Row],[asOf]]),DAY(OneWeekMtgRatesDataTable75[[#This Row],[asOf]]))</f>
        <v>39800</v>
      </c>
      <c r="N1729" s="51">
        <v>5.14</v>
      </c>
      <c r="O1729" s="51">
        <v>0.8</v>
      </c>
      <c r="P1729" s="51">
        <v>5.09</v>
      </c>
    </row>
    <row r="1730" spans="8:16">
      <c r="H1730" s="21"/>
      <c r="I1730" s="21"/>
      <c r="J1730" s="52"/>
      <c r="L1730" s="51" t="s">
        <v>1744</v>
      </c>
      <c r="M1730" s="25">
        <f>DATE(YEAR(OneWeekMtgRatesDataTable75[[#This Row],[asOf]]),MONTH(OneWeekMtgRatesDataTable75[[#This Row],[asOf]]),DAY(OneWeekMtgRatesDataTable75[[#This Row],[asOf]]))</f>
        <v>39799</v>
      </c>
      <c r="N1730" s="51">
        <v>5.14</v>
      </c>
      <c r="O1730" s="51">
        <v>0.8</v>
      </c>
      <c r="P1730" s="51">
        <v>5.09</v>
      </c>
    </row>
    <row r="1731" spans="8:16">
      <c r="H1731" s="21"/>
      <c r="I1731" s="21"/>
      <c r="J1731" s="52"/>
      <c r="L1731" s="51" t="s">
        <v>1744</v>
      </c>
      <c r="M1731" s="25">
        <f>DATE(YEAR(OneWeekMtgRatesDataTable75[[#This Row],[asOf]]),MONTH(OneWeekMtgRatesDataTable75[[#This Row],[asOf]]),DAY(OneWeekMtgRatesDataTable75[[#This Row],[asOf]]))</f>
        <v>39799</v>
      </c>
      <c r="N1731" s="51">
        <v>5.19</v>
      </c>
      <c r="O1731" s="51">
        <v>0.7</v>
      </c>
      <c r="P1731" s="51">
        <v>5.1150000000000002</v>
      </c>
    </row>
    <row r="1732" spans="8:16">
      <c r="H1732" s="21"/>
      <c r="I1732" s="21"/>
      <c r="J1732" s="52"/>
      <c r="L1732" s="51" t="s">
        <v>1745</v>
      </c>
      <c r="M1732" s="25">
        <f>DATE(YEAR(OneWeekMtgRatesDataTable75[[#This Row],[asOf]]),MONTH(OneWeekMtgRatesDataTable75[[#This Row],[asOf]]),DAY(OneWeekMtgRatesDataTable75[[#This Row],[asOf]]))</f>
        <v>39798</v>
      </c>
      <c r="N1732" s="51">
        <v>5.19</v>
      </c>
      <c r="O1732" s="51">
        <v>0.7</v>
      </c>
      <c r="P1732" s="51">
        <v>5.1150000000000002</v>
      </c>
    </row>
    <row r="1733" spans="8:16">
      <c r="H1733" s="21"/>
      <c r="I1733" s="21"/>
      <c r="J1733" s="52"/>
      <c r="L1733" s="51" t="s">
        <v>1746</v>
      </c>
      <c r="M1733" s="25">
        <f>DATE(YEAR(OneWeekMtgRatesDataTable75[[#This Row],[asOf]]),MONTH(OneWeekMtgRatesDataTable75[[#This Row],[asOf]]),DAY(OneWeekMtgRatesDataTable75[[#This Row],[asOf]]))</f>
        <v>39797</v>
      </c>
      <c r="N1733" s="51">
        <v>5.19</v>
      </c>
      <c r="O1733" s="51">
        <v>0.7</v>
      </c>
      <c r="P1733" s="51">
        <v>5.1150000000000002</v>
      </c>
    </row>
    <row r="1734" spans="8:16">
      <c r="H1734" s="21"/>
      <c r="I1734" s="21"/>
      <c r="J1734" s="52"/>
      <c r="L1734" s="51" t="s">
        <v>1747</v>
      </c>
      <c r="M1734" s="25">
        <f>DATE(YEAR(OneWeekMtgRatesDataTable75[[#This Row],[asOf]]),MONTH(OneWeekMtgRatesDataTable75[[#This Row],[asOf]]),DAY(OneWeekMtgRatesDataTable75[[#This Row],[asOf]]))</f>
        <v>39794</v>
      </c>
      <c r="N1734" s="51">
        <v>5.19</v>
      </c>
      <c r="O1734" s="51">
        <v>0.7</v>
      </c>
      <c r="P1734" s="51">
        <v>5.1150000000000002</v>
      </c>
    </row>
    <row r="1735" spans="8:16">
      <c r="H1735" s="21"/>
      <c r="I1735" s="21"/>
      <c r="J1735" s="52"/>
      <c r="L1735" s="51" t="s">
        <v>1748</v>
      </c>
      <c r="M1735" s="25">
        <f>DATE(YEAR(OneWeekMtgRatesDataTable75[[#This Row],[asOf]]),MONTH(OneWeekMtgRatesDataTable75[[#This Row],[asOf]]),DAY(OneWeekMtgRatesDataTable75[[#This Row],[asOf]]))</f>
        <v>39793</v>
      </c>
      <c r="N1735" s="51">
        <v>5.19</v>
      </c>
      <c r="O1735" s="51">
        <v>0.7</v>
      </c>
      <c r="P1735" s="51">
        <v>5.1150000000000002</v>
      </c>
    </row>
    <row r="1736" spans="8:16">
      <c r="H1736" s="21"/>
      <c r="I1736" s="21"/>
      <c r="J1736" s="52"/>
      <c r="L1736" s="51" t="s">
        <v>1749</v>
      </c>
      <c r="M1736" s="25">
        <f>DATE(YEAR(OneWeekMtgRatesDataTable75[[#This Row],[asOf]]),MONTH(OneWeekMtgRatesDataTable75[[#This Row],[asOf]]),DAY(OneWeekMtgRatesDataTable75[[#This Row],[asOf]]))</f>
        <v>39792</v>
      </c>
      <c r="N1736" s="51">
        <v>5.47</v>
      </c>
      <c r="O1736" s="51">
        <v>0.7</v>
      </c>
      <c r="P1736" s="51">
        <v>5.3949999999999996</v>
      </c>
    </row>
    <row r="1737" spans="8:16">
      <c r="H1737" s="21"/>
      <c r="I1737" s="21"/>
      <c r="J1737" s="52"/>
      <c r="L1737" s="51" t="s">
        <v>1750</v>
      </c>
      <c r="M1737" s="25">
        <f>DATE(YEAR(OneWeekMtgRatesDataTable75[[#This Row],[asOf]]),MONTH(OneWeekMtgRatesDataTable75[[#This Row],[asOf]]),DAY(OneWeekMtgRatesDataTable75[[#This Row],[asOf]]))</f>
        <v>39791</v>
      </c>
      <c r="N1737" s="51">
        <v>5.47</v>
      </c>
      <c r="O1737" s="51">
        <v>0.7</v>
      </c>
      <c r="P1737" s="51">
        <v>5.3949999999999996</v>
      </c>
    </row>
    <row r="1738" spans="8:16">
      <c r="H1738" s="21"/>
      <c r="I1738" s="21"/>
      <c r="J1738" s="52"/>
      <c r="L1738" s="51" t="s">
        <v>1751</v>
      </c>
      <c r="M1738" s="25">
        <f>DATE(YEAR(OneWeekMtgRatesDataTable75[[#This Row],[asOf]]),MONTH(OneWeekMtgRatesDataTable75[[#This Row],[asOf]]),DAY(OneWeekMtgRatesDataTable75[[#This Row],[asOf]]))</f>
        <v>39790</v>
      </c>
      <c r="N1738" s="51">
        <v>5.47</v>
      </c>
      <c r="O1738" s="51">
        <v>0.7</v>
      </c>
      <c r="P1738" s="51">
        <v>5.3949999999999996</v>
      </c>
    </row>
    <row r="1739" spans="8:16">
      <c r="H1739" s="21"/>
      <c r="I1739" s="21"/>
      <c r="J1739" s="52"/>
      <c r="L1739" s="51" t="s">
        <v>1752</v>
      </c>
      <c r="M1739" s="25">
        <f>DATE(YEAR(OneWeekMtgRatesDataTable75[[#This Row],[asOf]]),MONTH(OneWeekMtgRatesDataTable75[[#This Row],[asOf]]),DAY(OneWeekMtgRatesDataTable75[[#This Row],[asOf]]))</f>
        <v>39787</v>
      </c>
      <c r="N1739" s="51">
        <v>5.47</v>
      </c>
      <c r="O1739" s="51">
        <v>0.7</v>
      </c>
      <c r="P1739" s="51">
        <v>5.3949999999999996</v>
      </c>
    </row>
    <row r="1740" spans="8:16">
      <c r="H1740" s="21"/>
      <c r="I1740" s="21"/>
      <c r="J1740" s="52"/>
      <c r="L1740" s="51" t="s">
        <v>1753</v>
      </c>
      <c r="M1740" s="25">
        <f>DATE(YEAR(OneWeekMtgRatesDataTable75[[#This Row],[asOf]]),MONTH(OneWeekMtgRatesDataTable75[[#This Row],[asOf]]),DAY(OneWeekMtgRatesDataTable75[[#This Row],[asOf]]))</f>
        <v>39786</v>
      </c>
      <c r="N1740" s="51">
        <v>5.47</v>
      </c>
      <c r="O1740" s="51">
        <v>0.7</v>
      </c>
      <c r="P1740" s="51">
        <v>5.3949999999999996</v>
      </c>
    </row>
    <row r="1741" spans="8:16">
      <c r="H1741" s="21"/>
      <c r="I1741" s="21"/>
      <c r="J1741" s="52"/>
      <c r="L1741" s="51" t="s">
        <v>1754</v>
      </c>
      <c r="M1741" s="25">
        <f>DATE(YEAR(OneWeekMtgRatesDataTable75[[#This Row],[asOf]]),MONTH(OneWeekMtgRatesDataTable75[[#This Row],[asOf]]),DAY(OneWeekMtgRatesDataTable75[[#This Row],[asOf]]))</f>
        <v>39785</v>
      </c>
      <c r="N1741" s="51">
        <v>5.53</v>
      </c>
      <c r="O1741" s="51">
        <v>0.7</v>
      </c>
      <c r="P1741" s="51">
        <v>5.4550000000000001</v>
      </c>
    </row>
    <row r="1742" spans="8:16">
      <c r="H1742" s="21"/>
      <c r="I1742" s="21"/>
      <c r="J1742" s="52"/>
      <c r="L1742" s="51" t="s">
        <v>1755</v>
      </c>
      <c r="M1742" s="25">
        <f>DATE(YEAR(OneWeekMtgRatesDataTable75[[#This Row],[asOf]]),MONTH(OneWeekMtgRatesDataTable75[[#This Row],[asOf]]),DAY(OneWeekMtgRatesDataTable75[[#This Row],[asOf]]))</f>
        <v>39784</v>
      </c>
      <c r="N1742" s="51">
        <v>5.53</v>
      </c>
      <c r="O1742" s="51">
        <v>0.7</v>
      </c>
      <c r="P1742" s="51">
        <v>5.4550000000000001</v>
      </c>
    </row>
    <row r="1743" spans="8:16">
      <c r="H1743" s="21"/>
      <c r="I1743" s="21"/>
      <c r="J1743" s="52"/>
      <c r="L1743" s="51" t="s">
        <v>1756</v>
      </c>
      <c r="M1743" s="25">
        <f>DATE(YEAR(OneWeekMtgRatesDataTable75[[#This Row],[asOf]]),MONTH(OneWeekMtgRatesDataTable75[[#This Row],[asOf]]),DAY(OneWeekMtgRatesDataTable75[[#This Row],[asOf]]))</f>
        <v>39783</v>
      </c>
      <c r="N1743" s="51">
        <v>5.53</v>
      </c>
      <c r="O1743" s="51">
        <v>0.7</v>
      </c>
      <c r="P1743" s="51">
        <v>5.4550000000000001</v>
      </c>
    </row>
    <row r="1744" spans="8:16">
      <c r="H1744" s="21"/>
      <c r="I1744" s="21"/>
      <c r="J1744" s="52"/>
      <c r="L1744" s="51" t="s">
        <v>1757</v>
      </c>
      <c r="M1744" s="25">
        <f>DATE(YEAR(OneWeekMtgRatesDataTable75[[#This Row],[asOf]]),MONTH(OneWeekMtgRatesDataTable75[[#This Row],[asOf]]),DAY(OneWeekMtgRatesDataTable75[[#This Row],[asOf]]))</f>
        <v>39780</v>
      </c>
      <c r="N1744" s="51">
        <v>5.53</v>
      </c>
      <c r="O1744" s="51">
        <v>0.7</v>
      </c>
      <c r="P1744" s="51">
        <v>5.4550000000000001</v>
      </c>
    </row>
    <row r="1745" spans="8:16">
      <c r="H1745" s="21"/>
      <c r="I1745" s="21"/>
      <c r="J1745" s="52"/>
      <c r="L1745" s="51" t="s">
        <v>1758</v>
      </c>
      <c r="M1745" s="25">
        <f>DATE(YEAR(OneWeekMtgRatesDataTable75[[#This Row],[asOf]]),MONTH(OneWeekMtgRatesDataTable75[[#This Row],[asOf]]),DAY(OneWeekMtgRatesDataTable75[[#This Row],[asOf]]))</f>
        <v>39777</v>
      </c>
      <c r="N1745" s="51">
        <v>5.97</v>
      </c>
      <c r="O1745" s="51">
        <v>0.7</v>
      </c>
      <c r="P1745" s="51">
        <v>5.8949999999999996</v>
      </c>
    </row>
    <row r="1746" spans="8:16">
      <c r="H1746" s="21"/>
      <c r="I1746" s="21"/>
      <c r="J1746" s="52"/>
      <c r="L1746" s="51" t="s">
        <v>1759</v>
      </c>
      <c r="M1746" s="25">
        <f>DATE(YEAR(OneWeekMtgRatesDataTable75[[#This Row],[asOf]]),MONTH(OneWeekMtgRatesDataTable75[[#This Row],[asOf]]),DAY(OneWeekMtgRatesDataTable75[[#This Row],[asOf]]))</f>
        <v>39776</v>
      </c>
      <c r="N1746" s="51">
        <v>5.97</v>
      </c>
      <c r="O1746" s="51">
        <v>0.7</v>
      </c>
      <c r="P1746" s="51">
        <v>5.8949999999999996</v>
      </c>
    </row>
    <row r="1747" spans="8:16">
      <c r="H1747" s="21"/>
      <c r="I1747" s="21"/>
      <c r="J1747" s="52"/>
      <c r="L1747" s="51" t="s">
        <v>1760</v>
      </c>
      <c r="M1747" s="25">
        <f>DATE(YEAR(OneWeekMtgRatesDataTable75[[#This Row],[asOf]]),MONTH(OneWeekMtgRatesDataTable75[[#This Row],[asOf]]),DAY(OneWeekMtgRatesDataTable75[[#This Row],[asOf]]))</f>
        <v>39773</v>
      </c>
      <c r="N1747" s="51">
        <v>5.97</v>
      </c>
      <c r="O1747" s="51">
        <v>0.7</v>
      </c>
      <c r="P1747" s="51">
        <v>5.8949999999999996</v>
      </c>
    </row>
    <row r="1748" spans="8:16">
      <c r="H1748" s="21"/>
      <c r="I1748" s="21"/>
      <c r="J1748" s="52"/>
      <c r="L1748" s="51" t="s">
        <v>1761</v>
      </c>
      <c r="M1748" s="25">
        <f>DATE(YEAR(OneWeekMtgRatesDataTable75[[#This Row],[asOf]]),MONTH(OneWeekMtgRatesDataTable75[[#This Row],[asOf]]),DAY(OneWeekMtgRatesDataTable75[[#This Row],[asOf]]))</f>
        <v>39772</v>
      </c>
      <c r="N1748" s="51">
        <v>5.97</v>
      </c>
      <c r="O1748" s="51">
        <v>0.7</v>
      </c>
      <c r="P1748" s="51">
        <v>5.8949999999999996</v>
      </c>
    </row>
    <row r="1749" spans="8:16">
      <c r="H1749" s="21"/>
      <c r="I1749" s="21"/>
      <c r="J1749" s="52"/>
      <c r="L1749" s="51" t="s">
        <v>1762</v>
      </c>
      <c r="M1749" s="25">
        <f>DATE(YEAR(OneWeekMtgRatesDataTable75[[#This Row],[asOf]]),MONTH(OneWeekMtgRatesDataTable75[[#This Row],[asOf]]),DAY(OneWeekMtgRatesDataTable75[[#This Row],[asOf]]))</f>
        <v>39771</v>
      </c>
      <c r="N1749" s="51">
        <v>5.97</v>
      </c>
      <c r="O1749" s="51">
        <v>0.7</v>
      </c>
      <c r="P1749" s="51">
        <v>5.8949999999999996</v>
      </c>
    </row>
    <row r="1750" spans="8:16">
      <c r="H1750" s="21"/>
      <c r="I1750" s="21"/>
      <c r="J1750" s="52"/>
      <c r="L1750" s="51" t="s">
        <v>1762</v>
      </c>
      <c r="M1750" s="25">
        <f>DATE(YEAR(OneWeekMtgRatesDataTable75[[#This Row],[asOf]]),MONTH(OneWeekMtgRatesDataTable75[[#This Row],[asOf]]),DAY(OneWeekMtgRatesDataTable75[[#This Row],[asOf]]))</f>
        <v>39771</v>
      </c>
      <c r="N1750" s="51">
        <v>6.04</v>
      </c>
      <c r="O1750" s="51">
        <v>0.7</v>
      </c>
      <c r="P1750" s="51">
        <v>5.9649999999999999</v>
      </c>
    </row>
    <row r="1751" spans="8:16">
      <c r="H1751" s="21"/>
      <c r="I1751" s="21"/>
      <c r="J1751" s="52"/>
      <c r="L1751" s="51" t="s">
        <v>1763</v>
      </c>
      <c r="M1751" s="25">
        <f>DATE(YEAR(OneWeekMtgRatesDataTable75[[#This Row],[asOf]]),MONTH(OneWeekMtgRatesDataTable75[[#This Row],[asOf]]),DAY(OneWeekMtgRatesDataTable75[[#This Row],[asOf]]))</f>
        <v>39770</v>
      </c>
      <c r="N1751" s="51">
        <v>6.04</v>
      </c>
      <c r="O1751" s="51">
        <v>0.7</v>
      </c>
      <c r="P1751" s="51">
        <v>5.9649999999999999</v>
      </c>
    </row>
    <row r="1752" spans="8:16">
      <c r="H1752" s="21"/>
      <c r="I1752" s="21"/>
      <c r="J1752" s="52"/>
      <c r="L1752" s="51" t="s">
        <v>1764</v>
      </c>
      <c r="M1752" s="25">
        <f>DATE(YEAR(OneWeekMtgRatesDataTable75[[#This Row],[asOf]]),MONTH(OneWeekMtgRatesDataTable75[[#This Row],[asOf]]),DAY(OneWeekMtgRatesDataTable75[[#This Row],[asOf]]))</f>
        <v>39769</v>
      </c>
      <c r="N1752" s="51">
        <v>6.04</v>
      </c>
      <c r="O1752" s="51">
        <v>0.7</v>
      </c>
      <c r="P1752" s="51">
        <v>5.9649999999999999</v>
      </c>
    </row>
    <row r="1753" spans="8:16">
      <c r="H1753" s="21"/>
      <c r="I1753" s="21"/>
      <c r="J1753" s="52"/>
      <c r="L1753" s="51" t="s">
        <v>1765</v>
      </c>
      <c r="M1753" s="25">
        <f>DATE(YEAR(OneWeekMtgRatesDataTable75[[#This Row],[asOf]]),MONTH(OneWeekMtgRatesDataTable75[[#This Row],[asOf]]),DAY(OneWeekMtgRatesDataTable75[[#This Row],[asOf]]))</f>
        <v>39766</v>
      </c>
      <c r="N1753" s="51">
        <v>6.04</v>
      </c>
      <c r="O1753" s="51">
        <v>0.7</v>
      </c>
      <c r="P1753" s="51">
        <v>5.9649999999999999</v>
      </c>
    </row>
    <row r="1754" spans="8:16">
      <c r="H1754" s="21"/>
      <c r="I1754" s="21"/>
      <c r="J1754" s="52"/>
      <c r="L1754" s="51" t="s">
        <v>1766</v>
      </c>
      <c r="M1754" s="25">
        <f>DATE(YEAR(OneWeekMtgRatesDataTable75[[#This Row],[asOf]]),MONTH(OneWeekMtgRatesDataTable75[[#This Row],[asOf]]),DAY(OneWeekMtgRatesDataTable75[[#This Row],[asOf]]))</f>
        <v>39765</v>
      </c>
      <c r="N1754" s="51">
        <v>6.04</v>
      </c>
      <c r="O1754" s="51">
        <v>0.7</v>
      </c>
      <c r="P1754" s="51">
        <v>5.9649999999999999</v>
      </c>
    </row>
    <row r="1755" spans="8:16">
      <c r="H1755" s="21"/>
      <c r="I1755" s="21"/>
      <c r="J1755" s="52"/>
      <c r="L1755" s="51" t="s">
        <v>1767</v>
      </c>
      <c r="M1755" s="25">
        <f>DATE(YEAR(OneWeekMtgRatesDataTable75[[#This Row],[asOf]]),MONTH(OneWeekMtgRatesDataTable75[[#This Row],[asOf]]),DAY(OneWeekMtgRatesDataTable75[[#This Row],[asOf]]))</f>
        <v>39764</v>
      </c>
      <c r="N1755" s="51">
        <v>6.14</v>
      </c>
      <c r="O1755" s="51">
        <v>0.7</v>
      </c>
      <c r="P1755" s="51">
        <v>6.0649999999999995</v>
      </c>
    </row>
    <row r="1756" spans="8:16">
      <c r="H1756" s="21"/>
      <c r="I1756" s="21"/>
      <c r="J1756" s="52"/>
      <c r="L1756" s="51" t="s">
        <v>1768</v>
      </c>
      <c r="M1756" s="25">
        <f>DATE(YEAR(OneWeekMtgRatesDataTable75[[#This Row],[asOf]]),MONTH(OneWeekMtgRatesDataTable75[[#This Row],[asOf]]),DAY(OneWeekMtgRatesDataTable75[[#This Row],[asOf]]))</f>
        <v>39762</v>
      </c>
      <c r="N1756" s="51">
        <v>6.14</v>
      </c>
      <c r="O1756" s="51">
        <v>0.7</v>
      </c>
      <c r="P1756" s="51">
        <v>6.0649999999999995</v>
      </c>
    </row>
    <row r="1757" spans="8:16">
      <c r="H1757" s="21"/>
      <c r="I1757" s="21"/>
      <c r="J1757" s="52"/>
      <c r="L1757" s="51" t="s">
        <v>1769</v>
      </c>
      <c r="M1757" s="25">
        <f>DATE(YEAR(OneWeekMtgRatesDataTable75[[#This Row],[asOf]]),MONTH(OneWeekMtgRatesDataTable75[[#This Row],[asOf]]),DAY(OneWeekMtgRatesDataTable75[[#This Row],[asOf]]))</f>
        <v>39759</v>
      </c>
      <c r="N1757" s="51">
        <v>6.14</v>
      </c>
      <c r="O1757" s="51">
        <v>0.7</v>
      </c>
      <c r="P1757" s="51">
        <v>6.0649999999999995</v>
      </c>
    </row>
    <row r="1758" spans="8:16">
      <c r="H1758" s="21"/>
      <c r="I1758" s="21"/>
      <c r="J1758" s="52"/>
      <c r="L1758" s="51" t="s">
        <v>1770</v>
      </c>
      <c r="M1758" s="25">
        <f>DATE(YEAR(OneWeekMtgRatesDataTable75[[#This Row],[asOf]]),MONTH(OneWeekMtgRatesDataTable75[[#This Row],[asOf]]),DAY(OneWeekMtgRatesDataTable75[[#This Row],[asOf]]))</f>
        <v>39758</v>
      </c>
      <c r="N1758" s="51">
        <v>6.14</v>
      </c>
      <c r="O1758" s="51">
        <v>0.7</v>
      </c>
      <c r="P1758" s="51">
        <v>6.0649999999999995</v>
      </c>
    </row>
    <row r="1759" spans="8:16">
      <c r="H1759" s="21"/>
      <c r="I1759" s="21"/>
      <c r="J1759" s="52"/>
      <c r="L1759" s="51" t="s">
        <v>1771</v>
      </c>
      <c r="M1759" s="25">
        <f>DATE(YEAR(OneWeekMtgRatesDataTable75[[#This Row],[asOf]]),MONTH(OneWeekMtgRatesDataTable75[[#This Row],[asOf]]),DAY(OneWeekMtgRatesDataTable75[[#This Row],[asOf]]))</f>
        <v>39757</v>
      </c>
      <c r="N1759" s="51">
        <v>6.2</v>
      </c>
      <c r="O1759" s="51">
        <v>0.7</v>
      </c>
      <c r="P1759" s="51">
        <v>6.125</v>
      </c>
    </row>
    <row r="1760" spans="8:16">
      <c r="H1760" s="21"/>
      <c r="I1760" s="21"/>
      <c r="J1760" s="52"/>
      <c r="L1760" s="51" t="s">
        <v>1772</v>
      </c>
      <c r="M1760" s="25">
        <f>DATE(YEAR(OneWeekMtgRatesDataTable75[[#This Row],[asOf]]),MONTH(OneWeekMtgRatesDataTable75[[#This Row],[asOf]]),DAY(OneWeekMtgRatesDataTable75[[#This Row],[asOf]]))</f>
        <v>39756</v>
      </c>
      <c r="N1760" s="51">
        <v>6.2</v>
      </c>
      <c r="O1760" s="51">
        <v>0.7</v>
      </c>
      <c r="P1760" s="51">
        <v>6.125</v>
      </c>
    </row>
    <row r="1761" spans="8:16">
      <c r="H1761" s="21"/>
      <c r="I1761" s="21"/>
      <c r="J1761" s="52"/>
      <c r="L1761" s="51" t="s">
        <v>1773</v>
      </c>
      <c r="M1761" s="25">
        <f>DATE(YEAR(OneWeekMtgRatesDataTable75[[#This Row],[asOf]]),MONTH(OneWeekMtgRatesDataTable75[[#This Row],[asOf]]),DAY(OneWeekMtgRatesDataTable75[[#This Row],[asOf]]))</f>
        <v>39755</v>
      </c>
      <c r="N1761" s="51">
        <v>6.2</v>
      </c>
      <c r="O1761" s="51">
        <v>0.7</v>
      </c>
      <c r="P1761" s="51">
        <v>6.125</v>
      </c>
    </row>
    <row r="1762" spans="8:16">
      <c r="H1762" s="21"/>
      <c r="I1762" s="21"/>
      <c r="J1762" s="52"/>
      <c r="L1762" s="51" t="s">
        <v>1774</v>
      </c>
      <c r="M1762" s="25">
        <f>DATE(YEAR(OneWeekMtgRatesDataTable75[[#This Row],[asOf]]),MONTH(OneWeekMtgRatesDataTable75[[#This Row],[asOf]]),DAY(OneWeekMtgRatesDataTable75[[#This Row],[asOf]]))</f>
        <v>39752</v>
      </c>
      <c r="N1762" s="51">
        <v>6.2</v>
      </c>
      <c r="O1762" s="51">
        <v>0.7</v>
      </c>
      <c r="P1762" s="51">
        <v>6.125</v>
      </c>
    </row>
    <row r="1763" spans="8:16">
      <c r="H1763" s="21"/>
      <c r="I1763" s="21"/>
      <c r="J1763" s="52"/>
      <c r="L1763" s="51" t="s">
        <v>1775</v>
      </c>
      <c r="M1763" s="25">
        <f>DATE(YEAR(OneWeekMtgRatesDataTable75[[#This Row],[asOf]]),MONTH(OneWeekMtgRatesDataTable75[[#This Row],[asOf]]),DAY(OneWeekMtgRatesDataTable75[[#This Row],[asOf]]))</f>
        <v>39751</v>
      </c>
      <c r="N1763" s="51">
        <v>6.2</v>
      </c>
      <c r="O1763" s="51">
        <v>0.7</v>
      </c>
      <c r="P1763" s="51">
        <v>6.125</v>
      </c>
    </row>
    <row r="1764" spans="8:16">
      <c r="H1764" s="21"/>
      <c r="I1764" s="21"/>
      <c r="J1764" s="52"/>
      <c r="L1764" s="51" t="s">
        <v>1776</v>
      </c>
      <c r="M1764" s="25">
        <f>DATE(YEAR(OneWeekMtgRatesDataTable75[[#This Row],[asOf]]),MONTH(OneWeekMtgRatesDataTable75[[#This Row],[asOf]]),DAY(OneWeekMtgRatesDataTable75[[#This Row],[asOf]]))</f>
        <v>39750</v>
      </c>
      <c r="N1764" s="51">
        <v>6.46</v>
      </c>
      <c r="O1764" s="51">
        <v>0.7</v>
      </c>
      <c r="P1764" s="51">
        <v>6.3849999999999998</v>
      </c>
    </row>
    <row r="1765" spans="8:16">
      <c r="H1765" s="21"/>
      <c r="I1765" s="21"/>
      <c r="J1765" s="52"/>
      <c r="L1765" s="51" t="s">
        <v>1777</v>
      </c>
      <c r="M1765" s="25">
        <f>DATE(YEAR(OneWeekMtgRatesDataTable75[[#This Row],[asOf]]),MONTH(OneWeekMtgRatesDataTable75[[#This Row],[asOf]]),DAY(OneWeekMtgRatesDataTable75[[#This Row],[asOf]]))</f>
        <v>39749</v>
      </c>
      <c r="N1765" s="51">
        <v>6.46</v>
      </c>
      <c r="O1765" s="51">
        <v>0.7</v>
      </c>
      <c r="P1765" s="51">
        <v>6.3849999999999998</v>
      </c>
    </row>
    <row r="1766" spans="8:16">
      <c r="H1766" s="21"/>
      <c r="I1766" s="21"/>
      <c r="J1766" s="52"/>
      <c r="L1766" s="51" t="s">
        <v>1778</v>
      </c>
      <c r="M1766" s="25">
        <f>DATE(YEAR(OneWeekMtgRatesDataTable75[[#This Row],[asOf]]),MONTH(OneWeekMtgRatesDataTable75[[#This Row],[asOf]]),DAY(OneWeekMtgRatesDataTable75[[#This Row],[asOf]]))</f>
        <v>39748</v>
      </c>
      <c r="N1766" s="51">
        <v>6.46</v>
      </c>
      <c r="O1766" s="51">
        <v>0.7</v>
      </c>
      <c r="P1766" s="51">
        <v>6.3849999999999998</v>
      </c>
    </row>
    <row r="1767" spans="8:16">
      <c r="H1767" s="21"/>
      <c r="I1767" s="21"/>
      <c r="J1767" s="52"/>
      <c r="L1767" s="51" t="s">
        <v>1779</v>
      </c>
      <c r="M1767" s="25">
        <f>DATE(YEAR(OneWeekMtgRatesDataTable75[[#This Row],[asOf]]),MONTH(OneWeekMtgRatesDataTable75[[#This Row],[asOf]]),DAY(OneWeekMtgRatesDataTable75[[#This Row],[asOf]]))</f>
        <v>39745</v>
      </c>
      <c r="N1767" s="51">
        <v>6.46</v>
      </c>
      <c r="O1767" s="51">
        <v>0.7</v>
      </c>
      <c r="P1767" s="51">
        <v>6.3849999999999998</v>
      </c>
    </row>
    <row r="1768" spans="8:16">
      <c r="H1768" s="21"/>
      <c r="I1768" s="21"/>
      <c r="J1768" s="52"/>
      <c r="L1768" s="51" t="s">
        <v>1780</v>
      </c>
      <c r="M1768" s="25">
        <f>DATE(YEAR(OneWeekMtgRatesDataTable75[[#This Row],[asOf]]),MONTH(OneWeekMtgRatesDataTable75[[#This Row],[asOf]]),DAY(OneWeekMtgRatesDataTable75[[#This Row],[asOf]]))</f>
        <v>39744</v>
      </c>
      <c r="N1768" s="51">
        <v>6.46</v>
      </c>
      <c r="O1768" s="51">
        <v>0.7</v>
      </c>
      <c r="P1768" s="51">
        <v>6.3849999999999998</v>
      </c>
    </row>
    <row r="1769" spans="8:16">
      <c r="H1769" s="21"/>
      <c r="I1769" s="21"/>
      <c r="J1769" s="52"/>
      <c r="L1769" s="51" t="s">
        <v>1781</v>
      </c>
      <c r="M1769" s="25">
        <f>DATE(YEAR(OneWeekMtgRatesDataTable75[[#This Row],[asOf]]),MONTH(OneWeekMtgRatesDataTable75[[#This Row],[asOf]]),DAY(OneWeekMtgRatesDataTable75[[#This Row],[asOf]]))</f>
        <v>39743</v>
      </c>
      <c r="N1769" s="51">
        <v>6.04</v>
      </c>
      <c r="O1769" s="51">
        <v>0.6</v>
      </c>
      <c r="P1769" s="51">
        <v>5.94</v>
      </c>
    </row>
    <row r="1770" spans="8:16">
      <c r="L1770" s="51" t="s">
        <v>1782</v>
      </c>
      <c r="M1770" s="25">
        <f>DATE(YEAR(OneWeekMtgRatesDataTable75[[#This Row],[asOf]]),MONTH(OneWeekMtgRatesDataTable75[[#This Row],[asOf]]),DAY(OneWeekMtgRatesDataTable75[[#This Row],[asOf]]))</f>
        <v>39742</v>
      </c>
      <c r="N1770" s="51">
        <v>6.04</v>
      </c>
      <c r="O1770" s="51">
        <v>0.6</v>
      </c>
      <c r="P1770" s="51">
        <v>5.94</v>
      </c>
    </row>
    <row r="1771" spans="8:16">
      <c r="L1771" s="51" t="s">
        <v>1783</v>
      </c>
      <c r="M1771" s="25">
        <f>DATE(YEAR(OneWeekMtgRatesDataTable75[[#This Row],[asOf]]),MONTH(OneWeekMtgRatesDataTable75[[#This Row],[asOf]]),DAY(OneWeekMtgRatesDataTable75[[#This Row],[asOf]]))</f>
        <v>39741</v>
      </c>
      <c r="N1771" s="51">
        <v>6.04</v>
      </c>
      <c r="O1771" s="51">
        <v>0.6</v>
      </c>
      <c r="P1771" s="51">
        <v>5.94</v>
      </c>
    </row>
    <row r="1772" spans="8:16">
      <c r="L1772" s="51" t="s">
        <v>1784</v>
      </c>
      <c r="M1772" s="25">
        <f>DATE(YEAR(OneWeekMtgRatesDataTable75[[#This Row],[asOf]]),MONTH(OneWeekMtgRatesDataTable75[[#This Row],[asOf]]),DAY(OneWeekMtgRatesDataTable75[[#This Row],[asOf]]))</f>
        <v>39738</v>
      </c>
      <c r="N1772" s="51">
        <v>6.04</v>
      </c>
      <c r="O1772" s="51">
        <v>0.6</v>
      </c>
      <c r="P1772" s="51">
        <v>5.94</v>
      </c>
    </row>
    <row r="1773" spans="8:16">
      <c r="L1773" s="51" t="s">
        <v>1785</v>
      </c>
      <c r="M1773" s="25">
        <f>DATE(YEAR(OneWeekMtgRatesDataTable75[[#This Row],[asOf]]),MONTH(OneWeekMtgRatesDataTable75[[#This Row],[asOf]]),DAY(OneWeekMtgRatesDataTable75[[#This Row],[asOf]]))</f>
        <v>39737</v>
      </c>
      <c r="N1773" s="51">
        <v>6.04</v>
      </c>
      <c r="O1773" s="51">
        <v>0.6</v>
      </c>
      <c r="P1773" s="51">
        <v>5.94</v>
      </c>
    </row>
    <row r="1774" spans="8:16">
      <c r="L1774" s="51" t="s">
        <v>1786</v>
      </c>
      <c r="M1774" s="25">
        <f>DATE(YEAR(OneWeekMtgRatesDataTable75[[#This Row],[asOf]]),MONTH(OneWeekMtgRatesDataTable75[[#This Row],[asOf]]),DAY(OneWeekMtgRatesDataTable75[[#This Row],[asOf]]))</f>
        <v>39736</v>
      </c>
      <c r="N1774" s="51">
        <v>6.46</v>
      </c>
      <c r="O1774" s="51">
        <v>0.6</v>
      </c>
      <c r="P1774" s="51">
        <v>6.36</v>
      </c>
    </row>
    <row r="1775" spans="8:16">
      <c r="L1775" s="51" t="s">
        <v>1787</v>
      </c>
      <c r="M1775" s="25">
        <f>DATE(YEAR(OneWeekMtgRatesDataTable75[[#This Row],[asOf]]),MONTH(OneWeekMtgRatesDataTable75[[#This Row],[asOf]]),DAY(OneWeekMtgRatesDataTable75[[#This Row],[asOf]]))</f>
        <v>39735</v>
      </c>
      <c r="N1775" s="51">
        <v>6.46</v>
      </c>
      <c r="O1775" s="51">
        <v>0.6</v>
      </c>
      <c r="P1775" s="51">
        <v>6.36</v>
      </c>
    </row>
    <row r="1776" spans="8:16">
      <c r="L1776" s="51" t="s">
        <v>1788</v>
      </c>
      <c r="M1776" s="25">
        <f>DATE(YEAR(OneWeekMtgRatesDataTable75[[#This Row],[asOf]]),MONTH(OneWeekMtgRatesDataTable75[[#This Row],[asOf]]),DAY(OneWeekMtgRatesDataTable75[[#This Row],[asOf]]))</f>
        <v>39731</v>
      </c>
      <c r="N1776" s="51">
        <v>6.46</v>
      </c>
      <c r="O1776" s="51">
        <v>0.6</v>
      </c>
      <c r="P1776" s="51">
        <v>6.36</v>
      </c>
    </row>
    <row r="1777" spans="12:16">
      <c r="L1777" s="51" t="s">
        <v>1789</v>
      </c>
      <c r="M1777" s="25">
        <f>DATE(YEAR(OneWeekMtgRatesDataTable75[[#This Row],[asOf]]),MONTH(OneWeekMtgRatesDataTable75[[#This Row],[asOf]]),DAY(OneWeekMtgRatesDataTable75[[#This Row],[asOf]]))</f>
        <v>39730</v>
      </c>
      <c r="N1777" s="51">
        <v>6.46</v>
      </c>
      <c r="O1777" s="51">
        <v>0.6</v>
      </c>
      <c r="P1777" s="51">
        <v>6.36</v>
      </c>
    </row>
    <row r="1778" spans="12:16">
      <c r="L1778" s="51" t="s">
        <v>1790</v>
      </c>
      <c r="M1778" s="25">
        <f>DATE(YEAR(OneWeekMtgRatesDataTable75[[#This Row],[asOf]]),MONTH(OneWeekMtgRatesDataTable75[[#This Row],[asOf]]),DAY(OneWeekMtgRatesDataTable75[[#This Row],[asOf]]))</f>
        <v>39729</v>
      </c>
      <c r="N1778" s="51">
        <v>5.94</v>
      </c>
      <c r="O1778" s="51">
        <v>0.6</v>
      </c>
      <c r="P1778" s="51">
        <v>5.8400000000000007</v>
      </c>
    </row>
    <row r="1779" spans="12:16">
      <c r="L1779" s="51" t="s">
        <v>1791</v>
      </c>
      <c r="M1779" s="25">
        <f>DATE(YEAR(OneWeekMtgRatesDataTable75[[#This Row],[asOf]]),MONTH(OneWeekMtgRatesDataTable75[[#This Row],[asOf]]),DAY(OneWeekMtgRatesDataTable75[[#This Row],[asOf]]))</f>
        <v>39728</v>
      </c>
      <c r="N1779" s="51">
        <v>5.94</v>
      </c>
      <c r="O1779" s="51">
        <v>0.6</v>
      </c>
      <c r="P1779" s="51">
        <v>5.8400000000000007</v>
      </c>
    </row>
    <row r="1780" spans="12:16">
      <c r="L1780" s="51" t="s">
        <v>1792</v>
      </c>
      <c r="M1780" s="25">
        <f>DATE(YEAR(OneWeekMtgRatesDataTable75[[#This Row],[asOf]]),MONTH(OneWeekMtgRatesDataTable75[[#This Row],[asOf]]),DAY(OneWeekMtgRatesDataTable75[[#This Row],[asOf]]))</f>
        <v>39727</v>
      </c>
      <c r="N1780" s="51">
        <v>5.94</v>
      </c>
      <c r="O1780" s="51">
        <v>0.6</v>
      </c>
      <c r="P1780" s="51">
        <v>5.8400000000000007</v>
      </c>
    </row>
    <row r="1781" spans="12:16">
      <c r="L1781" s="51" t="s">
        <v>1793</v>
      </c>
      <c r="M1781" s="25">
        <f>DATE(YEAR(OneWeekMtgRatesDataTable75[[#This Row],[asOf]]),MONTH(OneWeekMtgRatesDataTable75[[#This Row],[asOf]]),DAY(OneWeekMtgRatesDataTable75[[#This Row],[asOf]]))</f>
        <v>39724</v>
      </c>
      <c r="N1781" s="51">
        <v>5.94</v>
      </c>
      <c r="O1781" s="51">
        <v>0.6</v>
      </c>
      <c r="P1781" s="51">
        <v>5.8400000000000007</v>
      </c>
    </row>
    <row r="1782" spans="12:16">
      <c r="L1782" s="51" t="s">
        <v>1794</v>
      </c>
      <c r="M1782" s="25">
        <f>DATE(YEAR(OneWeekMtgRatesDataTable75[[#This Row],[asOf]]),MONTH(OneWeekMtgRatesDataTable75[[#This Row],[asOf]]),DAY(OneWeekMtgRatesDataTable75[[#This Row],[asOf]]))</f>
        <v>39723</v>
      </c>
      <c r="N1782" s="51">
        <v>5.94</v>
      </c>
      <c r="O1782" s="51">
        <v>0.6</v>
      </c>
      <c r="P1782" s="51">
        <v>5.8400000000000007</v>
      </c>
    </row>
    <row r="1783" spans="12:16">
      <c r="L1783" s="51" t="s">
        <v>1795</v>
      </c>
      <c r="M1783" s="25">
        <f>DATE(YEAR(OneWeekMtgRatesDataTable75[[#This Row],[asOf]]),MONTH(OneWeekMtgRatesDataTable75[[#This Row],[asOf]]),DAY(OneWeekMtgRatesDataTable75[[#This Row],[asOf]]))</f>
        <v>39722</v>
      </c>
      <c r="N1783" s="51">
        <v>6.1</v>
      </c>
      <c r="O1783" s="51">
        <v>0.6</v>
      </c>
      <c r="P1783" s="51">
        <v>6</v>
      </c>
    </row>
    <row r="1784" spans="12:16">
      <c r="L1784" s="51" t="s">
        <v>1796</v>
      </c>
      <c r="M1784" s="25">
        <f>DATE(YEAR(OneWeekMtgRatesDataTable75[[#This Row],[asOf]]),MONTH(OneWeekMtgRatesDataTable75[[#This Row],[asOf]]),DAY(OneWeekMtgRatesDataTable75[[#This Row],[asOf]]))</f>
        <v>39721</v>
      </c>
      <c r="N1784" s="51">
        <v>6.1</v>
      </c>
      <c r="O1784" s="51">
        <v>0.6</v>
      </c>
      <c r="P1784" s="51">
        <v>6</v>
      </c>
    </row>
    <row r="1785" spans="12:16">
      <c r="L1785" s="51" t="s">
        <v>1797</v>
      </c>
      <c r="M1785" s="25">
        <f>DATE(YEAR(OneWeekMtgRatesDataTable75[[#This Row],[asOf]]),MONTH(OneWeekMtgRatesDataTable75[[#This Row],[asOf]]),DAY(OneWeekMtgRatesDataTable75[[#This Row],[asOf]]))</f>
        <v>39720</v>
      </c>
      <c r="N1785" s="51">
        <v>6.1</v>
      </c>
      <c r="O1785" s="51">
        <v>0.6</v>
      </c>
      <c r="P1785" s="51">
        <v>6</v>
      </c>
    </row>
    <row r="1786" spans="12:16">
      <c r="L1786" s="51" t="s">
        <v>1798</v>
      </c>
      <c r="M1786" s="25">
        <f>DATE(YEAR(OneWeekMtgRatesDataTable75[[#This Row],[asOf]]),MONTH(OneWeekMtgRatesDataTable75[[#This Row],[asOf]]),DAY(OneWeekMtgRatesDataTable75[[#This Row],[asOf]]))</f>
        <v>39717</v>
      </c>
      <c r="N1786" s="51">
        <v>6.1</v>
      </c>
      <c r="O1786" s="51">
        <v>0.6</v>
      </c>
      <c r="P1786" s="51">
        <v>6</v>
      </c>
    </row>
    <row r="1787" spans="12:16">
      <c r="L1787" s="51" t="s">
        <v>1799</v>
      </c>
      <c r="M1787" s="25">
        <f>DATE(YEAR(OneWeekMtgRatesDataTable75[[#This Row],[asOf]]),MONTH(OneWeekMtgRatesDataTable75[[#This Row],[asOf]]),DAY(OneWeekMtgRatesDataTable75[[#This Row],[asOf]]))</f>
        <v>39716</v>
      </c>
      <c r="N1787" s="51">
        <v>6.1</v>
      </c>
      <c r="O1787" s="51">
        <v>0.6</v>
      </c>
      <c r="P1787" s="51">
        <v>6</v>
      </c>
    </row>
    <row r="1788" spans="12:16">
      <c r="L1788" s="51" t="s">
        <v>1800</v>
      </c>
      <c r="M1788" s="25">
        <f>DATE(YEAR(OneWeekMtgRatesDataTable75[[#This Row],[asOf]]),MONTH(OneWeekMtgRatesDataTable75[[#This Row],[asOf]]),DAY(OneWeekMtgRatesDataTable75[[#This Row],[asOf]]))</f>
        <v>39715</v>
      </c>
      <c r="N1788" s="51">
        <v>6.09</v>
      </c>
      <c r="O1788" s="51">
        <v>0.7</v>
      </c>
      <c r="P1788" s="51">
        <v>6.0149999999999997</v>
      </c>
    </row>
    <row r="1789" spans="12:16">
      <c r="L1789" s="51" t="s">
        <v>1801</v>
      </c>
      <c r="M1789" s="25">
        <f>DATE(YEAR(OneWeekMtgRatesDataTable75[[#This Row],[asOf]]),MONTH(OneWeekMtgRatesDataTable75[[#This Row],[asOf]]),DAY(OneWeekMtgRatesDataTable75[[#This Row],[asOf]]))</f>
        <v>39714</v>
      </c>
      <c r="N1789" s="51">
        <v>6.09</v>
      </c>
      <c r="O1789" s="51">
        <v>0.7</v>
      </c>
      <c r="P1789" s="51">
        <v>6.0149999999999997</v>
      </c>
    </row>
    <row r="1790" spans="12:16">
      <c r="L1790" s="51" t="s">
        <v>1802</v>
      </c>
      <c r="M1790" s="25">
        <f>DATE(YEAR(OneWeekMtgRatesDataTable75[[#This Row],[asOf]]),MONTH(OneWeekMtgRatesDataTable75[[#This Row],[asOf]]),DAY(OneWeekMtgRatesDataTable75[[#This Row],[asOf]]))</f>
        <v>39713</v>
      </c>
      <c r="N1790" s="51">
        <v>6.09</v>
      </c>
      <c r="O1790" s="51">
        <v>0.7</v>
      </c>
      <c r="P1790" s="51">
        <v>6.0149999999999997</v>
      </c>
    </row>
    <row r="1791" spans="12:16">
      <c r="L1791" s="51" t="s">
        <v>1803</v>
      </c>
      <c r="M1791" s="25">
        <f>DATE(YEAR(OneWeekMtgRatesDataTable75[[#This Row],[asOf]]),MONTH(OneWeekMtgRatesDataTable75[[#This Row],[asOf]]),DAY(OneWeekMtgRatesDataTable75[[#This Row],[asOf]]))</f>
        <v>39710</v>
      </c>
      <c r="N1791" s="51">
        <v>6.09</v>
      </c>
      <c r="O1791" s="51">
        <v>0.7</v>
      </c>
      <c r="P1791" s="51">
        <v>6.0149999999999997</v>
      </c>
    </row>
    <row r="1792" spans="12:16">
      <c r="L1792" s="51" t="s">
        <v>1804</v>
      </c>
      <c r="M1792" s="25">
        <f>DATE(YEAR(OneWeekMtgRatesDataTable75[[#This Row],[asOf]]),MONTH(OneWeekMtgRatesDataTable75[[#This Row],[asOf]]),DAY(OneWeekMtgRatesDataTable75[[#This Row],[asOf]]))</f>
        <v>39709</v>
      </c>
      <c r="N1792" s="51">
        <v>6.09</v>
      </c>
      <c r="O1792" s="51">
        <v>0.7</v>
      </c>
      <c r="P1792" s="51">
        <v>6.0149999999999997</v>
      </c>
    </row>
    <row r="1793" spans="12:16">
      <c r="L1793" s="51" t="s">
        <v>1805</v>
      </c>
      <c r="M1793" s="25">
        <f>DATE(YEAR(OneWeekMtgRatesDataTable75[[#This Row],[asOf]]),MONTH(OneWeekMtgRatesDataTable75[[#This Row],[asOf]]),DAY(OneWeekMtgRatesDataTable75[[#This Row],[asOf]]))</f>
        <v>39708</v>
      </c>
      <c r="N1793" s="51">
        <v>5.78</v>
      </c>
      <c r="O1793" s="51">
        <v>0.6</v>
      </c>
      <c r="P1793" s="51">
        <v>5.6800000000000006</v>
      </c>
    </row>
    <row r="1794" spans="12:16">
      <c r="L1794" s="51" t="s">
        <v>1806</v>
      </c>
      <c r="M1794" s="25">
        <f>DATE(YEAR(OneWeekMtgRatesDataTable75[[#This Row],[asOf]]),MONTH(OneWeekMtgRatesDataTable75[[#This Row],[asOf]]),DAY(OneWeekMtgRatesDataTable75[[#This Row],[asOf]]))</f>
        <v>39707</v>
      </c>
      <c r="N1794" s="51">
        <v>5.78</v>
      </c>
      <c r="O1794" s="51">
        <v>0.6</v>
      </c>
      <c r="P1794" s="51">
        <v>5.6800000000000006</v>
      </c>
    </row>
    <row r="1795" spans="12:16">
      <c r="L1795" s="51" t="s">
        <v>1807</v>
      </c>
      <c r="M1795" s="25">
        <f>DATE(YEAR(OneWeekMtgRatesDataTable75[[#This Row],[asOf]]),MONTH(OneWeekMtgRatesDataTable75[[#This Row],[asOf]]),DAY(OneWeekMtgRatesDataTable75[[#This Row],[asOf]]))</f>
        <v>39706</v>
      </c>
      <c r="N1795" s="51">
        <v>5.78</v>
      </c>
      <c r="O1795" s="51">
        <v>0.6</v>
      </c>
      <c r="P1795" s="51">
        <v>5.6800000000000006</v>
      </c>
    </row>
    <row r="1796" spans="12:16">
      <c r="L1796" s="51" t="s">
        <v>1808</v>
      </c>
      <c r="M1796" s="25">
        <f>DATE(YEAR(OneWeekMtgRatesDataTable75[[#This Row],[asOf]]),MONTH(OneWeekMtgRatesDataTable75[[#This Row],[asOf]]),DAY(OneWeekMtgRatesDataTable75[[#This Row],[asOf]]))</f>
        <v>39703</v>
      </c>
      <c r="N1796" s="51">
        <v>5.78</v>
      </c>
      <c r="O1796" s="51">
        <v>0.6</v>
      </c>
      <c r="P1796" s="51">
        <v>5.6800000000000006</v>
      </c>
    </row>
    <row r="1797" spans="12:16">
      <c r="L1797" s="51" t="s">
        <v>1809</v>
      </c>
      <c r="M1797" s="25">
        <f>DATE(YEAR(OneWeekMtgRatesDataTable75[[#This Row],[asOf]]),MONTH(OneWeekMtgRatesDataTable75[[#This Row],[asOf]]),DAY(OneWeekMtgRatesDataTable75[[#This Row],[asOf]]))</f>
        <v>39702</v>
      </c>
      <c r="N1797" s="51">
        <v>5.78</v>
      </c>
      <c r="O1797" s="51">
        <v>0.6</v>
      </c>
      <c r="P1797" s="51">
        <v>5.6800000000000006</v>
      </c>
    </row>
    <row r="1798" spans="12:16">
      <c r="L1798" s="51" t="s">
        <v>1810</v>
      </c>
      <c r="M1798" s="25">
        <f>DATE(YEAR(OneWeekMtgRatesDataTable75[[#This Row],[asOf]]),MONTH(OneWeekMtgRatesDataTable75[[#This Row],[asOf]]),DAY(OneWeekMtgRatesDataTable75[[#This Row],[asOf]]))</f>
        <v>39701</v>
      </c>
      <c r="N1798" s="51">
        <v>5.93</v>
      </c>
      <c r="O1798" s="51">
        <v>0.7</v>
      </c>
      <c r="P1798" s="51">
        <v>5.8549999999999995</v>
      </c>
    </row>
    <row r="1799" spans="12:16">
      <c r="L1799" s="51" t="s">
        <v>1811</v>
      </c>
      <c r="M1799" s="25">
        <f>DATE(YEAR(OneWeekMtgRatesDataTable75[[#This Row],[asOf]]),MONTH(OneWeekMtgRatesDataTable75[[#This Row],[asOf]]),DAY(OneWeekMtgRatesDataTable75[[#This Row],[asOf]]))</f>
        <v>39700</v>
      </c>
      <c r="N1799" s="51">
        <v>5.93</v>
      </c>
      <c r="O1799" s="51">
        <v>0.7</v>
      </c>
      <c r="P1799" s="51">
        <v>5.8549999999999995</v>
      </c>
    </row>
    <row r="1800" spans="12:16">
      <c r="L1800" s="51" t="s">
        <v>1812</v>
      </c>
      <c r="M1800" s="25">
        <f>DATE(YEAR(OneWeekMtgRatesDataTable75[[#This Row],[asOf]]),MONTH(OneWeekMtgRatesDataTable75[[#This Row],[asOf]]),DAY(OneWeekMtgRatesDataTable75[[#This Row],[asOf]]))</f>
        <v>39699</v>
      </c>
      <c r="N1800" s="51">
        <v>5.93</v>
      </c>
      <c r="O1800" s="51">
        <v>0.7</v>
      </c>
      <c r="P1800" s="51">
        <v>5.8549999999999995</v>
      </c>
    </row>
    <row r="1801" spans="12:16">
      <c r="L1801" s="51" t="s">
        <v>1813</v>
      </c>
      <c r="M1801" s="25">
        <f>DATE(YEAR(OneWeekMtgRatesDataTable75[[#This Row],[asOf]]),MONTH(OneWeekMtgRatesDataTable75[[#This Row],[asOf]]),DAY(OneWeekMtgRatesDataTable75[[#This Row],[asOf]]))</f>
        <v>39696</v>
      </c>
      <c r="N1801" s="51">
        <v>5.93</v>
      </c>
      <c r="O1801" s="51">
        <v>0.7</v>
      </c>
      <c r="P1801" s="51">
        <v>5.8549999999999995</v>
      </c>
    </row>
    <row r="1802" spans="12:16">
      <c r="L1802" s="51" t="s">
        <v>1814</v>
      </c>
      <c r="M1802" s="25">
        <f>DATE(YEAR(OneWeekMtgRatesDataTable75[[#This Row],[asOf]]),MONTH(OneWeekMtgRatesDataTable75[[#This Row],[asOf]]),DAY(OneWeekMtgRatesDataTable75[[#This Row],[asOf]]))</f>
        <v>39695</v>
      </c>
      <c r="N1802" s="51">
        <v>5.93</v>
      </c>
      <c r="O1802" s="51">
        <v>0.7</v>
      </c>
      <c r="P1802" s="51">
        <v>5.8549999999999995</v>
      </c>
    </row>
    <row r="1803" spans="12:16">
      <c r="L1803" s="51" t="s">
        <v>1815</v>
      </c>
      <c r="M1803" s="25">
        <f>DATE(YEAR(OneWeekMtgRatesDataTable75[[#This Row],[asOf]]),MONTH(OneWeekMtgRatesDataTable75[[#This Row],[asOf]]),DAY(OneWeekMtgRatesDataTable75[[#This Row],[asOf]]))</f>
        <v>39694</v>
      </c>
      <c r="N1803" s="51">
        <v>6.35</v>
      </c>
      <c r="O1803" s="51">
        <v>0.7</v>
      </c>
      <c r="P1803" s="51">
        <v>6.2749999999999995</v>
      </c>
    </row>
    <row r="1804" spans="12:16">
      <c r="L1804" s="51" t="s">
        <v>1816</v>
      </c>
      <c r="M1804" s="25">
        <f>DATE(YEAR(OneWeekMtgRatesDataTable75[[#This Row],[asOf]]),MONTH(OneWeekMtgRatesDataTable75[[#This Row],[asOf]]),DAY(OneWeekMtgRatesDataTable75[[#This Row],[asOf]]))</f>
        <v>39693</v>
      </c>
      <c r="N1804" s="51">
        <v>6.35</v>
      </c>
      <c r="O1804" s="51">
        <v>0.7</v>
      </c>
      <c r="P1804" s="51">
        <v>6.2749999999999995</v>
      </c>
    </row>
    <row r="1805" spans="12:16">
      <c r="L1805" s="51" t="s">
        <v>1817</v>
      </c>
      <c r="M1805" s="25">
        <f>DATE(YEAR(OneWeekMtgRatesDataTable75[[#This Row],[asOf]]),MONTH(OneWeekMtgRatesDataTable75[[#This Row],[asOf]]),DAY(OneWeekMtgRatesDataTable75[[#This Row],[asOf]]))</f>
        <v>39689</v>
      </c>
      <c r="N1805" s="51">
        <v>6.35</v>
      </c>
      <c r="O1805" s="51">
        <v>0.7</v>
      </c>
      <c r="P1805" s="51">
        <v>6.2749999999999995</v>
      </c>
    </row>
    <row r="1806" spans="12:16">
      <c r="L1806" s="51" t="s">
        <v>1818</v>
      </c>
      <c r="M1806" s="25">
        <f>DATE(YEAR(OneWeekMtgRatesDataTable75[[#This Row],[asOf]]),MONTH(OneWeekMtgRatesDataTable75[[#This Row],[asOf]]),DAY(OneWeekMtgRatesDataTable75[[#This Row],[asOf]]))</f>
        <v>39688</v>
      </c>
      <c r="N1806" s="51">
        <v>6.35</v>
      </c>
      <c r="O1806" s="51">
        <v>0.7</v>
      </c>
      <c r="P1806" s="51">
        <v>6.2749999999999995</v>
      </c>
    </row>
    <row r="1807" spans="12:16">
      <c r="L1807" s="51" t="s">
        <v>1819</v>
      </c>
      <c r="M1807" s="25">
        <f>DATE(YEAR(OneWeekMtgRatesDataTable75[[#This Row],[asOf]]),MONTH(OneWeekMtgRatesDataTable75[[#This Row],[asOf]]),DAY(OneWeekMtgRatesDataTable75[[#This Row],[asOf]]))</f>
        <v>39687</v>
      </c>
      <c r="N1807" s="51">
        <v>6.4</v>
      </c>
      <c r="O1807" s="51">
        <v>0.6</v>
      </c>
      <c r="P1807" s="51">
        <v>6.3000000000000007</v>
      </c>
    </row>
    <row r="1808" spans="12:16">
      <c r="L1808" s="51" t="s">
        <v>1820</v>
      </c>
      <c r="M1808" s="25">
        <f>DATE(YEAR(OneWeekMtgRatesDataTable75[[#This Row],[asOf]]),MONTH(OneWeekMtgRatesDataTable75[[#This Row],[asOf]]),DAY(OneWeekMtgRatesDataTable75[[#This Row],[asOf]]))</f>
        <v>39686</v>
      </c>
      <c r="N1808" s="51">
        <v>6.4</v>
      </c>
      <c r="O1808" s="51">
        <v>0.6</v>
      </c>
      <c r="P1808" s="51">
        <v>6.3000000000000007</v>
      </c>
    </row>
    <row r="1809" spans="12:16">
      <c r="L1809" s="51" t="s">
        <v>1821</v>
      </c>
      <c r="M1809" s="25">
        <f>DATE(YEAR(OneWeekMtgRatesDataTable75[[#This Row],[asOf]]),MONTH(OneWeekMtgRatesDataTable75[[#This Row],[asOf]]),DAY(OneWeekMtgRatesDataTable75[[#This Row],[asOf]]))</f>
        <v>39685</v>
      </c>
      <c r="N1809" s="51">
        <v>6.4</v>
      </c>
      <c r="O1809" s="51">
        <v>0.6</v>
      </c>
      <c r="P1809" s="51">
        <v>6.3000000000000007</v>
      </c>
    </row>
    <row r="1810" spans="12:16">
      <c r="L1810" s="51" t="s">
        <v>1822</v>
      </c>
      <c r="M1810" s="25">
        <f>DATE(YEAR(OneWeekMtgRatesDataTable75[[#This Row],[asOf]]),MONTH(OneWeekMtgRatesDataTable75[[#This Row],[asOf]]),DAY(OneWeekMtgRatesDataTable75[[#This Row],[asOf]]))</f>
        <v>39682</v>
      </c>
      <c r="N1810" s="51">
        <v>6.4</v>
      </c>
      <c r="O1810" s="51">
        <v>0.6</v>
      </c>
      <c r="P1810" s="51">
        <v>6.3000000000000007</v>
      </c>
    </row>
    <row r="1811" spans="12:16">
      <c r="L1811" s="51" t="s">
        <v>1823</v>
      </c>
      <c r="M1811" s="25">
        <f>DATE(YEAR(OneWeekMtgRatesDataTable75[[#This Row],[asOf]]),MONTH(OneWeekMtgRatesDataTable75[[#This Row],[asOf]]),DAY(OneWeekMtgRatesDataTable75[[#This Row],[asOf]]))</f>
        <v>39681</v>
      </c>
      <c r="N1811" s="51">
        <v>6.4</v>
      </c>
      <c r="O1811" s="51">
        <v>0.6</v>
      </c>
      <c r="P1811" s="51">
        <v>6.3000000000000007</v>
      </c>
    </row>
    <row r="1812" spans="12:16">
      <c r="L1812" s="51" t="s">
        <v>1824</v>
      </c>
      <c r="M1812" s="25">
        <f>DATE(YEAR(OneWeekMtgRatesDataTable75[[#This Row],[asOf]]),MONTH(OneWeekMtgRatesDataTable75[[#This Row],[asOf]]),DAY(OneWeekMtgRatesDataTable75[[#This Row],[asOf]]))</f>
        <v>39680</v>
      </c>
      <c r="N1812" s="51">
        <v>6.47</v>
      </c>
      <c r="O1812" s="51">
        <v>0.7</v>
      </c>
      <c r="P1812" s="51">
        <v>6.3949999999999996</v>
      </c>
    </row>
    <row r="1813" spans="12:16">
      <c r="L1813" s="51" t="s">
        <v>1825</v>
      </c>
      <c r="M1813" s="25">
        <f>DATE(YEAR(OneWeekMtgRatesDataTable75[[#This Row],[asOf]]),MONTH(OneWeekMtgRatesDataTable75[[#This Row],[asOf]]),DAY(OneWeekMtgRatesDataTable75[[#This Row],[asOf]]))</f>
        <v>39679</v>
      </c>
      <c r="N1813" s="51">
        <v>6.47</v>
      </c>
      <c r="O1813" s="51">
        <v>0.7</v>
      </c>
      <c r="P1813" s="51">
        <v>6.3949999999999996</v>
      </c>
    </row>
    <row r="1814" spans="12:16">
      <c r="L1814" s="51" t="s">
        <v>1826</v>
      </c>
      <c r="M1814" s="25">
        <f>DATE(YEAR(OneWeekMtgRatesDataTable75[[#This Row],[asOf]]),MONTH(OneWeekMtgRatesDataTable75[[#This Row],[asOf]]),DAY(OneWeekMtgRatesDataTable75[[#This Row],[asOf]]))</f>
        <v>39678</v>
      </c>
      <c r="N1814" s="51">
        <v>6.47</v>
      </c>
      <c r="O1814" s="51">
        <v>0.7</v>
      </c>
      <c r="P1814" s="51">
        <v>6.3949999999999996</v>
      </c>
    </row>
    <row r="1815" spans="12:16">
      <c r="L1815" s="51" t="s">
        <v>1827</v>
      </c>
      <c r="M1815" s="25">
        <f>DATE(YEAR(OneWeekMtgRatesDataTable75[[#This Row],[asOf]]),MONTH(OneWeekMtgRatesDataTable75[[#This Row],[asOf]]),DAY(OneWeekMtgRatesDataTable75[[#This Row],[asOf]]))</f>
        <v>39675</v>
      </c>
      <c r="N1815" s="51">
        <v>6.47</v>
      </c>
      <c r="O1815" s="51">
        <v>0.7</v>
      </c>
      <c r="P1815" s="51">
        <v>6.3949999999999996</v>
      </c>
    </row>
    <row r="1816" spans="12:16">
      <c r="L1816" s="51" t="s">
        <v>1828</v>
      </c>
      <c r="M1816" s="25">
        <f>DATE(YEAR(OneWeekMtgRatesDataTable75[[#This Row],[asOf]]),MONTH(OneWeekMtgRatesDataTable75[[#This Row],[asOf]]),DAY(OneWeekMtgRatesDataTable75[[#This Row],[asOf]]))</f>
        <v>39674</v>
      </c>
      <c r="N1816" s="51">
        <v>6.47</v>
      </c>
      <c r="O1816" s="51">
        <v>0.7</v>
      </c>
      <c r="P1816" s="51">
        <v>6.3949999999999996</v>
      </c>
    </row>
    <row r="1817" spans="12:16">
      <c r="L1817" s="51" t="s">
        <v>1829</v>
      </c>
      <c r="M1817" s="25">
        <f>DATE(YEAR(OneWeekMtgRatesDataTable75[[#This Row],[asOf]]),MONTH(OneWeekMtgRatesDataTable75[[#This Row],[asOf]]),DAY(OneWeekMtgRatesDataTable75[[#This Row],[asOf]]))</f>
        <v>39673</v>
      </c>
      <c r="N1817" s="51">
        <v>6.52</v>
      </c>
      <c r="O1817" s="51">
        <v>0.7</v>
      </c>
      <c r="P1817" s="51">
        <v>6.4449999999999994</v>
      </c>
    </row>
    <row r="1818" spans="12:16">
      <c r="L1818" s="51" t="s">
        <v>1830</v>
      </c>
      <c r="M1818" s="25">
        <f>DATE(YEAR(OneWeekMtgRatesDataTable75[[#This Row],[asOf]]),MONTH(OneWeekMtgRatesDataTable75[[#This Row],[asOf]]),DAY(OneWeekMtgRatesDataTable75[[#This Row],[asOf]]))</f>
        <v>39672</v>
      </c>
      <c r="N1818" s="51">
        <v>6.52</v>
      </c>
      <c r="O1818" s="51">
        <v>0.7</v>
      </c>
      <c r="P1818" s="51">
        <v>6.4449999999999994</v>
      </c>
    </row>
    <row r="1819" spans="12:16">
      <c r="L1819" s="51" t="s">
        <v>1831</v>
      </c>
      <c r="M1819" s="25">
        <f>DATE(YEAR(OneWeekMtgRatesDataTable75[[#This Row],[asOf]]),MONTH(OneWeekMtgRatesDataTable75[[#This Row],[asOf]]),DAY(OneWeekMtgRatesDataTable75[[#This Row],[asOf]]))</f>
        <v>39671</v>
      </c>
      <c r="N1819" s="51">
        <v>6.52</v>
      </c>
      <c r="O1819" s="51">
        <v>0.7</v>
      </c>
      <c r="P1819" s="51">
        <v>6.4449999999999994</v>
      </c>
    </row>
    <row r="1820" spans="12:16">
      <c r="L1820" s="51" t="s">
        <v>1832</v>
      </c>
      <c r="M1820" s="25">
        <f>DATE(YEAR(OneWeekMtgRatesDataTable75[[#This Row],[asOf]]),MONTH(OneWeekMtgRatesDataTable75[[#This Row],[asOf]]),DAY(OneWeekMtgRatesDataTable75[[#This Row],[asOf]]))</f>
        <v>39668</v>
      </c>
      <c r="N1820" s="51">
        <v>6.52</v>
      </c>
      <c r="O1820" s="51">
        <v>0.7</v>
      </c>
      <c r="P1820" s="51">
        <v>6.4449999999999994</v>
      </c>
    </row>
    <row r="1821" spans="12:16">
      <c r="L1821" s="51" t="s">
        <v>1833</v>
      </c>
      <c r="M1821" s="25">
        <f>DATE(YEAR(OneWeekMtgRatesDataTable75[[#This Row],[asOf]]),MONTH(OneWeekMtgRatesDataTable75[[#This Row],[asOf]]),DAY(OneWeekMtgRatesDataTable75[[#This Row],[asOf]]))</f>
        <v>39667</v>
      </c>
      <c r="N1821" s="51">
        <v>6.52</v>
      </c>
      <c r="O1821" s="51">
        <v>0.7</v>
      </c>
      <c r="P1821" s="51">
        <v>6.4449999999999994</v>
      </c>
    </row>
    <row r="1822" spans="12:16">
      <c r="L1822" s="51" t="s">
        <v>1834</v>
      </c>
      <c r="M1822" s="25">
        <f>DATE(YEAR(OneWeekMtgRatesDataTable75[[#This Row],[asOf]]),MONTH(OneWeekMtgRatesDataTable75[[#This Row],[asOf]]),DAY(OneWeekMtgRatesDataTable75[[#This Row],[asOf]]))</f>
        <v>39666</v>
      </c>
      <c r="N1822" s="51">
        <v>6.52</v>
      </c>
      <c r="O1822" s="51">
        <v>0.7</v>
      </c>
      <c r="P1822" s="51">
        <v>6.4449999999999994</v>
      </c>
    </row>
    <row r="1823" spans="12:16">
      <c r="L1823" s="51" t="s">
        <v>1835</v>
      </c>
      <c r="M1823" s="25">
        <f>DATE(YEAR(OneWeekMtgRatesDataTable75[[#This Row],[asOf]]),MONTH(OneWeekMtgRatesDataTable75[[#This Row],[asOf]]),DAY(OneWeekMtgRatesDataTable75[[#This Row],[asOf]]))</f>
        <v>39665</v>
      </c>
      <c r="N1823" s="51">
        <v>6.52</v>
      </c>
      <c r="O1823" s="51">
        <v>0.7</v>
      </c>
      <c r="P1823" s="51">
        <v>6.4449999999999994</v>
      </c>
    </row>
    <row r="1824" spans="12:16">
      <c r="L1824" s="51" t="s">
        <v>1836</v>
      </c>
      <c r="M1824" s="25">
        <f>DATE(YEAR(OneWeekMtgRatesDataTable75[[#This Row],[asOf]]),MONTH(OneWeekMtgRatesDataTable75[[#This Row],[asOf]]),DAY(OneWeekMtgRatesDataTable75[[#This Row],[asOf]]))</f>
        <v>39664</v>
      </c>
      <c r="N1824" s="51">
        <v>6.52</v>
      </c>
      <c r="O1824" s="51">
        <v>0.7</v>
      </c>
      <c r="P1824" s="51">
        <v>6.4449999999999994</v>
      </c>
    </row>
    <row r="1825" spans="12:16">
      <c r="L1825" s="51" t="s">
        <v>1837</v>
      </c>
      <c r="M1825" s="25">
        <f>DATE(YEAR(OneWeekMtgRatesDataTable75[[#This Row],[asOf]]),MONTH(OneWeekMtgRatesDataTable75[[#This Row],[asOf]]),DAY(OneWeekMtgRatesDataTable75[[#This Row],[asOf]]))</f>
        <v>39661</v>
      </c>
      <c r="N1825" s="51">
        <v>6.52</v>
      </c>
      <c r="O1825" s="51">
        <v>0.7</v>
      </c>
      <c r="P1825" s="51">
        <v>6.4449999999999994</v>
      </c>
    </row>
    <row r="1826" spans="12:16">
      <c r="L1826" s="51" t="s">
        <v>1838</v>
      </c>
      <c r="M1826" s="25">
        <f>DATE(YEAR(OneWeekMtgRatesDataTable75[[#This Row],[asOf]]),MONTH(OneWeekMtgRatesDataTable75[[#This Row],[asOf]]),DAY(OneWeekMtgRatesDataTable75[[#This Row],[asOf]]))</f>
        <v>39660</v>
      </c>
      <c r="N1826" s="51">
        <v>6.52</v>
      </c>
      <c r="O1826" s="51">
        <v>0.7</v>
      </c>
      <c r="P1826" s="51">
        <v>6.4449999999999994</v>
      </c>
    </row>
    <row r="1827" spans="12:16">
      <c r="L1827" s="51" t="s">
        <v>1839</v>
      </c>
      <c r="M1827" s="25">
        <f>DATE(YEAR(OneWeekMtgRatesDataTable75[[#This Row],[asOf]]),MONTH(OneWeekMtgRatesDataTable75[[#This Row],[asOf]]),DAY(OneWeekMtgRatesDataTable75[[#This Row],[asOf]]))</f>
        <v>39659</v>
      </c>
      <c r="N1827" s="51">
        <v>6.52</v>
      </c>
      <c r="O1827" s="51">
        <v>0.7</v>
      </c>
      <c r="P1827" s="51">
        <v>6.4449999999999994</v>
      </c>
    </row>
    <row r="1828" spans="12:16">
      <c r="L1828" s="51" t="s">
        <v>1840</v>
      </c>
      <c r="M1828" s="25">
        <f>DATE(YEAR(OneWeekMtgRatesDataTable75[[#This Row],[asOf]]),MONTH(OneWeekMtgRatesDataTable75[[#This Row],[asOf]]),DAY(OneWeekMtgRatesDataTable75[[#This Row],[asOf]]))</f>
        <v>39658</v>
      </c>
      <c r="N1828" s="51">
        <v>6.52</v>
      </c>
      <c r="O1828" s="51">
        <v>0.7</v>
      </c>
      <c r="P1828" s="51">
        <v>6.4449999999999994</v>
      </c>
    </row>
    <row r="1829" spans="12:16">
      <c r="L1829" s="51" t="s">
        <v>1841</v>
      </c>
      <c r="M1829" s="25">
        <f>DATE(YEAR(OneWeekMtgRatesDataTable75[[#This Row],[asOf]]),MONTH(OneWeekMtgRatesDataTable75[[#This Row],[asOf]]),DAY(OneWeekMtgRatesDataTable75[[#This Row],[asOf]]))</f>
        <v>39657</v>
      </c>
      <c r="N1829" s="51">
        <v>6.52</v>
      </c>
      <c r="O1829" s="51">
        <v>0.7</v>
      </c>
      <c r="P1829" s="51">
        <v>6.4449999999999994</v>
      </c>
    </row>
    <row r="1830" spans="12:16">
      <c r="L1830" s="51" t="s">
        <v>1842</v>
      </c>
      <c r="M1830" s="25">
        <f>DATE(YEAR(OneWeekMtgRatesDataTable75[[#This Row],[asOf]]),MONTH(OneWeekMtgRatesDataTable75[[#This Row],[asOf]]),DAY(OneWeekMtgRatesDataTable75[[#This Row],[asOf]]))</f>
        <v>39654</v>
      </c>
      <c r="N1830" s="51">
        <v>6.52</v>
      </c>
      <c r="O1830" s="51">
        <v>0.7</v>
      </c>
      <c r="P1830" s="51">
        <v>6.4449999999999994</v>
      </c>
    </row>
    <row r="1831" spans="12:16">
      <c r="L1831" s="51" t="s">
        <v>1843</v>
      </c>
      <c r="M1831" s="25">
        <f>DATE(YEAR(OneWeekMtgRatesDataTable75[[#This Row],[asOf]]),MONTH(OneWeekMtgRatesDataTable75[[#This Row],[asOf]]),DAY(OneWeekMtgRatesDataTable75[[#This Row],[asOf]]))</f>
        <v>39653</v>
      </c>
      <c r="N1831" s="51">
        <v>6.52</v>
      </c>
      <c r="O1831" s="51">
        <v>0.7</v>
      </c>
      <c r="P1831" s="51">
        <v>6.4449999999999994</v>
      </c>
    </row>
    <row r="1832" spans="12:16">
      <c r="L1832" s="51" t="s">
        <v>1844</v>
      </c>
      <c r="M1832" s="25">
        <f>DATE(YEAR(OneWeekMtgRatesDataTable75[[#This Row],[asOf]]),MONTH(OneWeekMtgRatesDataTable75[[#This Row],[asOf]]),DAY(OneWeekMtgRatesDataTable75[[#This Row],[asOf]]))</f>
        <v>39652</v>
      </c>
      <c r="N1832" s="51">
        <v>6.63</v>
      </c>
      <c r="O1832" s="51">
        <v>0.6</v>
      </c>
      <c r="P1832" s="51">
        <v>6.53</v>
      </c>
    </row>
    <row r="1833" spans="12:16">
      <c r="L1833" s="51" t="s">
        <v>1845</v>
      </c>
      <c r="M1833" s="25">
        <f>DATE(YEAR(OneWeekMtgRatesDataTable75[[#This Row],[asOf]]),MONTH(OneWeekMtgRatesDataTable75[[#This Row],[asOf]]),DAY(OneWeekMtgRatesDataTable75[[#This Row],[asOf]]))</f>
        <v>39651</v>
      </c>
      <c r="N1833" s="51">
        <v>6.63</v>
      </c>
      <c r="O1833" s="51">
        <v>0.6</v>
      </c>
      <c r="P1833" s="51">
        <v>6.53</v>
      </c>
    </row>
    <row r="1834" spans="12:16">
      <c r="L1834" s="51" t="s">
        <v>1846</v>
      </c>
      <c r="M1834" s="25">
        <f>DATE(YEAR(OneWeekMtgRatesDataTable75[[#This Row],[asOf]]),MONTH(OneWeekMtgRatesDataTable75[[#This Row],[asOf]]),DAY(OneWeekMtgRatesDataTable75[[#This Row],[asOf]]))</f>
        <v>39650</v>
      </c>
      <c r="N1834" s="51">
        <v>6.63</v>
      </c>
      <c r="O1834" s="51">
        <v>0.6</v>
      </c>
      <c r="P1834" s="51">
        <v>6.53</v>
      </c>
    </row>
    <row r="1835" spans="12:16">
      <c r="L1835" s="51" t="s">
        <v>1847</v>
      </c>
      <c r="M1835" s="25">
        <f>DATE(YEAR(OneWeekMtgRatesDataTable75[[#This Row],[asOf]]),MONTH(OneWeekMtgRatesDataTable75[[#This Row],[asOf]]),DAY(OneWeekMtgRatesDataTable75[[#This Row],[asOf]]))</f>
        <v>39647</v>
      </c>
      <c r="N1835" s="51">
        <v>6.63</v>
      </c>
      <c r="O1835" s="51">
        <v>0.6</v>
      </c>
      <c r="P1835" s="51">
        <v>6.53</v>
      </c>
    </row>
    <row r="1836" spans="12:16">
      <c r="L1836" s="51" t="s">
        <v>1848</v>
      </c>
      <c r="M1836" s="25">
        <f>DATE(YEAR(OneWeekMtgRatesDataTable75[[#This Row],[asOf]]),MONTH(OneWeekMtgRatesDataTable75[[#This Row],[asOf]]),DAY(OneWeekMtgRatesDataTable75[[#This Row],[asOf]]))</f>
        <v>39646</v>
      </c>
      <c r="N1836" s="51">
        <v>6.63</v>
      </c>
      <c r="O1836" s="51">
        <v>0.6</v>
      </c>
      <c r="P1836" s="51">
        <v>6.53</v>
      </c>
    </row>
    <row r="1837" spans="12:16">
      <c r="L1837" s="51" t="s">
        <v>1849</v>
      </c>
      <c r="M1837" s="25">
        <f>DATE(YEAR(OneWeekMtgRatesDataTable75[[#This Row],[asOf]]),MONTH(OneWeekMtgRatesDataTable75[[#This Row],[asOf]]),DAY(OneWeekMtgRatesDataTable75[[#This Row],[asOf]]))</f>
        <v>39645</v>
      </c>
      <c r="N1837" s="51">
        <v>6.26</v>
      </c>
      <c r="O1837" s="51">
        <v>0.6</v>
      </c>
      <c r="P1837" s="51">
        <v>6.16</v>
      </c>
    </row>
    <row r="1838" spans="12:16">
      <c r="L1838" s="51" t="s">
        <v>1850</v>
      </c>
      <c r="M1838" s="25">
        <f>DATE(YEAR(OneWeekMtgRatesDataTable75[[#This Row],[asOf]]),MONTH(OneWeekMtgRatesDataTable75[[#This Row],[asOf]]),DAY(OneWeekMtgRatesDataTable75[[#This Row],[asOf]]))</f>
        <v>39644</v>
      </c>
      <c r="N1838" s="51">
        <v>6.26</v>
      </c>
      <c r="O1838" s="51">
        <v>0.6</v>
      </c>
      <c r="P1838" s="51">
        <v>6.16</v>
      </c>
    </row>
    <row r="1839" spans="12:16">
      <c r="L1839" s="51" t="s">
        <v>1851</v>
      </c>
      <c r="M1839" s="25">
        <f>DATE(YEAR(OneWeekMtgRatesDataTable75[[#This Row],[asOf]]),MONTH(OneWeekMtgRatesDataTable75[[#This Row],[asOf]]),DAY(OneWeekMtgRatesDataTable75[[#This Row],[asOf]]))</f>
        <v>39643</v>
      </c>
      <c r="N1839" s="51">
        <v>6.26</v>
      </c>
      <c r="O1839" s="51">
        <v>0.6</v>
      </c>
      <c r="P1839" s="51">
        <v>6.16</v>
      </c>
    </row>
    <row r="1840" spans="12:16">
      <c r="L1840" s="51" t="s">
        <v>1852</v>
      </c>
      <c r="M1840" s="25">
        <f>DATE(YEAR(OneWeekMtgRatesDataTable75[[#This Row],[asOf]]),MONTH(OneWeekMtgRatesDataTable75[[#This Row],[asOf]]),DAY(OneWeekMtgRatesDataTable75[[#This Row],[asOf]]))</f>
        <v>39640</v>
      </c>
      <c r="N1840" s="51">
        <v>6.26</v>
      </c>
      <c r="O1840" s="51">
        <v>0.6</v>
      </c>
      <c r="P1840" s="51">
        <v>6.16</v>
      </c>
    </row>
    <row r="1841" spans="12:16">
      <c r="L1841" s="51" t="s">
        <v>1853</v>
      </c>
      <c r="M1841" s="25">
        <f>DATE(YEAR(OneWeekMtgRatesDataTable75[[#This Row],[asOf]]),MONTH(OneWeekMtgRatesDataTable75[[#This Row],[asOf]]),DAY(OneWeekMtgRatesDataTable75[[#This Row],[asOf]]))</f>
        <v>39639</v>
      </c>
      <c r="N1841" s="51">
        <v>6.26</v>
      </c>
      <c r="O1841" s="51">
        <v>0.6</v>
      </c>
      <c r="P1841" s="51">
        <v>6.16</v>
      </c>
    </row>
    <row r="1842" spans="12:16">
      <c r="L1842" s="51" t="s">
        <v>1854</v>
      </c>
      <c r="M1842" s="25">
        <f>DATE(YEAR(OneWeekMtgRatesDataTable75[[#This Row],[asOf]]),MONTH(OneWeekMtgRatesDataTable75[[#This Row],[asOf]]),DAY(OneWeekMtgRatesDataTable75[[#This Row],[asOf]]))</f>
        <v>39638</v>
      </c>
      <c r="N1842" s="51">
        <v>6.37</v>
      </c>
      <c r="O1842" s="51">
        <v>0.6</v>
      </c>
      <c r="P1842" s="51">
        <v>6.2700000000000005</v>
      </c>
    </row>
    <row r="1843" spans="12:16">
      <c r="L1843" s="51" t="s">
        <v>1855</v>
      </c>
      <c r="M1843" s="25">
        <f>DATE(YEAR(OneWeekMtgRatesDataTable75[[#This Row],[asOf]]),MONTH(OneWeekMtgRatesDataTable75[[#This Row],[asOf]]),DAY(OneWeekMtgRatesDataTable75[[#This Row],[asOf]]))</f>
        <v>39637</v>
      </c>
      <c r="N1843" s="51">
        <v>6.37</v>
      </c>
      <c r="O1843" s="51">
        <v>0.6</v>
      </c>
      <c r="P1843" s="51">
        <v>6.2700000000000005</v>
      </c>
    </row>
    <row r="1844" spans="12:16">
      <c r="L1844" s="51" t="s">
        <v>1856</v>
      </c>
      <c r="M1844" s="25">
        <f>DATE(YEAR(OneWeekMtgRatesDataTable75[[#This Row],[asOf]]),MONTH(OneWeekMtgRatesDataTable75[[#This Row],[asOf]]),DAY(OneWeekMtgRatesDataTable75[[#This Row],[asOf]]))</f>
        <v>39636</v>
      </c>
      <c r="N1844" s="51">
        <v>6.37</v>
      </c>
      <c r="O1844" s="51">
        <v>0.6</v>
      </c>
      <c r="P1844" s="51">
        <v>6.2700000000000005</v>
      </c>
    </row>
    <row r="1845" spans="12:16">
      <c r="L1845" s="51" t="s">
        <v>1857</v>
      </c>
      <c r="M1845" s="25">
        <f>DATE(YEAR(OneWeekMtgRatesDataTable75[[#This Row],[asOf]]),MONTH(OneWeekMtgRatesDataTable75[[#This Row],[asOf]]),DAY(OneWeekMtgRatesDataTable75[[#This Row],[asOf]]))</f>
        <v>39632</v>
      </c>
      <c r="N1845" s="51">
        <v>6.37</v>
      </c>
      <c r="O1845" s="51">
        <v>0.6</v>
      </c>
      <c r="P1845" s="51">
        <v>6.2700000000000005</v>
      </c>
    </row>
    <row r="1846" spans="12:16">
      <c r="L1846" s="51" t="s">
        <v>1858</v>
      </c>
      <c r="M1846" s="25">
        <f>DATE(YEAR(OneWeekMtgRatesDataTable75[[#This Row],[asOf]]),MONTH(OneWeekMtgRatesDataTable75[[#This Row],[asOf]]),DAY(OneWeekMtgRatesDataTable75[[#This Row],[asOf]]))</f>
        <v>39631</v>
      </c>
      <c r="N1846" s="51">
        <v>6.35</v>
      </c>
      <c r="O1846" s="51">
        <v>0.6</v>
      </c>
      <c r="P1846" s="51">
        <v>6.25</v>
      </c>
    </row>
    <row r="1847" spans="12:16">
      <c r="L1847" s="51" t="s">
        <v>1859</v>
      </c>
      <c r="M1847" s="25">
        <f>DATE(YEAR(OneWeekMtgRatesDataTable75[[#This Row],[asOf]]),MONTH(OneWeekMtgRatesDataTable75[[#This Row],[asOf]]),DAY(OneWeekMtgRatesDataTable75[[#This Row],[asOf]]))</f>
        <v>39630</v>
      </c>
      <c r="N1847" s="51">
        <v>6.35</v>
      </c>
      <c r="O1847" s="51">
        <v>0.6</v>
      </c>
      <c r="P1847" s="51">
        <v>6.25</v>
      </c>
    </row>
    <row r="1848" spans="12:16">
      <c r="L1848" s="51" t="s">
        <v>1860</v>
      </c>
      <c r="M1848" s="25">
        <f>DATE(YEAR(OneWeekMtgRatesDataTable75[[#This Row],[asOf]]),MONTH(OneWeekMtgRatesDataTable75[[#This Row],[asOf]]),DAY(OneWeekMtgRatesDataTable75[[#This Row],[asOf]]))</f>
        <v>39629</v>
      </c>
      <c r="N1848" s="51">
        <v>6.35</v>
      </c>
      <c r="O1848" s="51">
        <v>0.6</v>
      </c>
      <c r="P1848" s="51">
        <v>6.25</v>
      </c>
    </row>
    <row r="1849" spans="12:16">
      <c r="L1849" s="51" t="s">
        <v>1861</v>
      </c>
      <c r="M1849" s="25">
        <f>DATE(YEAR(OneWeekMtgRatesDataTable75[[#This Row],[asOf]]),MONTH(OneWeekMtgRatesDataTable75[[#This Row],[asOf]]),DAY(OneWeekMtgRatesDataTable75[[#This Row],[asOf]]))</f>
        <v>39626</v>
      </c>
      <c r="N1849" s="51">
        <v>6.35</v>
      </c>
      <c r="O1849" s="51">
        <v>0.6</v>
      </c>
      <c r="P1849" s="51">
        <v>6.25</v>
      </c>
    </row>
    <row r="1850" spans="12:16">
      <c r="L1850" s="51" t="s">
        <v>1862</v>
      </c>
      <c r="M1850" s="25">
        <f>DATE(YEAR(OneWeekMtgRatesDataTable75[[#This Row],[asOf]]),MONTH(OneWeekMtgRatesDataTable75[[#This Row],[asOf]]),DAY(OneWeekMtgRatesDataTable75[[#This Row],[asOf]]))</f>
        <v>39625</v>
      </c>
      <c r="N1850" s="51">
        <v>6.35</v>
      </c>
      <c r="O1850" s="51">
        <v>0.6</v>
      </c>
      <c r="P1850" s="51">
        <v>6.25</v>
      </c>
    </row>
    <row r="1851" spans="12:16">
      <c r="L1851" s="51" t="s">
        <v>1863</v>
      </c>
      <c r="M1851" s="25">
        <f>DATE(YEAR(OneWeekMtgRatesDataTable75[[#This Row],[asOf]]),MONTH(OneWeekMtgRatesDataTable75[[#This Row],[asOf]]),DAY(OneWeekMtgRatesDataTable75[[#This Row],[asOf]]))</f>
        <v>39624</v>
      </c>
      <c r="N1851" s="51">
        <v>6.45</v>
      </c>
      <c r="O1851" s="51">
        <v>0.6</v>
      </c>
      <c r="P1851" s="51">
        <v>6.3500000000000005</v>
      </c>
    </row>
    <row r="1852" spans="12:16">
      <c r="L1852" s="51" t="s">
        <v>1864</v>
      </c>
      <c r="M1852" s="25">
        <f>DATE(YEAR(OneWeekMtgRatesDataTable75[[#This Row],[asOf]]),MONTH(OneWeekMtgRatesDataTable75[[#This Row],[asOf]]),DAY(OneWeekMtgRatesDataTable75[[#This Row],[asOf]]))</f>
        <v>39623</v>
      </c>
      <c r="N1852" s="51">
        <v>6.45</v>
      </c>
      <c r="O1852" s="51">
        <v>0.6</v>
      </c>
      <c r="P1852" s="51">
        <v>6.3500000000000005</v>
      </c>
    </row>
    <row r="1853" spans="12:16">
      <c r="L1853" s="51" t="s">
        <v>1865</v>
      </c>
      <c r="M1853" s="25">
        <f>DATE(YEAR(OneWeekMtgRatesDataTable75[[#This Row],[asOf]]),MONTH(OneWeekMtgRatesDataTable75[[#This Row],[asOf]]),DAY(OneWeekMtgRatesDataTable75[[#This Row],[asOf]]))</f>
        <v>39622</v>
      </c>
      <c r="N1853" s="51">
        <v>6.45</v>
      </c>
      <c r="O1853" s="51">
        <v>0.6</v>
      </c>
      <c r="P1853" s="51">
        <v>6.3500000000000005</v>
      </c>
    </row>
    <row r="1854" spans="12:16">
      <c r="L1854" s="51" t="s">
        <v>1866</v>
      </c>
      <c r="M1854" s="25">
        <f>DATE(YEAR(OneWeekMtgRatesDataTable75[[#This Row],[asOf]]),MONTH(OneWeekMtgRatesDataTable75[[#This Row],[asOf]]),DAY(OneWeekMtgRatesDataTable75[[#This Row],[asOf]]))</f>
        <v>39619</v>
      </c>
      <c r="N1854" s="51">
        <v>6.45</v>
      </c>
      <c r="O1854" s="51">
        <v>0.6</v>
      </c>
      <c r="P1854" s="51">
        <v>6.3500000000000005</v>
      </c>
    </row>
    <row r="1855" spans="12:16">
      <c r="L1855" s="51" t="s">
        <v>1867</v>
      </c>
      <c r="M1855" s="25">
        <f>DATE(YEAR(OneWeekMtgRatesDataTable75[[#This Row],[asOf]]),MONTH(OneWeekMtgRatesDataTable75[[#This Row],[asOf]]),DAY(OneWeekMtgRatesDataTable75[[#This Row],[asOf]]))</f>
        <v>39618</v>
      </c>
      <c r="N1855" s="51">
        <v>6.45</v>
      </c>
      <c r="O1855" s="51">
        <v>0.6</v>
      </c>
      <c r="P1855" s="51">
        <v>6.3500000000000005</v>
      </c>
    </row>
    <row r="1856" spans="12:16">
      <c r="L1856" s="51" t="s">
        <v>1868</v>
      </c>
      <c r="M1856" s="25">
        <f>DATE(YEAR(OneWeekMtgRatesDataTable75[[#This Row],[asOf]]),MONTH(OneWeekMtgRatesDataTable75[[#This Row],[asOf]]),DAY(OneWeekMtgRatesDataTable75[[#This Row],[asOf]]))</f>
        <v>39617</v>
      </c>
      <c r="N1856" s="51">
        <v>6.42</v>
      </c>
      <c r="O1856" s="51">
        <v>0.7</v>
      </c>
      <c r="P1856" s="51">
        <v>6.3449999999999998</v>
      </c>
    </row>
    <row r="1857" spans="12:16">
      <c r="L1857" s="51" t="s">
        <v>1869</v>
      </c>
      <c r="M1857" s="25">
        <f>DATE(YEAR(OneWeekMtgRatesDataTable75[[#This Row],[asOf]]),MONTH(OneWeekMtgRatesDataTable75[[#This Row],[asOf]]),DAY(OneWeekMtgRatesDataTable75[[#This Row],[asOf]]))</f>
        <v>39616</v>
      </c>
      <c r="N1857" s="51">
        <v>6.42</v>
      </c>
      <c r="O1857" s="51">
        <v>0.7</v>
      </c>
      <c r="P1857" s="51">
        <v>6.3449999999999998</v>
      </c>
    </row>
    <row r="1858" spans="12:16">
      <c r="L1858" s="51" t="s">
        <v>1870</v>
      </c>
      <c r="M1858" s="25">
        <f>DATE(YEAR(OneWeekMtgRatesDataTable75[[#This Row],[asOf]]),MONTH(OneWeekMtgRatesDataTable75[[#This Row],[asOf]]),DAY(OneWeekMtgRatesDataTable75[[#This Row],[asOf]]))</f>
        <v>39615</v>
      </c>
      <c r="N1858" s="51">
        <v>6.42</v>
      </c>
      <c r="O1858" s="51">
        <v>0.7</v>
      </c>
      <c r="P1858" s="51">
        <v>6.3449999999999998</v>
      </c>
    </row>
    <row r="1859" spans="12:16">
      <c r="L1859" s="51" t="s">
        <v>1871</v>
      </c>
      <c r="M1859" s="25">
        <f>DATE(YEAR(OneWeekMtgRatesDataTable75[[#This Row],[asOf]]),MONTH(OneWeekMtgRatesDataTable75[[#This Row],[asOf]]),DAY(OneWeekMtgRatesDataTable75[[#This Row],[asOf]]))</f>
        <v>39612</v>
      </c>
      <c r="N1859" s="51">
        <v>6.42</v>
      </c>
      <c r="O1859" s="51">
        <v>0.7</v>
      </c>
      <c r="P1859" s="51">
        <v>6.3449999999999998</v>
      </c>
    </row>
    <row r="1860" spans="12:16">
      <c r="L1860" s="51" t="s">
        <v>1872</v>
      </c>
      <c r="M1860" s="25">
        <f>DATE(YEAR(OneWeekMtgRatesDataTable75[[#This Row],[asOf]]),MONTH(OneWeekMtgRatesDataTable75[[#This Row],[asOf]]),DAY(OneWeekMtgRatesDataTable75[[#This Row],[asOf]]))</f>
        <v>39611</v>
      </c>
      <c r="N1860" s="51">
        <v>6.42</v>
      </c>
      <c r="O1860" s="51">
        <v>0.7</v>
      </c>
      <c r="P1860" s="51">
        <v>6.3449999999999998</v>
      </c>
    </row>
    <row r="1861" spans="12:16">
      <c r="L1861" s="51" t="s">
        <v>1873</v>
      </c>
      <c r="M1861" s="25">
        <f>DATE(YEAR(OneWeekMtgRatesDataTable75[[#This Row],[asOf]]),MONTH(OneWeekMtgRatesDataTable75[[#This Row],[asOf]]),DAY(OneWeekMtgRatesDataTable75[[#This Row],[asOf]]))</f>
        <v>39610</v>
      </c>
      <c r="N1861" s="51">
        <v>6.32</v>
      </c>
      <c r="O1861" s="51">
        <v>0.7</v>
      </c>
      <c r="P1861" s="51">
        <v>6.2450000000000001</v>
      </c>
    </row>
    <row r="1862" spans="12:16">
      <c r="L1862" s="51" t="s">
        <v>1874</v>
      </c>
      <c r="M1862" s="25">
        <f>DATE(YEAR(OneWeekMtgRatesDataTable75[[#This Row],[asOf]]),MONTH(OneWeekMtgRatesDataTable75[[#This Row],[asOf]]),DAY(OneWeekMtgRatesDataTable75[[#This Row],[asOf]]))</f>
        <v>39609</v>
      </c>
      <c r="N1862" s="51">
        <v>6.32</v>
      </c>
      <c r="O1862" s="51">
        <v>0.7</v>
      </c>
      <c r="P1862" s="51">
        <v>6.2450000000000001</v>
      </c>
    </row>
    <row r="1863" spans="12:16">
      <c r="L1863" s="51" t="s">
        <v>1875</v>
      </c>
      <c r="M1863" s="25">
        <f>DATE(YEAR(OneWeekMtgRatesDataTable75[[#This Row],[asOf]]),MONTH(OneWeekMtgRatesDataTable75[[#This Row],[asOf]]),DAY(OneWeekMtgRatesDataTable75[[#This Row],[asOf]]))</f>
        <v>39608</v>
      </c>
      <c r="N1863" s="51">
        <v>6.32</v>
      </c>
      <c r="O1863" s="51">
        <v>0.7</v>
      </c>
      <c r="P1863" s="51">
        <v>6.2450000000000001</v>
      </c>
    </row>
    <row r="1864" spans="12:16">
      <c r="L1864" s="51" t="s">
        <v>1876</v>
      </c>
      <c r="M1864" s="25">
        <f>DATE(YEAR(OneWeekMtgRatesDataTable75[[#This Row],[asOf]]),MONTH(OneWeekMtgRatesDataTable75[[#This Row],[asOf]]),DAY(OneWeekMtgRatesDataTable75[[#This Row],[asOf]]))</f>
        <v>39605</v>
      </c>
      <c r="N1864" s="51">
        <v>6.32</v>
      </c>
      <c r="O1864" s="51">
        <v>0.7</v>
      </c>
      <c r="P1864" s="51">
        <v>6.2450000000000001</v>
      </c>
    </row>
    <row r="1865" spans="12:16">
      <c r="L1865" s="51" t="s">
        <v>1877</v>
      </c>
      <c r="M1865" s="25">
        <f>DATE(YEAR(OneWeekMtgRatesDataTable75[[#This Row],[asOf]]),MONTH(OneWeekMtgRatesDataTable75[[#This Row],[asOf]]),DAY(OneWeekMtgRatesDataTable75[[#This Row],[asOf]]))</f>
        <v>39604</v>
      </c>
      <c r="N1865" s="51">
        <v>6.32</v>
      </c>
      <c r="O1865" s="51">
        <v>0.7</v>
      </c>
      <c r="P1865" s="51">
        <v>6.2450000000000001</v>
      </c>
    </row>
    <row r="1866" spans="12:16">
      <c r="L1866" s="51" t="s">
        <v>1878</v>
      </c>
      <c r="M1866" s="25">
        <f>DATE(YEAR(OneWeekMtgRatesDataTable75[[#This Row],[asOf]]),MONTH(OneWeekMtgRatesDataTable75[[#This Row],[asOf]]),DAY(OneWeekMtgRatesDataTable75[[#This Row],[asOf]]))</f>
        <v>39603</v>
      </c>
      <c r="N1866" s="51">
        <v>6.09</v>
      </c>
      <c r="O1866" s="51">
        <v>0.6</v>
      </c>
      <c r="P1866" s="51">
        <v>5.99</v>
      </c>
    </row>
    <row r="1867" spans="12:16">
      <c r="L1867" s="51" t="s">
        <v>1879</v>
      </c>
      <c r="M1867" s="25">
        <f>DATE(YEAR(OneWeekMtgRatesDataTable75[[#This Row],[asOf]]),MONTH(OneWeekMtgRatesDataTable75[[#This Row],[asOf]]),DAY(OneWeekMtgRatesDataTable75[[#This Row],[asOf]]))</f>
        <v>39602</v>
      </c>
      <c r="N1867" s="51">
        <v>6.09</v>
      </c>
      <c r="O1867" s="51">
        <v>0.6</v>
      </c>
      <c r="P1867" s="51">
        <v>5.99</v>
      </c>
    </row>
    <row r="1868" spans="12:16">
      <c r="L1868" s="51" t="s">
        <v>1880</v>
      </c>
      <c r="M1868" s="25">
        <f>DATE(YEAR(OneWeekMtgRatesDataTable75[[#This Row],[asOf]]),MONTH(OneWeekMtgRatesDataTable75[[#This Row],[asOf]]),DAY(OneWeekMtgRatesDataTable75[[#This Row],[asOf]]))</f>
        <v>39601</v>
      </c>
      <c r="N1868" s="51">
        <v>6.09</v>
      </c>
      <c r="O1868" s="51">
        <v>0.6</v>
      </c>
      <c r="P1868" s="51">
        <v>5.99</v>
      </c>
    </row>
    <row r="1869" spans="12:16">
      <c r="L1869" s="51" t="s">
        <v>1881</v>
      </c>
      <c r="M1869" s="25">
        <f>DATE(YEAR(OneWeekMtgRatesDataTable75[[#This Row],[asOf]]),MONTH(OneWeekMtgRatesDataTable75[[#This Row],[asOf]]),DAY(OneWeekMtgRatesDataTable75[[#This Row],[asOf]]))</f>
        <v>39598</v>
      </c>
      <c r="N1869" s="51">
        <v>6.09</v>
      </c>
      <c r="O1869" s="51">
        <v>0.6</v>
      </c>
      <c r="P1869" s="51">
        <v>5.99</v>
      </c>
    </row>
    <row r="1870" spans="12:16">
      <c r="L1870" s="51" t="s">
        <v>1882</v>
      </c>
      <c r="M1870" s="25">
        <f>DATE(YEAR(OneWeekMtgRatesDataTable75[[#This Row],[asOf]]),MONTH(OneWeekMtgRatesDataTable75[[#This Row],[asOf]]),DAY(OneWeekMtgRatesDataTable75[[#This Row],[asOf]]))</f>
        <v>39597</v>
      </c>
      <c r="N1870" s="51">
        <v>6.09</v>
      </c>
      <c r="O1870" s="51">
        <v>0.6</v>
      </c>
      <c r="P1870" s="51">
        <v>5.99</v>
      </c>
    </row>
    <row r="1871" spans="12:16">
      <c r="L1871" s="51" t="s">
        <v>1883</v>
      </c>
      <c r="M1871" s="25">
        <f>DATE(YEAR(OneWeekMtgRatesDataTable75[[#This Row],[asOf]]),MONTH(OneWeekMtgRatesDataTable75[[#This Row],[asOf]]),DAY(OneWeekMtgRatesDataTable75[[#This Row],[asOf]]))</f>
        <v>39596</v>
      </c>
      <c r="N1871" s="51">
        <v>6.08</v>
      </c>
      <c r="O1871" s="51">
        <v>0.6</v>
      </c>
      <c r="P1871" s="51">
        <v>5.98</v>
      </c>
    </row>
    <row r="1872" spans="12:16">
      <c r="L1872" s="51" t="s">
        <v>1884</v>
      </c>
      <c r="M1872" s="25">
        <f>DATE(YEAR(OneWeekMtgRatesDataTable75[[#This Row],[asOf]]),MONTH(OneWeekMtgRatesDataTable75[[#This Row],[asOf]]),DAY(OneWeekMtgRatesDataTable75[[#This Row],[asOf]]))</f>
        <v>39595</v>
      </c>
      <c r="N1872" s="51">
        <v>6.08</v>
      </c>
      <c r="O1872" s="51">
        <v>0.6</v>
      </c>
      <c r="P1872" s="51">
        <v>5.98</v>
      </c>
    </row>
    <row r="1873" spans="12:16">
      <c r="L1873" s="51" t="s">
        <v>1885</v>
      </c>
      <c r="M1873" s="25">
        <f>DATE(YEAR(OneWeekMtgRatesDataTable75[[#This Row],[asOf]]),MONTH(OneWeekMtgRatesDataTable75[[#This Row],[asOf]]),DAY(OneWeekMtgRatesDataTable75[[#This Row],[asOf]]))</f>
        <v>39591</v>
      </c>
      <c r="N1873" s="51">
        <v>6.08</v>
      </c>
      <c r="O1873" s="51">
        <v>0.6</v>
      </c>
      <c r="P1873" s="51">
        <v>5.98</v>
      </c>
    </row>
    <row r="1874" spans="12:16">
      <c r="L1874" s="51" t="s">
        <v>1886</v>
      </c>
      <c r="M1874" s="25">
        <f>DATE(YEAR(OneWeekMtgRatesDataTable75[[#This Row],[asOf]]),MONTH(OneWeekMtgRatesDataTable75[[#This Row],[asOf]]),DAY(OneWeekMtgRatesDataTable75[[#This Row],[asOf]]))</f>
        <v>39590</v>
      </c>
      <c r="N1874" s="51">
        <v>6.08</v>
      </c>
      <c r="O1874" s="51">
        <v>0.6</v>
      </c>
      <c r="P1874" s="51">
        <v>5.98</v>
      </c>
    </row>
    <row r="1875" spans="12:16">
      <c r="L1875" s="51" t="s">
        <v>1887</v>
      </c>
      <c r="M1875" s="25">
        <f>DATE(YEAR(OneWeekMtgRatesDataTable75[[#This Row],[asOf]]),MONTH(OneWeekMtgRatesDataTable75[[#This Row],[asOf]]),DAY(OneWeekMtgRatesDataTable75[[#This Row],[asOf]]))</f>
        <v>39589</v>
      </c>
      <c r="N1875" s="51">
        <v>5.98</v>
      </c>
      <c r="O1875" s="51">
        <v>0.5</v>
      </c>
      <c r="P1875" s="51">
        <v>5.8550000000000004</v>
      </c>
    </row>
    <row r="1876" spans="12:16">
      <c r="L1876" s="51" t="s">
        <v>1888</v>
      </c>
      <c r="M1876" s="25">
        <f>DATE(YEAR(OneWeekMtgRatesDataTable75[[#This Row],[asOf]]),MONTH(OneWeekMtgRatesDataTable75[[#This Row],[asOf]]),DAY(OneWeekMtgRatesDataTable75[[#This Row],[asOf]]))</f>
        <v>39588</v>
      </c>
      <c r="N1876" s="51">
        <v>5.98</v>
      </c>
      <c r="O1876" s="51">
        <v>0.5</v>
      </c>
      <c r="P1876" s="51">
        <v>5.8550000000000004</v>
      </c>
    </row>
    <row r="1877" spans="12:16">
      <c r="L1877" s="51" t="s">
        <v>1889</v>
      </c>
      <c r="M1877" s="25">
        <f>DATE(YEAR(OneWeekMtgRatesDataTable75[[#This Row],[asOf]]),MONTH(OneWeekMtgRatesDataTable75[[#This Row],[asOf]]),DAY(OneWeekMtgRatesDataTable75[[#This Row],[asOf]]))</f>
        <v>39587</v>
      </c>
      <c r="N1877" s="51">
        <v>5.98</v>
      </c>
      <c r="O1877" s="51">
        <v>0.5</v>
      </c>
      <c r="P1877" s="51">
        <v>5.8550000000000004</v>
      </c>
    </row>
    <row r="1878" spans="12:16">
      <c r="L1878" s="51" t="s">
        <v>1890</v>
      </c>
      <c r="M1878" s="25">
        <f>DATE(YEAR(OneWeekMtgRatesDataTable75[[#This Row],[asOf]]),MONTH(OneWeekMtgRatesDataTable75[[#This Row],[asOf]]),DAY(OneWeekMtgRatesDataTable75[[#This Row],[asOf]]))</f>
        <v>39584</v>
      </c>
      <c r="N1878" s="51">
        <v>5.98</v>
      </c>
      <c r="O1878" s="51">
        <v>0.5</v>
      </c>
      <c r="P1878" s="51">
        <v>5.8550000000000004</v>
      </c>
    </row>
    <row r="1879" spans="12:16">
      <c r="L1879" s="51" t="s">
        <v>1891</v>
      </c>
      <c r="M1879" s="25">
        <f>DATE(YEAR(OneWeekMtgRatesDataTable75[[#This Row],[asOf]]),MONTH(OneWeekMtgRatesDataTable75[[#This Row],[asOf]]),DAY(OneWeekMtgRatesDataTable75[[#This Row],[asOf]]))</f>
        <v>39583</v>
      </c>
      <c r="N1879" s="51">
        <v>5.98</v>
      </c>
      <c r="O1879" s="51">
        <v>0.5</v>
      </c>
      <c r="P1879" s="51">
        <v>5.8550000000000004</v>
      </c>
    </row>
    <row r="1880" spans="12:16">
      <c r="L1880" s="51" t="s">
        <v>1892</v>
      </c>
      <c r="M1880" s="25">
        <f>DATE(YEAR(OneWeekMtgRatesDataTable75[[#This Row],[asOf]]),MONTH(OneWeekMtgRatesDataTable75[[#This Row],[asOf]]),DAY(OneWeekMtgRatesDataTable75[[#This Row],[asOf]]))</f>
        <v>39582</v>
      </c>
      <c r="N1880" s="51">
        <v>6.01</v>
      </c>
      <c r="O1880" s="51">
        <v>0.6</v>
      </c>
      <c r="P1880" s="51">
        <v>5.91</v>
      </c>
    </row>
    <row r="1881" spans="12:16">
      <c r="L1881" s="51" t="s">
        <v>1893</v>
      </c>
      <c r="M1881" s="25">
        <f>DATE(YEAR(OneWeekMtgRatesDataTable75[[#This Row],[asOf]]),MONTH(OneWeekMtgRatesDataTable75[[#This Row],[asOf]]),DAY(OneWeekMtgRatesDataTable75[[#This Row],[asOf]]))</f>
        <v>39581</v>
      </c>
      <c r="N1881" s="51">
        <v>6.01</v>
      </c>
      <c r="O1881" s="51">
        <v>0.6</v>
      </c>
      <c r="P1881" s="51">
        <v>5.91</v>
      </c>
    </row>
    <row r="1882" spans="12:16">
      <c r="L1882" s="51" t="s">
        <v>1894</v>
      </c>
      <c r="M1882" s="25">
        <f>DATE(YEAR(OneWeekMtgRatesDataTable75[[#This Row],[asOf]]),MONTH(OneWeekMtgRatesDataTable75[[#This Row],[asOf]]),DAY(OneWeekMtgRatesDataTable75[[#This Row],[asOf]]))</f>
        <v>39580</v>
      </c>
      <c r="N1882" s="51">
        <v>6.01</v>
      </c>
      <c r="O1882" s="51">
        <v>0.6</v>
      </c>
      <c r="P1882" s="51">
        <v>5.91</v>
      </c>
    </row>
    <row r="1883" spans="12:16">
      <c r="L1883" s="51" t="s">
        <v>1895</v>
      </c>
      <c r="M1883" s="25">
        <f>DATE(YEAR(OneWeekMtgRatesDataTable75[[#This Row],[asOf]]),MONTH(OneWeekMtgRatesDataTable75[[#This Row],[asOf]]),DAY(OneWeekMtgRatesDataTable75[[#This Row],[asOf]]))</f>
        <v>39577</v>
      </c>
      <c r="N1883" s="51">
        <v>6.01</v>
      </c>
      <c r="O1883" s="51">
        <v>0.6</v>
      </c>
      <c r="P1883" s="51">
        <v>5.91</v>
      </c>
    </row>
    <row r="1884" spans="12:16">
      <c r="L1884" s="51" t="s">
        <v>1896</v>
      </c>
      <c r="M1884" s="25">
        <f>DATE(YEAR(OneWeekMtgRatesDataTable75[[#This Row],[asOf]]),MONTH(OneWeekMtgRatesDataTable75[[#This Row],[asOf]]),DAY(OneWeekMtgRatesDataTable75[[#This Row],[asOf]]))</f>
        <v>39576</v>
      </c>
      <c r="N1884" s="51">
        <v>6.01</v>
      </c>
      <c r="O1884" s="51">
        <v>0.6</v>
      </c>
      <c r="P1884" s="51">
        <v>5.91</v>
      </c>
    </row>
    <row r="1885" spans="12:16">
      <c r="L1885" s="51" t="s">
        <v>1897</v>
      </c>
      <c r="M1885" s="25">
        <f>DATE(YEAR(OneWeekMtgRatesDataTable75[[#This Row],[asOf]]),MONTH(OneWeekMtgRatesDataTable75[[#This Row],[asOf]]),DAY(OneWeekMtgRatesDataTable75[[#This Row],[asOf]]))</f>
        <v>39575</v>
      </c>
      <c r="N1885" s="51">
        <v>6.05</v>
      </c>
      <c r="O1885" s="51">
        <v>0.3</v>
      </c>
      <c r="P1885" s="51">
        <v>5.875</v>
      </c>
    </row>
    <row r="1886" spans="12:16">
      <c r="L1886" s="51" t="s">
        <v>1898</v>
      </c>
      <c r="M1886" s="25">
        <f>DATE(YEAR(OneWeekMtgRatesDataTable75[[#This Row],[asOf]]),MONTH(OneWeekMtgRatesDataTable75[[#This Row],[asOf]]),DAY(OneWeekMtgRatesDataTable75[[#This Row],[asOf]]))</f>
        <v>39574</v>
      </c>
      <c r="N1886" s="51">
        <v>6.05</v>
      </c>
      <c r="O1886" s="51">
        <v>0.3</v>
      </c>
      <c r="P1886" s="51">
        <v>5.875</v>
      </c>
    </row>
    <row r="1887" spans="12:16">
      <c r="L1887" s="51" t="s">
        <v>1899</v>
      </c>
      <c r="M1887" s="25">
        <f>DATE(YEAR(OneWeekMtgRatesDataTable75[[#This Row],[asOf]]),MONTH(OneWeekMtgRatesDataTable75[[#This Row],[asOf]]),DAY(OneWeekMtgRatesDataTable75[[#This Row],[asOf]]))</f>
        <v>39573</v>
      </c>
      <c r="N1887" s="51">
        <v>6.05</v>
      </c>
      <c r="O1887" s="51">
        <v>0.3</v>
      </c>
      <c r="P1887" s="51">
        <v>5.875</v>
      </c>
    </row>
    <row r="1888" spans="12:16">
      <c r="L1888" s="51" t="s">
        <v>1900</v>
      </c>
      <c r="M1888" s="25">
        <f>DATE(YEAR(OneWeekMtgRatesDataTable75[[#This Row],[asOf]]),MONTH(OneWeekMtgRatesDataTable75[[#This Row],[asOf]]),DAY(OneWeekMtgRatesDataTable75[[#This Row],[asOf]]))</f>
        <v>39570</v>
      </c>
      <c r="N1888" s="51">
        <v>6.05</v>
      </c>
      <c r="O1888" s="51">
        <v>0.3</v>
      </c>
      <c r="P1888" s="51">
        <v>5.875</v>
      </c>
    </row>
    <row r="1889" spans="12:16">
      <c r="L1889" s="51" t="s">
        <v>1901</v>
      </c>
      <c r="M1889" s="25">
        <f>DATE(YEAR(OneWeekMtgRatesDataTable75[[#This Row],[asOf]]),MONTH(OneWeekMtgRatesDataTable75[[#This Row],[asOf]]),DAY(OneWeekMtgRatesDataTable75[[#This Row],[asOf]]))</f>
        <v>39569</v>
      </c>
      <c r="N1889" s="51">
        <v>6.05</v>
      </c>
      <c r="O1889" s="51">
        <v>0.3</v>
      </c>
      <c r="P1889" s="51">
        <v>5.875</v>
      </c>
    </row>
    <row r="1890" spans="12:16">
      <c r="L1890" s="51" t="s">
        <v>1902</v>
      </c>
      <c r="M1890" s="25">
        <f>DATE(YEAR(OneWeekMtgRatesDataTable75[[#This Row],[asOf]]),MONTH(OneWeekMtgRatesDataTable75[[#This Row],[asOf]]),DAY(OneWeekMtgRatesDataTable75[[#This Row],[asOf]]))</f>
        <v>39568</v>
      </c>
      <c r="N1890" s="51">
        <v>6.06</v>
      </c>
      <c r="O1890" s="51">
        <v>0.5</v>
      </c>
      <c r="P1890" s="51">
        <v>5.9349999999999996</v>
      </c>
    </row>
    <row r="1891" spans="12:16">
      <c r="L1891" s="51" t="s">
        <v>1903</v>
      </c>
      <c r="M1891" s="25">
        <f>DATE(YEAR(OneWeekMtgRatesDataTable75[[#This Row],[asOf]]),MONTH(OneWeekMtgRatesDataTable75[[#This Row],[asOf]]),DAY(OneWeekMtgRatesDataTable75[[#This Row],[asOf]]))</f>
        <v>39567</v>
      </c>
      <c r="N1891" s="51">
        <v>6.06</v>
      </c>
      <c r="O1891" s="51">
        <v>0.5</v>
      </c>
      <c r="P1891" s="51">
        <v>5.9349999999999996</v>
      </c>
    </row>
    <row r="1892" spans="12:16">
      <c r="L1892" s="51" t="s">
        <v>1904</v>
      </c>
      <c r="M1892" s="25">
        <f>DATE(YEAR(OneWeekMtgRatesDataTable75[[#This Row],[asOf]]),MONTH(OneWeekMtgRatesDataTable75[[#This Row],[asOf]]),DAY(OneWeekMtgRatesDataTable75[[#This Row],[asOf]]))</f>
        <v>39566</v>
      </c>
      <c r="N1892" s="51">
        <v>6.06</v>
      </c>
      <c r="O1892" s="51">
        <v>0.5</v>
      </c>
      <c r="P1892" s="51">
        <v>5.9349999999999996</v>
      </c>
    </row>
    <row r="1893" spans="12:16">
      <c r="L1893" s="51" t="s">
        <v>1905</v>
      </c>
      <c r="M1893" s="25">
        <f>DATE(YEAR(OneWeekMtgRatesDataTable75[[#This Row],[asOf]]),MONTH(OneWeekMtgRatesDataTable75[[#This Row],[asOf]]),DAY(OneWeekMtgRatesDataTable75[[#This Row],[asOf]]))</f>
        <v>39563</v>
      </c>
      <c r="N1893" s="51">
        <v>6.06</v>
      </c>
      <c r="O1893" s="51">
        <v>0.5</v>
      </c>
      <c r="P1893" s="51">
        <v>5.9349999999999996</v>
      </c>
    </row>
    <row r="1894" spans="12:16">
      <c r="L1894" s="51" t="s">
        <v>1906</v>
      </c>
      <c r="M1894" s="25">
        <f>DATE(YEAR(OneWeekMtgRatesDataTable75[[#This Row],[asOf]]),MONTH(OneWeekMtgRatesDataTable75[[#This Row],[asOf]]),DAY(OneWeekMtgRatesDataTable75[[#This Row],[asOf]]))</f>
        <v>39562</v>
      </c>
      <c r="N1894" s="51">
        <v>6.06</v>
      </c>
      <c r="O1894" s="51">
        <v>0.5</v>
      </c>
      <c r="P1894" s="51">
        <v>5.9349999999999996</v>
      </c>
    </row>
    <row r="1895" spans="12:16">
      <c r="L1895" s="51" t="s">
        <v>1907</v>
      </c>
      <c r="M1895" s="25">
        <f>DATE(YEAR(OneWeekMtgRatesDataTable75[[#This Row],[asOf]]),MONTH(OneWeekMtgRatesDataTable75[[#This Row],[asOf]]),DAY(OneWeekMtgRatesDataTable75[[#This Row],[asOf]]))</f>
        <v>39561</v>
      </c>
      <c r="N1895" s="51">
        <v>6.03</v>
      </c>
      <c r="O1895" s="51">
        <v>0.3</v>
      </c>
      <c r="P1895" s="51">
        <v>5.8550000000000004</v>
      </c>
    </row>
    <row r="1896" spans="12:16">
      <c r="L1896" s="51" t="s">
        <v>1908</v>
      </c>
      <c r="M1896" s="25">
        <f>DATE(YEAR(OneWeekMtgRatesDataTable75[[#This Row],[asOf]]),MONTH(OneWeekMtgRatesDataTable75[[#This Row],[asOf]]),DAY(OneWeekMtgRatesDataTable75[[#This Row],[asOf]]))</f>
        <v>39560</v>
      </c>
      <c r="N1896" s="51">
        <v>6.03</v>
      </c>
      <c r="O1896" s="51">
        <v>0.3</v>
      </c>
      <c r="P1896" s="51">
        <v>5.8550000000000004</v>
      </c>
    </row>
    <row r="1897" spans="12:16">
      <c r="L1897" s="51" t="s">
        <v>1909</v>
      </c>
      <c r="M1897" s="25">
        <f>DATE(YEAR(OneWeekMtgRatesDataTable75[[#This Row],[asOf]]),MONTH(OneWeekMtgRatesDataTable75[[#This Row],[asOf]]),DAY(OneWeekMtgRatesDataTable75[[#This Row],[asOf]]))</f>
        <v>39559</v>
      </c>
      <c r="N1897" s="51">
        <v>6.03</v>
      </c>
      <c r="O1897" s="51">
        <v>0.3</v>
      </c>
      <c r="P1897" s="51">
        <v>5.8550000000000004</v>
      </c>
    </row>
    <row r="1898" spans="12:16">
      <c r="L1898" s="51" t="s">
        <v>1910</v>
      </c>
      <c r="M1898" s="25">
        <f>DATE(YEAR(OneWeekMtgRatesDataTable75[[#This Row],[asOf]]),MONTH(OneWeekMtgRatesDataTable75[[#This Row],[asOf]]),DAY(OneWeekMtgRatesDataTable75[[#This Row],[asOf]]))</f>
        <v>39556</v>
      </c>
      <c r="N1898" s="51">
        <v>6.03</v>
      </c>
      <c r="O1898" s="51">
        <v>0.3</v>
      </c>
      <c r="P1898" s="51">
        <v>5.8550000000000004</v>
      </c>
    </row>
    <row r="1899" spans="12:16">
      <c r="L1899" s="51" t="s">
        <v>1911</v>
      </c>
      <c r="M1899" s="25">
        <f>DATE(YEAR(OneWeekMtgRatesDataTable75[[#This Row],[asOf]]),MONTH(OneWeekMtgRatesDataTable75[[#This Row],[asOf]]),DAY(OneWeekMtgRatesDataTable75[[#This Row],[asOf]]))</f>
        <v>39555</v>
      </c>
      <c r="N1899" s="51">
        <v>6.03</v>
      </c>
      <c r="O1899" s="51">
        <v>0.3</v>
      </c>
      <c r="P1899" s="51">
        <v>5.8550000000000004</v>
      </c>
    </row>
    <row r="1900" spans="12:16">
      <c r="L1900" s="51" t="s">
        <v>1912</v>
      </c>
      <c r="M1900" s="25">
        <f>DATE(YEAR(OneWeekMtgRatesDataTable75[[#This Row],[asOf]]),MONTH(OneWeekMtgRatesDataTable75[[#This Row],[asOf]]),DAY(OneWeekMtgRatesDataTable75[[#This Row],[asOf]]))</f>
        <v>39554</v>
      </c>
      <c r="N1900" s="51">
        <v>5.88</v>
      </c>
      <c r="O1900" s="51">
        <v>0.4</v>
      </c>
      <c r="P1900" s="51">
        <v>5.7299999999999995</v>
      </c>
    </row>
    <row r="1901" spans="12:16">
      <c r="L1901" s="51" t="s">
        <v>1913</v>
      </c>
      <c r="M1901" s="25">
        <f>DATE(YEAR(OneWeekMtgRatesDataTable75[[#This Row],[asOf]]),MONTH(OneWeekMtgRatesDataTable75[[#This Row],[asOf]]),DAY(OneWeekMtgRatesDataTable75[[#This Row],[asOf]]))</f>
        <v>39553</v>
      </c>
      <c r="N1901" s="51">
        <v>5.88</v>
      </c>
      <c r="O1901" s="51">
        <v>0.4</v>
      </c>
      <c r="P1901" s="51">
        <v>5.7299999999999995</v>
      </c>
    </row>
    <row r="1902" spans="12:16">
      <c r="L1902" s="51" t="s">
        <v>1914</v>
      </c>
      <c r="M1902" s="25">
        <f>DATE(YEAR(OneWeekMtgRatesDataTable75[[#This Row],[asOf]]),MONTH(OneWeekMtgRatesDataTable75[[#This Row],[asOf]]),DAY(OneWeekMtgRatesDataTable75[[#This Row],[asOf]]))</f>
        <v>39552</v>
      </c>
      <c r="N1902" s="51">
        <v>5.88</v>
      </c>
      <c r="O1902" s="51">
        <v>0.4</v>
      </c>
      <c r="P1902" s="51">
        <v>5.7299999999999995</v>
      </c>
    </row>
    <row r="1903" spans="12:16">
      <c r="L1903" s="51" t="s">
        <v>1915</v>
      </c>
      <c r="M1903" s="25">
        <f>DATE(YEAR(OneWeekMtgRatesDataTable75[[#This Row],[asOf]]),MONTH(OneWeekMtgRatesDataTable75[[#This Row],[asOf]]),DAY(OneWeekMtgRatesDataTable75[[#This Row],[asOf]]))</f>
        <v>39549</v>
      </c>
      <c r="N1903" s="51">
        <v>5.88</v>
      </c>
      <c r="O1903" s="51">
        <v>0.4</v>
      </c>
      <c r="P1903" s="51">
        <v>5.7299999999999995</v>
      </c>
    </row>
    <row r="1904" spans="12:16">
      <c r="L1904" s="51" t="s">
        <v>1916</v>
      </c>
      <c r="M1904" s="25">
        <f>DATE(YEAR(OneWeekMtgRatesDataTable75[[#This Row],[asOf]]),MONTH(OneWeekMtgRatesDataTable75[[#This Row],[asOf]]),DAY(OneWeekMtgRatesDataTable75[[#This Row],[asOf]]))</f>
        <v>39548</v>
      </c>
      <c r="N1904" s="51">
        <v>5.88</v>
      </c>
      <c r="O1904" s="51">
        <v>0.4</v>
      </c>
      <c r="P1904" s="51">
        <v>5.7299999999999995</v>
      </c>
    </row>
    <row r="1905" spans="12:16">
      <c r="L1905" s="51" t="s">
        <v>1917</v>
      </c>
      <c r="M1905" s="25">
        <f>DATE(YEAR(OneWeekMtgRatesDataTable75[[#This Row],[asOf]]),MONTH(OneWeekMtgRatesDataTable75[[#This Row],[asOf]]),DAY(OneWeekMtgRatesDataTable75[[#This Row],[asOf]]))</f>
        <v>39547</v>
      </c>
      <c r="N1905" s="51">
        <v>5.88</v>
      </c>
      <c r="O1905" s="51">
        <v>0.4</v>
      </c>
      <c r="P1905" s="51">
        <v>5.7299999999999995</v>
      </c>
    </row>
    <row r="1906" spans="12:16">
      <c r="L1906" s="51" t="s">
        <v>1918</v>
      </c>
      <c r="M1906" s="25">
        <f>DATE(YEAR(OneWeekMtgRatesDataTable75[[#This Row],[asOf]]),MONTH(OneWeekMtgRatesDataTable75[[#This Row],[asOf]]),DAY(OneWeekMtgRatesDataTable75[[#This Row],[asOf]]))</f>
        <v>39546</v>
      </c>
      <c r="N1906" s="51">
        <v>5.88</v>
      </c>
      <c r="O1906" s="51">
        <v>0.4</v>
      </c>
      <c r="P1906" s="51">
        <v>5.7299999999999995</v>
      </c>
    </row>
    <row r="1907" spans="12:16">
      <c r="L1907" s="51" t="s">
        <v>1919</v>
      </c>
      <c r="M1907" s="25">
        <f>DATE(YEAR(OneWeekMtgRatesDataTable75[[#This Row],[asOf]]),MONTH(OneWeekMtgRatesDataTable75[[#This Row],[asOf]]),DAY(OneWeekMtgRatesDataTable75[[#This Row],[asOf]]))</f>
        <v>39545</v>
      </c>
      <c r="N1907" s="51">
        <v>5.88</v>
      </c>
      <c r="O1907" s="51">
        <v>0.4</v>
      </c>
      <c r="P1907" s="51">
        <v>5.7299999999999995</v>
      </c>
    </row>
    <row r="1908" spans="12:16">
      <c r="L1908" s="51" t="s">
        <v>1920</v>
      </c>
      <c r="M1908" s="25">
        <f>DATE(YEAR(OneWeekMtgRatesDataTable75[[#This Row],[asOf]]),MONTH(OneWeekMtgRatesDataTable75[[#This Row],[asOf]]),DAY(OneWeekMtgRatesDataTable75[[#This Row],[asOf]]))</f>
        <v>39542</v>
      </c>
      <c r="N1908" s="51">
        <v>5.88</v>
      </c>
      <c r="O1908" s="51">
        <v>0.4</v>
      </c>
      <c r="P1908" s="51">
        <v>5.7299999999999995</v>
      </c>
    </row>
    <row r="1909" spans="12:16">
      <c r="L1909" s="51" t="s">
        <v>1921</v>
      </c>
      <c r="M1909" s="25">
        <f>DATE(YEAR(OneWeekMtgRatesDataTable75[[#This Row],[asOf]]),MONTH(OneWeekMtgRatesDataTable75[[#This Row],[asOf]]),DAY(OneWeekMtgRatesDataTable75[[#This Row],[asOf]]))</f>
        <v>39541</v>
      </c>
      <c r="N1909" s="51">
        <v>5.88</v>
      </c>
      <c r="O1909" s="51">
        <v>0.4</v>
      </c>
      <c r="P1909" s="51">
        <v>5.7299999999999995</v>
      </c>
    </row>
    <row r="1910" spans="12:16">
      <c r="L1910" s="51" t="s">
        <v>1922</v>
      </c>
      <c r="M1910" s="25">
        <f>DATE(YEAR(OneWeekMtgRatesDataTable75[[#This Row],[asOf]]),MONTH(OneWeekMtgRatesDataTable75[[#This Row],[asOf]]),DAY(OneWeekMtgRatesDataTable75[[#This Row],[asOf]]))</f>
        <v>39540</v>
      </c>
      <c r="N1910" s="51">
        <v>5.88</v>
      </c>
      <c r="O1910" s="51">
        <v>0.5</v>
      </c>
      <c r="P1910" s="51">
        <v>5.7549999999999999</v>
      </c>
    </row>
    <row r="1911" spans="12:16">
      <c r="L1911" s="51" t="s">
        <v>1923</v>
      </c>
      <c r="M1911" s="25">
        <f>DATE(YEAR(OneWeekMtgRatesDataTable75[[#This Row],[asOf]]),MONTH(OneWeekMtgRatesDataTable75[[#This Row],[asOf]]),DAY(OneWeekMtgRatesDataTable75[[#This Row],[asOf]]))</f>
        <v>39539</v>
      </c>
      <c r="N1911" s="51">
        <v>5.88</v>
      </c>
      <c r="O1911" s="51">
        <v>0.5</v>
      </c>
      <c r="P1911" s="51">
        <v>5.7549999999999999</v>
      </c>
    </row>
    <row r="1912" spans="12:16">
      <c r="L1912" s="51" t="s">
        <v>1924</v>
      </c>
      <c r="M1912" s="25">
        <f>DATE(YEAR(OneWeekMtgRatesDataTable75[[#This Row],[asOf]]),MONTH(OneWeekMtgRatesDataTable75[[#This Row],[asOf]]),DAY(OneWeekMtgRatesDataTable75[[#This Row],[asOf]]))</f>
        <v>39538</v>
      </c>
      <c r="N1912" s="51">
        <v>5.88</v>
      </c>
      <c r="O1912" s="51">
        <v>0.5</v>
      </c>
      <c r="P1912" s="51">
        <v>5.7549999999999999</v>
      </c>
    </row>
    <row r="1913" spans="12:16">
      <c r="L1913" s="51" t="s">
        <v>1925</v>
      </c>
      <c r="M1913" s="25">
        <f>DATE(YEAR(OneWeekMtgRatesDataTable75[[#This Row],[asOf]]),MONTH(OneWeekMtgRatesDataTable75[[#This Row],[asOf]]),DAY(OneWeekMtgRatesDataTable75[[#This Row],[asOf]]))</f>
        <v>39535</v>
      </c>
      <c r="N1913" s="51">
        <v>5.88</v>
      </c>
      <c r="O1913" s="51">
        <v>0.5</v>
      </c>
      <c r="P1913" s="51">
        <v>5.7549999999999999</v>
      </c>
    </row>
    <row r="1914" spans="12:16">
      <c r="L1914" s="51" t="s">
        <v>1926</v>
      </c>
      <c r="M1914" s="25">
        <f>DATE(YEAR(OneWeekMtgRatesDataTable75[[#This Row],[asOf]]),MONTH(OneWeekMtgRatesDataTable75[[#This Row],[asOf]]),DAY(OneWeekMtgRatesDataTable75[[#This Row],[asOf]]))</f>
        <v>39534</v>
      </c>
      <c r="N1914" s="51">
        <v>5.88</v>
      </c>
      <c r="O1914" s="51">
        <v>0.5</v>
      </c>
      <c r="P1914" s="51">
        <v>5.7549999999999999</v>
      </c>
    </row>
    <row r="1915" spans="12:16">
      <c r="L1915" s="51" t="s">
        <v>1927</v>
      </c>
      <c r="M1915" s="25">
        <f>DATE(YEAR(OneWeekMtgRatesDataTable75[[#This Row],[asOf]]),MONTH(OneWeekMtgRatesDataTable75[[#This Row],[asOf]]),DAY(OneWeekMtgRatesDataTable75[[#This Row],[asOf]]))</f>
        <v>39533</v>
      </c>
      <c r="N1915" s="51">
        <v>5.85</v>
      </c>
      <c r="O1915" s="51">
        <v>0.4</v>
      </c>
      <c r="P1915" s="51">
        <v>5.6999999999999993</v>
      </c>
    </row>
    <row r="1916" spans="12:16">
      <c r="L1916" s="51" t="s">
        <v>1928</v>
      </c>
      <c r="M1916" s="25">
        <f>DATE(YEAR(OneWeekMtgRatesDataTable75[[#This Row],[asOf]]),MONTH(OneWeekMtgRatesDataTable75[[#This Row],[asOf]]),DAY(OneWeekMtgRatesDataTable75[[#This Row],[asOf]]))</f>
        <v>39532</v>
      </c>
      <c r="N1916" s="51">
        <v>5.85</v>
      </c>
      <c r="O1916" s="51">
        <v>0.4</v>
      </c>
      <c r="P1916" s="51">
        <v>5.6999999999999993</v>
      </c>
    </row>
    <row r="1917" spans="12:16">
      <c r="L1917" s="51" t="s">
        <v>1929</v>
      </c>
      <c r="M1917" s="25">
        <f>DATE(YEAR(OneWeekMtgRatesDataTable75[[#This Row],[asOf]]),MONTH(OneWeekMtgRatesDataTable75[[#This Row],[asOf]]),DAY(OneWeekMtgRatesDataTable75[[#This Row],[asOf]]))</f>
        <v>39531</v>
      </c>
      <c r="N1917" s="51">
        <v>5.85</v>
      </c>
      <c r="O1917" s="51">
        <v>0.4</v>
      </c>
      <c r="P1917" s="51">
        <v>5.6999999999999993</v>
      </c>
    </row>
    <row r="1918" spans="12:16">
      <c r="L1918" s="51" t="s">
        <v>1930</v>
      </c>
      <c r="M1918" s="25">
        <f>DATE(YEAR(OneWeekMtgRatesDataTable75[[#This Row],[asOf]]),MONTH(OneWeekMtgRatesDataTable75[[#This Row],[asOf]]),DAY(OneWeekMtgRatesDataTable75[[#This Row],[asOf]]))</f>
        <v>39527</v>
      </c>
      <c r="N1918" s="51">
        <v>5.85</v>
      </c>
      <c r="O1918" s="51">
        <v>0.4</v>
      </c>
      <c r="P1918" s="51">
        <v>5.6999999999999993</v>
      </c>
    </row>
    <row r="1919" spans="12:16">
      <c r="L1919" s="51" t="s">
        <v>1931</v>
      </c>
      <c r="M1919" s="25">
        <f>DATE(YEAR(OneWeekMtgRatesDataTable75[[#This Row],[asOf]]),MONTH(OneWeekMtgRatesDataTable75[[#This Row],[asOf]]),DAY(OneWeekMtgRatesDataTable75[[#This Row],[asOf]]))</f>
        <v>39526</v>
      </c>
      <c r="N1919" s="51">
        <v>5.87</v>
      </c>
      <c r="O1919" s="51">
        <v>0.5</v>
      </c>
      <c r="P1919" s="51">
        <v>5.7450000000000001</v>
      </c>
    </row>
    <row r="1920" spans="12:16">
      <c r="L1920" s="51" t="s">
        <v>1932</v>
      </c>
      <c r="M1920" s="25">
        <f>DATE(YEAR(OneWeekMtgRatesDataTable75[[#This Row],[asOf]]),MONTH(OneWeekMtgRatesDataTable75[[#This Row],[asOf]]),DAY(OneWeekMtgRatesDataTable75[[#This Row],[asOf]]))</f>
        <v>39525</v>
      </c>
      <c r="N1920" s="51">
        <v>5.87</v>
      </c>
      <c r="O1920" s="51">
        <v>0.5</v>
      </c>
      <c r="P1920" s="51">
        <v>5.7450000000000001</v>
      </c>
    </row>
    <row r="1921" spans="12:16">
      <c r="L1921" s="51" t="s">
        <v>1933</v>
      </c>
      <c r="M1921" s="25">
        <f>DATE(YEAR(OneWeekMtgRatesDataTable75[[#This Row],[asOf]]),MONTH(OneWeekMtgRatesDataTable75[[#This Row],[asOf]]),DAY(OneWeekMtgRatesDataTable75[[#This Row],[asOf]]))</f>
        <v>39524</v>
      </c>
      <c r="N1921" s="51">
        <v>5.87</v>
      </c>
      <c r="O1921" s="51">
        <v>0.5</v>
      </c>
      <c r="P1921" s="51">
        <v>5.7450000000000001</v>
      </c>
    </row>
    <row r="1922" spans="12:16">
      <c r="L1922" s="51" t="s">
        <v>1934</v>
      </c>
      <c r="M1922" s="25">
        <f>DATE(YEAR(OneWeekMtgRatesDataTable75[[#This Row],[asOf]]),MONTH(OneWeekMtgRatesDataTable75[[#This Row],[asOf]]),DAY(OneWeekMtgRatesDataTable75[[#This Row],[asOf]]))</f>
        <v>39521</v>
      </c>
      <c r="N1922" s="51">
        <v>5.87</v>
      </c>
      <c r="O1922" s="51">
        <v>0.5</v>
      </c>
      <c r="P1922" s="51">
        <v>5.7450000000000001</v>
      </c>
    </row>
    <row r="1923" spans="12:16">
      <c r="L1923" s="51" t="s">
        <v>1935</v>
      </c>
      <c r="M1923" s="25">
        <f>DATE(YEAR(OneWeekMtgRatesDataTable75[[#This Row],[asOf]]),MONTH(OneWeekMtgRatesDataTable75[[#This Row],[asOf]]),DAY(OneWeekMtgRatesDataTable75[[#This Row],[asOf]]))</f>
        <v>39520</v>
      </c>
      <c r="N1923" s="51">
        <v>5.87</v>
      </c>
      <c r="O1923" s="51">
        <v>0.5</v>
      </c>
      <c r="P1923" s="51">
        <v>5.7450000000000001</v>
      </c>
    </row>
    <row r="1924" spans="12:16">
      <c r="L1924" s="51" t="s">
        <v>1936</v>
      </c>
      <c r="M1924" s="25">
        <f>DATE(YEAR(OneWeekMtgRatesDataTable75[[#This Row],[asOf]]),MONTH(OneWeekMtgRatesDataTable75[[#This Row],[asOf]]),DAY(OneWeekMtgRatesDataTable75[[#This Row],[asOf]]))</f>
        <v>39519</v>
      </c>
      <c r="N1924" s="51">
        <v>6.13</v>
      </c>
      <c r="O1924" s="51">
        <v>0.5</v>
      </c>
      <c r="P1924" s="51">
        <v>6.0049999999999999</v>
      </c>
    </row>
    <row r="1925" spans="12:16">
      <c r="L1925" s="51" t="s">
        <v>1937</v>
      </c>
      <c r="M1925" s="25">
        <f>DATE(YEAR(OneWeekMtgRatesDataTable75[[#This Row],[asOf]]),MONTH(OneWeekMtgRatesDataTable75[[#This Row],[asOf]]),DAY(OneWeekMtgRatesDataTable75[[#This Row],[asOf]]))</f>
        <v>39518</v>
      </c>
      <c r="N1925" s="51">
        <v>6.13</v>
      </c>
      <c r="O1925" s="51">
        <v>0.5</v>
      </c>
      <c r="P1925" s="51">
        <v>6.0049999999999999</v>
      </c>
    </row>
    <row r="1926" spans="12:16">
      <c r="L1926" s="51" t="s">
        <v>1938</v>
      </c>
      <c r="M1926" s="25">
        <f>DATE(YEAR(OneWeekMtgRatesDataTable75[[#This Row],[asOf]]),MONTH(OneWeekMtgRatesDataTable75[[#This Row],[asOf]]),DAY(OneWeekMtgRatesDataTable75[[#This Row],[asOf]]))</f>
        <v>39517</v>
      </c>
      <c r="N1926" s="51">
        <v>6.13</v>
      </c>
      <c r="O1926" s="51">
        <v>0.5</v>
      </c>
      <c r="P1926" s="51">
        <v>6.0049999999999999</v>
      </c>
    </row>
    <row r="1927" spans="12:16">
      <c r="L1927" s="51" t="s">
        <v>1939</v>
      </c>
      <c r="M1927" s="25">
        <f>DATE(YEAR(OneWeekMtgRatesDataTable75[[#This Row],[asOf]]),MONTH(OneWeekMtgRatesDataTable75[[#This Row],[asOf]]),DAY(OneWeekMtgRatesDataTable75[[#This Row],[asOf]]))</f>
        <v>39514</v>
      </c>
      <c r="N1927" s="51">
        <v>6.13</v>
      </c>
      <c r="O1927" s="51">
        <v>0.5</v>
      </c>
      <c r="P1927" s="51">
        <v>6.0049999999999999</v>
      </c>
    </row>
    <row r="1928" spans="12:16">
      <c r="L1928" s="51" t="s">
        <v>1940</v>
      </c>
      <c r="M1928" s="25">
        <f>DATE(YEAR(OneWeekMtgRatesDataTable75[[#This Row],[asOf]]),MONTH(OneWeekMtgRatesDataTable75[[#This Row],[asOf]]),DAY(OneWeekMtgRatesDataTable75[[#This Row],[asOf]]))</f>
        <v>39513</v>
      </c>
      <c r="N1928" s="51">
        <v>6.13</v>
      </c>
      <c r="O1928" s="51">
        <v>0.5</v>
      </c>
      <c r="P1928" s="51">
        <v>6.0049999999999999</v>
      </c>
    </row>
    <row r="1929" spans="12:16">
      <c r="L1929" s="51" t="s">
        <v>1941</v>
      </c>
      <c r="M1929" s="25">
        <f>DATE(YEAR(OneWeekMtgRatesDataTable75[[#This Row],[asOf]]),MONTH(OneWeekMtgRatesDataTable75[[#This Row],[asOf]]),DAY(OneWeekMtgRatesDataTable75[[#This Row],[asOf]]))</f>
        <v>39512</v>
      </c>
      <c r="N1929" s="51">
        <v>6.03</v>
      </c>
      <c r="O1929" s="51">
        <v>0.5</v>
      </c>
      <c r="P1929" s="51">
        <v>5.9050000000000002</v>
      </c>
    </row>
    <row r="1930" spans="12:16">
      <c r="L1930" s="51" t="s">
        <v>1942</v>
      </c>
      <c r="M1930" s="25">
        <f>DATE(YEAR(OneWeekMtgRatesDataTable75[[#This Row],[asOf]]),MONTH(OneWeekMtgRatesDataTable75[[#This Row],[asOf]]),DAY(OneWeekMtgRatesDataTable75[[#This Row],[asOf]]))</f>
        <v>39511</v>
      </c>
      <c r="N1930" s="51">
        <v>6.03</v>
      </c>
      <c r="O1930" s="51">
        <v>0.5</v>
      </c>
      <c r="P1930" s="51">
        <v>5.9050000000000002</v>
      </c>
    </row>
    <row r="1931" spans="12:16">
      <c r="L1931" s="51" t="s">
        <v>1943</v>
      </c>
      <c r="M1931" s="25">
        <f>DATE(YEAR(OneWeekMtgRatesDataTable75[[#This Row],[asOf]]),MONTH(OneWeekMtgRatesDataTable75[[#This Row],[asOf]]),DAY(OneWeekMtgRatesDataTable75[[#This Row],[asOf]]))</f>
        <v>39510</v>
      </c>
      <c r="N1931" s="51">
        <v>6.03</v>
      </c>
      <c r="O1931" s="51">
        <v>0.5</v>
      </c>
      <c r="P1931" s="51">
        <v>5.9050000000000002</v>
      </c>
    </row>
    <row r="1932" spans="12:16">
      <c r="L1932" s="51" t="s">
        <v>1944</v>
      </c>
      <c r="M1932" s="25">
        <f>DATE(YEAR(OneWeekMtgRatesDataTable75[[#This Row],[asOf]]),MONTH(OneWeekMtgRatesDataTable75[[#This Row],[asOf]]),DAY(OneWeekMtgRatesDataTable75[[#This Row],[asOf]]))</f>
        <v>39507</v>
      </c>
      <c r="N1932" s="51">
        <v>6.03</v>
      </c>
      <c r="O1932" s="51">
        <v>0.5</v>
      </c>
      <c r="P1932" s="51">
        <v>5.9050000000000002</v>
      </c>
    </row>
    <row r="1933" spans="12:16">
      <c r="L1933" s="51" t="s">
        <v>1945</v>
      </c>
      <c r="M1933" s="25">
        <f>DATE(YEAR(OneWeekMtgRatesDataTable75[[#This Row],[asOf]]),MONTH(OneWeekMtgRatesDataTable75[[#This Row],[asOf]]),DAY(OneWeekMtgRatesDataTable75[[#This Row],[asOf]]))</f>
        <v>39506</v>
      </c>
      <c r="N1933" s="51">
        <v>6.03</v>
      </c>
      <c r="O1933" s="51">
        <v>0.5</v>
      </c>
      <c r="P1933" s="51">
        <v>5.9050000000000002</v>
      </c>
    </row>
    <row r="1934" spans="12:16">
      <c r="L1934" s="51" t="s">
        <v>1946</v>
      </c>
      <c r="M1934" s="25">
        <f>DATE(YEAR(OneWeekMtgRatesDataTable75[[#This Row],[asOf]]),MONTH(OneWeekMtgRatesDataTable75[[#This Row],[asOf]]),DAY(OneWeekMtgRatesDataTable75[[#This Row],[asOf]]))</f>
        <v>39505</v>
      </c>
      <c r="N1934" s="51">
        <v>6.24</v>
      </c>
      <c r="O1934" s="51">
        <v>0.5</v>
      </c>
      <c r="P1934" s="51">
        <v>6.1150000000000002</v>
      </c>
    </row>
    <row r="1935" spans="12:16">
      <c r="L1935" s="51" t="s">
        <v>1947</v>
      </c>
      <c r="M1935" s="25">
        <f>DATE(YEAR(OneWeekMtgRatesDataTable75[[#This Row],[asOf]]),MONTH(OneWeekMtgRatesDataTable75[[#This Row],[asOf]]),DAY(OneWeekMtgRatesDataTable75[[#This Row],[asOf]]))</f>
        <v>39504</v>
      </c>
      <c r="N1935" s="51">
        <v>6.24</v>
      </c>
      <c r="O1935" s="51">
        <v>0.5</v>
      </c>
      <c r="P1935" s="51">
        <v>6.1150000000000002</v>
      </c>
    </row>
    <row r="1936" spans="12:16">
      <c r="L1936" s="51" t="s">
        <v>1948</v>
      </c>
      <c r="M1936" s="25">
        <f>DATE(YEAR(OneWeekMtgRatesDataTable75[[#This Row],[asOf]]),MONTH(OneWeekMtgRatesDataTable75[[#This Row],[asOf]]),DAY(OneWeekMtgRatesDataTable75[[#This Row],[asOf]]))</f>
        <v>39503</v>
      </c>
      <c r="N1936" s="51">
        <v>6.24</v>
      </c>
      <c r="O1936" s="51">
        <v>0.5</v>
      </c>
      <c r="P1936" s="51">
        <v>6.1150000000000002</v>
      </c>
    </row>
    <row r="1937" spans="12:16">
      <c r="L1937" s="51" t="s">
        <v>1949</v>
      </c>
      <c r="M1937" s="25">
        <f>DATE(YEAR(OneWeekMtgRatesDataTable75[[#This Row],[asOf]]),MONTH(OneWeekMtgRatesDataTable75[[#This Row],[asOf]]),DAY(OneWeekMtgRatesDataTable75[[#This Row],[asOf]]))</f>
        <v>39500</v>
      </c>
      <c r="N1937" s="51">
        <v>6.24</v>
      </c>
      <c r="O1937" s="51">
        <v>0.5</v>
      </c>
      <c r="P1937" s="51">
        <v>6.1150000000000002</v>
      </c>
    </row>
    <row r="1938" spans="12:16">
      <c r="L1938" s="51" t="s">
        <v>1950</v>
      </c>
      <c r="M1938" s="25">
        <f>DATE(YEAR(OneWeekMtgRatesDataTable75[[#This Row],[asOf]]),MONTH(OneWeekMtgRatesDataTable75[[#This Row],[asOf]]),DAY(OneWeekMtgRatesDataTable75[[#This Row],[asOf]]))</f>
        <v>39499</v>
      </c>
      <c r="N1938" s="51">
        <v>6.24</v>
      </c>
      <c r="O1938" s="51">
        <v>0.5</v>
      </c>
      <c r="P1938" s="51">
        <v>6.1150000000000002</v>
      </c>
    </row>
    <row r="1939" spans="12:16">
      <c r="L1939" s="51" t="s">
        <v>1951</v>
      </c>
      <c r="M1939" s="25">
        <f>DATE(YEAR(OneWeekMtgRatesDataTable75[[#This Row],[asOf]]),MONTH(OneWeekMtgRatesDataTable75[[#This Row],[asOf]]),DAY(OneWeekMtgRatesDataTable75[[#This Row],[asOf]]))</f>
        <v>39498</v>
      </c>
      <c r="N1939" s="51">
        <v>6.04</v>
      </c>
      <c r="O1939" s="51">
        <v>0.6</v>
      </c>
      <c r="P1939" s="51">
        <v>5.94</v>
      </c>
    </row>
    <row r="1940" spans="12:16">
      <c r="L1940" s="51" t="s">
        <v>1952</v>
      </c>
      <c r="M1940" s="25">
        <f>DATE(YEAR(OneWeekMtgRatesDataTable75[[#This Row],[asOf]]),MONTH(OneWeekMtgRatesDataTable75[[#This Row],[asOf]]),DAY(OneWeekMtgRatesDataTable75[[#This Row],[asOf]]))</f>
        <v>39497</v>
      </c>
      <c r="N1940" s="51">
        <v>6.04</v>
      </c>
      <c r="O1940" s="51">
        <v>0.6</v>
      </c>
      <c r="P1940" s="51">
        <v>5.94</v>
      </c>
    </row>
    <row r="1941" spans="12:16">
      <c r="L1941" s="51" t="s">
        <v>1953</v>
      </c>
      <c r="M1941" s="25">
        <f>DATE(YEAR(OneWeekMtgRatesDataTable75[[#This Row],[asOf]]),MONTH(OneWeekMtgRatesDataTable75[[#This Row],[asOf]]),DAY(OneWeekMtgRatesDataTable75[[#This Row],[asOf]]))</f>
        <v>39493</v>
      </c>
      <c r="N1941" s="51">
        <v>6.04</v>
      </c>
      <c r="O1941" s="51">
        <v>0.6</v>
      </c>
      <c r="P1941" s="51">
        <v>5.94</v>
      </c>
    </row>
    <row r="1942" spans="12:16">
      <c r="L1942" s="51" t="s">
        <v>1954</v>
      </c>
      <c r="M1942" s="25">
        <f>DATE(YEAR(OneWeekMtgRatesDataTable75[[#This Row],[asOf]]),MONTH(OneWeekMtgRatesDataTable75[[#This Row],[asOf]]),DAY(OneWeekMtgRatesDataTable75[[#This Row],[asOf]]))</f>
        <v>39492</v>
      </c>
      <c r="N1942" s="51">
        <v>6.04</v>
      </c>
      <c r="O1942" s="51">
        <v>0.6</v>
      </c>
      <c r="P1942" s="51">
        <v>5.94</v>
      </c>
    </row>
    <row r="1943" spans="12:16">
      <c r="L1943" s="51" t="s">
        <v>1955</v>
      </c>
      <c r="M1943" s="25">
        <f>DATE(YEAR(OneWeekMtgRatesDataTable75[[#This Row],[asOf]]),MONTH(OneWeekMtgRatesDataTable75[[#This Row],[asOf]]),DAY(OneWeekMtgRatesDataTable75[[#This Row],[asOf]]))</f>
        <v>39491</v>
      </c>
      <c r="N1943" s="51">
        <v>5.72</v>
      </c>
      <c r="O1943" s="51">
        <v>0.4</v>
      </c>
      <c r="P1943" s="51">
        <v>5.5699999999999994</v>
      </c>
    </row>
    <row r="1944" spans="12:16">
      <c r="L1944" s="51" t="s">
        <v>1956</v>
      </c>
      <c r="M1944" s="25">
        <f>DATE(YEAR(OneWeekMtgRatesDataTable75[[#This Row],[asOf]]),MONTH(OneWeekMtgRatesDataTable75[[#This Row],[asOf]]),DAY(OneWeekMtgRatesDataTable75[[#This Row],[asOf]]))</f>
        <v>39490</v>
      </c>
      <c r="N1944" s="51">
        <v>5.72</v>
      </c>
      <c r="O1944" s="51">
        <v>0.4</v>
      </c>
      <c r="P1944" s="51">
        <v>5.5699999999999994</v>
      </c>
    </row>
    <row r="1945" spans="12:16">
      <c r="L1945" s="51" t="s">
        <v>1957</v>
      </c>
      <c r="M1945" s="25">
        <f>DATE(YEAR(OneWeekMtgRatesDataTable75[[#This Row],[asOf]]),MONTH(OneWeekMtgRatesDataTable75[[#This Row],[asOf]]),DAY(OneWeekMtgRatesDataTable75[[#This Row],[asOf]]))</f>
        <v>39489</v>
      </c>
      <c r="N1945" s="51">
        <v>5.72</v>
      </c>
      <c r="O1945" s="51">
        <v>0.4</v>
      </c>
      <c r="P1945" s="51">
        <v>5.5699999999999994</v>
      </c>
    </row>
    <row r="1946" spans="12:16">
      <c r="L1946" s="51" t="s">
        <v>1958</v>
      </c>
      <c r="M1946" s="25">
        <f>DATE(YEAR(OneWeekMtgRatesDataTable75[[#This Row],[asOf]]),MONTH(OneWeekMtgRatesDataTable75[[#This Row],[asOf]]),DAY(OneWeekMtgRatesDataTable75[[#This Row],[asOf]]))</f>
        <v>39486</v>
      </c>
      <c r="N1946" s="51">
        <v>5.72</v>
      </c>
      <c r="O1946" s="51">
        <v>0.4</v>
      </c>
      <c r="P1946" s="51">
        <v>5.5699999999999994</v>
      </c>
    </row>
    <row r="1947" spans="12:16">
      <c r="L1947" s="51" t="s">
        <v>1959</v>
      </c>
      <c r="M1947" s="25">
        <f>DATE(YEAR(OneWeekMtgRatesDataTable75[[#This Row],[asOf]]),MONTH(OneWeekMtgRatesDataTable75[[#This Row],[asOf]]),DAY(OneWeekMtgRatesDataTable75[[#This Row],[asOf]]))</f>
        <v>39485</v>
      </c>
      <c r="N1947" s="51">
        <v>5.72</v>
      </c>
      <c r="O1947" s="51">
        <v>0.4</v>
      </c>
      <c r="P1947" s="51">
        <v>5.5699999999999994</v>
      </c>
    </row>
    <row r="1948" spans="12:16">
      <c r="L1948" s="51" t="s">
        <v>1960</v>
      </c>
      <c r="M1948" s="25">
        <f>DATE(YEAR(OneWeekMtgRatesDataTable75[[#This Row],[asOf]]),MONTH(OneWeekMtgRatesDataTable75[[#This Row],[asOf]]),DAY(OneWeekMtgRatesDataTable75[[#This Row],[asOf]]))</f>
        <v>39484</v>
      </c>
      <c r="N1948" s="51">
        <v>5.67</v>
      </c>
      <c r="O1948" s="51">
        <v>0.4</v>
      </c>
      <c r="P1948" s="51">
        <v>5.52</v>
      </c>
    </row>
    <row r="1949" spans="12:16">
      <c r="L1949" s="51" t="s">
        <v>1961</v>
      </c>
      <c r="M1949" s="25">
        <f>DATE(YEAR(OneWeekMtgRatesDataTable75[[#This Row],[asOf]]),MONTH(OneWeekMtgRatesDataTable75[[#This Row],[asOf]]),DAY(OneWeekMtgRatesDataTable75[[#This Row],[asOf]]))</f>
        <v>39483</v>
      </c>
      <c r="N1949" s="51">
        <v>5.67</v>
      </c>
      <c r="O1949" s="51">
        <v>0.4</v>
      </c>
      <c r="P1949" s="51">
        <v>5.52</v>
      </c>
    </row>
    <row r="1950" spans="12:16">
      <c r="L1950" s="51" t="s">
        <v>1962</v>
      </c>
      <c r="M1950" s="25">
        <f>DATE(YEAR(OneWeekMtgRatesDataTable75[[#This Row],[asOf]]),MONTH(OneWeekMtgRatesDataTable75[[#This Row],[asOf]]),DAY(OneWeekMtgRatesDataTable75[[#This Row],[asOf]]))</f>
        <v>39482</v>
      </c>
      <c r="N1950" s="51">
        <v>5.67</v>
      </c>
      <c r="O1950" s="51">
        <v>0.4</v>
      </c>
      <c r="P1950" s="51">
        <v>5.52</v>
      </c>
    </row>
    <row r="1951" spans="12:16">
      <c r="L1951" s="51" t="s">
        <v>1963</v>
      </c>
      <c r="M1951" s="25">
        <f>DATE(YEAR(OneWeekMtgRatesDataTable75[[#This Row],[asOf]]),MONTH(OneWeekMtgRatesDataTable75[[#This Row],[asOf]]),DAY(OneWeekMtgRatesDataTable75[[#This Row],[asOf]]))</f>
        <v>39479</v>
      </c>
      <c r="N1951" s="51">
        <v>5.67</v>
      </c>
      <c r="O1951" s="51">
        <v>0.4</v>
      </c>
      <c r="P1951" s="51">
        <v>5.52</v>
      </c>
    </row>
    <row r="1952" spans="12:16">
      <c r="L1952" s="51" t="s">
        <v>1964</v>
      </c>
      <c r="M1952" s="25">
        <f>DATE(YEAR(OneWeekMtgRatesDataTable75[[#This Row],[asOf]]),MONTH(OneWeekMtgRatesDataTable75[[#This Row],[asOf]]),DAY(OneWeekMtgRatesDataTable75[[#This Row],[asOf]]))</f>
        <v>39478</v>
      </c>
      <c r="N1952" s="51">
        <v>5.67</v>
      </c>
      <c r="O1952" s="51">
        <v>0.4</v>
      </c>
      <c r="P1952" s="51">
        <v>5.52</v>
      </c>
    </row>
    <row r="1953" spans="12:16">
      <c r="L1953" s="51" t="s">
        <v>1965</v>
      </c>
      <c r="M1953" s="25">
        <f>DATE(YEAR(OneWeekMtgRatesDataTable75[[#This Row],[asOf]]),MONTH(OneWeekMtgRatesDataTable75[[#This Row],[asOf]]),DAY(OneWeekMtgRatesDataTable75[[#This Row],[asOf]]))</f>
        <v>39477</v>
      </c>
      <c r="N1953" s="51">
        <v>5.68</v>
      </c>
      <c r="O1953" s="51">
        <v>0.4</v>
      </c>
      <c r="P1953" s="51">
        <v>5.5299999999999994</v>
      </c>
    </row>
    <row r="1954" spans="12:16">
      <c r="L1954" s="51" t="s">
        <v>1966</v>
      </c>
      <c r="M1954" s="25">
        <f>DATE(YEAR(OneWeekMtgRatesDataTable75[[#This Row],[asOf]]),MONTH(OneWeekMtgRatesDataTable75[[#This Row],[asOf]]),DAY(OneWeekMtgRatesDataTable75[[#This Row],[asOf]]))</f>
        <v>39476</v>
      </c>
      <c r="N1954" s="51">
        <v>5.68</v>
      </c>
      <c r="O1954" s="51">
        <v>0.4</v>
      </c>
      <c r="P1954" s="51">
        <v>5.5299999999999994</v>
      </c>
    </row>
    <row r="1955" spans="12:16">
      <c r="L1955" s="51" t="s">
        <v>1967</v>
      </c>
      <c r="M1955" s="25">
        <f>DATE(YEAR(OneWeekMtgRatesDataTable75[[#This Row],[asOf]]),MONTH(OneWeekMtgRatesDataTable75[[#This Row],[asOf]]),DAY(OneWeekMtgRatesDataTable75[[#This Row],[asOf]]))</f>
        <v>39475</v>
      </c>
      <c r="N1955" s="51">
        <v>5.68</v>
      </c>
      <c r="O1955" s="51">
        <v>0.4</v>
      </c>
      <c r="P1955" s="51">
        <v>5.5299999999999994</v>
      </c>
    </row>
    <row r="1956" spans="12:16">
      <c r="L1956" s="51" t="s">
        <v>1968</v>
      </c>
      <c r="M1956" s="25">
        <f>DATE(YEAR(OneWeekMtgRatesDataTable75[[#This Row],[asOf]]),MONTH(OneWeekMtgRatesDataTable75[[#This Row],[asOf]]),DAY(OneWeekMtgRatesDataTable75[[#This Row],[asOf]]))</f>
        <v>39472</v>
      </c>
      <c r="N1956" s="51">
        <v>5.68</v>
      </c>
      <c r="O1956" s="51">
        <v>0.4</v>
      </c>
      <c r="P1956" s="51">
        <v>5.5299999999999994</v>
      </c>
    </row>
    <row r="1957" spans="12:16">
      <c r="L1957" s="51" t="s">
        <v>1969</v>
      </c>
      <c r="M1957" s="25">
        <f>DATE(YEAR(OneWeekMtgRatesDataTable75[[#This Row],[asOf]]),MONTH(OneWeekMtgRatesDataTable75[[#This Row],[asOf]]),DAY(OneWeekMtgRatesDataTable75[[#This Row],[asOf]]))</f>
        <v>39471</v>
      </c>
      <c r="N1957" s="51">
        <v>5.68</v>
      </c>
      <c r="O1957" s="51">
        <v>0.4</v>
      </c>
      <c r="P1957" s="51">
        <v>5.5299999999999994</v>
      </c>
    </row>
    <row r="1958" spans="12:16">
      <c r="L1958" s="51" t="s">
        <v>1970</v>
      </c>
      <c r="M1958" s="25">
        <f>DATE(YEAR(OneWeekMtgRatesDataTable75[[#This Row],[asOf]]),MONTH(OneWeekMtgRatesDataTable75[[#This Row],[asOf]]),DAY(OneWeekMtgRatesDataTable75[[#This Row],[asOf]]))</f>
        <v>39470</v>
      </c>
      <c r="N1958" s="51">
        <v>5.48</v>
      </c>
      <c r="O1958" s="51">
        <v>0.4</v>
      </c>
      <c r="P1958" s="51">
        <v>5.33</v>
      </c>
    </row>
    <row r="1959" spans="12:16">
      <c r="L1959" s="51" t="s">
        <v>1971</v>
      </c>
      <c r="M1959" s="25">
        <f>DATE(YEAR(OneWeekMtgRatesDataTable75[[#This Row],[asOf]]),MONTH(OneWeekMtgRatesDataTable75[[#This Row],[asOf]]),DAY(OneWeekMtgRatesDataTable75[[#This Row],[asOf]]))</f>
        <v>39469</v>
      </c>
      <c r="N1959" s="51">
        <v>5.48</v>
      </c>
      <c r="O1959" s="51">
        <v>0.4</v>
      </c>
      <c r="P1959" s="51">
        <v>5.33</v>
      </c>
    </row>
    <row r="1960" spans="12:16">
      <c r="L1960" s="51" t="s">
        <v>1972</v>
      </c>
      <c r="M1960" s="25">
        <f>DATE(YEAR(OneWeekMtgRatesDataTable75[[#This Row],[asOf]]),MONTH(OneWeekMtgRatesDataTable75[[#This Row],[asOf]]),DAY(OneWeekMtgRatesDataTable75[[#This Row],[asOf]]))</f>
        <v>39465</v>
      </c>
      <c r="N1960" s="51">
        <v>5.48</v>
      </c>
      <c r="O1960" s="51">
        <v>0.4</v>
      </c>
      <c r="P1960" s="51">
        <v>5.33</v>
      </c>
    </row>
    <row r="1961" spans="12:16">
      <c r="L1961" s="51" t="s">
        <v>1973</v>
      </c>
      <c r="M1961" s="25">
        <f>DATE(YEAR(OneWeekMtgRatesDataTable75[[#This Row],[asOf]]),MONTH(OneWeekMtgRatesDataTable75[[#This Row],[asOf]]),DAY(OneWeekMtgRatesDataTable75[[#This Row],[asOf]]))</f>
        <v>39464</v>
      </c>
      <c r="N1961" s="51">
        <v>5.48</v>
      </c>
      <c r="O1961" s="51">
        <v>0.4</v>
      </c>
      <c r="P1961" s="51">
        <v>5.33</v>
      </c>
    </row>
    <row r="1962" spans="12:16">
      <c r="L1962" s="51" t="s">
        <v>1974</v>
      </c>
      <c r="M1962" s="25">
        <f>DATE(YEAR(OneWeekMtgRatesDataTable75[[#This Row],[asOf]]),MONTH(OneWeekMtgRatesDataTable75[[#This Row],[asOf]]),DAY(OneWeekMtgRatesDataTable75[[#This Row],[asOf]]))</f>
        <v>39463</v>
      </c>
      <c r="N1962" s="51">
        <v>5.69</v>
      </c>
      <c r="O1962" s="51">
        <v>0.5</v>
      </c>
      <c r="P1962" s="51">
        <v>5.5650000000000004</v>
      </c>
    </row>
    <row r="1963" spans="12:16">
      <c r="L1963" s="51" t="s">
        <v>1975</v>
      </c>
      <c r="M1963" s="25">
        <f>DATE(YEAR(OneWeekMtgRatesDataTable75[[#This Row],[asOf]]),MONTH(OneWeekMtgRatesDataTable75[[#This Row],[asOf]]),DAY(OneWeekMtgRatesDataTable75[[#This Row],[asOf]]))</f>
        <v>39462</v>
      </c>
      <c r="N1963" s="51">
        <v>5.69</v>
      </c>
      <c r="O1963" s="51">
        <v>0.5</v>
      </c>
      <c r="P1963" s="51">
        <v>5.5650000000000004</v>
      </c>
    </row>
    <row r="1964" spans="12:16">
      <c r="L1964" s="51" t="s">
        <v>1976</v>
      </c>
      <c r="M1964" s="25">
        <f>DATE(YEAR(OneWeekMtgRatesDataTable75[[#This Row],[asOf]]),MONTH(OneWeekMtgRatesDataTable75[[#This Row],[asOf]]),DAY(OneWeekMtgRatesDataTable75[[#This Row],[asOf]]))</f>
        <v>39461</v>
      </c>
      <c r="N1964" s="51">
        <v>5.69</v>
      </c>
      <c r="O1964" s="51">
        <v>0.5</v>
      </c>
      <c r="P1964" s="51">
        <v>5.5650000000000004</v>
      </c>
    </row>
    <row r="1965" spans="12:16">
      <c r="L1965" s="51" t="s">
        <v>1977</v>
      </c>
      <c r="M1965" s="25">
        <f>DATE(YEAR(OneWeekMtgRatesDataTable75[[#This Row],[asOf]]),MONTH(OneWeekMtgRatesDataTable75[[#This Row],[asOf]]),DAY(OneWeekMtgRatesDataTable75[[#This Row],[asOf]]))</f>
        <v>39458</v>
      </c>
      <c r="N1965" s="51">
        <v>5.69</v>
      </c>
      <c r="O1965" s="51">
        <v>0.5</v>
      </c>
      <c r="P1965" s="51">
        <v>5.5650000000000004</v>
      </c>
    </row>
    <row r="1966" spans="12:16">
      <c r="L1966" s="51" t="s">
        <v>1978</v>
      </c>
      <c r="M1966" s="25">
        <f>DATE(YEAR(OneWeekMtgRatesDataTable75[[#This Row],[asOf]]),MONTH(OneWeekMtgRatesDataTable75[[#This Row],[asOf]]),DAY(OneWeekMtgRatesDataTable75[[#This Row],[asOf]]))</f>
        <v>39457</v>
      </c>
      <c r="N1966" s="51">
        <v>5.69</v>
      </c>
      <c r="O1966" s="51">
        <v>0.5</v>
      </c>
      <c r="P1966" s="51">
        <v>5.5650000000000004</v>
      </c>
    </row>
    <row r="1967" spans="12:16">
      <c r="L1967" s="51" t="s">
        <v>1979</v>
      </c>
      <c r="M1967" s="25">
        <f>DATE(YEAR(OneWeekMtgRatesDataTable75[[#This Row],[asOf]]),MONTH(OneWeekMtgRatesDataTable75[[#This Row],[asOf]]),DAY(OneWeekMtgRatesDataTable75[[#This Row],[asOf]]))</f>
        <v>39456</v>
      </c>
      <c r="N1967" s="51">
        <v>5.87</v>
      </c>
      <c r="O1967" s="51">
        <v>0.4</v>
      </c>
      <c r="P1967" s="51">
        <v>5.72</v>
      </c>
    </row>
    <row r="1968" spans="12:16">
      <c r="L1968" s="51" t="s">
        <v>1980</v>
      </c>
      <c r="M1968" s="25">
        <f>DATE(YEAR(OneWeekMtgRatesDataTable75[[#This Row],[asOf]]),MONTH(OneWeekMtgRatesDataTable75[[#This Row],[asOf]]),DAY(OneWeekMtgRatesDataTable75[[#This Row],[asOf]]))</f>
        <v>39455</v>
      </c>
      <c r="N1968" s="51">
        <v>5.87</v>
      </c>
      <c r="O1968" s="51">
        <v>0.4</v>
      </c>
      <c r="P1968" s="51">
        <v>5.72</v>
      </c>
    </row>
    <row r="1969" spans="12:16">
      <c r="L1969" s="51" t="s">
        <v>1981</v>
      </c>
      <c r="M1969" s="25">
        <f>DATE(YEAR(OneWeekMtgRatesDataTable75[[#This Row],[asOf]]),MONTH(OneWeekMtgRatesDataTable75[[#This Row],[asOf]]),DAY(OneWeekMtgRatesDataTable75[[#This Row],[asOf]]))</f>
        <v>39454</v>
      </c>
      <c r="N1969" s="51">
        <v>5.87</v>
      </c>
      <c r="O1969" s="51">
        <v>0.4</v>
      </c>
      <c r="P1969" s="51">
        <v>5.72</v>
      </c>
    </row>
    <row r="1970" spans="12:16">
      <c r="L1970" s="51" t="s">
        <v>1982</v>
      </c>
      <c r="M1970" s="25">
        <f>DATE(YEAR(OneWeekMtgRatesDataTable75[[#This Row],[asOf]]),MONTH(OneWeekMtgRatesDataTable75[[#This Row],[asOf]]),DAY(OneWeekMtgRatesDataTable75[[#This Row],[asOf]]))</f>
        <v>39451</v>
      </c>
      <c r="N1970" s="51">
        <v>5.87</v>
      </c>
      <c r="O1970" s="51">
        <v>0.4</v>
      </c>
      <c r="P1970" s="51">
        <v>5.72</v>
      </c>
    </row>
    <row r="1971" spans="12:16">
      <c r="L1971" s="51" t="s">
        <v>1983</v>
      </c>
      <c r="M1971" s="25">
        <f>DATE(YEAR(OneWeekMtgRatesDataTable75[[#This Row],[asOf]]),MONTH(OneWeekMtgRatesDataTable75[[#This Row],[asOf]]),DAY(OneWeekMtgRatesDataTable75[[#This Row],[asOf]]))</f>
        <v>39450</v>
      </c>
      <c r="N1971" s="51">
        <v>5.87</v>
      </c>
      <c r="O1971" s="51">
        <v>0.4</v>
      </c>
      <c r="P1971" s="51">
        <v>5.72</v>
      </c>
    </row>
    <row r="1972" spans="12:16">
      <c r="L1972" s="51" t="s">
        <v>1984</v>
      </c>
      <c r="M1972" s="25">
        <f>DATE(YEAR(OneWeekMtgRatesDataTable75[[#This Row],[asOf]]),MONTH(OneWeekMtgRatesDataTable75[[#This Row],[asOf]]),DAY(OneWeekMtgRatesDataTable75[[#This Row],[asOf]]))</f>
        <v>39449</v>
      </c>
      <c r="N1972" s="51">
        <v>6.07</v>
      </c>
      <c r="O1972" s="51">
        <v>0.5</v>
      </c>
      <c r="P1972" s="51">
        <v>5.9450000000000003</v>
      </c>
    </row>
    <row r="1973" spans="12:16">
      <c r="L1973" s="51" t="s">
        <v>1985</v>
      </c>
      <c r="M1973" s="25">
        <f>DATE(YEAR(OneWeekMtgRatesDataTable75[[#This Row],[asOf]]),MONTH(OneWeekMtgRatesDataTable75[[#This Row],[asOf]]),DAY(OneWeekMtgRatesDataTable75[[#This Row],[asOf]]))</f>
        <v>39447</v>
      </c>
      <c r="N1973" s="51">
        <v>6.07</v>
      </c>
      <c r="O1973" s="51">
        <v>0.5</v>
      </c>
      <c r="P1973" s="51">
        <v>5.9450000000000003</v>
      </c>
    </row>
    <row r="1974" spans="12:16">
      <c r="L1974" s="51" t="s">
        <v>1986</v>
      </c>
      <c r="M1974" s="25">
        <f>DATE(YEAR(OneWeekMtgRatesDataTable75[[#This Row],[asOf]]),MONTH(OneWeekMtgRatesDataTable75[[#This Row],[asOf]]),DAY(OneWeekMtgRatesDataTable75[[#This Row],[asOf]]))</f>
        <v>39444</v>
      </c>
      <c r="N1974" s="51">
        <v>6.07</v>
      </c>
      <c r="O1974" s="51">
        <v>0.5</v>
      </c>
      <c r="P1974" s="51">
        <v>5.9450000000000003</v>
      </c>
    </row>
    <row r="1975" spans="12:16">
      <c r="L1975" s="51" t="s">
        <v>1987</v>
      </c>
      <c r="M1975" s="25">
        <f>DATE(YEAR(OneWeekMtgRatesDataTable75[[#This Row],[asOf]]),MONTH(OneWeekMtgRatesDataTable75[[#This Row],[asOf]]),DAY(OneWeekMtgRatesDataTable75[[#This Row],[asOf]]))</f>
        <v>39443</v>
      </c>
      <c r="N1975" s="51">
        <v>6.07</v>
      </c>
      <c r="O1975" s="51">
        <v>0.5</v>
      </c>
      <c r="P1975" s="51">
        <v>5.9450000000000003</v>
      </c>
    </row>
    <row r="1976" spans="12:16">
      <c r="L1976" s="51" t="s">
        <v>1988</v>
      </c>
      <c r="M1976" s="25">
        <f>DATE(YEAR(OneWeekMtgRatesDataTable75[[#This Row],[asOf]]),MONTH(OneWeekMtgRatesDataTable75[[#This Row],[asOf]]),DAY(OneWeekMtgRatesDataTable75[[#This Row],[asOf]]))</f>
        <v>39442</v>
      </c>
      <c r="N1976" s="51">
        <v>6.17</v>
      </c>
      <c r="O1976" s="51">
        <v>0.5</v>
      </c>
      <c r="P1976" s="51">
        <v>6.0449999999999999</v>
      </c>
    </row>
    <row r="1977" spans="12:16">
      <c r="L1977" s="51" t="s">
        <v>1989</v>
      </c>
      <c r="M1977" s="25">
        <f>DATE(YEAR(OneWeekMtgRatesDataTable75[[#This Row],[asOf]]),MONTH(OneWeekMtgRatesDataTable75[[#This Row],[asOf]]),DAY(OneWeekMtgRatesDataTable75[[#This Row],[asOf]]))</f>
        <v>39440</v>
      </c>
      <c r="N1977" s="51">
        <v>6.17</v>
      </c>
      <c r="O1977" s="51">
        <v>0.5</v>
      </c>
      <c r="P1977" s="51">
        <v>6.0449999999999999</v>
      </c>
    </row>
    <row r="1978" spans="12:16">
      <c r="L1978" s="51" t="s">
        <v>1990</v>
      </c>
      <c r="M1978" s="25">
        <f>DATE(YEAR(OneWeekMtgRatesDataTable75[[#This Row],[asOf]]),MONTH(OneWeekMtgRatesDataTable75[[#This Row],[asOf]]),DAY(OneWeekMtgRatesDataTable75[[#This Row],[asOf]]))</f>
        <v>39437</v>
      </c>
      <c r="N1978" s="51">
        <v>6.17</v>
      </c>
      <c r="O1978" s="51">
        <v>0.5</v>
      </c>
      <c r="P1978" s="51">
        <v>6.0449999999999999</v>
      </c>
    </row>
    <row r="1979" spans="12:16">
      <c r="L1979" s="51" t="s">
        <v>1991</v>
      </c>
      <c r="M1979" s="25">
        <f>DATE(YEAR(OneWeekMtgRatesDataTable75[[#This Row],[asOf]]),MONTH(OneWeekMtgRatesDataTable75[[#This Row],[asOf]]),DAY(OneWeekMtgRatesDataTable75[[#This Row],[asOf]]))</f>
        <v>39436</v>
      </c>
      <c r="N1979" s="51">
        <v>6.17</v>
      </c>
      <c r="O1979" s="51">
        <v>0.5</v>
      </c>
      <c r="P1979" s="51">
        <v>6.0449999999999999</v>
      </c>
    </row>
    <row r="1980" spans="12:16">
      <c r="L1980" s="51" t="s">
        <v>1992</v>
      </c>
      <c r="M1980" s="25">
        <f>DATE(YEAR(OneWeekMtgRatesDataTable75[[#This Row],[asOf]]),MONTH(OneWeekMtgRatesDataTable75[[#This Row],[asOf]]),DAY(OneWeekMtgRatesDataTable75[[#This Row],[asOf]]))</f>
        <v>39435</v>
      </c>
      <c r="N1980" s="51">
        <v>6.14</v>
      </c>
      <c r="O1980" s="51">
        <v>0.4</v>
      </c>
      <c r="P1980" s="51">
        <v>5.9899999999999993</v>
      </c>
    </row>
    <row r="1981" spans="12:16">
      <c r="L1981" s="51" t="s">
        <v>1993</v>
      </c>
      <c r="M1981" s="25">
        <f>DATE(YEAR(OneWeekMtgRatesDataTable75[[#This Row],[asOf]]),MONTH(OneWeekMtgRatesDataTable75[[#This Row],[asOf]]),DAY(OneWeekMtgRatesDataTable75[[#This Row],[asOf]]))</f>
        <v>39434</v>
      </c>
      <c r="N1981" s="51">
        <v>6.14</v>
      </c>
      <c r="O1981" s="51">
        <v>0.4</v>
      </c>
      <c r="P1981" s="51">
        <v>5.9899999999999993</v>
      </c>
    </row>
    <row r="1982" spans="12:16">
      <c r="L1982" s="51" t="s">
        <v>1994</v>
      </c>
      <c r="M1982" s="25">
        <f>DATE(YEAR(OneWeekMtgRatesDataTable75[[#This Row],[asOf]]),MONTH(OneWeekMtgRatesDataTable75[[#This Row],[asOf]]),DAY(OneWeekMtgRatesDataTable75[[#This Row],[asOf]]))</f>
        <v>39433</v>
      </c>
      <c r="N1982" s="51">
        <v>6.14</v>
      </c>
      <c r="O1982" s="51">
        <v>0.4</v>
      </c>
      <c r="P1982" s="51">
        <v>5.9899999999999993</v>
      </c>
    </row>
    <row r="1983" spans="12:16">
      <c r="L1983" s="51" t="s">
        <v>1995</v>
      </c>
      <c r="M1983" s="25">
        <f>DATE(YEAR(OneWeekMtgRatesDataTable75[[#This Row],[asOf]]),MONTH(OneWeekMtgRatesDataTable75[[#This Row],[asOf]]),DAY(OneWeekMtgRatesDataTable75[[#This Row],[asOf]]))</f>
        <v>39430</v>
      </c>
      <c r="N1983" s="51">
        <v>6.14</v>
      </c>
      <c r="O1983" s="51">
        <v>0.4</v>
      </c>
      <c r="P1983" s="51">
        <v>5.9899999999999993</v>
      </c>
    </row>
    <row r="1984" spans="12:16">
      <c r="L1984" s="51" t="s">
        <v>1996</v>
      </c>
      <c r="M1984" s="25">
        <f>DATE(YEAR(OneWeekMtgRatesDataTable75[[#This Row],[asOf]]),MONTH(OneWeekMtgRatesDataTable75[[#This Row],[asOf]]),DAY(OneWeekMtgRatesDataTable75[[#This Row],[asOf]]))</f>
        <v>39429</v>
      </c>
      <c r="N1984" s="51">
        <v>6.14</v>
      </c>
      <c r="O1984" s="51">
        <v>0.4</v>
      </c>
      <c r="P1984" s="51">
        <v>5.9899999999999993</v>
      </c>
    </row>
    <row r="1985" spans="12:16">
      <c r="L1985" s="51" t="s">
        <v>1997</v>
      </c>
      <c r="M1985" s="25">
        <f>DATE(YEAR(OneWeekMtgRatesDataTable75[[#This Row],[asOf]]),MONTH(OneWeekMtgRatesDataTable75[[#This Row],[asOf]]),DAY(OneWeekMtgRatesDataTable75[[#This Row],[asOf]]))</f>
        <v>39428</v>
      </c>
      <c r="N1985" s="51">
        <v>6.11</v>
      </c>
      <c r="O1985" s="51">
        <v>0.5</v>
      </c>
      <c r="P1985" s="51">
        <v>5.9850000000000003</v>
      </c>
    </row>
    <row r="1986" spans="12:16">
      <c r="L1986" s="51" t="s">
        <v>1998</v>
      </c>
      <c r="M1986" s="25">
        <f>DATE(YEAR(OneWeekMtgRatesDataTable75[[#This Row],[asOf]]),MONTH(OneWeekMtgRatesDataTable75[[#This Row],[asOf]]),DAY(OneWeekMtgRatesDataTable75[[#This Row],[asOf]]))</f>
        <v>39427</v>
      </c>
      <c r="N1986" s="51">
        <v>6.11</v>
      </c>
      <c r="O1986" s="51">
        <v>0.5</v>
      </c>
      <c r="P1986" s="51">
        <v>5.9850000000000003</v>
      </c>
    </row>
    <row r="1987" spans="12:16">
      <c r="L1987" s="51" t="s">
        <v>1999</v>
      </c>
      <c r="M1987" s="25">
        <f>DATE(YEAR(OneWeekMtgRatesDataTable75[[#This Row],[asOf]]),MONTH(OneWeekMtgRatesDataTable75[[#This Row],[asOf]]),DAY(OneWeekMtgRatesDataTable75[[#This Row],[asOf]]))</f>
        <v>39426</v>
      </c>
      <c r="N1987" s="51">
        <v>6.11</v>
      </c>
      <c r="O1987" s="51">
        <v>0.5</v>
      </c>
      <c r="P1987" s="51">
        <v>5.9850000000000003</v>
      </c>
    </row>
    <row r="1988" spans="12:16">
      <c r="L1988" s="51" t="s">
        <v>2000</v>
      </c>
      <c r="M1988" s="25">
        <f>DATE(YEAR(OneWeekMtgRatesDataTable75[[#This Row],[asOf]]),MONTH(OneWeekMtgRatesDataTable75[[#This Row],[asOf]]),DAY(OneWeekMtgRatesDataTable75[[#This Row],[asOf]]))</f>
        <v>39423</v>
      </c>
      <c r="N1988" s="51">
        <v>6.11</v>
      </c>
      <c r="O1988" s="51">
        <v>0.5</v>
      </c>
      <c r="P1988" s="51">
        <v>5.9850000000000003</v>
      </c>
    </row>
    <row r="1989" spans="12:16">
      <c r="L1989" s="51" t="s">
        <v>2001</v>
      </c>
      <c r="M1989" s="25">
        <f>DATE(YEAR(OneWeekMtgRatesDataTable75[[#This Row],[asOf]]),MONTH(OneWeekMtgRatesDataTable75[[#This Row],[asOf]]),DAY(OneWeekMtgRatesDataTable75[[#This Row],[asOf]]))</f>
        <v>39422</v>
      </c>
      <c r="N1989" s="51">
        <v>6.11</v>
      </c>
      <c r="O1989" s="51">
        <v>0.5</v>
      </c>
      <c r="P1989" s="51">
        <v>5.9850000000000003</v>
      </c>
    </row>
    <row r="1990" spans="12:16">
      <c r="L1990" s="51" t="s">
        <v>2002</v>
      </c>
      <c r="M1990" s="25">
        <f>DATE(YEAR(OneWeekMtgRatesDataTable75[[#This Row],[asOf]]),MONTH(OneWeekMtgRatesDataTable75[[#This Row],[asOf]]),DAY(OneWeekMtgRatesDataTable75[[#This Row],[asOf]]))</f>
        <v>39421</v>
      </c>
      <c r="N1990" s="51">
        <v>5.96</v>
      </c>
      <c r="O1990" s="51">
        <v>0.4</v>
      </c>
      <c r="P1990" s="51">
        <v>5.81</v>
      </c>
    </row>
    <row r="1991" spans="12:16">
      <c r="L1991" s="51" t="s">
        <v>2003</v>
      </c>
      <c r="M1991" s="25">
        <f>DATE(YEAR(OneWeekMtgRatesDataTable75[[#This Row],[asOf]]),MONTH(OneWeekMtgRatesDataTable75[[#This Row],[asOf]]),DAY(OneWeekMtgRatesDataTable75[[#This Row],[asOf]]))</f>
        <v>39420</v>
      </c>
      <c r="N1991" s="51">
        <v>5.96</v>
      </c>
      <c r="O1991" s="51">
        <v>0.4</v>
      </c>
      <c r="P1991" s="51">
        <v>5.81</v>
      </c>
    </row>
    <row r="1992" spans="12:16">
      <c r="L1992" s="51" t="s">
        <v>2004</v>
      </c>
      <c r="M1992" s="25">
        <f>DATE(YEAR(OneWeekMtgRatesDataTable75[[#This Row],[asOf]]),MONTH(OneWeekMtgRatesDataTable75[[#This Row],[asOf]]),DAY(OneWeekMtgRatesDataTable75[[#This Row],[asOf]]))</f>
        <v>39419</v>
      </c>
      <c r="N1992" s="51">
        <v>5.96</v>
      </c>
      <c r="O1992" s="51">
        <v>0.4</v>
      </c>
      <c r="P1992" s="51">
        <v>5.81</v>
      </c>
    </row>
    <row r="1993" spans="12:16">
      <c r="L1993" s="51" t="s">
        <v>2005</v>
      </c>
      <c r="M1993" s="25">
        <f>DATE(YEAR(OneWeekMtgRatesDataTable75[[#This Row],[asOf]]),MONTH(OneWeekMtgRatesDataTable75[[#This Row],[asOf]]),DAY(OneWeekMtgRatesDataTable75[[#This Row],[asOf]]))</f>
        <v>39416</v>
      </c>
      <c r="N1993" s="51">
        <v>5.96</v>
      </c>
      <c r="O1993" s="51">
        <v>0.4</v>
      </c>
      <c r="P1993" s="51">
        <v>5.81</v>
      </c>
    </row>
    <row r="1994" spans="12:16">
      <c r="L1994" s="51" t="s">
        <v>2006</v>
      </c>
      <c r="M1994" s="25">
        <f>DATE(YEAR(OneWeekMtgRatesDataTable75[[#This Row],[asOf]]),MONTH(OneWeekMtgRatesDataTable75[[#This Row],[asOf]]),DAY(OneWeekMtgRatesDataTable75[[#This Row],[asOf]]))</f>
        <v>39415</v>
      </c>
      <c r="N1994" s="51">
        <v>5.96</v>
      </c>
      <c r="O1994" s="51">
        <v>0.4</v>
      </c>
      <c r="P1994" s="51">
        <v>5.81</v>
      </c>
    </row>
    <row r="1995" spans="12:16">
      <c r="L1995" s="51" t="s">
        <v>2007</v>
      </c>
      <c r="M1995" s="25">
        <f>DATE(YEAR(OneWeekMtgRatesDataTable75[[#This Row],[asOf]]),MONTH(OneWeekMtgRatesDataTable75[[#This Row],[asOf]]),DAY(OneWeekMtgRatesDataTable75[[#This Row],[asOf]]))</f>
        <v>39414</v>
      </c>
      <c r="N1995" s="51">
        <v>6.1</v>
      </c>
      <c r="O1995" s="51">
        <v>0.5</v>
      </c>
      <c r="P1995" s="51">
        <v>5.9749999999999996</v>
      </c>
    </row>
    <row r="1996" spans="12:16">
      <c r="L1996" s="51" t="s">
        <v>2008</v>
      </c>
      <c r="M1996" s="25">
        <f>DATE(YEAR(OneWeekMtgRatesDataTable75[[#This Row],[asOf]]),MONTH(OneWeekMtgRatesDataTable75[[#This Row],[asOf]]),DAY(OneWeekMtgRatesDataTable75[[#This Row],[asOf]]))</f>
        <v>39413</v>
      </c>
      <c r="N1996" s="51">
        <v>6.1</v>
      </c>
      <c r="O1996" s="51">
        <v>0.5</v>
      </c>
      <c r="P1996" s="51">
        <v>5.9749999999999996</v>
      </c>
    </row>
    <row r="1997" spans="12:16">
      <c r="L1997" s="51" t="s">
        <v>2009</v>
      </c>
      <c r="M1997" s="25">
        <f>DATE(YEAR(OneWeekMtgRatesDataTable75[[#This Row],[asOf]]),MONTH(OneWeekMtgRatesDataTable75[[#This Row],[asOf]]),DAY(OneWeekMtgRatesDataTable75[[#This Row],[asOf]]))</f>
        <v>39412</v>
      </c>
      <c r="N1997" s="51">
        <v>6.1</v>
      </c>
      <c r="O1997" s="51">
        <v>0.5</v>
      </c>
      <c r="P1997" s="51">
        <v>5.9749999999999996</v>
      </c>
    </row>
    <row r="1998" spans="12:16">
      <c r="L1998" s="51" t="s">
        <v>2010</v>
      </c>
      <c r="M1998" s="25">
        <f>DATE(YEAR(OneWeekMtgRatesDataTable75[[#This Row],[asOf]]),MONTH(OneWeekMtgRatesDataTable75[[#This Row],[asOf]]),DAY(OneWeekMtgRatesDataTable75[[#This Row],[asOf]]))</f>
        <v>39409</v>
      </c>
      <c r="N1998" s="51">
        <v>6.1</v>
      </c>
      <c r="O1998" s="51">
        <v>0.5</v>
      </c>
      <c r="P1998" s="51">
        <v>5.9749999999999996</v>
      </c>
    </row>
    <row r="1999" spans="12:16">
      <c r="L1999" s="51" t="s">
        <v>2011</v>
      </c>
      <c r="M1999" s="25">
        <f>DATE(YEAR(OneWeekMtgRatesDataTable75[[#This Row],[asOf]]),MONTH(OneWeekMtgRatesDataTable75[[#This Row],[asOf]]),DAY(OneWeekMtgRatesDataTable75[[#This Row],[asOf]]))</f>
        <v>39406</v>
      </c>
      <c r="N1999" s="51">
        <v>6.2</v>
      </c>
      <c r="O1999" s="51">
        <v>0.5</v>
      </c>
      <c r="P1999" s="51">
        <v>6.0750000000000002</v>
      </c>
    </row>
    <row r="2000" spans="12:16">
      <c r="L2000" s="51" t="s">
        <v>2012</v>
      </c>
      <c r="M2000" s="25">
        <f>DATE(YEAR(OneWeekMtgRatesDataTable75[[#This Row],[asOf]]),MONTH(OneWeekMtgRatesDataTable75[[#This Row],[asOf]]),DAY(OneWeekMtgRatesDataTable75[[#This Row],[asOf]]))</f>
        <v>39405</v>
      </c>
      <c r="N2000" s="51">
        <v>6.2</v>
      </c>
      <c r="O2000" s="51">
        <v>0.5</v>
      </c>
      <c r="P2000" s="51">
        <v>6.0750000000000002</v>
      </c>
    </row>
    <row r="2001" spans="12:16">
      <c r="L2001" s="51" t="s">
        <v>2013</v>
      </c>
      <c r="M2001" s="25">
        <f>DATE(YEAR(OneWeekMtgRatesDataTable75[[#This Row],[asOf]]),MONTH(OneWeekMtgRatesDataTable75[[#This Row],[asOf]]),DAY(OneWeekMtgRatesDataTable75[[#This Row],[asOf]]))</f>
        <v>39402</v>
      </c>
      <c r="N2001" s="51">
        <v>6.2</v>
      </c>
      <c r="O2001" s="51">
        <v>0.5</v>
      </c>
      <c r="P2001" s="51">
        <v>6.0750000000000002</v>
      </c>
    </row>
    <row r="2002" spans="12:16">
      <c r="L2002" s="51" t="s">
        <v>2014</v>
      </c>
      <c r="M2002" s="25">
        <f>DATE(YEAR(OneWeekMtgRatesDataTable75[[#This Row],[asOf]]),MONTH(OneWeekMtgRatesDataTable75[[#This Row],[asOf]]),DAY(OneWeekMtgRatesDataTable75[[#This Row],[asOf]]))</f>
        <v>39401</v>
      </c>
      <c r="N2002" s="51">
        <v>6.2</v>
      </c>
      <c r="O2002" s="51">
        <v>0.5</v>
      </c>
      <c r="P2002" s="51">
        <v>6.0750000000000002</v>
      </c>
    </row>
    <row r="2003" spans="12:16">
      <c r="L2003" s="51" t="s">
        <v>2015</v>
      </c>
      <c r="M2003" s="25">
        <f>DATE(YEAR(OneWeekMtgRatesDataTable75[[#This Row],[asOf]]),MONTH(OneWeekMtgRatesDataTable75[[#This Row],[asOf]]),DAY(OneWeekMtgRatesDataTable75[[#This Row],[asOf]]))</f>
        <v>39400</v>
      </c>
      <c r="N2003" s="51">
        <v>6.2</v>
      </c>
      <c r="O2003" s="51">
        <v>0.5</v>
      </c>
      <c r="P2003" s="51">
        <v>6.0750000000000002</v>
      </c>
    </row>
    <row r="2004" spans="12:16">
      <c r="L2004" s="51" t="s">
        <v>2015</v>
      </c>
      <c r="M2004" s="25">
        <f>DATE(YEAR(OneWeekMtgRatesDataTable75[[#This Row],[asOf]]),MONTH(OneWeekMtgRatesDataTable75[[#This Row],[asOf]]),DAY(OneWeekMtgRatesDataTable75[[#This Row],[asOf]]))</f>
        <v>39400</v>
      </c>
      <c r="N2004" s="51">
        <v>6.24</v>
      </c>
      <c r="O2004" s="51">
        <v>0.4</v>
      </c>
      <c r="P2004" s="51">
        <v>6.09</v>
      </c>
    </row>
    <row r="2005" spans="12:16">
      <c r="L2005" s="51" t="s">
        <v>2016</v>
      </c>
      <c r="M2005" s="25">
        <f>DATE(YEAR(OneWeekMtgRatesDataTable75[[#This Row],[asOf]]),MONTH(OneWeekMtgRatesDataTable75[[#This Row],[asOf]]),DAY(OneWeekMtgRatesDataTable75[[#This Row],[asOf]]))</f>
        <v>39399</v>
      </c>
      <c r="N2005" s="51">
        <v>6.24</v>
      </c>
      <c r="O2005" s="51">
        <v>0.4</v>
      </c>
      <c r="P2005" s="51">
        <v>6.09</v>
      </c>
    </row>
    <row r="2006" spans="12:16">
      <c r="L2006" s="51" t="s">
        <v>2017</v>
      </c>
      <c r="M2006" s="25">
        <f>DATE(YEAR(OneWeekMtgRatesDataTable75[[#This Row],[asOf]]),MONTH(OneWeekMtgRatesDataTable75[[#This Row],[asOf]]),DAY(OneWeekMtgRatesDataTable75[[#This Row],[asOf]]))</f>
        <v>39395</v>
      </c>
      <c r="N2006" s="51">
        <v>6.24</v>
      </c>
      <c r="O2006" s="51">
        <v>0.4</v>
      </c>
      <c r="P2006" s="51">
        <v>6.09</v>
      </c>
    </row>
    <row r="2007" spans="12:16">
      <c r="L2007" s="51" t="s">
        <v>2018</v>
      </c>
      <c r="M2007" s="25">
        <f>DATE(YEAR(OneWeekMtgRatesDataTable75[[#This Row],[asOf]]),MONTH(OneWeekMtgRatesDataTable75[[#This Row],[asOf]]),DAY(OneWeekMtgRatesDataTable75[[#This Row],[asOf]]))</f>
        <v>39394</v>
      </c>
      <c r="N2007" s="51">
        <v>6.24</v>
      </c>
      <c r="O2007" s="51">
        <v>0.4</v>
      </c>
      <c r="P2007" s="51">
        <v>6.09</v>
      </c>
    </row>
    <row r="2008" spans="12:16">
      <c r="L2008" s="51" t="s">
        <v>2019</v>
      </c>
      <c r="M2008" s="25">
        <f>DATE(YEAR(OneWeekMtgRatesDataTable75[[#This Row],[asOf]]),MONTH(OneWeekMtgRatesDataTable75[[#This Row],[asOf]]),DAY(OneWeekMtgRatesDataTable75[[#This Row],[asOf]]))</f>
        <v>39393</v>
      </c>
      <c r="N2008" s="51">
        <v>6.24</v>
      </c>
      <c r="O2008" s="51">
        <v>0.4</v>
      </c>
      <c r="P2008" s="51">
        <v>6.09</v>
      </c>
    </row>
    <row r="2009" spans="12:16">
      <c r="L2009" s="51" t="s">
        <v>2020</v>
      </c>
      <c r="M2009" s="25">
        <f>DATE(YEAR(OneWeekMtgRatesDataTable75[[#This Row],[asOf]]),MONTH(OneWeekMtgRatesDataTable75[[#This Row],[asOf]]),DAY(OneWeekMtgRatesDataTable75[[#This Row],[asOf]]))</f>
        <v>39392</v>
      </c>
      <c r="N2009" s="51">
        <v>6.24</v>
      </c>
      <c r="O2009" s="51">
        <v>0.4</v>
      </c>
      <c r="P2009" s="51">
        <v>6.09</v>
      </c>
    </row>
    <row r="2010" spans="12:16">
      <c r="L2010" s="51" t="s">
        <v>2021</v>
      </c>
      <c r="M2010" s="25">
        <f>DATE(YEAR(OneWeekMtgRatesDataTable75[[#This Row],[asOf]]),MONTH(OneWeekMtgRatesDataTable75[[#This Row],[asOf]]),DAY(OneWeekMtgRatesDataTable75[[#This Row],[asOf]]))</f>
        <v>39391</v>
      </c>
      <c r="N2010" s="51">
        <v>6.24</v>
      </c>
      <c r="O2010" s="51">
        <v>0.4</v>
      </c>
      <c r="P2010" s="51">
        <v>6.09</v>
      </c>
    </row>
    <row r="2011" spans="12:16">
      <c r="L2011" s="51" t="s">
        <v>2022</v>
      </c>
      <c r="M2011" s="25">
        <f>DATE(YEAR(OneWeekMtgRatesDataTable75[[#This Row],[asOf]]),MONTH(OneWeekMtgRatesDataTable75[[#This Row],[asOf]]),DAY(OneWeekMtgRatesDataTable75[[#This Row],[asOf]]))</f>
        <v>39388</v>
      </c>
      <c r="N2011" s="51">
        <v>6.24</v>
      </c>
      <c r="O2011" s="51">
        <v>0.4</v>
      </c>
      <c r="P2011" s="51">
        <v>6.09</v>
      </c>
    </row>
    <row r="2012" spans="12:16">
      <c r="L2012" s="51" t="s">
        <v>2023</v>
      </c>
      <c r="M2012" s="25">
        <f>DATE(YEAR(OneWeekMtgRatesDataTable75[[#This Row],[asOf]]),MONTH(OneWeekMtgRatesDataTable75[[#This Row],[asOf]]),DAY(OneWeekMtgRatesDataTable75[[#This Row],[asOf]]))</f>
        <v>39387</v>
      </c>
      <c r="N2012" s="51">
        <v>6.24</v>
      </c>
      <c r="O2012" s="51">
        <v>0.4</v>
      </c>
      <c r="P2012" s="51">
        <v>6.09</v>
      </c>
    </row>
    <row r="2013" spans="12:16">
      <c r="L2013" s="51" t="s">
        <v>2024</v>
      </c>
      <c r="M2013" s="25">
        <f>DATE(YEAR(OneWeekMtgRatesDataTable75[[#This Row],[asOf]]),MONTH(OneWeekMtgRatesDataTable75[[#This Row],[asOf]]),DAY(OneWeekMtgRatesDataTable75[[#This Row],[asOf]]))</f>
        <v>39386</v>
      </c>
      <c r="N2013" s="51">
        <v>6.26</v>
      </c>
      <c r="O2013" s="51">
        <v>0.4</v>
      </c>
      <c r="P2013" s="51">
        <v>6.1099999999999994</v>
      </c>
    </row>
    <row r="2014" spans="12:16">
      <c r="L2014" s="51" t="s">
        <v>2025</v>
      </c>
      <c r="M2014" s="25">
        <f>DATE(YEAR(OneWeekMtgRatesDataTable75[[#This Row],[asOf]]),MONTH(OneWeekMtgRatesDataTable75[[#This Row],[asOf]]),DAY(OneWeekMtgRatesDataTable75[[#This Row],[asOf]]))</f>
        <v>39385</v>
      </c>
      <c r="N2014" s="51">
        <v>6.26</v>
      </c>
      <c r="O2014" s="51">
        <v>0.4</v>
      </c>
      <c r="P2014" s="51">
        <v>6.1099999999999994</v>
      </c>
    </row>
    <row r="2015" spans="12:16">
      <c r="L2015" s="51" t="s">
        <v>2026</v>
      </c>
      <c r="M2015" s="25">
        <f>DATE(YEAR(OneWeekMtgRatesDataTable75[[#This Row],[asOf]]),MONTH(OneWeekMtgRatesDataTable75[[#This Row],[asOf]]),DAY(OneWeekMtgRatesDataTable75[[#This Row],[asOf]]))</f>
        <v>39384</v>
      </c>
      <c r="N2015" s="51">
        <v>6.26</v>
      </c>
      <c r="O2015" s="51">
        <v>0.4</v>
      </c>
      <c r="P2015" s="51">
        <v>6.1099999999999994</v>
      </c>
    </row>
    <row r="2016" spans="12:16">
      <c r="L2016" s="51" t="s">
        <v>2027</v>
      </c>
      <c r="M2016" s="25">
        <f>DATE(YEAR(OneWeekMtgRatesDataTable75[[#This Row],[asOf]]),MONTH(OneWeekMtgRatesDataTable75[[#This Row],[asOf]]),DAY(OneWeekMtgRatesDataTable75[[#This Row],[asOf]]))</f>
        <v>39381</v>
      </c>
      <c r="N2016" s="51">
        <v>6.26</v>
      </c>
      <c r="O2016" s="51">
        <v>0.4</v>
      </c>
      <c r="P2016" s="51">
        <v>6.1099999999999994</v>
      </c>
    </row>
    <row r="2017" spans="12:16">
      <c r="L2017" s="51" t="s">
        <v>2028</v>
      </c>
      <c r="M2017" s="25">
        <f>DATE(YEAR(OneWeekMtgRatesDataTable75[[#This Row],[asOf]]),MONTH(OneWeekMtgRatesDataTable75[[#This Row],[asOf]]),DAY(OneWeekMtgRatesDataTable75[[#This Row],[asOf]]))</f>
        <v>39380</v>
      </c>
      <c r="N2017" s="51">
        <v>6.26</v>
      </c>
      <c r="O2017" s="51">
        <v>0.4</v>
      </c>
      <c r="P2017" s="51">
        <v>6.1099999999999994</v>
      </c>
    </row>
    <row r="2018" spans="12:16">
      <c r="L2018" s="51" t="s">
        <v>2029</v>
      </c>
      <c r="M2018" s="25">
        <f>DATE(YEAR(OneWeekMtgRatesDataTable75[[#This Row],[asOf]]),MONTH(OneWeekMtgRatesDataTable75[[#This Row],[asOf]]),DAY(OneWeekMtgRatesDataTable75[[#This Row],[asOf]]))</f>
        <v>39379</v>
      </c>
      <c r="N2018" s="51">
        <v>6.33</v>
      </c>
      <c r="O2018" s="51">
        <v>0.5</v>
      </c>
      <c r="P2018" s="51">
        <v>6.2050000000000001</v>
      </c>
    </row>
    <row r="2019" spans="12:16">
      <c r="L2019" s="51" t="s">
        <v>2030</v>
      </c>
      <c r="M2019" s="25">
        <f>DATE(YEAR(OneWeekMtgRatesDataTable75[[#This Row],[asOf]]),MONTH(OneWeekMtgRatesDataTable75[[#This Row],[asOf]]),DAY(OneWeekMtgRatesDataTable75[[#This Row],[asOf]]))</f>
        <v>39378</v>
      </c>
      <c r="N2019" s="51">
        <v>6.33</v>
      </c>
      <c r="O2019" s="51">
        <v>0.5</v>
      </c>
      <c r="P2019" s="51">
        <v>6.2050000000000001</v>
      </c>
    </row>
    <row r="2020" spans="12:16">
      <c r="L2020" s="51" t="s">
        <v>2031</v>
      </c>
      <c r="M2020" s="25">
        <f>DATE(YEAR(OneWeekMtgRatesDataTable75[[#This Row],[asOf]]),MONTH(OneWeekMtgRatesDataTable75[[#This Row],[asOf]]),DAY(OneWeekMtgRatesDataTable75[[#This Row],[asOf]]))</f>
        <v>39377</v>
      </c>
      <c r="N2020" s="51">
        <v>6.33</v>
      </c>
      <c r="O2020" s="51">
        <v>0.5</v>
      </c>
      <c r="P2020" s="51">
        <v>6.2050000000000001</v>
      </c>
    </row>
    <row r="2021" spans="12:16">
      <c r="L2021" s="51" t="s">
        <v>2032</v>
      </c>
      <c r="M2021" s="25">
        <f>DATE(YEAR(OneWeekMtgRatesDataTable75[[#This Row],[asOf]]),MONTH(OneWeekMtgRatesDataTable75[[#This Row],[asOf]]),DAY(OneWeekMtgRatesDataTable75[[#This Row],[asOf]]))</f>
        <v>39374</v>
      </c>
      <c r="N2021" s="51">
        <v>6.33</v>
      </c>
      <c r="O2021" s="51">
        <v>0.5</v>
      </c>
      <c r="P2021" s="51">
        <v>6.2050000000000001</v>
      </c>
    </row>
    <row r="2022" spans="12:16">
      <c r="L2022" s="51" t="s">
        <v>2033</v>
      </c>
      <c r="M2022" s="25">
        <f>DATE(YEAR(OneWeekMtgRatesDataTable75[[#This Row],[asOf]]),MONTH(OneWeekMtgRatesDataTable75[[#This Row],[asOf]]),DAY(OneWeekMtgRatesDataTable75[[#This Row],[asOf]]))</f>
        <v>39373</v>
      </c>
      <c r="N2022" s="51">
        <v>6.33</v>
      </c>
      <c r="O2022" s="51">
        <v>0.5</v>
      </c>
      <c r="P2022" s="51">
        <v>6.2050000000000001</v>
      </c>
    </row>
    <row r="2023" spans="12:16">
      <c r="L2023" s="51" t="s">
        <v>2034</v>
      </c>
      <c r="M2023" s="25">
        <f>DATE(YEAR(OneWeekMtgRatesDataTable75[[#This Row],[asOf]]),MONTH(OneWeekMtgRatesDataTable75[[#This Row],[asOf]]),DAY(OneWeekMtgRatesDataTable75[[#This Row],[asOf]]))</f>
        <v>39372</v>
      </c>
      <c r="N2023" s="51">
        <v>6.4</v>
      </c>
      <c r="O2023" s="51">
        <v>0.5</v>
      </c>
      <c r="P2023" s="51">
        <v>6.2750000000000004</v>
      </c>
    </row>
    <row r="2024" spans="12:16">
      <c r="L2024" s="51" t="s">
        <v>2035</v>
      </c>
      <c r="M2024" s="25">
        <f>DATE(YEAR(OneWeekMtgRatesDataTable75[[#This Row],[asOf]]),MONTH(OneWeekMtgRatesDataTable75[[#This Row],[asOf]]),DAY(OneWeekMtgRatesDataTable75[[#This Row],[asOf]]))</f>
        <v>39371</v>
      </c>
      <c r="N2024" s="51">
        <v>6.4</v>
      </c>
      <c r="O2024" s="51">
        <v>0.5</v>
      </c>
      <c r="P2024" s="51">
        <v>6.2750000000000004</v>
      </c>
    </row>
    <row r="2025" spans="12:16">
      <c r="L2025" s="51" t="s">
        <v>2036</v>
      </c>
      <c r="M2025" s="25">
        <f>DATE(YEAR(OneWeekMtgRatesDataTable75[[#This Row],[asOf]]),MONTH(OneWeekMtgRatesDataTable75[[#This Row],[asOf]]),DAY(OneWeekMtgRatesDataTable75[[#This Row],[asOf]]))</f>
        <v>39370</v>
      </c>
      <c r="N2025" s="51">
        <v>6.4</v>
      </c>
      <c r="O2025" s="51">
        <v>0.5</v>
      </c>
      <c r="P2025" s="51">
        <v>6.2750000000000004</v>
      </c>
    </row>
    <row r="2026" spans="12:16">
      <c r="L2026" s="51" t="s">
        <v>2037</v>
      </c>
      <c r="M2026" s="25">
        <f>DATE(YEAR(OneWeekMtgRatesDataTable75[[#This Row],[asOf]]),MONTH(OneWeekMtgRatesDataTable75[[#This Row],[asOf]]),DAY(OneWeekMtgRatesDataTable75[[#This Row],[asOf]]))</f>
        <v>39367</v>
      </c>
      <c r="N2026" s="51">
        <v>6.4</v>
      </c>
      <c r="O2026" s="51">
        <v>0.5</v>
      </c>
      <c r="P2026" s="51">
        <v>6.2750000000000004</v>
      </c>
    </row>
    <row r="2027" spans="12:16">
      <c r="L2027" s="51" t="s">
        <v>2038</v>
      </c>
      <c r="M2027" s="25">
        <f>DATE(YEAR(OneWeekMtgRatesDataTable75[[#This Row],[asOf]]),MONTH(OneWeekMtgRatesDataTable75[[#This Row],[asOf]]),DAY(OneWeekMtgRatesDataTable75[[#This Row],[asOf]]))</f>
        <v>39366</v>
      </c>
      <c r="N2027" s="51">
        <v>6.4</v>
      </c>
      <c r="O2027" s="51">
        <v>0.5</v>
      </c>
      <c r="P2027" s="51">
        <v>6.2750000000000004</v>
      </c>
    </row>
    <row r="2028" spans="12:16">
      <c r="L2028" s="51" t="s">
        <v>2039</v>
      </c>
      <c r="M2028" s="25">
        <f>DATE(YEAR(OneWeekMtgRatesDataTable75[[#This Row],[asOf]]),MONTH(OneWeekMtgRatesDataTable75[[#This Row],[asOf]]),DAY(OneWeekMtgRatesDataTable75[[#This Row],[asOf]]))</f>
        <v>39365</v>
      </c>
      <c r="N2028" s="51">
        <v>6.4</v>
      </c>
      <c r="O2028" s="51">
        <v>0.4</v>
      </c>
      <c r="P2028" s="51">
        <v>6.25</v>
      </c>
    </row>
    <row r="2029" spans="12:16">
      <c r="L2029" s="51" t="s">
        <v>2040</v>
      </c>
      <c r="M2029" s="25">
        <f>DATE(YEAR(OneWeekMtgRatesDataTable75[[#This Row],[asOf]]),MONTH(OneWeekMtgRatesDataTable75[[#This Row],[asOf]]),DAY(OneWeekMtgRatesDataTable75[[#This Row],[asOf]]))</f>
        <v>39364</v>
      </c>
      <c r="N2029" s="51">
        <v>6.4</v>
      </c>
      <c r="O2029" s="51">
        <v>0.4</v>
      </c>
      <c r="P2029" s="51">
        <v>6.25</v>
      </c>
    </row>
    <row r="2030" spans="12:16">
      <c r="L2030" s="51" t="s">
        <v>2041</v>
      </c>
      <c r="M2030" s="25">
        <f>DATE(YEAR(OneWeekMtgRatesDataTable75[[#This Row],[asOf]]),MONTH(OneWeekMtgRatesDataTable75[[#This Row],[asOf]]),DAY(OneWeekMtgRatesDataTable75[[#This Row],[asOf]]))</f>
        <v>39360</v>
      </c>
      <c r="N2030" s="51">
        <v>6.4</v>
      </c>
      <c r="O2030" s="51">
        <v>0.4</v>
      </c>
      <c r="P2030" s="51">
        <v>6.25</v>
      </c>
    </row>
    <row r="2031" spans="12:16">
      <c r="L2031" s="51" t="s">
        <v>2042</v>
      </c>
      <c r="M2031" s="25">
        <f>DATE(YEAR(OneWeekMtgRatesDataTable75[[#This Row],[asOf]]),MONTH(OneWeekMtgRatesDataTable75[[#This Row],[asOf]]),DAY(OneWeekMtgRatesDataTable75[[#This Row],[asOf]]))</f>
        <v>39359</v>
      </c>
      <c r="N2031" s="51">
        <v>6.4</v>
      </c>
      <c r="O2031" s="51">
        <v>0.4</v>
      </c>
      <c r="P2031" s="51">
        <v>6.25</v>
      </c>
    </row>
    <row r="2032" spans="12:16">
      <c r="L2032" s="51" t="s">
        <v>2043</v>
      </c>
      <c r="M2032" s="25">
        <f>DATE(YEAR(OneWeekMtgRatesDataTable75[[#This Row],[asOf]]),MONTH(OneWeekMtgRatesDataTable75[[#This Row],[asOf]]),DAY(OneWeekMtgRatesDataTable75[[#This Row],[asOf]]))</f>
        <v>39358</v>
      </c>
      <c r="N2032" s="51">
        <v>6.37</v>
      </c>
      <c r="O2032" s="51">
        <v>0.5</v>
      </c>
      <c r="P2032" s="51">
        <v>6.2450000000000001</v>
      </c>
    </row>
    <row r="2033" spans="12:16">
      <c r="L2033" s="51" t="s">
        <v>2044</v>
      </c>
      <c r="M2033" s="25">
        <f>DATE(YEAR(OneWeekMtgRatesDataTable75[[#This Row],[asOf]]),MONTH(OneWeekMtgRatesDataTable75[[#This Row],[asOf]]),DAY(OneWeekMtgRatesDataTable75[[#This Row],[asOf]]))</f>
        <v>39357</v>
      </c>
      <c r="N2033" s="51">
        <v>6.37</v>
      </c>
      <c r="O2033" s="51">
        <v>0.5</v>
      </c>
      <c r="P2033" s="51">
        <v>6.2450000000000001</v>
      </c>
    </row>
    <row r="2034" spans="12:16">
      <c r="L2034" s="51" t="s">
        <v>2045</v>
      </c>
      <c r="M2034" s="25">
        <f>DATE(YEAR(OneWeekMtgRatesDataTable75[[#This Row],[asOf]]),MONTH(OneWeekMtgRatesDataTable75[[#This Row],[asOf]]),DAY(OneWeekMtgRatesDataTable75[[#This Row],[asOf]]))</f>
        <v>39356</v>
      </c>
      <c r="N2034" s="51">
        <v>6.37</v>
      </c>
      <c r="O2034" s="51">
        <v>0.5</v>
      </c>
      <c r="P2034" s="51">
        <v>6.2450000000000001</v>
      </c>
    </row>
    <row r="2035" spans="12:16">
      <c r="L2035" s="51" t="s">
        <v>2046</v>
      </c>
      <c r="M2035" s="25">
        <f>DATE(YEAR(OneWeekMtgRatesDataTable75[[#This Row],[asOf]]),MONTH(OneWeekMtgRatesDataTable75[[#This Row],[asOf]]),DAY(OneWeekMtgRatesDataTable75[[#This Row],[asOf]]))</f>
        <v>39353</v>
      </c>
      <c r="N2035" s="51">
        <v>6.37</v>
      </c>
      <c r="O2035" s="51">
        <v>0.5</v>
      </c>
      <c r="P2035" s="51">
        <v>6.2450000000000001</v>
      </c>
    </row>
    <row r="2036" spans="12:16">
      <c r="L2036" s="51" t="s">
        <v>2047</v>
      </c>
      <c r="M2036" s="25">
        <f>DATE(YEAR(OneWeekMtgRatesDataTable75[[#This Row],[asOf]]),MONTH(OneWeekMtgRatesDataTable75[[#This Row],[asOf]]),DAY(OneWeekMtgRatesDataTable75[[#This Row],[asOf]]))</f>
        <v>39352</v>
      </c>
      <c r="N2036" s="51">
        <v>6.37</v>
      </c>
      <c r="O2036" s="51">
        <v>0.5</v>
      </c>
      <c r="P2036" s="51">
        <v>6.2450000000000001</v>
      </c>
    </row>
    <row r="2037" spans="12:16">
      <c r="L2037" s="51" t="s">
        <v>2048</v>
      </c>
      <c r="M2037" s="25">
        <f>DATE(YEAR(OneWeekMtgRatesDataTable75[[#This Row],[asOf]]),MONTH(OneWeekMtgRatesDataTable75[[#This Row],[asOf]]),DAY(OneWeekMtgRatesDataTable75[[#This Row],[asOf]]))</f>
        <v>39351</v>
      </c>
      <c r="N2037" s="51">
        <v>6.42</v>
      </c>
      <c r="O2037" s="51">
        <v>0.5</v>
      </c>
      <c r="P2037" s="51">
        <v>6.2949999999999999</v>
      </c>
    </row>
    <row r="2038" spans="12:16">
      <c r="L2038" s="51" t="s">
        <v>2049</v>
      </c>
      <c r="M2038" s="25">
        <f>DATE(YEAR(OneWeekMtgRatesDataTable75[[#This Row],[asOf]]),MONTH(OneWeekMtgRatesDataTable75[[#This Row],[asOf]]),DAY(OneWeekMtgRatesDataTable75[[#This Row],[asOf]]))</f>
        <v>39350</v>
      </c>
      <c r="N2038" s="51">
        <v>6.42</v>
      </c>
      <c r="O2038" s="51">
        <v>0.5</v>
      </c>
      <c r="P2038" s="51">
        <v>6.2949999999999999</v>
      </c>
    </row>
    <row r="2039" spans="12:16">
      <c r="L2039" s="51" t="s">
        <v>2050</v>
      </c>
      <c r="M2039" s="25">
        <f>DATE(YEAR(OneWeekMtgRatesDataTable75[[#This Row],[asOf]]),MONTH(OneWeekMtgRatesDataTable75[[#This Row],[asOf]]),DAY(OneWeekMtgRatesDataTable75[[#This Row],[asOf]]))</f>
        <v>39349</v>
      </c>
      <c r="N2039" s="51">
        <v>6.42</v>
      </c>
      <c r="O2039" s="51">
        <v>0.5</v>
      </c>
      <c r="P2039" s="51">
        <v>6.2949999999999999</v>
      </c>
    </row>
    <row r="2040" spans="12:16">
      <c r="L2040" s="51" t="s">
        <v>2051</v>
      </c>
      <c r="M2040" s="25">
        <f>DATE(YEAR(OneWeekMtgRatesDataTable75[[#This Row],[asOf]]),MONTH(OneWeekMtgRatesDataTable75[[#This Row],[asOf]]),DAY(OneWeekMtgRatesDataTable75[[#This Row],[asOf]]))</f>
        <v>39346</v>
      </c>
      <c r="N2040" s="51">
        <v>6.42</v>
      </c>
      <c r="O2040" s="51">
        <v>0.5</v>
      </c>
      <c r="P2040" s="51">
        <v>6.2949999999999999</v>
      </c>
    </row>
    <row r="2041" spans="12:16">
      <c r="L2041" s="51" t="s">
        <v>2052</v>
      </c>
      <c r="M2041" s="25">
        <f>DATE(YEAR(OneWeekMtgRatesDataTable75[[#This Row],[asOf]]),MONTH(OneWeekMtgRatesDataTable75[[#This Row],[asOf]]),DAY(OneWeekMtgRatesDataTable75[[#This Row],[asOf]]))</f>
        <v>39345</v>
      </c>
      <c r="N2041" s="51">
        <v>6.42</v>
      </c>
      <c r="O2041" s="51">
        <v>0.5</v>
      </c>
      <c r="P2041" s="51">
        <v>6.2949999999999999</v>
      </c>
    </row>
    <row r="2042" spans="12:16">
      <c r="L2042" s="51" t="s">
        <v>2053</v>
      </c>
      <c r="M2042" s="25">
        <f>DATE(YEAR(OneWeekMtgRatesDataTable75[[#This Row],[asOf]]),MONTH(OneWeekMtgRatesDataTable75[[#This Row],[asOf]]),DAY(OneWeekMtgRatesDataTable75[[#This Row],[asOf]]))</f>
        <v>39344</v>
      </c>
      <c r="N2042" s="51">
        <v>6.34</v>
      </c>
      <c r="O2042" s="51">
        <v>0.5</v>
      </c>
      <c r="P2042" s="51">
        <v>6.2149999999999999</v>
      </c>
    </row>
    <row r="2043" spans="12:16">
      <c r="L2043" s="51" t="s">
        <v>2054</v>
      </c>
      <c r="M2043" s="25">
        <f>DATE(YEAR(OneWeekMtgRatesDataTable75[[#This Row],[asOf]]),MONTH(OneWeekMtgRatesDataTable75[[#This Row],[asOf]]),DAY(OneWeekMtgRatesDataTable75[[#This Row],[asOf]]))</f>
        <v>39343</v>
      </c>
      <c r="N2043" s="51">
        <v>6.34</v>
      </c>
      <c r="O2043" s="51">
        <v>0.5</v>
      </c>
      <c r="P2043" s="51">
        <v>6.2149999999999999</v>
      </c>
    </row>
    <row r="2044" spans="12:16">
      <c r="L2044" s="51" t="s">
        <v>2055</v>
      </c>
      <c r="M2044" s="25">
        <f>DATE(YEAR(OneWeekMtgRatesDataTable75[[#This Row],[asOf]]),MONTH(OneWeekMtgRatesDataTable75[[#This Row],[asOf]]),DAY(OneWeekMtgRatesDataTable75[[#This Row],[asOf]]))</f>
        <v>39342</v>
      </c>
      <c r="N2044" s="51">
        <v>6.34</v>
      </c>
      <c r="O2044" s="51">
        <v>0.5</v>
      </c>
      <c r="P2044" s="51">
        <v>6.2149999999999999</v>
      </c>
    </row>
    <row r="2045" spans="12:16">
      <c r="L2045" s="51" t="s">
        <v>2056</v>
      </c>
      <c r="M2045" s="25">
        <f>DATE(YEAR(OneWeekMtgRatesDataTable75[[#This Row],[asOf]]),MONTH(OneWeekMtgRatesDataTable75[[#This Row],[asOf]]),DAY(OneWeekMtgRatesDataTable75[[#This Row],[asOf]]))</f>
        <v>39339</v>
      </c>
      <c r="N2045" s="51">
        <v>6.34</v>
      </c>
      <c r="O2045" s="51">
        <v>0.5</v>
      </c>
      <c r="P2045" s="51">
        <v>6.2149999999999999</v>
      </c>
    </row>
    <row r="2046" spans="12:16">
      <c r="L2046" s="51" t="s">
        <v>2057</v>
      </c>
      <c r="M2046" s="25">
        <f>DATE(YEAR(OneWeekMtgRatesDataTable75[[#This Row],[asOf]]),MONTH(OneWeekMtgRatesDataTable75[[#This Row],[asOf]]),DAY(OneWeekMtgRatesDataTable75[[#This Row],[asOf]]))</f>
        <v>39338</v>
      </c>
      <c r="N2046" s="51">
        <v>6.34</v>
      </c>
      <c r="O2046" s="51">
        <v>0.5</v>
      </c>
      <c r="P2046" s="51">
        <v>6.2149999999999999</v>
      </c>
    </row>
    <row r="2047" spans="12:16">
      <c r="L2047" s="51" t="s">
        <v>2058</v>
      </c>
      <c r="M2047" s="25">
        <f>DATE(YEAR(OneWeekMtgRatesDataTable75[[#This Row],[asOf]]),MONTH(OneWeekMtgRatesDataTable75[[#This Row],[asOf]]),DAY(OneWeekMtgRatesDataTable75[[#This Row],[asOf]]))</f>
        <v>39337</v>
      </c>
      <c r="N2047" s="51">
        <v>6.31</v>
      </c>
      <c r="O2047" s="51">
        <v>0.5</v>
      </c>
      <c r="P2047" s="51">
        <v>6.1849999999999996</v>
      </c>
    </row>
    <row r="2048" spans="12:16">
      <c r="L2048" s="51" t="s">
        <v>2059</v>
      </c>
      <c r="M2048" s="25">
        <f>DATE(YEAR(OneWeekMtgRatesDataTable75[[#This Row],[asOf]]),MONTH(OneWeekMtgRatesDataTable75[[#This Row],[asOf]]),DAY(OneWeekMtgRatesDataTable75[[#This Row],[asOf]]))</f>
        <v>39336</v>
      </c>
      <c r="N2048" s="51">
        <v>6.31</v>
      </c>
      <c r="O2048" s="51">
        <v>0.5</v>
      </c>
      <c r="P2048" s="51">
        <v>6.1849999999999996</v>
      </c>
    </row>
    <row r="2049" spans="12:16">
      <c r="L2049" s="51" t="s">
        <v>2060</v>
      </c>
      <c r="M2049" s="25">
        <f>DATE(YEAR(OneWeekMtgRatesDataTable75[[#This Row],[asOf]]),MONTH(OneWeekMtgRatesDataTable75[[#This Row],[asOf]]),DAY(OneWeekMtgRatesDataTable75[[#This Row],[asOf]]))</f>
        <v>39335</v>
      </c>
      <c r="N2049" s="51">
        <v>6.31</v>
      </c>
      <c r="O2049" s="51">
        <v>0.5</v>
      </c>
      <c r="P2049" s="51">
        <v>6.1849999999999996</v>
      </c>
    </row>
    <row r="2050" spans="12:16">
      <c r="L2050" s="51" t="s">
        <v>2061</v>
      </c>
      <c r="M2050" s="25">
        <f>DATE(YEAR(OneWeekMtgRatesDataTable75[[#This Row],[asOf]]),MONTH(OneWeekMtgRatesDataTable75[[#This Row],[asOf]]),DAY(OneWeekMtgRatesDataTable75[[#This Row],[asOf]]))</f>
        <v>39332</v>
      </c>
      <c r="N2050" s="51">
        <v>6.31</v>
      </c>
      <c r="O2050" s="51">
        <v>0.5</v>
      </c>
      <c r="P2050" s="51">
        <v>6.1849999999999996</v>
      </c>
    </row>
    <row r="2051" spans="12:16">
      <c r="L2051" s="51" t="s">
        <v>2062</v>
      </c>
      <c r="M2051" s="25">
        <f>DATE(YEAR(OneWeekMtgRatesDataTable75[[#This Row],[asOf]]),MONTH(OneWeekMtgRatesDataTable75[[#This Row],[asOf]]),DAY(OneWeekMtgRatesDataTable75[[#This Row],[asOf]]))</f>
        <v>39331</v>
      </c>
      <c r="N2051" s="51">
        <v>6.31</v>
      </c>
      <c r="O2051" s="51">
        <v>0.5</v>
      </c>
      <c r="P2051" s="51">
        <v>6.1849999999999996</v>
      </c>
    </row>
    <row r="2052" spans="12:16">
      <c r="L2052" s="51" t="s">
        <v>2063</v>
      </c>
      <c r="M2052" s="25">
        <f>DATE(YEAR(OneWeekMtgRatesDataTable75[[#This Row],[asOf]]),MONTH(OneWeekMtgRatesDataTable75[[#This Row],[asOf]]),DAY(OneWeekMtgRatesDataTable75[[#This Row],[asOf]]))</f>
        <v>39330</v>
      </c>
      <c r="N2052" s="51">
        <v>6.46</v>
      </c>
      <c r="O2052" s="51">
        <v>0.5</v>
      </c>
      <c r="P2052" s="51">
        <v>6.335</v>
      </c>
    </row>
    <row r="2053" spans="12:16">
      <c r="L2053" s="51" t="s">
        <v>2064</v>
      </c>
      <c r="M2053" s="25">
        <f>DATE(YEAR(OneWeekMtgRatesDataTable75[[#This Row],[asOf]]),MONTH(OneWeekMtgRatesDataTable75[[#This Row],[asOf]]),DAY(OneWeekMtgRatesDataTable75[[#This Row],[asOf]]))</f>
        <v>39329</v>
      </c>
      <c r="N2053" s="51">
        <v>6.46</v>
      </c>
      <c r="O2053" s="51">
        <v>0.5</v>
      </c>
      <c r="P2053" s="51">
        <v>6.335</v>
      </c>
    </row>
    <row r="2054" spans="12:16">
      <c r="L2054" s="51" t="s">
        <v>2065</v>
      </c>
      <c r="M2054" s="25">
        <f>DATE(YEAR(OneWeekMtgRatesDataTable75[[#This Row],[asOf]]),MONTH(OneWeekMtgRatesDataTable75[[#This Row],[asOf]]),DAY(OneWeekMtgRatesDataTable75[[#This Row],[asOf]]))</f>
        <v>39325</v>
      </c>
      <c r="N2054" s="51">
        <v>6.46</v>
      </c>
      <c r="O2054" s="51">
        <v>0.5</v>
      </c>
      <c r="P2054" s="51">
        <v>6.335</v>
      </c>
    </row>
    <row r="2055" spans="12:16">
      <c r="L2055" s="51" t="s">
        <v>2066</v>
      </c>
      <c r="M2055" s="25">
        <f>DATE(YEAR(OneWeekMtgRatesDataTable75[[#This Row],[asOf]]),MONTH(OneWeekMtgRatesDataTable75[[#This Row],[asOf]]),DAY(OneWeekMtgRatesDataTable75[[#This Row],[asOf]]))</f>
        <v>39324</v>
      </c>
      <c r="N2055" s="51">
        <v>6.46</v>
      </c>
      <c r="O2055" s="51">
        <v>0.5</v>
      </c>
      <c r="P2055" s="51">
        <v>6.335</v>
      </c>
    </row>
    <row r="2056" spans="12:16">
      <c r="L2056" s="51" t="s">
        <v>2067</v>
      </c>
      <c r="M2056" s="25">
        <f>DATE(YEAR(OneWeekMtgRatesDataTable75[[#This Row],[asOf]]),MONTH(OneWeekMtgRatesDataTable75[[#This Row],[asOf]]),DAY(OneWeekMtgRatesDataTable75[[#This Row],[asOf]]))</f>
        <v>39323</v>
      </c>
      <c r="N2056" s="51">
        <v>6.45</v>
      </c>
      <c r="O2056" s="51">
        <v>0.5</v>
      </c>
      <c r="P2056" s="51">
        <v>6.3250000000000002</v>
      </c>
    </row>
    <row r="2057" spans="12:16">
      <c r="L2057" s="51" t="s">
        <v>2068</v>
      </c>
      <c r="M2057" s="25">
        <f>DATE(YEAR(OneWeekMtgRatesDataTable75[[#This Row],[asOf]]),MONTH(OneWeekMtgRatesDataTable75[[#This Row],[asOf]]),DAY(OneWeekMtgRatesDataTable75[[#This Row],[asOf]]))</f>
        <v>39322</v>
      </c>
      <c r="N2057" s="51">
        <v>6.45</v>
      </c>
      <c r="O2057" s="51">
        <v>0.5</v>
      </c>
      <c r="P2057" s="51">
        <v>6.3250000000000002</v>
      </c>
    </row>
    <row r="2058" spans="12:16">
      <c r="L2058" s="51" t="s">
        <v>2069</v>
      </c>
      <c r="M2058" s="25">
        <f>DATE(YEAR(OneWeekMtgRatesDataTable75[[#This Row],[asOf]]),MONTH(OneWeekMtgRatesDataTable75[[#This Row],[asOf]]),DAY(OneWeekMtgRatesDataTable75[[#This Row],[asOf]]))</f>
        <v>39321</v>
      </c>
      <c r="N2058" s="51">
        <v>6.45</v>
      </c>
      <c r="O2058" s="51">
        <v>0.5</v>
      </c>
      <c r="P2058" s="51">
        <v>6.3250000000000002</v>
      </c>
    </row>
    <row r="2059" spans="12:16">
      <c r="L2059" s="51" t="s">
        <v>2070</v>
      </c>
      <c r="M2059" s="25">
        <f>DATE(YEAR(OneWeekMtgRatesDataTable75[[#This Row],[asOf]]),MONTH(OneWeekMtgRatesDataTable75[[#This Row],[asOf]]),DAY(OneWeekMtgRatesDataTable75[[#This Row],[asOf]]))</f>
        <v>39318</v>
      </c>
      <c r="N2059" s="51">
        <v>6.45</v>
      </c>
      <c r="O2059" s="51">
        <v>0.5</v>
      </c>
      <c r="P2059" s="51">
        <v>6.3250000000000002</v>
      </c>
    </row>
    <row r="2060" spans="12:16">
      <c r="L2060" s="51" t="s">
        <v>2071</v>
      </c>
      <c r="M2060" s="25">
        <f>DATE(YEAR(OneWeekMtgRatesDataTable75[[#This Row],[asOf]]),MONTH(OneWeekMtgRatesDataTable75[[#This Row],[asOf]]),DAY(OneWeekMtgRatesDataTable75[[#This Row],[asOf]]))</f>
        <v>39317</v>
      </c>
      <c r="N2060" s="51">
        <v>6.45</v>
      </c>
      <c r="O2060" s="51">
        <v>0.5</v>
      </c>
      <c r="P2060" s="51">
        <v>6.3250000000000002</v>
      </c>
    </row>
    <row r="2061" spans="12:16">
      <c r="L2061" s="51" t="s">
        <v>2072</v>
      </c>
      <c r="M2061" s="25">
        <f>DATE(YEAR(OneWeekMtgRatesDataTable75[[#This Row],[asOf]]),MONTH(OneWeekMtgRatesDataTable75[[#This Row],[asOf]]),DAY(OneWeekMtgRatesDataTable75[[#This Row],[asOf]]))</f>
        <v>39316</v>
      </c>
      <c r="N2061" s="51">
        <v>6.52</v>
      </c>
      <c r="O2061" s="51">
        <v>0.4</v>
      </c>
      <c r="P2061" s="51">
        <v>6.3699999999999992</v>
      </c>
    </row>
    <row r="2062" spans="12:16">
      <c r="L2062" s="51" t="s">
        <v>2073</v>
      </c>
      <c r="M2062" s="25">
        <f>DATE(YEAR(OneWeekMtgRatesDataTable75[[#This Row],[asOf]]),MONTH(OneWeekMtgRatesDataTable75[[#This Row],[asOf]]),DAY(OneWeekMtgRatesDataTable75[[#This Row],[asOf]]))</f>
        <v>39315</v>
      </c>
      <c r="N2062" s="51">
        <v>6.52</v>
      </c>
      <c r="O2062" s="51">
        <v>0.4</v>
      </c>
      <c r="P2062" s="51">
        <v>6.3699999999999992</v>
      </c>
    </row>
    <row r="2063" spans="12:16">
      <c r="L2063" s="51" t="s">
        <v>2074</v>
      </c>
      <c r="M2063" s="25">
        <f>DATE(YEAR(OneWeekMtgRatesDataTable75[[#This Row],[asOf]]),MONTH(OneWeekMtgRatesDataTable75[[#This Row],[asOf]]),DAY(OneWeekMtgRatesDataTable75[[#This Row],[asOf]]))</f>
        <v>39314</v>
      </c>
      <c r="N2063" s="51">
        <v>6.52</v>
      </c>
      <c r="O2063" s="51">
        <v>0.4</v>
      </c>
      <c r="P2063" s="51">
        <v>6.3699999999999992</v>
      </c>
    </row>
    <row r="2064" spans="12:16">
      <c r="L2064" s="51" t="s">
        <v>2075</v>
      </c>
      <c r="M2064" s="25">
        <f>DATE(YEAR(OneWeekMtgRatesDataTable75[[#This Row],[asOf]]),MONTH(OneWeekMtgRatesDataTable75[[#This Row],[asOf]]),DAY(OneWeekMtgRatesDataTable75[[#This Row],[asOf]]))</f>
        <v>39311</v>
      </c>
      <c r="N2064" s="51">
        <v>6.52</v>
      </c>
      <c r="O2064" s="51">
        <v>0.4</v>
      </c>
      <c r="P2064" s="51">
        <v>6.3699999999999992</v>
      </c>
    </row>
    <row r="2065" spans="12:16">
      <c r="L2065" s="51" t="s">
        <v>2076</v>
      </c>
      <c r="M2065" s="25">
        <f>DATE(YEAR(OneWeekMtgRatesDataTable75[[#This Row],[asOf]]),MONTH(OneWeekMtgRatesDataTable75[[#This Row],[asOf]]),DAY(OneWeekMtgRatesDataTable75[[#This Row],[asOf]]))</f>
        <v>39310</v>
      </c>
      <c r="N2065" s="51">
        <v>6.52</v>
      </c>
      <c r="O2065" s="51">
        <v>0.4</v>
      </c>
      <c r="P2065" s="51">
        <v>6.3699999999999992</v>
      </c>
    </row>
    <row r="2066" spans="12:16">
      <c r="L2066" s="51" t="s">
        <v>2077</v>
      </c>
      <c r="M2066" s="25">
        <f>DATE(YEAR(OneWeekMtgRatesDataTable75[[#This Row],[asOf]]),MONTH(OneWeekMtgRatesDataTable75[[#This Row],[asOf]]),DAY(OneWeekMtgRatesDataTable75[[#This Row],[asOf]]))</f>
        <v>39309</v>
      </c>
      <c r="N2066" s="51">
        <v>6.62</v>
      </c>
      <c r="O2066" s="51">
        <v>0.4</v>
      </c>
      <c r="P2066" s="51">
        <v>6.47</v>
      </c>
    </row>
    <row r="2067" spans="12:16">
      <c r="L2067" s="51" t="s">
        <v>2078</v>
      </c>
      <c r="M2067" s="25">
        <f>DATE(YEAR(OneWeekMtgRatesDataTable75[[#This Row],[asOf]]),MONTH(OneWeekMtgRatesDataTable75[[#This Row],[asOf]]),DAY(OneWeekMtgRatesDataTable75[[#This Row],[asOf]]))</f>
        <v>39308</v>
      </c>
      <c r="N2067" s="51">
        <v>6.62</v>
      </c>
      <c r="O2067" s="51">
        <v>0.4</v>
      </c>
      <c r="P2067" s="51">
        <v>6.47</v>
      </c>
    </row>
    <row r="2068" spans="12:16">
      <c r="L2068" s="51" t="s">
        <v>2079</v>
      </c>
      <c r="M2068" s="25">
        <f>DATE(YEAR(OneWeekMtgRatesDataTable75[[#This Row],[asOf]]),MONTH(OneWeekMtgRatesDataTable75[[#This Row],[asOf]]),DAY(OneWeekMtgRatesDataTable75[[#This Row],[asOf]]))</f>
        <v>39307</v>
      </c>
      <c r="N2068" s="51">
        <v>6.62</v>
      </c>
      <c r="O2068" s="51">
        <v>0.4</v>
      </c>
      <c r="P2068" s="51">
        <v>6.47</v>
      </c>
    </row>
    <row r="2069" spans="12:16">
      <c r="L2069" s="51" t="s">
        <v>2080</v>
      </c>
      <c r="M2069" s="25">
        <f>DATE(YEAR(OneWeekMtgRatesDataTable75[[#This Row],[asOf]]),MONTH(OneWeekMtgRatesDataTable75[[#This Row],[asOf]]),DAY(OneWeekMtgRatesDataTable75[[#This Row],[asOf]]))</f>
        <v>39304</v>
      </c>
      <c r="N2069" s="51">
        <v>6.62</v>
      </c>
      <c r="O2069" s="51">
        <v>0.4</v>
      </c>
      <c r="P2069" s="51">
        <v>6.47</v>
      </c>
    </row>
    <row r="2070" spans="12:16">
      <c r="L2070" s="51" t="s">
        <v>2081</v>
      </c>
      <c r="M2070" s="25">
        <f>DATE(YEAR(OneWeekMtgRatesDataTable75[[#This Row],[asOf]]),MONTH(OneWeekMtgRatesDataTable75[[#This Row],[asOf]]),DAY(OneWeekMtgRatesDataTable75[[#This Row],[asOf]]))</f>
        <v>39303</v>
      </c>
      <c r="N2070" s="51">
        <v>6.62</v>
      </c>
      <c r="O2070" s="51">
        <v>0.4</v>
      </c>
      <c r="P2070" s="51">
        <v>6.47</v>
      </c>
    </row>
    <row r="2071" spans="12:16">
      <c r="L2071" s="51" t="s">
        <v>2082</v>
      </c>
      <c r="M2071" s="25">
        <f>DATE(YEAR(OneWeekMtgRatesDataTable75[[#This Row],[asOf]]),MONTH(OneWeekMtgRatesDataTable75[[#This Row],[asOf]]),DAY(OneWeekMtgRatesDataTable75[[#This Row],[asOf]]))</f>
        <v>39302</v>
      </c>
      <c r="N2071" s="51">
        <v>6.59</v>
      </c>
      <c r="O2071" s="51">
        <v>0.4</v>
      </c>
      <c r="P2071" s="51">
        <v>6.4399999999999995</v>
      </c>
    </row>
    <row r="2072" spans="12:16">
      <c r="L2072" s="51" t="s">
        <v>2083</v>
      </c>
      <c r="M2072" s="25">
        <f>DATE(YEAR(OneWeekMtgRatesDataTable75[[#This Row],[asOf]]),MONTH(OneWeekMtgRatesDataTable75[[#This Row],[asOf]]),DAY(OneWeekMtgRatesDataTable75[[#This Row],[asOf]]))</f>
        <v>39301</v>
      </c>
      <c r="N2072" s="51">
        <v>6.59</v>
      </c>
      <c r="O2072" s="51">
        <v>0.4</v>
      </c>
      <c r="P2072" s="51">
        <v>6.4399999999999995</v>
      </c>
    </row>
    <row r="2073" spans="12:16">
      <c r="L2073" s="51" t="s">
        <v>2084</v>
      </c>
      <c r="M2073" s="25">
        <f>DATE(YEAR(OneWeekMtgRatesDataTable75[[#This Row],[asOf]]),MONTH(OneWeekMtgRatesDataTable75[[#This Row],[asOf]]),DAY(OneWeekMtgRatesDataTable75[[#This Row],[asOf]]))</f>
        <v>39300</v>
      </c>
      <c r="N2073" s="51">
        <v>6.59</v>
      </c>
      <c r="O2073" s="51">
        <v>0.4</v>
      </c>
      <c r="P2073" s="51">
        <v>6.4399999999999995</v>
      </c>
    </row>
    <row r="2074" spans="12:16">
      <c r="L2074" s="51" t="s">
        <v>2085</v>
      </c>
      <c r="M2074" s="25">
        <f>DATE(YEAR(OneWeekMtgRatesDataTable75[[#This Row],[asOf]]),MONTH(OneWeekMtgRatesDataTable75[[#This Row],[asOf]]),DAY(OneWeekMtgRatesDataTable75[[#This Row],[asOf]]))</f>
        <v>39297</v>
      </c>
      <c r="N2074" s="51">
        <v>6.59</v>
      </c>
      <c r="O2074" s="51">
        <v>0.4</v>
      </c>
      <c r="P2074" s="51">
        <v>6.4399999999999995</v>
      </c>
    </row>
    <row r="2075" spans="12:16">
      <c r="L2075" s="51" t="s">
        <v>2086</v>
      </c>
      <c r="M2075" s="25">
        <f>DATE(YEAR(OneWeekMtgRatesDataTable75[[#This Row],[asOf]]),MONTH(OneWeekMtgRatesDataTable75[[#This Row],[asOf]]),DAY(OneWeekMtgRatesDataTable75[[#This Row],[asOf]]))</f>
        <v>39296</v>
      </c>
      <c r="N2075" s="51">
        <v>6.59</v>
      </c>
      <c r="O2075" s="51">
        <v>0.4</v>
      </c>
      <c r="P2075" s="51">
        <v>6.4399999999999995</v>
      </c>
    </row>
    <row r="2076" spans="12:16">
      <c r="L2076" s="51" t="s">
        <v>2087</v>
      </c>
      <c r="M2076" s="25">
        <f>DATE(YEAR(OneWeekMtgRatesDataTable75[[#This Row],[asOf]]),MONTH(OneWeekMtgRatesDataTable75[[#This Row],[asOf]]),DAY(OneWeekMtgRatesDataTable75[[#This Row],[asOf]]))</f>
        <v>39295</v>
      </c>
      <c r="N2076" s="51">
        <v>6.68</v>
      </c>
      <c r="O2076" s="51">
        <v>0.3</v>
      </c>
      <c r="P2076" s="51">
        <v>6.5049999999999999</v>
      </c>
    </row>
    <row r="2077" spans="12:16">
      <c r="L2077" s="51" t="s">
        <v>2088</v>
      </c>
      <c r="M2077" s="25">
        <f>DATE(YEAR(OneWeekMtgRatesDataTable75[[#This Row],[asOf]]),MONTH(OneWeekMtgRatesDataTable75[[#This Row],[asOf]]),DAY(OneWeekMtgRatesDataTable75[[#This Row],[asOf]]))</f>
        <v>39294</v>
      </c>
      <c r="N2077" s="51">
        <v>6.68</v>
      </c>
      <c r="O2077" s="51">
        <v>0.3</v>
      </c>
      <c r="P2077" s="51">
        <v>6.5049999999999999</v>
      </c>
    </row>
    <row r="2078" spans="12:16">
      <c r="L2078" s="51" t="s">
        <v>2089</v>
      </c>
      <c r="M2078" s="25">
        <f>DATE(YEAR(OneWeekMtgRatesDataTable75[[#This Row],[asOf]]),MONTH(OneWeekMtgRatesDataTable75[[#This Row],[asOf]]),DAY(OneWeekMtgRatesDataTable75[[#This Row],[asOf]]))</f>
        <v>39293</v>
      </c>
      <c r="N2078" s="51">
        <v>6.68</v>
      </c>
      <c r="O2078" s="51">
        <v>0.3</v>
      </c>
      <c r="P2078" s="51">
        <v>6.5049999999999999</v>
      </c>
    </row>
    <row r="2079" spans="12:16">
      <c r="L2079" s="51" t="s">
        <v>2090</v>
      </c>
      <c r="M2079" s="25">
        <f>DATE(YEAR(OneWeekMtgRatesDataTable75[[#This Row],[asOf]]),MONTH(OneWeekMtgRatesDataTable75[[#This Row],[asOf]]),DAY(OneWeekMtgRatesDataTable75[[#This Row],[asOf]]))</f>
        <v>39290</v>
      </c>
      <c r="N2079" s="51">
        <v>6.68</v>
      </c>
      <c r="O2079" s="51">
        <v>0.3</v>
      </c>
      <c r="P2079" s="51">
        <v>6.5049999999999999</v>
      </c>
    </row>
    <row r="2080" spans="12:16">
      <c r="L2080" s="51" t="s">
        <v>2091</v>
      </c>
      <c r="M2080" s="25">
        <f>DATE(YEAR(OneWeekMtgRatesDataTable75[[#This Row],[asOf]]),MONTH(OneWeekMtgRatesDataTable75[[#This Row],[asOf]]),DAY(OneWeekMtgRatesDataTable75[[#This Row],[asOf]]))</f>
        <v>39289</v>
      </c>
      <c r="N2080" s="51">
        <v>6.68</v>
      </c>
      <c r="O2080" s="51">
        <v>0.3</v>
      </c>
      <c r="P2080" s="51">
        <v>6.5049999999999999</v>
      </c>
    </row>
    <row r="2081" spans="12:16">
      <c r="L2081" s="51" t="s">
        <v>2092</v>
      </c>
      <c r="M2081" s="25">
        <f>DATE(YEAR(OneWeekMtgRatesDataTable75[[#This Row],[asOf]]),MONTH(OneWeekMtgRatesDataTable75[[#This Row],[asOf]]),DAY(OneWeekMtgRatesDataTable75[[#This Row],[asOf]]))</f>
        <v>39288</v>
      </c>
      <c r="N2081" s="51">
        <v>6.69</v>
      </c>
      <c r="O2081" s="51">
        <v>0.4</v>
      </c>
      <c r="P2081" s="51">
        <v>6.54</v>
      </c>
    </row>
    <row r="2082" spans="12:16">
      <c r="L2082" s="51" t="s">
        <v>2093</v>
      </c>
      <c r="M2082" s="25">
        <f>DATE(YEAR(OneWeekMtgRatesDataTable75[[#This Row],[asOf]]),MONTH(OneWeekMtgRatesDataTable75[[#This Row],[asOf]]),DAY(OneWeekMtgRatesDataTable75[[#This Row],[asOf]]))</f>
        <v>39287</v>
      </c>
      <c r="N2082" s="51">
        <v>6.69</v>
      </c>
      <c r="O2082" s="51">
        <v>0.4</v>
      </c>
      <c r="P2082" s="51">
        <v>6.54</v>
      </c>
    </row>
    <row r="2083" spans="12:16">
      <c r="L2083" s="51" t="s">
        <v>2094</v>
      </c>
      <c r="M2083" s="25">
        <f>DATE(YEAR(OneWeekMtgRatesDataTable75[[#This Row],[asOf]]),MONTH(OneWeekMtgRatesDataTable75[[#This Row],[asOf]]),DAY(OneWeekMtgRatesDataTable75[[#This Row],[asOf]]))</f>
        <v>39286</v>
      </c>
      <c r="N2083" s="51">
        <v>6.69</v>
      </c>
      <c r="O2083" s="51">
        <v>0.4</v>
      </c>
      <c r="P2083" s="51">
        <v>6.54</v>
      </c>
    </row>
    <row r="2084" spans="12:16">
      <c r="L2084" s="51" t="s">
        <v>2095</v>
      </c>
      <c r="M2084" s="25">
        <f>DATE(YEAR(OneWeekMtgRatesDataTable75[[#This Row],[asOf]]),MONTH(OneWeekMtgRatesDataTable75[[#This Row],[asOf]]),DAY(OneWeekMtgRatesDataTable75[[#This Row],[asOf]]))</f>
        <v>39283</v>
      </c>
      <c r="N2084" s="51">
        <v>6.69</v>
      </c>
      <c r="O2084" s="51">
        <v>0.4</v>
      </c>
      <c r="P2084" s="51">
        <v>6.54</v>
      </c>
    </row>
    <row r="2085" spans="12:16">
      <c r="L2085" s="51" t="s">
        <v>2096</v>
      </c>
      <c r="M2085" s="25">
        <f>DATE(YEAR(OneWeekMtgRatesDataTable75[[#This Row],[asOf]]),MONTH(OneWeekMtgRatesDataTable75[[#This Row],[asOf]]),DAY(OneWeekMtgRatesDataTable75[[#This Row],[asOf]]))</f>
        <v>39282</v>
      </c>
      <c r="N2085" s="51">
        <v>6.69</v>
      </c>
      <c r="O2085" s="51">
        <v>0.4</v>
      </c>
      <c r="P2085" s="51">
        <v>6.54</v>
      </c>
    </row>
    <row r="2086" spans="12:16">
      <c r="L2086" s="51" t="s">
        <v>2097</v>
      </c>
      <c r="M2086" s="25">
        <f>DATE(YEAR(OneWeekMtgRatesDataTable75[[#This Row],[asOf]]),MONTH(OneWeekMtgRatesDataTable75[[#This Row],[asOf]]),DAY(OneWeekMtgRatesDataTable75[[#This Row],[asOf]]))</f>
        <v>39281</v>
      </c>
      <c r="N2086" s="51">
        <v>6.73</v>
      </c>
      <c r="O2086" s="51">
        <v>0.4</v>
      </c>
      <c r="P2086" s="51">
        <v>6.58</v>
      </c>
    </row>
    <row r="2087" spans="12:16">
      <c r="L2087" s="51" t="s">
        <v>2098</v>
      </c>
      <c r="M2087" s="25">
        <f>DATE(YEAR(OneWeekMtgRatesDataTable75[[#This Row],[asOf]]),MONTH(OneWeekMtgRatesDataTable75[[#This Row],[asOf]]),DAY(OneWeekMtgRatesDataTable75[[#This Row],[asOf]]))</f>
        <v>39280</v>
      </c>
      <c r="N2087" s="51">
        <v>6.73</v>
      </c>
      <c r="O2087" s="51">
        <v>0.4</v>
      </c>
      <c r="P2087" s="51">
        <v>6.58</v>
      </c>
    </row>
    <row r="2088" spans="12:16">
      <c r="L2088" s="51" t="s">
        <v>2099</v>
      </c>
      <c r="M2088" s="25">
        <f>DATE(YEAR(OneWeekMtgRatesDataTable75[[#This Row],[asOf]]),MONTH(OneWeekMtgRatesDataTable75[[#This Row],[asOf]]),DAY(OneWeekMtgRatesDataTable75[[#This Row],[asOf]]))</f>
        <v>39279</v>
      </c>
      <c r="N2088" s="51">
        <v>6.73</v>
      </c>
      <c r="O2088" s="51">
        <v>0.4</v>
      </c>
      <c r="P2088" s="51">
        <v>6.58</v>
      </c>
    </row>
    <row r="2089" spans="12:16">
      <c r="L2089" s="51" t="s">
        <v>2100</v>
      </c>
      <c r="M2089" s="25">
        <f>DATE(YEAR(OneWeekMtgRatesDataTable75[[#This Row],[asOf]]),MONTH(OneWeekMtgRatesDataTable75[[#This Row],[asOf]]),DAY(OneWeekMtgRatesDataTable75[[#This Row],[asOf]]))</f>
        <v>39276</v>
      </c>
      <c r="N2089" s="51">
        <v>6.73</v>
      </c>
      <c r="O2089" s="51">
        <v>0.4</v>
      </c>
      <c r="P2089" s="51">
        <v>6.58</v>
      </c>
    </row>
    <row r="2090" spans="12:16">
      <c r="L2090" s="51" t="s">
        <v>2101</v>
      </c>
      <c r="M2090" s="25">
        <f>DATE(YEAR(OneWeekMtgRatesDataTable75[[#This Row],[asOf]]),MONTH(OneWeekMtgRatesDataTable75[[#This Row],[asOf]]),DAY(OneWeekMtgRatesDataTable75[[#This Row],[asOf]]))</f>
        <v>39275</v>
      </c>
      <c r="N2090" s="51">
        <v>6.73</v>
      </c>
      <c r="O2090" s="51">
        <v>0.4</v>
      </c>
      <c r="P2090" s="51">
        <v>6.58</v>
      </c>
    </row>
    <row r="2091" spans="12:16">
      <c r="L2091" s="51" t="s">
        <v>2102</v>
      </c>
      <c r="M2091" s="25">
        <f>DATE(YEAR(OneWeekMtgRatesDataTable75[[#This Row],[asOf]]),MONTH(OneWeekMtgRatesDataTable75[[#This Row],[asOf]]),DAY(OneWeekMtgRatesDataTable75[[#This Row],[asOf]]))</f>
        <v>39274</v>
      </c>
      <c r="N2091" s="51">
        <v>6.73</v>
      </c>
      <c r="O2091" s="51">
        <v>0.4</v>
      </c>
      <c r="P2091" s="51">
        <v>6.58</v>
      </c>
    </row>
    <row r="2092" spans="12:16">
      <c r="L2092" s="51" t="s">
        <v>2103</v>
      </c>
      <c r="M2092" s="25">
        <f>DATE(YEAR(OneWeekMtgRatesDataTable75[[#This Row],[asOf]]),MONTH(OneWeekMtgRatesDataTable75[[#This Row],[asOf]]),DAY(OneWeekMtgRatesDataTable75[[#This Row],[asOf]]))</f>
        <v>39273</v>
      </c>
      <c r="N2092" s="51">
        <v>6.73</v>
      </c>
      <c r="O2092" s="51">
        <v>0.4</v>
      </c>
      <c r="P2092" s="51">
        <v>6.58</v>
      </c>
    </row>
    <row r="2093" spans="12:16">
      <c r="L2093" s="51" t="s">
        <v>2104</v>
      </c>
      <c r="M2093" s="25">
        <f>DATE(YEAR(OneWeekMtgRatesDataTable75[[#This Row],[asOf]]),MONTH(OneWeekMtgRatesDataTable75[[#This Row],[asOf]]),DAY(OneWeekMtgRatesDataTable75[[#This Row],[asOf]]))</f>
        <v>39272</v>
      </c>
      <c r="N2093" s="51">
        <v>6.73</v>
      </c>
      <c r="O2093" s="51">
        <v>0.4</v>
      </c>
      <c r="P2093" s="51">
        <v>6.58</v>
      </c>
    </row>
    <row r="2094" spans="12:16">
      <c r="L2094" s="51" t="s">
        <v>2105</v>
      </c>
      <c r="M2094" s="25">
        <f>DATE(YEAR(OneWeekMtgRatesDataTable75[[#This Row],[asOf]]),MONTH(OneWeekMtgRatesDataTable75[[#This Row],[asOf]]),DAY(OneWeekMtgRatesDataTable75[[#This Row],[asOf]]))</f>
        <v>39269</v>
      </c>
      <c r="N2094" s="51">
        <v>6.73</v>
      </c>
      <c r="O2094" s="51">
        <v>0.4</v>
      </c>
      <c r="P2094" s="51">
        <v>6.58</v>
      </c>
    </row>
    <row r="2095" spans="12:16">
      <c r="L2095" s="51" t="s">
        <v>2106</v>
      </c>
      <c r="M2095" s="25">
        <f>DATE(YEAR(OneWeekMtgRatesDataTable75[[#This Row],[asOf]]),MONTH(OneWeekMtgRatesDataTable75[[#This Row],[asOf]]),DAY(OneWeekMtgRatesDataTable75[[#This Row],[asOf]]))</f>
        <v>39268</v>
      </c>
      <c r="N2095" s="51">
        <v>6.73</v>
      </c>
      <c r="O2095" s="51">
        <v>0.4</v>
      </c>
      <c r="P2095" s="51">
        <v>6.58</v>
      </c>
    </row>
    <row r="2096" spans="12:16">
      <c r="L2096" s="51" t="s">
        <v>2107</v>
      </c>
      <c r="M2096" s="25">
        <f>DATE(YEAR(OneWeekMtgRatesDataTable75[[#This Row],[asOf]]),MONTH(OneWeekMtgRatesDataTable75[[#This Row],[asOf]]),DAY(OneWeekMtgRatesDataTable75[[#This Row],[asOf]]))</f>
        <v>39266</v>
      </c>
      <c r="N2096" s="51">
        <v>6.63</v>
      </c>
      <c r="O2096" s="51">
        <v>0.4</v>
      </c>
      <c r="P2096" s="51">
        <v>6.4799999999999995</v>
      </c>
    </row>
    <row r="2097" spans="12:16">
      <c r="L2097" s="51" t="s">
        <v>2108</v>
      </c>
      <c r="M2097" s="25">
        <f>DATE(YEAR(OneWeekMtgRatesDataTable75[[#This Row],[asOf]]),MONTH(OneWeekMtgRatesDataTable75[[#This Row],[asOf]]),DAY(OneWeekMtgRatesDataTable75[[#This Row],[asOf]]))</f>
        <v>39265</v>
      </c>
      <c r="N2097" s="51">
        <v>6.63</v>
      </c>
      <c r="O2097" s="51">
        <v>0.4</v>
      </c>
      <c r="P2097" s="51">
        <v>6.4799999999999995</v>
      </c>
    </row>
    <row r="2098" spans="12:16">
      <c r="L2098" s="51" t="s">
        <v>2109</v>
      </c>
      <c r="M2098" s="25">
        <f>DATE(YEAR(OneWeekMtgRatesDataTable75[[#This Row],[asOf]]),MONTH(OneWeekMtgRatesDataTable75[[#This Row],[asOf]]),DAY(OneWeekMtgRatesDataTable75[[#This Row],[asOf]]))</f>
        <v>39262</v>
      </c>
      <c r="N2098" s="51">
        <v>6.63</v>
      </c>
      <c r="O2098" s="51">
        <v>0.4</v>
      </c>
      <c r="P2098" s="51">
        <v>6.4799999999999995</v>
      </c>
    </row>
    <row r="2099" spans="12:16">
      <c r="L2099" s="51" t="s">
        <v>2110</v>
      </c>
      <c r="M2099" s="25">
        <f>DATE(YEAR(OneWeekMtgRatesDataTable75[[#This Row],[asOf]]),MONTH(OneWeekMtgRatesDataTable75[[#This Row],[asOf]]),DAY(OneWeekMtgRatesDataTable75[[#This Row],[asOf]]))</f>
        <v>39261</v>
      </c>
      <c r="N2099" s="51">
        <v>6.63</v>
      </c>
      <c r="O2099" s="51">
        <v>0.4</v>
      </c>
      <c r="P2099" s="51">
        <v>6.4799999999999995</v>
      </c>
    </row>
    <row r="2100" spans="12:16">
      <c r="L2100" s="51" t="s">
        <v>2111</v>
      </c>
      <c r="M2100" s="25">
        <f>DATE(YEAR(OneWeekMtgRatesDataTable75[[#This Row],[asOf]]),MONTH(OneWeekMtgRatesDataTable75[[#This Row],[asOf]]),DAY(OneWeekMtgRatesDataTable75[[#This Row],[asOf]]))</f>
        <v>39260</v>
      </c>
      <c r="N2100" s="51">
        <v>6.67</v>
      </c>
      <c r="O2100" s="51">
        <v>0.4</v>
      </c>
      <c r="P2100" s="51">
        <v>6.52</v>
      </c>
    </row>
    <row r="2101" spans="12:16">
      <c r="L2101" s="51" t="s">
        <v>2112</v>
      </c>
      <c r="M2101" s="25">
        <f>DATE(YEAR(OneWeekMtgRatesDataTable75[[#This Row],[asOf]]),MONTH(OneWeekMtgRatesDataTable75[[#This Row],[asOf]]),DAY(OneWeekMtgRatesDataTable75[[#This Row],[asOf]]))</f>
        <v>39259</v>
      </c>
      <c r="N2101" s="51">
        <v>6.67</v>
      </c>
      <c r="O2101" s="51">
        <v>0.4</v>
      </c>
      <c r="P2101" s="51">
        <v>6.52</v>
      </c>
    </row>
    <row r="2102" spans="12:16">
      <c r="L2102" s="51" t="s">
        <v>2113</v>
      </c>
      <c r="M2102" s="25">
        <f>DATE(YEAR(OneWeekMtgRatesDataTable75[[#This Row],[asOf]]),MONTH(OneWeekMtgRatesDataTable75[[#This Row],[asOf]]),DAY(OneWeekMtgRatesDataTable75[[#This Row],[asOf]]))</f>
        <v>39258</v>
      </c>
      <c r="N2102" s="51">
        <v>6.67</v>
      </c>
      <c r="O2102" s="51">
        <v>0.4</v>
      </c>
      <c r="P2102" s="51">
        <v>6.52</v>
      </c>
    </row>
    <row r="2103" spans="12:16">
      <c r="L2103" s="51" t="s">
        <v>2114</v>
      </c>
      <c r="M2103" s="25">
        <f>DATE(YEAR(OneWeekMtgRatesDataTable75[[#This Row],[asOf]]),MONTH(OneWeekMtgRatesDataTable75[[#This Row],[asOf]]),DAY(OneWeekMtgRatesDataTable75[[#This Row],[asOf]]))</f>
        <v>39255</v>
      </c>
      <c r="N2103" s="51">
        <v>6.67</v>
      </c>
      <c r="O2103" s="51">
        <v>0.4</v>
      </c>
      <c r="P2103" s="51">
        <v>6.52</v>
      </c>
    </row>
    <row r="2104" spans="12:16">
      <c r="L2104" s="51" t="s">
        <v>2115</v>
      </c>
      <c r="M2104" s="25">
        <f>DATE(YEAR(OneWeekMtgRatesDataTable75[[#This Row],[asOf]]),MONTH(OneWeekMtgRatesDataTable75[[#This Row],[asOf]]),DAY(OneWeekMtgRatesDataTable75[[#This Row],[asOf]]))</f>
        <v>39254</v>
      </c>
      <c r="N2104" s="51">
        <v>6.67</v>
      </c>
      <c r="O2104" s="51">
        <v>0.4</v>
      </c>
      <c r="P2104" s="51">
        <v>6.52</v>
      </c>
    </row>
    <row r="2105" spans="12:16">
      <c r="L2105" s="51" t="s">
        <v>2116</v>
      </c>
      <c r="M2105" s="25">
        <f>DATE(YEAR(OneWeekMtgRatesDataTable75[[#This Row],[asOf]]),MONTH(OneWeekMtgRatesDataTable75[[#This Row],[asOf]]),DAY(OneWeekMtgRatesDataTable75[[#This Row],[asOf]]))</f>
        <v>39253</v>
      </c>
      <c r="N2105" s="51">
        <v>6.69</v>
      </c>
      <c r="O2105" s="51">
        <v>0.5</v>
      </c>
      <c r="P2105" s="51">
        <v>6.5650000000000004</v>
      </c>
    </row>
    <row r="2106" spans="12:16">
      <c r="L2106" s="51" t="s">
        <v>2117</v>
      </c>
      <c r="M2106" s="25">
        <f>DATE(YEAR(OneWeekMtgRatesDataTable75[[#This Row],[asOf]]),MONTH(OneWeekMtgRatesDataTable75[[#This Row],[asOf]]),DAY(OneWeekMtgRatesDataTable75[[#This Row],[asOf]]))</f>
        <v>39252</v>
      </c>
      <c r="N2106" s="51">
        <v>6.69</v>
      </c>
      <c r="O2106" s="51">
        <v>0.5</v>
      </c>
      <c r="P2106" s="51">
        <v>6.5650000000000004</v>
      </c>
    </row>
    <row r="2107" spans="12:16">
      <c r="L2107" s="51" t="s">
        <v>2118</v>
      </c>
      <c r="M2107" s="25">
        <f>DATE(YEAR(OneWeekMtgRatesDataTable75[[#This Row],[asOf]]),MONTH(OneWeekMtgRatesDataTable75[[#This Row],[asOf]]),DAY(OneWeekMtgRatesDataTable75[[#This Row],[asOf]]))</f>
        <v>39251</v>
      </c>
      <c r="N2107" s="51">
        <v>6.69</v>
      </c>
      <c r="O2107" s="51">
        <v>0.5</v>
      </c>
      <c r="P2107" s="51">
        <v>6.5650000000000004</v>
      </c>
    </row>
    <row r="2108" spans="12:16">
      <c r="L2108" s="51" t="s">
        <v>2119</v>
      </c>
      <c r="M2108" s="25">
        <f>DATE(YEAR(OneWeekMtgRatesDataTable75[[#This Row],[asOf]]),MONTH(OneWeekMtgRatesDataTable75[[#This Row],[asOf]]),DAY(OneWeekMtgRatesDataTable75[[#This Row],[asOf]]))</f>
        <v>39248</v>
      </c>
      <c r="N2108" s="51">
        <v>6.69</v>
      </c>
      <c r="O2108" s="51">
        <v>0.5</v>
      </c>
      <c r="P2108" s="51">
        <v>6.5650000000000004</v>
      </c>
    </row>
    <row r="2109" spans="12:16">
      <c r="L2109" s="51" t="s">
        <v>2120</v>
      </c>
      <c r="M2109" s="25">
        <f>DATE(YEAR(OneWeekMtgRatesDataTable75[[#This Row],[asOf]]),MONTH(OneWeekMtgRatesDataTable75[[#This Row],[asOf]]),DAY(OneWeekMtgRatesDataTable75[[#This Row],[asOf]]))</f>
        <v>39247</v>
      </c>
      <c r="N2109" s="51">
        <v>6.69</v>
      </c>
      <c r="O2109" s="51">
        <v>0.5</v>
      </c>
      <c r="P2109" s="51">
        <v>6.5650000000000004</v>
      </c>
    </row>
    <row r="2110" spans="12:16">
      <c r="L2110" s="51" t="s">
        <v>2121</v>
      </c>
      <c r="M2110" s="25">
        <f>DATE(YEAR(OneWeekMtgRatesDataTable75[[#This Row],[asOf]]),MONTH(OneWeekMtgRatesDataTable75[[#This Row],[asOf]]),DAY(OneWeekMtgRatesDataTable75[[#This Row],[asOf]]))</f>
        <v>39246</v>
      </c>
      <c r="N2110" s="51">
        <v>6.74</v>
      </c>
      <c r="O2110" s="51">
        <v>0.4</v>
      </c>
      <c r="P2110" s="51">
        <v>6.59</v>
      </c>
    </row>
    <row r="2111" spans="12:16">
      <c r="L2111" s="51" t="s">
        <v>2122</v>
      </c>
      <c r="M2111" s="25">
        <f>DATE(YEAR(OneWeekMtgRatesDataTable75[[#This Row],[asOf]]),MONTH(OneWeekMtgRatesDataTable75[[#This Row],[asOf]]),DAY(OneWeekMtgRatesDataTable75[[#This Row],[asOf]]))</f>
        <v>39245</v>
      </c>
      <c r="N2111" s="51">
        <v>6.74</v>
      </c>
      <c r="O2111" s="51">
        <v>0.4</v>
      </c>
      <c r="P2111" s="51">
        <v>6.59</v>
      </c>
    </row>
    <row r="2112" spans="12:16">
      <c r="L2112" s="51" t="s">
        <v>2123</v>
      </c>
      <c r="M2112" s="25">
        <f>DATE(YEAR(OneWeekMtgRatesDataTable75[[#This Row],[asOf]]),MONTH(OneWeekMtgRatesDataTable75[[#This Row],[asOf]]),DAY(OneWeekMtgRatesDataTable75[[#This Row],[asOf]]))</f>
        <v>39244</v>
      </c>
      <c r="N2112" s="51">
        <v>6.74</v>
      </c>
      <c r="O2112" s="51">
        <v>0.4</v>
      </c>
      <c r="P2112" s="51">
        <v>6.59</v>
      </c>
    </row>
    <row r="2113" spans="12:16">
      <c r="L2113" s="51" t="s">
        <v>2124</v>
      </c>
      <c r="M2113" s="25">
        <f>DATE(YEAR(OneWeekMtgRatesDataTable75[[#This Row],[asOf]]),MONTH(OneWeekMtgRatesDataTable75[[#This Row],[asOf]]),DAY(OneWeekMtgRatesDataTable75[[#This Row],[asOf]]))</f>
        <v>39241</v>
      </c>
      <c r="N2113" s="51">
        <v>6.74</v>
      </c>
      <c r="O2113" s="51">
        <v>0.4</v>
      </c>
      <c r="P2113" s="51">
        <v>6.59</v>
      </c>
    </row>
    <row r="2114" spans="12:16">
      <c r="L2114" s="51" t="s">
        <v>2125</v>
      </c>
      <c r="M2114" s="25">
        <f>DATE(YEAR(OneWeekMtgRatesDataTable75[[#This Row],[asOf]]),MONTH(OneWeekMtgRatesDataTable75[[#This Row],[asOf]]),DAY(OneWeekMtgRatesDataTable75[[#This Row],[asOf]]))</f>
        <v>39240</v>
      </c>
      <c r="N2114" s="51">
        <v>6.74</v>
      </c>
      <c r="O2114" s="51">
        <v>0.4</v>
      </c>
      <c r="P2114" s="51">
        <v>6.59</v>
      </c>
    </row>
    <row r="2115" spans="12:16">
      <c r="L2115" s="51" t="s">
        <v>2126</v>
      </c>
      <c r="M2115" s="25">
        <f>DATE(YEAR(OneWeekMtgRatesDataTable75[[#This Row],[asOf]]),MONTH(OneWeekMtgRatesDataTable75[[#This Row],[asOf]]),DAY(OneWeekMtgRatesDataTable75[[#This Row],[asOf]]))</f>
        <v>39239</v>
      </c>
      <c r="N2115" s="51">
        <v>6.53</v>
      </c>
      <c r="O2115" s="51">
        <v>0.4</v>
      </c>
      <c r="P2115" s="51">
        <v>6.38</v>
      </c>
    </row>
    <row r="2116" spans="12:16">
      <c r="L2116" s="51" t="s">
        <v>2127</v>
      </c>
      <c r="M2116" s="25">
        <f>DATE(YEAR(OneWeekMtgRatesDataTable75[[#This Row],[asOf]]),MONTH(OneWeekMtgRatesDataTable75[[#This Row],[asOf]]),DAY(OneWeekMtgRatesDataTable75[[#This Row],[asOf]]))</f>
        <v>39238</v>
      </c>
      <c r="N2116" s="51">
        <v>6.53</v>
      </c>
      <c r="O2116" s="51">
        <v>0.4</v>
      </c>
      <c r="P2116" s="51">
        <v>6.38</v>
      </c>
    </row>
    <row r="2117" spans="12:16">
      <c r="L2117" s="51" t="s">
        <v>2128</v>
      </c>
      <c r="M2117" s="25">
        <f>DATE(YEAR(OneWeekMtgRatesDataTable75[[#This Row],[asOf]]),MONTH(OneWeekMtgRatesDataTable75[[#This Row],[asOf]]),DAY(OneWeekMtgRatesDataTable75[[#This Row],[asOf]]))</f>
        <v>39237</v>
      </c>
      <c r="N2117" s="51">
        <v>6.53</v>
      </c>
      <c r="O2117" s="51">
        <v>0.4</v>
      </c>
      <c r="P2117" s="51">
        <v>6.38</v>
      </c>
    </row>
    <row r="2118" spans="12:16">
      <c r="L2118" s="51" t="s">
        <v>2129</v>
      </c>
      <c r="M2118" s="25">
        <f>DATE(YEAR(OneWeekMtgRatesDataTable75[[#This Row],[asOf]]),MONTH(OneWeekMtgRatesDataTable75[[#This Row],[asOf]]),DAY(OneWeekMtgRatesDataTable75[[#This Row],[asOf]]))</f>
        <v>39234</v>
      </c>
      <c r="N2118" s="51">
        <v>6.53</v>
      </c>
      <c r="O2118" s="51">
        <v>0.4</v>
      </c>
      <c r="P2118" s="51">
        <v>6.38</v>
      </c>
    </row>
    <row r="2119" spans="12:16">
      <c r="L2119" s="51" t="s">
        <v>2130</v>
      </c>
      <c r="M2119" s="25">
        <f>DATE(YEAR(OneWeekMtgRatesDataTable75[[#This Row],[asOf]]),MONTH(OneWeekMtgRatesDataTable75[[#This Row],[asOf]]),DAY(OneWeekMtgRatesDataTable75[[#This Row],[asOf]]))</f>
        <v>39233</v>
      </c>
      <c r="N2119" s="51">
        <v>6.53</v>
      </c>
      <c r="O2119" s="51">
        <v>0.4</v>
      </c>
      <c r="P2119" s="51">
        <v>6.38</v>
      </c>
    </row>
    <row r="2120" spans="12:16">
      <c r="L2120" s="51" t="s">
        <v>2131</v>
      </c>
      <c r="M2120" s="25">
        <f>DATE(YEAR(OneWeekMtgRatesDataTable75[[#This Row],[asOf]]),MONTH(OneWeekMtgRatesDataTable75[[#This Row],[asOf]]),DAY(OneWeekMtgRatesDataTable75[[#This Row],[asOf]]))</f>
        <v>39232</v>
      </c>
      <c r="N2120" s="51">
        <v>6.42</v>
      </c>
      <c r="O2120" s="51">
        <v>0.4</v>
      </c>
      <c r="P2120" s="51">
        <v>6.27</v>
      </c>
    </row>
    <row r="2121" spans="12:16">
      <c r="L2121" s="51" t="s">
        <v>2132</v>
      </c>
      <c r="M2121" s="25">
        <f>DATE(YEAR(OneWeekMtgRatesDataTable75[[#This Row],[asOf]]),MONTH(OneWeekMtgRatesDataTable75[[#This Row],[asOf]]),DAY(OneWeekMtgRatesDataTable75[[#This Row],[asOf]]))</f>
        <v>39231</v>
      </c>
      <c r="N2121" s="51">
        <v>6.42</v>
      </c>
      <c r="O2121" s="51">
        <v>0.4</v>
      </c>
      <c r="P2121" s="51">
        <v>6.27</v>
      </c>
    </row>
    <row r="2122" spans="12:16">
      <c r="L2122" s="51" t="s">
        <v>2133</v>
      </c>
      <c r="M2122" s="25">
        <f>DATE(YEAR(OneWeekMtgRatesDataTable75[[#This Row],[asOf]]),MONTH(OneWeekMtgRatesDataTable75[[#This Row],[asOf]]),DAY(OneWeekMtgRatesDataTable75[[#This Row],[asOf]]))</f>
        <v>39227</v>
      </c>
      <c r="N2122" s="51">
        <v>6.42</v>
      </c>
      <c r="O2122" s="51">
        <v>0.4</v>
      </c>
      <c r="P2122" s="51">
        <v>6.27</v>
      </c>
    </row>
    <row r="2123" spans="12:16">
      <c r="L2123" s="51" t="s">
        <v>2134</v>
      </c>
      <c r="M2123" s="25">
        <f>DATE(YEAR(OneWeekMtgRatesDataTable75[[#This Row],[asOf]]),MONTH(OneWeekMtgRatesDataTable75[[#This Row],[asOf]]),DAY(OneWeekMtgRatesDataTable75[[#This Row],[asOf]]))</f>
        <v>39226</v>
      </c>
      <c r="N2123" s="51">
        <v>6.42</v>
      </c>
      <c r="O2123" s="51">
        <v>0.4</v>
      </c>
      <c r="P2123" s="51">
        <v>6.27</v>
      </c>
    </row>
    <row r="2124" spans="12:16">
      <c r="L2124" s="51" t="s">
        <v>2135</v>
      </c>
      <c r="M2124" s="25">
        <f>DATE(YEAR(OneWeekMtgRatesDataTable75[[#This Row],[asOf]]),MONTH(OneWeekMtgRatesDataTable75[[#This Row],[asOf]]),DAY(OneWeekMtgRatesDataTable75[[#This Row],[asOf]]))</f>
        <v>39225</v>
      </c>
      <c r="N2124" s="51">
        <v>6.37</v>
      </c>
      <c r="O2124" s="51">
        <v>0.4</v>
      </c>
      <c r="P2124" s="51">
        <v>6.22</v>
      </c>
    </row>
    <row r="2125" spans="12:16">
      <c r="L2125" s="51" t="s">
        <v>2136</v>
      </c>
      <c r="M2125" s="25">
        <f>DATE(YEAR(OneWeekMtgRatesDataTable75[[#This Row],[asOf]]),MONTH(OneWeekMtgRatesDataTable75[[#This Row],[asOf]]),DAY(OneWeekMtgRatesDataTable75[[#This Row],[asOf]]))</f>
        <v>39224</v>
      </c>
      <c r="N2125" s="51">
        <v>6.37</v>
      </c>
      <c r="O2125" s="51">
        <v>0.4</v>
      </c>
      <c r="P2125" s="51">
        <v>6.22</v>
      </c>
    </row>
    <row r="2126" spans="12:16">
      <c r="L2126" s="51" t="s">
        <v>2137</v>
      </c>
      <c r="M2126" s="25">
        <f>DATE(YEAR(OneWeekMtgRatesDataTable75[[#This Row],[asOf]]),MONTH(OneWeekMtgRatesDataTable75[[#This Row],[asOf]]),DAY(OneWeekMtgRatesDataTable75[[#This Row],[asOf]]))</f>
        <v>39223</v>
      </c>
      <c r="N2126" s="51">
        <v>6.37</v>
      </c>
      <c r="O2126" s="51">
        <v>0.4</v>
      </c>
      <c r="P2126" s="51">
        <v>6.22</v>
      </c>
    </row>
    <row r="2127" spans="12:16">
      <c r="L2127" s="51" t="s">
        <v>2138</v>
      </c>
      <c r="M2127" s="25">
        <f>DATE(YEAR(OneWeekMtgRatesDataTable75[[#This Row],[asOf]]),MONTH(OneWeekMtgRatesDataTable75[[#This Row],[asOf]]),DAY(OneWeekMtgRatesDataTable75[[#This Row],[asOf]]))</f>
        <v>39220</v>
      </c>
      <c r="N2127" s="51">
        <v>6.37</v>
      </c>
      <c r="O2127" s="51">
        <v>0.4</v>
      </c>
      <c r="P2127" s="51">
        <v>6.22</v>
      </c>
    </row>
    <row r="2128" spans="12:16">
      <c r="L2128" s="51" t="s">
        <v>2139</v>
      </c>
      <c r="M2128" s="25">
        <f>DATE(YEAR(OneWeekMtgRatesDataTable75[[#This Row],[asOf]]),MONTH(OneWeekMtgRatesDataTable75[[#This Row],[asOf]]),DAY(OneWeekMtgRatesDataTable75[[#This Row],[asOf]]))</f>
        <v>39219</v>
      </c>
      <c r="N2128" s="51">
        <v>6.37</v>
      </c>
      <c r="O2128" s="51">
        <v>0.4</v>
      </c>
      <c r="P2128" s="51">
        <v>6.22</v>
      </c>
    </row>
    <row r="2129" spans="12:16">
      <c r="L2129" s="51" t="s">
        <v>2140</v>
      </c>
      <c r="M2129" s="25">
        <f>DATE(YEAR(OneWeekMtgRatesDataTable75[[#This Row],[asOf]]),MONTH(OneWeekMtgRatesDataTable75[[#This Row],[asOf]]),DAY(OneWeekMtgRatesDataTable75[[#This Row],[asOf]]))</f>
        <v>39218</v>
      </c>
      <c r="N2129" s="51">
        <v>6.21</v>
      </c>
      <c r="O2129" s="51">
        <v>0.4</v>
      </c>
      <c r="P2129" s="51">
        <v>6.06</v>
      </c>
    </row>
    <row r="2130" spans="12:16">
      <c r="L2130" s="51" t="s">
        <v>2141</v>
      </c>
      <c r="M2130" s="25">
        <f>DATE(YEAR(OneWeekMtgRatesDataTable75[[#This Row],[asOf]]),MONTH(OneWeekMtgRatesDataTable75[[#This Row],[asOf]]),DAY(OneWeekMtgRatesDataTable75[[#This Row],[asOf]]))</f>
        <v>39217</v>
      </c>
      <c r="N2130" s="51">
        <v>6.21</v>
      </c>
      <c r="O2130" s="51">
        <v>0.4</v>
      </c>
      <c r="P2130" s="51">
        <v>6.06</v>
      </c>
    </row>
    <row r="2131" spans="12:16">
      <c r="L2131" s="51" t="s">
        <v>2142</v>
      </c>
      <c r="M2131" s="25">
        <f>DATE(YEAR(OneWeekMtgRatesDataTable75[[#This Row],[asOf]]),MONTH(OneWeekMtgRatesDataTable75[[#This Row],[asOf]]),DAY(OneWeekMtgRatesDataTable75[[#This Row],[asOf]]))</f>
        <v>39216</v>
      </c>
      <c r="N2131" s="51">
        <v>6.21</v>
      </c>
      <c r="O2131" s="51">
        <v>0.4</v>
      </c>
      <c r="P2131" s="51">
        <v>6.06</v>
      </c>
    </row>
    <row r="2132" spans="12:16">
      <c r="L2132" s="51" t="s">
        <v>2143</v>
      </c>
      <c r="M2132" s="25">
        <f>DATE(YEAR(OneWeekMtgRatesDataTable75[[#This Row],[asOf]]),MONTH(OneWeekMtgRatesDataTable75[[#This Row],[asOf]]),DAY(OneWeekMtgRatesDataTable75[[#This Row],[asOf]]))</f>
        <v>39213</v>
      </c>
      <c r="N2132" s="51">
        <v>6.21</v>
      </c>
      <c r="O2132" s="51">
        <v>0.4</v>
      </c>
      <c r="P2132" s="51">
        <v>6.06</v>
      </c>
    </row>
    <row r="2133" spans="12:16">
      <c r="L2133" s="51" t="s">
        <v>2144</v>
      </c>
      <c r="M2133" s="25">
        <f>DATE(YEAR(OneWeekMtgRatesDataTable75[[#This Row],[asOf]]),MONTH(OneWeekMtgRatesDataTable75[[#This Row],[asOf]]),DAY(OneWeekMtgRatesDataTable75[[#This Row],[asOf]]))</f>
        <v>39212</v>
      </c>
      <c r="N2133" s="51">
        <v>6.21</v>
      </c>
      <c r="O2133" s="51">
        <v>0.4</v>
      </c>
      <c r="P2133" s="51">
        <v>6.06</v>
      </c>
    </row>
    <row r="2134" spans="12:16">
      <c r="L2134" s="51" t="s">
        <v>2145</v>
      </c>
      <c r="M2134" s="25">
        <f>DATE(YEAR(OneWeekMtgRatesDataTable75[[#This Row],[asOf]]),MONTH(OneWeekMtgRatesDataTable75[[#This Row],[asOf]]),DAY(OneWeekMtgRatesDataTable75[[#This Row],[asOf]]))</f>
        <v>39211</v>
      </c>
      <c r="N2134" s="51">
        <v>6.15</v>
      </c>
      <c r="O2134" s="51">
        <v>0.5</v>
      </c>
      <c r="P2134" s="51">
        <v>6.0250000000000004</v>
      </c>
    </row>
    <row r="2135" spans="12:16">
      <c r="L2135" s="51" t="s">
        <v>2146</v>
      </c>
      <c r="M2135" s="25">
        <f>DATE(YEAR(OneWeekMtgRatesDataTable75[[#This Row],[asOf]]),MONTH(OneWeekMtgRatesDataTable75[[#This Row],[asOf]]),DAY(OneWeekMtgRatesDataTable75[[#This Row],[asOf]]))</f>
        <v>39210</v>
      </c>
      <c r="N2135" s="51">
        <v>6.15</v>
      </c>
      <c r="O2135" s="51">
        <v>0.5</v>
      </c>
      <c r="P2135" s="51">
        <v>6.0250000000000004</v>
      </c>
    </row>
    <row r="2136" spans="12:16">
      <c r="L2136" s="51" t="s">
        <v>2147</v>
      </c>
      <c r="M2136" s="25">
        <f>DATE(YEAR(OneWeekMtgRatesDataTable75[[#This Row],[asOf]]),MONTH(OneWeekMtgRatesDataTable75[[#This Row],[asOf]]),DAY(OneWeekMtgRatesDataTable75[[#This Row],[asOf]]))</f>
        <v>39209</v>
      </c>
      <c r="N2136" s="51">
        <v>6.15</v>
      </c>
      <c r="O2136" s="51">
        <v>0.5</v>
      </c>
      <c r="P2136" s="51">
        <v>6.0250000000000004</v>
      </c>
    </row>
    <row r="2137" spans="12:16">
      <c r="L2137" s="51" t="s">
        <v>2148</v>
      </c>
      <c r="M2137" s="25">
        <f>DATE(YEAR(OneWeekMtgRatesDataTable75[[#This Row],[asOf]]),MONTH(OneWeekMtgRatesDataTable75[[#This Row],[asOf]]),DAY(OneWeekMtgRatesDataTable75[[#This Row],[asOf]]))</f>
        <v>39206</v>
      </c>
      <c r="N2137" s="51">
        <v>6.15</v>
      </c>
      <c r="O2137" s="51">
        <v>0.5</v>
      </c>
      <c r="P2137" s="51">
        <v>6.0250000000000004</v>
      </c>
    </row>
    <row r="2138" spans="12:16">
      <c r="L2138" s="51" t="s">
        <v>2149</v>
      </c>
      <c r="M2138" s="25">
        <f>DATE(YEAR(OneWeekMtgRatesDataTable75[[#This Row],[asOf]]),MONTH(OneWeekMtgRatesDataTable75[[#This Row],[asOf]]),DAY(OneWeekMtgRatesDataTable75[[#This Row],[asOf]]))</f>
        <v>39205</v>
      </c>
      <c r="N2138" s="51">
        <v>6.15</v>
      </c>
      <c r="O2138" s="51">
        <v>0.5</v>
      </c>
      <c r="P2138" s="51">
        <v>6.0250000000000004</v>
      </c>
    </row>
    <row r="2139" spans="12:16">
      <c r="L2139" s="51" t="s">
        <v>2150</v>
      </c>
      <c r="M2139" s="25">
        <f>DATE(YEAR(OneWeekMtgRatesDataTable75[[#This Row],[asOf]]),MONTH(OneWeekMtgRatesDataTable75[[#This Row],[asOf]]),DAY(OneWeekMtgRatesDataTable75[[#This Row],[asOf]]))</f>
        <v>39204</v>
      </c>
      <c r="N2139" s="51">
        <v>6.16</v>
      </c>
      <c r="O2139" s="51">
        <v>0.5</v>
      </c>
      <c r="P2139" s="51">
        <v>6.0350000000000001</v>
      </c>
    </row>
    <row r="2140" spans="12:16">
      <c r="L2140" s="51" t="s">
        <v>2151</v>
      </c>
      <c r="M2140" s="25">
        <f>DATE(YEAR(OneWeekMtgRatesDataTable75[[#This Row],[asOf]]),MONTH(OneWeekMtgRatesDataTable75[[#This Row],[asOf]]),DAY(OneWeekMtgRatesDataTable75[[#This Row],[asOf]]))</f>
        <v>39203</v>
      </c>
      <c r="N2140" s="51">
        <v>6.16</v>
      </c>
      <c r="O2140" s="51">
        <v>0.5</v>
      </c>
      <c r="P2140" s="51">
        <v>6.0350000000000001</v>
      </c>
    </row>
    <row r="2141" spans="12:16">
      <c r="L2141" s="51" t="s">
        <v>2152</v>
      </c>
      <c r="M2141" s="25">
        <f>DATE(YEAR(OneWeekMtgRatesDataTable75[[#This Row],[asOf]]),MONTH(OneWeekMtgRatesDataTable75[[#This Row],[asOf]]),DAY(OneWeekMtgRatesDataTable75[[#This Row],[asOf]]))</f>
        <v>39202</v>
      </c>
      <c r="N2141" s="51">
        <v>6.16</v>
      </c>
      <c r="O2141" s="51">
        <v>0.5</v>
      </c>
      <c r="P2141" s="51">
        <v>6.0350000000000001</v>
      </c>
    </row>
    <row r="2142" spans="12:16">
      <c r="L2142" s="51" t="s">
        <v>2153</v>
      </c>
      <c r="M2142" s="25">
        <f>DATE(YEAR(OneWeekMtgRatesDataTable75[[#This Row],[asOf]]),MONTH(OneWeekMtgRatesDataTable75[[#This Row],[asOf]]),DAY(OneWeekMtgRatesDataTable75[[#This Row],[asOf]]))</f>
        <v>39199</v>
      </c>
      <c r="N2142" s="51">
        <v>6.16</v>
      </c>
      <c r="O2142" s="51">
        <v>0.5</v>
      </c>
      <c r="P2142" s="51">
        <v>6.0350000000000001</v>
      </c>
    </row>
    <row r="2143" spans="12:16">
      <c r="L2143" s="51" t="s">
        <v>2154</v>
      </c>
      <c r="M2143" s="25">
        <f>DATE(YEAR(OneWeekMtgRatesDataTable75[[#This Row],[asOf]]),MONTH(OneWeekMtgRatesDataTable75[[#This Row],[asOf]]),DAY(OneWeekMtgRatesDataTable75[[#This Row],[asOf]]))</f>
        <v>39198</v>
      </c>
      <c r="N2143" s="51">
        <v>6.16</v>
      </c>
      <c r="O2143" s="51">
        <v>0.5</v>
      </c>
      <c r="P2143" s="51">
        <v>6.0350000000000001</v>
      </c>
    </row>
    <row r="2144" spans="12:16">
      <c r="L2144" s="51" t="s">
        <v>2155</v>
      </c>
      <c r="M2144" s="25">
        <f>DATE(YEAR(OneWeekMtgRatesDataTable75[[#This Row],[asOf]]),MONTH(OneWeekMtgRatesDataTable75[[#This Row],[asOf]]),DAY(OneWeekMtgRatesDataTable75[[#This Row],[asOf]]))</f>
        <v>39197</v>
      </c>
      <c r="N2144" s="51">
        <v>6.16</v>
      </c>
      <c r="O2144" s="51">
        <v>0.5</v>
      </c>
      <c r="P2144" s="51">
        <v>6.0350000000000001</v>
      </c>
    </row>
    <row r="2145" spans="12:16">
      <c r="L2145" s="51" t="s">
        <v>2156</v>
      </c>
      <c r="M2145" s="25">
        <f>DATE(YEAR(OneWeekMtgRatesDataTable75[[#This Row],[asOf]]),MONTH(OneWeekMtgRatesDataTable75[[#This Row],[asOf]]),DAY(OneWeekMtgRatesDataTable75[[#This Row],[asOf]]))</f>
        <v>39196</v>
      </c>
      <c r="N2145" s="51">
        <v>6.16</v>
      </c>
      <c r="O2145" s="51">
        <v>0.5</v>
      </c>
      <c r="P2145" s="51">
        <v>6.0350000000000001</v>
      </c>
    </row>
    <row r="2146" spans="12:16">
      <c r="L2146" s="51" t="s">
        <v>2157</v>
      </c>
      <c r="M2146" s="25">
        <f>DATE(YEAR(OneWeekMtgRatesDataTable75[[#This Row],[asOf]]),MONTH(OneWeekMtgRatesDataTable75[[#This Row],[asOf]]),DAY(OneWeekMtgRatesDataTable75[[#This Row],[asOf]]))</f>
        <v>39195</v>
      </c>
      <c r="N2146" s="51">
        <v>6.16</v>
      </c>
      <c r="O2146" s="51">
        <v>0.5</v>
      </c>
      <c r="P2146" s="51">
        <v>6.0350000000000001</v>
      </c>
    </row>
    <row r="2147" spans="12:16">
      <c r="L2147" s="51" t="s">
        <v>2158</v>
      </c>
      <c r="M2147" s="25">
        <f>DATE(YEAR(OneWeekMtgRatesDataTable75[[#This Row],[asOf]]),MONTH(OneWeekMtgRatesDataTable75[[#This Row],[asOf]]),DAY(OneWeekMtgRatesDataTable75[[#This Row],[asOf]]))</f>
        <v>39192</v>
      </c>
      <c r="N2147" s="51">
        <v>6.16</v>
      </c>
      <c r="O2147" s="51">
        <v>0.5</v>
      </c>
      <c r="P2147" s="51">
        <v>6.0350000000000001</v>
      </c>
    </row>
    <row r="2148" spans="12:16">
      <c r="L2148" s="51" t="s">
        <v>2159</v>
      </c>
      <c r="M2148" s="25">
        <f>DATE(YEAR(OneWeekMtgRatesDataTable75[[#This Row],[asOf]]),MONTH(OneWeekMtgRatesDataTable75[[#This Row],[asOf]]),DAY(OneWeekMtgRatesDataTable75[[#This Row],[asOf]]))</f>
        <v>39191</v>
      </c>
      <c r="N2148" s="51">
        <v>6.16</v>
      </c>
      <c r="O2148" s="51">
        <v>0.5</v>
      </c>
      <c r="P2148" s="51">
        <v>6.0350000000000001</v>
      </c>
    </row>
    <row r="2149" spans="12:16">
      <c r="L2149" s="51" t="s">
        <v>2160</v>
      </c>
      <c r="M2149" s="25">
        <f>DATE(YEAR(OneWeekMtgRatesDataTable75[[#This Row],[asOf]]),MONTH(OneWeekMtgRatesDataTable75[[#This Row],[asOf]]),DAY(OneWeekMtgRatesDataTable75[[#This Row],[asOf]]))</f>
        <v>39190</v>
      </c>
      <c r="N2149" s="51">
        <v>6.17</v>
      </c>
      <c r="O2149" s="51">
        <v>0.5</v>
      </c>
      <c r="P2149" s="51">
        <v>6.0449999999999999</v>
      </c>
    </row>
    <row r="2150" spans="12:16">
      <c r="L2150" s="51" t="s">
        <v>2161</v>
      </c>
      <c r="M2150" s="25">
        <f>DATE(YEAR(OneWeekMtgRatesDataTable75[[#This Row],[asOf]]),MONTH(OneWeekMtgRatesDataTable75[[#This Row],[asOf]]),DAY(OneWeekMtgRatesDataTable75[[#This Row],[asOf]]))</f>
        <v>39189</v>
      </c>
      <c r="N2150" s="51">
        <v>6.17</v>
      </c>
      <c r="O2150" s="51">
        <v>0.5</v>
      </c>
      <c r="P2150" s="51">
        <v>6.0449999999999999</v>
      </c>
    </row>
    <row r="2151" spans="12:16">
      <c r="L2151" s="51" t="s">
        <v>2162</v>
      </c>
      <c r="M2151" s="25">
        <f>DATE(YEAR(OneWeekMtgRatesDataTable75[[#This Row],[asOf]]),MONTH(OneWeekMtgRatesDataTable75[[#This Row],[asOf]]),DAY(OneWeekMtgRatesDataTable75[[#This Row],[asOf]]))</f>
        <v>39188</v>
      </c>
      <c r="N2151" s="51">
        <v>6.17</v>
      </c>
      <c r="O2151" s="51">
        <v>0.5</v>
      </c>
      <c r="P2151" s="51">
        <v>6.0449999999999999</v>
      </c>
    </row>
    <row r="2152" spans="12:16">
      <c r="L2152" s="51" t="s">
        <v>2163</v>
      </c>
      <c r="M2152" s="25">
        <f>DATE(YEAR(OneWeekMtgRatesDataTable75[[#This Row],[asOf]]),MONTH(OneWeekMtgRatesDataTable75[[#This Row],[asOf]]),DAY(OneWeekMtgRatesDataTable75[[#This Row],[asOf]]))</f>
        <v>39185</v>
      </c>
      <c r="N2152" s="51">
        <v>6.17</v>
      </c>
      <c r="O2152" s="51">
        <v>0.5</v>
      </c>
      <c r="P2152" s="51">
        <v>6.0449999999999999</v>
      </c>
    </row>
    <row r="2153" spans="12:16">
      <c r="L2153" s="51" t="s">
        <v>2164</v>
      </c>
      <c r="M2153" s="25">
        <f>DATE(YEAR(OneWeekMtgRatesDataTable75[[#This Row],[asOf]]),MONTH(OneWeekMtgRatesDataTable75[[#This Row],[asOf]]),DAY(OneWeekMtgRatesDataTable75[[#This Row],[asOf]]))</f>
        <v>39184</v>
      </c>
      <c r="N2153" s="51">
        <v>6.17</v>
      </c>
      <c r="O2153" s="51">
        <v>0.5</v>
      </c>
      <c r="P2153" s="51">
        <v>6.0449999999999999</v>
      </c>
    </row>
    <row r="2154" spans="12:16">
      <c r="L2154" s="51" t="s">
        <v>2165</v>
      </c>
      <c r="M2154" s="25">
        <f>DATE(YEAR(OneWeekMtgRatesDataTable75[[#This Row],[asOf]]),MONTH(OneWeekMtgRatesDataTable75[[#This Row],[asOf]]),DAY(OneWeekMtgRatesDataTable75[[#This Row],[asOf]]))</f>
        <v>39183</v>
      </c>
      <c r="N2154" s="51">
        <v>6.22</v>
      </c>
      <c r="O2154" s="51">
        <v>0.4</v>
      </c>
      <c r="P2154" s="51">
        <v>6.0699999999999994</v>
      </c>
    </row>
    <row r="2155" spans="12:16">
      <c r="L2155" s="51" t="s">
        <v>2166</v>
      </c>
      <c r="M2155" s="25">
        <f>DATE(YEAR(OneWeekMtgRatesDataTable75[[#This Row],[asOf]]),MONTH(OneWeekMtgRatesDataTable75[[#This Row],[asOf]]),DAY(OneWeekMtgRatesDataTable75[[#This Row],[asOf]]))</f>
        <v>39182</v>
      </c>
      <c r="N2155" s="51">
        <v>6.22</v>
      </c>
      <c r="O2155" s="51">
        <v>0.4</v>
      </c>
      <c r="P2155" s="51">
        <v>6.0699999999999994</v>
      </c>
    </row>
    <row r="2156" spans="12:16">
      <c r="L2156" s="51" t="s">
        <v>2167</v>
      </c>
      <c r="M2156" s="25">
        <f>DATE(YEAR(OneWeekMtgRatesDataTable75[[#This Row],[asOf]]),MONTH(OneWeekMtgRatesDataTable75[[#This Row],[asOf]]),DAY(OneWeekMtgRatesDataTable75[[#This Row],[asOf]]))</f>
        <v>39181</v>
      </c>
      <c r="N2156" s="51">
        <v>6.22</v>
      </c>
      <c r="O2156" s="51">
        <v>0.4</v>
      </c>
      <c r="P2156" s="51">
        <v>6.0699999999999994</v>
      </c>
    </row>
    <row r="2157" spans="12:16">
      <c r="L2157" s="51" t="s">
        <v>2168</v>
      </c>
      <c r="M2157" s="25">
        <f>DATE(YEAR(OneWeekMtgRatesDataTable75[[#This Row],[asOf]]),MONTH(OneWeekMtgRatesDataTable75[[#This Row],[asOf]]),DAY(OneWeekMtgRatesDataTable75[[#This Row],[asOf]]))</f>
        <v>39178</v>
      </c>
      <c r="N2157" s="51">
        <v>6.22</v>
      </c>
      <c r="O2157" s="51">
        <v>0.4</v>
      </c>
      <c r="P2157" s="51">
        <v>6.0699999999999994</v>
      </c>
    </row>
    <row r="2158" spans="12:16">
      <c r="L2158" s="51" t="s">
        <v>2169</v>
      </c>
      <c r="M2158" s="25">
        <f>DATE(YEAR(OneWeekMtgRatesDataTable75[[#This Row],[asOf]]),MONTH(OneWeekMtgRatesDataTable75[[#This Row],[asOf]]),DAY(OneWeekMtgRatesDataTable75[[#This Row],[asOf]]))</f>
        <v>39177</v>
      </c>
      <c r="N2158" s="51">
        <v>6.22</v>
      </c>
      <c r="O2158" s="51">
        <v>0.4</v>
      </c>
      <c r="P2158" s="51">
        <v>6.0699999999999994</v>
      </c>
    </row>
    <row r="2159" spans="12:16">
      <c r="L2159" s="51" t="s">
        <v>2170</v>
      </c>
      <c r="M2159" s="25">
        <f>DATE(YEAR(OneWeekMtgRatesDataTable75[[#This Row],[asOf]]),MONTH(OneWeekMtgRatesDataTable75[[#This Row],[asOf]]),DAY(OneWeekMtgRatesDataTable75[[#This Row],[asOf]]))</f>
        <v>39176</v>
      </c>
      <c r="N2159" s="51">
        <v>6.17</v>
      </c>
      <c r="O2159" s="51">
        <v>0.4</v>
      </c>
      <c r="P2159" s="51">
        <v>6.02</v>
      </c>
    </row>
    <row r="2160" spans="12:16">
      <c r="L2160" s="51" t="s">
        <v>2171</v>
      </c>
      <c r="M2160" s="25">
        <f>DATE(YEAR(OneWeekMtgRatesDataTable75[[#This Row],[asOf]]),MONTH(OneWeekMtgRatesDataTable75[[#This Row],[asOf]]),DAY(OneWeekMtgRatesDataTable75[[#This Row],[asOf]]))</f>
        <v>39175</v>
      </c>
      <c r="N2160" s="51">
        <v>6.17</v>
      </c>
      <c r="O2160" s="51">
        <v>0.4</v>
      </c>
      <c r="P2160" s="51">
        <v>6.02</v>
      </c>
    </row>
    <row r="2161" spans="12:16">
      <c r="L2161" s="51" t="s">
        <v>2172</v>
      </c>
      <c r="M2161" s="25">
        <f>DATE(YEAR(OneWeekMtgRatesDataTable75[[#This Row],[asOf]]),MONTH(OneWeekMtgRatesDataTable75[[#This Row],[asOf]]),DAY(OneWeekMtgRatesDataTable75[[#This Row],[asOf]]))</f>
        <v>39174</v>
      </c>
      <c r="N2161" s="51">
        <v>6.17</v>
      </c>
      <c r="O2161" s="51">
        <v>0.4</v>
      </c>
      <c r="P2161" s="51">
        <v>6.02</v>
      </c>
    </row>
    <row r="2162" spans="12:16">
      <c r="L2162" s="51" t="s">
        <v>2173</v>
      </c>
      <c r="M2162" s="25">
        <f>DATE(YEAR(OneWeekMtgRatesDataTable75[[#This Row],[asOf]]),MONTH(OneWeekMtgRatesDataTable75[[#This Row],[asOf]]),DAY(OneWeekMtgRatesDataTable75[[#This Row],[asOf]]))</f>
        <v>39171</v>
      </c>
      <c r="N2162" s="51">
        <v>6.17</v>
      </c>
      <c r="O2162" s="51">
        <v>0.4</v>
      </c>
      <c r="P2162" s="51">
        <v>6.02</v>
      </c>
    </row>
    <row r="2163" spans="12:16">
      <c r="L2163" s="51" t="s">
        <v>2174</v>
      </c>
      <c r="M2163" s="25">
        <f>DATE(YEAR(OneWeekMtgRatesDataTable75[[#This Row],[asOf]]),MONTH(OneWeekMtgRatesDataTable75[[#This Row],[asOf]]),DAY(OneWeekMtgRatesDataTable75[[#This Row],[asOf]]))</f>
        <v>39170</v>
      </c>
      <c r="N2163" s="51">
        <v>6.17</v>
      </c>
      <c r="O2163" s="51">
        <v>0.4</v>
      </c>
      <c r="P2163" s="51">
        <v>6.02</v>
      </c>
    </row>
    <row r="2164" spans="12:16">
      <c r="L2164" s="51" t="s">
        <v>2175</v>
      </c>
      <c r="M2164" s="25">
        <f>DATE(YEAR(OneWeekMtgRatesDataTable75[[#This Row],[asOf]]),MONTH(OneWeekMtgRatesDataTable75[[#This Row],[asOf]]),DAY(OneWeekMtgRatesDataTable75[[#This Row],[asOf]]))</f>
        <v>39169</v>
      </c>
      <c r="N2164" s="51">
        <v>6.16</v>
      </c>
      <c r="O2164" s="51">
        <v>0.4</v>
      </c>
      <c r="P2164" s="51">
        <v>6.01</v>
      </c>
    </row>
    <row r="2165" spans="12:16">
      <c r="L2165" s="51" t="s">
        <v>2176</v>
      </c>
      <c r="M2165" s="25">
        <f>DATE(YEAR(OneWeekMtgRatesDataTable75[[#This Row],[asOf]]),MONTH(OneWeekMtgRatesDataTable75[[#This Row],[asOf]]),DAY(OneWeekMtgRatesDataTable75[[#This Row],[asOf]]))</f>
        <v>39168</v>
      </c>
      <c r="N2165" s="51">
        <v>6.16</v>
      </c>
      <c r="O2165" s="51">
        <v>0.4</v>
      </c>
      <c r="P2165" s="51">
        <v>6.01</v>
      </c>
    </row>
    <row r="2166" spans="12:16">
      <c r="L2166" s="51" t="s">
        <v>2177</v>
      </c>
      <c r="M2166" s="25">
        <f>DATE(YEAR(OneWeekMtgRatesDataTable75[[#This Row],[asOf]]),MONTH(OneWeekMtgRatesDataTable75[[#This Row],[asOf]]),DAY(OneWeekMtgRatesDataTable75[[#This Row],[asOf]]))</f>
        <v>39167</v>
      </c>
      <c r="N2166" s="51">
        <v>6.16</v>
      </c>
      <c r="O2166" s="51">
        <v>0.4</v>
      </c>
      <c r="P2166" s="51">
        <v>6.01</v>
      </c>
    </row>
    <row r="2167" spans="12:16">
      <c r="L2167" s="51" t="s">
        <v>2178</v>
      </c>
      <c r="M2167" s="25">
        <f>DATE(YEAR(OneWeekMtgRatesDataTable75[[#This Row],[asOf]]),MONTH(OneWeekMtgRatesDataTable75[[#This Row],[asOf]]),DAY(OneWeekMtgRatesDataTable75[[#This Row],[asOf]]))</f>
        <v>39164</v>
      </c>
      <c r="N2167" s="51">
        <v>6.16</v>
      </c>
      <c r="O2167" s="51">
        <v>0.4</v>
      </c>
      <c r="P2167" s="51">
        <v>6.01</v>
      </c>
    </row>
    <row r="2168" spans="12:16">
      <c r="L2168" s="51" t="s">
        <v>2179</v>
      </c>
      <c r="M2168" s="25">
        <f>DATE(YEAR(OneWeekMtgRatesDataTable75[[#This Row],[asOf]]),MONTH(OneWeekMtgRatesDataTable75[[#This Row],[asOf]]),DAY(OneWeekMtgRatesDataTable75[[#This Row],[asOf]]))</f>
        <v>39163</v>
      </c>
      <c r="N2168" s="51">
        <v>6.16</v>
      </c>
      <c r="O2168" s="51">
        <v>0.4</v>
      </c>
      <c r="P2168" s="51">
        <v>6.01</v>
      </c>
    </row>
    <row r="2169" spans="12:16">
      <c r="L2169" s="51" t="s">
        <v>2180</v>
      </c>
      <c r="M2169" s="25">
        <f>DATE(YEAR(OneWeekMtgRatesDataTable75[[#This Row],[asOf]]),MONTH(OneWeekMtgRatesDataTable75[[#This Row],[asOf]]),DAY(OneWeekMtgRatesDataTable75[[#This Row],[asOf]]))</f>
        <v>39162</v>
      </c>
      <c r="N2169" s="51">
        <v>6.16</v>
      </c>
      <c r="O2169" s="51">
        <v>0.4</v>
      </c>
      <c r="P2169" s="51">
        <v>6.01</v>
      </c>
    </row>
    <row r="2170" spans="12:16">
      <c r="L2170" s="51" t="s">
        <v>2181</v>
      </c>
      <c r="M2170" s="25">
        <f>DATE(YEAR(OneWeekMtgRatesDataTable75[[#This Row],[asOf]]),MONTH(OneWeekMtgRatesDataTable75[[#This Row],[asOf]]),DAY(OneWeekMtgRatesDataTable75[[#This Row],[asOf]]))</f>
        <v>39161</v>
      </c>
      <c r="N2170" s="51">
        <v>6.16</v>
      </c>
      <c r="O2170" s="51">
        <v>0.4</v>
      </c>
      <c r="P2170" s="51">
        <v>6.01</v>
      </c>
    </row>
    <row r="2171" spans="12:16">
      <c r="L2171" s="51" t="s">
        <v>2182</v>
      </c>
      <c r="M2171" s="25">
        <f>DATE(YEAR(OneWeekMtgRatesDataTable75[[#This Row],[asOf]]),MONTH(OneWeekMtgRatesDataTable75[[#This Row],[asOf]]),DAY(OneWeekMtgRatesDataTable75[[#This Row],[asOf]]))</f>
        <v>39160</v>
      </c>
      <c r="N2171" s="51">
        <v>6.16</v>
      </c>
      <c r="O2171" s="51">
        <v>0.4</v>
      </c>
      <c r="P2171" s="51">
        <v>6.01</v>
      </c>
    </row>
    <row r="2172" spans="12:16">
      <c r="L2172" s="51" t="s">
        <v>2183</v>
      </c>
      <c r="M2172" s="25">
        <f>DATE(YEAR(OneWeekMtgRatesDataTable75[[#This Row],[asOf]]),MONTH(OneWeekMtgRatesDataTable75[[#This Row],[asOf]]),DAY(OneWeekMtgRatesDataTable75[[#This Row],[asOf]]))</f>
        <v>39157</v>
      </c>
      <c r="N2172" s="51">
        <v>6.16</v>
      </c>
      <c r="O2172" s="51">
        <v>0.4</v>
      </c>
      <c r="P2172" s="51">
        <v>6.01</v>
      </c>
    </row>
    <row r="2173" spans="12:16">
      <c r="L2173" s="51" t="s">
        <v>2184</v>
      </c>
      <c r="M2173" s="25">
        <f>DATE(YEAR(OneWeekMtgRatesDataTable75[[#This Row],[asOf]]),MONTH(OneWeekMtgRatesDataTable75[[#This Row],[asOf]]),DAY(OneWeekMtgRatesDataTable75[[#This Row],[asOf]]))</f>
        <v>39156</v>
      </c>
      <c r="N2173" s="51">
        <v>6.16</v>
      </c>
      <c r="O2173" s="51">
        <v>0.4</v>
      </c>
      <c r="P2173" s="51">
        <v>6.01</v>
      </c>
    </row>
    <row r="2174" spans="12:16">
      <c r="L2174" s="51" t="s">
        <v>2185</v>
      </c>
      <c r="M2174" s="25">
        <f>DATE(YEAR(OneWeekMtgRatesDataTable75[[#This Row],[asOf]]),MONTH(OneWeekMtgRatesDataTable75[[#This Row],[asOf]]),DAY(OneWeekMtgRatesDataTable75[[#This Row],[asOf]]))</f>
        <v>39155</v>
      </c>
      <c r="N2174" s="51">
        <v>6.14</v>
      </c>
      <c r="O2174" s="51">
        <v>0.4</v>
      </c>
      <c r="P2174" s="51">
        <v>5.9899999999999993</v>
      </c>
    </row>
    <row r="2175" spans="12:16">
      <c r="L2175" s="51" t="s">
        <v>2186</v>
      </c>
      <c r="M2175" s="25">
        <f>DATE(YEAR(OneWeekMtgRatesDataTable75[[#This Row],[asOf]]),MONTH(OneWeekMtgRatesDataTable75[[#This Row],[asOf]]),DAY(OneWeekMtgRatesDataTable75[[#This Row],[asOf]]))</f>
        <v>39154</v>
      </c>
      <c r="N2175" s="51">
        <v>6.14</v>
      </c>
      <c r="O2175" s="51">
        <v>0.4</v>
      </c>
      <c r="P2175" s="51">
        <v>5.9899999999999993</v>
      </c>
    </row>
    <row r="2176" spans="12:16">
      <c r="L2176" s="51" t="s">
        <v>2187</v>
      </c>
      <c r="M2176" s="25">
        <f>DATE(YEAR(OneWeekMtgRatesDataTable75[[#This Row],[asOf]]),MONTH(OneWeekMtgRatesDataTable75[[#This Row],[asOf]]),DAY(OneWeekMtgRatesDataTable75[[#This Row],[asOf]]))</f>
        <v>39153</v>
      </c>
      <c r="N2176" s="51">
        <v>6.14</v>
      </c>
      <c r="O2176" s="51">
        <v>0.4</v>
      </c>
      <c r="P2176" s="51">
        <v>5.9899999999999993</v>
      </c>
    </row>
    <row r="2177" spans="12:16">
      <c r="L2177" s="51" t="s">
        <v>2188</v>
      </c>
      <c r="M2177" s="25">
        <f>DATE(YEAR(OneWeekMtgRatesDataTable75[[#This Row],[asOf]]),MONTH(OneWeekMtgRatesDataTable75[[#This Row],[asOf]]),DAY(OneWeekMtgRatesDataTable75[[#This Row],[asOf]]))</f>
        <v>39150</v>
      </c>
      <c r="N2177" s="51">
        <v>6.14</v>
      </c>
      <c r="O2177" s="51">
        <v>0.4</v>
      </c>
      <c r="P2177" s="51">
        <v>5.9899999999999993</v>
      </c>
    </row>
    <row r="2178" spans="12:16">
      <c r="L2178" s="51" t="s">
        <v>2189</v>
      </c>
      <c r="M2178" s="25">
        <f>DATE(YEAR(OneWeekMtgRatesDataTable75[[#This Row],[asOf]]),MONTH(OneWeekMtgRatesDataTable75[[#This Row],[asOf]]),DAY(OneWeekMtgRatesDataTable75[[#This Row],[asOf]]))</f>
        <v>39149</v>
      </c>
      <c r="N2178" s="51">
        <v>6.14</v>
      </c>
      <c r="O2178" s="51">
        <v>0.4</v>
      </c>
      <c r="P2178" s="51">
        <v>5.9899999999999993</v>
      </c>
    </row>
    <row r="2179" spans="12:16">
      <c r="L2179" s="51" t="s">
        <v>2190</v>
      </c>
      <c r="M2179" s="25">
        <f>DATE(YEAR(OneWeekMtgRatesDataTable75[[#This Row],[asOf]]),MONTH(OneWeekMtgRatesDataTable75[[#This Row],[asOf]]),DAY(OneWeekMtgRatesDataTable75[[#This Row],[asOf]]))</f>
        <v>39148</v>
      </c>
      <c r="N2179" s="51">
        <v>6.14</v>
      </c>
      <c r="O2179" s="51">
        <v>0.5</v>
      </c>
      <c r="P2179" s="51">
        <v>6.0149999999999997</v>
      </c>
    </row>
    <row r="2180" spans="12:16">
      <c r="L2180" s="51" t="s">
        <v>2191</v>
      </c>
      <c r="M2180" s="25">
        <f>DATE(YEAR(OneWeekMtgRatesDataTable75[[#This Row],[asOf]]),MONTH(OneWeekMtgRatesDataTable75[[#This Row],[asOf]]),DAY(OneWeekMtgRatesDataTable75[[#This Row],[asOf]]))</f>
        <v>39147</v>
      </c>
      <c r="N2180" s="51">
        <v>6.14</v>
      </c>
      <c r="O2180" s="51">
        <v>0.5</v>
      </c>
      <c r="P2180" s="51">
        <v>6.0149999999999997</v>
      </c>
    </row>
    <row r="2181" spans="12:16">
      <c r="L2181" s="51" t="s">
        <v>2192</v>
      </c>
      <c r="M2181" s="25">
        <f>DATE(YEAR(OneWeekMtgRatesDataTable75[[#This Row],[asOf]]),MONTH(OneWeekMtgRatesDataTable75[[#This Row],[asOf]]),DAY(OneWeekMtgRatesDataTable75[[#This Row],[asOf]]))</f>
        <v>39146</v>
      </c>
      <c r="N2181" s="51">
        <v>6.14</v>
      </c>
      <c r="O2181" s="51">
        <v>0.5</v>
      </c>
      <c r="P2181" s="51">
        <v>6.0149999999999997</v>
      </c>
    </row>
    <row r="2182" spans="12:16">
      <c r="L2182" s="51" t="s">
        <v>2193</v>
      </c>
      <c r="M2182" s="25">
        <f>DATE(YEAR(OneWeekMtgRatesDataTable75[[#This Row],[asOf]]),MONTH(OneWeekMtgRatesDataTable75[[#This Row],[asOf]]),DAY(OneWeekMtgRatesDataTable75[[#This Row],[asOf]]))</f>
        <v>39143</v>
      </c>
      <c r="N2182" s="51">
        <v>6.14</v>
      </c>
      <c r="O2182" s="51">
        <v>0.5</v>
      </c>
      <c r="P2182" s="51">
        <v>6.0149999999999997</v>
      </c>
    </row>
    <row r="2183" spans="12:16">
      <c r="L2183" s="51" t="s">
        <v>2194</v>
      </c>
      <c r="M2183" s="25">
        <f>DATE(YEAR(OneWeekMtgRatesDataTable75[[#This Row],[asOf]]),MONTH(OneWeekMtgRatesDataTable75[[#This Row],[asOf]]),DAY(OneWeekMtgRatesDataTable75[[#This Row],[asOf]]))</f>
        <v>39142</v>
      </c>
      <c r="N2183" s="51">
        <v>6.14</v>
      </c>
      <c r="O2183" s="51">
        <v>0.5</v>
      </c>
      <c r="P2183" s="51">
        <v>6.0149999999999997</v>
      </c>
    </row>
    <row r="2184" spans="12:16">
      <c r="L2184" s="51" t="s">
        <v>2195</v>
      </c>
      <c r="M2184" s="25">
        <f>DATE(YEAR(OneWeekMtgRatesDataTable75[[#This Row],[asOf]]),MONTH(OneWeekMtgRatesDataTable75[[#This Row],[asOf]]),DAY(OneWeekMtgRatesDataTable75[[#This Row],[asOf]]))</f>
        <v>39141</v>
      </c>
      <c r="N2184" s="51">
        <v>6.18</v>
      </c>
      <c r="O2184" s="51">
        <v>0.4</v>
      </c>
      <c r="P2184" s="51">
        <v>6.0299999999999994</v>
      </c>
    </row>
    <row r="2185" spans="12:16">
      <c r="L2185" s="51" t="s">
        <v>2196</v>
      </c>
      <c r="M2185" s="25">
        <f>DATE(YEAR(OneWeekMtgRatesDataTable75[[#This Row],[asOf]]),MONTH(OneWeekMtgRatesDataTable75[[#This Row],[asOf]]),DAY(OneWeekMtgRatesDataTable75[[#This Row],[asOf]]))</f>
        <v>39140</v>
      </c>
      <c r="N2185" s="51">
        <v>6.18</v>
      </c>
      <c r="O2185" s="51">
        <v>0.4</v>
      </c>
      <c r="P2185" s="51">
        <v>6.0299999999999994</v>
      </c>
    </row>
    <row r="2186" spans="12:16">
      <c r="L2186" s="51" t="s">
        <v>2197</v>
      </c>
      <c r="M2186" s="25">
        <f>DATE(YEAR(OneWeekMtgRatesDataTable75[[#This Row],[asOf]]),MONTH(OneWeekMtgRatesDataTable75[[#This Row],[asOf]]),DAY(OneWeekMtgRatesDataTable75[[#This Row],[asOf]]))</f>
        <v>39139</v>
      </c>
      <c r="N2186" s="51">
        <v>6.18</v>
      </c>
      <c r="O2186" s="51">
        <v>0.4</v>
      </c>
      <c r="P2186" s="51">
        <v>6.0299999999999994</v>
      </c>
    </row>
    <row r="2187" spans="12:16">
      <c r="L2187" s="51" t="s">
        <v>2198</v>
      </c>
      <c r="M2187" s="25">
        <f>DATE(YEAR(OneWeekMtgRatesDataTable75[[#This Row],[asOf]]),MONTH(OneWeekMtgRatesDataTable75[[#This Row],[asOf]]),DAY(OneWeekMtgRatesDataTable75[[#This Row],[asOf]]))</f>
        <v>39136</v>
      </c>
      <c r="N2187" s="51">
        <v>6.18</v>
      </c>
      <c r="O2187" s="51">
        <v>0.4</v>
      </c>
      <c r="P2187" s="51">
        <v>6.0299999999999994</v>
      </c>
    </row>
    <row r="2188" spans="12:16">
      <c r="L2188" s="51" t="s">
        <v>2199</v>
      </c>
      <c r="M2188" s="25">
        <f>DATE(YEAR(OneWeekMtgRatesDataTable75[[#This Row],[asOf]]),MONTH(OneWeekMtgRatesDataTable75[[#This Row],[asOf]]),DAY(OneWeekMtgRatesDataTable75[[#This Row],[asOf]]))</f>
        <v>39135</v>
      </c>
      <c r="N2188" s="51">
        <v>6.18</v>
      </c>
      <c r="O2188" s="51">
        <v>0.4</v>
      </c>
      <c r="P2188" s="51">
        <v>6.0299999999999994</v>
      </c>
    </row>
    <row r="2189" spans="12:16">
      <c r="L2189" s="51" t="s">
        <v>2200</v>
      </c>
      <c r="M2189" s="25">
        <f>DATE(YEAR(OneWeekMtgRatesDataTable75[[#This Row],[asOf]]),MONTH(OneWeekMtgRatesDataTable75[[#This Row],[asOf]]),DAY(OneWeekMtgRatesDataTable75[[#This Row],[asOf]]))</f>
        <v>39134</v>
      </c>
      <c r="N2189" s="51">
        <v>6.22</v>
      </c>
      <c r="O2189" s="51">
        <v>0.5</v>
      </c>
      <c r="P2189" s="51">
        <v>6.0949999999999998</v>
      </c>
    </row>
    <row r="2190" spans="12:16">
      <c r="L2190" s="51" t="s">
        <v>2201</v>
      </c>
      <c r="M2190" s="25">
        <f>DATE(YEAR(OneWeekMtgRatesDataTable75[[#This Row],[asOf]]),MONTH(OneWeekMtgRatesDataTable75[[#This Row],[asOf]]),DAY(OneWeekMtgRatesDataTable75[[#This Row],[asOf]]))</f>
        <v>39133</v>
      </c>
      <c r="N2190" s="51">
        <v>6.22</v>
      </c>
      <c r="O2190" s="51">
        <v>0.5</v>
      </c>
      <c r="P2190" s="51">
        <v>6.0949999999999998</v>
      </c>
    </row>
    <row r="2191" spans="12:16">
      <c r="L2191" s="51" t="s">
        <v>2202</v>
      </c>
      <c r="M2191" s="25">
        <f>DATE(YEAR(OneWeekMtgRatesDataTable75[[#This Row],[asOf]]),MONTH(OneWeekMtgRatesDataTable75[[#This Row],[asOf]]),DAY(OneWeekMtgRatesDataTable75[[#This Row],[asOf]]))</f>
        <v>39129</v>
      </c>
      <c r="N2191" s="51">
        <v>6.22</v>
      </c>
      <c r="O2191" s="51">
        <v>0.5</v>
      </c>
      <c r="P2191" s="51">
        <v>6.0949999999999998</v>
      </c>
    </row>
    <row r="2192" spans="12:16">
      <c r="L2192" s="51" t="s">
        <v>2203</v>
      </c>
      <c r="M2192" s="25">
        <f>DATE(YEAR(OneWeekMtgRatesDataTable75[[#This Row],[asOf]]),MONTH(OneWeekMtgRatesDataTable75[[#This Row],[asOf]]),DAY(OneWeekMtgRatesDataTable75[[#This Row],[asOf]]))</f>
        <v>39128</v>
      </c>
      <c r="N2192" s="51">
        <v>6.22</v>
      </c>
      <c r="O2192" s="51">
        <v>0.5</v>
      </c>
      <c r="P2192" s="51">
        <v>6.0949999999999998</v>
      </c>
    </row>
    <row r="2193" spans="12:16">
      <c r="L2193" s="51" t="s">
        <v>2204</v>
      </c>
      <c r="M2193" s="25">
        <f>DATE(YEAR(OneWeekMtgRatesDataTable75[[#This Row],[asOf]]),MONTH(OneWeekMtgRatesDataTable75[[#This Row],[asOf]]),DAY(OneWeekMtgRatesDataTable75[[#This Row],[asOf]]))</f>
        <v>39127</v>
      </c>
      <c r="N2193" s="51">
        <v>6.3</v>
      </c>
      <c r="O2193" s="51">
        <v>0.4</v>
      </c>
      <c r="P2193" s="51">
        <v>6.1499999999999995</v>
      </c>
    </row>
    <row r="2194" spans="12:16">
      <c r="L2194" s="51" t="s">
        <v>2205</v>
      </c>
      <c r="M2194" s="25">
        <f>DATE(YEAR(OneWeekMtgRatesDataTable75[[#This Row],[asOf]]),MONTH(OneWeekMtgRatesDataTable75[[#This Row],[asOf]]),DAY(OneWeekMtgRatesDataTable75[[#This Row],[asOf]]))</f>
        <v>39126</v>
      </c>
      <c r="N2194" s="51">
        <v>6.3</v>
      </c>
      <c r="O2194" s="51">
        <v>0.4</v>
      </c>
      <c r="P2194" s="51">
        <v>6.1499999999999995</v>
      </c>
    </row>
    <row r="2195" spans="12:16">
      <c r="L2195" s="51" t="s">
        <v>2206</v>
      </c>
      <c r="M2195" s="25">
        <f>DATE(YEAR(OneWeekMtgRatesDataTable75[[#This Row],[asOf]]),MONTH(OneWeekMtgRatesDataTable75[[#This Row],[asOf]]),DAY(OneWeekMtgRatesDataTable75[[#This Row],[asOf]]))</f>
        <v>39125</v>
      </c>
      <c r="N2195" s="51">
        <v>6.3</v>
      </c>
      <c r="O2195" s="51">
        <v>0.4</v>
      </c>
      <c r="P2195" s="51">
        <v>6.1499999999999995</v>
      </c>
    </row>
    <row r="2196" spans="12:16">
      <c r="L2196" s="51" t="s">
        <v>2207</v>
      </c>
      <c r="M2196" s="25">
        <f>DATE(YEAR(OneWeekMtgRatesDataTable75[[#This Row],[asOf]]),MONTH(OneWeekMtgRatesDataTable75[[#This Row],[asOf]]),DAY(OneWeekMtgRatesDataTable75[[#This Row],[asOf]]))</f>
        <v>39122</v>
      </c>
      <c r="N2196" s="51">
        <v>6.3</v>
      </c>
      <c r="O2196" s="51">
        <v>0.4</v>
      </c>
      <c r="P2196" s="51">
        <v>6.1499999999999995</v>
      </c>
    </row>
    <row r="2197" spans="12:16">
      <c r="L2197" s="51" t="s">
        <v>2208</v>
      </c>
      <c r="M2197" s="25">
        <f>DATE(YEAR(OneWeekMtgRatesDataTable75[[#This Row],[asOf]]),MONTH(OneWeekMtgRatesDataTable75[[#This Row],[asOf]]),DAY(OneWeekMtgRatesDataTable75[[#This Row],[asOf]]))</f>
        <v>39121</v>
      </c>
      <c r="N2197" s="51">
        <v>6.3</v>
      </c>
      <c r="O2197" s="51">
        <v>0.4</v>
      </c>
      <c r="P2197" s="51">
        <v>6.1499999999999995</v>
      </c>
    </row>
    <row r="2198" spans="12:16">
      <c r="L2198" s="51" t="s">
        <v>2209</v>
      </c>
      <c r="M2198" s="25">
        <f>DATE(YEAR(OneWeekMtgRatesDataTable75[[#This Row],[asOf]]),MONTH(OneWeekMtgRatesDataTable75[[#This Row],[asOf]]),DAY(OneWeekMtgRatesDataTable75[[#This Row],[asOf]]))</f>
        <v>39120</v>
      </c>
      <c r="N2198" s="51">
        <v>6.28</v>
      </c>
      <c r="O2198" s="51">
        <v>0.3</v>
      </c>
      <c r="P2198" s="51">
        <v>6.1050000000000004</v>
      </c>
    </row>
    <row r="2199" spans="12:16">
      <c r="L2199" s="51" t="s">
        <v>2210</v>
      </c>
      <c r="M2199" s="25">
        <f>DATE(YEAR(OneWeekMtgRatesDataTable75[[#This Row],[asOf]]),MONTH(OneWeekMtgRatesDataTable75[[#This Row],[asOf]]),DAY(OneWeekMtgRatesDataTable75[[#This Row],[asOf]]))</f>
        <v>39119</v>
      </c>
      <c r="N2199" s="51">
        <v>6.28</v>
      </c>
      <c r="O2199" s="51">
        <v>0.3</v>
      </c>
      <c r="P2199" s="51">
        <v>6.1050000000000004</v>
      </c>
    </row>
    <row r="2200" spans="12:16">
      <c r="L2200" s="51" t="s">
        <v>2211</v>
      </c>
      <c r="M2200" s="25">
        <f>DATE(YEAR(OneWeekMtgRatesDataTable75[[#This Row],[asOf]]),MONTH(OneWeekMtgRatesDataTable75[[#This Row],[asOf]]),DAY(OneWeekMtgRatesDataTable75[[#This Row],[asOf]]))</f>
        <v>39118</v>
      </c>
      <c r="N2200" s="51">
        <v>6.28</v>
      </c>
      <c r="O2200" s="51">
        <v>0.3</v>
      </c>
      <c r="P2200" s="51">
        <v>6.1050000000000004</v>
      </c>
    </row>
    <row r="2201" spans="12:16">
      <c r="L2201" s="51" t="s">
        <v>2212</v>
      </c>
      <c r="M2201" s="25">
        <f>DATE(YEAR(OneWeekMtgRatesDataTable75[[#This Row],[asOf]]),MONTH(OneWeekMtgRatesDataTable75[[#This Row],[asOf]]),DAY(OneWeekMtgRatesDataTable75[[#This Row],[asOf]]))</f>
        <v>39115</v>
      </c>
      <c r="N2201" s="51">
        <v>6.28</v>
      </c>
      <c r="O2201" s="51">
        <v>0.3</v>
      </c>
      <c r="P2201" s="51">
        <v>6.1050000000000004</v>
      </c>
    </row>
    <row r="2202" spans="12:16">
      <c r="L2202" s="51" t="s">
        <v>2213</v>
      </c>
      <c r="M2202" s="25">
        <f>DATE(YEAR(OneWeekMtgRatesDataTable75[[#This Row],[asOf]]),MONTH(OneWeekMtgRatesDataTable75[[#This Row],[asOf]]),DAY(OneWeekMtgRatesDataTable75[[#This Row],[asOf]]))</f>
        <v>39114</v>
      </c>
      <c r="N2202" s="51">
        <v>6.28</v>
      </c>
      <c r="O2202" s="51">
        <v>0.3</v>
      </c>
      <c r="P2202" s="51">
        <v>6.1050000000000004</v>
      </c>
    </row>
    <row r="2203" spans="12:16">
      <c r="L2203" s="51" t="s">
        <v>2214</v>
      </c>
      <c r="M2203" s="25">
        <f>DATE(YEAR(OneWeekMtgRatesDataTable75[[#This Row],[asOf]]),MONTH(OneWeekMtgRatesDataTable75[[#This Row],[asOf]]),DAY(OneWeekMtgRatesDataTable75[[#This Row],[asOf]]))</f>
        <v>39113</v>
      </c>
      <c r="N2203" s="51">
        <v>6.34</v>
      </c>
      <c r="O2203" s="51">
        <v>0.4</v>
      </c>
      <c r="P2203" s="51">
        <v>6.1899999999999995</v>
      </c>
    </row>
    <row r="2204" spans="12:16">
      <c r="L2204" s="51" t="s">
        <v>2215</v>
      </c>
      <c r="M2204" s="25">
        <f>DATE(YEAR(OneWeekMtgRatesDataTable75[[#This Row],[asOf]]),MONTH(OneWeekMtgRatesDataTable75[[#This Row],[asOf]]),DAY(OneWeekMtgRatesDataTable75[[#This Row],[asOf]]))</f>
        <v>39112</v>
      </c>
      <c r="N2204" s="51">
        <v>6.34</v>
      </c>
      <c r="O2204" s="51">
        <v>0.4</v>
      </c>
      <c r="P2204" s="51">
        <v>6.1899999999999995</v>
      </c>
    </row>
    <row r="2205" spans="12:16">
      <c r="L2205" s="51" t="s">
        <v>2216</v>
      </c>
      <c r="M2205" s="25">
        <f>DATE(YEAR(OneWeekMtgRatesDataTable75[[#This Row],[asOf]]),MONTH(OneWeekMtgRatesDataTable75[[#This Row],[asOf]]),DAY(OneWeekMtgRatesDataTable75[[#This Row],[asOf]]))</f>
        <v>39111</v>
      </c>
      <c r="N2205" s="51">
        <v>6.34</v>
      </c>
      <c r="O2205" s="51">
        <v>0.4</v>
      </c>
      <c r="P2205" s="51">
        <v>6.1899999999999995</v>
      </c>
    </row>
    <row r="2206" spans="12:16">
      <c r="L2206" s="51" t="s">
        <v>2217</v>
      </c>
      <c r="M2206" s="25">
        <f>DATE(YEAR(OneWeekMtgRatesDataTable75[[#This Row],[asOf]]),MONTH(OneWeekMtgRatesDataTable75[[#This Row],[asOf]]),DAY(OneWeekMtgRatesDataTable75[[#This Row],[asOf]]))</f>
        <v>39108</v>
      </c>
      <c r="N2206" s="51">
        <v>6.34</v>
      </c>
      <c r="O2206" s="51">
        <v>0.4</v>
      </c>
      <c r="P2206" s="51">
        <v>6.1899999999999995</v>
      </c>
    </row>
    <row r="2207" spans="12:16">
      <c r="L2207" s="51" t="s">
        <v>2218</v>
      </c>
      <c r="M2207" s="25">
        <f>DATE(YEAR(OneWeekMtgRatesDataTable75[[#This Row],[asOf]]),MONTH(OneWeekMtgRatesDataTable75[[#This Row],[asOf]]),DAY(OneWeekMtgRatesDataTable75[[#This Row],[asOf]]))</f>
        <v>39107</v>
      </c>
      <c r="N2207" s="51">
        <v>6.34</v>
      </c>
      <c r="O2207" s="51">
        <v>0.4</v>
      </c>
      <c r="P2207" s="51">
        <v>6.1899999999999995</v>
      </c>
    </row>
    <row r="2208" spans="12:16">
      <c r="L2208" s="51" t="s">
        <v>2219</v>
      </c>
      <c r="M2208" s="25">
        <f>DATE(YEAR(OneWeekMtgRatesDataTable75[[#This Row],[asOf]]),MONTH(OneWeekMtgRatesDataTable75[[#This Row],[asOf]]),DAY(OneWeekMtgRatesDataTable75[[#This Row],[asOf]]))</f>
        <v>39106</v>
      </c>
      <c r="N2208" s="51">
        <v>6.25</v>
      </c>
      <c r="O2208" s="51">
        <v>0.4</v>
      </c>
      <c r="P2208" s="51">
        <v>6.1</v>
      </c>
    </row>
    <row r="2209" spans="12:16">
      <c r="L2209" s="51" t="s">
        <v>2220</v>
      </c>
      <c r="M2209" s="25">
        <f>DATE(YEAR(OneWeekMtgRatesDataTable75[[#This Row],[asOf]]),MONTH(OneWeekMtgRatesDataTable75[[#This Row],[asOf]]),DAY(OneWeekMtgRatesDataTable75[[#This Row],[asOf]]))</f>
        <v>39105</v>
      </c>
      <c r="N2209" s="51">
        <v>6.25</v>
      </c>
      <c r="O2209" s="51">
        <v>0.4</v>
      </c>
      <c r="P2209" s="51">
        <v>6.1</v>
      </c>
    </row>
    <row r="2210" spans="12:16">
      <c r="L2210" s="51" t="s">
        <v>2221</v>
      </c>
      <c r="M2210" s="25">
        <f>DATE(YEAR(OneWeekMtgRatesDataTable75[[#This Row],[asOf]]),MONTH(OneWeekMtgRatesDataTable75[[#This Row],[asOf]]),DAY(OneWeekMtgRatesDataTable75[[#This Row],[asOf]]))</f>
        <v>39104</v>
      </c>
      <c r="N2210" s="51">
        <v>6.25</v>
      </c>
      <c r="O2210" s="51">
        <v>0.4</v>
      </c>
      <c r="P2210" s="51">
        <v>6.1</v>
      </c>
    </row>
    <row r="2211" spans="12:16">
      <c r="L2211" s="51" t="s">
        <v>2222</v>
      </c>
      <c r="M2211" s="25">
        <f>DATE(YEAR(OneWeekMtgRatesDataTable75[[#This Row],[asOf]]),MONTH(OneWeekMtgRatesDataTable75[[#This Row],[asOf]]),DAY(OneWeekMtgRatesDataTable75[[#This Row],[asOf]]))</f>
        <v>39101</v>
      </c>
      <c r="N2211" s="51">
        <v>6.25</v>
      </c>
      <c r="O2211" s="51">
        <v>0.4</v>
      </c>
      <c r="P2211" s="51">
        <v>6.1</v>
      </c>
    </row>
    <row r="2212" spans="12:16">
      <c r="L2212" s="51" t="s">
        <v>2223</v>
      </c>
      <c r="M2212" s="25">
        <f>DATE(YEAR(OneWeekMtgRatesDataTable75[[#This Row],[asOf]]),MONTH(OneWeekMtgRatesDataTable75[[#This Row],[asOf]]),DAY(OneWeekMtgRatesDataTable75[[#This Row],[asOf]]))</f>
        <v>39100</v>
      </c>
      <c r="N2212" s="51">
        <v>6.25</v>
      </c>
      <c r="O2212" s="51">
        <v>0.4</v>
      </c>
      <c r="P2212" s="51">
        <v>6.1</v>
      </c>
    </row>
    <row r="2213" spans="12:16">
      <c r="L2213" s="51" t="s">
        <v>2224</v>
      </c>
      <c r="M2213" s="25">
        <f>DATE(YEAR(OneWeekMtgRatesDataTable75[[#This Row],[asOf]]),MONTH(OneWeekMtgRatesDataTable75[[#This Row],[asOf]]),DAY(OneWeekMtgRatesDataTable75[[#This Row],[asOf]]))</f>
        <v>39099</v>
      </c>
      <c r="N2213" s="51">
        <v>6.23</v>
      </c>
      <c r="O2213" s="51">
        <v>0.4</v>
      </c>
      <c r="P2213" s="51">
        <v>6.08</v>
      </c>
    </row>
    <row r="2214" spans="12:16">
      <c r="L2214" s="51" t="s">
        <v>2225</v>
      </c>
      <c r="M2214" s="25">
        <f>DATE(YEAR(OneWeekMtgRatesDataTable75[[#This Row],[asOf]]),MONTH(OneWeekMtgRatesDataTable75[[#This Row],[asOf]]),DAY(OneWeekMtgRatesDataTable75[[#This Row],[asOf]]))</f>
        <v>39098</v>
      </c>
      <c r="N2214" s="51">
        <v>6.23</v>
      </c>
      <c r="O2214" s="51">
        <v>0.4</v>
      </c>
      <c r="P2214" s="51">
        <v>6.08</v>
      </c>
    </row>
    <row r="2215" spans="12:16">
      <c r="L2215" s="51" t="s">
        <v>2226</v>
      </c>
      <c r="M2215" s="25">
        <f>DATE(YEAR(OneWeekMtgRatesDataTable75[[#This Row],[asOf]]),MONTH(OneWeekMtgRatesDataTable75[[#This Row],[asOf]]),DAY(OneWeekMtgRatesDataTable75[[#This Row],[asOf]]))</f>
        <v>39094</v>
      </c>
      <c r="N2215" s="51">
        <v>6.23</v>
      </c>
      <c r="O2215" s="51">
        <v>0.4</v>
      </c>
      <c r="P2215" s="51">
        <v>6.08</v>
      </c>
    </row>
    <row r="2216" spans="12:16">
      <c r="L2216" s="51" t="s">
        <v>2227</v>
      </c>
      <c r="M2216" s="25">
        <f>DATE(YEAR(OneWeekMtgRatesDataTable75[[#This Row],[asOf]]),MONTH(OneWeekMtgRatesDataTable75[[#This Row],[asOf]]),DAY(OneWeekMtgRatesDataTable75[[#This Row],[asOf]]))</f>
        <v>39093</v>
      </c>
      <c r="N2216" s="51">
        <v>6.23</v>
      </c>
      <c r="O2216" s="51">
        <v>0.4</v>
      </c>
      <c r="P2216" s="51">
        <v>6.08</v>
      </c>
    </row>
    <row r="2217" spans="12:16">
      <c r="L2217" s="51" t="s">
        <v>2228</v>
      </c>
      <c r="M2217" s="25">
        <f>DATE(YEAR(OneWeekMtgRatesDataTable75[[#This Row],[asOf]]),MONTH(OneWeekMtgRatesDataTable75[[#This Row],[asOf]]),DAY(OneWeekMtgRatesDataTable75[[#This Row],[asOf]]))</f>
        <v>39092</v>
      </c>
      <c r="N2217" s="51">
        <v>6.21</v>
      </c>
      <c r="O2217" s="51">
        <v>0.4</v>
      </c>
      <c r="P2217" s="51">
        <v>6.06</v>
      </c>
    </row>
    <row r="2218" spans="12:16">
      <c r="L2218" s="51" t="s">
        <v>2229</v>
      </c>
      <c r="M2218" s="25">
        <f>DATE(YEAR(OneWeekMtgRatesDataTable75[[#This Row],[asOf]]),MONTH(OneWeekMtgRatesDataTable75[[#This Row],[asOf]]),DAY(OneWeekMtgRatesDataTable75[[#This Row],[asOf]]))</f>
        <v>39091</v>
      </c>
      <c r="N2218" s="51">
        <v>6.21</v>
      </c>
      <c r="O2218" s="51">
        <v>0.4</v>
      </c>
      <c r="P2218" s="51">
        <v>6.06</v>
      </c>
    </row>
    <row r="2219" spans="12:16">
      <c r="L2219" s="51" t="s">
        <v>2230</v>
      </c>
      <c r="M2219" s="25">
        <f>DATE(YEAR(OneWeekMtgRatesDataTable75[[#This Row],[asOf]]),MONTH(OneWeekMtgRatesDataTable75[[#This Row],[asOf]]),DAY(OneWeekMtgRatesDataTable75[[#This Row],[asOf]]))</f>
        <v>39090</v>
      </c>
      <c r="N2219" s="51">
        <v>6.21</v>
      </c>
      <c r="O2219" s="51">
        <v>0.4</v>
      </c>
      <c r="P2219" s="51">
        <v>6.06</v>
      </c>
    </row>
    <row r="2220" spans="12:16">
      <c r="L2220" s="51" t="s">
        <v>2231</v>
      </c>
      <c r="M2220" s="25">
        <f>DATE(YEAR(OneWeekMtgRatesDataTable75[[#This Row],[asOf]]),MONTH(OneWeekMtgRatesDataTable75[[#This Row],[asOf]]),DAY(OneWeekMtgRatesDataTable75[[#This Row],[asOf]]))</f>
        <v>39087</v>
      </c>
      <c r="N2220" s="51">
        <v>6.21</v>
      </c>
      <c r="O2220" s="51">
        <v>0.4</v>
      </c>
      <c r="P2220" s="51">
        <v>6.06</v>
      </c>
    </row>
    <row r="2221" spans="12:16">
      <c r="L2221" s="51" t="s">
        <v>2232</v>
      </c>
      <c r="M2221" s="25">
        <f>DATE(YEAR(OneWeekMtgRatesDataTable75[[#This Row],[asOf]]),MONTH(OneWeekMtgRatesDataTable75[[#This Row],[asOf]]),DAY(OneWeekMtgRatesDataTable75[[#This Row],[asOf]]))</f>
        <v>39086</v>
      </c>
      <c r="N2221" s="51">
        <v>6.21</v>
      </c>
      <c r="O2221" s="51">
        <v>0.4</v>
      </c>
      <c r="P2221" s="51">
        <v>6.06</v>
      </c>
    </row>
    <row r="2222" spans="12:16">
      <c r="L2222" s="51" t="s">
        <v>2233</v>
      </c>
      <c r="M2222" s="25">
        <f>DATE(YEAR(OneWeekMtgRatesDataTable75[[#This Row],[asOf]]),MONTH(OneWeekMtgRatesDataTable75[[#This Row],[asOf]]),DAY(OneWeekMtgRatesDataTable75[[#This Row],[asOf]]))</f>
        <v>39085</v>
      </c>
      <c r="N2222" s="51">
        <v>6.18</v>
      </c>
      <c r="O2222" s="51">
        <v>0.4</v>
      </c>
      <c r="P2222" s="51">
        <v>6.0299999999999994</v>
      </c>
    </row>
    <row r="2223" spans="12:16">
      <c r="L2223" s="51" t="s">
        <v>2234</v>
      </c>
      <c r="M2223" s="25">
        <f>DATE(YEAR(OneWeekMtgRatesDataTable75[[#This Row],[asOf]]),MONTH(OneWeekMtgRatesDataTable75[[#This Row],[asOf]]),DAY(OneWeekMtgRatesDataTable75[[#This Row],[asOf]]))</f>
        <v>39084</v>
      </c>
      <c r="N2223" s="51">
        <v>6.18</v>
      </c>
      <c r="O2223" s="51">
        <v>0.4</v>
      </c>
      <c r="P2223" s="51">
        <v>6.0299999999999994</v>
      </c>
    </row>
    <row r="2224" spans="12:16">
      <c r="L2224" s="51" t="s">
        <v>2235</v>
      </c>
      <c r="M2224" s="25">
        <f>DATE(YEAR(OneWeekMtgRatesDataTable75[[#This Row],[asOf]]),MONTH(OneWeekMtgRatesDataTable75[[#This Row],[asOf]]),DAY(OneWeekMtgRatesDataTable75[[#This Row],[asOf]]))</f>
        <v>39080</v>
      </c>
      <c r="N2224" s="51">
        <v>6.18</v>
      </c>
      <c r="O2224" s="51">
        <v>0.4</v>
      </c>
      <c r="P2224" s="51">
        <v>6.0299999999999994</v>
      </c>
    </row>
    <row r="2225" spans="12:16">
      <c r="L2225" s="51" t="s">
        <v>2236</v>
      </c>
      <c r="M2225" s="25">
        <f>DATE(YEAR(OneWeekMtgRatesDataTable75[[#This Row],[asOf]]),MONTH(OneWeekMtgRatesDataTable75[[#This Row],[asOf]]),DAY(OneWeekMtgRatesDataTable75[[#This Row],[asOf]]))</f>
        <v>39079</v>
      </c>
      <c r="N2225" s="51">
        <v>6.18</v>
      </c>
      <c r="O2225" s="51">
        <v>0.4</v>
      </c>
      <c r="P2225" s="51">
        <v>6.0299999999999994</v>
      </c>
    </row>
    <row r="2226" spans="12:16">
      <c r="L2226" s="51" t="s">
        <v>2237</v>
      </c>
      <c r="M2226" s="25">
        <f>DATE(YEAR(OneWeekMtgRatesDataTable75[[#This Row],[asOf]]),MONTH(OneWeekMtgRatesDataTable75[[#This Row],[asOf]]),DAY(OneWeekMtgRatesDataTable75[[#This Row],[asOf]]))</f>
        <v>39078</v>
      </c>
      <c r="N2226" s="51">
        <v>6.18</v>
      </c>
      <c r="O2226" s="51">
        <v>0.4</v>
      </c>
      <c r="P2226" s="51">
        <v>6.0299999999999994</v>
      </c>
    </row>
    <row r="2227" spans="12:16">
      <c r="L2227" s="51" t="s">
        <v>2238</v>
      </c>
      <c r="M2227" s="25">
        <f>DATE(YEAR(OneWeekMtgRatesDataTable75[[#This Row],[asOf]]),MONTH(OneWeekMtgRatesDataTable75[[#This Row],[asOf]]),DAY(OneWeekMtgRatesDataTable75[[#This Row],[asOf]]))</f>
        <v>39077</v>
      </c>
      <c r="N2227" s="51">
        <v>6.18</v>
      </c>
      <c r="O2227" s="51">
        <v>0.4</v>
      </c>
      <c r="P2227" s="51">
        <v>6.0299999999999994</v>
      </c>
    </row>
    <row r="2228" spans="12:16">
      <c r="L2228" s="51" t="s">
        <v>2239</v>
      </c>
      <c r="M2228" s="25">
        <f>DATE(YEAR(OneWeekMtgRatesDataTable75[[#This Row],[asOf]]),MONTH(OneWeekMtgRatesDataTable75[[#This Row],[asOf]]),DAY(OneWeekMtgRatesDataTable75[[#This Row],[asOf]]))</f>
        <v>39076</v>
      </c>
      <c r="N2228" s="51">
        <v>6.18</v>
      </c>
      <c r="O2228" s="51">
        <v>0.4</v>
      </c>
      <c r="P2228" s="51">
        <v>6.0299999999999994</v>
      </c>
    </row>
    <row r="2229" spans="12:16">
      <c r="L2229" s="51" t="s">
        <v>2240</v>
      </c>
      <c r="M2229" s="25">
        <f>DATE(YEAR(OneWeekMtgRatesDataTable75[[#This Row],[asOf]]),MONTH(OneWeekMtgRatesDataTable75[[#This Row],[asOf]]),DAY(OneWeekMtgRatesDataTable75[[#This Row],[asOf]]))</f>
        <v>39073</v>
      </c>
      <c r="N2229" s="51">
        <v>6.18</v>
      </c>
      <c r="O2229" s="51">
        <v>0.4</v>
      </c>
      <c r="P2229" s="51">
        <v>6.0299999999999994</v>
      </c>
    </row>
    <row r="2230" spans="12:16">
      <c r="L2230" s="51" t="s">
        <v>2241</v>
      </c>
      <c r="M2230" s="25">
        <f>DATE(YEAR(OneWeekMtgRatesDataTable75[[#This Row],[asOf]]),MONTH(OneWeekMtgRatesDataTable75[[#This Row],[asOf]]),DAY(OneWeekMtgRatesDataTable75[[#This Row],[asOf]]))</f>
        <v>39072</v>
      </c>
      <c r="N2230" s="51">
        <v>6.18</v>
      </c>
      <c r="O2230" s="51">
        <v>0.4</v>
      </c>
      <c r="P2230" s="51">
        <v>6.0299999999999994</v>
      </c>
    </row>
    <row r="2231" spans="12:16">
      <c r="L2231" s="51" t="s">
        <v>2242</v>
      </c>
      <c r="M2231" s="25">
        <f>DATE(YEAR(OneWeekMtgRatesDataTable75[[#This Row],[asOf]]),MONTH(OneWeekMtgRatesDataTable75[[#This Row],[asOf]]),DAY(OneWeekMtgRatesDataTable75[[#This Row],[asOf]]))</f>
        <v>39071</v>
      </c>
      <c r="N2231" s="51">
        <v>6.13</v>
      </c>
      <c r="O2231" s="51">
        <v>0.4</v>
      </c>
      <c r="P2231" s="51">
        <v>5.9799999999999995</v>
      </c>
    </row>
    <row r="2232" spans="12:16">
      <c r="L2232" s="51" t="s">
        <v>2243</v>
      </c>
      <c r="M2232" s="25">
        <f>DATE(YEAR(OneWeekMtgRatesDataTable75[[#This Row],[asOf]]),MONTH(OneWeekMtgRatesDataTable75[[#This Row],[asOf]]),DAY(OneWeekMtgRatesDataTable75[[#This Row],[asOf]]))</f>
        <v>39070</v>
      </c>
      <c r="N2232" s="51">
        <v>6.13</v>
      </c>
      <c r="O2232" s="51">
        <v>0.4</v>
      </c>
      <c r="P2232" s="51">
        <v>5.9799999999999995</v>
      </c>
    </row>
    <row r="2233" spans="12:16">
      <c r="L2233" s="51" t="s">
        <v>2244</v>
      </c>
      <c r="M2233" s="25">
        <f>DATE(YEAR(OneWeekMtgRatesDataTable75[[#This Row],[asOf]]),MONTH(OneWeekMtgRatesDataTable75[[#This Row],[asOf]]),DAY(OneWeekMtgRatesDataTable75[[#This Row],[asOf]]))</f>
        <v>39069</v>
      </c>
      <c r="N2233" s="51">
        <v>6.13</v>
      </c>
      <c r="O2233" s="51">
        <v>0.4</v>
      </c>
      <c r="P2233" s="51">
        <v>5.9799999999999995</v>
      </c>
    </row>
    <row r="2234" spans="12:16">
      <c r="L2234" s="51" t="s">
        <v>2245</v>
      </c>
      <c r="M2234" s="25">
        <f>DATE(YEAR(OneWeekMtgRatesDataTable75[[#This Row],[asOf]]),MONTH(OneWeekMtgRatesDataTable75[[#This Row],[asOf]]),DAY(OneWeekMtgRatesDataTable75[[#This Row],[asOf]]))</f>
        <v>39066</v>
      </c>
      <c r="N2234" s="51">
        <v>6.13</v>
      </c>
      <c r="O2234" s="51">
        <v>0.4</v>
      </c>
      <c r="P2234" s="51">
        <v>5.9799999999999995</v>
      </c>
    </row>
    <row r="2235" spans="12:16">
      <c r="L2235" s="51" t="s">
        <v>2246</v>
      </c>
      <c r="M2235" s="25">
        <f>DATE(YEAR(OneWeekMtgRatesDataTable75[[#This Row],[asOf]]),MONTH(OneWeekMtgRatesDataTable75[[#This Row],[asOf]]),DAY(OneWeekMtgRatesDataTable75[[#This Row],[asOf]]))</f>
        <v>39065</v>
      </c>
      <c r="N2235" s="51">
        <v>6.13</v>
      </c>
      <c r="O2235" s="51">
        <v>0.4</v>
      </c>
      <c r="P2235" s="51">
        <v>5.9799999999999995</v>
      </c>
    </row>
    <row r="2236" spans="12:16">
      <c r="L2236" s="51" t="s">
        <v>2247</v>
      </c>
      <c r="M2236" s="25">
        <f>DATE(YEAR(OneWeekMtgRatesDataTable75[[#This Row],[asOf]]),MONTH(OneWeekMtgRatesDataTable75[[#This Row],[asOf]]),DAY(OneWeekMtgRatesDataTable75[[#This Row],[asOf]]))</f>
        <v>39064</v>
      </c>
      <c r="N2236" s="51">
        <v>6.12</v>
      </c>
      <c r="O2236" s="51">
        <v>0.4</v>
      </c>
      <c r="P2236" s="51">
        <v>5.97</v>
      </c>
    </row>
    <row r="2237" spans="12:16">
      <c r="L2237" s="51" t="s">
        <v>2248</v>
      </c>
      <c r="M2237" s="25">
        <f>DATE(YEAR(OneWeekMtgRatesDataTable75[[#This Row],[asOf]]),MONTH(OneWeekMtgRatesDataTable75[[#This Row],[asOf]]),DAY(OneWeekMtgRatesDataTable75[[#This Row],[asOf]]))</f>
        <v>39063</v>
      </c>
      <c r="N2237" s="51">
        <v>6.12</v>
      </c>
      <c r="O2237" s="51">
        <v>0.4</v>
      </c>
      <c r="P2237" s="51">
        <v>5.97</v>
      </c>
    </row>
    <row r="2238" spans="12:16">
      <c r="L2238" s="51" t="s">
        <v>2249</v>
      </c>
      <c r="M2238" s="25">
        <f>DATE(YEAR(OneWeekMtgRatesDataTable75[[#This Row],[asOf]]),MONTH(OneWeekMtgRatesDataTable75[[#This Row],[asOf]]),DAY(OneWeekMtgRatesDataTable75[[#This Row],[asOf]]))</f>
        <v>39062</v>
      </c>
      <c r="N2238" s="51">
        <v>6.12</v>
      </c>
      <c r="O2238" s="51">
        <v>0.4</v>
      </c>
      <c r="P2238" s="51">
        <v>5.97</v>
      </c>
    </row>
    <row r="2239" spans="12:16">
      <c r="L2239" s="51" t="s">
        <v>2250</v>
      </c>
      <c r="M2239" s="25">
        <f>DATE(YEAR(OneWeekMtgRatesDataTable75[[#This Row],[asOf]]),MONTH(OneWeekMtgRatesDataTable75[[#This Row],[asOf]]),DAY(OneWeekMtgRatesDataTable75[[#This Row],[asOf]]))</f>
        <v>39059</v>
      </c>
      <c r="N2239" s="51">
        <v>6.12</v>
      </c>
      <c r="O2239" s="51">
        <v>0.4</v>
      </c>
      <c r="P2239" s="51">
        <v>5.97</v>
      </c>
    </row>
    <row r="2240" spans="12:16">
      <c r="L2240" s="51" t="s">
        <v>2251</v>
      </c>
      <c r="M2240" s="25">
        <f>DATE(YEAR(OneWeekMtgRatesDataTable75[[#This Row],[asOf]]),MONTH(OneWeekMtgRatesDataTable75[[#This Row],[asOf]]),DAY(OneWeekMtgRatesDataTable75[[#This Row],[asOf]]))</f>
        <v>39058</v>
      </c>
      <c r="N2240" s="51">
        <v>6.12</v>
      </c>
      <c r="O2240" s="51">
        <v>0.4</v>
      </c>
      <c r="P2240" s="51">
        <v>5.97</v>
      </c>
    </row>
    <row r="2241" spans="12:16">
      <c r="L2241" s="51" t="s">
        <v>2252</v>
      </c>
      <c r="M2241" s="25">
        <f>DATE(YEAR(OneWeekMtgRatesDataTable75[[#This Row],[asOf]]),MONTH(OneWeekMtgRatesDataTable75[[#This Row],[asOf]]),DAY(OneWeekMtgRatesDataTable75[[#This Row],[asOf]]))</f>
        <v>39057</v>
      </c>
      <c r="N2241" s="51">
        <v>6.11</v>
      </c>
      <c r="O2241" s="51">
        <v>0.5</v>
      </c>
      <c r="P2241" s="51">
        <v>5.9850000000000003</v>
      </c>
    </row>
    <row r="2242" spans="12:16">
      <c r="L2242" s="51" t="s">
        <v>2253</v>
      </c>
      <c r="M2242" s="25">
        <f>DATE(YEAR(OneWeekMtgRatesDataTable75[[#This Row],[asOf]]),MONTH(OneWeekMtgRatesDataTable75[[#This Row],[asOf]]),DAY(OneWeekMtgRatesDataTable75[[#This Row],[asOf]]))</f>
        <v>39056</v>
      </c>
      <c r="N2242" s="51">
        <v>6.11</v>
      </c>
      <c r="O2242" s="51">
        <v>0.5</v>
      </c>
      <c r="P2242" s="51">
        <v>5.9850000000000003</v>
      </c>
    </row>
    <row r="2243" spans="12:16">
      <c r="L2243" s="51" t="s">
        <v>2254</v>
      </c>
      <c r="M2243" s="25">
        <f>DATE(YEAR(OneWeekMtgRatesDataTable75[[#This Row],[asOf]]),MONTH(OneWeekMtgRatesDataTable75[[#This Row],[asOf]]),DAY(OneWeekMtgRatesDataTable75[[#This Row],[asOf]]))</f>
        <v>39055</v>
      </c>
      <c r="N2243" s="51">
        <v>6.11</v>
      </c>
      <c r="O2243" s="51">
        <v>0.5</v>
      </c>
      <c r="P2243" s="51">
        <v>5.9850000000000003</v>
      </c>
    </row>
    <row r="2244" spans="12:16">
      <c r="L2244" s="51" t="s">
        <v>2255</v>
      </c>
      <c r="M2244" s="25">
        <f>DATE(YEAR(OneWeekMtgRatesDataTable75[[#This Row],[asOf]]),MONTH(OneWeekMtgRatesDataTable75[[#This Row],[asOf]]),DAY(OneWeekMtgRatesDataTable75[[#This Row],[asOf]]))</f>
        <v>39052</v>
      </c>
      <c r="N2244" s="51">
        <v>6.11</v>
      </c>
      <c r="O2244" s="51">
        <v>0.5</v>
      </c>
      <c r="P2244" s="51">
        <v>5.9850000000000003</v>
      </c>
    </row>
    <row r="2245" spans="12:16">
      <c r="L2245" s="51" t="s">
        <v>2256</v>
      </c>
      <c r="M2245" s="25">
        <f>DATE(YEAR(OneWeekMtgRatesDataTable75[[#This Row],[asOf]]),MONTH(OneWeekMtgRatesDataTable75[[#This Row],[asOf]]),DAY(OneWeekMtgRatesDataTable75[[#This Row],[asOf]]))</f>
        <v>39051</v>
      </c>
      <c r="N2245" s="51">
        <v>6.11</v>
      </c>
      <c r="O2245" s="51">
        <v>0.5</v>
      </c>
      <c r="P2245" s="51">
        <v>5.9850000000000003</v>
      </c>
    </row>
    <row r="2246" spans="12:16">
      <c r="L2246" s="51" t="s">
        <v>2257</v>
      </c>
      <c r="M2246" s="25">
        <f>DATE(YEAR(OneWeekMtgRatesDataTable75[[#This Row],[asOf]]),MONTH(OneWeekMtgRatesDataTable75[[#This Row],[asOf]]),DAY(OneWeekMtgRatesDataTable75[[#This Row],[asOf]]))</f>
        <v>39050</v>
      </c>
      <c r="N2246" s="51">
        <v>6.14</v>
      </c>
      <c r="O2246" s="51">
        <v>0.4</v>
      </c>
      <c r="P2246" s="51">
        <v>5.9899999999999993</v>
      </c>
    </row>
    <row r="2247" spans="12:16">
      <c r="L2247" s="51" t="s">
        <v>2258</v>
      </c>
      <c r="M2247" s="25">
        <f>DATE(YEAR(OneWeekMtgRatesDataTable75[[#This Row],[asOf]]),MONTH(OneWeekMtgRatesDataTable75[[#This Row],[asOf]]),DAY(OneWeekMtgRatesDataTable75[[#This Row],[asOf]]))</f>
        <v>39049</v>
      </c>
      <c r="N2247" s="51">
        <v>6.14</v>
      </c>
      <c r="O2247" s="51">
        <v>0.4</v>
      </c>
      <c r="P2247" s="51">
        <v>5.9899999999999993</v>
      </c>
    </row>
    <row r="2248" spans="12:16">
      <c r="L2248" s="51" t="s">
        <v>2259</v>
      </c>
      <c r="M2248" s="25">
        <f>DATE(YEAR(OneWeekMtgRatesDataTable75[[#This Row],[asOf]]),MONTH(OneWeekMtgRatesDataTable75[[#This Row],[asOf]]),DAY(OneWeekMtgRatesDataTable75[[#This Row],[asOf]]))</f>
        <v>39048</v>
      </c>
      <c r="N2248" s="51">
        <v>6.14</v>
      </c>
      <c r="O2248" s="51">
        <v>0.4</v>
      </c>
      <c r="P2248" s="51">
        <v>5.9899999999999993</v>
      </c>
    </row>
    <row r="2249" spans="12:16">
      <c r="L2249" s="51" t="s">
        <v>2260</v>
      </c>
      <c r="M2249" s="25">
        <f>DATE(YEAR(OneWeekMtgRatesDataTable75[[#This Row],[asOf]]),MONTH(OneWeekMtgRatesDataTable75[[#This Row],[asOf]]),DAY(OneWeekMtgRatesDataTable75[[#This Row],[asOf]]))</f>
        <v>39045</v>
      </c>
      <c r="N2249" s="51">
        <v>6.14</v>
      </c>
      <c r="O2249" s="51">
        <v>0.4</v>
      </c>
      <c r="P2249" s="51">
        <v>5.9899999999999993</v>
      </c>
    </row>
    <row r="2250" spans="12:16">
      <c r="L2250" s="51" t="s">
        <v>2261</v>
      </c>
      <c r="M2250" s="25">
        <f>DATE(YEAR(OneWeekMtgRatesDataTable75[[#This Row],[asOf]]),MONTH(OneWeekMtgRatesDataTable75[[#This Row],[asOf]]),DAY(OneWeekMtgRatesDataTable75[[#This Row],[asOf]]))</f>
        <v>39044</v>
      </c>
      <c r="N2250" s="51">
        <v>6.14</v>
      </c>
      <c r="O2250" s="51">
        <v>0.4</v>
      </c>
      <c r="P2250" s="51">
        <v>5.9899999999999993</v>
      </c>
    </row>
    <row r="2251" spans="12:16">
      <c r="L2251" s="51" t="s">
        <v>2262</v>
      </c>
      <c r="M2251" s="25">
        <f>DATE(YEAR(OneWeekMtgRatesDataTable75[[#This Row],[asOf]]),MONTH(OneWeekMtgRatesDataTable75[[#This Row],[asOf]]),DAY(OneWeekMtgRatesDataTable75[[#This Row],[asOf]]))</f>
        <v>39042</v>
      </c>
      <c r="N2251" s="51">
        <v>6.18</v>
      </c>
      <c r="O2251" s="51">
        <v>0.5</v>
      </c>
      <c r="P2251" s="51">
        <v>6.0549999999999997</v>
      </c>
    </row>
    <row r="2252" spans="12:16">
      <c r="L2252" s="51" t="s">
        <v>2263</v>
      </c>
      <c r="M2252" s="25">
        <f>DATE(YEAR(OneWeekMtgRatesDataTable75[[#This Row],[asOf]]),MONTH(OneWeekMtgRatesDataTable75[[#This Row],[asOf]]),DAY(OneWeekMtgRatesDataTable75[[#This Row],[asOf]]))</f>
        <v>39041</v>
      </c>
      <c r="N2252" s="51">
        <v>6.18</v>
      </c>
      <c r="O2252" s="51">
        <v>0.5</v>
      </c>
      <c r="P2252" s="51">
        <v>6.0549999999999997</v>
      </c>
    </row>
    <row r="2253" spans="12:16">
      <c r="L2253" s="51" t="s">
        <v>2264</v>
      </c>
      <c r="M2253" s="25">
        <f>DATE(YEAR(OneWeekMtgRatesDataTable75[[#This Row],[asOf]]),MONTH(OneWeekMtgRatesDataTable75[[#This Row],[asOf]]),DAY(OneWeekMtgRatesDataTable75[[#This Row],[asOf]]))</f>
        <v>39038</v>
      </c>
      <c r="N2253" s="51">
        <v>6.18</v>
      </c>
      <c r="O2253" s="51">
        <v>0.5</v>
      </c>
      <c r="P2253" s="51">
        <v>6.0549999999999997</v>
      </c>
    </row>
    <row r="2254" spans="12:16">
      <c r="L2254" s="51" t="s">
        <v>2265</v>
      </c>
      <c r="M2254" s="25">
        <f>DATE(YEAR(OneWeekMtgRatesDataTable75[[#This Row],[asOf]]),MONTH(OneWeekMtgRatesDataTable75[[#This Row],[asOf]]),DAY(OneWeekMtgRatesDataTable75[[#This Row],[asOf]]))</f>
        <v>39037</v>
      </c>
      <c r="N2254" s="51">
        <v>6.18</v>
      </c>
      <c r="O2254" s="51">
        <v>0.5</v>
      </c>
      <c r="P2254" s="51">
        <v>6.0549999999999997</v>
      </c>
    </row>
    <row r="2255" spans="12:16">
      <c r="L2255" s="51" t="s">
        <v>2266</v>
      </c>
      <c r="M2255" s="25">
        <f>DATE(YEAR(OneWeekMtgRatesDataTable75[[#This Row],[asOf]]),MONTH(OneWeekMtgRatesDataTable75[[#This Row],[asOf]]),DAY(OneWeekMtgRatesDataTable75[[#This Row],[asOf]]))</f>
        <v>39036</v>
      </c>
      <c r="N2255" s="51">
        <v>6.18</v>
      </c>
      <c r="O2255" s="51">
        <v>0.5</v>
      </c>
      <c r="P2255" s="51">
        <v>6.0549999999999997</v>
      </c>
    </row>
    <row r="2256" spans="12:16">
      <c r="L2256" s="51" t="s">
        <v>2266</v>
      </c>
      <c r="M2256" s="25">
        <f>DATE(YEAR(OneWeekMtgRatesDataTable75[[#This Row],[asOf]]),MONTH(OneWeekMtgRatesDataTable75[[#This Row],[asOf]]),DAY(OneWeekMtgRatesDataTable75[[#This Row],[asOf]]))</f>
        <v>39036</v>
      </c>
      <c r="N2256" s="51">
        <v>6.24</v>
      </c>
      <c r="O2256" s="51">
        <v>0.5</v>
      </c>
      <c r="P2256" s="51">
        <v>6.1150000000000002</v>
      </c>
    </row>
    <row r="2257" spans="12:16">
      <c r="L2257" s="51" t="s">
        <v>2267</v>
      </c>
      <c r="M2257" s="25">
        <f>DATE(YEAR(OneWeekMtgRatesDataTable75[[#This Row],[asOf]]),MONTH(OneWeekMtgRatesDataTable75[[#This Row],[asOf]]),DAY(OneWeekMtgRatesDataTable75[[#This Row],[asOf]]))</f>
        <v>39035</v>
      </c>
      <c r="N2257" s="51">
        <v>6.24</v>
      </c>
      <c r="O2257" s="51">
        <v>0.5</v>
      </c>
      <c r="P2257" s="51">
        <v>6.1150000000000002</v>
      </c>
    </row>
    <row r="2258" spans="12:16">
      <c r="L2258" s="51" t="s">
        <v>2268</v>
      </c>
      <c r="M2258" s="25">
        <f>DATE(YEAR(OneWeekMtgRatesDataTable75[[#This Row],[asOf]]),MONTH(OneWeekMtgRatesDataTable75[[#This Row],[asOf]]),DAY(OneWeekMtgRatesDataTable75[[#This Row],[asOf]]))</f>
        <v>39034</v>
      </c>
      <c r="N2258" s="51">
        <v>6.24</v>
      </c>
      <c r="O2258" s="51">
        <v>0.5</v>
      </c>
      <c r="P2258" s="51">
        <v>6.1150000000000002</v>
      </c>
    </row>
    <row r="2259" spans="12:16">
      <c r="L2259" s="51" t="s">
        <v>2269</v>
      </c>
      <c r="M2259" s="25">
        <f>DATE(YEAR(OneWeekMtgRatesDataTable75[[#This Row],[asOf]]),MONTH(OneWeekMtgRatesDataTable75[[#This Row],[asOf]]),DAY(OneWeekMtgRatesDataTable75[[#This Row],[asOf]]))</f>
        <v>39031</v>
      </c>
      <c r="N2259" s="51">
        <v>6.24</v>
      </c>
      <c r="O2259" s="51">
        <v>0.5</v>
      </c>
      <c r="P2259" s="51">
        <v>6.1150000000000002</v>
      </c>
    </row>
    <row r="2260" spans="12:16">
      <c r="L2260" s="51" t="s">
        <v>2270</v>
      </c>
      <c r="M2260" s="25">
        <f>DATE(YEAR(OneWeekMtgRatesDataTable75[[#This Row],[asOf]]),MONTH(OneWeekMtgRatesDataTable75[[#This Row],[asOf]]),DAY(OneWeekMtgRatesDataTable75[[#This Row],[asOf]]))</f>
        <v>39030</v>
      </c>
      <c r="N2260" s="51">
        <v>6.24</v>
      </c>
      <c r="O2260" s="51">
        <v>0.5</v>
      </c>
      <c r="P2260" s="51">
        <v>6.1150000000000002</v>
      </c>
    </row>
    <row r="2261" spans="12:16">
      <c r="L2261" s="51" t="s">
        <v>2271</v>
      </c>
      <c r="M2261" s="25">
        <f>DATE(YEAR(OneWeekMtgRatesDataTable75[[#This Row],[asOf]]),MONTH(OneWeekMtgRatesDataTable75[[#This Row],[asOf]]),DAY(OneWeekMtgRatesDataTable75[[#This Row],[asOf]]))</f>
        <v>39029</v>
      </c>
      <c r="N2261" s="51">
        <v>6.33</v>
      </c>
      <c r="O2261" s="51">
        <v>0.6</v>
      </c>
      <c r="P2261" s="51">
        <v>6.23</v>
      </c>
    </row>
    <row r="2262" spans="12:16">
      <c r="L2262" s="51" t="s">
        <v>2272</v>
      </c>
      <c r="M2262" s="25">
        <f>DATE(YEAR(OneWeekMtgRatesDataTable75[[#This Row],[asOf]]),MONTH(OneWeekMtgRatesDataTable75[[#This Row],[asOf]]),DAY(OneWeekMtgRatesDataTable75[[#This Row],[asOf]]))</f>
        <v>39028</v>
      </c>
      <c r="N2262" s="51">
        <v>6.33</v>
      </c>
      <c r="O2262" s="51">
        <v>0.6</v>
      </c>
      <c r="P2262" s="51">
        <v>6.23</v>
      </c>
    </row>
    <row r="2263" spans="12:16">
      <c r="L2263" s="51" t="s">
        <v>2273</v>
      </c>
      <c r="M2263" s="25">
        <f>DATE(YEAR(OneWeekMtgRatesDataTable75[[#This Row],[asOf]]),MONTH(OneWeekMtgRatesDataTable75[[#This Row],[asOf]]),DAY(OneWeekMtgRatesDataTable75[[#This Row],[asOf]]))</f>
        <v>39027</v>
      </c>
      <c r="N2263" s="51">
        <v>6.33</v>
      </c>
      <c r="O2263" s="51">
        <v>0.6</v>
      </c>
      <c r="P2263" s="51">
        <v>6.23</v>
      </c>
    </row>
    <row r="2264" spans="12:16">
      <c r="L2264" s="51" t="s">
        <v>2274</v>
      </c>
      <c r="M2264" s="25">
        <f>DATE(YEAR(OneWeekMtgRatesDataTable75[[#This Row],[asOf]]),MONTH(OneWeekMtgRatesDataTable75[[#This Row],[asOf]]),DAY(OneWeekMtgRatesDataTable75[[#This Row],[asOf]]))</f>
        <v>39024</v>
      </c>
      <c r="N2264" s="51">
        <v>6.33</v>
      </c>
      <c r="O2264" s="51">
        <v>0.6</v>
      </c>
      <c r="P2264" s="51">
        <v>6.23</v>
      </c>
    </row>
    <row r="2265" spans="12:16">
      <c r="L2265" s="51" t="s">
        <v>2275</v>
      </c>
      <c r="M2265" s="25">
        <f>DATE(YEAR(OneWeekMtgRatesDataTable75[[#This Row],[asOf]]),MONTH(OneWeekMtgRatesDataTable75[[#This Row],[asOf]]),DAY(OneWeekMtgRatesDataTable75[[#This Row],[asOf]]))</f>
        <v>39023</v>
      </c>
      <c r="N2265" s="51">
        <v>6.33</v>
      </c>
      <c r="O2265" s="51">
        <v>0.6</v>
      </c>
      <c r="P2265" s="51">
        <v>6.23</v>
      </c>
    </row>
    <row r="2266" spans="12:16">
      <c r="L2266" s="51" t="s">
        <v>2276</v>
      </c>
      <c r="M2266" s="25">
        <f>DATE(YEAR(OneWeekMtgRatesDataTable75[[#This Row],[asOf]]),MONTH(OneWeekMtgRatesDataTable75[[#This Row],[asOf]]),DAY(OneWeekMtgRatesDataTable75[[#This Row],[asOf]]))</f>
        <v>39022</v>
      </c>
      <c r="N2266" s="51">
        <v>6.31</v>
      </c>
      <c r="O2266" s="51">
        <v>0.4</v>
      </c>
      <c r="P2266" s="51">
        <v>6.1599999999999993</v>
      </c>
    </row>
    <row r="2267" spans="12:16">
      <c r="L2267" s="51" t="s">
        <v>2277</v>
      </c>
      <c r="M2267" s="25">
        <f>DATE(YEAR(OneWeekMtgRatesDataTable75[[#This Row],[asOf]]),MONTH(OneWeekMtgRatesDataTable75[[#This Row],[asOf]]),DAY(OneWeekMtgRatesDataTable75[[#This Row],[asOf]]))</f>
        <v>39021</v>
      </c>
      <c r="N2267" s="51">
        <v>6.31</v>
      </c>
      <c r="O2267" s="51">
        <v>0.4</v>
      </c>
      <c r="P2267" s="51">
        <v>6.1599999999999993</v>
      </c>
    </row>
    <row r="2268" spans="12:16">
      <c r="L2268" s="51" t="s">
        <v>2278</v>
      </c>
      <c r="M2268" s="25">
        <f>DATE(YEAR(OneWeekMtgRatesDataTable75[[#This Row],[asOf]]),MONTH(OneWeekMtgRatesDataTable75[[#This Row],[asOf]]),DAY(OneWeekMtgRatesDataTable75[[#This Row],[asOf]]))</f>
        <v>39020</v>
      </c>
      <c r="N2268" s="51">
        <v>6.31</v>
      </c>
      <c r="O2268" s="51">
        <v>0.4</v>
      </c>
      <c r="P2268" s="51">
        <v>6.1599999999999993</v>
      </c>
    </row>
    <row r="2269" spans="12:16">
      <c r="L2269" s="51" t="s">
        <v>2279</v>
      </c>
      <c r="M2269" s="25">
        <f>DATE(YEAR(OneWeekMtgRatesDataTable75[[#This Row],[asOf]]),MONTH(OneWeekMtgRatesDataTable75[[#This Row],[asOf]]),DAY(OneWeekMtgRatesDataTable75[[#This Row],[asOf]]))</f>
        <v>39017</v>
      </c>
      <c r="N2269" s="51">
        <v>6.31</v>
      </c>
      <c r="O2269" s="51">
        <v>0.4</v>
      </c>
      <c r="P2269" s="51">
        <v>6.1599999999999993</v>
      </c>
    </row>
    <row r="2270" spans="12:16">
      <c r="L2270" s="51" t="s">
        <v>2280</v>
      </c>
      <c r="M2270" s="25">
        <f>DATE(YEAR(OneWeekMtgRatesDataTable75[[#This Row],[asOf]]),MONTH(OneWeekMtgRatesDataTable75[[#This Row],[asOf]]),DAY(OneWeekMtgRatesDataTable75[[#This Row],[asOf]]))</f>
        <v>39016</v>
      </c>
      <c r="N2270" s="51">
        <v>6.31</v>
      </c>
      <c r="O2270" s="51">
        <v>0.4</v>
      </c>
      <c r="P2270" s="51">
        <v>6.1599999999999993</v>
      </c>
    </row>
    <row r="2271" spans="12:16">
      <c r="L2271" s="51" t="s">
        <v>2281</v>
      </c>
      <c r="M2271" s="25">
        <f>DATE(YEAR(OneWeekMtgRatesDataTable75[[#This Row],[asOf]]),MONTH(OneWeekMtgRatesDataTable75[[#This Row],[asOf]]),DAY(OneWeekMtgRatesDataTable75[[#This Row],[asOf]]))</f>
        <v>39015</v>
      </c>
      <c r="N2271" s="51">
        <v>6.4</v>
      </c>
      <c r="O2271" s="51">
        <v>0.4</v>
      </c>
      <c r="P2271" s="51">
        <v>6.25</v>
      </c>
    </row>
    <row r="2272" spans="12:16">
      <c r="L2272" s="51" t="s">
        <v>2282</v>
      </c>
      <c r="M2272" s="25">
        <f>DATE(YEAR(OneWeekMtgRatesDataTable75[[#This Row],[asOf]]),MONTH(OneWeekMtgRatesDataTable75[[#This Row],[asOf]]),DAY(OneWeekMtgRatesDataTable75[[#This Row],[asOf]]))</f>
        <v>39014</v>
      </c>
      <c r="N2272" s="51">
        <v>6.4</v>
      </c>
      <c r="O2272" s="51">
        <v>0.4</v>
      </c>
      <c r="P2272" s="51">
        <v>6.25</v>
      </c>
    </row>
    <row r="2273" spans="12:16">
      <c r="L2273" s="51" t="s">
        <v>2283</v>
      </c>
      <c r="M2273" s="25">
        <f>DATE(YEAR(OneWeekMtgRatesDataTable75[[#This Row],[asOf]]),MONTH(OneWeekMtgRatesDataTable75[[#This Row],[asOf]]),DAY(OneWeekMtgRatesDataTable75[[#This Row],[asOf]]))</f>
        <v>39013</v>
      </c>
      <c r="N2273" s="51">
        <v>6.4</v>
      </c>
      <c r="O2273" s="51">
        <v>0.4</v>
      </c>
      <c r="P2273" s="51">
        <v>6.25</v>
      </c>
    </row>
    <row r="2274" spans="12:16">
      <c r="L2274" s="51" t="s">
        <v>2284</v>
      </c>
      <c r="M2274" s="25">
        <f>DATE(YEAR(OneWeekMtgRatesDataTable75[[#This Row],[asOf]]),MONTH(OneWeekMtgRatesDataTable75[[#This Row],[asOf]]),DAY(OneWeekMtgRatesDataTable75[[#This Row],[asOf]]))</f>
        <v>39010</v>
      </c>
      <c r="N2274" s="51">
        <v>6.4</v>
      </c>
      <c r="O2274" s="51">
        <v>0.4</v>
      </c>
      <c r="P2274" s="51">
        <v>6.25</v>
      </c>
    </row>
    <row r="2275" spans="12:16">
      <c r="L2275" s="51" t="s">
        <v>2285</v>
      </c>
      <c r="M2275" s="25">
        <f>DATE(YEAR(OneWeekMtgRatesDataTable75[[#This Row],[asOf]]),MONTH(OneWeekMtgRatesDataTable75[[#This Row],[asOf]]),DAY(OneWeekMtgRatesDataTable75[[#This Row],[asOf]]))</f>
        <v>39009</v>
      </c>
      <c r="N2275" s="51">
        <v>6.4</v>
      </c>
      <c r="O2275" s="51">
        <v>0.4</v>
      </c>
      <c r="P2275" s="51">
        <v>6.25</v>
      </c>
    </row>
    <row r="2276" spans="12:16">
      <c r="L2276" s="51" t="s">
        <v>2286</v>
      </c>
      <c r="M2276" s="25">
        <f>DATE(YEAR(OneWeekMtgRatesDataTable75[[#This Row],[asOf]]),MONTH(OneWeekMtgRatesDataTable75[[#This Row],[asOf]]),DAY(OneWeekMtgRatesDataTable75[[#This Row],[asOf]]))</f>
        <v>39008</v>
      </c>
      <c r="N2276" s="51">
        <v>6.36</v>
      </c>
      <c r="O2276" s="51">
        <v>0.5</v>
      </c>
      <c r="P2276" s="51">
        <v>6.2350000000000003</v>
      </c>
    </row>
    <row r="2277" spans="12:16">
      <c r="L2277" s="51" t="s">
        <v>2287</v>
      </c>
      <c r="M2277" s="25">
        <f>DATE(YEAR(OneWeekMtgRatesDataTable75[[#This Row],[asOf]]),MONTH(OneWeekMtgRatesDataTable75[[#This Row],[asOf]]),DAY(OneWeekMtgRatesDataTable75[[#This Row],[asOf]]))</f>
        <v>39007</v>
      </c>
      <c r="N2277" s="51">
        <v>6.36</v>
      </c>
      <c r="O2277" s="51">
        <v>0.5</v>
      </c>
      <c r="P2277" s="51">
        <v>6.2350000000000003</v>
      </c>
    </row>
    <row r="2278" spans="12:16">
      <c r="L2278" s="51" t="s">
        <v>2288</v>
      </c>
      <c r="M2278" s="25">
        <f>DATE(YEAR(OneWeekMtgRatesDataTable75[[#This Row],[asOf]]),MONTH(OneWeekMtgRatesDataTable75[[#This Row],[asOf]]),DAY(OneWeekMtgRatesDataTable75[[#This Row],[asOf]]))</f>
        <v>39006</v>
      </c>
      <c r="N2278" s="51">
        <v>6.36</v>
      </c>
      <c r="O2278" s="51">
        <v>0.5</v>
      </c>
      <c r="P2278" s="51">
        <v>6.2350000000000003</v>
      </c>
    </row>
    <row r="2279" spans="12:16">
      <c r="L2279" s="51" t="s">
        <v>2289</v>
      </c>
      <c r="M2279" s="25">
        <f>DATE(YEAR(OneWeekMtgRatesDataTable75[[#This Row],[asOf]]),MONTH(OneWeekMtgRatesDataTable75[[#This Row],[asOf]]),DAY(OneWeekMtgRatesDataTable75[[#This Row],[asOf]]))</f>
        <v>39003</v>
      </c>
      <c r="N2279" s="51">
        <v>6.36</v>
      </c>
      <c r="O2279" s="51">
        <v>0.5</v>
      </c>
      <c r="P2279" s="51">
        <v>6.2350000000000003</v>
      </c>
    </row>
    <row r="2280" spans="12:16">
      <c r="L2280" s="51" t="s">
        <v>2290</v>
      </c>
      <c r="M2280" s="25">
        <f>DATE(YEAR(OneWeekMtgRatesDataTable75[[#This Row],[asOf]]),MONTH(OneWeekMtgRatesDataTable75[[#This Row],[asOf]]),DAY(OneWeekMtgRatesDataTable75[[#This Row],[asOf]]))</f>
        <v>39002</v>
      </c>
      <c r="N2280" s="51">
        <v>6.36</v>
      </c>
      <c r="O2280" s="51">
        <v>0.5</v>
      </c>
      <c r="P2280" s="51">
        <v>6.2350000000000003</v>
      </c>
    </row>
    <row r="2281" spans="12:16">
      <c r="L2281" s="51" t="s">
        <v>2291</v>
      </c>
      <c r="M2281" s="25">
        <f>DATE(YEAR(OneWeekMtgRatesDataTable75[[#This Row],[asOf]]),MONTH(OneWeekMtgRatesDataTable75[[#This Row],[asOf]]),DAY(OneWeekMtgRatesDataTable75[[#This Row],[asOf]]))</f>
        <v>39001</v>
      </c>
      <c r="N2281" s="51">
        <v>6.37</v>
      </c>
      <c r="O2281" s="51">
        <v>0.5</v>
      </c>
      <c r="P2281" s="51">
        <v>6.2450000000000001</v>
      </c>
    </row>
    <row r="2282" spans="12:16">
      <c r="L2282" s="51" t="s">
        <v>2292</v>
      </c>
      <c r="M2282" s="25">
        <f>DATE(YEAR(OneWeekMtgRatesDataTable75[[#This Row],[asOf]]),MONTH(OneWeekMtgRatesDataTable75[[#This Row],[asOf]]),DAY(OneWeekMtgRatesDataTable75[[#This Row],[asOf]]))</f>
        <v>39000</v>
      </c>
      <c r="N2282" s="51">
        <v>6.37</v>
      </c>
      <c r="O2282" s="51">
        <v>0.5</v>
      </c>
      <c r="P2282" s="51">
        <v>6.2450000000000001</v>
      </c>
    </row>
    <row r="2283" spans="12:16">
      <c r="L2283" s="51" t="s">
        <v>2293</v>
      </c>
      <c r="M2283" s="25">
        <f>DATE(YEAR(OneWeekMtgRatesDataTable75[[#This Row],[asOf]]),MONTH(OneWeekMtgRatesDataTable75[[#This Row],[asOf]]),DAY(OneWeekMtgRatesDataTable75[[#This Row],[asOf]]))</f>
        <v>38999</v>
      </c>
      <c r="N2283" s="51">
        <v>6.37</v>
      </c>
      <c r="O2283" s="51">
        <v>0.5</v>
      </c>
      <c r="P2283" s="51">
        <v>6.2450000000000001</v>
      </c>
    </row>
    <row r="2284" spans="12:16">
      <c r="L2284" s="51" t="s">
        <v>2294</v>
      </c>
      <c r="M2284" s="25">
        <f>DATE(YEAR(OneWeekMtgRatesDataTable75[[#This Row],[asOf]]),MONTH(OneWeekMtgRatesDataTable75[[#This Row],[asOf]]),DAY(OneWeekMtgRatesDataTable75[[#This Row],[asOf]]))</f>
        <v>38996</v>
      </c>
      <c r="N2284" s="51">
        <v>6.37</v>
      </c>
      <c r="O2284" s="51">
        <v>0.5</v>
      </c>
      <c r="P2284" s="51">
        <v>6.2450000000000001</v>
      </c>
    </row>
    <row r="2285" spans="12:16">
      <c r="L2285" s="51" t="s">
        <v>2295</v>
      </c>
      <c r="M2285" s="25">
        <f>DATE(YEAR(OneWeekMtgRatesDataTable75[[#This Row],[asOf]]),MONTH(OneWeekMtgRatesDataTable75[[#This Row],[asOf]]),DAY(OneWeekMtgRatesDataTable75[[#This Row],[asOf]]))</f>
        <v>38995</v>
      </c>
      <c r="N2285" s="51">
        <v>6.37</v>
      </c>
      <c r="O2285" s="51">
        <v>0.5</v>
      </c>
      <c r="P2285" s="51">
        <v>6.2450000000000001</v>
      </c>
    </row>
    <row r="2286" spans="12:16">
      <c r="L2286" s="51" t="s">
        <v>2296</v>
      </c>
      <c r="M2286" s="25">
        <f>DATE(YEAR(OneWeekMtgRatesDataTable75[[#This Row],[asOf]]),MONTH(OneWeekMtgRatesDataTable75[[#This Row],[asOf]]),DAY(OneWeekMtgRatesDataTable75[[#This Row],[asOf]]))</f>
        <v>38994</v>
      </c>
      <c r="N2286" s="51">
        <v>6.3</v>
      </c>
      <c r="O2286" s="51">
        <v>0.3</v>
      </c>
      <c r="P2286" s="51">
        <v>6.125</v>
      </c>
    </row>
    <row r="2287" spans="12:16">
      <c r="L2287" s="51" t="s">
        <v>2297</v>
      </c>
      <c r="M2287" s="25">
        <f>DATE(YEAR(OneWeekMtgRatesDataTable75[[#This Row],[asOf]]),MONTH(OneWeekMtgRatesDataTable75[[#This Row],[asOf]]),DAY(OneWeekMtgRatesDataTable75[[#This Row],[asOf]]))</f>
        <v>38993</v>
      </c>
      <c r="N2287" s="51">
        <v>6.3</v>
      </c>
      <c r="O2287" s="51">
        <v>0.3</v>
      </c>
      <c r="P2287" s="51">
        <v>6.125</v>
      </c>
    </row>
    <row r="2288" spans="12:16">
      <c r="L2288" s="51" t="s">
        <v>2298</v>
      </c>
      <c r="M2288" s="25">
        <f>DATE(YEAR(OneWeekMtgRatesDataTable75[[#This Row],[asOf]]),MONTH(OneWeekMtgRatesDataTable75[[#This Row],[asOf]]),DAY(OneWeekMtgRatesDataTable75[[#This Row],[asOf]]))</f>
        <v>38992</v>
      </c>
      <c r="N2288" s="51">
        <v>6.3</v>
      </c>
      <c r="O2288" s="51">
        <v>0.3</v>
      </c>
      <c r="P2288" s="51">
        <v>6.125</v>
      </c>
    </row>
    <row r="2289" spans="12:16">
      <c r="L2289" s="51" t="s">
        <v>2299</v>
      </c>
      <c r="M2289" s="25">
        <f>DATE(YEAR(OneWeekMtgRatesDataTable75[[#This Row],[asOf]]),MONTH(OneWeekMtgRatesDataTable75[[#This Row],[asOf]]),DAY(OneWeekMtgRatesDataTable75[[#This Row],[asOf]]))</f>
        <v>38989</v>
      </c>
      <c r="N2289" s="51">
        <v>6.3</v>
      </c>
      <c r="O2289" s="51">
        <v>0.3</v>
      </c>
      <c r="P2289" s="51">
        <v>6.125</v>
      </c>
    </row>
    <row r="2290" spans="12:16">
      <c r="L2290" s="51" t="s">
        <v>2300</v>
      </c>
      <c r="M2290" s="25">
        <f>DATE(YEAR(OneWeekMtgRatesDataTable75[[#This Row],[asOf]]),MONTH(OneWeekMtgRatesDataTable75[[#This Row],[asOf]]),DAY(OneWeekMtgRatesDataTable75[[#This Row],[asOf]]))</f>
        <v>38988</v>
      </c>
      <c r="N2290" s="51">
        <v>6.3</v>
      </c>
      <c r="O2290" s="51">
        <v>0.3</v>
      </c>
      <c r="P2290" s="51">
        <v>6.125</v>
      </c>
    </row>
    <row r="2291" spans="12:16">
      <c r="L2291" s="51" t="s">
        <v>2301</v>
      </c>
      <c r="M2291" s="25">
        <f>DATE(YEAR(OneWeekMtgRatesDataTable75[[#This Row],[asOf]]),MONTH(OneWeekMtgRatesDataTable75[[#This Row],[asOf]]),DAY(OneWeekMtgRatesDataTable75[[#This Row],[asOf]]))</f>
        <v>38987</v>
      </c>
      <c r="N2291" s="51">
        <v>6.31</v>
      </c>
      <c r="O2291" s="51">
        <v>0.4</v>
      </c>
      <c r="P2291" s="51">
        <v>6.1599999999999993</v>
      </c>
    </row>
    <row r="2292" spans="12:16">
      <c r="L2292" s="51" t="s">
        <v>2302</v>
      </c>
      <c r="M2292" s="25">
        <f>DATE(YEAR(OneWeekMtgRatesDataTable75[[#This Row],[asOf]]),MONTH(OneWeekMtgRatesDataTable75[[#This Row],[asOf]]),DAY(OneWeekMtgRatesDataTable75[[#This Row],[asOf]]))</f>
        <v>38986</v>
      </c>
      <c r="N2292" s="51">
        <v>6.31</v>
      </c>
      <c r="O2292" s="51">
        <v>0.4</v>
      </c>
      <c r="P2292" s="51">
        <v>6.1599999999999993</v>
      </c>
    </row>
    <row r="2293" spans="12:16">
      <c r="L2293" s="51" t="s">
        <v>2303</v>
      </c>
      <c r="M2293" s="25">
        <f>DATE(YEAR(OneWeekMtgRatesDataTable75[[#This Row],[asOf]]),MONTH(OneWeekMtgRatesDataTable75[[#This Row],[asOf]]),DAY(OneWeekMtgRatesDataTable75[[#This Row],[asOf]]))</f>
        <v>38985</v>
      </c>
      <c r="N2293" s="51">
        <v>6.31</v>
      </c>
      <c r="O2293" s="51">
        <v>0.4</v>
      </c>
      <c r="P2293" s="51">
        <v>6.1599999999999993</v>
      </c>
    </row>
    <row r="2294" spans="12:16">
      <c r="L2294" s="51" t="s">
        <v>2304</v>
      </c>
      <c r="M2294" s="25">
        <f>DATE(YEAR(OneWeekMtgRatesDataTable75[[#This Row],[asOf]]),MONTH(OneWeekMtgRatesDataTable75[[#This Row],[asOf]]),DAY(OneWeekMtgRatesDataTable75[[#This Row],[asOf]]))</f>
        <v>38982</v>
      </c>
      <c r="N2294" s="51">
        <v>6.31</v>
      </c>
      <c r="O2294" s="51">
        <v>0.4</v>
      </c>
      <c r="P2294" s="51">
        <v>6.1599999999999993</v>
      </c>
    </row>
    <row r="2295" spans="12:16">
      <c r="L2295" s="51" t="s">
        <v>2305</v>
      </c>
      <c r="M2295" s="25">
        <f>DATE(YEAR(OneWeekMtgRatesDataTable75[[#This Row],[asOf]]),MONTH(OneWeekMtgRatesDataTable75[[#This Row],[asOf]]),DAY(OneWeekMtgRatesDataTable75[[#This Row],[asOf]]))</f>
        <v>38981</v>
      </c>
      <c r="N2295" s="51">
        <v>6.31</v>
      </c>
      <c r="O2295" s="51">
        <v>0.4</v>
      </c>
      <c r="P2295" s="51">
        <v>6.1599999999999993</v>
      </c>
    </row>
    <row r="2296" spans="12:16">
      <c r="L2296" s="51" t="s">
        <v>2306</v>
      </c>
      <c r="M2296" s="25">
        <f>DATE(YEAR(OneWeekMtgRatesDataTable75[[#This Row],[asOf]]),MONTH(OneWeekMtgRatesDataTable75[[#This Row],[asOf]]),DAY(OneWeekMtgRatesDataTable75[[#This Row],[asOf]]))</f>
        <v>38980</v>
      </c>
      <c r="N2296" s="51">
        <v>6.4</v>
      </c>
      <c r="O2296" s="51">
        <v>0.5</v>
      </c>
      <c r="P2296" s="51">
        <v>6.2750000000000004</v>
      </c>
    </row>
    <row r="2297" spans="12:16">
      <c r="L2297" s="51" t="s">
        <v>2307</v>
      </c>
      <c r="M2297" s="25">
        <f>DATE(YEAR(OneWeekMtgRatesDataTable75[[#This Row],[asOf]]),MONTH(OneWeekMtgRatesDataTable75[[#This Row],[asOf]]),DAY(OneWeekMtgRatesDataTable75[[#This Row],[asOf]]))</f>
        <v>38979</v>
      </c>
      <c r="N2297" s="51">
        <v>6.4</v>
      </c>
      <c r="O2297" s="51">
        <v>0.5</v>
      </c>
      <c r="P2297" s="51">
        <v>6.2750000000000004</v>
      </c>
    </row>
    <row r="2298" spans="12:16">
      <c r="L2298" s="51" t="s">
        <v>2308</v>
      </c>
      <c r="M2298" s="25">
        <f>DATE(YEAR(OneWeekMtgRatesDataTable75[[#This Row],[asOf]]),MONTH(OneWeekMtgRatesDataTable75[[#This Row],[asOf]]),DAY(OneWeekMtgRatesDataTable75[[#This Row],[asOf]]))</f>
        <v>38978</v>
      </c>
      <c r="N2298" s="51">
        <v>6.4</v>
      </c>
      <c r="O2298" s="51">
        <v>0.5</v>
      </c>
      <c r="P2298" s="51">
        <v>6.2750000000000004</v>
      </c>
    </row>
    <row r="2299" spans="12:16">
      <c r="L2299" s="51" t="s">
        <v>2309</v>
      </c>
      <c r="M2299" s="25">
        <f>DATE(YEAR(OneWeekMtgRatesDataTable75[[#This Row],[asOf]]),MONTH(OneWeekMtgRatesDataTable75[[#This Row],[asOf]]),DAY(OneWeekMtgRatesDataTable75[[#This Row],[asOf]]))</f>
        <v>38975</v>
      </c>
      <c r="N2299" s="51">
        <v>6.4</v>
      </c>
      <c r="O2299" s="51">
        <v>0.5</v>
      </c>
      <c r="P2299" s="51">
        <v>6.2750000000000004</v>
      </c>
    </row>
    <row r="2300" spans="12:16">
      <c r="L2300" s="51" t="s">
        <v>2310</v>
      </c>
      <c r="M2300" s="25">
        <f>DATE(YEAR(OneWeekMtgRatesDataTable75[[#This Row],[asOf]]),MONTH(OneWeekMtgRatesDataTable75[[#This Row],[asOf]]),DAY(OneWeekMtgRatesDataTable75[[#This Row],[asOf]]))</f>
        <v>38974</v>
      </c>
      <c r="N2300" s="51">
        <v>6.4</v>
      </c>
      <c r="O2300" s="51">
        <v>0.5</v>
      </c>
      <c r="P2300" s="51">
        <v>6.2750000000000004</v>
      </c>
    </row>
    <row r="2301" spans="12:16">
      <c r="L2301" s="51" t="s">
        <v>2311</v>
      </c>
      <c r="M2301" s="25">
        <f>DATE(YEAR(OneWeekMtgRatesDataTable75[[#This Row],[asOf]]),MONTH(OneWeekMtgRatesDataTable75[[#This Row],[asOf]]),DAY(OneWeekMtgRatesDataTable75[[#This Row],[asOf]]))</f>
        <v>38973</v>
      </c>
      <c r="N2301" s="51">
        <v>6.43</v>
      </c>
      <c r="O2301" s="51">
        <v>0.5</v>
      </c>
      <c r="P2301" s="51">
        <v>6.3049999999999997</v>
      </c>
    </row>
    <row r="2302" spans="12:16">
      <c r="L2302" s="51" t="s">
        <v>2312</v>
      </c>
      <c r="M2302" s="25">
        <f>DATE(YEAR(OneWeekMtgRatesDataTable75[[#This Row],[asOf]]),MONTH(OneWeekMtgRatesDataTable75[[#This Row],[asOf]]),DAY(OneWeekMtgRatesDataTable75[[#This Row],[asOf]]))</f>
        <v>38972</v>
      </c>
      <c r="N2302" s="51">
        <v>6.43</v>
      </c>
      <c r="O2302" s="51">
        <v>0.5</v>
      </c>
      <c r="P2302" s="51">
        <v>6.3049999999999997</v>
      </c>
    </row>
    <row r="2303" spans="12:16">
      <c r="L2303" s="51" t="s">
        <v>2313</v>
      </c>
      <c r="M2303" s="25">
        <f>DATE(YEAR(OneWeekMtgRatesDataTable75[[#This Row],[asOf]]),MONTH(OneWeekMtgRatesDataTable75[[#This Row],[asOf]]),DAY(OneWeekMtgRatesDataTable75[[#This Row],[asOf]]))</f>
        <v>38971</v>
      </c>
      <c r="N2303" s="51">
        <v>6.43</v>
      </c>
      <c r="O2303" s="51">
        <v>0.5</v>
      </c>
      <c r="P2303" s="51">
        <v>6.3049999999999997</v>
      </c>
    </row>
    <row r="2304" spans="12:16">
      <c r="L2304" s="51" t="s">
        <v>2314</v>
      </c>
      <c r="M2304" s="25">
        <f>DATE(YEAR(OneWeekMtgRatesDataTable75[[#This Row],[asOf]]),MONTH(OneWeekMtgRatesDataTable75[[#This Row],[asOf]]),DAY(OneWeekMtgRatesDataTable75[[#This Row],[asOf]]))</f>
        <v>38968</v>
      </c>
      <c r="N2304" s="51">
        <v>6.43</v>
      </c>
      <c r="O2304" s="51">
        <v>0.5</v>
      </c>
      <c r="P2304" s="51">
        <v>6.3049999999999997</v>
      </c>
    </row>
    <row r="2305" spans="12:16">
      <c r="L2305" s="51" t="s">
        <v>2315</v>
      </c>
      <c r="M2305" s="25">
        <f>DATE(YEAR(OneWeekMtgRatesDataTable75[[#This Row],[asOf]]),MONTH(OneWeekMtgRatesDataTable75[[#This Row],[asOf]]),DAY(OneWeekMtgRatesDataTable75[[#This Row],[asOf]]))</f>
        <v>38967</v>
      </c>
      <c r="N2305" s="51">
        <v>6.43</v>
      </c>
      <c r="O2305" s="51">
        <v>0.5</v>
      </c>
      <c r="P2305" s="51">
        <v>6.3049999999999997</v>
      </c>
    </row>
    <row r="2306" spans="12:16">
      <c r="L2306" s="51" t="s">
        <v>2316</v>
      </c>
      <c r="M2306" s="25">
        <f>DATE(YEAR(OneWeekMtgRatesDataTable75[[#This Row],[asOf]]),MONTH(OneWeekMtgRatesDataTable75[[#This Row],[asOf]]),DAY(OneWeekMtgRatesDataTable75[[#This Row],[asOf]]))</f>
        <v>38966</v>
      </c>
      <c r="N2306" s="51">
        <v>6.47</v>
      </c>
      <c r="O2306" s="51">
        <v>0.4</v>
      </c>
      <c r="P2306" s="51">
        <v>6.3199999999999994</v>
      </c>
    </row>
    <row r="2307" spans="12:16">
      <c r="L2307" s="51" t="s">
        <v>2317</v>
      </c>
      <c r="M2307" s="25">
        <f>DATE(YEAR(OneWeekMtgRatesDataTable75[[#This Row],[asOf]]),MONTH(OneWeekMtgRatesDataTable75[[#This Row],[asOf]]),DAY(OneWeekMtgRatesDataTable75[[#This Row],[asOf]]))</f>
        <v>38965</v>
      </c>
      <c r="N2307" s="51">
        <v>6.47</v>
      </c>
      <c r="O2307" s="51">
        <v>0.4</v>
      </c>
      <c r="P2307" s="51">
        <v>6.3199999999999994</v>
      </c>
    </row>
    <row r="2308" spans="12:16">
      <c r="L2308" s="51" t="s">
        <v>2318</v>
      </c>
      <c r="M2308" s="25">
        <f>DATE(YEAR(OneWeekMtgRatesDataTable75[[#This Row],[asOf]]),MONTH(OneWeekMtgRatesDataTable75[[#This Row],[asOf]]),DAY(OneWeekMtgRatesDataTable75[[#This Row],[asOf]]))</f>
        <v>38964</v>
      </c>
      <c r="N2308" s="51">
        <v>6.47</v>
      </c>
      <c r="O2308" s="51">
        <v>0.4</v>
      </c>
      <c r="P2308" s="51">
        <v>6.3199999999999994</v>
      </c>
    </row>
    <row r="2309" spans="12:16">
      <c r="L2309" s="51" t="s">
        <v>2319</v>
      </c>
      <c r="M2309" s="25">
        <f>DATE(YEAR(OneWeekMtgRatesDataTable75[[#This Row],[asOf]]),MONTH(OneWeekMtgRatesDataTable75[[#This Row],[asOf]]),DAY(OneWeekMtgRatesDataTable75[[#This Row],[asOf]]))</f>
        <v>38961</v>
      </c>
      <c r="N2309" s="51">
        <v>6.47</v>
      </c>
      <c r="O2309" s="51">
        <v>0.4</v>
      </c>
      <c r="P2309" s="51">
        <v>6.3199999999999994</v>
      </c>
    </row>
    <row r="2310" spans="12:16">
      <c r="L2310" s="51" t="s">
        <v>2320</v>
      </c>
      <c r="M2310" s="25">
        <f>DATE(YEAR(OneWeekMtgRatesDataTable75[[#This Row],[asOf]]),MONTH(OneWeekMtgRatesDataTable75[[#This Row],[asOf]]),DAY(OneWeekMtgRatesDataTable75[[#This Row],[asOf]]))</f>
        <v>38960</v>
      </c>
      <c r="N2310" s="51">
        <v>6.47</v>
      </c>
      <c r="O2310" s="51">
        <v>0.4</v>
      </c>
      <c r="P2310" s="51">
        <v>6.3199999999999994</v>
      </c>
    </row>
    <row r="2311" spans="12:16">
      <c r="L2311" s="51" t="s">
        <v>2321</v>
      </c>
      <c r="M2311" s="25">
        <f>DATE(YEAR(OneWeekMtgRatesDataTable75[[#This Row],[asOf]]),MONTH(OneWeekMtgRatesDataTable75[[#This Row],[asOf]]),DAY(OneWeekMtgRatesDataTable75[[#This Row],[asOf]]))</f>
        <v>38959</v>
      </c>
      <c r="N2311" s="51">
        <v>6.44</v>
      </c>
      <c r="O2311" s="51">
        <v>0.4</v>
      </c>
      <c r="P2311" s="51">
        <v>6.29</v>
      </c>
    </row>
    <row r="2312" spans="12:16">
      <c r="L2312" s="51" t="s">
        <v>2322</v>
      </c>
      <c r="M2312" s="25">
        <f>DATE(YEAR(OneWeekMtgRatesDataTable75[[#This Row],[asOf]]),MONTH(OneWeekMtgRatesDataTable75[[#This Row],[asOf]]),DAY(OneWeekMtgRatesDataTable75[[#This Row],[asOf]]))</f>
        <v>38958</v>
      </c>
      <c r="N2312" s="51">
        <v>6.44</v>
      </c>
      <c r="O2312" s="51">
        <v>0.4</v>
      </c>
      <c r="P2312" s="51">
        <v>6.29</v>
      </c>
    </row>
    <row r="2313" spans="12:16">
      <c r="L2313" s="51" t="s">
        <v>2323</v>
      </c>
      <c r="M2313" s="25">
        <f>DATE(YEAR(OneWeekMtgRatesDataTable75[[#This Row],[asOf]]),MONTH(OneWeekMtgRatesDataTable75[[#This Row],[asOf]]),DAY(OneWeekMtgRatesDataTable75[[#This Row],[asOf]]))</f>
        <v>38957</v>
      </c>
      <c r="N2313" s="51">
        <v>6.44</v>
      </c>
      <c r="O2313" s="51">
        <v>0.4</v>
      </c>
      <c r="P2313" s="51">
        <v>6.29</v>
      </c>
    </row>
    <row r="2314" spans="12:16">
      <c r="L2314" s="51" t="s">
        <v>2324</v>
      </c>
      <c r="M2314" s="25">
        <f>DATE(YEAR(OneWeekMtgRatesDataTable75[[#This Row],[asOf]]),MONTH(OneWeekMtgRatesDataTable75[[#This Row],[asOf]]),DAY(OneWeekMtgRatesDataTable75[[#This Row],[asOf]]))</f>
        <v>38954</v>
      </c>
      <c r="N2314" s="51">
        <v>6.44</v>
      </c>
      <c r="O2314" s="51">
        <v>0.4</v>
      </c>
      <c r="P2314" s="51">
        <v>6.29</v>
      </c>
    </row>
    <row r="2315" spans="12:16">
      <c r="L2315" s="51" t="s">
        <v>2325</v>
      </c>
      <c r="M2315" s="25">
        <f>DATE(YEAR(OneWeekMtgRatesDataTable75[[#This Row],[asOf]]),MONTH(OneWeekMtgRatesDataTable75[[#This Row],[asOf]]),DAY(OneWeekMtgRatesDataTable75[[#This Row],[asOf]]))</f>
        <v>38953</v>
      </c>
      <c r="N2315" s="51">
        <v>6.44</v>
      </c>
      <c r="O2315" s="51">
        <v>0.4</v>
      </c>
      <c r="P2315" s="51">
        <v>6.29</v>
      </c>
    </row>
    <row r="2316" spans="12:16">
      <c r="L2316" s="51" t="s">
        <v>2326</v>
      </c>
      <c r="M2316" s="25">
        <f>DATE(YEAR(OneWeekMtgRatesDataTable75[[#This Row],[asOf]]),MONTH(OneWeekMtgRatesDataTable75[[#This Row],[asOf]]),DAY(OneWeekMtgRatesDataTable75[[#This Row],[asOf]]))</f>
        <v>38952</v>
      </c>
      <c r="N2316" s="51">
        <v>6.48</v>
      </c>
      <c r="O2316" s="51">
        <v>0.4</v>
      </c>
      <c r="P2316" s="51">
        <v>6.33</v>
      </c>
    </row>
    <row r="2317" spans="12:16">
      <c r="L2317" s="51" t="s">
        <v>2327</v>
      </c>
      <c r="M2317" s="25">
        <f>DATE(YEAR(OneWeekMtgRatesDataTable75[[#This Row],[asOf]]),MONTH(OneWeekMtgRatesDataTable75[[#This Row],[asOf]]),DAY(OneWeekMtgRatesDataTable75[[#This Row],[asOf]]))</f>
        <v>38951</v>
      </c>
      <c r="N2317" s="51">
        <v>6.48</v>
      </c>
      <c r="O2317" s="51">
        <v>0.4</v>
      </c>
      <c r="P2317" s="51">
        <v>6.33</v>
      </c>
    </row>
    <row r="2318" spans="12:16">
      <c r="L2318" s="51" t="s">
        <v>2328</v>
      </c>
      <c r="M2318" s="25">
        <f>DATE(YEAR(OneWeekMtgRatesDataTable75[[#This Row],[asOf]]),MONTH(OneWeekMtgRatesDataTable75[[#This Row],[asOf]]),DAY(OneWeekMtgRatesDataTable75[[#This Row],[asOf]]))</f>
        <v>38950</v>
      </c>
      <c r="N2318" s="51">
        <v>6.48</v>
      </c>
      <c r="O2318" s="51">
        <v>0.4</v>
      </c>
      <c r="P2318" s="51">
        <v>6.33</v>
      </c>
    </row>
    <row r="2319" spans="12:16">
      <c r="L2319" s="51" t="s">
        <v>2329</v>
      </c>
      <c r="M2319" s="25">
        <f>DATE(YEAR(OneWeekMtgRatesDataTable75[[#This Row],[asOf]]),MONTH(OneWeekMtgRatesDataTable75[[#This Row],[asOf]]),DAY(OneWeekMtgRatesDataTable75[[#This Row],[asOf]]))</f>
        <v>38947</v>
      </c>
      <c r="N2319" s="51">
        <v>6.48</v>
      </c>
      <c r="O2319" s="51">
        <v>0.4</v>
      </c>
      <c r="P2319" s="51">
        <v>6.33</v>
      </c>
    </row>
    <row r="2320" spans="12:16">
      <c r="L2320" s="51" t="s">
        <v>2330</v>
      </c>
      <c r="M2320" s="25">
        <f>DATE(YEAR(OneWeekMtgRatesDataTable75[[#This Row],[asOf]]),MONTH(OneWeekMtgRatesDataTable75[[#This Row],[asOf]]),DAY(OneWeekMtgRatesDataTable75[[#This Row],[asOf]]))</f>
        <v>38946</v>
      </c>
      <c r="N2320" s="51">
        <v>6.48</v>
      </c>
      <c r="O2320" s="51">
        <v>0.4</v>
      </c>
      <c r="P2320" s="51">
        <v>6.33</v>
      </c>
    </row>
    <row r="2321" spans="12:16">
      <c r="L2321" s="51" t="s">
        <v>2331</v>
      </c>
      <c r="M2321" s="25">
        <f>DATE(YEAR(OneWeekMtgRatesDataTable75[[#This Row],[asOf]]),MONTH(OneWeekMtgRatesDataTable75[[#This Row],[asOf]]),DAY(OneWeekMtgRatesDataTable75[[#This Row],[asOf]]))</f>
        <v>38945</v>
      </c>
      <c r="N2321" s="51">
        <v>6.52</v>
      </c>
      <c r="O2321" s="51">
        <v>0.3</v>
      </c>
      <c r="P2321" s="51">
        <v>6.3449999999999998</v>
      </c>
    </row>
    <row r="2322" spans="12:16">
      <c r="L2322" s="51" t="s">
        <v>2332</v>
      </c>
      <c r="M2322" s="25">
        <f>DATE(YEAR(OneWeekMtgRatesDataTable75[[#This Row],[asOf]]),MONTH(OneWeekMtgRatesDataTable75[[#This Row],[asOf]]),DAY(OneWeekMtgRatesDataTable75[[#This Row],[asOf]]))</f>
        <v>38944</v>
      </c>
      <c r="N2322" s="51">
        <v>6.52</v>
      </c>
      <c r="O2322" s="51">
        <v>0.3</v>
      </c>
      <c r="P2322" s="51">
        <v>6.3449999999999998</v>
      </c>
    </row>
    <row r="2323" spans="12:16">
      <c r="L2323" s="51" t="s">
        <v>2333</v>
      </c>
      <c r="M2323" s="25">
        <f>DATE(YEAR(OneWeekMtgRatesDataTable75[[#This Row],[asOf]]),MONTH(OneWeekMtgRatesDataTable75[[#This Row],[asOf]]),DAY(OneWeekMtgRatesDataTable75[[#This Row],[asOf]]))</f>
        <v>38943</v>
      </c>
      <c r="N2323" s="51">
        <v>6.52</v>
      </c>
      <c r="O2323" s="51">
        <v>0.3</v>
      </c>
      <c r="P2323" s="51">
        <v>6.3449999999999998</v>
      </c>
    </row>
    <row r="2324" spans="12:16">
      <c r="L2324" s="51" t="s">
        <v>2334</v>
      </c>
      <c r="M2324" s="25">
        <f>DATE(YEAR(OneWeekMtgRatesDataTable75[[#This Row],[asOf]]),MONTH(OneWeekMtgRatesDataTable75[[#This Row],[asOf]]),DAY(OneWeekMtgRatesDataTable75[[#This Row],[asOf]]))</f>
        <v>38940</v>
      </c>
      <c r="N2324" s="51">
        <v>6.52</v>
      </c>
      <c r="O2324" s="51">
        <v>0.3</v>
      </c>
      <c r="P2324" s="51">
        <v>6.3449999999999998</v>
      </c>
    </row>
    <row r="2325" spans="12:16">
      <c r="L2325" s="51" t="s">
        <v>2335</v>
      </c>
      <c r="M2325" s="25">
        <f>DATE(YEAR(OneWeekMtgRatesDataTable75[[#This Row],[asOf]]),MONTH(OneWeekMtgRatesDataTable75[[#This Row],[asOf]]),DAY(OneWeekMtgRatesDataTable75[[#This Row],[asOf]]))</f>
        <v>38939</v>
      </c>
      <c r="N2325" s="51">
        <v>6.52</v>
      </c>
      <c r="O2325" s="51">
        <v>0.3</v>
      </c>
      <c r="P2325" s="51">
        <v>6.3449999999999998</v>
      </c>
    </row>
    <row r="2326" spans="12:16">
      <c r="L2326" s="51" t="s">
        <v>2336</v>
      </c>
      <c r="M2326" s="25">
        <f>DATE(YEAR(OneWeekMtgRatesDataTable75[[#This Row],[asOf]]),MONTH(OneWeekMtgRatesDataTable75[[#This Row],[asOf]]),DAY(OneWeekMtgRatesDataTable75[[#This Row],[asOf]]))</f>
        <v>38938</v>
      </c>
      <c r="N2326" s="51">
        <v>6.55</v>
      </c>
      <c r="O2326" s="51">
        <v>0.4</v>
      </c>
      <c r="P2326" s="51">
        <v>6.3999999999999995</v>
      </c>
    </row>
    <row r="2327" spans="12:16">
      <c r="L2327" s="51" t="s">
        <v>2337</v>
      </c>
      <c r="M2327" s="25">
        <f>DATE(YEAR(OneWeekMtgRatesDataTable75[[#This Row],[asOf]]),MONTH(OneWeekMtgRatesDataTable75[[#This Row],[asOf]]),DAY(OneWeekMtgRatesDataTable75[[#This Row],[asOf]]))</f>
        <v>38937</v>
      </c>
      <c r="N2327" s="51">
        <v>6.55</v>
      </c>
      <c r="O2327" s="51">
        <v>0.4</v>
      </c>
      <c r="P2327" s="51">
        <v>6.3999999999999995</v>
      </c>
    </row>
    <row r="2328" spans="12:16">
      <c r="L2328" s="51" t="s">
        <v>2338</v>
      </c>
      <c r="M2328" s="25">
        <f>DATE(YEAR(OneWeekMtgRatesDataTable75[[#This Row],[asOf]]),MONTH(OneWeekMtgRatesDataTable75[[#This Row],[asOf]]),DAY(OneWeekMtgRatesDataTable75[[#This Row],[asOf]]))</f>
        <v>38936</v>
      </c>
      <c r="N2328" s="51">
        <v>6.55</v>
      </c>
      <c r="O2328" s="51">
        <v>0.4</v>
      </c>
      <c r="P2328" s="51">
        <v>6.3999999999999995</v>
      </c>
    </row>
    <row r="2329" spans="12:16">
      <c r="L2329" s="51" t="s">
        <v>2339</v>
      </c>
      <c r="M2329" s="25">
        <f>DATE(YEAR(OneWeekMtgRatesDataTable75[[#This Row],[asOf]]),MONTH(OneWeekMtgRatesDataTable75[[#This Row],[asOf]]),DAY(OneWeekMtgRatesDataTable75[[#This Row],[asOf]]))</f>
        <v>38933</v>
      </c>
      <c r="N2329" s="51">
        <v>6.55</v>
      </c>
      <c r="O2329" s="51">
        <v>0.4</v>
      </c>
      <c r="P2329" s="51">
        <v>6.3999999999999995</v>
      </c>
    </row>
    <row r="2330" spans="12:16">
      <c r="L2330" s="51" t="s">
        <v>2340</v>
      </c>
      <c r="M2330" s="25">
        <f>DATE(YEAR(OneWeekMtgRatesDataTable75[[#This Row],[asOf]]),MONTH(OneWeekMtgRatesDataTable75[[#This Row],[asOf]]),DAY(OneWeekMtgRatesDataTable75[[#This Row],[asOf]]))</f>
        <v>38932</v>
      </c>
      <c r="N2330" s="51">
        <v>6.55</v>
      </c>
      <c r="O2330" s="51">
        <v>0.4</v>
      </c>
      <c r="P2330" s="51">
        <v>6.3999999999999995</v>
      </c>
    </row>
    <row r="2331" spans="12:16">
      <c r="L2331" s="51" t="s">
        <v>2341</v>
      </c>
      <c r="M2331" s="25">
        <f>DATE(YEAR(OneWeekMtgRatesDataTable75[[#This Row],[asOf]]),MONTH(OneWeekMtgRatesDataTable75[[#This Row],[asOf]]),DAY(OneWeekMtgRatesDataTable75[[#This Row],[asOf]]))</f>
        <v>38931</v>
      </c>
      <c r="N2331" s="51">
        <v>6.63</v>
      </c>
      <c r="O2331" s="51">
        <v>0.3</v>
      </c>
      <c r="P2331" s="51">
        <v>6.4550000000000001</v>
      </c>
    </row>
    <row r="2332" spans="12:16">
      <c r="L2332" s="51" t="s">
        <v>2342</v>
      </c>
      <c r="M2332" s="25">
        <f>DATE(YEAR(OneWeekMtgRatesDataTable75[[#This Row],[asOf]]),MONTH(OneWeekMtgRatesDataTable75[[#This Row],[asOf]]),DAY(OneWeekMtgRatesDataTable75[[#This Row],[asOf]]))</f>
        <v>38930</v>
      </c>
      <c r="N2332" s="51">
        <v>6.63</v>
      </c>
      <c r="O2332" s="51">
        <v>0.3</v>
      </c>
      <c r="P2332" s="51">
        <v>6.4550000000000001</v>
      </c>
    </row>
    <row r="2333" spans="12:16">
      <c r="L2333" s="51" t="s">
        <v>2343</v>
      </c>
      <c r="M2333" s="25">
        <f>DATE(YEAR(OneWeekMtgRatesDataTable75[[#This Row],[asOf]]),MONTH(OneWeekMtgRatesDataTable75[[#This Row],[asOf]]),DAY(OneWeekMtgRatesDataTable75[[#This Row],[asOf]]))</f>
        <v>38929</v>
      </c>
      <c r="N2333" s="51">
        <v>6.63</v>
      </c>
      <c r="O2333" s="51">
        <v>0.3</v>
      </c>
      <c r="P2333" s="51">
        <v>6.4550000000000001</v>
      </c>
    </row>
    <row r="2334" spans="12:16">
      <c r="L2334" s="51" t="s">
        <v>2344</v>
      </c>
      <c r="M2334" s="25">
        <f>DATE(YEAR(OneWeekMtgRatesDataTable75[[#This Row],[asOf]]),MONTH(OneWeekMtgRatesDataTable75[[#This Row],[asOf]]),DAY(OneWeekMtgRatesDataTable75[[#This Row],[asOf]]))</f>
        <v>38926</v>
      </c>
      <c r="N2334" s="51">
        <v>6.63</v>
      </c>
      <c r="O2334" s="51">
        <v>0.3</v>
      </c>
      <c r="P2334" s="51">
        <v>6.4550000000000001</v>
      </c>
    </row>
    <row r="2335" spans="12:16">
      <c r="L2335" s="51" t="s">
        <v>2345</v>
      </c>
      <c r="M2335" s="25">
        <f>DATE(YEAR(OneWeekMtgRatesDataTable75[[#This Row],[asOf]]),MONTH(OneWeekMtgRatesDataTable75[[#This Row],[asOf]]),DAY(OneWeekMtgRatesDataTable75[[#This Row],[asOf]]))</f>
        <v>38925</v>
      </c>
      <c r="N2335" s="51">
        <v>6.63</v>
      </c>
      <c r="O2335" s="51">
        <v>0.3</v>
      </c>
      <c r="P2335" s="51">
        <v>6.4550000000000001</v>
      </c>
    </row>
    <row r="2336" spans="12:16">
      <c r="L2336" s="51" t="s">
        <v>2346</v>
      </c>
      <c r="M2336" s="25">
        <f>DATE(YEAR(OneWeekMtgRatesDataTable75[[#This Row],[asOf]]),MONTH(OneWeekMtgRatesDataTable75[[#This Row],[asOf]]),DAY(OneWeekMtgRatesDataTable75[[#This Row],[asOf]]))</f>
        <v>38924</v>
      </c>
      <c r="N2336" s="51">
        <v>6.72</v>
      </c>
      <c r="O2336" s="51">
        <v>0.3</v>
      </c>
      <c r="P2336" s="51">
        <v>6.5449999999999999</v>
      </c>
    </row>
    <row r="2337" spans="12:16">
      <c r="L2337" s="51" t="s">
        <v>2347</v>
      </c>
      <c r="M2337" s="25">
        <f>DATE(YEAR(OneWeekMtgRatesDataTable75[[#This Row],[asOf]]),MONTH(OneWeekMtgRatesDataTable75[[#This Row],[asOf]]),DAY(OneWeekMtgRatesDataTable75[[#This Row],[asOf]]))</f>
        <v>38923</v>
      </c>
      <c r="N2337" s="51">
        <v>6.72</v>
      </c>
      <c r="O2337" s="51">
        <v>0.3</v>
      </c>
      <c r="P2337" s="51">
        <v>6.5449999999999999</v>
      </c>
    </row>
    <row r="2338" spans="12:16">
      <c r="L2338" s="51" t="s">
        <v>2348</v>
      </c>
      <c r="M2338" s="25">
        <f>DATE(YEAR(OneWeekMtgRatesDataTable75[[#This Row],[asOf]]),MONTH(OneWeekMtgRatesDataTable75[[#This Row],[asOf]]),DAY(OneWeekMtgRatesDataTable75[[#This Row],[asOf]]))</f>
        <v>38922</v>
      </c>
      <c r="N2338" s="51">
        <v>6.72</v>
      </c>
      <c r="O2338" s="51">
        <v>0.3</v>
      </c>
      <c r="P2338" s="51">
        <v>6.5449999999999999</v>
      </c>
    </row>
    <row r="2339" spans="12:16">
      <c r="L2339" s="51" t="s">
        <v>2349</v>
      </c>
      <c r="M2339" s="25">
        <f>DATE(YEAR(OneWeekMtgRatesDataTable75[[#This Row],[asOf]]),MONTH(OneWeekMtgRatesDataTable75[[#This Row],[asOf]]),DAY(OneWeekMtgRatesDataTable75[[#This Row],[asOf]]))</f>
        <v>38919</v>
      </c>
      <c r="N2339" s="51">
        <v>6.72</v>
      </c>
      <c r="O2339" s="51">
        <v>0.3</v>
      </c>
      <c r="P2339" s="51">
        <v>6.5449999999999999</v>
      </c>
    </row>
    <row r="2340" spans="12:16">
      <c r="L2340" s="51" t="s">
        <v>2350</v>
      </c>
      <c r="M2340" s="25">
        <f>DATE(YEAR(OneWeekMtgRatesDataTable75[[#This Row],[asOf]]),MONTH(OneWeekMtgRatesDataTable75[[#This Row],[asOf]]),DAY(OneWeekMtgRatesDataTable75[[#This Row],[asOf]]))</f>
        <v>38918</v>
      </c>
      <c r="N2340" s="51">
        <v>6.72</v>
      </c>
      <c r="O2340" s="51">
        <v>0.3</v>
      </c>
      <c r="P2340" s="51">
        <v>6.5449999999999999</v>
      </c>
    </row>
    <row r="2341" spans="12:16">
      <c r="L2341" s="51" t="s">
        <v>2351</v>
      </c>
      <c r="M2341" s="25">
        <f>DATE(YEAR(OneWeekMtgRatesDataTable75[[#This Row],[asOf]]),MONTH(OneWeekMtgRatesDataTable75[[#This Row],[asOf]]),DAY(OneWeekMtgRatesDataTable75[[#This Row],[asOf]]))</f>
        <v>38917</v>
      </c>
      <c r="N2341" s="51">
        <v>6.8</v>
      </c>
      <c r="O2341" s="51">
        <v>0.5</v>
      </c>
      <c r="P2341" s="51">
        <v>6.6749999999999998</v>
      </c>
    </row>
    <row r="2342" spans="12:16">
      <c r="L2342" s="51" t="s">
        <v>2352</v>
      </c>
      <c r="M2342" s="25">
        <f>DATE(YEAR(OneWeekMtgRatesDataTable75[[#This Row],[asOf]]),MONTH(OneWeekMtgRatesDataTable75[[#This Row],[asOf]]),DAY(OneWeekMtgRatesDataTable75[[#This Row],[asOf]]))</f>
        <v>38916</v>
      </c>
      <c r="N2342" s="51">
        <v>6.8</v>
      </c>
      <c r="O2342" s="51">
        <v>0.5</v>
      </c>
      <c r="P2342" s="51">
        <v>6.6749999999999998</v>
      </c>
    </row>
    <row r="2343" spans="12:16">
      <c r="L2343" s="51" t="s">
        <v>2353</v>
      </c>
      <c r="M2343" s="25">
        <f>DATE(YEAR(OneWeekMtgRatesDataTable75[[#This Row],[asOf]]),MONTH(OneWeekMtgRatesDataTable75[[#This Row],[asOf]]),DAY(OneWeekMtgRatesDataTable75[[#This Row],[asOf]]))</f>
        <v>38915</v>
      </c>
      <c r="N2343" s="51">
        <v>6.8</v>
      </c>
      <c r="O2343" s="51">
        <v>0.5</v>
      </c>
      <c r="P2343" s="51">
        <v>6.6749999999999998</v>
      </c>
    </row>
    <row r="2344" spans="12:16">
      <c r="L2344" s="51" t="s">
        <v>2354</v>
      </c>
      <c r="M2344" s="25">
        <f>DATE(YEAR(OneWeekMtgRatesDataTable75[[#This Row],[asOf]]),MONTH(OneWeekMtgRatesDataTable75[[#This Row],[asOf]]),DAY(OneWeekMtgRatesDataTable75[[#This Row],[asOf]]))</f>
        <v>38912</v>
      </c>
      <c r="N2344" s="51">
        <v>6.8</v>
      </c>
      <c r="O2344" s="51">
        <v>0.5</v>
      </c>
      <c r="P2344" s="51">
        <v>6.6749999999999998</v>
      </c>
    </row>
    <row r="2345" spans="12:16">
      <c r="L2345" s="51" t="s">
        <v>2355</v>
      </c>
      <c r="M2345" s="25">
        <f>DATE(YEAR(OneWeekMtgRatesDataTable75[[#This Row],[asOf]]),MONTH(OneWeekMtgRatesDataTable75[[#This Row],[asOf]]),DAY(OneWeekMtgRatesDataTable75[[#This Row],[asOf]]))</f>
        <v>38911</v>
      </c>
      <c r="N2345" s="51">
        <v>6.8</v>
      </c>
      <c r="O2345" s="51">
        <v>0.5</v>
      </c>
      <c r="P2345" s="51">
        <v>6.6749999999999998</v>
      </c>
    </row>
    <row r="2346" spans="12:16">
      <c r="L2346" s="51" t="s">
        <v>2356</v>
      </c>
      <c r="M2346" s="25">
        <f>DATE(YEAR(OneWeekMtgRatesDataTable75[[#This Row],[asOf]]),MONTH(OneWeekMtgRatesDataTable75[[#This Row],[asOf]]),DAY(OneWeekMtgRatesDataTable75[[#This Row],[asOf]]))</f>
        <v>38910</v>
      </c>
      <c r="N2346" s="51">
        <v>6.74</v>
      </c>
      <c r="O2346" s="51">
        <v>0.6</v>
      </c>
      <c r="P2346" s="51">
        <v>6.6400000000000006</v>
      </c>
    </row>
    <row r="2347" spans="12:16">
      <c r="L2347" s="51" t="s">
        <v>2357</v>
      </c>
      <c r="M2347" s="25">
        <f>DATE(YEAR(OneWeekMtgRatesDataTable75[[#This Row],[asOf]]),MONTH(OneWeekMtgRatesDataTable75[[#This Row],[asOf]]),DAY(OneWeekMtgRatesDataTable75[[#This Row],[asOf]]))</f>
        <v>38909</v>
      </c>
      <c r="N2347" s="51">
        <v>6.74</v>
      </c>
      <c r="O2347" s="51">
        <v>0.6</v>
      </c>
      <c r="P2347" s="51">
        <v>6.6400000000000006</v>
      </c>
    </row>
    <row r="2348" spans="12:16">
      <c r="L2348" s="51" t="s">
        <v>2358</v>
      </c>
      <c r="M2348" s="25">
        <f>DATE(YEAR(OneWeekMtgRatesDataTable75[[#This Row],[asOf]]),MONTH(OneWeekMtgRatesDataTable75[[#This Row],[asOf]]),DAY(OneWeekMtgRatesDataTable75[[#This Row],[asOf]]))</f>
        <v>38908</v>
      </c>
      <c r="N2348" s="51">
        <v>6.74</v>
      </c>
      <c r="O2348" s="51">
        <v>0.6</v>
      </c>
      <c r="P2348" s="51">
        <v>6.6400000000000006</v>
      </c>
    </row>
    <row r="2349" spans="12:16">
      <c r="L2349" s="51" t="s">
        <v>2359</v>
      </c>
      <c r="M2349" s="25">
        <f>DATE(YEAR(OneWeekMtgRatesDataTable75[[#This Row],[asOf]]),MONTH(OneWeekMtgRatesDataTable75[[#This Row],[asOf]]),DAY(OneWeekMtgRatesDataTable75[[#This Row],[asOf]]))</f>
        <v>38905</v>
      </c>
      <c r="N2349" s="51">
        <v>6.74</v>
      </c>
      <c r="O2349" s="51">
        <v>0.6</v>
      </c>
      <c r="P2349" s="51">
        <v>6.6400000000000006</v>
      </c>
    </row>
    <row r="2350" spans="12:16">
      <c r="L2350" s="51" t="s">
        <v>2360</v>
      </c>
      <c r="M2350" s="25">
        <f>DATE(YEAR(OneWeekMtgRatesDataTable75[[#This Row],[asOf]]),MONTH(OneWeekMtgRatesDataTable75[[#This Row],[asOf]]),DAY(OneWeekMtgRatesDataTable75[[#This Row],[asOf]]))</f>
        <v>38904</v>
      </c>
      <c r="N2350" s="51">
        <v>6.74</v>
      </c>
      <c r="O2350" s="51">
        <v>0.6</v>
      </c>
      <c r="P2350" s="51">
        <v>6.6400000000000006</v>
      </c>
    </row>
    <row r="2351" spans="12:16">
      <c r="L2351" s="51" t="s">
        <v>2361</v>
      </c>
      <c r="M2351" s="25">
        <f>DATE(YEAR(OneWeekMtgRatesDataTable75[[#This Row],[asOf]]),MONTH(OneWeekMtgRatesDataTable75[[#This Row],[asOf]]),DAY(OneWeekMtgRatesDataTable75[[#This Row],[asOf]]))</f>
        <v>38903</v>
      </c>
      <c r="N2351" s="51">
        <v>6.79</v>
      </c>
      <c r="O2351" s="51">
        <v>0.5</v>
      </c>
      <c r="P2351" s="51">
        <v>6.665</v>
      </c>
    </row>
    <row r="2352" spans="12:16">
      <c r="L2352" s="51" t="s">
        <v>2362</v>
      </c>
      <c r="M2352" s="25">
        <f>DATE(YEAR(OneWeekMtgRatesDataTable75[[#This Row],[asOf]]),MONTH(OneWeekMtgRatesDataTable75[[#This Row],[asOf]]),DAY(OneWeekMtgRatesDataTable75[[#This Row],[asOf]]))</f>
        <v>38902</v>
      </c>
      <c r="N2352" s="51">
        <v>6.79</v>
      </c>
      <c r="O2352" s="51">
        <v>0.5</v>
      </c>
      <c r="P2352" s="51">
        <v>6.665</v>
      </c>
    </row>
    <row r="2353" spans="12:16">
      <c r="L2353" s="51" t="s">
        <v>2363</v>
      </c>
      <c r="M2353" s="25">
        <f>DATE(YEAR(OneWeekMtgRatesDataTable75[[#This Row],[asOf]]),MONTH(OneWeekMtgRatesDataTable75[[#This Row],[asOf]]),DAY(OneWeekMtgRatesDataTable75[[#This Row],[asOf]]))</f>
        <v>38901</v>
      </c>
      <c r="N2353" s="51">
        <v>6.79</v>
      </c>
      <c r="O2353" s="51">
        <v>0.5</v>
      </c>
      <c r="P2353" s="51">
        <v>6.665</v>
      </c>
    </row>
    <row r="2354" spans="12:16">
      <c r="L2354" s="51" t="s">
        <v>2364</v>
      </c>
      <c r="M2354" s="25">
        <f>DATE(YEAR(OneWeekMtgRatesDataTable75[[#This Row],[asOf]]),MONTH(OneWeekMtgRatesDataTable75[[#This Row],[asOf]]),DAY(OneWeekMtgRatesDataTable75[[#This Row],[asOf]]))</f>
        <v>38898</v>
      </c>
      <c r="N2354" s="51">
        <v>6.79</v>
      </c>
      <c r="O2354" s="51">
        <v>0.5</v>
      </c>
      <c r="P2354" s="51">
        <v>6.665</v>
      </c>
    </row>
    <row r="2355" spans="12:16">
      <c r="L2355" s="51" t="s">
        <v>2365</v>
      </c>
      <c r="M2355" s="25">
        <f>DATE(YEAR(OneWeekMtgRatesDataTable75[[#This Row],[asOf]]),MONTH(OneWeekMtgRatesDataTable75[[#This Row],[asOf]]),DAY(OneWeekMtgRatesDataTable75[[#This Row],[asOf]]))</f>
        <v>38897</v>
      </c>
      <c r="N2355" s="51">
        <v>6.79</v>
      </c>
      <c r="O2355" s="51">
        <v>0.5</v>
      </c>
      <c r="P2355" s="51">
        <v>6.665</v>
      </c>
    </row>
    <row r="2356" spans="12:16">
      <c r="L2356" s="51" t="s">
        <v>2366</v>
      </c>
      <c r="M2356" s="25">
        <f>DATE(YEAR(OneWeekMtgRatesDataTable75[[#This Row],[asOf]]),MONTH(OneWeekMtgRatesDataTable75[[#This Row],[asOf]]),DAY(OneWeekMtgRatesDataTable75[[#This Row],[asOf]]))</f>
        <v>38896</v>
      </c>
      <c r="N2356" s="51">
        <v>6.78</v>
      </c>
      <c r="O2356" s="51">
        <v>0.5</v>
      </c>
      <c r="P2356" s="51">
        <v>6.6550000000000002</v>
      </c>
    </row>
    <row r="2357" spans="12:16">
      <c r="L2357" s="51" t="s">
        <v>2367</v>
      </c>
      <c r="M2357" s="25">
        <f>DATE(YEAR(OneWeekMtgRatesDataTable75[[#This Row],[asOf]]),MONTH(OneWeekMtgRatesDataTable75[[#This Row],[asOf]]),DAY(OneWeekMtgRatesDataTable75[[#This Row],[asOf]]))</f>
        <v>38895</v>
      </c>
      <c r="N2357" s="51">
        <v>6.78</v>
      </c>
      <c r="O2357" s="51">
        <v>0.5</v>
      </c>
      <c r="P2357" s="51">
        <v>6.6550000000000002</v>
      </c>
    </row>
    <row r="2358" spans="12:16">
      <c r="L2358" s="51" t="s">
        <v>2368</v>
      </c>
      <c r="M2358" s="25">
        <f>DATE(YEAR(OneWeekMtgRatesDataTable75[[#This Row],[asOf]]),MONTH(OneWeekMtgRatesDataTable75[[#This Row],[asOf]]),DAY(OneWeekMtgRatesDataTable75[[#This Row],[asOf]]))</f>
        <v>38894</v>
      </c>
      <c r="N2358" s="51">
        <v>6.78</v>
      </c>
      <c r="O2358" s="51">
        <v>0.5</v>
      </c>
      <c r="P2358" s="51">
        <v>6.6550000000000002</v>
      </c>
    </row>
    <row r="2359" spans="12:16">
      <c r="L2359" s="51" t="s">
        <v>2369</v>
      </c>
      <c r="M2359" s="25">
        <f>DATE(YEAR(OneWeekMtgRatesDataTable75[[#This Row],[asOf]]),MONTH(OneWeekMtgRatesDataTable75[[#This Row],[asOf]]),DAY(OneWeekMtgRatesDataTable75[[#This Row],[asOf]]))</f>
        <v>38891</v>
      </c>
      <c r="N2359" s="51">
        <v>6.78</v>
      </c>
      <c r="O2359" s="51">
        <v>0.5</v>
      </c>
      <c r="P2359" s="51">
        <v>6.6550000000000002</v>
      </c>
    </row>
    <row r="2360" spans="12:16">
      <c r="L2360" s="51" t="s">
        <v>2370</v>
      </c>
      <c r="M2360" s="25">
        <f>DATE(YEAR(OneWeekMtgRatesDataTable75[[#This Row],[asOf]]),MONTH(OneWeekMtgRatesDataTable75[[#This Row],[asOf]]),DAY(OneWeekMtgRatesDataTable75[[#This Row],[asOf]]))</f>
        <v>38890</v>
      </c>
      <c r="N2360" s="51">
        <v>6.78</v>
      </c>
      <c r="O2360" s="51">
        <v>0.5</v>
      </c>
      <c r="P2360" s="51">
        <v>6.6550000000000002</v>
      </c>
    </row>
    <row r="2361" spans="12:16">
      <c r="L2361" s="51" t="s">
        <v>2371</v>
      </c>
      <c r="M2361" s="25">
        <f>DATE(YEAR(OneWeekMtgRatesDataTable75[[#This Row],[asOf]]),MONTH(OneWeekMtgRatesDataTable75[[#This Row],[asOf]]),DAY(OneWeekMtgRatesDataTable75[[#This Row],[asOf]]))</f>
        <v>38889</v>
      </c>
      <c r="N2361" s="51">
        <v>6.71</v>
      </c>
      <c r="O2361" s="51">
        <v>0.5</v>
      </c>
      <c r="P2361" s="51">
        <v>6.585</v>
      </c>
    </row>
    <row r="2362" spans="12:16">
      <c r="L2362" s="51" t="s">
        <v>2372</v>
      </c>
      <c r="M2362" s="25">
        <f>DATE(YEAR(OneWeekMtgRatesDataTable75[[#This Row],[asOf]]),MONTH(OneWeekMtgRatesDataTable75[[#This Row],[asOf]]),DAY(OneWeekMtgRatesDataTable75[[#This Row],[asOf]]))</f>
        <v>38888</v>
      </c>
      <c r="N2362" s="51">
        <v>6.71</v>
      </c>
      <c r="O2362" s="51">
        <v>0.5</v>
      </c>
      <c r="P2362" s="51">
        <v>6.585</v>
      </c>
    </row>
    <row r="2363" spans="12:16">
      <c r="L2363" s="51" t="s">
        <v>2373</v>
      </c>
      <c r="M2363" s="25">
        <f>DATE(YEAR(OneWeekMtgRatesDataTable75[[#This Row],[asOf]]),MONTH(OneWeekMtgRatesDataTable75[[#This Row],[asOf]]),DAY(OneWeekMtgRatesDataTable75[[#This Row],[asOf]]))</f>
        <v>38887</v>
      </c>
      <c r="N2363" s="51">
        <v>6.71</v>
      </c>
      <c r="O2363" s="51">
        <v>0.5</v>
      </c>
      <c r="P2363" s="51">
        <v>6.585</v>
      </c>
    </row>
    <row r="2364" spans="12:16">
      <c r="L2364" s="51" t="s">
        <v>2374</v>
      </c>
      <c r="M2364" s="25">
        <f>DATE(YEAR(OneWeekMtgRatesDataTable75[[#This Row],[asOf]]),MONTH(OneWeekMtgRatesDataTable75[[#This Row],[asOf]]),DAY(OneWeekMtgRatesDataTable75[[#This Row],[asOf]]))</f>
        <v>38884</v>
      </c>
      <c r="N2364" s="51">
        <v>6.71</v>
      </c>
      <c r="O2364" s="51">
        <v>0.5</v>
      </c>
      <c r="P2364" s="51">
        <v>6.585</v>
      </c>
    </row>
    <row r="2365" spans="12:16">
      <c r="L2365" s="51" t="s">
        <v>2375</v>
      </c>
      <c r="M2365" s="25">
        <f>DATE(YEAR(OneWeekMtgRatesDataTable75[[#This Row],[asOf]]),MONTH(OneWeekMtgRatesDataTable75[[#This Row],[asOf]]),DAY(OneWeekMtgRatesDataTable75[[#This Row],[asOf]]))</f>
        <v>38883</v>
      </c>
      <c r="N2365" s="51">
        <v>6.71</v>
      </c>
      <c r="O2365" s="51">
        <v>0.5</v>
      </c>
      <c r="P2365" s="51">
        <v>6.585</v>
      </c>
    </row>
    <row r="2366" spans="12:16">
      <c r="L2366" s="51" t="s">
        <v>2376</v>
      </c>
      <c r="M2366" s="25">
        <f>DATE(YEAR(OneWeekMtgRatesDataTable75[[#This Row],[asOf]]),MONTH(OneWeekMtgRatesDataTable75[[#This Row],[asOf]]),DAY(OneWeekMtgRatesDataTable75[[#This Row],[asOf]]))</f>
        <v>38882</v>
      </c>
      <c r="N2366" s="51">
        <v>6.63</v>
      </c>
      <c r="O2366" s="51">
        <v>0.5</v>
      </c>
      <c r="P2366" s="51">
        <v>6.5049999999999999</v>
      </c>
    </row>
    <row r="2367" spans="12:16">
      <c r="L2367" s="51" t="s">
        <v>2377</v>
      </c>
      <c r="M2367" s="25">
        <f>DATE(YEAR(OneWeekMtgRatesDataTable75[[#This Row],[asOf]]),MONTH(OneWeekMtgRatesDataTable75[[#This Row],[asOf]]),DAY(OneWeekMtgRatesDataTable75[[#This Row],[asOf]]))</f>
        <v>38881</v>
      </c>
      <c r="N2367" s="51">
        <v>6.63</v>
      </c>
      <c r="O2367" s="51">
        <v>0.5</v>
      </c>
      <c r="P2367" s="51">
        <v>6.5049999999999999</v>
      </c>
    </row>
    <row r="2368" spans="12:16">
      <c r="L2368" s="51" t="s">
        <v>2378</v>
      </c>
      <c r="M2368" s="25">
        <f>DATE(YEAR(OneWeekMtgRatesDataTable75[[#This Row],[asOf]]),MONTH(OneWeekMtgRatesDataTable75[[#This Row],[asOf]]),DAY(OneWeekMtgRatesDataTable75[[#This Row],[asOf]]))</f>
        <v>38880</v>
      </c>
      <c r="N2368" s="51">
        <v>6.63</v>
      </c>
      <c r="O2368" s="51">
        <v>0.5</v>
      </c>
      <c r="P2368" s="51">
        <v>6.5049999999999999</v>
      </c>
    </row>
    <row r="2369" spans="12:16">
      <c r="L2369" s="51" t="s">
        <v>2379</v>
      </c>
      <c r="M2369" s="25">
        <f>DATE(YEAR(OneWeekMtgRatesDataTable75[[#This Row],[asOf]]),MONTH(OneWeekMtgRatesDataTable75[[#This Row],[asOf]]),DAY(OneWeekMtgRatesDataTable75[[#This Row],[asOf]]))</f>
        <v>38877</v>
      </c>
      <c r="N2369" s="51">
        <v>6.63</v>
      </c>
      <c r="O2369" s="51">
        <v>0.5</v>
      </c>
      <c r="P2369" s="51">
        <v>6.5049999999999999</v>
      </c>
    </row>
    <row r="2370" spans="12:16">
      <c r="L2370" s="51" t="s">
        <v>2380</v>
      </c>
      <c r="M2370" s="25">
        <f>DATE(YEAR(OneWeekMtgRatesDataTable75[[#This Row],[asOf]]),MONTH(OneWeekMtgRatesDataTable75[[#This Row],[asOf]]),DAY(OneWeekMtgRatesDataTable75[[#This Row],[asOf]]))</f>
        <v>38876</v>
      </c>
      <c r="N2370" s="51">
        <v>6.63</v>
      </c>
      <c r="O2370" s="51">
        <v>0.5</v>
      </c>
      <c r="P2370" s="51">
        <v>6.5049999999999999</v>
      </c>
    </row>
    <row r="2371" spans="12:16">
      <c r="L2371" s="51" t="s">
        <v>2381</v>
      </c>
      <c r="M2371" s="25">
        <f>DATE(YEAR(OneWeekMtgRatesDataTable75[[#This Row],[asOf]]),MONTH(OneWeekMtgRatesDataTable75[[#This Row],[asOf]]),DAY(OneWeekMtgRatesDataTable75[[#This Row],[asOf]]))</f>
        <v>38875</v>
      </c>
      <c r="N2371" s="51">
        <v>6.62</v>
      </c>
      <c r="O2371" s="51">
        <v>0.5</v>
      </c>
      <c r="P2371" s="51">
        <v>6.4950000000000001</v>
      </c>
    </row>
    <row r="2372" spans="12:16">
      <c r="L2372" s="51" t="s">
        <v>2382</v>
      </c>
      <c r="M2372" s="25">
        <f>DATE(YEAR(OneWeekMtgRatesDataTable75[[#This Row],[asOf]]),MONTH(OneWeekMtgRatesDataTable75[[#This Row],[asOf]]),DAY(OneWeekMtgRatesDataTable75[[#This Row],[asOf]]))</f>
        <v>38874</v>
      </c>
      <c r="N2372" s="51">
        <v>6.62</v>
      </c>
      <c r="O2372" s="51">
        <v>0.5</v>
      </c>
      <c r="P2372" s="51">
        <v>6.4950000000000001</v>
      </c>
    </row>
    <row r="2373" spans="12:16">
      <c r="L2373" s="51" t="s">
        <v>2383</v>
      </c>
      <c r="M2373" s="25">
        <f>DATE(YEAR(OneWeekMtgRatesDataTable75[[#This Row],[asOf]]),MONTH(OneWeekMtgRatesDataTable75[[#This Row],[asOf]]),DAY(OneWeekMtgRatesDataTable75[[#This Row],[asOf]]))</f>
        <v>38873</v>
      </c>
      <c r="N2373" s="51">
        <v>6.62</v>
      </c>
      <c r="O2373" s="51">
        <v>0.5</v>
      </c>
      <c r="P2373" s="51">
        <v>6.4950000000000001</v>
      </c>
    </row>
    <row r="2374" spans="12:16">
      <c r="L2374" s="51" t="s">
        <v>2384</v>
      </c>
      <c r="M2374" s="25">
        <f>DATE(YEAR(OneWeekMtgRatesDataTable75[[#This Row],[asOf]]),MONTH(OneWeekMtgRatesDataTable75[[#This Row],[asOf]]),DAY(OneWeekMtgRatesDataTable75[[#This Row],[asOf]]))</f>
        <v>38870</v>
      </c>
      <c r="N2374" s="51">
        <v>6.62</v>
      </c>
      <c r="O2374" s="51">
        <v>0.5</v>
      </c>
      <c r="P2374" s="51">
        <v>6.4950000000000001</v>
      </c>
    </row>
    <row r="2375" spans="12:16">
      <c r="L2375" s="51" t="s">
        <v>2385</v>
      </c>
      <c r="M2375" s="25">
        <f>DATE(YEAR(OneWeekMtgRatesDataTable75[[#This Row],[asOf]]),MONTH(OneWeekMtgRatesDataTable75[[#This Row],[asOf]]),DAY(OneWeekMtgRatesDataTable75[[#This Row],[asOf]]))</f>
        <v>38869</v>
      </c>
      <c r="N2375" s="51">
        <v>6.62</v>
      </c>
      <c r="O2375" s="51">
        <v>0.5</v>
      </c>
      <c r="P2375" s="51">
        <v>6.4950000000000001</v>
      </c>
    </row>
    <row r="2376" spans="12:16">
      <c r="L2376" s="51" t="s">
        <v>2386</v>
      </c>
      <c r="M2376" s="25">
        <f>DATE(YEAR(OneWeekMtgRatesDataTable75[[#This Row],[asOf]]),MONTH(OneWeekMtgRatesDataTable75[[#This Row],[asOf]]),DAY(OneWeekMtgRatesDataTable75[[#This Row],[asOf]]))</f>
        <v>38868</v>
      </c>
      <c r="N2376" s="51">
        <v>6.67</v>
      </c>
      <c r="O2376" s="51">
        <v>0.4</v>
      </c>
      <c r="P2376" s="51">
        <v>6.52</v>
      </c>
    </row>
    <row r="2377" spans="12:16">
      <c r="L2377" s="51" t="s">
        <v>2387</v>
      </c>
      <c r="M2377" s="25">
        <f>DATE(YEAR(OneWeekMtgRatesDataTable75[[#This Row],[asOf]]),MONTH(OneWeekMtgRatesDataTable75[[#This Row],[asOf]]),DAY(OneWeekMtgRatesDataTable75[[#This Row],[asOf]]))</f>
        <v>38867</v>
      </c>
      <c r="N2377" s="51">
        <v>6.67</v>
      </c>
      <c r="O2377" s="51">
        <v>0.4</v>
      </c>
      <c r="P2377" s="51">
        <v>6.52</v>
      </c>
    </row>
    <row r="2378" spans="12:16">
      <c r="L2378" s="51" t="s">
        <v>2388</v>
      </c>
      <c r="M2378" s="25">
        <f>DATE(YEAR(OneWeekMtgRatesDataTable75[[#This Row],[asOf]]),MONTH(OneWeekMtgRatesDataTable75[[#This Row],[asOf]]),DAY(OneWeekMtgRatesDataTable75[[#This Row],[asOf]]))</f>
        <v>38866</v>
      </c>
      <c r="N2378" s="51">
        <v>6.67</v>
      </c>
      <c r="O2378" s="51">
        <v>0.4</v>
      </c>
      <c r="P2378" s="51">
        <v>6.52</v>
      </c>
    </row>
    <row r="2379" spans="12:16">
      <c r="L2379" s="51" t="s">
        <v>2389</v>
      </c>
      <c r="M2379" s="25">
        <f>DATE(YEAR(OneWeekMtgRatesDataTable75[[#This Row],[asOf]]),MONTH(OneWeekMtgRatesDataTable75[[#This Row],[asOf]]),DAY(OneWeekMtgRatesDataTable75[[#This Row],[asOf]]))</f>
        <v>38863</v>
      </c>
      <c r="N2379" s="51">
        <v>6.67</v>
      </c>
      <c r="O2379" s="51">
        <v>0.4</v>
      </c>
      <c r="P2379" s="51">
        <v>6.52</v>
      </c>
    </row>
    <row r="2380" spans="12:16">
      <c r="L2380" s="51" t="s">
        <v>2390</v>
      </c>
      <c r="M2380" s="25">
        <f>DATE(YEAR(OneWeekMtgRatesDataTable75[[#This Row],[asOf]]),MONTH(OneWeekMtgRatesDataTable75[[#This Row],[asOf]]),DAY(OneWeekMtgRatesDataTable75[[#This Row],[asOf]]))</f>
        <v>38862</v>
      </c>
      <c r="N2380" s="51">
        <v>6.67</v>
      </c>
      <c r="O2380" s="51">
        <v>0.4</v>
      </c>
      <c r="P2380" s="51">
        <v>6.52</v>
      </c>
    </row>
    <row r="2381" spans="12:16">
      <c r="L2381" s="51" t="s">
        <v>2391</v>
      </c>
      <c r="M2381" s="25">
        <f>DATE(YEAR(OneWeekMtgRatesDataTable75[[#This Row],[asOf]]),MONTH(OneWeekMtgRatesDataTable75[[#This Row],[asOf]]),DAY(OneWeekMtgRatesDataTable75[[#This Row],[asOf]]))</f>
        <v>38861</v>
      </c>
      <c r="N2381" s="51">
        <v>6.62</v>
      </c>
      <c r="O2381" s="51">
        <v>0.4</v>
      </c>
      <c r="P2381" s="51">
        <v>6.47</v>
      </c>
    </row>
    <row r="2382" spans="12:16">
      <c r="L2382" s="51" t="s">
        <v>2392</v>
      </c>
      <c r="M2382" s="25">
        <f>DATE(YEAR(OneWeekMtgRatesDataTable75[[#This Row],[asOf]]),MONTH(OneWeekMtgRatesDataTable75[[#This Row],[asOf]]),DAY(OneWeekMtgRatesDataTable75[[#This Row],[asOf]]))</f>
        <v>38860</v>
      </c>
      <c r="N2382" s="51">
        <v>6.62</v>
      </c>
      <c r="O2382" s="51">
        <v>0.4</v>
      </c>
      <c r="P2382" s="51">
        <v>6.47</v>
      </c>
    </row>
    <row r="2383" spans="12:16">
      <c r="L2383" s="51" t="s">
        <v>2393</v>
      </c>
      <c r="M2383" s="25">
        <f>DATE(YEAR(OneWeekMtgRatesDataTable75[[#This Row],[asOf]]),MONTH(OneWeekMtgRatesDataTable75[[#This Row],[asOf]]),DAY(OneWeekMtgRatesDataTable75[[#This Row],[asOf]]))</f>
        <v>38859</v>
      </c>
      <c r="N2383" s="51">
        <v>6.62</v>
      </c>
      <c r="O2383" s="51">
        <v>0.4</v>
      </c>
      <c r="P2383" s="51">
        <v>6.47</v>
      </c>
    </row>
    <row r="2384" spans="12:16">
      <c r="L2384" s="51" t="s">
        <v>2394</v>
      </c>
      <c r="M2384" s="25">
        <f>DATE(YEAR(OneWeekMtgRatesDataTable75[[#This Row],[asOf]]),MONTH(OneWeekMtgRatesDataTable75[[#This Row],[asOf]]),DAY(OneWeekMtgRatesDataTable75[[#This Row],[asOf]]))</f>
        <v>38856</v>
      </c>
      <c r="N2384" s="51">
        <v>6.62</v>
      </c>
      <c r="O2384" s="51">
        <v>0.4</v>
      </c>
      <c r="P2384" s="51">
        <v>6.47</v>
      </c>
    </row>
    <row r="2385" spans="12:16">
      <c r="L2385" s="51" t="s">
        <v>2395</v>
      </c>
      <c r="M2385" s="25">
        <f>DATE(YEAR(OneWeekMtgRatesDataTable75[[#This Row],[asOf]]),MONTH(OneWeekMtgRatesDataTable75[[#This Row],[asOf]]),DAY(OneWeekMtgRatesDataTable75[[#This Row],[asOf]]))</f>
        <v>38855</v>
      </c>
      <c r="N2385" s="51">
        <v>6.62</v>
      </c>
      <c r="O2385" s="51">
        <v>0.4</v>
      </c>
      <c r="P2385" s="51">
        <v>6.47</v>
      </c>
    </row>
    <row r="2386" spans="12:16">
      <c r="L2386" s="51" t="s">
        <v>2396</v>
      </c>
      <c r="M2386" s="25">
        <f>DATE(YEAR(OneWeekMtgRatesDataTable75[[#This Row],[asOf]]),MONTH(OneWeekMtgRatesDataTable75[[#This Row],[asOf]]),DAY(OneWeekMtgRatesDataTable75[[#This Row],[asOf]]))</f>
        <v>38854</v>
      </c>
      <c r="N2386" s="51">
        <v>6.6</v>
      </c>
      <c r="O2386" s="51">
        <v>0.5</v>
      </c>
      <c r="P2386" s="51">
        <v>6.4749999999999996</v>
      </c>
    </row>
    <row r="2387" spans="12:16">
      <c r="L2387" s="51" t="s">
        <v>2397</v>
      </c>
      <c r="M2387" s="25">
        <f>DATE(YEAR(OneWeekMtgRatesDataTable75[[#This Row],[asOf]]),MONTH(OneWeekMtgRatesDataTable75[[#This Row],[asOf]]),DAY(OneWeekMtgRatesDataTable75[[#This Row],[asOf]]))</f>
        <v>38853</v>
      </c>
      <c r="N2387" s="51">
        <v>6.6</v>
      </c>
      <c r="O2387" s="51">
        <v>0.5</v>
      </c>
      <c r="P2387" s="51">
        <v>6.4749999999999996</v>
      </c>
    </row>
    <row r="2388" spans="12:16">
      <c r="L2388" s="51" t="s">
        <v>2398</v>
      </c>
      <c r="M2388" s="25">
        <f>DATE(YEAR(OneWeekMtgRatesDataTable75[[#This Row],[asOf]]),MONTH(OneWeekMtgRatesDataTable75[[#This Row],[asOf]]),DAY(OneWeekMtgRatesDataTable75[[#This Row],[asOf]]))</f>
        <v>38852</v>
      </c>
      <c r="N2388" s="51">
        <v>6.6</v>
      </c>
      <c r="O2388" s="51">
        <v>0.5</v>
      </c>
      <c r="P2388" s="51">
        <v>6.4749999999999996</v>
      </c>
    </row>
    <row r="2389" spans="12:16">
      <c r="L2389" s="51" t="s">
        <v>2399</v>
      </c>
      <c r="M2389" s="25">
        <f>DATE(YEAR(OneWeekMtgRatesDataTable75[[#This Row],[asOf]]),MONTH(OneWeekMtgRatesDataTable75[[#This Row],[asOf]]),DAY(OneWeekMtgRatesDataTable75[[#This Row],[asOf]]))</f>
        <v>38849</v>
      </c>
      <c r="N2389" s="51">
        <v>6.6</v>
      </c>
      <c r="O2389" s="51">
        <v>0.5</v>
      </c>
      <c r="P2389" s="51">
        <v>6.4749999999999996</v>
      </c>
    </row>
    <row r="2390" spans="12:16">
      <c r="L2390" s="51" t="s">
        <v>2400</v>
      </c>
      <c r="M2390" s="25">
        <f>DATE(YEAR(OneWeekMtgRatesDataTable75[[#This Row],[asOf]]),MONTH(OneWeekMtgRatesDataTable75[[#This Row],[asOf]]),DAY(OneWeekMtgRatesDataTable75[[#This Row],[asOf]]))</f>
        <v>38848</v>
      </c>
      <c r="N2390" s="51">
        <v>6.6</v>
      </c>
      <c r="O2390" s="51">
        <v>0.5</v>
      </c>
      <c r="P2390" s="51">
        <v>6.4749999999999996</v>
      </c>
    </row>
    <row r="2391" spans="12:16">
      <c r="L2391" s="51" t="s">
        <v>2401</v>
      </c>
      <c r="M2391" s="25">
        <f>DATE(YEAR(OneWeekMtgRatesDataTable75[[#This Row],[asOf]]),MONTH(OneWeekMtgRatesDataTable75[[#This Row],[asOf]]),DAY(OneWeekMtgRatesDataTable75[[#This Row],[asOf]]))</f>
        <v>38847</v>
      </c>
      <c r="N2391" s="51">
        <v>6.58</v>
      </c>
      <c r="O2391" s="51">
        <v>0.5</v>
      </c>
      <c r="P2391" s="51">
        <v>6.4550000000000001</v>
      </c>
    </row>
    <row r="2392" spans="12:16">
      <c r="L2392" s="51" t="s">
        <v>2402</v>
      </c>
      <c r="M2392" s="25">
        <f>DATE(YEAR(OneWeekMtgRatesDataTable75[[#This Row],[asOf]]),MONTH(OneWeekMtgRatesDataTable75[[#This Row],[asOf]]),DAY(OneWeekMtgRatesDataTable75[[#This Row],[asOf]]))</f>
        <v>38846</v>
      </c>
      <c r="N2392" s="51">
        <v>6.58</v>
      </c>
      <c r="O2392" s="51">
        <v>0.5</v>
      </c>
      <c r="P2392" s="51">
        <v>6.4550000000000001</v>
      </c>
    </row>
    <row r="2393" spans="12:16">
      <c r="L2393" s="51" t="s">
        <v>2403</v>
      </c>
      <c r="M2393" s="25">
        <f>DATE(YEAR(OneWeekMtgRatesDataTable75[[#This Row],[asOf]]),MONTH(OneWeekMtgRatesDataTable75[[#This Row],[asOf]]),DAY(OneWeekMtgRatesDataTable75[[#This Row],[asOf]]))</f>
        <v>38845</v>
      </c>
      <c r="N2393" s="51">
        <v>6.58</v>
      </c>
      <c r="O2393" s="51">
        <v>0.5</v>
      </c>
      <c r="P2393" s="51">
        <v>6.4550000000000001</v>
      </c>
    </row>
    <row r="2394" spans="12:16">
      <c r="L2394" s="51" t="s">
        <v>2404</v>
      </c>
      <c r="M2394" s="25">
        <f>DATE(YEAR(OneWeekMtgRatesDataTable75[[#This Row],[asOf]]),MONTH(OneWeekMtgRatesDataTable75[[#This Row],[asOf]]),DAY(OneWeekMtgRatesDataTable75[[#This Row],[asOf]]))</f>
        <v>38842</v>
      </c>
      <c r="N2394" s="51">
        <v>6.58</v>
      </c>
      <c r="O2394" s="51">
        <v>0.5</v>
      </c>
      <c r="P2394" s="51">
        <v>6.4550000000000001</v>
      </c>
    </row>
    <row r="2395" spans="12:16">
      <c r="L2395" s="51" t="s">
        <v>2405</v>
      </c>
      <c r="M2395" s="25">
        <f>DATE(YEAR(OneWeekMtgRatesDataTable75[[#This Row],[asOf]]),MONTH(OneWeekMtgRatesDataTable75[[#This Row],[asOf]]),DAY(OneWeekMtgRatesDataTable75[[#This Row],[asOf]]))</f>
        <v>38841</v>
      </c>
      <c r="N2395" s="51">
        <v>6.58</v>
      </c>
      <c r="O2395" s="51">
        <v>0.5</v>
      </c>
      <c r="P2395" s="51">
        <v>6.4550000000000001</v>
      </c>
    </row>
    <row r="2396" spans="12:16">
      <c r="L2396" s="51" t="s">
        <v>2406</v>
      </c>
      <c r="M2396" s="25">
        <f>DATE(YEAR(OneWeekMtgRatesDataTable75[[#This Row],[asOf]]),MONTH(OneWeekMtgRatesDataTable75[[#This Row],[asOf]]),DAY(OneWeekMtgRatesDataTable75[[#This Row],[asOf]]))</f>
        <v>38840</v>
      </c>
      <c r="N2396" s="51">
        <v>6.59</v>
      </c>
      <c r="O2396" s="51">
        <v>0.6</v>
      </c>
      <c r="P2396" s="51">
        <v>6.49</v>
      </c>
    </row>
    <row r="2397" spans="12:16">
      <c r="L2397" s="51" t="s">
        <v>2407</v>
      </c>
      <c r="M2397" s="25">
        <f>DATE(YEAR(OneWeekMtgRatesDataTable75[[#This Row],[asOf]]),MONTH(OneWeekMtgRatesDataTable75[[#This Row],[asOf]]),DAY(OneWeekMtgRatesDataTable75[[#This Row],[asOf]]))</f>
        <v>38839</v>
      </c>
      <c r="N2397" s="51">
        <v>6.59</v>
      </c>
      <c r="O2397" s="51">
        <v>0.6</v>
      </c>
      <c r="P2397" s="51">
        <v>6.49</v>
      </c>
    </row>
    <row r="2398" spans="12:16">
      <c r="L2398" s="51" t="s">
        <v>2408</v>
      </c>
      <c r="M2398" s="25">
        <f>DATE(YEAR(OneWeekMtgRatesDataTable75[[#This Row],[asOf]]),MONTH(OneWeekMtgRatesDataTable75[[#This Row],[asOf]]),DAY(OneWeekMtgRatesDataTable75[[#This Row],[asOf]]))</f>
        <v>38838</v>
      </c>
      <c r="N2398" s="51">
        <v>6.59</v>
      </c>
      <c r="O2398" s="51">
        <v>0.6</v>
      </c>
      <c r="P2398" s="51">
        <v>6.49</v>
      </c>
    </row>
    <row r="2399" spans="12:16">
      <c r="L2399" s="51" t="s">
        <v>2409</v>
      </c>
      <c r="M2399" s="25">
        <f>DATE(YEAR(OneWeekMtgRatesDataTable75[[#This Row],[asOf]]),MONTH(OneWeekMtgRatesDataTable75[[#This Row],[asOf]]),DAY(OneWeekMtgRatesDataTable75[[#This Row],[asOf]]))</f>
        <v>38835</v>
      </c>
      <c r="N2399" s="51">
        <v>6.59</v>
      </c>
      <c r="O2399" s="51">
        <v>0.6</v>
      </c>
      <c r="P2399" s="51">
        <v>6.49</v>
      </c>
    </row>
    <row r="2400" spans="12:16">
      <c r="L2400" s="51" t="s">
        <v>2410</v>
      </c>
      <c r="M2400" s="25">
        <f>DATE(YEAR(OneWeekMtgRatesDataTable75[[#This Row],[asOf]]),MONTH(OneWeekMtgRatesDataTable75[[#This Row],[asOf]]),DAY(OneWeekMtgRatesDataTable75[[#This Row],[asOf]]))</f>
        <v>38834</v>
      </c>
      <c r="N2400" s="51">
        <v>6.59</v>
      </c>
      <c r="O2400" s="51">
        <v>0.6</v>
      </c>
      <c r="P2400" s="51">
        <v>6.49</v>
      </c>
    </row>
    <row r="2401" spans="12:16">
      <c r="L2401" s="51" t="s">
        <v>2411</v>
      </c>
      <c r="M2401" s="25">
        <f>DATE(YEAR(OneWeekMtgRatesDataTable75[[#This Row],[asOf]]),MONTH(OneWeekMtgRatesDataTable75[[#This Row],[asOf]]),DAY(OneWeekMtgRatesDataTable75[[#This Row],[asOf]]))</f>
        <v>38833</v>
      </c>
      <c r="N2401" s="51">
        <v>6.58</v>
      </c>
      <c r="O2401" s="51">
        <v>0.5</v>
      </c>
      <c r="P2401" s="51">
        <v>6.4550000000000001</v>
      </c>
    </row>
    <row r="2402" spans="12:16">
      <c r="L2402" s="51" t="s">
        <v>2412</v>
      </c>
      <c r="M2402" s="25">
        <f>DATE(YEAR(OneWeekMtgRatesDataTable75[[#This Row],[asOf]]),MONTH(OneWeekMtgRatesDataTable75[[#This Row],[asOf]]),DAY(OneWeekMtgRatesDataTable75[[#This Row],[asOf]]))</f>
        <v>38832</v>
      </c>
      <c r="N2402" s="51">
        <v>6.58</v>
      </c>
      <c r="O2402" s="51">
        <v>0.5</v>
      </c>
      <c r="P2402" s="51">
        <v>6.4550000000000001</v>
      </c>
    </row>
    <row r="2403" spans="12:16">
      <c r="L2403" s="51" t="s">
        <v>2413</v>
      </c>
      <c r="M2403" s="25">
        <f>DATE(YEAR(OneWeekMtgRatesDataTable75[[#This Row],[asOf]]),MONTH(OneWeekMtgRatesDataTable75[[#This Row],[asOf]]),DAY(OneWeekMtgRatesDataTable75[[#This Row],[asOf]]))</f>
        <v>38831</v>
      </c>
      <c r="N2403" s="51">
        <v>6.58</v>
      </c>
      <c r="O2403" s="51">
        <v>0.5</v>
      </c>
      <c r="P2403" s="51">
        <v>6.4550000000000001</v>
      </c>
    </row>
    <row r="2404" spans="12:16">
      <c r="L2404" s="51" t="s">
        <v>2414</v>
      </c>
      <c r="M2404" s="25">
        <f>DATE(YEAR(OneWeekMtgRatesDataTable75[[#This Row],[asOf]]),MONTH(OneWeekMtgRatesDataTable75[[#This Row],[asOf]]),DAY(OneWeekMtgRatesDataTable75[[#This Row],[asOf]]))</f>
        <v>38828</v>
      </c>
      <c r="N2404" s="51">
        <v>6.58</v>
      </c>
      <c r="O2404" s="51">
        <v>0.5</v>
      </c>
      <c r="P2404" s="51">
        <v>6.4550000000000001</v>
      </c>
    </row>
    <row r="2405" spans="12:16">
      <c r="L2405" s="51" t="s">
        <v>2415</v>
      </c>
      <c r="M2405" s="25">
        <f>DATE(YEAR(OneWeekMtgRatesDataTable75[[#This Row],[asOf]]),MONTH(OneWeekMtgRatesDataTable75[[#This Row],[asOf]]),DAY(OneWeekMtgRatesDataTable75[[#This Row],[asOf]]))</f>
        <v>38827</v>
      </c>
      <c r="N2405" s="51">
        <v>6.58</v>
      </c>
      <c r="O2405" s="51">
        <v>0.5</v>
      </c>
      <c r="P2405" s="51">
        <v>6.4550000000000001</v>
      </c>
    </row>
    <row r="2406" spans="12:16">
      <c r="L2406" s="51" t="s">
        <v>2416</v>
      </c>
      <c r="M2406" s="25">
        <f>DATE(YEAR(OneWeekMtgRatesDataTable75[[#This Row],[asOf]]),MONTH(OneWeekMtgRatesDataTable75[[#This Row],[asOf]]),DAY(OneWeekMtgRatesDataTable75[[#This Row],[asOf]]))</f>
        <v>38826</v>
      </c>
      <c r="N2406" s="51">
        <v>6.53</v>
      </c>
      <c r="O2406" s="51">
        <v>0.6</v>
      </c>
      <c r="P2406" s="51">
        <v>6.4300000000000006</v>
      </c>
    </row>
    <row r="2407" spans="12:16">
      <c r="L2407" s="51" t="s">
        <v>2417</v>
      </c>
      <c r="M2407" s="25">
        <f>DATE(YEAR(OneWeekMtgRatesDataTable75[[#This Row],[asOf]]),MONTH(OneWeekMtgRatesDataTable75[[#This Row],[asOf]]),DAY(OneWeekMtgRatesDataTable75[[#This Row],[asOf]]))</f>
        <v>38825</v>
      </c>
      <c r="N2407" s="51">
        <v>6.53</v>
      </c>
      <c r="O2407" s="51">
        <v>0.6</v>
      </c>
      <c r="P2407" s="51">
        <v>6.4300000000000006</v>
      </c>
    </row>
    <row r="2408" spans="12:16">
      <c r="L2408" s="51" t="s">
        <v>2418</v>
      </c>
      <c r="M2408" s="25">
        <f>DATE(YEAR(OneWeekMtgRatesDataTable75[[#This Row],[asOf]]),MONTH(OneWeekMtgRatesDataTable75[[#This Row],[asOf]]),DAY(OneWeekMtgRatesDataTable75[[#This Row],[asOf]]))</f>
        <v>38824</v>
      </c>
      <c r="N2408" s="51">
        <v>6.53</v>
      </c>
      <c r="O2408" s="51">
        <v>0.6</v>
      </c>
      <c r="P2408" s="51">
        <v>6.4300000000000006</v>
      </c>
    </row>
    <row r="2409" spans="12:16">
      <c r="L2409" s="51" t="s">
        <v>2419</v>
      </c>
      <c r="M2409" s="25">
        <f>DATE(YEAR(OneWeekMtgRatesDataTable75[[#This Row],[asOf]]),MONTH(OneWeekMtgRatesDataTable75[[#This Row],[asOf]]),DAY(OneWeekMtgRatesDataTable75[[#This Row],[asOf]]))</f>
        <v>38821</v>
      </c>
      <c r="N2409" s="51">
        <v>6.53</v>
      </c>
      <c r="O2409" s="51">
        <v>0.6</v>
      </c>
      <c r="P2409" s="51">
        <v>6.4300000000000006</v>
      </c>
    </row>
    <row r="2410" spans="12:16">
      <c r="L2410" s="51" t="s">
        <v>2420</v>
      </c>
      <c r="M2410" s="25">
        <f>DATE(YEAR(OneWeekMtgRatesDataTable75[[#This Row],[asOf]]),MONTH(OneWeekMtgRatesDataTable75[[#This Row],[asOf]]),DAY(OneWeekMtgRatesDataTable75[[#This Row],[asOf]]))</f>
        <v>38820</v>
      </c>
      <c r="N2410" s="51">
        <v>6.53</v>
      </c>
      <c r="O2410" s="51">
        <v>0.6</v>
      </c>
      <c r="P2410" s="51">
        <v>6.4300000000000006</v>
      </c>
    </row>
    <row r="2411" spans="12:16">
      <c r="L2411" s="51" t="s">
        <v>2421</v>
      </c>
      <c r="M2411" s="25">
        <f>DATE(YEAR(OneWeekMtgRatesDataTable75[[#This Row],[asOf]]),MONTH(OneWeekMtgRatesDataTable75[[#This Row],[asOf]]),DAY(OneWeekMtgRatesDataTable75[[#This Row],[asOf]]))</f>
        <v>38819</v>
      </c>
      <c r="N2411" s="51">
        <v>6.49</v>
      </c>
      <c r="O2411" s="51">
        <v>0.6</v>
      </c>
      <c r="P2411" s="51">
        <v>6.3900000000000006</v>
      </c>
    </row>
    <row r="2412" spans="12:16">
      <c r="L2412" s="51" t="s">
        <v>2422</v>
      </c>
      <c r="M2412" s="25">
        <f>DATE(YEAR(OneWeekMtgRatesDataTable75[[#This Row],[asOf]]),MONTH(OneWeekMtgRatesDataTable75[[#This Row],[asOf]]),DAY(OneWeekMtgRatesDataTable75[[#This Row],[asOf]]))</f>
        <v>38818</v>
      </c>
      <c r="N2412" s="51">
        <v>6.49</v>
      </c>
      <c r="O2412" s="51">
        <v>0.6</v>
      </c>
      <c r="P2412" s="51">
        <v>6.3900000000000006</v>
      </c>
    </row>
    <row r="2413" spans="12:16">
      <c r="L2413" s="51" t="s">
        <v>2423</v>
      </c>
      <c r="M2413" s="25">
        <f>DATE(YEAR(OneWeekMtgRatesDataTable75[[#This Row],[asOf]]),MONTH(OneWeekMtgRatesDataTable75[[#This Row],[asOf]]),DAY(OneWeekMtgRatesDataTable75[[#This Row],[asOf]]))</f>
        <v>38817</v>
      </c>
      <c r="N2413" s="51">
        <v>6.49</v>
      </c>
      <c r="O2413" s="51">
        <v>0.6</v>
      </c>
      <c r="P2413" s="51">
        <v>6.3900000000000006</v>
      </c>
    </row>
    <row r="2414" spans="12:16">
      <c r="L2414" s="51" t="s">
        <v>2424</v>
      </c>
      <c r="M2414" s="25">
        <f>DATE(YEAR(OneWeekMtgRatesDataTable75[[#This Row],[asOf]]),MONTH(OneWeekMtgRatesDataTable75[[#This Row],[asOf]]),DAY(OneWeekMtgRatesDataTable75[[#This Row],[asOf]]))</f>
        <v>38814</v>
      </c>
      <c r="N2414" s="51">
        <v>6.49</v>
      </c>
      <c r="O2414" s="51">
        <v>0.6</v>
      </c>
      <c r="P2414" s="51">
        <v>6.3900000000000006</v>
      </c>
    </row>
    <row r="2415" spans="12:16">
      <c r="L2415" s="51" t="s">
        <v>2425</v>
      </c>
      <c r="M2415" s="25">
        <f>DATE(YEAR(OneWeekMtgRatesDataTable75[[#This Row],[asOf]]),MONTH(OneWeekMtgRatesDataTable75[[#This Row],[asOf]]),DAY(OneWeekMtgRatesDataTable75[[#This Row],[asOf]]))</f>
        <v>38813</v>
      </c>
      <c r="N2415" s="51">
        <v>6.49</v>
      </c>
      <c r="O2415" s="51">
        <v>0.6</v>
      </c>
      <c r="P2415" s="51">
        <v>6.3900000000000006</v>
      </c>
    </row>
    <row r="2416" spans="12:16">
      <c r="L2416" s="51" t="s">
        <v>2426</v>
      </c>
      <c r="M2416" s="25">
        <f>DATE(YEAR(OneWeekMtgRatesDataTable75[[#This Row],[asOf]]),MONTH(OneWeekMtgRatesDataTable75[[#This Row],[asOf]]),DAY(OneWeekMtgRatesDataTable75[[#This Row],[asOf]]))</f>
        <v>38812</v>
      </c>
      <c r="N2416" s="51">
        <v>6.43</v>
      </c>
      <c r="O2416" s="51">
        <v>0.6</v>
      </c>
      <c r="P2416" s="51">
        <v>6.33</v>
      </c>
    </row>
    <row r="2417" spans="12:16">
      <c r="L2417" s="51" t="s">
        <v>2427</v>
      </c>
      <c r="M2417" s="25">
        <f>DATE(YEAR(OneWeekMtgRatesDataTable75[[#This Row],[asOf]]),MONTH(OneWeekMtgRatesDataTable75[[#This Row],[asOf]]),DAY(OneWeekMtgRatesDataTable75[[#This Row],[asOf]]))</f>
        <v>38811</v>
      </c>
      <c r="N2417" s="51">
        <v>6.43</v>
      </c>
      <c r="O2417" s="51">
        <v>0.6</v>
      </c>
      <c r="P2417" s="51">
        <v>6.33</v>
      </c>
    </row>
    <row r="2418" spans="12:16">
      <c r="L2418" s="51" t="s">
        <v>2428</v>
      </c>
      <c r="M2418" s="25">
        <f>DATE(YEAR(OneWeekMtgRatesDataTable75[[#This Row],[asOf]]),MONTH(OneWeekMtgRatesDataTable75[[#This Row],[asOf]]),DAY(OneWeekMtgRatesDataTable75[[#This Row],[asOf]]))</f>
        <v>38810</v>
      </c>
      <c r="N2418" s="51">
        <v>6.43</v>
      </c>
      <c r="O2418" s="51">
        <v>0.6</v>
      </c>
      <c r="P2418" s="51">
        <v>6.33</v>
      </c>
    </row>
    <row r="2419" spans="12:16">
      <c r="L2419" s="51" t="s">
        <v>2429</v>
      </c>
      <c r="M2419" s="25">
        <f>DATE(YEAR(OneWeekMtgRatesDataTable75[[#This Row],[asOf]]),MONTH(OneWeekMtgRatesDataTable75[[#This Row],[asOf]]),DAY(OneWeekMtgRatesDataTable75[[#This Row],[asOf]]))</f>
        <v>38807</v>
      </c>
      <c r="N2419" s="51">
        <v>6.43</v>
      </c>
      <c r="O2419" s="51">
        <v>0.6</v>
      </c>
      <c r="P2419" s="51">
        <v>6.33</v>
      </c>
    </row>
    <row r="2420" spans="12:16">
      <c r="L2420" s="51" t="s">
        <v>2430</v>
      </c>
      <c r="M2420" s="25">
        <f>DATE(YEAR(OneWeekMtgRatesDataTable75[[#This Row],[asOf]]),MONTH(OneWeekMtgRatesDataTable75[[#This Row],[asOf]]),DAY(OneWeekMtgRatesDataTable75[[#This Row],[asOf]]))</f>
        <v>38806</v>
      </c>
      <c r="N2420" s="51">
        <v>6.43</v>
      </c>
      <c r="O2420" s="51">
        <v>0.6</v>
      </c>
      <c r="P2420" s="51">
        <v>6.33</v>
      </c>
    </row>
    <row r="2421" spans="12:16">
      <c r="L2421" s="51" t="s">
        <v>2431</v>
      </c>
      <c r="M2421" s="25">
        <f>DATE(YEAR(OneWeekMtgRatesDataTable75[[#This Row],[asOf]]),MONTH(OneWeekMtgRatesDataTable75[[#This Row],[asOf]]),DAY(OneWeekMtgRatesDataTable75[[#This Row],[asOf]]))</f>
        <v>38805</v>
      </c>
      <c r="N2421" s="51">
        <v>6.35</v>
      </c>
      <c r="O2421" s="51">
        <v>0.5</v>
      </c>
      <c r="P2421" s="51">
        <v>6.2249999999999996</v>
      </c>
    </row>
    <row r="2422" spans="12:16">
      <c r="L2422" s="51" t="s">
        <v>2432</v>
      </c>
      <c r="M2422" s="25">
        <f>DATE(YEAR(OneWeekMtgRatesDataTable75[[#This Row],[asOf]]),MONTH(OneWeekMtgRatesDataTable75[[#This Row],[asOf]]),DAY(OneWeekMtgRatesDataTable75[[#This Row],[asOf]]))</f>
        <v>38804</v>
      </c>
      <c r="N2422" s="51">
        <v>6.35</v>
      </c>
      <c r="O2422" s="51">
        <v>0.5</v>
      </c>
      <c r="P2422" s="51">
        <v>6.2249999999999996</v>
      </c>
    </row>
    <row r="2423" spans="12:16">
      <c r="L2423" s="51" t="s">
        <v>2433</v>
      </c>
      <c r="M2423" s="25">
        <f>DATE(YEAR(OneWeekMtgRatesDataTable75[[#This Row],[asOf]]),MONTH(OneWeekMtgRatesDataTable75[[#This Row],[asOf]]),DAY(OneWeekMtgRatesDataTable75[[#This Row],[asOf]]))</f>
        <v>38803</v>
      </c>
      <c r="N2423" s="51">
        <v>6.35</v>
      </c>
      <c r="O2423" s="51">
        <v>0.5</v>
      </c>
      <c r="P2423" s="51">
        <v>6.2249999999999996</v>
      </c>
    </row>
    <row r="2424" spans="12:16">
      <c r="L2424" s="51" t="s">
        <v>2434</v>
      </c>
      <c r="M2424" s="25">
        <f>DATE(YEAR(OneWeekMtgRatesDataTable75[[#This Row],[asOf]]),MONTH(OneWeekMtgRatesDataTable75[[#This Row],[asOf]]),DAY(OneWeekMtgRatesDataTable75[[#This Row],[asOf]]))</f>
        <v>38800</v>
      </c>
      <c r="N2424" s="51">
        <v>6.35</v>
      </c>
      <c r="O2424" s="51">
        <v>0.5</v>
      </c>
      <c r="P2424" s="51">
        <v>6.2249999999999996</v>
      </c>
    </row>
    <row r="2425" spans="12:16">
      <c r="L2425" s="51" t="s">
        <v>2435</v>
      </c>
      <c r="M2425" s="25">
        <f>DATE(YEAR(OneWeekMtgRatesDataTable75[[#This Row],[asOf]]),MONTH(OneWeekMtgRatesDataTable75[[#This Row],[asOf]]),DAY(OneWeekMtgRatesDataTable75[[#This Row],[asOf]]))</f>
        <v>38799</v>
      </c>
      <c r="N2425" s="51">
        <v>6.35</v>
      </c>
      <c r="O2425" s="51">
        <v>0.5</v>
      </c>
      <c r="P2425" s="51">
        <v>6.2249999999999996</v>
      </c>
    </row>
    <row r="2426" spans="12:16">
      <c r="L2426" s="51" t="s">
        <v>2436</v>
      </c>
      <c r="M2426" s="25">
        <f>DATE(YEAR(OneWeekMtgRatesDataTable75[[#This Row],[asOf]]),MONTH(OneWeekMtgRatesDataTable75[[#This Row],[asOf]]),DAY(OneWeekMtgRatesDataTable75[[#This Row],[asOf]]))</f>
        <v>38798</v>
      </c>
      <c r="N2426" s="51">
        <v>6.32</v>
      </c>
      <c r="O2426" s="51">
        <v>0.6</v>
      </c>
      <c r="P2426" s="51">
        <v>6.2200000000000006</v>
      </c>
    </row>
    <row r="2427" spans="12:16">
      <c r="L2427" s="51" t="s">
        <v>2437</v>
      </c>
      <c r="M2427" s="25">
        <f>DATE(YEAR(OneWeekMtgRatesDataTable75[[#This Row],[asOf]]),MONTH(OneWeekMtgRatesDataTable75[[#This Row],[asOf]]),DAY(OneWeekMtgRatesDataTable75[[#This Row],[asOf]]))</f>
        <v>38797</v>
      </c>
      <c r="N2427" s="51">
        <v>6.32</v>
      </c>
      <c r="O2427" s="51">
        <v>0.6</v>
      </c>
      <c r="P2427" s="51">
        <v>6.2200000000000006</v>
      </c>
    </row>
    <row r="2428" spans="12:16">
      <c r="L2428" s="51" t="s">
        <v>2438</v>
      </c>
      <c r="M2428" s="25">
        <f>DATE(YEAR(OneWeekMtgRatesDataTable75[[#This Row],[asOf]]),MONTH(OneWeekMtgRatesDataTable75[[#This Row],[asOf]]),DAY(OneWeekMtgRatesDataTable75[[#This Row],[asOf]]))</f>
        <v>38796</v>
      </c>
      <c r="N2428" s="51">
        <v>6.32</v>
      </c>
      <c r="O2428" s="51">
        <v>0.6</v>
      </c>
      <c r="P2428" s="51">
        <v>6.2200000000000006</v>
      </c>
    </row>
    <row r="2429" spans="12:16">
      <c r="L2429" s="51" t="s">
        <v>2439</v>
      </c>
      <c r="M2429" s="25">
        <f>DATE(YEAR(OneWeekMtgRatesDataTable75[[#This Row],[asOf]]),MONTH(OneWeekMtgRatesDataTable75[[#This Row],[asOf]]),DAY(OneWeekMtgRatesDataTable75[[#This Row],[asOf]]))</f>
        <v>38793</v>
      </c>
      <c r="N2429" s="51">
        <v>6.32</v>
      </c>
      <c r="O2429" s="51">
        <v>0.6</v>
      </c>
      <c r="P2429" s="51">
        <v>6.2200000000000006</v>
      </c>
    </row>
    <row r="2430" spans="12:16">
      <c r="L2430" s="51" t="s">
        <v>2440</v>
      </c>
      <c r="M2430" s="25">
        <f>DATE(YEAR(OneWeekMtgRatesDataTable75[[#This Row],[asOf]]),MONTH(OneWeekMtgRatesDataTable75[[#This Row],[asOf]]),DAY(OneWeekMtgRatesDataTable75[[#This Row],[asOf]]))</f>
        <v>38792</v>
      </c>
      <c r="N2430" s="51">
        <v>6.32</v>
      </c>
      <c r="O2430" s="51">
        <v>0.6</v>
      </c>
      <c r="P2430" s="51">
        <v>6.2200000000000006</v>
      </c>
    </row>
    <row r="2431" spans="12:16">
      <c r="L2431" s="51" t="s">
        <v>2441</v>
      </c>
      <c r="M2431" s="25">
        <f>DATE(YEAR(OneWeekMtgRatesDataTable75[[#This Row],[asOf]]),MONTH(OneWeekMtgRatesDataTable75[[#This Row],[asOf]]),DAY(OneWeekMtgRatesDataTable75[[#This Row],[asOf]]))</f>
        <v>38791</v>
      </c>
      <c r="N2431" s="51">
        <v>6.34</v>
      </c>
      <c r="O2431" s="51">
        <v>0.7</v>
      </c>
      <c r="P2431" s="51">
        <v>6.2649999999999997</v>
      </c>
    </row>
    <row r="2432" spans="12:16">
      <c r="L2432" s="51" t="s">
        <v>2442</v>
      </c>
      <c r="M2432" s="25">
        <f>DATE(YEAR(OneWeekMtgRatesDataTable75[[#This Row],[asOf]]),MONTH(OneWeekMtgRatesDataTable75[[#This Row],[asOf]]),DAY(OneWeekMtgRatesDataTable75[[#This Row],[asOf]]))</f>
        <v>38790</v>
      </c>
      <c r="N2432" s="51">
        <v>6.34</v>
      </c>
      <c r="O2432" s="51">
        <v>0.7</v>
      </c>
      <c r="P2432" s="51">
        <v>6.2649999999999997</v>
      </c>
    </row>
    <row r="2433" spans="12:16">
      <c r="L2433" s="51" t="s">
        <v>2443</v>
      </c>
      <c r="M2433" s="25">
        <f>DATE(YEAR(OneWeekMtgRatesDataTable75[[#This Row],[asOf]]),MONTH(OneWeekMtgRatesDataTable75[[#This Row],[asOf]]),DAY(OneWeekMtgRatesDataTable75[[#This Row],[asOf]]))</f>
        <v>38789</v>
      </c>
      <c r="N2433" s="51">
        <v>6.34</v>
      </c>
      <c r="O2433" s="51">
        <v>0.7</v>
      </c>
      <c r="P2433" s="51">
        <v>6.2649999999999997</v>
      </c>
    </row>
    <row r="2434" spans="12:16">
      <c r="L2434" s="51" t="s">
        <v>2444</v>
      </c>
      <c r="M2434" s="25">
        <f>DATE(YEAR(OneWeekMtgRatesDataTable75[[#This Row],[asOf]]),MONTH(OneWeekMtgRatesDataTable75[[#This Row],[asOf]]),DAY(OneWeekMtgRatesDataTable75[[#This Row],[asOf]]))</f>
        <v>38786</v>
      </c>
      <c r="N2434" s="51">
        <v>6.34</v>
      </c>
      <c r="O2434" s="51">
        <v>0.7</v>
      </c>
      <c r="P2434" s="51">
        <v>6.2649999999999997</v>
      </c>
    </row>
    <row r="2435" spans="12:16">
      <c r="L2435" s="51" t="s">
        <v>2445</v>
      </c>
      <c r="M2435" s="25">
        <f>DATE(YEAR(OneWeekMtgRatesDataTable75[[#This Row],[asOf]]),MONTH(OneWeekMtgRatesDataTable75[[#This Row],[asOf]]),DAY(OneWeekMtgRatesDataTable75[[#This Row],[asOf]]))</f>
        <v>38785</v>
      </c>
      <c r="N2435" s="51">
        <v>6.34</v>
      </c>
      <c r="O2435" s="51">
        <v>0.7</v>
      </c>
      <c r="P2435" s="51">
        <v>6.2649999999999997</v>
      </c>
    </row>
    <row r="2436" spans="12:16">
      <c r="L2436" s="51" t="s">
        <v>2446</v>
      </c>
      <c r="M2436" s="25">
        <f>DATE(YEAR(OneWeekMtgRatesDataTable75[[#This Row],[asOf]]),MONTH(OneWeekMtgRatesDataTable75[[#This Row],[asOf]]),DAY(OneWeekMtgRatesDataTable75[[#This Row],[asOf]]))</f>
        <v>38784</v>
      </c>
      <c r="N2436" s="51">
        <v>6.37</v>
      </c>
      <c r="O2436" s="51">
        <v>0.6</v>
      </c>
      <c r="P2436" s="51">
        <v>6.2700000000000005</v>
      </c>
    </row>
    <row r="2437" spans="12:16">
      <c r="L2437" s="51" t="s">
        <v>2447</v>
      </c>
      <c r="M2437" s="25">
        <f>DATE(YEAR(OneWeekMtgRatesDataTable75[[#This Row],[asOf]]),MONTH(OneWeekMtgRatesDataTable75[[#This Row],[asOf]]),DAY(OneWeekMtgRatesDataTable75[[#This Row],[asOf]]))</f>
        <v>38783</v>
      </c>
      <c r="N2437" s="51">
        <v>6.37</v>
      </c>
      <c r="O2437" s="51">
        <v>0.6</v>
      </c>
      <c r="P2437" s="51">
        <v>6.2700000000000005</v>
      </c>
    </row>
    <row r="2438" spans="12:16">
      <c r="L2438" s="51" t="s">
        <v>2448</v>
      </c>
      <c r="M2438" s="25">
        <f>DATE(YEAR(OneWeekMtgRatesDataTable75[[#This Row],[asOf]]),MONTH(OneWeekMtgRatesDataTable75[[#This Row],[asOf]]),DAY(OneWeekMtgRatesDataTable75[[#This Row],[asOf]]))</f>
        <v>38782</v>
      </c>
      <c r="N2438" s="51">
        <v>6.37</v>
      </c>
      <c r="O2438" s="51">
        <v>0.6</v>
      </c>
      <c r="P2438" s="51">
        <v>6.2700000000000005</v>
      </c>
    </row>
    <row r="2439" spans="12:16">
      <c r="L2439" s="51" t="s">
        <v>2449</v>
      </c>
      <c r="M2439" s="25">
        <f>DATE(YEAR(OneWeekMtgRatesDataTable75[[#This Row],[asOf]]),MONTH(OneWeekMtgRatesDataTable75[[#This Row],[asOf]]),DAY(OneWeekMtgRatesDataTable75[[#This Row],[asOf]]))</f>
        <v>38779</v>
      </c>
      <c r="N2439" s="51">
        <v>6.37</v>
      </c>
      <c r="O2439" s="51">
        <v>0.6</v>
      </c>
      <c r="P2439" s="51">
        <v>6.2700000000000005</v>
      </c>
    </row>
    <row r="2440" spans="12:16">
      <c r="L2440" s="51" t="s">
        <v>2450</v>
      </c>
      <c r="M2440" s="25">
        <f>DATE(YEAR(OneWeekMtgRatesDataTable75[[#This Row],[asOf]]),MONTH(OneWeekMtgRatesDataTable75[[#This Row],[asOf]]),DAY(OneWeekMtgRatesDataTable75[[#This Row],[asOf]]))</f>
        <v>38778</v>
      </c>
      <c r="N2440" s="51">
        <v>6.37</v>
      </c>
      <c r="O2440" s="51">
        <v>0.6</v>
      </c>
      <c r="P2440" s="51">
        <v>6.2700000000000005</v>
      </c>
    </row>
    <row r="2441" spans="12:16">
      <c r="L2441" s="51" t="s">
        <v>2451</v>
      </c>
      <c r="M2441" s="25">
        <f>DATE(YEAR(OneWeekMtgRatesDataTable75[[#This Row],[asOf]]),MONTH(OneWeekMtgRatesDataTable75[[#This Row],[asOf]]),DAY(OneWeekMtgRatesDataTable75[[#This Row],[asOf]]))</f>
        <v>38777</v>
      </c>
      <c r="N2441" s="51">
        <v>6.24</v>
      </c>
      <c r="O2441" s="51">
        <v>0.6</v>
      </c>
      <c r="P2441" s="51">
        <v>6.1400000000000006</v>
      </c>
    </row>
    <row r="2442" spans="12:16">
      <c r="L2442" s="51" t="s">
        <v>2452</v>
      </c>
      <c r="M2442" s="25">
        <f>DATE(YEAR(OneWeekMtgRatesDataTable75[[#This Row],[asOf]]),MONTH(OneWeekMtgRatesDataTable75[[#This Row],[asOf]]),DAY(OneWeekMtgRatesDataTable75[[#This Row],[asOf]]))</f>
        <v>38776</v>
      </c>
      <c r="N2442" s="51">
        <v>6.24</v>
      </c>
      <c r="O2442" s="51">
        <v>0.6</v>
      </c>
      <c r="P2442" s="51">
        <v>6.1400000000000006</v>
      </c>
    </row>
    <row r="2443" spans="12:16">
      <c r="L2443" s="51" t="s">
        <v>2453</v>
      </c>
      <c r="M2443" s="25">
        <f>DATE(YEAR(OneWeekMtgRatesDataTable75[[#This Row],[asOf]]),MONTH(OneWeekMtgRatesDataTable75[[#This Row],[asOf]]),DAY(OneWeekMtgRatesDataTable75[[#This Row],[asOf]]))</f>
        <v>38775</v>
      </c>
      <c r="N2443" s="51">
        <v>6.24</v>
      </c>
      <c r="O2443" s="51">
        <v>0.6</v>
      </c>
      <c r="P2443" s="51">
        <v>6.1400000000000006</v>
      </c>
    </row>
    <row r="2444" spans="12:16">
      <c r="L2444" s="51" t="s">
        <v>2454</v>
      </c>
      <c r="M2444" s="25">
        <f>DATE(YEAR(OneWeekMtgRatesDataTable75[[#This Row],[asOf]]),MONTH(OneWeekMtgRatesDataTable75[[#This Row],[asOf]]),DAY(OneWeekMtgRatesDataTable75[[#This Row],[asOf]]))</f>
        <v>38772</v>
      </c>
      <c r="N2444" s="51">
        <v>6.24</v>
      </c>
      <c r="O2444" s="51">
        <v>0.6</v>
      </c>
      <c r="P2444" s="51">
        <v>6.1400000000000006</v>
      </c>
    </row>
    <row r="2445" spans="12:16">
      <c r="L2445" s="51" t="s">
        <v>2455</v>
      </c>
      <c r="M2445" s="25">
        <f>DATE(YEAR(OneWeekMtgRatesDataTable75[[#This Row],[asOf]]),MONTH(OneWeekMtgRatesDataTable75[[#This Row],[asOf]]),DAY(OneWeekMtgRatesDataTable75[[#This Row],[asOf]]))</f>
        <v>38771</v>
      </c>
      <c r="N2445" s="51">
        <v>6.24</v>
      </c>
      <c r="O2445" s="51">
        <v>0.6</v>
      </c>
      <c r="P2445" s="51">
        <v>6.1400000000000006</v>
      </c>
    </row>
    <row r="2446" spans="12:16">
      <c r="L2446" s="51" t="s">
        <v>2456</v>
      </c>
      <c r="M2446" s="25">
        <f>DATE(YEAR(OneWeekMtgRatesDataTable75[[#This Row],[asOf]]),MONTH(OneWeekMtgRatesDataTable75[[#This Row],[asOf]]),DAY(OneWeekMtgRatesDataTable75[[#This Row],[asOf]]))</f>
        <v>38770</v>
      </c>
      <c r="N2446" s="51">
        <v>6.26</v>
      </c>
      <c r="O2446" s="51">
        <v>0.6</v>
      </c>
      <c r="P2446" s="51">
        <v>6.16</v>
      </c>
    </row>
    <row r="2447" spans="12:16">
      <c r="L2447" s="51" t="s">
        <v>2457</v>
      </c>
      <c r="M2447" s="25">
        <f>DATE(YEAR(OneWeekMtgRatesDataTable75[[#This Row],[asOf]]),MONTH(OneWeekMtgRatesDataTable75[[#This Row],[asOf]]),DAY(OneWeekMtgRatesDataTable75[[#This Row],[asOf]]))</f>
        <v>38769</v>
      </c>
      <c r="N2447" s="51">
        <v>6.26</v>
      </c>
      <c r="O2447" s="51">
        <v>0.6</v>
      </c>
      <c r="P2447" s="51">
        <v>6.16</v>
      </c>
    </row>
    <row r="2448" spans="12:16">
      <c r="L2448" s="51" t="s">
        <v>2458</v>
      </c>
      <c r="M2448" s="25">
        <f>DATE(YEAR(OneWeekMtgRatesDataTable75[[#This Row],[asOf]]),MONTH(OneWeekMtgRatesDataTable75[[#This Row],[asOf]]),DAY(OneWeekMtgRatesDataTable75[[#This Row],[asOf]]))</f>
        <v>38768</v>
      </c>
      <c r="N2448" s="51">
        <v>6.26</v>
      </c>
      <c r="O2448" s="51">
        <v>0.6</v>
      </c>
      <c r="P2448" s="51">
        <v>6.16</v>
      </c>
    </row>
    <row r="2449" spans="12:16">
      <c r="L2449" s="51" t="s">
        <v>2459</v>
      </c>
      <c r="M2449" s="25">
        <f>DATE(YEAR(OneWeekMtgRatesDataTable75[[#This Row],[asOf]]),MONTH(OneWeekMtgRatesDataTable75[[#This Row],[asOf]]),DAY(OneWeekMtgRatesDataTable75[[#This Row],[asOf]]))</f>
        <v>38765</v>
      </c>
      <c r="N2449" s="51">
        <v>6.26</v>
      </c>
      <c r="O2449" s="51">
        <v>0.6</v>
      </c>
      <c r="P2449" s="51">
        <v>6.16</v>
      </c>
    </row>
    <row r="2450" spans="12:16">
      <c r="L2450" s="51" t="s">
        <v>2460</v>
      </c>
      <c r="M2450" s="25">
        <f>DATE(YEAR(OneWeekMtgRatesDataTable75[[#This Row],[asOf]]),MONTH(OneWeekMtgRatesDataTable75[[#This Row],[asOf]]),DAY(OneWeekMtgRatesDataTable75[[#This Row],[asOf]]))</f>
        <v>38764</v>
      </c>
      <c r="N2450" s="51">
        <v>6.26</v>
      </c>
      <c r="O2450" s="51">
        <v>0.6</v>
      </c>
      <c r="P2450" s="51">
        <v>6.16</v>
      </c>
    </row>
    <row r="2451" spans="12:16">
      <c r="L2451" s="51" t="s">
        <v>2461</v>
      </c>
      <c r="M2451" s="25">
        <f>DATE(YEAR(OneWeekMtgRatesDataTable75[[#This Row],[asOf]]),MONTH(OneWeekMtgRatesDataTable75[[#This Row],[asOf]]),DAY(OneWeekMtgRatesDataTable75[[#This Row],[asOf]]))</f>
        <v>38763</v>
      </c>
      <c r="N2451" s="51">
        <v>6.28</v>
      </c>
      <c r="O2451" s="51">
        <v>0.5</v>
      </c>
      <c r="P2451" s="51">
        <v>6.1550000000000002</v>
      </c>
    </row>
    <row r="2452" spans="12:16">
      <c r="L2452" s="51" t="s">
        <v>2462</v>
      </c>
      <c r="M2452" s="25">
        <f>DATE(YEAR(OneWeekMtgRatesDataTable75[[#This Row],[asOf]]),MONTH(OneWeekMtgRatesDataTable75[[#This Row],[asOf]]),DAY(OneWeekMtgRatesDataTable75[[#This Row],[asOf]]))</f>
        <v>38762</v>
      </c>
      <c r="N2452" s="51">
        <v>6.28</v>
      </c>
      <c r="O2452" s="51">
        <v>0.5</v>
      </c>
      <c r="P2452" s="51">
        <v>6.1550000000000002</v>
      </c>
    </row>
    <row r="2453" spans="12:16">
      <c r="L2453" s="51" t="s">
        <v>2463</v>
      </c>
      <c r="M2453" s="25">
        <f>DATE(YEAR(OneWeekMtgRatesDataTable75[[#This Row],[asOf]]),MONTH(OneWeekMtgRatesDataTable75[[#This Row],[asOf]]),DAY(OneWeekMtgRatesDataTable75[[#This Row],[asOf]]))</f>
        <v>38761</v>
      </c>
      <c r="N2453" s="51">
        <v>6.28</v>
      </c>
      <c r="O2453" s="51">
        <v>0.5</v>
      </c>
      <c r="P2453" s="51">
        <v>6.1550000000000002</v>
      </c>
    </row>
    <row r="2454" spans="12:16">
      <c r="L2454" s="51" t="s">
        <v>2464</v>
      </c>
      <c r="M2454" s="25">
        <f>DATE(YEAR(OneWeekMtgRatesDataTable75[[#This Row],[asOf]]),MONTH(OneWeekMtgRatesDataTable75[[#This Row],[asOf]]),DAY(OneWeekMtgRatesDataTable75[[#This Row],[asOf]]))</f>
        <v>38758</v>
      </c>
      <c r="N2454" s="51">
        <v>6.28</v>
      </c>
      <c r="O2454" s="51">
        <v>0.5</v>
      </c>
      <c r="P2454" s="51">
        <v>6.1550000000000002</v>
      </c>
    </row>
    <row r="2455" spans="12:16">
      <c r="L2455" s="51" t="s">
        <v>2465</v>
      </c>
      <c r="M2455" s="25">
        <f>DATE(YEAR(OneWeekMtgRatesDataTable75[[#This Row],[asOf]]),MONTH(OneWeekMtgRatesDataTable75[[#This Row],[asOf]]),DAY(OneWeekMtgRatesDataTable75[[#This Row],[asOf]]))</f>
        <v>38757</v>
      </c>
      <c r="N2455" s="51">
        <v>6.28</v>
      </c>
      <c r="O2455" s="51">
        <v>0.5</v>
      </c>
      <c r="P2455" s="51">
        <v>6.1550000000000002</v>
      </c>
    </row>
    <row r="2456" spans="12:16">
      <c r="L2456" s="51" t="s">
        <v>2466</v>
      </c>
      <c r="M2456" s="25">
        <f>DATE(YEAR(OneWeekMtgRatesDataTable75[[#This Row],[asOf]]),MONTH(OneWeekMtgRatesDataTable75[[#This Row],[asOf]]),DAY(OneWeekMtgRatesDataTable75[[#This Row],[asOf]]))</f>
        <v>38756</v>
      </c>
      <c r="N2456" s="51">
        <v>6.24</v>
      </c>
      <c r="O2456" s="51">
        <v>0.6</v>
      </c>
      <c r="P2456" s="51">
        <v>6.1400000000000006</v>
      </c>
    </row>
    <row r="2457" spans="12:16">
      <c r="L2457" s="51" t="s">
        <v>2467</v>
      </c>
      <c r="M2457" s="25">
        <f>DATE(YEAR(OneWeekMtgRatesDataTable75[[#This Row],[asOf]]),MONTH(OneWeekMtgRatesDataTable75[[#This Row],[asOf]]),DAY(OneWeekMtgRatesDataTable75[[#This Row],[asOf]]))</f>
        <v>38755</v>
      </c>
      <c r="N2457" s="51">
        <v>6.24</v>
      </c>
      <c r="O2457" s="51">
        <v>0.6</v>
      </c>
      <c r="P2457" s="51">
        <v>6.1400000000000006</v>
      </c>
    </row>
    <row r="2458" spans="12:16">
      <c r="L2458" s="51" t="s">
        <v>2468</v>
      </c>
      <c r="M2458" s="25">
        <f>DATE(YEAR(OneWeekMtgRatesDataTable75[[#This Row],[asOf]]),MONTH(OneWeekMtgRatesDataTable75[[#This Row],[asOf]]),DAY(OneWeekMtgRatesDataTable75[[#This Row],[asOf]]))</f>
        <v>38754</v>
      </c>
      <c r="N2458" s="51">
        <v>6.24</v>
      </c>
      <c r="O2458" s="51">
        <v>0.6</v>
      </c>
      <c r="P2458" s="51">
        <v>6.1400000000000006</v>
      </c>
    </row>
    <row r="2459" spans="12:16">
      <c r="L2459" s="51" t="s">
        <v>2469</v>
      </c>
      <c r="M2459" s="25">
        <f>DATE(YEAR(OneWeekMtgRatesDataTable75[[#This Row],[asOf]]),MONTH(OneWeekMtgRatesDataTable75[[#This Row],[asOf]]),DAY(OneWeekMtgRatesDataTable75[[#This Row],[asOf]]))</f>
        <v>38751</v>
      </c>
      <c r="N2459" s="51">
        <v>6.24</v>
      </c>
      <c r="O2459" s="51">
        <v>0.6</v>
      </c>
      <c r="P2459" s="51">
        <v>6.1400000000000006</v>
      </c>
    </row>
    <row r="2460" spans="12:16">
      <c r="L2460" s="51" t="s">
        <v>2470</v>
      </c>
      <c r="M2460" s="25">
        <f>DATE(YEAR(OneWeekMtgRatesDataTable75[[#This Row],[asOf]]),MONTH(OneWeekMtgRatesDataTable75[[#This Row],[asOf]]),DAY(OneWeekMtgRatesDataTable75[[#This Row],[asOf]]))</f>
        <v>38750</v>
      </c>
      <c r="N2460" s="51">
        <v>6.24</v>
      </c>
      <c r="O2460" s="51">
        <v>0.6</v>
      </c>
      <c r="P2460" s="51">
        <v>6.1400000000000006</v>
      </c>
    </row>
    <row r="2461" spans="12:16">
      <c r="L2461" s="51" t="s">
        <v>2471</v>
      </c>
      <c r="M2461" s="25">
        <f>DATE(YEAR(OneWeekMtgRatesDataTable75[[#This Row],[asOf]]),MONTH(OneWeekMtgRatesDataTable75[[#This Row],[asOf]]),DAY(OneWeekMtgRatesDataTable75[[#This Row],[asOf]]))</f>
        <v>38749</v>
      </c>
      <c r="N2461" s="51">
        <v>6.23</v>
      </c>
      <c r="O2461" s="51">
        <v>0.5</v>
      </c>
      <c r="P2461" s="51">
        <v>6.1050000000000004</v>
      </c>
    </row>
    <row r="2462" spans="12:16">
      <c r="L2462" s="51" t="s">
        <v>2472</v>
      </c>
      <c r="M2462" s="25">
        <f>DATE(YEAR(OneWeekMtgRatesDataTable75[[#This Row],[asOf]]),MONTH(OneWeekMtgRatesDataTable75[[#This Row],[asOf]]),DAY(OneWeekMtgRatesDataTable75[[#This Row],[asOf]]))</f>
        <v>38748</v>
      </c>
      <c r="N2462" s="51">
        <v>6.23</v>
      </c>
      <c r="O2462" s="51">
        <v>0.5</v>
      </c>
      <c r="P2462" s="51">
        <v>6.1050000000000004</v>
      </c>
    </row>
    <row r="2463" spans="12:16">
      <c r="L2463" s="51" t="s">
        <v>2473</v>
      </c>
      <c r="M2463" s="25">
        <f>DATE(YEAR(OneWeekMtgRatesDataTable75[[#This Row],[asOf]]),MONTH(OneWeekMtgRatesDataTable75[[#This Row],[asOf]]),DAY(OneWeekMtgRatesDataTable75[[#This Row],[asOf]]))</f>
        <v>38747</v>
      </c>
      <c r="N2463" s="51">
        <v>6.23</v>
      </c>
      <c r="O2463" s="51">
        <v>0.5</v>
      </c>
      <c r="P2463" s="51">
        <v>6.1050000000000004</v>
      </c>
    </row>
    <row r="2464" spans="12:16">
      <c r="L2464" s="51" t="s">
        <v>2474</v>
      </c>
      <c r="M2464" s="25">
        <f>DATE(YEAR(OneWeekMtgRatesDataTable75[[#This Row],[asOf]]),MONTH(OneWeekMtgRatesDataTable75[[#This Row],[asOf]]),DAY(OneWeekMtgRatesDataTable75[[#This Row],[asOf]]))</f>
        <v>38744</v>
      </c>
      <c r="N2464" s="51">
        <v>6.23</v>
      </c>
      <c r="O2464" s="51">
        <v>0.5</v>
      </c>
      <c r="P2464" s="51">
        <v>6.1050000000000004</v>
      </c>
    </row>
    <row r="2465" spans="12:16">
      <c r="L2465" s="51" t="s">
        <v>2475</v>
      </c>
      <c r="M2465" s="25">
        <f>DATE(YEAR(OneWeekMtgRatesDataTable75[[#This Row],[asOf]]),MONTH(OneWeekMtgRatesDataTable75[[#This Row],[asOf]]),DAY(OneWeekMtgRatesDataTable75[[#This Row],[asOf]]))</f>
        <v>38743</v>
      </c>
      <c r="N2465" s="51">
        <v>6.23</v>
      </c>
      <c r="O2465" s="51">
        <v>0.5</v>
      </c>
      <c r="P2465" s="51">
        <v>6.1050000000000004</v>
      </c>
    </row>
    <row r="2466" spans="12:16">
      <c r="L2466" s="51" t="s">
        <v>2476</v>
      </c>
      <c r="M2466" s="25">
        <f>DATE(YEAR(OneWeekMtgRatesDataTable75[[#This Row],[asOf]]),MONTH(OneWeekMtgRatesDataTable75[[#This Row],[asOf]]),DAY(OneWeekMtgRatesDataTable75[[#This Row],[asOf]]))</f>
        <v>38742</v>
      </c>
      <c r="N2466" s="51">
        <v>6.12</v>
      </c>
      <c r="O2466" s="51">
        <v>0.5</v>
      </c>
      <c r="P2466" s="51">
        <v>5.9950000000000001</v>
      </c>
    </row>
    <row r="2467" spans="12:16">
      <c r="L2467" s="51" t="s">
        <v>2477</v>
      </c>
      <c r="M2467" s="25">
        <f>DATE(YEAR(OneWeekMtgRatesDataTable75[[#This Row],[asOf]]),MONTH(OneWeekMtgRatesDataTable75[[#This Row],[asOf]]),DAY(OneWeekMtgRatesDataTable75[[#This Row],[asOf]]))</f>
        <v>38741</v>
      </c>
      <c r="N2467" s="51">
        <v>6.12</v>
      </c>
      <c r="O2467" s="51">
        <v>0.5</v>
      </c>
      <c r="P2467" s="51">
        <v>5.9950000000000001</v>
      </c>
    </row>
    <row r="2468" spans="12:16">
      <c r="L2468" s="51" t="s">
        <v>2478</v>
      </c>
      <c r="M2468" s="25">
        <f>DATE(YEAR(OneWeekMtgRatesDataTable75[[#This Row],[asOf]]),MONTH(OneWeekMtgRatesDataTable75[[#This Row],[asOf]]),DAY(OneWeekMtgRatesDataTable75[[#This Row],[asOf]]))</f>
        <v>38740</v>
      </c>
      <c r="N2468" s="51">
        <v>6.12</v>
      </c>
      <c r="O2468" s="51">
        <v>0.5</v>
      </c>
      <c r="P2468" s="51">
        <v>5.9950000000000001</v>
      </c>
    </row>
    <row r="2469" spans="12:16">
      <c r="L2469" s="51" t="s">
        <v>2479</v>
      </c>
      <c r="M2469" s="25">
        <f>DATE(YEAR(OneWeekMtgRatesDataTable75[[#This Row],[asOf]]),MONTH(OneWeekMtgRatesDataTable75[[#This Row],[asOf]]),DAY(OneWeekMtgRatesDataTable75[[#This Row],[asOf]]))</f>
        <v>38737</v>
      </c>
      <c r="N2469" s="51">
        <v>6.12</v>
      </c>
      <c r="O2469" s="51">
        <v>0.5</v>
      </c>
      <c r="P2469" s="51">
        <v>5.9950000000000001</v>
      </c>
    </row>
    <row r="2470" spans="12:16">
      <c r="L2470" s="51" t="s">
        <v>2480</v>
      </c>
      <c r="M2470" s="25">
        <f>DATE(YEAR(OneWeekMtgRatesDataTable75[[#This Row],[asOf]]),MONTH(OneWeekMtgRatesDataTable75[[#This Row],[asOf]]),DAY(OneWeekMtgRatesDataTable75[[#This Row],[asOf]]))</f>
        <v>38736</v>
      </c>
      <c r="N2470" s="51">
        <v>6.12</v>
      </c>
      <c r="O2470" s="51">
        <v>0.5</v>
      </c>
      <c r="P2470" s="51">
        <v>5.9950000000000001</v>
      </c>
    </row>
    <row r="2471" spans="12:16">
      <c r="L2471" s="51" t="s">
        <v>2481</v>
      </c>
      <c r="M2471" s="25">
        <f>DATE(YEAR(OneWeekMtgRatesDataTable75[[#This Row],[asOf]]),MONTH(OneWeekMtgRatesDataTable75[[#This Row],[asOf]]),DAY(OneWeekMtgRatesDataTable75[[#This Row],[asOf]]))</f>
        <v>38735</v>
      </c>
      <c r="N2471" s="51">
        <v>6.1</v>
      </c>
      <c r="O2471" s="51">
        <v>0.5</v>
      </c>
      <c r="P2471" s="51">
        <v>5.9749999999999996</v>
      </c>
    </row>
    <row r="2472" spans="12:16">
      <c r="L2472" s="51" t="s">
        <v>2482</v>
      </c>
      <c r="M2472" s="25">
        <f>DATE(YEAR(OneWeekMtgRatesDataTable75[[#This Row],[asOf]]),MONTH(OneWeekMtgRatesDataTable75[[#This Row],[asOf]]),DAY(OneWeekMtgRatesDataTable75[[#This Row],[asOf]]))</f>
        <v>38734</v>
      </c>
      <c r="N2472" s="51">
        <v>6.1</v>
      </c>
      <c r="O2472" s="51">
        <v>0.5</v>
      </c>
      <c r="P2472" s="51">
        <v>5.9749999999999996</v>
      </c>
    </row>
    <row r="2473" spans="12:16">
      <c r="L2473" s="51" t="s">
        <v>2483</v>
      </c>
      <c r="M2473" s="25">
        <f>DATE(YEAR(OneWeekMtgRatesDataTable75[[#This Row],[asOf]]),MONTH(OneWeekMtgRatesDataTable75[[#This Row],[asOf]]),DAY(OneWeekMtgRatesDataTable75[[#This Row],[asOf]]))</f>
        <v>38733</v>
      </c>
      <c r="N2473" s="51">
        <v>6.1</v>
      </c>
      <c r="O2473" s="51">
        <v>0.5</v>
      </c>
      <c r="P2473" s="51">
        <v>5.9749999999999996</v>
      </c>
    </row>
    <row r="2474" spans="12:16">
      <c r="L2474" s="51" t="s">
        <v>2484</v>
      </c>
      <c r="M2474" s="25">
        <f>DATE(YEAR(OneWeekMtgRatesDataTable75[[#This Row],[asOf]]),MONTH(OneWeekMtgRatesDataTable75[[#This Row],[asOf]]),DAY(OneWeekMtgRatesDataTable75[[#This Row],[asOf]]))</f>
        <v>38730</v>
      </c>
      <c r="N2474" s="51">
        <v>6.1</v>
      </c>
      <c r="O2474" s="51">
        <v>0.5</v>
      </c>
      <c r="P2474" s="51">
        <v>5.9749999999999996</v>
      </c>
    </row>
    <row r="2475" spans="12:16">
      <c r="L2475" s="51" t="s">
        <v>2485</v>
      </c>
      <c r="M2475" s="25">
        <f>DATE(YEAR(OneWeekMtgRatesDataTable75[[#This Row],[asOf]]),MONTH(OneWeekMtgRatesDataTable75[[#This Row],[asOf]]),DAY(OneWeekMtgRatesDataTable75[[#This Row],[asOf]]))</f>
        <v>38729</v>
      </c>
      <c r="N2475" s="51">
        <v>6.1</v>
      </c>
      <c r="O2475" s="51">
        <v>0.5</v>
      </c>
      <c r="P2475" s="51">
        <v>5.9749999999999996</v>
      </c>
    </row>
    <row r="2476" spans="12:16">
      <c r="L2476" s="51" t="s">
        <v>2486</v>
      </c>
      <c r="M2476" s="25">
        <f>DATE(YEAR(OneWeekMtgRatesDataTable75[[#This Row],[asOf]]),MONTH(OneWeekMtgRatesDataTable75[[#This Row],[asOf]]),DAY(OneWeekMtgRatesDataTable75[[#This Row],[asOf]]))</f>
        <v>38728</v>
      </c>
      <c r="N2476" s="51">
        <v>6.15</v>
      </c>
      <c r="O2476" s="51">
        <v>0.6</v>
      </c>
      <c r="P2476" s="51">
        <v>6.0500000000000007</v>
      </c>
    </row>
    <row r="2477" spans="12:16">
      <c r="L2477" s="51" t="s">
        <v>2487</v>
      </c>
      <c r="M2477" s="25">
        <f>DATE(YEAR(OneWeekMtgRatesDataTable75[[#This Row],[asOf]]),MONTH(OneWeekMtgRatesDataTable75[[#This Row],[asOf]]),DAY(OneWeekMtgRatesDataTable75[[#This Row],[asOf]]))</f>
        <v>38727</v>
      </c>
      <c r="N2477" s="51">
        <v>6.15</v>
      </c>
      <c r="O2477" s="51">
        <v>0.6</v>
      </c>
      <c r="P2477" s="51">
        <v>6.0500000000000007</v>
      </c>
    </row>
    <row r="2478" spans="12:16">
      <c r="L2478" s="51" t="s">
        <v>2488</v>
      </c>
      <c r="M2478" s="25">
        <f>DATE(YEAR(OneWeekMtgRatesDataTable75[[#This Row],[asOf]]),MONTH(OneWeekMtgRatesDataTable75[[#This Row],[asOf]]),DAY(OneWeekMtgRatesDataTable75[[#This Row],[asOf]]))</f>
        <v>38726</v>
      </c>
      <c r="N2478" s="51">
        <v>6.15</v>
      </c>
      <c r="O2478" s="51">
        <v>0.6</v>
      </c>
      <c r="P2478" s="51">
        <v>6.0500000000000007</v>
      </c>
    </row>
    <row r="2479" spans="12:16">
      <c r="L2479" s="51" t="s">
        <v>2489</v>
      </c>
      <c r="M2479" s="25">
        <f>DATE(YEAR(OneWeekMtgRatesDataTable75[[#This Row],[asOf]]),MONTH(OneWeekMtgRatesDataTable75[[#This Row],[asOf]]),DAY(OneWeekMtgRatesDataTable75[[#This Row],[asOf]]))</f>
        <v>38723</v>
      </c>
      <c r="N2479" s="51">
        <v>6.15</v>
      </c>
      <c r="O2479" s="51">
        <v>0.6</v>
      </c>
      <c r="P2479" s="51">
        <v>6.0500000000000007</v>
      </c>
    </row>
    <row r="2480" spans="12:16">
      <c r="L2480" s="51" t="s">
        <v>2490</v>
      </c>
      <c r="M2480" s="25">
        <f>DATE(YEAR(OneWeekMtgRatesDataTable75[[#This Row],[asOf]]),MONTH(OneWeekMtgRatesDataTable75[[#This Row],[asOf]]),DAY(OneWeekMtgRatesDataTable75[[#This Row],[asOf]]))</f>
        <v>38722</v>
      </c>
      <c r="N2480" s="51">
        <v>6.15</v>
      </c>
      <c r="O2480" s="51">
        <v>0.6</v>
      </c>
      <c r="P2480" s="51">
        <v>6.0500000000000007</v>
      </c>
    </row>
    <row r="2481" spans="12:16">
      <c r="L2481" s="51" t="s">
        <v>2491</v>
      </c>
      <c r="M2481" s="25">
        <f>DATE(YEAR(OneWeekMtgRatesDataTable75[[#This Row],[asOf]]),MONTH(OneWeekMtgRatesDataTable75[[#This Row],[asOf]]),DAY(OneWeekMtgRatesDataTable75[[#This Row],[asOf]]))</f>
        <v>38721</v>
      </c>
      <c r="N2481" s="51">
        <v>6.21</v>
      </c>
      <c r="O2481" s="51">
        <v>0.5</v>
      </c>
      <c r="P2481" s="51">
        <v>6.085</v>
      </c>
    </row>
    <row r="2482" spans="12:16">
      <c r="L2482" s="51" t="s">
        <v>2492</v>
      </c>
      <c r="M2482" s="25">
        <f>DATE(YEAR(OneWeekMtgRatesDataTable75[[#This Row],[asOf]]),MONTH(OneWeekMtgRatesDataTable75[[#This Row],[asOf]]),DAY(OneWeekMtgRatesDataTable75[[#This Row],[asOf]]))</f>
        <v>38720</v>
      </c>
      <c r="N2482" s="51">
        <v>6.21</v>
      </c>
      <c r="O2482" s="51">
        <v>0.5</v>
      </c>
      <c r="P2482" s="51">
        <v>6.085</v>
      </c>
    </row>
    <row r="2483" spans="12:16">
      <c r="L2483" s="51" t="s">
        <v>2493</v>
      </c>
      <c r="M2483" s="25">
        <f>DATE(YEAR(OneWeekMtgRatesDataTable75[[#This Row],[asOf]]),MONTH(OneWeekMtgRatesDataTable75[[#This Row],[asOf]]),DAY(OneWeekMtgRatesDataTable75[[#This Row],[asOf]]))</f>
        <v>38719</v>
      </c>
      <c r="N2483" s="51">
        <v>6.21</v>
      </c>
      <c r="O2483" s="51">
        <v>0.5</v>
      </c>
      <c r="P2483" s="51">
        <v>6.085</v>
      </c>
    </row>
    <row r="2484" spans="12:16">
      <c r="L2484" s="51" t="s">
        <v>2494</v>
      </c>
      <c r="M2484" s="25">
        <f>DATE(YEAR(OneWeekMtgRatesDataTable75[[#This Row],[asOf]]),MONTH(OneWeekMtgRatesDataTable75[[#This Row],[asOf]]),DAY(OneWeekMtgRatesDataTable75[[#This Row],[asOf]]))</f>
        <v>38716</v>
      </c>
      <c r="N2484" s="51">
        <v>6.21</v>
      </c>
      <c r="O2484" s="51">
        <v>0.5</v>
      </c>
      <c r="P2484" s="51">
        <v>6.085</v>
      </c>
    </row>
    <row r="2485" spans="12:16">
      <c r="L2485" s="51" t="s">
        <v>2495</v>
      </c>
      <c r="M2485" s="25">
        <f>DATE(YEAR(OneWeekMtgRatesDataTable75[[#This Row],[asOf]]),MONTH(OneWeekMtgRatesDataTable75[[#This Row],[asOf]]),DAY(OneWeekMtgRatesDataTable75[[#This Row],[asOf]]))</f>
        <v>38715</v>
      </c>
      <c r="N2485" s="51">
        <v>6.21</v>
      </c>
      <c r="O2485" s="51">
        <v>0.5</v>
      </c>
      <c r="P2485" s="51">
        <v>6.085</v>
      </c>
    </row>
    <row r="2486" spans="12:16">
      <c r="L2486" s="51" t="s">
        <v>2496</v>
      </c>
      <c r="M2486" s="25">
        <f>DATE(YEAR(OneWeekMtgRatesDataTable75[[#This Row],[asOf]]),MONTH(OneWeekMtgRatesDataTable75[[#This Row],[asOf]]),DAY(OneWeekMtgRatesDataTable75[[#This Row],[asOf]]))</f>
        <v>38714</v>
      </c>
      <c r="N2486" s="51">
        <v>6.22</v>
      </c>
      <c r="O2486" s="51">
        <v>0.5</v>
      </c>
      <c r="P2486" s="51">
        <v>6.0949999999999998</v>
      </c>
    </row>
    <row r="2487" spans="12:16">
      <c r="L2487" s="51" t="s">
        <v>2497</v>
      </c>
      <c r="M2487" s="25">
        <f>DATE(YEAR(OneWeekMtgRatesDataTable75[[#This Row],[asOf]]),MONTH(OneWeekMtgRatesDataTable75[[#This Row],[asOf]]),DAY(OneWeekMtgRatesDataTable75[[#This Row],[asOf]]))</f>
        <v>38713</v>
      </c>
      <c r="N2487" s="51">
        <v>6.22</v>
      </c>
      <c r="O2487" s="51">
        <v>0.5</v>
      </c>
      <c r="P2487" s="51">
        <v>6.0949999999999998</v>
      </c>
    </row>
    <row r="2488" spans="12:16">
      <c r="L2488" s="51" t="s">
        <v>2498</v>
      </c>
      <c r="M2488" s="25">
        <f>DATE(YEAR(OneWeekMtgRatesDataTable75[[#This Row],[asOf]]),MONTH(OneWeekMtgRatesDataTable75[[#This Row],[asOf]]),DAY(OneWeekMtgRatesDataTable75[[#This Row],[asOf]]))</f>
        <v>38712</v>
      </c>
      <c r="N2488" s="51">
        <v>6.22</v>
      </c>
      <c r="O2488" s="51">
        <v>0.5</v>
      </c>
      <c r="P2488" s="51">
        <v>6.0949999999999998</v>
      </c>
    </row>
    <row r="2489" spans="12:16">
      <c r="L2489" s="51" t="s">
        <v>2499</v>
      </c>
      <c r="M2489" s="25">
        <f>DATE(YEAR(OneWeekMtgRatesDataTable75[[#This Row],[asOf]]),MONTH(OneWeekMtgRatesDataTable75[[#This Row],[asOf]]),DAY(OneWeekMtgRatesDataTable75[[#This Row],[asOf]]))</f>
        <v>38709</v>
      </c>
      <c r="N2489" s="51">
        <v>6.22</v>
      </c>
      <c r="O2489" s="51">
        <v>0.5</v>
      </c>
      <c r="P2489" s="51">
        <v>6.0949999999999998</v>
      </c>
    </row>
    <row r="2490" spans="12:16">
      <c r="L2490" s="51" t="s">
        <v>2500</v>
      </c>
      <c r="M2490" s="25">
        <f>DATE(YEAR(OneWeekMtgRatesDataTable75[[#This Row],[asOf]]),MONTH(OneWeekMtgRatesDataTable75[[#This Row],[asOf]]),DAY(OneWeekMtgRatesDataTable75[[#This Row],[asOf]]))</f>
        <v>38708</v>
      </c>
      <c r="N2490" s="51">
        <v>6.22</v>
      </c>
      <c r="O2490" s="51">
        <v>0.5</v>
      </c>
      <c r="P2490" s="51">
        <v>6.0949999999999998</v>
      </c>
    </row>
    <row r="2491" spans="12:16">
      <c r="L2491" s="51" t="s">
        <v>2501</v>
      </c>
      <c r="M2491" s="25">
        <f>DATE(YEAR(OneWeekMtgRatesDataTable75[[#This Row],[asOf]]),MONTH(OneWeekMtgRatesDataTable75[[#This Row],[asOf]]),DAY(OneWeekMtgRatesDataTable75[[#This Row],[asOf]]))</f>
        <v>38707</v>
      </c>
      <c r="N2491" s="51">
        <v>6.26</v>
      </c>
      <c r="O2491" s="51">
        <v>0.6</v>
      </c>
      <c r="P2491" s="51">
        <v>6.16</v>
      </c>
    </row>
    <row r="2492" spans="12:16">
      <c r="L2492" s="51" t="s">
        <v>2502</v>
      </c>
      <c r="M2492" s="25">
        <f>DATE(YEAR(OneWeekMtgRatesDataTable75[[#This Row],[asOf]]),MONTH(OneWeekMtgRatesDataTable75[[#This Row],[asOf]]),DAY(OneWeekMtgRatesDataTable75[[#This Row],[asOf]]))</f>
        <v>38706</v>
      </c>
      <c r="N2492" s="51">
        <v>6.26</v>
      </c>
      <c r="O2492" s="51">
        <v>0.6</v>
      </c>
      <c r="P2492" s="51">
        <v>6.16</v>
      </c>
    </row>
    <row r="2493" spans="12:16">
      <c r="L2493" s="51" t="s">
        <v>2503</v>
      </c>
      <c r="M2493" s="25">
        <f>DATE(YEAR(OneWeekMtgRatesDataTable75[[#This Row],[asOf]]),MONTH(OneWeekMtgRatesDataTable75[[#This Row],[asOf]]),DAY(OneWeekMtgRatesDataTable75[[#This Row],[asOf]]))</f>
        <v>38705</v>
      </c>
      <c r="N2493" s="51">
        <v>6.26</v>
      </c>
      <c r="O2493" s="51">
        <v>0.6</v>
      </c>
      <c r="P2493" s="51">
        <v>6.16</v>
      </c>
    </row>
    <row r="2494" spans="12:16">
      <c r="L2494" s="51" t="s">
        <v>2504</v>
      </c>
      <c r="M2494" s="25">
        <f>DATE(YEAR(OneWeekMtgRatesDataTable75[[#This Row],[asOf]]),MONTH(OneWeekMtgRatesDataTable75[[#This Row],[asOf]]),DAY(OneWeekMtgRatesDataTable75[[#This Row],[asOf]]))</f>
        <v>38702</v>
      </c>
      <c r="N2494" s="51">
        <v>6.26</v>
      </c>
      <c r="O2494" s="51">
        <v>0.6</v>
      </c>
      <c r="P2494" s="51">
        <v>6.16</v>
      </c>
    </row>
    <row r="2495" spans="12:16">
      <c r="L2495" s="51" t="s">
        <v>2505</v>
      </c>
      <c r="M2495" s="25">
        <f>DATE(YEAR(OneWeekMtgRatesDataTable75[[#This Row],[asOf]]),MONTH(OneWeekMtgRatesDataTable75[[#This Row],[asOf]]),DAY(OneWeekMtgRatesDataTable75[[#This Row],[asOf]]))</f>
        <v>38701</v>
      </c>
      <c r="N2495" s="51">
        <v>6.26</v>
      </c>
      <c r="O2495" s="51">
        <v>0.6</v>
      </c>
      <c r="P2495" s="51">
        <v>6.16</v>
      </c>
    </row>
    <row r="2496" spans="12:16">
      <c r="L2496" s="51" t="s">
        <v>2506</v>
      </c>
      <c r="M2496" s="25">
        <f>DATE(YEAR(OneWeekMtgRatesDataTable75[[#This Row],[asOf]]),MONTH(OneWeekMtgRatesDataTable75[[#This Row],[asOf]]),DAY(OneWeekMtgRatesDataTable75[[#This Row],[asOf]]))</f>
        <v>38700</v>
      </c>
      <c r="N2496" s="51">
        <v>6.3</v>
      </c>
      <c r="O2496" s="51">
        <v>0.5</v>
      </c>
      <c r="P2496" s="51">
        <v>6.1749999999999998</v>
      </c>
    </row>
    <row r="2497" spans="12:16">
      <c r="L2497" s="51" t="s">
        <v>2507</v>
      </c>
      <c r="M2497" s="25">
        <f>DATE(YEAR(OneWeekMtgRatesDataTable75[[#This Row],[asOf]]),MONTH(OneWeekMtgRatesDataTable75[[#This Row],[asOf]]),DAY(OneWeekMtgRatesDataTable75[[#This Row],[asOf]]))</f>
        <v>38699</v>
      </c>
      <c r="N2497" s="51">
        <v>6.3</v>
      </c>
      <c r="O2497" s="51">
        <v>0.5</v>
      </c>
      <c r="P2497" s="51">
        <v>6.1749999999999998</v>
      </c>
    </row>
    <row r="2498" spans="12:16">
      <c r="L2498" s="51" t="s">
        <v>2508</v>
      </c>
      <c r="M2498" s="25">
        <f>DATE(YEAR(OneWeekMtgRatesDataTable75[[#This Row],[asOf]]),MONTH(OneWeekMtgRatesDataTable75[[#This Row],[asOf]]),DAY(OneWeekMtgRatesDataTable75[[#This Row],[asOf]]))</f>
        <v>38698</v>
      </c>
      <c r="N2498" s="51">
        <v>6.3</v>
      </c>
      <c r="O2498" s="51">
        <v>0.5</v>
      </c>
      <c r="P2498" s="51">
        <v>6.1749999999999998</v>
      </c>
    </row>
    <row r="2499" spans="12:16">
      <c r="L2499" s="51" t="s">
        <v>2509</v>
      </c>
      <c r="M2499" s="25">
        <f>DATE(YEAR(OneWeekMtgRatesDataTable75[[#This Row],[asOf]]),MONTH(OneWeekMtgRatesDataTable75[[#This Row],[asOf]]),DAY(OneWeekMtgRatesDataTable75[[#This Row],[asOf]]))</f>
        <v>38695</v>
      </c>
      <c r="N2499" s="51">
        <v>6.3</v>
      </c>
      <c r="O2499" s="51">
        <v>0.5</v>
      </c>
      <c r="P2499" s="51">
        <v>6.1749999999999998</v>
      </c>
    </row>
    <row r="2500" spans="12:16">
      <c r="L2500" s="51" t="s">
        <v>2510</v>
      </c>
      <c r="M2500" s="25">
        <f>DATE(YEAR(OneWeekMtgRatesDataTable75[[#This Row],[asOf]]),MONTH(OneWeekMtgRatesDataTable75[[#This Row],[asOf]]),DAY(OneWeekMtgRatesDataTable75[[#This Row],[asOf]]))</f>
        <v>38694</v>
      </c>
      <c r="N2500" s="51">
        <v>6.3</v>
      </c>
      <c r="O2500" s="51">
        <v>0.5</v>
      </c>
      <c r="P2500" s="51">
        <v>6.1749999999999998</v>
      </c>
    </row>
    <row r="2501" spans="12:16">
      <c r="L2501" s="51" t="s">
        <v>2511</v>
      </c>
      <c r="M2501" s="25">
        <f>DATE(YEAR(OneWeekMtgRatesDataTable75[[#This Row],[asOf]]),MONTH(OneWeekMtgRatesDataTable75[[#This Row],[asOf]]),DAY(OneWeekMtgRatesDataTable75[[#This Row],[asOf]]))</f>
        <v>38693</v>
      </c>
      <c r="N2501" s="51">
        <v>6.32</v>
      </c>
      <c r="O2501" s="51">
        <v>0.6</v>
      </c>
      <c r="P2501" s="51">
        <v>6.2200000000000006</v>
      </c>
    </row>
    <row r="2502" spans="12:16">
      <c r="L2502" s="51" t="s">
        <v>2512</v>
      </c>
      <c r="M2502" s="25">
        <f>DATE(YEAR(OneWeekMtgRatesDataTable75[[#This Row],[asOf]]),MONTH(OneWeekMtgRatesDataTable75[[#This Row],[asOf]]),DAY(OneWeekMtgRatesDataTable75[[#This Row],[asOf]]))</f>
        <v>38692</v>
      </c>
      <c r="N2502" s="51">
        <v>6.32</v>
      </c>
      <c r="O2502" s="51">
        <v>0.6</v>
      </c>
      <c r="P2502" s="51">
        <v>6.2200000000000006</v>
      </c>
    </row>
    <row r="2503" spans="12:16">
      <c r="L2503" s="51" t="s">
        <v>2513</v>
      </c>
      <c r="M2503" s="25">
        <f>DATE(YEAR(OneWeekMtgRatesDataTable75[[#This Row],[asOf]]),MONTH(OneWeekMtgRatesDataTable75[[#This Row],[asOf]]),DAY(OneWeekMtgRatesDataTable75[[#This Row],[asOf]]))</f>
        <v>38691</v>
      </c>
      <c r="N2503" s="51">
        <v>6.32</v>
      </c>
      <c r="O2503" s="51">
        <v>0.6</v>
      </c>
      <c r="P2503" s="51">
        <v>6.2200000000000006</v>
      </c>
    </row>
    <row r="2504" spans="12:16">
      <c r="L2504" s="51" t="s">
        <v>2514</v>
      </c>
      <c r="M2504" s="25">
        <f>DATE(YEAR(OneWeekMtgRatesDataTable75[[#This Row],[asOf]]),MONTH(OneWeekMtgRatesDataTable75[[#This Row],[asOf]]),DAY(OneWeekMtgRatesDataTable75[[#This Row],[asOf]]))</f>
        <v>38688</v>
      </c>
      <c r="N2504" s="51">
        <v>6.32</v>
      </c>
      <c r="O2504" s="51">
        <v>0.6</v>
      </c>
      <c r="P2504" s="51">
        <v>6.2200000000000006</v>
      </c>
    </row>
    <row r="2505" spans="12:16">
      <c r="L2505" s="51" t="s">
        <v>2515</v>
      </c>
      <c r="M2505" s="25">
        <f>DATE(YEAR(OneWeekMtgRatesDataTable75[[#This Row],[asOf]]),MONTH(OneWeekMtgRatesDataTable75[[#This Row],[asOf]]),DAY(OneWeekMtgRatesDataTable75[[#This Row],[asOf]]))</f>
        <v>38687</v>
      </c>
      <c r="N2505" s="51">
        <v>6.32</v>
      </c>
      <c r="O2505" s="51">
        <v>0.6</v>
      </c>
      <c r="P2505" s="51">
        <v>6.2200000000000006</v>
      </c>
    </row>
    <row r="2506" spans="12:16">
      <c r="L2506" s="51" t="s">
        <v>2516</v>
      </c>
      <c r="M2506" s="25">
        <f>DATE(YEAR(OneWeekMtgRatesDataTable75[[#This Row],[asOf]]),MONTH(OneWeekMtgRatesDataTable75[[#This Row],[asOf]]),DAY(OneWeekMtgRatesDataTable75[[#This Row],[asOf]]))</f>
        <v>38686</v>
      </c>
      <c r="N2506" s="51">
        <v>6.26</v>
      </c>
      <c r="O2506" s="51">
        <v>0.5</v>
      </c>
      <c r="P2506" s="51">
        <v>6.1349999999999998</v>
      </c>
    </row>
    <row r="2507" spans="12:16">
      <c r="L2507" s="51" t="s">
        <v>2517</v>
      </c>
      <c r="M2507" s="25">
        <f>DATE(YEAR(OneWeekMtgRatesDataTable75[[#This Row],[asOf]]),MONTH(OneWeekMtgRatesDataTable75[[#This Row],[asOf]]),DAY(OneWeekMtgRatesDataTable75[[#This Row],[asOf]]))</f>
        <v>38685</v>
      </c>
      <c r="N2507" s="51">
        <v>6.26</v>
      </c>
      <c r="O2507" s="51">
        <v>0.5</v>
      </c>
      <c r="P2507" s="51">
        <v>6.1349999999999998</v>
      </c>
    </row>
    <row r="2508" spans="12:16">
      <c r="L2508" s="51" t="s">
        <v>2518</v>
      </c>
      <c r="M2508" s="25">
        <f>DATE(YEAR(OneWeekMtgRatesDataTable75[[#This Row],[asOf]]),MONTH(OneWeekMtgRatesDataTable75[[#This Row],[asOf]]),DAY(OneWeekMtgRatesDataTable75[[#This Row],[asOf]]))</f>
        <v>38684</v>
      </c>
      <c r="N2508" s="51">
        <v>6.26</v>
      </c>
      <c r="O2508" s="51">
        <v>0.5</v>
      </c>
      <c r="P2508" s="51">
        <v>6.1349999999999998</v>
      </c>
    </row>
    <row r="2509" spans="12:16">
      <c r="L2509" s="51" t="s">
        <v>2519</v>
      </c>
      <c r="M2509" s="25">
        <f>DATE(YEAR(OneWeekMtgRatesDataTable75[[#This Row],[asOf]]),MONTH(OneWeekMtgRatesDataTable75[[#This Row],[asOf]]),DAY(OneWeekMtgRatesDataTable75[[#This Row],[asOf]]))</f>
        <v>38681</v>
      </c>
      <c r="N2509" s="51">
        <v>6.26</v>
      </c>
      <c r="O2509" s="51">
        <v>0.5</v>
      </c>
      <c r="P2509" s="51">
        <v>6.1349999999999998</v>
      </c>
    </row>
    <row r="2510" spans="12:16">
      <c r="L2510" s="51" t="s">
        <v>2520</v>
      </c>
      <c r="M2510" s="25">
        <f>DATE(YEAR(OneWeekMtgRatesDataTable75[[#This Row],[asOf]]),MONTH(OneWeekMtgRatesDataTable75[[#This Row],[asOf]]),DAY(OneWeekMtgRatesDataTable75[[#This Row],[asOf]]))</f>
        <v>38680</v>
      </c>
      <c r="N2510" s="51">
        <v>6.26</v>
      </c>
      <c r="O2510" s="51">
        <v>0.5</v>
      </c>
      <c r="P2510" s="51">
        <v>6.1349999999999998</v>
      </c>
    </row>
    <row r="2511" spans="12:16">
      <c r="L2511" s="51" t="s">
        <v>2521</v>
      </c>
      <c r="M2511" s="25">
        <f>DATE(YEAR(OneWeekMtgRatesDataTable75[[#This Row],[asOf]]),MONTH(OneWeekMtgRatesDataTable75[[#This Row],[asOf]]),DAY(OneWeekMtgRatesDataTable75[[#This Row],[asOf]]))</f>
        <v>38678</v>
      </c>
      <c r="N2511" s="51">
        <v>6.28</v>
      </c>
      <c r="O2511" s="51">
        <v>0.6</v>
      </c>
      <c r="P2511" s="51">
        <v>6.1800000000000006</v>
      </c>
    </row>
    <row r="2512" spans="12:16">
      <c r="L2512" s="51" t="s">
        <v>2522</v>
      </c>
      <c r="M2512" s="25">
        <f>DATE(YEAR(OneWeekMtgRatesDataTable75[[#This Row],[asOf]]),MONTH(OneWeekMtgRatesDataTable75[[#This Row],[asOf]]),DAY(OneWeekMtgRatesDataTable75[[#This Row],[asOf]]))</f>
        <v>38677</v>
      </c>
      <c r="N2512" s="51">
        <v>6.28</v>
      </c>
      <c r="O2512" s="51">
        <v>0.6</v>
      </c>
      <c r="P2512" s="51">
        <v>6.1800000000000006</v>
      </c>
    </row>
    <row r="2513" spans="12:16">
      <c r="L2513" s="51" t="s">
        <v>2523</v>
      </c>
      <c r="M2513" s="25">
        <f>DATE(YEAR(OneWeekMtgRatesDataTable75[[#This Row],[asOf]]),MONTH(OneWeekMtgRatesDataTable75[[#This Row],[asOf]]),DAY(OneWeekMtgRatesDataTable75[[#This Row],[asOf]]))</f>
        <v>38674</v>
      </c>
      <c r="N2513" s="51">
        <v>6.28</v>
      </c>
      <c r="O2513" s="51">
        <v>0.6</v>
      </c>
      <c r="P2513" s="51">
        <v>6.1800000000000006</v>
      </c>
    </row>
    <row r="2514" spans="12:16">
      <c r="L2514" s="51" t="s">
        <v>2524</v>
      </c>
      <c r="M2514" s="25">
        <f>DATE(YEAR(OneWeekMtgRatesDataTable75[[#This Row],[asOf]]),MONTH(OneWeekMtgRatesDataTable75[[#This Row],[asOf]]),DAY(OneWeekMtgRatesDataTable75[[#This Row],[asOf]]))</f>
        <v>38673</v>
      </c>
      <c r="N2514" s="51">
        <v>6.28</v>
      </c>
      <c r="O2514" s="51">
        <v>0.6</v>
      </c>
      <c r="P2514" s="51">
        <v>6.1800000000000006</v>
      </c>
    </row>
    <row r="2515" spans="12:16">
      <c r="L2515" s="51" t="s">
        <v>2525</v>
      </c>
      <c r="M2515" s="25">
        <f>DATE(YEAR(OneWeekMtgRatesDataTable75[[#This Row],[asOf]]),MONTH(OneWeekMtgRatesDataTable75[[#This Row],[asOf]]),DAY(OneWeekMtgRatesDataTable75[[#This Row],[asOf]]))</f>
        <v>38672</v>
      </c>
      <c r="N2515" s="51">
        <v>6.28</v>
      </c>
      <c r="O2515" s="51">
        <v>0.6</v>
      </c>
      <c r="P2515" s="51">
        <v>6.1800000000000006</v>
      </c>
    </row>
    <row r="2516" spans="12:16">
      <c r="L2516" s="51" t="s">
        <v>2525</v>
      </c>
      <c r="M2516" s="25">
        <f>DATE(YEAR(OneWeekMtgRatesDataTable75[[#This Row],[asOf]]),MONTH(OneWeekMtgRatesDataTable75[[#This Row],[asOf]]),DAY(OneWeekMtgRatesDataTable75[[#This Row],[asOf]]))</f>
        <v>38672</v>
      </c>
      <c r="N2516" s="51">
        <v>6.37</v>
      </c>
      <c r="O2516" s="51">
        <v>0.6</v>
      </c>
      <c r="P2516" s="51">
        <v>6.2700000000000005</v>
      </c>
    </row>
    <row r="2517" spans="12:16">
      <c r="L2517" s="51" t="s">
        <v>2526</v>
      </c>
      <c r="M2517" s="25">
        <f>DATE(YEAR(OneWeekMtgRatesDataTable75[[#This Row],[asOf]]),MONTH(OneWeekMtgRatesDataTable75[[#This Row],[asOf]]),DAY(OneWeekMtgRatesDataTable75[[#This Row],[asOf]]))</f>
        <v>38671</v>
      </c>
      <c r="N2517" s="51">
        <v>6.37</v>
      </c>
      <c r="O2517" s="51">
        <v>0.6</v>
      </c>
      <c r="P2517" s="51">
        <v>6.2700000000000005</v>
      </c>
    </row>
    <row r="2518" spans="12:16">
      <c r="L2518" s="51" t="s">
        <v>2527</v>
      </c>
      <c r="M2518" s="25">
        <f>DATE(YEAR(OneWeekMtgRatesDataTable75[[#This Row],[asOf]]),MONTH(OneWeekMtgRatesDataTable75[[#This Row],[asOf]]),DAY(OneWeekMtgRatesDataTable75[[#This Row],[asOf]]))</f>
        <v>38670</v>
      </c>
      <c r="N2518" s="51">
        <v>6.37</v>
      </c>
      <c r="O2518" s="51">
        <v>0.6</v>
      </c>
      <c r="P2518" s="51">
        <v>6.2700000000000005</v>
      </c>
    </row>
    <row r="2519" spans="12:16">
      <c r="L2519" s="51" t="s">
        <v>2528</v>
      </c>
      <c r="M2519" s="25">
        <f>DATE(YEAR(OneWeekMtgRatesDataTable75[[#This Row],[asOf]]),MONTH(OneWeekMtgRatesDataTable75[[#This Row],[asOf]]),DAY(OneWeekMtgRatesDataTable75[[#This Row],[asOf]]))</f>
        <v>38667</v>
      </c>
      <c r="N2519" s="51">
        <v>6.37</v>
      </c>
      <c r="O2519" s="51">
        <v>0.6</v>
      </c>
      <c r="P2519" s="51">
        <v>6.2700000000000005</v>
      </c>
    </row>
    <row r="2520" spans="12:16">
      <c r="L2520" s="51" t="s">
        <v>2529</v>
      </c>
      <c r="M2520" s="25">
        <f>DATE(YEAR(OneWeekMtgRatesDataTable75[[#This Row],[asOf]]),MONTH(OneWeekMtgRatesDataTable75[[#This Row],[asOf]]),DAY(OneWeekMtgRatesDataTable75[[#This Row],[asOf]]))</f>
        <v>38666</v>
      </c>
      <c r="N2520" s="51">
        <v>6.37</v>
      </c>
      <c r="O2520" s="51">
        <v>0.6</v>
      </c>
      <c r="P2520" s="51">
        <v>6.2700000000000005</v>
      </c>
    </row>
    <row r="2521" spans="12:16">
      <c r="L2521" s="51" t="s">
        <v>2530</v>
      </c>
      <c r="M2521" s="25">
        <f>DATE(YEAR(OneWeekMtgRatesDataTable75[[#This Row],[asOf]]),MONTH(OneWeekMtgRatesDataTable75[[#This Row],[asOf]]),DAY(OneWeekMtgRatesDataTable75[[#This Row],[asOf]]))</f>
        <v>38665</v>
      </c>
      <c r="N2521" s="51">
        <v>6.36</v>
      </c>
      <c r="O2521" s="51">
        <v>0.5</v>
      </c>
      <c r="P2521" s="51">
        <v>6.2350000000000003</v>
      </c>
    </row>
    <row r="2522" spans="12:16">
      <c r="L2522" s="51" t="s">
        <v>2531</v>
      </c>
      <c r="M2522" s="25">
        <f>DATE(YEAR(OneWeekMtgRatesDataTable75[[#This Row],[asOf]]),MONTH(OneWeekMtgRatesDataTable75[[#This Row],[asOf]]),DAY(OneWeekMtgRatesDataTable75[[#This Row],[asOf]]))</f>
        <v>38664</v>
      </c>
      <c r="N2522" s="51">
        <v>6.36</v>
      </c>
      <c r="O2522" s="51">
        <v>0.5</v>
      </c>
      <c r="P2522" s="51">
        <v>6.2350000000000003</v>
      </c>
    </row>
    <row r="2523" spans="12:16">
      <c r="L2523" s="51" t="s">
        <v>2532</v>
      </c>
      <c r="M2523" s="25">
        <f>DATE(YEAR(OneWeekMtgRatesDataTable75[[#This Row],[asOf]]),MONTH(OneWeekMtgRatesDataTable75[[#This Row],[asOf]]),DAY(OneWeekMtgRatesDataTable75[[#This Row],[asOf]]))</f>
        <v>38663</v>
      </c>
      <c r="N2523" s="51">
        <v>6.36</v>
      </c>
      <c r="O2523" s="51">
        <v>0.5</v>
      </c>
      <c r="P2523" s="51">
        <v>6.2350000000000003</v>
      </c>
    </row>
    <row r="2524" spans="12:16">
      <c r="L2524" s="51" t="s">
        <v>2533</v>
      </c>
      <c r="M2524" s="25">
        <f>DATE(YEAR(OneWeekMtgRatesDataTable75[[#This Row],[asOf]]),MONTH(OneWeekMtgRatesDataTable75[[#This Row],[asOf]]),DAY(OneWeekMtgRatesDataTable75[[#This Row],[asOf]]))</f>
        <v>38660</v>
      </c>
      <c r="N2524" s="51">
        <v>6.36</v>
      </c>
      <c r="O2524" s="51">
        <v>0.5</v>
      </c>
      <c r="P2524" s="51">
        <v>6.2350000000000003</v>
      </c>
    </row>
    <row r="2525" spans="12:16">
      <c r="L2525" s="51" t="s">
        <v>2534</v>
      </c>
      <c r="M2525" s="25">
        <f>DATE(YEAR(OneWeekMtgRatesDataTable75[[#This Row],[asOf]]),MONTH(OneWeekMtgRatesDataTable75[[#This Row],[asOf]]),DAY(OneWeekMtgRatesDataTable75[[#This Row],[asOf]]))</f>
        <v>38659</v>
      </c>
      <c r="N2525" s="51">
        <v>6.36</v>
      </c>
      <c r="O2525" s="51">
        <v>0.5</v>
      </c>
      <c r="P2525" s="51">
        <v>6.2350000000000003</v>
      </c>
    </row>
    <row r="2526" spans="12:16">
      <c r="L2526" s="51" t="s">
        <v>2535</v>
      </c>
      <c r="M2526" s="25">
        <f>DATE(YEAR(OneWeekMtgRatesDataTable75[[#This Row],[asOf]]),MONTH(OneWeekMtgRatesDataTable75[[#This Row],[asOf]]),DAY(OneWeekMtgRatesDataTable75[[#This Row],[asOf]]))</f>
        <v>38658</v>
      </c>
      <c r="N2526" s="51">
        <v>6.31</v>
      </c>
      <c r="O2526" s="51">
        <v>0.5</v>
      </c>
      <c r="P2526" s="51">
        <v>6.1849999999999996</v>
      </c>
    </row>
    <row r="2527" spans="12:16">
      <c r="L2527" s="51" t="s">
        <v>2536</v>
      </c>
      <c r="M2527" s="25">
        <f>DATE(YEAR(OneWeekMtgRatesDataTable75[[#This Row],[asOf]]),MONTH(OneWeekMtgRatesDataTable75[[#This Row],[asOf]]),DAY(OneWeekMtgRatesDataTable75[[#This Row],[asOf]]))</f>
        <v>38657</v>
      </c>
      <c r="N2527" s="51">
        <v>6.31</v>
      </c>
      <c r="O2527" s="51">
        <v>0.5</v>
      </c>
      <c r="P2527" s="51">
        <v>6.1849999999999996</v>
      </c>
    </row>
    <row r="2528" spans="12:16">
      <c r="L2528" s="51" t="s">
        <v>2537</v>
      </c>
      <c r="M2528" s="25">
        <f>DATE(YEAR(OneWeekMtgRatesDataTable75[[#This Row],[asOf]]),MONTH(OneWeekMtgRatesDataTable75[[#This Row],[asOf]]),DAY(OneWeekMtgRatesDataTable75[[#This Row],[asOf]]))</f>
        <v>38656</v>
      </c>
      <c r="N2528" s="51">
        <v>6.31</v>
      </c>
      <c r="O2528" s="51">
        <v>0.5</v>
      </c>
      <c r="P2528" s="51">
        <v>6.1849999999999996</v>
      </c>
    </row>
    <row r="2529" spans="12:16">
      <c r="L2529" s="51" t="s">
        <v>2538</v>
      </c>
      <c r="M2529" s="25">
        <f>DATE(YEAR(OneWeekMtgRatesDataTable75[[#This Row],[asOf]]),MONTH(OneWeekMtgRatesDataTable75[[#This Row],[asOf]]),DAY(OneWeekMtgRatesDataTable75[[#This Row],[asOf]]))</f>
        <v>38653</v>
      </c>
      <c r="N2529" s="51">
        <v>6.31</v>
      </c>
      <c r="O2529" s="51">
        <v>0.5</v>
      </c>
      <c r="P2529" s="51">
        <v>6.1849999999999996</v>
      </c>
    </row>
    <row r="2530" spans="12:16">
      <c r="L2530" s="51" t="s">
        <v>2539</v>
      </c>
      <c r="M2530" s="25">
        <f>DATE(YEAR(OneWeekMtgRatesDataTable75[[#This Row],[asOf]]),MONTH(OneWeekMtgRatesDataTable75[[#This Row],[asOf]]),DAY(OneWeekMtgRatesDataTable75[[#This Row],[asOf]]))</f>
        <v>38652</v>
      </c>
      <c r="N2530" s="51">
        <v>6.31</v>
      </c>
      <c r="O2530" s="51">
        <v>0.5</v>
      </c>
      <c r="P2530" s="51">
        <v>6.1849999999999996</v>
      </c>
    </row>
    <row r="2531" spans="12:16">
      <c r="L2531" s="51" t="s">
        <v>2540</v>
      </c>
      <c r="M2531" s="25">
        <f>DATE(YEAR(OneWeekMtgRatesDataTable75[[#This Row],[asOf]]),MONTH(OneWeekMtgRatesDataTable75[[#This Row],[asOf]]),DAY(OneWeekMtgRatesDataTable75[[#This Row],[asOf]]))</f>
        <v>38651</v>
      </c>
      <c r="N2531" s="51">
        <v>6.15</v>
      </c>
      <c r="O2531" s="51">
        <v>0.5</v>
      </c>
      <c r="P2531" s="51">
        <v>6.0250000000000004</v>
      </c>
    </row>
    <row r="2532" spans="12:16">
      <c r="L2532" s="51" t="s">
        <v>2541</v>
      </c>
      <c r="M2532" s="25">
        <f>DATE(YEAR(OneWeekMtgRatesDataTable75[[#This Row],[asOf]]),MONTH(OneWeekMtgRatesDataTable75[[#This Row],[asOf]]),DAY(OneWeekMtgRatesDataTable75[[#This Row],[asOf]]))</f>
        <v>38650</v>
      </c>
      <c r="N2532" s="51">
        <v>6.15</v>
      </c>
      <c r="O2532" s="51">
        <v>0.5</v>
      </c>
      <c r="P2532" s="51">
        <v>6.0250000000000004</v>
      </c>
    </row>
    <row r="2533" spans="12:16">
      <c r="L2533" s="51" t="s">
        <v>2542</v>
      </c>
      <c r="M2533" s="25">
        <f>DATE(YEAR(OneWeekMtgRatesDataTable75[[#This Row],[asOf]]),MONTH(OneWeekMtgRatesDataTable75[[#This Row],[asOf]]),DAY(OneWeekMtgRatesDataTable75[[#This Row],[asOf]]))</f>
        <v>38649</v>
      </c>
      <c r="N2533" s="51">
        <v>6.15</v>
      </c>
      <c r="O2533" s="51">
        <v>0.5</v>
      </c>
      <c r="P2533" s="51">
        <v>6.0250000000000004</v>
      </c>
    </row>
    <row r="2534" spans="12:16">
      <c r="L2534" s="51" t="s">
        <v>2543</v>
      </c>
      <c r="M2534" s="25">
        <f>DATE(YEAR(OneWeekMtgRatesDataTable75[[#This Row],[asOf]]),MONTH(OneWeekMtgRatesDataTable75[[#This Row],[asOf]]),DAY(OneWeekMtgRatesDataTable75[[#This Row],[asOf]]))</f>
        <v>38646</v>
      </c>
      <c r="N2534" s="51">
        <v>6.15</v>
      </c>
      <c r="O2534" s="51">
        <v>0.5</v>
      </c>
      <c r="P2534" s="51">
        <v>6.0250000000000004</v>
      </c>
    </row>
    <row r="2535" spans="12:16">
      <c r="L2535" s="51" t="s">
        <v>2544</v>
      </c>
      <c r="M2535" s="25">
        <f>DATE(YEAR(OneWeekMtgRatesDataTable75[[#This Row],[asOf]]),MONTH(OneWeekMtgRatesDataTable75[[#This Row],[asOf]]),DAY(OneWeekMtgRatesDataTable75[[#This Row],[asOf]]))</f>
        <v>38645</v>
      </c>
      <c r="N2535" s="51">
        <v>6.15</v>
      </c>
      <c r="O2535" s="51">
        <v>0.5</v>
      </c>
      <c r="P2535" s="51">
        <v>6.0250000000000004</v>
      </c>
    </row>
    <row r="2536" spans="12:16">
      <c r="L2536" s="51" t="s">
        <v>2545</v>
      </c>
      <c r="M2536" s="25">
        <f>DATE(YEAR(OneWeekMtgRatesDataTable75[[#This Row],[asOf]]),MONTH(OneWeekMtgRatesDataTable75[[#This Row],[asOf]]),DAY(OneWeekMtgRatesDataTable75[[#This Row],[asOf]]))</f>
        <v>38644</v>
      </c>
      <c r="N2536" s="51">
        <v>6.1</v>
      </c>
      <c r="O2536" s="51">
        <v>0.5</v>
      </c>
      <c r="P2536" s="51">
        <v>5.9749999999999996</v>
      </c>
    </row>
    <row r="2537" spans="12:16">
      <c r="L2537" s="51" t="s">
        <v>2546</v>
      </c>
      <c r="M2537" s="25">
        <f>DATE(YEAR(OneWeekMtgRatesDataTable75[[#This Row],[asOf]]),MONTH(OneWeekMtgRatesDataTable75[[#This Row],[asOf]]),DAY(OneWeekMtgRatesDataTable75[[#This Row],[asOf]]))</f>
        <v>38643</v>
      </c>
      <c r="N2537" s="51">
        <v>6.1</v>
      </c>
      <c r="O2537" s="51">
        <v>0.5</v>
      </c>
      <c r="P2537" s="51">
        <v>5.9749999999999996</v>
      </c>
    </row>
    <row r="2538" spans="12:16">
      <c r="L2538" s="51" t="s">
        <v>2547</v>
      </c>
      <c r="M2538" s="25">
        <f>DATE(YEAR(OneWeekMtgRatesDataTable75[[#This Row],[asOf]]),MONTH(OneWeekMtgRatesDataTable75[[#This Row],[asOf]]),DAY(OneWeekMtgRatesDataTable75[[#This Row],[asOf]]))</f>
        <v>38642</v>
      </c>
      <c r="N2538" s="51">
        <v>6.1</v>
      </c>
      <c r="O2538" s="51">
        <v>0.5</v>
      </c>
      <c r="P2538" s="51">
        <v>5.9749999999999996</v>
      </c>
    </row>
    <row r="2539" spans="12:16">
      <c r="L2539" s="51" t="s">
        <v>2548</v>
      </c>
      <c r="M2539" s="25">
        <f>DATE(YEAR(OneWeekMtgRatesDataTable75[[#This Row],[asOf]]),MONTH(OneWeekMtgRatesDataTable75[[#This Row],[asOf]]),DAY(OneWeekMtgRatesDataTable75[[#This Row],[asOf]]))</f>
        <v>38639</v>
      </c>
      <c r="N2539" s="51">
        <v>6.1</v>
      </c>
      <c r="O2539" s="51">
        <v>0.5</v>
      </c>
      <c r="P2539" s="51">
        <v>5.9749999999999996</v>
      </c>
    </row>
    <row r="2540" spans="12:16">
      <c r="L2540" s="51" t="s">
        <v>2549</v>
      </c>
      <c r="M2540" s="25">
        <f>DATE(YEAR(OneWeekMtgRatesDataTable75[[#This Row],[asOf]]),MONTH(OneWeekMtgRatesDataTable75[[#This Row],[asOf]]),DAY(OneWeekMtgRatesDataTable75[[#This Row],[asOf]]))</f>
        <v>38638</v>
      </c>
      <c r="N2540" s="51">
        <v>6.1</v>
      </c>
      <c r="O2540" s="51">
        <v>0.5</v>
      </c>
      <c r="P2540" s="51">
        <v>5.9749999999999996</v>
      </c>
    </row>
    <row r="2541" spans="12:16">
      <c r="L2541" s="51" t="s">
        <v>2550</v>
      </c>
      <c r="M2541" s="25">
        <f>DATE(YEAR(OneWeekMtgRatesDataTable75[[#This Row],[asOf]]),MONTH(OneWeekMtgRatesDataTable75[[#This Row],[asOf]]),DAY(OneWeekMtgRatesDataTable75[[#This Row],[asOf]]))</f>
        <v>38637</v>
      </c>
      <c r="N2541" s="51">
        <v>6.03</v>
      </c>
      <c r="O2541" s="51">
        <v>0.6</v>
      </c>
      <c r="P2541" s="51">
        <v>5.9300000000000006</v>
      </c>
    </row>
    <row r="2542" spans="12:16">
      <c r="L2542" s="51" t="s">
        <v>2551</v>
      </c>
      <c r="M2542" s="25">
        <f>DATE(YEAR(OneWeekMtgRatesDataTable75[[#This Row],[asOf]]),MONTH(OneWeekMtgRatesDataTable75[[#This Row],[asOf]]),DAY(OneWeekMtgRatesDataTable75[[#This Row],[asOf]]))</f>
        <v>38636</v>
      </c>
      <c r="N2542" s="51">
        <v>6.03</v>
      </c>
      <c r="O2542" s="51">
        <v>0.6</v>
      </c>
      <c r="P2542" s="51">
        <v>5.9300000000000006</v>
      </c>
    </row>
    <row r="2543" spans="12:16">
      <c r="L2543" s="51" t="s">
        <v>2552</v>
      </c>
      <c r="M2543" s="25">
        <f>DATE(YEAR(OneWeekMtgRatesDataTable75[[#This Row],[asOf]]),MONTH(OneWeekMtgRatesDataTable75[[#This Row],[asOf]]),DAY(OneWeekMtgRatesDataTable75[[#This Row],[asOf]]))</f>
        <v>38635</v>
      </c>
      <c r="N2543" s="51">
        <v>6.03</v>
      </c>
      <c r="O2543" s="51">
        <v>0.6</v>
      </c>
      <c r="P2543" s="51">
        <v>5.9300000000000006</v>
      </c>
    </row>
    <row r="2544" spans="12:16">
      <c r="L2544" s="51" t="s">
        <v>2553</v>
      </c>
      <c r="M2544" s="25">
        <f>DATE(YEAR(OneWeekMtgRatesDataTable75[[#This Row],[asOf]]),MONTH(OneWeekMtgRatesDataTable75[[#This Row],[asOf]]),DAY(OneWeekMtgRatesDataTable75[[#This Row],[asOf]]))</f>
        <v>38632</v>
      </c>
      <c r="N2544" s="51">
        <v>6.03</v>
      </c>
      <c r="O2544" s="51">
        <v>0.6</v>
      </c>
      <c r="P2544" s="51">
        <v>5.9300000000000006</v>
      </c>
    </row>
    <row r="2545" spans="12:16">
      <c r="L2545" s="51" t="s">
        <v>2554</v>
      </c>
      <c r="M2545" s="25">
        <f>DATE(YEAR(OneWeekMtgRatesDataTable75[[#This Row],[asOf]]),MONTH(OneWeekMtgRatesDataTable75[[#This Row],[asOf]]),DAY(OneWeekMtgRatesDataTable75[[#This Row],[asOf]]))</f>
        <v>38631</v>
      </c>
      <c r="N2545" s="51">
        <v>6.03</v>
      </c>
      <c r="O2545" s="51">
        <v>0.6</v>
      </c>
      <c r="P2545" s="51">
        <v>5.9300000000000006</v>
      </c>
    </row>
    <row r="2546" spans="12:16">
      <c r="L2546" s="51" t="s">
        <v>2555</v>
      </c>
      <c r="M2546" s="25">
        <f>DATE(YEAR(OneWeekMtgRatesDataTable75[[#This Row],[asOf]]),MONTH(OneWeekMtgRatesDataTable75[[#This Row],[asOf]]),DAY(OneWeekMtgRatesDataTable75[[#This Row],[asOf]]))</f>
        <v>38630</v>
      </c>
      <c r="N2546" s="51">
        <v>5.98</v>
      </c>
      <c r="O2546" s="51">
        <v>0.5</v>
      </c>
      <c r="P2546" s="51">
        <v>5.8550000000000004</v>
      </c>
    </row>
    <row r="2547" spans="12:16">
      <c r="L2547" s="51" t="s">
        <v>2556</v>
      </c>
      <c r="M2547" s="25">
        <f>DATE(YEAR(OneWeekMtgRatesDataTable75[[#This Row],[asOf]]),MONTH(OneWeekMtgRatesDataTable75[[#This Row],[asOf]]),DAY(OneWeekMtgRatesDataTable75[[#This Row],[asOf]]))</f>
        <v>38629</v>
      </c>
      <c r="N2547" s="51">
        <v>5.98</v>
      </c>
      <c r="O2547" s="51">
        <v>0.5</v>
      </c>
      <c r="P2547" s="51">
        <v>5.8550000000000004</v>
      </c>
    </row>
    <row r="2548" spans="12:16">
      <c r="L2548" s="51" t="s">
        <v>2557</v>
      </c>
      <c r="M2548" s="25">
        <f>DATE(YEAR(OneWeekMtgRatesDataTable75[[#This Row],[asOf]]),MONTH(OneWeekMtgRatesDataTable75[[#This Row],[asOf]]),DAY(OneWeekMtgRatesDataTable75[[#This Row],[asOf]]))</f>
        <v>38628</v>
      </c>
      <c r="N2548" s="51">
        <v>5.98</v>
      </c>
      <c r="O2548" s="51">
        <v>0.5</v>
      </c>
      <c r="P2548" s="51">
        <v>5.8550000000000004</v>
      </c>
    </row>
    <row r="2549" spans="12:16">
      <c r="L2549" s="51" t="s">
        <v>2558</v>
      </c>
      <c r="M2549" s="25">
        <f>DATE(YEAR(OneWeekMtgRatesDataTable75[[#This Row],[asOf]]),MONTH(OneWeekMtgRatesDataTable75[[#This Row],[asOf]]),DAY(OneWeekMtgRatesDataTable75[[#This Row],[asOf]]))</f>
        <v>38625</v>
      </c>
      <c r="N2549" s="51">
        <v>5.98</v>
      </c>
      <c r="O2549" s="51">
        <v>0.5</v>
      </c>
      <c r="P2549" s="51">
        <v>5.8550000000000004</v>
      </c>
    </row>
    <row r="2550" spans="12:16">
      <c r="L2550" s="51" t="s">
        <v>2559</v>
      </c>
      <c r="M2550" s="25">
        <f>DATE(YEAR(OneWeekMtgRatesDataTable75[[#This Row],[asOf]]),MONTH(OneWeekMtgRatesDataTable75[[#This Row],[asOf]]),DAY(OneWeekMtgRatesDataTable75[[#This Row],[asOf]]))</f>
        <v>38624</v>
      </c>
      <c r="N2550" s="51">
        <v>5.98</v>
      </c>
      <c r="O2550" s="51">
        <v>0.5</v>
      </c>
      <c r="P2550" s="51">
        <v>5.8550000000000004</v>
      </c>
    </row>
    <row r="2551" spans="12:16">
      <c r="L2551" s="51" t="s">
        <v>2560</v>
      </c>
      <c r="M2551" s="25">
        <f>DATE(YEAR(OneWeekMtgRatesDataTable75[[#This Row],[asOf]]),MONTH(OneWeekMtgRatesDataTable75[[#This Row],[asOf]]),DAY(OneWeekMtgRatesDataTable75[[#This Row],[asOf]]))</f>
        <v>38623</v>
      </c>
      <c r="N2551" s="51">
        <v>5.91</v>
      </c>
      <c r="O2551" s="51">
        <v>0.5</v>
      </c>
      <c r="P2551" s="51">
        <v>5.7850000000000001</v>
      </c>
    </row>
    <row r="2552" spans="12:16">
      <c r="L2552" s="51" t="s">
        <v>2561</v>
      </c>
      <c r="M2552" s="25">
        <f>DATE(YEAR(OneWeekMtgRatesDataTable75[[#This Row],[asOf]]),MONTH(OneWeekMtgRatesDataTable75[[#This Row],[asOf]]),DAY(OneWeekMtgRatesDataTable75[[#This Row],[asOf]]))</f>
        <v>38622</v>
      </c>
      <c r="N2552" s="51">
        <v>5.91</v>
      </c>
      <c r="O2552" s="51">
        <v>0.5</v>
      </c>
      <c r="P2552" s="51">
        <v>5.7850000000000001</v>
      </c>
    </row>
    <row r="2553" spans="12:16">
      <c r="L2553" s="51" t="s">
        <v>2562</v>
      </c>
      <c r="M2553" s="25">
        <f>DATE(YEAR(OneWeekMtgRatesDataTable75[[#This Row],[asOf]]),MONTH(OneWeekMtgRatesDataTable75[[#This Row],[asOf]]),DAY(OneWeekMtgRatesDataTable75[[#This Row],[asOf]]))</f>
        <v>38621</v>
      </c>
      <c r="N2553" s="51">
        <v>5.91</v>
      </c>
      <c r="O2553" s="51">
        <v>0.5</v>
      </c>
      <c r="P2553" s="51">
        <v>5.7850000000000001</v>
      </c>
    </row>
    <row r="2554" spans="12:16">
      <c r="L2554" s="51" t="s">
        <v>2563</v>
      </c>
      <c r="M2554" s="25">
        <f>DATE(YEAR(OneWeekMtgRatesDataTable75[[#This Row],[asOf]]),MONTH(OneWeekMtgRatesDataTable75[[#This Row],[asOf]]),DAY(OneWeekMtgRatesDataTable75[[#This Row],[asOf]]))</f>
        <v>38618</v>
      </c>
      <c r="N2554" s="51">
        <v>5.91</v>
      </c>
      <c r="O2554" s="51">
        <v>0.5</v>
      </c>
      <c r="P2554" s="51">
        <v>5.7850000000000001</v>
      </c>
    </row>
    <row r="2555" spans="12:16">
      <c r="L2555" s="51" t="s">
        <v>2564</v>
      </c>
      <c r="M2555" s="25">
        <f>DATE(YEAR(OneWeekMtgRatesDataTable75[[#This Row],[asOf]]),MONTH(OneWeekMtgRatesDataTable75[[#This Row],[asOf]]),DAY(OneWeekMtgRatesDataTable75[[#This Row],[asOf]]))</f>
        <v>38617</v>
      </c>
      <c r="N2555" s="51">
        <v>5.91</v>
      </c>
      <c r="O2555" s="51">
        <v>0.5</v>
      </c>
      <c r="P2555" s="51">
        <v>5.7850000000000001</v>
      </c>
    </row>
    <row r="2556" spans="12:16">
      <c r="L2556" s="51" t="s">
        <v>2565</v>
      </c>
      <c r="M2556" s="25">
        <f>DATE(YEAR(OneWeekMtgRatesDataTable75[[#This Row],[asOf]]),MONTH(OneWeekMtgRatesDataTable75[[#This Row],[asOf]]),DAY(OneWeekMtgRatesDataTable75[[#This Row],[asOf]]))</f>
        <v>38616</v>
      </c>
      <c r="N2556" s="51">
        <v>5.8</v>
      </c>
      <c r="O2556" s="51">
        <v>0.6</v>
      </c>
      <c r="P2556" s="51">
        <v>5.7</v>
      </c>
    </row>
    <row r="2557" spans="12:16">
      <c r="L2557" s="51" t="s">
        <v>2566</v>
      </c>
      <c r="M2557" s="25">
        <f>DATE(YEAR(OneWeekMtgRatesDataTable75[[#This Row],[asOf]]),MONTH(OneWeekMtgRatesDataTable75[[#This Row],[asOf]]),DAY(OneWeekMtgRatesDataTable75[[#This Row],[asOf]]))</f>
        <v>38615</v>
      </c>
      <c r="N2557" s="51">
        <v>5.8</v>
      </c>
      <c r="O2557" s="51">
        <v>0.6</v>
      </c>
      <c r="P2557" s="51">
        <v>5.7</v>
      </c>
    </row>
    <row r="2558" spans="12:16">
      <c r="L2558" s="51" t="s">
        <v>2567</v>
      </c>
      <c r="M2558" s="25">
        <f>DATE(YEAR(OneWeekMtgRatesDataTable75[[#This Row],[asOf]]),MONTH(OneWeekMtgRatesDataTable75[[#This Row],[asOf]]),DAY(OneWeekMtgRatesDataTable75[[#This Row],[asOf]]))</f>
        <v>38614</v>
      </c>
      <c r="N2558" s="51">
        <v>5.8</v>
      </c>
      <c r="O2558" s="51">
        <v>0.6</v>
      </c>
      <c r="P2558" s="51">
        <v>5.7</v>
      </c>
    </row>
    <row r="2559" spans="12:16">
      <c r="L2559" s="51" t="s">
        <v>2568</v>
      </c>
      <c r="M2559" s="25">
        <f>DATE(YEAR(OneWeekMtgRatesDataTable75[[#This Row],[asOf]]),MONTH(OneWeekMtgRatesDataTable75[[#This Row],[asOf]]),DAY(OneWeekMtgRatesDataTable75[[#This Row],[asOf]]))</f>
        <v>38611</v>
      </c>
      <c r="N2559" s="51">
        <v>5.8</v>
      </c>
      <c r="O2559" s="51">
        <v>0.6</v>
      </c>
      <c r="P2559" s="51">
        <v>5.7</v>
      </c>
    </row>
    <row r="2560" spans="12:16">
      <c r="L2560" s="51" t="s">
        <v>2569</v>
      </c>
      <c r="M2560" s="25">
        <f>DATE(YEAR(OneWeekMtgRatesDataTable75[[#This Row],[asOf]]),MONTH(OneWeekMtgRatesDataTable75[[#This Row],[asOf]]),DAY(OneWeekMtgRatesDataTable75[[#This Row],[asOf]]))</f>
        <v>38610</v>
      </c>
      <c r="N2560" s="51">
        <v>5.8</v>
      </c>
      <c r="O2560" s="51">
        <v>0.6</v>
      </c>
      <c r="P2560" s="51">
        <v>5.7</v>
      </c>
    </row>
    <row r="2561" spans="12:16">
      <c r="L2561" s="51" t="s">
        <v>2570</v>
      </c>
      <c r="M2561" s="25">
        <f>DATE(YEAR(OneWeekMtgRatesDataTable75[[#This Row],[asOf]]),MONTH(OneWeekMtgRatesDataTable75[[#This Row],[asOf]]),DAY(OneWeekMtgRatesDataTable75[[#This Row],[asOf]]))</f>
        <v>38609</v>
      </c>
      <c r="N2561" s="51">
        <v>5.74</v>
      </c>
      <c r="O2561" s="51">
        <v>0.6</v>
      </c>
      <c r="P2561" s="51">
        <v>5.6400000000000006</v>
      </c>
    </row>
    <row r="2562" spans="12:16">
      <c r="L2562" s="51" t="s">
        <v>2571</v>
      </c>
      <c r="M2562" s="25">
        <f>DATE(YEAR(OneWeekMtgRatesDataTable75[[#This Row],[asOf]]),MONTH(OneWeekMtgRatesDataTable75[[#This Row],[asOf]]),DAY(OneWeekMtgRatesDataTable75[[#This Row],[asOf]]))</f>
        <v>38608</v>
      </c>
      <c r="N2562" s="51">
        <v>5.74</v>
      </c>
      <c r="O2562" s="51">
        <v>0.6</v>
      </c>
      <c r="P2562" s="51">
        <v>5.6400000000000006</v>
      </c>
    </row>
    <row r="2563" spans="12:16">
      <c r="L2563" s="51" t="s">
        <v>2572</v>
      </c>
      <c r="M2563" s="25">
        <f>DATE(YEAR(OneWeekMtgRatesDataTable75[[#This Row],[asOf]]),MONTH(OneWeekMtgRatesDataTable75[[#This Row],[asOf]]),DAY(OneWeekMtgRatesDataTable75[[#This Row],[asOf]]))</f>
        <v>38607</v>
      </c>
      <c r="N2563" s="51">
        <v>5.74</v>
      </c>
      <c r="O2563" s="51">
        <v>0.6</v>
      </c>
      <c r="P2563" s="51">
        <v>5.6400000000000006</v>
      </c>
    </row>
    <row r="2564" spans="12:16">
      <c r="L2564" s="51" t="s">
        <v>2573</v>
      </c>
      <c r="M2564" s="25">
        <f>DATE(YEAR(OneWeekMtgRatesDataTable75[[#This Row],[asOf]]),MONTH(OneWeekMtgRatesDataTable75[[#This Row],[asOf]]),DAY(OneWeekMtgRatesDataTable75[[#This Row],[asOf]]))</f>
        <v>38604</v>
      </c>
      <c r="N2564" s="51">
        <v>5.74</v>
      </c>
      <c r="O2564" s="51">
        <v>0.6</v>
      </c>
      <c r="P2564" s="51">
        <v>5.6400000000000006</v>
      </c>
    </row>
    <row r="2565" spans="12:16">
      <c r="L2565" s="51" t="s">
        <v>2574</v>
      </c>
      <c r="M2565" s="25">
        <f>DATE(YEAR(OneWeekMtgRatesDataTable75[[#This Row],[asOf]]),MONTH(OneWeekMtgRatesDataTable75[[#This Row],[asOf]]),DAY(OneWeekMtgRatesDataTable75[[#This Row],[asOf]]))</f>
        <v>38603</v>
      </c>
      <c r="N2565" s="51">
        <v>5.74</v>
      </c>
      <c r="O2565" s="51">
        <v>0.6</v>
      </c>
      <c r="P2565" s="51">
        <v>5.6400000000000006</v>
      </c>
    </row>
    <row r="2566" spans="12:16">
      <c r="L2566" s="51" t="s">
        <v>2575</v>
      </c>
      <c r="M2566" s="25">
        <f>DATE(YEAR(OneWeekMtgRatesDataTable75[[#This Row],[asOf]]),MONTH(OneWeekMtgRatesDataTable75[[#This Row],[asOf]]),DAY(OneWeekMtgRatesDataTable75[[#This Row],[asOf]]))</f>
        <v>38602</v>
      </c>
      <c r="N2566" s="51">
        <v>5.71</v>
      </c>
      <c r="O2566" s="51">
        <v>0.6</v>
      </c>
      <c r="P2566" s="51">
        <v>5.61</v>
      </c>
    </row>
    <row r="2567" spans="12:16">
      <c r="L2567" s="51" t="s">
        <v>2576</v>
      </c>
      <c r="M2567" s="25">
        <f>DATE(YEAR(OneWeekMtgRatesDataTable75[[#This Row],[asOf]]),MONTH(OneWeekMtgRatesDataTable75[[#This Row],[asOf]]),DAY(OneWeekMtgRatesDataTable75[[#This Row],[asOf]]))</f>
        <v>38601</v>
      </c>
      <c r="N2567" s="51">
        <v>5.71</v>
      </c>
      <c r="O2567" s="51">
        <v>0.6</v>
      </c>
      <c r="P2567" s="51">
        <v>5.61</v>
      </c>
    </row>
    <row r="2568" spans="12:16">
      <c r="L2568" s="51" t="s">
        <v>2577</v>
      </c>
      <c r="M2568" s="25">
        <f>DATE(YEAR(OneWeekMtgRatesDataTable75[[#This Row],[asOf]]),MONTH(OneWeekMtgRatesDataTable75[[#This Row],[asOf]]),DAY(OneWeekMtgRatesDataTable75[[#This Row],[asOf]]))</f>
        <v>38600</v>
      </c>
      <c r="N2568" s="51">
        <v>5.71</v>
      </c>
      <c r="O2568" s="51">
        <v>0.6</v>
      </c>
      <c r="P2568" s="51">
        <v>5.61</v>
      </c>
    </row>
    <row r="2569" spans="12:16">
      <c r="L2569" s="51" t="s">
        <v>2578</v>
      </c>
      <c r="M2569" s="25">
        <f>DATE(YEAR(OneWeekMtgRatesDataTable75[[#This Row],[asOf]]),MONTH(OneWeekMtgRatesDataTable75[[#This Row],[asOf]]),DAY(OneWeekMtgRatesDataTable75[[#This Row],[asOf]]))</f>
        <v>38597</v>
      </c>
      <c r="N2569" s="51">
        <v>5.71</v>
      </c>
      <c r="O2569" s="51">
        <v>0.6</v>
      </c>
      <c r="P2569" s="51">
        <v>5.61</v>
      </c>
    </row>
    <row r="2570" spans="12:16">
      <c r="L2570" s="51" t="s">
        <v>2579</v>
      </c>
      <c r="M2570" s="25">
        <f>DATE(YEAR(OneWeekMtgRatesDataTable75[[#This Row],[asOf]]),MONTH(OneWeekMtgRatesDataTable75[[#This Row],[asOf]]),DAY(OneWeekMtgRatesDataTable75[[#This Row],[asOf]]))</f>
        <v>38596</v>
      </c>
      <c r="N2570" s="51">
        <v>5.71</v>
      </c>
      <c r="O2570" s="51">
        <v>0.6</v>
      </c>
      <c r="P2570" s="51">
        <v>5.61</v>
      </c>
    </row>
    <row r="2571" spans="12:16">
      <c r="L2571" s="51" t="s">
        <v>2580</v>
      </c>
      <c r="M2571" s="25">
        <f>DATE(YEAR(OneWeekMtgRatesDataTable75[[#This Row],[asOf]]),MONTH(OneWeekMtgRatesDataTable75[[#This Row],[asOf]]),DAY(OneWeekMtgRatesDataTable75[[#This Row],[asOf]]))</f>
        <v>38595</v>
      </c>
      <c r="N2571" s="51">
        <v>5.71</v>
      </c>
      <c r="O2571" s="51">
        <v>0.6</v>
      </c>
      <c r="P2571" s="51">
        <v>5.61</v>
      </c>
    </row>
    <row r="2572" spans="12:16">
      <c r="L2572" s="51" t="s">
        <v>2581</v>
      </c>
      <c r="M2572" s="25">
        <f>DATE(YEAR(OneWeekMtgRatesDataTable75[[#This Row],[asOf]]),MONTH(OneWeekMtgRatesDataTable75[[#This Row],[asOf]]),DAY(OneWeekMtgRatesDataTable75[[#This Row],[asOf]]))</f>
        <v>38594</v>
      </c>
      <c r="N2572" s="51">
        <v>5.71</v>
      </c>
      <c r="O2572" s="51">
        <v>0.6</v>
      </c>
      <c r="P2572" s="51">
        <v>5.61</v>
      </c>
    </row>
    <row r="2573" spans="12:16">
      <c r="L2573" s="51" t="s">
        <v>2582</v>
      </c>
      <c r="M2573" s="25">
        <f>DATE(YEAR(OneWeekMtgRatesDataTable75[[#This Row],[asOf]]),MONTH(OneWeekMtgRatesDataTable75[[#This Row],[asOf]]),DAY(OneWeekMtgRatesDataTable75[[#This Row],[asOf]]))</f>
        <v>38593</v>
      </c>
      <c r="N2573" s="51">
        <v>5.71</v>
      </c>
      <c r="O2573" s="51">
        <v>0.6</v>
      </c>
      <c r="P2573" s="51">
        <v>5.61</v>
      </c>
    </row>
    <row r="2574" spans="12:16">
      <c r="L2574" s="51" t="s">
        <v>2583</v>
      </c>
      <c r="M2574" s="25">
        <f>DATE(YEAR(OneWeekMtgRatesDataTable75[[#This Row],[asOf]]),MONTH(OneWeekMtgRatesDataTable75[[#This Row],[asOf]]),DAY(OneWeekMtgRatesDataTable75[[#This Row],[asOf]]))</f>
        <v>38590</v>
      </c>
      <c r="N2574" s="51">
        <v>5.71</v>
      </c>
      <c r="O2574" s="51">
        <v>0.6</v>
      </c>
      <c r="P2574" s="51">
        <v>5.61</v>
      </c>
    </row>
    <row r="2575" spans="12:16">
      <c r="L2575" s="51" t="s">
        <v>2584</v>
      </c>
      <c r="M2575" s="25">
        <f>DATE(YEAR(OneWeekMtgRatesDataTable75[[#This Row],[asOf]]),MONTH(OneWeekMtgRatesDataTable75[[#This Row],[asOf]]),DAY(OneWeekMtgRatesDataTable75[[#This Row],[asOf]]))</f>
        <v>38589</v>
      </c>
      <c r="N2575" s="51">
        <v>5.71</v>
      </c>
      <c r="O2575" s="51">
        <v>0.6</v>
      </c>
      <c r="P2575" s="51">
        <v>5.61</v>
      </c>
    </row>
    <row r="2576" spans="12:16">
      <c r="L2576" s="51" t="s">
        <v>2585</v>
      </c>
      <c r="M2576" s="25">
        <f>DATE(YEAR(OneWeekMtgRatesDataTable75[[#This Row],[asOf]]),MONTH(OneWeekMtgRatesDataTable75[[#This Row],[asOf]]),DAY(OneWeekMtgRatesDataTable75[[#This Row],[asOf]]))</f>
        <v>38588</v>
      </c>
      <c r="N2576" s="51">
        <v>5.77</v>
      </c>
      <c r="O2576" s="51">
        <v>0.5</v>
      </c>
      <c r="P2576" s="51">
        <v>5.6449999999999996</v>
      </c>
    </row>
    <row r="2577" spans="12:16">
      <c r="L2577" s="51" t="s">
        <v>2586</v>
      </c>
      <c r="M2577" s="25">
        <f>DATE(YEAR(OneWeekMtgRatesDataTable75[[#This Row],[asOf]]),MONTH(OneWeekMtgRatesDataTable75[[#This Row],[asOf]]),DAY(OneWeekMtgRatesDataTable75[[#This Row],[asOf]]))</f>
        <v>38587</v>
      </c>
      <c r="N2577" s="51">
        <v>5.77</v>
      </c>
      <c r="O2577" s="51">
        <v>0.5</v>
      </c>
      <c r="P2577" s="51">
        <v>5.6449999999999996</v>
      </c>
    </row>
    <row r="2578" spans="12:16">
      <c r="L2578" s="51" t="s">
        <v>2587</v>
      </c>
      <c r="M2578" s="25">
        <f>DATE(YEAR(OneWeekMtgRatesDataTable75[[#This Row],[asOf]]),MONTH(OneWeekMtgRatesDataTable75[[#This Row],[asOf]]),DAY(OneWeekMtgRatesDataTable75[[#This Row],[asOf]]))</f>
        <v>38586</v>
      </c>
      <c r="N2578" s="51">
        <v>5.77</v>
      </c>
      <c r="O2578" s="51">
        <v>0.5</v>
      </c>
      <c r="P2578" s="51">
        <v>5.6449999999999996</v>
      </c>
    </row>
    <row r="2579" spans="12:16">
      <c r="L2579" s="51" t="s">
        <v>2588</v>
      </c>
      <c r="M2579" s="25">
        <f>DATE(YEAR(OneWeekMtgRatesDataTable75[[#This Row],[asOf]]),MONTH(OneWeekMtgRatesDataTable75[[#This Row],[asOf]]),DAY(OneWeekMtgRatesDataTable75[[#This Row],[asOf]]))</f>
        <v>38583</v>
      </c>
      <c r="N2579" s="51">
        <v>5.77</v>
      </c>
      <c r="O2579" s="51">
        <v>0.5</v>
      </c>
      <c r="P2579" s="51">
        <v>5.6449999999999996</v>
      </c>
    </row>
    <row r="2580" spans="12:16">
      <c r="L2580" s="51" t="s">
        <v>2589</v>
      </c>
      <c r="M2580" s="25">
        <f>DATE(YEAR(OneWeekMtgRatesDataTable75[[#This Row],[asOf]]),MONTH(OneWeekMtgRatesDataTable75[[#This Row],[asOf]]),DAY(OneWeekMtgRatesDataTable75[[#This Row],[asOf]]))</f>
        <v>38582</v>
      </c>
      <c r="N2580" s="51">
        <v>5.77</v>
      </c>
      <c r="O2580" s="51">
        <v>0.5</v>
      </c>
      <c r="P2580" s="51">
        <v>5.6449999999999996</v>
      </c>
    </row>
    <row r="2581" spans="12:16">
      <c r="L2581" s="51" t="s">
        <v>2590</v>
      </c>
      <c r="M2581" s="25">
        <f>DATE(YEAR(OneWeekMtgRatesDataTable75[[#This Row],[asOf]]),MONTH(OneWeekMtgRatesDataTable75[[#This Row],[asOf]]),DAY(OneWeekMtgRatesDataTable75[[#This Row],[asOf]]))</f>
        <v>38581</v>
      </c>
      <c r="N2581" s="51">
        <v>5.8</v>
      </c>
      <c r="O2581" s="51">
        <v>0.5</v>
      </c>
      <c r="P2581" s="51">
        <v>5.6749999999999998</v>
      </c>
    </row>
    <row r="2582" spans="12:16">
      <c r="L2582" s="51" t="s">
        <v>2591</v>
      </c>
      <c r="M2582" s="25">
        <f>DATE(YEAR(OneWeekMtgRatesDataTable75[[#This Row],[asOf]]),MONTH(OneWeekMtgRatesDataTable75[[#This Row],[asOf]]),DAY(OneWeekMtgRatesDataTable75[[#This Row],[asOf]]))</f>
        <v>38580</v>
      </c>
      <c r="N2582" s="51">
        <v>5.8</v>
      </c>
      <c r="O2582" s="51">
        <v>0.5</v>
      </c>
      <c r="P2582" s="51">
        <v>5.6749999999999998</v>
      </c>
    </row>
    <row r="2583" spans="12:16">
      <c r="L2583" s="51" t="s">
        <v>2592</v>
      </c>
      <c r="M2583" s="25">
        <f>DATE(YEAR(OneWeekMtgRatesDataTable75[[#This Row],[asOf]]),MONTH(OneWeekMtgRatesDataTable75[[#This Row],[asOf]]),DAY(OneWeekMtgRatesDataTable75[[#This Row],[asOf]]))</f>
        <v>38579</v>
      </c>
      <c r="N2583" s="51">
        <v>5.8</v>
      </c>
      <c r="O2583" s="51">
        <v>0.5</v>
      </c>
      <c r="P2583" s="51">
        <v>5.6749999999999998</v>
      </c>
    </row>
    <row r="2584" spans="12:16">
      <c r="L2584" s="51" t="s">
        <v>2593</v>
      </c>
      <c r="M2584" s="25">
        <f>DATE(YEAR(OneWeekMtgRatesDataTable75[[#This Row],[asOf]]),MONTH(OneWeekMtgRatesDataTable75[[#This Row],[asOf]]),DAY(OneWeekMtgRatesDataTable75[[#This Row],[asOf]]))</f>
        <v>38576</v>
      </c>
      <c r="N2584" s="51">
        <v>5.8</v>
      </c>
      <c r="O2584" s="51">
        <v>0.5</v>
      </c>
      <c r="P2584" s="51">
        <v>5.6749999999999998</v>
      </c>
    </row>
    <row r="2585" spans="12:16">
      <c r="L2585" s="51" t="s">
        <v>2594</v>
      </c>
      <c r="M2585" s="25">
        <f>DATE(YEAR(OneWeekMtgRatesDataTable75[[#This Row],[asOf]]),MONTH(OneWeekMtgRatesDataTable75[[#This Row],[asOf]]),DAY(OneWeekMtgRatesDataTable75[[#This Row],[asOf]]))</f>
        <v>38575</v>
      </c>
      <c r="N2585" s="51">
        <v>5.8</v>
      </c>
      <c r="O2585" s="51">
        <v>0.5</v>
      </c>
      <c r="P2585" s="51">
        <v>5.6749999999999998</v>
      </c>
    </row>
    <row r="2586" spans="12:16">
      <c r="L2586" s="51" t="s">
        <v>2595</v>
      </c>
      <c r="M2586" s="25">
        <f>DATE(YEAR(OneWeekMtgRatesDataTable75[[#This Row],[asOf]]),MONTH(OneWeekMtgRatesDataTable75[[#This Row],[asOf]]),DAY(OneWeekMtgRatesDataTable75[[#This Row],[asOf]]))</f>
        <v>38574</v>
      </c>
      <c r="N2586" s="51">
        <v>5.89</v>
      </c>
      <c r="O2586" s="51">
        <v>0.5</v>
      </c>
      <c r="P2586" s="51">
        <v>5.7649999999999997</v>
      </c>
    </row>
    <row r="2587" spans="12:16">
      <c r="L2587" s="51" t="s">
        <v>2596</v>
      </c>
      <c r="M2587" s="25">
        <f>DATE(YEAR(OneWeekMtgRatesDataTable75[[#This Row],[asOf]]),MONTH(OneWeekMtgRatesDataTable75[[#This Row],[asOf]]),DAY(OneWeekMtgRatesDataTable75[[#This Row],[asOf]]))</f>
        <v>38573</v>
      </c>
      <c r="N2587" s="51">
        <v>5.89</v>
      </c>
      <c r="O2587" s="51">
        <v>0.5</v>
      </c>
      <c r="P2587" s="51">
        <v>5.7649999999999997</v>
      </c>
    </row>
    <row r="2588" spans="12:16">
      <c r="L2588" s="51" t="s">
        <v>2597</v>
      </c>
      <c r="M2588" s="25">
        <f>DATE(YEAR(OneWeekMtgRatesDataTable75[[#This Row],[asOf]]),MONTH(OneWeekMtgRatesDataTable75[[#This Row],[asOf]]),DAY(OneWeekMtgRatesDataTable75[[#This Row],[asOf]]))</f>
        <v>38572</v>
      </c>
      <c r="N2588" s="51">
        <v>5.89</v>
      </c>
      <c r="O2588" s="51">
        <v>0.5</v>
      </c>
      <c r="P2588" s="51">
        <v>5.7649999999999997</v>
      </c>
    </row>
    <row r="2589" spans="12:16">
      <c r="L2589" s="51" t="s">
        <v>2598</v>
      </c>
      <c r="M2589" s="25">
        <f>DATE(YEAR(OneWeekMtgRatesDataTable75[[#This Row],[asOf]]),MONTH(OneWeekMtgRatesDataTable75[[#This Row],[asOf]]),DAY(OneWeekMtgRatesDataTable75[[#This Row],[asOf]]))</f>
        <v>38569</v>
      </c>
      <c r="N2589" s="51">
        <v>5.89</v>
      </c>
      <c r="O2589" s="51">
        <v>0.5</v>
      </c>
      <c r="P2589" s="51">
        <v>5.7649999999999997</v>
      </c>
    </row>
    <row r="2590" spans="12:16">
      <c r="L2590" s="51" t="s">
        <v>2599</v>
      </c>
      <c r="M2590" s="25">
        <f>DATE(YEAR(OneWeekMtgRatesDataTable75[[#This Row],[asOf]]),MONTH(OneWeekMtgRatesDataTable75[[#This Row],[asOf]]),DAY(OneWeekMtgRatesDataTable75[[#This Row],[asOf]]))</f>
        <v>38568</v>
      </c>
      <c r="N2590" s="51">
        <v>5.89</v>
      </c>
      <c r="O2590" s="51">
        <v>0.5</v>
      </c>
      <c r="P2590" s="51">
        <v>5.7649999999999997</v>
      </c>
    </row>
    <row r="2591" spans="12:16">
      <c r="L2591" s="51" t="s">
        <v>2600</v>
      </c>
      <c r="M2591" s="25">
        <f>DATE(YEAR(OneWeekMtgRatesDataTable75[[#This Row],[asOf]]),MONTH(OneWeekMtgRatesDataTable75[[#This Row],[asOf]]),DAY(OneWeekMtgRatesDataTable75[[#This Row],[asOf]]))</f>
        <v>38567</v>
      </c>
      <c r="N2591" s="51">
        <v>5.82</v>
      </c>
      <c r="O2591" s="51">
        <v>0.6</v>
      </c>
      <c r="P2591" s="51">
        <v>5.7200000000000006</v>
      </c>
    </row>
    <row r="2592" spans="12:16">
      <c r="L2592" s="51" t="s">
        <v>2601</v>
      </c>
      <c r="M2592" s="25">
        <f>DATE(YEAR(OneWeekMtgRatesDataTable75[[#This Row],[asOf]]),MONTH(OneWeekMtgRatesDataTable75[[#This Row],[asOf]]),DAY(OneWeekMtgRatesDataTable75[[#This Row],[asOf]]))</f>
        <v>38566</v>
      </c>
      <c r="N2592" s="51">
        <v>5.82</v>
      </c>
      <c r="O2592" s="51">
        <v>0.6</v>
      </c>
      <c r="P2592" s="51">
        <v>5.7200000000000006</v>
      </c>
    </row>
    <row r="2593" spans="12:16">
      <c r="L2593" s="51" t="s">
        <v>2602</v>
      </c>
      <c r="M2593" s="25">
        <f>DATE(YEAR(OneWeekMtgRatesDataTable75[[#This Row],[asOf]]),MONTH(OneWeekMtgRatesDataTable75[[#This Row],[asOf]]),DAY(OneWeekMtgRatesDataTable75[[#This Row],[asOf]]))</f>
        <v>38565</v>
      </c>
      <c r="N2593" s="51">
        <v>5.82</v>
      </c>
      <c r="O2593" s="51">
        <v>0.6</v>
      </c>
      <c r="P2593" s="51">
        <v>5.7200000000000006</v>
      </c>
    </row>
    <row r="2594" spans="12:16">
      <c r="L2594" s="51" t="s">
        <v>2603</v>
      </c>
      <c r="M2594" s="25">
        <f>DATE(YEAR(OneWeekMtgRatesDataTable75[[#This Row],[asOf]]),MONTH(OneWeekMtgRatesDataTable75[[#This Row],[asOf]]),DAY(OneWeekMtgRatesDataTable75[[#This Row],[asOf]]))</f>
        <v>38562</v>
      </c>
      <c r="N2594" s="51">
        <v>5.82</v>
      </c>
      <c r="O2594" s="51">
        <v>0.6</v>
      </c>
      <c r="P2594" s="51">
        <v>5.7200000000000006</v>
      </c>
    </row>
    <row r="2595" spans="12:16">
      <c r="L2595" s="51" t="s">
        <v>2604</v>
      </c>
      <c r="M2595" s="25">
        <f>DATE(YEAR(OneWeekMtgRatesDataTable75[[#This Row],[asOf]]),MONTH(OneWeekMtgRatesDataTable75[[#This Row],[asOf]]),DAY(OneWeekMtgRatesDataTable75[[#This Row],[asOf]]))</f>
        <v>38561</v>
      </c>
      <c r="N2595" s="51">
        <v>5.82</v>
      </c>
      <c r="O2595" s="51">
        <v>0.6</v>
      </c>
      <c r="P2595" s="51">
        <v>5.7200000000000006</v>
      </c>
    </row>
    <row r="2596" spans="12:16">
      <c r="L2596" s="51" t="s">
        <v>2605</v>
      </c>
      <c r="M2596" s="25">
        <f>DATE(YEAR(OneWeekMtgRatesDataTable75[[#This Row],[asOf]]),MONTH(OneWeekMtgRatesDataTable75[[#This Row],[asOf]]),DAY(OneWeekMtgRatesDataTable75[[#This Row],[asOf]]))</f>
        <v>38560</v>
      </c>
      <c r="N2596" s="51">
        <v>5.77</v>
      </c>
      <c r="O2596" s="51">
        <v>0.5</v>
      </c>
      <c r="P2596" s="51">
        <v>5.6449999999999996</v>
      </c>
    </row>
    <row r="2597" spans="12:16">
      <c r="L2597" s="51" t="s">
        <v>2606</v>
      </c>
      <c r="M2597" s="25">
        <f>DATE(YEAR(OneWeekMtgRatesDataTable75[[#This Row],[asOf]]),MONTH(OneWeekMtgRatesDataTable75[[#This Row],[asOf]]),DAY(OneWeekMtgRatesDataTable75[[#This Row],[asOf]]))</f>
        <v>38559</v>
      </c>
      <c r="N2597" s="51">
        <v>5.77</v>
      </c>
      <c r="O2597" s="51">
        <v>0.5</v>
      </c>
      <c r="P2597" s="51">
        <v>5.6449999999999996</v>
      </c>
    </row>
    <row r="2598" spans="12:16">
      <c r="L2598" s="51" t="s">
        <v>2607</v>
      </c>
      <c r="M2598" s="25">
        <f>DATE(YEAR(OneWeekMtgRatesDataTable75[[#This Row],[asOf]]),MONTH(OneWeekMtgRatesDataTable75[[#This Row],[asOf]]),DAY(OneWeekMtgRatesDataTable75[[#This Row],[asOf]]))</f>
        <v>38558</v>
      </c>
      <c r="N2598" s="51">
        <v>5.77</v>
      </c>
      <c r="O2598" s="51">
        <v>0.5</v>
      </c>
      <c r="P2598" s="51">
        <v>5.6449999999999996</v>
      </c>
    </row>
    <row r="2599" spans="12:16">
      <c r="L2599" s="51" t="s">
        <v>2608</v>
      </c>
      <c r="M2599" s="25">
        <f>DATE(YEAR(OneWeekMtgRatesDataTable75[[#This Row],[asOf]]),MONTH(OneWeekMtgRatesDataTable75[[#This Row],[asOf]]),DAY(OneWeekMtgRatesDataTable75[[#This Row],[asOf]]))</f>
        <v>38555</v>
      </c>
      <c r="N2599" s="51">
        <v>5.77</v>
      </c>
      <c r="O2599" s="51">
        <v>0.5</v>
      </c>
      <c r="P2599" s="51">
        <v>5.6449999999999996</v>
      </c>
    </row>
    <row r="2600" spans="12:16">
      <c r="L2600" s="51" t="s">
        <v>2609</v>
      </c>
      <c r="M2600" s="25">
        <f>DATE(YEAR(OneWeekMtgRatesDataTable75[[#This Row],[asOf]]),MONTH(OneWeekMtgRatesDataTable75[[#This Row],[asOf]]),DAY(OneWeekMtgRatesDataTable75[[#This Row],[asOf]]))</f>
        <v>38554</v>
      </c>
      <c r="N2600" s="51">
        <v>5.77</v>
      </c>
      <c r="O2600" s="51">
        <v>0.5</v>
      </c>
      <c r="P2600" s="51">
        <v>5.6449999999999996</v>
      </c>
    </row>
    <row r="2601" spans="12:16">
      <c r="L2601" s="51" t="s">
        <v>2610</v>
      </c>
      <c r="M2601" s="25">
        <f>DATE(YEAR(OneWeekMtgRatesDataTable75[[#This Row],[asOf]]),MONTH(OneWeekMtgRatesDataTable75[[#This Row],[asOf]]),DAY(OneWeekMtgRatesDataTable75[[#This Row],[asOf]]))</f>
        <v>38553</v>
      </c>
      <c r="N2601" s="51">
        <v>5.73</v>
      </c>
      <c r="O2601" s="51">
        <v>0.4</v>
      </c>
      <c r="P2601" s="51">
        <v>5.58</v>
      </c>
    </row>
    <row r="2602" spans="12:16">
      <c r="L2602" s="51" t="s">
        <v>2611</v>
      </c>
      <c r="M2602" s="25">
        <f>DATE(YEAR(OneWeekMtgRatesDataTable75[[#This Row],[asOf]]),MONTH(OneWeekMtgRatesDataTable75[[#This Row],[asOf]]),DAY(OneWeekMtgRatesDataTable75[[#This Row],[asOf]]))</f>
        <v>38552</v>
      </c>
      <c r="N2602" s="51">
        <v>5.73</v>
      </c>
      <c r="O2602" s="51">
        <v>0.4</v>
      </c>
      <c r="P2602" s="51">
        <v>5.58</v>
      </c>
    </row>
    <row r="2603" spans="12:16">
      <c r="L2603" s="51" t="s">
        <v>2612</v>
      </c>
      <c r="M2603" s="25">
        <f>DATE(YEAR(OneWeekMtgRatesDataTable75[[#This Row],[asOf]]),MONTH(OneWeekMtgRatesDataTable75[[#This Row],[asOf]]),DAY(OneWeekMtgRatesDataTable75[[#This Row],[asOf]]))</f>
        <v>38551</v>
      </c>
      <c r="N2603" s="51">
        <v>5.73</v>
      </c>
      <c r="O2603" s="51">
        <v>0.4</v>
      </c>
      <c r="P2603" s="51">
        <v>5.58</v>
      </c>
    </row>
    <row r="2604" spans="12:16">
      <c r="L2604" s="51" t="s">
        <v>2613</v>
      </c>
      <c r="M2604" s="25">
        <f>DATE(YEAR(OneWeekMtgRatesDataTable75[[#This Row],[asOf]]),MONTH(OneWeekMtgRatesDataTable75[[#This Row],[asOf]]),DAY(OneWeekMtgRatesDataTable75[[#This Row],[asOf]]))</f>
        <v>38548</v>
      </c>
      <c r="N2604" s="51">
        <v>5.73</v>
      </c>
      <c r="O2604" s="51">
        <v>0.4</v>
      </c>
      <c r="P2604" s="51">
        <v>5.58</v>
      </c>
    </row>
    <row r="2605" spans="12:16">
      <c r="L2605" s="51" t="s">
        <v>2614</v>
      </c>
      <c r="M2605" s="25">
        <f>DATE(YEAR(OneWeekMtgRatesDataTable75[[#This Row],[asOf]]),MONTH(OneWeekMtgRatesDataTable75[[#This Row],[asOf]]),DAY(OneWeekMtgRatesDataTable75[[#This Row],[asOf]]))</f>
        <v>38547</v>
      </c>
      <c r="N2605" s="51">
        <v>5.73</v>
      </c>
      <c r="O2605" s="51">
        <v>0.4</v>
      </c>
      <c r="P2605" s="51">
        <v>5.58</v>
      </c>
    </row>
    <row r="2606" spans="12:16">
      <c r="L2606" s="51" t="s">
        <v>2615</v>
      </c>
      <c r="M2606" s="25">
        <f>DATE(YEAR(OneWeekMtgRatesDataTable75[[#This Row],[asOf]]),MONTH(OneWeekMtgRatesDataTable75[[#This Row],[asOf]]),DAY(OneWeekMtgRatesDataTable75[[#This Row],[asOf]]))</f>
        <v>38546</v>
      </c>
      <c r="N2606" s="51">
        <v>5.66</v>
      </c>
      <c r="O2606" s="51">
        <v>0.6</v>
      </c>
      <c r="P2606" s="51">
        <v>5.5600000000000005</v>
      </c>
    </row>
    <row r="2607" spans="12:16">
      <c r="L2607" s="51" t="s">
        <v>2616</v>
      </c>
      <c r="M2607" s="25">
        <f>DATE(YEAR(OneWeekMtgRatesDataTable75[[#This Row],[asOf]]),MONTH(OneWeekMtgRatesDataTable75[[#This Row],[asOf]]),DAY(OneWeekMtgRatesDataTable75[[#This Row],[asOf]]))</f>
        <v>38545</v>
      </c>
      <c r="N2607" s="51">
        <v>5.66</v>
      </c>
      <c r="O2607" s="51">
        <v>0.6</v>
      </c>
      <c r="P2607" s="51">
        <v>5.5600000000000005</v>
      </c>
    </row>
    <row r="2608" spans="12:16">
      <c r="L2608" s="51" t="s">
        <v>2617</v>
      </c>
      <c r="M2608" s="25">
        <f>DATE(YEAR(OneWeekMtgRatesDataTable75[[#This Row],[asOf]]),MONTH(OneWeekMtgRatesDataTable75[[#This Row],[asOf]]),DAY(OneWeekMtgRatesDataTable75[[#This Row],[asOf]]))</f>
        <v>38544</v>
      </c>
      <c r="N2608" s="51">
        <v>5.66</v>
      </c>
      <c r="O2608" s="51">
        <v>0.6</v>
      </c>
      <c r="P2608" s="51">
        <v>5.5600000000000005</v>
      </c>
    </row>
    <row r="2609" spans="12:16">
      <c r="L2609" s="51" t="s">
        <v>2618</v>
      </c>
      <c r="M2609" s="25">
        <f>DATE(YEAR(OneWeekMtgRatesDataTable75[[#This Row],[asOf]]),MONTH(OneWeekMtgRatesDataTable75[[#This Row],[asOf]]),DAY(OneWeekMtgRatesDataTable75[[#This Row],[asOf]]))</f>
        <v>38541</v>
      </c>
      <c r="N2609" s="51">
        <v>5.66</v>
      </c>
      <c r="O2609" s="51">
        <v>0.6</v>
      </c>
      <c r="P2609" s="51">
        <v>5.5600000000000005</v>
      </c>
    </row>
    <row r="2610" spans="12:16">
      <c r="L2610" s="51" t="s">
        <v>2619</v>
      </c>
      <c r="M2610" s="25">
        <f>DATE(YEAR(OneWeekMtgRatesDataTable75[[#This Row],[asOf]]),MONTH(OneWeekMtgRatesDataTable75[[#This Row],[asOf]]),DAY(OneWeekMtgRatesDataTable75[[#This Row],[asOf]]))</f>
        <v>38540</v>
      </c>
      <c r="N2610" s="51">
        <v>5.66</v>
      </c>
      <c r="O2610" s="51">
        <v>0.6</v>
      </c>
      <c r="P2610" s="51">
        <v>5.5600000000000005</v>
      </c>
    </row>
    <row r="2611" spans="12:16">
      <c r="L2611" s="51" t="s">
        <v>2620</v>
      </c>
      <c r="M2611" s="25">
        <f>DATE(YEAR(OneWeekMtgRatesDataTable75[[#This Row],[asOf]]),MONTH(OneWeekMtgRatesDataTable75[[#This Row],[asOf]]),DAY(OneWeekMtgRatesDataTable75[[#This Row],[asOf]]))</f>
        <v>38539</v>
      </c>
      <c r="N2611" s="51">
        <v>5.62</v>
      </c>
      <c r="O2611" s="51">
        <v>0.6</v>
      </c>
      <c r="P2611" s="51">
        <v>5.5200000000000005</v>
      </c>
    </row>
    <row r="2612" spans="12:16">
      <c r="L2612" s="51" t="s">
        <v>2621</v>
      </c>
      <c r="M2612" s="25">
        <f>DATE(YEAR(OneWeekMtgRatesDataTable75[[#This Row],[asOf]]),MONTH(OneWeekMtgRatesDataTable75[[#This Row],[asOf]]),DAY(OneWeekMtgRatesDataTable75[[#This Row],[asOf]]))</f>
        <v>38538</v>
      </c>
      <c r="N2612" s="51">
        <v>5.62</v>
      </c>
      <c r="O2612" s="51">
        <v>0.6</v>
      </c>
      <c r="P2612" s="51">
        <v>5.5200000000000005</v>
      </c>
    </row>
    <row r="2613" spans="12:16">
      <c r="L2613" s="51" t="s">
        <v>2622</v>
      </c>
      <c r="M2613" s="25">
        <f>DATE(YEAR(OneWeekMtgRatesDataTable75[[#This Row],[asOf]]),MONTH(OneWeekMtgRatesDataTable75[[#This Row],[asOf]]),DAY(OneWeekMtgRatesDataTable75[[#This Row],[asOf]]))</f>
        <v>38537</v>
      </c>
      <c r="N2613" s="51">
        <v>5.62</v>
      </c>
      <c r="O2613" s="51">
        <v>0.6</v>
      </c>
      <c r="P2613" s="51">
        <v>5.5200000000000005</v>
      </c>
    </row>
    <row r="2614" spans="12:16">
      <c r="L2614" s="51" t="s">
        <v>2623</v>
      </c>
      <c r="M2614" s="25">
        <f>DATE(YEAR(OneWeekMtgRatesDataTable75[[#This Row],[asOf]]),MONTH(OneWeekMtgRatesDataTable75[[#This Row],[asOf]]),DAY(OneWeekMtgRatesDataTable75[[#This Row],[asOf]]))</f>
        <v>38534</v>
      </c>
      <c r="N2614" s="51">
        <v>5.62</v>
      </c>
      <c r="O2614" s="51">
        <v>0.6</v>
      </c>
      <c r="P2614" s="51">
        <v>5.5200000000000005</v>
      </c>
    </row>
    <row r="2615" spans="12:16">
      <c r="L2615" s="51" t="s">
        <v>2624</v>
      </c>
      <c r="M2615" s="25">
        <f>DATE(YEAR(OneWeekMtgRatesDataTable75[[#This Row],[asOf]]),MONTH(OneWeekMtgRatesDataTable75[[#This Row],[asOf]]),DAY(OneWeekMtgRatesDataTable75[[#This Row],[asOf]]))</f>
        <v>38533</v>
      </c>
      <c r="N2615" s="51">
        <v>5.62</v>
      </c>
      <c r="O2615" s="51">
        <v>0.6</v>
      </c>
      <c r="P2615" s="51">
        <v>5.5200000000000005</v>
      </c>
    </row>
    <row r="2616" spans="12:16">
      <c r="L2616" s="51" t="s">
        <v>2625</v>
      </c>
      <c r="M2616" s="25">
        <f>DATE(YEAR(OneWeekMtgRatesDataTable75[[#This Row],[asOf]]),MONTH(OneWeekMtgRatesDataTable75[[#This Row],[asOf]]),DAY(OneWeekMtgRatesDataTable75[[#This Row],[asOf]]))</f>
        <v>38532</v>
      </c>
      <c r="N2616" s="51">
        <v>5.53</v>
      </c>
      <c r="O2616" s="51">
        <v>0.6</v>
      </c>
      <c r="P2616" s="51">
        <v>5.4300000000000006</v>
      </c>
    </row>
    <row r="2617" spans="12:16">
      <c r="L2617" s="51" t="s">
        <v>2626</v>
      </c>
      <c r="M2617" s="25">
        <f>DATE(YEAR(OneWeekMtgRatesDataTable75[[#This Row],[asOf]]),MONTH(OneWeekMtgRatesDataTable75[[#This Row],[asOf]]),DAY(OneWeekMtgRatesDataTable75[[#This Row],[asOf]]))</f>
        <v>38531</v>
      </c>
      <c r="N2617" s="51">
        <v>5.53</v>
      </c>
      <c r="O2617" s="51">
        <v>0.6</v>
      </c>
      <c r="P2617" s="51">
        <v>5.4300000000000006</v>
      </c>
    </row>
    <row r="2618" spans="12:16">
      <c r="L2618" s="51" t="s">
        <v>2627</v>
      </c>
      <c r="M2618" s="25">
        <f>DATE(YEAR(OneWeekMtgRatesDataTable75[[#This Row],[asOf]]),MONTH(OneWeekMtgRatesDataTable75[[#This Row],[asOf]]),DAY(OneWeekMtgRatesDataTable75[[#This Row],[asOf]]))</f>
        <v>38530</v>
      </c>
      <c r="N2618" s="51">
        <v>5.53</v>
      </c>
      <c r="O2618" s="51">
        <v>0.6</v>
      </c>
      <c r="P2618" s="51">
        <v>5.4300000000000006</v>
      </c>
    </row>
    <row r="2619" spans="12:16">
      <c r="L2619" s="51" t="s">
        <v>2628</v>
      </c>
      <c r="M2619" s="25">
        <f>DATE(YEAR(OneWeekMtgRatesDataTable75[[#This Row],[asOf]]),MONTH(OneWeekMtgRatesDataTable75[[#This Row],[asOf]]),DAY(OneWeekMtgRatesDataTable75[[#This Row],[asOf]]))</f>
        <v>38527</v>
      </c>
      <c r="N2619" s="51">
        <v>5.53</v>
      </c>
      <c r="O2619" s="51">
        <v>0.6</v>
      </c>
      <c r="P2619" s="51">
        <v>5.4300000000000006</v>
      </c>
    </row>
    <row r="2620" spans="12:16">
      <c r="L2620" s="51" t="s">
        <v>2629</v>
      </c>
      <c r="M2620" s="25">
        <f>DATE(YEAR(OneWeekMtgRatesDataTable75[[#This Row],[asOf]]),MONTH(OneWeekMtgRatesDataTable75[[#This Row],[asOf]]),DAY(OneWeekMtgRatesDataTable75[[#This Row],[asOf]]))</f>
        <v>38526</v>
      </c>
      <c r="N2620" s="51">
        <v>5.53</v>
      </c>
      <c r="O2620" s="51">
        <v>0.6</v>
      </c>
      <c r="P2620" s="51">
        <v>5.4300000000000006</v>
      </c>
    </row>
    <row r="2621" spans="12:16">
      <c r="L2621" s="51" t="s">
        <v>2630</v>
      </c>
      <c r="M2621" s="25">
        <f>DATE(YEAR(OneWeekMtgRatesDataTable75[[#This Row],[asOf]]),MONTH(OneWeekMtgRatesDataTable75[[#This Row],[asOf]]),DAY(OneWeekMtgRatesDataTable75[[#This Row],[asOf]]))</f>
        <v>38525</v>
      </c>
      <c r="N2621" s="51">
        <v>5.57</v>
      </c>
      <c r="O2621" s="51">
        <v>0.6</v>
      </c>
      <c r="P2621" s="51">
        <v>5.4700000000000006</v>
      </c>
    </row>
    <row r="2622" spans="12:16">
      <c r="L2622" s="51" t="s">
        <v>2631</v>
      </c>
      <c r="M2622" s="25">
        <f>DATE(YEAR(OneWeekMtgRatesDataTable75[[#This Row],[asOf]]),MONTH(OneWeekMtgRatesDataTable75[[#This Row],[asOf]]),DAY(OneWeekMtgRatesDataTable75[[#This Row],[asOf]]))</f>
        <v>38524</v>
      </c>
      <c r="N2622" s="51">
        <v>5.57</v>
      </c>
      <c r="O2622" s="51">
        <v>0.6</v>
      </c>
      <c r="P2622" s="51">
        <v>5.4700000000000006</v>
      </c>
    </row>
    <row r="2623" spans="12:16">
      <c r="L2623" s="51" t="s">
        <v>2632</v>
      </c>
      <c r="M2623" s="25">
        <f>DATE(YEAR(OneWeekMtgRatesDataTable75[[#This Row],[asOf]]),MONTH(OneWeekMtgRatesDataTable75[[#This Row],[asOf]]),DAY(OneWeekMtgRatesDataTable75[[#This Row],[asOf]]))</f>
        <v>38523</v>
      </c>
      <c r="N2623" s="51">
        <v>5.57</v>
      </c>
      <c r="O2623" s="51">
        <v>0.6</v>
      </c>
      <c r="P2623" s="51">
        <v>5.4700000000000006</v>
      </c>
    </row>
    <row r="2624" spans="12:16">
      <c r="L2624" s="51" t="s">
        <v>2633</v>
      </c>
      <c r="M2624" s="25">
        <f>DATE(YEAR(OneWeekMtgRatesDataTable75[[#This Row],[asOf]]),MONTH(OneWeekMtgRatesDataTable75[[#This Row],[asOf]]),DAY(OneWeekMtgRatesDataTable75[[#This Row],[asOf]]))</f>
        <v>38520</v>
      </c>
      <c r="N2624" s="51">
        <v>5.57</v>
      </c>
      <c r="O2624" s="51">
        <v>0.6</v>
      </c>
      <c r="P2624" s="51">
        <v>5.4700000000000006</v>
      </c>
    </row>
    <row r="2625" spans="12:16">
      <c r="L2625" s="51" t="s">
        <v>2634</v>
      </c>
      <c r="M2625" s="25">
        <f>DATE(YEAR(OneWeekMtgRatesDataTable75[[#This Row],[asOf]]),MONTH(OneWeekMtgRatesDataTable75[[#This Row],[asOf]]),DAY(OneWeekMtgRatesDataTable75[[#This Row],[asOf]]))</f>
        <v>38519</v>
      </c>
      <c r="N2625" s="51">
        <v>5.57</v>
      </c>
      <c r="O2625" s="51">
        <v>0.6</v>
      </c>
      <c r="P2625" s="51">
        <v>5.4700000000000006</v>
      </c>
    </row>
    <row r="2626" spans="12:16">
      <c r="L2626" s="51" t="s">
        <v>2635</v>
      </c>
      <c r="M2626" s="25">
        <f>DATE(YEAR(OneWeekMtgRatesDataTable75[[#This Row],[asOf]]),MONTH(OneWeekMtgRatesDataTable75[[#This Row],[asOf]]),DAY(OneWeekMtgRatesDataTable75[[#This Row],[asOf]]))</f>
        <v>38518</v>
      </c>
      <c r="N2626" s="51">
        <v>5.63</v>
      </c>
      <c r="O2626" s="51">
        <v>0.5</v>
      </c>
      <c r="P2626" s="51">
        <v>5.5049999999999999</v>
      </c>
    </row>
    <row r="2627" spans="12:16">
      <c r="L2627" s="51" t="s">
        <v>2636</v>
      </c>
      <c r="M2627" s="25">
        <f>DATE(YEAR(OneWeekMtgRatesDataTable75[[#This Row],[asOf]]),MONTH(OneWeekMtgRatesDataTable75[[#This Row],[asOf]]),DAY(OneWeekMtgRatesDataTable75[[#This Row],[asOf]]))</f>
        <v>38517</v>
      </c>
      <c r="N2627" s="51">
        <v>5.63</v>
      </c>
      <c r="O2627" s="51">
        <v>0.5</v>
      </c>
      <c r="P2627" s="51">
        <v>5.5049999999999999</v>
      </c>
    </row>
    <row r="2628" spans="12:16">
      <c r="L2628" s="51" t="s">
        <v>2637</v>
      </c>
      <c r="M2628" s="25">
        <f>DATE(YEAR(OneWeekMtgRatesDataTable75[[#This Row],[asOf]]),MONTH(OneWeekMtgRatesDataTable75[[#This Row],[asOf]]),DAY(OneWeekMtgRatesDataTable75[[#This Row],[asOf]]))</f>
        <v>38516</v>
      </c>
      <c r="N2628" s="51">
        <v>5.63</v>
      </c>
      <c r="O2628" s="51">
        <v>0.5</v>
      </c>
      <c r="P2628" s="51">
        <v>5.5049999999999999</v>
      </c>
    </row>
    <row r="2629" spans="12:16">
      <c r="L2629" s="51" t="s">
        <v>2638</v>
      </c>
      <c r="M2629" s="25">
        <f>DATE(YEAR(OneWeekMtgRatesDataTable75[[#This Row],[asOf]]),MONTH(OneWeekMtgRatesDataTable75[[#This Row],[asOf]]),DAY(OneWeekMtgRatesDataTable75[[#This Row],[asOf]]))</f>
        <v>38513</v>
      </c>
      <c r="N2629" s="51">
        <v>5.63</v>
      </c>
      <c r="O2629" s="51">
        <v>0.5</v>
      </c>
      <c r="P2629" s="51">
        <v>5.5049999999999999</v>
      </c>
    </row>
    <row r="2630" spans="12:16">
      <c r="L2630" s="51" t="s">
        <v>2639</v>
      </c>
      <c r="M2630" s="25">
        <f>DATE(YEAR(OneWeekMtgRatesDataTable75[[#This Row],[asOf]]),MONTH(OneWeekMtgRatesDataTable75[[#This Row],[asOf]]),DAY(OneWeekMtgRatesDataTable75[[#This Row],[asOf]]))</f>
        <v>38512</v>
      </c>
      <c r="N2630" s="51">
        <v>5.63</v>
      </c>
      <c r="O2630" s="51">
        <v>0.5</v>
      </c>
      <c r="P2630" s="51">
        <v>5.5049999999999999</v>
      </c>
    </row>
    <row r="2631" spans="12:16">
      <c r="L2631" s="51" t="s">
        <v>2640</v>
      </c>
      <c r="M2631" s="25">
        <f>DATE(YEAR(OneWeekMtgRatesDataTable75[[#This Row],[asOf]]),MONTH(OneWeekMtgRatesDataTable75[[#This Row],[asOf]]),DAY(OneWeekMtgRatesDataTable75[[#This Row],[asOf]]))</f>
        <v>38511</v>
      </c>
      <c r="N2631" s="51">
        <v>5.56</v>
      </c>
      <c r="O2631" s="51">
        <v>0.6</v>
      </c>
      <c r="P2631" s="51">
        <v>5.46</v>
      </c>
    </row>
    <row r="2632" spans="12:16">
      <c r="L2632" s="51" t="s">
        <v>2641</v>
      </c>
      <c r="M2632" s="25">
        <f>DATE(YEAR(OneWeekMtgRatesDataTable75[[#This Row],[asOf]]),MONTH(OneWeekMtgRatesDataTable75[[#This Row],[asOf]]),DAY(OneWeekMtgRatesDataTable75[[#This Row],[asOf]]))</f>
        <v>38510</v>
      </c>
      <c r="N2632" s="51">
        <v>5.56</v>
      </c>
      <c r="O2632" s="51">
        <v>0.6</v>
      </c>
      <c r="P2632" s="51">
        <v>5.46</v>
      </c>
    </row>
    <row r="2633" spans="12:16">
      <c r="L2633" s="51" t="s">
        <v>2642</v>
      </c>
      <c r="M2633" s="25">
        <f>DATE(YEAR(OneWeekMtgRatesDataTable75[[#This Row],[asOf]]),MONTH(OneWeekMtgRatesDataTable75[[#This Row],[asOf]]),DAY(OneWeekMtgRatesDataTable75[[#This Row],[asOf]]))</f>
        <v>38509</v>
      </c>
      <c r="N2633" s="51">
        <v>5.56</v>
      </c>
      <c r="O2633" s="51">
        <v>0.6</v>
      </c>
      <c r="P2633" s="51">
        <v>5.46</v>
      </c>
    </row>
    <row r="2634" spans="12:16">
      <c r="L2634" s="51" t="s">
        <v>2643</v>
      </c>
      <c r="M2634" s="25">
        <f>DATE(YEAR(OneWeekMtgRatesDataTable75[[#This Row],[asOf]]),MONTH(OneWeekMtgRatesDataTable75[[#This Row],[asOf]]),DAY(OneWeekMtgRatesDataTable75[[#This Row],[asOf]]))</f>
        <v>38506</v>
      </c>
      <c r="N2634" s="51">
        <v>5.56</v>
      </c>
      <c r="O2634" s="51">
        <v>0.6</v>
      </c>
      <c r="P2634" s="51">
        <v>5.46</v>
      </c>
    </row>
    <row r="2635" spans="12:16">
      <c r="L2635" s="51" t="s">
        <v>2644</v>
      </c>
      <c r="M2635" s="25">
        <f>DATE(YEAR(OneWeekMtgRatesDataTable75[[#This Row],[asOf]]),MONTH(OneWeekMtgRatesDataTable75[[#This Row],[asOf]]),DAY(OneWeekMtgRatesDataTable75[[#This Row],[asOf]]))</f>
        <v>38505</v>
      </c>
      <c r="N2635" s="51">
        <v>5.56</v>
      </c>
      <c r="O2635" s="51">
        <v>0.6</v>
      </c>
      <c r="P2635" s="51">
        <v>5.46</v>
      </c>
    </row>
    <row r="2636" spans="12:16">
      <c r="L2636" s="51" t="s">
        <v>2645</v>
      </c>
      <c r="M2636" s="25">
        <f>DATE(YEAR(OneWeekMtgRatesDataTable75[[#This Row],[asOf]]),MONTH(OneWeekMtgRatesDataTable75[[#This Row],[asOf]]),DAY(OneWeekMtgRatesDataTable75[[#This Row],[asOf]]))</f>
        <v>38504</v>
      </c>
      <c r="N2636" s="51">
        <v>5.62</v>
      </c>
      <c r="O2636" s="51">
        <v>0.6</v>
      </c>
      <c r="P2636" s="51">
        <v>5.5200000000000005</v>
      </c>
    </row>
    <row r="2637" spans="12:16">
      <c r="L2637" s="51" t="s">
        <v>2646</v>
      </c>
      <c r="M2637" s="25">
        <f>DATE(YEAR(OneWeekMtgRatesDataTable75[[#This Row],[asOf]]),MONTH(OneWeekMtgRatesDataTable75[[#This Row],[asOf]]),DAY(OneWeekMtgRatesDataTable75[[#This Row],[asOf]]))</f>
        <v>38503</v>
      </c>
      <c r="N2637" s="51">
        <v>5.62</v>
      </c>
      <c r="O2637" s="51">
        <v>0.6</v>
      </c>
      <c r="P2637" s="51">
        <v>5.5200000000000005</v>
      </c>
    </row>
    <row r="2638" spans="12:16">
      <c r="L2638" s="51" t="s">
        <v>2647</v>
      </c>
      <c r="M2638" s="25">
        <f>DATE(YEAR(OneWeekMtgRatesDataTable75[[#This Row],[asOf]]),MONTH(OneWeekMtgRatesDataTable75[[#This Row],[asOf]]),DAY(OneWeekMtgRatesDataTable75[[#This Row],[asOf]]))</f>
        <v>38502</v>
      </c>
      <c r="N2638" s="51">
        <v>5.62</v>
      </c>
      <c r="O2638" s="51">
        <v>0.6</v>
      </c>
      <c r="P2638" s="51">
        <v>5.5200000000000005</v>
      </c>
    </row>
    <row r="2639" spans="12:16">
      <c r="L2639" s="51" t="s">
        <v>2648</v>
      </c>
      <c r="M2639" s="25">
        <f>DATE(YEAR(OneWeekMtgRatesDataTable75[[#This Row],[asOf]]),MONTH(OneWeekMtgRatesDataTable75[[#This Row],[asOf]]),DAY(OneWeekMtgRatesDataTable75[[#This Row],[asOf]]))</f>
        <v>38499</v>
      </c>
      <c r="N2639" s="51">
        <v>5.62</v>
      </c>
      <c r="O2639" s="51">
        <v>0.6</v>
      </c>
      <c r="P2639" s="51">
        <v>5.5200000000000005</v>
      </c>
    </row>
    <row r="2640" spans="12:16">
      <c r="L2640" s="51" t="s">
        <v>2649</v>
      </c>
      <c r="M2640" s="25">
        <f>DATE(YEAR(OneWeekMtgRatesDataTable75[[#This Row],[asOf]]),MONTH(OneWeekMtgRatesDataTable75[[#This Row],[asOf]]),DAY(OneWeekMtgRatesDataTable75[[#This Row],[asOf]]))</f>
        <v>38498</v>
      </c>
      <c r="N2640" s="51">
        <v>5.62</v>
      </c>
      <c r="O2640" s="51">
        <v>0.6</v>
      </c>
      <c r="P2640" s="51">
        <v>5.5200000000000005</v>
      </c>
    </row>
    <row r="2641" spans="12:16">
      <c r="L2641" s="51" t="s">
        <v>2650</v>
      </c>
      <c r="M2641" s="25">
        <f>DATE(YEAR(OneWeekMtgRatesDataTable75[[#This Row],[asOf]]),MONTH(OneWeekMtgRatesDataTable75[[#This Row],[asOf]]),DAY(OneWeekMtgRatesDataTable75[[#This Row],[asOf]]))</f>
        <v>38497</v>
      </c>
      <c r="N2641" s="51">
        <v>5.65</v>
      </c>
      <c r="O2641" s="51">
        <v>0.6</v>
      </c>
      <c r="P2641" s="51">
        <v>5.5500000000000007</v>
      </c>
    </row>
    <row r="2642" spans="12:16">
      <c r="L2642" s="51" t="s">
        <v>2651</v>
      </c>
      <c r="M2642" s="25">
        <f>DATE(YEAR(OneWeekMtgRatesDataTable75[[#This Row],[asOf]]),MONTH(OneWeekMtgRatesDataTable75[[#This Row],[asOf]]),DAY(OneWeekMtgRatesDataTable75[[#This Row],[asOf]]))</f>
        <v>38496</v>
      </c>
      <c r="N2642" s="51">
        <v>5.65</v>
      </c>
      <c r="O2642" s="51">
        <v>0.6</v>
      </c>
      <c r="P2642" s="51">
        <v>5.5500000000000007</v>
      </c>
    </row>
    <row r="2643" spans="12:16">
      <c r="L2643" s="51" t="s">
        <v>2652</v>
      </c>
      <c r="M2643" s="25">
        <f>DATE(YEAR(OneWeekMtgRatesDataTable75[[#This Row],[asOf]]),MONTH(OneWeekMtgRatesDataTable75[[#This Row],[asOf]]),DAY(OneWeekMtgRatesDataTable75[[#This Row],[asOf]]))</f>
        <v>38495</v>
      </c>
      <c r="N2643" s="51">
        <v>5.65</v>
      </c>
      <c r="O2643" s="51">
        <v>0.6</v>
      </c>
      <c r="P2643" s="51">
        <v>5.5500000000000007</v>
      </c>
    </row>
    <row r="2644" spans="12:16">
      <c r="L2644" s="51" t="s">
        <v>2653</v>
      </c>
      <c r="M2644" s="25">
        <f>DATE(YEAR(OneWeekMtgRatesDataTable75[[#This Row],[asOf]]),MONTH(OneWeekMtgRatesDataTable75[[#This Row],[asOf]]),DAY(OneWeekMtgRatesDataTable75[[#This Row],[asOf]]))</f>
        <v>38492</v>
      </c>
      <c r="N2644" s="51">
        <v>5.65</v>
      </c>
      <c r="O2644" s="51">
        <v>0.6</v>
      </c>
      <c r="P2644" s="51">
        <v>5.5500000000000007</v>
      </c>
    </row>
    <row r="2645" spans="12:16">
      <c r="L2645" s="51" t="s">
        <v>2654</v>
      </c>
      <c r="M2645" s="25">
        <f>DATE(YEAR(OneWeekMtgRatesDataTable75[[#This Row],[asOf]]),MONTH(OneWeekMtgRatesDataTable75[[#This Row],[asOf]]),DAY(OneWeekMtgRatesDataTable75[[#This Row],[asOf]]))</f>
        <v>38491</v>
      </c>
      <c r="N2645" s="51">
        <v>5.65</v>
      </c>
      <c r="O2645" s="51">
        <v>0.6</v>
      </c>
      <c r="P2645" s="51">
        <v>5.5500000000000007</v>
      </c>
    </row>
    <row r="2646" spans="12:16">
      <c r="L2646" s="51" t="s">
        <v>2655</v>
      </c>
      <c r="M2646" s="25">
        <f>DATE(YEAR(OneWeekMtgRatesDataTable75[[#This Row],[asOf]]),MONTH(OneWeekMtgRatesDataTable75[[#This Row],[asOf]]),DAY(OneWeekMtgRatesDataTable75[[#This Row],[asOf]]))</f>
        <v>38490</v>
      </c>
      <c r="N2646" s="51">
        <v>5.71</v>
      </c>
      <c r="O2646" s="51">
        <v>0.7</v>
      </c>
      <c r="P2646" s="51">
        <v>5.6349999999999998</v>
      </c>
    </row>
    <row r="2647" spans="12:16">
      <c r="L2647" s="51" t="s">
        <v>2656</v>
      </c>
      <c r="M2647" s="25">
        <f>DATE(YEAR(OneWeekMtgRatesDataTable75[[#This Row],[asOf]]),MONTH(OneWeekMtgRatesDataTable75[[#This Row],[asOf]]),DAY(OneWeekMtgRatesDataTable75[[#This Row],[asOf]]))</f>
        <v>38489</v>
      </c>
      <c r="N2647" s="51">
        <v>5.71</v>
      </c>
      <c r="O2647" s="51">
        <v>0.7</v>
      </c>
      <c r="P2647" s="51">
        <v>5.6349999999999998</v>
      </c>
    </row>
    <row r="2648" spans="12:16">
      <c r="L2648" s="51" t="s">
        <v>2657</v>
      </c>
      <c r="M2648" s="25">
        <f>DATE(YEAR(OneWeekMtgRatesDataTable75[[#This Row],[asOf]]),MONTH(OneWeekMtgRatesDataTable75[[#This Row],[asOf]]),DAY(OneWeekMtgRatesDataTable75[[#This Row],[asOf]]))</f>
        <v>38488</v>
      </c>
      <c r="N2648" s="51">
        <v>5.71</v>
      </c>
      <c r="O2648" s="51">
        <v>0.7</v>
      </c>
      <c r="P2648" s="51">
        <v>5.6349999999999998</v>
      </c>
    </row>
    <row r="2649" spans="12:16">
      <c r="L2649" s="51" t="s">
        <v>2658</v>
      </c>
      <c r="M2649" s="25">
        <f>DATE(YEAR(OneWeekMtgRatesDataTable75[[#This Row],[asOf]]),MONTH(OneWeekMtgRatesDataTable75[[#This Row],[asOf]]),DAY(OneWeekMtgRatesDataTable75[[#This Row],[asOf]]))</f>
        <v>38485</v>
      </c>
      <c r="N2649" s="51">
        <v>5.71</v>
      </c>
      <c r="O2649" s="51">
        <v>0.7</v>
      </c>
      <c r="P2649" s="51">
        <v>5.6349999999999998</v>
      </c>
    </row>
    <row r="2650" spans="12:16">
      <c r="L2650" s="51" t="s">
        <v>2659</v>
      </c>
      <c r="M2650" s="25">
        <f>DATE(YEAR(OneWeekMtgRatesDataTable75[[#This Row],[asOf]]),MONTH(OneWeekMtgRatesDataTable75[[#This Row],[asOf]]),DAY(OneWeekMtgRatesDataTable75[[#This Row],[asOf]]))</f>
        <v>38484</v>
      </c>
      <c r="N2650" s="51">
        <v>5.71</v>
      </c>
      <c r="O2650" s="51">
        <v>0.7</v>
      </c>
      <c r="P2650" s="51">
        <v>5.6349999999999998</v>
      </c>
    </row>
    <row r="2651" spans="12:16">
      <c r="L2651" s="51" t="s">
        <v>2660</v>
      </c>
      <c r="M2651" s="25">
        <f>DATE(YEAR(OneWeekMtgRatesDataTable75[[#This Row],[asOf]]),MONTH(OneWeekMtgRatesDataTable75[[#This Row],[asOf]]),DAY(OneWeekMtgRatesDataTable75[[#This Row],[asOf]]))</f>
        <v>38483</v>
      </c>
      <c r="N2651" s="51">
        <v>5.77</v>
      </c>
      <c r="O2651" s="51">
        <v>0.5</v>
      </c>
      <c r="P2651" s="51">
        <v>5.6449999999999996</v>
      </c>
    </row>
    <row r="2652" spans="12:16">
      <c r="L2652" s="51" t="s">
        <v>2661</v>
      </c>
      <c r="M2652" s="25">
        <f>DATE(YEAR(OneWeekMtgRatesDataTable75[[#This Row],[asOf]]),MONTH(OneWeekMtgRatesDataTable75[[#This Row],[asOf]]),DAY(OneWeekMtgRatesDataTable75[[#This Row],[asOf]]))</f>
        <v>38482</v>
      </c>
      <c r="N2652" s="51">
        <v>5.77</v>
      </c>
      <c r="O2652" s="51">
        <v>0.5</v>
      </c>
      <c r="P2652" s="51">
        <v>5.6449999999999996</v>
      </c>
    </row>
    <row r="2653" spans="12:16">
      <c r="L2653" s="51" t="s">
        <v>2662</v>
      </c>
      <c r="M2653" s="25">
        <f>DATE(YEAR(OneWeekMtgRatesDataTable75[[#This Row],[asOf]]),MONTH(OneWeekMtgRatesDataTable75[[#This Row],[asOf]]),DAY(OneWeekMtgRatesDataTable75[[#This Row],[asOf]]))</f>
        <v>38481</v>
      </c>
      <c r="N2653" s="51">
        <v>5.77</v>
      </c>
      <c r="O2653" s="51">
        <v>0.5</v>
      </c>
      <c r="P2653" s="51">
        <v>5.6449999999999996</v>
      </c>
    </row>
    <row r="2654" spans="12:16">
      <c r="L2654" s="51" t="s">
        <v>2663</v>
      </c>
      <c r="M2654" s="25">
        <f>DATE(YEAR(OneWeekMtgRatesDataTable75[[#This Row],[asOf]]),MONTH(OneWeekMtgRatesDataTable75[[#This Row],[asOf]]),DAY(OneWeekMtgRatesDataTable75[[#This Row],[asOf]]))</f>
        <v>38478</v>
      </c>
      <c r="N2654" s="51">
        <v>5.77</v>
      </c>
      <c r="O2654" s="51">
        <v>0.5</v>
      </c>
      <c r="P2654" s="51">
        <v>5.6449999999999996</v>
      </c>
    </row>
    <row r="2655" spans="12:16">
      <c r="L2655" s="51" t="s">
        <v>2664</v>
      </c>
      <c r="M2655" s="25">
        <f>DATE(YEAR(OneWeekMtgRatesDataTable75[[#This Row],[asOf]]),MONTH(OneWeekMtgRatesDataTable75[[#This Row],[asOf]]),DAY(OneWeekMtgRatesDataTable75[[#This Row],[asOf]]))</f>
        <v>38477</v>
      </c>
      <c r="N2655" s="51">
        <v>5.77</v>
      </c>
      <c r="O2655" s="51">
        <v>0.5</v>
      </c>
      <c r="P2655" s="51">
        <v>5.6449999999999996</v>
      </c>
    </row>
    <row r="2656" spans="12:16">
      <c r="L2656" s="51" t="s">
        <v>2665</v>
      </c>
      <c r="M2656" s="25">
        <f>DATE(YEAR(OneWeekMtgRatesDataTable75[[#This Row],[asOf]]),MONTH(OneWeekMtgRatesDataTable75[[#This Row],[asOf]]),DAY(OneWeekMtgRatesDataTable75[[#This Row],[asOf]]))</f>
        <v>38476</v>
      </c>
      <c r="N2656" s="51">
        <v>5.75</v>
      </c>
      <c r="O2656" s="51">
        <v>0.6</v>
      </c>
      <c r="P2656" s="51">
        <v>5.65</v>
      </c>
    </row>
    <row r="2657" spans="12:16">
      <c r="L2657" s="51" t="s">
        <v>2666</v>
      </c>
      <c r="M2657" s="25">
        <f>DATE(YEAR(OneWeekMtgRatesDataTable75[[#This Row],[asOf]]),MONTH(OneWeekMtgRatesDataTable75[[#This Row],[asOf]]),DAY(OneWeekMtgRatesDataTable75[[#This Row],[asOf]]))</f>
        <v>38475</v>
      </c>
      <c r="N2657" s="51">
        <v>5.75</v>
      </c>
      <c r="O2657" s="51">
        <v>0.6</v>
      </c>
      <c r="P2657" s="51">
        <v>5.65</v>
      </c>
    </row>
    <row r="2658" spans="12:16">
      <c r="L2658" s="51" t="s">
        <v>2667</v>
      </c>
      <c r="M2658" s="25">
        <f>DATE(YEAR(OneWeekMtgRatesDataTable75[[#This Row],[asOf]]),MONTH(OneWeekMtgRatesDataTable75[[#This Row],[asOf]]),DAY(OneWeekMtgRatesDataTable75[[#This Row],[asOf]]))</f>
        <v>38474</v>
      </c>
      <c r="N2658" s="51">
        <v>5.75</v>
      </c>
      <c r="O2658" s="51">
        <v>0.6</v>
      </c>
      <c r="P2658" s="51">
        <v>5.65</v>
      </c>
    </row>
    <row r="2659" spans="12:16">
      <c r="L2659" s="51" t="s">
        <v>2668</v>
      </c>
      <c r="M2659" s="25">
        <f>DATE(YEAR(OneWeekMtgRatesDataTable75[[#This Row],[asOf]]),MONTH(OneWeekMtgRatesDataTable75[[#This Row],[asOf]]),DAY(OneWeekMtgRatesDataTable75[[#This Row],[asOf]]))</f>
        <v>38471</v>
      </c>
      <c r="N2659" s="51">
        <v>5.75</v>
      </c>
      <c r="O2659" s="51">
        <v>0.6</v>
      </c>
      <c r="P2659" s="51">
        <v>5.65</v>
      </c>
    </row>
    <row r="2660" spans="12:16">
      <c r="L2660" s="51" t="s">
        <v>2669</v>
      </c>
      <c r="M2660" s="25">
        <f>DATE(YEAR(OneWeekMtgRatesDataTable75[[#This Row],[asOf]]),MONTH(OneWeekMtgRatesDataTable75[[#This Row],[asOf]]),DAY(OneWeekMtgRatesDataTable75[[#This Row],[asOf]]))</f>
        <v>38470</v>
      </c>
      <c r="N2660" s="51">
        <v>5.75</v>
      </c>
      <c r="O2660" s="51">
        <v>0.6</v>
      </c>
      <c r="P2660" s="51">
        <v>5.65</v>
      </c>
    </row>
    <row r="2661" spans="12:16">
      <c r="L2661" s="51" t="s">
        <v>2670</v>
      </c>
      <c r="M2661" s="25">
        <f>DATE(YEAR(OneWeekMtgRatesDataTable75[[#This Row],[asOf]]),MONTH(OneWeekMtgRatesDataTable75[[#This Row],[asOf]]),DAY(OneWeekMtgRatesDataTable75[[#This Row],[asOf]]))</f>
        <v>38469</v>
      </c>
      <c r="N2661" s="51">
        <v>5.78</v>
      </c>
      <c r="O2661" s="51">
        <v>0.6</v>
      </c>
      <c r="P2661" s="51">
        <v>5.6800000000000006</v>
      </c>
    </row>
    <row r="2662" spans="12:16">
      <c r="L2662" s="51" t="s">
        <v>2671</v>
      </c>
      <c r="M2662" s="25">
        <f>DATE(YEAR(OneWeekMtgRatesDataTable75[[#This Row],[asOf]]),MONTH(OneWeekMtgRatesDataTable75[[#This Row],[asOf]]),DAY(OneWeekMtgRatesDataTable75[[#This Row],[asOf]]))</f>
        <v>38468</v>
      </c>
      <c r="N2662" s="51">
        <v>5.78</v>
      </c>
      <c r="O2662" s="51">
        <v>0.6</v>
      </c>
      <c r="P2662" s="51">
        <v>5.6800000000000006</v>
      </c>
    </row>
    <row r="2663" spans="12:16">
      <c r="L2663" s="51" t="s">
        <v>2672</v>
      </c>
      <c r="M2663" s="25">
        <f>DATE(YEAR(OneWeekMtgRatesDataTable75[[#This Row],[asOf]]),MONTH(OneWeekMtgRatesDataTable75[[#This Row],[asOf]]),DAY(OneWeekMtgRatesDataTable75[[#This Row],[asOf]]))</f>
        <v>38467</v>
      </c>
      <c r="N2663" s="51">
        <v>5.78</v>
      </c>
      <c r="O2663" s="51">
        <v>0.6</v>
      </c>
      <c r="P2663" s="51">
        <v>5.6800000000000006</v>
      </c>
    </row>
    <row r="2664" spans="12:16">
      <c r="L2664" s="51" t="s">
        <v>2673</v>
      </c>
      <c r="M2664" s="25">
        <f>DATE(YEAR(OneWeekMtgRatesDataTable75[[#This Row],[asOf]]),MONTH(OneWeekMtgRatesDataTable75[[#This Row],[asOf]]),DAY(OneWeekMtgRatesDataTable75[[#This Row],[asOf]]))</f>
        <v>38464</v>
      </c>
      <c r="N2664" s="51">
        <v>5.78</v>
      </c>
      <c r="O2664" s="51">
        <v>0.6</v>
      </c>
      <c r="P2664" s="51">
        <v>5.6800000000000006</v>
      </c>
    </row>
    <row r="2665" spans="12:16">
      <c r="L2665" s="51" t="s">
        <v>2674</v>
      </c>
      <c r="M2665" s="25">
        <f>DATE(YEAR(OneWeekMtgRatesDataTable75[[#This Row],[asOf]]),MONTH(OneWeekMtgRatesDataTable75[[#This Row],[asOf]]),DAY(OneWeekMtgRatesDataTable75[[#This Row],[asOf]]))</f>
        <v>38463</v>
      </c>
      <c r="N2665" s="51">
        <v>5.78</v>
      </c>
      <c r="O2665" s="51">
        <v>0.6</v>
      </c>
      <c r="P2665" s="51">
        <v>5.6800000000000006</v>
      </c>
    </row>
    <row r="2666" spans="12:16">
      <c r="L2666" s="51" t="s">
        <v>2675</v>
      </c>
      <c r="M2666" s="25">
        <f>DATE(YEAR(OneWeekMtgRatesDataTable75[[#This Row],[asOf]]),MONTH(OneWeekMtgRatesDataTable75[[#This Row],[asOf]]),DAY(OneWeekMtgRatesDataTable75[[#This Row],[asOf]]))</f>
        <v>38462</v>
      </c>
      <c r="N2666" s="51">
        <v>5.8</v>
      </c>
      <c r="O2666" s="51">
        <v>0.5</v>
      </c>
      <c r="P2666" s="51">
        <v>5.6749999999999998</v>
      </c>
    </row>
    <row r="2667" spans="12:16">
      <c r="L2667" s="51" t="s">
        <v>2676</v>
      </c>
      <c r="M2667" s="25">
        <f>DATE(YEAR(OneWeekMtgRatesDataTable75[[#This Row],[asOf]]),MONTH(OneWeekMtgRatesDataTable75[[#This Row],[asOf]]),DAY(OneWeekMtgRatesDataTable75[[#This Row],[asOf]]))</f>
        <v>38461</v>
      </c>
      <c r="N2667" s="51">
        <v>5.8</v>
      </c>
      <c r="O2667" s="51">
        <v>0.5</v>
      </c>
      <c r="P2667" s="51">
        <v>5.6749999999999998</v>
      </c>
    </row>
    <row r="2668" spans="12:16">
      <c r="L2668" s="51" t="s">
        <v>2677</v>
      </c>
      <c r="M2668" s="25">
        <f>DATE(YEAR(OneWeekMtgRatesDataTable75[[#This Row],[asOf]]),MONTH(OneWeekMtgRatesDataTable75[[#This Row],[asOf]]),DAY(OneWeekMtgRatesDataTable75[[#This Row],[asOf]]))</f>
        <v>38460</v>
      </c>
      <c r="N2668" s="51">
        <v>5.8</v>
      </c>
      <c r="O2668" s="51">
        <v>0.5</v>
      </c>
      <c r="P2668" s="51">
        <v>5.6749999999999998</v>
      </c>
    </row>
    <row r="2669" spans="12:16">
      <c r="L2669" s="51" t="s">
        <v>2678</v>
      </c>
      <c r="M2669" s="25">
        <f>DATE(YEAR(OneWeekMtgRatesDataTable75[[#This Row],[asOf]]),MONTH(OneWeekMtgRatesDataTable75[[#This Row],[asOf]]),DAY(OneWeekMtgRatesDataTable75[[#This Row],[asOf]]))</f>
        <v>38457</v>
      </c>
      <c r="N2669" s="51">
        <v>5.8</v>
      </c>
      <c r="O2669" s="51">
        <v>0.5</v>
      </c>
      <c r="P2669" s="51">
        <v>5.6749999999999998</v>
      </c>
    </row>
    <row r="2670" spans="12:16">
      <c r="L2670" s="51" t="s">
        <v>2679</v>
      </c>
      <c r="M2670" s="25">
        <f>DATE(YEAR(OneWeekMtgRatesDataTable75[[#This Row],[asOf]]),MONTH(OneWeekMtgRatesDataTable75[[#This Row],[asOf]]),DAY(OneWeekMtgRatesDataTable75[[#This Row],[asOf]]))</f>
        <v>38456</v>
      </c>
      <c r="N2670" s="51">
        <v>5.8</v>
      </c>
      <c r="O2670" s="51">
        <v>0.5</v>
      </c>
      <c r="P2670" s="51">
        <v>5.6749999999999998</v>
      </c>
    </row>
    <row r="2671" spans="12:16">
      <c r="L2671" s="51" t="s">
        <v>2680</v>
      </c>
      <c r="M2671" s="25">
        <f>DATE(YEAR(OneWeekMtgRatesDataTable75[[#This Row],[asOf]]),MONTH(OneWeekMtgRatesDataTable75[[#This Row],[asOf]]),DAY(OneWeekMtgRatesDataTable75[[#This Row],[asOf]]))</f>
        <v>38455</v>
      </c>
      <c r="N2671" s="51">
        <v>5.91</v>
      </c>
      <c r="O2671" s="51">
        <v>0.7</v>
      </c>
      <c r="P2671" s="51">
        <v>5.835</v>
      </c>
    </row>
    <row r="2672" spans="12:16">
      <c r="L2672" s="51" t="s">
        <v>2681</v>
      </c>
      <c r="M2672" s="25">
        <f>DATE(YEAR(OneWeekMtgRatesDataTable75[[#This Row],[asOf]]),MONTH(OneWeekMtgRatesDataTable75[[#This Row],[asOf]]),DAY(OneWeekMtgRatesDataTable75[[#This Row],[asOf]]))</f>
        <v>38454</v>
      </c>
      <c r="N2672" s="51">
        <v>5.91</v>
      </c>
      <c r="O2672" s="51">
        <v>0.7</v>
      </c>
      <c r="P2672" s="51">
        <v>5.835</v>
      </c>
    </row>
    <row r="2673" spans="12:16">
      <c r="L2673" s="51" t="s">
        <v>2682</v>
      </c>
      <c r="M2673" s="25">
        <f>DATE(YEAR(OneWeekMtgRatesDataTable75[[#This Row],[asOf]]),MONTH(OneWeekMtgRatesDataTable75[[#This Row],[asOf]]),DAY(OneWeekMtgRatesDataTable75[[#This Row],[asOf]]))</f>
        <v>38453</v>
      </c>
      <c r="N2673" s="51">
        <v>5.91</v>
      </c>
      <c r="O2673" s="51">
        <v>0.7</v>
      </c>
      <c r="P2673" s="51">
        <v>5.835</v>
      </c>
    </row>
    <row r="2674" spans="12:16">
      <c r="L2674" s="51" t="s">
        <v>2683</v>
      </c>
      <c r="M2674" s="25">
        <f>DATE(YEAR(OneWeekMtgRatesDataTable75[[#This Row],[asOf]]),MONTH(OneWeekMtgRatesDataTable75[[#This Row],[asOf]]),DAY(OneWeekMtgRatesDataTable75[[#This Row],[asOf]]))</f>
        <v>38450</v>
      </c>
      <c r="N2674" s="51">
        <v>5.91</v>
      </c>
      <c r="O2674" s="51">
        <v>0.7</v>
      </c>
      <c r="P2674" s="51">
        <v>5.835</v>
      </c>
    </row>
    <row r="2675" spans="12:16">
      <c r="L2675" s="51" t="s">
        <v>2684</v>
      </c>
      <c r="M2675" s="25">
        <f>DATE(YEAR(OneWeekMtgRatesDataTable75[[#This Row],[asOf]]),MONTH(OneWeekMtgRatesDataTable75[[#This Row],[asOf]]),DAY(OneWeekMtgRatesDataTable75[[#This Row],[asOf]]))</f>
        <v>38449</v>
      </c>
      <c r="N2675" s="51">
        <v>5.91</v>
      </c>
      <c r="O2675" s="51">
        <v>0.7</v>
      </c>
      <c r="P2675" s="51">
        <v>5.835</v>
      </c>
    </row>
    <row r="2676" spans="12:16">
      <c r="L2676" s="51" t="s">
        <v>2685</v>
      </c>
      <c r="M2676" s="25">
        <f>DATE(YEAR(OneWeekMtgRatesDataTable75[[#This Row],[asOf]]),MONTH(OneWeekMtgRatesDataTable75[[#This Row],[asOf]]),DAY(OneWeekMtgRatesDataTable75[[#This Row],[asOf]]))</f>
        <v>38448</v>
      </c>
      <c r="N2676" s="51">
        <v>5.93</v>
      </c>
      <c r="O2676" s="51">
        <v>0.7</v>
      </c>
      <c r="P2676" s="51">
        <v>5.8549999999999995</v>
      </c>
    </row>
    <row r="2677" spans="12:16">
      <c r="L2677" s="51" t="s">
        <v>2686</v>
      </c>
      <c r="M2677" s="25">
        <f>DATE(YEAR(OneWeekMtgRatesDataTable75[[#This Row],[asOf]]),MONTH(OneWeekMtgRatesDataTable75[[#This Row],[asOf]]),DAY(OneWeekMtgRatesDataTable75[[#This Row],[asOf]]))</f>
        <v>38447</v>
      </c>
      <c r="N2677" s="51">
        <v>5.93</v>
      </c>
      <c r="O2677" s="51">
        <v>0.7</v>
      </c>
      <c r="P2677" s="51">
        <v>5.8549999999999995</v>
      </c>
    </row>
    <row r="2678" spans="12:16">
      <c r="L2678" s="51" t="s">
        <v>2687</v>
      </c>
      <c r="M2678" s="25">
        <f>DATE(YEAR(OneWeekMtgRatesDataTable75[[#This Row],[asOf]]),MONTH(OneWeekMtgRatesDataTable75[[#This Row],[asOf]]),DAY(OneWeekMtgRatesDataTable75[[#This Row],[asOf]]))</f>
        <v>38446</v>
      </c>
      <c r="N2678" s="51">
        <v>5.93</v>
      </c>
      <c r="O2678" s="51">
        <v>0.7</v>
      </c>
      <c r="P2678" s="51">
        <v>5.8549999999999995</v>
      </c>
    </row>
    <row r="2679" spans="12:16">
      <c r="L2679" s="51" t="s">
        <v>2688</v>
      </c>
      <c r="M2679" s="25">
        <f>DATE(YEAR(OneWeekMtgRatesDataTable75[[#This Row],[asOf]]),MONTH(OneWeekMtgRatesDataTable75[[#This Row],[asOf]]),DAY(OneWeekMtgRatesDataTable75[[#This Row],[asOf]]))</f>
        <v>38443</v>
      </c>
      <c r="N2679" s="51">
        <v>5.93</v>
      </c>
      <c r="O2679" s="51">
        <v>0.7</v>
      </c>
      <c r="P2679" s="51">
        <v>5.8549999999999995</v>
      </c>
    </row>
    <row r="2680" spans="12:16">
      <c r="L2680" s="51" t="s">
        <v>2689</v>
      </c>
      <c r="M2680" s="25">
        <f>DATE(YEAR(OneWeekMtgRatesDataTable75[[#This Row],[asOf]]),MONTH(OneWeekMtgRatesDataTable75[[#This Row],[asOf]]),DAY(OneWeekMtgRatesDataTable75[[#This Row],[asOf]]))</f>
        <v>38442</v>
      </c>
      <c r="N2680" s="51">
        <v>5.93</v>
      </c>
      <c r="O2680" s="51">
        <v>0.7</v>
      </c>
      <c r="P2680" s="51">
        <v>5.8549999999999995</v>
      </c>
    </row>
    <row r="2681" spans="12:16">
      <c r="L2681" s="51" t="s">
        <v>2690</v>
      </c>
      <c r="M2681" s="25">
        <f>DATE(YEAR(OneWeekMtgRatesDataTable75[[#This Row],[asOf]]),MONTH(OneWeekMtgRatesDataTable75[[#This Row],[asOf]]),DAY(OneWeekMtgRatesDataTable75[[#This Row],[asOf]]))</f>
        <v>38441</v>
      </c>
      <c r="N2681" s="51">
        <v>6.04</v>
      </c>
      <c r="O2681" s="51">
        <v>0.7</v>
      </c>
      <c r="P2681" s="51">
        <v>5.9649999999999999</v>
      </c>
    </row>
    <row r="2682" spans="12:16">
      <c r="L2682" s="51" t="s">
        <v>2691</v>
      </c>
      <c r="M2682" s="25">
        <f>DATE(YEAR(OneWeekMtgRatesDataTable75[[#This Row],[asOf]]),MONTH(OneWeekMtgRatesDataTable75[[#This Row],[asOf]]),DAY(OneWeekMtgRatesDataTable75[[#This Row],[asOf]]))</f>
        <v>38440</v>
      </c>
      <c r="N2682" s="51">
        <v>6.04</v>
      </c>
      <c r="O2682" s="51">
        <v>0.7</v>
      </c>
      <c r="P2682" s="51">
        <v>5.9649999999999999</v>
      </c>
    </row>
    <row r="2683" spans="12:16">
      <c r="L2683" s="51" t="s">
        <v>2692</v>
      </c>
      <c r="M2683" s="25">
        <f>DATE(YEAR(OneWeekMtgRatesDataTable75[[#This Row],[asOf]]),MONTH(OneWeekMtgRatesDataTable75[[#This Row],[asOf]]),DAY(OneWeekMtgRatesDataTable75[[#This Row],[asOf]]))</f>
        <v>38439</v>
      </c>
      <c r="N2683" s="51">
        <v>6.04</v>
      </c>
      <c r="O2683" s="51">
        <v>0.7</v>
      </c>
      <c r="P2683" s="51">
        <v>5.9649999999999999</v>
      </c>
    </row>
    <row r="2684" spans="12:16">
      <c r="L2684" s="51" t="s">
        <v>2693</v>
      </c>
      <c r="M2684" s="25">
        <f>DATE(YEAR(OneWeekMtgRatesDataTable75[[#This Row],[asOf]]),MONTH(OneWeekMtgRatesDataTable75[[#This Row],[asOf]]),DAY(OneWeekMtgRatesDataTable75[[#This Row],[asOf]]))</f>
        <v>38436</v>
      </c>
      <c r="N2684" s="51">
        <v>6.04</v>
      </c>
      <c r="O2684" s="51">
        <v>0.7</v>
      </c>
      <c r="P2684" s="51">
        <v>5.9649999999999999</v>
      </c>
    </row>
    <row r="2685" spans="12:16">
      <c r="L2685" s="51" t="s">
        <v>2694</v>
      </c>
      <c r="M2685" s="25">
        <f>DATE(YEAR(OneWeekMtgRatesDataTable75[[#This Row],[asOf]]),MONTH(OneWeekMtgRatesDataTable75[[#This Row],[asOf]]),DAY(OneWeekMtgRatesDataTable75[[#This Row],[asOf]]))</f>
        <v>38435</v>
      </c>
      <c r="N2685" s="51">
        <v>6.04</v>
      </c>
      <c r="O2685" s="51">
        <v>0.7</v>
      </c>
      <c r="P2685" s="51">
        <v>5.9649999999999999</v>
      </c>
    </row>
    <row r="2686" spans="12:16">
      <c r="L2686" s="51" t="s">
        <v>2695</v>
      </c>
      <c r="M2686" s="25">
        <f>DATE(YEAR(OneWeekMtgRatesDataTable75[[#This Row],[asOf]]),MONTH(OneWeekMtgRatesDataTable75[[#This Row],[asOf]]),DAY(OneWeekMtgRatesDataTable75[[#This Row],[asOf]]))</f>
        <v>38434</v>
      </c>
      <c r="N2686" s="51">
        <v>6.01</v>
      </c>
      <c r="O2686" s="51">
        <v>0.7</v>
      </c>
      <c r="P2686" s="51">
        <v>5.9349999999999996</v>
      </c>
    </row>
    <row r="2687" spans="12:16">
      <c r="L2687" s="51" t="s">
        <v>2696</v>
      </c>
      <c r="M2687" s="25">
        <f>DATE(YEAR(OneWeekMtgRatesDataTable75[[#This Row],[asOf]]),MONTH(OneWeekMtgRatesDataTable75[[#This Row],[asOf]]),DAY(OneWeekMtgRatesDataTable75[[#This Row],[asOf]]))</f>
        <v>38433</v>
      </c>
      <c r="N2687" s="51">
        <v>6.01</v>
      </c>
      <c r="O2687" s="51">
        <v>0.7</v>
      </c>
      <c r="P2687" s="51">
        <v>5.9349999999999996</v>
      </c>
    </row>
    <row r="2688" spans="12:16">
      <c r="L2688" s="51" t="s">
        <v>2697</v>
      </c>
      <c r="M2688" s="25">
        <f>DATE(YEAR(OneWeekMtgRatesDataTable75[[#This Row],[asOf]]),MONTH(OneWeekMtgRatesDataTable75[[#This Row],[asOf]]),DAY(OneWeekMtgRatesDataTable75[[#This Row],[asOf]]))</f>
        <v>38432</v>
      </c>
      <c r="N2688" s="51">
        <v>6.01</v>
      </c>
      <c r="O2688" s="51">
        <v>0.7</v>
      </c>
      <c r="P2688" s="51">
        <v>5.9349999999999996</v>
      </c>
    </row>
    <row r="2689" spans="12:16">
      <c r="L2689" s="51" t="s">
        <v>2698</v>
      </c>
      <c r="M2689" s="25">
        <f>DATE(YEAR(OneWeekMtgRatesDataTable75[[#This Row],[asOf]]),MONTH(OneWeekMtgRatesDataTable75[[#This Row],[asOf]]),DAY(OneWeekMtgRatesDataTable75[[#This Row],[asOf]]))</f>
        <v>38429</v>
      </c>
      <c r="N2689" s="51">
        <v>6.01</v>
      </c>
      <c r="O2689" s="51">
        <v>0.7</v>
      </c>
      <c r="P2689" s="51">
        <v>5.9349999999999996</v>
      </c>
    </row>
    <row r="2690" spans="12:16">
      <c r="L2690" s="51" t="s">
        <v>2699</v>
      </c>
      <c r="M2690" s="25">
        <f>DATE(YEAR(OneWeekMtgRatesDataTable75[[#This Row],[asOf]]),MONTH(OneWeekMtgRatesDataTable75[[#This Row],[asOf]]),DAY(OneWeekMtgRatesDataTable75[[#This Row],[asOf]]))</f>
        <v>38428</v>
      </c>
      <c r="N2690" s="51">
        <v>6.01</v>
      </c>
      <c r="O2690" s="51">
        <v>0.7</v>
      </c>
      <c r="P2690" s="51">
        <v>5.9349999999999996</v>
      </c>
    </row>
    <row r="2691" spans="12:16">
      <c r="L2691" s="51" t="s">
        <v>2700</v>
      </c>
      <c r="M2691" s="25">
        <f>DATE(YEAR(OneWeekMtgRatesDataTable75[[#This Row],[asOf]]),MONTH(OneWeekMtgRatesDataTable75[[#This Row],[asOf]]),DAY(OneWeekMtgRatesDataTable75[[#This Row],[asOf]]))</f>
        <v>38427</v>
      </c>
      <c r="N2691" s="51">
        <v>5.95</v>
      </c>
      <c r="O2691" s="51">
        <v>0.7</v>
      </c>
      <c r="P2691" s="51">
        <v>5.875</v>
      </c>
    </row>
    <row r="2692" spans="12:16">
      <c r="L2692" s="51" t="s">
        <v>2701</v>
      </c>
      <c r="M2692" s="25">
        <f>DATE(YEAR(OneWeekMtgRatesDataTable75[[#This Row],[asOf]]),MONTH(OneWeekMtgRatesDataTable75[[#This Row],[asOf]]),DAY(OneWeekMtgRatesDataTable75[[#This Row],[asOf]]))</f>
        <v>38426</v>
      </c>
      <c r="N2692" s="51">
        <v>5.95</v>
      </c>
      <c r="O2692" s="51">
        <v>0.7</v>
      </c>
      <c r="P2692" s="51">
        <v>5.875</v>
      </c>
    </row>
    <row r="2693" spans="12:16">
      <c r="L2693" s="51" t="s">
        <v>2702</v>
      </c>
      <c r="M2693" s="25">
        <f>DATE(YEAR(OneWeekMtgRatesDataTable75[[#This Row],[asOf]]),MONTH(OneWeekMtgRatesDataTable75[[#This Row],[asOf]]),DAY(OneWeekMtgRatesDataTable75[[#This Row],[asOf]]))</f>
        <v>38425</v>
      </c>
      <c r="N2693" s="51">
        <v>5.95</v>
      </c>
      <c r="O2693" s="51">
        <v>0.7</v>
      </c>
      <c r="P2693" s="51">
        <v>5.875</v>
      </c>
    </row>
    <row r="2694" spans="12:16">
      <c r="L2694" s="51" t="s">
        <v>2703</v>
      </c>
      <c r="M2694" s="25">
        <f>DATE(YEAR(OneWeekMtgRatesDataTable75[[#This Row],[asOf]]),MONTH(OneWeekMtgRatesDataTable75[[#This Row],[asOf]]),DAY(OneWeekMtgRatesDataTable75[[#This Row],[asOf]]))</f>
        <v>38422</v>
      </c>
      <c r="N2694" s="51">
        <v>5.95</v>
      </c>
      <c r="O2694" s="51">
        <v>0.7</v>
      </c>
      <c r="P2694" s="51">
        <v>5.875</v>
      </c>
    </row>
    <row r="2695" spans="12:16">
      <c r="L2695" s="51" t="s">
        <v>2704</v>
      </c>
      <c r="M2695" s="25">
        <f>DATE(YEAR(OneWeekMtgRatesDataTable75[[#This Row],[asOf]]),MONTH(OneWeekMtgRatesDataTable75[[#This Row],[asOf]]),DAY(OneWeekMtgRatesDataTable75[[#This Row],[asOf]]))</f>
        <v>38421</v>
      </c>
      <c r="N2695" s="51">
        <v>5.95</v>
      </c>
      <c r="O2695" s="51">
        <v>0.7</v>
      </c>
      <c r="P2695" s="51">
        <v>5.875</v>
      </c>
    </row>
    <row r="2696" spans="12:16">
      <c r="L2696" s="51" t="s">
        <v>2705</v>
      </c>
      <c r="M2696" s="25">
        <f>DATE(YEAR(OneWeekMtgRatesDataTable75[[#This Row],[asOf]]),MONTH(OneWeekMtgRatesDataTable75[[#This Row],[asOf]]),DAY(OneWeekMtgRatesDataTable75[[#This Row],[asOf]]))</f>
        <v>38420</v>
      </c>
      <c r="N2696" s="51">
        <v>5.85</v>
      </c>
      <c r="O2696" s="51">
        <v>0.6</v>
      </c>
      <c r="P2696" s="51">
        <v>5.75</v>
      </c>
    </row>
    <row r="2697" spans="12:16">
      <c r="L2697" s="51" t="s">
        <v>2706</v>
      </c>
      <c r="M2697" s="25">
        <f>DATE(YEAR(OneWeekMtgRatesDataTable75[[#This Row],[asOf]]),MONTH(OneWeekMtgRatesDataTable75[[#This Row],[asOf]]),DAY(OneWeekMtgRatesDataTable75[[#This Row],[asOf]]))</f>
        <v>38419</v>
      </c>
      <c r="N2697" s="51">
        <v>5.85</v>
      </c>
      <c r="O2697" s="51">
        <v>0.6</v>
      </c>
      <c r="P2697" s="51">
        <v>5.75</v>
      </c>
    </row>
    <row r="2698" spans="12:16">
      <c r="L2698" s="51" t="s">
        <v>2707</v>
      </c>
      <c r="M2698" s="25">
        <f>DATE(YEAR(OneWeekMtgRatesDataTable75[[#This Row],[asOf]]),MONTH(OneWeekMtgRatesDataTable75[[#This Row],[asOf]]),DAY(OneWeekMtgRatesDataTable75[[#This Row],[asOf]]))</f>
        <v>38418</v>
      </c>
      <c r="N2698" s="51">
        <v>5.85</v>
      </c>
      <c r="O2698" s="51">
        <v>0.6</v>
      </c>
      <c r="P2698" s="51">
        <v>5.75</v>
      </c>
    </row>
    <row r="2699" spans="12:16">
      <c r="L2699" s="51" t="s">
        <v>2708</v>
      </c>
      <c r="M2699" s="25">
        <f>DATE(YEAR(OneWeekMtgRatesDataTable75[[#This Row],[asOf]]),MONTH(OneWeekMtgRatesDataTable75[[#This Row],[asOf]]),DAY(OneWeekMtgRatesDataTable75[[#This Row],[asOf]]))</f>
        <v>38415</v>
      </c>
      <c r="N2699" s="51">
        <v>5.85</v>
      </c>
      <c r="O2699" s="51">
        <v>0.6</v>
      </c>
      <c r="P2699" s="51">
        <v>5.75</v>
      </c>
    </row>
    <row r="2700" spans="12:16">
      <c r="L2700" s="51" t="s">
        <v>2709</v>
      </c>
      <c r="M2700" s="25">
        <f>DATE(YEAR(OneWeekMtgRatesDataTable75[[#This Row],[asOf]]),MONTH(OneWeekMtgRatesDataTable75[[#This Row],[asOf]]),DAY(OneWeekMtgRatesDataTable75[[#This Row],[asOf]]))</f>
        <v>38414</v>
      </c>
      <c r="N2700" s="51">
        <v>5.85</v>
      </c>
      <c r="O2700" s="51">
        <v>0.6</v>
      </c>
      <c r="P2700" s="51">
        <v>5.75</v>
      </c>
    </row>
    <row r="2701" spans="12:16">
      <c r="L2701" s="51" t="s">
        <v>2710</v>
      </c>
      <c r="M2701" s="25">
        <f>DATE(YEAR(OneWeekMtgRatesDataTable75[[#This Row],[asOf]]),MONTH(OneWeekMtgRatesDataTable75[[#This Row],[asOf]]),DAY(OneWeekMtgRatesDataTable75[[#This Row],[asOf]]))</f>
        <v>38413</v>
      </c>
      <c r="N2701" s="51">
        <v>5.79</v>
      </c>
      <c r="O2701" s="51">
        <v>0.7</v>
      </c>
      <c r="P2701" s="51">
        <v>5.7149999999999999</v>
      </c>
    </row>
    <row r="2702" spans="12:16">
      <c r="L2702" s="51" t="s">
        <v>2711</v>
      </c>
      <c r="M2702" s="25">
        <f>DATE(YEAR(OneWeekMtgRatesDataTable75[[#This Row],[asOf]]),MONTH(OneWeekMtgRatesDataTable75[[#This Row],[asOf]]),DAY(OneWeekMtgRatesDataTable75[[#This Row],[asOf]]))</f>
        <v>38412</v>
      </c>
      <c r="N2702" s="51">
        <v>5.79</v>
      </c>
      <c r="O2702" s="51">
        <v>0.7</v>
      </c>
      <c r="P2702" s="51">
        <v>5.7149999999999999</v>
      </c>
    </row>
    <row r="2703" spans="12:16">
      <c r="L2703" s="51" t="s">
        <v>2712</v>
      </c>
      <c r="M2703" s="25">
        <f>DATE(YEAR(OneWeekMtgRatesDataTable75[[#This Row],[asOf]]),MONTH(OneWeekMtgRatesDataTable75[[#This Row],[asOf]]),DAY(OneWeekMtgRatesDataTable75[[#This Row],[asOf]]))</f>
        <v>38411</v>
      </c>
      <c r="N2703" s="51">
        <v>5.79</v>
      </c>
      <c r="O2703" s="51">
        <v>0.7</v>
      </c>
      <c r="P2703" s="51">
        <v>5.7149999999999999</v>
      </c>
    </row>
    <row r="2704" spans="12:16">
      <c r="L2704" s="51" t="s">
        <v>2713</v>
      </c>
      <c r="M2704" s="25">
        <f>DATE(YEAR(OneWeekMtgRatesDataTable75[[#This Row],[asOf]]),MONTH(OneWeekMtgRatesDataTable75[[#This Row],[asOf]]),DAY(OneWeekMtgRatesDataTable75[[#This Row],[asOf]]))</f>
        <v>38408</v>
      </c>
      <c r="N2704" s="51">
        <v>5.79</v>
      </c>
      <c r="O2704" s="51">
        <v>0.7</v>
      </c>
      <c r="P2704" s="51">
        <v>5.7149999999999999</v>
      </c>
    </row>
    <row r="2705" spans="12:16">
      <c r="L2705" s="51" t="s">
        <v>2714</v>
      </c>
      <c r="M2705" s="25">
        <f>DATE(YEAR(OneWeekMtgRatesDataTable75[[#This Row],[asOf]]),MONTH(OneWeekMtgRatesDataTable75[[#This Row],[asOf]]),DAY(OneWeekMtgRatesDataTable75[[#This Row],[asOf]]))</f>
        <v>38407</v>
      </c>
      <c r="N2705" s="51">
        <v>5.79</v>
      </c>
      <c r="O2705" s="51">
        <v>0.7</v>
      </c>
      <c r="P2705" s="51">
        <v>5.7149999999999999</v>
      </c>
    </row>
    <row r="2706" spans="12:16">
      <c r="L2706" s="51" t="s">
        <v>2715</v>
      </c>
      <c r="M2706" s="25">
        <f>DATE(YEAR(OneWeekMtgRatesDataTable75[[#This Row],[asOf]]),MONTH(OneWeekMtgRatesDataTable75[[#This Row],[asOf]]),DAY(OneWeekMtgRatesDataTable75[[#This Row],[asOf]]))</f>
        <v>38406</v>
      </c>
      <c r="N2706" s="51">
        <v>5.69</v>
      </c>
      <c r="O2706" s="51">
        <v>0.7</v>
      </c>
      <c r="P2706" s="51">
        <v>5.6150000000000002</v>
      </c>
    </row>
    <row r="2707" spans="12:16">
      <c r="L2707" s="51" t="s">
        <v>2716</v>
      </c>
      <c r="M2707" s="25">
        <f>DATE(YEAR(OneWeekMtgRatesDataTable75[[#This Row],[asOf]]),MONTH(OneWeekMtgRatesDataTable75[[#This Row],[asOf]]),DAY(OneWeekMtgRatesDataTable75[[#This Row],[asOf]]))</f>
        <v>38405</v>
      </c>
      <c r="N2707" s="51">
        <v>5.69</v>
      </c>
      <c r="O2707" s="51">
        <v>0.7</v>
      </c>
      <c r="P2707" s="51">
        <v>5.6150000000000002</v>
      </c>
    </row>
    <row r="2708" spans="12:16">
      <c r="L2708" s="51" t="s">
        <v>2717</v>
      </c>
      <c r="M2708" s="25">
        <f>DATE(YEAR(OneWeekMtgRatesDataTable75[[#This Row],[asOf]]),MONTH(OneWeekMtgRatesDataTable75[[#This Row],[asOf]]),DAY(OneWeekMtgRatesDataTable75[[#This Row],[asOf]]))</f>
        <v>38404</v>
      </c>
      <c r="N2708" s="51">
        <v>5.69</v>
      </c>
      <c r="O2708" s="51">
        <v>0.7</v>
      </c>
      <c r="P2708" s="51">
        <v>5.6150000000000002</v>
      </c>
    </row>
    <row r="2709" spans="12:16">
      <c r="L2709" s="51" t="s">
        <v>2718</v>
      </c>
      <c r="M2709" s="25">
        <f>DATE(YEAR(OneWeekMtgRatesDataTable75[[#This Row],[asOf]]),MONTH(OneWeekMtgRatesDataTable75[[#This Row],[asOf]]),DAY(OneWeekMtgRatesDataTable75[[#This Row],[asOf]]))</f>
        <v>38401</v>
      </c>
      <c r="N2709" s="51">
        <v>5.69</v>
      </c>
      <c r="O2709" s="51">
        <v>0.7</v>
      </c>
      <c r="P2709" s="51">
        <v>5.6150000000000002</v>
      </c>
    </row>
    <row r="2710" spans="12:16">
      <c r="L2710" s="51" t="s">
        <v>2719</v>
      </c>
      <c r="M2710" s="25">
        <f>DATE(YEAR(OneWeekMtgRatesDataTable75[[#This Row],[asOf]]),MONTH(OneWeekMtgRatesDataTable75[[#This Row],[asOf]]),DAY(OneWeekMtgRatesDataTable75[[#This Row],[asOf]]))</f>
        <v>38400</v>
      </c>
      <c r="N2710" s="51">
        <v>5.69</v>
      </c>
      <c r="O2710" s="51">
        <v>0.7</v>
      </c>
      <c r="P2710" s="51">
        <v>5.6150000000000002</v>
      </c>
    </row>
    <row r="2711" spans="12:16">
      <c r="L2711" s="51" t="s">
        <v>2720</v>
      </c>
      <c r="M2711" s="25">
        <f>DATE(YEAR(OneWeekMtgRatesDataTable75[[#This Row],[asOf]]),MONTH(OneWeekMtgRatesDataTable75[[#This Row],[asOf]]),DAY(OneWeekMtgRatesDataTable75[[#This Row],[asOf]]))</f>
        <v>38399</v>
      </c>
      <c r="N2711" s="51">
        <v>5.62</v>
      </c>
      <c r="O2711" s="51">
        <v>0.7</v>
      </c>
      <c r="P2711" s="51">
        <v>5.5449999999999999</v>
      </c>
    </row>
    <row r="2712" spans="12:16">
      <c r="L2712" s="51" t="s">
        <v>2721</v>
      </c>
      <c r="M2712" s="25">
        <f>DATE(YEAR(OneWeekMtgRatesDataTable75[[#This Row],[asOf]]),MONTH(OneWeekMtgRatesDataTable75[[#This Row],[asOf]]),DAY(OneWeekMtgRatesDataTable75[[#This Row],[asOf]]))</f>
        <v>38398</v>
      </c>
      <c r="N2712" s="51">
        <v>5.62</v>
      </c>
      <c r="O2712" s="51">
        <v>0.7</v>
      </c>
      <c r="P2712" s="51">
        <v>5.5449999999999999</v>
      </c>
    </row>
    <row r="2713" spans="12:16">
      <c r="L2713" s="51" t="s">
        <v>2722</v>
      </c>
      <c r="M2713" s="25">
        <f>DATE(YEAR(OneWeekMtgRatesDataTable75[[#This Row],[asOf]]),MONTH(OneWeekMtgRatesDataTable75[[#This Row],[asOf]]),DAY(OneWeekMtgRatesDataTable75[[#This Row],[asOf]]))</f>
        <v>38397</v>
      </c>
      <c r="N2713" s="51">
        <v>5.62</v>
      </c>
      <c r="O2713" s="51">
        <v>0.7</v>
      </c>
      <c r="P2713" s="51">
        <v>5.5449999999999999</v>
      </c>
    </row>
    <row r="2714" spans="12:16">
      <c r="L2714" s="51" t="s">
        <v>2723</v>
      </c>
      <c r="M2714" s="25">
        <f>DATE(YEAR(OneWeekMtgRatesDataTable75[[#This Row],[asOf]]),MONTH(OneWeekMtgRatesDataTable75[[#This Row],[asOf]]),DAY(OneWeekMtgRatesDataTable75[[#This Row],[asOf]]))</f>
        <v>38394</v>
      </c>
      <c r="N2714" s="51">
        <v>5.62</v>
      </c>
      <c r="O2714" s="51">
        <v>0.7</v>
      </c>
      <c r="P2714" s="51">
        <v>5.5449999999999999</v>
      </c>
    </row>
    <row r="2715" spans="12:16">
      <c r="L2715" s="51" t="s">
        <v>2724</v>
      </c>
      <c r="M2715" s="25">
        <f>DATE(YEAR(OneWeekMtgRatesDataTable75[[#This Row],[asOf]]),MONTH(OneWeekMtgRatesDataTable75[[#This Row],[asOf]]),DAY(OneWeekMtgRatesDataTable75[[#This Row],[asOf]]))</f>
        <v>38393</v>
      </c>
      <c r="N2715" s="51">
        <v>5.62</v>
      </c>
      <c r="O2715" s="51">
        <v>0.7</v>
      </c>
      <c r="P2715" s="51">
        <v>5.5449999999999999</v>
      </c>
    </row>
    <row r="2716" spans="12:16">
      <c r="L2716" s="51" t="s">
        <v>2725</v>
      </c>
      <c r="M2716" s="25">
        <f>DATE(YEAR(OneWeekMtgRatesDataTable75[[#This Row],[asOf]]),MONTH(OneWeekMtgRatesDataTable75[[#This Row],[asOf]]),DAY(OneWeekMtgRatesDataTable75[[#This Row],[asOf]]))</f>
        <v>38392</v>
      </c>
      <c r="N2716" s="51">
        <v>5.57</v>
      </c>
      <c r="O2716" s="51">
        <v>0.8</v>
      </c>
      <c r="P2716" s="51">
        <v>5.5200000000000005</v>
      </c>
    </row>
    <row r="2717" spans="12:16">
      <c r="L2717" s="51" t="s">
        <v>2726</v>
      </c>
      <c r="M2717" s="25">
        <f>DATE(YEAR(OneWeekMtgRatesDataTable75[[#This Row],[asOf]]),MONTH(OneWeekMtgRatesDataTable75[[#This Row],[asOf]]),DAY(OneWeekMtgRatesDataTable75[[#This Row],[asOf]]))</f>
        <v>38391</v>
      </c>
      <c r="N2717" s="51">
        <v>5.57</v>
      </c>
      <c r="O2717" s="51">
        <v>0.8</v>
      </c>
      <c r="P2717" s="51">
        <v>5.5200000000000005</v>
      </c>
    </row>
    <row r="2718" spans="12:16">
      <c r="L2718" s="51" t="s">
        <v>2727</v>
      </c>
      <c r="M2718" s="25">
        <f>DATE(YEAR(OneWeekMtgRatesDataTable75[[#This Row],[asOf]]),MONTH(OneWeekMtgRatesDataTable75[[#This Row],[asOf]]),DAY(OneWeekMtgRatesDataTable75[[#This Row],[asOf]]))</f>
        <v>38390</v>
      </c>
      <c r="N2718" s="51">
        <v>5.57</v>
      </c>
      <c r="O2718" s="51">
        <v>0.8</v>
      </c>
      <c r="P2718" s="51">
        <v>5.5200000000000005</v>
      </c>
    </row>
    <row r="2719" spans="12:16">
      <c r="L2719" s="51" t="s">
        <v>2728</v>
      </c>
      <c r="M2719" s="25">
        <f>DATE(YEAR(OneWeekMtgRatesDataTable75[[#This Row],[asOf]]),MONTH(OneWeekMtgRatesDataTable75[[#This Row],[asOf]]),DAY(OneWeekMtgRatesDataTable75[[#This Row],[asOf]]))</f>
        <v>38387</v>
      </c>
      <c r="N2719" s="51">
        <v>5.57</v>
      </c>
      <c r="O2719" s="51">
        <v>0.8</v>
      </c>
      <c r="P2719" s="51">
        <v>5.5200000000000005</v>
      </c>
    </row>
    <row r="2720" spans="12:16">
      <c r="L2720" s="51" t="s">
        <v>2729</v>
      </c>
      <c r="M2720" s="25">
        <f>DATE(YEAR(OneWeekMtgRatesDataTable75[[#This Row],[asOf]]),MONTH(OneWeekMtgRatesDataTable75[[#This Row],[asOf]]),DAY(OneWeekMtgRatesDataTable75[[#This Row],[asOf]]))</f>
        <v>38386</v>
      </c>
      <c r="N2720" s="51">
        <v>5.57</v>
      </c>
      <c r="O2720" s="51">
        <v>0.8</v>
      </c>
      <c r="P2720" s="51">
        <v>5.5200000000000005</v>
      </c>
    </row>
    <row r="2721" spans="12:16">
      <c r="L2721" s="51" t="s">
        <v>2730</v>
      </c>
      <c r="M2721" s="25">
        <f>DATE(YEAR(OneWeekMtgRatesDataTable75[[#This Row],[asOf]]),MONTH(OneWeekMtgRatesDataTable75[[#This Row],[asOf]]),DAY(OneWeekMtgRatesDataTable75[[#This Row],[asOf]]))</f>
        <v>38385</v>
      </c>
      <c r="N2721" s="51">
        <v>5.63</v>
      </c>
      <c r="O2721" s="51">
        <v>0.7</v>
      </c>
      <c r="P2721" s="51">
        <v>5.5549999999999997</v>
      </c>
    </row>
    <row r="2722" spans="12:16">
      <c r="L2722" s="51" t="s">
        <v>2731</v>
      </c>
      <c r="M2722" s="25">
        <f>DATE(YEAR(OneWeekMtgRatesDataTable75[[#This Row],[asOf]]),MONTH(OneWeekMtgRatesDataTable75[[#This Row],[asOf]]),DAY(OneWeekMtgRatesDataTable75[[#This Row],[asOf]]))</f>
        <v>38384</v>
      </c>
      <c r="N2722" s="51">
        <v>5.63</v>
      </c>
      <c r="O2722" s="51">
        <v>0.7</v>
      </c>
      <c r="P2722" s="51">
        <v>5.5549999999999997</v>
      </c>
    </row>
    <row r="2723" spans="12:16">
      <c r="L2723" s="51" t="s">
        <v>2732</v>
      </c>
      <c r="M2723" s="25">
        <f>DATE(YEAR(OneWeekMtgRatesDataTable75[[#This Row],[asOf]]),MONTH(OneWeekMtgRatesDataTable75[[#This Row],[asOf]]),DAY(OneWeekMtgRatesDataTable75[[#This Row],[asOf]]))</f>
        <v>38383</v>
      </c>
      <c r="N2723" s="51">
        <v>5.63</v>
      </c>
      <c r="O2723" s="51">
        <v>0.7</v>
      </c>
      <c r="P2723" s="51">
        <v>5.5549999999999997</v>
      </c>
    </row>
    <row r="2724" spans="12:16">
      <c r="L2724" s="51" t="s">
        <v>2733</v>
      </c>
      <c r="M2724" s="25">
        <f>DATE(YEAR(OneWeekMtgRatesDataTable75[[#This Row],[asOf]]),MONTH(OneWeekMtgRatesDataTable75[[#This Row],[asOf]]),DAY(OneWeekMtgRatesDataTable75[[#This Row],[asOf]]))</f>
        <v>38380</v>
      </c>
      <c r="N2724" s="51">
        <v>5.63</v>
      </c>
      <c r="O2724" s="51">
        <v>0.7</v>
      </c>
      <c r="P2724" s="51">
        <v>5.5549999999999997</v>
      </c>
    </row>
    <row r="2725" spans="12:16">
      <c r="L2725" s="51" t="s">
        <v>2734</v>
      </c>
      <c r="M2725" s="25">
        <f>DATE(YEAR(OneWeekMtgRatesDataTable75[[#This Row],[asOf]]),MONTH(OneWeekMtgRatesDataTable75[[#This Row],[asOf]]),DAY(OneWeekMtgRatesDataTable75[[#This Row],[asOf]]))</f>
        <v>38379</v>
      </c>
      <c r="N2725" s="51">
        <v>5.63</v>
      </c>
      <c r="O2725" s="51">
        <v>0.7</v>
      </c>
      <c r="P2725" s="51">
        <v>5.5549999999999997</v>
      </c>
    </row>
    <row r="2726" spans="12:16">
      <c r="L2726" s="51" t="s">
        <v>2735</v>
      </c>
      <c r="M2726" s="25">
        <f>DATE(YEAR(OneWeekMtgRatesDataTable75[[#This Row],[asOf]]),MONTH(OneWeekMtgRatesDataTable75[[#This Row],[asOf]]),DAY(OneWeekMtgRatesDataTable75[[#This Row],[asOf]]))</f>
        <v>38378</v>
      </c>
      <c r="N2726" s="51">
        <v>5.66</v>
      </c>
      <c r="O2726" s="51">
        <v>0.6</v>
      </c>
      <c r="P2726" s="51">
        <v>5.5600000000000005</v>
      </c>
    </row>
    <row r="2727" spans="12:16">
      <c r="L2727" s="51" t="s">
        <v>2736</v>
      </c>
      <c r="M2727" s="25">
        <f>DATE(YEAR(OneWeekMtgRatesDataTable75[[#This Row],[asOf]]),MONTH(OneWeekMtgRatesDataTable75[[#This Row],[asOf]]),DAY(OneWeekMtgRatesDataTable75[[#This Row],[asOf]]))</f>
        <v>38377</v>
      </c>
      <c r="N2727" s="51">
        <v>5.66</v>
      </c>
      <c r="O2727" s="51">
        <v>0.6</v>
      </c>
      <c r="P2727" s="51">
        <v>5.5600000000000005</v>
      </c>
    </row>
    <row r="2728" spans="12:16">
      <c r="L2728" s="51" t="s">
        <v>2737</v>
      </c>
      <c r="M2728" s="25">
        <f>DATE(YEAR(OneWeekMtgRatesDataTable75[[#This Row],[asOf]]),MONTH(OneWeekMtgRatesDataTable75[[#This Row],[asOf]]),DAY(OneWeekMtgRatesDataTable75[[#This Row],[asOf]]))</f>
        <v>38376</v>
      </c>
      <c r="N2728" s="51">
        <v>5.66</v>
      </c>
      <c r="O2728" s="51">
        <v>0.6</v>
      </c>
      <c r="P2728" s="51">
        <v>5.5600000000000005</v>
      </c>
    </row>
    <row r="2729" spans="12:16">
      <c r="L2729" s="51" t="s">
        <v>2738</v>
      </c>
      <c r="M2729" s="25">
        <f>DATE(YEAR(OneWeekMtgRatesDataTable75[[#This Row],[asOf]]),MONTH(OneWeekMtgRatesDataTable75[[#This Row],[asOf]]),DAY(OneWeekMtgRatesDataTable75[[#This Row],[asOf]]))</f>
        <v>38373</v>
      </c>
      <c r="N2729" s="51">
        <v>5.66</v>
      </c>
      <c r="O2729" s="51">
        <v>0.6</v>
      </c>
      <c r="P2729" s="51">
        <v>5.5600000000000005</v>
      </c>
    </row>
    <row r="2730" spans="12:16">
      <c r="L2730" s="51" t="s">
        <v>2739</v>
      </c>
      <c r="M2730" s="25">
        <f>DATE(YEAR(OneWeekMtgRatesDataTable75[[#This Row],[asOf]]),MONTH(OneWeekMtgRatesDataTable75[[#This Row],[asOf]]),DAY(OneWeekMtgRatesDataTable75[[#This Row],[asOf]]))</f>
        <v>38372</v>
      </c>
      <c r="N2730" s="51">
        <v>5.66</v>
      </c>
      <c r="O2730" s="51">
        <v>0.6</v>
      </c>
      <c r="P2730" s="51">
        <v>5.5600000000000005</v>
      </c>
    </row>
    <row r="2731" spans="12:16">
      <c r="L2731" s="51" t="s">
        <v>2740</v>
      </c>
      <c r="M2731" s="25">
        <f>DATE(YEAR(OneWeekMtgRatesDataTable75[[#This Row],[asOf]]),MONTH(OneWeekMtgRatesDataTable75[[#This Row],[asOf]]),DAY(OneWeekMtgRatesDataTable75[[#This Row],[asOf]]))</f>
        <v>38371</v>
      </c>
      <c r="N2731" s="51">
        <v>5.67</v>
      </c>
      <c r="O2731" s="51">
        <v>0.7</v>
      </c>
      <c r="P2731" s="51">
        <v>5.5949999999999998</v>
      </c>
    </row>
    <row r="2732" spans="12:16">
      <c r="L2732" s="51" t="s">
        <v>2741</v>
      </c>
      <c r="M2732" s="25">
        <f>DATE(YEAR(OneWeekMtgRatesDataTable75[[#This Row],[asOf]]),MONTH(OneWeekMtgRatesDataTable75[[#This Row],[asOf]]),DAY(OneWeekMtgRatesDataTable75[[#This Row],[asOf]]))</f>
        <v>38370</v>
      </c>
      <c r="N2732" s="51">
        <v>5.67</v>
      </c>
      <c r="O2732" s="51">
        <v>0.7</v>
      </c>
      <c r="P2732" s="51">
        <v>5.5949999999999998</v>
      </c>
    </row>
    <row r="2733" spans="12:16">
      <c r="L2733" s="51" t="s">
        <v>2742</v>
      </c>
      <c r="M2733" s="25">
        <f>DATE(YEAR(OneWeekMtgRatesDataTable75[[#This Row],[asOf]]),MONTH(OneWeekMtgRatesDataTable75[[#This Row],[asOf]]),DAY(OneWeekMtgRatesDataTable75[[#This Row],[asOf]]))</f>
        <v>38369</v>
      </c>
      <c r="N2733" s="51">
        <v>5.67</v>
      </c>
      <c r="O2733" s="51">
        <v>0.7</v>
      </c>
      <c r="P2733" s="51">
        <v>5.5949999999999998</v>
      </c>
    </row>
    <row r="2734" spans="12:16">
      <c r="L2734" s="51" t="s">
        <v>2743</v>
      </c>
      <c r="M2734" s="25">
        <f>DATE(YEAR(OneWeekMtgRatesDataTable75[[#This Row],[asOf]]),MONTH(OneWeekMtgRatesDataTable75[[#This Row],[asOf]]),DAY(OneWeekMtgRatesDataTable75[[#This Row],[asOf]]))</f>
        <v>38366</v>
      </c>
      <c r="N2734" s="51">
        <v>5.67</v>
      </c>
      <c r="O2734" s="51">
        <v>0.7</v>
      </c>
      <c r="P2734" s="51">
        <v>5.5949999999999998</v>
      </c>
    </row>
    <row r="2735" spans="12:16">
      <c r="L2735" s="51" t="s">
        <v>2744</v>
      </c>
      <c r="M2735" s="25">
        <f>DATE(YEAR(OneWeekMtgRatesDataTable75[[#This Row],[asOf]]),MONTH(OneWeekMtgRatesDataTable75[[#This Row],[asOf]]),DAY(OneWeekMtgRatesDataTable75[[#This Row],[asOf]]))</f>
        <v>38365</v>
      </c>
      <c r="N2735" s="51">
        <v>5.67</v>
      </c>
      <c r="O2735" s="51">
        <v>0.7</v>
      </c>
      <c r="P2735" s="51">
        <v>5.5949999999999998</v>
      </c>
    </row>
    <row r="2736" spans="12:16">
      <c r="L2736" s="51" t="s">
        <v>2745</v>
      </c>
      <c r="M2736" s="25">
        <f>DATE(YEAR(OneWeekMtgRatesDataTable75[[#This Row],[asOf]]),MONTH(OneWeekMtgRatesDataTable75[[#This Row],[asOf]]),DAY(OneWeekMtgRatesDataTable75[[#This Row],[asOf]]))</f>
        <v>38364</v>
      </c>
      <c r="N2736" s="51">
        <v>5.74</v>
      </c>
      <c r="O2736" s="51">
        <v>0.6</v>
      </c>
      <c r="P2736" s="51">
        <v>5.6400000000000006</v>
      </c>
    </row>
    <row r="2737" spans="12:16">
      <c r="L2737" s="51" t="s">
        <v>2746</v>
      </c>
      <c r="M2737" s="25">
        <f>DATE(YEAR(OneWeekMtgRatesDataTable75[[#This Row],[asOf]]),MONTH(OneWeekMtgRatesDataTable75[[#This Row],[asOf]]),DAY(OneWeekMtgRatesDataTable75[[#This Row],[asOf]]))</f>
        <v>38363</v>
      </c>
      <c r="N2737" s="51">
        <v>5.74</v>
      </c>
      <c r="O2737" s="51">
        <v>0.6</v>
      </c>
      <c r="P2737" s="51">
        <v>5.6400000000000006</v>
      </c>
    </row>
    <row r="2738" spans="12:16">
      <c r="L2738" s="51" t="s">
        <v>2747</v>
      </c>
      <c r="M2738" s="25">
        <f>DATE(YEAR(OneWeekMtgRatesDataTable75[[#This Row],[asOf]]),MONTH(OneWeekMtgRatesDataTable75[[#This Row],[asOf]]),DAY(OneWeekMtgRatesDataTable75[[#This Row],[asOf]]))</f>
        <v>38362</v>
      </c>
      <c r="N2738" s="51">
        <v>5.74</v>
      </c>
      <c r="O2738" s="51">
        <v>0.6</v>
      </c>
      <c r="P2738" s="51">
        <v>5.6400000000000006</v>
      </c>
    </row>
    <row r="2739" spans="12:16">
      <c r="L2739" s="51" t="s">
        <v>2748</v>
      </c>
      <c r="M2739" s="25">
        <f>DATE(YEAR(OneWeekMtgRatesDataTable75[[#This Row],[asOf]]),MONTH(OneWeekMtgRatesDataTable75[[#This Row],[asOf]]),DAY(OneWeekMtgRatesDataTable75[[#This Row],[asOf]]))</f>
        <v>38359</v>
      </c>
      <c r="N2739" s="51">
        <v>5.74</v>
      </c>
      <c r="O2739" s="51">
        <v>0.6</v>
      </c>
      <c r="P2739" s="51">
        <v>5.6400000000000006</v>
      </c>
    </row>
    <row r="2740" spans="12:16">
      <c r="L2740" s="51" t="s">
        <v>2749</v>
      </c>
      <c r="M2740" s="25">
        <f>DATE(YEAR(OneWeekMtgRatesDataTable75[[#This Row],[asOf]]),MONTH(OneWeekMtgRatesDataTable75[[#This Row],[asOf]]),DAY(OneWeekMtgRatesDataTable75[[#This Row],[asOf]]))</f>
        <v>38358</v>
      </c>
      <c r="N2740" s="51">
        <v>5.74</v>
      </c>
      <c r="O2740" s="51">
        <v>0.6</v>
      </c>
      <c r="P2740" s="51">
        <v>5.6400000000000006</v>
      </c>
    </row>
    <row r="2741" spans="12:16">
      <c r="L2741" s="51" t="s">
        <v>2750</v>
      </c>
      <c r="M2741" s="25">
        <f>DATE(YEAR(OneWeekMtgRatesDataTable75[[#This Row],[asOf]]),MONTH(OneWeekMtgRatesDataTable75[[#This Row],[asOf]]),DAY(OneWeekMtgRatesDataTable75[[#This Row],[asOf]]))</f>
        <v>38357</v>
      </c>
      <c r="N2741" s="51">
        <v>5.77</v>
      </c>
      <c r="O2741" s="51">
        <v>0.7</v>
      </c>
      <c r="P2741" s="51">
        <v>5.6949999999999994</v>
      </c>
    </row>
    <row r="2742" spans="12:16">
      <c r="L2742" s="51" t="s">
        <v>2751</v>
      </c>
      <c r="M2742" s="25">
        <f>DATE(YEAR(OneWeekMtgRatesDataTable75[[#This Row],[asOf]]),MONTH(OneWeekMtgRatesDataTable75[[#This Row],[asOf]]),DAY(OneWeekMtgRatesDataTable75[[#This Row],[asOf]]))</f>
        <v>38356</v>
      </c>
      <c r="N2742" s="51">
        <v>5.77</v>
      </c>
      <c r="O2742" s="51">
        <v>0.7</v>
      </c>
      <c r="P2742" s="51">
        <v>5.6949999999999994</v>
      </c>
    </row>
    <row r="2743" spans="12:16">
      <c r="L2743" s="51" t="s">
        <v>2752</v>
      </c>
      <c r="M2743" s="25">
        <f>DATE(YEAR(OneWeekMtgRatesDataTable75[[#This Row],[asOf]]),MONTH(OneWeekMtgRatesDataTable75[[#This Row],[asOf]]),DAY(OneWeekMtgRatesDataTable75[[#This Row],[asOf]]))</f>
        <v>38355</v>
      </c>
      <c r="N2743" s="51">
        <v>5.77</v>
      </c>
      <c r="O2743" s="51">
        <v>0.7</v>
      </c>
      <c r="P2743" s="51">
        <v>5.6949999999999994</v>
      </c>
    </row>
    <row r="2744" spans="12:16">
      <c r="L2744" s="51" t="s">
        <v>2753</v>
      </c>
      <c r="M2744" s="25">
        <f>DATE(YEAR(OneWeekMtgRatesDataTable75[[#This Row],[asOf]]),MONTH(OneWeekMtgRatesDataTable75[[#This Row],[asOf]]),DAY(OneWeekMtgRatesDataTable75[[#This Row],[asOf]]))</f>
        <v>38352</v>
      </c>
      <c r="N2744" s="51">
        <v>5.77</v>
      </c>
      <c r="O2744" s="51">
        <v>0.7</v>
      </c>
      <c r="P2744" s="51">
        <v>5.6949999999999994</v>
      </c>
    </row>
    <row r="2745" spans="12:16">
      <c r="L2745" s="51" t="s">
        <v>2754</v>
      </c>
      <c r="M2745" s="25">
        <f>DATE(YEAR(OneWeekMtgRatesDataTable75[[#This Row],[asOf]]),MONTH(OneWeekMtgRatesDataTable75[[#This Row],[asOf]]),DAY(OneWeekMtgRatesDataTable75[[#This Row],[asOf]]))</f>
        <v>38351</v>
      </c>
      <c r="N2745" s="51">
        <v>5.77</v>
      </c>
      <c r="O2745" s="51">
        <v>0.7</v>
      </c>
      <c r="P2745" s="51">
        <v>5.6949999999999994</v>
      </c>
    </row>
    <row r="2746" spans="12:16">
      <c r="L2746" s="51" t="s">
        <v>2755</v>
      </c>
      <c r="M2746" s="25">
        <f>DATE(YEAR(OneWeekMtgRatesDataTable75[[#This Row],[asOf]]),MONTH(OneWeekMtgRatesDataTable75[[#This Row],[asOf]]),DAY(OneWeekMtgRatesDataTable75[[#This Row],[asOf]]))</f>
        <v>38349</v>
      </c>
      <c r="N2746" s="51">
        <v>5.81</v>
      </c>
      <c r="O2746" s="51">
        <v>0.6</v>
      </c>
      <c r="P2746" s="51">
        <v>5.71</v>
      </c>
    </row>
    <row r="2747" spans="12:16">
      <c r="L2747" s="51" t="s">
        <v>2756</v>
      </c>
      <c r="M2747" s="25">
        <f>DATE(YEAR(OneWeekMtgRatesDataTable75[[#This Row],[asOf]]),MONTH(OneWeekMtgRatesDataTable75[[#This Row],[asOf]]),DAY(OneWeekMtgRatesDataTable75[[#This Row],[asOf]]))</f>
        <v>38348</v>
      </c>
      <c r="N2747" s="51">
        <v>5.81</v>
      </c>
      <c r="O2747" s="51">
        <v>0.6</v>
      </c>
      <c r="P2747" s="51">
        <v>5.71</v>
      </c>
    </row>
    <row r="2748" spans="12:16">
      <c r="L2748" s="51" t="s">
        <v>2757</v>
      </c>
      <c r="M2748" s="25">
        <f>DATE(YEAR(OneWeekMtgRatesDataTable75[[#This Row],[asOf]]),MONTH(OneWeekMtgRatesDataTable75[[#This Row],[asOf]]),DAY(OneWeekMtgRatesDataTable75[[#This Row],[asOf]]))</f>
        <v>38345</v>
      </c>
      <c r="N2748" s="51">
        <v>5.81</v>
      </c>
      <c r="O2748" s="51">
        <v>0.6</v>
      </c>
      <c r="P2748" s="51">
        <v>5.71</v>
      </c>
    </row>
    <row r="2749" spans="12:16">
      <c r="L2749" s="51" t="s">
        <v>2758</v>
      </c>
      <c r="M2749" s="25">
        <f>DATE(YEAR(OneWeekMtgRatesDataTable75[[#This Row],[asOf]]),MONTH(OneWeekMtgRatesDataTable75[[#This Row],[asOf]]),DAY(OneWeekMtgRatesDataTable75[[#This Row],[asOf]]))</f>
        <v>38344</v>
      </c>
      <c r="N2749" s="51">
        <v>5.81</v>
      </c>
      <c r="O2749" s="51">
        <v>0.6</v>
      </c>
      <c r="P2749" s="51">
        <v>5.71</v>
      </c>
    </row>
    <row r="2750" spans="12:16">
      <c r="L2750" s="51" t="s">
        <v>2759</v>
      </c>
      <c r="M2750" s="25">
        <f>DATE(YEAR(OneWeekMtgRatesDataTable75[[#This Row],[asOf]]),MONTH(OneWeekMtgRatesDataTable75[[#This Row],[asOf]]),DAY(OneWeekMtgRatesDataTable75[[#This Row],[asOf]]))</f>
        <v>38343</v>
      </c>
      <c r="N2750" s="51">
        <v>5.81</v>
      </c>
      <c r="O2750" s="51">
        <v>0.6</v>
      </c>
      <c r="P2750" s="51">
        <v>5.71</v>
      </c>
    </row>
    <row r="2751" spans="12:16">
      <c r="L2751" s="51" t="s">
        <v>2760</v>
      </c>
      <c r="M2751" s="25">
        <f>DATE(YEAR(OneWeekMtgRatesDataTable75[[#This Row],[asOf]]),MONTH(OneWeekMtgRatesDataTable75[[#This Row],[asOf]]),DAY(OneWeekMtgRatesDataTable75[[#This Row],[asOf]]))</f>
        <v>38342</v>
      </c>
      <c r="N2751" s="51">
        <v>5.75</v>
      </c>
      <c r="O2751" s="51">
        <v>0.6</v>
      </c>
      <c r="P2751" s="51">
        <v>5.65</v>
      </c>
    </row>
    <row r="2752" spans="12:16">
      <c r="L2752" s="51" t="s">
        <v>2761</v>
      </c>
      <c r="M2752" s="25">
        <f>DATE(YEAR(OneWeekMtgRatesDataTable75[[#This Row],[asOf]]),MONTH(OneWeekMtgRatesDataTable75[[#This Row],[asOf]]),DAY(OneWeekMtgRatesDataTable75[[#This Row],[asOf]]))</f>
        <v>38341</v>
      </c>
      <c r="N2752" s="51">
        <v>5.75</v>
      </c>
      <c r="O2752" s="51">
        <v>0.6</v>
      </c>
      <c r="P2752" s="51">
        <v>5.65</v>
      </c>
    </row>
    <row r="2753" spans="12:16">
      <c r="L2753" s="51" t="s">
        <v>2762</v>
      </c>
      <c r="M2753" s="25">
        <f>DATE(YEAR(OneWeekMtgRatesDataTable75[[#This Row],[asOf]]),MONTH(OneWeekMtgRatesDataTable75[[#This Row],[asOf]]),DAY(OneWeekMtgRatesDataTable75[[#This Row],[asOf]]))</f>
        <v>38338</v>
      </c>
      <c r="N2753" s="51">
        <v>5.75</v>
      </c>
      <c r="O2753" s="51">
        <v>0.6</v>
      </c>
      <c r="P2753" s="51">
        <v>5.65</v>
      </c>
    </row>
    <row r="2754" spans="12:16">
      <c r="L2754" s="51" t="s">
        <v>2763</v>
      </c>
      <c r="M2754" s="25">
        <f>DATE(YEAR(OneWeekMtgRatesDataTable75[[#This Row],[asOf]]),MONTH(OneWeekMtgRatesDataTable75[[#This Row],[asOf]]),DAY(OneWeekMtgRatesDataTable75[[#This Row],[asOf]]))</f>
        <v>38337</v>
      </c>
      <c r="N2754" s="51">
        <v>5.75</v>
      </c>
      <c r="O2754" s="51">
        <v>0.6</v>
      </c>
      <c r="P2754" s="51">
        <v>5.65</v>
      </c>
    </row>
    <row r="2755" spans="12:16">
      <c r="L2755" s="51" t="s">
        <v>2764</v>
      </c>
      <c r="M2755" s="25">
        <f>DATE(YEAR(OneWeekMtgRatesDataTable75[[#This Row],[asOf]]),MONTH(OneWeekMtgRatesDataTable75[[#This Row],[asOf]]),DAY(OneWeekMtgRatesDataTable75[[#This Row],[asOf]]))</f>
        <v>38336</v>
      </c>
      <c r="N2755" s="51">
        <v>5.75</v>
      </c>
      <c r="O2755" s="51">
        <v>0.6</v>
      </c>
      <c r="P2755" s="51">
        <v>5.65</v>
      </c>
    </row>
    <row r="2756" spans="12:16">
      <c r="L2756" s="51" t="s">
        <v>2764</v>
      </c>
      <c r="M2756" s="25">
        <f>DATE(YEAR(OneWeekMtgRatesDataTable75[[#This Row],[asOf]]),MONTH(OneWeekMtgRatesDataTable75[[#This Row],[asOf]]),DAY(OneWeekMtgRatesDataTable75[[#This Row],[asOf]]))</f>
        <v>38336</v>
      </c>
      <c r="N2756" s="51">
        <v>5.68</v>
      </c>
      <c r="O2756" s="51">
        <v>0.6</v>
      </c>
      <c r="P2756" s="51">
        <v>5.58</v>
      </c>
    </row>
    <row r="2757" spans="12:16">
      <c r="L2757" s="51" t="s">
        <v>2765</v>
      </c>
      <c r="M2757" s="25">
        <f>DATE(YEAR(OneWeekMtgRatesDataTable75[[#This Row],[asOf]]),MONTH(OneWeekMtgRatesDataTable75[[#This Row],[asOf]]),DAY(OneWeekMtgRatesDataTable75[[#This Row],[asOf]]))</f>
        <v>38335</v>
      </c>
      <c r="N2757" s="51">
        <v>5.68</v>
      </c>
      <c r="O2757" s="51">
        <v>0.6</v>
      </c>
      <c r="P2757" s="51">
        <v>5.58</v>
      </c>
    </row>
    <row r="2758" spans="12:16">
      <c r="L2758" s="51" t="s">
        <v>2766</v>
      </c>
      <c r="M2758" s="25">
        <f>DATE(YEAR(OneWeekMtgRatesDataTable75[[#This Row],[asOf]]),MONTH(OneWeekMtgRatesDataTable75[[#This Row],[asOf]]),DAY(OneWeekMtgRatesDataTable75[[#This Row],[asOf]]))</f>
        <v>38334</v>
      </c>
      <c r="N2758" s="51">
        <v>5.68</v>
      </c>
      <c r="O2758" s="51">
        <v>0.6</v>
      </c>
      <c r="P2758" s="51">
        <v>5.58</v>
      </c>
    </row>
    <row r="2759" spans="12:16">
      <c r="L2759" s="51" t="s">
        <v>2767</v>
      </c>
      <c r="M2759" s="25">
        <f>DATE(YEAR(OneWeekMtgRatesDataTable75[[#This Row],[asOf]]),MONTH(OneWeekMtgRatesDataTable75[[#This Row],[asOf]]),DAY(OneWeekMtgRatesDataTable75[[#This Row],[asOf]]))</f>
        <v>38331</v>
      </c>
      <c r="N2759" s="51">
        <v>5.68</v>
      </c>
      <c r="O2759" s="51">
        <v>0.6</v>
      </c>
      <c r="P2759" s="51">
        <v>5.58</v>
      </c>
    </row>
    <row r="2760" spans="12:16">
      <c r="L2760" s="51" t="s">
        <v>2768</v>
      </c>
      <c r="M2760" s="25">
        <f>DATE(YEAR(OneWeekMtgRatesDataTable75[[#This Row],[asOf]]),MONTH(OneWeekMtgRatesDataTable75[[#This Row],[asOf]]),DAY(OneWeekMtgRatesDataTable75[[#This Row],[asOf]]))</f>
        <v>38330</v>
      </c>
      <c r="N2760" s="51">
        <v>5.68</v>
      </c>
      <c r="O2760" s="51">
        <v>0.6</v>
      </c>
      <c r="P2760" s="51">
        <v>5.58</v>
      </c>
    </row>
    <row r="2761" spans="12:16">
      <c r="L2761" s="51" t="s">
        <v>2769</v>
      </c>
      <c r="M2761" s="25">
        <f>DATE(YEAR(OneWeekMtgRatesDataTable75[[#This Row],[asOf]]),MONTH(OneWeekMtgRatesDataTable75[[#This Row],[asOf]]),DAY(OneWeekMtgRatesDataTable75[[#This Row],[asOf]]))</f>
        <v>38329</v>
      </c>
      <c r="N2761" s="51">
        <v>5.71</v>
      </c>
      <c r="O2761" s="51">
        <v>0.7</v>
      </c>
      <c r="P2761" s="51">
        <v>5.6349999999999998</v>
      </c>
    </row>
    <row r="2762" spans="12:16">
      <c r="L2762" s="51" t="s">
        <v>2770</v>
      </c>
      <c r="M2762" s="25">
        <f>DATE(YEAR(OneWeekMtgRatesDataTable75[[#This Row],[asOf]]),MONTH(OneWeekMtgRatesDataTable75[[#This Row],[asOf]]),DAY(OneWeekMtgRatesDataTable75[[#This Row],[asOf]]))</f>
        <v>38328</v>
      </c>
      <c r="N2762" s="51">
        <v>5.71</v>
      </c>
      <c r="O2762" s="51">
        <v>0.7</v>
      </c>
      <c r="P2762" s="51">
        <v>5.6349999999999998</v>
      </c>
    </row>
    <row r="2763" spans="12:16">
      <c r="L2763" s="51" t="s">
        <v>2771</v>
      </c>
      <c r="M2763" s="25">
        <f>DATE(YEAR(OneWeekMtgRatesDataTable75[[#This Row],[asOf]]),MONTH(OneWeekMtgRatesDataTable75[[#This Row],[asOf]]),DAY(OneWeekMtgRatesDataTable75[[#This Row],[asOf]]))</f>
        <v>38327</v>
      </c>
      <c r="N2763" s="51">
        <v>5.71</v>
      </c>
      <c r="O2763" s="51">
        <v>0.7</v>
      </c>
      <c r="P2763" s="51">
        <v>5.6349999999999998</v>
      </c>
    </row>
    <row r="2764" spans="12:16">
      <c r="L2764" s="51" t="s">
        <v>2772</v>
      </c>
      <c r="M2764" s="25">
        <f>DATE(YEAR(OneWeekMtgRatesDataTable75[[#This Row],[asOf]]),MONTH(OneWeekMtgRatesDataTable75[[#This Row],[asOf]]),DAY(OneWeekMtgRatesDataTable75[[#This Row],[asOf]]))</f>
        <v>38324</v>
      </c>
      <c r="N2764" s="51">
        <v>5.71</v>
      </c>
      <c r="O2764" s="51">
        <v>0.7</v>
      </c>
      <c r="P2764" s="51">
        <v>5.6349999999999998</v>
      </c>
    </row>
    <row r="2765" spans="12:16">
      <c r="L2765" s="51" t="s">
        <v>2773</v>
      </c>
      <c r="M2765" s="25">
        <f>DATE(YEAR(OneWeekMtgRatesDataTable75[[#This Row],[asOf]]),MONTH(OneWeekMtgRatesDataTable75[[#This Row],[asOf]]),DAY(OneWeekMtgRatesDataTable75[[#This Row],[asOf]]))</f>
        <v>38323</v>
      </c>
      <c r="N2765" s="51">
        <v>5.71</v>
      </c>
      <c r="O2765" s="51">
        <v>0.7</v>
      </c>
      <c r="P2765" s="51">
        <v>5.6349999999999998</v>
      </c>
    </row>
    <row r="2766" spans="12:16">
      <c r="L2766" s="51" t="s">
        <v>2774</v>
      </c>
      <c r="M2766" s="25">
        <f>DATE(YEAR(OneWeekMtgRatesDataTable75[[#This Row],[asOf]]),MONTH(OneWeekMtgRatesDataTable75[[#This Row],[asOf]]),DAY(OneWeekMtgRatesDataTable75[[#This Row],[asOf]]))</f>
        <v>38322</v>
      </c>
      <c r="N2766" s="51">
        <v>5.81</v>
      </c>
      <c r="O2766" s="51">
        <v>0.6</v>
      </c>
      <c r="P2766" s="51">
        <v>5.71</v>
      </c>
    </row>
    <row r="2767" spans="12:16">
      <c r="L2767" s="51" t="s">
        <v>2775</v>
      </c>
      <c r="M2767" s="25">
        <f>DATE(YEAR(OneWeekMtgRatesDataTable75[[#This Row],[asOf]]),MONTH(OneWeekMtgRatesDataTable75[[#This Row],[asOf]]),DAY(OneWeekMtgRatesDataTable75[[#This Row],[asOf]]))</f>
        <v>38321</v>
      </c>
      <c r="N2767" s="51">
        <v>5.81</v>
      </c>
      <c r="O2767" s="51">
        <v>0.6</v>
      </c>
      <c r="P2767" s="51">
        <v>5.71</v>
      </c>
    </row>
    <row r="2768" spans="12:16">
      <c r="L2768" s="51" t="s">
        <v>2776</v>
      </c>
      <c r="M2768" s="25">
        <f>DATE(YEAR(OneWeekMtgRatesDataTable75[[#This Row],[asOf]]),MONTH(OneWeekMtgRatesDataTable75[[#This Row],[asOf]]),DAY(OneWeekMtgRatesDataTable75[[#This Row],[asOf]]))</f>
        <v>38320</v>
      </c>
      <c r="N2768" s="51">
        <v>5.81</v>
      </c>
      <c r="O2768" s="51">
        <v>0.6</v>
      </c>
      <c r="P2768" s="51">
        <v>5.71</v>
      </c>
    </row>
    <row r="2769" spans="12:16">
      <c r="L2769" s="51" t="s">
        <v>2777</v>
      </c>
      <c r="M2769" s="25">
        <f>DATE(YEAR(OneWeekMtgRatesDataTable75[[#This Row],[asOf]]),MONTH(OneWeekMtgRatesDataTable75[[#This Row],[asOf]]),DAY(OneWeekMtgRatesDataTable75[[#This Row],[asOf]]))</f>
        <v>38317</v>
      </c>
      <c r="N2769" s="51">
        <v>5.81</v>
      </c>
      <c r="O2769" s="51">
        <v>0.6</v>
      </c>
      <c r="P2769" s="51">
        <v>5.71</v>
      </c>
    </row>
    <row r="2770" spans="12:16">
      <c r="L2770" s="51" t="s">
        <v>2778</v>
      </c>
      <c r="M2770" s="25">
        <f>DATE(YEAR(OneWeekMtgRatesDataTable75[[#This Row],[asOf]]),MONTH(OneWeekMtgRatesDataTable75[[#This Row],[asOf]]),DAY(OneWeekMtgRatesDataTable75[[#This Row],[asOf]]))</f>
        <v>38316</v>
      </c>
      <c r="N2770" s="51">
        <v>5.81</v>
      </c>
      <c r="O2770" s="51">
        <v>0.6</v>
      </c>
      <c r="P2770" s="51">
        <v>5.71</v>
      </c>
    </row>
    <row r="2771" spans="12:16">
      <c r="L2771" s="51" t="s">
        <v>2779</v>
      </c>
      <c r="M2771" s="25">
        <f>DATE(YEAR(OneWeekMtgRatesDataTable75[[#This Row],[asOf]]),MONTH(OneWeekMtgRatesDataTable75[[#This Row],[asOf]]),DAY(OneWeekMtgRatesDataTable75[[#This Row],[asOf]]))</f>
        <v>38314</v>
      </c>
      <c r="N2771" s="51">
        <v>5.72</v>
      </c>
      <c r="O2771" s="51">
        <v>0.6</v>
      </c>
      <c r="P2771" s="51">
        <v>5.62</v>
      </c>
    </row>
    <row r="2772" spans="12:16">
      <c r="L2772" s="51" t="s">
        <v>2780</v>
      </c>
      <c r="M2772" s="25">
        <f>DATE(YEAR(OneWeekMtgRatesDataTable75[[#This Row],[asOf]]),MONTH(OneWeekMtgRatesDataTable75[[#This Row],[asOf]]),DAY(OneWeekMtgRatesDataTable75[[#This Row],[asOf]]))</f>
        <v>38313</v>
      </c>
      <c r="N2772" s="51">
        <v>5.72</v>
      </c>
      <c r="O2772" s="51">
        <v>0.6</v>
      </c>
      <c r="P2772" s="51">
        <v>5.62</v>
      </c>
    </row>
    <row r="2773" spans="12:16">
      <c r="L2773" s="51" t="s">
        <v>2781</v>
      </c>
      <c r="M2773" s="25">
        <f>DATE(YEAR(OneWeekMtgRatesDataTable75[[#This Row],[asOf]]),MONTH(OneWeekMtgRatesDataTable75[[#This Row],[asOf]]),DAY(OneWeekMtgRatesDataTable75[[#This Row],[asOf]]))</f>
        <v>38310</v>
      </c>
      <c r="N2773" s="51">
        <v>5.72</v>
      </c>
      <c r="O2773" s="51">
        <v>0.6</v>
      </c>
      <c r="P2773" s="51">
        <v>5.62</v>
      </c>
    </row>
    <row r="2774" spans="12:16">
      <c r="L2774" s="51" t="s">
        <v>2782</v>
      </c>
      <c r="M2774" s="25">
        <f>DATE(YEAR(OneWeekMtgRatesDataTable75[[#This Row],[asOf]]),MONTH(OneWeekMtgRatesDataTable75[[#This Row],[asOf]]),DAY(OneWeekMtgRatesDataTable75[[#This Row],[asOf]]))</f>
        <v>38309</v>
      </c>
      <c r="N2774" s="51">
        <v>5.72</v>
      </c>
      <c r="O2774" s="51">
        <v>0.6</v>
      </c>
      <c r="P2774" s="51">
        <v>5.62</v>
      </c>
    </row>
    <row r="2775" spans="12:16">
      <c r="L2775" s="51" t="s">
        <v>2783</v>
      </c>
      <c r="M2775" s="25">
        <f>DATE(YEAR(OneWeekMtgRatesDataTable75[[#This Row],[asOf]]),MONTH(OneWeekMtgRatesDataTable75[[#This Row],[asOf]]),DAY(OneWeekMtgRatesDataTable75[[#This Row],[asOf]]))</f>
        <v>38308</v>
      </c>
      <c r="N2775" s="51">
        <v>5.72</v>
      </c>
      <c r="O2775" s="51">
        <v>0.6</v>
      </c>
      <c r="P2775" s="51">
        <v>5.62</v>
      </c>
    </row>
    <row r="2776" spans="12:16">
      <c r="L2776" s="51" t="s">
        <v>2783</v>
      </c>
      <c r="M2776" s="25">
        <f>DATE(YEAR(OneWeekMtgRatesDataTable75[[#This Row],[asOf]]),MONTH(OneWeekMtgRatesDataTable75[[#This Row],[asOf]]),DAY(OneWeekMtgRatesDataTable75[[#This Row],[asOf]]))</f>
        <v>38308</v>
      </c>
      <c r="N2776" s="51">
        <v>5.74</v>
      </c>
      <c r="O2776" s="51">
        <v>0.6</v>
      </c>
      <c r="P2776" s="51">
        <v>5.6400000000000006</v>
      </c>
    </row>
    <row r="2777" spans="12:16">
      <c r="L2777" s="51" t="s">
        <v>2784</v>
      </c>
      <c r="M2777" s="25">
        <f>DATE(YEAR(OneWeekMtgRatesDataTable75[[#This Row],[asOf]]),MONTH(OneWeekMtgRatesDataTable75[[#This Row],[asOf]]),DAY(OneWeekMtgRatesDataTable75[[#This Row],[asOf]]))</f>
        <v>38307</v>
      </c>
      <c r="N2777" s="51">
        <v>5.74</v>
      </c>
      <c r="O2777" s="51">
        <v>0.6</v>
      </c>
      <c r="P2777" s="51">
        <v>5.6400000000000006</v>
      </c>
    </row>
    <row r="2778" spans="12:16">
      <c r="L2778" s="51" t="s">
        <v>2785</v>
      </c>
      <c r="M2778" s="25">
        <f>DATE(YEAR(OneWeekMtgRatesDataTable75[[#This Row],[asOf]]),MONTH(OneWeekMtgRatesDataTable75[[#This Row],[asOf]]),DAY(OneWeekMtgRatesDataTable75[[#This Row],[asOf]]))</f>
        <v>38306</v>
      </c>
      <c r="N2778" s="51">
        <v>5.74</v>
      </c>
      <c r="O2778" s="51">
        <v>0.6</v>
      </c>
      <c r="P2778" s="51">
        <v>5.6400000000000006</v>
      </c>
    </row>
    <row r="2779" spans="12:16">
      <c r="L2779" s="51" t="s">
        <v>2786</v>
      </c>
      <c r="M2779" s="25">
        <f>DATE(YEAR(OneWeekMtgRatesDataTable75[[#This Row],[asOf]]),MONTH(OneWeekMtgRatesDataTable75[[#This Row],[asOf]]),DAY(OneWeekMtgRatesDataTable75[[#This Row],[asOf]]))</f>
        <v>38303</v>
      </c>
      <c r="N2779" s="51">
        <v>5.74</v>
      </c>
      <c r="O2779" s="51">
        <v>0.6</v>
      </c>
      <c r="P2779" s="51">
        <v>5.6400000000000006</v>
      </c>
    </row>
    <row r="2780" spans="12:16">
      <c r="L2780" s="51" t="s">
        <v>2787</v>
      </c>
      <c r="M2780" s="25">
        <f>DATE(YEAR(OneWeekMtgRatesDataTable75[[#This Row],[asOf]]),MONTH(OneWeekMtgRatesDataTable75[[#This Row],[asOf]]),DAY(OneWeekMtgRatesDataTable75[[#This Row],[asOf]]))</f>
        <v>38302</v>
      </c>
      <c r="N2780" s="51">
        <v>5.74</v>
      </c>
      <c r="O2780" s="51">
        <v>0.6</v>
      </c>
      <c r="P2780" s="51">
        <v>5.6400000000000006</v>
      </c>
    </row>
    <row r="2781" spans="12:16">
      <c r="L2781" s="51" t="s">
        <v>2788</v>
      </c>
      <c r="M2781" s="25">
        <f>DATE(YEAR(OneWeekMtgRatesDataTable75[[#This Row],[asOf]]),MONTH(OneWeekMtgRatesDataTable75[[#This Row],[asOf]]),DAY(OneWeekMtgRatesDataTable75[[#This Row],[asOf]]))</f>
        <v>38301</v>
      </c>
      <c r="N2781" s="51">
        <v>5.76</v>
      </c>
      <c r="O2781" s="51">
        <v>0.7</v>
      </c>
      <c r="P2781" s="51">
        <v>5.6849999999999996</v>
      </c>
    </row>
    <row r="2782" spans="12:16">
      <c r="L2782" s="51" t="s">
        <v>2789</v>
      </c>
      <c r="M2782" s="25">
        <f>DATE(YEAR(OneWeekMtgRatesDataTable75[[#This Row],[asOf]]),MONTH(OneWeekMtgRatesDataTable75[[#This Row],[asOf]]),DAY(OneWeekMtgRatesDataTable75[[#This Row],[asOf]]))</f>
        <v>38300</v>
      </c>
      <c r="N2782" s="51">
        <v>5.76</v>
      </c>
      <c r="O2782" s="51">
        <v>0.7</v>
      </c>
      <c r="P2782" s="51">
        <v>5.6849999999999996</v>
      </c>
    </row>
    <row r="2783" spans="12:16">
      <c r="L2783" s="51" t="s">
        <v>2790</v>
      </c>
      <c r="M2783" s="25">
        <f>DATE(YEAR(OneWeekMtgRatesDataTable75[[#This Row],[asOf]]),MONTH(OneWeekMtgRatesDataTable75[[#This Row],[asOf]]),DAY(OneWeekMtgRatesDataTable75[[#This Row],[asOf]]))</f>
        <v>38299</v>
      </c>
      <c r="N2783" s="51">
        <v>5.76</v>
      </c>
      <c r="O2783" s="51">
        <v>0.7</v>
      </c>
      <c r="P2783" s="51">
        <v>5.6849999999999996</v>
      </c>
    </row>
    <row r="2784" spans="12:16">
      <c r="L2784" s="51" t="s">
        <v>2791</v>
      </c>
      <c r="M2784" s="25">
        <f>DATE(YEAR(OneWeekMtgRatesDataTable75[[#This Row],[asOf]]),MONTH(OneWeekMtgRatesDataTable75[[#This Row],[asOf]]),DAY(OneWeekMtgRatesDataTable75[[#This Row],[asOf]]))</f>
        <v>38296</v>
      </c>
      <c r="N2784" s="51">
        <v>5.76</v>
      </c>
      <c r="O2784" s="51">
        <v>0.7</v>
      </c>
      <c r="P2784" s="51">
        <v>5.6849999999999996</v>
      </c>
    </row>
    <row r="2785" spans="12:16">
      <c r="L2785" s="51" t="s">
        <v>2792</v>
      </c>
      <c r="M2785" s="25">
        <f>DATE(YEAR(OneWeekMtgRatesDataTable75[[#This Row],[asOf]]),MONTH(OneWeekMtgRatesDataTable75[[#This Row],[asOf]]),DAY(OneWeekMtgRatesDataTable75[[#This Row],[asOf]]))</f>
        <v>38295</v>
      </c>
      <c r="N2785" s="51">
        <v>5.76</v>
      </c>
      <c r="O2785" s="51">
        <v>0.7</v>
      </c>
      <c r="P2785" s="51">
        <v>5.6849999999999996</v>
      </c>
    </row>
    <row r="2786" spans="12:16">
      <c r="L2786" s="51" t="s">
        <v>2793</v>
      </c>
      <c r="M2786" s="25">
        <f>DATE(YEAR(OneWeekMtgRatesDataTable75[[#This Row],[asOf]]),MONTH(OneWeekMtgRatesDataTable75[[#This Row],[asOf]]),DAY(OneWeekMtgRatesDataTable75[[#This Row],[asOf]]))</f>
        <v>38294</v>
      </c>
      <c r="N2786" s="51">
        <v>5.7</v>
      </c>
      <c r="O2786" s="51">
        <v>0.6</v>
      </c>
      <c r="P2786" s="51">
        <v>5.6000000000000005</v>
      </c>
    </row>
    <row r="2787" spans="12:16">
      <c r="L2787" s="51" t="s">
        <v>2794</v>
      </c>
      <c r="M2787" s="25">
        <f>DATE(YEAR(OneWeekMtgRatesDataTable75[[#This Row],[asOf]]),MONTH(OneWeekMtgRatesDataTable75[[#This Row],[asOf]]),DAY(OneWeekMtgRatesDataTable75[[#This Row],[asOf]]))</f>
        <v>38293</v>
      </c>
      <c r="N2787" s="51">
        <v>5.7</v>
      </c>
      <c r="O2787" s="51">
        <v>0.6</v>
      </c>
      <c r="P2787" s="51">
        <v>5.6000000000000005</v>
      </c>
    </row>
    <row r="2788" spans="12:16">
      <c r="L2788" s="51" t="s">
        <v>2795</v>
      </c>
      <c r="M2788" s="25">
        <f>DATE(YEAR(OneWeekMtgRatesDataTable75[[#This Row],[asOf]]),MONTH(OneWeekMtgRatesDataTable75[[#This Row],[asOf]]),DAY(OneWeekMtgRatesDataTable75[[#This Row],[asOf]]))</f>
        <v>38292</v>
      </c>
      <c r="N2788" s="51">
        <v>5.7</v>
      </c>
      <c r="O2788" s="51">
        <v>0.6</v>
      </c>
      <c r="P2788" s="51">
        <v>5.6000000000000005</v>
      </c>
    </row>
    <row r="2789" spans="12:16">
      <c r="L2789" s="51" t="s">
        <v>2796</v>
      </c>
      <c r="M2789" s="25">
        <f>DATE(YEAR(OneWeekMtgRatesDataTable75[[#This Row],[asOf]]),MONTH(OneWeekMtgRatesDataTable75[[#This Row],[asOf]]),DAY(OneWeekMtgRatesDataTable75[[#This Row],[asOf]]))</f>
        <v>38289</v>
      </c>
      <c r="N2789" s="51">
        <v>5.7</v>
      </c>
      <c r="O2789" s="51">
        <v>0.6</v>
      </c>
      <c r="P2789" s="51">
        <v>5.6000000000000005</v>
      </c>
    </row>
    <row r="2790" spans="12:16">
      <c r="L2790" s="51" t="s">
        <v>2797</v>
      </c>
      <c r="M2790" s="25">
        <f>DATE(YEAR(OneWeekMtgRatesDataTable75[[#This Row],[asOf]]),MONTH(OneWeekMtgRatesDataTable75[[#This Row],[asOf]]),DAY(OneWeekMtgRatesDataTable75[[#This Row],[asOf]]))</f>
        <v>38288</v>
      </c>
      <c r="N2790" s="51">
        <v>5.7</v>
      </c>
      <c r="O2790" s="51">
        <v>0.6</v>
      </c>
      <c r="P2790" s="51">
        <v>5.6000000000000005</v>
      </c>
    </row>
    <row r="2791" spans="12:16">
      <c r="L2791" s="51" t="s">
        <v>2798</v>
      </c>
      <c r="M2791" s="25">
        <f>DATE(YEAR(OneWeekMtgRatesDataTable75[[#This Row],[asOf]]),MONTH(OneWeekMtgRatesDataTable75[[#This Row],[asOf]]),DAY(OneWeekMtgRatesDataTable75[[#This Row],[asOf]]))</f>
        <v>38287</v>
      </c>
      <c r="N2791" s="51">
        <v>5.64</v>
      </c>
      <c r="O2791" s="51">
        <v>0.7</v>
      </c>
      <c r="P2791" s="51">
        <v>5.5649999999999995</v>
      </c>
    </row>
    <row r="2792" spans="12:16">
      <c r="L2792" s="51" t="s">
        <v>2799</v>
      </c>
      <c r="M2792" s="25">
        <f>DATE(YEAR(OneWeekMtgRatesDataTable75[[#This Row],[asOf]]),MONTH(OneWeekMtgRatesDataTable75[[#This Row],[asOf]]),DAY(OneWeekMtgRatesDataTable75[[#This Row],[asOf]]))</f>
        <v>38286</v>
      </c>
      <c r="N2792" s="51">
        <v>5.64</v>
      </c>
      <c r="O2792" s="51">
        <v>0.7</v>
      </c>
      <c r="P2792" s="51">
        <v>5.5649999999999995</v>
      </c>
    </row>
    <row r="2793" spans="12:16">
      <c r="L2793" s="51" t="s">
        <v>2800</v>
      </c>
      <c r="M2793" s="25">
        <f>DATE(YEAR(OneWeekMtgRatesDataTable75[[#This Row],[asOf]]),MONTH(OneWeekMtgRatesDataTable75[[#This Row],[asOf]]),DAY(OneWeekMtgRatesDataTable75[[#This Row],[asOf]]))</f>
        <v>38285</v>
      </c>
      <c r="N2793" s="51">
        <v>5.64</v>
      </c>
      <c r="O2793" s="51">
        <v>0.7</v>
      </c>
      <c r="P2793" s="51">
        <v>5.5649999999999995</v>
      </c>
    </row>
    <row r="2794" spans="12:16">
      <c r="L2794" s="51" t="s">
        <v>2801</v>
      </c>
      <c r="M2794" s="25">
        <f>DATE(YEAR(OneWeekMtgRatesDataTable75[[#This Row],[asOf]]),MONTH(OneWeekMtgRatesDataTable75[[#This Row],[asOf]]),DAY(OneWeekMtgRatesDataTable75[[#This Row],[asOf]]))</f>
        <v>38282</v>
      </c>
      <c r="N2794" s="51">
        <v>5.64</v>
      </c>
      <c r="O2794" s="51">
        <v>0.7</v>
      </c>
      <c r="P2794" s="51">
        <v>5.5649999999999995</v>
      </c>
    </row>
    <row r="2795" spans="12:16">
      <c r="L2795" s="51" t="s">
        <v>2802</v>
      </c>
      <c r="M2795" s="25">
        <f>DATE(YEAR(OneWeekMtgRatesDataTable75[[#This Row],[asOf]]),MONTH(OneWeekMtgRatesDataTable75[[#This Row],[asOf]]),DAY(OneWeekMtgRatesDataTable75[[#This Row],[asOf]]))</f>
        <v>38281</v>
      </c>
      <c r="N2795" s="51">
        <v>5.64</v>
      </c>
      <c r="O2795" s="51">
        <v>0.7</v>
      </c>
      <c r="P2795" s="51">
        <v>5.5649999999999995</v>
      </c>
    </row>
    <row r="2796" spans="12:16">
      <c r="L2796" s="51" t="s">
        <v>2803</v>
      </c>
      <c r="M2796" s="25">
        <f>DATE(YEAR(OneWeekMtgRatesDataTable75[[#This Row],[asOf]]),MONTH(OneWeekMtgRatesDataTable75[[#This Row],[asOf]]),DAY(OneWeekMtgRatesDataTable75[[#This Row],[asOf]]))</f>
        <v>38280</v>
      </c>
      <c r="N2796" s="51">
        <v>5.69</v>
      </c>
      <c r="O2796" s="51">
        <v>0.7</v>
      </c>
      <c r="P2796" s="51">
        <v>5.6150000000000002</v>
      </c>
    </row>
    <row r="2797" spans="12:16">
      <c r="L2797" s="51" t="s">
        <v>2804</v>
      </c>
      <c r="M2797" s="25">
        <f>DATE(YEAR(OneWeekMtgRatesDataTable75[[#This Row],[asOf]]),MONTH(OneWeekMtgRatesDataTable75[[#This Row],[asOf]]),DAY(OneWeekMtgRatesDataTable75[[#This Row],[asOf]]))</f>
        <v>38279</v>
      </c>
      <c r="N2797" s="51">
        <v>5.69</v>
      </c>
      <c r="O2797" s="51">
        <v>0.7</v>
      </c>
      <c r="P2797" s="51">
        <v>5.6150000000000002</v>
      </c>
    </row>
    <row r="2798" spans="12:16">
      <c r="L2798" s="51" t="s">
        <v>2805</v>
      </c>
      <c r="M2798" s="25">
        <f>DATE(YEAR(OneWeekMtgRatesDataTable75[[#This Row],[asOf]]),MONTH(OneWeekMtgRatesDataTable75[[#This Row],[asOf]]),DAY(OneWeekMtgRatesDataTable75[[#This Row],[asOf]]))</f>
        <v>38278</v>
      </c>
      <c r="N2798" s="51">
        <v>5.69</v>
      </c>
      <c r="O2798" s="51">
        <v>0.7</v>
      </c>
      <c r="P2798" s="51">
        <v>5.6150000000000002</v>
      </c>
    </row>
    <row r="2799" spans="12:16">
      <c r="L2799" s="51" t="s">
        <v>2806</v>
      </c>
      <c r="M2799" s="25">
        <f>DATE(YEAR(OneWeekMtgRatesDataTable75[[#This Row],[asOf]]),MONTH(OneWeekMtgRatesDataTable75[[#This Row],[asOf]]),DAY(OneWeekMtgRatesDataTable75[[#This Row],[asOf]]))</f>
        <v>38275</v>
      </c>
      <c r="N2799" s="51">
        <v>5.69</v>
      </c>
      <c r="O2799" s="51">
        <v>0.7</v>
      </c>
      <c r="P2799" s="51">
        <v>5.6150000000000002</v>
      </c>
    </row>
    <row r="2800" spans="12:16">
      <c r="L2800" s="51" t="s">
        <v>2807</v>
      </c>
      <c r="M2800" s="25">
        <f>DATE(YEAR(OneWeekMtgRatesDataTable75[[#This Row],[asOf]]),MONTH(OneWeekMtgRatesDataTable75[[#This Row],[asOf]]),DAY(OneWeekMtgRatesDataTable75[[#This Row],[asOf]]))</f>
        <v>38274</v>
      </c>
      <c r="N2800" s="51">
        <v>5.69</v>
      </c>
      <c r="O2800" s="51">
        <v>0.7</v>
      </c>
      <c r="P2800" s="51">
        <v>5.6150000000000002</v>
      </c>
    </row>
    <row r="2801" spans="12:16">
      <c r="L2801" s="51" t="s">
        <v>2808</v>
      </c>
      <c r="M2801" s="25">
        <f>DATE(YEAR(OneWeekMtgRatesDataTable75[[#This Row],[asOf]]),MONTH(OneWeekMtgRatesDataTable75[[#This Row],[asOf]]),DAY(OneWeekMtgRatesDataTable75[[#This Row],[asOf]]))</f>
        <v>38273</v>
      </c>
      <c r="N2801" s="51">
        <v>5.74</v>
      </c>
      <c r="O2801" s="51">
        <v>0.6</v>
      </c>
      <c r="P2801" s="51">
        <v>5.6400000000000006</v>
      </c>
    </row>
    <row r="2802" spans="12:16">
      <c r="L2802" s="51" t="s">
        <v>2809</v>
      </c>
      <c r="M2802" s="25">
        <f>DATE(YEAR(OneWeekMtgRatesDataTable75[[#This Row],[asOf]]),MONTH(OneWeekMtgRatesDataTable75[[#This Row],[asOf]]),DAY(OneWeekMtgRatesDataTable75[[#This Row],[asOf]]))</f>
        <v>38272</v>
      </c>
      <c r="N2802" s="51">
        <v>5.74</v>
      </c>
      <c r="O2802" s="51">
        <v>0.6</v>
      </c>
      <c r="P2802" s="51">
        <v>5.6400000000000006</v>
      </c>
    </row>
    <row r="2803" spans="12:16">
      <c r="L2803" s="51" t="s">
        <v>2810</v>
      </c>
      <c r="M2803" s="25">
        <f>DATE(YEAR(OneWeekMtgRatesDataTable75[[#This Row],[asOf]]),MONTH(OneWeekMtgRatesDataTable75[[#This Row],[asOf]]),DAY(OneWeekMtgRatesDataTable75[[#This Row],[asOf]]))</f>
        <v>38271</v>
      </c>
      <c r="N2803" s="51">
        <v>5.74</v>
      </c>
      <c r="O2803" s="51">
        <v>0.6</v>
      </c>
      <c r="P2803" s="51">
        <v>5.6400000000000006</v>
      </c>
    </row>
    <row r="2804" spans="12:16">
      <c r="L2804" s="51" t="s">
        <v>2811</v>
      </c>
      <c r="M2804" s="25">
        <f>DATE(YEAR(OneWeekMtgRatesDataTable75[[#This Row],[asOf]]),MONTH(OneWeekMtgRatesDataTable75[[#This Row],[asOf]]),DAY(OneWeekMtgRatesDataTable75[[#This Row],[asOf]]))</f>
        <v>38268</v>
      </c>
      <c r="N2804" s="51">
        <v>5.74</v>
      </c>
      <c r="O2804" s="51">
        <v>0.6</v>
      </c>
      <c r="P2804" s="51">
        <v>5.6400000000000006</v>
      </c>
    </row>
    <row r="2805" spans="12:16">
      <c r="L2805" s="51" t="s">
        <v>2812</v>
      </c>
      <c r="M2805" s="25">
        <f>DATE(YEAR(OneWeekMtgRatesDataTable75[[#This Row],[asOf]]),MONTH(OneWeekMtgRatesDataTable75[[#This Row],[asOf]]),DAY(OneWeekMtgRatesDataTable75[[#This Row],[asOf]]))</f>
        <v>38267</v>
      </c>
      <c r="N2805" s="51">
        <v>5.74</v>
      </c>
      <c r="O2805" s="51">
        <v>0.6</v>
      </c>
      <c r="P2805" s="51">
        <v>5.6400000000000006</v>
      </c>
    </row>
    <row r="2806" spans="12:16">
      <c r="L2806" s="51" t="s">
        <v>2813</v>
      </c>
      <c r="M2806" s="25">
        <f>DATE(YEAR(OneWeekMtgRatesDataTable75[[#This Row],[asOf]]),MONTH(OneWeekMtgRatesDataTable75[[#This Row],[asOf]]),DAY(OneWeekMtgRatesDataTable75[[#This Row],[asOf]]))</f>
        <v>38266</v>
      </c>
      <c r="N2806" s="51">
        <v>5.82</v>
      </c>
      <c r="O2806" s="51">
        <v>0.6</v>
      </c>
      <c r="P2806" s="51">
        <v>5.7200000000000006</v>
      </c>
    </row>
    <row r="2807" spans="12:16">
      <c r="L2807" s="51" t="s">
        <v>2814</v>
      </c>
      <c r="M2807" s="25">
        <f>DATE(YEAR(OneWeekMtgRatesDataTable75[[#This Row],[asOf]]),MONTH(OneWeekMtgRatesDataTable75[[#This Row],[asOf]]),DAY(OneWeekMtgRatesDataTable75[[#This Row],[asOf]]))</f>
        <v>38265</v>
      </c>
      <c r="N2807" s="51">
        <v>5.82</v>
      </c>
      <c r="O2807" s="51">
        <v>0.6</v>
      </c>
      <c r="P2807" s="51">
        <v>5.7200000000000006</v>
      </c>
    </row>
    <row r="2808" spans="12:16">
      <c r="L2808" s="51" t="s">
        <v>2815</v>
      </c>
      <c r="M2808" s="25">
        <f>DATE(YEAR(OneWeekMtgRatesDataTable75[[#This Row],[asOf]]),MONTH(OneWeekMtgRatesDataTable75[[#This Row],[asOf]]),DAY(OneWeekMtgRatesDataTable75[[#This Row],[asOf]]))</f>
        <v>38264</v>
      </c>
      <c r="N2808" s="51">
        <v>5.82</v>
      </c>
      <c r="O2808" s="51">
        <v>0.6</v>
      </c>
      <c r="P2808" s="51">
        <v>5.7200000000000006</v>
      </c>
    </row>
    <row r="2809" spans="12:16">
      <c r="L2809" s="51" t="s">
        <v>2816</v>
      </c>
      <c r="M2809" s="25">
        <f>DATE(YEAR(OneWeekMtgRatesDataTable75[[#This Row],[asOf]]),MONTH(OneWeekMtgRatesDataTable75[[#This Row],[asOf]]),DAY(OneWeekMtgRatesDataTable75[[#This Row],[asOf]]))</f>
        <v>38261</v>
      </c>
      <c r="N2809" s="51">
        <v>5.82</v>
      </c>
      <c r="O2809" s="51">
        <v>0.6</v>
      </c>
      <c r="P2809" s="51">
        <v>5.7200000000000006</v>
      </c>
    </row>
    <row r="2810" spans="12:16">
      <c r="L2810" s="51" t="s">
        <v>2817</v>
      </c>
      <c r="M2810" s="25">
        <f>DATE(YEAR(OneWeekMtgRatesDataTable75[[#This Row],[asOf]]),MONTH(OneWeekMtgRatesDataTable75[[#This Row],[asOf]]),DAY(OneWeekMtgRatesDataTable75[[#This Row],[asOf]]))</f>
        <v>38260</v>
      </c>
      <c r="N2810" s="51">
        <v>5.82</v>
      </c>
      <c r="O2810" s="51">
        <v>0.6</v>
      </c>
      <c r="P2810" s="51">
        <v>5.7200000000000006</v>
      </c>
    </row>
    <row r="2811" spans="12:16">
      <c r="L2811" s="51" t="s">
        <v>2818</v>
      </c>
      <c r="M2811" s="25">
        <f>DATE(YEAR(OneWeekMtgRatesDataTable75[[#This Row],[asOf]]),MONTH(OneWeekMtgRatesDataTable75[[#This Row],[asOf]]),DAY(OneWeekMtgRatesDataTable75[[#This Row],[asOf]]))</f>
        <v>38259</v>
      </c>
      <c r="N2811" s="51">
        <v>5.72</v>
      </c>
      <c r="O2811" s="51">
        <v>0.6</v>
      </c>
      <c r="P2811" s="51">
        <v>5.62</v>
      </c>
    </row>
    <row r="2812" spans="12:16">
      <c r="L2812" s="51" t="s">
        <v>2819</v>
      </c>
      <c r="M2812" s="25">
        <f>DATE(YEAR(OneWeekMtgRatesDataTable75[[#This Row],[asOf]]),MONTH(OneWeekMtgRatesDataTable75[[#This Row],[asOf]]),DAY(OneWeekMtgRatesDataTable75[[#This Row],[asOf]]))</f>
        <v>38258</v>
      </c>
      <c r="N2812" s="51">
        <v>5.72</v>
      </c>
      <c r="O2812" s="51">
        <v>0.6</v>
      </c>
      <c r="P2812" s="51">
        <v>5.62</v>
      </c>
    </row>
    <row r="2813" spans="12:16">
      <c r="L2813" s="51" t="s">
        <v>2820</v>
      </c>
      <c r="M2813" s="25">
        <f>DATE(YEAR(OneWeekMtgRatesDataTable75[[#This Row],[asOf]]),MONTH(OneWeekMtgRatesDataTable75[[#This Row],[asOf]]),DAY(OneWeekMtgRatesDataTable75[[#This Row],[asOf]]))</f>
        <v>38257</v>
      </c>
      <c r="N2813" s="51">
        <v>5.72</v>
      </c>
      <c r="O2813" s="51">
        <v>0.6</v>
      </c>
      <c r="P2813" s="51">
        <v>5.62</v>
      </c>
    </row>
    <row r="2814" spans="12:16">
      <c r="L2814" s="51" t="s">
        <v>2821</v>
      </c>
      <c r="M2814" s="25">
        <f>DATE(YEAR(OneWeekMtgRatesDataTable75[[#This Row],[asOf]]),MONTH(OneWeekMtgRatesDataTable75[[#This Row],[asOf]]),DAY(OneWeekMtgRatesDataTable75[[#This Row],[asOf]]))</f>
        <v>38254</v>
      </c>
      <c r="N2814" s="51">
        <v>5.72</v>
      </c>
      <c r="O2814" s="51">
        <v>0.6</v>
      </c>
      <c r="P2814" s="51">
        <v>5.62</v>
      </c>
    </row>
    <row r="2815" spans="12:16">
      <c r="L2815" s="51" t="s">
        <v>2822</v>
      </c>
      <c r="M2815" s="25">
        <f>DATE(YEAR(OneWeekMtgRatesDataTable75[[#This Row],[asOf]]),MONTH(OneWeekMtgRatesDataTable75[[#This Row],[asOf]]),DAY(OneWeekMtgRatesDataTable75[[#This Row],[asOf]]))</f>
        <v>38253</v>
      </c>
      <c r="N2815" s="51">
        <v>5.72</v>
      </c>
      <c r="O2815" s="51">
        <v>0.6</v>
      </c>
      <c r="P2815" s="51">
        <v>5.62</v>
      </c>
    </row>
    <row r="2816" spans="12:16">
      <c r="L2816" s="51" t="s">
        <v>2823</v>
      </c>
      <c r="M2816" s="25">
        <f>DATE(YEAR(OneWeekMtgRatesDataTable75[[#This Row],[asOf]]),MONTH(OneWeekMtgRatesDataTable75[[#This Row],[asOf]]),DAY(OneWeekMtgRatesDataTable75[[#This Row],[asOf]]))</f>
        <v>38252</v>
      </c>
      <c r="N2816" s="51">
        <v>5.7</v>
      </c>
      <c r="O2816" s="51">
        <v>0.7</v>
      </c>
      <c r="P2816" s="51">
        <v>5.625</v>
      </c>
    </row>
    <row r="2817" spans="12:16">
      <c r="L2817" s="51" t="s">
        <v>2824</v>
      </c>
      <c r="M2817" s="25">
        <f>DATE(YEAR(OneWeekMtgRatesDataTable75[[#This Row],[asOf]]),MONTH(OneWeekMtgRatesDataTable75[[#This Row],[asOf]]),DAY(OneWeekMtgRatesDataTable75[[#This Row],[asOf]]))</f>
        <v>38251</v>
      </c>
      <c r="N2817" s="51">
        <v>5.7</v>
      </c>
      <c r="O2817" s="51">
        <v>0.7</v>
      </c>
      <c r="P2817" s="51">
        <v>5.625</v>
      </c>
    </row>
    <row r="2818" spans="12:16">
      <c r="L2818" s="51" t="s">
        <v>2825</v>
      </c>
      <c r="M2818" s="25">
        <f>DATE(YEAR(OneWeekMtgRatesDataTable75[[#This Row],[asOf]]),MONTH(OneWeekMtgRatesDataTable75[[#This Row],[asOf]]),DAY(OneWeekMtgRatesDataTable75[[#This Row],[asOf]]))</f>
        <v>38250</v>
      </c>
      <c r="N2818" s="51">
        <v>5.7</v>
      </c>
      <c r="O2818" s="51">
        <v>0.7</v>
      </c>
      <c r="P2818" s="51">
        <v>5.625</v>
      </c>
    </row>
    <row r="2819" spans="12:16">
      <c r="L2819" s="51" t="s">
        <v>2826</v>
      </c>
      <c r="M2819" s="25">
        <f>DATE(YEAR(OneWeekMtgRatesDataTable75[[#This Row],[asOf]]),MONTH(OneWeekMtgRatesDataTable75[[#This Row],[asOf]]),DAY(OneWeekMtgRatesDataTable75[[#This Row],[asOf]]))</f>
        <v>38247</v>
      </c>
      <c r="N2819" s="51">
        <v>5.7</v>
      </c>
      <c r="O2819" s="51">
        <v>0.7</v>
      </c>
      <c r="P2819" s="51">
        <v>5.625</v>
      </c>
    </row>
    <row r="2820" spans="12:16">
      <c r="L2820" s="51" t="s">
        <v>2827</v>
      </c>
      <c r="M2820" s="25">
        <f>DATE(YEAR(OneWeekMtgRatesDataTable75[[#This Row],[asOf]]),MONTH(OneWeekMtgRatesDataTable75[[#This Row],[asOf]]),DAY(OneWeekMtgRatesDataTable75[[#This Row],[asOf]]))</f>
        <v>38246</v>
      </c>
      <c r="N2820" s="51">
        <v>5.7</v>
      </c>
      <c r="O2820" s="51">
        <v>0.7</v>
      </c>
      <c r="P2820" s="51">
        <v>5.625</v>
      </c>
    </row>
    <row r="2821" spans="12:16">
      <c r="L2821" s="51" t="s">
        <v>2828</v>
      </c>
      <c r="M2821" s="25">
        <f>DATE(YEAR(OneWeekMtgRatesDataTable75[[#This Row],[asOf]]),MONTH(OneWeekMtgRatesDataTable75[[#This Row],[asOf]]),DAY(OneWeekMtgRatesDataTable75[[#This Row],[asOf]]))</f>
        <v>38245</v>
      </c>
      <c r="N2821" s="51">
        <v>5.75</v>
      </c>
      <c r="O2821" s="51">
        <v>0.8</v>
      </c>
      <c r="P2821" s="51">
        <v>5.7</v>
      </c>
    </row>
    <row r="2822" spans="12:16">
      <c r="L2822" s="51" t="s">
        <v>2829</v>
      </c>
      <c r="M2822" s="25">
        <f>DATE(YEAR(OneWeekMtgRatesDataTable75[[#This Row],[asOf]]),MONTH(OneWeekMtgRatesDataTable75[[#This Row],[asOf]]),DAY(OneWeekMtgRatesDataTable75[[#This Row],[asOf]]))</f>
        <v>38244</v>
      </c>
      <c r="N2822" s="51">
        <v>5.75</v>
      </c>
      <c r="O2822" s="51">
        <v>0.8</v>
      </c>
      <c r="P2822" s="51">
        <v>5.7</v>
      </c>
    </row>
    <row r="2823" spans="12:16">
      <c r="L2823" s="51" t="s">
        <v>2830</v>
      </c>
      <c r="M2823" s="25">
        <f>DATE(YEAR(OneWeekMtgRatesDataTable75[[#This Row],[asOf]]),MONTH(OneWeekMtgRatesDataTable75[[#This Row],[asOf]]),DAY(OneWeekMtgRatesDataTable75[[#This Row],[asOf]]))</f>
        <v>38243</v>
      </c>
      <c r="N2823" s="51">
        <v>5.75</v>
      </c>
      <c r="O2823" s="51">
        <v>0.8</v>
      </c>
      <c r="P2823" s="51">
        <v>5.7</v>
      </c>
    </row>
    <row r="2824" spans="12:16">
      <c r="L2824" s="51" t="s">
        <v>2831</v>
      </c>
      <c r="M2824" s="25">
        <f>DATE(YEAR(OneWeekMtgRatesDataTable75[[#This Row],[asOf]]),MONTH(OneWeekMtgRatesDataTable75[[#This Row],[asOf]]),DAY(OneWeekMtgRatesDataTable75[[#This Row],[asOf]]))</f>
        <v>38240</v>
      </c>
      <c r="N2824" s="51">
        <v>5.75</v>
      </c>
      <c r="O2824" s="51">
        <v>0.8</v>
      </c>
      <c r="P2824" s="51">
        <v>5.7</v>
      </c>
    </row>
    <row r="2825" spans="12:16">
      <c r="L2825" s="51" t="s">
        <v>2832</v>
      </c>
      <c r="M2825" s="25">
        <f>DATE(YEAR(OneWeekMtgRatesDataTable75[[#This Row],[asOf]]),MONTH(OneWeekMtgRatesDataTable75[[#This Row],[asOf]]),DAY(OneWeekMtgRatesDataTable75[[#This Row],[asOf]]))</f>
        <v>38239</v>
      </c>
      <c r="N2825" s="51">
        <v>5.75</v>
      </c>
      <c r="O2825" s="51">
        <v>0.8</v>
      </c>
      <c r="P2825" s="51">
        <v>5.7</v>
      </c>
    </row>
    <row r="2826" spans="12:16">
      <c r="L2826" s="51" t="s">
        <v>2833</v>
      </c>
      <c r="M2826" s="25">
        <f>DATE(YEAR(OneWeekMtgRatesDataTable75[[#This Row],[asOf]]),MONTH(OneWeekMtgRatesDataTable75[[#This Row],[asOf]]),DAY(OneWeekMtgRatesDataTable75[[#This Row],[asOf]]))</f>
        <v>38238</v>
      </c>
      <c r="N2826" s="51">
        <v>5.83</v>
      </c>
      <c r="O2826" s="51">
        <v>0.8</v>
      </c>
      <c r="P2826" s="51">
        <v>5.78</v>
      </c>
    </row>
    <row r="2827" spans="12:16">
      <c r="L2827" s="51" t="s">
        <v>2834</v>
      </c>
      <c r="M2827" s="25">
        <f>DATE(YEAR(OneWeekMtgRatesDataTable75[[#This Row],[asOf]]),MONTH(OneWeekMtgRatesDataTable75[[#This Row],[asOf]]),DAY(OneWeekMtgRatesDataTable75[[#This Row],[asOf]]))</f>
        <v>38237</v>
      </c>
      <c r="N2827" s="51">
        <v>5.83</v>
      </c>
      <c r="O2827" s="51">
        <v>0.8</v>
      </c>
      <c r="P2827" s="51">
        <v>5.78</v>
      </c>
    </row>
    <row r="2828" spans="12:16">
      <c r="L2828" s="51" t="s">
        <v>2835</v>
      </c>
      <c r="M2828" s="25">
        <f>DATE(YEAR(OneWeekMtgRatesDataTable75[[#This Row],[asOf]]),MONTH(OneWeekMtgRatesDataTable75[[#This Row],[asOf]]),DAY(OneWeekMtgRatesDataTable75[[#This Row],[asOf]]))</f>
        <v>38236</v>
      </c>
      <c r="N2828" s="51">
        <v>5.83</v>
      </c>
      <c r="O2828" s="51">
        <v>0.8</v>
      </c>
      <c r="P2828" s="51">
        <v>5.78</v>
      </c>
    </row>
    <row r="2829" spans="12:16">
      <c r="L2829" s="51" t="s">
        <v>2836</v>
      </c>
      <c r="M2829" s="25">
        <f>DATE(YEAR(OneWeekMtgRatesDataTable75[[#This Row],[asOf]]),MONTH(OneWeekMtgRatesDataTable75[[#This Row],[asOf]]),DAY(OneWeekMtgRatesDataTable75[[#This Row],[asOf]]))</f>
        <v>38233</v>
      </c>
      <c r="N2829" s="51">
        <v>5.83</v>
      </c>
      <c r="O2829" s="51">
        <v>0.8</v>
      </c>
      <c r="P2829" s="51">
        <v>5.78</v>
      </c>
    </row>
    <row r="2830" spans="12:16">
      <c r="L2830" s="51" t="s">
        <v>2837</v>
      </c>
      <c r="M2830" s="25">
        <f>DATE(YEAR(OneWeekMtgRatesDataTable75[[#This Row],[asOf]]),MONTH(OneWeekMtgRatesDataTable75[[#This Row],[asOf]]),DAY(OneWeekMtgRatesDataTable75[[#This Row],[asOf]]))</f>
        <v>38232</v>
      </c>
      <c r="N2830" s="51">
        <v>5.83</v>
      </c>
      <c r="O2830" s="51">
        <v>0.8</v>
      </c>
      <c r="P2830" s="51">
        <v>5.78</v>
      </c>
    </row>
    <row r="2831" spans="12:16">
      <c r="L2831" s="51" t="s">
        <v>2838</v>
      </c>
      <c r="M2831" s="25">
        <f>DATE(YEAR(OneWeekMtgRatesDataTable75[[#This Row],[asOf]]),MONTH(OneWeekMtgRatesDataTable75[[#This Row],[asOf]]),DAY(OneWeekMtgRatesDataTable75[[#This Row],[asOf]]))</f>
        <v>38231</v>
      </c>
      <c r="N2831" s="51">
        <v>5.77</v>
      </c>
      <c r="O2831" s="51">
        <v>0.8</v>
      </c>
      <c r="P2831" s="51">
        <v>5.72</v>
      </c>
    </row>
    <row r="2832" spans="12:16">
      <c r="L2832" s="51" t="s">
        <v>2839</v>
      </c>
      <c r="M2832" s="25">
        <f>DATE(YEAR(OneWeekMtgRatesDataTable75[[#This Row],[asOf]]),MONTH(OneWeekMtgRatesDataTable75[[#This Row],[asOf]]),DAY(OneWeekMtgRatesDataTable75[[#This Row],[asOf]]))</f>
        <v>38230</v>
      </c>
      <c r="N2832" s="51">
        <v>5.77</v>
      </c>
      <c r="O2832" s="51">
        <v>0.8</v>
      </c>
      <c r="P2832" s="51">
        <v>5.72</v>
      </c>
    </row>
    <row r="2833" spans="12:16">
      <c r="L2833" s="51" t="s">
        <v>2840</v>
      </c>
      <c r="M2833" s="25">
        <f>DATE(YEAR(OneWeekMtgRatesDataTable75[[#This Row],[asOf]]),MONTH(OneWeekMtgRatesDataTable75[[#This Row],[asOf]]),DAY(OneWeekMtgRatesDataTable75[[#This Row],[asOf]]))</f>
        <v>38229</v>
      </c>
      <c r="N2833" s="51">
        <v>5.77</v>
      </c>
      <c r="O2833" s="51">
        <v>0.8</v>
      </c>
      <c r="P2833" s="51">
        <v>5.72</v>
      </c>
    </row>
    <row r="2834" spans="12:16">
      <c r="L2834" s="51" t="s">
        <v>2841</v>
      </c>
      <c r="M2834" s="25">
        <f>DATE(YEAR(OneWeekMtgRatesDataTable75[[#This Row],[asOf]]),MONTH(OneWeekMtgRatesDataTable75[[#This Row],[asOf]]),DAY(OneWeekMtgRatesDataTable75[[#This Row],[asOf]]))</f>
        <v>38226</v>
      </c>
      <c r="N2834" s="51">
        <v>5.77</v>
      </c>
      <c r="O2834" s="51">
        <v>0.8</v>
      </c>
      <c r="P2834" s="51">
        <v>5.72</v>
      </c>
    </row>
    <row r="2835" spans="12:16">
      <c r="L2835" s="51" t="s">
        <v>2842</v>
      </c>
      <c r="M2835" s="25">
        <f>DATE(YEAR(OneWeekMtgRatesDataTable75[[#This Row],[asOf]]),MONTH(OneWeekMtgRatesDataTable75[[#This Row],[asOf]]),DAY(OneWeekMtgRatesDataTable75[[#This Row],[asOf]]))</f>
        <v>38225</v>
      </c>
      <c r="N2835" s="51">
        <v>5.77</v>
      </c>
      <c r="O2835" s="51">
        <v>0.8</v>
      </c>
      <c r="P2835" s="51">
        <v>5.72</v>
      </c>
    </row>
    <row r="2836" spans="12:16">
      <c r="L2836" s="51" t="s">
        <v>2843</v>
      </c>
      <c r="M2836" s="25">
        <f>DATE(YEAR(OneWeekMtgRatesDataTable75[[#This Row],[asOf]]),MONTH(OneWeekMtgRatesDataTable75[[#This Row],[asOf]]),DAY(OneWeekMtgRatesDataTable75[[#This Row],[asOf]]))</f>
        <v>38224</v>
      </c>
      <c r="N2836" s="51">
        <v>5.82</v>
      </c>
      <c r="O2836" s="51">
        <v>0.7</v>
      </c>
      <c r="P2836" s="51">
        <v>5.7450000000000001</v>
      </c>
    </row>
    <row r="2837" spans="12:16">
      <c r="L2837" s="51" t="s">
        <v>2844</v>
      </c>
      <c r="M2837" s="25">
        <f>DATE(YEAR(OneWeekMtgRatesDataTable75[[#This Row],[asOf]]),MONTH(OneWeekMtgRatesDataTable75[[#This Row],[asOf]]),DAY(OneWeekMtgRatesDataTable75[[#This Row],[asOf]]))</f>
        <v>38223</v>
      </c>
      <c r="N2837" s="51">
        <v>5.82</v>
      </c>
      <c r="O2837" s="51">
        <v>0.7</v>
      </c>
      <c r="P2837" s="51">
        <v>5.7450000000000001</v>
      </c>
    </row>
    <row r="2838" spans="12:16">
      <c r="L2838" s="51" t="s">
        <v>2845</v>
      </c>
      <c r="M2838" s="25">
        <f>DATE(YEAR(OneWeekMtgRatesDataTable75[[#This Row],[asOf]]),MONTH(OneWeekMtgRatesDataTable75[[#This Row],[asOf]]),DAY(OneWeekMtgRatesDataTable75[[#This Row],[asOf]]))</f>
        <v>38222</v>
      </c>
      <c r="N2838" s="51">
        <v>5.82</v>
      </c>
      <c r="O2838" s="51">
        <v>0.7</v>
      </c>
      <c r="P2838" s="51">
        <v>5.7450000000000001</v>
      </c>
    </row>
    <row r="2839" spans="12:16">
      <c r="L2839" s="51" t="s">
        <v>2846</v>
      </c>
      <c r="M2839" s="25">
        <f>DATE(YEAR(OneWeekMtgRatesDataTable75[[#This Row],[asOf]]),MONTH(OneWeekMtgRatesDataTable75[[#This Row],[asOf]]),DAY(OneWeekMtgRatesDataTable75[[#This Row],[asOf]]))</f>
        <v>38219</v>
      </c>
      <c r="N2839" s="51">
        <v>5.82</v>
      </c>
      <c r="O2839" s="51">
        <v>0.7</v>
      </c>
      <c r="P2839" s="51">
        <v>5.7450000000000001</v>
      </c>
    </row>
    <row r="2840" spans="12:16">
      <c r="L2840" s="51" t="s">
        <v>2847</v>
      </c>
      <c r="M2840" s="25">
        <f>DATE(YEAR(OneWeekMtgRatesDataTable75[[#This Row],[asOf]]),MONTH(OneWeekMtgRatesDataTable75[[#This Row],[asOf]]),DAY(OneWeekMtgRatesDataTable75[[#This Row],[asOf]]))</f>
        <v>38218</v>
      </c>
      <c r="N2840" s="51">
        <v>5.82</v>
      </c>
      <c r="O2840" s="51">
        <v>0.7</v>
      </c>
      <c r="P2840" s="51">
        <v>5.7450000000000001</v>
      </c>
    </row>
    <row r="2841" spans="12:16">
      <c r="L2841" s="51" t="s">
        <v>2848</v>
      </c>
      <c r="M2841" s="25">
        <f>DATE(YEAR(OneWeekMtgRatesDataTable75[[#This Row],[asOf]]),MONTH(OneWeekMtgRatesDataTable75[[#This Row],[asOf]]),DAY(OneWeekMtgRatesDataTable75[[#This Row],[asOf]]))</f>
        <v>38217</v>
      </c>
      <c r="N2841" s="51">
        <v>5.81</v>
      </c>
      <c r="O2841" s="51">
        <v>0.7</v>
      </c>
      <c r="P2841" s="51">
        <v>5.7349999999999994</v>
      </c>
    </row>
    <row r="2842" spans="12:16">
      <c r="L2842" s="51" t="s">
        <v>2849</v>
      </c>
      <c r="M2842" s="25">
        <f>DATE(YEAR(OneWeekMtgRatesDataTable75[[#This Row],[asOf]]),MONTH(OneWeekMtgRatesDataTable75[[#This Row],[asOf]]),DAY(OneWeekMtgRatesDataTable75[[#This Row],[asOf]]))</f>
        <v>38216</v>
      </c>
      <c r="N2842" s="51">
        <v>5.81</v>
      </c>
      <c r="O2842" s="51">
        <v>0.7</v>
      </c>
      <c r="P2842" s="51">
        <v>5.7349999999999994</v>
      </c>
    </row>
    <row r="2843" spans="12:16">
      <c r="L2843" s="51" t="s">
        <v>2850</v>
      </c>
      <c r="M2843" s="25">
        <f>DATE(YEAR(OneWeekMtgRatesDataTable75[[#This Row],[asOf]]),MONTH(OneWeekMtgRatesDataTable75[[#This Row],[asOf]]),DAY(OneWeekMtgRatesDataTable75[[#This Row],[asOf]]))</f>
        <v>38215</v>
      </c>
      <c r="N2843" s="51">
        <v>5.81</v>
      </c>
      <c r="O2843" s="51">
        <v>0.7</v>
      </c>
      <c r="P2843" s="51">
        <v>5.7349999999999994</v>
      </c>
    </row>
    <row r="2844" spans="12:16">
      <c r="L2844" s="51" t="s">
        <v>2851</v>
      </c>
      <c r="M2844" s="25">
        <f>DATE(YEAR(OneWeekMtgRatesDataTable75[[#This Row],[asOf]]),MONTH(OneWeekMtgRatesDataTable75[[#This Row],[asOf]]),DAY(OneWeekMtgRatesDataTable75[[#This Row],[asOf]]))</f>
        <v>38212</v>
      </c>
      <c r="N2844" s="51">
        <v>5.81</v>
      </c>
      <c r="O2844" s="51">
        <v>0.7</v>
      </c>
      <c r="P2844" s="51">
        <v>5.7349999999999994</v>
      </c>
    </row>
    <row r="2845" spans="12:16">
      <c r="L2845" s="51" t="s">
        <v>2852</v>
      </c>
      <c r="M2845" s="25">
        <f>DATE(YEAR(OneWeekMtgRatesDataTable75[[#This Row],[asOf]]),MONTH(OneWeekMtgRatesDataTable75[[#This Row],[asOf]]),DAY(OneWeekMtgRatesDataTable75[[#This Row],[asOf]]))</f>
        <v>38211</v>
      </c>
      <c r="N2845" s="51">
        <v>5.81</v>
      </c>
      <c r="O2845" s="51">
        <v>0.7</v>
      </c>
      <c r="P2845" s="51">
        <v>5.7349999999999994</v>
      </c>
    </row>
    <row r="2846" spans="12:16">
      <c r="L2846" s="51" t="s">
        <v>2853</v>
      </c>
      <c r="M2846" s="25">
        <f>DATE(YEAR(OneWeekMtgRatesDataTable75[[#This Row],[asOf]]),MONTH(OneWeekMtgRatesDataTable75[[#This Row],[asOf]]),DAY(OneWeekMtgRatesDataTable75[[#This Row],[asOf]]))</f>
        <v>38210</v>
      </c>
      <c r="N2846" s="51">
        <v>5.85</v>
      </c>
      <c r="O2846" s="51">
        <v>0.6</v>
      </c>
      <c r="P2846" s="51">
        <v>5.75</v>
      </c>
    </row>
    <row r="2847" spans="12:16">
      <c r="L2847" s="51" t="s">
        <v>2854</v>
      </c>
      <c r="M2847" s="25">
        <f>DATE(YEAR(OneWeekMtgRatesDataTable75[[#This Row],[asOf]]),MONTH(OneWeekMtgRatesDataTable75[[#This Row],[asOf]]),DAY(OneWeekMtgRatesDataTable75[[#This Row],[asOf]]))</f>
        <v>38209</v>
      </c>
      <c r="N2847" s="51">
        <v>5.85</v>
      </c>
      <c r="O2847" s="51">
        <v>0.6</v>
      </c>
      <c r="P2847" s="51">
        <v>5.75</v>
      </c>
    </row>
    <row r="2848" spans="12:16">
      <c r="L2848" s="51" t="s">
        <v>2855</v>
      </c>
      <c r="M2848" s="25">
        <f>DATE(YEAR(OneWeekMtgRatesDataTable75[[#This Row],[asOf]]),MONTH(OneWeekMtgRatesDataTable75[[#This Row],[asOf]]),DAY(OneWeekMtgRatesDataTable75[[#This Row],[asOf]]))</f>
        <v>38208</v>
      </c>
      <c r="N2848" s="51">
        <v>5.85</v>
      </c>
      <c r="O2848" s="51">
        <v>0.6</v>
      </c>
      <c r="P2848" s="51">
        <v>5.75</v>
      </c>
    </row>
    <row r="2849" spans="12:16">
      <c r="L2849" s="51" t="s">
        <v>2856</v>
      </c>
      <c r="M2849" s="25">
        <f>DATE(YEAR(OneWeekMtgRatesDataTable75[[#This Row],[asOf]]),MONTH(OneWeekMtgRatesDataTable75[[#This Row],[asOf]]),DAY(OneWeekMtgRatesDataTable75[[#This Row],[asOf]]))</f>
        <v>38205</v>
      </c>
      <c r="N2849" s="51">
        <v>5.85</v>
      </c>
      <c r="O2849" s="51">
        <v>0.6</v>
      </c>
      <c r="P2849" s="51">
        <v>5.75</v>
      </c>
    </row>
    <row r="2850" spans="12:16">
      <c r="L2850" s="51" t="s">
        <v>2857</v>
      </c>
      <c r="M2850" s="25">
        <f>DATE(YEAR(OneWeekMtgRatesDataTable75[[#This Row],[asOf]]),MONTH(OneWeekMtgRatesDataTable75[[#This Row],[asOf]]),DAY(OneWeekMtgRatesDataTable75[[#This Row],[asOf]]))</f>
        <v>38204</v>
      </c>
      <c r="N2850" s="51">
        <v>5.85</v>
      </c>
      <c r="O2850" s="51">
        <v>0.6</v>
      </c>
      <c r="P2850" s="51">
        <v>5.75</v>
      </c>
    </row>
    <row r="2851" spans="12:16">
      <c r="L2851" s="51" t="s">
        <v>2858</v>
      </c>
      <c r="M2851" s="25">
        <f>DATE(YEAR(OneWeekMtgRatesDataTable75[[#This Row],[asOf]]),MONTH(OneWeekMtgRatesDataTable75[[#This Row],[asOf]]),DAY(OneWeekMtgRatesDataTable75[[#This Row],[asOf]]))</f>
        <v>38203</v>
      </c>
      <c r="N2851" s="51">
        <v>5.99</v>
      </c>
      <c r="O2851" s="51">
        <v>0.7</v>
      </c>
      <c r="P2851" s="51">
        <v>5.915</v>
      </c>
    </row>
    <row r="2852" spans="12:16">
      <c r="L2852" s="51" t="s">
        <v>2859</v>
      </c>
      <c r="M2852" s="25">
        <f>DATE(YEAR(OneWeekMtgRatesDataTable75[[#This Row],[asOf]]),MONTH(OneWeekMtgRatesDataTable75[[#This Row],[asOf]]),DAY(OneWeekMtgRatesDataTable75[[#This Row],[asOf]]))</f>
        <v>38202</v>
      </c>
      <c r="N2852" s="51">
        <v>5.99</v>
      </c>
      <c r="O2852" s="51">
        <v>0.7</v>
      </c>
      <c r="P2852" s="51">
        <v>5.915</v>
      </c>
    </row>
    <row r="2853" spans="12:16">
      <c r="L2853" s="51" t="s">
        <v>2860</v>
      </c>
      <c r="M2853" s="25">
        <f>DATE(YEAR(OneWeekMtgRatesDataTable75[[#This Row],[asOf]]),MONTH(OneWeekMtgRatesDataTable75[[#This Row],[asOf]]),DAY(OneWeekMtgRatesDataTable75[[#This Row],[asOf]]))</f>
        <v>38201</v>
      </c>
      <c r="N2853" s="51">
        <v>5.99</v>
      </c>
      <c r="O2853" s="51">
        <v>0.7</v>
      </c>
      <c r="P2853" s="51">
        <v>5.915</v>
      </c>
    </row>
    <row r="2854" spans="12:16">
      <c r="L2854" s="51" t="s">
        <v>2861</v>
      </c>
      <c r="M2854" s="25">
        <f>DATE(YEAR(OneWeekMtgRatesDataTable75[[#This Row],[asOf]]),MONTH(OneWeekMtgRatesDataTable75[[#This Row],[asOf]]),DAY(OneWeekMtgRatesDataTable75[[#This Row],[asOf]]))</f>
        <v>38198</v>
      </c>
      <c r="N2854" s="51">
        <v>5.99</v>
      </c>
      <c r="O2854" s="51">
        <v>0.7</v>
      </c>
      <c r="P2854" s="51">
        <v>5.915</v>
      </c>
    </row>
    <row r="2855" spans="12:16">
      <c r="L2855" s="51" t="s">
        <v>2862</v>
      </c>
      <c r="M2855" s="25">
        <f>DATE(YEAR(OneWeekMtgRatesDataTable75[[#This Row],[asOf]]),MONTH(OneWeekMtgRatesDataTable75[[#This Row],[asOf]]),DAY(OneWeekMtgRatesDataTable75[[#This Row],[asOf]]))</f>
        <v>38197</v>
      </c>
      <c r="N2855" s="51">
        <v>5.99</v>
      </c>
      <c r="O2855" s="51">
        <v>0.7</v>
      </c>
      <c r="P2855" s="51">
        <v>5.915</v>
      </c>
    </row>
    <row r="2856" spans="12:16">
      <c r="L2856" s="51" t="s">
        <v>2863</v>
      </c>
      <c r="M2856" s="25">
        <f>DATE(YEAR(OneWeekMtgRatesDataTable75[[#This Row],[asOf]]),MONTH(OneWeekMtgRatesDataTable75[[#This Row],[asOf]]),DAY(OneWeekMtgRatesDataTable75[[#This Row],[asOf]]))</f>
        <v>38196</v>
      </c>
      <c r="N2856" s="51">
        <v>6.08</v>
      </c>
      <c r="O2856" s="51">
        <v>0.6</v>
      </c>
      <c r="P2856" s="51">
        <v>5.98</v>
      </c>
    </row>
    <row r="2857" spans="12:16">
      <c r="L2857" s="51" t="s">
        <v>2864</v>
      </c>
      <c r="M2857" s="25">
        <f>DATE(YEAR(OneWeekMtgRatesDataTable75[[#This Row],[asOf]]),MONTH(OneWeekMtgRatesDataTable75[[#This Row],[asOf]]),DAY(OneWeekMtgRatesDataTable75[[#This Row],[asOf]]))</f>
        <v>38195</v>
      </c>
      <c r="N2857" s="51">
        <v>6.08</v>
      </c>
      <c r="O2857" s="51">
        <v>0.6</v>
      </c>
      <c r="P2857" s="51">
        <v>5.98</v>
      </c>
    </row>
    <row r="2858" spans="12:16">
      <c r="L2858" s="51" t="s">
        <v>2865</v>
      </c>
      <c r="M2858" s="25">
        <f>DATE(YEAR(OneWeekMtgRatesDataTable75[[#This Row],[asOf]]),MONTH(OneWeekMtgRatesDataTable75[[#This Row],[asOf]]),DAY(OneWeekMtgRatesDataTable75[[#This Row],[asOf]]))</f>
        <v>38194</v>
      </c>
      <c r="N2858" s="51">
        <v>6.08</v>
      </c>
      <c r="O2858" s="51">
        <v>0.6</v>
      </c>
      <c r="P2858" s="51">
        <v>5.98</v>
      </c>
    </row>
    <row r="2859" spans="12:16">
      <c r="L2859" s="51" t="s">
        <v>2866</v>
      </c>
      <c r="M2859" s="25">
        <f>DATE(YEAR(OneWeekMtgRatesDataTable75[[#This Row],[asOf]]),MONTH(OneWeekMtgRatesDataTable75[[#This Row],[asOf]]),DAY(OneWeekMtgRatesDataTable75[[#This Row],[asOf]]))</f>
        <v>38191</v>
      </c>
      <c r="N2859" s="51">
        <v>6.08</v>
      </c>
      <c r="O2859" s="51">
        <v>0.6</v>
      </c>
      <c r="P2859" s="51">
        <v>5.98</v>
      </c>
    </row>
    <row r="2860" spans="12:16">
      <c r="L2860" s="51" t="s">
        <v>2867</v>
      </c>
      <c r="M2860" s="25">
        <f>DATE(YEAR(OneWeekMtgRatesDataTable75[[#This Row],[asOf]]),MONTH(OneWeekMtgRatesDataTable75[[#This Row],[asOf]]),DAY(OneWeekMtgRatesDataTable75[[#This Row],[asOf]]))</f>
        <v>38190</v>
      </c>
      <c r="N2860" s="51">
        <v>6.08</v>
      </c>
      <c r="O2860" s="51">
        <v>0.6</v>
      </c>
      <c r="P2860" s="51">
        <v>5.98</v>
      </c>
    </row>
    <row r="2861" spans="12:16">
      <c r="L2861" s="51" t="s">
        <v>2868</v>
      </c>
      <c r="M2861" s="25">
        <f>DATE(YEAR(OneWeekMtgRatesDataTable75[[#This Row],[asOf]]),MONTH(OneWeekMtgRatesDataTable75[[#This Row],[asOf]]),DAY(OneWeekMtgRatesDataTable75[[#This Row],[asOf]]))</f>
        <v>38189</v>
      </c>
      <c r="N2861" s="51">
        <v>5.98</v>
      </c>
      <c r="O2861" s="51">
        <v>0.6</v>
      </c>
      <c r="P2861" s="51">
        <v>5.8800000000000008</v>
      </c>
    </row>
    <row r="2862" spans="12:16">
      <c r="L2862" s="51" t="s">
        <v>2869</v>
      </c>
      <c r="M2862" s="25">
        <f>DATE(YEAR(OneWeekMtgRatesDataTable75[[#This Row],[asOf]]),MONTH(OneWeekMtgRatesDataTable75[[#This Row],[asOf]]),DAY(OneWeekMtgRatesDataTable75[[#This Row],[asOf]]))</f>
        <v>38188</v>
      </c>
      <c r="N2862" s="51">
        <v>5.98</v>
      </c>
      <c r="O2862" s="51">
        <v>0.6</v>
      </c>
      <c r="P2862" s="51">
        <v>5.8800000000000008</v>
      </c>
    </row>
    <row r="2863" spans="12:16">
      <c r="L2863" s="51" t="s">
        <v>2870</v>
      </c>
      <c r="M2863" s="25">
        <f>DATE(YEAR(OneWeekMtgRatesDataTable75[[#This Row],[asOf]]),MONTH(OneWeekMtgRatesDataTable75[[#This Row],[asOf]]),DAY(OneWeekMtgRatesDataTable75[[#This Row],[asOf]]))</f>
        <v>38187</v>
      </c>
      <c r="N2863" s="51">
        <v>5.98</v>
      </c>
      <c r="O2863" s="51">
        <v>0.6</v>
      </c>
      <c r="P2863" s="51">
        <v>5.8800000000000008</v>
      </c>
    </row>
    <row r="2864" spans="12:16">
      <c r="L2864" s="51" t="s">
        <v>2871</v>
      </c>
      <c r="M2864" s="25">
        <f>DATE(YEAR(OneWeekMtgRatesDataTable75[[#This Row],[asOf]]),MONTH(OneWeekMtgRatesDataTable75[[#This Row],[asOf]]),DAY(OneWeekMtgRatesDataTable75[[#This Row],[asOf]]))</f>
        <v>38184</v>
      </c>
      <c r="N2864" s="51">
        <v>5.98</v>
      </c>
      <c r="O2864" s="51">
        <v>0.6</v>
      </c>
      <c r="P2864" s="51">
        <v>5.8800000000000008</v>
      </c>
    </row>
    <row r="2865" spans="12:16">
      <c r="L2865" s="51" t="s">
        <v>2872</v>
      </c>
      <c r="M2865" s="25">
        <f>DATE(YEAR(OneWeekMtgRatesDataTable75[[#This Row],[asOf]]),MONTH(OneWeekMtgRatesDataTable75[[#This Row],[asOf]]),DAY(OneWeekMtgRatesDataTable75[[#This Row],[asOf]]))</f>
        <v>38183</v>
      </c>
      <c r="N2865" s="51">
        <v>5.98</v>
      </c>
      <c r="O2865" s="51">
        <v>0.6</v>
      </c>
      <c r="P2865" s="51">
        <v>5.8800000000000008</v>
      </c>
    </row>
    <row r="2866" spans="12:16">
      <c r="L2866" s="51" t="s">
        <v>2873</v>
      </c>
      <c r="M2866" s="25">
        <f>DATE(YEAR(OneWeekMtgRatesDataTable75[[#This Row],[asOf]]),MONTH(OneWeekMtgRatesDataTable75[[#This Row],[asOf]]),DAY(OneWeekMtgRatesDataTable75[[#This Row],[asOf]]))</f>
        <v>38182</v>
      </c>
      <c r="N2866" s="51">
        <v>6</v>
      </c>
      <c r="O2866" s="51">
        <v>0.6</v>
      </c>
      <c r="P2866" s="51">
        <v>5.9</v>
      </c>
    </row>
    <row r="2867" spans="12:16">
      <c r="L2867" s="51" t="s">
        <v>2874</v>
      </c>
      <c r="M2867" s="25">
        <f>DATE(YEAR(OneWeekMtgRatesDataTable75[[#This Row],[asOf]]),MONTH(OneWeekMtgRatesDataTable75[[#This Row],[asOf]]),DAY(OneWeekMtgRatesDataTable75[[#This Row],[asOf]]))</f>
        <v>38181</v>
      </c>
      <c r="N2867" s="51">
        <v>6</v>
      </c>
      <c r="O2867" s="51">
        <v>0.6</v>
      </c>
      <c r="P2867" s="51">
        <v>5.9</v>
      </c>
    </row>
    <row r="2868" spans="12:16">
      <c r="L2868" s="51" t="s">
        <v>2875</v>
      </c>
      <c r="M2868" s="25">
        <f>DATE(YEAR(OneWeekMtgRatesDataTable75[[#This Row],[asOf]]),MONTH(OneWeekMtgRatesDataTable75[[#This Row],[asOf]]),DAY(OneWeekMtgRatesDataTable75[[#This Row],[asOf]]))</f>
        <v>38180</v>
      </c>
      <c r="N2868" s="51">
        <v>6</v>
      </c>
      <c r="O2868" s="51">
        <v>0.6</v>
      </c>
      <c r="P2868" s="51">
        <v>5.9</v>
      </c>
    </row>
    <row r="2869" spans="12:16">
      <c r="L2869" s="51" t="s">
        <v>2876</v>
      </c>
      <c r="M2869" s="25">
        <f>DATE(YEAR(OneWeekMtgRatesDataTable75[[#This Row],[asOf]]),MONTH(OneWeekMtgRatesDataTable75[[#This Row],[asOf]]),DAY(OneWeekMtgRatesDataTable75[[#This Row],[asOf]]))</f>
        <v>38177</v>
      </c>
      <c r="N2869" s="51">
        <v>6</v>
      </c>
      <c r="O2869" s="51">
        <v>0.6</v>
      </c>
      <c r="P2869" s="51">
        <v>5.9</v>
      </c>
    </row>
    <row r="2870" spans="12:16">
      <c r="L2870" s="51" t="s">
        <v>2877</v>
      </c>
      <c r="M2870" s="25">
        <f>DATE(YEAR(OneWeekMtgRatesDataTable75[[#This Row],[asOf]]),MONTH(OneWeekMtgRatesDataTable75[[#This Row],[asOf]]),DAY(OneWeekMtgRatesDataTable75[[#This Row],[asOf]]))</f>
        <v>38176</v>
      </c>
      <c r="N2870" s="51">
        <v>6</v>
      </c>
      <c r="O2870" s="51">
        <v>0.6</v>
      </c>
      <c r="P2870" s="51">
        <v>5.9</v>
      </c>
    </row>
    <row r="2871" spans="12:16">
      <c r="L2871" s="51" t="s">
        <v>2878</v>
      </c>
      <c r="M2871" s="25">
        <f>DATE(YEAR(OneWeekMtgRatesDataTable75[[#This Row],[asOf]]),MONTH(OneWeekMtgRatesDataTable75[[#This Row],[asOf]]),DAY(OneWeekMtgRatesDataTable75[[#This Row],[asOf]]))</f>
        <v>38175</v>
      </c>
      <c r="N2871" s="51">
        <v>6.01</v>
      </c>
      <c r="O2871" s="51">
        <v>0.6</v>
      </c>
      <c r="P2871" s="51">
        <v>5.91</v>
      </c>
    </row>
    <row r="2872" spans="12:16">
      <c r="L2872" s="51" t="s">
        <v>2879</v>
      </c>
      <c r="M2872" s="25">
        <f>DATE(YEAR(OneWeekMtgRatesDataTable75[[#This Row],[asOf]]),MONTH(OneWeekMtgRatesDataTable75[[#This Row],[asOf]]),DAY(OneWeekMtgRatesDataTable75[[#This Row],[asOf]]))</f>
        <v>38174</v>
      </c>
      <c r="N2872" s="51">
        <v>6.01</v>
      </c>
      <c r="O2872" s="51">
        <v>0.6</v>
      </c>
      <c r="P2872" s="51">
        <v>5.91</v>
      </c>
    </row>
    <row r="2873" spans="12:16">
      <c r="L2873" s="51" t="s">
        <v>2880</v>
      </c>
      <c r="M2873" s="25">
        <f>DATE(YEAR(OneWeekMtgRatesDataTable75[[#This Row],[asOf]]),MONTH(OneWeekMtgRatesDataTable75[[#This Row],[asOf]]),DAY(OneWeekMtgRatesDataTable75[[#This Row],[asOf]]))</f>
        <v>38173</v>
      </c>
      <c r="N2873" s="51">
        <v>6.01</v>
      </c>
      <c r="O2873" s="51">
        <v>0.6</v>
      </c>
      <c r="P2873" s="51">
        <v>5.91</v>
      </c>
    </row>
    <row r="2874" spans="12:16">
      <c r="L2874" s="51" t="s">
        <v>2881</v>
      </c>
      <c r="M2874" s="25">
        <f>DATE(YEAR(OneWeekMtgRatesDataTable75[[#This Row],[asOf]]),MONTH(OneWeekMtgRatesDataTable75[[#This Row],[asOf]]),DAY(OneWeekMtgRatesDataTable75[[#This Row],[asOf]]))</f>
        <v>38170</v>
      </c>
      <c r="N2874" s="51">
        <v>6.01</v>
      </c>
      <c r="O2874" s="51">
        <v>0.6</v>
      </c>
      <c r="P2874" s="51">
        <v>5.91</v>
      </c>
    </row>
    <row r="2875" spans="12:16">
      <c r="L2875" s="51" t="s">
        <v>2882</v>
      </c>
      <c r="M2875" s="25">
        <f>DATE(YEAR(OneWeekMtgRatesDataTable75[[#This Row],[asOf]]),MONTH(OneWeekMtgRatesDataTable75[[#This Row],[asOf]]),DAY(OneWeekMtgRatesDataTable75[[#This Row],[asOf]]))</f>
        <v>38169</v>
      </c>
      <c r="N2875" s="51">
        <v>6.01</v>
      </c>
      <c r="O2875" s="51">
        <v>0.6</v>
      </c>
      <c r="P2875" s="51">
        <v>5.91</v>
      </c>
    </row>
    <row r="2876" spans="12:16">
      <c r="L2876" s="51" t="s">
        <v>2883</v>
      </c>
      <c r="M2876" s="25">
        <f>DATE(YEAR(OneWeekMtgRatesDataTable75[[#This Row],[asOf]]),MONTH(OneWeekMtgRatesDataTable75[[#This Row],[asOf]]),DAY(OneWeekMtgRatesDataTable75[[#This Row],[asOf]]))</f>
        <v>38168</v>
      </c>
      <c r="N2876" s="51">
        <v>6.21</v>
      </c>
      <c r="O2876" s="51">
        <v>0.6</v>
      </c>
      <c r="P2876" s="51">
        <v>6.11</v>
      </c>
    </row>
    <row r="2877" spans="12:16">
      <c r="L2877" s="51" t="s">
        <v>2884</v>
      </c>
      <c r="M2877" s="25">
        <f>DATE(YEAR(OneWeekMtgRatesDataTable75[[#This Row],[asOf]]),MONTH(OneWeekMtgRatesDataTable75[[#This Row],[asOf]]),DAY(OneWeekMtgRatesDataTable75[[#This Row],[asOf]]))</f>
        <v>38167</v>
      </c>
      <c r="N2877" s="51">
        <v>6.21</v>
      </c>
      <c r="O2877" s="51">
        <v>0.6</v>
      </c>
      <c r="P2877" s="51">
        <v>6.11</v>
      </c>
    </row>
    <row r="2878" spans="12:16">
      <c r="L2878" s="51" t="s">
        <v>2885</v>
      </c>
      <c r="M2878" s="25">
        <f>DATE(YEAR(OneWeekMtgRatesDataTable75[[#This Row],[asOf]]),MONTH(OneWeekMtgRatesDataTable75[[#This Row],[asOf]]),DAY(OneWeekMtgRatesDataTable75[[#This Row],[asOf]]))</f>
        <v>38166</v>
      </c>
      <c r="N2878" s="51">
        <v>6.21</v>
      </c>
      <c r="O2878" s="51">
        <v>0.6</v>
      </c>
      <c r="P2878" s="51">
        <v>6.11</v>
      </c>
    </row>
    <row r="2879" spans="12:16">
      <c r="L2879" s="51" t="s">
        <v>2886</v>
      </c>
      <c r="M2879" s="25">
        <f>DATE(YEAR(OneWeekMtgRatesDataTable75[[#This Row],[asOf]]),MONTH(OneWeekMtgRatesDataTable75[[#This Row],[asOf]]),DAY(OneWeekMtgRatesDataTable75[[#This Row],[asOf]]))</f>
        <v>38163</v>
      </c>
      <c r="N2879" s="51">
        <v>6.21</v>
      </c>
      <c r="O2879" s="51">
        <v>0.6</v>
      </c>
      <c r="P2879" s="51">
        <v>6.11</v>
      </c>
    </row>
    <row r="2880" spans="12:16">
      <c r="L2880" s="51" t="s">
        <v>2887</v>
      </c>
      <c r="M2880" s="25">
        <f>DATE(YEAR(OneWeekMtgRatesDataTable75[[#This Row],[asOf]]),MONTH(OneWeekMtgRatesDataTable75[[#This Row],[asOf]]),DAY(OneWeekMtgRatesDataTable75[[#This Row],[asOf]]))</f>
        <v>38162</v>
      </c>
      <c r="N2880" s="51">
        <v>6.21</v>
      </c>
      <c r="O2880" s="51">
        <v>0.6</v>
      </c>
      <c r="P2880" s="51">
        <v>6.11</v>
      </c>
    </row>
    <row r="2881" spans="12:16">
      <c r="L2881" s="51" t="s">
        <v>2888</v>
      </c>
      <c r="M2881" s="25">
        <f>DATE(YEAR(OneWeekMtgRatesDataTable75[[#This Row],[asOf]]),MONTH(OneWeekMtgRatesDataTable75[[#This Row],[asOf]]),DAY(OneWeekMtgRatesDataTable75[[#This Row],[asOf]]))</f>
        <v>38161</v>
      </c>
      <c r="N2881" s="51">
        <v>6.25</v>
      </c>
      <c r="O2881" s="51">
        <v>0.6</v>
      </c>
      <c r="P2881" s="51">
        <v>6.15</v>
      </c>
    </row>
    <row r="2882" spans="12:16">
      <c r="L2882" s="51" t="s">
        <v>2889</v>
      </c>
      <c r="M2882" s="25">
        <f>DATE(YEAR(OneWeekMtgRatesDataTable75[[#This Row],[asOf]]),MONTH(OneWeekMtgRatesDataTable75[[#This Row],[asOf]]),DAY(OneWeekMtgRatesDataTable75[[#This Row],[asOf]]))</f>
        <v>38160</v>
      </c>
      <c r="N2882" s="51">
        <v>6.25</v>
      </c>
      <c r="O2882" s="51">
        <v>0.6</v>
      </c>
      <c r="P2882" s="51">
        <v>6.15</v>
      </c>
    </row>
    <row r="2883" spans="12:16">
      <c r="L2883" s="51" t="s">
        <v>2890</v>
      </c>
      <c r="M2883" s="25">
        <f>DATE(YEAR(OneWeekMtgRatesDataTable75[[#This Row],[asOf]]),MONTH(OneWeekMtgRatesDataTable75[[#This Row],[asOf]]),DAY(OneWeekMtgRatesDataTable75[[#This Row],[asOf]]))</f>
        <v>38159</v>
      </c>
      <c r="N2883" s="51">
        <v>6.25</v>
      </c>
      <c r="O2883" s="51">
        <v>0.6</v>
      </c>
      <c r="P2883" s="51">
        <v>6.15</v>
      </c>
    </row>
    <row r="2884" spans="12:16">
      <c r="L2884" s="51" t="s">
        <v>2891</v>
      </c>
      <c r="M2884" s="25">
        <f>DATE(YEAR(OneWeekMtgRatesDataTable75[[#This Row],[asOf]]),MONTH(OneWeekMtgRatesDataTable75[[#This Row],[asOf]]),DAY(OneWeekMtgRatesDataTable75[[#This Row],[asOf]]))</f>
        <v>38156</v>
      </c>
      <c r="N2884" s="51">
        <v>6.25</v>
      </c>
      <c r="O2884" s="51">
        <v>0.6</v>
      </c>
      <c r="P2884" s="51">
        <v>6.15</v>
      </c>
    </row>
    <row r="2885" spans="12:16">
      <c r="L2885" s="51" t="s">
        <v>2892</v>
      </c>
      <c r="M2885" s="25">
        <f>DATE(YEAR(OneWeekMtgRatesDataTable75[[#This Row],[asOf]]),MONTH(OneWeekMtgRatesDataTable75[[#This Row],[asOf]]),DAY(OneWeekMtgRatesDataTable75[[#This Row],[asOf]]))</f>
        <v>38155</v>
      </c>
      <c r="N2885" s="51">
        <v>6.25</v>
      </c>
      <c r="O2885" s="51">
        <v>0.6</v>
      </c>
      <c r="P2885" s="51">
        <v>6.15</v>
      </c>
    </row>
    <row r="2886" spans="12:16">
      <c r="L2886" s="51" t="s">
        <v>2893</v>
      </c>
      <c r="M2886" s="25">
        <f>DATE(YEAR(OneWeekMtgRatesDataTable75[[#This Row],[asOf]]),MONTH(OneWeekMtgRatesDataTable75[[#This Row],[asOf]]),DAY(OneWeekMtgRatesDataTable75[[#This Row],[asOf]]))</f>
        <v>38154</v>
      </c>
      <c r="N2886" s="51">
        <v>6.32</v>
      </c>
      <c r="O2886" s="51">
        <v>0.5</v>
      </c>
      <c r="P2886" s="51">
        <v>6.1950000000000003</v>
      </c>
    </row>
    <row r="2887" spans="12:16">
      <c r="L2887" s="51" t="s">
        <v>2894</v>
      </c>
      <c r="M2887" s="25">
        <f>DATE(YEAR(OneWeekMtgRatesDataTable75[[#This Row],[asOf]]),MONTH(OneWeekMtgRatesDataTable75[[#This Row],[asOf]]),DAY(OneWeekMtgRatesDataTable75[[#This Row],[asOf]]))</f>
        <v>38153</v>
      </c>
      <c r="N2887" s="51">
        <v>6.32</v>
      </c>
      <c r="O2887" s="51">
        <v>0.5</v>
      </c>
      <c r="P2887" s="51">
        <v>6.1950000000000003</v>
      </c>
    </row>
    <row r="2888" spans="12:16">
      <c r="L2888" s="51" t="s">
        <v>2895</v>
      </c>
      <c r="M2888" s="25">
        <f>DATE(YEAR(OneWeekMtgRatesDataTable75[[#This Row],[asOf]]),MONTH(OneWeekMtgRatesDataTable75[[#This Row],[asOf]]),DAY(OneWeekMtgRatesDataTable75[[#This Row],[asOf]]))</f>
        <v>38152</v>
      </c>
      <c r="N2888" s="51">
        <v>6.32</v>
      </c>
      <c r="O2888" s="51">
        <v>0.5</v>
      </c>
      <c r="P2888" s="51">
        <v>6.1950000000000003</v>
      </c>
    </row>
    <row r="2889" spans="12:16">
      <c r="L2889" s="51" t="s">
        <v>2896</v>
      </c>
      <c r="M2889" s="25">
        <f>DATE(YEAR(OneWeekMtgRatesDataTable75[[#This Row],[asOf]]),MONTH(OneWeekMtgRatesDataTable75[[#This Row],[asOf]]),DAY(OneWeekMtgRatesDataTable75[[#This Row],[asOf]]))</f>
        <v>38149</v>
      </c>
      <c r="N2889" s="51">
        <v>6.32</v>
      </c>
      <c r="O2889" s="51">
        <v>0.5</v>
      </c>
      <c r="P2889" s="51">
        <v>6.1950000000000003</v>
      </c>
    </row>
    <row r="2890" spans="12:16">
      <c r="L2890" s="51" t="s">
        <v>2897</v>
      </c>
      <c r="M2890" s="25">
        <f>DATE(YEAR(OneWeekMtgRatesDataTable75[[#This Row],[asOf]]),MONTH(OneWeekMtgRatesDataTable75[[#This Row],[asOf]]),DAY(OneWeekMtgRatesDataTable75[[#This Row],[asOf]]))</f>
        <v>38148</v>
      </c>
      <c r="N2890" s="51">
        <v>6.32</v>
      </c>
      <c r="O2890" s="51">
        <v>0.5</v>
      </c>
      <c r="P2890" s="51">
        <v>6.1950000000000003</v>
      </c>
    </row>
    <row r="2891" spans="12:16">
      <c r="L2891" s="51" t="s">
        <v>2898</v>
      </c>
      <c r="M2891" s="25">
        <f>DATE(YEAR(OneWeekMtgRatesDataTable75[[#This Row],[asOf]]),MONTH(OneWeekMtgRatesDataTable75[[#This Row],[asOf]]),DAY(OneWeekMtgRatesDataTable75[[#This Row],[asOf]]))</f>
        <v>38147</v>
      </c>
      <c r="N2891" s="51">
        <v>6.3</v>
      </c>
      <c r="O2891" s="51">
        <v>0.7</v>
      </c>
      <c r="P2891" s="51">
        <v>6.2249999999999996</v>
      </c>
    </row>
    <row r="2892" spans="12:16">
      <c r="L2892" s="51" t="s">
        <v>2899</v>
      </c>
      <c r="M2892" s="25">
        <f>DATE(YEAR(OneWeekMtgRatesDataTable75[[#This Row],[asOf]]),MONTH(OneWeekMtgRatesDataTable75[[#This Row],[asOf]]),DAY(OneWeekMtgRatesDataTable75[[#This Row],[asOf]]))</f>
        <v>38146</v>
      </c>
      <c r="N2892" s="51">
        <v>6.3</v>
      </c>
      <c r="O2892" s="51">
        <v>0.7</v>
      </c>
      <c r="P2892" s="51">
        <v>6.2249999999999996</v>
      </c>
    </row>
    <row r="2893" spans="12:16">
      <c r="L2893" s="51" t="s">
        <v>2900</v>
      </c>
      <c r="M2893" s="25">
        <f>DATE(YEAR(OneWeekMtgRatesDataTable75[[#This Row],[asOf]]),MONTH(OneWeekMtgRatesDataTable75[[#This Row],[asOf]]),DAY(OneWeekMtgRatesDataTable75[[#This Row],[asOf]]))</f>
        <v>38145</v>
      </c>
      <c r="N2893" s="51">
        <v>6.3</v>
      </c>
      <c r="O2893" s="51">
        <v>0.7</v>
      </c>
      <c r="P2893" s="51">
        <v>6.2249999999999996</v>
      </c>
    </row>
    <row r="2894" spans="12:16">
      <c r="L2894" s="51" t="s">
        <v>2901</v>
      </c>
      <c r="M2894" s="25">
        <f>DATE(YEAR(OneWeekMtgRatesDataTable75[[#This Row],[asOf]]),MONTH(OneWeekMtgRatesDataTable75[[#This Row],[asOf]]),DAY(OneWeekMtgRatesDataTable75[[#This Row],[asOf]]))</f>
        <v>38142</v>
      </c>
      <c r="N2894" s="51">
        <v>6.3</v>
      </c>
      <c r="O2894" s="51">
        <v>0.7</v>
      </c>
      <c r="P2894" s="51">
        <v>6.2249999999999996</v>
      </c>
    </row>
    <row r="2895" spans="12:16">
      <c r="L2895" s="51" t="s">
        <v>2902</v>
      </c>
      <c r="M2895" s="25">
        <f>DATE(YEAR(OneWeekMtgRatesDataTable75[[#This Row],[asOf]]),MONTH(OneWeekMtgRatesDataTable75[[#This Row],[asOf]]),DAY(OneWeekMtgRatesDataTable75[[#This Row],[asOf]]))</f>
        <v>38141</v>
      </c>
      <c r="N2895" s="51">
        <v>6.3</v>
      </c>
      <c r="O2895" s="51">
        <v>0.7</v>
      </c>
      <c r="P2895" s="51">
        <v>6.2249999999999996</v>
      </c>
    </row>
    <row r="2896" spans="12:16">
      <c r="L2896" s="51" t="s">
        <v>2903</v>
      </c>
      <c r="M2896" s="25">
        <f>DATE(YEAR(OneWeekMtgRatesDataTable75[[#This Row],[asOf]]),MONTH(OneWeekMtgRatesDataTable75[[#This Row],[asOf]]),DAY(OneWeekMtgRatesDataTable75[[#This Row],[asOf]]))</f>
        <v>38140</v>
      </c>
      <c r="N2896" s="51">
        <v>6.28</v>
      </c>
      <c r="O2896" s="51">
        <v>0.7</v>
      </c>
      <c r="P2896" s="51">
        <v>6.2050000000000001</v>
      </c>
    </row>
    <row r="2897" spans="12:16">
      <c r="L2897" s="51" t="s">
        <v>2904</v>
      </c>
      <c r="M2897" s="25">
        <f>DATE(YEAR(OneWeekMtgRatesDataTable75[[#This Row],[asOf]]),MONTH(OneWeekMtgRatesDataTable75[[#This Row],[asOf]]),DAY(OneWeekMtgRatesDataTable75[[#This Row],[asOf]]))</f>
        <v>38139</v>
      </c>
      <c r="N2897" s="51">
        <v>6.28</v>
      </c>
      <c r="O2897" s="51">
        <v>0.7</v>
      </c>
      <c r="P2897" s="51">
        <v>6.2050000000000001</v>
      </c>
    </row>
    <row r="2898" spans="12:16">
      <c r="L2898" s="51" t="s">
        <v>2905</v>
      </c>
      <c r="M2898" s="25">
        <f>DATE(YEAR(OneWeekMtgRatesDataTable75[[#This Row],[asOf]]),MONTH(OneWeekMtgRatesDataTable75[[#This Row],[asOf]]),DAY(OneWeekMtgRatesDataTable75[[#This Row],[asOf]]))</f>
        <v>38138</v>
      </c>
      <c r="N2898" s="51">
        <v>6.28</v>
      </c>
      <c r="O2898" s="51">
        <v>0.7</v>
      </c>
      <c r="P2898" s="51">
        <v>6.2050000000000001</v>
      </c>
    </row>
    <row r="2899" spans="12:16">
      <c r="L2899" s="51" t="s">
        <v>2906</v>
      </c>
      <c r="M2899" s="25">
        <f>DATE(YEAR(OneWeekMtgRatesDataTable75[[#This Row],[asOf]]),MONTH(OneWeekMtgRatesDataTable75[[#This Row],[asOf]]),DAY(OneWeekMtgRatesDataTable75[[#This Row],[asOf]]))</f>
        <v>38135</v>
      </c>
      <c r="N2899" s="51">
        <v>6.28</v>
      </c>
      <c r="O2899" s="51">
        <v>0.7</v>
      </c>
      <c r="P2899" s="51">
        <v>6.2050000000000001</v>
      </c>
    </row>
    <row r="2900" spans="12:16">
      <c r="L2900" s="51" t="s">
        <v>2907</v>
      </c>
      <c r="M2900" s="25">
        <f>DATE(YEAR(OneWeekMtgRatesDataTable75[[#This Row],[asOf]]),MONTH(OneWeekMtgRatesDataTable75[[#This Row],[asOf]]),DAY(OneWeekMtgRatesDataTable75[[#This Row],[asOf]]))</f>
        <v>38134</v>
      </c>
      <c r="N2900" s="51">
        <v>6.28</v>
      </c>
      <c r="O2900" s="51">
        <v>0.7</v>
      </c>
      <c r="P2900" s="51">
        <v>6.2050000000000001</v>
      </c>
    </row>
    <row r="2901" spans="12:16">
      <c r="L2901" s="51" t="s">
        <v>2908</v>
      </c>
      <c r="M2901" s="25">
        <f>DATE(YEAR(OneWeekMtgRatesDataTable75[[#This Row],[asOf]]),MONTH(OneWeekMtgRatesDataTable75[[#This Row],[asOf]]),DAY(OneWeekMtgRatesDataTable75[[#This Row],[asOf]]))</f>
        <v>38133</v>
      </c>
      <c r="N2901" s="51">
        <v>6.32</v>
      </c>
      <c r="O2901" s="51">
        <v>0.6</v>
      </c>
      <c r="P2901" s="51">
        <v>6.2200000000000006</v>
      </c>
    </row>
    <row r="2902" spans="12:16">
      <c r="L2902" s="51" t="s">
        <v>2909</v>
      </c>
      <c r="M2902" s="25">
        <f>DATE(YEAR(OneWeekMtgRatesDataTable75[[#This Row],[asOf]]),MONTH(OneWeekMtgRatesDataTable75[[#This Row],[asOf]]),DAY(OneWeekMtgRatesDataTable75[[#This Row],[asOf]]))</f>
        <v>38132</v>
      </c>
      <c r="N2902" s="51">
        <v>6.32</v>
      </c>
      <c r="O2902" s="51">
        <v>0.6</v>
      </c>
      <c r="P2902" s="51">
        <v>6.2200000000000006</v>
      </c>
    </row>
    <row r="2903" spans="12:16">
      <c r="L2903" s="51" t="s">
        <v>2910</v>
      </c>
      <c r="M2903" s="25">
        <f>DATE(YEAR(OneWeekMtgRatesDataTable75[[#This Row],[asOf]]),MONTH(OneWeekMtgRatesDataTable75[[#This Row],[asOf]]),DAY(OneWeekMtgRatesDataTable75[[#This Row],[asOf]]))</f>
        <v>38131</v>
      </c>
      <c r="N2903" s="51">
        <v>6.32</v>
      </c>
      <c r="O2903" s="51">
        <v>0.6</v>
      </c>
      <c r="P2903" s="51">
        <v>6.2200000000000006</v>
      </c>
    </row>
    <row r="2904" spans="12:16">
      <c r="L2904" s="51" t="s">
        <v>2911</v>
      </c>
      <c r="M2904" s="25">
        <f>DATE(YEAR(OneWeekMtgRatesDataTable75[[#This Row],[asOf]]),MONTH(OneWeekMtgRatesDataTable75[[#This Row],[asOf]]),DAY(OneWeekMtgRatesDataTable75[[#This Row],[asOf]]))</f>
        <v>38128</v>
      </c>
      <c r="N2904" s="51">
        <v>6.32</v>
      </c>
      <c r="O2904" s="51">
        <v>0.6</v>
      </c>
      <c r="P2904" s="51">
        <v>6.2200000000000006</v>
      </c>
    </row>
    <row r="2905" spans="12:16">
      <c r="L2905" s="51" t="s">
        <v>2912</v>
      </c>
      <c r="M2905" s="25">
        <f>DATE(YEAR(OneWeekMtgRatesDataTable75[[#This Row],[asOf]]),MONTH(OneWeekMtgRatesDataTable75[[#This Row],[asOf]]),DAY(OneWeekMtgRatesDataTable75[[#This Row],[asOf]]))</f>
        <v>38127</v>
      </c>
      <c r="N2905" s="51">
        <v>6.32</v>
      </c>
      <c r="O2905" s="51">
        <v>0.6</v>
      </c>
      <c r="P2905" s="51">
        <v>6.2200000000000006</v>
      </c>
    </row>
    <row r="2906" spans="12:16">
      <c r="L2906" s="51" t="s">
        <v>2913</v>
      </c>
      <c r="M2906" s="25">
        <f>DATE(YEAR(OneWeekMtgRatesDataTable75[[#This Row],[asOf]]),MONTH(OneWeekMtgRatesDataTable75[[#This Row],[asOf]]),DAY(OneWeekMtgRatesDataTable75[[#This Row],[asOf]]))</f>
        <v>38126</v>
      </c>
      <c r="N2906" s="51">
        <v>6.3</v>
      </c>
      <c r="O2906" s="51">
        <v>0.7</v>
      </c>
      <c r="P2906" s="51">
        <v>6.2249999999999996</v>
      </c>
    </row>
    <row r="2907" spans="12:16">
      <c r="L2907" s="51" t="s">
        <v>2914</v>
      </c>
      <c r="M2907" s="25">
        <f>DATE(YEAR(OneWeekMtgRatesDataTable75[[#This Row],[asOf]]),MONTH(OneWeekMtgRatesDataTable75[[#This Row],[asOf]]),DAY(OneWeekMtgRatesDataTable75[[#This Row],[asOf]]))</f>
        <v>38125</v>
      </c>
      <c r="N2907" s="51">
        <v>6.3</v>
      </c>
      <c r="O2907" s="51">
        <v>0.7</v>
      </c>
      <c r="P2907" s="51">
        <v>6.2249999999999996</v>
      </c>
    </row>
    <row r="2908" spans="12:16">
      <c r="L2908" s="51" t="s">
        <v>2915</v>
      </c>
      <c r="M2908" s="25">
        <f>DATE(YEAR(OneWeekMtgRatesDataTable75[[#This Row],[asOf]]),MONTH(OneWeekMtgRatesDataTable75[[#This Row],[asOf]]),DAY(OneWeekMtgRatesDataTable75[[#This Row],[asOf]]))</f>
        <v>38124</v>
      </c>
      <c r="N2908" s="51">
        <v>6.3</v>
      </c>
      <c r="O2908" s="51">
        <v>0.7</v>
      </c>
      <c r="P2908" s="51">
        <v>6.2249999999999996</v>
      </c>
    </row>
    <row r="2909" spans="12:16">
      <c r="L2909" s="51" t="s">
        <v>2916</v>
      </c>
      <c r="M2909" s="25">
        <f>DATE(YEAR(OneWeekMtgRatesDataTable75[[#This Row],[asOf]]),MONTH(OneWeekMtgRatesDataTable75[[#This Row],[asOf]]),DAY(OneWeekMtgRatesDataTable75[[#This Row],[asOf]]))</f>
        <v>38121</v>
      </c>
      <c r="N2909" s="51">
        <v>6.3</v>
      </c>
      <c r="O2909" s="51">
        <v>0.7</v>
      </c>
      <c r="P2909" s="51">
        <v>6.2249999999999996</v>
      </c>
    </row>
    <row r="2910" spans="12:16">
      <c r="L2910" s="51" t="s">
        <v>2917</v>
      </c>
      <c r="M2910" s="25">
        <f>DATE(YEAR(OneWeekMtgRatesDataTable75[[#This Row],[asOf]]),MONTH(OneWeekMtgRatesDataTable75[[#This Row],[asOf]]),DAY(OneWeekMtgRatesDataTable75[[#This Row],[asOf]]))</f>
        <v>38120</v>
      </c>
      <c r="N2910" s="51">
        <v>6.3</v>
      </c>
      <c r="O2910" s="51">
        <v>0.7</v>
      </c>
      <c r="P2910" s="51">
        <v>6.2249999999999996</v>
      </c>
    </row>
    <row r="2911" spans="12:16">
      <c r="L2911" s="51" t="s">
        <v>2918</v>
      </c>
      <c r="M2911" s="25">
        <f>DATE(YEAR(OneWeekMtgRatesDataTable75[[#This Row],[asOf]]),MONTH(OneWeekMtgRatesDataTable75[[#This Row],[asOf]]),DAY(OneWeekMtgRatesDataTable75[[#This Row],[asOf]]))</f>
        <v>38119</v>
      </c>
      <c r="N2911" s="51">
        <v>6.34</v>
      </c>
      <c r="O2911" s="51">
        <v>0.7</v>
      </c>
      <c r="P2911" s="51">
        <v>6.2649999999999997</v>
      </c>
    </row>
    <row r="2912" spans="12:16">
      <c r="L2912" s="51" t="s">
        <v>2919</v>
      </c>
      <c r="M2912" s="25">
        <f>DATE(YEAR(OneWeekMtgRatesDataTable75[[#This Row],[asOf]]),MONTH(OneWeekMtgRatesDataTable75[[#This Row],[asOf]]),DAY(OneWeekMtgRatesDataTable75[[#This Row],[asOf]]))</f>
        <v>38118</v>
      </c>
      <c r="N2912" s="51">
        <v>6.34</v>
      </c>
      <c r="O2912" s="51">
        <v>0.7</v>
      </c>
      <c r="P2912" s="51">
        <v>6.2649999999999997</v>
      </c>
    </row>
    <row r="2913" spans="12:16">
      <c r="L2913" s="51" t="s">
        <v>2920</v>
      </c>
      <c r="M2913" s="25">
        <f>DATE(YEAR(OneWeekMtgRatesDataTable75[[#This Row],[asOf]]),MONTH(OneWeekMtgRatesDataTable75[[#This Row],[asOf]]),DAY(OneWeekMtgRatesDataTable75[[#This Row],[asOf]]))</f>
        <v>38117</v>
      </c>
      <c r="N2913" s="51">
        <v>6.34</v>
      </c>
      <c r="O2913" s="51">
        <v>0.7</v>
      </c>
      <c r="P2913" s="51">
        <v>6.2649999999999997</v>
      </c>
    </row>
    <row r="2914" spans="12:16">
      <c r="L2914" s="51" t="s">
        <v>2921</v>
      </c>
      <c r="M2914" s="25">
        <f>DATE(YEAR(OneWeekMtgRatesDataTable75[[#This Row],[asOf]]),MONTH(OneWeekMtgRatesDataTable75[[#This Row],[asOf]]),DAY(OneWeekMtgRatesDataTable75[[#This Row],[asOf]]))</f>
        <v>38114</v>
      </c>
      <c r="N2914" s="51">
        <v>6.34</v>
      </c>
      <c r="O2914" s="51">
        <v>0.7</v>
      </c>
      <c r="P2914" s="51">
        <v>6.2649999999999997</v>
      </c>
    </row>
    <row r="2915" spans="12:16">
      <c r="L2915" s="51" t="s">
        <v>2922</v>
      </c>
      <c r="M2915" s="25">
        <f>DATE(YEAR(OneWeekMtgRatesDataTable75[[#This Row],[asOf]]),MONTH(OneWeekMtgRatesDataTable75[[#This Row],[asOf]]),DAY(OneWeekMtgRatesDataTable75[[#This Row],[asOf]]))</f>
        <v>38113</v>
      </c>
      <c r="N2915" s="51">
        <v>6.34</v>
      </c>
      <c r="O2915" s="51">
        <v>0.7</v>
      </c>
      <c r="P2915" s="51">
        <v>6.2649999999999997</v>
      </c>
    </row>
    <row r="2916" spans="12:16">
      <c r="L2916" s="51" t="s">
        <v>2923</v>
      </c>
      <c r="M2916" s="25">
        <f>DATE(YEAR(OneWeekMtgRatesDataTable75[[#This Row],[asOf]]),MONTH(OneWeekMtgRatesDataTable75[[#This Row],[asOf]]),DAY(OneWeekMtgRatesDataTable75[[#This Row],[asOf]]))</f>
        <v>38112</v>
      </c>
      <c r="N2916" s="51">
        <v>6.12</v>
      </c>
      <c r="O2916" s="51">
        <v>0.7</v>
      </c>
      <c r="P2916" s="51">
        <v>6.0449999999999999</v>
      </c>
    </row>
    <row r="2917" spans="12:16">
      <c r="L2917" s="51" t="s">
        <v>2924</v>
      </c>
      <c r="M2917" s="25">
        <f>DATE(YEAR(OneWeekMtgRatesDataTable75[[#This Row],[asOf]]),MONTH(OneWeekMtgRatesDataTable75[[#This Row],[asOf]]),DAY(OneWeekMtgRatesDataTable75[[#This Row],[asOf]]))</f>
        <v>38111</v>
      </c>
      <c r="N2917" s="51">
        <v>6.12</v>
      </c>
      <c r="O2917" s="51">
        <v>0.7</v>
      </c>
      <c r="P2917" s="51">
        <v>6.0449999999999999</v>
      </c>
    </row>
    <row r="2918" spans="12:16">
      <c r="L2918" s="51" t="s">
        <v>2925</v>
      </c>
      <c r="M2918" s="25">
        <f>DATE(YEAR(OneWeekMtgRatesDataTable75[[#This Row],[asOf]]),MONTH(OneWeekMtgRatesDataTable75[[#This Row],[asOf]]),DAY(OneWeekMtgRatesDataTable75[[#This Row],[asOf]]))</f>
        <v>38110</v>
      </c>
      <c r="N2918" s="51">
        <v>6.12</v>
      </c>
      <c r="O2918" s="51">
        <v>0.7</v>
      </c>
      <c r="P2918" s="51">
        <v>6.0449999999999999</v>
      </c>
    </row>
    <row r="2919" spans="12:16">
      <c r="L2919" s="51" t="s">
        <v>2926</v>
      </c>
      <c r="M2919" s="25">
        <f>DATE(YEAR(OneWeekMtgRatesDataTable75[[#This Row],[asOf]]),MONTH(OneWeekMtgRatesDataTable75[[#This Row],[asOf]]),DAY(OneWeekMtgRatesDataTable75[[#This Row],[asOf]]))</f>
        <v>38107</v>
      </c>
      <c r="N2919" s="51">
        <v>6.12</v>
      </c>
      <c r="O2919" s="51">
        <v>0.7</v>
      </c>
      <c r="P2919" s="51">
        <v>6.0449999999999999</v>
      </c>
    </row>
    <row r="2920" spans="12:16">
      <c r="L2920" s="51" t="s">
        <v>2927</v>
      </c>
      <c r="M2920" s="25">
        <f>DATE(YEAR(OneWeekMtgRatesDataTable75[[#This Row],[asOf]]),MONTH(OneWeekMtgRatesDataTable75[[#This Row],[asOf]]),DAY(OneWeekMtgRatesDataTable75[[#This Row],[asOf]]))</f>
        <v>38106</v>
      </c>
      <c r="N2920" s="51">
        <v>6.12</v>
      </c>
      <c r="O2920" s="51">
        <v>0.7</v>
      </c>
      <c r="P2920" s="51">
        <v>6.0449999999999999</v>
      </c>
    </row>
    <row r="2921" spans="12:16">
      <c r="L2921" s="51" t="s">
        <v>2928</v>
      </c>
      <c r="M2921" s="25">
        <f>DATE(YEAR(OneWeekMtgRatesDataTable75[[#This Row],[asOf]]),MONTH(OneWeekMtgRatesDataTable75[[#This Row],[asOf]]),DAY(OneWeekMtgRatesDataTable75[[#This Row],[asOf]]))</f>
        <v>38105</v>
      </c>
      <c r="N2921" s="51">
        <v>6.01</v>
      </c>
      <c r="O2921" s="51">
        <v>0.7</v>
      </c>
      <c r="P2921" s="51">
        <v>5.9349999999999996</v>
      </c>
    </row>
    <row r="2922" spans="12:16">
      <c r="L2922" s="51" t="s">
        <v>2929</v>
      </c>
      <c r="M2922" s="25">
        <f>DATE(YEAR(OneWeekMtgRatesDataTable75[[#This Row],[asOf]]),MONTH(OneWeekMtgRatesDataTable75[[#This Row],[asOf]]),DAY(OneWeekMtgRatesDataTable75[[#This Row],[asOf]]))</f>
        <v>38104</v>
      </c>
      <c r="N2922" s="51">
        <v>6.01</v>
      </c>
      <c r="O2922" s="51">
        <v>0.7</v>
      </c>
      <c r="P2922" s="51">
        <v>5.9349999999999996</v>
      </c>
    </row>
    <row r="2923" spans="12:16">
      <c r="L2923" s="51" t="s">
        <v>2930</v>
      </c>
      <c r="M2923" s="25">
        <f>DATE(YEAR(OneWeekMtgRatesDataTable75[[#This Row],[asOf]]),MONTH(OneWeekMtgRatesDataTable75[[#This Row],[asOf]]),DAY(OneWeekMtgRatesDataTable75[[#This Row],[asOf]]))</f>
        <v>38103</v>
      </c>
      <c r="N2923" s="51">
        <v>6.01</v>
      </c>
      <c r="O2923" s="51">
        <v>0.7</v>
      </c>
      <c r="P2923" s="51">
        <v>5.9349999999999996</v>
      </c>
    </row>
    <row r="2924" spans="12:16">
      <c r="L2924" s="51" t="s">
        <v>2931</v>
      </c>
      <c r="M2924" s="25">
        <f>DATE(YEAR(OneWeekMtgRatesDataTable75[[#This Row],[asOf]]),MONTH(OneWeekMtgRatesDataTable75[[#This Row],[asOf]]),DAY(OneWeekMtgRatesDataTable75[[#This Row],[asOf]]))</f>
        <v>38100</v>
      </c>
      <c r="N2924" s="51">
        <v>6.01</v>
      </c>
      <c r="O2924" s="51">
        <v>0.7</v>
      </c>
      <c r="P2924" s="51">
        <v>5.9349999999999996</v>
      </c>
    </row>
    <row r="2925" spans="12:16">
      <c r="L2925" s="51" t="s">
        <v>2932</v>
      </c>
      <c r="M2925" s="25">
        <f>DATE(YEAR(OneWeekMtgRatesDataTable75[[#This Row],[asOf]]),MONTH(OneWeekMtgRatesDataTable75[[#This Row],[asOf]]),DAY(OneWeekMtgRatesDataTable75[[#This Row],[asOf]]))</f>
        <v>38099</v>
      </c>
      <c r="N2925" s="51">
        <v>6.01</v>
      </c>
      <c r="O2925" s="51">
        <v>0.7</v>
      </c>
      <c r="P2925" s="51">
        <v>5.9349999999999996</v>
      </c>
    </row>
    <row r="2926" spans="12:16">
      <c r="L2926" s="51" t="s">
        <v>2933</v>
      </c>
      <c r="M2926" s="25">
        <f>DATE(YEAR(OneWeekMtgRatesDataTable75[[#This Row],[asOf]]),MONTH(OneWeekMtgRatesDataTable75[[#This Row],[asOf]]),DAY(OneWeekMtgRatesDataTable75[[#This Row],[asOf]]))</f>
        <v>38098</v>
      </c>
      <c r="N2926" s="51">
        <v>5.94</v>
      </c>
      <c r="O2926" s="51">
        <v>0.7</v>
      </c>
      <c r="P2926" s="51">
        <v>5.8650000000000002</v>
      </c>
    </row>
    <row r="2927" spans="12:16">
      <c r="L2927" s="51" t="s">
        <v>2934</v>
      </c>
      <c r="M2927" s="25">
        <f>DATE(YEAR(OneWeekMtgRatesDataTable75[[#This Row],[asOf]]),MONTH(OneWeekMtgRatesDataTable75[[#This Row],[asOf]]),DAY(OneWeekMtgRatesDataTable75[[#This Row],[asOf]]))</f>
        <v>38097</v>
      </c>
      <c r="N2927" s="51">
        <v>5.94</v>
      </c>
      <c r="O2927" s="51">
        <v>0.7</v>
      </c>
      <c r="P2927" s="51">
        <v>5.8650000000000002</v>
      </c>
    </row>
    <row r="2928" spans="12:16">
      <c r="L2928" s="51" t="s">
        <v>2935</v>
      </c>
      <c r="M2928" s="25">
        <f>DATE(YEAR(OneWeekMtgRatesDataTable75[[#This Row],[asOf]]),MONTH(OneWeekMtgRatesDataTable75[[#This Row],[asOf]]),DAY(OneWeekMtgRatesDataTable75[[#This Row],[asOf]]))</f>
        <v>38096</v>
      </c>
      <c r="N2928" s="51">
        <v>5.94</v>
      </c>
      <c r="O2928" s="51">
        <v>0.7</v>
      </c>
      <c r="P2928" s="51">
        <v>5.8650000000000002</v>
      </c>
    </row>
    <row r="2929" spans="12:16">
      <c r="L2929" s="51" t="s">
        <v>2936</v>
      </c>
      <c r="M2929" s="25">
        <f>DATE(YEAR(OneWeekMtgRatesDataTable75[[#This Row],[asOf]]),MONTH(OneWeekMtgRatesDataTable75[[#This Row],[asOf]]),DAY(OneWeekMtgRatesDataTable75[[#This Row],[asOf]]))</f>
        <v>38093</v>
      </c>
      <c r="N2929" s="51">
        <v>5.94</v>
      </c>
      <c r="O2929" s="51">
        <v>0.7</v>
      </c>
      <c r="P2929" s="51">
        <v>5.8650000000000002</v>
      </c>
    </row>
    <row r="2930" spans="12:16">
      <c r="L2930" s="51" t="s">
        <v>2937</v>
      </c>
      <c r="M2930" s="25">
        <f>DATE(YEAR(OneWeekMtgRatesDataTable75[[#This Row],[asOf]]),MONTH(OneWeekMtgRatesDataTable75[[#This Row],[asOf]]),DAY(OneWeekMtgRatesDataTable75[[#This Row],[asOf]]))</f>
        <v>38092</v>
      </c>
      <c r="N2930" s="51">
        <v>5.94</v>
      </c>
      <c r="O2930" s="51">
        <v>0.7</v>
      </c>
      <c r="P2930" s="51">
        <v>5.8650000000000002</v>
      </c>
    </row>
    <row r="2931" spans="12:16">
      <c r="L2931" s="51" t="s">
        <v>2938</v>
      </c>
      <c r="M2931" s="25">
        <f>DATE(YEAR(OneWeekMtgRatesDataTable75[[#This Row],[asOf]]),MONTH(OneWeekMtgRatesDataTable75[[#This Row],[asOf]]),DAY(OneWeekMtgRatesDataTable75[[#This Row],[asOf]]))</f>
        <v>38091</v>
      </c>
      <c r="N2931" s="51">
        <v>5.89</v>
      </c>
      <c r="O2931" s="51">
        <v>0.6</v>
      </c>
      <c r="P2931" s="51">
        <v>5.79</v>
      </c>
    </row>
    <row r="2932" spans="12:16">
      <c r="L2932" s="51" t="s">
        <v>2939</v>
      </c>
      <c r="M2932" s="25">
        <f>DATE(YEAR(OneWeekMtgRatesDataTable75[[#This Row],[asOf]]),MONTH(OneWeekMtgRatesDataTable75[[#This Row],[asOf]]),DAY(OneWeekMtgRatesDataTable75[[#This Row],[asOf]]))</f>
        <v>38090</v>
      </c>
      <c r="N2932" s="51">
        <v>5.89</v>
      </c>
      <c r="O2932" s="51">
        <v>0.6</v>
      </c>
      <c r="P2932" s="51">
        <v>5.79</v>
      </c>
    </row>
    <row r="2933" spans="12:16">
      <c r="L2933" s="51" t="s">
        <v>2940</v>
      </c>
      <c r="M2933" s="25">
        <f>DATE(YEAR(OneWeekMtgRatesDataTable75[[#This Row],[asOf]]),MONTH(OneWeekMtgRatesDataTable75[[#This Row],[asOf]]),DAY(OneWeekMtgRatesDataTable75[[#This Row],[asOf]]))</f>
        <v>38089</v>
      </c>
      <c r="N2933" s="51">
        <v>5.89</v>
      </c>
      <c r="O2933" s="51">
        <v>0.6</v>
      </c>
      <c r="P2933" s="51">
        <v>5.79</v>
      </c>
    </row>
    <row r="2934" spans="12:16">
      <c r="L2934" s="51" t="s">
        <v>2941</v>
      </c>
      <c r="M2934" s="25">
        <f>DATE(YEAR(OneWeekMtgRatesDataTable75[[#This Row],[asOf]]),MONTH(OneWeekMtgRatesDataTable75[[#This Row],[asOf]]),DAY(OneWeekMtgRatesDataTable75[[#This Row],[asOf]]))</f>
        <v>38086</v>
      </c>
      <c r="N2934" s="51">
        <v>5.89</v>
      </c>
      <c r="O2934" s="51">
        <v>0.6</v>
      </c>
      <c r="P2934" s="51">
        <v>5.79</v>
      </c>
    </row>
    <row r="2935" spans="12:16">
      <c r="L2935" s="51" t="s">
        <v>2942</v>
      </c>
      <c r="M2935" s="25">
        <f>DATE(YEAR(OneWeekMtgRatesDataTable75[[#This Row],[asOf]]),MONTH(OneWeekMtgRatesDataTable75[[#This Row],[asOf]]),DAY(OneWeekMtgRatesDataTable75[[#This Row],[asOf]]))</f>
        <v>38085</v>
      </c>
      <c r="N2935" s="51">
        <v>5.89</v>
      </c>
      <c r="O2935" s="51">
        <v>0.6</v>
      </c>
      <c r="P2935" s="51">
        <v>5.79</v>
      </c>
    </row>
    <row r="2936" spans="12:16">
      <c r="L2936" s="51" t="s">
        <v>2943</v>
      </c>
      <c r="M2936" s="25">
        <f>DATE(YEAR(OneWeekMtgRatesDataTable75[[#This Row],[asOf]]),MONTH(OneWeekMtgRatesDataTable75[[#This Row],[asOf]]),DAY(OneWeekMtgRatesDataTable75[[#This Row],[asOf]]))</f>
        <v>38084</v>
      </c>
      <c r="N2936" s="51">
        <v>5.79</v>
      </c>
      <c r="O2936" s="51">
        <v>0.7</v>
      </c>
      <c r="P2936" s="51">
        <v>5.7149999999999999</v>
      </c>
    </row>
    <row r="2937" spans="12:16">
      <c r="L2937" s="51" t="s">
        <v>2944</v>
      </c>
      <c r="M2937" s="25">
        <f>DATE(YEAR(OneWeekMtgRatesDataTable75[[#This Row],[asOf]]),MONTH(OneWeekMtgRatesDataTable75[[#This Row],[asOf]]),DAY(OneWeekMtgRatesDataTable75[[#This Row],[asOf]]))</f>
        <v>38083</v>
      </c>
      <c r="N2937" s="51">
        <v>5.79</v>
      </c>
      <c r="O2937" s="51">
        <v>0.7</v>
      </c>
      <c r="P2937" s="51">
        <v>5.7149999999999999</v>
      </c>
    </row>
    <row r="2938" spans="12:16">
      <c r="L2938" s="51" t="s">
        <v>2945</v>
      </c>
      <c r="M2938" s="25">
        <f>DATE(YEAR(OneWeekMtgRatesDataTable75[[#This Row],[asOf]]),MONTH(OneWeekMtgRatesDataTable75[[#This Row],[asOf]]),DAY(OneWeekMtgRatesDataTable75[[#This Row],[asOf]]))</f>
        <v>38082</v>
      </c>
      <c r="N2938" s="51">
        <v>5.79</v>
      </c>
      <c r="O2938" s="51">
        <v>0.7</v>
      </c>
      <c r="P2938" s="51">
        <v>5.7149999999999999</v>
      </c>
    </row>
    <row r="2939" spans="12:16">
      <c r="L2939" s="51" t="s">
        <v>2946</v>
      </c>
      <c r="M2939" s="25">
        <f>DATE(YEAR(OneWeekMtgRatesDataTable75[[#This Row],[asOf]]),MONTH(OneWeekMtgRatesDataTable75[[#This Row],[asOf]]),DAY(OneWeekMtgRatesDataTable75[[#This Row],[asOf]]))</f>
        <v>38079</v>
      </c>
      <c r="N2939" s="51">
        <v>5.79</v>
      </c>
      <c r="O2939" s="51">
        <v>0.7</v>
      </c>
      <c r="P2939" s="51">
        <v>5.7149999999999999</v>
      </c>
    </row>
    <row r="2940" spans="12:16">
      <c r="L2940" s="51" t="s">
        <v>2947</v>
      </c>
      <c r="M2940" s="25">
        <f>DATE(YEAR(OneWeekMtgRatesDataTable75[[#This Row],[asOf]]),MONTH(OneWeekMtgRatesDataTable75[[#This Row],[asOf]]),DAY(OneWeekMtgRatesDataTable75[[#This Row],[asOf]]))</f>
        <v>38078</v>
      </c>
      <c r="N2940" s="51">
        <v>5.79</v>
      </c>
      <c r="O2940" s="51">
        <v>0.7</v>
      </c>
      <c r="P2940" s="51">
        <v>5.7149999999999999</v>
      </c>
    </row>
    <row r="2941" spans="12:16">
      <c r="L2941" s="51" t="s">
        <v>2948</v>
      </c>
      <c r="M2941" s="25">
        <f>DATE(YEAR(OneWeekMtgRatesDataTable75[[#This Row],[asOf]]),MONTH(OneWeekMtgRatesDataTable75[[#This Row],[asOf]]),DAY(OneWeekMtgRatesDataTable75[[#This Row],[asOf]]))</f>
        <v>38077</v>
      </c>
      <c r="N2941" s="51">
        <v>5.52</v>
      </c>
      <c r="O2941" s="51">
        <v>0.6</v>
      </c>
      <c r="P2941" s="51">
        <v>5.42</v>
      </c>
    </row>
    <row r="2942" spans="12:16">
      <c r="L2942" s="51" t="s">
        <v>2949</v>
      </c>
      <c r="M2942" s="25">
        <f>DATE(YEAR(OneWeekMtgRatesDataTable75[[#This Row],[asOf]]),MONTH(OneWeekMtgRatesDataTable75[[#This Row],[asOf]]),DAY(OneWeekMtgRatesDataTable75[[#This Row],[asOf]]))</f>
        <v>38076</v>
      </c>
      <c r="N2942" s="51">
        <v>5.52</v>
      </c>
      <c r="O2942" s="51">
        <v>0.6</v>
      </c>
      <c r="P2942" s="51">
        <v>5.42</v>
      </c>
    </row>
    <row r="2943" spans="12:16">
      <c r="L2943" s="51" t="s">
        <v>2950</v>
      </c>
      <c r="M2943" s="25">
        <f>DATE(YEAR(OneWeekMtgRatesDataTable75[[#This Row],[asOf]]),MONTH(OneWeekMtgRatesDataTable75[[#This Row],[asOf]]),DAY(OneWeekMtgRatesDataTable75[[#This Row],[asOf]]))</f>
        <v>38075</v>
      </c>
      <c r="N2943" s="51">
        <v>5.52</v>
      </c>
      <c r="O2943" s="51">
        <v>0.6</v>
      </c>
      <c r="P2943" s="51">
        <v>5.42</v>
      </c>
    </row>
    <row r="2944" spans="12:16">
      <c r="L2944" s="51" t="s">
        <v>2951</v>
      </c>
      <c r="M2944" s="25">
        <f>DATE(YEAR(OneWeekMtgRatesDataTable75[[#This Row],[asOf]]),MONTH(OneWeekMtgRatesDataTable75[[#This Row],[asOf]]),DAY(OneWeekMtgRatesDataTable75[[#This Row],[asOf]]))</f>
        <v>38072</v>
      </c>
      <c r="N2944" s="51">
        <v>5.52</v>
      </c>
      <c r="O2944" s="51">
        <v>0.6</v>
      </c>
      <c r="P2944" s="51">
        <v>5.42</v>
      </c>
    </row>
    <row r="2945" spans="12:16">
      <c r="L2945" s="51" t="s">
        <v>2952</v>
      </c>
      <c r="M2945" s="25">
        <f>DATE(YEAR(OneWeekMtgRatesDataTable75[[#This Row],[asOf]]),MONTH(OneWeekMtgRatesDataTable75[[#This Row],[asOf]]),DAY(OneWeekMtgRatesDataTable75[[#This Row],[asOf]]))</f>
        <v>38071</v>
      </c>
      <c r="N2945" s="51">
        <v>5.52</v>
      </c>
      <c r="O2945" s="51">
        <v>0.6</v>
      </c>
      <c r="P2945" s="51">
        <v>5.42</v>
      </c>
    </row>
    <row r="2946" spans="12:16">
      <c r="L2946" s="51" t="s">
        <v>2953</v>
      </c>
      <c r="M2946" s="25">
        <f>DATE(YEAR(OneWeekMtgRatesDataTable75[[#This Row],[asOf]]),MONTH(OneWeekMtgRatesDataTable75[[#This Row],[asOf]]),DAY(OneWeekMtgRatesDataTable75[[#This Row],[asOf]]))</f>
        <v>38070</v>
      </c>
      <c r="N2946" s="51">
        <v>5.4</v>
      </c>
      <c r="O2946" s="51">
        <v>0.7</v>
      </c>
      <c r="P2946" s="51">
        <v>5.3250000000000002</v>
      </c>
    </row>
    <row r="2947" spans="12:16">
      <c r="L2947" s="51" t="s">
        <v>2954</v>
      </c>
      <c r="M2947" s="25">
        <f>DATE(YEAR(OneWeekMtgRatesDataTable75[[#This Row],[asOf]]),MONTH(OneWeekMtgRatesDataTable75[[#This Row],[asOf]]),DAY(OneWeekMtgRatesDataTable75[[#This Row],[asOf]]))</f>
        <v>38069</v>
      </c>
      <c r="N2947" s="51">
        <v>5.4</v>
      </c>
      <c r="O2947" s="51">
        <v>0.7</v>
      </c>
      <c r="P2947" s="51">
        <v>5.3250000000000002</v>
      </c>
    </row>
    <row r="2948" spans="12:16">
      <c r="L2948" s="51" t="s">
        <v>2955</v>
      </c>
      <c r="M2948" s="25">
        <f>DATE(YEAR(OneWeekMtgRatesDataTable75[[#This Row],[asOf]]),MONTH(OneWeekMtgRatesDataTable75[[#This Row],[asOf]]),DAY(OneWeekMtgRatesDataTable75[[#This Row],[asOf]]))</f>
        <v>38068</v>
      </c>
      <c r="N2948" s="51">
        <v>5.4</v>
      </c>
      <c r="O2948" s="51">
        <v>0.7</v>
      </c>
      <c r="P2948" s="51">
        <v>5.3250000000000002</v>
      </c>
    </row>
    <row r="2949" spans="12:16">
      <c r="L2949" s="51" t="s">
        <v>2956</v>
      </c>
      <c r="M2949" s="25">
        <f>DATE(YEAR(OneWeekMtgRatesDataTable75[[#This Row],[asOf]]),MONTH(OneWeekMtgRatesDataTable75[[#This Row],[asOf]]),DAY(OneWeekMtgRatesDataTable75[[#This Row],[asOf]]))</f>
        <v>38065</v>
      </c>
      <c r="N2949" s="51">
        <v>5.4</v>
      </c>
      <c r="O2949" s="51">
        <v>0.7</v>
      </c>
      <c r="P2949" s="51">
        <v>5.3250000000000002</v>
      </c>
    </row>
    <row r="2950" spans="12:16">
      <c r="L2950" s="51" t="s">
        <v>2957</v>
      </c>
      <c r="M2950" s="25">
        <f>DATE(YEAR(OneWeekMtgRatesDataTable75[[#This Row],[asOf]]),MONTH(OneWeekMtgRatesDataTable75[[#This Row],[asOf]]),DAY(OneWeekMtgRatesDataTable75[[#This Row],[asOf]]))</f>
        <v>38064</v>
      </c>
      <c r="N2950" s="51">
        <v>5.4</v>
      </c>
      <c r="O2950" s="51">
        <v>0.7</v>
      </c>
      <c r="P2950" s="51">
        <v>5.3250000000000002</v>
      </c>
    </row>
    <row r="2951" spans="12:16">
      <c r="L2951" s="51" t="s">
        <v>2958</v>
      </c>
      <c r="M2951" s="25">
        <f>DATE(YEAR(OneWeekMtgRatesDataTable75[[#This Row],[asOf]]),MONTH(OneWeekMtgRatesDataTable75[[#This Row],[asOf]]),DAY(OneWeekMtgRatesDataTable75[[#This Row],[asOf]]))</f>
        <v>38063</v>
      </c>
      <c r="N2951" s="51">
        <v>5.38</v>
      </c>
      <c r="O2951" s="51">
        <v>0.7</v>
      </c>
      <c r="P2951" s="51">
        <v>5.3049999999999997</v>
      </c>
    </row>
    <row r="2952" spans="12:16">
      <c r="L2952" s="51" t="s">
        <v>2959</v>
      </c>
      <c r="M2952" s="25">
        <f>DATE(YEAR(OneWeekMtgRatesDataTable75[[#This Row],[asOf]]),MONTH(OneWeekMtgRatesDataTable75[[#This Row],[asOf]]),DAY(OneWeekMtgRatesDataTable75[[#This Row],[asOf]]))</f>
        <v>38062</v>
      </c>
      <c r="N2952" s="51">
        <v>5.38</v>
      </c>
      <c r="O2952" s="51">
        <v>0.7</v>
      </c>
      <c r="P2952" s="51">
        <v>5.3049999999999997</v>
      </c>
    </row>
    <row r="2953" spans="12:16">
      <c r="L2953" s="51" t="s">
        <v>2960</v>
      </c>
      <c r="M2953" s="25">
        <f>DATE(YEAR(OneWeekMtgRatesDataTable75[[#This Row],[asOf]]),MONTH(OneWeekMtgRatesDataTable75[[#This Row],[asOf]]),DAY(OneWeekMtgRatesDataTable75[[#This Row],[asOf]]))</f>
        <v>38061</v>
      </c>
      <c r="N2953" s="51">
        <v>5.38</v>
      </c>
      <c r="O2953" s="51">
        <v>0.7</v>
      </c>
      <c r="P2953" s="51">
        <v>5.3049999999999997</v>
      </c>
    </row>
    <row r="2954" spans="12:16">
      <c r="L2954" s="51" t="s">
        <v>2961</v>
      </c>
      <c r="M2954" s="25">
        <f>DATE(YEAR(OneWeekMtgRatesDataTable75[[#This Row],[asOf]]),MONTH(OneWeekMtgRatesDataTable75[[#This Row],[asOf]]),DAY(OneWeekMtgRatesDataTable75[[#This Row],[asOf]]))</f>
        <v>38058</v>
      </c>
      <c r="N2954" s="51">
        <v>5.38</v>
      </c>
      <c r="O2954" s="51">
        <v>0.7</v>
      </c>
      <c r="P2954" s="51">
        <v>5.3049999999999997</v>
      </c>
    </row>
    <row r="2955" spans="12:16">
      <c r="L2955" s="51" t="s">
        <v>2962</v>
      </c>
      <c r="M2955" s="25">
        <f>DATE(YEAR(OneWeekMtgRatesDataTable75[[#This Row],[asOf]]),MONTH(OneWeekMtgRatesDataTable75[[#This Row],[asOf]]),DAY(OneWeekMtgRatesDataTable75[[#This Row],[asOf]]))</f>
        <v>38057</v>
      </c>
      <c r="N2955" s="51">
        <v>5.38</v>
      </c>
      <c r="O2955" s="51">
        <v>0.7</v>
      </c>
      <c r="P2955" s="51">
        <v>5.3049999999999997</v>
      </c>
    </row>
    <row r="2956" spans="12:16">
      <c r="L2956" s="51" t="s">
        <v>2963</v>
      </c>
      <c r="M2956" s="25">
        <f>DATE(YEAR(OneWeekMtgRatesDataTable75[[#This Row],[asOf]]),MONTH(OneWeekMtgRatesDataTable75[[#This Row],[asOf]]),DAY(OneWeekMtgRatesDataTable75[[#This Row],[asOf]]))</f>
        <v>38056</v>
      </c>
      <c r="N2956" s="51">
        <v>5.41</v>
      </c>
      <c r="O2956" s="51">
        <v>0.6</v>
      </c>
      <c r="P2956" s="51">
        <v>5.3100000000000005</v>
      </c>
    </row>
    <row r="2957" spans="12:16">
      <c r="L2957" s="51" t="s">
        <v>2964</v>
      </c>
      <c r="M2957" s="25">
        <f>DATE(YEAR(OneWeekMtgRatesDataTable75[[#This Row],[asOf]]),MONTH(OneWeekMtgRatesDataTable75[[#This Row],[asOf]]),DAY(OneWeekMtgRatesDataTable75[[#This Row],[asOf]]))</f>
        <v>38055</v>
      </c>
      <c r="N2957" s="51">
        <v>5.41</v>
      </c>
      <c r="O2957" s="51">
        <v>0.6</v>
      </c>
      <c r="P2957" s="51">
        <v>5.3100000000000005</v>
      </c>
    </row>
    <row r="2958" spans="12:16">
      <c r="L2958" s="51" t="s">
        <v>2965</v>
      </c>
      <c r="M2958" s="25">
        <f>DATE(YEAR(OneWeekMtgRatesDataTable75[[#This Row],[asOf]]),MONTH(OneWeekMtgRatesDataTable75[[#This Row],[asOf]]),DAY(OneWeekMtgRatesDataTable75[[#This Row],[asOf]]))</f>
        <v>38054</v>
      </c>
      <c r="N2958" s="51">
        <v>5.41</v>
      </c>
      <c r="O2958" s="51">
        <v>0.6</v>
      </c>
      <c r="P2958" s="51">
        <v>5.3100000000000005</v>
      </c>
    </row>
    <row r="2959" spans="12:16">
      <c r="L2959" s="51" t="s">
        <v>2966</v>
      </c>
      <c r="M2959" s="25">
        <f>DATE(YEAR(OneWeekMtgRatesDataTable75[[#This Row],[asOf]]),MONTH(OneWeekMtgRatesDataTable75[[#This Row],[asOf]]),DAY(OneWeekMtgRatesDataTable75[[#This Row],[asOf]]))</f>
        <v>38051</v>
      </c>
      <c r="N2959" s="51">
        <v>5.41</v>
      </c>
      <c r="O2959" s="51">
        <v>0.6</v>
      </c>
      <c r="P2959" s="51">
        <v>5.3100000000000005</v>
      </c>
    </row>
    <row r="2960" spans="12:16">
      <c r="L2960" s="51" t="s">
        <v>2967</v>
      </c>
      <c r="M2960" s="25">
        <f>DATE(YEAR(OneWeekMtgRatesDataTable75[[#This Row],[asOf]]),MONTH(OneWeekMtgRatesDataTable75[[#This Row],[asOf]]),DAY(OneWeekMtgRatesDataTable75[[#This Row],[asOf]]))</f>
        <v>38050</v>
      </c>
      <c r="N2960" s="51">
        <v>5.41</v>
      </c>
      <c r="O2960" s="51">
        <v>0.6</v>
      </c>
      <c r="P2960" s="51">
        <v>5.3100000000000005</v>
      </c>
    </row>
    <row r="2961" spans="12:16">
      <c r="L2961" s="51" t="s">
        <v>2968</v>
      </c>
      <c r="M2961" s="25">
        <f>DATE(YEAR(OneWeekMtgRatesDataTable75[[#This Row],[asOf]]),MONTH(OneWeekMtgRatesDataTable75[[#This Row],[asOf]]),DAY(OneWeekMtgRatesDataTable75[[#This Row],[asOf]]))</f>
        <v>38049</v>
      </c>
      <c r="N2961" s="51">
        <v>5.59</v>
      </c>
      <c r="O2961" s="51">
        <v>0.7</v>
      </c>
      <c r="P2961" s="51">
        <v>5.5149999999999997</v>
      </c>
    </row>
    <row r="2962" spans="12:16">
      <c r="L2962" s="51" t="s">
        <v>2969</v>
      </c>
      <c r="M2962" s="25">
        <f>DATE(YEAR(OneWeekMtgRatesDataTable75[[#This Row],[asOf]]),MONTH(OneWeekMtgRatesDataTable75[[#This Row],[asOf]]),DAY(OneWeekMtgRatesDataTable75[[#This Row],[asOf]]))</f>
        <v>38048</v>
      </c>
      <c r="N2962" s="51">
        <v>5.59</v>
      </c>
      <c r="O2962" s="51">
        <v>0.7</v>
      </c>
      <c r="P2962" s="51">
        <v>5.5149999999999997</v>
      </c>
    </row>
    <row r="2963" spans="12:16">
      <c r="L2963" s="51" t="s">
        <v>2970</v>
      </c>
      <c r="M2963" s="25">
        <f>DATE(YEAR(OneWeekMtgRatesDataTable75[[#This Row],[asOf]]),MONTH(OneWeekMtgRatesDataTable75[[#This Row],[asOf]]),DAY(OneWeekMtgRatesDataTable75[[#This Row],[asOf]]))</f>
        <v>38047</v>
      </c>
      <c r="N2963" s="51">
        <v>5.59</v>
      </c>
      <c r="O2963" s="51">
        <v>0.7</v>
      </c>
      <c r="P2963" s="51">
        <v>5.5149999999999997</v>
      </c>
    </row>
    <row r="2964" spans="12:16">
      <c r="L2964" s="51" t="s">
        <v>2971</v>
      </c>
      <c r="M2964" s="25">
        <f>DATE(YEAR(OneWeekMtgRatesDataTable75[[#This Row],[asOf]]),MONTH(OneWeekMtgRatesDataTable75[[#This Row],[asOf]]),DAY(OneWeekMtgRatesDataTable75[[#This Row],[asOf]]))</f>
        <v>38044</v>
      </c>
      <c r="N2964" s="51">
        <v>5.59</v>
      </c>
      <c r="O2964" s="51">
        <v>0.7</v>
      </c>
      <c r="P2964" s="51">
        <v>5.5149999999999997</v>
      </c>
    </row>
    <row r="2965" spans="12:16">
      <c r="L2965" s="51" t="s">
        <v>2972</v>
      </c>
      <c r="M2965" s="25">
        <f>DATE(YEAR(OneWeekMtgRatesDataTable75[[#This Row],[asOf]]),MONTH(OneWeekMtgRatesDataTable75[[#This Row],[asOf]]),DAY(OneWeekMtgRatesDataTable75[[#This Row],[asOf]]))</f>
        <v>38043</v>
      </c>
      <c r="N2965" s="51">
        <v>5.59</v>
      </c>
      <c r="O2965" s="51">
        <v>0.7</v>
      </c>
      <c r="P2965" s="51">
        <v>5.5149999999999997</v>
      </c>
    </row>
    <row r="2966" spans="12:16">
      <c r="L2966" s="51" t="s">
        <v>2973</v>
      </c>
      <c r="M2966" s="25">
        <f>DATE(YEAR(OneWeekMtgRatesDataTable75[[#This Row],[asOf]]),MONTH(OneWeekMtgRatesDataTable75[[#This Row],[asOf]]),DAY(OneWeekMtgRatesDataTable75[[#This Row],[asOf]]))</f>
        <v>38042</v>
      </c>
      <c r="N2966" s="51">
        <v>5.58</v>
      </c>
      <c r="O2966" s="51">
        <v>0.7</v>
      </c>
      <c r="P2966" s="51">
        <v>5.5049999999999999</v>
      </c>
    </row>
    <row r="2967" spans="12:16">
      <c r="L2967" s="51" t="s">
        <v>2974</v>
      </c>
      <c r="M2967" s="25">
        <f>DATE(YEAR(OneWeekMtgRatesDataTable75[[#This Row],[asOf]]),MONTH(OneWeekMtgRatesDataTable75[[#This Row],[asOf]]),DAY(OneWeekMtgRatesDataTable75[[#This Row],[asOf]]))</f>
        <v>38041</v>
      </c>
      <c r="N2967" s="51">
        <v>5.58</v>
      </c>
      <c r="O2967" s="51">
        <v>0.7</v>
      </c>
      <c r="P2967" s="51">
        <v>5.5049999999999999</v>
      </c>
    </row>
    <row r="2968" spans="12:16">
      <c r="L2968" s="51" t="s">
        <v>2975</v>
      </c>
      <c r="M2968" s="25">
        <f>DATE(YEAR(OneWeekMtgRatesDataTable75[[#This Row],[asOf]]),MONTH(OneWeekMtgRatesDataTable75[[#This Row],[asOf]]),DAY(OneWeekMtgRatesDataTable75[[#This Row],[asOf]]))</f>
        <v>38040</v>
      </c>
      <c r="N2968" s="51">
        <v>5.58</v>
      </c>
      <c r="O2968" s="51">
        <v>0.7</v>
      </c>
      <c r="P2968" s="51">
        <v>5.5049999999999999</v>
      </c>
    </row>
    <row r="2969" spans="12:16">
      <c r="L2969" s="51" t="s">
        <v>2976</v>
      </c>
      <c r="M2969" s="25">
        <f>DATE(YEAR(OneWeekMtgRatesDataTable75[[#This Row],[asOf]]),MONTH(OneWeekMtgRatesDataTable75[[#This Row],[asOf]]),DAY(OneWeekMtgRatesDataTable75[[#This Row],[asOf]]))</f>
        <v>38037</v>
      </c>
      <c r="N2969" s="51">
        <v>5.58</v>
      </c>
      <c r="O2969" s="51">
        <v>0.7</v>
      </c>
      <c r="P2969" s="51">
        <v>5.5049999999999999</v>
      </c>
    </row>
    <row r="2970" spans="12:16">
      <c r="L2970" s="51" t="s">
        <v>2977</v>
      </c>
      <c r="M2970" s="25">
        <f>DATE(YEAR(OneWeekMtgRatesDataTable75[[#This Row],[asOf]]),MONTH(OneWeekMtgRatesDataTable75[[#This Row],[asOf]]),DAY(OneWeekMtgRatesDataTable75[[#This Row],[asOf]]))</f>
        <v>38036</v>
      </c>
      <c r="N2970" s="51">
        <v>5.58</v>
      </c>
      <c r="O2970" s="51">
        <v>0.7</v>
      </c>
      <c r="P2970" s="51">
        <v>5.5049999999999999</v>
      </c>
    </row>
    <row r="2971" spans="12:16">
      <c r="L2971" s="51" t="s">
        <v>2978</v>
      </c>
      <c r="M2971" s="25">
        <f>DATE(YEAR(OneWeekMtgRatesDataTable75[[#This Row],[asOf]]),MONTH(OneWeekMtgRatesDataTable75[[#This Row],[asOf]]),DAY(OneWeekMtgRatesDataTable75[[#This Row],[asOf]]))</f>
        <v>38035</v>
      </c>
      <c r="N2971" s="51">
        <v>5.58</v>
      </c>
      <c r="O2971" s="51">
        <v>0.6</v>
      </c>
      <c r="P2971" s="51">
        <v>5.48</v>
      </c>
    </row>
    <row r="2972" spans="12:16">
      <c r="L2972" s="51" t="s">
        <v>2979</v>
      </c>
      <c r="M2972" s="25">
        <f>DATE(YEAR(OneWeekMtgRatesDataTable75[[#This Row],[asOf]]),MONTH(OneWeekMtgRatesDataTable75[[#This Row],[asOf]]),DAY(OneWeekMtgRatesDataTable75[[#This Row],[asOf]]))</f>
        <v>38034</v>
      </c>
      <c r="N2972" s="51">
        <v>5.58</v>
      </c>
      <c r="O2972" s="51">
        <v>0.6</v>
      </c>
      <c r="P2972" s="51">
        <v>5.48</v>
      </c>
    </row>
    <row r="2973" spans="12:16">
      <c r="L2973" s="51" t="s">
        <v>2980</v>
      </c>
      <c r="M2973" s="25">
        <f>DATE(YEAR(OneWeekMtgRatesDataTable75[[#This Row],[asOf]]),MONTH(OneWeekMtgRatesDataTable75[[#This Row],[asOf]]),DAY(OneWeekMtgRatesDataTable75[[#This Row],[asOf]]))</f>
        <v>38033</v>
      </c>
      <c r="N2973" s="51">
        <v>5.58</v>
      </c>
      <c r="O2973" s="51">
        <v>0.6</v>
      </c>
      <c r="P2973" s="51">
        <v>5.48</v>
      </c>
    </row>
    <row r="2974" spans="12:16">
      <c r="L2974" s="51" t="s">
        <v>2981</v>
      </c>
      <c r="M2974" s="25">
        <f>DATE(YEAR(OneWeekMtgRatesDataTable75[[#This Row],[asOf]]),MONTH(OneWeekMtgRatesDataTable75[[#This Row],[asOf]]),DAY(OneWeekMtgRatesDataTable75[[#This Row],[asOf]]))</f>
        <v>38030</v>
      </c>
      <c r="N2974" s="51">
        <v>5.58</v>
      </c>
      <c r="O2974" s="51">
        <v>0.6</v>
      </c>
      <c r="P2974" s="51">
        <v>5.48</v>
      </c>
    </row>
    <row r="2975" spans="12:16">
      <c r="L2975" s="51" t="s">
        <v>2982</v>
      </c>
      <c r="M2975" s="25">
        <f>DATE(YEAR(OneWeekMtgRatesDataTable75[[#This Row],[asOf]]),MONTH(OneWeekMtgRatesDataTable75[[#This Row],[asOf]]),DAY(OneWeekMtgRatesDataTable75[[#This Row],[asOf]]))</f>
        <v>38029</v>
      </c>
      <c r="N2975" s="51">
        <v>5.58</v>
      </c>
      <c r="O2975" s="51">
        <v>0.6</v>
      </c>
      <c r="P2975" s="51">
        <v>5.48</v>
      </c>
    </row>
    <row r="2976" spans="12:16">
      <c r="L2976" s="51" t="s">
        <v>2983</v>
      </c>
      <c r="M2976" s="25">
        <f>DATE(YEAR(OneWeekMtgRatesDataTable75[[#This Row],[asOf]]),MONTH(OneWeekMtgRatesDataTable75[[#This Row],[asOf]]),DAY(OneWeekMtgRatesDataTable75[[#This Row],[asOf]]))</f>
        <v>38028</v>
      </c>
      <c r="N2976" s="51">
        <v>5.66</v>
      </c>
      <c r="O2976" s="51">
        <v>0.7</v>
      </c>
      <c r="P2976" s="51">
        <v>5.585</v>
      </c>
    </row>
    <row r="2977" spans="12:16">
      <c r="L2977" s="51" t="s">
        <v>2984</v>
      </c>
      <c r="M2977" s="25">
        <f>DATE(YEAR(OneWeekMtgRatesDataTable75[[#This Row],[asOf]]),MONTH(OneWeekMtgRatesDataTable75[[#This Row],[asOf]]),DAY(OneWeekMtgRatesDataTable75[[#This Row],[asOf]]))</f>
        <v>38027</v>
      </c>
      <c r="N2977" s="51">
        <v>5.66</v>
      </c>
      <c r="O2977" s="51">
        <v>0.7</v>
      </c>
      <c r="P2977" s="51">
        <v>5.585</v>
      </c>
    </row>
    <row r="2978" spans="12:16">
      <c r="L2978" s="51" t="s">
        <v>2985</v>
      </c>
      <c r="M2978" s="25">
        <f>DATE(YEAR(OneWeekMtgRatesDataTable75[[#This Row],[asOf]]),MONTH(OneWeekMtgRatesDataTable75[[#This Row],[asOf]]),DAY(OneWeekMtgRatesDataTable75[[#This Row],[asOf]]))</f>
        <v>38026</v>
      </c>
      <c r="N2978" s="51">
        <v>5.66</v>
      </c>
      <c r="O2978" s="51">
        <v>0.7</v>
      </c>
      <c r="P2978" s="51">
        <v>5.585</v>
      </c>
    </row>
    <row r="2979" spans="12:16">
      <c r="L2979" s="51" t="s">
        <v>2986</v>
      </c>
      <c r="M2979" s="25">
        <f>DATE(YEAR(OneWeekMtgRatesDataTable75[[#This Row],[asOf]]),MONTH(OneWeekMtgRatesDataTable75[[#This Row],[asOf]]),DAY(OneWeekMtgRatesDataTable75[[#This Row],[asOf]]))</f>
        <v>38023</v>
      </c>
      <c r="N2979" s="51">
        <v>5.66</v>
      </c>
      <c r="O2979" s="51">
        <v>0.7</v>
      </c>
      <c r="P2979" s="51">
        <v>5.585</v>
      </c>
    </row>
    <row r="2980" spans="12:16">
      <c r="L2980" s="51" t="s">
        <v>2987</v>
      </c>
      <c r="M2980" s="25">
        <f>DATE(YEAR(OneWeekMtgRatesDataTable75[[#This Row],[asOf]]),MONTH(OneWeekMtgRatesDataTable75[[#This Row],[asOf]]),DAY(OneWeekMtgRatesDataTable75[[#This Row],[asOf]]))</f>
        <v>38022</v>
      </c>
      <c r="N2980" s="51">
        <v>5.66</v>
      </c>
      <c r="O2980" s="51">
        <v>0.7</v>
      </c>
      <c r="P2980" s="51">
        <v>5.585</v>
      </c>
    </row>
    <row r="2981" spans="12:16">
      <c r="L2981" s="51" t="s">
        <v>2988</v>
      </c>
      <c r="M2981" s="25">
        <f>DATE(YEAR(OneWeekMtgRatesDataTable75[[#This Row],[asOf]]),MONTH(OneWeekMtgRatesDataTable75[[#This Row],[asOf]]),DAY(OneWeekMtgRatesDataTable75[[#This Row],[asOf]]))</f>
        <v>38021</v>
      </c>
      <c r="N2981" s="51">
        <v>5.72</v>
      </c>
      <c r="O2981" s="51">
        <v>0.6</v>
      </c>
      <c r="P2981" s="51">
        <v>5.62</v>
      </c>
    </row>
    <row r="2982" spans="12:16">
      <c r="L2982" s="51" t="s">
        <v>2989</v>
      </c>
      <c r="M2982" s="25">
        <f>DATE(YEAR(OneWeekMtgRatesDataTable75[[#This Row],[asOf]]),MONTH(OneWeekMtgRatesDataTable75[[#This Row],[asOf]]),DAY(OneWeekMtgRatesDataTable75[[#This Row],[asOf]]))</f>
        <v>38020</v>
      </c>
      <c r="N2982" s="51">
        <v>5.72</v>
      </c>
      <c r="O2982" s="51">
        <v>0.6</v>
      </c>
      <c r="P2982" s="51">
        <v>5.62</v>
      </c>
    </row>
    <row r="2983" spans="12:16">
      <c r="L2983" s="51" t="s">
        <v>2990</v>
      </c>
      <c r="M2983" s="25">
        <f>DATE(YEAR(OneWeekMtgRatesDataTable75[[#This Row],[asOf]]),MONTH(OneWeekMtgRatesDataTable75[[#This Row],[asOf]]),DAY(OneWeekMtgRatesDataTable75[[#This Row],[asOf]]))</f>
        <v>38019</v>
      </c>
      <c r="N2983" s="51">
        <v>5.72</v>
      </c>
      <c r="O2983" s="51">
        <v>0.6</v>
      </c>
      <c r="P2983" s="51">
        <v>5.62</v>
      </c>
    </row>
    <row r="2984" spans="12:16">
      <c r="L2984" s="51" t="s">
        <v>2991</v>
      </c>
      <c r="M2984" s="25">
        <f>DATE(YEAR(OneWeekMtgRatesDataTable75[[#This Row],[asOf]]),MONTH(OneWeekMtgRatesDataTable75[[#This Row],[asOf]]),DAY(OneWeekMtgRatesDataTable75[[#This Row],[asOf]]))</f>
        <v>38016</v>
      </c>
      <c r="N2984" s="51">
        <v>5.72</v>
      </c>
      <c r="O2984" s="51">
        <v>0.6</v>
      </c>
      <c r="P2984" s="51">
        <v>5.62</v>
      </c>
    </row>
    <row r="2985" spans="12:16">
      <c r="L2985" s="51" t="s">
        <v>2992</v>
      </c>
      <c r="M2985" s="25">
        <f>DATE(YEAR(OneWeekMtgRatesDataTable75[[#This Row],[asOf]]),MONTH(OneWeekMtgRatesDataTable75[[#This Row],[asOf]]),DAY(OneWeekMtgRatesDataTable75[[#This Row],[asOf]]))</f>
        <v>38015</v>
      </c>
      <c r="N2985" s="51">
        <v>5.72</v>
      </c>
      <c r="O2985" s="51">
        <v>0.6</v>
      </c>
      <c r="P2985" s="51">
        <v>5.62</v>
      </c>
    </row>
    <row r="2986" spans="12:16">
      <c r="L2986" s="51" t="s">
        <v>2993</v>
      </c>
      <c r="M2986" s="25">
        <f>DATE(YEAR(OneWeekMtgRatesDataTable75[[#This Row],[asOf]]),MONTH(OneWeekMtgRatesDataTable75[[#This Row],[asOf]]),DAY(OneWeekMtgRatesDataTable75[[#This Row],[asOf]]))</f>
        <v>38014</v>
      </c>
      <c r="N2986" s="51">
        <v>5.68</v>
      </c>
      <c r="O2986" s="51">
        <v>0.7</v>
      </c>
      <c r="P2986" s="51">
        <v>5.6049999999999995</v>
      </c>
    </row>
    <row r="2987" spans="12:16">
      <c r="L2987" s="51" t="s">
        <v>2994</v>
      </c>
      <c r="M2987" s="25">
        <f>DATE(YEAR(OneWeekMtgRatesDataTable75[[#This Row],[asOf]]),MONTH(OneWeekMtgRatesDataTable75[[#This Row],[asOf]]),DAY(OneWeekMtgRatesDataTable75[[#This Row],[asOf]]))</f>
        <v>38013</v>
      </c>
      <c r="N2987" s="51">
        <v>5.68</v>
      </c>
      <c r="O2987" s="51">
        <v>0.7</v>
      </c>
      <c r="P2987" s="51">
        <v>5.6049999999999995</v>
      </c>
    </row>
    <row r="2988" spans="12:16">
      <c r="L2988" s="51" t="s">
        <v>2995</v>
      </c>
      <c r="M2988" s="25">
        <f>DATE(YEAR(OneWeekMtgRatesDataTable75[[#This Row],[asOf]]),MONTH(OneWeekMtgRatesDataTable75[[#This Row],[asOf]]),DAY(OneWeekMtgRatesDataTable75[[#This Row],[asOf]]))</f>
        <v>38012</v>
      </c>
      <c r="N2988" s="51">
        <v>5.68</v>
      </c>
      <c r="O2988" s="51">
        <v>0.7</v>
      </c>
      <c r="P2988" s="51">
        <v>5.6049999999999995</v>
      </c>
    </row>
    <row r="2989" spans="12:16">
      <c r="L2989" s="51" t="s">
        <v>2996</v>
      </c>
      <c r="M2989" s="25">
        <f>DATE(YEAR(OneWeekMtgRatesDataTable75[[#This Row],[asOf]]),MONTH(OneWeekMtgRatesDataTable75[[#This Row],[asOf]]),DAY(OneWeekMtgRatesDataTable75[[#This Row],[asOf]]))</f>
        <v>38009</v>
      </c>
      <c r="N2989" s="51">
        <v>5.68</v>
      </c>
      <c r="O2989" s="51">
        <v>0.7</v>
      </c>
      <c r="P2989" s="51">
        <v>5.6049999999999995</v>
      </c>
    </row>
    <row r="2990" spans="12:16">
      <c r="L2990" s="51" t="s">
        <v>2997</v>
      </c>
      <c r="M2990" s="25">
        <f>DATE(YEAR(OneWeekMtgRatesDataTable75[[#This Row],[asOf]]),MONTH(OneWeekMtgRatesDataTable75[[#This Row],[asOf]]),DAY(OneWeekMtgRatesDataTable75[[#This Row],[asOf]]))</f>
        <v>38008</v>
      </c>
      <c r="N2990" s="51">
        <v>5.68</v>
      </c>
      <c r="O2990" s="51">
        <v>0.7</v>
      </c>
      <c r="P2990" s="51">
        <v>5.6049999999999995</v>
      </c>
    </row>
    <row r="2991" spans="12:16">
      <c r="L2991" s="51" t="s">
        <v>2998</v>
      </c>
      <c r="M2991" s="25">
        <f>DATE(YEAR(OneWeekMtgRatesDataTable75[[#This Row],[asOf]]),MONTH(OneWeekMtgRatesDataTable75[[#This Row],[asOf]]),DAY(OneWeekMtgRatesDataTable75[[#This Row],[asOf]]))</f>
        <v>38007</v>
      </c>
      <c r="N2991" s="51">
        <v>5.64</v>
      </c>
      <c r="O2991" s="51">
        <v>0.6</v>
      </c>
      <c r="P2991" s="51">
        <v>5.54</v>
      </c>
    </row>
    <row r="2992" spans="12:16">
      <c r="L2992" s="51" t="s">
        <v>2999</v>
      </c>
      <c r="M2992" s="25">
        <f>DATE(YEAR(OneWeekMtgRatesDataTable75[[#This Row],[asOf]]),MONTH(OneWeekMtgRatesDataTable75[[#This Row],[asOf]]),DAY(OneWeekMtgRatesDataTable75[[#This Row],[asOf]]))</f>
        <v>38006</v>
      </c>
      <c r="N2992" s="51">
        <v>5.64</v>
      </c>
      <c r="O2992" s="51">
        <v>0.6</v>
      </c>
      <c r="P2992" s="51">
        <v>5.54</v>
      </c>
    </row>
    <row r="2993" spans="12:16">
      <c r="L2993" s="51" t="s">
        <v>3000</v>
      </c>
      <c r="M2993" s="25">
        <f>DATE(YEAR(OneWeekMtgRatesDataTable75[[#This Row],[asOf]]),MONTH(OneWeekMtgRatesDataTable75[[#This Row],[asOf]]),DAY(OneWeekMtgRatesDataTable75[[#This Row],[asOf]]))</f>
        <v>38005</v>
      </c>
      <c r="N2993" s="51">
        <v>5.64</v>
      </c>
      <c r="O2993" s="51">
        <v>0.6</v>
      </c>
      <c r="P2993" s="51">
        <v>5.54</v>
      </c>
    </row>
    <row r="2994" spans="12:16">
      <c r="L2994" s="51" t="s">
        <v>3001</v>
      </c>
      <c r="M2994" s="25">
        <f>DATE(YEAR(OneWeekMtgRatesDataTable75[[#This Row],[asOf]]),MONTH(OneWeekMtgRatesDataTable75[[#This Row],[asOf]]),DAY(OneWeekMtgRatesDataTable75[[#This Row],[asOf]]))</f>
        <v>38002</v>
      </c>
      <c r="N2994" s="51">
        <v>5.64</v>
      </c>
      <c r="O2994" s="51">
        <v>0.6</v>
      </c>
      <c r="P2994" s="51">
        <v>5.54</v>
      </c>
    </row>
    <row r="2995" spans="12:16">
      <c r="L2995" s="51" t="s">
        <v>3002</v>
      </c>
      <c r="M2995" s="25">
        <f>DATE(YEAR(OneWeekMtgRatesDataTable75[[#This Row],[asOf]]),MONTH(OneWeekMtgRatesDataTable75[[#This Row],[asOf]]),DAY(OneWeekMtgRatesDataTable75[[#This Row],[asOf]]))</f>
        <v>38001</v>
      </c>
      <c r="N2995" s="51">
        <v>5.64</v>
      </c>
      <c r="O2995" s="51">
        <v>0.6</v>
      </c>
      <c r="P2995" s="51">
        <v>5.54</v>
      </c>
    </row>
    <row r="2996" spans="12:16">
      <c r="L2996" s="51" t="s">
        <v>3003</v>
      </c>
      <c r="M2996" s="25">
        <f>DATE(YEAR(OneWeekMtgRatesDataTable75[[#This Row],[asOf]]),MONTH(OneWeekMtgRatesDataTable75[[#This Row],[asOf]]),DAY(OneWeekMtgRatesDataTable75[[#This Row],[asOf]]))</f>
        <v>38000</v>
      </c>
      <c r="N2996" s="51">
        <v>5.66</v>
      </c>
      <c r="O2996" s="51">
        <v>0.6</v>
      </c>
      <c r="P2996" s="51">
        <v>5.5600000000000005</v>
      </c>
    </row>
    <row r="2997" spans="12:16">
      <c r="L2997" s="51" t="s">
        <v>3004</v>
      </c>
      <c r="M2997" s="25">
        <f>DATE(YEAR(OneWeekMtgRatesDataTable75[[#This Row],[asOf]]),MONTH(OneWeekMtgRatesDataTable75[[#This Row],[asOf]]),DAY(OneWeekMtgRatesDataTable75[[#This Row],[asOf]]))</f>
        <v>37999</v>
      </c>
      <c r="N2997" s="51">
        <v>5.66</v>
      </c>
      <c r="O2997" s="51">
        <v>0.6</v>
      </c>
      <c r="P2997" s="51">
        <v>5.5600000000000005</v>
      </c>
    </row>
    <row r="2998" spans="12:16">
      <c r="L2998" s="51" t="s">
        <v>3005</v>
      </c>
      <c r="M2998" s="25">
        <f>DATE(YEAR(OneWeekMtgRatesDataTable75[[#This Row],[asOf]]),MONTH(OneWeekMtgRatesDataTable75[[#This Row],[asOf]]),DAY(OneWeekMtgRatesDataTable75[[#This Row],[asOf]]))</f>
        <v>37998</v>
      </c>
      <c r="N2998" s="51">
        <v>5.66</v>
      </c>
      <c r="O2998" s="51">
        <v>0.6</v>
      </c>
      <c r="P2998" s="51">
        <v>5.5600000000000005</v>
      </c>
    </row>
    <row r="2999" spans="12:16">
      <c r="L2999" s="51" t="s">
        <v>3006</v>
      </c>
      <c r="M2999" s="25">
        <f>DATE(YEAR(OneWeekMtgRatesDataTable75[[#This Row],[asOf]]),MONTH(OneWeekMtgRatesDataTable75[[#This Row],[asOf]]),DAY(OneWeekMtgRatesDataTable75[[#This Row],[asOf]]))</f>
        <v>37995</v>
      </c>
      <c r="N2999" s="51">
        <v>5.66</v>
      </c>
      <c r="O2999" s="51">
        <v>0.6</v>
      </c>
      <c r="P2999" s="51">
        <v>5.5600000000000005</v>
      </c>
    </row>
    <row r="3000" spans="12:16">
      <c r="L3000" s="51" t="s">
        <v>3007</v>
      </c>
      <c r="M3000" s="25">
        <f>DATE(YEAR(OneWeekMtgRatesDataTable75[[#This Row],[asOf]]),MONTH(OneWeekMtgRatesDataTable75[[#This Row],[asOf]]),DAY(OneWeekMtgRatesDataTable75[[#This Row],[asOf]]))</f>
        <v>37994</v>
      </c>
      <c r="N3000" s="51">
        <v>5.66</v>
      </c>
      <c r="O3000" s="51">
        <v>0.6</v>
      </c>
      <c r="P3000" s="51">
        <v>5.5600000000000005</v>
      </c>
    </row>
    <row r="3001" spans="12:16">
      <c r="L3001" s="51" t="s">
        <v>3008</v>
      </c>
      <c r="M3001" s="25">
        <f>DATE(YEAR(OneWeekMtgRatesDataTable75[[#This Row],[asOf]]),MONTH(OneWeekMtgRatesDataTable75[[#This Row],[asOf]]),DAY(OneWeekMtgRatesDataTable75[[#This Row],[asOf]]))</f>
        <v>37993</v>
      </c>
      <c r="N3001" s="51">
        <v>5.87</v>
      </c>
      <c r="O3001" s="51">
        <v>0.7</v>
      </c>
      <c r="P3001" s="51">
        <v>5.7949999999999999</v>
      </c>
    </row>
    <row r="3002" spans="12:16">
      <c r="L3002" s="51" t="s">
        <v>3009</v>
      </c>
      <c r="M3002" s="25">
        <f>DATE(YEAR(OneWeekMtgRatesDataTable75[[#This Row],[asOf]]),MONTH(OneWeekMtgRatesDataTable75[[#This Row],[asOf]]),DAY(OneWeekMtgRatesDataTable75[[#This Row],[asOf]]))</f>
        <v>37992</v>
      </c>
      <c r="N3002" s="51">
        <v>5.87</v>
      </c>
      <c r="O3002" s="51">
        <v>0.7</v>
      </c>
      <c r="P3002" s="51">
        <v>5.7949999999999999</v>
      </c>
    </row>
    <row r="3003" spans="12:16">
      <c r="L3003" s="51" t="s">
        <v>3010</v>
      </c>
      <c r="M3003" s="25">
        <f>DATE(YEAR(OneWeekMtgRatesDataTable75[[#This Row],[asOf]]),MONTH(OneWeekMtgRatesDataTable75[[#This Row],[asOf]]),DAY(OneWeekMtgRatesDataTable75[[#This Row],[asOf]]))</f>
        <v>37991</v>
      </c>
      <c r="N3003" s="51">
        <v>5.87</v>
      </c>
      <c r="O3003" s="51">
        <v>0.7</v>
      </c>
      <c r="P3003" s="51">
        <v>5.7949999999999999</v>
      </c>
    </row>
    <row r="3004" spans="12:16">
      <c r="L3004" s="51" t="s">
        <v>3011</v>
      </c>
      <c r="M3004" s="25">
        <f>DATE(YEAR(OneWeekMtgRatesDataTable75[[#This Row],[asOf]]),MONTH(OneWeekMtgRatesDataTable75[[#This Row],[asOf]]),DAY(OneWeekMtgRatesDataTable75[[#This Row],[asOf]]))</f>
        <v>37988</v>
      </c>
      <c r="N3004" s="51">
        <v>5.87</v>
      </c>
      <c r="O3004" s="51">
        <v>0.7</v>
      </c>
      <c r="P3004" s="51">
        <v>5.7949999999999999</v>
      </c>
    </row>
    <row r="3005" spans="12:16">
      <c r="L3005" s="51" t="s">
        <v>3012</v>
      </c>
      <c r="M3005" s="25">
        <f>DATE(YEAR(OneWeekMtgRatesDataTable75[[#This Row],[asOf]]),MONTH(OneWeekMtgRatesDataTable75[[#This Row],[asOf]]),DAY(OneWeekMtgRatesDataTable75[[#This Row],[asOf]]))</f>
        <v>37987</v>
      </c>
      <c r="N3005" s="51">
        <v>5.87</v>
      </c>
      <c r="O3005" s="51">
        <v>0.7</v>
      </c>
      <c r="P3005" s="51">
        <v>5.7949999999999999</v>
      </c>
    </row>
    <row r="3006" spans="12:16">
      <c r="L3006" s="51" t="s">
        <v>3013</v>
      </c>
      <c r="M3006" s="25">
        <f>DATE(YEAR(OneWeekMtgRatesDataTable75[[#This Row],[asOf]]),MONTH(OneWeekMtgRatesDataTable75[[#This Row],[asOf]]),DAY(OneWeekMtgRatesDataTable75[[#This Row],[asOf]]))</f>
        <v>37985</v>
      </c>
      <c r="N3006" s="51">
        <v>5.85</v>
      </c>
      <c r="O3006" s="51">
        <v>0.7</v>
      </c>
      <c r="P3006" s="51">
        <v>5.7749999999999995</v>
      </c>
    </row>
    <row r="3007" spans="12:16">
      <c r="L3007" s="51" t="s">
        <v>3014</v>
      </c>
      <c r="M3007" s="25">
        <f>DATE(YEAR(OneWeekMtgRatesDataTable75[[#This Row],[asOf]]),MONTH(OneWeekMtgRatesDataTable75[[#This Row],[asOf]]),DAY(OneWeekMtgRatesDataTable75[[#This Row],[asOf]]))</f>
        <v>37984</v>
      </c>
      <c r="N3007" s="51">
        <v>5.85</v>
      </c>
      <c r="O3007" s="51">
        <v>0.7</v>
      </c>
      <c r="P3007" s="51">
        <v>5.7749999999999995</v>
      </c>
    </row>
    <row r="3008" spans="12:16">
      <c r="L3008" s="51" t="s">
        <v>3015</v>
      </c>
      <c r="M3008" s="25">
        <f>DATE(YEAR(OneWeekMtgRatesDataTable75[[#This Row],[asOf]]),MONTH(OneWeekMtgRatesDataTable75[[#This Row],[asOf]]),DAY(OneWeekMtgRatesDataTable75[[#This Row],[asOf]]))</f>
        <v>37981</v>
      </c>
      <c r="N3008" s="51">
        <v>5.85</v>
      </c>
      <c r="O3008" s="51">
        <v>0.7</v>
      </c>
      <c r="P3008" s="51">
        <v>5.7749999999999995</v>
      </c>
    </row>
    <row r="3009" spans="12:16">
      <c r="L3009" s="51" t="s">
        <v>3016</v>
      </c>
      <c r="M3009" s="25">
        <f>DATE(YEAR(OneWeekMtgRatesDataTable75[[#This Row],[asOf]]),MONTH(OneWeekMtgRatesDataTable75[[#This Row],[asOf]]),DAY(OneWeekMtgRatesDataTable75[[#This Row],[asOf]]))</f>
        <v>37980</v>
      </c>
      <c r="N3009" s="51">
        <v>5.85</v>
      </c>
      <c r="O3009" s="51">
        <v>0.7</v>
      </c>
      <c r="P3009" s="51">
        <v>5.7749999999999995</v>
      </c>
    </row>
    <row r="3010" spans="12:16">
      <c r="L3010" s="51" t="s">
        <v>3016</v>
      </c>
      <c r="M3010" s="25">
        <f>DATE(YEAR(OneWeekMtgRatesDataTable75[[#This Row],[asOf]]),MONTH(OneWeekMtgRatesDataTable75[[#This Row],[asOf]]),DAY(OneWeekMtgRatesDataTable75[[#This Row],[asOf]]))</f>
        <v>37980</v>
      </c>
      <c r="N3010" s="51">
        <v>5.81</v>
      </c>
      <c r="O3010" s="51">
        <v>0.7</v>
      </c>
      <c r="P3010" s="51">
        <v>5.7349999999999994</v>
      </c>
    </row>
    <row r="3011" spans="12:16">
      <c r="L3011" s="51" t="s">
        <v>3017</v>
      </c>
      <c r="M3011" s="25">
        <f>DATE(YEAR(OneWeekMtgRatesDataTable75[[#This Row],[asOf]]),MONTH(OneWeekMtgRatesDataTable75[[#This Row],[asOf]]),DAY(OneWeekMtgRatesDataTable75[[#This Row],[asOf]]))</f>
        <v>37979</v>
      </c>
      <c r="N3011" s="51">
        <v>5.81</v>
      </c>
      <c r="O3011" s="51">
        <v>0.7</v>
      </c>
      <c r="P3011" s="51">
        <v>5.7349999999999994</v>
      </c>
    </row>
    <row r="3012" spans="12:16">
      <c r="L3012" s="51" t="s">
        <v>3017</v>
      </c>
      <c r="M3012" s="25">
        <f>DATE(YEAR(OneWeekMtgRatesDataTable75[[#This Row],[asOf]]),MONTH(OneWeekMtgRatesDataTable75[[#This Row],[asOf]]),DAY(OneWeekMtgRatesDataTable75[[#This Row],[asOf]]))</f>
        <v>37979</v>
      </c>
      <c r="N3012" s="51">
        <v>5.85</v>
      </c>
      <c r="O3012" s="51">
        <v>0.7</v>
      </c>
      <c r="P3012" s="51">
        <v>5.7749999999999995</v>
      </c>
    </row>
    <row r="3013" spans="12:16">
      <c r="L3013" s="51" t="s">
        <v>3018</v>
      </c>
      <c r="M3013" s="25">
        <f>DATE(YEAR(OneWeekMtgRatesDataTable75[[#This Row],[asOf]]),MONTH(OneWeekMtgRatesDataTable75[[#This Row],[asOf]]),DAY(OneWeekMtgRatesDataTable75[[#This Row],[asOf]]))</f>
        <v>37978</v>
      </c>
      <c r="N3013" s="51">
        <v>5.81</v>
      </c>
      <c r="O3013" s="51">
        <v>0.7</v>
      </c>
      <c r="P3013" s="51">
        <v>5.7349999999999994</v>
      </c>
    </row>
    <row r="3014" spans="12:16">
      <c r="L3014" s="51" t="s">
        <v>3019</v>
      </c>
      <c r="M3014" s="25">
        <f>DATE(YEAR(OneWeekMtgRatesDataTable75[[#This Row],[asOf]]),MONTH(OneWeekMtgRatesDataTable75[[#This Row],[asOf]]),DAY(OneWeekMtgRatesDataTable75[[#This Row],[asOf]]))</f>
        <v>37977</v>
      </c>
      <c r="N3014" s="51">
        <v>5.81</v>
      </c>
      <c r="O3014" s="51">
        <v>0.7</v>
      </c>
      <c r="P3014" s="51">
        <v>5.7349999999999994</v>
      </c>
    </row>
    <row r="3015" spans="12:16">
      <c r="L3015" s="51" t="s">
        <v>3020</v>
      </c>
      <c r="M3015" s="25">
        <f>DATE(YEAR(OneWeekMtgRatesDataTable75[[#This Row],[asOf]]),MONTH(OneWeekMtgRatesDataTable75[[#This Row],[asOf]]),DAY(OneWeekMtgRatesDataTable75[[#This Row],[asOf]]))</f>
        <v>37974</v>
      </c>
      <c r="N3015" s="51">
        <v>5.81</v>
      </c>
      <c r="O3015" s="51">
        <v>0.7</v>
      </c>
      <c r="P3015" s="51">
        <v>5.7349999999999994</v>
      </c>
    </row>
    <row r="3016" spans="12:16">
      <c r="L3016" s="51" t="s">
        <v>3021</v>
      </c>
      <c r="M3016" s="25">
        <f>DATE(YEAR(OneWeekMtgRatesDataTable75[[#This Row],[asOf]]),MONTH(OneWeekMtgRatesDataTable75[[#This Row],[asOf]]),DAY(OneWeekMtgRatesDataTable75[[#This Row],[asOf]]))</f>
        <v>37973</v>
      </c>
      <c r="N3016" s="51">
        <v>5.82</v>
      </c>
      <c r="O3016" s="51">
        <v>0.7</v>
      </c>
      <c r="P3016" s="51">
        <v>5.7450000000000001</v>
      </c>
    </row>
    <row r="3017" spans="12:16">
      <c r="L3017" s="51" t="s">
        <v>3022</v>
      </c>
      <c r="M3017" s="25">
        <f>DATE(YEAR(OneWeekMtgRatesDataTable75[[#This Row],[asOf]]),MONTH(OneWeekMtgRatesDataTable75[[#This Row],[asOf]]),DAY(OneWeekMtgRatesDataTable75[[#This Row],[asOf]]))</f>
        <v>37972</v>
      </c>
      <c r="N3017" s="51">
        <v>5.82</v>
      </c>
      <c r="O3017" s="51">
        <v>0.7</v>
      </c>
      <c r="P3017" s="51">
        <v>5.7450000000000001</v>
      </c>
    </row>
    <row r="3018" spans="12:16">
      <c r="L3018" s="51" t="s">
        <v>3023</v>
      </c>
      <c r="M3018" s="25">
        <f>DATE(YEAR(OneWeekMtgRatesDataTable75[[#This Row],[asOf]]),MONTH(OneWeekMtgRatesDataTable75[[#This Row],[asOf]]),DAY(OneWeekMtgRatesDataTable75[[#This Row],[asOf]]))</f>
        <v>37971</v>
      </c>
      <c r="N3018" s="51">
        <v>5.82</v>
      </c>
      <c r="O3018" s="51">
        <v>0.7</v>
      </c>
      <c r="P3018" s="51">
        <v>5.7450000000000001</v>
      </c>
    </row>
    <row r="3019" spans="12:16">
      <c r="L3019" s="51" t="s">
        <v>3024</v>
      </c>
      <c r="M3019" s="25">
        <f>DATE(YEAR(OneWeekMtgRatesDataTable75[[#This Row],[asOf]]),MONTH(OneWeekMtgRatesDataTable75[[#This Row],[asOf]]),DAY(OneWeekMtgRatesDataTable75[[#This Row],[asOf]]))</f>
        <v>37970</v>
      </c>
      <c r="N3019" s="51">
        <v>5.82</v>
      </c>
      <c r="O3019" s="51">
        <v>0.7</v>
      </c>
      <c r="P3019" s="51">
        <v>5.7450000000000001</v>
      </c>
    </row>
    <row r="3020" spans="12:16">
      <c r="L3020" s="51" t="s">
        <v>3025</v>
      </c>
      <c r="M3020" s="25">
        <f>DATE(YEAR(OneWeekMtgRatesDataTable75[[#This Row],[asOf]]),MONTH(OneWeekMtgRatesDataTable75[[#This Row],[asOf]]),DAY(OneWeekMtgRatesDataTable75[[#This Row],[asOf]]))</f>
        <v>37967</v>
      </c>
      <c r="N3020" s="51">
        <v>5.82</v>
      </c>
      <c r="O3020" s="51">
        <v>0.7</v>
      </c>
      <c r="P3020" s="51">
        <v>5.7450000000000001</v>
      </c>
    </row>
    <row r="3021" spans="12:16">
      <c r="L3021" s="51" t="s">
        <v>3026</v>
      </c>
      <c r="M3021" s="25">
        <f>DATE(YEAR(OneWeekMtgRatesDataTable75[[#This Row],[asOf]]),MONTH(OneWeekMtgRatesDataTable75[[#This Row],[asOf]]),DAY(OneWeekMtgRatesDataTable75[[#This Row],[asOf]]))</f>
        <v>37966</v>
      </c>
      <c r="N3021" s="51">
        <v>5.88</v>
      </c>
      <c r="O3021" s="51">
        <v>0.7</v>
      </c>
      <c r="P3021" s="51">
        <v>5.8049999999999997</v>
      </c>
    </row>
    <row r="3022" spans="12:16">
      <c r="L3022" s="51" t="s">
        <v>3027</v>
      </c>
      <c r="M3022" s="25">
        <f>DATE(YEAR(OneWeekMtgRatesDataTable75[[#This Row],[asOf]]),MONTH(OneWeekMtgRatesDataTable75[[#This Row],[asOf]]),DAY(OneWeekMtgRatesDataTable75[[#This Row],[asOf]]))</f>
        <v>37965</v>
      </c>
      <c r="N3022" s="51">
        <v>5.88</v>
      </c>
      <c r="O3022" s="51">
        <v>0.7</v>
      </c>
      <c r="P3022" s="51">
        <v>5.8049999999999997</v>
      </c>
    </row>
    <row r="3023" spans="12:16">
      <c r="L3023" s="51" t="s">
        <v>3028</v>
      </c>
      <c r="M3023" s="25">
        <f>DATE(YEAR(OneWeekMtgRatesDataTable75[[#This Row],[asOf]]),MONTH(OneWeekMtgRatesDataTable75[[#This Row],[asOf]]),DAY(OneWeekMtgRatesDataTable75[[#This Row],[asOf]]))</f>
        <v>37964</v>
      </c>
      <c r="N3023" s="51">
        <v>5.88</v>
      </c>
      <c r="O3023" s="51">
        <v>0.7</v>
      </c>
      <c r="P3023" s="51">
        <v>5.8049999999999997</v>
      </c>
    </row>
    <row r="3024" spans="12:16">
      <c r="L3024" s="51" t="s">
        <v>3029</v>
      </c>
      <c r="M3024" s="25">
        <f>DATE(YEAR(OneWeekMtgRatesDataTable75[[#This Row],[asOf]]),MONTH(OneWeekMtgRatesDataTable75[[#This Row],[asOf]]),DAY(OneWeekMtgRatesDataTable75[[#This Row],[asOf]]))</f>
        <v>37963</v>
      </c>
      <c r="N3024" s="51">
        <v>5.88</v>
      </c>
      <c r="O3024" s="51">
        <v>0.7</v>
      </c>
      <c r="P3024" s="51">
        <v>5.8049999999999997</v>
      </c>
    </row>
    <row r="3025" spans="12:16">
      <c r="L3025" s="51" t="s">
        <v>3030</v>
      </c>
      <c r="M3025" s="25">
        <f>DATE(YEAR(OneWeekMtgRatesDataTable75[[#This Row],[asOf]]),MONTH(OneWeekMtgRatesDataTable75[[#This Row],[asOf]]),DAY(OneWeekMtgRatesDataTable75[[#This Row],[asOf]]))</f>
        <v>37960</v>
      </c>
      <c r="N3025" s="51">
        <v>5.88</v>
      </c>
      <c r="O3025" s="51">
        <v>0.7</v>
      </c>
      <c r="P3025" s="51">
        <v>5.8049999999999997</v>
      </c>
    </row>
    <row r="3026" spans="12:16">
      <c r="L3026" s="51" t="s">
        <v>3031</v>
      </c>
      <c r="M3026" s="25">
        <f>DATE(YEAR(OneWeekMtgRatesDataTable75[[#This Row],[asOf]]),MONTH(OneWeekMtgRatesDataTable75[[#This Row],[asOf]]),DAY(OneWeekMtgRatesDataTable75[[#This Row],[asOf]]))</f>
        <v>37959</v>
      </c>
      <c r="N3026" s="51">
        <v>6.02</v>
      </c>
      <c r="O3026" s="51">
        <v>0.6</v>
      </c>
      <c r="P3026" s="51">
        <v>5.92</v>
      </c>
    </row>
    <row r="3027" spans="12:16">
      <c r="L3027" s="51" t="s">
        <v>3032</v>
      </c>
      <c r="M3027" s="25">
        <f>DATE(YEAR(OneWeekMtgRatesDataTable75[[#This Row],[asOf]]),MONTH(OneWeekMtgRatesDataTable75[[#This Row],[asOf]]),DAY(OneWeekMtgRatesDataTable75[[#This Row],[asOf]]))</f>
        <v>37958</v>
      </c>
      <c r="N3027" s="51">
        <v>6.02</v>
      </c>
      <c r="O3027" s="51">
        <v>0.6</v>
      </c>
      <c r="P3027" s="51">
        <v>5.92</v>
      </c>
    </row>
    <row r="3028" spans="12:16">
      <c r="L3028" s="51" t="s">
        <v>3033</v>
      </c>
      <c r="M3028" s="25">
        <f>DATE(YEAR(OneWeekMtgRatesDataTable75[[#This Row],[asOf]]),MONTH(OneWeekMtgRatesDataTable75[[#This Row],[asOf]]),DAY(OneWeekMtgRatesDataTable75[[#This Row],[asOf]]))</f>
        <v>37957</v>
      </c>
      <c r="N3028" s="51">
        <v>6.02</v>
      </c>
      <c r="O3028" s="51">
        <v>0.6</v>
      </c>
      <c r="P3028" s="51">
        <v>5.92</v>
      </c>
    </row>
    <row r="3029" spans="12:16">
      <c r="L3029" s="51" t="s">
        <v>3034</v>
      </c>
      <c r="M3029" s="25">
        <f>DATE(YEAR(OneWeekMtgRatesDataTable75[[#This Row],[asOf]]),MONTH(OneWeekMtgRatesDataTable75[[#This Row],[asOf]]),DAY(OneWeekMtgRatesDataTable75[[#This Row],[asOf]]))</f>
        <v>37956</v>
      </c>
      <c r="N3029" s="51">
        <v>6.02</v>
      </c>
      <c r="O3029" s="51">
        <v>0.6</v>
      </c>
      <c r="P3029" s="51">
        <v>5.92</v>
      </c>
    </row>
    <row r="3030" spans="12:16">
      <c r="L3030" s="51" t="s">
        <v>3035</v>
      </c>
      <c r="M3030" s="25">
        <f>DATE(YEAR(OneWeekMtgRatesDataTable75[[#This Row],[asOf]]),MONTH(OneWeekMtgRatesDataTable75[[#This Row],[asOf]]),DAY(OneWeekMtgRatesDataTable75[[#This Row],[asOf]]))</f>
        <v>37953</v>
      </c>
      <c r="N3030" s="51">
        <v>6.02</v>
      </c>
      <c r="O3030" s="51">
        <v>0.6</v>
      </c>
      <c r="P3030" s="51">
        <v>5.92</v>
      </c>
    </row>
    <row r="3031" spans="12:16">
      <c r="L3031" s="51" t="s">
        <v>3036</v>
      </c>
      <c r="M3031" s="25">
        <f>DATE(YEAR(OneWeekMtgRatesDataTable75[[#This Row],[asOf]]),MONTH(OneWeekMtgRatesDataTable75[[#This Row],[asOf]]),DAY(OneWeekMtgRatesDataTable75[[#This Row],[asOf]]))</f>
        <v>37952</v>
      </c>
      <c r="N3031" s="51">
        <v>5.89</v>
      </c>
      <c r="O3031" s="51">
        <v>0.6</v>
      </c>
      <c r="P3031" s="51">
        <v>5.79</v>
      </c>
    </row>
    <row r="3032" spans="12:16">
      <c r="L3032" s="51" t="s">
        <v>3037</v>
      </c>
      <c r="M3032" s="25">
        <f>DATE(YEAR(OneWeekMtgRatesDataTable75[[#This Row],[asOf]]),MONTH(OneWeekMtgRatesDataTable75[[#This Row],[asOf]]),DAY(OneWeekMtgRatesDataTable75[[#This Row],[asOf]]))</f>
        <v>37951</v>
      </c>
      <c r="N3032" s="51">
        <v>5.89</v>
      </c>
      <c r="O3032" s="51">
        <v>0.6</v>
      </c>
      <c r="P3032" s="51">
        <v>5.79</v>
      </c>
    </row>
    <row r="3033" spans="12:16">
      <c r="L3033" s="51" t="s">
        <v>3038</v>
      </c>
      <c r="M3033" s="25">
        <f>DATE(YEAR(OneWeekMtgRatesDataTable75[[#This Row],[asOf]]),MONTH(OneWeekMtgRatesDataTable75[[#This Row],[asOf]]),DAY(OneWeekMtgRatesDataTable75[[#This Row],[asOf]]))</f>
        <v>37950</v>
      </c>
      <c r="N3033" s="51">
        <v>5.89</v>
      </c>
      <c r="O3033" s="51">
        <v>0.6</v>
      </c>
      <c r="P3033" s="51">
        <v>5.79</v>
      </c>
    </row>
    <row r="3034" spans="12:16">
      <c r="L3034" s="51" t="s">
        <v>3039</v>
      </c>
      <c r="M3034" s="25">
        <f>DATE(YEAR(OneWeekMtgRatesDataTable75[[#This Row],[asOf]]),MONTH(OneWeekMtgRatesDataTable75[[#This Row],[asOf]]),DAY(OneWeekMtgRatesDataTable75[[#This Row],[asOf]]))</f>
        <v>37949</v>
      </c>
      <c r="N3034" s="51">
        <v>5.89</v>
      </c>
      <c r="O3034" s="51">
        <v>0.6</v>
      </c>
      <c r="P3034" s="51">
        <v>5.79</v>
      </c>
    </row>
    <row r="3035" spans="12:16">
      <c r="L3035" s="51" t="s">
        <v>3040</v>
      </c>
      <c r="M3035" s="25">
        <f>DATE(YEAR(OneWeekMtgRatesDataTable75[[#This Row],[asOf]]),MONTH(OneWeekMtgRatesDataTable75[[#This Row],[asOf]]),DAY(OneWeekMtgRatesDataTable75[[#This Row],[asOf]]))</f>
        <v>37946</v>
      </c>
      <c r="N3035" s="51">
        <v>5.89</v>
      </c>
      <c r="O3035" s="51">
        <v>0.6</v>
      </c>
      <c r="P3035" s="51">
        <v>5.79</v>
      </c>
    </row>
    <row r="3036" spans="12:16">
      <c r="L3036" s="51" t="s">
        <v>3041</v>
      </c>
      <c r="M3036" s="25">
        <f>DATE(YEAR(OneWeekMtgRatesDataTable75[[#This Row],[asOf]]),MONTH(OneWeekMtgRatesDataTable75[[#This Row],[asOf]]),DAY(OneWeekMtgRatesDataTable75[[#This Row],[asOf]]))</f>
        <v>37945</v>
      </c>
      <c r="N3036" s="51">
        <v>5.83</v>
      </c>
      <c r="O3036" s="51">
        <v>0.6</v>
      </c>
      <c r="P3036" s="51">
        <v>5.73</v>
      </c>
    </row>
    <row r="3037" spans="12:16">
      <c r="L3037" s="51" t="s">
        <v>3042</v>
      </c>
      <c r="M3037" s="25">
        <f>DATE(YEAR(OneWeekMtgRatesDataTable75[[#This Row],[asOf]]),MONTH(OneWeekMtgRatesDataTable75[[#This Row],[asOf]]),DAY(OneWeekMtgRatesDataTable75[[#This Row],[asOf]]))</f>
        <v>37944</v>
      </c>
      <c r="N3037" s="51">
        <v>5.83</v>
      </c>
      <c r="O3037" s="51">
        <v>0.6</v>
      </c>
      <c r="P3037" s="51">
        <v>5.73</v>
      </c>
    </row>
    <row r="3038" spans="12:16">
      <c r="L3038" s="51" t="s">
        <v>3043</v>
      </c>
      <c r="M3038" s="25">
        <f>DATE(YEAR(OneWeekMtgRatesDataTable75[[#This Row],[asOf]]),MONTH(OneWeekMtgRatesDataTable75[[#This Row],[asOf]]),DAY(OneWeekMtgRatesDataTable75[[#This Row],[asOf]]))</f>
        <v>37943</v>
      </c>
      <c r="N3038" s="51">
        <v>5.83</v>
      </c>
      <c r="O3038" s="51">
        <v>0.6</v>
      </c>
      <c r="P3038" s="51">
        <v>5.73</v>
      </c>
    </row>
    <row r="3039" spans="12:16">
      <c r="L3039" s="51" t="s">
        <v>3044</v>
      </c>
      <c r="M3039" s="25">
        <f>DATE(YEAR(OneWeekMtgRatesDataTable75[[#This Row],[asOf]]),MONTH(OneWeekMtgRatesDataTable75[[#This Row],[asOf]]),DAY(OneWeekMtgRatesDataTable75[[#This Row],[asOf]]))</f>
        <v>37942</v>
      </c>
      <c r="N3039" s="51">
        <v>5.83</v>
      </c>
      <c r="O3039" s="51">
        <v>0.6</v>
      </c>
      <c r="P3039" s="51">
        <v>5.73</v>
      </c>
    </row>
    <row r="3040" spans="12:16">
      <c r="L3040" s="51" t="s">
        <v>3045</v>
      </c>
      <c r="M3040" s="25">
        <f>DATE(YEAR(OneWeekMtgRatesDataTable75[[#This Row],[asOf]]),MONTH(OneWeekMtgRatesDataTable75[[#This Row],[asOf]]),DAY(OneWeekMtgRatesDataTable75[[#This Row],[asOf]]))</f>
        <v>37939</v>
      </c>
      <c r="N3040" s="51">
        <v>5.83</v>
      </c>
      <c r="O3040" s="51">
        <v>0.6</v>
      </c>
      <c r="P3040" s="51">
        <v>5.73</v>
      </c>
    </row>
    <row r="3041" spans="12:16">
      <c r="L3041" s="51" t="s">
        <v>3046</v>
      </c>
      <c r="M3041" s="25">
        <f>DATE(YEAR(OneWeekMtgRatesDataTable75[[#This Row],[asOf]]),MONTH(OneWeekMtgRatesDataTable75[[#This Row],[asOf]]),DAY(OneWeekMtgRatesDataTable75[[#This Row],[asOf]]))</f>
        <v>37938</v>
      </c>
      <c r="N3041" s="51">
        <v>6.03</v>
      </c>
      <c r="O3041" s="51">
        <v>0.6</v>
      </c>
      <c r="P3041" s="51">
        <v>5.9300000000000006</v>
      </c>
    </row>
    <row r="3042" spans="12:16">
      <c r="L3042" s="51" t="s">
        <v>3047</v>
      </c>
      <c r="M3042" s="25">
        <f>DATE(YEAR(OneWeekMtgRatesDataTable75[[#This Row],[asOf]]),MONTH(OneWeekMtgRatesDataTable75[[#This Row],[asOf]]),DAY(OneWeekMtgRatesDataTable75[[#This Row],[asOf]]))</f>
        <v>37937</v>
      </c>
      <c r="N3042" s="51">
        <v>6.03</v>
      </c>
      <c r="O3042" s="51">
        <v>0.6</v>
      </c>
      <c r="P3042" s="51">
        <v>5.9300000000000006</v>
      </c>
    </row>
    <row r="3043" spans="12:16">
      <c r="L3043" s="51" t="s">
        <v>3048</v>
      </c>
      <c r="M3043" s="25">
        <f>DATE(YEAR(OneWeekMtgRatesDataTable75[[#This Row],[asOf]]),MONTH(OneWeekMtgRatesDataTable75[[#This Row],[asOf]]),DAY(OneWeekMtgRatesDataTable75[[#This Row],[asOf]]))</f>
        <v>37936</v>
      </c>
      <c r="N3043" s="51">
        <v>6.03</v>
      </c>
      <c r="O3043" s="51">
        <v>0.6</v>
      </c>
      <c r="P3043" s="51">
        <v>5.9300000000000006</v>
      </c>
    </row>
    <row r="3044" spans="12:16">
      <c r="L3044" s="51" t="s">
        <v>3049</v>
      </c>
      <c r="M3044" s="25">
        <f>DATE(YEAR(OneWeekMtgRatesDataTable75[[#This Row],[asOf]]),MONTH(OneWeekMtgRatesDataTable75[[#This Row],[asOf]]),DAY(OneWeekMtgRatesDataTable75[[#This Row],[asOf]]))</f>
        <v>37935</v>
      </c>
      <c r="N3044" s="51">
        <v>6.03</v>
      </c>
      <c r="O3044" s="51">
        <v>0.6</v>
      </c>
      <c r="P3044" s="51">
        <v>5.9300000000000006</v>
      </c>
    </row>
    <row r="3045" spans="12:16">
      <c r="L3045" s="51" t="s">
        <v>3050</v>
      </c>
      <c r="M3045" s="25">
        <f>DATE(YEAR(OneWeekMtgRatesDataTable75[[#This Row],[asOf]]),MONTH(OneWeekMtgRatesDataTable75[[#This Row],[asOf]]),DAY(OneWeekMtgRatesDataTable75[[#This Row],[asOf]]))</f>
        <v>37932</v>
      </c>
      <c r="N3045" s="51">
        <v>6.03</v>
      </c>
      <c r="O3045" s="51">
        <v>0.6</v>
      </c>
      <c r="P3045" s="51">
        <v>5.9300000000000006</v>
      </c>
    </row>
    <row r="3046" spans="12:16">
      <c r="L3046" s="51" t="s">
        <v>3051</v>
      </c>
      <c r="M3046" s="25">
        <f>DATE(YEAR(OneWeekMtgRatesDataTable75[[#This Row],[asOf]]),MONTH(OneWeekMtgRatesDataTable75[[#This Row],[asOf]]),DAY(OneWeekMtgRatesDataTable75[[#This Row],[asOf]]))</f>
        <v>37931</v>
      </c>
      <c r="N3046" s="51">
        <v>5.98</v>
      </c>
      <c r="O3046" s="51">
        <v>0.7</v>
      </c>
      <c r="P3046" s="51">
        <v>5.9050000000000002</v>
      </c>
    </row>
    <row r="3047" spans="12:16">
      <c r="L3047" s="51" t="s">
        <v>3052</v>
      </c>
      <c r="M3047" s="25">
        <f>DATE(YEAR(OneWeekMtgRatesDataTable75[[#This Row],[asOf]]),MONTH(OneWeekMtgRatesDataTable75[[#This Row],[asOf]]),DAY(OneWeekMtgRatesDataTable75[[#This Row],[asOf]]))</f>
        <v>37930</v>
      </c>
      <c r="N3047" s="51">
        <v>5.98</v>
      </c>
      <c r="O3047" s="51">
        <v>0.7</v>
      </c>
      <c r="P3047" s="51">
        <v>5.9050000000000002</v>
      </c>
    </row>
    <row r="3048" spans="12:16">
      <c r="L3048" s="51" t="s">
        <v>3053</v>
      </c>
      <c r="M3048" s="25">
        <f>DATE(YEAR(OneWeekMtgRatesDataTable75[[#This Row],[asOf]]),MONTH(OneWeekMtgRatesDataTable75[[#This Row],[asOf]]),DAY(OneWeekMtgRatesDataTable75[[#This Row],[asOf]]))</f>
        <v>37929</v>
      </c>
      <c r="N3048" s="51">
        <v>5.98</v>
      </c>
      <c r="O3048" s="51">
        <v>0.7</v>
      </c>
      <c r="P3048" s="51">
        <v>5.9050000000000002</v>
      </c>
    </row>
    <row r="3049" spans="12:16">
      <c r="L3049" s="51" t="s">
        <v>3054</v>
      </c>
      <c r="M3049" s="25">
        <f>DATE(YEAR(OneWeekMtgRatesDataTable75[[#This Row],[asOf]]),MONTH(OneWeekMtgRatesDataTable75[[#This Row],[asOf]]),DAY(OneWeekMtgRatesDataTable75[[#This Row],[asOf]]))</f>
        <v>37928</v>
      </c>
      <c r="N3049" s="51">
        <v>5.98</v>
      </c>
      <c r="O3049" s="51">
        <v>0.7</v>
      </c>
      <c r="P3049" s="51">
        <v>5.9050000000000002</v>
      </c>
    </row>
    <row r="3050" spans="12:16">
      <c r="L3050" s="51" t="s">
        <v>3055</v>
      </c>
      <c r="M3050" s="25">
        <f>DATE(YEAR(OneWeekMtgRatesDataTable75[[#This Row],[asOf]]),MONTH(OneWeekMtgRatesDataTable75[[#This Row],[asOf]]),DAY(OneWeekMtgRatesDataTable75[[#This Row],[asOf]]))</f>
        <v>37925</v>
      </c>
      <c r="N3050" s="51">
        <v>5.98</v>
      </c>
      <c r="O3050" s="51">
        <v>0.7</v>
      </c>
      <c r="P3050" s="51">
        <v>5.9050000000000002</v>
      </c>
    </row>
    <row r="3051" spans="12:16">
      <c r="L3051" s="51" t="s">
        <v>3056</v>
      </c>
      <c r="M3051" s="25">
        <f>DATE(YEAR(OneWeekMtgRatesDataTable75[[#This Row],[asOf]]),MONTH(OneWeekMtgRatesDataTable75[[#This Row],[asOf]]),DAY(OneWeekMtgRatesDataTable75[[#This Row],[asOf]]))</f>
        <v>37924</v>
      </c>
      <c r="N3051" s="51">
        <v>5.94</v>
      </c>
      <c r="O3051" s="51">
        <v>0.6</v>
      </c>
      <c r="P3051" s="51">
        <v>5.8400000000000007</v>
      </c>
    </row>
    <row r="3052" spans="12:16">
      <c r="L3052" s="51" t="s">
        <v>3057</v>
      </c>
      <c r="M3052" s="25">
        <f>DATE(YEAR(OneWeekMtgRatesDataTable75[[#This Row],[asOf]]),MONTH(OneWeekMtgRatesDataTable75[[#This Row],[asOf]]),DAY(OneWeekMtgRatesDataTable75[[#This Row],[asOf]]))</f>
        <v>37923</v>
      </c>
      <c r="N3052" s="51">
        <v>5.94</v>
      </c>
      <c r="O3052" s="51">
        <v>0.6</v>
      </c>
      <c r="P3052" s="51">
        <v>5.8400000000000007</v>
      </c>
    </row>
    <row r="3053" spans="12:16">
      <c r="L3053" s="51" t="s">
        <v>3058</v>
      </c>
      <c r="M3053" s="25">
        <f>DATE(YEAR(OneWeekMtgRatesDataTable75[[#This Row],[asOf]]),MONTH(OneWeekMtgRatesDataTable75[[#This Row],[asOf]]),DAY(OneWeekMtgRatesDataTable75[[#This Row],[asOf]]))</f>
        <v>37922</v>
      </c>
      <c r="N3053" s="51">
        <v>5.94</v>
      </c>
      <c r="O3053" s="51">
        <v>0.6</v>
      </c>
      <c r="P3053" s="51">
        <v>5.8400000000000007</v>
      </c>
    </row>
    <row r="3054" spans="12:16">
      <c r="L3054" s="51" t="s">
        <v>3059</v>
      </c>
      <c r="M3054" s="25">
        <f>DATE(YEAR(OneWeekMtgRatesDataTable75[[#This Row],[asOf]]),MONTH(OneWeekMtgRatesDataTable75[[#This Row],[asOf]]),DAY(OneWeekMtgRatesDataTable75[[#This Row],[asOf]]))</f>
        <v>37921</v>
      </c>
      <c r="N3054" s="51">
        <v>5.94</v>
      </c>
      <c r="O3054" s="51">
        <v>0.6</v>
      </c>
      <c r="P3054" s="51">
        <v>5.8400000000000007</v>
      </c>
    </row>
    <row r="3055" spans="12:16">
      <c r="L3055" s="51" t="s">
        <v>3060</v>
      </c>
      <c r="M3055" s="25">
        <f>DATE(YEAR(OneWeekMtgRatesDataTable75[[#This Row],[asOf]]),MONTH(OneWeekMtgRatesDataTable75[[#This Row],[asOf]]),DAY(OneWeekMtgRatesDataTable75[[#This Row],[asOf]]))</f>
        <v>37918</v>
      </c>
      <c r="N3055" s="51">
        <v>5.94</v>
      </c>
      <c r="O3055" s="51">
        <v>0.6</v>
      </c>
      <c r="P3055" s="51">
        <v>5.8400000000000007</v>
      </c>
    </row>
    <row r="3056" spans="12:16">
      <c r="L3056" s="51" t="s">
        <v>3061</v>
      </c>
      <c r="M3056" s="25">
        <f>DATE(YEAR(OneWeekMtgRatesDataTable75[[#This Row],[asOf]]),MONTH(OneWeekMtgRatesDataTable75[[#This Row],[asOf]]),DAY(OneWeekMtgRatesDataTable75[[#This Row],[asOf]]))</f>
        <v>37917</v>
      </c>
      <c r="N3056" s="51">
        <v>6.05</v>
      </c>
      <c r="O3056" s="51">
        <v>0.7</v>
      </c>
      <c r="P3056" s="51">
        <v>5.9749999999999996</v>
      </c>
    </row>
    <row r="3057" spans="12:16">
      <c r="L3057" s="51" t="s">
        <v>3062</v>
      </c>
      <c r="M3057" s="25">
        <f>DATE(YEAR(OneWeekMtgRatesDataTable75[[#This Row],[asOf]]),MONTH(OneWeekMtgRatesDataTable75[[#This Row],[asOf]]),DAY(OneWeekMtgRatesDataTable75[[#This Row],[asOf]]))</f>
        <v>37916</v>
      </c>
      <c r="N3057" s="51">
        <v>6.05</v>
      </c>
      <c r="O3057" s="51">
        <v>0.7</v>
      </c>
      <c r="P3057" s="51">
        <v>5.9749999999999996</v>
      </c>
    </row>
    <row r="3058" spans="12:16">
      <c r="L3058" s="51" t="s">
        <v>3063</v>
      </c>
      <c r="M3058" s="25">
        <f>DATE(YEAR(OneWeekMtgRatesDataTable75[[#This Row],[asOf]]),MONTH(OneWeekMtgRatesDataTable75[[#This Row],[asOf]]),DAY(OneWeekMtgRatesDataTable75[[#This Row],[asOf]]))</f>
        <v>37915</v>
      </c>
      <c r="N3058" s="51">
        <v>6.05</v>
      </c>
      <c r="O3058" s="51">
        <v>0.7</v>
      </c>
      <c r="P3058" s="51">
        <v>5.9749999999999996</v>
      </c>
    </row>
    <row r="3059" spans="12:16">
      <c r="L3059" s="51" t="s">
        <v>3064</v>
      </c>
      <c r="M3059" s="25">
        <f>DATE(YEAR(OneWeekMtgRatesDataTable75[[#This Row],[asOf]]),MONTH(OneWeekMtgRatesDataTable75[[#This Row],[asOf]]),DAY(OneWeekMtgRatesDataTable75[[#This Row],[asOf]]))</f>
        <v>37914</v>
      </c>
      <c r="N3059" s="51">
        <v>6.05</v>
      </c>
      <c r="O3059" s="51">
        <v>0.7</v>
      </c>
      <c r="P3059" s="51">
        <v>5.9749999999999996</v>
      </c>
    </row>
    <row r="3060" spans="12:16">
      <c r="L3060" s="51" t="s">
        <v>3065</v>
      </c>
      <c r="M3060" s="25">
        <f>DATE(YEAR(OneWeekMtgRatesDataTable75[[#This Row],[asOf]]),MONTH(OneWeekMtgRatesDataTable75[[#This Row],[asOf]]),DAY(OneWeekMtgRatesDataTable75[[#This Row],[asOf]]))</f>
        <v>37911</v>
      </c>
      <c r="N3060" s="51">
        <v>6.05</v>
      </c>
      <c r="O3060" s="51">
        <v>0.7</v>
      </c>
      <c r="P3060" s="51">
        <v>5.9749999999999996</v>
      </c>
    </row>
    <row r="3061" spans="12:16">
      <c r="L3061" s="51" t="s">
        <v>3066</v>
      </c>
      <c r="M3061" s="25">
        <f>DATE(YEAR(OneWeekMtgRatesDataTable75[[#This Row],[asOf]]),MONTH(OneWeekMtgRatesDataTable75[[#This Row],[asOf]]),DAY(OneWeekMtgRatesDataTable75[[#This Row],[asOf]]))</f>
        <v>37910</v>
      </c>
      <c r="N3061" s="51">
        <v>6.05</v>
      </c>
      <c r="O3061" s="51">
        <v>0.5</v>
      </c>
      <c r="P3061" s="51">
        <v>5.9249999999999998</v>
      </c>
    </row>
    <row r="3062" spans="12:16">
      <c r="L3062" s="51" t="s">
        <v>3067</v>
      </c>
      <c r="M3062" s="25">
        <f>DATE(YEAR(OneWeekMtgRatesDataTable75[[#This Row],[asOf]]),MONTH(OneWeekMtgRatesDataTable75[[#This Row],[asOf]]),DAY(OneWeekMtgRatesDataTable75[[#This Row],[asOf]]))</f>
        <v>37909</v>
      </c>
      <c r="N3062" s="51">
        <v>6.05</v>
      </c>
      <c r="O3062" s="51">
        <v>0.5</v>
      </c>
      <c r="P3062" s="51">
        <v>5.9249999999999998</v>
      </c>
    </row>
    <row r="3063" spans="12:16">
      <c r="L3063" s="51" t="s">
        <v>3068</v>
      </c>
      <c r="M3063" s="25">
        <f>DATE(YEAR(OneWeekMtgRatesDataTable75[[#This Row],[asOf]]),MONTH(OneWeekMtgRatesDataTable75[[#This Row],[asOf]]),DAY(OneWeekMtgRatesDataTable75[[#This Row],[asOf]]))</f>
        <v>37908</v>
      </c>
      <c r="N3063" s="51">
        <v>6.05</v>
      </c>
      <c r="O3063" s="51">
        <v>0.5</v>
      </c>
      <c r="P3063" s="51">
        <v>5.9249999999999998</v>
      </c>
    </row>
    <row r="3064" spans="12:16">
      <c r="L3064" s="51" t="s">
        <v>3069</v>
      </c>
      <c r="M3064" s="25">
        <f>DATE(YEAR(OneWeekMtgRatesDataTable75[[#This Row],[asOf]]),MONTH(OneWeekMtgRatesDataTable75[[#This Row],[asOf]]),DAY(OneWeekMtgRatesDataTable75[[#This Row],[asOf]]))</f>
        <v>37907</v>
      </c>
      <c r="N3064" s="51">
        <v>6.05</v>
      </c>
      <c r="O3064" s="51">
        <v>0.5</v>
      </c>
      <c r="P3064" s="51">
        <v>5.9249999999999998</v>
      </c>
    </row>
    <row r="3065" spans="12:16">
      <c r="L3065" s="51" t="s">
        <v>3070</v>
      </c>
      <c r="M3065" s="25">
        <f>DATE(YEAR(OneWeekMtgRatesDataTable75[[#This Row],[asOf]]),MONTH(OneWeekMtgRatesDataTable75[[#This Row],[asOf]]),DAY(OneWeekMtgRatesDataTable75[[#This Row],[asOf]]))</f>
        <v>37904</v>
      </c>
      <c r="N3065" s="51">
        <v>6.05</v>
      </c>
      <c r="O3065" s="51">
        <v>0.5</v>
      </c>
      <c r="P3065" s="51">
        <v>5.9249999999999998</v>
      </c>
    </row>
    <row r="3066" spans="12:16">
      <c r="L3066" s="51" t="s">
        <v>3071</v>
      </c>
      <c r="M3066" s="25">
        <f>DATE(YEAR(OneWeekMtgRatesDataTable75[[#This Row],[asOf]]),MONTH(OneWeekMtgRatesDataTable75[[#This Row],[asOf]]),DAY(OneWeekMtgRatesDataTable75[[#This Row],[asOf]]))</f>
        <v>37903</v>
      </c>
      <c r="N3066" s="51">
        <v>5.95</v>
      </c>
      <c r="O3066" s="51">
        <v>0.6</v>
      </c>
      <c r="P3066" s="51">
        <v>5.8500000000000005</v>
      </c>
    </row>
    <row r="3067" spans="12:16">
      <c r="L3067" s="51" t="s">
        <v>3072</v>
      </c>
      <c r="M3067" s="25">
        <f>DATE(YEAR(OneWeekMtgRatesDataTable75[[#This Row],[asOf]]),MONTH(OneWeekMtgRatesDataTable75[[#This Row],[asOf]]),DAY(OneWeekMtgRatesDataTable75[[#This Row],[asOf]]))</f>
        <v>37902</v>
      </c>
      <c r="N3067" s="51">
        <v>5.95</v>
      </c>
      <c r="O3067" s="51">
        <v>0.6</v>
      </c>
      <c r="P3067" s="51">
        <v>5.8500000000000005</v>
      </c>
    </row>
    <row r="3068" spans="12:16">
      <c r="L3068" s="51" t="s">
        <v>3073</v>
      </c>
      <c r="M3068" s="25">
        <f>DATE(YEAR(OneWeekMtgRatesDataTable75[[#This Row],[asOf]]),MONTH(OneWeekMtgRatesDataTable75[[#This Row],[asOf]]),DAY(OneWeekMtgRatesDataTable75[[#This Row],[asOf]]))</f>
        <v>37901</v>
      </c>
      <c r="N3068" s="51">
        <v>5.95</v>
      </c>
      <c r="O3068" s="51">
        <v>0.6</v>
      </c>
      <c r="P3068" s="51">
        <v>5.8500000000000005</v>
      </c>
    </row>
    <row r="3069" spans="12:16">
      <c r="L3069" s="51" t="s">
        <v>3074</v>
      </c>
      <c r="M3069" s="25">
        <f>DATE(YEAR(OneWeekMtgRatesDataTable75[[#This Row],[asOf]]),MONTH(OneWeekMtgRatesDataTable75[[#This Row],[asOf]]),DAY(OneWeekMtgRatesDataTable75[[#This Row],[asOf]]))</f>
        <v>37900</v>
      </c>
      <c r="N3069" s="51">
        <v>5.95</v>
      </c>
      <c r="O3069" s="51">
        <v>0.6</v>
      </c>
      <c r="P3069" s="51">
        <v>5.8500000000000005</v>
      </c>
    </row>
    <row r="3070" spans="12:16">
      <c r="L3070" s="51" t="s">
        <v>3075</v>
      </c>
      <c r="M3070" s="25">
        <f>DATE(YEAR(OneWeekMtgRatesDataTable75[[#This Row],[asOf]]),MONTH(OneWeekMtgRatesDataTable75[[#This Row],[asOf]]),DAY(OneWeekMtgRatesDataTable75[[#This Row],[asOf]]))</f>
        <v>37897</v>
      </c>
      <c r="N3070" s="51">
        <v>5.95</v>
      </c>
      <c r="O3070" s="51">
        <v>0.6</v>
      </c>
      <c r="P3070" s="51">
        <v>5.8500000000000005</v>
      </c>
    </row>
    <row r="3071" spans="12:16">
      <c r="L3071" s="51" t="s">
        <v>3076</v>
      </c>
      <c r="M3071" s="25">
        <f>DATE(YEAR(OneWeekMtgRatesDataTable75[[#This Row],[asOf]]),MONTH(OneWeekMtgRatesDataTable75[[#This Row],[asOf]]),DAY(OneWeekMtgRatesDataTable75[[#This Row],[asOf]]))</f>
        <v>37896</v>
      </c>
      <c r="N3071" s="51">
        <v>5.77</v>
      </c>
      <c r="O3071" s="51">
        <v>0.6</v>
      </c>
      <c r="P3071" s="51">
        <v>5.67</v>
      </c>
    </row>
    <row r="3072" spans="12:16">
      <c r="L3072" s="51" t="s">
        <v>3077</v>
      </c>
      <c r="M3072" s="25">
        <f>DATE(YEAR(OneWeekMtgRatesDataTable75[[#This Row],[asOf]]),MONTH(OneWeekMtgRatesDataTable75[[#This Row],[asOf]]),DAY(OneWeekMtgRatesDataTable75[[#This Row],[asOf]]))</f>
        <v>37895</v>
      </c>
      <c r="N3072" s="51">
        <v>5.77</v>
      </c>
      <c r="O3072" s="51">
        <v>0.6</v>
      </c>
      <c r="P3072" s="51">
        <v>5.67</v>
      </c>
    </row>
    <row r="3073" spans="12:16">
      <c r="L3073" s="51" t="s">
        <v>3078</v>
      </c>
      <c r="M3073" s="25">
        <f>DATE(YEAR(OneWeekMtgRatesDataTable75[[#This Row],[asOf]]),MONTH(OneWeekMtgRatesDataTable75[[#This Row],[asOf]]),DAY(OneWeekMtgRatesDataTable75[[#This Row],[asOf]]))</f>
        <v>37894</v>
      </c>
      <c r="N3073" s="51">
        <v>5.77</v>
      </c>
      <c r="O3073" s="51">
        <v>0.6</v>
      </c>
      <c r="P3073" s="51">
        <v>5.67</v>
      </c>
    </row>
    <row r="3074" spans="12:16">
      <c r="L3074" s="51" t="s">
        <v>3079</v>
      </c>
      <c r="M3074" s="25">
        <f>DATE(YEAR(OneWeekMtgRatesDataTable75[[#This Row],[asOf]]),MONTH(OneWeekMtgRatesDataTable75[[#This Row],[asOf]]),DAY(OneWeekMtgRatesDataTable75[[#This Row],[asOf]]))</f>
        <v>37893</v>
      </c>
      <c r="N3074" s="51">
        <v>5.77</v>
      </c>
      <c r="O3074" s="51">
        <v>0.6</v>
      </c>
      <c r="P3074" s="51">
        <v>5.67</v>
      </c>
    </row>
    <row r="3075" spans="12:16">
      <c r="L3075" s="51" t="s">
        <v>3080</v>
      </c>
      <c r="M3075" s="25">
        <f>DATE(YEAR(OneWeekMtgRatesDataTable75[[#This Row],[asOf]]),MONTH(OneWeekMtgRatesDataTable75[[#This Row],[asOf]]),DAY(OneWeekMtgRatesDataTable75[[#This Row],[asOf]]))</f>
        <v>37890</v>
      </c>
      <c r="N3075" s="51">
        <v>5.77</v>
      </c>
      <c r="O3075" s="51">
        <v>0.6</v>
      </c>
      <c r="P3075" s="51">
        <v>5.67</v>
      </c>
    </row>
    <row r="3076" spans="12:16">
      <c r="L3076" s="51" t="s">
        <v>3081</v>
      </c>
      <c r="M3076" s="25">
        <f>DATE(YEAR(OneWeekMtgRatesDataTable75[[#This Row],[asOf]]),MONTH(OneWeekMtgRatesDataTable75[[#This Row],[asOf]]),DAY(OneWeekMtgRatesDataTable75[[#This Row],[asOf]]))</f>
        <v>37889</v>
      </c>
      <c r="N3076" s="51">
        <v>5.98</v>
      </c>
      <c r="O3076" s="51">
        <v>0.6</v>
      </c>
      <c r="P3076" s="51">
        <v>5.8800000000000008</v>
      </c>
    </row>
    <row r="3077" spans="12:16">
      <c r="L3077" s="51" t="s">
        <v>3082</v>
      </c>
      <c r="M3077" s="25">
        <f>DATE(YEAR(OneWeekMtgRatesDataTable75[[#This Row],[asOf]]),MONTH(OneWeekMtgRatesDataTable75[[#This Row],[asOf]]),DAY(OneWeekMtgRatesDataTable75[[#This Row],[asOf]]))</f>
        <v>37888</v>
      </c>
      <c r="N3077" s="51">
        <v>5.98</v>
      </c>
      <c r="O3077" s="51">
        <v>0.6</v>
      </c>
      <c r="P3077" s="51">
        <v>5.8800000000000008</v>
      </c>
    </row>
    <row r="3078" spans="12:16">
      <c r="L3078" s="51" t="s">
        <v>3083</v>
      </c>
      <c r="M3078" s="25">
        <f>DATE(YEAR(OneWeekMtgRatesDataTable75[[#This Row],[asOf]]),MONTH(OneWeekMtgRatesDataTable75[[#This Row],[asOf]]),DAY(OneWeekMtgRatesDataTable75[[#This Row],[asOf]]))</f>
        <v>37887</v>
      </c>
      <c r="N3078" s="51">
        <v>5.98</v>
      </c>
      <c r="O3078" s="51">
        <v>0.6</v>
      </c>
      <c r="P3078" s="51">
        <v>5.8800000000000008</v>
      </c>
    </row>
    <row r="3079" spans="12:16">
      <c r="L3079" s="51" t="s">
        <v>3084</v>
      </c>
      <c r="M3079" s="25">
        <f>DATE(YEAR(OneWeekMtgRatesDataTable75[[#This Row],[asOf]]),MONTH(OneWeekMtgRatesDataTable75[[#This Row],[asOf]]),DAY(OneWeekMtgRatesDataTable75[[#This Row],[asOf]]))</f>
        <v>37886</v>
      </c>
      <c r="N3079" s="51">
        <v>5.98</v>
      </c>
      <c r="O3079" s="51">
        <v>0.6</v>
      </c>
      <c r="P3079" s="51">
        <v>5.8800000000000008</v>
      </c>
    </row>
    <row r="3080" spans="12:16">
      <c r="L3080" s="51" t="s">
        <v>3085</v>
      </c>
      <c r="M3080" s="25">
        <f>DATE(YEAR(OneWeekMtgRatesDataTable75[[#This Row],[asOf]]),MONTH(OneWeekMtgRatesDataTable75[[#This Row],[asOf]]),DAY(OneWeekMtgRatesDataTable75[[#This Row],[asOf]]))</f>
        <v>37883</v>
      </c>
      <c r="N3080" s="51">
        <v>5.98</v>
      </c>
      <c r="O3080" s="51">
        <v>0.6</v>
      </c>
      <c r="P3080" s="51">
        <v>5.8800000000000008</v>
      </c>
    </row>
    <row r="3081" spans="12:16">
      <c r="L3081" s="51" t="s">
        <v>3086</v>
      </c>
      <c r="M3081" s="25">
        <f>DATE(YEAR(OneWeekMtgRatesDataTable75[[#This Row],[asOf]]),MONTH(OneWeekMtgRatesDataTable75[[#This Row],[asOf]]),DAY(OneWeekMtgRatesDataTable75[[#This Row],[asOf]]))</f>
        <v>37882</v>
      </c>
      <c r="N3081" s="51">
        <v>6.01</v>
      </c>
      <c r="O3081" s="51">
        <v>0.5</v>
      </c>
      <c r="P3081" s="51">
        <v>5.8849999999999998</v>
      </c>
    </row>
    <row r="3082" spans="12:16">
      <c r="L3082" s="51" t="s">
        <v>3087</v>
      </c>
      <c r="M3082" s="25">
        <f>DATE(YEAR(OneWeekMtgRatesDataTable75[[#This Row],[asOf]]),MONTH(OneWeekMtgRatesDataTable75[[#This Row],[asOf]]),DAY(OneWeekMtgRatesDataTable75[[#This Row],[asOf]]))</f>
        <v>37881</v>
      </c>
      <c r="N3082" s="51">
        <v>6.01</v>
      </c>
      <c r="O3082" s="51">
        <v>0.5</v>
      </c>
      <c r="P3082" s="51">
        <v>5.8849999999999998</v>
      </c>
    </row>
    <row r="3083" spans="12:16">
      <c r="L3083" s="51" t="s">
        <v>3088</v>
      </c>
      <c r="M3083" s="25">
        <f>DATE(YEAR(OneWeekMtgRatesDataTable75[[#This Row],[asOf]]),MONTH(OneWeekMtgRatesDataTable75[[#This Row],[asOf]]),DAY(OneWeekMtgRatesDataTable75[[#This Row],[asOf]]))</f>
        <v>37880</v>
      </c>
      <c r="N3083" s="51">
        <v>6.01</v>
      </c>
      <c r="O3083" s="51">
        <v>0.5</v>
      </c>
      <c r="P3083" s="51">
        <v>5.8849999999999998</v>
      </c>
    </row>
    <row r="3084" spans="12:16">
      <c r="L3084" s="51" t="s">
        <v>3089</v>
      </c>
      <c r="M3084" s="25">
        <f>DATE(YEAR(OneWeekMtgRatesDataTable75[[#This Row],[asOf]]),MONTH(OneWeekMtgRatesDataTable75[[#This Row],[asOf]]),DAY(OneWeekMtgRatesDataTable75[[#This Row],[asOf]]))</f>
        <v>37879</v>
      </c>
      <c r="N3084" s="51">
        <v>6.01</v>
      </c>
      <c r="O3084" s="51">
        <v>0.5</v>
      </c>
      <c r="P3084" s="51">
        <v>5.8849999999999998</v>
      </c>
    </row>
    <row r="3085" spans="12:16">
      <c r="L3085" s="51" t="s">
        <v>3090</v>
      </c>
      <c r="M3085" s="25">
        <f>DATE(YEAR(OneWeekMtgRatesDataTable75[[#This Row],[asOf]]),MONTH(OneWeekMtgRatesDataTable75[[#This Row],[asOf]]),DAY(OneWeekMtgRatesDataTable75[[#This Row],[asOf]]))</f>
        <v>37876</v>
      </c>
      <c r="N3085" s="51">
        <v>6.01</v>
      </c>
      <c r="O3085" s="51">
        <v>0.5</v>
      </c>
      <c r="P3085" s="51">
        <v>5.8849999999999998</v>
      </c>
    </row>
    <row r="3086" spans="12:16">
      <c r="L3086" s="51" t="s">
        <v>3091</v>
      </c>
      <c r="M3086" s="25">
        <f>DATE(YEAR(OneWeekMtgRatesDataTable75[[#This Row],[asOf]]),MONTH(OneWeekMtgRatesDataTable75[[#This Row],[asOf]]),DAY(OneWeekMtgRatesDataTable75[[#This Row],[asOf]]))</f>
        <v>37875</v>
      </c>
      <c r="N3086" s="51">
        <v>6.16</v>
      </c>
      <c r="O3086" s="51">
        <v>0.6</v>
      </c>
      <c r="P3086" s="51">
        <v>6.0600000000000005</v>
      </c>
    </row>
    <row r="3087" spans="12:16">
      <c r="L3087" s="51" t="s">
        <v>3092</v>
      </c>
      <c r="M3087" s="25">
        <f>DATE(YEAR(OneWeekMtgRatesDataTable75[[#This Row],[asOf]]),MONTH(OneWeekMtgRatesDataTable75[[#This Row],[asOf]]),DAY(OneWeekMtgRatesDataTable75[[#This Row],[asOf]]))</f>
        <v>37874</v>
      </c>
      <c r="N3087" s="51">
        <v>6.16</v>
      </c>
      <c r="O3087" s="51">
        <v>0.6</v>
      </c>
      <c r="P3087" s="51">
        <v>6.0600000000000005</v>
      </c>
    </row>
    <row r="3088" spans="12:16">
      <c r="L3088" s="51" t="s">
        <v>3093</v>
      </c>
      <c r="M3088" s="25">
        <f>DATE(YEAR(OneWeekMtgRatesDataTable75[[#This Row],[asOf]]),MONTH(OneWeekMtgRatesDataTable75[[#This Row],[asOf]]),DAY(OneWeekMtgRatesDataTable75[[#This Row],[asOf]]))</f>
        <v>37873</v>
      </c>
      <c r="N3088" s="51">
        <v>6.16</v>
      </c>
      <c r="O3088" s="51">
        <v>0.6</v>
      </c>
      <c r="P3088" s="51">
        <v>6.0600000000000005</v>
      </c>
    </row>
    <row r="3089" spans="12:16">
      <c r="L3089" s="51" t="s">
        <v>3094</v>
      </c>
      <c r="M3089" s="25">
        <f>DATE(YEAR(OneWeekMtgRatesDataTable75[[#This Row],[asOf]]),MONTH(OneWeekMtgRatesDataTable75[[#This Row],[asOf]]),DAY(OneWeekMtgRatesDataTable75[[#This Row],[asOf]]))</f>
        <v>37872</v>
      </c>
      <c r="N3089" s="51">
        <v>6.16</v>
      </c>
      <c r="O3089" s="51">
        <v>0.6</v>
      </c>
      <c r="P3089" s="51">
        <v>6.0600000000000005</v>
      </c>
    </row>
    <row r="3090" spans="12:16">
      <c r="L3090" s="51" t="s">
        <v>3095</v>
      </c>
      <c r="M3090" s="25">
        <f>DATE(YEAR(OneWeekMtgRatesDataTable75[[#This Row],[asOf]]),MONTH(OneWeekMtgRatesDataTable75[[#This Row],[asOf]]),DAY(OneWeekMtgRatesDataTable75[[#This Row],[asOf]]))</f>
        <v>37869</v>
      </c>
      <c r="N3090" s="51">
        <v>6.16</v>
      </c>
      <c r="O3090" s="51">
        <v>0.6</v>
      </c>
      <c r="P3090" s="51">
        <v>6.0600000000000005</v>
      </c>
    </row>
    <row r="3091" spans="12:16">
      <c r="L3091" s="51" t="s">
        <v>3096</v>
      </c>
      <c r="M3091" s="25">
        <f>DATE(YEAR(OneWeekMtgRatesDataTable75[[#This Row],[asOf]]),MONTH(OneWeekMtgRatesDataTable75[[#This Row],[asOf]]),DAY(OneWeekMtgRatesDataTable75[[#This Row],[asOf]]))</f>
        <v>37868</v>
      </c>
      <c r="N3091" s="51">
        <v>6.44</v>
      </c>
      <c r="O3091" s="51">
        <v>0.6</v>
      </c>
      <c r="P3091" s="51">
        <v>6.3400000000000007</v>
      </c>
    </row>
    <row r="3092" spans="12:16">
      <c r="L3092" s="51" t="s">
        <v>3097</v>
      </c>
      <c r="M3092" s="25">
        <f>DATE(YEAR(OneWeekMtgRatesDataTable75[[#This Row],[asOf]]),MONTH(OneWeekMtgRatesDataTable75[[#This Row],[asOf]]),DAY(OneWeekMtgRatesDataTable75[[#This Row],[asOf]]))</f>
        <v>37867</v>
      </c>
      <c r="N3092" s="51">
        <v>6.44</v>
      </c>
      <c r="O3092" s="51">
        <v>0.6</v>
      </c>
      <c r="P3092" s="51">
        <v>6.3400000000000007</v>
      </c>
    </row>
    <row r="3093" spans="12:16">
      <c r="L3093" s="51" t="s">
        <v>3098</v>
      </c>
      <c r="M3093" s="25">
        <f>DATE(YEAR(OneWeekMtgRatesDataTable75[[#This Row],[asOf]]),MONTH(OneWeekMtgRatesDataTable75[[#This Row],[asOf]]),DAY(OneWeekMtgRatesDataTable75[[#This Row],[asOf]]))</f>
        <v>37866</v>
      </c>
      <c r="N3093" s="51">
        <v>6.44</v>
      </c>
      <c r="O3093" s="51">
        <v>0.6</v>
      </c>
      <c r="P3093" s="51">
        <v>6.3400000000000007</v>
      </c>
    </row>
    <row r="3094" spans="12:16">
      <c r="L3094" s="51" t="s">
        <v>3099</v>
      </c>
      <c r="M3094" s="25">
        <f>DATE(YEAR(OneWeekMtgRatesDataTable75[[#This Row],[asOf]]),MONTH(OneWeekMtgRatesDataTable75[[#This Row],[asOf]]),DAY(OneWeekMtgRatesDataTable75[[#This Row],[asOf]]))</f>
        <v>37865</v>
      </c>
      <c r="N3094" s="51">
        <v>6.44</v>
      </c>
      <c r="O3094" s="51">
        <v>0.6</v>
      </c>
      <c r="P3094" s="51">
        <v>6.3400000000000007</v>
      </c>
    </row>
    <row r="3095" spans="12:16">
      <c r="L3095" s="51" t="s">
        <v>3100</v>
      </c>
      <c r="M3095" s="25">
        <f>DATE(YEAR(OneWeekMtgRatesDataTable75[[#This Row],[asOf]]),MONTH(OneWeekMtgRatesDataTable75[[#This Row],[asOf]]),DAY(OneWeekMtgRatesDataTable75[[#This Row],[asOf]]))</f>
        <v>37862</v>
      </c>
      <c r="N3095" s="51">
        <v>6.44</v>
      </c>
      <c r="O3095" s="51">
        <v>0.6</v>
      </c>
      <c r="P3095" s="51">
        <v>6.3400000000000007</v>
      </c>
    </row>
    <row r="3096" spans="12:16">
      <c r="L3096" s="51" t="s">
        <v>3101</v>
      </c>
      <c r="M3096" s="25">
        <f>DATE(YEAR(OneWeekMtgRatesDataTable75[[#This Row],[asOf]]),MONTH(OneWeekMtgRatesDataTable75[[#This Row],[asOf]]),DAY(OneWeekMtgRatesDataTable75[[#This Row],[asOf]]))</f>
        <v>37861</v>
      </c>
      <c r="N3096" s="51">
        <v>6.32</v>
      </c>
      <c r="O3096" s="51">
        <v>0.7</v>
      </c>
      <c r="P3096" s="51">
        <v>6.2450000000000001</v>
      </c>
    </row>
    <row r="3097" spans="12:16">
      <c r="L3097" s="51" t="s">
        <v>3102</v>
      </c>
      <c r="M3097" s="25">
        <f>DATE(YEAR(OneWeekMtgRatesDataTable75[[#This Row],[asOf]]),MONTH(OneWeekMtgRatesDataTable75[[#This Row],[asOf]]),DAY(OneWeekMtgRatesDataTable75[[#This Row],[asOf]]))</f>
        <v>37860</v>
      </c>
      <c r="N3097" s="51">
        <v>6.32</v>
      </c>
      <c r="O3097" s="51">
        <v>0.7</v>
      </c>
      <c r="P3097" s="51">
        <v>6.2450000000000001</v>
      </c>
    </row>
    <row r="3098" spans="12:16">
      <c r="L3098" s="51" t="s">
        <v>3103</v>
      </c>
      <c r="M3098" s="25">
        <f>DATE(YEAR(OneWeekMtgRatesDataTable75[[#This Row],[asOf]]),MONTH(OneWeekMtgRatesDataTable75[[#This Row],[asOf]]),DAY(OneWeekMtgRatesDataTable75[[#This Row],[asOf]]))</f>
        <v>37859</v>
      </c>
      <c r="N3098" s="51">
        <v>6.32</v>
      </c>
      <c r="O3098" s="51">
        <v>0.7</v>
      </c>
      <c r="P3098" s="51">
        <v>6.2450000000000001</v>
      </c>
    </row>
    <row r="3099" spans="12:16">
      <c r="L3099" s="51" t="s">
        <v>3104</v>
      </c>
      <c r="M3099" s="25">
        <f>DATE(YEAR(OneWeekMtgRatesDataTable75[[#This Row],[asOf]]),MONTH(OneWeekMtgRatesDataTable75[[#This Row],[asOf]]),DAY(OneWeekMtgRatesDataTable75[[#This Row],[asOf]]))</f>
        <v>37858</v>
      </c>
      <c r="N3099" s="51">
        <v>6.32</v>
      </c>
      <c r="O3099" s="51">
        <v>0.7</v>
      </c>
      <c r="P3099" s="51">
        <v>6.2450000000000001</v>
      </c>
    </row>
    <row r="3100" spans="12:16">
      <c r="L3100" s="51" t="s">
        <v>3105</v>
      </c>
      <c r="M3100" s="25">
        <f>DATE(YEAR(OneWeekMtgRatesDataTable75[[#This Row],[asOf]]),MONTH(OneWeekMtgRatesDataTable75[[#This Row],[asOf]]),DAY(OneWeekMtgRatesDataTable75[[#This Row],[asOf]]))</f>
        <v>37855</v>
      </c>
      <c r="N3100" s="51">
        <v>6.32</v>
      </c>
      <c r="O3100" s="51">
        <v>0.7</v>
      </c>
      <c r="P3100" s="51">
        <v>6.2450000000000001</v>
      </c>
    </row>
    <row r="3101" spans="12:16">
      <c r="L3101" s="51" t="s">
        <v>3106</v>
      </c>
      <c r="M3101" s="25">
        <f>DATE(YEAR(OneWeekMtgRatesDataTable75[[#This Row],[asOf]]),MONTH(OneWeekMtgRatesDataTable75[[#This Row],[asOf]]),DAY(OneWeekMtgRatesDataTable75[[#This Row],[asOf]]))</f>
        <v>37854</v>
      </c>
      <c r="N3101" s="51">
        <v>6.28</v>
      </c>
      <c r="O3101" s="51">
        <v>0.8</v>
      </c>
      <c r="P3101" s="51">
        <v>6.23</v>
      </c>
    </row>
    <row r="3102" spans="12:16">
      <c r="L3102" s="51" t="s">
        <v>3107</v>
      </c>
      <c r="M3102" s="25">
        <f>DATE(YEAR(OneWeekMtgRatesDataTable75[[#This Row],[asOf]]),MONTH(OneWeekMtgRatesDataTable75[[#This Row],[asOf]]),DAY(OneWeekMtgRatesDataTable75[[#This Row],[asOf]]))</f>
        <v>37853</v>
      </c>
      <c r="N3102" s="51">
        <v>6.28</v>
      </c>
      <c r="O3102" s="51">
        <v>0.8</v>
      </c>
      <c r="P3102" s="51">
        <v>6.23</v>
      </c>
    </row>
    <row r="3103" spans="12:16">
      <c r="L3103" s="51" t="s">
        <v>3108</v>
      </c>
      <c r="M3103" s="25">
        <f>DATE(YEAR(OneWeekMtgRatesDataTable75[[#This Row],[asOf]]),MONTH(OneWeekMtgRatesDataTable75[[#This Row],[asOf]]),DAY(OneWeekMtgRatesDataTable75[[#This Row],[asOf]]))</f>
        <v>37852</v>
      </c>
      <c r="N3103" s="51">
        <v>6.28</v>
      </c>
      <c r="O3103" s="51">
        <v>0.8</v>
      </c>
      <c r="P3103" s="51">
        <v>6.23</v>
      </c>
    </row>
    <row r="3104" spans="12:16">
      <c r="L3104" s="51" t="s">
        <v>3109</v>
      </c>
      <c r="M3104" s="25">
        <f>DATE(YEAR(OneWeekMtgRatesDataTable75[[#This Row],[asOf]]),MONTH(OneWeekMtgRatesDataTable75[[#This Row],[asOf]]),DAY(OneWeekMtgRatesDataTable75[[#This Row],[asOf]]))</f>
        <v>37851</v>
      </c>
      <c r="N3104" s="51">
        <v>6.28</v>
      </c>
      <c r="O3104" s="51">
        <v>0.8</v>
      </c>
      <c r="P3104" s="51">
        <v>6.23</v>
      </c>
    </row>
    <row r="3105" spans="12:16">
      <c r="L3105" s="51" t="s">
        <v>3110</v>
      </c>
      <c r="M3105" s="25">
        <f>DATE(YEAR(OneWeekMtgRatesDataTable75[[#This Row],[asOf]]),MONTH(OneWeekMtgRatesDataTable75[[#This Row],[asOf]]),DAY(OneWeekMtgRatesDataTable75[[#This Row],[asOf]]))</f>
        <v>37848</v>
      </c>
      <c r="N3105" s="51">
        <v>6.28</v>
      </c>
      <c r="O3105" s="51">
        <v>0.8</v>
      </c>
      <c r="P3105" s="51">
        <v>6.23</v>
      </c>
    </row>
    <row r="3106" spans="12:16">
      <c r="L3106" s="51" t="s">
        <v>3111</v>
      </c>
      <c r="M3106" s="25">
        <f>DATE(YEAR(OneWeekMtgRatesDataTable75[[#This Row],[asOf]]),MONTH(OneWeekMtgRatesDataTable75[[#This Row],[asOf]]),DAY(OneWeekMtgRatesDataTable75[[#This Row],[asOf]]))</f>
        <v>37847</v>
      </c>
      <c r="N3106" s="51">
        <v>6.24</v>
      </c>
      <c r="O3106" s="51">
        <v>0.7</v>
      </c>
      <c r="P3106" s="51">
        <v>6.165</v>
      </c>
    </row>
    <row r="3107" spans="12:16">
      <c r="L3107" s="51" t="s">
        <v>3112</v>
      </c>
      <c r="M3107" s="25">
        <f>DATE(YEAR(OneWeekMtgRatesDataTable75[[#This Row],[asOf]]),MONTH(OneWeekMtgRatesDataTable75[[#This Row],[asOf]]),DAY(OneWeekMtgRatesDataTable75[[#This Row],[asOf]]))</f>
        <v>37846</v>
      </c>
      <c r="N3107" s="51">
        <v>6.24</v>
      </c>
      <c r="O3107" s="51">
        <v>0.7</v>
      </c>
      <c r="P3107" s="51">
        <v>6.165</v>
      </c>
    </row>
    <row r="3108" spans="12:16">
      <c r="L3108" s="51" t="s">
        <v>3113</v>
      </c>
      <c r="M3108" s="25">
        <f>DATE(YEAR(OneWeekMtgRatesDataTable75[[#This Row],[asOf]]),MONTH(OneWeekMtgRatesDataTable75[[#This Row],[asOf]]),DAY(OneWeekMtgRatesDataTable75[[#This Row],[asOf]]))</f>
        <v>37845</v>
      </c>
      <c r="N3108" s="51">
        <v>6.24</v>
      </c>
      <c r="O3108" s="51">
        <v>0.7</v>
      </c>
      <c r="P3108" s="51">
        <v>6.165</v>
      </c>
    </row>
    <row r="3109" spans="12:16">
      <c r="L3109" s="51" t="s">
        <v>3114</v>
      </c>
      <c r="M3109" s="25">
        <f>DATE(YEAR(OneWeekMtgRatesDataTable75[[#This Row],[asOf]]),MONTH(OneWeekMtgRatesDataTable75[[#This Row],[asOf]]),DAY(OneWeekMtgRatesDataTable75[[#This Row],[asOf]]))</f>
        <v>37844</v>
      </c>
      <c r="N3109" s="51">
        <v>6.24</v>
      </c>
      <c r="O3109" s="51">
        <v>0.7</v>
      </c>
      <c r="P3109" s="51">
        <v>6.165</v>
      </c>
    </row>
    <row r="3110" spans="12:16">
      <c r="L3110" s="51" t="s">
        <v>3115</v>
      </c>
      <c r="M3110" s="25">
        <f>DATE(YEAR(OneWeekMtgRatesDataTable75[[#This Row],[asOf]]),MONTH(OneWeekMtgRatesDataTable75[[#This Row],[asOf]]),DAY(OneWeekMtgRatesDataTable75[[#This Row],[asOf]]))</f>
        <v>37841</v>
      </c>
      <c r="N3110" s="51">
        <v>6.24</v>
      </c>
      <c r="O3110" s="51">
        <v>0.7</v>
      </c>
      <c r="P3110" s="51">
        <v>6.165</v>
      </c>
    </row>
    <row r="3111" spans="12:16">
      <c r="L3111" s="51" t="s">
        <v>3116</v>
      </c>
      <c r="M3111" s="25">
        <f>DATE(YEAR(OneWeekMtgRatesDataTable75[[#This Row],[asOf]]),MONTH(OneWeekMtgRatesDataTable75[[#This Row],[asOf]]),DAY(OneWeekMtgRatesDataTable75[[#This Row],[asOf]]))</f>
        <v>37840</v>
      </c>
      <c r="N3111" s="51">
        <v>6.34</v>
      </c>
      <c r="O3111" s="51">
        <v>0.7</v>
      </c>
      <c r="P3111" s="51">
        <v>6.2649999999999997</v>
      </c>
    </row>
    <row r="3112" spans="12:16">
      <c r="L3112" s="51" t="s">
        <v>3117</v>
      </c>
      <c r="M3112" s="25">
        <f>DATE(YEAR(OneWeekMtgRatesDataTable75[[#This Row],[asOf]]),MONTH(OneWeekMtgRatesDataTable75[[#This Row],[asOf]]),DAY(OneWeekMtgRatesDataTable75[[#This Row],[asOf]]))</f>
        <v>37839</v>
      </c>
      <c r="N3112" s="51">
        <v>6.34</v>
      </c>
      <c r="O3112" s="51">
        <v>0.7</v>
      </c>
      <c r="P3112" s="51">
        <v>6.2649999999999997</v>
      </c>
    </row>
    <row r="3113" spans="12:16">
      <c r="L3113" s="51" t="s">
        <v>3118</v>
      </c>
      <c r="M3113" s="25">
        <f>DATE(YEAR(OneWeekMtgRatesDataTable75[[#This Row],[asOf]]),MONTH(OneWeekMtgRatesDataTable75[[#This Row],[asOf]]),DAY(OneWeekMtgRatesDataTable75[[#This Row],[asOf]]))</f>
        <v>37838</v>
      </c>
      <c r="N3113" s="51">
        <v>6.34</v>
      </c>
      <c r="O3113" s="51">
        <v>0.7</v>
      </c>
      <c r="P3113" s="51">
        <v>6.2649999999999997</v>
      </c>
    </row>
    <row r="3114" spans="12:16">
      <c r="L3114" s="51" t="s">
        <v>3119</v>
      </c>
      <c r="M3114" s="25">
        <f>DATE(YEAR(OneWeekMtgRatesDataTable75[[#This Row],[asOf]]),MONTH(OneWeekMtgRatesDataTable75[[#This Row],[asOf]]),DAY(OneWeekMtgRatesDataTable75[[#This Row],[asOf]]))</f>
        <v>37837</v>
      </c>
      <c r="N3114" s="51">
        <v>6.34</v>
      </c>
      <c r="O3114" s="51">
        <v>0.7</v>
      </c>
      <c r="P3114" s="51">
        <v>6.2649999999999997</v>
      </c>
    </row>
    <row r="3115" spans="12:16">
      <c r="L3115" s="51" t="s">
        <v>3120</v>
      </c>
      <c r="M3115" s="25">
        <f>DATE(YEAR(OneWeekMtgRatesDataTable75[[#This Row],[asOf]]),MONTH(OneWeekMtgRatesDataTable75[[#This Row],[asOf]]),DAY(OneWeekMtgRatesDataTable75[[#This Row],[asOf]]))</f>
        <v>37834</v>
      </c>
      <c r="N3115" s="51">
        <v>6.34</v>
      </c>
      <c r="O3115" s="51">
        <v>0.7</v>
      </c>
      <c r="P3115" s="51">
        <v>6.2649999999999997</v>
      </c>
    </row>
    <row r="3116" spans="12:16">
      <c r="L3116" s="51" t="s">
        <v>3121</v>
      </c>
      <c r="M3116" s="25">
        <f>DATE(YEAR(OneWeekMtgRatesDataTable75[[#This Row],[asOf]]),MONTH(OneWeekMtgRatesDataTable75[[#This Row],[asOf]]),DAY(OneWeekMtgRatesDataTable75[[#This Row],[asOf]]))</f>
        <v>37833</v>
      </c>
      <c r="N3116" s="51">
        <v>6.14</v>
      </c>
      <c r="O3116" s="51">
        <v>0.5</v>
      </c>
      <c r="P3116" s="51">
        <v>6.0149999999999997</v>
      </c>
    </row>
    <row r="3117" spans="12:16">
      <c r="L3117" s="51" t="s">
        <v>3122</v>
      </c>
      <c r="M3117" s="25">
        <f>DATE(YEAR(OneWeekMtgRatesDataTable75[[#This Row],[asOf]]),MONTH(OneWeekMtgRatesDataTable75[[#This Row],[asOf]]),DAY(OneWeekMtgRatesDataTable75[[#This Row],[asOf]]))</f>
        <v>37832</v>
      </c>
      <c r="N3117" s="51">
        <v>6.14</v>
      </c>
      <c r="O3117" s="51">
        <v>0.5</v>
      </c>
      <c r="P3117" s="51">
        <v>6.0149999999999997</v>
      </c>
    </row>
    <row r="3118" spans="12:16">
      <c r="L3118" s="51" t="s">
        <v>3123</v>
      </c>
      <c r="M3118" s="25">
        <f>DATE(YEAR(OneWeekMtgRatesDataTable75[[#This Row],[asOf]]),MONTH(OneWeekMtgRatesDataTable75[[#This Row],[asOf]]),DAY(OneWeekMtgRatesDataTable75[[#This Row],[asOf]]))</f>
        <v>37831</v>
      </c>
      <c r="N3118" s="51">
        <v>6.14</v>
      </c>
      <c r="O3118" s="51">
        <v>0.5</v>
      </c>
      <c r="P3118" s="51">
        <v>6.0149999999999997</v>
      </c>
    </row>
    <row r="3119" spans="12:16">
      <c r="L3119" s="51" t="s">
        <v>3124</v>
      </c>
      <c r="M3119" s="25">
        <f>DATE(YEAR(OneWeekMtgRatesDataTable75[[#This Row],[asOf]]),MONTH(OneWeekMtgRatesDataTable75[[#This Row],[asOf]]),DAY(OneWeekMtgRatesDataTable75[[#This Row],[asOf]]))</f>
        <v>37830</v>
      </c>
      <c r="N3119" s="51">
        <v>6.14</v>
      </c>
      <c r="O3119" s="51">
        <v>0.5</v>
      </c>
      <c r="P3119" s="51">
        <v>6.0149999999999997</v>
      </c>
    </row>
    <row r="3120" spans="12:16">
      <c r="L3120" s="51" t="s">
        <v>3125</v>
      </c>
      <c r="M3120" s="25">
        <f>DATE(YEAR(OneWeekMtgRatesDataTable75[[#This Row],[asOf]]),MONTH(OneWeekMtgRatesDataTable75[[#This Row],[asOf]]),DAY(OneWeekMtgRatesDataTable75[[#This Row],[asOf]]))</f>
        <v>37827</v>
      </c>
      <c r="N3120" s="51">
        <v>6.14</v>
      </c>
      <c r="O3120" s="51">
        <v>0.5</v>
      </c>
      <c r="P3120" s="51">
        <v>6.0149999999999997</v>
      </c>
    </row>
    <row r="3121" spans="12:16">
      <c r="L3121" s="51" t="s">
        <v>3126</v>
      </c>
      <c r="M3121" s="25">
        <f>DATE(YEAR(OneWeekMtgRatesDataTable75[[#This Row],[asOf]]),MONTH(OneWeekMtgRatesDataTable75[[#This Row],[asOf]]),DAY(OneWeekMtgRatesDataTable75[[#This Row],[asOf]]))</f>
        <v>37826</v>
      </c>
      <c r="N3121" s="51">
        <v>5.94</v>
      </c>
      <c r="O3121" s="51">
        <v>0.4</v>
      </c>
      <c r="P3121" s="51">
        <v>5.79</v>
      </c>
    </row>
    <row r="3122" spans="12:16">
      <c r="L3122" s="51" t="s">
        <v>3127</v>
      </c>
      <c r="M3122" s="25">
        <f>DATE(YEAR(OneWeekMtgRatesDataTable75[[#This Row],[asOf]]),MONTH(OneWeekMtgRatesDataTable75[[#This Row],[asOf]]),DAY(OneWeekMtgRatesDataTable75[[#This Row],[asOf]]))</f>
        <v>37825</v>
      </c>
      <c r="N3122" s="51">
        <v>5.94</v>
      </c>
      <c r="O3122" s="51">
        <v>0.4</v>
      </c>
      <c r="P3122" s="51">
        <v>5.79</v>
      </c>
    </row>
    <row r="3123" spans="12:16">
      <c r="L3123" s="51" t="s">
        <v>3128</v>
      </c>
      <c r="M3123" s="25">
        <f>DATE(YEAR(OneWeekMtgRatesDataTable75[[#This Row],[asOf]]),MONTH(OneWeekMtgRatesDataTable75[[#This Row],[asOf]]),DAY(OneWeekMtgRatesDataTable75[[#This Row],[asOf]]))</f>
        <v>37824</v>
      </c>
      <c r="N3123" s="51">
        <v>5.94</v>
      </c>
      <c r="O3123" s="51">
        <v>0.4</v>
      </c>
      <c r="P3123" s="51">
        <v>5.79</v>
      </c>
    </row>
    <row r="3124" spans="12:16">
      <c r="L3124" s="51" t="s">
        <v>3129</v>
      </c>
      <c r="M3124" s="25">
        <f>DATE(YEAR(OneWeekMtgRatesDataTable75[[#This Row],[asOf]]),MONTH(OneWeekMtgRatesDataTable75[[#This Row],[asOf]]),DAY(OneWeekMtgRatesDataTable75[[#This Row],[asOf]]))</f>
        <v>37823</v>
      </c>
      <c r="N3124" s="51">
        <v>5.94</v>
      </c>
      <c r="O3124" s="51">
        <v>0.4</v>
      </c>
      <c r="P3124" s="51">
        <v>5.79</v>
      </c>
    </row>
    <row r="3125" spans="12:16">
      <c r="L3125" s="51" t="s">
        <v>3130</v>
      </c>
      <c r="M3125" s="25">
        <f>DATE(YEAR(OneWeekMtgRatesDataTable75[[#This Row],[asOf]]),MONTH(OneWeekMtgRatesDataTable75[[#This Row],[asOf]]),DAY(OneWeekMtgRatesDataTable75[[#This Row],[asOf]]))</f>
        <v>37820</v>
      </c>
      <c r="N3125" s="51">
        <v>5.94</v>
      </c>
      <c r="O3125" s="51">
        <v>0.4</v>
      </c>
      <c r="P3125" s="51">
        <v>5.79</v>
      </c>
    </row>
    <row r="3126" spans="12:16">
      <c r="L3126" s="51" t="s">
        <v>3131</v>
      </c>
      <c r="M3126" s="25">
        <f>DATE(YEAR(OneWeekMtgRatesDataTable75[[#This Row],[asOf]]),MONTH(OneWeekMtgRatesDataTable75[[#This Row],[asOf]]),DAY(OneWeekMtgRatesDataTable75[[#This Row],[asOf]]))</f>
        <v>37819</v>
      </c>
      <c r="N3126" s="51">
        <v>5.67</v>
      </c>
      <c r="O3126" s="51">
        <v>0.5</v>
      </c>
      <c r="P3126" s="51">
        <v>5.5449999999999999</v>
      </c>
    </row>
    <row r="3127" spans="12:16">
      <c r="L3127" s="51" t="s">
        <v>3132</v>
      </c>
      <c r="M3127" s="25">
        <f>DATE(YEAR(OneWeekMtgRatesDataTable75[[#This Row],[asOf]]),MONTH(OneWeekMtgRatesDataTable75[[#This Row],[asOf]]),DAY(OneWeekMtgRatesDataTable75[[#This Row],[asOf]]))</f>
        <v>37818</v>
      </c>
      <c r="N3127" s="51">
        <v>5.67</v>
      </c>
      <c r="O3127" s="51">
        <v>0.5</v>
      </c>
      <c r="P3127" s="51">
        <v>5.5449999999999999</v>
      </c>
    </row>
    <row r="3128" spans="12:16">
      <c r="L3128" s="51" t="s">
        <v>3133</v>
      </c>
      <c r="M3128" s="25">
        <f>DATE(YEAR(OneWeekMtgRatesDataTable75[[#This Row],[asOf]]),MONTH(OneWeekMtgRatesDataTable75[[#This Row],[asOf]]),DAY(OneWeekMtgRatesDataTable75[[#This Row],[asOf]]))</f>
        <v>37817</v>
      </c>
      <c r="N3128" s="51">
        <v>5.67</v>
      </c>
      <c r="O3128" s="51">
        <v>0.5</v>
      </c>
      <c r="P3128" s="51">
        <v>5.5449999999999999</v>
      </c>
    </row>
    <row r="3129" spans="12:16">
      <c r="L3129" s="51" t="s">
        <v>3134</v>
      </c>
      <c r="M3129" s="25">
        <f>DATE(YEAR(OneWeekMtgRatesDataTable75[[#This Row],[asOf]]),MONTH(OneWeekMtgRatesDataTable75[[#This Row],[asOf]]),DAY(OneWeekMtgRatesDataTable75[[#This Row],[asOf]]))</f>
        <v>37816</v>
      </c>
      <c r="N3129" s="51">
        <v>5.67</v>
      </c>
      <c r="O3129" s="51">
        <v>0.5</v>
      </c>
      <c r="P3129" s="51">
        <v>5.5449999999999999</v>
      </c>
    </row>
    <row r="3130" spans="12:16">
      <c r="L3130" s="51" t="s">
        <v>3135</v>
      </c>
      <c r="M3130" s="25">
        <f>DATE(YEAR(OneWeekMtgRatesDataTable75[[#This Row],[asOf]]),MONTH(OneWeekMtgRatesDataTable75[[#This Row],[asOf]]),DAY(OneWeekMtgRatesDataTable75[[#This Row],[asOf]]))</f>
        <v>37813</v>
      </c>
      <c r="N3130" s="51">
        <v>5.67</v>
      </c>
      <c r="O3130" s="51">
        <v>0.5</v>
      </c>
      <c r="P3130" s="51">
        <v>5.5449999999999999</v>
      </c>
    </row>
    <row r="3131" spans="12:16">
      <c r="L3131" s="51" t="s">
        <v>3136</v>
      </c>
      <c r="M3131" s="25">
        <f>DATE(YEAR(OneWeekMtgRatesDataTable75[[#This Row],[asOf]]),MONTH(OneWeekMtgRatesDataTable75[[#This Row],[asOf]]),DAY(OneWeekMtgRatesDataTable75[[#This Row],[asOf]]))</f>
        <v>37812</v>
      </c>
      <c r="N3131" s="51">
        <v>5.52</v>
      </c>
      <c r="O3131" s="51">
        <v>0.6</v>
      </c>
      <c r="P3131" s="51">
        <v>5.42</v>
      </c>
    </row>
    <row r="3132" spans="12:16">
      <c r="L3132" s="51" t="s">
        <v>3137</v>
      </c>
      <c r="M3132" s="25">
        <f>DATE(YEAR(OneWeekMtgRatesDataTable75[[#This Row],[asOf]]),MONTH(OneWeekMtgRatesDataTable75[[#This Row],[asOf]]),DAY(OneWeekMtgRatesDataTable75[[#This Row],[asOf]]))</f>
        <v>37811</v>
      </c>
      <c r="N3132" s="51">
        <v>5.52</v>
      </c>
      <c r="O3132" s="51">
        <v>0.6</v>
      </c>
      <c r="P3132" s="51">
        <v>5.42</v>
      </c>
    </row>
    <row r="3133" spans="12:16">
      <c r="L3133" s="51" t="s">
        <v>3138</v>
      </c>
      <c r="M3133" s="25">
        <f>DATE(YEAR(OneWeekMtgRatesDataTable75[[#This Row],[asOf]]),MONTH(OneWeekMtgRatesDataTable75[[#This Row],[asOf]]),DAY(OneWeekMtgRatesDataTable75[[#This Row],[asOf]]))</f>
        <v>37810</v>
      </c>
      <c r="N3133" s="51">
        <v>5.52</v>
      </c>
      <c r="O3133" s="51">
        <v>0.6</v>
      </c>
      <c r="P3133" s="51">
        <v>5.42</v>
      </c>
    </row>
    <row r="3134" spans="12:16">
      <c r="L3134" s="51" t="s">
        <v>3139</v>
      </c>
      <c r="M3134" s="25">
        <f>DATE(YEAR(OneWeekMtgRatesDataTable75[[#This Row],[asOf]]),MONTH(OneWeekMtgRatesDataTable75[[#This Row],[asOf]]),DAY(OneWeekMtgRatesDataTable75[[#This Row],[asOf]]))</f>
        <v>37809</v>
      </c>
      <c r="N3134" s="51">
        <v>5.52</v>
      </c>
      <c r="O3134" s="51">
        <v>0.6</v>
      </c>
      <c r="P3134" s="51">
        <v>5.42</v>
      </c>
    </row>
    <row r="3135" spans="12:16">
      <c r="L3135" s="51" t="s">
        <v>3140</v>
      </c>
      <c r="M3135" s="25">
        <f>DATE(YEAR(OneWeekMtgRatesDataTable75[[#This Row],[asOf]]),MONTH(OneWeekMtgRatesDataTable75[[#This Row],[asOf]]),DAY(OneWeekMtgRatesDataTable75[[#This Row],[asOf]]))</f>
        <v>37806</v>
      </c>
      <c r="N3135" s="51">
        <v>5.52</v>
      </c>
      <c r="O3135" s="51">
        <v>0.6</v>
      </c>
      <c r="P3135" s="51">
        <v>5.42</v>
      </c>
    </row>
    <row r="3136" spans="12:16">
      <c r="L3136" s="51" t="s">
        <v>3141</v>
      </c>
      <c r="M3136" s="25">
        <f>DATE(YEAR(OneWeekMtgRatesDataTable75[[#This Row],[asOf]]),MONTH(OneWeekMtgRatesDataTable75[[#This Row],[asOf]]),DAY(OneWeekMtgRatesDataTable75[[#This Row],[asOf]]))</f>
        <v>37805</v>
      </c>
      <c r="N3136" s="51">
        <v>5.4</v>
      </c>
      <c r="O3136" s="51">
        <v>0.5</v>
      </c>
      <c r="P3136" s="51">
        <v>5.2750000000000004</v>
      </c>
    </row>
    <row r="3137" spans="12:16">
      <c r="L3137" s="51" t="s">
        <v>3142</v>
      </c>
      <c r="M3137" s="25">
        <f>DATE(YEAR(OneWeekMtgRatesDataTable75[[#This Row],[asOf]]),MONTH(OneWeekMtgRatesDataTable75[[#This Row],[asOf]]),DAY(OneWeekMtgRatesDataTable75[[#This Row],[asOf]]))</f>
        <v>37804</v>
      </c>
      <c r="N3137" s="51">
        <v>5.4</v>
      </c>
      <c r="O3137" s="51">
        <v>0.5</v>
      </c>
      <c r="P3137" s="51">
        <v>5.2750000000000004</v>
      </c>
    </row>
    <row r="3138" spans="12:16">
      <c r="L3138" s="51" t="s">
        <v>3143</v>
      </c>
      <c r="M3138" s="25">
        <f>DATE(YEAR(OneWeekMtgRatesDataTable75[[#This Row],[asOf]]),MONTH(OneWeekMtgRatesDataTable75[[#This Row],[asOf]]),DAY(OneWeekMtgRatesDataTable75[[#This Row],[asOf]]))</f>
        <v>37803</v>
      </c>
      <c r="N3138" s="51">
        <v>5.4</v>
      </c>
      <c r="O3138" s="51">
        <v>0.5</v>
      </c>
      <c r="P3138" s="51">
        <v>5.2750000000000004</v>
      </c>
    </row>
    <row r="3139" spans="12:16">
      <c r="L3139" s="51" t="s">
        <v>3144</v>
      </c>
      <c r="M3139" s="25">
        <f>DATE(YEAR(OneWeekMtgRatesDataTable75[[#This Row],[asOf]]),MONTH(OneWeekMtgRatesDataTable75[[#This Row],[asOf]]),DAY(OneWeekMtgRatesDataTable75[[#This Row],[asOf]]))</f>
        <v>37802</v>
      </c>
      <c r="N3139" s="51">
        <v>5.4</v>
      </c>
      <c r="O3139" s="51">
        <v>0.5</v>
      </c>
      <c r="P3139" s="51">
        <v>5.2750000000000004</v>
      </c>
    </row>
    <row r="3140" spans="12:16">
      <c r="L3140" s="51" t="s">
        <v>3145</v>
      </c>
      <c r="M3140" s="25">
        <f>DATE(YEAR(OneWeekMtgRatesDataTable75[[#This Row],[asOf]]),MONTH(OneWeekMtgRatesDataTable75[[#This Row],[asOf]]),DAY(OneWeekMtgRatesDataTable75[[#This Row],[asOf]]))</f>
        <v>37799</v>
      </c>
      <c r="N3140" s="51">
        <v>5.4</v>
      </c>
      <c r="O3140" s="51">
        <v>0.5</v>
      </c>
      <c r="P3140" s="51">
        <v>5.2750000000000004</v>
      </c>
    </row>
    <row r="3141" spans="12:16">
      <c r="L3141" s="51" t="s">
        <v>3146</v>
      </c>
      <c r="M3141" s="25">
        <f>DATE(YEAR(OneWeekMtgRatesDataTable75[[#This Row],[asOf]]),MONTH(OneWeekMtgRatesDataTable75[[#This Row],[asOf]]),DAY(OneWeekMtgRatesDataTable75[[#This Row],[asOf]]))</f>
        <v>37798</v>
      </c>
      <c r="N3141" s="51">
        <v>5.24</v>
      </c>
      <c r="O3141" s="51">
        <v>0.6</v>
      </c>
      <c r="P3141" s="51">
        <v>5.1400000000000006</v>
      </c>
    </row>
    <row r="3142" spans="12:16">
      <c r="L3142" s="51" t="s">
        <v>3147</v>
      </c>
      <c r="M3142" s="25">
        <f>DATE(YEAR(OneWeekMtgRatesDataTable75[[#This Row],[asOf]]),MONTH(OneWeekMtgRatesDataTable75[[#This Row],[asOf]]),DAY(OneWeekMtgRatesDataTable75[[#This Row],[asOf]]))</f>
        <v>37797</v>
      </c>
      <c r="N3142" s="51">
        <v>5.24</v>
      </c>
      <c r="O3142" s="51">
        <v>0.6</v>
      </c>
      <c r="P3142" s="51">
        <v>5.1400000000000006</v>
      </c>
    </row>
    <row r="3143" spans="12:16">
      <c r="L3143" s="51" t="s">
        <v>3148</v>
      </c>
      <c r="M3143" s="25">
        <f>DATE(YEAR(OneWeekMtgRatesDataTable75[[#This Row],[asOf]]),MONTH(OneWeekMtgRatesDataTable75[[#This Row],[asOf]]),DAY(OneWeekMtgRatesDataTable75[[#This Row],[asOf]]))</f>
        <v>37796</v>
      </c>
      <c r="N3143" s="51">
        <v>5.24</v>
      </c>
      <c r="O3143" s="51">
        <v>0.6</v>
      </c>
      <c r="P3143" s="51">
        <v>5.1400000000000006</v>
      </c>
    </row>
    <row r="3144" spans="12:16">
      <c r="L3144" s="51" t="s">
        <v>3149</v>
      </c>
      <c r="M3144" s="25">
        <f>DATE(YEAR(OneWeekMtgRatesDataTable75[[#This Row],[asOf]]),MONTH(OneWeekMtgRatesDataTable75[[#This Row],[asOf]]),DAY(OneWeekMtgRatesDataTable75[[#This Row],[asOf]]))</f>
        <v>37795</v>
      </c>
      <c r="N3144" s="51">
        <v>5.24</v>
      </c>
      <c r="O3144" s="51">
        <v>0.6</v>
      </c>
      <c r="P3144" s="51">
        <v>5.1400000000000006</v>
      </c>
    </row>
    <row r="3145" spans="12:16">
      <c r="L3145" s="51" t="s">
        <v>3150</v>
      </c>
      <c r="M3145" s="25">
        <f>DATE(YEAR(OneWeekMtgRatesDataTable75[[#This Row],[asOf]]),MONTH(OneWeekMtgRatesDataTable75[[#This Row],[asOf]]),DAY(OneWeekMtgRatesDataTable75[[#This Row],[asOf]]))</f>
        <v>37792</v>
      </c>
      <c r="N3145" s="51">
        <v>5.24</v>
      </c>
      <c r="O3145" s="51">
        <v>0.6</v>
      </c>
      <c r="P3145" s="51">
        <v>5.1400000000000006</v>
      </c>
    </row>
    <row r="3146" spans="12:16">
      <c r="L3146" s="51" t="s">
        <v>3151</v>
      </c>
      <c r="M3146" s="25">
        <f>DATE(YEAR(OneWeekMtgRatesDataTable75[[#This Row],[asOf]]),MONTH(OneWeekMtgRatesDataTable75[[#This Row],[asOf]]),DAY(OneWeekMtgRatesDataTable75[[#This Row],[asOf]]))</f>
        <v>37791</v>
      </c>
      <c r="N3146" s="51">
        <v>5.21</v>
      </c>
      <c r="O3146" s="51">
        <v>0.6</v>
      </c>
      <c r="P3146" s="51">
        <v>5.1100000000000003</v>
      </c>
    </row>
    <row r="3147" spans="12:16">
      <c r="L3147" s="51" t="s">
        <v>3152</v>
      </c>
      <c r="M3147" s="25">
        <f>DATE(YEAR(OneWeekMtgRatesDataTable75[[#This Row],[asOf]]),MONTH(OneWeekMtgRatesDataTable75[[#This Row],[asOf]]),DAY(OneWeekMtgRatesDataTable75[[#This Row],[asOf]]))</f>
        <v>37790</v>
      </c>
      <c r="N3147" s="51">
        <v>5.21</v>
      </c>
      <c r="O3147" s="51">
        <v>0.6</v>
      </c>
      <c r="P3147" s="51">
        <v>5.1100000000000003</v>
      </c>
    </row>
    <row r="3148" spans="12:16">
      <c r="L3148" s="51" t="s">
        <v>3153</v>
      </c>
      <c r="M3148" s="25">
        <f>DATE(YEAR(OneWeekMtgRatesDataTable75[[#This Row],[asOf]]),MONTH(OneWeekMtgRatesDataTable75[[#This Row],[asOf]]),DAY(OneWeekMtgRatesDataTable75[[#This Row],[asOf]]))</f>
        <v>37789</v>
      </c>
      <c r="N3148" s="51">
        <v>5.21</v>
      </c>
      <c r="O3148" s="51">
        <v>0.6</v>
      </c>
      <c r="P3148" s="51">
        <v>5.1100000000000003</v>
      </c>
    </row>
    <row r="3149" spans="12:16">
      <c r="L3149" s="51" t="s">
        <v>3154</v>
      </c>
      <c r="M3149" s="25">
        <f>DATE(YEAR(OneWeekMtgRatesDataTable75[[#This Row],[asOf]]),MONTH(OneWeekMtgRatesDataTable75[[#This Row],[asOf]]),DAY(OneWeekMtgRatesDataTable75[[#This Row],[asOf]]))</f>
        <v>37788</v>
      </c>
      <c r="N3149" s="51">
        <v>5.21</v>
      </c>
      <c r="O3149" s="51">
        <v>0.6</v>
      </c>
      <c r="P3149" s="51">
        <v>5.1100000000000003</v>
      </c>
    </row>
    <row r="3150" spans="12:16">
      <c r="L3150" s="51" t="s">
        <v>3155</v>
      </c>
      <c r="M3150" s="25">
        <f>DATE(YEAR(OneWeekMtgRatesDataTable75[[#This Row],[asOf]]),MONTH(OneWeekMtgRatesDataTable75[[#This Row],[asOf]]),DAY(OneWeekMtgRatesDataTable75[[#This Row],[asOf]]))</f>
        <v>37785</v>
      </c>
      <c r="N3150" s="51">
        <v>5.21</v>
      </c>
      <c r="O3150" s="51">
        <v>0.6</v>
      </c>
      <c r="P3150" s="51">
        <v>5.1100000000000003</v>
      </c>
    </row>
    <row r="3151" spans="12:16">
      <c r="L3151" s="51" t="s">
        <v>3156</v>
      </c>
      <c r="M3151" s="25">
        <f>DATE(YEAR(OneWeekMtgRatesDataTable75[[#This Row],[asOf]]),MONTH(OneWeekMtgRatesDataTable75[[#This Row],[asOf]]),DAY(OneWeekMtgRatesDataTable75[[#This Row],[asOf]]))</f>
        <v>37784</v>
      </c>
      <c r="N3151" s="51">
        <v>5.21</v>
      </c>
      <c r="O3151" s="51">
        <v>0.5</v>
      </c>
      <c r="P3151" s="51">
        <v>5.085</v>
      </c>
    </row>
    <row r="3152" spans="12:16">
      <c r="L3152" s="51" t="s">
        <v>3157</v>
      </c>
      <c r="M3152" s="25">
        <f>DATE(YEAR(OneWeekMtgRatesDataTable75[[#This Row],[asOf]]),MONTH(OneWeekMtgRatesDataTable75[[#This Row],[asOf]]),DAY(OneWeekMtgRatesDataTable75[[#This Row],[asOf]]))</f>
        <v>37783</v>
      </c>
      <c r="N3152" s="51">
        <v>5.21</v>
      </c>
      <c r="O3152" s="51">
        <v>0.5</v>
      </c>
      <c r="P3152" s="51">
        <v>5.085</v>
      </c>
    </row>
    <row r="3153" spans="12:16">
      <c r="L3153" s="51" t="s">
        <v>3158</v>
      </c>
      <c r="M3153" s="25">
        <f>DATE(YEAR(OneWeekMtgRatesDataTable75[[#This Row],[asOf]]),MONTH(OneWeekMtgRatesDataTable75[[#This Row],[asOf]]),DAY(OneWeekMtgRatesDataTable75[[#This Row],[asOf]]))</f>
        <v>37782</v>
      </c>
      <c r="N3153" s="51">
        <v>5.21</v>
      </c>
      <c r="O3153" s="51">
        <v>0.5</v>
      </c>
      <c r="P3153" s="51">
        <v>5.085</v>
      </c>
    </row>
    <row r="3154" spans="12:16">
      <c r="L3154" s="51" t="s">
        <v>3159</v>
      </c>
      <c r="M3154" s="25">
        <f>DATE(YEAR(OneWeekMtgRatesDataTable75[[#This Row],[asOf]]),MONTH(OneWeekMtgRatesDataTable75[[#This Row],[asOf]]),DAY(OneWeekMtgRatesDataTable75[[#This Row],[asOf]]))</f>
        <v>37781</v>
      </c>
      <c r="N3154" s="51">
        <v>5.21</v>
      </c>
      <c r="O3154" s="51">
        <v>0.5</v>
      </c>
      <c r="P3154" s="51">
        <v>5.085</v>
      </c>
    </row>
    <row r="3155" spans="12:16">
      <c r="L3155" s="51" t="s">
        <v>3160</v>
      </c>
      <c r="M3155" s="25">
        <f>DATE(YEAR(OneWeekMtgRatesDataTable75[[#This Row],[asOf]]),MONTH(OneWeekMtgRatesDataTable75[[#This Row],[asOf]]),DAY(OneWeekMtgRatesDataTable75[[#This Row],[asOf]]))</f>
        <v>37778</v>
      </c>
      <c r="N3155" s="51">
        <v>5.21</v>
      </c>
      <c r="O3155" s="51">
        <v>0.5</v>
      </c>
      <c r="P3155" s="51">
        <v>5.085</v>
      </c>
    </row>
    <row r="3156" spans="12:16">
      <c r="L3156" s="51" t="s">
        <v>3161</v>
      </c>
      <c r="M3156" s="25">
        <f>DATE(YEAR(OneWeekMtgRatesDataTable75[[#This Row],[asOf]]),MONTH(OneWeekMtgRatesDataTable75[[#This Row],[asOf]]),DAY(OneWeekMtgRatesDataTable75[[#This Row],[asOf]]))</f>
        <v>37777</v>
      </c>
      <c r="N3156" s="51">
        <v>5.26</v>
      </c>
      <c r="O3156" s="51">
        <v>0.5</v>
      </c>
      <c r="P3156" s="51">
        <v>5.1349999999999998</v>
      </c>
    </row>
    <row r="3157" spans="12:16">
      <c r="L3157" s="51" t="s">
        <v>3162</v>
      </c>
      <c r="M3157" s="25">
        <f>DATE(YEAR(OneWeekMtgRatesDataTable75[[#This Row],[asOf]]),MONTH(OneWeekMtgRatesDataTable75[[#This Row],[asOf]]),DAY(OneWeekMtgRatesDataTable75[[#This Row],[asOf]]))</f>
        <v>37776</v>
      </c>
      <c r="N3157" s="51">
        <v>5.26</v>
      </c>
      <c r="O3157" s="51">
        <v>0.5</v>
      </c>
      <c r="P3157" s="51">
        <v>5.1349999999999998</v>
      </c>
    </row>
    <row r="3158" spans="12:16">
      <c r="L3158" s="51" t="s">
        <v>3163</v>
      </c>
      <c r="M3158" s="25">
        <f>DATE(YEAR(OneWeekMtgRatesDataTable75[[#This Row],[asOf]]),MONTH(OneWeekMtgRatesDataTable75[[#This Row],[asOf]]),DAY(OneWeekMtgRatesDataTable75[[#This Row],[asOf]]))</f>
        <v>37775</v>
      </c>
      <c r="N3158" s="51">
        <v>5.26</v>
      </c>
      <c r="O3158" s="51">
        <v>0.5</v>
      </c>
      <c r="P3158" s="51">
        <v>5.1349999999999998</v>
      </c>
    </row>
    <row r="3159" spans="12:16">
      <c r="L3159" s="51" t="s">
        <v>3164</v>
      </c>
      <c r="M3159" s="25">
        <f>DATE(YEAR(OneWeekMtgRatesDataTable75[[#This Row],[asOf]]),MONTH(OneWeekMtgRatesDataTable75[[#This Row],[asOf]]),DAY(OneWeekMtgRatesDataTable75[[#This Row],[asOf]]))</f>
        <v>37774</v>
      </c>
      <c r="N3159" s="51">
        <v>5.26</v>
      </c>
      <c r="O3159" s="51">
        <v>0.5</v>
      </c>
      <c r="P3159" s="51">
        <v>5.1349999999999998</v>
      </c>
    </row>
    <row r="3160" spans="12:16">
      <c r="L3160" s="51" t="s">
        <v>3165</v>
      </c>
      <c r="M3160" s="25">
        <f>DATE(YEAR(OneWeekMtgRatesDataTable75[[#This Row],[asOf]]),MONTH(OneWeekMtgRatesDataTable75[[#This Row],[asOf]]),DAY(OneWeekMtgRatesDataTable75[[#This Row],[asOf]]))</f>
        <v>37771</v>
      </c>
      <c r="N3160" s="51">
        <v>5.26</v>
      </c>
      <c r="O3160" s="51">
        <v>0.5</v>
      </c>
      <c r="P3160" s="51">
        <v>5.1349999999999998</v>
      </c>
    </row>
    <row r="3161" spans="12:16">
      <c r="L3161" s="51" t="s">
        <v>3166</v>
      </c>
      <c r="M3161" s="25">
        <f>DATE(YEAR(OneWeekMtgRatesDataTable75[[#This Row],[asOf]]),MONTH(OneWeekMtgRatesDataTable75[[#This Row],[asOf]]),DAY(OneWeekMtgRatesDataTable75[[#This Row],[asOf]]))</f>
        <v>37770</v>
      </c>
      <c r="N3161" s="51">
        <v>5.31</v>
      </c>
      <c r="O3161" s="51">
        <v>0.6</v>
      </c>
      <c r="P3161" s="51">
        <v>5.21</v>
      </c>
    </row>
    <row r="3162" spans="12:16">
      <c r="L3162" s="51" t="s">
        <v>3167</v>
      </c>
      <c r="M3162" s="25">
        <f>DATE(YEAR(OneWeekMtgRatesDataTable75[[#This Row],[asOf]]),MONTH(OneWeekMtgRatesDataTable75[[#This Row],[asOf]]),DAY(OneWeekMtgRatesDataTable75[[#This Row],[asOf]]))</f>
        <v>37769</v>
      </c>
      <c r="N3162" s="51">
        <v>5.31</v>
      </c>
      <c r="O3162" s="51">
        <v>0.6</v>
      </c>
      <c r="P3162" s="51">
        <v>5.21</v>
      </c>
    </row>
    <row r="3163" spans="12:16">
      <c r="L3163" s="51" t="s">
        <v>3168</v>
      </c>
      <c r="M3163" s="25">
        <f>DATE(YEAR(OneWeekMtgRatesDataTable75[[#This Row],[asOf]]),MONTH(OneWeekMtgRatesDataTable75[[#This Row],[asOf]]),DAY(OneWeekMtgRatesDataTable75[[#This Row],[asOf]]))</f>
        <v>37768</v>
      </c>
      <c r="N3163" s="51">
        <v>5.31</v>
      </c>
      <c r="O3163" s="51">
        <v>0.6</v>
      </c>
      <c r="P3163" s="51">
        <v>5.21</v>
      </c>
    </row>
    <row r="3164" spans="12:16">
      <c r="L3164" s="51" t="s">
        <v>3169</v>
      </c>
      <c r="M3164" s="25">
        <f>DATE(YEAR(OneWeekMtgRatesDataTable75[[#This Row],[asOf]]),MONTH(OneWeekMtgRatesDataTable75[[#This Row],[asOf]]),DAY(OneWeekMtgRatesDataTable75[[#This Row],[asOf]]))</f>
        <v>37767</v>
      </c>
      <c r="N3164" s="51">
        <v>5.31</v>
      </c>
      <c r="O3164" s="51">
        <v>0.6</v>
      </c>
      <c r="P3164" s="51">
        <v>5.21</v>
      </c>
    </row>
    <row r="3165" spans="12:16">
      <c r="L3165" s="51" t="s">
        <v>3170</v>
      </c>
      <c r="M3165" s="25">
        <f>DATE(YEAR(OneWeekMtgRatesDataTable75[[#This Row],[asOf]]),MONTH(OneWeekMtgRatesDataTable75[[#This Row],[asOf]]),DAY(OneWeekMtgRatesDataTable75[[#This Row],[asOf]]))</f>
        <v>37764</v>
      </c>
      <c r="N3165" s="51">
        <v>5.31</v>
      </c>
      <c r="O3165" s="51">
        <v>0.6</v>
      </c>
      <c r="P3165" s="51">
        <v>5.21</v>
      </c>
    </row>
    <row r="3166" spans="12:16">
      <c r="L3166" s="51" t="s">
        <v>3171</v>
      </c>
      <c r="M3166" s="25">
        <f>DATE(YEAR(OneWeekMtgRatesDataTable75[[#This Row],[asOf]]),MONTH(OneWeekMtgRatesDataTable75[[#This Row],[asOf]]),DAY(OneWeekMtgRatesDataTable75[[#This Row],[asOf]]))</f>
        <v>37763</v>
      </c>
      <c r="N3166" s="51">
        <v>5.34</v>
      </c>
      <c r="O3166" s="51">
        <v>0.7</v>
      </c>
      <c r="P3166" s="51">
        <v>5.2649999999999997</v>
      </c>
    </row>
    <row r="3167" spans="12:16">
      <c r="L3167" s="51" t="s">
        <v>3172</v>
      </c>
      <c r="M3167" s="25">
        <f>DATE(YEAR(OneWeekMtgRatesDataTable75[[#This Row],[asOf]]),MONTH(OneWeekMtgRatesDataTable75[[#This Row],[asOf]]),DAY(OneWeekMtgRatesDataTable75[[#This Row],[asOf]]))</f>
        <v>37762</v>
      </c>
      <c r="N3167" s="51">
        <v>5.34</v>
      </c>
      <c r="O3167" s="51">
        <v>0.7</v>
      </c>
      <c r="P3167" s="51">
        <v>5.2649999999999997</v>
      </c>
    </row>
    <row r="3168" spans="12:16">
      <c r="L3168" s="51" t="s">
        <v>3173</v>
      </c>
      <c r="M3168" s="25">
        <f>DATE(YEAR(OneWeekMtgRatesDataTable75[[#This Row],[asOf]]),MONTH(OneWeekMtgRatesDataTable75[[#This Row],[asOf]]),DAY(OneWeekMtgRatesDataTable75[[#This Row],[asOf]]))</f>
        <v>37761</v>
      </c>
      <c r="N3168" s="51">
        <v>5.34</v>
      </c>
      <c r="O3168" s="51">
        <v>0.7</v>
      </c>
      <c r="P3168" s="51">
        <v>5.2649999999999997</v>
      </c>
    </row>
    <row r="3169" spans="12:16">
      <c r="L3169" s="51" t="s">
        <v>3174</v>
      </c>
      <c r="M3169" s="25">
        <f>DATE(YEAR(OneWeekMtgRatesDataTable75[[#This Row],[asOf]]),MONTH(OneWeekMtgRatesDataTable75[[#This Row],[asOf]]),DAY(OneWeekMtgRatesDataTable75[[#This Row],[asOf]]))</f>
        <v>37760</v>
      </c>
      <c r="N3169" s="51">
        <v>5.34</v>
      </c>
      <c r="O3169" s="51">
        <v>0.7</v>
      </c>
      <c r="P3169" s="51">
        <v>5.2649999999999997</v>
      </c>
    </row>
    <row r="3170" spans="12:16">
      <c r="L3170" s="51" t="s">
        <v>3175</v>
      </c>
      <c r="M3170" s="25">
        <f>DATE(YEAR(OneWeekMtgRatesDataTable75[[#This Row],[asOf]]),MONTH(OneWeekMtgRatesDataTable75[[#This Row],[asOf]]),DAY(OneWeekMtgRatesDataTable75[[#This Row],[asOf]]))</f>
        <v>37757</v>
      </c>
      <c r="N3170" s="51">
        <v>5.34</v>
      </c>
      <c r="O3170" s="51">
        <v>0.7</v>
      </c>
      <c r="P3170" s="51">
        <v>5.2649999999999997</v>
      </c>
    </row>
    <row r="3171" spans="12:16">
      <c r="L3171" s="51" t="s">
        <v>3176</v>
      </c>
      <c r="M3171" s="25">
        <f>DATE(YEAR(OneWeekMtgRatesDataTable75[[#This Row],[asOf]]),MONTH(OneWeekMtgRatesDataTable75[[#This Row],[asOf]]),DAY(OneWeekMtgRatesDataTable75[[#This Row],[asOf]]))</f>
        <v>37756</v>
      </c>
      <c r="N3171" s="51">
        <v>5.45</v>
      </c>
      <c r="O3171" s="51">
        <v>0.6</v>
      </c>
      <c r="P3171" s="51">
        <v>5.3500000000000005</v>
      </c>
    </row>
    <row r="3172" spans="12:16">
      <c r="L3172" s="51" t="s">
        <v>3177</v>
      </c>
      <c r="M3172" s="25">
        <f>DATE(YEAR(OneWeekMtgRatesDataTable75[[#This Row],[asOf]]),MONTH(OneWeekMtgRatesDataTable75[[#This Row],[asOf]]),DAY(OneWeekMtgRatesDataTable75[[#This Row],[asOf]]))</f>
        <v>37755</v>
      </c>
      <c r="N3172" s="51">
        <v>5.45</v>
      </c>
      <c r="O3172" s="51">
        <v>0.6</v>
      </c>
      <c r="P3172" s="51">
        <v>5.3500000000000005</v>
      </c>
    </row>
    <row r="3173" spans="12:16">
      <c r="L3173" s="51" t="s">
        <v>3178</v>
      </c>
      <c r="M3173" s="25">
        <f>DATE(YEAR(OneWeekMtgRatesDataTable75[[#This Row],[asOf]]),MONTH(OneWeekMtgRatesDataTable75[[#This Row],[asOf]]),DAY(OneWeekMtgRatesDataTable75[[#This Row],[asOf]]))</f>
        <v>37754</v>
      </c>
      <c r="N3173" s="51">
        <v>5.45</v>
      </c>
      <c r="O3173" s="51">
        <v>0.6</v>
      </c>
      <c r="P3173" s="51">
        <v>5.3500000000000005</v>
      </c>
    </row>
    <row r="3174" spans="12:16">
      <c r="L3174" s="51" t="s">
        <v>3179</v>
      </c>
      <c r="M3174" s="25">
        <f>DATE(YEAR(OneWeekMtgRatesDataTable75[[#This Row],[asOf]]),MONTH(OneWeekMtgRatesDataTable75[[#This Row],[asOf]]),DAY(OneWeekMtgRatesDataTable75[[#This Row],[asOf]]))</f>
        <v>37753</v>
      </c>
      <c r="N3174" s="51">
        <v>5.45</v>
      </c>
      <c r="O3174" s="51">
        <v>0.6</v>
      </c>
      <c r="P3174" s="51">
        <v>5.3500000000000005</v>
      </c>
    </row>
    <row r="3175" spans="12:16">
      <c r="L3175" s="51" t="s">
        <v>3180</v>
      </c>
      <c r="M3175" s="25">
        <f>DATE(YEAR(OneWeekMtgRatesDataTable75[[#This Row],[asOf]]),MONTH(OneWeekMtgRatesDataTable75[[#This Row],[asOf]]),DAY(OneWeekMtgRatesDataTable75[[#This Row],[asOf]]))</f>
        <v>37750</v>
      </c>
      <c r="N3175" s="51">
        <v>5.45</v>
      </c>
      <c r="O3175" s="51">
        <v>0.6</v>
      </c>
      <c r="P3175" s="51">
        <v>5.3500000000000005</v>
      </c>
    </row>
    <row r="3176" spans="12:16">
      <c r="L3176" s="51" t="s">
        <v>3181</v>
      </c>
      <c r="M3176" s="25">
        <f>DATE(YEAR(OneWeekMtgRatesDataTable75[[#This Row],[asOf]]),MONTH(OneWeekMtgRatesDataTable75[[#This Row],[asOf]]),DAY(OneWeekMtgRatesDataTable75[[#This Row],[asOf]]))</f>
        <v>37749</v>
      </c>
      <c r="N3176" s="51">
        <v>5.62</v>
      </c>
      <c r="O3176" s="51">
        <v>0.7</v>
      </c>
      <c r="P3176" s="51">
        <v>5.5449999999999999</v>
      </c>
    </row>
    <row r="3177" spans="12:16">
      <c r="L3177" s="51" t="s">
        <v>3182</v>
      </c>
      <c r="M3177" s="25">
        <f>DATE(YEAR(OneWeekMtgRatesDataTable75[[#This Row],[asOf]]),MONTH(OneWeekMtgRatesDataTable75[[#This Row],[asOf]]),DAY(OneWeekMtgRatesDataTable75[[#This Row],[asOf]]))</f>
        <v>37748</v>
      </c>
      <c r="N3177" s="51">
        <v>5.62</v>
      </c>
      <c r="O3177" s="51">
        <v>0.7</v>
      </c>
      <c r="P3177" s="51">
        <v>5.5449999999999999</v>
      </c>
    </row>
    <row r="3178" spans="12:16">
      <c r="L3178" s="51" t="s">
        <v>3183</v>
      </c>
      <c r="M3178" s="25">
        <f>DATE(YEAR(OneWeekMtgRatesDataTable75[[#This Row],[asOf]]),MONTH(OneWeekMtgRatesDataTable75[[#This Row],[asOf]]),DAY(OneWeekMtgRatesDataTable75[[#This Row],[asOf]]))</f>
        <v>37747</v>
      </c>
      <c r="N3178" s="51">
        <v>5.62</v>
      </c>
      <c r="O3178" s="51">
        <v>0.7</v>
      </c>
      <c r="P3178" s="51">
        <v>5.5449999999999999</v>
      </c>
    </row>
    <row r="3179" spans="12:16">
      <c r="L3179" s="51" t="s">
        <v>3184</v>
      </c>
      <c r="M3179" s="25">
        <f>DATE(YEAR(OneWeekMtgRatesDataTable75[[#This Row],[asOf]]),MONTH(OneWeekMtgRatesDataTable75[[#This Row],[asOf]]),DAY(OneWeekMtgRatesDataTable75[[#This Row],[asOf]]))</f>
        <v>37746</v>
      </c>
      <c r="N3179" s="51">
        <v>5.62</v>
      </c>
      <c r="O3179" s="51">
        <v>0.7</v>
      </c>
      <c r="P3179" s="51">
        <v>5.5449999999999999</v>
      </c>
    </row>
    <row r="3180" spans="12:16">
      <c r="L3180" s="51" t="s">
        <v>3185</v>
      </c>
      <c r="M3180" s="25">
        <f>DATE(YEAR(OneWeekMtgRatesDataTable75[[#This Row],[asOf]]),MONTH(OneWeekMtgRatesDataTable75[[#This Row],[asOf]]),DAY(OneWeekMtgRatesDataTable75[[#This Row],[asOf]]))</f>
        <v>37743</v>
      </c>
      <c r="N3180" s="51">
        <v>5.62</v>
      </c>
      <c r="O3180" s="51">
        <v>0.7</v>
      </c>
      <c r="P3180" s="51">
        <v>5.5449999999999999</v>
      </c>
    </row>
    <row r="3181" spans="12:16">
      <c r="L3181" s="51" t="s">
        <v>3186</v>
      </c>
      <c r="M3181" s="25">
        <f>DATE(YEAR(OneWeekMtgRatesDataTable75[[#This Row],[asOf]]),MONTH(OneWeekMtgRatesDataTable75[[#This Row],[asOf]]),DAY(OneWeekMtgRatesDataTable75[[#This Row],[asOf]]))</f>
        <v>37742</v>
      </c>
      <c r="N3181" s="51">
        <v>5.7</v>
      </c>
      <c r="O3181" s="51">
        <v>0.6</v>
      </c>
      <c r="P3181" s="51">
        <v>5.6000000000000005</v>
      </c>
    </row>
    <row r="3182" spans="12:16">
      <c r="L3182" s="51" t="s">
        <v>3187</v>
      </c>
      <c r="M3182" s="25">
        <f>DATE(YEAR(OneWeekMtgRatesDataTable75[[#This Row],[asOf]]),MONTH(OneWeekMtgRatesDataTable75[[#This Row],[asOf]]),DAY(OneWeekMtgRatesDataTable75[[#This Row],[asOf]]))</f>
        <v>37741</v>
      </c>
      <c r="N3182" s="51">
        <v>5.7</v>
      </c>
      <c r="O3182" s="51">
        <v>0.6</v>
      </c>
      <c r="P3182" s="51">
        <v>5.6000000000000005</v>
      </c>
    </row>
    <row r="3183" spans="12:16">
      <c r="L3183" s="51" t="s">
        <v>3188</v>
      </c>
      <c r="M3183" s="25">
        <f>DATE(YEAR(OneWeekMtgRatesDataTable75[[#This Row],[asOf]]),MONTH(OneWeekMtgRatesDataTable75[[#This Row],[asOf]]),DAY(OneWeekMtgRatesDataTable75[[#This Row],[asOf]]))</f>
        <v>37740</v>
      </c>
      <c r="N3183" s="51">
        <v>5.7</v>
      </c>
      <c r="O3183" s="51">
        <v>0.6</v>
      </c>
      <c r="P3183" s="51">
        <v>5.6000000000000005</v>
      </c>
    </row>
    <row r="3184" spans="12:16">
      <c r="L3184" s="51" t="s">
        <v>3189</v>
      </c>
      <c r="M3184" s="25">
        <f>DATE(YEAR(OneWeekMtgRatesDataTable75[[#This Row],[asOf]]),MONTH(OneWeekMtgRatesDataTable75[[#This Row],[asOf]]),DAY(OneWeekMtgRatesDataTable75[[#This Row],[asOf]]))</f>
        <v>37739</v>
      </c>
      <c r="N3184" s="51">
        <v>5.7</v>
      </c>
      <c r="O3184" s="51">
        <v>0.6</v>
      </c>
      <c r="P3184" s="51">
        <v>5.6000000000000005</v>
      </c>
    </row>
    <row r="3185" spans="12:16">
      <c r="L3185" s="51" t="s">
        <v>3190</v>
      </c>
      <c r="M3185" s="25">
        <f>DATE(YEAR(OneWeekMtgRatesDataTable75[[#This Row],[asOf]]),MONTH(OneWeekMtgRatesDataTable75[[#This Row],[asOf]]),DAY(OneWeekMtgRatesDataTable75[[#This Row],[asOf]]))</f>
        <v>37736</v>
      </c>
      <c r="N3185" s="51">
        <v>5.7</v>
      </c>
      <c r="O3185" s="51">
        <v>0.6</v>
      </c>
      <c r="P3185" s="51">
        <v>5.6000000000000005</v>
      </c>
    </row>
    <row r="3186" spans="12:16">
      <c r="L3186" s="51" t="s">
        <v>3191</v>
      </c>
      <c r="M3186" s="25">
        <f>DATE(YEAR(OneWeekMtgRatesDataTable75[[#This Row],[asOf]]),MONTH(OneWeekMtgRatesDataTable75[[#This Row],[asOf]]),DAY(OneWeekMtgRatesDataTable75[[#This Row],[asOf]]))</f>
        <v>37735</v>
      </c>
      <c r="N3186" s="51">
        <v>5.79</v>
      </c>
      <c r="O3186" s="51">
        <v>0.6</v>
      </c>
      <c r="P3186" s="51">
        <v>5.69</v>
      </c>
    </row>
    <row r="3187" spans="12:16">
      <c r="L3187" s="51" t="s">
        <v>3192</v>
      </c>
      <c r="M3187" s="25">
        <f>DATE(YEAR(OneWeekMtgRatesDataTable75[[#This Row],[asOf]]),MONTH(OneWeekMtgRatesDataTable75[[#This Row],[asOf]]),DAY(OneWeekMtgRatesDataTable75[[#This Row],[asOf]]))</f>
        <v>37734</v>
      </c>
      <c r="N3187" s="51">
        <v>5.79</v>
      </c>
      <c r="O3187" s="51">
        <v>0.6</v>
      </c>
      <c r="P3187" s="51">
        <v>5.69</v>
      </c>
    </row>
    <row r="3188" spans="12:16">
      <c r="L3188" s="51" t="s">
        <v>3193</v>
      </c>
      <c r="M3188" s="25">
        <f>DATE(YEAR(OneWeekMtgRatesDataTable75[[#This Row],[asOf]]),MONTH(OneWeekMtgRatesDataTable75[[#This Row],[asOf]]),DAY(OneWeekMtgRatesDataTable75[[#This Row],[asOf]]))</f>
        <v>37733</v>
      </c>
      <c r="N3188" s="51">
        <v>5.79</v>
      </c>
      <c r="O3188" s="51">
        <v>0.6</v>
      </c>
      <c r="P3188" s="51">
        <v>5.69</v>
      </c>
    </row>
    <row r="3189" spans="12:16">
      <c r="L3189" s="51" t="s">
        <v>3194</v>
      </c>
      <c r="M3189" s="25">
        <f>DATE(YEAR(OneWeekMtgRatesDataTable75[[#This Row],[asOf]]),MONTH(OneWeekMtgRatesDataTable75[[#This Row],[asOf]]),DAY(OneWeekMtgRatesDataTable75[[#This Row],[asOf]]))</f>
        <v>37732</v>
      </c>
      <c r="N3189" s="51">
        <v>5.79</v>
      </c>
      <c r="O3189" s="51">
        <v>0.6</v>
      </c>
      <c r="P3189" s="51">
        <v>5.69</v>
      </c>
    </row>
    <row r="3190" spans="12:16">
      <c r="L3190" s="51" t="s">
        <v>3195</v>
      </c>
      <c r="M3190" s="25">
        <f>DATE(YEAR(OneWeekMtgRatesDataTable75[[#This Row],[asOf]]),MONTH(OneWeekMtgRatesDataTable75[[#This Row],[asOf]]),DAY(OneWeekMtgRatesDataTable75[[#This Row],[asOf]]))</f>
        <v>37729</v>
      </c>
      <c r="N3190" s="51">
        <v>5.79</v>
      </c>
      <c r="O3190" s="51">
        <v>0.6</v>
      </c>
      <c r="P3190" s="51">
        <v>5.69</v>
      </c>
    </row>
    <row r="3191" spans="12:16">
      <c r="L3191" s="51" t="s">
        <v>3196</v>
      </c>
      <c r="M3191" s="25">
        <f>DATE(YEAR(OneWeekMtgRatesDataTable75[[#This Row],[asOf]]),MONTH(OneWeekMtgRatesDataTable75[[#This Row],[asOf]]),DAY(OneWeekMtgRatesDataTable75[[#This Row],[asOf]]))</f>
        <v>37728</v>
      </c>
      <c r="N3191" s="51">
        <v>5.82</v>
      </c>
      <c r="O3191" s="51">
        <v>0.6</v>
      </c>
      <c r="P3191" s="51">
        <v>5.7200000000000006</v>
      </c>
    </row>
    <row r="3192" spans="12:16">
      <c r="L3192" s="51" t="s">
        <v>3197</v>
      </c>
      <c r="M3192" s="25">
        <f>DATE(YEAR(OneWeekMtgRatesDataTable75[[#This Row],[asOf]]),MONTH(OneWeekMtgRatesDataTable75[[#This Row],[asOf]]),DAY(OneWeekMtgRatesDataTable75[[#This Row],[asOf]]))</f>
        <v>37727</v>
      </c>
      <c r="N3192" s="51">
        <v>5.82</v>
      </c>
      <c r="O3192" s="51">
        <v>0.6</v>
      </c>
      <c r="P3192" s="51">
        <v>5.7200000000000006</v>
      </c>
    </row>
    <row r="3193" spans="12:16">
      <c r="L3193" s="51" t="s">
        <v>3198</v>
      </c>
      <c r="M3193" s="25">
        <f>DATE(YEAR(OneWeekMtgRatesDataTable75[[#This Row],[asOf]]),MONTH(OneWeekMtgRatesDataTable75[[#This Row],[asOf]]),DAY(OneWeekMtgRatesDataTable75[[#This Row],[asOf]]))</f>
        <v>37726</v>
      </c>
      <c r="N3193" s="51">
        <v>5.82</v>
      </c>
      <c r="O3193" s="51">
        <v>0.6</v>
      </c>
      <c r="P3193" s="51">
        <v>5.7200000000000006</v>
      </c>
    </row>
    <row r="3194" spans="12:16">
      <c r="L3194" s="51" t="s">
        <v>3199</v>
      </c>
      <c r="M3194" s="25">
        <f>DATE(YEAR(OneWeekMtgRatesDataTable75[[#This Row],[asOf]]),MONTH(OneWeekMtgRatesDataTable75[[#This Row],[asOf]]),DAY(OneWeekMtgRatesDataTable75[[#This Row],[asOf]]))</f>
        <v>37725</v>
      </c>
      <c r="N3194" s="51">
        <v>5.82</v>
      </c>
      <c r="O3194" s="51">
        <v>0.6</v>
      </c>
      <c r="P3194" s="51">
        <v>5.7200000000000006</v>
      </c>
    </row>
    <row r="3195" spans="12:16">
      <c r="L3195" s="51" t="s">
        <v>3200</v>
      </c>
      <c r="M3195" s="25">
        <f>DATE(YEAR(OneWeekMtgRatesDataTable75[[#This Row],[asOf]]),MONTH(OneWeekMtgRatesDataTable75[[#This Row],[asOf]]),DAY(OneWeekMtgRatesDataTable75[[#This Row],[asOf]]))</f>
        <v>37722</v>
      </c>
      <c r="N3195" s="51">
        <v>5.82</v>
      </c>
      <c r="O3195" s="51">
        <v>0.6</v>
      </c>
      <c r="P3195" s="51">
        <v>5.7200000000000006</v>
      </c>
    </row>
    <row r="3196" spans="12:16">
      <c r="L3196" s="51" t="s">
        <v>3201</v>
      </c>
      <c r="M3196" s="25">
        <f>DATE(YEAR(OneWeekMtgRatesDataTable75[[#This Row],[asOf]]),MONTH(OneWeekMtgRatesDataTable75[[#This Row],[asOf]]),DAY(OneWeekMtgRatesDataTable75[[#This Row],[asOf]]))</f>
        <v>37721</v>
      </c>
      <c r="N3196" s="51">
        <v>5.85</v>
      </c>
      <c r="O3196" s="51">
        <v>0.6</v>
      </c>
      <c r="P3196" s="51">
        <v>5.75</v>
      </c>
    </row>
    <row r="3197" spans="12:16">
      <c r="L3197" s="51" t="s">
        <v>3202</v>
      </c>
      <c r="M3197" s="25">
        <f>DATE(YEAR(OneWeekMtgRatesDataTable75[[#This Row],[asOf]]),MONTH(OneWeekMtgRatesDataTable75[[#This Row],[asOf]]),DAY(OneWeekMtgRatesDataTable75[[#This Row],[asOf]]))</f>
        <v>37720</v>
      </c>
      <c r="N3197" s="51">
        <v>5.85</v>
      </c>
      <c r="O3197" s="51">
        <v>0.6</v>
      </c>
      <c r="P3197" s="51">
        <v>5.75</v>
      </c>
    </row>
    <row r="3198" spans="12:16">
      <c r="L3198" s="51" t="s">
        <v>3203</v>
      </c>
      <c r="M3198" s="25">
        <f>DATE(YEAR(OneWeekMtgRatesDataTable75[[#This Row],[asOf]]),MONTH(OneWeekMtgRatesDataTable75[[#This Row],[asOf]]),DAY(OneWeekMtgRatesDataTable75[[#This Row],[asOf]]))</f>
        <v>37719</v>
      </c>
      <c r="N3198" s="51">
        <v>5.85</v>
      </c>
      <c r="O3198" s="51">
        <v>0.6</v>
      </c>
      <c r="P3198" s="51">
        <v>5.75</v>
      </c>
    </row>
    <row r="3199" spans="12:16">
      <c r="L3199" s="51" t="s">
        <v>3204</v>
      </c>
      <c r="M3199" s="25">
        <f>DATE(YEAR(OneWeekMtgRatesDataTable75[[#This Row],[asOf]]),MONTH(OneWeekMtgRatesDataTable75[[#This Row],[asOf]]),DAY(OneWeekMtgRatesDataTable75[[#This Row],[asOf]]))</f>
        <v>37718</v>
      </c>
      <c r="N3199" s="51">
        <v>5.85</v>
      </c>
      <c r="O3199" s="51">
        <v>0.6</v>
      </c>
      <c r="P3199" s="51">
        <v>5.75</v>
      </c>
    </row>
    <row r="3200" spans="12:16">
      <c r="L3200" s="51" t="s">
        <v>3205</v>
      </c>
      <c r="M3200" s="25">
        <f>DATE(YEAR(OneWeekMtgRatesDataTable75[[#This Row],[asOf]]),MONTH(OneWeekMtgRatesDataTable75[[#This Row],[asOf]]),DAY(OneWeekMtgRatesDataTable75[[#This Row],[asOf]]))</f>
        <v>37715</v>
      </c>
      <c r="N3200" s="51">
        <v>5.85</v>
      </c>
      <c r="O3200" s="51">
        <v>0.6</v>
      </c>
      <c r="P3200" s="51">
        <v>5.75</v>
      </c>
    </row>
    <row r="3201" spans="12:16">
      <c r="L3201" s="51" t="s">
        <v>3206</v>
      </c>
      <c r="M3201" s="25">
        <f>DATE(YEAR(OneWeekMtgRatesDataTable75[[#This Row],[asOf]]),MONTH(OneWeekMtgRatesDataTable75[[#This Row],[asOf]]),DAY(OneWeekMtgRatesDataTable75[[#This Row],[asOf]]))</f>
        <v>37714</v>
      </c>
      <c r="N3201" s="51">
        <v>5.79</v>
      </c>
      <c r="O3201" s="51">
        <v>0.6</v>
      </c>
      <c r="P3201" s="51">
        <v>5.69</v>
      </c>
    </row>
    <row r="3202" spans="12:16">
      <c r="L3202" s="51" t="s">
        <v>3207</v>
      </c>
      <c r="M3202" s="25">
        <f>DATE(YEAR(OneWeekMtgRatesDataTable75[[#This Row],[asOf]]),MONTH(OneWeekMtgRatesDataTable75[[#This Row],[asOf]]),DAY(OneWeekMtgRatesDataTable75[[#This Row],[asOf]]))</f>
        <v>37713</v>
      </c>
      <c r="N3202" s="51">
        <v>5.79</v>
      </c>
      <c r="O3202" s="51">
        <v>0.6</v>
      </c>
      <c r="P3202" s="51">
        <v>5.69</v>
      </c>
    </row>
    <row r="3203" spans="12:16">
      <c r="L3203" s="51" t="s">
        <v>3208</v>
      </c>
      <c r="M3203" s="25">
        <f>DATE(YEAR(OneWeekMtgRatesDataTable75[[#This Row],[asOf]]),MONTH(OneWeekMtgRatesDataTable75[[#This Row],[asOf]]),DAY(OneWeekMtgRatesDataTable75[[#This Row],[asOf]]))</f>
        <v>37712</v>
      </c>
      <c r="N3203" s="51">
        <v>5.79</v>
      </c>
      <c r="O3203" s="51">
        <v>0.6</v>
      </c>
      <c r="P3203" s="51">
        <v>5.69</v>
      </c>
    </row>
    <row r="3204" spans="12:16">
      <c r="L3204" s="51" t="s">
        <v>3209</v>
      </c>
      <c r="M3204" s="25">
        <f>DATE(YEAR(OneWeekMtgRatesDataTable75[[#This Row],[asOf]]),MONTH(OneWeekMtgRatesDataTable75[[#This Row],[asOf]]),DAY(OneWeekMtgRatesDataTable75[[#This Row],[asOf]]))</f>
        <v>37711</v>
      </c>
      <c r="N3204" s="51">
        <v>5.79</v>
      </c>
      <c r="O3204" s="51">
        <v>0.6</v>
      </c>
      <c r="P3204" s="51">
        <v>5.69</v>
      </c>
    </row>
    <row r="3205" spans="12:16">
      <c r="L3205" s="51" t="s">
        <v>3210</v>
      </c>
      <c r="M3205" s="25">
        <f>DATE(YEAR(OneWeekMtgRatesDataTable75[[#This Row],[asOf]]),MONTH(OneWeekMtgRatesDataTable75[[#This Row],[asOf]]),DAY(OneWeekMtgRatesDataTable75[[#This Row],[asOf]]))</f>
        <v>37708</v>
      </c>
      <c r="N3205" s="51">
        <v>5.79</v>
      </c>
      <c r="O3205" s="51">
        <v>0.6</v>
      </c>
      <c r="P3205" s="51">
        <v>5.69</v>
      </c>
    </row>
    <row r="3206" spans="12:16">
      <c r="L3206" s="51" t="s">
        <v>3211</v>
      </c>
      <c r="M3206" s="25">
        <f>DATE(YEAR(OneWeekMtgRatesDataTable75[[#This Row],[asOf]]),MONTH(OneWeekMtgRatesDataTable75[[#This Row],[asOf]]),DAY(OneWeekMtgRatesDataTable75[[#This Row],[asOf]]))</f>
        <v>37707</v>
      </c>
      <c r="N3206" s="51">
        <v>5.91</v>
      </c>
      <c r="O3206" s="51">
        <v>0.6</v>
      </c>
      <c r="P3206" s="51">
        <v>5.8100000000000005</v>
      </c>
    </row>
    <row r="3207" spans="12:16">
      <c r="L3207" s="51" t="s">
        <v>3212</v>
      </c>
      <c r="M3207" s="25">
        <f>DATE(YEAR(OneWeekMtgRatesDataTable75[[#This Row],[asOf]]),MONTH(OneWeekMtgRatesDataTable75[[#This Row],[asOf]]),DAY(OneWeekMtgRatesDataTable75[[#This Row],[asOf]]))</f>
        <v>37706</v>
      </c>
      <c r="N3207" s="51">
        <v>5.91</v>
      </c>
      <c r="O3207" s="51">
        <v>0.6</v>
      </c>
      <c r="P3207" s="51">
        <v>5.8100000000000005</v>
      </c>
    </row>
    <row r="3208" spans="12:16">
      <c r="L3208" s="51" t="s">
        <v>3213</v>
      </c>
      <c r="M3208" s="25">
        <f>DATE(YEAR(OneWeekMtgRatesDataTable75[[#This Row],[asOf]]),MONTH(OneWeekMtgRatesDataTable75[[#This Row],[asOf]]),DAY(OneWeekMtgRatesDataTable75[[#This Row],[asOf]]))</f>
        <v>37705</v>
      </c>
      <c r="N3208" s="51">
        <v>5.91</v>
      </c>
      <c r="O3208" s="51">
        <v>0.6</v>
      </c>
      <c r="P3208" s="51">
        <v>5.8100000000000005</v>
      </c>
    </row>
    <row r="3209" spans="12:16">
      <c r="L3209" s="51" t="s">
        <v>3214</v>
      </c>
      <c r="M3209" s="25">
        <f>DATE(YEAR(OneWeekMtgRatesDataTable75[[#This Row],[asOf]]),MONTH(OneWeekMtgRatesDataTable75[[#This Row],[asOf]]),DAY(OneWeekMtgRatesDataTable75[[#This Row],[asOf]]))</f>
        <v>37704</v>
      </c>
      <c r="N3209" s="51">
        <v>5.91</v>
      </c>
      <c r="O3209" s="51">
        <v>0.6</v>
      </c>
      <c r="P3209" s="51">
        <v>5.8100000000000005</v>
      </c>
    </row>
    <row r="3210" spans="12:16">
      <c r="L3210" s="51" t="s">
        <v>3215</v>
      </c>
      <c r="M3210" s="25">
        <f>DATE(YEAR(OneWeekMtgRatesDataTable75[[#This Row],[asOf]]),MONTH(OneWeekMtgRatesDataTable75[[#This Row],[asOf]]),DAY(OneWeekMtgRatesDataTable75[[#This Row],[asOf]]))</f>
        <v>37701</v>
      </c>
      <c r="N3210" s="51">
        <v>5.91</v>
      </c>
      <c r="O3210" s="51">
        <v>0.6</v>
      </c>
      <c r="P3210" s="51">
        <v>5.8100000000000005</v>
      </c>
    </row>
    <row r="3211" spans="12:16">
      <c r="L3211" s="51" t="s">
        <v>3216</v>
      </c>
      <c r="M3211" s="25">
        <f>DATE(YEAR(OneWeekMtgRatesDataTable75[[#This Row],[asOf]]),MONTH(OneWeekMtgRatesDataTable75[[#This Row],[asOf]]),DAY(OneWeekMtgRatesDataTable75[[#This Row],[asOf]]))</f>
        <v>37700</v>
      </c>
      <c r="N3211" s="51">
        <v>5.79</v>
      </c>
      <c r="O3211" s="51">
        <v>0.6</v>
      </c>
      <c r="P3211" s="51">
        <v>5.69</v>
      </c>
    </row>
    <row r="3212" spans="12:16">
      <c r="L3212" s="51" t="s">
        <v>3217</v>
      </c>
      <c r="M3212" s="25">
        <f>DATE(YEAR(OneWeekMtgRatesDataTable75[[#This Row],[asOf]]),MONTH(OneWeekMtgRatesDataTable75[[#This Row],[asOf]]),DAY(OneWeekMtgRatesDataTable75[[#This Row],[asOf]]))</f>
        <v>37699</v>
      </c>
      <c r="N3212" s="51">
        <v>5.79</v>
      </c>
      <c r="O3212" s="51">
        <v>0.6</v>
      </c>
      <c r="P3212" s="51">
        <v>5.69</v>
      </c>
    </row>
    <row r="3213" spans="12:16">
      <c r="L3213" s="51" t="s">
        <v>3218</v>
      </c>
      <c r="M3213" s="25">
        <f>DATE(YEAR(OneWeekMtgRatesDataTable75[[#This Row],[asOf]]),MONTH(OneWeekMtgRatesDataTable75[[#This Row],[asOf]]),DAY(OneWeekMtgRatesDataTable75[[#This Row],[asOf]]))</f>
        <v>37698</v>
      </c>
      <c r="N3213" s="51">
        <v>5.79</v>
      </c>
      <c r="O3213" s="51">
        <v>0.6</v>
      </c>
      <c r="P3213" s="51">
        <v>5.69</v>
      </c>
    </row>
    <row r="3214" spans="12:16">
      <c r="L3214" s="51" t="s">
        <v>3219</v>
      </c>
      <c r="M3214" s="25">
        <f>DATE(YEAR(OneWeekMtgRatesDataTable75[[#This Row],[asOf]]),MONTH(OneWeekMtgRatesDataTable75[[#This Row],[asOf]]),DAY(OneWeekMtgRatesDataTable75[[#This Row],[asOf]]))</f>
        <v>37697</v>
      </c>
      <c r="N3214" s="51">
        <v>5.79</v>
      </c>
      <c r="O3214" s="51">
        <v>0.6</v>
      </c>
      <c r="P3214" s="51">
        <v>5.69</v>
      </c>
    </row>
    <row r="3215" spans="12:16">
      <c r="L3215" s="51" t="s">
        <v>3220</v>
      </c>
      <c r="M3215" s="25">
        <f>DATE(YEAR(OneWeekMtgRatesDataTable75[[#This Row],[asOf]]),MONTH(OneWeekMtgRatesDataTable75[[#This Row],[asOf]]),DAY(OneWeekMtgRatesDataTable75[[#This Row],[asOf]]))</f>
        <v>37694</v>
      </c>
      <c r="N3215" s="51">
        <v>5.79</v>
      </c>
      <c r="O3215" s="51">
        <v>0.6</v>
      </c>
      <c r="P3215" s="51">
        <v>5.69</v>
      </c>
    </row>
    <row r="3216" spans="12:16">
      <c r="L3216" s="51" t="s">
        <v>3221</v>
      </c>
      <c r="M3216" s="25">
        <f>DATE(YEAR(OneWeekMtgRatesDataTable75[[#This Row],[asOf]]),MONTH(OneWeekMtgRatesDataTable75[[#This Row],[asOf]]),DAY(OneWeekMtgRatesDataTable75[[#This Row],[asOf]]))</f>
        <v>37693</v>
      </c>
      <c r="N3216" s="51">
        <v>5.61</v>
      </c>
      <c r="O3216" s="51">
        <v>0.6</v>
      </c>
      <c r="P3216" s="51">
        <v>5.5100000000000007</v>
      </c>
    </row>
    <row r="3217" spans="12:16">
      <c r="L3217" s="51" t="s">
        <v>3222</v>
      </c>
      <c r="M3217" s="25">
        <f>DATE(YEAR(OneWeekMtgRatesDataTable75[[#This Row],[asOf]]),MONTH(OneWeekMtgRatesDataTable75[[#This Row],[asOf]]),DAY(OneWeekMtgRatesDataTable75[[#This Row],[asOf]]))</f>
        <v>37692</v>
      </c>
      <c r="N3217" s="51">
        <v>5.61</v>
      </c>
      <c r="O3217" s="51">
        <v>0.6</v>
      </c>
      <c r="P3217" s="51">
        <v>5.5100000000000007</v>
      </c>
    </row>
    <row r="3218" spans="12:16">
      <c r="L3218" s="51" t="s">
        <v>3223</v>
      </c>
      <c r="M3218" s="25">
        <f>DATE(YEAR(OneWeekMtgRatesDataTable75[[#This Row],[asOf]]),MONTH(OneWeekMtgRatesDataTable75[[#This Row],[asOf]]),DAY(OneWeekMtgRatesDataTable75[[#This Row],[asOf]]))</f>
        <v>37691</v>
      </c>
      <c r="N3218" s="51">
        <v>5.61</v>
      </c>
      <c r="O3218" s="51">
        <v>0.6</v>
      </c>
      <c r="P3218" s="51">
        <v>5.5100000000000007</v>
      </c>
    </row>
    <row r="3219" spans="12:16">
      <c r="L3219" s="51" t="s">
        <v>3224</v>
      </c>
      <c r="M3219" s="25">
        <f>DATE(YEAR(OneWeekMtgRatesDataTable75[[#This Row],[asOf]]),MONTH(OneWeekMtgRatesDataTable75[[#This Row],[asOf]]),DAY(OneWeekMtgRatesDataTable75[[#This Row],[asOf]]))</f>
        <v>37690</v>
      </c>
      <c r="N3219" s="51">
        <v>5.61</v>
      </c>
      <c r="O3219" s="51">
        <v>0.6</v>
      </c>
      <c r="P3219" s="51">
        <v>5.5100000000000007</v>
      </c>
    </row>
    <row r="3220" spans="12:16">
      <c r="L3220" s="51" t="s">
        <v>3225</v>
      </c>
      <c r="M3220" s="25">
        <f>DATE(YEAR(OneWeekMtgRatesDataTable75[[#This Row],[asOf]]),MONTH(OneWeekMtgRatesDataTable75[[#This Row],[asOf]]),DAY(OneWeekMtgRatesDataTable75[[#This Row],[asOf]]))</f>
        <v>37687</v>
      </c>
      <c r="N3220" s="51">
        <v>5.61</v>
      </c>
      <c r="O3220" s="51">
        <v>0.6</v>
      </c>
      <c r="P3220" s="51">
        <v>5.5100000000000007</v>
      </c>
    </row>
    <row r="3221" spans="12:16">
      <c r="L3221" s="51" t="s">
        <v>3226</v>
      </c>
      <c r="M3221" s="25">
        <f>DATE(YEAR(OneWeekMtgRatesDataTable75[[#This Row],[asOf]]),MONTH(OneWeekMtgRatesDataTable75[[#This Row],[asOf]]),DAY(OneWeekMtgRatesDataTable75[[#This Row],[asOf]]))</f>
        <v>37686</v>
      </c>
      <c r="N3221" s="51">
        <v>5.67</v>
      </c>
      <c r="O3221" s="51">
        <v>0.6</v>
      </c>
      <c r="P3221" s="51">
        <v>5.57</v>
      </c>
    </row>
    <row r="3222" spans="12:16">
      <c r="L3222" s="51" t="s">
        <v>3227</v>
      </c>
      <c r="M3222" s="25">
        <f>DATE(YEAR(OneWeekMtgRatesDataTable75[[#This Row],[asOf]]),MONTH(OneWeekMtgRatesDataTable75[[#This Row],[asOf]]),DAY(OneWeekMtgRatesDataTable75[[#This Row],[asOf]]))</f>
        <v>37685</v>
      </c>
      <c r="N3222" s="51">
        <v>5.67</v>
      </c>
      <c r="O3222" s="51">
        <v>0.6</v>
      </c>
      <c r="P3222" s="51">
        <v>5.57</v>
      </c>
    </row>
    <row r="3223" spans="12:16">
      <c r="L3223" s="51" t="s">
        <v>3228</v>
      </c>
      <c r="M3223" s="25">
        <f>DATE(YEAR(OneWeekMtgRatesDataTable75[[#This Row],[asOf]]),MONTH(OneWeekMtgRatesDataTable75[[#This Row],[asOf]]),DAY(OneWeekMtgRatesDataTable75[[#This Row],[asOf]]))</f>
        <v>37684</v>
      </c>
      <c r="N3223" s="51">
        <v>5.67</v>
      </c>
      <c r="O3223" s="51">
        <v>0.6</v>
      </c>
      <c r="P3223" s="51">
        <v>5.57</v>
      </c>
    </row>
    <row r="3224" spans="12:16">
      <c r="L3224" s="51" t="s">
        <v>3229</v>
      </c>
      <c r="M3224" s="25">
        <f>DATE(YEAR(OneWeekMtgRatesDataTable75[[#This Row],[asOf]]),MONTH(OneWeekMtgRatesDataTable75[[#This Row],[asOf]]),DAY(OneWeekMtgRatesDataTable75[[#This Row],[asOf]]))</f>
        <v>37683</v>
      </c>
      <c r="N3224" s="51">
        <v>5.67</v>
      </c>
      <c r="O3224" s="51">
        <v>0.6</v>
      </c>
      <c r="P3224" s="51">
        <v>5.57</v>
      </c>
    </row>
    <row r="3225" spans="12:16">
      <c r="L3225" s="51" t="s">
        <v>3230</v>
      </c>
      <c r="M3225" s="25">
        <f>DATE(YEAR(OneWeekMtgRatesDataTable75[[#This Row],[asOf]]),MONTH(OneWeekMtgRatesDataTable75[[#This Row],[asOf]]),DAY(OneWeekMtgRatesDataTable75[[#This Row],[asOf]]))</f>
        <v>37680</v>
      </c>
      <c r="N3225" s="51">
        <v>5.67</v>
      </c>
      <c r="O3225" s="51">
        <v>0.6</v>
      </c>
      <c r="P3225" s="51">
        <v>5.57</v>
      </c>
    </row>
    <row r="3226" spans="12:16">
      <c r="L3226" s="51" t="s">
        <v>3231</v>
      </c>
      <c r="M3226" s="25">
        <f>DATE(YEAR(OneWeekMtgRatesDataTable75[[#This Row],[asOf]]),MONTH(OneWeekMtgRatesDataTable75[[#This Row],[asOf]]),DAY(OneWeekMtgRatesDataTable75[[#This Row],[asOf]]))</f>
        <v>37679</v>
      </c>
      <c r="N3226" s="51">
        <v>5.79</v>
      </c>
      <c r="O3226" s="51">
        <v>0.6</v>
      </c>
      <c r="P3226" s="51">
        <v>5.69</v>
      </c>
    </row>
    <row r="3227" spans="12:16">
      <c r="L3227" s="51" t="s">
        <v>3232</v>
      </c>
      <c r="M3227" s="25">
        <f>DATE(YEAR(OneWeekMtgRatesDataTable75[[#This Row],[asOf]]),MONTH(OneWeekMtgRatesDataTable75[[#This Row],[asOf]]),DAY(OneWeekMtgRatesDataTable75[[#This Row],[asOf]]))</f>
        <v>37678</v>
      </c>
      <c r="N3227" s="51">
        <v>5.79</v>
      </c>
      <c r="O3227" s="51">
        <v>0.6</v>
      </c>
      <c r="P3227" s="51">
        <v>5.69</v>
      </c>
    </row>
    <row r="3228" spans="12:16">
      <c r="L3228" s="51" t="s">
        <v>3233</v>
      </c>
      <c r="M3228" s="25">
        <f>DATE(YEAR(OneWeekMtgRatesDataTable75[[#This Row],[asOf]]),MONTH(OneWeekMtgRatesDataTable75[[#This Row],[asOf]]),DAY(OneWeekMtgRatesDataTable75[[#This Row],[asOf]]))</f>
        <v>37677</v>
      </c>
      <c r="N3228" s="51">
        <v>5.79</v>
      </c>
      <c r="O3228" s="51">
        <v>0.6</v>
      </c>
      <c r="P3228" s="51">
        <v>5.69</v>
      </c>
    </row>
    <row r="3229" spans="12:16">
      <c r="L3229" s="51" t="s">
        <v>3234</v>
      </c>
      <c r="M3229" s="25">
        <f>DATE(YEAR(OneWeekMtgRatesDataTable75[[#This Row],[asOf]]),MONTH(OneWeekMtgRatesDataTable75[[#This Row],[asOf]]),DAY(OneWeekMtgRatesDataTable75[[#This Row],[asOf]]))</f>
        <v>37676</v>
      </c>
      <c r="N3229" s="51">
        <v>5.79</v>
      </c>
      <c r="O3229" s="51">
        <v>0.6</v>
      </c>
      <c r="P3229" s="51">
        <v>5.69</v>
      </c>
    </row>
    <row r="3230" spans="12:16">
      <c r="L3230" s="51" t="s">
        <v>3235</v>
      </c>
      <c r="M3230" s="25">
        <f>DATE(YEAR(OneWeekMtgRatesDataTable75[[#This Row],[asOf]]),MONTH(OneWeekMtgRatesDataTable75[[#This Row],[asOf]]),DAY(OneWeekMtgRatesDataTable75[[#This Row],[asOf]]))</f>
        <v>37673</v>
      </c>
      <c r="N3230" s="51">
        <v>5.79</v>
      </c>
      <c r="O3230" s="51">
        <v>0.6</v>
      </c>
      <c r="P3230" s="51">
        <v>5.69</v>
      </c>
    </row>
    <row r="3231" spans="12:16">
      <c r="L3231" s="51" t="s">
        <v>3236</v>
      </c>
      <c r="M3231" s="25">
        <f>DATE(YEAR(OneWeekMtgRatesDataTable75[[#This Row],[asOf]]),MONTH(OneWeekMtgRatesDataTable75[[#This Row],[asOf]]),DAY(OneWeekMtgRatesDataTable75[[#This Row],[asOf]]))</f>
        <v>37672</v>
      </c>
      <c r="N3231" s="51">
        <v>5.84</v>
      </c>
      <c r="O3231" s="51">
        <v>0.6</v>
      </c>
      <c r="P3231" s="51">
        <v>5.74</v>
      </c>
    </row>
    <row r="3232" spans="12:16">
      <c r="L3232" s="51" t="s">
        <v>3237</v>
      </c>
      <c r="M3232" s="25">
        <f>DATE(YEAR(OneWeekMtgRatesDataTable75[[#This Row],[asOf]]),MONTH(OneWeekMtgRatesDataTable75[[#This Row],[asOf]]),DAY(OneWeekMtgRatesDataTable75[[#This Row],[asOf]]))</f>
        <v>37671</v>
      </c>
      <c r="N3232" s="51">
        <v>5.84</v>
      </c>
      <c r="O3232" s="51">
        <v>0.6</v>
      </c>
      <c r="P3232" s="51">
        <v>5.74</v>
      </c>
    </row>
    <row r="3233" spans="12:16">
      <c r="L3233" s="51" t="s">
        <v>3238</v>
      </c>
      <c r="M3233" s="25">
        <f>DATE(YEAR(OneWeekMtgRatesDataTable75[[#This Row],[asOf]]),MONTH(OneWeekMtgRatesDataTable75[[#This Row],[asOf]]),DAY(OneWeekMtgRatesDataTable75[[#This Row],[asOf]]))</f>
        <v>37670</v>
      </c>
      <c r="N3233" s="51">
        <v>5.84</v>
      </c>
      <c r="O3233" s="51">
        <v>0.6</v>
      </c>
      <c r="P3233" s="51">
        <v>5.74</v>
      </c>
    </row>
    <row r="3234" spans="12:16">
      <c r="L3234" s="51" t="s">
        <v>3239</v>
      </c>
      <c r="M3234" s="25">
        <f>DATE(YEAR(OneWeekMtgRatesDataTable75[[#This Row],[asOf]]),MONTH(OneWeekMtgRatesDataTable75[[#This Row],[asOf]]),DAY(OneWeekMtgRatesDataTable75[[#This Row],[asOf]]))</f>
        <v>37669</v>
      </c>
      <c r="N3234" s="51">
        <v>5.84</v>
      </c>
      <c r="O3234" s="51">
        <v>0.6</v>
      </c>
      <c r="P3234" s="51">
        <v>5.74</v>
      </c>
    </row>
    <row r="3235" spans="12:16">
      <c r="L3235" s="51" t="s">
        <v>3240</v>
      </c>
      <c r="M3235" s="25">
        <f>DATE(YEAR(OneWeekMtgRatesDataTable75[[#This Row],[asOf]]),MONTH(OneWeekMtgRatesDataTable75[[#This Row],[asOf]]),DAY(OneWeekMtgRatesDataTable75[[#This Row],[asOf]]))</f>
        <v>37666</v>
      </c>
      <c r="N3235" s="51">
        <v>5.84</v>
      </c>
      <c r="O3235" s="51">
        <v>0.6</v>
      </c>
      <c r="P3235" s="51">
        <v>5.74</v>
      </c>
    </row>
    <row r="3236" spans="12:16">
      <c r="L3236" s="51" t="s">
        <v>3241</v>
      </c>
      <c r="M3236" s="25">
        <f>DATE(YEAR(OneWeekMtgRatesDataTable75[[#This Row],[asOf]]),MONTH(OneWeekMtgRatesDataTable75[[#This Row],[asOf]]),DAY(OneWeekMtgRatesDataTable75[[#This Row],[asOf]]))</f>
        <v>37665</v>
      </c>
      <c r="N3236" s="51">
        <v>5.86</v>
      </c>
      <c r="O3236" s="51">
        <v>0.6</v>
      </c>
      <c r="P3236" s="51">
        <v>5.7600000000000007</v>
      </c>
    </row>
    <row r="3237" spans="12:16">
      <c r="L3237" s="51" t="s">
        <v>3242</v>
      </c>
      <c r="M3237" s="25">
        <f>DATE(YEAR(OneWeekMtgRatesDataTable75[[#This Row],[asOf]]),MONTH(OneWeekMtgRatesDataTable75[[#This Row],[asOf]]),DAY(OneWeekMtgRatesDataTable75[[#This Row],[asOf]]))</f>
        <v>37664</v>
      </c>
      <c r="N3237" s="51">
        <v>5.86</v>
      </c>
      <c r="O3237" s="51">
        <v>0.6</v>
      </c>
      <c r="P3237" s="51">
        <v>5.7600000000000007</v>
      </c>
    </row>
    <row r="3238" spans="12:16">
      <c r="L3238" s="51" t="s">
        <v>3243</v>
      </c>
      <c r="M3238" s="25">
        <f>DATE(YEAR(OneWeekMtgRatesDataTable75[[#This Row],[asOf]]),MONTH(OneWeekMtgRatesDataTable75[[#This Row],[asOf]]),DAY(OneWeekMtgRatesDataTable75[[#This Row],[asOf]]))</f>
        <v>37663</v>
      </c>
      <c r="N3238" s="51">
        <v>5.86</v>
      </c>
      <c r="O3238" s="51">
        <v>0.6</v>
      </c>
      <c r="P3238" s="51">
        <v>5.7600000000000007</v>
      </c>
    </row>
    <row r="3239" spans="12:16">
      <c r="L3239" s="51" t="s">
        <v>3244</v>
      </c>
      <c r="M3239" s="25">
        <f>DATE(YEAR(OneWeekMtgRatesDataTable75[[#This Row],[asOf]]),MONTH(OneWeekMtgRatesDataTable75[[#This Row],[asOf]]),DAY(OneWeekMtgRatesDataTable75[[#This Row],[asOf]]))</f>
        <v>37662</v>
      </c>
      <c r="N3239" s="51">
        <v>5.86</v>
      </c>
      <c r="O3239" s="51">
        <v>0.6</v>
      </c>
      <c r="P3239" s="51">
        <v>5.7600000000000007</v>
      </c>
    </row>
    <row r="3240" spans="12:16">
      <c r="L3240" s="51" t="s">
        <v>3245</v>
      </c>
      <c r="M3240" s="25">
        <f>DATE(YEAR(OneWeekMtgRatesDataTable75[[#This Row],[asOf]]),MONTH(OneWeekMtgRatesDataTable75[[#This Row],[asOf]]),DAY(OneWeekMtgRatesDataTable75[[#This Row],[asOf]]))</f>
        <v>37659</v>
      </c>
      <c r="N3240" s="51">
        <v>5.86</v>
      </c>
      <c r="O3240" s="51">
        <v>0.6</v>
      </c>
      <c r="P3240" s="51">
        <v>5.7600000000000007</v>
      </c>
    </row>
    <row r="3241" spans="12:16">
      <c r="L3241" s="51" t="s">
        <v>3246</v>
      </c>
      <c r="M3241" s="25">
        <f>DATE(YEAR(OneWeekMtgRatesDataTable75[[#This Row],[asOf]]),MONTH(OneWeekMtgRatesDataTable75[[#This Row],[asOf]]),DAY(OneWeekMtgRatesDataTable75[[#This Row],[asOf]]))</f>
        <v>37658</v>
      </c>
      <c r="N3241" s="51">
        <v>5.88</v>
      </c>
      <c r="O3241" s="51">
        <v>0.7</v>
      </c>
      <c r="P3241" s="51">
        <v>5.8049999999999997</v>
      </c>
    </row>
    <row r="3242" spans="12:16">
      <c r="L3242" s="51" t="s">
        <v>3247</v>
      </c>
      <c r="M3242" s="25">
        <f>DATE(YEAR(OneWeekMtgRatesDataTable75[[#This Row],[asOf]]),MONTH(OneWeekMtgRatesDataTable75[[#This Row],[asOf]]),DAY(OneWeekMtgRatesDataTable75[[#This Row],[asOf]]))</f>
        <v>37657</v>
      </c>
      <c r="N3242" s="51">
        <v>5.88</v>
      </c>
      <c r="O3242" s="51">
        <v>0.7</v>
      </c>
      <c r="P3242" s="51">
        <v>5.8049999999999997</v>
      </c>
    </row>
    <row r="3243" spans="12:16">
      <c r="L3243" s="51" t="s">
        <v>3248</v>
      </c>
      <c r="M3243" s="25">
        <f>DATE(YEAR(OneWeekMtgRatesDataTable75[[#This Row],[asOf]]),MONTH(OneWeekMtgRatesDataTable75[[#This Row],[asOf]]),DAY(OneWeekMtgRatesDataTable75[[#This Row],[asOf]]))</f>
        <v>37656</v>
      </c>
      <c r="N3243" s="51">
        <v>5.88</v>
      </c>
      <c r="O3243" s="51">
        <v>0.7</v>
      </c>
      <c r="P3243" s="51">
        <v>5.8049999999999997</v>
      </c>
    </row>
    <row r="3244" spans="12:16">
      <c r="L3244" s="51" t="s">
        <v>3249</v>
      </c>
      <c r="M3244" s="25">
        <f>DATE(YEAR(OneWeekMtgRatesDataTable75[[#This Row],[asOf]]),MONTH(OneWeekMtgRatesDataTable75[[#This Row],[asOf]]),DAY(OneWeekMtgRatesDataTable75[[#This Row],[asOf]]))</f>
        <v>37655</v>
      </c>
      <c r="N3244" s="51">
        <v>5.88</v>
      </c>
      <c r="O3244" s="51">
        <v>0.7</v>
      </c>
      <c r="P3244" s="51">
        <v>5.8049999999999997</v>
      </c>
    </row>
    <row r="3245" spans="12:16">
      <c r="L3245" s="51" t="s">
        <v>3250</v>
      </c>
      <c r="M3245" s="25">
        <f>DATE(YEAR(OneWeekMtgRatesDataTable75[[#This Row],[asOf]]),MONTH(OneWeekMtgRatesDataTable75[[#This Row],[asOf]]),DAY(OneWeekMtgRatesDataTable75[[#This Row],[asOf]]))</f>
        <v>37652</v>
      </c>
      <c r="N3245" s="51">
        <v>5.88</v>
      </c>
      <c r="O3245" s="51">
        <v>0.7</v>
      </c>
      <c r="P3245" s="51">
        <v>5.8049999999999997</v>
      </c>
    </row>
    <row r="3246" spans="12:16">
      <c r="L3246" s="51" t="s">
        <v>3251</v>
      </c>
      <c r="M3246" s="25">
        <f>DATE(YEAR(OneWeekMtgRatesDataTable75[[#This Row],[asOf]]),MONTH(OneWeekMtgRatesDataTable75[[#This Row],[asOf]]),DAY(OneWeekMtgRatesDataTable75[[#This Row],[asOf]]))</f>
        <v>37651</v>
      </c>
      <c r="N3246" s="51">
        <v>5.9</v>
      </c>
      <c r="O3246" s="51">
        <v>0.6</v>
      </c>
      <c r="P3246" s="51">
        <v>5.8000000000000007</v>
      </c>
    </row>
    <row r="3247" spans="12:16">
      <c r="L3247" s="51" t="s">
        <v>3252</v>
      </c>
      <c r="M3247" s="25">
        <f>DATE(YEAR(OneWeekMtgRatesDataTable75[[#This Row],[asOf]]),MONTH(OneWeekMtgRatesDataTable75[[#This Row],[asOf]]),DAY(OneWeekMtgRatesDataTable75[[#This Row],[asOf]]))</f>
        <v>37650</v>
      </c>
      <c r="N3247" s="51">
        <v>5.9</v>
      </c>
      <c r="O3247" s="51">
        <v>0.6</v>
      </c>
      <c r="P3247" s="51">
        <v>5.8000000000000007</v>
      </c>
    </row>
    <row r="3248" spans="12:16">
      <c r="L3248" s="51" t="s">
        <v>3253</v>
      </c>
      <c r="M3248" s="25">
        <f>DATE(YEAR(OneWeekMtgRatesDataTable75[[#This Row],[asOf]]),MONTH(OneWeekMtgRatesDataTable75[[#This Row],[asOf]]),DAY(OneWeekMtgRatesDataTable75[[#This Row],[asOf]]))</f>
        <v>37649</v>
      </c>
      <c r="N3248" s="51">
        <v>5.9</v>
      </c>
      <c r="O3248" s="51">
        <v>0.6</v>
      </c>
      <c r="P3248" s="51">
        <v>5.8000000000000007</v>
      </c>
    </row>
    <row r="3249" spans="12:16">
      <c r="L3249" s="51" t="s">
        <v>3254</v>
      </c>
      <c r="M3249" s="25">
        <f>DATE(YEAR(OneWeekMtgRatesDataTable75[[#This Row],[asOf]]),MONTH(OneWeekMtgRatesDataTable75[[#This Row],[asOf]]),DAY(OneWeekMtgRatesDataTable75[[#This Row],[asOf]]))</f>
        <v>37648</v>
      </c>
      <c r="N3249" s="51">
        <v>5.9</v>
      </c>
      <c r="O3249" s="51">
        <v>0.6</v>
      </c>
      <c r="P3249" s="51">
        <v>5.8000000000000007</v>
      </c>
    </row>
    <row r="3250" spans="12:16">
      <c r="L3250" s="51" t="s">
        <v>3255</v>
      </c>
      <c r="M3250" s="25">
        <f>DATE(YEAR(OneWeekMtgRatesDataTable75[[#This Row],[asOf]]),MONTH(OneWeekMtgRatesDataTable75[[#This Row],[asOf]]),DAY(OneWeekMtgRatesDataTable75[[#This Row],[asOf]]))</f>
        <v>37645</v>
      </c>
      <c r="N3250" s="51">
        <v>5.9</v>
      </c>
      <c r="O3250" s="51">
        <v>0.6</v>
      </c>
      <c r="P3250" s="51">
        <v>5.8000000000000007</v>
      </c>
    </row>
    <row r="3251" spans="12:16">
      <c r="L3251" s="51" t="s">
        <v>3256</v>
      </c>
      <c r="M3251" s="25">
        <f>DATE(YEAR(OneWeekMtgRatesDataTable75[[#This Row],[asOf]]),MONTH(OneWeekMtgRatesDataTable75[[#This Row],[asOf]]),DAY(OneWeekMtgRatesDataTable75[[#This Row],[asOf]]))</f>
        <v>37644</v>
      </c>
      <c r="N3251" s="51">
        <v>5.91</v>
      </c>
      <c r="O3251" s="51">
        <v>0.6</v>
      </c>
      <c r="P3251" s="51">
        <v>5.8100000000000005</v>
      </c>
    </row>
    <row r="3252" spans="12:16">
      <c r="L3252" s="51" t="s">
        <v>3257</v>
      </c>
      <c r="M3252" s="25">
        <f>DATE(YEAR(OneWeekMtgRatesDataTable75[[#This Row],[asOf]]),MONTH(OneWeekMtgRatesDataTable75[[#This Row],[asOf]]),DAY(OneWeekMtgRatesDataTable75[[#This Row],[asOf]]))</f>
        <v>37643</v>
      </c>
      <c r="N3252" s="51">
        <v>5.91</v>
      </c>
      <c r="O3252" s="51">
        <v>0.6</v>
      </c>
      <c r="P3252" s="51">
        <v>5.8100000000000005</v>
      </c>
    </row>
    <row r="3253" spans="12:16">
      <c r="L3253" s="51" t="s">
        <v>3258</v>
      </c>
      <c r="M3253" s="25">
        <f>DATE(YEAR(OneWeekMtgRatesDataTable75[[#This Row],[asOf]]),MONTH(OneWeekMtgRatesDataTable75[[#This Row],[asOf]]),DAY(OneWeekMtgRatesDataTable75[[#This Row],[asOf]]))</f>
        <v>37642</v>
      </c>
      <c r="N3253" s="51">
        <v>5.91</v>
      </c>
      <c r="O3253" s="51">
        <v>0.6</v>
      </c>
      <c r="P3253" s="51">
        <v>5.8100000000000005</v>
      </c>
    </row>
    <row r="3254" spans="12:16">
      <c r="L3254" s="51" t="s">
        <v>3259</v>
      </c>
      <c r="M3254" s="25">
        <f>DATE(YEAR(OneWeekMtgRatesDataTable75[[#This Row],[asOf]]),MONTH(OneWeekMtgRatesDataTable75[[#This Row],[asOf]]),DAY(OneWeekMtgRatesDataTable75[[#This Row],[asOf]]))</f>
        <v>37641</v>
      </c>
      <c r="N3254" s="51">
        <v>5.91</v>
      </c>
      <c r="O3254" s="51">
        <v>0.6</v>
      </c>
      <c r="P3254" s="51">
        <v>5.8100000000000005</v>
      </c>
    </row>
    <row r="3255" spans="12:16">
      <c r="L3255" s="51" t="s">
        <v>3260</v>
      </c>
      <c r="M3255" s="25">
        <f>DATE(YEAR(OneWeekMtgRatesDataTable75[[#This Row],[asOf]]),MONTH(OneWeekMtgRatesDataTable75[[#This Row],[asOf]]),DAY(OneWeekMtgRatesDataTable75[[#This Row],[asOf]]))</f>
        <v>37638</v>
      </c>
      <c r="N3255" s="51">
        <v>5.91</v>
      </c>
      <c r="O3255" s="51">
        <v>0.6</v>
      </c>
      <c r="P3255" s="51">
        <v>5.8100000000000005</v>
      </c>
    </row>
    <row r="3256" spans="12:16">
      <c r="L3256" s="51" t="s">
        <v>3261</v>
      </c>
      <c r="M3256" s="25">
        <f>DATE(YEAR(OneWeekMtgRatesDataTable75[[#This Row],[asOf]]),MONTH(OneWeekMtgRatesDataTable75[[#This Row],[asOf]]),DAY(OneWeekMtgRatesDataTable75[[#This Row],[asOf]]))</f>
        <v>37637</v>
      </c>
      <c r="N3256" s="51">
        <v>5.97</v>
      </c>
      <c r="O3256" s="51">
        <v>0.6</v>
      </c>
      <c r="P3256" s="51">
        <v>5.87</v>
      </c>
    </row>
    <row r="3257" spans="12:16">
      <c r="L3257" s="51" t="s">
        <v>3262</v>
      </c>
      <c r="M3257" s="25">
        <f>DATE(YEAR(OneWeekMtgRatesDataTable75[[#This Row],[asOf]]),MONTH(OneWeekMtgRatesDataTable75[[#This Row],[asOf]]),DAY(OneWeekMtgRatesDataTable75[[#This Row],[asOf]]))</f>
        <v>37636</v>
      </c>
      <c r="N3257" s="51">
        <v>5.97</v>
      </c>
      <c r="O3257" s="51">
        <v>0.6</v>
      </c>
      <c r="P3257" s="51">
        <v>5.87</v>
      </c>
    </row>
    <row r="3258" spans="12:16">
      <c r="L3258" s="51" t="s">
        <v>3263</v>
      </c>
      <c r="M3258" s="25">
        <f>DATE(YEAR(OneWeekMtgRatesDataTable75[[#This Row],[asOf]]),MONTH(OneWeekMtgRatesDataTable75[[#This Row],[asOf]]),DAY(OneWeekMtgRatesDataTable75[[#This Row],[asOf]]))</f>
        <v>37635</v>
      </c>
      <c r="N3258" s="51">
        <v>5.97</v>
      </c>
      <c r="O3258" s="51">
        <v>0.6</v>
      </c>
      <c r="P3258" s="51">
        <v>5.87</v>
      </c>
    </row>
    <row r="3259" spans="12:16">
      <c r="L3259" s="51" t="s">
        <v>3264</v>
      </c>
      <c r="M3259" s="25">
        <f>DATE(YEAR(OneWeekMtgRatesDataTable75[[#This Row],[asOf]]),MONTH(OneWeekMtgRatesDataTable75[[#This Row],[asOf]]),DAY(OneWeekMtgRatesDataTable75[[#This Row],[asOf]]))</f>
        <v>37634</v>
      </c>
      <c r="N3259" s="51">
        <v>5.97</v>
      </c>
      <c r="O3259" s="51">
        <v>0.6</v>
      </c>
      <c r="P3259" s="51">
        <v>5.87</v>
      </c>
    </row>
    <row r="3260" spans="12:16">
      <c r="L3260" s="51" t="s">
        <v>3265</v>
      </c>
      <c r="M3260" s="25">
        <f>DATE(YEAR(OneWeekMtgRatesDataTable75[[#This Row],[asOf]]),MONTH(OneWeekMtgRatesDataTable75[[#This Row],[asOf]]),DAY(OneWeekMtgRatesDataTable75[[#This Row],[asOf]]))</f>
        <v>37631</v>
      </c>
      <c r="N3260" s="51">
        <v>5.97</v>
      </c>
      <c r="O3260" s="51">
        <v>0.6</v>
      </c>
      <c r="P3260" s="51">
        <v>5.87</v>
      </c>
    </row>
    <row r="3261" spans="12:16">
      <c r="L3261" s="51" t="s">
        <v>3266</v>
      </c>
      <c r="M3261" s="25">
        <f>DATE(YEAR(OneWeekMtgRatesDataTable75[[#This Row],[asOf]]),MONTH(OneWeekMtgRatesDataTable75[[#This Row],[asOf]]),DAY(OneWeekMtgRatesDataTable75[[#This Row],[asOf]]))</f>
        <v>37630</v>
      </c>
      <c r="N3261" s="51">
        <v>5.95</v>
      </c>
      <c r="O3261" s="51">
        <v>0.5</v>
      </c>
      <c r="P3261" s="51">
        <v>5.8250000000000002</v>
      </c>
    </row>
    <row r="3262" spans="12:16">
      <c r="L3262" s="51" t="s">
        <v>3267</v>
      </c>
      <c r="M3262" s="25">
        <f>DATE(YEAR(OneWeekMtgRatesDataTable75[[#This Row],[asOf]]),MONTH(OneWeekMtgRatesDataTable75[[#This Row],[asOf]]),DAY(OneWeekMtgRatesDataTable75[[#This Row],[asOf]]))</f>
        <v>37629</v>
      </c>
      <c r="N3262" s="51">
        <v>5.95</v>
      </c>
      <c r="O3262" s="51">
        <v>0.5</v>
      </c>
      <c r="P3262" s="51">
        <v>5.8250000000000002</v>
      </c>
    </row>
    <row r="3263" spans="12:16">
      <c r="L3263" s="51" t="s">
        <v>3268</v>
      </c>
      <c r="M3263" s="25">
        <f>DATE(YEAR(OneWeekMtgRatesDataTable75[[#This Row],[asOf]]),MONTH(OneWeekMtgRatesDataTable75[[#This Row],[asOf]]),DAY(OneWeekMtgRatesDataTable75[[#This Row],[asOf]]))</f>
        <v>37628</v>
      </c>
      <c r="N3263" s="51">
        <v>5.95</v>
      </c>
      <c r="O3263" s="51">
        <v>0.5</v>
      </c>
      <c r="P3263" s="51">
        <v>5.8250000000000002</v>
      </c>
    </row>
    <row r="3264" spans="12:16">
      <c r="L3264" s="51" t="s">
        <v>3269</v>
      </c>
      <c r="M3264" s="25">
        <f>DATE(YEAR(OneWeekMtgRatesDataTable75[[#This Row],[asOf]]),MONTH(OneWeekMtgRatesDataTable75[[#This Row],[asOf]]),DAY(OneWeekMtgRatesDataTable75[[#This Row],[asOf]]))</f>
        <v>37627</v>
      </c>
      <c r="N3264" s="51">
        <v>5.95</v>
      </c>
      <c r="O3264" s="51">
        <v>0.5</v>
      </c>
      <c r="P3264" s="51">
        <v>5.8250000000000002</v>
      </c>
    </row>
    <row r="3265" spans="12:16">
      <c r="L3265" s="51" t="s">
        <v>3270</v>
      </c>
      <c r="M3265" s="25">
        <f>DATE(YEAR(OneWeekMtgRatesDataTable75[[#This Row],[asOf]]),MONTH(OneWeekMtgRatesDataTable75[[#This Row],[asOf]]),DAY(OneWeekMtgRatesDataTable75[[#This Row],[asOf]]))</f>
        <v>37624</v>
      </c>
      <c r="N3265" s="51">
        <v>5.95</v>
      </c>
      <c r="O3265" s="51">
        <v>0.5</v>
      </c>
      <c r="P3265" s="51">
        <v>5.8250000000000002</v>
      </c>
    </row>
    <row r="3266" spans="12:16">
      <c r="L3266" s="51" t="s">
        <v>3271</v>
      </c>
      <c r="M3266" s="25">
        <f>DATE(YEAR(OneWeekMtgRatesDataTable75[[#This Row],[asOf]]),MONTH(OneWeekMtgRatesDataTable75[[#This Row],[asOf]]),DAY(OneWeekMtgRatesDataTable75[[#This Row],[asOf]]))</f>
        <v>37623</v>
      </c>
      <c r="N3266" s="51">
        <v>5.85</v>
      </c>
      <c r="O3266" s="51">
        <v>0.6</v>
      </c>
      <c r="P3266" s="51">
        <v>5.75</v>
      </c>
    </row>
    <row r="3267" spans="12:16">
      <c r="L3267" s="51" t="s">
        <v>3272</v>
      </c>
      <c r="M3267" s="25">
        <f>DATE(YEAR(OneWeekMtgRatesDataTable75[[#This Row],[asOf]]),MONTH(OneWeekMtgRatesDataTable75[[#This Row],[asOf]]),DAY(OneWeekMtgRatesDataTable75[[#This Row],[asOf]]))</f>
        <v>37622</v>
      </c>
      <c r="N3267" s="51">
        <v>5.85</v>
      </c>
      <c r="O3267" s="51">
        <v>0.6</v>
      </c>
      <c r="P3267" s="51">
        <v>5.75</v>
      </c>
    </row>
    <row r="3268" spans="12:16">
      <c r="L3268" s="51" t="s">
        <v>3273</v>
      </c>
      <c r="M3268" s="25">
        <f>DATE(YEAR(OneWeekMtgRatesDataTable75[[#This Row],[asOf]]),MONTH(OneWeekMtgRatesDataTable75[[#This Row],[asOf]]),DAY(OneWeekMtgRatesDataTable75[[#This Row],[asOf]]))</f>
        <v>37621</v>
      </c>
      <c r="N3268" s="51">
        <v>5.85</v>
      </c>
      <c r="O3268" s="51">
        <v>0.6</v>
      </c>
      <c r="P3268" s="51">
        <v>5.75</v>
      </c>
    </row>
    <row r="3269" spans="12:16">
      <c r="L3269" s="51" t="s">
        <v>3274</v>
      </c>
      <c r="M3269" s="25">
        <f>DATE(YEAR(OneWeekMtgRatesDataTable75[[#This Row],[asOf]]),MONTH(OneWeekMtgRatesDataTable75[[#This Row],[asOf]]),DAY(OneWeekMtgRatesDataTable75[[#This Row],[asOf]]))</f>
        <v>37620</v>
      </c>
      <c r="N3269" s="51">
        <v>5.85</v>
      </c>
      <c r="O3269" s="51">
        <v>0.6</v>
      </c>
      <c r="P3269" s="51">
        <v>5.75</v>
      </c>
    </row>
    <row r="3270" spans="12:16">
      <c r="L3270" s="51" t="s">
        <v>3275</v>
      </c>
      <c r="M3270" s="25">
        <f>DATE(YEAR(OneWeekMtgRatesDataTable75[[#This Row],[asOf]]),MONTH(OneWeekMtgRatesDataTable75[[#This Row],[asOf]]),DAY(OneWeekMtgRatesDataTable75[[#This Row],[asOf]]))</f>
        <v>37617</v>
      </c>
      <c r="N3270" s="51">
        <v>5.85</v>
      </c>
      <c r="O3270" s="51">
        <v>0.6</v>
      </c>
      <c r="P3270" s="51">
        <v>5.75</v>
      </c>
    </row>
    <row r="3271" spans="12:16">
      <c r="L3271" s="51" t="s">
        <v>3276</v>
      </c>
      <c r="M3271" s="25">
        <f>DATE(YEAR(OneWeekMtgRatesDataTable75[[#This Row],[asOf]]),MONTH(OneWeekMtgRatesDataTable75[[#This Row],[asOf]]),DAY(OneWeekMtgRatesDataTable75[[#This Row],[asOf]]))</f>
        <v>37616</v>
      </c>
      <c r="N3271" s="51">
        <v>5.93</v>
      </c>
      <c r="O3271" s="51">
        <v>0.6</v>
      </c>
      <c r="P3271" s="51">
        <v>5.83</v>
      </c>
    </row>
    <row r="3272" spans="12:16">
      <c r="L3272" s="51" t="s">
        <v>3277</v>
      </c>
      <c r="M3272" s="25">
        <f>DATE(YEAR(OneWeekMtgRatesDataTable75[[#This Row],[asOf]]),MONTH(OneWeekMtgRatesDataTable75[[#This Row],[asOf]]),DAY(OneWeekMtgRatesDataTable75[[#This Row],[asOf]]))</f>
        <v>37615</v>
      </c>
      <c r="N3272" s="51">
        <v>5.93</v>
      </c>
      <c r="O3272" s="51">
        <v>0.6</v>
      </c>
      <c r="P3272" s="51">
        <v>5.83</v>
      </c>
    </row>
    <row r="3273" spans="12:16">
      <c r="L3273" s="51" t="s">
        <v>3278</v>
      </c>
      <c r="M3273" s="25">
        <f>DATE(YEAR(OneWeekMtgRatesDataTable75[[#This Row],[asOf]]),MONTH(OneWeekMtgRatesDataTable75[[#This Row],[asOf]]),DAY(OneWeekMtgRatesDataTable75[[#This Row],[asOf]]))</f>
        <v>37614</v>
      </c>
      <c r="N3273" s="51">
        <v>5.93</v>
      </c>
      <c r="O3273" s="51">
        <v>0.6</v>
      </c>
      <c r="P3273" s="51">
        <v>5.83</v>
      </c>
    </row>
    <row r="3274" spans="12:16">
      <c r="L3274" s="51" t="s">
        <v>3279</v>
      </c>
      <c r="M3274" s="25">
        <f>DATE(YEAR(OneWeekMtgRatesDataTable75[[#This Row],[asOf]]),MONTH(OneWeekMtgRatesDataTable75[[#This Row],[asOf]]),DAY(OneWeekMtgRatesDataTable75[[#This Row],[asOf]]))</f>
        <v>37613</v>
      </c>
      <c r="N3274" s="51">
        <v>5.93</v>
      </c>
      <c r="O3274" s="51">
        <v>0.6</v>
      </c>
      <c r="P3274" s="51">
        <v>5.83</v>
      </c>
    </row>
    <row r="3275" spans="12:16">
      <c r="L3275" s="51" t="s">
        <v>3280</v>
      </c>
      <c r="M3275" s="25">
        <f>DATE(YEAR(OneWeekMtgRatesDataTable75[[#This Row],[asOf]]),MONTH(OneWeekMtgRatesDataTable75[[#This Row],[asOf]]),DAY(OneWeekMtgRatesDataTable75[[#This Row],[asOf]]))</f>
        <v>37610</v>
      </c>
      <c r="N3275" s="51">
        <v>5.93</v>
      </c>
      <c r="O3275" s="51">
        <v>0.6</v>
      </c>
      <c r="P3275" s="51">
        <v>5.83</v>
      </c>
    </row>
    <row r="3276" spans="12:16">
      <c r="L3276" s="51" t="s">
        <v>3281</v>
      </c>
      <c r="M3276" s="25">
        <f>DATE(YEAR(OneWeekMtgRatesDataTable75[[#This Row],[asOf]]),MONTH(OneWeekMtgRatesDataTable75[[#This Row],[asOf]]),DAY(OneWeekMtgRatesDataTable75[[#This Row],[asOf]]))</f>
        <v>37609</v>
      </c>
      <c r="N3276" s="51">
        <v>6.03</v>
      </c>
      <c r="O3276" s="51">
        <v>0.6</v>
      </c>
      <c r="P3276" s="51">
        <v>5.9300000000000006</v>
      </c>
    </row>
    <row r="3277" spans="12:16">
      <c r="L3277" s="51" t="s">
        <v>3282</v>
      </c>
      <c r="M3277" s="25">
        <f>DATE(YEAR(OneWeekMtgRatesDataTable75[[#This Row],[asOf]]),MONTH(OneWeekMtgRatesDataTable75[[#This Row],[asOf]]),DAY(OneWeekMtgRatesDataTable75[[#This Row],[asOf]]))</f>
        <v>37608</v>
      </c>
      <c r="N3277" s="51">
        <v>6.03</v>
      </c>
      <c r="O3277" s="51">
        <v>0.6</v>
      </c>
      <c r="P3277" s="51">
        <v>5.9300000000000006</v>
      </c>
    </row>
    <row r="3278" spans="12:16">
      <c r="L3278" s="51" t="s">
        <v>3283</v>
      </c>
      <c r="M3278" s="25">
        <f>DATE(YEAR(OneWeekMtgRatesDataTable75[[#This Row],[asOf]]),MONTH(OneWeekMtgRatesDataTable75[[#This Row],[asOf]]),DAY(OneWeekMtgRatesDataTable75[[#This Row],[asOf]]))</f>
        <v>37607</v>
      </c>
      <c r="N3278" s="51">
        <v>6.03</v>
      </c>
      <c r="O3278" s="51">
        <v>0.6</v>
      </c>
      <c r="P3278" s="51">
        <v>5.9300000000000006</v>
      </c>
    </row>
    <row r="3279" spans="12:16">
      <c r="L3279" s="51" t="s">
        <v>3284</v>
      </c>
      <c r="M3279" s="25">
        <f>DATE(YEAR(OneWeekMtgRatesDataTable75[[#This Row],[asOf]]),MONTH(OneWeekMtgRatesDataTable75[[#This Row],[asOf]]),DAY(OneWeekMtgRatesDataTable75[[#This Row],[asOf]]))</f>
        <v>37606</v>
      </c>
      <c r="N3279" s="51">
        <v>6.03</v>
      </c>
      <c r="O3279" s="51">
        <v>0.6</v>
      </c>
      <c r="P3279" s="51">
        <v>5.9300000000000006</v>
      </c>
    </row>
    <row r="3280" spans="12:16">
      <c r="L3280" s="51" t="s">
        <v>3285</v>
      </c>
      <c r="M3280" s="25">
        <f>DATE(YEAR(OneWeekMtgRatesDataTable75[[#This Row],[asOf]]),MONTH(OneWeekMtgRatesDataTable75[[#This Row],[asOf]]),DAY(OneWeekMtgRatesDataTable75[[#This Row],[asOf]]))</f>
        <v>37603</v>
      </c>
      <c r="N3280" s="51">
        <v>6.03</v>
      </c>
      <c r="O3280" s="51">
        <v>0.6</v>
      </c>
      <c r="P3280" s="51">
        <v>5.9300000000000006</v>
      </c>
    </row>
    <row r="3281" spans="12:16">
      <c r="L3281" s="51" t="s">
        <v>3286</v>
      </c>
      <c r="M3281" s="25">
        <f>DATE(YEAR(OneWeekMtgRatesDataTable75[[#This Row],[asOf]]),MONTH(OneWeekMtgRatesDataTable75[[#This Row],[asOf]]),DAY(OneWeekMtgRatesDataTable75[[#This Row],[asOf]]))</f>
        <v>37602</v>
      </c>
      <c r="N3281" s="51">
        <v>6.04</v>
      </c>
      <c r="O3281" s="51">
        <v>0.5</v>
      </c>
      <c r="P3281" s="51">
        <v>5.915</v>
      </c>
    </row>
    <row r="3282" spans="12:16">
      <c r="L3282" s="51" t="s">
        <v>3287</v>
      </c>
      <c r="M3282" s="25">
        <f>DATE(YEAR(OneWeekMtgRatesDataTable75[[#This Row],[asOf]]),MONTH(OneWeekMtgRatesDataTable75[[#This Row],[asOf]]),DAY(OneWeekMtgRatesDataTable75[[#This Row],[asOf]]))</f>
        <v>37601</v>
      </c>
      <c r="N3282" s="51">
        <v>6.04</v>
      </c>
      <c r="O3282" s="51">
        <v>0.5</v>
      </c>
      <c r="P3282" s="51">
        <v>5.915</v>
      </c>
    </row>
    <row r="3283" spans="12:16">
      <c r="L3283" s="51" t="s">
        <v>3288</v>
      </c>
      <c r="M3283" s="25">
        <f>DATE(YEAR(OneWeekMtgRatesDataTable75[[#This Row],[asOf]]),MONTH(OneWeekMtgRatesDataTable75[[#This Row],[asOf]]),DAY(OneWeekMtgRatesDataTable75[[#This Row],[asOf]]))</f>
        <v>37600</v>
      </c>
      <c r="N3283" s="51">
        <v>6.04</v>
      </c>
      <c r="O3283" s="51">
        <v>0.5</v>
      </c>
      <c r="P3283" s="51">
        <v>5.915</v>
      </c>
    </row>
    <row r="3284" spans="12:16">
      <c r="L3284" s="51" t="s">
        <v>3289</v>
      </c>
      <c r="M3284" s="25">
        <f>DATE(YEAR(OneWeekMtgRatesDataTable75[[#This Row],[asOf]]),MONTH(OneWeekMtgRatesDataTable75[[#This Row],[asOf]]),DAY(OneWeekMtgRatesDataTable75[[#This Row],[asOf]]))</f>
        <v>37599</v>
      </c>
      <c r="N3284" s="51">
        <v>6.04</v>
      </c>
      <c r="O3284" s="51">
        <v>0.5</v>
      </c>
      <c r="P3284" s="51">
        <v>5.915</v>
      </c>
    </row>
    <row r="3285" spans="12:16">
      <c r="L3285" s="51" t="s">
        <v>3290</v>
      </c>
      <c r="M3285" s="25">
        <f>DATE(YEAR(OneWeekMtgRatesDataTable75[[#This Row],[asOf]]),MONTH(OneWeekMtgRatesDataTable75[[#This Row],[asOf]]),DAY(OneWeekMtgRatesDataTable75[[#This Row],[asOf]]))</f>
        <v>37596</v>
      </c>
      <c r="N3285" s="51">
        <v>6.04</v>
      </c>
      <c r="O3285" s="51">
        <v>0.5</v>
      </c>
      <c r="P3285" s="51">
        <v>5.915</v>
      </c>
    </row>
    <row r="3286" spans="12:16">
      <c r="L3286" s="51" t="s">
        <v>3291</v>
      </c>
      <c r="M3286" s="25">
        <f>DATE(YEAR(OneWeekMtgRatesDataTable75[[#This Row],[asOf]]),MONTH(OneWeekMtgRatesDataTable75[[#This Row],[asOf]]),DAY(OneWeekMtgRatesDataTable75[[#This Row],[asOf]]))</f>
        <v>37595</v>
      </c>
      <c r="N3286" s="51">
        <v>6.19</v>
      </c>
      <c r="O3286" s="51">
        <v>0.5</v>
      </c>
      <c r="P3286" s="51">
        <v>6.0650000000000004</v>
      </c>
    </row>
    <row r="3287" spans="12:16">
      <c r="L3287" s="51" t="s">
        <v>3292</v>
      </c>
      <c r="M3287" s="25">
        <f>DATE(YEAR(OneWeekMtgRatesDataTable75[[#This Row],[asOf]]),MONTH(OneWeekMtgRatesDataTable75[[#This Row],[asOf]]),DAY(OneWeekMtgRatesDataTable75[[#This Row],[asOf]]))</f>
        <v>37594</v>
      </c>
      <c r="N3287" s="51">
        <v>6.19</v>
      </c>
      <c r="O3287" s="51">
        <v>0.5</v>
      </c>
      <c r="P3287" s="51">
        <v>6.0650000000000004</v>
      </c>
    </row>
    <row r="3288" spans="12:16">
      <c r="L3288" s="51" t="s">
        <v>3293</v>
      </c>
      <c r="M3288" s="25">
        <f>DATE(YEAR(OneWeekMtgRatesDataTable75[[#This Row],[asOf]]),MONTH(OneWeekMtgRatesDataTable75[[#This Row],[asOf]]),DAY(OneWeekMtgRatesDataTable75[[#This Row],[asOf]]))</f>
        <v>37593</v>
      </c>
      <c r="N3288" s="51">
        <v>6.19</v>
      </c>
      <c r="O3288" s="51">
        <v>0.5</v>
      </c>
      <c r="P3288" s="51">
        <v>6.0650000000000004</v>
      </c>
    </row>
    <row r="3289" spans="12:16">
      <c r="L3289" s="51" t="s">
        <v>3294</v>
      </c>
      <c r="M3289" s="25">
        <f>DATE(YEAR(OneWeekMtgRatesDataTable75[[#This Row],[asOf]]),MONTH(OneWeekMtgRatesDataTable75[[#This Row],[asOf]]),DAY(OneWeekMtgRatesDataTable75[[#This Row],[asOf]]))</f>
        <v>37592</v>
      </c>
      <c r="N3289" s="51">
        <v>6.19</v>
      </c>
      <c r="O3289" s="51">
        <v>0.5</v>
      </c>
      <c r="P3289" s="51">
        <v>6.0650000000000004</v>
      </c>
    </row>
    <row r="3290" spans="12:16">
      <c r="L3290" s="51" t="s">
        <v>3295</v>
      </c>
      <c r="M3290" s="25">
        <f>DATE(YEAR(OneWeekMtgRatesDataTable75[[#This Row],[asOf]]),MONTH(OneWeekMtgRatesDataTable75[[#This Row],[asOf]]),DAY(OneWeekMtgRatesDataTable75[[#This Row],[asOf]]))</f>
        <v>37589</v>
      </c>
      <c r="N3290" s="51">
        <v>6.19</v>
      </c>
      <c r="O3290" s="51">
        <v>0.5</v>
      </c>
      <c r="P3290" s="51">
        <v>6.0650000000000004</v>
      </c>
    </row>
    <row r="3291" spans="12:16">
      <c r="L3291" s="51" t="s">
        <v>3296</v>
      </c>
      <c r="M3291" s="25">
        <f>DATE(YEAR(OneWeekMtgRatesDataTable75[[#This Row],[asOf]]),MONTH(OneWeekMtgRatesDataTable75[[#This Row],[asOf]]),DAY(OneWeekMtgRatesDataTable75[[#This Row],[asOf]]))</f>
        <v>37588</v>
      </c>
      <c r="N3291" s="51">
        <v>6.13</v>
      </c>
      <c r="O3291" s="51">
        <v>0.6</v>
      </c>
      <c r="P3291" s="51">
        <v>6.03</v>
      </c>
    </row>
    <row r="3292" spans="12:16">
      <c r="L3292" s="51" t="s">
        <v>3297</v>
      </c>
      <c r="M3292" s="25">
        <f>DATE(YEAR(OneWeekMtgRatesDataTable75[[#This Row],[asOf]]),MONTH(OneWeekMtgRatesDataTable75[[#This Row],[asOf]]),DAY(OneWeekMtgRatesDataTable75[[#This Row],[asOf]]))</f>
        <v>37587</v>
      </c>
      <c r="N3292" s="51">
        <v>6.13</v>
      </c>
      <c r="O3292" s="51">
        <v>0.6</v>
      </c>
      <c r="P3292" s="51">
        <v>6.03</v>
      </c>
    </row>
    <row r="3293" spans="12:16">
      <c r="L3293" s="51" t="s">
        <v>3298</v>
      </c>
      <c r="M3293" s="25">
        <f>DATE(YEAR(OneWeekMtgRatesDataTable75[[#This Row],[asOf]]),MONTH(OneWeekMtgRatesDataTable75[[#This Row],[asOf]]),DAY(OneWeekMtgRatesDataTable75[[#This Row],[asOf]]))</f>
        <v>37586</v>
      </c>
      <c r="N3293" s="51">
        <v>6.13</v>
      </c>
      <c r="O3293" s="51">
        <v>0.6</v>
      </c>
      <c r="P3293" s="51">
        <v>6.03</v>
      </c>
    </row>
    <row r="3294" spans="12:16">
      <c r="L3294" s="51" t="s">
        <v>3299</v>
      </c>
      <c r="M3294" s="25">
        <f>DATE(YEAR(OneWeekMtgRatesDataTable75[[#This Row],[asOf]]),MONTH(OneWeekMtgRatesDataTable75[[#This Row],[asOf]]),DAY(OneWeekMtgRatesDataTable75[[#This Row],[asOf]]))</f>
        <v>37585</v>
      </c>
      <c r="N3294" s="51">
        <v>6.13</v>
      </c>
      <c r="O3294" s="51">
        <v>0.6</v>
      </c>
      <c r="P3294" s="51">
        <v>6.03</v>
      </c>
    </row>
    <row r="3295" spans="12:16">
      <c r="L3295" s="51" t="s">
        <v>3300</v>
      </c>
      <c r="M3295" s="25">
        <f>DATE(YEAR(OneWeekMtgRatesDataTable75[[#This Row],[asOf]]),MONTH(OneWeekMtgRatesDataTable75[[#This Row],[asOf]]),DAY(OneWeekMtgRatesDataTable75[[#This Row],[asOf]]))</f>
        <v>37582</v>
      </c>
      <c r="N3295" s="51">
        <v>6.13</v>
      </c>
      <c r="O3295" s="51">
        <v>0.6</v>
      </c>
      <c r="P3295" s="51">
        <v>6.03</v>
      </c>
    </row>
    <row r="3296" spans="12:16">
      <c r="L3296" s="51" t="s">
        <v>3301</v>
      </c>
      <c r="M3296" s="25">
        <f>DATE(YEAR(OneWeekMtgRatesDataTable75[[#This Row],[asOf]]),MONTH(OneWeekMtgRatesDataTable75[[#This Row],[asOf]]),DAY(OneWeekMtgRatesDataTable75[[#This Row],[asOf]]))</f>
        <v>37581</v>
      </c>
      <c r="N3296" s="51">
        <v>6.03</v>
      </c>
      <c r="O3296" s="51">
        <v>0.6</v>
      </c>
      <c r="P3296" s="51">
        <v>5.9300000000000006</v>
      </c>
    </row>
    <row r="3297" spans="12:16">
      <c r="L3297" s="51" t="s">
        <v>3302</v>
      </c>
      <c r="M3297" s="25">
        <f>DATE(YEAR(OneWeekMtgRatesDataTable75[[#This Row],[asOf]]),MONTH(OneWeekMtgRatesDataTable75[[#This Row],[asOf]]),DAY(OneWeekMtgRatesDataTable75[[#This Row],[asOf]]))</f>
        <v>37580</v>
      </c>
      <c r="N3297" s="51">
        <v>6.03</v>
      </c>
      <c r="O3297" s="51">
        <v>0.6</v>
      </c>
      <c r="P3297" s="51">
        <v>5.9300000000000006</v>
      </c>
    </row>
    <row r="3298" spans="12:16">
      <c r="L3298" s="51" t="s">
        <v>3303</v>
      </c>
      <c r="M3298" s="25">
        <f>DATE(YEAR(OneWeekMtgRatesDataTable75[[#This Row],[asOf]]),MONTH(OneWeekMtgRatesDataTable75[[#This Row],[asOf]]),DAY(OneWeekMtgRatesDataTable75[[#This Row],[asOf]]))</f>
        <v>37579</v>
      </c>
      <c r="N3298" s="51">
        <v>6.03</v>
      </c>
      <c r="O3298" s="51">
        <v>0.6</v>
      </c>
      <c r="P3298" s="51">
        <v>5.9300000000000006</v>
      </c>
    </row>
    <row r="3299" spans="12:16">
      <c r="L3299" s="51" t="s">
        <v>3304</v>
      </c>
      <c r="M3299" s="25">
        <f>DATE(YEAR(OneWeekMtgRatesDataTable75[[#This Row],[asOf]]),MONTH(OneWeekMtgRatesDataTable75[[#This Row],[asOf]]),DAY(OneWeekMtgRatesDataTable75[[#This Row],[asOf]]))</f>
        <v>37578</v>
      </c>
      <c r="N3299" s="51">
        <v>6.03</v>
      </c>
      <c r="O3299" s="51">
        <v>0.6</v>
      </c>
      <c r="P3299" s="51">
        <v>5.9300000000000006</v>
      </c>
    </row>
    <row r="3300" spans="12:16">
      <c r="L3300" s="51" t="s">
        <v>3305</v>
      </c>
      <c r="M3300" s="25">
        <f>DATE(YEAR(OneWeekMtgRatesDataTable75[[#This Row],[asOf]]),MONTH(OneWeekMtgRatesDataTable75[[#This Row],[asOf]]),DAY(OneWeekMtgRatesDataTable75[[#This Row],[asOf]]))</f>
        <v>37575</v>
      </c>
      <c r="N3300" s="51">
        <v>6.03</v>
      </c>
      <c r="O3300" s="51">
        <v>0.6</v>
      </c>
      <c r="P3300" s="51">
        <v>5.9300000000000006</v>
      </c>
    </row>
    <row r="3301" spans="12:16">
      <c r="L3301" s="51" t="s">
        <v>3306</v>
      </c>
      <c r="M3301" s="25">
        <f>DATE(YEAR(OneWeekMtgRatesDataTable75[[#This Row],[asOf]]),MONTH(OneWeekMtgRatesDataTable75[[#This Row],[asOf]]),DAY(OneWeekMtgRatesDataTable75[[#This Row],[asOf]]))</f>
        <v>37574</v>
      </c>
      <c r="N3301" s="51">
        <v>5.94</v>
      </c>
      <c r="O3301" s="51">
        <v>0.6</v>
      </c>
      <c r="P3301" s="51">
        <v>5.8400000000000007</v>
      </c>
    </row>
    <row r="3302" spans="12:16">
      <c r="L3302" s="51" t="s">
        <v>3307</v>
      </c>
      <c r="M3302" s="25">
        <f>DATE(YEAR(OneWeekMtgRatesDataTable75[[#This Row],[asOf]]),MONTH(OneWeekMtgRatesDataTable75[[#This Row],[asOf]]),DAY(OneWeekMtgRatesDataTable75[[#This Row],[asOf]]))</f>
        <v>37573</v>
      </c>
      <c r="N3302" s="51">
        <v>5.94</v>
      </c>
      <c r="O3302" s="51">
        <v>0.6</v>
      </c>
      <c r="P3302" s="51">
        <v>5.8400000000000007</v>
      </c>
    </row>
    <row r="3303" spans="12:16">
      <c r="L3303" s="51" t="s">
        <v>3308</v>
      </c>
      <c r="M3303" s="25">
        <f>DATE(YEAR(OneWeekMtgRatesDataTable75[[#This Row],[asOf]]),MONTH(OneWeekMtgRatesDataTable75[[#This Row],[asOf]]),DAY(OneWeekMtgRatesDataTable75[[#This Row],[asOf]]))</f>
        <v>37572</v>
      </c>
      <c r="N3303" s="51">
        <v>5.94</v>
      </c>
      <c r="O3303" s="51">
        <v>0.6</v>
      </c>
      <c r="P3303" s="51">
        <v>5.8400000000000007</v>
      </c>
    </row>
    <row r="3304" spans="12:16">
      <c r="L3304" s="51" t="s">
        <v>3309</v>
      </c>
      <c r="M3304" s="25">
        <f>DATE(YEAR(OneWeekMtgRatesDataTable75[[#This Row],[asOf]]),MONTH(OneWeekMtgRatesDataTable75[[#This Row],[asOf]]),DAY(OneWeekMtgRatesDataTable75[[#This Row],[asOf]]))</f>
        <v>37571</v>
      </c>
      <c r="N3304" s="51">
        <v>5.94</v>
      </c>
      <c r="O3304" s="51">
        <v>0.6</v>
      </c>
      <c r="P3304" s="51">
        <v>5.8400000000000007</v>
      </c>
    </row>
    <row r="3305" spans="12:16">
      <c r="L3305" s="51" t="s">
        <v>3310</v>
      </c>
      <c r="M3305" s="25">
        <f>DATE(YEAR(OneWeekMtgRatesDataTable75[[#This Row],[asOf]]),MONTH(OneWeekMtgRatesDataTable75[[#This Row],[asOf]]),DAY(OneWeekMtgRatesDataTable75[[#This Row],[asOf]]))</f>
        <v>37568</v>
      </c>
      <c r="N3305" s="51">
        <v>5.94</v>
      </c>
      <c r="O3305" s="51">
        <v>0.6</v>
      </c>
      <c r="P3305" s="51">
        <v>5.8400000000000007</v>
      </c>
    </row>
    <row r="3306" spans="12:16">
      <c r="L3306" s="51" t="s">
        <v>3311</v>
      </c>
      <c r="M3306" s="25">
        <f>DATE(YEAR(OneWeekMtgRatesDataTable75[[#This Row],[asOf]]),MONTH(OneWeekMtgRatesDataTable75[[#This Row],[asOf]]),DAY(OneWeekMtgRatesDataTable75[[#This Row],[asOf]]))</f>
        <v>37567</v>
      </c>
      <c r="N3306" s="51">
        <v>6.11</v>
      </c>
      <c r="O3306" s="51">
        <v>0.6</v>
      </c>
      <c r="P3306" s="51">
        <v>6.0100000000000007</v>
      </c>
    </row>
    <row r="3307" spans="12:16">
      <c r="L3307" s="51" t="s">
        <v>3312</v>
      </c>
      <c r="M3307" s="25">
        <f>DATE(YEAR(OneWeekMtgRatesDataTable75[[#This Row],[asOf]]),MONTH(OneWeekMtgRatesDataTable75[[#This Row],[asOf]]),DAY(OneWeekMtgRatesDataTable75[[#This Row],[asOf]]))</f>
        <v>37566</v>
      </c>
      <c r="N3307" s="51">
        <v>6.11</v>
      </c>
      <c r="O3307" s="51">
        <v>0.6</v>
      </c>
      <c r="P3307" s="51">
        <v>6.0100000000000007</v>
      </c>
    </row>
    <row r="3308" spans="12:16">
      <c r="L3308" s="51" t="s">
        <v>3313</v>
      </c>
      <c r="M3308" s="25">
        <f>DATE(YEAR(OneWeekMtgRatesDataTable75[[#This Row],[asOf]]),MONTH(OneWeekMtgRatesDataTable75[[#This Row],[asOf]]),DAY(OneWeekMtgRatesDataTable75[[#This Row],[asOf]]))</f>
        <v>37565</v>
      </c>
      <c r="N3308" s="51">
        <v>6.11</v>
      </c>
      <c r="O3308" s="51">
        <v>0.6</v>
      </c>
      <c r="P3308" s="51">
        <v>6.0100000000000007</v>
      </c>
    </row>
    <row r="3309" spans="12:16">
      <c r="L3309" s="51" t="s">
        <v>3314</v>
      </c>
      <c r="M3309" s="25">
        <f>DATE(YEAR(OneWeekMtgRatesDataTable75[[#This Row],[asOf]]),MONTH(OneWeekMtgRatesDataTable75[[#This Row],[asOf]]),DAY(OneWeekMtgRatesDataTable75[[#This Row],[asOf]]))</f>
        <v>37564</v>
      </c>
      <c r="N3309" s="51">
        <v>6.11</v>
      </c>
      <c r="O3309" s="51">
        <v>0.6</v>
      </c>
      <c r="P3309" s="51">
        <v>6.0100000000000007</v>
      </c>
    </row>
    <row r="3310" spans="12:16">
      <c r="L3310" s="51" t="s">
        <v>3315</v>
      </c>
      <c r="M3310" s="25">
        <f>DATE(YEAR(OneWeekMtgRatesDataTable75[[#This Row],[asOf]]),MONTH(OneWeekMtgRatesDataTable75[[#This Row],[asOf]]),DAY(OneWeekMtgRatesDataTable75[[#This Row],[asOf]]))</f>
        <v>37561</v>
      </c>
      <c r="N3310" s="51">
        <v>6.11</v>
      </c>
      <c r="O3310" s="51">
        <v>0.6</v>
      </c>
      <c r="P3310" s="51">
        <v>6.0100000000000007</v>
      </c>
    </row>
    <row r="3311" spans="12:16">
      <c r="L3311" s="51" t="s">
        <v>3316</v>
      </c>
      <c r="M3311" s="25">
        <f>DATE(YEAR(OneWeekMtgRatesDataTable75[[#This Row],[asOf]]),MONTH(OneWeekMtgRatesDataTable75[[#This Row],[asOf]]),DAY(OneWeekMtgRatesDataTable75[[#This Row],[asOf]]))</f>
        <v>37560</v>
      </c>
      <c r="N3311" s="51">
        <v>6.13</v>
      </c>
      <c r="O3311" s="51">
        <v>0.6</v>
      </c>
      <c r="P3311" s="51">
        <v>6.03</v>
      </c>
    </row>
    <row r="3312" spans="12:16">
      <c r="L3312" s="51" t="s">
        <v>3317</v>
      </c>
      <c r="M3312" s="25">
        <f>DATE(YEAR(OneWeekMtgRatesDataTable75[[#This Row],[asOf]]),MONTH(OneWeekMtgRatesDataTable75[[#This Row],[asOf]]),DAY(OneWeekMtgRatesDataTable75[[#This Row],[asOf]]))</f>
        <v>37559</v>
      </c>
      <c r="N3312" s="51">
        <v>6.13</v>
      </c>
      <c r="O3312" s="51">
        <v>0.6</v>
      </c>
      <c r="P3312" s="51">
        <v>6.03</v>
      </c>
    </row>
    <row r="3313" spans="12:16">
      <c r="L3313" s="51" t="s">
        <v>3318</v>
      </c>
      <c r="M3313" s="25">
        <f>DATE(YEAR(OneWeekMtgRatesDataTable75[[#This Row],[asOf]]),MONTH(OneWeekMtgRatesDataTable75[[#This Row],[asOf]]),DAY(OneWeekMtgRatesDataTable75[[#This Row],[asOf]]))</f>
        <v>37558</v>
      </c>
      <c r="N3313" s="51">
        <v>6.13</v>
      </c>
      <c r="O3313" s="51">
        <v>0.6</v>
      </c>
      <c r="P3313" s="51">
        <v>6.03</v>
      </c>
    </row>
    <row r="3314" spans="12:16">
      <c r="L3314" s="51" t="s">
        <v>3319</v>
      </c>
      <c r="M3314" s="25">
        <f>DATE(YEAR(OneWeekMtgRatesDataTable75[[#This Row],[asOf]]),MONTH(OneWeekMtgRatesDataTable75[[#This Row],[asOf]]),DAY(OneWeekMtgRatesDataTable75[[#This Row],[asOf]]))</f>
        <v>37557</v>
      </c>
      <c r="N3314" s="51">
        <v>6.13</v>
      </c>
      <c r="O3314" s="51">
        <v>0.6</v>
      </c>
      <c r="P3314" s="51">
        <v>6.03</v>
      </c>
    </row>
    <row r="3315" spans="12:16">
      <c r="L3315" s="51" t="s">
        <v>3320</v>
      </c>
      <c r="M3315" s="25">
        <f>DATE(YEAR(OneWeekMtgRatesDataTable75[[#This Row],[asOf]]),MONTH(OneWeekMtgRatesDataTable75[[#This Row],[asOf]]),DAY(OneWeekMtgRatesDataTable75[[#This Row],[asOf]]))</f>
        <v>37554</v>
      </c>
      <c r="N3315" s="51">
        <v>6.13</v>
      </c>
      <c r="O3315" s="51">
        <v>0.6</v>
      </c>
      <c r="P3315" s="51">
        <v>6.03</v>
      </c>
    </row>
    <row r="3316" spans="12:16">
      <c r="L3316" s="51" t="s">
        <v>3321</v>
      </c>
      <c r="M3316" s="25">
        <f>DATE(YEAR(OneWeekMtgRatesDataTable75[[#This Row],[asOf]]),MONTH(OneWeekMtgRatesDataTable75[[#This Row],[asOf]]),DAY(OneWeekMtgRatesDataTable75[[#This Row],[asOf]]))</f>
        <v>37553</v>
      </c>
      <c r="N3316" s="51">
        <v>6.31</v>
      </c>
      <c r="O3316" s="51">
        <v>0.6</v>
      </c>
      <c r="P3316" s="51">
        <v>6.21</v>
      </c>
    </row>
    <row r="3317" spans="12:16">
      <c r="L3317" s="51" t="s">
        <v>3322</v>
      </c>
      <c r="M3317" s="25">
        <f>DATE(YEAR(OneWeekMtgRatesDataTable75[[#This Row],[asOf]]),MONTH(OneWeekMtgRatesDataTable75[[#This Row],[asOf]]),DAY(OneWeekMtgRatesDataTable75[[#This Row],[asOf]]))</f>
        <v>37552</v>
      </c>
      <c r="N3317" s="51">
        <v>6.31</v>
      </c>
      <c r="O3317" s="51">
        <v>0.6</v>
      </c>
      <c r="P3317" s="51">
        <v>6.21</v>
      </c>
    </row>
    <row r="3318" spans="12:16">
      <c r="L3318" s="51" t="s">
        <v>3323</v>
      </c>
      <c r="M3318" s="25">
        <f>DATE(YEAR(OneWeekMtgRatesDataTable75[[#This Row],[asOf]]),MONTH(OneWeekMtgRatesDataTable75[[#This Row],[asOf]]),DAY(OneWeekMtgRatesDataTable75[[#This Row],[asOf]]))</f>
        <v>37551</v>
      </c>
      <c r="N3318" s="51">
        <v>6.31</v>
      </c>
      <c r="O3318" s="51">
        <v>0.6</v>
      </c>
      <c r="P3318" s="51">
        <v>6.21</v>
      </c>
    </row>
    <row r="3319" spans="12:16">
      <c r="L3319" s="51" t="s">
        <v>3324</v>
      </c>
      <c r="M3319" s="25">
        <f>DATE(YEAR(OneWeekMtgRatesDataTable75[[#This Row],[asOf]]),MONTH(OneWeekMtgRatesDataTable75[[#This Row],[asOf]]),DAY(OneWeekMtgRatesDataTable75[[#This Row],[asOf]]))</f>
        <v>37550</v>
      </c>
      <c r="N3319" s="51">
        <v>6.31</v>
      </c>
      <c r="O3319" s="51">
        <v>0.6</v>
      </c>
      <c r="P3319" s="51">
        <v>6.21</v>
      </c>
    </row>
    <row r="3320" spans="12:16">
      <c r="L3320" s="51" t="s">
        <v>3325</v>
      </c>
      <c r="M3320" s="25">
        <f>DATE(YEAR(OneWeekMtgRatesDataTable75[[#This Row],[asOf]]),MONTH(OneWeekMtgRatesDataTable75[[#This Row],[asOf]]),DAY(OneWeekMtgRatesDataTable75[[#This Row],[asOf]]))</f>
        <v>37547</v>
      </c>
      <c r="N3320" s="51">
        <v>6.31</v>
      </c>
      <c r="O3320" s="51">
        <v>0.6</v>
      </c>
      <c r="P3320" s="51">
        <v>6.21</v>
      </c>
    </row>
    <row r="3321" spans="12:16">
      <c r="L3321" s="51" t="s">
        <v>3326</v>
      </c>
      <c r="M3321" s="25">
        <f>DATE(YEAR(OneWeekMtgRatesDataTable75[[#This Row],[asOf]]),MONTH(OneWeekMtgRatesDataTable75[[#This Row],[asOf]]),DAY(OneWeekMtgRatesDataTable75[[#This Row],[asOf]]))</f>
        <v>37546</v>
      </c>
      <c r="N3321" s="51">
        <v>6.15</v>
      </c>
      <c r="O3321" s="51">
        <v>0.5</v>
      </c>
      <c r="P3321" s="51">
        <v>6.0250000000000004</v>
      </c>
    </row>
    <row r="3322" spans="12:16">
      <c r="L3322" s="51" t="s">
        <v>3327</v>
      </c>
      <c r="M3322" s="25">
        <f>DATE(YEAR(OneWeekMtgRatesDataTable75[[#This Row],[asOf]]),MONTH(OneWeekMtgRatesDataTable75[[#This Row],[asOf]]),DAY(OneWeekMtgRatesDataTable75[[#This Row],[asOf]]))</f>
        <v>37545</v>
      </c>
      <c r="N3322" s="51">
        <v>6.15</v>
      </c>
      <c r="O3322" s="51">
        <v>0.5</v>
      </c>
      <c r="P3322" s="51">
        <v>6.0250000000000004</v>
      </c>
    </row>
    <row r="3323" spans="12:16">
      <c r="L3323" s="51" t="s">
        <v>3328</v>
      </c>
      <c r="M3323" s="25">
        <f>DATE(YEAR(OneWeekMtgRatesDataTable75[[#This Row],[asOf]]),MONTH(OneWeekMtgRatesDataTable75[[#This Row],[asOf]]),DAY(OneWeekMtgRatesDataTable75[[#This Row],[asOf]]))</f>
        <v>37544</v>
      </c>
      <c r="N3323" s="51">
        <v>6.15</v>
      </c>
      <c r="O3323" s="51">
        <v>0.5</v>
      </c>
      <c r="P3323" s="51">
        <v>6.0250000000000004</v>
      </c>
    </row>
    <row r="3324" spans="12:16">
      <c r="L3324" s="51" t="s">
        <v>3329</v>
      </c>
      <c r="M3324" s="25">
        <f>DATE(YEAR(OneWeekMtgRatesDataTable75[[#This Row],[asOf]]),MONTH(OneWeekMtgRatesDataTable75[[#This Row],[asOf]]),DAY(OneWeekMtgRatesDataTable75[[#This Row],[asOf]]))</f>
        <v>37543</v>
      </c>
      <c r="N3324" s="51">
        <v>6.15</v>
      </c>
      <c r="O3324" s="51">
        <v>0.5</v>
      </c>
      <c r="P3324" s="51">
        <v>6.0250000000000004</v>
      </c>
    </row>
    <row r="3325" spans="12:16">
      <c r="L3325" s="51" t="s">
        <v>3330</v>
      </c>
      <c r="M3325" s="25">
        <f>DATE(YEAR(OneWeekMtgRatesDataTable75[[#This Row],[asOf]]),MONTH(OneWeekMtgRatesDataTable75[[#This Row],[asOf]]),DAY(OneWeekMtgRatesDataTable75[[#This Row],[asOf]]))</f>
        <v>37540</v>
      </c>
      <c r="N3325" s="51">
        <v>6.15</v>
      </c>
      <c r="O3325" s="51">
        <v>0.5</v>
      </c>
      <c r="P3325" s="51">
        <v>6.0250000000000004</v>
      </c>
    </row>
    <row r="3326" spans="12:16">
      <c r="L3326" s="51" t="s">
        <v>3331</v>
      </c>
      <c r="M3326" s="25">
        <f>DATE(YEAR(OneWeekMtgRatesDataTable75[[#This Row],[asOf]]),MONTH(OneWeekMtgRatesDataTable75[[#This Row],[asOf]]),DAY(OneWeekMtgRatesDataTable75[[#This Row],[asOf]]))</f>
        <v>37539</v>
      </c>
      <c r="N3326" s="51">
        <v>5.98</v>
      </c>
      <c r="O3326" s="51">
        <v>0.6</v>
      </c>
      <c r="P3326" s="51">
        <v>5.8800000000000008</v>
      </c>
    </row>
    <row r="3327" spans="12:16">
      <c r="L3327" s="51" t="s">
        <v>3332</v>
      </c>
      <c r="M3327" s="25">
        <f>DATE(YEAR(OneWeekMtgRatesDataTable75[[#This Row],[asOf]]),MONTH(OneWeekMtgRatesDataTable75[[#This Row],[asOf]]),DAY(OneWeekMtgRatesDataTable75[[#This Row],[asOf]]))</f>
        <v>37538</v>
      </c>
      <c r="N3327" s="51">
        <v>5.98</v>
      </c>
      <c r="O3327" s="51">
        <v>0.6</v>
      </c>
      <c r="P3327" s="51">
        <v>5.8800000000000008</v>
      </c>
    </row>
    <row r="3328" spans="12:16">
      <c r="L3328" s="51" t="s">
        <v>3333</v>
      </c>
      <c r="M3328" s="25">
        <f>DATE(YEAR(OneWeekMtgRatesDataTable75[[#This Row],[asOf]]),MONTH(OneWeekMtgRatesDataTable75[[#This Row],[asOf]]),DAY(OneWeekMtgRatesDataTable75[[#This Row],[asOf]]))</f>
        <v>37537</v>
      </c>
      <c r="N3328" s="51">
        <v>5.98</v>
      </c>
      <c r="O3328" s="51">
        <v>0.6</v>
      </c>
      <c r="P3328" s="51">
        <v>5.8800000000000008</v>
      </c>
    </row>
    <row r="3329" spans="12:16">
      <c r="L3329" s="51" t="s">
        <v>3334</v>
      </c>
      <c r="M3329" s="25">
        <f>DATE(YEAR(OneWeekMtgRatesDataTable75[[#This Row],[asOf]]),MONTH(OneWeekMtgRatesDataTable75[[#This Row],[asOf]]),DAY(OneWeekMtgRatesDataTable75[[#This Row],[asOf]]))</f>
        <v>37536</v>
      </c>
      <c r="N3329" s="51">
        <v>5.98</v>
      </c>
      <c r="O3329" s="51">
        <v>0.6</v>
      </c>
      <c r="P3329" s="51">
        <v>5.8800000000000008</v>
      </c>
    </row>
    <row r="3330" spans="12:16">
      <c r="L3330" s="51" t="s">
        <v>3335</v>
      </c>
      <c r="M3330" s="25">
        <f>DATE(YEAR(OneWeekMtgRatesDataTable75[[#This Row],[asOf]]),MONTH(OneWeekMtgRatesDataTable75[[#This Row],[asOf]]),DAY(OneWeekMtgRatesDataTable75[[#This Row],[asOf]]))</f>
        <v>37533</v>
      </c>
      <c r="N3330" s="51">
        <v>5.98</v>
      </c>
      <c r="O3330" s="51">
        <v>0.6</v>
      </c>
      <c r="P3330" s="51">
        <v>5.8800000000000008</v>
      </c>
    </row>
    <row r="3331" spans="12:16">
      <c r="L3331" s="51" t="s">
        <v>3336</v>
      </c>
      <c r="M3331" s="25">
        <f>DATE(YEAR(OneWeekMtgRatesDataTable75[[#This Row],[asOf]]),MONTH(OneWeekMtgRatesDataTable75[[#This Row],[asOf]]),DAY(OneWeekMtgRatesDataTable75[[#This Row],[asOf]]))</f>
        <v>37532</v>
      </c>
      <c r="N3331" s="51">
        <v>6.01</v>
      </c>
      <c r="O3331" s="51">
        <v>0.5</v>
      </c>
      <c r="P3331" s="51">
        <v>5.8849999999999998</v>
      </c>
    </row>
    <row r="3332" spans="12:16">
      <c r="L3332" s="51" t="s">
        <v>3337</v>
      </c>
      <c r="M3332" s="25">
        <f>DATE(YEAR(OneWeekMtgRatesDataTable75[[#This Row],[asOf]]),MONTH(OneWeekMtgRatesDataTable75[[#This Row],[asOf]]),DAY(OneWeekMtgRatesDataTable75[[#This Row],[asOf]]))</f>
        <v>37531</v>
      </c>
      <c r="N3332" s="51">
        <v>6.01</v>
      </c>
      <c r="O3332" s="51">
        <v>0.5</v>
      </c>
      <c r="P3332" s="51">
        <v>5.8849999999999998</v>
      </c>
    </row>
    <row r="3333" spans="12:16">
      <c r="L3333" s="51" t="s">
        <v>3338</v>
      </c>
      <c r="M3333" s="25">
        <f>DATE(YEAR(OneWeekMtgRatesDataTable75[[#This Row],[asOf]]),MONTH(OneWeekMtgRatesDataTable75[[#This Row],[asOf]]),DAY(OneWeekMtgRatesDataTable75[[#This Row],[asOf]]))</f>
        <v>37530</v>
      </c>
      <c r="N3333" s="51">
        <v>6.01</v>
      </c>
      <c r="O3333" s="51">
        <v>0.5</v>
      </c>
      <c r="P3333" s="51">
        <v>5.8849999999999998</v>
      </c>
    </row>
    <row r="3334" spans="12:16">
      <c r="L3334" s="51" t="s">
        <v>3339</v>
      </c>
      <c r="M3334" s="25">
        <f>DATE(YEAR(OneWeekMtgRatesDataTable75[[#This Row],[asOf]]),MONTH(OneWeekMtgRatesDataTable75[[#This Row],[asOf]]),DAY(OneWeekMtgRatesDataTable75[[#This Row],[asOf]]))</f>
        <v>37529</v>
      </c>
      <c r="N3334" s="51">
        <v>6.01</v>
      </c>
      <c r="O3334" s="51">
        <v>0.5</v>
      </c>
      <c r="P3334" s="51">
        <v>5.8849999999999998</v>
      </c>
    </row>
    <row r="3335" spans="12:16">
      <c r="L3335" s="51" t="s">
        <v>3340</v>
      </c>
      <c r="M3335" s="25">
        <f>DATE(YEAR(OneWeekMtgRatesDataTable75[[#This Row],[asOf]]),MONTH(OneWeekMtgRatesDataTable75[[#This Row],[asOf]]),DAY(OneWeekMtgRatesDataTable75[[#This Row],[asOf]]))</f>
        <v>37526</v>
      </c>
      <c r="N3335" s="51">
        <v>6.01</v>
      </c>
      <c r="O3335" s="51">
        <v>0.5</v>
      </c>
      <c r="P3335" s="51">
        <v>5.8849999999999998</v>
      </c>
    </row>
    <row r="3336" spans="12:16">
      <c r="L3336" s="51" t="s">
        <v>3341</v>
      </c>
      <c r="M3336" s="25">
        <f>DATE(YEAR(OneWeekMtgRatesDataTable75[[#This Row],[asOf]]),MONTH(OneWeekMtgRatesDataTable75[[#This Row],[asOf]]),DAY(OneWeekMtgRatesDataTable75[[#This Row],[asOf]]))</f>
        <v>37525</v>
      </c>
      <c r="N3336" s="51">
        <v>5.99</v>
      </c>
      <c r="O3336" s="51">
        <v>0.6</v>
      </c>
      <c r="P3336" s="51">
        <v>5.8900000000000006</v>
      </c>
    </row>
    <row r="3337" spans="12:16">
      <c r="L3337" s="51" t="s">
        <v>3342</v>
      </c>
      <c r="M3337" s="25">
        <f>DATE(YEAR(OneWeekMtgRatesDataTable75[[#This Row],[asOf]]),MONTH(OneWeekMtgRatesDataTable75[[#This Row],[asOf]]),DAY(OneWeekMtgRatesDataTable75[[#This Row],[asOf]]))</f>
        <v>37524</v>
      </c>
      <c r="N3337" s="51">
        <v>5.99</v>
      </c>
      <c r="O3337" s="51">
        <v>0.6</v>
      </c>
      <c r="P3337" s="51">
        <v>5.8900000000000006</v>
      </c>
    </row>
    <row r="3338" spans="12:16">
      <c r="L3338" s="51" t="s">
        <v>3343</v>
      </c>
      <c r="M3338" s="25">
        <f>DATE(YEAR(OneWeekMtgRatesDataTable75[[#This Row],[asOf]]),MONTH(OneWeekMtgRatesDataTable75[[#This Row],[asOf]]),DAY(OneWeekMtgRatesDataTable75[[#This Row],[asOf]]))</f>
        <v>37523</v>
      </c>
      <c r="N3338" s="51">
        <v>5.99</v>
      </c>
      <c r="O3338" s="51">
        <v>0.6</v>
      </c>
      <c r="P3338" s="51">
        <v>5.8900000000000006</v>
      </c>
    </row>
    <row r="3339" spans="12:16">
      <c r="L3339" s="51" t="s">
        <v>3344</v>
      </c>
      <c r="M3339" s="25">
        <f>DATE(YEAR(OneWeekMtgRatesDataTable75[[#This Row],[asOf]]),MONTH(OneWeekMtgRatesDataTable75[[#This Row],[asOf]]),DAY(OneWeekMtgRatesDataTable75[[#This Row],[asOf]]))</f>
        <v>37522</v>
      </c>
      <c r="N3339" s="51">
        <v>5.99</v>
      </c>
      <c r="O3339" s="51">
        <v>0.6</v>
      </c>
      <c r="P3339" s="51">
        <v>5.8900000000000006</v>
      </c>
    </row>
    <row r="3340" spans="12:16">
      <c r="L3340" s="51" t="s">
        <v>3345</v>
      </c>
      <c r="M3340" s="25">
        <f>DATE(YEAR(OneWeekMtgRatesDataTable75[[#This Row],[asOf]]),MONTH(OneWeekMtgRatesDataTable75[[#This Row],[asOf]]),DAY(OneWeekMtgRatesDataTable75[[#This Row],[asOf]]))</f>
        <v>37519</v>
      </c>
      <c r="N3340" s="51">
        <v>5.99</v>
      </c>
      <c r="O3340" s="51">
        <v>0.6</v>
      </c>
      <c r="P3340" s="51">
        <v>5.8900000000000006</v>
      </c>
    </row>
    <row r="3341" spans="12:16">
      <c r="L3341" s="51" t="s">
        <v>3346</v>
      </c>
      <c r="M3341" s="25">
        <f>DATE(YEAR(OneWeekMtgRatesDataTable75[[#This Row],[asOf]]),MONTH(OneWeekMtgRatesDataTable75[[#This Row],[asOf]]),DAY(OneWeekMtgRatesDataTable75[[#This Row],[asOf]]))</f>
        <v>37518</v>
      </c>
      <c r="N3341" s="51">
        <v>6.05</v>
      </c>
      <c r="O3341" s="51">
        <v>0.7</v>
      </c>
      <c r="P3341" s="51">
        <v>5.9749999999999996</v>
      </c>
    </row>
    <row r="3342" spans="12:16">
      <c r="L3342" s="51" t="s">
        <v>3347</v>
      </c>
      <c r="M3342" s="25">
        <f>DATE(YEAR(OneWeekMtgRatesDataTable75[[#This Row],[asOf]]),MONTH(OneWeekMtgRatesDataTable75[[#This Row],[asOf]]),DAY(OneWeekMtgRatesDataTable75[[#This Row],[asOf]]))</f>
        <v>37517</v>
      </c>
      <c r="N3342" s="51">
        <v>6.05</v>
      </c>
      <c r="O3342" s="51">
        <v>0.7</v>
      </c>
      <c r="P3342" s="51">
        <v>5.9749999999999996</v>
      </c>
    </row>
    <row r="3343" spans="12:16">
      <c r="L3343" s="51" t="s">
        <v>3348</v>
      </c>
      <c r="M3343" s="25">
        <f>DATE(YEAR(OneWeekMtgRatesDataTable75[[#This Row],[asOf]]),MONTH(OneWeekMtgRatesDataTable75[[#This Row],[asOf]]),DAY(OneWeekMtgRatesDataTable75[[#This Row],[asOf]]))</f>
        <v>37516</v>
      </c>
      <c r="N3343" s="51">
        <v>6.05</v>
      </c>
      <c r="O3343" s="51">
        <v>0.7</v>
      </c>
      <c r="P3343" s="51">
        <v>5.9749999999999996</v>
      </c>
    </row>
    <row r="3344" spans="12:16">
      <c r="L3344" s="51" t="s">
        <v>3349</v>
      </c>
      <c r="M3344" s="25">
        <f>DATE(YEAR(OneWeekMtgRatesDataTable75[[#This Row],[asOf]]),MONTH(OneWeekMtgRatesDataTable75[[#This Row],[asOf]]),DAY(OneWeekMtgRatesDataTable75[[#This Row],[asOf]]))</f>
        <v>37515</v>
      </c>
      <c r="N3344" s="51">
        <v>6.05</v>
      </c>
      <c r="O3344" s="51">
        <v>0.7</v>
      </c>
      <c r="P3344" s="51">
        <v>5.9749999999999996</v>
      </c>
    </row>
    <row r="3345" spans="12:16">
      <c r="L3345" s="51" t="s">
        <v>3350</v>
      </c>
      <c r="M3345" s="25">
        <f>DATE(YEAR(OneWeekMtgRatesDataTable75[[#This Row],[asOf]]),MONTH(OneWeekMtgRatesDataTable75[[#This Row],[asOf]]),DAY(OneWeekMtgRatesDataTable75[[#This Row],[asOf]]))</f>
        <v>37512</v>
      </c>
      <c r="N3345" s="51">
        <v>6.05</v>
      </c>
      <c r="O3345" s="51">
        <v>0.7</v>
      </c>
      <c r="P3345" s="51">
        <v>5.9749999999999996</v>
      </c>
    </row>
    <row r="3346" spans="12:16">
      <c r="L3346" s="51" t="s">
        <v>3351</v>
      </c>
      <c r="M3346" s="25">
        <f>DATE(YEAR(OneWeekMtgRatesDataTable75[[#This Row],[asOf]]),MONTH(OneWeekMtgRatesDataTable75[[#This Row],[asOf]]),DAY(OneWeekMtgRatesDataTable75[[#This Row],[asOf]]))</f>
        <v>37511</v>
      </c>
      <c r="N3346" s="51">
        <v>6.18</v>
      </c>
      <c r="O3346" s="51">
        <v>0.6</v>
      </c>
      <c r="P3346" s="51">
        <v>6.08</v>
      </c>
    </row>
    <row r="3347" spans="12:16">
      <c r="L3347" s="51" t="s">
        <v>3352</v>
      </c>
      <c r="M3347" s="25">
        <f>DATE(YEAR(OneWeekMtgRatesDataTable75[[#This Row],[asOf]]),MONTH(OneWeekMtgRatesDataTable75[[#This Row],[asOf]]),DAY(OneWeekMtgRatesDataTable75[[#This Row],[asOf]]))</f>
        <v>37510</v>
      </c>
      <c r="N3347" s="51">
        <v>6.18</v>
      </c>
      <c r="O3347" s="51">
        <v>0.6</v>
      </c>
      <c r="P3347" s="51">
        <v>6.08</v>
      </c>
    </row>
    <row r="3348" spans="12:16">
      <c r="L3348" s="51" t="s">
        <v>3353</v>
      </c>
      <c r="M3348" s="25">
        <f>DATE(YEAR(OneWeekMtgRatesDataTable75[[#This Row],[asOf]]),MONTH(OneWeekMtgRatesDataTable75[[#This Row],[asOf]]),DAY(OneWeekMtgRatesDataTable75[[#This Row],[asOf]]))</f>
        <v>37509</v>
      </c>
      <c r="N3348" s="51">
        <v>6.18</v>
      </c>
      <c r="O3348" s="51">
        <v>0.6</v>
      </c>
      <c r="P3348" s="51">
        <v>6.08</v>
      </c>
    </row>
    <row r="3349" spans="12:16">
      <c r="L3349" s="51" t="s">
        <v>3354</v>
      </c>
      <c r="M3349" s="25">
        <f>DATE(YEAR(OneWeekMtgRatesDataTable75[[#This Row],[asOf]]),MONTH(OneWeekMtgRatesDataTable75[[#This Row],[asOf]]),DAY(OneWeekMtgRatesDataTable75[[#This Row],[asOf]]))</f>
        <v>37508</v>
      </c>
      <c r="N3349" s="51">
        <v>6.18</v>
      </c>
      <c r="O3349" s="51">
        <v>0.6</v>
      </c>
      <c r="P3349" s="51">
        <v>6.08</v>
      </c>
    </row>
    <row r="3350" spans="12:16">
      <c r="L3350" s="51" t="s">
        <v>3355</v>
      </c>
      <c r="M3350" s="25">
        <f>DATE(YEAR(OneWeekMtgRatesDataTable75[[#This Row],[asOf]]),MONTH(OneWeekMtgRatesDataTable75[[#This Row],[asOf]]),DAY(OneWeekMtgRatesDataTable75[[#This Row],[asOf]]))</f>
        <v>37505</v>
      </c>
      <c r="N3350" s="51">
        <v>6.18</v>
      </c>
      <c r="O3350" s="51">
        <v>0.6</v>
      </c>
      <c r="P3350" s="51">
        <v>6.08</v>
      </c>
    </row>
    <row r="3351" spans="12:16">
      <c r="L3351" s="51" t="s">
        <v>3356</v>
      </c>
      <c r="M3351" s="25">
        <f>DATE(YEAR(OneWeekMtgRatesDataTable75[[#This Row],[asOf]]),MONTH(OneWeekMtgRatesDataTable75[[#This Row],[asOf]]),DAY(OneWeekMtgRatesDataTable75[[#This Row],[asOf]]))</f>
        <v>37504</v>
      </c>
      <c r="N3351" s="51">
        <v>6.15</v>
      </c>
      <c r="O3351" s="51">
        <v>0.6</v>
      </c>
      <c r="P3351" s="51">
        <v>6.0500000000000007</v>
      </c>
    </row>
    <row r="3352" spans="12:16">
      <c r="L3352" s="51" t="s">
        <v>3357</v>
      </c>
      <c r="M3352" s="25">
        <f>DATE(YEAR(OneWeekMtgRatesDataTable75[[#This Row],[asOf]]),MONTH(OneWeekMtgRatesDataTable75[[#This Row],[asOf]]),DAY(OneWeekMtgRatesDataTable75[[#This Row],[asOf]]))</f>
        <v>37503</v>
      </c>
      <c r="N3352" s="51">
        <v>6.15</v>
      </c>
      <c r="O3352" s="51">
        <v>0.6</v>
      </c>
      <c r="P3352" s="51">
        <v>6.0500000000000007</v>
      </c>
    </row>
    <row r="3353" spans="12:16">
      <c r="L3353" s="51" t="s">
        <v>3358</v>
      </c>
      <c r="M3353" s="25">
        <f>DATE(YEAR(OneWeekMtgRatesDataTable75[[#This Row],[asOf]]),MONTH(OneWeekMtgRatesDataTable75[[#This Row],[asOf]]),DAY(OneWeekMtgRatesDataTable75[[#This Row],[asOf]]))</f>
        <v>37502</v>
      </c>
      <c r="N3353" s="51">
        <v>6.15</v>
      </c>
      <c r="O3353" s="51">
        <v>0.6</v>
      </c>
      <c r="P3353" s="51">
        <v>6.0500000000000007</v>
      </c>
    </row>
    <row r="3354" spans="12:16">
      <c r="L3354" s="51" t="s">
        <v>3359</v>
      </c>
      <c r="M3354" s="25">
        <f>DATE(YEAR(OneWeekMtgRatesDataTable75[[#This Row],[asOf]]),MONTH(OneWeekMtgRatesDataTable75[[#This Row],[asOf]]),DAY(OneWeekMtgRatesDataTable75[[#This Row],[asOf]]))</f>
        <v>37501</v>
      </c>
      <c r="N3354" s="51">
        <v>6.15</v>
      </c>
      <c r="O3354" s="51">
        <v>0.6</v>
      </c>
      <c r="P3354" s="51">
        <v>6.0500000000000007</v>
      </c>
    </row>
    <row r="3355" spans="12:16">
      <c r="L3355" s="51" t="s">
        <v>3360</v>
      </c>
      <c r="M3355" s="25">
        <f>DATE(YEAR(OneWeekMtgRatesDataTable75[[#This Row],[asOf]]),MONTH(OneWeekMtgRatesDataTable75[[#This Row],[asOf]]),DAY(OneWeekMtgRatesDataTable75[[#This Row],[asOf]]))</f>
        <v>37498</v>
      </c>
      <c r="N3355" s="51">
        <v>6.15</v>
      </c>
      <c r="O3355" s="51">
        <v>0.6</v>
      </c>
      <c r="P3355" s="51">
        <v>6.0500000000000007</v>
      </c>
    </row>
    <row r="3356" spans="12:16">
      <c r="L3356" s="51" t="s">
        <v>3361</v>
      </c>
      <c r="M3356" s="25">
        <f>DATE(YEAR(OneWeekMtgRatesDataTable75[[#This Row],[asOf]]),MONTH(OneWeekMtgRatesDataTable75[[#This Row],[asOf]]),DAY(OneWeekMtgRatesDataTable75[[#This Row],[asOf]]))</f>
        <v>37497</v>
      </c>
      <c r="N3356" s="51">
        <v>6.22</v>
      </c>
      <c r="O3356" s="51">
        <v>0.7</v>
      </c>
      <c r="P3356" s="51">
        <v>6.1449999999999996</v>
      </c>
    </row>
    <row r="3357" spans="12:16">
      <c r="L3357" s="51" t="s">
        <v>3362</v>
      </c>
      <c r="M3357" s="25">
        <f>DATE(YEAR(OneWeekMtgRatesDataTable75[[#This Row],[asOf]]),MONTH(OneWeekMtgRatesDataTable75[[#This Row],[asOf]]),DAY(OneWeekMtgRatesDataTable75[[#This Row],[asOf]]))</f>
        <v>37496</v>
      </c>
      <c r="N3357" s="51">
        <v>6.22</v>
      </c>
      <c r="O3357" s="51">
        <v>0.7</v>
      </c>
      <c r="P3357" s="51">
        <v>6.1449999999999996</v>
      </c>
    </row>
    <row r="3358" spans="12:16">
      <c r="L3358" s="51" t="s">
        <v>3363</v>
      </c>
      <c r="M3358" s="25">
        <f>DATE(YEAR(OneWeekMtgRatesDataTable75[[#This Row],[asOf]]),MONTH(OneWeekMtgRatesDataTable75[[#This Row],[asOf]]),DAY(OneWeekMtgRatesDataTable75[[#This Row],[asOf]]))</f>
        <v>37495</v>
      </c>
      <c r="N3358" s="51">
        <v>6.22</v>
      </c>
      <c r="O3358" s="51">
        <v>0.7</v>
      </c>
      <c r="P3358" s="51">
        <v>6.1449999999999996</v>
      </c>
    </row>
    <row r="3359" spans="12:16">
      <c r="L3359" s="51" t="s">
        <v>3364</v>
      </c>
      <c r="M3359" s="25">
        <f>DATE(YEAR(OneWeekMtgRatesDataTable75[[#This Row],[asOf]]),MONTH(OneWeekMtgRatesDataTable75[[#This Row],[asOf]]),DAY(OneWeekMtgRatesDataTable75[[#This Row],[asOf]]))</f>
        <v>37494</v>
      </c>
      <c r="N3359" s="51">
        <v>6.22</v>
      </c>
      <c r="O3359" s="51">
        <v>0.7</v>
      </c>
      <c r="P3359" s="51">
        <v>6.1449999999999996</v>
      </c>
    </row>
    <row r="3360" spans="12:16">
      <c r="L3360" s="51" t="s">
        <v>3365</v>
      </c>
      <c r="M3360" s="25">
        <f>DATE(YEAR(OneWeekMtgRatesDataTable75[[#This Row],[asOf]]),MONTH(OneWeekMtgRatesDataTable75[[#This Row],[asOf]]),DAY(OneWeekMtgRatesDataTable75[[#This Row],[asOf]]))</f>
        <v>37491</v>
      </c>
      <c r="N3360" s="51">
        <v>6.22</v>
      </c>
      <c r="O3360" s="51">
        <v>0.7</v>
      </c>
      <c r="P3360" s="51">
        <v>6.1449999999999996</v>
      </c>
    </row>
    <row r="3361" spans="12:16">
      <c r="L3361" s="51" t="s">
        <v>3366</v>
      </c>
      <c r="M3361" s="25">
        <f>DATE(YEAR(OneWeekMtgRatesDataTable75[[#This Row],[asOf]]),MONTH(OneWeekMtgRatesDataTable75[[#This Row],[asOf]]),DAY(OneWeekMtgRatesDataTable75[[#This Row],[asOf]]))</f>
        <v>37490</v>
      </c>
      <c r="N3361" s="51">
        <v>6.27</v>
      </c>
      <c r="O3361" s="51">
        <v>0.7</v>
      </c>
      <c r="P3361" s="51">
        <v>6.1949999999999994</v>
      </c>
    </row>
    <row r="3362" spans="12:16">
      <c r="L3362" s="51" t="s">
        <v>3367</v>
      </c>
      <c r="M3362" s="25">
        <f>DATE(YEAR(OneWeekMtgRatesDataTable75[[#This Row],[asOf]]),MONTH(OneWeekMtgRatesDataTable75[[#This Row],[asOf]]),DAY(OneWeekMtgRatesDataTable75[[#This Row],[asOf]]))</f>
        <v>37489</v>
      </c>
      <c r="N3362" s="51">
        <v>6.27</v>
      </c>
      <c r="O3362" s="51">
        <v>0.7</v>
      </c>
      <c r="P3362" s="51">
        <v>6.1949999999999994</v>
      </c>
    </row>
    <row r="3363" spans="12:16">
      <c r="L3363" s="51" t="s">
        <v>3368</v>
      </c>
      <c r="M3363" s="25">
        <f>DATE(YEAR(OneWeekMtgRatesDataTable75[[#This Row],[asOf]]),MONTH(OneWeekMtgRatesDataTable75[[#This Row],[asOf]]),DAY(OneWeekMtgRatesDataTable75[[#This Row],[asOf]]))</f>
        <v>37488</v>
      </c>
      <c r="N3363" s="51">
        <v>6.27</v>
      </c>
      <c r="O3363" s="51">
        <v>0.7</v>
      </c>
      <c r="P3363" s="51">
        <v>6.1949999999999994</v>
      </c>
    </row>
    <row r="3364" spans="12:16">
      <c r="L3364" s="51" t="s">
        <v>3369</v>
      </c>
      <c r="M3364" s="25">
        <f>DATE(YEAR(OneWeekMtgRatesDataTable75[[#This Row],[asOf]]),MONTH(OneWeekMtgRatesDataTable75[[#This Row],[asOf]]),DAY(OneWeekMtgRatesDataTable75[[#This Row],[asOf]]))</f>
        <v>37487</v>
      </c>
      <c r="N3364" s="51">
        <v>6.27</v>
      </c>
      <c r="O3364" s="51">
        <v>0.7</v>
      </c>
      <c r="P3364" s="51">
        <v>6.1949999999999994</v>
      </c>
    </row>
    <row r="3365" spans="12:16">
      <c r="L3365" s="51" t="s">
        <v>3370</v>
      </c>
      <c r="M3365" s="25">
        <f>DATE(YEAR(OneWeekMtgRatesDataTable75[[#This Row],[asOf]]),MONTH(OneWeekMtgRatesDataTable75[[#This Row],[asOf]]),DAY(OneWeekMtgRatesDataTable75[[#This Row],[asOf]]))</f>
        <v>37484</v>
      </c>
      <c r="N3365" s="51">
        <v>6.27</v>
      </c>
      <c r="O3365" s="51">
        <v>0.7</v>
      </c>
      <c r="P3365" s="51">
        <v>6.1949999999999994</v>
      </c>
    </row>
    <row r="3366" spans="12:16">
      <c r="L3366" s="51" t="s">
        <v>3371</v>
      </c>
      <c r="M3366" s="25">
        <f>DATE(YEAR(OneWeekMtgRatesDataTable75[[#This Row],[asOf]]),MONTH(OneWeekMtgRatesDataTable75[[#This Row],[asOf]]),DAY(OneWeekMtgRatesDataTable75[[#This Row],[asOf]]))</f>
        <v>37483</v>
      </c>
      <c r="N3366" s="51">
        <v>6.22</v>
      </c>
      <c r="O3366" s="51">
        <v>0.6</v>
      </c>
      <c r="P3366" s="51">
        <v>6.12</v>
      </c>
    </row>
    <row r="3367" spans="12:16">
      <c r="L3367" s="51" t="s">
        <v>3372</v>
      </c>
      <c r="M3367" s="25">
        <f>DATE(YEAR(OneWeekMtgRatesDataTable75[[#This Row],[asOf]]),MONTH(OneWeekMtgRatesDataTable75[[#This Row],[asOf]]),DAY(OneWeekMtgRatesDataTable75[[#This Row],[asOf]]))</f>
        <v>37482</v>
      </c>
      <c r="N3367" s="51">
        <v>6.22</v>
      </c>
      <c r="O3367" s="51">
        <v>0.6</v>
      </c>
      <c r="P3367" s="51">
        <v>6.12</v>
      </c>
    </row>
    <row r="3368" spans="12:16">
      <c r="L3368" s="51" t="s">
        <v>3373</v>
      </c>
      <c r="M3368" s="25">
        <f>DATE(YEAR(OneWeekMtgRatesDataTable75[[#This Row],[asOf]]),MONTH(OneWeekMtgRatesDataTable75[[#This Row],[asOf]]),DAY(OneWeekMtgRatesDataTable75[[#This Row],[asOf]]))</f>
        <v>37481</v>
      </c>
      <c r="N3368" s="51">
        <v>6.22</v>
      </c>
      <c r="O3368" s="51">
        <v>0.6</v>
      </c>
      <c r="P3368" s="51">
        <v>6.12</v>
      </c>
    </row>
    <row r="3369" spans="12:16">
      <c r="L3369" s="51" t="s">
        <v>3374</v>
      </c>
      <c r="M3369" s="25">
        <f>DATE(YEAR(OneWeekMtgRatesDataTable75[[#This Row],[asOf]]),MONTH(OneWeekMtgRatesDataTable75[[#This Row],[asOf]]),DAY(OneWeekMtgRatesDataTable75[[#This Row],[asOf]]))</f>
        <v>37480</v>
      </c>
      <c r="N3369" s="51">
        <v>6.22</v>
      </c>
      <c r="O3369" s="51">
        <v>0.6</v>
      </c>
      <c r="P3369" s="51">
        <v>6.12</v>
      </c>
    </row>
    <row r="3370" spans="12:16">
      <c r="L3370" s="51" t="s">
        <v>3375</v>
      </c>
      <c r="M3370" s="25">
        <f>DATE(YEAR(OneWeekMtgRatesDataTable75[[#This Row],[asOf]]),MONTH(OneWeekMtgRatesDataTable75[[#This Row],[asOf]]),DAY(OneWeekMtgRatesDataTable75[[#This Row],[asOf]]))</f>
        <v>37477</v>
      </c>
      <c r="N3370" s="51">
        <v>6.22</v>
      </c>
      <c r="O3370" s="51">
        <v>0.6</v>
      </c>
      <c r="P3370" s="51">
        <v>6.12</v>
      </c>
    </row>
    <row r="3371" spans="12:16">
      <c r="L3371" s="51" t="s">
        <v>3376</v>
      </c>
      <c r="M3371" s="25">
        <f>DATE(YEAR(OneWeekMtgRatesDataTable75[[#This Row],[asOf]]),MONTH(OneWeekMtgRatesDataTable75[[#This Row],[asOf]]),DAY(OneWeekMtgRatesDataTable75[[#This Row],[asOf]]))</f>
        <v>37476</v>
      </c>
      <c r="N3371" s="51">
        <v>6.31</v>
      </c>
      <c r="O3371" s="51">
        <v>0.6</v>
      </c>
      <c r="P3371" s="51">
        <v>6.21</v>
      </c>
    </row>
    <row r="3372" spans="12:16">
      <c r="L3372" s="51" t="s">
        <v>3377</v>
      </c>
      <c r="M3372" s="25">
        <f>DATE(YEAR(OneWeekMtgRatesDataTable75[[#This Row],[asOf]]),MONTH(OneWeekMtgRatesDataTable75[[#This Row],[asOf]]),DAY(OneWeekMtgRatesDataTable75[[#This Row],[asOf]]))</f>
        <v>37475</v>
      </c>
      <c r="N3372" s="51">
        <v>6.31</v>
      </c>
      <c r="O3372" s="51">
        <v>0.6</v>
      </c>
      <c r="P3372" s="51">
        <v>6.21</v>
      </c>
    </row>
    <row r="3373" spans="12:16">
      <c r="L3373" s="51" t="s">
        <v>3378</v>
      </c>
      <c r="M3373" s="25">
        <f>DATE(YEAR(OneWeekMtgRatesDataTable75[[#This Row],[asOf]]),MONTH(OneWeekMtgRatesDataTable75[[#This Row],[asOf]]),DAY(OneWeekMtgRatesDataTable75[[#This Row],[asOf]]))</f>
        <v>37474</v>
      </c>
      <c r="N3373" s="51">
        <v>6.31</v>
      </c>
      <c r="O3373" s="51">
        <v>0.6</v>
      </c>
      <c r="P3373" s="51">
        <v>6.21</v>
      </c>
    </row>
    <row r="3374" spans="12:16">
      <c r="L3374" s="51" t="s">
        <v>3379</v>
      </c>
      <c r="M3374" s="25">
        <f>DATE(YEAR(OneWeekMtgRatesDataTable75[[#This Row],[asOf]]),MONTH(OneWeekMtgRatesDataTable75[[#This Row],[asOf]]),DAY(OneWeekMtgRatesDataTable75[[#This Row],[asOf]]))</f>
        <v>37473</v>
      </c>
      <c r="N3374" s="51">
        <v>6.31</v>
      </c>
      <c r="O3374" s="51">
        <v>0.6</v>
      </c>
      <c r="P3374" s="51">
        <v>6.21</v>
      </c>
    </row>
    <row r="3375" spans="12:16">
      <c r="L3375" s="51" t="s">
        <v>3380</v>
      </c>
      <c r="M3375" s="25">
        <f>DATE(YEAR(OneWeekMtgRatesDataTable75[[#This Row],[asOf]]),MONTH(OneWeekMtgRatesDataTable75[[#This Row],[asOf]]),DAY(OneWeekMtgRatesDataTable75[[#This Row],[asOf]]))</f>
        <v>37470</v>
      </c>
      <c r="N3375" s="51">
        <v>6.31</v>
      </c>
      <c r="O3375" s="51">
        <v>0.6</v>
      </c>
      <c r="P3375" s="51">
        <v>6.21</v>
      </c>
    </row>
    <row r="3376" spans="12:16">
      <c r="L3376" s="51" t="s">
        <v>3381</v>
      </c>
      <c r="M3376" s="25">
        <f>DATE(YEAR(OneWeekMtgRatesDataTable75[[#This Row],[asOf]]),MONTH(OneWeekMtgRatesDataTable75[[#This Row],[asOf]]),DAY(OneWeekMtgRatesDataTable75[[#This Row],[asOf]]))</f>
        <v>37469</v>
      </c>
      <c r="N3376" s="51">
        <v>6.43</v>
      </c>
      <c r="O3376" s="51">
        <v>0.6</v>
      </c>
      <c r="P3376" s="51">
        <v>6.33</v>
      </c>
    </row>
    <row r="3377" spans="12:16">
      <c r="L3377" s="51" t="s">
        <v>3382</v>
      </c>
      <c r="M3377" s="25">
        <f>DATE(YEAR(OneWeekMtgRatesDataTable75[[#This Row],[asOf]]),MONTH(OneWeekMtgRatesDataTable75[[#This Row],[asOf]]),DAY(OneWeekMtgRatesDataTable75[[#This Row],[asOf]]))</f>
        <v>37468</v>
      </c>
      <c r="N3377" s="51">
        <v>6.43</v>
      </c>
      <c r="O3377" s="51">
        <v>0.6</v>
      </c>
      <c r="P3377" s="51">
        <v>6.33</v>
      </c>
    </row>
    <row r="3378" spans="12:16">
      <c r="L3378" s="51" t="s">
        <v>3383</v>
      </c>
      <c r="M3378" s="25">
        <f>DATE(YEAR(OneWeekMtgRatesDataTable75[[#This Row],[asOf]]),MONTH(OneWeekMtgRatesDataTable75[[#This Row],[asOf]]),DAY(OneWeekMtgRatesDataTable75[[#This Row],[asOf]]))</f>
        <v>37467</v>
      </c>
      <c r="N3378" s="51">
        <v>6.43</v>
      </c>
      <c r="O3378" s="51">
        <v>0.6</v>
      </c>
      <c r="P3378" s="51">
        <v>6.33</v>
      </c>
    </row>
    <row r="3379" spans="12:16">
      <c r="L3379" s="51" t="s">
        <v>3384</v>
      </c>
      <c r="M3379" s="25">
        <f>DATE(YEAR(OneWeekMtgRatesDataTable75[[#This Row],[asOf]]),MONTH(OneWeekMtgRatesDataTable75[[#This Row],[asOf]]),DAY(OneWeekMtgRatesDataTable75[[#This Row],[asOf]]))</f>
        <v>37466</v>
      </c>
      <c r="N3379" s="51">
        <v>6.43</v>
      </c>
      <c r="O3379" s="51">
        <v>0.6</v>
      </c>
      <c r="P3379" s="51">
        <v>6.33</v>
      </c>
    </row>
    <row r="3380" spans="12:16">
      <c r="L3380" s="51" t="s">
        <v>3385</v>
      </c>
      <c r="M3380" s="25">
        <f>DATE(YEAR(OneWeekMtgRatesDataTable75[[#This Row],[asOf]]),MONTH(OneWeekMtgRatesDataTable75[[#This Row],[asOf]]),DAY(OneWeekMtgRatesDataTable75[[#This Row],[asOf]]))</f>
        <v>37463</v>
      </c>
      <c r="N3380" s="51">
        <v>6.43</v>
      </c>
      <c r="O3380" s="51">
        <v>0.6</v>
      </c>
      <c r="P3380" s="51">
        <v>6.33</v>
      </c>
    </row>
    <row r="3381" spans="12:16">
      <c r="L3381" s="51" t="s">
        <v>3386</v>
      </c>
      <c r="M3381" s="25">
        <f>DATE(YEAR(OneWeekMtgRatesDataTable75[[#This Row],[asOf]]),MONTH(OneWeekMtgRatesDataTable75[[#This Row],[asOf]]),DAY(OneWeekMtgRatesDataTable75[[#This Row],[asOf]]))</f>
        <v>37462</v>
      </c>
      <c r="N3381" s="51">
        <v>6.34</v>
      </c>
      <c r="O3381" s="51">
        <v>0.6</v>
      </c>
      <c r="P3381" s="51">
        <v>6.24</v>
      </c>
    </row>
    <row r="3382" spans="12:16">
      <c r="L3382" s="51" t="s">
        <v>3387</v>
      </c>
      <c r="M3382" s="25">
        <f>DATE(YEAR(OneWeekMtgRatesDataTable75[[#This Row],[asOf]]),MONTH(OneWeekMtgRatesDataTable75[[#This Row],[asOf]]),DAY(OneWeekMtgRatesDataTable75[[#This Row],[asOf]]))</f>
        <v>37461</v>
      </c>
      <c r="N3382" s="51">
        <v>6.34</v>
      </c>
      <c r="O3382" s="51">
        <v>0.6</v>
      </c>
      <c r="P3382" s="51">
        <v>6.24</v>
      </c>
    </row>
    <row r="3383" spans="12:16">
      <c r="L3383" s="51" t="s">
        <v>3388</v>
      </c>
      <c r="M3383" s="25">
        <f>DATE(YEAR(OneWeekMtgRatesDataTable75[[#This Row],[asOf]]),MONTH(OneWeekMtgRatesDataTable75[[#This Row],[asOf]]),DAY(OneWeekMtgRatesDataTable75[[#This Row],[asOf]]))</f>
        <v>37460</v>
      </c>
      <c r="N3383" s="51">
        <v>6.34</v>
      </c>
      <c r="O3383" s="51">
        <v>0.6</v>
      </c>
      <c r="P3383" s="51">
        <v>6.24</v>
      </c>
    </row>
    <row r="3384" spans="12:16">
      <c r="L3384" s="51" t="s">
        <v>3389</v>
      </c>
      <c r="M3384" s="25">
        <f>DATE(YEAR(OneWeekMtgRatesDataTable75[[#This Row],[asOf]]),MONTH(OneWeekMtgRatesDataTable75[[#This Row],[asOf]]),DAY(OneWeekMtgRatesDataTable75[[#This Row],[asOf]]))</f>
        <v>37459</v>
      </c>
      <c r="N3384" s="51">
        <v>6.34</v>
      </c>
      <c r="O3384" s="51">
        <v>0.6</v>
      </c>
      <c r="P3384" s="51">
        <v>6.24</v>
      </c>
    </row>
    <row r="3385" spans="12:16">
      <c r="L3385" s="51" t="s">
        <v>3390</v>
      </c>
      <c r="M3385" s="25">
        <f>DATE(YEAR(OneWeekMtgRatesDataTable75[[#This Row],[asOf]]),MONTH(OneWeekMtgRatesDataTable75[[#This Row],[asOf]]),DAY(OneWeekMtgRatesDataTable75[[#This Row],[asOf]]))</f>
        <v>37456</v>
      </c>
      <c r="N3385" s="51">
        <v>6.34</v>
      </c>
      <c r="O3385" s="51">
        <v>0.6</v>
      </c>
      <c r="P3385" s="51">
        <v>6.24</v>
      </c>
    </row>
    <row r="3386" spans="12:16">
      <c r="L3386" s="51" t="s">
        <v>3391</v>
      </c>
      <c r="M3386" s="25">
        <f>DATE(YEAR(OneWeekMtgRatesDataTable75[[#This Row],[asOf]]),MONTH(OneWeekMtgRatesDataTable75[[#This Row],[asOf]]),DAY(OneWeekMtgRatesDataTable75[[#This Row],[asOf]]))</f>
        <v>37455</v>
      </c>
      <c r="N3386" s="51">
        <v>6.49</v>
      </c>
      <c r="O3386" s="51">
        <v>0.6</v>
      </c>
      <c r="P3386" s="51">
        <v>6.3900000000000006</v>
      </c>
    </row>
    <row r="3387" spans="12:16">
      <c r="L3387" s="51" t="s">
        <v>3392</v>
      </c>
      <c r="M3387" s="25">
        <f>DATE(YEAR(OneWeekMtgRatesDataTable75[[#This Row],[asOf]]),MONTH(OneWeekMtgRatesDataTable75[[#This Row],[asOf]]),DAY(OneWeekMtgRatesDataTable75[[#This Row],[asOf]]))</f>
        <v>37454</v>
      </c>
      <c r="N3387" s="51">
        <v>6.49</v>
      </c>
      <c r="O3387" s="51">
        <v>0.6</v>
      </c>
      <c r="P3387" s="51">
        <v>6.3900000000000006</v>
      </c>
    </row>
    <row r="3388" spans="12:16">
      <c r="L3388" s="51" t="s">
        <v>3393</v>
      </c>
      <c r="M3388" s="25">
        <f>DATE(YEAR(OneWeekMtgRatesDataTable75[[#This Row],[asOf]]),MONTH(OneWeekMtgRatesDataTable75[[#This Row],[asOf]]),DAY(OneWeekMtgRatesDataTable75[[#This Row],[asOf]]))</f>
        <v>37453</v>
      </c>
      <c r="N3388" s="51">
        <v>6.49</v>
      </c>
      <c r="O3388" s="51">
        <v>0.6</v>
      </c>
      <c r="P3388" s="51">
        <v>6.3900000000000006</v>
      </c>
    </row>
    <row r="3389" spans="12:16">
      <c r="L3389" s="51" t="s">
        <v>3394</v>
      </c>
      <c r="M3389" s="25">
        <f>DATE(YEAR(OneWeekMtgRatesDataTable75[[#This Row],[asOf]]),MONTH(OneWeekMtgRatesDataTable75[[#This Row],[asOf]]),DAY(OneWeekMtgRatesDataTable75[[#This Row],[asOf]]))</f>
        <v>37452</v>
      </c>
      <c r="N3389" s="51">
        <v>6.49</v>
      </c>
      <c r="O3389" s="51">
        <v>0.6</v>
      </c>
      <c r="P3389" s="51">
        <v>6.3900000000000006</v>
      </c>
    </row>
    <row r="3390" spans="12:16">
      <c r="L3390" s="51" t="s">
        <v>3395</v>
      </c>
      <c r="M3390" s="25">
        <f>DATE(YEAR(OneWeekMtgRatesDataTable75[[#This Row],[asOf]]),MONTH(OneWeekMtgRatesDataTable75[[#This Row],[asOf]]),DAY(OneWeekMtgRatesDataTable75[[#This Row],[asOf]]))</f>
        <v>37449</v>
      </c>
      <c r="N3390" s="51">
        <v>6.49</v>
      </c>
      <c r="O3390" s="51">
        <v>0.6</v>
      </c>
      <c r="P3390" s="51">
        <v>6.3900000000000006</v>
      </c>
    </row>
    <row r="3391" spans="12:16">
      <c r="L3391" s="51" t="s">
        <v>3396</v>
      </c>
      <c r="M3391" s="25">
        <f>DATE(YEAR(OneWeekMtgRatesDataTable75[[#This Row],[asOf]]),MONTH(OneWeekMtgRatesDataTable75[[#This Row],[asOf]]),DAY(OneWeekMtgRatesDataTable75[[#This Row],[asOf]]))</f>
        <v>37448</v>
      </c>
      <c r="N3391" s="51">
        <v>6.54</v>
      </c>
      <c r="O3391" s="51">
        <v>0.5</v>
      </c>
      <c r="P3391" s="51">
        <v>6.415</v>
      </c>
    </row>
    <row r="3392" spans="12:16">
      <c r="L3392" s="51" t="s">
        <v>3397</v>
      </c>
      <c r="M3392" s="25">
        <f>DATE(YEAR(OneWeekMtgRatesDataTable75[[#This Row],[asOf]]),MONTH(OneWeekMtgRatesDataTable75[[#This Row],[asOf]]),DAY(OneWeekMtgRatesDataTable75[[#This Row],[asOf]]))</f>
        <v>37447</v>
      </c>
      <c r="N3392" s="51">
        <v>6.54</v>
      </c>
      <c r="O3392" s="51">
        <v>0.5</v>
      </c>
      <c r="P3392" s="51">
        <v>6.415</v>
      </c>
    </row>
    <row r="3393" spans="12:16">
      <c r="L3393" s="51" t="s">
        <v>3398</v>
      </c>
      <c r="M3393" s="25">
        <f>DATE(YEAR(OneWeekMtgRatesDataTable75[[#This Row],[asOf]]),MONTH(OneWeekMtgRatesDataTable75[[#This Row],[asOf]]),DAY(OneWeekMtgRatesDataTable75[[#This Row],[asOf]]))</f>
        <v>37446</v>
      </c>
      <c r="N3393" s="51">
        <v>6.54</v>
      </c>
      <c r="O3393" s="51">
        <v>0.5</v>
      </c>
      <c r="P3393" s="51">
        <v>6.415</v>
      </c>
    </row>
    <row r="3394" spans="12:16">
      <c r="L3394" s="51" t="s">
        <v>3399</v>
      </c>
      <c r="M3394" s="25">
        <f>DATE(YEAR(OneWeekMtgRatesDataTable75[[#This Row],[asOf]]),MONTH(OneWeekMtgRatesDataTable75[[#This Row],[asOf]]),DAY(OneWeekMtgRatesDataTable75[[#This Row],[asOf]]))</f>
        <v>37445</v>
      </c>
      <c r="N3394" s="51">
        <v>6.54</v>
      </c>
      <c r="O3394" s="51">
        <v>0.5</v>
      </c>
      <c r="P3394" s="51">
        <v>6.415</v>
      </c>
    </row>
    <row r="3395" spans="12:16">
      <c r="L3395" s="51" t="s">
        <v>3400</v>
      </c>
      <c r="M3395" s="25">
        <f>DATE(YEAR(OneWeekMtgRatesDataTable75[[#This Row],[asOf]]),MONTH(OneWeekMtgRatesDataTable75[[#This Row],[asOf]]),DAY(OneWeekMtgRatesDataTable75[[#This Row],[asOf]]))</f>
        <v>37442</v>
      </c>
      <c r="N3395" s="51">
        <v>6.54</v>
      </c>
      <c r="O3395" s="51">
        <v>0.5</v>
      </c>
      <c r="P3395" s="51">
        <v>6.415</v>
      </c>
    </row>
    <row r="3396" spans="12:16">
      <c r="L3396" s="51" t="s">
        <v>3401</v>
      </c>
      <c r="M3396" s="25">
        <f>DATE(YEAR(OneWeekMtgRatesDataTable75[[#This Row],[asOf]]),MONTH(OneWeekMtgRatesDataTable75[[#This Row],[asOf]]),DAY(OneWeekMtgRatesDataTable75[[#This Row],[asOf]]))</f>
        <v>37441</v>
      </c>
      <c r="N3396" s="51">
        <v>6.57</v>
      </c>
      <c r="O3396" s="51">
        <v>0.5</v>
      </c>
      <c r="P3396" s="51">
        <v>6.4450000000000003</v>
      </c>
    </row>
    <row r="3397" spans="12:16">
      <c r="L3397" s="51" t="s">
        <v>3402</v>
      </c>
      <c r="M3397" s="25">
        <f>DATE(YEAR(OneWeekMtgRatesDataTable75[[#This Row],[asOf]]),MONTH(OneWeekMtgRatesDataTable75[[#This Row],[asOf]]),DAY(OneWeekMtgRatesDataTable75[[#This Row],[asOf]]))</f>
        <v>37440</v>
      </c>
      <c r="N3397" s="51">
        <v>6.57</v>
      </c>
      <c r="O3397" s="51">
        <v>0.5</v>
      </c>
      <c r="P3397" s="51">
        <v>6.4450000000000003</v>
      </c>
    </row>
    <row r="3398" spans="12:16">
      <c r="L3398" s="51" t="s">
        <v>3403</v>
      </c>
      <c r="M3398" s="25">
        <f>DATE(YEAR(OneWeekMtgRatesDataTable75[[#This Row],[asOf]]),MONTH(OneWeekMtgRatesDataTable75[[#This Row],[asOf]]),DAY(OneWeekMtgRatesDataTable75[[#This Row],[asOf]]))</f>
        <v>37439</v>
      </c>
      <c r="N3398" s="51">
        <v>6.57</v>
      </c>
      <c r="O3398" s="51">
        <v>0.5</v>
      </c>
      <c r="P3398" s="51">
        <v>6.4450000000000003</v>
      </c>
    </row>
    <row r="3399" spans="12:16">
      <c r="L3399" s="51" t="s">
        <v>3404</v>
      </c>
      <c r="M3399" s="25">
        <f>DATE(YEAR(OneWeekMtgRatesDataTable75[[#This Row],[asOf]]),MONTH(OneWeekMtgRatesDataTable75[[#This Row],[asOf]]),DAY(OneWeekMtgRatesDataTable75[[#This Row],[asOf]]))</f>
        <v>37438</v>
      </c>
      <c r="N3399" s="51">
        <v>6.57</v>
      </c>
      <c r="O3399" s="51">
        <v>0.5</v>
      </c>
      <c r="P3399" s="51">
        <v>6.4450000000000003</v>
      </c>
    </row>
    <row r="3400" spans="12:16">
      <c r="L3400" s="51" t="s">
        <v>3405</v>
      </c>
      <c r="M3400" s="25">
        <f>DATE(YEAR(OneWeekMtgRatesDataTable75[[#This Row],[asOf]]),MONTH(OneWeekMtgRatesDataTable75[[#This Row],[asOf]]),DAY(OneWeekMtgRatesDataTable75[[#This Row],[asOf]]))</f>
        <v>37435</v>
      </c>
      <c r="N3400" s="51">
        <v>6.57</v>
      </c>
      <c r="O3400" s="51">
        <v>0.5</v>
      </c>
      <c r="P3400" s="51">
        <v>6.4450000000000003</v>
      </c>
    </row>
    <row r="3401" spans="12:16">
      <c r="L3401" s="51" t="s">
        <v>3406</v>
      </c>
      <c r="M3401" s="25">
        <f>DATE(YEAR(OneWeekMtgRatesDataTable75[[#This Row],[asOf]]),MONTH(OneWeekMtgRatesDataTable75[[#This Row],[asOf]]),DAY(OneWeekMtgRatesDataTable75[[#This Row],[asOf]]))</f>
        <v>37434</v>
      </c>
      <c r="N3401" s="51">
        <v>6.55</v>
      </c>
      <c r="O3401" s="51">
        <v>0.5</v>
      </c>
      <c r="P3401" s="51">
        <v>6.4249999999999998</v>
      </c>
    </row>
    <row r="3402" spans="12:16">
      <c r="L3402" s="51" t="s">
        <v>3407</v>
      </c>
      <c r="M3402" s="25">
        <f>DATE(YEAR(OneWeekMtgRatesDataTable75[[#This Row],[asOf]]),MONTH(OneWeekMtgRatesDataTable75[[#This Row],[asOf]]),DAY(OneWeekMtgRatesDataTable75[[#This Row],[asOf]]))</f>
        <v>37433</v>
      </c>
      <c r="N3402" s="51">
        <v>6.55</v>
      </c>
      <c r="O3402" s="51">
        <v>0.5</v>
      </c>
      <c r="P3402" s="51">
        <v>6.4249999999999998</v>
      </c>
    </row>
    <row r="3403" spans="12:16">
      <c r="L3403" s="51" t="s">
        <v>3408</v>
      </c>
      <c r="M3403" s="25">
        <f>DATE(YEAR(OneWeekMtgRatesDataTable75[[#This Row],[asOf]]),MONTH(OneWeekMtgRatesDataTable75[[#This Row],[asOf]]),DAY(OneWeekMtgRatesDataTable75[[#This Row],[asOf]]))</f>
        <v>37432</v>
      </c>
      <c r="N3403" s="51">
        <v>6.55</v>
      </c>
      <c r="O3403" s="51">
        <v>0.5</v>
      </c>
      <c r="P3403" s="51">
        <v>6.4249999999999998</v>
      </c>
    </row>
    <row r="3404" spans="12:16">
      <c r="L3404" s="51" t="s">
        <v>3409</v>
      </c>
      <c r="M3404" s="25">
        <f>DATE(YEAR(OneWeekMtgRatesDataTable75[[#This Row],[asOf]]),MONTH(OneWeekMtgRatesDataTable75[[#This Row],[asOf]]),DAY(OneWeekMtgRatesDataTable75[[#This Row],[asOf]]))</f>
        <v>37431</v>
      </c>
      <c r="N3404" s="51">
        <v>6.55</v>
      </c>
      <c r="O3404" s="51">
        <v>0.5</v>
      </c>
      <c r="P3404" s="51">
        <v>6.4249999999999998</v>
      </c>
    </row>
    <row r="3405" spans="12:16">
      <c r="L3405" s="51" t="s">
        <v>3410</v>
      </c>
      <c r="M3405" s="25">
        <f>DATE(YEAR(OneWeekMtgRatesDataTable75[[#This Row],[asOf]]),MONTH(OneWeekMtgRatesDataTable75[[#This Row],[asOf]]),DAY(OneWeekMtgRatesDataTable75[[#This Row],[asOf]]))</f>
        <v>37428</v>
      </c>
      <c r="N3405" s="51">
        <v>6.55</v>
      </c>
      <c r="O3405" s="51">
        <v>0.5</v>
      </c>
      <c r="P3405" s="51">
        <v>6.4249999999999998</v>
      </c>
    </row>
    <row r="3406" spans="12:16">
      <c r="L3406" s="51" t="s">
        <v>3411</v>
      </c>
      <c r="M3406" s="25">
        <f>DATE(YEAR(OneWeekMtgRatesDataTable75[[#This Row],[asOf]]),MONTH(OneWeekMtgRatesDataTable75[[#This Row],[asOf]]),DAY(OneWeekMtgRatesDataTable75[[#This Row],[asOf]]))</f>
        <v>37427</v>
      </c>
      <c r="N3406" s="51">
        <v>6.63</v>
      </c>
      <c r="O3406" s="51">
        <v>0.5</v>
      </c>
      <c r="P3406" s="51">
        <v>6.5049999999999999</v>
      </c>
    </row>
    <row r="3407" spans="12:16">
      <c r="L3407" s="51" t="s">
        <v>3412</v>
      </c>
      <c r="M3407" s="25">
        <f>DATE(YEAR(OneWeekMtgRatesDataTable75[[#This Row],[asOf]]),MONTH(OneWeekMtgRatesDataTable75[[#This Row],[asOf]]),DAY(OneWeekMtgRatesDataTable75[[#This Row],[asOf]]))</f>
        <v>37426</v>
      </c>
      <c r="N3407" s="51">
        <v>6.63</v>
      </c>
      <c r="O3407" s="51">
        <v>0.5</v>
      </c>
      <c r="P3407" s="51">
        <v>6.5049999999999999</v>
      </c>
    </row>
    <row r="3408" spans="12:16">
      <c r="L3408" s="51" t="s">
        <v>3413</v>
      </c>
      <c r="M3408" s="25">
        <f>DATE(YEAR(OneWeekMtgRatesDataTable75[[#This Row],[asOf]]),MONTH(OneWeekMtgRatesDataTable75[[#This Row],[asOf]]),DAY(OneWeekMtgRatesDataTable75[[#This Row],[asOf]]))</f>
        <v>37425</v>
      </c>
      <c r="N3408" s="51">
        <v>6.63</v>
      </c>
      <c r="O3408" s="51">
        <v>0.5</v>
      </c>
      <c r="P3408" s="51">
        <v>6.5049999999999999</v>
      </c>
    </row>
    <row r="3409" spans="12:16">
      <c r="L3409" s="51" t="s">
        <v>3414</v>
      </c>
      <c r="M3409" s="25">
        <f>DATE(YEAR(OneWeekMtgRatesDataTable75[[#This Row],[asOf]]),MONTH(OneWeekMtgRatesDataTable75[[#This Row],[asOf]]),DAY(OneWeekMtgRatesDataTable75[[#This Row],[asOf]]))</f>
        <v>37424</v>
      </c>
      <c r="N3409" s="51">
        <v>6.63</v>
      </c>
      <c r="O3409" s="51">
        <v>0.5</v>
      </c>
      <c r="P3409" s="51">
        <v>6.5049999999999999</v>
      </c>
    </row>
    <row r="3410" spans="12:16">
      <c r="L3410" s="51" t="s">
        <v>3415</v>
      </c>
      <c r="M3410" s="25">
        <f>DATE(YEAR(OneWeekMtgRatesDataTable75[[#This Row],[asOf]]),MONTH(OneWeekMtgRatesDataTable75[[#This Row],[asOf]]),DAY(OneWeekMtgRatesDataTable75[[#This Row],[asOf]]))</f>
        <v>37421</v>
      </c>
      <c r="N3410" s="51">
        <v>6.63</v>
      </c>
      <c r="O3410" s="51">
        <v>0.5</v>
      </c>
      <c r="P3410" s="51">
        <v>6.5049999999999999</v>
      </c>
    </row>
    <row r="3411" spans="12:16">
      <c r="L3411" s="51" t="s">
        <v>3416</v>
      </c>
      <c r="M3411" s="25">
        <f>DATE(YEAR(OneWeekMtgRatesDataTable75[[#This Row],[asOf]]),MONTH(OneWeekMtgRatesDataTable75[[#This Row],[asOf]]),DAY(OneWeekMtgRatesDataTable75[[#This Row],[asOf]]))</f>
        <v>37420</v>
      </c>
      <c r="N3411" s="51">
        <v>6.71</v>
      </c>
      <c r="O3411" s="51">
        <v>0.7</v>
      </c>
      <c r="P3411" s="51">
        <v>6.6349999999999998</v>
      </c>
    </row>
    <row r="3412" spans="12:16">
      <c r="L3412" s="51" t="s">
        <v>3417</v>
      </c>
      <c r="M3412" s="25">
        <f>DATE(YEAR(OneWeekMtgRatesDataTable75[[#This Row],[asOf]]),MONTH(OneWeekMtgRatesDataTable75[[#This Row],[asOf]]),DAY(OneWeekMtgRatesDataTable75[[#This Row],[asOf]]))</f>
        <v>37419</v>
      </c>
      <c r="N3412" s="51">
        <v>6.71</v>
      </c>
      <c r="O3412" s="51">
        <v>0.7</v>
      </c>
      <c r="P3412" s="51">
        <v>6.6349999999999998</v>
      </c>
    </row>
    <row r="3413" spans="12:16">
      <c r="L3413" s="51" t="s">
        <v>3418</v>
      </c>
      <c r="M3413" s="25">
        <f>DATE(YEAR(OneWeekMtgRatesDataTable75[[#This Row],[asOf]]),MONTH(OneWeekMtgRatesDataTable75[[#This Row],[asOf]]),DAY(OneWeekMtgRatesDataTable75[[#This Row],[asOf]]))</f>
        <v>37418</v>
      </c>
      <c r="N3413" s="51">
        <v>6.71</v>
      </c>
      <c r="O3413" s="51">
        <v>0.7</v>
      </c>
      <c r="P3413" s="51">
        <v>6.6349999999999998</v>
      </c>
    </row>
    <row r="3414" spans="12:16">
      <c r="L3414" s="51" t="s">
        <v>3419</v>
      </c>
      <c r="M3414" s="25">
        <f>DATE(YEAR(OneWeekMtgRatesDataTable75[[#This Row],[asOf]]),MONTH(OneWeekMtgRatesDataTable75[[#This Row],[asOf]]),DAY(OneWeekMtgRatesDataTable75[[#This Row],[asOf]]))</f>
        <v>37417</v>
      </c>
      <c r="N3414" s="51">
        <v>6.71</v>
      </c>
      <c r="O3414" s="51">
        <v>0.7</v>
      </c>
      <c r="P3414" s="51">
        <v>6.6349999999999998</v>
      </c>
    </row>
    <row r="3415" spans="12:16">
      <c r="L3415" s="51" t="s">
        <v>3420</v>
      </c>
      <c r="M3415" s="25">
        <f>DATE(YEAR(OneWeekMtgRatesDataTable75[[#This Row],[asOf]]),MONTH(OneWeekMtgRatesDataTable75[[#This Row],[asOf]]),DAY(OneWeekMtgRatesDataTable75[[#This Row],[asOf]]))</f>
        <v>37414</v>
      </c>
      <c r="N3415" s="51">
        <v>6.71</v>
      </c>
      <c r="O3415" s="51">
        <v>0.7</v>
      </c>
      <c r="P3415" s="51">
        <v>6.6349999999999998</v>
      </c>
    </row>
    <row r="3416" spans="12:16">
      <c r="L3416" s="51" t="s">
        <v>3421</v>
      </c>
      <c r="M3416" s="25">
        <f>DATE(YEAR(OneWeekMtgRatesDataTable75[[#This Row],[asOf]]),MONTH(OneWeekMtgRatesDataTable75[[#This Row],[asOf]]),DAY(OneWeekMtgRatesDataTable75[[#This Row],[asOf]]))</f>
        <v>37413</v>
      </c>
      <c r="N3416" s="51">
        <v>6.71</v>
      </c>
      <c r="O3416" s="51">
        <v>0.7</v>
      </c>
      <c r="P3416" s="51">
        <v>6.6349999999999998</v>
      </c>
    </row>
    <row r="3417" spans="12:16">
      <c r="L3417" s="51" t="s">
        <v>3422</v>
      </c>
      <c r="M3417" s="25">
        <f>DATE(YEAR(OneWeekMtgRatesDataTable75[[#This Row],[asOf]]),MONTH(OneWeekMtgRatesDataTable75[[#This Row],[asOf]]),DAY(OneWeekMtgRatesDataTable75[[#This Row],[asOf]]))</f>
        <v>37412</v>
      </c>
      <c r="N3417" s="51">
        <v>6.71</v>
      </c>
      <c r="O3417" s="51">
        <v>0.7</v>
      </c>
      <c r="P3417" s="51">
        <v>6.6349999999999998</v>
      </c>
    </row>
    <row r="3418" spans="12:16">
      <c r="L3418" s="51" t="s">
        <v>3423</v>
      </c>
      <c r="M3418" s="25">
        <f>DATE(YEAR(OneWeekMtgRatesDataTable75[[#This Row],[asOf]]),MONTH(OneWeekMtgRatesDataTable75[[#This Row],[asOf]]),DAY(OneWeekMtgRatesDataTable75[[#This Row],[asOf]]))</f>
        <v>37411</v>
      </c>
      <c r="N3418" s="51">
        <v>6.71</v>
      </c>
      <c r="O3418" s="51">
        <v>0.7</v>
      </c>
      <c r="P3418" s="51">
        <v>6.6349999999999998</v>
      </c>
    </row>
    <row r="3419" spans="12:16">
      <c r="L3419" s="51" t="s">
        <v>3424</v>
      </c>
      <c r="M3419" s="25">
        <f>DATE(YEAR(OneWeekMtgRatesDataTable75[[#This Row],[asOf]]),MONTH(OneWeekMtgRatesDataTable75[[#This Row],[asOf]]),DAY(OneWeekMtgRatesDataTable75[[#This Row],[asOf]]))</f>
        <v>37410</v>
      </c>
      <c r="N3419" s="51">
        <v>6.71</v>
      </c>
      <c r="O3419" s="51">
        <v>0.7</v>
      </c>
      <c r="P3419" s="51">
        <v>6.6349999999999998</v>
      </c>
    </row>
    <row r="3420" spans="12:16">
      <c r="L3420" s="51" t="s">
        <v>3425</v>
      </c>
      <c r="M3420" s="25">
        <f>DATE(YEAR(OneWeekMtgRatesDataTable75[[#This Row],[asOf]]),MONTH(OneWeekMtgRatesDataTable75[[#This Row],[asOf]]),DAY(OneWeekMtgRatesDataTable75[[#This Row],[asOf]]))</f>
        <v>37407</v>
      </c>
      <c r="N3420" s="51">
        <v>6.71</v>
      </c>
      <c r="O3420" s="51">
        <v>0.7</v>
      </c>
      <c r="P3420" s="51">
        <v>6.6349999999999998</v>
      </c>
    </row>
    <row r="3421" spans="12:16">
      <c r="L3421" s="51" t="s">
        <v>3426</v>
      </c>
      <c r="M3421" s="25">
        <f>DATE(YEAR(OneWeekMtgRatesDataTable75[[#This Row],[asOf]]),MONTH(OneWeekMtgRatesDataTable75[[#This Row],[asOf]]),DAY(OneWeekMtgRatesDataTable75[[#This Row],[asOf]]))</f>
        <v>37406</v>
      </c>
      <c r="N3421" s="51">
        <v>6.76</v>
      </c>
      <c r="O3421" s="51">
        <v>0.8</v>
      </c>
      <c r="P3421" s="51">
        <v>6.71</v>
      </c>
    </row>
    <row r="3422" spans="12:16">
      <c r="L3422" s="51" t="s">
        <v>3427</v>
      </c>
      <c r="M3422" s="25">
        <f>DATE(YEAR(OneWeekMtgRatesDataTable75[[#This Row],[asOf]]),MONTH(OneWeekMtgRatesDataTable75[[#This Row],[asOf]]),DAY(OneWeekMtgRatesDataTable75[[#This Row],[asOf]]))</f>
        <v>37405</v>
      </c>
      <c r="N3422" s="51">
        <v>6.76</v>
      </c>
      <c r="O3422" s="51">
        <v>0.8</v>
      </c>
      <c r="P3422" s="51">
        <v>6.71</v>
      </c>
    </row>
    <row r="3423" spans="12:16">
      <c r="L3423" s="51" t="s">
        <v>3428</v>
      </c>
      <c r="M3423" s="25">
        <f>DATE(YEAR(OneWeekMtgRatesDataTable75[[#This Row],[asOf]]),MONTH(OneWeekMtgRatesDataTable75[[#This Row],[asOf]]),DAY(OneWeekMtgRatesDataTable75[[#This Row],[asOf]]))</f>
        <v>37404</v>
      </c>
      <c r="N3423" s="51">
        <v>6.76</v>
      </c>
      <c r="O3423" s="51">
        <v>0.8</v>
      </c>
      <c r="P3423" s="51">
        <v>6.71</v>
      </c>
    </row>
    <row r="3424" spans="12:16">
      <c r="L3424" s="51" t="s">
        <v>3429</v>
      </c>
      <c r="M3424" s="25">
        <f>DATE(YEAR(OneWeekMtgRatesDataTable75[[#This Row],[asOf]]),MONTH(OneWeekMtgRatesDataTable75[[#This Row],[asOf]]),DAY(OneWeekMtgRatesDataTable75[[#This Row],[asOf]]))</f>
        <v>37403</v>
      </c>
      <c r="N3424" s="51">
        <v>6.76</v>
      </c>
      <c r="O3424" s="51">
        <v>0.8</v>
      </c>
      <c r="P3424" s="51">
        <v>6.71</v>
      </c>
    </row>
    <row r="3425" spans="12:16">
      <c r="L3425" s="51" t="s">
        <v>3430</v>
      </c>
      <c r="M3425" s="25">
        <f>DATE(YEAR(OneWeekMtgRatesDataTable75[[#This Row],[asOf]]),MONTH(OneWeekMtgRatesDataTable75[[#This Row],[asOf]]),DAY(OneWeekMtgRatesDataTable75[[#This Row],[asOf]]))</f>
        <v>37400</v>
      </c>
      <c r="N3425" s="51">
        <v>6.76</v>
      </c>
      <c r="O3425" s="51">
        <v>0.8</v>
      </c>
      <c r="P3425" s="51">
        <v>6.71</v>
      </c>
    </row>
    <row r="3426" spans="12:16">
      <c r="L3426" s="51" t="s">
        <v>3431</v>
      </c>
      <c r="M3426" s="25">
        <f>DATE(YEAR(OneWeekMtgRatesDataTable75[[#This Row],[asOf]]),MONTH(OneWeekMtgRatesDataTable75[[#This Row],[asOf]]),DAY(OneWeekMtgRatesDataTable75[[#This Row],[asOf]]))</f>
        <v>37399</v>
      </c>
      <c r="N3426" s="51">
        <v>6.81</v>
      </c>
      <c r="O3426" s="51">
        <v>0.7</v>
      </c>
      <c r="P3426" s="51">
        <v>6.7349999999999994</v>
      </c>
    </row>
    <row r="3427" spans="12:16">
      <c r="L3427" s="51" t="s">
        <v>3432</v>
      </c>
      <c r="M3427" s="25">
        <f>DATE(YEAR(OneWeekMtgRatesDataTable75[[#This Row],[asOf]]),MONTH(OneWeekMtgRatesDataTable75[[#This Row],[asOf]]),DAY(OneWeekMtgRatesDataTable75[[#This Row],[asOf]]))</f>
        <v>37398</v>
      </c>
      <c r="N3427" s="51">
        <v>6.81</v>
      </c>
      <c r="O3427" s="51">
        <v>0.7</v>
      </c>
      <c r="P3427" s="51">
        <v>6.7349999999999994</v>
      </c>
    </row>
    <row r="3428" spans="12:16">
      <c r="L3428" s="51" t="s">
        <v>3433</v>
      </c>
      <c r="M3428" s="25">
        <f>DATE(YEAR(OneWeekMtgRatesDataTable75[[#This Row],[asOf]]),MONTH(OneWeekMtgRatesDataTable75[[#This Row],[asOf]]),DAY(OneWeekMtgRatesDataTable75[[#This Row],[asOf]]))</f>
        <v>37397</v>
      </c>
      <c r="N3428" s="51">
        <v>6.81</v>
      </c>
      <c r="O3428" s="51">
        <v>0.7</v>
      </c>
      <c r="P3428" s="51">
        <v>6.7349999999999994</v>
      </c>
    </row>
    <row r="3429" spans="12:16">
      <c r="L3429" s="51" t="s">
        <v>3434</v>
      </c>
      <c r="M3429" s="25">
        <f>DATE(YEAR(OneWeekMtgRatesDataTable75[[#This Row],[asOf]]),MONTH(OneWeekMtgRatesDataTable75[[#This Row],[asOf]]),DAY(OneWeekMtgRatesDataTable75[[#This Row],[asOf]]))</f>
        <v>37396</v>
      </c>
      <c r="N3429" s="51">
        <v>6.81</v>
      </c>
      <c r="O3429" s="51">
        <v>0.7</v>
      </c>
      <c r="P3429" s="51">
        <v>6.7349999999999994</v>
      </c>
    </row>
    <row r="3430" spans="12:16">
      <c r="L3430" s="51" t="s">
        <v>3435</v>
      </c>
      <c r="M3430" s="25">
        <f>DATE(YEAR(OneWeekMtgRatesDataTable75[[#This Row],[asOf]]),MONTH(OneWeekMtgRatesDataTable75[[#This Row],[asOf]]),DAY(OneWeekMtgRatesDataTable75[[#This Row],[asOf]]))</f>
        <v>37393</v>
      </c>
      <c r="N3430" s="51">
        <v>6.81</v>
      </c>
      <c r="O3430" s="51">
        <v>0.7</v>
      </c>
      <c r="P3430" s="51">
        <v>6.7349999999999994</v>
      </c>
    </row>
    <row r="3431" spans="12:16">
      <c r="L3431" s="51" t="s">
        <v>3436</v>
      </c>
      <c r="M3431" s="25">
        <f>DATE(YEAR(OneWeekMtgRatesDataTable75[[#This Row],[asOf]]),MONTH(OneWeekMtgRatesDataTable75[[#This Row],[asOf]]),DAY(OneWeekMtgRatesDataTable75[[#This Row],[asOf]]))</f>
        <v>37392</v>
      </c>
      <c r="N3431" s="51">
        <v>6.89</v>
      </c>
      <c r="O3431" s="51">
        <v>0.7</v>
      </c>
      <c r="P3431" s="51">
        <v>6.8149999999999995</v>
      </c>
    </row>
    <row r="3432" spans="12:16">
      <c r="L3432" s="51" t="s">
        <v>3437</v>
      </c>
      <c r="M3432" s="25">
        <f>DATE(YEAR(OneWeekMtgRatesDataTable75[[#This Row],[asOf]]),MONTH(OneWeekMtgRatesDataTable75[[#This Row],[asOf]]),DAY(OneWeekMtgRatesDataTable75[[#This Row],[asOf]]))</f>
        <v>37391</v>
      </c>
      <c r="N3432" s="51">
        <v>6.89</v>
      </c>
      <c r="O3432" s="51">
        <v>0.7</v>
      </c>
      <c r="P3432" s="51">
        <v>6.8149999999999995</v>
      </c>
    </row>
    <row r="3433" spans="12:16">
      <c r="L3433" s="51" t="s">
        <v>3438</v>
      </c>
      <c r="M3433" s="25">
        <f>DATE(YEAR(OneWeekMtgRatesDataTable75[[#This Row],[asOf]]),MONTH(OneWeekMtgRatesDataTable75[[#This Row],[asOf]]),DAY(OneWeekMtgRatesDataTable75[[#This Row],[asOf]]))</f>
        <v>37390</v>
      </c>
      <c r="N3433" s="51">
        <v>6.89</v>
      </c>
      <c r="O3433" s="51">
        <v>0.7</v>
      </c>
      <c r="P3433" s="51">
        <v>6.8149999999999995</v>
      </c>
    </row>
    <row r="3434" spans="12:16">
      <c r="L3434" s="51" t="s">
        <v>3439</v>
      </c>
      <c r="M3434" s="25">
        <f>DATE(YEAR(OneWeekMtgRatesDataTable75[[#This Row],[asOf]]),MONTH(OneWeekMtgRatesDataTable75[[#This Row],[asOf]]),DAY(OneWeekMtgRatesDataTable75[[#This Row],[asOf]]))</f>
        <v>37389</v>
      </c>
      <c r="N3434" s="51">
        <v>6.89</v>
      </c>
      <c r="O3434" s="51">
        <v>0.7</v>
      </c>
      <c r="P3434" s="51">
        <v>6.8149999999999995</v>
      </c>
    </row>
    <row r="3435" spans="12:16">
      <c r="L3435" s="51" t="s">
        <v>3440</v>
      </c>
      <c r="M3435" s="25">
        <f>DATE(YEAR(OneWeekMtgRatesDataTable75[[#This Row],[asOf]]),MONTH(OneWeekMtgRatesDataTable75[[#This Row],[asOf]]),DAY(OneWeekMtgRatesDataTable75[[#This Row],[asOf]]))</f>
        <v>37386</v>
      </c>
      <c r="N3435" s="51">
        <v>6.89</v>
      </c>
      <c r="O3435" s="51">
        <v>0.7</v>
      </c>
      <c r="P3435" s="51">
        <v>6.8149999999999995</v>
      </c>
    </row>
    <row r="3436" spans="12:16">
      <c r="L3436" s="51" t="s">
        <v>3441</v>
      </c>
      <c r="M3436" s="25">
        <f>DATE(YEAR(OneWeekMtgRatesDataTable75[[#This Row],[asOf]]),MONTH(OneWeekMtgRatesDataTable75[[#This Row],[asOf]]),DAY(OneWeekMtgRatesDataTable75[[#This Row],[asOf]]))</f>
        <v>37385</v>
      </c>
      <c r="N3436" s="51">
        <v>6.79</v>
      </c>
      <c r="O3436" s="51">
        <v>0.7</v>
      </c>
      <c r="P3436" s="51">
        <v>6.7149999999999999</v>
      </c>
    </row>
    <row r="3437" spans="12:16">
      <c r="L3437" s="51" t="s">
        <v>3442</v>
      </c>
      <c r="M3437" s="25">
        <f>DATE(YEAR(OneWeekMtgRatesDataTable75[[#This Row],[asOf]]),MONTH(OneWeekMtgRatesDataTable75[[#This Row],[asOf]]),DAY(OneWeekMtgRatesDataTable75[[#This Row],[asOf]]))</f>
        <v>37384</v>
      </c>
      <c r="N3437" s="51">
        <v>6.79</v>
      </c>
      <c r="O3437" s="51">
        <v>0.7</v>
      </c>
      <c r="P3437" s="51">
        <v>6.7149999999999999</v>
      </c>
    </row>
    <row r="3438" spans="12:16">
      <c r="L3438" s="51" t="s">
        <v>3443</v>
      </c>
      <c r="M3438" s="25">
        <f>DATE(YEAR(OneWeekMtgRatesDataTable75[[#This Row],[asOf]]),MONTH(OneWeekMtgRatesDataTable75[[#This Row],[asOf]]),DAY(OneWeekMtgRatesDataTable75[[#This Row],[asOf]]))</f>
        <v>37383</v>
      </c>
      <c r="N3438" s="51">
        <v>6.79</v>
      </c>
      <c r="O3438" s="51">
        <v>0.7</v>
      </c>
      <c r="P3438" s="51">
        <v>6.7149999999999999</v>
      </c>
    </row>
    <row r="3439" spans="12:16">
      <c r="L3439" s="51" t="s">
        <v>3444</v>
      </c>
      <c r="M3439" s="25">
        <f>DATE(YEAR(OneWeekMtgRatesDataTable75[[#This Row],[asOf]]),MONTH(OneWeekMtgRatesDataTable75[[#This Row],[asOf]]),DAY(OneWeekMtgRatesDataTable75[[#This Row],[asOf]]))</f>
        <v>37382</v>
      </c>
      <c r="N3439" s="51">
        <v>6.79</v>
      </c>
      <c r="O3439" s="51">
        <v>0.7</v>
      </c>
      <c r="P3439" s="51">
        <v>6.7149999999999999</v>
      </c>
    </row>
    <row r="3440" spans="12:16">
      <c r="L3440" s="51" t="s">
        <v>3445</v>
      </c>
      <c r="M3440" s="25">
        <f>DATE(YEAR(OneWeekMtgRatesDataTable75[[#This Row],[asOf]]),MONTH(OneWeekMtgRatesDataTable75[[#This Row],[asOf]]),DAY(OneWeekMtgRatesDataTable75[[#This Row],[asOf]]))</f>
        <v>37379</v>
      </c>
      <c r="N3440" s="51">
        <v>6.79</v>
      </c>
      <c r="O3440" s="51">
        <v>0.7</v>
      </c>
      <c r="P3440" s="51">
        <v>6.7149999999999999</v>
      </c>
    </row>
    <row r="3441" spans="12:16">
      <c r="L3441" s="51" t="s">
        <v>3446</v>
      </c>
      <c r="M3441" s="25">
        <f>DATE(YEAR(OneWeekMtgRatesDataTable75[[#This Row],[asOf]]),MONTH(OneWeekMtgRatesDataTable75[[#This Row],[asOf]]),DAY(OneWeekMtgRatesDataTable75[[#This Row],[asOf]]))</f>
        <v>37378</v>
      </c>
      <c r="N3441" s="51">
        <v>6.78</v>
      </c>
      <c r="O3441" s="51">
        <v>0.7</v>
      </c>
      <c r="P3441" s="51">
        <v>6.7050000000000001</v>
      </c>
    </row>
    <row r="3442" spans="12:16">
      <c r="L3442" s="51" t="s">
        <v>3447</v>
      </c>
      <c r="M3442" s="25">
        <f>DATE(YEAR(OneWeekMtgRatesDataTable75[[#This Row],[asOf]]),MONTH(OneWeekMtgRatesDataTable75[[#This Row],[asOf]]),DAY(OneWeekMtgRatesDataTable75[[#This Row],[asOf]]))</f>
        <v>37377</v>
      </c>
      <c r="N3442" s="51">
        <v>6.78</v>
      </c>
      <c r="O3442" s="51">
        <v>0.7</v>
      </c>
      <c r="P3442" s="51">
        <v>6.7050000000000001</v>
      </c>
    </row>
    <row r="3443" spans="12:16">
      <c r="L3443" s="51" t="s">
        <v>3448</v>
      </c>
      <c r="M3443" s="25">
        <f>DATE(YEAR(OneWeekMtgRatesDataTable75[[#This Row],[asOf]]),MONTH(OneWeekMtgRatesDataTable75[[#This Row],[asOf]]),DAY(OneWeekMtgRatesDataTable75[[#This Row],[asOf]]))</f>
        <v>37376</v>
      </c>
      <c r="N3443" s="51">
        <v>6.78</v>
      </c>
      <c r="O3443" s="51">
        <v>0.7</v>
      </c>
      <c r="P3443" s="51">
        <v>6.7050000000000001</v>
      </c>
    </row>
    <row r="3444" spans="12:16">
      <c r="L3444" s="51" t="s">
        <v>3449</v>
      </c>
      <c r="M3444" s="25">
        <f>DATE(YEAR(OneWeekMtgRatesDataTable75[[#This Row],[asOf]]),MONTH(OneWeekMtgRatesDataTable75[[#This Row],[asOf]]),DAY(OneWeekMtgRatesDataTable75[[#This Row],[asOf]]))</f>
        <v>37375</v>
      </c>
      <c r="N3444" s="51">
        <v>6.78</v>
      </c>
      <c r="O3444" s="51">
        <v>0.7</v>
      </c>
      <c r="P3444" s="51">
        <v>6.7050000000000001</v>
      </c>
    </row>
    <row r="3445" spans="12:16">
      <c r="L3445" s="51" t="s">
        <v>3450</v>
      </c>
      <c r="M3445" s="25">
        <f>DATE(YEAR(OneWeekMtgRatesDataTable75[[#This Row],[asOf]]),MONTH(OneWeekMtgRatesDataTable75[[#This Row],[asOf]]),DAY(OneWeekMtgRatesDataTable75[[#This Row],[asOf]]))</f>
        <v>37372</v>
      </c>
      <c r="N3445" s="51">
        <v>6.78</v>
      </c>
      <c r="O3445" s="51">
        <v>0.7</v>
      </c>
      <c r="P3445" s="51">
        <v>6.7050000000000001</v>
      </c>
    </row>
    <row r="3446" spans="12:16">
      <c r="L3446" s="51" t="s">
        <v>3451</v>
      </c>
      <c r="M3446" s="25">
        <f>DATE(YEAR(OneWeekMtgRatesDataTable75[[#This Row],[asOf]]),MONTH(OneWeekMtgRatesDataTable75[[#This Row],[asOf]]),DAY(OneWeekMtgRatesDataTable75[[#This Row],[asOf]]))</f>
        <v>37371</v>
      </c>
      <c r="N3446" s="51">
        <v>6.88</v>
      </c>
      <c r="O3446" s="51">
        <v>0.7</v>
      </c>
      <c r="P3446" s="51">
        <v>6.8049999999999997</v>
      </c>
    </row>
    <row r="3447" spans="12:16">
      <c r="L3447" s="51" t="s">
        <v>3452</v>
      </c>
      <c r="M3447" s="25">
        <f>DATE(YEAR(OneWeekMtgRatesDataTable75[[#This Row],[asOf]]),MONTH(OneWeekMtgRatesDataTable75[[#This Row],[asOf]]),DAY(OneWeekMtgRatesDataTable75[[#This Row],[asOf]]))</f>
        <v>37370</v>
      </c>
      <c r="N3447" s="51">
        <v>6.88</v>
      </c>
      <c r="O3447" s="51">
        <v>0.7</v>
      </c>
      <c r="P3447" s="51">
        <v>6.8049999999999997</v>
      </c>
    </row>
    <row r="3448" spans="12:16">
      <c r="L3448" s="51" t="s">
        <v>3453</v>
      </c>
      <c r="M3448" s="25">
        <f>DATE(YEAR(OneWeekMtgRatesDataTable75[[#This Row],[asOf]]),MONTH(OneWeekMtgRatesDataTable75[[#This Row],[asOf]]),DAY(OneWeekMtgRatesDataTable75[[#This Row],[asOf]]))</f>
        <v>37369</v>
      </c>
      <c r="N3448" s="51">
        <v>6.88</v>
      </c>
      <c r="O3448" s="51">
        <v>0.7</v>
      </c>
      <c r="P3448" s="51">
        <v>6.8049999999999997</v>
      </c>
    </row>
    <row r="3449" spans="12:16">
      <c r="L3449" s="51" t="s">
        <v>3454</v>
      </c>
      <c r="M3449" s="25">
        <f>DATE(YEAR(OneWeekMtgRatesDataTable75[[#This Row],[asOf]]),MONTH(OneWeekMtgRatesDataTable75[[#This Row],[asOf]]),DAY(OneWeekMtgRatesDataTable75[[#This Row],[asOf]]))</f>
        <v>37368</v>
      </c>
      <c r="N3449" s="51">
        <v>6.88</v>
      </c>
      <c r="O3449" s="51">
        <v>0.7</v>
      </c>
      <c r="P3449" s="51">
        <v>6.8049999999999997</v>
      </c>
    </row>
    <row r="3450" spans="12:16">
      <c r="L3450" s="51" t="s">
        <v>3455</v>
      </c>
      <c r="M3450" s="25">
        <f>DATE(YEAR(OneWeekMtgRatesDataTable75[[#This Row],[asOf]]),MONTH(OneWeekMtgRatesDataTable75[[#This Row],[asOf]]),DAY(OneWeekMtgRatesDataTable75[[#This Row],[asOf]]))</f>
        <v>37365</v>
      </c>
      <c r="N3450" s="51">
        <v>6.88</v>
      </c>
      <c r="O3450" s="51">
        <v>0.7</v>
      </c>
      <c r="P3450" s="51">
        <v>6.8049999999999997</v>
      </c>
    </row>
    <row r="3451" spans="12:16">
      <c r="L3451" s="51" t="s">
        <v>3456</v>
      </c>
      <c r="M3451" s="25">
        <f>DATE(YEAR(OneWeekMtgRatesDataTable75[[#This Row],[asOf]]),MONTH(OneWeekMtgRatesDataTable75[[#This Row],[asOf]]),DAY(OneWeekMtgRatesDataTable75[[#This Row],[asOf]]))</f>
        <v>37364</v>
      </c>
      <c r="N3451" s="51">
        <v>6.94</v>
      </c>
      <c r="O3451" s="51">
        <v>0.7</v>
      </c>
      <c r="P3451" s="51">
        <v>6.8650000000000002</v>
      </c>
    </row>
    <row r="3452" spans="12:16">
      <c r="L3452" s="51" t="s">
        <v>3457</v>
      </c>
      <c r="M3452" s="25">
        <f>DATE(YEAR(OneWeekMtgRatesDataTable75[[#This Row],[asOf]]),MONTH(OneWeekMtgRatesDataTable75[[#This Row],[asOf]]),DAY(OneWeekMtgRatesDataTable75[[#This Row],[asOf]]))</f>
        <v>37363</v>
      </c>
      <c r="N3452" s="51">
        <v>6.94</v>
      </c>
      <c r="O3452" s="51">
        <v>0.7</v>
      </c>
      <c r="P3452" s="51">
        <v>6.8650000000000002</v>
      </c>
    </row>
    <row r="3453" spans="12:16">
      <c r="L3453" s="51" t="s">
        <v>3458</v>
      </c>
      <c r="M3453" s="25">
        <f>DATE(YEAR(OneWeekMtgRatesDataTable75[[#This Row],[asOf]]),MONTH(OneWeekMtgRatesDataTable75[[#This Row],[asOf]]),DAY(OneWeekMtgRatesDataTable75[[#This Row],[asOf]]))</f>
        <v>37362</v>
      </c>
      <c r="N3453" s="51">
        <v>6.94</v>
      </c>
      <c r="O3453" s="51">
        <v>0.7</v>
      </c>
      <c r="P3453" s="51">
        <v>6.8650000000000002</v>
      </c>
    </row>
    <row r="3454" spans="12:16">
      <c r="L3454" s="51" t="s">
        <v>3459</v>
      </c>
      <c r="M3454" s="25">
        <f>DATE(YEAR(OneWeekMtgRatesDataTable75[[#This Row],[asOf]]),MONTH(OneWeekMtgRatesDataTable75[[#This Row],[asOf]]),DAY(OneWeekMtgRatesDataTable75[[#This Row],[asOf]]))</f>
        <v>37361</v>
      </c>
      <c r="N3454" s="51">
        <v>6.94</v>
      </c>
      <c r="O3454" s="51">
        <v>0.7</v>
      </c>
      <c r="P3454" s="51">
        <v>6.8650000000000002</v>
      </c>
    </row>
    <row r="3455" spans="12:16">
      <c r="L3455" s="51" t="s">
        <v>3460</v>
      </c>
      <c r="M3455" s="25">
        <f>DATE(YEAR(OneWeekMtgRatesDataTable75[[#This Row],[asOf]]),MONTH(OneWeekMtgRatesDataTable75[[#This Row],[asOf]]),DAY(OneWeekMtgRatesDataTable75[[#This Row],[asOf]]))</f>
        <v>37358</v>
      </c>
      <c r="N3455" s="51">
        <v>6.94</v>
      </c>
      <c r="O3455" s="51">
        <v>0.7</v>
      </c>
      <c r="P3455" s="51">
        <v>6.8650000000000002</v>
      </c>
    </row>
    <row r="3456" spans="12:16">
      <c r="L3456" s="51" t="s">
        <v>3461</v>
      </c>
      <c r="M3456" s="25">
        <f>DATE(YEAR(OneWeekMtgRatesDataTable75[[#This Row],[asOf]]),MONTH(OneWeekMtgRatesDataTable75[[#This Row],[asOf]]),DAY(OneWeekMtgRatesDataTable75[[#This Row],[asOf]]))</f>
        <v>37357</v>
      </c>
      <c r="N3456" s="51">
        <v>6.99</v>
      </c>
      <c r="O3456" s="51">
        <v>0.8</v>
      </c>
      <c r="P3456" s="51">
        <v>6.94</v>
      </c>
    </row>
    <row r="3457" spans="12:16">
      <c r="L3457" s="51" t="s">
        <v>3462</v>
      </c>
      <c r="M3457" s="25">
        <f>DATE(YEAR(OneWeekMtgRatesDataTable75[[#This Row],[asOf]]),MONTH(OneWeekMtgRatesDataTable75[[#This Row],[asOf]]),DAY(OneWeekMtgRatesDataTable75[[#This Row],[asOf]]))</f>
        <v>37356</v>
      </c>
      <c r="N3457" s="51">
        <v>6.99</v>
      </c>
      <c r="O3457" s="51">
        <v>0.8</v>
      </c>
      <c r="P3457" s="51">
        <v>6.94</v>
      </c>
    </row>
    <row r="3458" spans="12:16">
      <c r="L3458" s="51" t="s">
        <v>3463</v>
      </c>
      <c r="M3458" s="25">
        <f>DATE(YEAR(OneWeekMtgRatesDataTable75[[#This Row],[asOf]]),MONTH(OneWeekMtgRatesDataTable75[[#This Row],[asOf]]),DAY(OneWeekMtgRatesDataTable75[[#This Row],[asOf]]))</f>
        <v>37355</v>
      </c>
      <c r="N3458" s="51">
        <v>6.99</v>
      </c>
      <c r="O3458" s="51">
        <v>0.8</v>
      </c>
      <c r="P3458" s="51">
        <v>6.94</v>
      </c>
    </row>
    <row r="3459" spans="12:16">
      <c r="L3459" s="51" t="s">
        <v>3464</v>
      </c>
      <c r="M3459" s="25">
        <f>DATE(YEAR(OneWeekMtgRatesDataTable75[[#This Row],[asOf]]),MONTH(OneWeekMtgRatesDataTable75[[#This Row],[asOf]]),DAY(OneWeekMtgRatesDataTable75[[#This Row],[asOf]]))</f>
        <v>37354</v>
      </c>
      <c r="N3459" s="51">
        <v>6.99</v>
      </c>
      <c r="O3459" s="51">
        <v>0.8</v>
      </c>
      <c r="P3459" s="51">
        <v>6.94</v>
      </c>
    </row>
    <row r="3460" spans="12:16">
      <c r="L3460" s="51" t="s">
        <v>3465</v>
      </c>
      <c r="M3460" s="25">
        <f>DATE(YEAR(OneWeekMtgRatesDataTable75[[#This Row],[asOf]]),MONTH(OneWeekMtgRatesDataTable75[[#This Row],[asOf]]),DAY(OneWeekMtgRatesDataTable75[[#This Row],[asOf]]))</f>
        <v>37351</v>
      </c>
      <c r="N3460" s="51">
        <v>6.99</v>
      </c>
      <c r="O3460" s="51">
        <v>0.8</v>
      </c>
      <c r="P3460" s="51">
        <v>6.94</v>
      </c>
    </row>
    <row r="3461" spans="12:16">
      <c r="L3461" s="51" t="s">
        <v>3466</v>
      </c>
      <c r="M3461" s="25">
        <f>DATE(YEAR(OneWeekMtgRatesDataTable75[[#This Row],[asOf]]),MONTH(OneWeekMtgRatesDataTable75[[#This Row],[asOf]]),DAY(OneWeekMtgRatesDataTable75[[#This Row],[asOf]]))</f>
        <v>37350</v>
      </c>
      <c r="N3461" s="51">
        <v>7.13</v>
      </c>
      <c r="O3461" s="51">
        <v>0.7</v>
      </c>
      <c r="P3461" s="51">
        <v>7.0549999999999997</v>
      </c>
    </row>
    <row r="3462" spans="12:16">
      <c r="L3462" s="51" t="s">
        <v>3467</v>
      </c>
      <c r="M3462" s="25">
        <f>DATE(YEAR(OneWeekMtgRatesDataTable75[[#This Row],[asOf]]),MONTH(OneWeekMtgRatesDataTable75[[#This Row],[asOf]]),DAY(OneWeekMtgRatesDataTable75[[#This Row],[asOf]]))</f>
        <v>37349</v>
      </c>
      <c r="N3462" s="51">
        <v>7.13</v>
      </c>
      <c r="O3462" s="51">
        <v>0.7</v>
      </c>
      <c r="P3462" s="51">
        <v>7.0549999999999997</v>
      </c>
    </row>
    <row r="3463" spans="12:16">
      <c r="L3463" s="51" t="s">
        <v>3468</v>
      </c>
      <c r="M3463" s="25">
        <f>DATE(YEAR(OneWeekMtgRatesDataTable75[[#This Row],[asOf]]),MONTH(OneWeekMtgRatesDataTable75[[#This Row],[asOf]]),DAY(OneWeekMtgRatesDataTable75[[#This Row],[asOf]]))</f>
        <v>37348</v>
      </c>
      <c r="N3463" s="51">
        <v>7.13</v>
      </c>
      <c r="O3463" s="51">
        <v>0.7</v>
      </c>
      <c r="P3463" s="51">
        <v>7.0549999999999997</v>
      </c>
    </row>
    <row r="3464" spans="12:16">
      <c r="L3464" s="51" t="s">
        <v>3469</v>
      </c>
      <c r="M3464" s="25">
        <f>DATE(YEAR(OneWeekMtgRatesDataTable75[[#This Row],[asOf]]),MONTH(OneWeekMtgRatesDataTable75[[#This Row],[asOf]]),DAY(OneWeekMtgRatesDataTable75[[#This Row],[asOf]]))</f>
        <v>37347</v>
      </c>
      <c r="N3464" s="51">
        <v>7.13</v>
      </c>
      <c r="O3464" s="51">
        <v>0.7</v>
      </c>
      <c r="P3464" s="51">
        <v>7.0549999999999997</v>
      </c>
    </row>
    <row r="3465" spans="12:16">
      <c r="L3465" s="51" t="s">
        <v>3470</v>
      </c>
      <c r="M3465" s="25">
        <f>DATE(YEAR(OneWeekMtgRatesDataTable75[[#This Row],[asOf]]),MONTH(OneWeekMtgRatesDataTable75[[#This Row],[asOf]]),DAY(OneWeekMtgRatesDataTable75[[#This Row],[asOf]]))</f>
        <v>37344</v>
      </c>
      <c r="N3465" s="51">
        <v>7.13</v>
      </c>
      <c r="O3465" s="51">
        <v>0.7</v>
      </c>
      <c r="P3465" s="51">
        <v>7.0549999999999997</v>
      </c>
    </row>
    <row r="3466" spans="12:16">
      <c r="L3466" s="51" t="s">
        <v>3471</v>
      </c>
      <c r="M3466" s="25">
        <f>DATE(YEAR(OneWeekMtgRatesDataTable75[[#This Row],[asOf]]),MONTH(OneWeekMtgRatesDataTable75[[#This Row],[asOf]]),DAY(OneWeekMtgRatesDataTable75[[#This Row],[asOf]]))</f>
        <v>37343</v>
      </c>
      <c r="N3466" s="51">
        <v>7.18</v>
      </c>
      <c r="O3466" s="51">
        <v>0.7</v>
      </c>
      <c r="P3466" s="51">
        <v>7.1049999999999995</v>
      </c>
    </row>
    <row r="3467" spans="12:16">
      <c r="L3467" s="51" t="s">
        <v>3472</v>
      </c>
      <c r="M3467" s="25">
        <f>DATE(YEAR(OneWeekMtgRatesDataTable75[[#This Row],[asOf]]),MONTH(OneWeekMtgRatesDataTable75[[#This Row],[asOf]]),DAY(OneWeekMtgRatesDataTable75[[#This Row],[asOf]]))</f>
        <v>37342</v>
      </c>
      <c r="N3467" s="51">
        <v>7.18</v>
      </c>
      <c r="O3467" s="51">
        <v>0.7</v>
      </c>
      <c r="P3467" s="51">
        <v>7.1049999999999995</v>
      </c>
    </row>
    <row r="3468" spans="12:16">
      <c r="L3468" s="51" t="s">
        <v>3473</v>
      </c>
      <c r="M3468" s="25">
        <f>DATE(YEAR(OneWeekMtgRatesDataTable75[[#This Row],[asOf]]),MONTH(OneWeekMtgRatesDataTable75[[#This Row],[asOf]]),DAY(OneWeekMtgRatesDataTable75[[#This Row],[asOf]]))</f>
        <v>37341</v>
      </c>
      <c r="N3468" s="51">
        <v>7.18</v>
      </c>
      <c r="O3468" s="51">
        <v>0.7</v>
      </c>
      <c r="P3468" s="51">
        <v>7.1049999999999995</v>
      </c>
    </row>
    <row r="3469" spans="12:16">
      <c r="L3469" s="51" t="s">
        <v>3474</v>
      </c>
      <c r="M3469" s="25">
        <f>DATE(YEAR(OneWeekMtgRatesDataTable75[[#This Row],[asOf]]),MONTH(OneWeekMtgRatesDataTable75[[#This Row],[asOf]]),DAY(OneWeekMtgRatesDataTable75[[#This Row],[asOf]]))</f>
        <v>37340</v>
      </c>
      <c r="N3469" s="51">
        <v>7.18</v>
      </c>
      <c r="O3469" s="51">
        <v>0.7</v>
      </c>
      <c r="P3469" s="51">
        <v>7.1049999999999995</v>
      </c>
    </row>
    <row r="3470" spans="12:16">
      <c r="L3470" s="51" t="s">
        <v>3475</v>
      </c>
      <c r="M3470" s="25">
        <f>DATE(YEAR(OneWeekMtgRatesDataTable75[[#This Row],[asOf]]),MONTH(OneWeekMtgRatesDataTable75[[#This Row],[asOf]]),DAY(OneWeekMtgRatesDataTable75[[#This Row],[asOf]]))</f>
        <v>37337</v>
      </c>
      <c r="N3470" s="51">
        <v>7.18</v>
      </c>
      <c r="O3470" s="51">
        <v>0.7</v>
      </c>
      <c r="P3470" s="51">
        <v>7.1049999999999995</v>
      </c>
    </row>
    <row r="3471" spans="12:16">
      <c r="L3471" s="51" t="s">
        <v>3476</v>
      </c>
      <c r="M3471" s="25">
        <f>DATE(YEAR(OneWeekMtgRatesDataTable75[[#This Row],[asOf]]),MONTH(OneWeekMtgRatesDataTable75[[#This Row],[asOf]]),DAY(OneWeekMtgRatesDataTable75[[#This Row],[asOf]]))</f>
        <v>37336</v>
      </c>
      <c r="N3471" s="51">
        <v>7.14</v>
      </c>
      <c r="O3471" s="51">
        <v>0.7</v>
      </c>
      <c r="P3471" s="51">
        <v>7.0649999999999995</v>
      </c>
    </row>
    <row r="3472" spans="12:16">
      <c r="L3472" s="51" t="s">
        <v>3477</v>
      </c>
      <c r="M3472" s="25">
        <f>DATE(YEAR(OneWeekMtgRatesDataTable75[[#This Row],[asOf]]),MONTH(OneWeekMtgRatesDataTable75[[#This Row],[asOf]]),DAY(OneWeekMtgRatesDataTable75[[#This Row],[asOf]]))</f>
        <v>37335</v>
      </c>
      <c r="N3472" s="51">
        <v>7.14</v>
      </c>
      <c r="O3472" s="51">
        <v>0.7</v>
      </c>
      <c r="P3472" s="51">
        <v>7.0649999999999995</v>
      </c>
    </row>
    <row r="3473" spans="12:16">
      <c r="L3473" s="51" t="s">
        <v>3478</v>
      </c>
      <c r="M3473" s="25">
        <f>DATE(YEAR(OneWeekMtgRatesDataTable75[[#This Row],[asOf]]),MONTH(OneWeekMtgRatesDataTable75[[#This Row],[asOf]]),DAY(OneWeekMtgRatesDataTable75[[#This Row],[asOf]]))</f>
        <v>37334</v>
      </c>
      <c r="N3473" s="51">
        <v>7.14</v>
      </c>
      <c r="O3473" s="51">
        <v>0.7</v>
      </c>
      <c r="P3473" s="51">
        <v>7.0649999999999995</v>
      </c>
    </row>
    <row r="3474" spans="12:16">
      <c r="L3474" s="51" t="s">
        <v>3479</v>
      </c>
      <c r="M3474" s="25">
        <f>DATE(YEAR(OneWeekMtgRatesDataTable75[[#This Row],[asOf]]),MONTH(OneWeekMtgRatesDataTable75[[#This Row],[asOf]]),DAY(OneWeekMtgRatesDataTable75[[#This Row],[asOf]]))</f>
        <v>37333</v>
      </c>
      <c r="N3474" s="51">
        <v>7.14</v>
      </c>
      <c r="O3474" s="51">
        <v>0.7</v>
      </c>
      <c r="P3474" s="51">
        <v>7.0649999999999995</v>
      </c>
    </row>
    <row r="3475" spans="12:16">
      <c r="L3475" s="51" t="s">
        <v>3480</v>
      </c>
      <c r="M3475" s="25">
        <f>DATE(YEAR(OneWeekMtgRatesDataTable75[[#This Row],[asOf]]),MONTH(OneWeekMtgRatesDataTable75[[#This Row],[asOf]]),DAY(OneWeekMtgRatesDataTable75[[#This Row],[asOf]]))</f>
        <v>37330</v>
      </c>
      <c r="N3475" s="51">
        <v>7.14</v>
      </c>
      <c r="O3475" s="51">
        <v>0.7</v>
      </c>
      <c r="P3475" s="51">
        <v>7.0649999999999995</v>
      </c>
    </row>
    <row r="3476" spans="12:16">
      <c r="L3476" s="51" t="s">
        <v>3481</v>
      </c>
      <c r="M3476" s="25">
        <f>DATE(YEAR(OneWeekMtgRatesDataTable75[[#This Row],[asOf]]),MONTH(OneWeekMtgRatesDataTable75[[#This Row],[asOf]]),DAY(OneWeekMtgRatesDataTable75[[#This Row],[asOf]]))</f>
        <v>37329</v>
      </c>
      <c r="N3476" s="51">
        <v>7.08</v>
      </c>
      <c r="O3476" s="51">
        <v>0.7</v>
      </c>
      <c r="P3476" s="51">
        <v>7.0049999999999999</v>
      </c>
    </row>
    <row r="3477" spans="12:16">
      <c r="L3477" s="51" t="s">
        <v>3482</v>
      </c>
      <c r="M3477" s="25">
        <f>DATE(YEAR(OneWeekMtgRatesDataTable75[[#This Row],[asOf]]),MONTH(OneWeekMtgRatesDataTable75[[#This Row],[asOf]]),DAY(OneWeekMtgRatesDataTable75[[#This Row],[asOf]]))</f>
        <v>37328</v>
      </c>
      <c r="N3477" s="51">
        <v>7.08</v>
      </c>
      <c r="O3477" s="51">
        <v>0.7</v>
      </c>
      <c r="P3477" s="51">
        <v>7.0049999999999999</v>
      </c>
    </row>
    <row r="3478" spans="12:16">
      <c r="L3478" s="51" t="s">
        <v>3483</v>
      </c>
      <c r="M3478" s="25">
        <f>DATE(YEAR(OneWeekMtgRatesDataTable75[[#This Row],[asOf]]),MONTH(OneWeekMtgRatesDataTable75[[#This Row],[asOf]]),DAY(OneWeekMtgRatesDataTable75[[#This Row],[asOf]]))</f>
        <v>37327</v>
      </c>
      <c r="N3478" s="51">
        <v>7.08</v>
      </c>
      <c r="O3478" s="51">
        <v>0.7</v>
      </c>
      <c r="P3478" s="51">
        <v>7.0049999999999999</v>
      </c>
    </row>
    <row r="3479" spans="12:16">
      <c r="L3479" s="51" t="s">
        <v>3484</v>
      </c>
      <c r="M3479" s="25">
        <f>DATE(YEAR(OneWeekMtgRatesDataTable75[[#This Row],[asOf]]),MONTH(OneWeekMtgRatesDataTable75[[#This Row],[asOf]]),DAY(OneWeekMtgRatesDataTable75[[#This Row],[asOf]]))</f>
        <v>37326</v>
      </c>
      <c r="N3479" s="51">
        <v>7.08</v>
      </c>
      <c r="O3479" s="51">
        <v>0.7</v>
      </c>
      <c r="P3479" s="51">
        <v>7.0049999999999999</v>
      </c>
    </row>
    <row r="3480" spans="12:16">
      <c r="L3480" s="51" t="s">
        <v>3485</v>
      </c>
      <c r="M3480" s="25">
        <f>DATE(YEAR(OneWeekMtgRatesDataTable75[[#This Row],[asOf]]),MONTH(OneWeekMtgRatesDataTable75[[#This Row],[asOf]]),DAY(OneWeekMtgRatesDataTable75[[#This Row],[asOf]]))</f>
        <v>37323</v>
      </c>
      <c r="N3480" s="51">
        <v>7.08</v>
      </c>
      <c r="O3480" s="51">
        <v>0.7</v>
      </c>
      <c r="P3480" s="51">
        <v>7.0049999999999999</v>
      </c>
    </row>
    <row r="3481" spans="12:16">
      <c r="L3481" s="51" t="s">
        <v>3486</v>
      </c>
      <c r="M3481" s="25">
        <f>DATE(YEAR(OneWeekMtgRatesDataTable75[[#This Row],[asOf]]),MONTH(OneWeekMtgRatesDataTable75[[#This Row],[asOf]]),DAY(OneWeekMtgRatesDataTable75[[#This Row],[asOf]]))</f>
        <v>37322</v>
      </c>
      <c r="N3481" s="51">
        <v>6.87</v>
      </c>
      <c r="O3481" s="51">
        <v>0.7</v>
      </c>
      <c r="P3481" s="51">
        <v>6.7949999999999999</v>
      </c>
    </row>
    <row r="3482" spans="12:16">
      <c r="L3482" s="51" t="s">
        <v>3487</v>
      </c>
      <c r="M3482" s="25">
        <f>DATE(YEAR(OneWeekMtgRatesDataTable75[[#This Row],[asOf]]),MONTH(OneWeekMtgRatesDataTable75[[#This Row],[asOf]]),DAY(OneWeekMtgRatesDataTable75[[#This Row],[asOf]]))</f>
        <v>37321</v>
      </c>
      <c r="N3482" s="51">
        <v>6.87</v>
      </c>
      <c r="O3482" s="51">
        <v>0.7</v>
      </c>
      <c r="P3482" s="51">
        <v>6.7949999999999999</v>
      </c>
    </row>
    <row r="3483" spans="12:16">
      <c r="L3483" s="51" t="s">
        <v>3488</v>
      </c>
      <c r="M3483" s="25">
        <f>DATE(YEAR(OneWeekMtgRatesDataTable75[[#This Row],[asOf]]),MONTH(OneWeekMtgRatesDataTable75[[#This Row],[asOf]]),DAY(OneWeekMtgRatesDataTable75[[#This Row],[asOf]]))</f>
        <v>37320</v>
      </c>
      <c r="N3483" s="51">
        <v>6.87</v>
      </c>
      <c r="O3483" s="51">
        <v>0.7</v>
      </c>
      <c r="P3483" s="51">
        <v>6.7949999999999999</v>
      </c>
    </row>
    <row r="3484" spans="12:16">
      <c r="L3484" s="51" t="s">
        <v>3489</v>
      </c>
      <c r="M3484" s="25">
        <f>DATE(YEAR(OneWeekMtgRatesDataTable75[[#This Row],[asOf]]),MONTH(OneWeekMtgRatesDataTable75[[#This Row],[asOf]]),DAY(OneWeekMtgRatesDataTable75[[#This Row],[asOf]]))</f>
        <v>37319</v>
      </c>
      <c r="N3484" s="51">
        <v>6.87</v>
      </c>
      <c r="O3484" s="51">
        <v>0.7</v>
      </c>
      <c r="P3484" s="51">
        <v>6.7949999999999999</v>
      </c>
    </row>
    <row r="3485" spans="12:16">
      <c r="L3485" s="51" t="s">
        <v>3490</v>
      </c>
      <c r="M3485" s="25">
        <f>DATE(YEAR(OneWeekMtgRatesDataTable75[[#This Row],[asOf]]),MONTH(OneWeekMtgRatesDataTable75[[#This Row],[asOf]]),DAY(OneWeekMtgRatesDataTable75[[#This Row],[asOf]]))</f>
        <v>37316</v>
      </c>
      <c r="N3485" s="51">
        <v>6.87</v>
      </c>
      <c r="O3485" s="51">
        <v>0.7</v>
      </c>
      <c r="P3485" s="51">
        <v>6.7949999999999999</v>
      </c>
    </row>
    <row r="3486" spans="12:16">
      <c r="L3486" s="51" t="s">
        <v>3491</v>
      </c>
      <c r="M3486" s="25">
        <f>DATE(YEAR(OneWeekMtgRatesDataTable75[[#This Row],[asOf]]),MONTH(OneWeekMtgRatesDataTable75[[#This Row],[asOf]]),DAY(OneWeekMtgRatesDataTable75[[#This Row],[asOf]]))</f>
        <v>37315</v>
      </c>
      <c r="N3486" s="51">
        <v>6.8</v>
      </c>
      <c r="O3486" s="51">
        <v>0.7</v>
      </c>
      <c r="P3486" s="51">
        <v>6.7249999999999996</v>
      </c>
    </row>
    <row r="3487" spans="12:16">
      <c r="L3487" s="51" t="s">
        <v>3492</v>
      </c>
      <c r="M3487" s="25">
        <f>DATE(YEAR(OneWeekMtgRatesDataTable75[[#This Row],[asOf]]),MONTH(OneWeekMtgRatesDataTable75[[#This Row],[asOf]]),DAY(OneWeekMtgRatesDataTable75[[#This Row],[asOf]]))</f>
        <v>37314</v>
      </c>
      <c r="N3487" s="51">
        <v>6.8</v>
      </c>
      <c r="O3487" s="51">
        <v>0.7</v>
      </c>
      <c r="P3487" s="51">
        <v>6.7249999999999996</v>
      </c>
    </row>
    <row r="3488" spans="12:16">
      <c r="L3488" s="51" t="s">
        <v>3493</v>
      </c>
      <c r="M3488" s="25">
        <f>DATE(YEAR(OneWeekMtgRatesDataTable75[[#This Row],[asOf]]),MONTH(OneWeekMtgRatesDataTable75[[#This Row],[asOf]]),DAY(OneWeekMtgRatesDataTable75[[#This Row],[asOf]]))</f>
        <v>37313</v>
      </c>
      <c r="N3488" s="51">
        <v>6.8</v>
      </c>
      <c r="O3488" s="51">
        <v>0.7</v>
      </c>
      <c r="P3488" s="51">
        <v>6.7249999999999996</v>
      </c>
    </row>
    <row r="3489" spans="12:16">
      <c r="L3489" s="51" t="s">
        <v>3494</v>
      </c>
      <c r="M3489" s="25">
        <f>DATE(YEAR(OneWeekMtgRatesDataTable75[[#This Row],[asOf]]),MONTH(OneWeekMtgRatesDataTable75[[#This Row],[asOf]]),DAY(OneWeekMtgRatesDataTable75[[#This Row],[asOf]]))</f>
        <v>37312</v>
      </c>
      <c r="N3489" s="51">
        <v>6.8</v>
      </c>
      <c r="O3489" s="51">
        <v>0.7</v>
      </c>
      <c r="P3489" s="51">
        <v>6.7249999999999996</v>
      </c>
    </row>
    <row r="3490" spans="12:16">
      <c r="L3490" s="51" t="s">
        <v>3495</v>
      </c>
      <c r="M3490" s="25">
        <f>DATE(YEAR(OneWeekMtgRatesDataTable75[[#This Row],[asOf]]),MONTH(OneWeekMtgRatesDataTable75[[#This Row],[asOf]]),DAY(OneWeekMtgRatesDataTable75[[#This Row],[asOf]]))</f>
        <v>37309</v>
      </c>
      <c r="N3490" s="51">
        <v>6.8</v>
      </c>
      <c r="O3490" s="51">
        <v>0.7</v>
      </c>
      <c r="P3490" s="51">
        <v>6.7249999999999996</v>
      </c>
    </row>
    <row r="3491" spans="12:16">
      <c r="L3491" s="51" t="s">
        <v>3496</v>
      </c>
      <c r="M3491" s="25">
        <f>DATE(YEAR(OneWeekMtgRatesDataTable75[[#This Row],[asOf]]),MONTH(OneWeekMtgRatesDataTable75[[#This Row],[asOf]]),DAY(OneWeekMtgRatesDataTable75[[#This Row],[asOf]]))</f>
        <v>37308</v>
      </c>
      <c r="N3491" s="51">
        <v>6.81</v>
      </c>
      <c r="O3491" s="51">
        <v>0.7</v>
      </c>
      <c r="P3491" s="51">
        <v>6.7349999999999994</v>
      </c>
    </row>
    <row r="3492" spans="12:16">
      <c r="L3492" s="51" t="s">
        <v>3497</v>
      </c>
      <c r="M3492" s="25">
        <f>DATE(YEAR(OneWeekMtgRatesDataTable75[[#This Row],[asOf]]),MONTH(OneWeekMtgRatesDataTable75[[#This Row],[asOf]]),DAY(OneWeekMtgRatesDataTable75[[#This Row],[asOf]]))</f>
        <v>37307</v>
      </c>
      <c r="N3492" s="51">
        <v>6.81</v>
      </c>
      <c r="O3492" s="51">
        <v>0.7</v>
      </c>
      <c r="P3492" s="51">
        <v>6.7349999999999994</v>
      </c>
    </row>
    <row r="3493" spans="12:16">
      <c r="L3493" s="51" t="s">
        <v>3498</v>
      </c>
      <c r="M3493" s="25">
        <f>DATE(YEAR(OneWeekMtgRatesDataTable75[[#This Row],[asOf]]),MONTH(OneWeekMtgRatesDataTable75[[#This Row],[asOf]]),DAY(OneWeekMtgRatesDataTable75[[#This Row],[asOf]]))</f>
        <v>37306</v>
      </c>
      <c r="N3493" s="51">
        <v>6.81</v>
      </c>
      <c r="O3493" s="51">
        <v>0.7</v>
      </c>
      <c r="P3493" s="51">
        <v>6.7349999999999994</v>
      </c>
    </row>
    <row r="3494" spans="12:16">
      <c r="L3494" s="51" t="s">
        <v>3499</v>
      </c>
      <c r="M3494" s="25">
        <f>DATE(YEAR(OneWeekMtgRatesDataTable75[[#This Row],[asOf]]),MONTH(OneWeekMtgRatesDataTable75[[#This Row],[asOf]]),DAY(OneWeekMtgRatesDataTable75[[#This Row],[asOf]]))</f>
        <v>37305</v>
      </c>
      <c r="N3494" s="51">
        <v>6.81</v>
      </c>
      <c r="O3494" s="51">
        <v>0.7</v>
      </c>
      <c r="P3494" s="51">
        <v>6.7349999999999994</v>
      </c>
    </row>
    <row r="3495" spans="12:16">
      <c r="L3495" s="51" t="s">
        <v>3500</v>
      </c>
      <c r="M3495" s="25">
        <f>DATE(YEAR(OneWeekMtgRatesDataTable75[[#This Row],[asOf]]),MONTH(OneWeekMtgRatesDataTable75[[#This Row],[asOf]]),DAY(OneWeekMtgRatesDataTable75[[#This Row],[asOf]]))</f>
        <v>37302</v>
      </c>
      <c r="N3495" s="51">
        <v>6.81</v>
      </c>
      <c r="O3495" s="51">
        <v>0.7</v>
      </c>
      <c r="P3495" s="51">
        <v>6.7349999999999994</v>
      </c>
    </row>
    <row r="3496" spans="12:16">
      <c r="L3496" s="51" t="s">
        <v>3501</v>
      </c>
      <c r="M3496" s="25">
        <f>DATE(YEAR(OneWeekMtgRatesDataTable75[[#This Row],[asOf]]),MONTH(OneWeekMtgRatesDataTable75[[#This Row],[asOf]]),DAY(OneWeekMtgRatesDataTable75[[#This Row],[asOf]]))</f>
        <v>37301</v>
      </c>
      <c r="N3496" s="51">
        <v>6.86</v>
      </c>
      <c r="O3496" s="51">
        <v>0.7</v>
      </c>
      <c r="P3496" s="51">
        <v>6.7850000000000001</v>
      </c>
    </row>
    <row r="3497" spans="12:16">
      <c r="L3497" s="51" t="s">
        <v>3502</v>
      </c>
      <c r="M3497" s="25">
        <f>DATE(YEAR(OneWeekMtgRatesDataTable75[[#This Row],[asOf]]),MONTH(OneWeekMtgRatesDataTable75[[#This Row],[asOf]]),DAY(OneWeekMtgRatesDataTable75[[#This Row],[asOf]]))</f>
        <v>37300</v>
      </c>
      <c r="N3497" s="51">
        <v>6.86</v>
      </c>
      <c r="O3497" s="51">
        <v>0.7</v>
      </c>
      <c r="P3497" s="51">
        <v>6.7850000000000001</v>
      </c>
    </row>
    <row r="3498" spans="12:16">
      <c r="L3498" s="51" t="s">
        <v>3503</v>
      </c>
      <c r="M3498" s="25">
        <f>DATE(YEAR(OneWeekMtgRatesDataTable75[[#This Row],[asOf]]),MONTH(OneWeekMtgRatesDataTable75[[#This Row],[asOf]]),DAY(OneWeekMtgRatesDataTable75[[#This Row],[asOf]]))</f>
        <v>37299</v>
      </c>
      <c r="N3498" s="51">
        <v>6.86</v>
      </c>
      <c r="O3498" s="51">
        <v>0.7</v>
      </c>
      <c r="P3498" s="51">
        <v>6.7850000000000001</v>
      </c>
    </row>
    <row r="3499" spans="12:16">
      <c r="L3499" s="51" t="s">
        <v>3504</v>
      </c>
      <c r="M3499" s="25">
        <f>DATE(YEAR(OneWeekMtgRatesDataTable75[[#This Row],[asOf]]),MONTH(OneWeekMtgRatesDataTable75[[#This Row],[asOf]]),DAY(OneWeekMtgRatesDataTable75[[#This Row],[asOf]]))</f>
        <v>37298</v>
      </c>
      <c r="N3499" s="51">
        <v>6.86</v>
      </c>
      <c r="O3499" s="51">
        <v>0.7</v>
      </c>
      <c r="P3499" s="51">
        <v>6.7850000000000001</v>
      </c>
    </row>
    <row r="3500" spans="12:16">
      <c r="L3500" s="51" t="s">
        <v>3505</v>
      </c>
      <c r="M3500" s="25">
        <f>DATE(YEAR(OneWeekMtgRatesDataTable75[[#This Row],[asOf]]),MONTH(OneWeekMtgRatesDataTable75[[#This Row],[asOf]]),DAY(OneWeekMtgRatesDataTable75[[#This Row],[asOf]]))</f>
        <v>37295</v>
      </c>
      <c r="N3500" s="51">
        <v>6.86</v>
      </c>
      <c r="O3500" s="51">
        <v>0.7</v>
      </c>
      <c r="P3500" s="51">
        <v>6.7850000000000001</v>
      </c>
    </row>
    <row r="3501" spans="12:16">
      <c r="L3501" s="51" t="s">
        <v>3506</v>
      </c>
      <c r="M3501" s="25">
        <f>DATE(YEAR(OneWeekMtgRatesDataTable75[[#This Row],[asOf]]),MONTH(OneWeekMtgRatesDataTable75[[#This Row],[asOf]]),DAY(OneWeekMtgRatesDataTable75[[#This Row],[asOf]]))</f>
        <v>37294</v>
      </c>
      <c r="N3501" s="51">
        <v>6.88</v>
      </c>
      <c r="O3501" s="51">
        <v>0.7</v>
      </c>
      <c r="P3501" s="51">
        <v>6.8049999999999997</v>
      </c>
    </row>
    <row r="3502" spans="12:16">
      <c r="L3502" s="51" t="s">
        <v>3507</v>
      </c>
      <c r="M3502" s="25">
        <f>DATE(YEAR(OneWeekMtgRatesDataTable75[[#This Row],[asOf]]),MONTH(OneWeekMtgRatesDataTable75[[#This Row],[asOf]]),DAY(OneWeekMtgRatesDataTable75[[#This Row],[asOf]]))</f>
        <v>37293</v>
      </c>
      <c r="N3502" s="51">
        <v>6.88</v>
      </c>
      <c r="O3502" s="51">
        <v>0.7</v>
      </c>
      <c r="P3502" s="51">
        <v>6.8049999999999997</v>
      </c>
    </row>
    <row r="3503" spans="12:16">
      <c r="L3503" s="51" t="s">
        <v>3508</v>
      </c>
      <c r="M3503" s="25">
        <f>DATE(YEAR(OneWeekMtgRatesDataTable75[[#This Row],[asOf]]),MONTH(OneWeekMtgRatesDataTable75[[#This Row],[asOf]]),DAY(OneWeekMtgRatesDataTable75[[#This Row],[asOf]]))</f>
        <v>37292</v>
      </c>
      <c r="N3503" s="51">
        <v>6.88</v>
      </c>
      <c r="O3503" s="51">
        <v>0.7</v>
      </c>
      <c r="P3503" s="51">
        <v>6.8049999999999997</v>
      </c>
    </row>
    <row r="3504" spans="12:16">
      <c r="L3504" s="51" t="s">
        <v>3509</v>
      </c>
      <c r="M3504" s="25">
        <f>DATE(YEAR(OneWeekMtgRatesDataTable75[[#This Row],[asOf]]),MONTH(OneWeekMtgRatesDataTable75[[#This Row],[asOf]]),DAY(OneWeekMtgRatesDataTable75[[#This Row],[asOf]]))</f>
        <v>37291</v>
      </c>
      <c r="N3504" s="51">
        <v>6.88</v>
      </c>
      <c r="O3504" s="51">
        <v>0.7</v>
      </c>
      <c r="P3504" s="51">
        <v>6.8049999999999997</v>
      </c>
    </row>
    <row r="3505" spans="12:16">
      <c r="L3505" s="51" t="s">
        <v>3510</v>
      </c>
      <c r="M3505" s="25">
        <f>DATE(YEAR(OneWeekMtgRatesDataTable75[[#This Row],[asOf]]),MONTH(OneWeekMtgRatesDataTable75[[#This Row],[asOf]]),DAY(OneWeekMtgRatesDataTable75[[#This Row],[asOf]]))</f>
        <v>37288</v>
      </c>
      <c r="N3505" s="51">
        <v>6.88</v>
      </c>
      <c r="O3505" s="51">
        <v>0.7</v>
      </c>
      <c r="P3505" s="51">
        <v>6.8049999999999997</v>
      </c>
    </row>
    <row r="3506" spans="12:16">
      <c r="L3506" s="51" t="s">
        <v>3511</v>
      </c>
      <c r="M3506" s="25">
        <f>DATE(YEAR(OneWeekMtgRatesDataTable75[[#This Row],[asOf]]),MONTH(OneWeekMtgRatesDataTable75[[#This Row],[asOf]]),DAY(OneWeekMtgRatesDataTable75[[#This Row],[asOf]]))</f>
        <v>37287</v>
      </c>
      <c r="N3506" s="51">
        <v>7.02</v>
      </c>
      <c r="O3506" s="51">
        <v>0.7</v>
      </c>
      <c r="P3506" s="51">
        <v>6.9449999999999994</v>
      </c>
    </row>
    <row r="3507" spans="12:16">
      <c r="L3507" s="51" t="s">
        <v>3512</v>
      </c>
      <c r="M3507" s="25">
        <f>DATE(YEAR(OneWeekMtgRatesDataTable75[[#This Row],[asOf]]),MONTH(OneWeekMtgRatesDataTable75[[#This Row],[asOf]]),DAY(OneWeekMtgRatesDataTable75[[#This Row],[asOf]]))</f>
        <v>37286</v>
      </c>
      <c r="N3507" s="51">
        <v>7.02</v>
      </c>
      <c r="O3507" s="51">
        <v>0.7</v>
      </c>
      <c r="P3507" s="51">
        <v>6.9449999999999994</v>
      </c>
    </row>
    <row r="3508" spans="12:16">
      <c r="L3508" s="51" t="s">
        <v>3513</v>
      </c>
      <c r="M3508" s="25">
        <f>DATE(YEAR(OneWeekMtgRatesDataTable75[[#This Row],[asOf]]),MONTH(OneWeekMtgRatesDataTable75[[#This Row],[asOf]]),DAY(OneWeekMtgRatesDataTable75[[#This Row],[asOf]]))</f>
        <v>37285</v>
      </c>
      <c r="N3508" s="51">
        <v>7.02</v>
      </c>
      <c r="O3508" s="51">
        <v>0.7</v>
      </c>
      <c r="P3508" s="51">
        <v>6.9449999999999994</v>
      </c>
    </row>
    <row r="3509" spans="12:16">
      <c r="L3509" s="51" t="s">
        <v>3514</v>
      </c>
      <c r="M3509" s="25">
        <f>DATE(YEAR(OneWeekMtgRatesDataTable75[[#This Row],[asOf]]),MONTH(OneWeekMtgRatesDataTable75[[#This Row],[asOf]]),DAY(OneWeekMtgRatesDataTable75[[#This Row],[asOf]]))</f>
        <v>37284</v>
      </c>
      <c r="N3509" s="51">
        <v>7.02</v>
      </c>
      <c r="O3509" s="51">
        <v>0.7</v>
      </c>
      <c r="P3509" s="51">
        <v>6.9449999999999994</v>
      </c>
    </row>
    <row r="3510" spans="12:16">
      <c r="L3510" s="51" t="s">
        <v>3515</v>
      </c>
      <c r="M3510" s="25">
        <f>DATE(YEAR(OneWeekMtgRatesDataTable75[[#This Row],[asOf]]),MONTH(OneWeekMtgRatesDataTable75[[#This Row],[asOf]]),DAY(OneWeekMtgRatesDataTable75[[#This Row],[asOf]]))</f>
        <v>37281</v>
      </c>
      <c r="N3510" s="51">
        <v>7.02</v>
      </c>
      <c r="O3510" s="51">
        <v>0.7</v>
      </c>
      <c r="P3510" s="51">
        <v>6.9449999999999994</v>
      </c>
    </row>
    <row r="3511" spans="12:16">
      <c r="L3511" s="51" t="s">
        <v>3516</v>
      </c>
      <c r="M3511" s="25">
        <f>DATE(YEAR(OneWeekMtgRatesDataTable75[[#This Row],[asOf]]),MONTH(OneWeekMtgRatesDataTable75[[#This Row],[asOf]]),DAY(OneWeekMtgRatesDataTable75[[#This Row],[asOf]]))</f>
        <v>37280</v>
      </c>
      <c r="N3511" s="51">
        <v>6.96</v>
      </c>
      <c r="O3511" s="51">
        <v>0.7</v>
      </c>
      <c r="P3511" s="51">
        <v>6.8849999999999998</v>
      </c>
    </row>
    <row r="3512" spans="12:16">
      <c r="L3512" s="51" t="s">
        <v>3517</v>
      </c>
      <c r="M3512" s="25">
        <f>DATE(YEAR(OneWeekMtgRatesDataTable75[[#This Row],[asOf]]),MONTH(OneWeekMtgRatesDataTable75[[#This Row],[asOf]]),DAY(OneWeekMtgRatesDataTable75[[#This Row],[asOf]]))</f>
        <v>37279</v>
      </c>
      <c r="N3512" s="51">
        <v>6.96</v>
      </c>
      <c r="O3512" s="51">
        <v>0.7</v>
      </c>
      <c r="P3512" s="51">
        <v>6.8849999999999998</v>
      </c>
    </row>
    <row r="3513" spans="12:16">
      <c r="L3513" s="51" t="s">
        <v>3518</v>
      </c>
      <c r="M3513" s="25">
        <f>DATE(YEAR(OneWeekMtgRatesDataTable75[[#This Row],[asOf]]),MONTH(OneWeekMtgRatesDataTable75[[#This Row],[asOf]]),DAY(OneWeekMtgRatesDataTable75[[#This Row],[asOf]]))</f>
        <v>37278</v>
      </c>
      <c r="N3513" s="51">
        <v>6.96</v>
      </c>
      <c r="O3513" s="51">
        <v>0.7</v>
      </c>
      <c r="P3513" s="51">
        <v>6.8849999999999998</v>
      </c>
    </row>
    <row r="3514" spans="12:16">
      <c r="L3514" s="51" t="s">
        <v>3519</v>
      </c>
      <c r="M3514" s="25">
        <f>DATE(YEAR(OneWeekMtgRatesDataTable75[[#This Row],[asOf]]),MONTH(OneWeekMtgRatesDataTable75[[#This Row],[asOf]]),DAY(OneWeekMtgRatesDataTable75[[#This Row],[asOf]]))</f>
        <v>37277</v>
      </c>
      <c r="N3514" s="51">
        <v>6.96</v>
      </c>
      <c r="O3514" s="51">
        <v>0.7</v>
      </c>
      <c r="P3514" s="51">
        <v>6.8849999999999998</v>
      </c>
    </row>
    <row r="3515" spans="12:16">
      <c r="L3515" s="51" t="s">
        <v>3520</v>
      </c>
      <c r="M3515" s="25">
        <f>DATE(YEAR(OneWeekMtgRatesDataTable75[[#This Row],[asOf]]),MONTH(OneWeekMtgRatesDataTable75[[#This Row],[asOf]]),DAY(OneWeekMtgRatesDataTable75[[#This Row],[asOf]]))</f>
        <v>37274</v>
      </c>
      <c r="N3515" s="51">
        <v>6.96</v>
      </c>
      <c r="O3515" s="51">
        <v>0.7</v>
      </c>
      <c r="P3515" s="51">
        <v>6.8849999999999998</v>
      </c>
    </row>
    <row r="3516" spans="12:16">
      <c r="L3516" s="51" t="s">
        <v>3521</v>
      </c>
      <c r="M3516" s="25">
        <f>DATE(YEAR(OneWeekMtgRatesDataTable75[[#This Row],[asOf]]),MONTH(OneWeekMtgRatesDataTable75[[#This Row],[asOf]]),DAY(OneWeekMtgRatesDataTable75[[#This Row],[asOf]]))</f>
        <v>37273</v>
      </c>
      <c r="N3516" s="51">
        <v>6.83</v>
      </c>
      <c r="O3516" s="51">
        <v>0.7</v>
      </c>
      <c r="P3516" s="51">
        <v>6.7549999999999999</v>
      </c>
    </row>
    <row r="3517" spans="12:16">
      <c r="L3517" s="51" t="s">
        <v>3522</v>
      </c>
      <c r="M3517" s="25">
        <f>DATE(YEAR(OneWeekMtgRatesDataTable75[[#This Row],[asOf]]),MONTH(OneWeekMtgRatesDataTable75[[#This Row],[asOf]]),DAY(OneWeekMtgRatesDataTable75[[#This Row],[asOf]]))</f>
        <v>37272</v>
      </c>
      <c r="N3517" s="51">
        <v>6.83</v>
      </c>
      <c r="O3517" s="51">
        <v>0.7</v>
      </c>
      <c r="P3517" s="51">
        <v>6.7549999999999999</v>
      </c>
    </row>
    <row r="3518" spans="12:16">
      <c r="L3518" s="51" t="s">
        <v>3523</v>
      </c>
      <c r="M3518" s="25">
        <f>DATE(YEAR(OneWeekMtgRatesDataTable75[[#This Row],[asOf]]),MONTH(OneWeekMtgRatesDataTable75[[#This Row],[asOf]]),DAY(OneWeekMtgRatesDataTable75[[#This Row],[asOf]]))</f>
        <v>37271</v>
      </c>
      <c r="N3518" s="51">
        <v>6.83</v>
      </c>
      <c r="O3518" s="51">
        <v>0.7</v>
      </c>
      <c r="P3518" s="51">
        <v>6.7549999999999999</v>
      </c>
    </row>
    <row r="3519" spans="12:16">
      <c r="L3519" s="51" t="s">
        <v>3524</v>
      </c>
      <c r="M3519" s="25">
        <f>DATE(YEAR(OneWeekMtgRatesDataTable75[[#This Row],[asOf]]),MONTH(OneWeekMtgRatesDataTable75[[#This Row],[asOf]]),DAY(OneWeekMtgRatesDataTable75[[#This Row],[asOf]]))</f>
        <v>37270</v>
      </c>
      <c r="N3519" s="51">
        <v>6.83</v>
      </c>
      <c r="O3519" s="51">
        <v>0.7</v>
      </c>
      <c r="P3519" s="51">
        <v>6.7549999999999999</v>
      </c>
    </row>
    <row r="3520" spans="12:16">
      <c r="L3520" s="51" t="s">
        <v>3525</v>
      </c>
      <c r="M3520" s="25">
        <f>DATE(YEAR(OneWeekMtgRatesDataTable75[[#This Row],[asOf]]),MONTH(OneWeekMtgRatesDataTable75[[#This Row],[asOf]]),DAY(OneWeekMtgRatesDataTable75[[#This Row],[asOf]]))</f>
        <v>37267</v>
      </c>
      <c r="N3520" s="51">
        <v>6.83</v>
      </c>
      <c r="O3520" s="51">
        <v>0.7</v>
      </c>
      <c r="P3520" s="51">
        <v>6.7549999999999999</v>
      </c>
    </row>
    <row r="3521" spans="12:16">
      <c r="L3521" s="51" t="s">
        <v>3526</v>
      </c>
      <c r="M3521" s="25">
        <f>DATE(YEAR(OneWeekMtgRatesDataTable75[[#This Row],[asOf]]),MONTH(OneWeekMtgRatesDataTable75[[#This Row],[asOf]]),DAY(OneWeekMtgRatesDataTable75[[#This Row],[asOf]]))</f>
        <v>37266</v>
      </c>
      <c r="N3521" s="51">
        <v>7.06</v>
      </c>
      <c r="O3521" s="51">
        <v>0.8</v>
      </c>
      <c r="P3521" s="51">
        <v>7.01</v>
      </c>
    </row>
    <row r="3522" spans="12:16">
      <c r="L3522" s="51" t="s">
        <v>3527</v>
      </c>
      <c r="M3522" s="25">
        <f>DATE(YEAR(OneWeekMtgRatesDataTable75[[#This Row],[asOf]]),MONTH(OneWeekMtgRatesDataTable75[[#This Row],[asOf]]),DAY(OneWeekMtgRatesDataTable75[[#This Row],[asOf]]))</f>
        <v>37265</v>
      </c>
      <c r="N3522" s="51">
        <v>7.06</v>
      </c>
      <c r="O3522" s="51">
        <v>0.8</v>
      </c>
      <c r="P3522" s="51">
        <v>7.01</v>
      </c>
    </row>
    <row r="3523" spans="12:16">
      <c r="L3523" s="51" t="s">
        <v>3528</v>
      </c>
      <c r="M3523" s="25">
        <f>DATE(YEAR(OneWeekMtgRatesDataTable75[[#This Row],[asOf]]),MONTH(OneWeekMtgRatesDataTable75[[#This Row],[asOf]]),DAY(OneWeekMtgRatesDataTable75[[#This Row],[asOf]]))</f>
        <v>37264</v>
      </c>
      <c r="N3523" s="51">
        <v>7.06</v>
      </c>
      <c r="O3523" s="51">
        <v>0.8</v>
      </c>
      <c r="P3523" s="51">
        <v>7.01</v>
      </c>
    </row>
    <row r="3524" spans="12:16">
      <c r="L3524" s="51" t="s">
        <v>3529</v>
      </c>
      <c r="M3524" s="25">
        <f>DATE(YEAR(OneWeekMtgRatesDataTable75[[#This Row],[asOf]]),MONTH(OneWeekMtgRatesDataTable75[[#This Row],[asOf]]),DAY(OneWeekMtgRatesDataTable75[[#This Row],[asOf]]))</f>
        <v>37263</v>
      </c>
      <c r="N3524" s="51">
        <v>7.06</v>
      </c>
      <c r="O3524" s="51">
        <v>0.8</v>
      </c>
      <c r="P3524" s="51">
        <v>7.01</v>
      </c>
    </row>
    <row r="3525" spans="12:16">
      <c r="L3525" s="51" t="s">
        <v>3530</v>
      </c>
      <c r="M3525" s="25">
        <f>DATE(YEAR(OneWeekMtgRatesDataTable75[[#This Row],[asOf]]),MONTH(OneWeekMtgRatesDataTable75[[#This Row],[asOf]]),DAY(OneWeekMtgRatesDataTable75[[#This Row],[asOf]]))</f>
        <v>37260</v>
      </c>
      <c r="N3525" s="51">
        <v>7.06</v>
      </c>
      <c r="O3525" s="51">
        <v>0.8</v>
      </c>
      <c r="P3525" s="51">
        <v>7.01</v>
      </c>
    </row>
    <row r="3526" spans="12:16">
      <c r="L3526" s="51" t="s">
        <v>3531</v>
      </c>
      <c r="M3526" s="25">
        <f>DATE(YEAR(OneWeekMtgRatesDataTable75[[#This Row],[asOf]]),MONTH(OneWeekMtgRatesDataTable75[[#This Row],[asOf]]),DAY(OneWeekMtgRatesDataTable75[[#This Row],[asOf]]))</f>
        <v>37259</v>
      </c>
      <c r="N3526" s="51">
        <v>7.14</v>
      </c>
      <c r="O3526" s="51">
        <v>0.8</v>
      </c>
      <c r="P3526" s="51">
        <v>7.09</v>
      </c>
    </row>
    <row r="3527" spans="12:16">
      <c r="L3527" s="51" t="s">
        <v>3532</v>
      </c>
      <c r="M3527" s="25">
        <f>DATE(YEAR(OneWeekMtgRatesDataTable75[[#This Row],[asOf]]),MONTH(OneWeekMtgRatesDataTable75[[#This Row],[asOf]]),DAY(OneWeekMtgRatesDataTable75[[#This Row],[asOf]]))</f>
        <v>37258</v>
      </c>
      <c r="N3527" s="51">
        <v>7.14</v>
      </c>
      <c r="O3527" s="51">
        <v>0.8</v>
      </c>
      <c r="P3527" s="51">
        <v>7.09</v>
      </c>
    </row>
    <row r="3528" spans="12:16">
      <c r="L3528" s="51" t="s">
        <v>3533</v>
      </c>
      <c r="M3528" s="25">
        <f>DATE(YEAR(OneWeekMtgRatesDataTable75[[#This Row],[asOf]]),MONTH(OneWeekMtgRatesDataTable75[[#This Row],[asOf]]),DAY(OneWeekMtgRatesDataTable75[[#This Row],[asOf]]))</f>
        <v>37257</v>
      </c>
      <c r="N3528" s="51">
        <v>7.14</v>
      </c>
      <c r="O3528" s="51">
        <v>0.8</v>
      </c>
      <c r="P3528" s="51">
        <v>7.09</v>
      </c>
    </row>
    <row r="3529" spans="12:16">
      <c r="L3529" s="51" t="s">
        <v>3534</v>
      </c>
      <c r="M3529" s="25">
        <f>DATE(YEAR(OneWeekMtgRatesDataTable75[[#This Row],[asOf]]),MONTH(OneWeekMtgRatesDataTable75[[#This Row],[asOf]]),DAY(OneWeekMtgRatesDataTable75[[#This Row],[asOf]]))</f>
        <v>37256</v>
      </c>
      <c r="N3529" s="51">
        <v>7.14</v>
      </c>
      <c r="O3529" s="51">
        <v>0.8</v>
      </c>
      <c r="P3529" s="51">
        <v>7.09</v>
      </c>
    </row>
    <row r="3530" spans="12:16">
      <c r="L3530" s="51" t="s">
        <v>3535</v>
      </c>
      <c r="M3530" s="25">
        <f>DATE(YEAR(OneWeekMtgRatesDataTable75[[#This Row],[asOf]]),MONTH(OneWeekMtgRatesDataTable75[[#This Row],[asOf]]),DAY(OneWeekMtgRatesDataTable75[[#This Row],[asOf]]))</f>
        <v>37253</v>
      </c>
      <c r="N3530" s="51">
        <v>7.14</v>
      </c>
      <c r="O3530" s="51">
        <v>0.8</v>
      </c>
      <c r="P3530" s="51">
        <v>7.09</v>
      </c>
    </row>
    <row r="3531" spans="12:16">
      <c r="L3531" s="51" t="s">
        <v>3536</v>
      </c>
      <c r="M3531" s="25">
        <f>DATE(YEAR(OneWeekMtgRatesDataTable75[[#This Row],[asOf]]),MONTH(OneWeekMtgRatesDataTable75[[#This Row],[asOf]]),DAY(OneWeekMtgRatesDataTable75[[#This Row],[asOf]]))</f>
        <v>37252</v>
      </c>
      <c r="N3531" s="51">
        <v>7.16</v>
      </c>
      <c r="O3531" s="51">
        <v>0.8</v>
      </c>
      <c r="P3531" s="51">
        <v>7.11</v>
      </c>
    </row>
    <row r="3532" spans="12:16">
      <c r="L3532" s="51" t="s">
        <v>3537</v>
      </c>
      <c r="M3532" s="25">
        <f>DATE(YEAR(OneWeekMtgRatesDataTable75[[#This Row],[asOf]]),MONTH(OneWeekMtgRatesDataTable75[[#This Row],[asOf]]),DAY(OneWeekMtgRatesDataTable75[[#This Row],[asOf]]))</f>
        <v>37251</v>
      </c>
      <c r="N3532" s="51">
        <v>7.16</v>
      </c>
      <c r="O3532" s="51">
        <v>0.8</v>
      </c>
      <c r="P3532" s="51">
        <v>7.11</v>
      </c>
    </row>
    <row r="3533" spans="12:16">
      <c r="L3533" s="51" t="s">
        <v>3538</v>
      </c>
      <c r="M3533" s="25">
        <f>DATE(YEAR(OneWeekMtgRatesDataTable75[[#This Row],[asOf]]),MONTH(OneWeekMtgRatesDataTable75[[#This Row],[asOf]]),DAY(OneWeekMtgRatesDataTable75[[#This Row],[asOf]]))</f>
        <v>37250</v>
      </c>
      <c r="N3533" s="51">
        <v>7.16</v>
      </c>
      <c r="O3533" s="51">
        <v>0.8</v>
      </c>
      <c r="P3533" s="51">
        <v>7.11</v>
      </c>
    </row>
    <row r="3534" spans="12:16">
      <c r="L3534" s="51" t="s">
        <v>3539</v>
      </c>
      <c r="M3534" s="25">
        <f>DATE(YEAR(OneWeekMtgRatesDataTable75[[#This Row],[asOf]]),MONTH(OneWeekMtgRatesDataTable75[[#This Row],[asOf]]),DAY(OneWeekMtgRatesDataTable75[[#This Row],[asOf]]))</f>
        <v>37249</v>
      </c>
      <c r="N3534" s="51">
        <v>7.16</v>
      </c>
      <c r="O3534" s="51">
        <v>0.8</v>
      </c>
      <c r="P3534" s="51">
        <v>7.11</v>
      </c>
    </row>
    <row r="3535" spans="12:16">
      <c r="L3535" s="51" t="s">
        <v>3540</v>
      </c>
      <c r="M3535" s="25">
        <f>DATE(YEAR(OneWeekMtgRatesDataTable75[[#This Row],[asOf]]),MONTH(OneWeekMtgRatesDataTable75[[#This Row],[asOf]]),DAY(OneWeekMtgRatesDataTable75[[#This Row],[asOf]]))</f>
        <v>37246</v>
      </c>
      <c r="N3535" s="51">
        <v>7.16</v>
      </c>
      <c r="O3535" s="51">
        <v>0.8</v>
      </c>
      <c r="P3535" s="51">
        <v>7.11</v>
      </c>
    </row>
    <row r="3536" spans="12:16">
      <c r="L3536" s="51" t="s">
        <v>3541</v>
      </c>
      <c r="M3536" s="25">
        <f>DATE(YEAR(OneWeekMtgRatesDataTable75[[#This Row],[asOf]]),MONTH(OneWeekMtgRatesDataTable75[[#This Row],[asOf]]),DAY(OneWeekMtgRatesDataTable75[[#This Row],[asOf]]))</f>
        <v>37245</v>
      </c>
      <c r="N3536" s="51">
        <v>7.17</v>
      </c>
      <c r="O3536" s="51">
        <v>0.7</v>
      </c>
      <c r="P3536" s="51">
        <v>7.0949999999999998</v>
      </c>
    </row>
    <row r="3537" spans="12:16">
      <c r="L3537" s="51" t="s">
        <v>3542</v>
      </c>
      <c r="M3537" s="25">
        <f>DATE(YEAR(OneWeekMtgRatesDataTable75[[#This Row],[asOf]]),MONTH(OneWeekMtgRatesDataTable75[[#This Row],[asOf]]),DAY(OneWeekMtgRatesDataTable75[[#This Row],[asOf]]))</f>
        <v>37244</v>
      </c>
      <c r="N3537" s="51">
        <v>7.17</v>
      </c>
      <c r="O3537" s="51">
        <v>0.7</v>
      </c>
      <c r="P3537" s="51">
        <v>7.0949999999999998</v>
      </c>
    </row>
    <row r="3538" spans="12:16">
      <c r="L3538" s="51" t="s">
        <v>3543</v>
      </c>
      <c r="M3538" s="25">
        <f>DATE(YEAR(OneWeekMtgRatesDataTable75[[#This Row],[asOf]]),MONTH(OneWeekMtgRatesDataTable75[[#This Row],[asOf]]),DAY(OneWeekMtgRatesDataTable75[[#This Row],[asOf]]))</f>
        <v>37243</v>
      </c>
      <c r="N3538" s="51">
        <v>7.17</v>
      </c>
      <c r="O3538" s="51">
        <v>0.7</v>
      </c>
      <c r="P3538" s="51">
        <v>7.0949999999999998</v>
      </c>
    </row>
    <row r="3539" spans="12:16">
      <c r="L3539" s="51" t="s">
        <v>3544</v>
      </c>
      <c r="M3539" s="25">
        <f>DATE(YEAR(OneWeekMtgRatesDataTable75[[#This Row],[asOf]]),MONTH(OneWeekMtgRatesDataTable75[[#This Row],[asOf]]),DAY(OneWeekMtgRatesDataTable75[[#This Row],[asOf]]))</f>
        <v>37242</v>
      </c>
      <c r="N3539" s="51">
        <v>7.17</v>
      </c>
      <c r="O3539" s="51">
        <v>0.7</v>
      </c>
      <c r="P3539" s="51">
        <v>7.0949999999999998</v>
      </c>
    </row>
    <row r="3540" spans="12:16">
      <c r="L3540" s="51" t="s">
        <v>3545</v>
      </c>
      <c r="M3540" s="25">
        <f>DATE(YEAR(OneWeekMtgRatesDataTable75[[#This Row],[asOf]]),MONTH(OneWeekMtgRatesDataTable75[[#This Row],[asOf]]),DAY(OneWeekMtgRatesDataTable75[[#This Row],[asOf]]))</f>
        <v>37239</v>
      </c>
      <c r="N3540" s="51">
        <v>7.17</v>
      </c>
      <c r="O3540" s="51">
        <v>0.7</v>
      </c>
      <c r="P3540" s="51">
        <v>7.0949999999999998</v>
      </c>
    </row>
    <row r="3541" spans="12:16">
      <c r="L3541" s="51" t="s">
        <v>3546</v>
      </c>
      <c r="M3541" s="25">
        <f>DATE(YEAR(OneWeekMtgRatesDataTable75[[#This Row],[asOf]]),MONTH(OneWeekMtgRatesDataTable75[[#This Row],[asOf]]),DAY(OneWeekMtgRatesDataTable75[[#This Row],[asOf]]))</f>
        <v>37238</v>
      </c>
      <c r="N3541" s="51">
        <v>7.09</v>
      </c>
      <c r="O3541" s="51">
        <v>0.8</v>
      </c>
      <c r="P3541" s="51">
        <v>7.04</v>
      </c>
    </row>
    <row r="3542" spans="12:16">
      <c r="L3542" s="51" t="s">
        <v>3547</v>
      </c>
      <c r="M3542" s="25">
        <f>DATE(YEAR(OneWeekMtgRatesDataTable75[[#This Row],[asOf]]),MONTH(OneWeekMtgRatesDataTable75[[#This Row],[asOf]]),DAY(OneWeekMtgRatesDataTable75[[#This Row],[asOf]]))</f>
        <v>37237</v>
      </c>
      <c r="N3542" s="51">
        <v>7.09</v>
      </c>
      <c r="O3542" s="51">
        <v>0.8</v>
      </c>
      <c r="P3542" s="51">
        <v>7.04</v>
      </c>
    </row>
    <row r="3543" spans="12:16">
      <c r="L3543" s="51" t="s">
        <v>3548</v>
      </c>
      <c r="M3543" s="25">
        <f>DATE(YEAR(OneWeekMtgRatesDataTable75[[#This Row],[asOf]]),MONTH(OneWeekMtgRatesDataTable75[[#This Row],[asOf]]),DAY(OneWeekMtgRatesDataTable75[[#This Row],[asOf]]))</f>
        <v>37236</v>
      </c>
      <c r="N3543" s="51">
        <v>7.09</v>
      </c>
      <c r="O3543" s="51">
        <v>0.8</v>
      </c>
      <c r="P3543" s="51">
        <v>7.04</v>
      </c>
    </row>
    <row r="3544" spans="12:16">
      <c r="L3544" s="51" t="s">
        <v>3549</v>
      </c>
      <c r="M3544" s="25">
        <f>DATE(YEAR(OneWeekMtgRatesDataTable75[[#This Row],[asOf]]),MONTH(OneWeekMtgRatesDataTable75[[#This Row],[asOf]]),DAY(OneWeekMtgRatesDataTable75[[#This Row],[asOf]]))</f>
        <v>37235</v>
      </c>
      <c r="N3544" s="51">
        <v>7.09</v>
      </c>
      <c r="O3544" s="51">
        <v>0.8</v>
      </c>
      <c r="P3544" s="51">
        <v>7.04</v>
      </c>
    </row>
    <row r="3545" spans="12:16">
      <c r="L3545" s="51" t="s">
        <v>3550</v>
      </c>
      <c r="M3545" s="25">
        <f>DATE(YEAR(OneWeekMtgRatesDataTable75[[#This Row],[asOf]]),MONTH(OneWeekMtgRatesDataTable75[[#This Row],[asOf]]),DAY(OneWeekMtgRatesDataTable75[[#This Row],[asOf]]))</f>
        <v>37232</v>
      </c>
      <c r="N3545" s="51">
        <v>7.09</v>
      </c>
      <c r="O3545" s="51">
        <v>0.8</v>
      </c>
      <c r="P3545" s="51">
        <v>7.04</v>
      </c>
    </row>
    <row r="3546" spans="12:16">
      <c r="L3546" s="51" t="s">
        <v>3551</v>
      </c>
      <c r="M3546" s="25">
        <f>DATE(YEAR(OneWeekMtgRatesDataTable75[[#This Row],[asOf]]),MONTH(OneWeekMtgRatesDataTable75[[#This Row],[asOf]]),DAY(OneWeekMtgRatesDataTable75[[#This Row],[asOf]]))</f>
        <v>37231</v>
      </c>
      <c r="N3546" s="51">
        <v>6.84</v>
      </c>
      <c r="O3546" s="51">
        <v>0.7</v>
      </c>
      <c r="P3546" s="51">
        <v>6.7649999999999997</v>
      </c>
    </row>
    <row r="3547" spans="12:16">
      <c r="L3547" s="51" t="s">
        <v>3552</v>
      </c>
      <c r="M3547" s="25">
        <f>DATE(YEAR(OneWeekMtgRatesDataTable75[[#This Row],[asOf]]),MONTH(OneWeekMtgRatesDataTable75[[#This Row],[asOf]]),DAY(OneWeekMtgRatesDataTable75[[#This Row],[asOf]]))</f>
        <v>37230</v>
      </c>
      <c r="N3547" s="51">
        <v>6.84</v>
      </c>
      <c r="O3547" s="51">
        <v>0.7</v>
      </c>
      <c r="P3547" s="51">
        <v>6.7649999999999997</v>
      </c>
    </row>
    <row r="3548" spans="12:16">
      <c r="L3548" s="51" t="s">
        <v>3553</v>
      </c>
      <c r="M3548" s="25">
        <f>DATE(YEAR(OneWeekMtgRatesDataTable75[[#This Row],[asOf]]),MONTH(OneWeekMtgRatesDataTable75[[#This Row],[asOf]]),DAY(OneWeekMtgRatesDataTable75[[#This Row],[asOf]]))</f>
        <v>37229</v>
      </c>
      <c r="N3548" s="51">
        <v>6.84</v>
      </c>
      <c r="O3548" s="51">
        <v>0.7</v>
      </c>
      <c r="P3548" s="51">
        <v>6.7649999999999997</v>
      </c>
    </row>
    <row r="3549" spans="12:16">
      <c r="L3549" s="51" t="s">
        <v>3554</v>
      </c>
      <c r="M3549" s="25">
        <f>DATE(YEAR(OneWeekMtgRatesDataTable75[[#This Row],[asOf]]),MONTH(OneWeekMtgRatesDataTable75[[#This Row],[asOf]]),DAY(OneWeekMtgRatesDataTable75[[#This Row],[asOf]]))</f>
        <v>37228</v>
      </c>
      <c r="N3549" s="51">
        <v>6.84</v>
      </c>
      <c r="O3549" s="51">
        <v>0.7</v>
      </c>
      <c r="P3549" s="51">
        <v>6.7649999999999997</v>
      </c>
    </row>
    <row r="3550" spans="12:16">
      <c r="L3550" s="51" t="s">
        <v>3555</v>
      </c>
      <c r="M3550" s="25">
        <f>DATE(YEAR(OneWeekMtgRatesDataTable75[[#This Row],[asOf]]),MONTH(OneWeekMtgRatesDataTable75[[#This Row],[asOf]]),DAY(OneWeekMtgRatesDataTable75[[#This Row],[asOf]]))</f>
        <v>37225</v>
      </c>
      <c r="N3550" s="51">
        <v>6.84</v>
      </c>
      <c r="O3550" s="51">
        <v>0.7</v>
      </c>
      <c r="P3550" s="51">
        <v>6.7649999999999997</v>
      </c>
    </row>
    <row r="3551" spans="12:16">
      <c r="L3551" s="51" t="s">
        <v>3556</v>
      </c>
      <c r="M3551" s="25">
        <f>DATE(YEAR(OneWeekMtgRatesDataTable75[[#This Row],[asOf]]),MONTH(OneWeekMtgRatesDataTable75[[#This Row],[asOf]]),DAY(OneWeekMtgRatesDataTable75[[#This Row],[asOf]]))</f>
        <v>37224</v>
      </c>
      <c r="N3551" s="51">
        <v>7.02</v>
      </c>
      <c r="O3551" s="51">
        <v>0.7</v>
      </c>
      <c r="P3551" s="51">
        <v>6.9449999999999994</v>
      </c>
    </row>
    <row r="3552" spans="12:16">
      <c r="L3552" s="51" t="s">
        <v>3557</v>
      </c>
      <c r="M3552" s="25">
        <f>DATE(YEAR(OneWeekMtgRatesDataTable75[[#This Row],[asOf]]),MONTH(OneWeekMtgRatesDataTable75[[#This Row],[asOf]]),DAY(OneWeekMtgRatesDataTable75[[#This Row],[asOf]]))</f>
        <v>37223</v>
      </c>
      <c r="N3552" s="51">
        <v>7.02</v>
      </c>
      <c r="O3552" s="51">
        <v>0.7</v>
      </c>
      <c r="P3552" s="51">
        <v>6.9449999999999994</v>
      </c>
    </row>
    <row r="3553" spans="12:16">
      <c r="L3553" s="51" t="s">
        <v>3558</v>
      </c>
      <c r="M3553" s="25">
        <f>DATE(YEAR(OneWeekMtgRatesDataTable75[[#This Row],[asOf]]),MONTH(OneWeekMtgRatesDataTable75[[#This Row],[asOf]]),DAY(OneWeekMtgRatesDataTable75[[#This Row],[asOf]]))</f>
        <v>37222</v>
      </c>
      <c r="N3553" s="51">
        <v>7.02</v>
      </c>
      <c r="O3553" s="51">
        <v>0.7</v>
      </c>
      <c r="P3553" s="51">
        <v>6.9449999999999994</v>
      </c>
    </row>
    <row r="3554" spans="12:16">
      <c r="L3554" s="51" t="s">
        <v>3559</v>
      </c>
      <c r="M3554" s="25">
        <f>DATE(YEAR(OneWeekMtgRatesDataTable75[[#This Row],[asOf]]),MONTH(OneWeekMtgRatesDataTable75[[#This Row],[asOf]]),DAY(OneWeekMtgRatesDataTable75[[#This Row],[asOf]]))</f>
        <v>37221</v>
      </c>
      <c r="N3554" s="51">
        <v>7.02</v>
      </c>
      <c r="O3554" s="51">
        <v>0.7</v>
      </c>
      <c r="P3554" s="51">
        <v>6.9449999999999994</v>
      </c>
    </row>
    <row r="3555" spans="12:16">
      <c r="L3555" s="51" t="s">
        <v>3560</v>
      </c>
      <c r="M3555" s="25">
        <f>DATE(YEAR(OneWeekMtgRatesDataTable75[[#This Row],[asOf]]),MONTH(OneWeekMtgRatesDataTable75[[#This Row],[asOf]]),DAY(OneWeekMtgRatesDataTable75[[#This Row],[asOf]]))</f>
        <v>37218</v>
      </c>
      <c r="N3555" s="51">
        <v>7.02</v>
      </c>
      <c r="O3555" s="51">
        <v>0.7</v>
      </c>
      <c r="P3555" s="51">
        <v>6.9449999999999994</v>
      </c>
    </row>
    <row r="3556" spans="12:16">
      <c r="L3556" s="51" t="s">
        <v>3561</v>
      </c>
      <c r="M3556" s="25">
        <f>DATE(YEAR(OneWeekMtgRatesDataTable75[[#This Row],[asOf]]),MONTH(OneWeekMtgRatesDataTable75[[#This Row],[asOf]]),DAY(OneWeekMtgRatesDataTable75[[#This Row],[asOf]]))</f>
        <v>37217</v>
      </c>
      <c r="N3556" s="51">
        <v>6.75</v>
      </c>
      <c r="O3556" s="51">
        <v>0.8</v>
      </c>
      <c r="P3556" s="51">
        <v>6.7</v>
      </c>
    </row>
    <row r="3557" spans="12:16">
      <c r="L3557" s="51" t="s">
        <v>3562</v>
      </c>
      <c r="M3557" s="25">
        <f>DATE(YEAR(OneWeekMtgRatesDataTable75[[#This Row],[asOf]]),MONTH(OneWeekMtgRatesDataTable75[[#This Row],[asOf]]),DAY(OneWeekMtgRatesDataTable75[[#This Row],[asOf]]))</f>
        <v>37216</v>
      </c>
      <c r="N3557" s="51">
        <v>6.75</v>
      </c>
      <c r="O3557" s="51">
        <v>0.8</v>
      </c>
      <c r="P3557" s="51">
        <v>6.7</v>
      </c>
    </row>
    <row r="3558" spans="12:16">
      <c r="L3558" s="51" t="s">
        <v>3563</v>
      </c>
      <c r="M3558" s="25">
        <f>DATE(YEAR(OneWeekMtgRatesDataTable75[[#This Row],[asOf]]),MONTH(OneWeekMtgRatesDataTable75[[#This Row],[asOf]]),DAY(OneWeekMtgRatesDataTable75[[#This Row],[asOf]]))</f>
        <v>37215</v>
      </c>
      <c r="N3558" s="51">
        <v>6.75</v>
      </c>
      <c r="O3558" s="51">
        <v>0.8</v>
      </c>
      <c r="P3558" s="51">
        <v>6.7</v>
      </c>
    </row>
    <row r="3559" spans="12:16">
      <c r="L3559" s="51" t="s">
        <v>3564</v>
      </c>
      <c r="M3559" s="25">
        <f>DATE(YEAR(OneWeekMtgRatesDataTable75[[#This Row],[asOf]]),MONTH(OneWeekMtgRatesDataTable75[[#This Row],[asOf]]),DAY(OneWeekMtgRatesDataTable75[[#This Row],[asOf]]))</f>
        <v>37214</v>
      </c>
      <c r="N3559" s="51">
        <v>6.75</v>
      </c>
      <c r="O3559" s="51">
        <v>0.8</v>
      </c>
      <c r="P3559" s="51">
        <v>6.7</v>
      </c>
    </row>
    <row r="3560" spans="12:16">
      <c r="L3560" s="51" t="s">
        <v>3565</v>
      </c>
      <c r="M3560" s="25">
        <f>DATE(YEAR(OneWeekMtgRatesDataTable75[[#This Row],[asOf]]),MONTH(OneWeekMtgRatesDataTable75[[#This Row],[asOf]]),DAY(OneWeekMtgRatesDataTable75[[#This Row],[asOf]]))</f>
        <v>37211</v>
      </c>
      <c r="N3560" s="51">
        <v>6.75</v>
      </c>
      <c r="O3560" s="51">
        <v>0.8</v>
      </c>
      <c r="P3560" s="51">
        <v>6.7</v>
      </c>
    </row>
    <row r="3561" spans="12:16">
      <c r="L3561" s="51" t="s">
        <v>3566</v>
      </c>
      <c r="M3561" s="25">
        <f>DATE(YEAR(OneWeekMtgRatesDataTable75[[#This Row],[asOf]]),MONTH(OneWeekMtgRatesDataTable75[[#This Row],[asOf]]),DAY(OneWeekMtgRatesDataTable75[[#This Row],[asOf]]))</f>
        <v>37210</v>
      </c>
      <c r="N3561" s="51">
        <v>6.51</v>
      </c>
      <c r="O3561" s="51">
        <v>0.8</v>
      </c>
      <c r="P3561" s="51">
        <v>6.46</v>
      </c>
    </row>
    <row r="3562" spans="12:16">
      <c r="L3562" s="51" t="s">
        <v>3567</v>
      </c>
      <c r="M3562" s="25">
        <f>DATE(YEAR(OneWeekMtgRatesDataTable75[[#This Row],[asOf]]),MONTH(OneWeekMtgRatesDataTable75[[#This Row],[asOf]]),DAY(OneWeekMtgRatesDataTable75[[#This Row],[asOf]]))</f>
        <v>37209</v>
      </c>
      <c r="N3562" s="51">
        <v>6.51</v>
      </c>
      <c r="O3562" s="51">
        <v>0.8</v>
      </c>
      <c r="P3562" s="51">
        <v>6.46</v>
      </c>
    </row>
    <row r="3563" spans="12:16">
      <c r="L3563" s="51" t="s">
        <v>3568</v>
      </c>
      <c r="M3563" s="25">
        <f>DATE(YEAR(OneWeekMtgRatesDataTable75[[#This Row],[asOf]]),MONTH(OneWeekMtgRatesDataTable75[[#This Row],[asOf]]),DAY(OneWeekMtgRatesDataTable75[[#This Row],[asOf]]))</f>
        <v>37208</v>
      </c>
      <c r="N3563" s="51">
        <v>6.51</v>
      </c>
      <c r="O3563" s="51">
        <v>0.8</v>
      </c>
      <c r="P3563" s="51">
        <v>6.46</v>
      </c>
    </row>
    <row r="3564" spans="12:16">
      <c r="L3564" s="51" t="s">
        <v>3569</v>
      </c>
      <c r="M3564" s="25">
        <f>DATE(YEAR(OneWeekMtgRatesDataTable75[[#This Row],[asOf]]),MONTH(OneWeekMtgRatesDataTable75[[#This Row],[asOf]]),DAY(OneWeekMtgRatesDataTable75[[#This Row],[asOf]]))</f>
        <v>37207</v>
      </c>
      <c r="N3564" s="51">
        <v>6.51</v>
      </c>
      <c r="O3564" s="51">
        <v>0.8</v>
      </c>
      <c r="P3564" s="51">
        <v>6.46</v>
      </c>
    </row>
    <row r="3565" spans="12:16">
      <c r="L3565" s="51" t="s">
        <v>3570</v>
      </c>
      <c r="M3565" s="25">
        <f>DATE(YEAR(OneWeekMtgRatesDataTable75[[#This Row],[asOf]]),MONTH(OneWeekMtgRatesDataTable75[[#This Row],[asOf]]),DAY(OneWeekMtgRatesDataTable75[[#This Row],[asOf]]))</f>
        <v>37204</v>
      </c>
      <c r="N3565" s="51">
        <v>6.51</v>
      </c>
      <c r="O3565" s="51">
        <v>0.8</v>
      </c>
      <c r="P3565" s="51">
        <v>6.46</v>
      </c>
    </row>
    <row r="3566" spans="12:16">
      <c r="L3566" s="51" t="s">
        <v>3571</v>
      </c>
      <c r="M3566" s="25">
        <f>DATE(YEAR(OneWeekMtgRatesDataTable75[[#This Row],[asOf]]),MONTH(OneWeekMtgRatesDataTable75[[#This Row],[asOf]]),DAY(OneWeekMtgRatesDataTable75[[#This Row],[asOf]]))</f>
        <v>37203</v>
      </c>
      <c r="N3566" s="51">
        <v>6.45</v>
      </c>
      <c r="O3566" s="51">
        <v>0.8</v>
      </c>
      <c r="P3566" s="51">
        <v>6.4</v>
      </c>
    </row>
    <row r="3567" spans="12:16">
      <c r="L3567" s="51" t="s">
        <v>3572</v>
      </c>
      <c r="M3567" s="25">
        <f>DATE(YEAR(OneWeekMtgRatesDataTable75[[#This Row],[asOf]]),MONTH(OneWeekMtgRatesDataTable75[[#This Row],[asOf]]),DAY(OneWeekMtgRatesDataTable75[[#This Row],[asOf]]))</f>
        <v>37202</v>
      </c>
      <c r="N3567" s="51">
        <v>6.45</v>
      </c>
      <c r="O3567" s="51">
        <v>0.8</v>
      </c>
      <c r="P3567" s="51">
        <v>6.4</v>
      </c>
    </row>
    <row r="3568" spans="12:16">
      <c r="L3568" s="51" t="s">
        <v>3573</v>
      </c>
      <c r="M3568" s="25">
        <f>DATE(YEAR(OneWeekMtgRatesDataTable75[[#This Row],[asOf]]),MONTH(OneWeekMtgRatesDataTable75[[#This Row],[asOf]]),DAY(OneWeekMtgRatesDataTable75[[#This Row],[asOf]]))</f>
        <v>37201</v>
      </c>
      <c r="N3568" s="51">
        <v>6.45</v>
      </c>
      <c r="O3568" s="51">
        <v>0.8</v>
      </c>
      <c r="P3568" s="51">
        <v>6.4</v>
      </c>
    </row>
    <row r="3569" spans="12:16">
      <c r="L3569" s="51" t="s">
        <v>3574</v>
      </c>
      <c r="M3569" s="25">
        <f>DATE(YEAR(OneWeekMtgRatesDataTable75[[#This Row],[asOf]]),MONTH(OneWeekMtgRatesDataTable75[[#This Row],[asOf]]),DAY(OneWeekMtgRatesDataTable75[[#This Row],[asOf]]))</f>
        <v>37200</v>
      </c>
      <c r="N3569" s="51">
        <v>6.45</v>
      </c>
      <c r="O3569" s="51">
        <v>0.8</v>
      </c>
      <c r="P3569" s="51">
        <v>6.4</v>
      </c>
    </row>
    <row r="3570" spans="12:16">
      <c r="L3570" s="51" t="s">
        <v>3575</v>
      </c>
      <c r="M3570" s="25">
        <f>DATE(YEAR(OneWeekMtgRatesDataTable75[[#This Row],[asOf]]),MONTH(OneWeekMtgRatesDataTable75[[#This Row],[asOf]]),DAY(OneWeekMtgRatesDataTable75[[#This Row],[asOf]]))</f>
        <v>37197</v>
      </c>
      <c r="N3570" s="51">
        <v>6.45</v>
      </c>
      <c r="O3570" s="51">
        <v>0.8</v>
      </c>
      <c r="P3570" s="51">
        <v>6.4</v>
      </c>
    </row>
    <row r="3571" spans="12:16">
      <c r="L3571" s="51" t="s">
        <v>3576</v>
      </c>
      <c r="M3571" s="25">
        <f>DATE(YEAR(OneWeekMtgRatesDataTable75[[#This Row],[asOf]]),MONTH(OneWeekMtgRatesDataTable75[[#This Row],[asOf]]),DAY(OneWeekMtgRatesDataTable75[[#This Row],[asOf]]))</f>
        <v>37196</v>
      </c>
      <c r="N3571" s="51">
        <v>6.56</v>
      </c>
      <c r="O3571" s="51">
        <v>0.9</v>
      </c>
      <c r="P3571" s="51">
        <v>6.5349999999999993</v>
      </c>
    </row>
    <row r="3572" spans="12:16">
      <c r="L3572" s="51" t="s">
        <v>3577</v>
      </c>
      <c r="M3572" s="25">
        <f>DATE(YEAR(OneWeekMtgRatesDataTable75[[#This Row],[asOf]]),MONTH(OneWeekMtgRatesDataTable75[[#This Row],[asOf]]),DAY(OneWeekMtgRatesDataTable75[[#This Row],[asOf]]))</f>
        <v>37195</v>
      </c>
      <c r="N3572" s="51">
        <v>6.56</v>
      </c>
      <c r="O3572" s="51">
        <v>0.9</v>
      </c>
      <c r="P3572" s="51">
        <v>6.5349999999999993</v>
      </c>
    </row>
    <row r="3573" spans="12:16">
      <c r="L3573" s="51" t="s">
        <v>3578</v>
      </c>
      <c r="M3573" s="25">
        <f>DATE(YEAR(OneWeekMtgRatesDataTable75[[#This Row],[asOf]]),MONTH(OneWeekMtgRatesDataTable75[[#This Row],[asOf]]),DAY(OneWeekMtgRatesDataTable75[[#This Row],[asOf]]))</f>
        <v>37194</v>
      </c>
      <c r="N3573" s="51">
        <v>6.56</v>
      </c>
      <c r="O3573" s="51">
        <v>0.9</v>
      </c>
      <c r="P3573" s="51">
        <v>6.5349999999999993</v>
      </c>
    </row>
    <row r="3574" spans="12:16">
      <c r="L3574" s="51" t="s">
        <v>3579</v>
      </c>
      <c r="M3574" s="25">
        <f>DATE(YEAR(OneWeekMtgRatesDataTable75[[#This Row],[asOf]]),MONTH(OneWeekMtgRatesDataTable75[[#This Row],[asOf]]),DAY(OneWeekMtgRatesDataTable75[[#This Row],[asOf]]))</f>
        <v>37193</v>
      </c>
      <c r="N3574" s="51">
        <v>6.56</v>
      </c>
      <c r="O3574" s="51">
        <v>0.9</v>
      </c>
      <c r="P3574" s="51">
        <v>6.5349999999999993</v>
      </c>
    </row>
    <row r="3575" spans="12:16">
      <c r="L3575" s="51" t="s">
        <v>3580</v>
      </c>
      <c r="M3575" s="25">
        <f>DATE(YEAR(OneWeekMtgRatesDataTable75[[#This Row],[asOf]]),MONTH(OneWeekMtgRatesDataTable75[[#This Row],[asOf]]),DAY(OneWeekMtgRatesDataTable75[[#This Row],[asOf]]))</f>
        <v>37190</v>
      </c>
      <c r="N3575" s="51">
        <v>6.56</v>
      </c>
      <c r="O3575" s="51">
        <v>0.9</v>
      </c>
      <c r="P3575" s="51">
        <v>6.5349999999999993</v>
      </c>
    </row>
    <row r="3576" spans="12:16">
      <c r="L3576" s="51" t="s">
        <v>3581</v>
      </c>
      <c r="M3576" s="25">
        <f>DATE(YEAR(OneWeekMtgRatesDataTable75[[#This Row],[asOf]]),MONTH(OneWeekMtgRatesDataTable75[[#This Row],[asOf]]),DAY(OneWeekMtgRatesDataTable75[[#This Row],[asOf]]))</f>
        <v>37189</v>
      </c>
      <c r="N3576" s="51">
        <v>6.64</v>
      </c>
      <c r="O3576" s="51">
        <v>0.8</v>
      </c>
      <c r="P3576" s="51">
        <v>6.59</v>
      </c>
    </row>
    <row r="3577" spans="12:16">
      <c r="L3577" s="51" t="s">
        <v>3582</v>
      </c>
      <c r="M3577" s="25">
        <f>DATE(YEAR(OneWeekMtgRatesDataTable75[[#This Row],[asOf]]),MONTH(OneWeekMtgRatesDataTable75[[#This Row],[asOf]]),DAY(OneWeekMtgRatesDataTable75[[#This Row],[asOf]]))</f>
        <v>37188</v>
      </c>
      <c r="N3577" s="51">
        <v>6.64</v>
      </c>
      <c r="O3577" s="51">
        <v>0.8</v>
      </c>
      <c r="P3577" s="51">
        <v>6.59</v>
      </c>
    </row>
    <row r="3578" spans="12:16">
      <c r="L3578" s="51" t="s">
        <v>3583</v>
      </c>
      <c r="M3578" s="25">
        <f>DATE(YEAR(OneWeekMtgRatesDataTable75[[#This Row],[asOf]]),MONTH(OneWeekMtgRatesDataTable75[[#This Row],[asOf]]),DAY(OneWeekMtgRatesDataTable75[[#This Row],[asOf]]))</f>
        <v>37187</v>
      </c>
      <c r="N3578" s="51">
        <v>6.64</v>
      </c>
      <c r="O3578" s="51">
        <v>0.8</v>
      </c>
      <c r="P3578" s="51">
        <v>6.59</v>
      </c>
    </row>
    <row r="3579" spans="12:16">
      <c r="L3579" s="51" t="s">
        <v>3584</v>
      </c>
      <c r="M3579" s="25">
        <f>DATE(YEAR(OneWeekMtgRatesDataTable75[[#This Row],[asOf]]),MONTH(OneWeekMtgRatesDataTable75[[#This Row],[asOf]]),DAY(OneWeekMtgRatesDataTable75[[#This Row],[asOf]]))</f>
        <v>37186</v>
      </c>
      <c r="N3579" s="51">
        <v>6.64</v>
      </c>
      <c r="O3579" s="51">
        <v>0.8</v>
      </c>
      <c r="P3579" s="51">
        <v>6.59</v>
      </c>
    </row>
    <row r="3580" spans="12:16">
      <c r="L3580" s="51" t="s">
        <v>3585</v>
      </c>
      <c r="M3580" s="25">
        <f>DATE(YEAR(OneWeekMtgRatesDataTable75[[#This Row],[asOf]]),MONTH(OneWeekMtgRatesDataTable75[[#This Row],[asOf]]),DAY(OneWeekMtgRatesDataTable75[[#This Row],[asOf]]))</f>
        <v>37183</v>
      </c>
      <c r="N3580" s="51">
        <v>6.64</v>
      </c>
      <c r="O3580" s="51">
        <v>0.8</v>
      </c>
      <c r="P3580" s="51">
        <v>6.59</v>
      </c>
    </row>
    <row r="3581" spans="12:16">
      <c r="L3581" s="51" t="s">
        <v>3586</v>
      </c>
      <c r="M3581" s="25">
        <f>DATE(YEAR(OneWeekMtgRatesDataTable75[[#This Row],[asOf]]),MONTH(OneWeekMtgRatesDataTable75[[#This Row],[asOf]]),DAY(OneWeekMtgRatesDataTable75[[#This Row],[asOf]]))</f>
        <v>37182</v>
      </c>
      <c r="N3581" s="51">
        <v>6.61</v>
      </c>
      <c r="O3581" s="51">
        <v>0.9</v>
      </c>
      <c r="P3581" s="51">
        <v>6.585</v>
      </c>
    </row>
    <row r="3582" spans="12:16">
      <c r="L3582" s="51" t="s">
        <v>3587</v>
      </c>
      <c r="M3582" s="25">
        <f>DATE(YEAR(OneWeekMtgRatesDataTable75[[#This Row],[asOf]]),MONTH(OneWeekMtgRatesDataTable75[[#This Row],[asOf]]),DAY(OneWeekMtgRatesDataTable75[[#This Row],[asOf]]))</f>
        <v>37181</v>
      </c>
      <c r="N3582" s="51">
        <v>6.61</v>
      </c>
      <c r="O3582" s="51">
        <v>0.9</v>
      </c>
      <c r="P3582" s="51">
        <v>6.585</v>
      </c>
    </row>
    <row r="3583" spans="12:16">
      <c r="L3583" s="51" t="s">
        <v>3588</v>
      </c>
      <c r="M3583" s="25">
        <f>DATE(YEAR(OneWeekMtgRatesDataTable75[[#This Row],[asOf]]),MONTH(OneWeekMtgRatesDataTable75[[#This Row],[asOf]]),DAY(OneWeekMtgRatesDataTable75[[#This Row],[asOf]]))</f>
        <v>37180</v>
      </c>
      <c r="N3583" s="51">
        <v>6.61</v>
      </c>
      <c r="O3583" s="51">
        <v>0.9</v>
      </c>
      <c r="P3583" s="51">
        <v>6.585</v>
      </c>
    </row>
    <row r="3584" spans="12:16">
      <c r="L3584" s="51" t="s">
        <v>3589</v>
      </c>
      <c r="M3584" s="25">
        <f>DATE(YEAR(OneWeekMtgRatesDataTable75[[#This Row],[asOf]]),MONTH(OneWeekMtgRatesDataTable75[[#This Row],[asOf]]),DAY(OneWeekMtgRatesDataTable75[[#This Row],[asOf]]))</f>
        <v>37179</v>
      </c>
      <c r="N3584" s="51">
        <v>6.61</v>
      </c>
      <c r="O3584" s="51">
        <v>0.9</v>
      </c>
      <c r="P3584" s="51">
        <v>6.585</v>
      </c>
    </row>
    <row r="3585" spans="12:16">
      <c r="L3585" s="51" t="s">
        <v>3590</v>
      </c>
      <c r="M3585" s="25">
        <f>DATE(YEAR(OneWeekMtgRatesDataTable75[[#This Row],[asOf]]),MONTH(OneWeekMtgRatesDataTable75[[#This Row],[asOf]]),DAY(OneWeekMtgRatesDataTable75[[#This Row],[asOf]]))</f>
        <v>37176</v>
      </c>
      <c r="N3585" s="51">
        <v>6.61</v>
      </c>
      <c r="O3585" s="51">
        <v>0.9</v>
      </c>
      <c r="P3585" s="51">
        <v>6.585</v>
      </c>
    </row>
    <row r="3586" spans="12:16">
      <c r="L3586" s="51" t="s">
        <v>3591</v>
      </c>
      <c r="M3586" s="25">
        <f>DATE(YEAR(OneWeekMtgRatesDataTable75[[#This Row],[asOf]]),MONTH(OneWeekMtgRatesDataTable75[[#This Row],[asOf]]),DAY(OneWeekMtgRatesDataTable75[[#This Row],[asOf]]))</f>
        <v>37175</v>
      </c>
      <c r="N3586" s="51">
        <v>6.58</v>
      </c>
      <c r="O3586" s="51">
        <v>0.9</v>
      </c>
      <c r="P3586" s="51">
        <v>6.5549999999999997</v>
      </c>
    </row>
    <row r="3587" spans="12:16">
      <c r="L3587" s="51" t="s">
        <v>3592</v>
      </c>
      <c r="M3587" s="25">
        <f>DATE(YEAR(OneWeekMtgRatesDataTable75[[#This Row],[asOf]]),MONTH(OneWeekMtgRatesDataTable75[[#This Row],[asOf]]),DAY(OneWeekMtgRatesDataTable75[[#This Row],[asOf]]))</f>
        <v>37174</v>
      </c>
      <c r="N3587" s="51">
        <v>6.58</v>
      </c>
      <c r="O3587" s="51">
        <v>0.9</v>
      </c>
      <c r="P3587" s="51">
        <v>6.5549999999999997</v>
      </c>
    </row>
    <row r="3588" spans="12:16">
      <c r="L3588" s="51" t="s">
        <v>3593</v>
      </c>
      <c r="M3588" s="25">
        <f>DATE(YEAR(OneWeekMtgRatesDataTable75[[#This Row],[asOf]]),MONTH(OneWeekMtgRatesDataTable75[[#This Row],[asOf]]),DAY(OneWeekMtgRatesDataTable75[[#This Row],[asOf]]))</f>
        <v>37173</v>
      </c>
      <c r="N3588" s="51">
        <v>6.58</v>
      </c>
      <c r="O3588" s="51">
        <v>0.9</v>
      </c>
      <c r="P3588" s="51">
        <v>6.5549999999999997</v>
      </c>
    </row>
    <row r="3589" spans="12:16">
      <c r="L3589" s="51" t="s">
        <v>3594</v>
      </c>
      <c r="M3589" s="25">
        <f>DATE(YEAR(OneWeekMtgRatesDataTable75[[#This Row],[asOf]]),MONTH(OneWeekMtgRatesDataTable75[[#This Row],[asOf]]),DAY(OneWeekMtgRatesDataTable75[[#This Row],[asOf]]))</f>
        <v>37172</v>
      </c>
      <c r="N3589" s="51">
        <v>6.58</v>
      </c>
      <c r="O3589" s="51">
        <v>0.9</v>
      </c>
      <c r="P3589" s="51">
        <v>6.5549999999999997</v>
      </c>
    </row>
    <row r="3590" spans="12:16">
      <c r="L3590" s="51" t="s">
        <v>3595</v>
      </c>
      <c r="M3590" s="25">
        <f>DATE(YEAR(OneWeekMtgRatesDataTable75[[#This Row],[asOf]]),MONTH(OneWeekMtgRatesDataTable75[[#This Row],[asOf]]),DAY(OneWeekMtgRatesDataTable75[[#This Row],[asOf]]))</f>
        <v>37169</v>
      </c>
      <c r="N3590" s="51">
        <v>6.58</v>
      </c>
      <c r="O3590" s="51">
        <v>0.9</v>
      </c>
      <c r="P3590" s="51">
        <v>6.5549999999999997</v>
      </c>
    </row>
    <row r="3591" spans="12:16">
      <c r="L3591" s="51" t="s">
        <v>3596</v>
      </c>
      <c r="M3591" s="25">
        <f>DATE(YEAR(OneWeekMtgRatesDataTable75[[#This Row],[asOf]]),MONTH(OneWeekMtgRatesDataTable75[[#This Row],[asOf]]),DAY(OneWeekMtgRatesDataTable75[[#This Row],[asOf]]))</f>
        <v>37168</v>
      </c>
      <c r="N3591" s="51">
        <v>6.64</v>
      </c>
      <c r="O3591" s="51">
        <v>0.8</v>
      </c>
      <c r="P3591" s="51">
        <v>6.59</v>
      </c>
    </row>
    <row r="3592" spans="12:16">
      <c r="L3592" s="51" t="s">
        <v>3597</v>
      </c>
      <c r="M3592" s="25">
        <f>DATE(YEAR(OneWeekMtgRatesDataTable75[[#This Row],[asOf]]),MONTH(OneWeekMtgRatesDataTable75[[#This Row],[asOf]]),DAY(OneWeekMtgRatesDataTable75[[#This Row],[asOf]]))</f>
        <v>37167</v>
      </c>
      <c r="N3592" s="51">
        <v>6.64</v>
      </c>
      <c r="O3592" s="51">
        <v>0.8</v>
      </c>
      <c r="P3592" s="51">
        <v>6.59</v>
      </c>
    </row>
    <row r="3593" spans="12:16">
      <c r="L3593" s="51" t="s">
        <v>3598</v>
      </c>
      <c r="M3593" s="25">
        <f>DATE(YEAR(OneWeekMtgRatesDataTable75[[#This Row],[asOf]]),MONTH(OneWeekMtgRatesDataTable75[[#This Row],[asOf]]),DAY(OneWeekMtgRatesDataTable75[[#This Row],[asOf]]))</f>
        <v>37166</v>
      </c>
      <c r="N3593" s="51">
        <v>6.64</v>
      </c>
      <c r="O3593" s="51">
        <v>0.8</v>
      </c>
      <c r="P3593" s="51">
        <v>6.59</v>
      </c>
    </row>
    <row r="3594" spans="12:16">
      <c r="L3594" s="51" t="s">
        <v>3599</v>
      </c>
      <c r="M3594" s="25">
        <f>DATE(YEAR(OneWeekMtgRatesDataTable75[[#This Row],[asOf]]),MONTH(OneWeekMtgRatesDataTable75[[#This Row],[asOf]]),DAY(OneWeekMtgRatesDataTable75[[#This Row],[asOf]]))</f>
        <v>37165</v>
      </c>
      <c r="N3594" s="51">
        <v>6.64</v>
      </c>
      <c r="O3594" s="51">
        <v>0.8</v>
      </c>
      <c r="P3594" s="51">
        <v>6.59</v>
      </c>
    </row>
    <row r="3595" spans="12:16">
      <c r="L3595" s="51" t="s">
        <v>3600</v>
      </c>
      <c r="M3595" s="25">
        <f>DATE(YEAR(OneWeekMtgRatesDataTable75[[#This Row],[asOf]]),MONTH(OneWeekMtgRatesDataTable75[[#This Row],[asOf]]),DAY(OneWeekMtgRatesDataTable75[[#This Row],[asOf]]))</f>
        <v>37162</v>
      </c>
      <c r="N3595" s="51">
        <v>6.64</v>
      </c>
      <c r="O3595" s="51">
        <v>0.8</v>
      </c>
      <c r="P3595" s="51">
        <v>6.59</v>
      </c>
    </row>
    <row r="3596" spans="12:16">
      <c r="L3596" s="51" t="s">
        <v>3601</v>
      </c>
      <c r="M3596" s="25">
        <f>DATE(YEAR(OneWeekMtgRatesDataTable75[[#This Row],[asOf]]),MONTH(OneWeekMtgRatesDataTable75[[#This Row],[asOf]]),DAY(OneWeekMtgRatesDataTable75[[#This Row],[asOf]]))</f>
        <v>37161</v>
      </c>
      <c r="N3596" s="51">
        <v>6.72</v>
      </c>
      <c r="O3596" s="51">
        <v>0.9</v>
      </c>
      <c r="P3596" s="51">
        <v>6.6949999999999994</v>
      </c>
    </row>
    <row r="3597" spans="12:16">
      <c r="L3597" s="51" t="s">
        <v>3602</v>
      </c>
      <c r="M3597" s="25">
        <f>DATE(YEAR(OneWeekMtgRatesDataTable75[[#This Row],[asOf]]),MONTH(OneWeekMtgRatesDataTable75[[#This Row],[asOf]]),DAY(OneWeekMtgRatesDataTable75[[#This Row],[asOf]]))</f>
        <v>37160</v>
      </c>
      <c r="N3597" s="51">
        <v>6.72</v>
      </c>
      <c r="O3597" s="51">
        <v>0.9</v>
      </c>
      <c r="P3597" s="51">
        <v>6.6949999999999994</v>
      </c>
    </row>
    <row r="3598" spans="12:16">
      <c r="L3598" s="51" t="s">
        <v>3603</v>
      </c>
      <c r="M3598" s="25">
        <f>DATE(YEAR(OneWeekMtgRatesDataTable75[[#This Row],[asOf]]),MONTH(OneWeekMtgRatesDataTable75[[#This Row],[asOf]]),DAY(OneWeekMtgRatesDataTable75[[#This Row],[asOf]]))</f>
        <v>37159</v>
      </c>
      <c r="N3598" s="51">
        <v>6.72</v>
      </c>
      <c r="O3598" s="51">
        <v>0.9</v>
      </c>
      <c r="P3598" s="51">
        <v>6.6949999999999994</v>
      </c>
    </row>
    <row r="3599" spans="12:16">
      <c r="L3599" s="51" t="s">
        <v>3604</v>
      </c>
      <c r="M3599" s="25">
        <f>DATE(YEAR(OneWeekMtgRatesDataTable75[[#This Row],[asOf]]),MONTH(OneWeekMtgRatesDataTable75[[#This Row],[asOf]]),DAY(OneWeekMtgRatesDataTable75[[#This Row],[asOf]]))</f>
        <v>37158</v>
      </c>
      <c r="N3599" s="51">
        <v>6.72</v>
      </c>
      <c r="O3599" s="51">
        <v>0.9</v>
      </c>
      <c r="P3599" s="51">
        <v>6.6949999999999994</v>
      </c>
    </row>
    <row r="3600" spans="12:16">
      <c r="L3600" s="51" t="s">
        <v>3605</v>
      </c>
      <c r="M3600" s="25">
        <f>DATE(YEAR(OneWeekMtgRatesDataTable75[[#This Row],[asOf]]),MONTH(OneWeekMtgRatesDataTable75[[#This Row],[asOf]]),DAY(OneWeekMtgRatesDataTable75[[#This Row],[asOf]]))</f>
        <v>37155</v>
      </c>
      <c r="N3600" s="51">
        <v>6.72</v>
      </c>
      <c r="O3600" s="51">
        <v>0.9</v>
      </c>
      <c r="P3600" s="51">
        <v>6.6949999999999994</v>
      </c>
    </row>
    <row r="3601" spans="12:16">
      <c r="L3601" s="51" t="s">
        <v>3606</v>
      </c>
      <c r="M3601" s="25">
        <f>DATE(YEAR(OneWeekMtgRatesDataTable75[[#This Row],[asOf]]),MONTH(OneWeekMtgRatesDataTable75[[#This Row],[asOf]]),DAY(OneWeekMtgRatesDataTable75[[#This Row],[asOf]]))</f>
        <v>37154</v>
      </c>
      <c r="N3601" s="51">
        <v>6.8</v>
      </c>
      <c r="O3601" s="51">
        <v>0.9</v>
      </c>
      <c r="P3601" s="51">
        <v>6.7749999999999995</v>
      </c>
    </row>
    <row r="3602" spans="12:16">
      <c r="L3602" s="51" t="s">
        <v>3607</v>
      </c>
      <c r="M3602" s="25">
        <f>DATE(YEAR(OneWeekMtgRatesDataTable75[[#This Row],[asOf]]),MONTH(OneWeekMtgRatesDataTable75[[#This Row],[asOf]]),DAY(OneWeekMtgRatesDataTable75[[#This Row],[asOf]]))</f>
        <v>37153</v>
      </c>
      <c r="N3602" s="51">
        <v>6.8</v>
      </c>
      <c r="O3602" s="51">
        <v>0.9</v>
      </c>
      <c r="P3602" s="51">
        <v>6.7749999999999995</v>
      </c>
    </row>
    <row r="3603" spans="12:16">
      <c r="L3603" s="51" t="s">
        <v>3608</v>
      </c>
      <c r="M3603" s="25">
        <f>DATE(YEAR(OneWeekMtgRatesDataTable75[[#This Row],[asOf]]),MONTH(OneWeekMtgRatesDataTable75[[#This Row],[asOf]]),DAY(OneWeekMtgRatesDataTable75[[#This Row],[asOf]]))</f>
        <v>37152</v>
      </c>
      <c r="N3603" s="51">
        <v>6.8</v>
      </c>
      <c r="O3603" s="51">
        <v>0.9</v>
      </c>
      <c r="P3603" s="51">
        <v>6.7749999999999995</v>
      </c>
    </row>
    <row r="3604" spans="12:16">
      <c r="L3604" s="51" t="s">
        <v>3609</v>
      </c>
      <c r="M3604" s="25">
        <f>DATE(YEAR(OneWeekMtgRatesDataTable75[[#This Row],[asOf]]),MONTH(OneWeekMtgRatesDataTable75[[#This Row],[asOf]]),DAY(OneWeekMtgRatesDataTable75[[#This Row],[asOf]]))</f>
        <v>37151</v>
      </c>
      <c r="N3604" s="51">
        <v>6.8</v>
      </c>
      <c r="O3604" s="51">
        <v>0.9</v>
      </c>
      <c r="P3604" s="51">
        <v>6.7749999999999995</v>
      </c>
    </row>
    <row r="3605" spans="12:16">
      <c r="L3605" s="51" t="s">
        <v>3610</v>
      </c>
      <c r="M3605" s="25">
        <f>DATE(YEAR(OneWeekMtgRatesDataTable75[[#This Row],[asOf]]),MONTH(OneWeekMtgRatesDataTable75[[#This Row],[asOf]]),DAY(OneWeekMtgRatesDataTable75[[#This Row],[asOf]]))</f>
        <v>37148</v>
      </c>
      <c r="N3605" s="51">
        <v>6.8</v>
      </c>
      <c r="O3605" s="51">
        <v>0.9</v>
      </c>
      <c r="P3605" s="51">
        <v>6.7749999999999995</v>
      </c>
    </row>
    <row r="3606" spans="12:16">
      <c r="L3606" s="51" t="s">
        <v>3611</v>
      </c>
      <c r="M3606" s="25">
        <f>DATE(YEAR(OneWeekMtgRatesDataTable75[[#This Row],[asOf]]),MONTH(OneWeekMtgRatesDataTable75[[#This Row],[asOf]]),DAY(OneWeekMtgRatesDataTable75[[#This Row],[asOf]]))</f>
        <v>37147</v>
      </c>
      <c r="N3606" s="51">
        <v>6.86</v>
      </c>
      <c r="O3606" s="51">
        <v>0.9</v>
      </c>
      <c r="P3606" s="51">
        <v>6.835</v>
      </c>
    </row>
    <row r="3607" spans="12:16">
      <c r="L3607" s="51" t="s">
        <v>3612</v>
      </c>
      <c r="M3607" s="25">
        <f>DATE(YEAR(OneWeekMtgRatesDataTable75[[#This Row],[asOf]]),MONTH(OneWeekMtgRatesDataTable75[[#This Row],[asOf]]),DAY(OneWeekMtgRatesDataTable75[[#This Row],[asOf]]))</f>
        <v>37146</v>
      </c>
      <c r="N3607" s="51">
        <v>6.86</v>
      </c>
      <c r="O3607" s="51">
        <v>0.9</v>
      </c>
      <c r="P3607" s="51">
        <v>6.835</v>
      </c>
    </row>
    <row r="3608" spans="12:16">
      <c r="L3608" s="51" t="s">
        <v>3613</v>
      </c>
      <c r="M3608" s="25">
        <f>DATE(YEAR(OneWeekMtgRatesDataTable75[[#This Row],[asOf]]),MONTH(OneWeekMtgRatesDataTable75[[#This Row],[asOf]]),DAY(OneWeekMtgRatesDataTable75[[#This Row],[asOf]]))</f>
        <v>37145</v>
      </c>
      <c r="N3608" s="51">
        <v>6.86</v>
      </c>
      <c r="O3608" s="51">
        <v>0.9</v>
      </c>
      <c r="P3608" s="51">
        <v>6.835</v>
      </c>
    </row>
    <row r="3609" spans="12:16">
      <c r="L3609" s="51" t="s">
        <v>3614</v>
      </c>
      <c r="M3609" s="25">
        <f>DATE(YEAR(OneWeekMtgRatesDataTable75[[#This Row],[asOf]]),MONTH(OneWeekMtgRatesDataTable75[[#This Row],[asOf]]),DAY(OneWeekMtgRatesDataTable75[[#This Row],[asOf]]))</f>
        <v>37144</v>
      </c>
      <c r="N3609" s="51">
        <v>6.86</v>
      </c>
      <c r="O3609" s="51">
        <v>0.9</v>
      </c>
      <c r="P3609" s="51">
        <v>6.835</v>
      </c>
    </row>
    <row r="3610" spans="12:16">
      <c r="L3610" s="51" t="s">
        <v>3615</v>
      </c>
      <c r="M3610" s="25">
        <f>DATE(YEAR(OneWeekMtgRatesDataTable75[[#This Row],[asOf]]),MONTH(OneWeekMtgRatesDataTable75[[#This Row],[asOf]]),DAY(OneWeekMtgRatesDataTable75[[#This Row],[asOf]]))</f>
        <v>37141</v>
      </c>
      <c r="N3610" s="51">
        <v>6.86</v>
      </c>
      <c r="O3610" s="51">
        <v>0.9</v>
      </c>
      <c r="P3610" s="51">
        <v>6.835</v>
      </c>
    </row>
    <row r="3611" spans="12:16">
      <c r="L3611" s="51" t="s">
        <v>3616</v>
      </c>
      <c r="M3611" s="25">
        <f>DATE(YEAR(OneWeekMtgRatesDataTable75[[#This Row],[asOf]]),MONTH(OneWeekMtgRatesDataTable75[[#This Row],[asOf]]),DAY(OneWeekMtgRatesDataTable75[[#This Row],[asOf]]))</f>
        <v>37140</v>
      </c>
      <c r="N3611" s="51">
        <v>6.89</v>
      </c>
      <c r="O3611" s="51">
        <v>0.9</v>
      </c>
      <c r="P3611" s="51">
        <v>6.8649999999999993</v>
      </c>
    </row>
    <row r="3612" spans="12:16">
      <c r="L3612" s="51" t="s">
        <v>3617</v>
      </c>
      <c r="M3612" s="25">
        <f>DATE(YEAR(OneWeekMtgRatesDataTable75[[#This Row],[asOf]]),MONTH(OneWeekMtgRatesDataTable75[[#This Row],[asOf]]),DAY(OneWeekMtgRatesDataTable75[[#This Row],[asOf]]))</f>
        <v>37139</v>
      </c>
      <c r="N3612" s="51">
        <v>6.89</v>
      </c>
      <c r="O3612" s="51">
        <v>0.9</v>
      </c>
      <c r="P3612" s="51">
        <v>6.8649999999999993</v>
      </c>
    </row>
    <row r="3613" spans="12:16">
      <c r="L3613" s="51" t="s">
        <v>3618</v>
      </c>
      <c r="M3613" s="25">
        <f>DATE(YEAR(OneWeekMtgRatesDataTable75[[#This Row],[asOf]]),MONTH(OneWeekMtgRatesDataTable75[[#This Row],[asOf]]),DAY(OneWeekMtgRatesDataTable75[[#This Row],[asOf]]))</f>
        <v>37138</v>
      </c>
      <c r="N3613" s="51">
        <v>6.89</v>
      </c>
      <c r="O3613" s="51">
        <v>0.9</v>
      </c>
      <c r="P3613" s="51">
        <v>6.8649999999999993</v>
      </c>
    </row>
    <row r="3614" spans="12:16">
      <c r="L3614" s="51" t="s">
        <v>3619</v>
      </c>
      <c r="M3614" s="25">
        <f>DATE(YEAR(OneWeekMtgRatesDataTable75[[#This Row],[asOf]]),MONTH(OneWeekMtgRatesDataTable75[[#This Row],[asOf]]),DAY(OneWeekMtgRatesDataTable75[[#This Row],[asOf]]))</f>
        <v>37137</v>
      </c>
      <c r="N3614" s="51">
        <v>6.89</v>
      </c>
      <c r="O3614" s="51">
        <v>0.9</v>
      </c>
      <c r="P3614" s="51">
        <v>6.8649999999999993</v>
      </c>
    </row>
    <row r="3615" spans="12:16">
      <c r="L3615" s="51" t="s">
        <v>3620</v>
      </c>
      <c r="M3615" s="25">
        <f>DATE(YEAR(OneWeekMtgRatesDataTable75[[#This Row],[asOf]]),MONTH(OneWeekMtgRatesDataTable75[[#This Row],[asOf]]),DAY(OneWeekMtgRatesDataTable75[[#This Row],[asOf]]))</f>
        <v>37134</v>
      </c>
      <c r="N3615" s="51">
        <v>6.89</v>
      </c>
      <c r="O3615" s="51">
        <v>0.9</v>
      </c>
      <c r="P3615" s="51">
        <v>6.8649999999999993</v>
      </c>
    </row>
    <row r="3616" spans="12:16">
      <c r="L3616" s="51" t="s">
        <v>3621</v>
      </c>
      <c r="M3616" s="25">
        <f>DATE(YEAR(OneWeekMtgRatesDataTable75[[#This Row],[asOf]]),MONTH(OneWeekMtgRatesDataTable75[[#This Row],[asOf]]),DAY(OneWeekMtgRatesDataTable75[[#This Row],[asOf]]))</f>
        <v>37133</v>
      </c>
      <c r="N3616" s="51">
        <v>6.92</v>
      </c>
      <c r="O3616" s="51">
        <v>0.9</v>
      </c>
      <c r="P3616" s="51">
        <v>6.8949999999999996</v>
      </c>
    </row>
    <row r="3617" spans="12:16">
      <c r="L3617" s="51" t="s">
        <v>3622</v>
      </c>
      <c r="M3617" s="25">
        <f>DATE(YEAR(OneWeekMtgRatesDataTable75[[#This Row],[asOf]]),MONTH(OneWeekMtgRatesDataTable75[[#This Row],[asOf]]),DAY(OneWeekMtgRatesDataTable75[[#This Row],[asOf]]))</f>
        <v>37132</v>
      </c>
      <c r="N3617" s="51">
        <v>6.92</v>
      </c>
      <c r="O3617" s="51">
        <v>0.9</v>
      </c>
      <c r="P3617" s="51">
        <v>6.8949999999999996</v>
      </c>
    </row>
    <row r="3618" spans="12:16">
      <c r="L3618" s="51" t="s">
        <v>3623</v>
      </c>
      <c r="M3618" s="25">
        <f>DATE(YEAR(OneWeekMtgRatesDataTable75[[#This Row],[asOf]]),MONTH(OneWeekMtgRatesDataTable75[[#This Row],[asOf]]),DAY(OneWeekMtgRatesDataTable75[[#This Row],[asOf]]))</f>
        <v>37131</v>
      </c>
      <c r="N3618" s="51">
        <v>6.92</v>
      </c>
      <c r="O3618" s="51">
        <v>0.9</v>
      </c>
      <c r="P3618" s="51">
        <v>6.8949999999999996</v>
      </c>
    </row>
    <row r="3619" spans="12:16">
      <c r="L3619" s="51" t="s">
        <v>3624</v>
      </c>
      <c r="M3619" s="25">
        <f>DATE(YEAR(OneWeekMtgRatesDataTable75[[#This Row],[asOf]]),MONTH(OneWeekMtgRatesDataTable75[[#This Row],[asOf]]),DAY(OneWeekMtgRatesDataTable75[[#This Row],[asOf]]))</f>
        <v>37130</v>
      </c>
      <c r="N3619" s="51">
        <v>6.92</v>
      </c>
      <c r="O3619" s="51">
        <v>0.9</v>
      </c>
      <c r="P3619" s="51">
        <v>6.8949999999999996</v>
      </c>
    </row>
    <row r="3620" spans="12:16">
      <c r="L3620" s="51" t="s">
        <v>3625</v>
      </c>
      <c r="M3620" s="25">
        <f>DATE(YEAR(OneWeekMtgRatesDataTable75[[#This Row],[asOf]]),MONTH(OneWeekMtgRatesDataTable75[[#This Row],[asOf]]),DAY(OneWeekMtgRatesDataTable75[[#This Row],[asOf]]))</f>
        <v>37127</v>
      </c>
      <c r="N3620" s="51">
        <v>6.92</v>
      </c>
      <c r="O3620" s="51">
        <v>0.9</v>
      </c>
      <c r="P3620" s="51">
        <v>6.8949999999999996</v>
      </c>
    </row>
    <row r="3621" spans="12:16">
      <c r="L3621" s="51" t="s">
        <v>3626</v>
      </c>
      <c r="M3621" s="25">
        <f>DATE(YEAR(OneWeekMtgRatesDataTable75[[#This Row],[asOf]]),MONTH(OneWeekMtgRatesDataTable75[[#This Row],[asOf]]),DAY(OneWeekMtgRatesDataTable75[[#This Row],[asOf]]))</f>
        <v>37126</v>
      </c>
      <c r="N3621" s="51">
        <v>6.91</v>
      </c>
      <c r="O3621" s="51">
        <v>0.9</v>
      </c>
      <c r="P3621" s="51">
        <v>6.8849999999999998</v>
      </c>
    </row>
    <row r="3622" spans="12:16">
      <c r="L3622" s="51" t="s">
        <v>3627</v>
      </c>
      <c r="M3622" s="25">
        <f>DATE(YEAR(OneWeekMtgRatesDataTable75[[#This Row],[asOf]]),MONTH(OneWeekMtgRatesDataTable75[[#This Row],[asOf]]),DAY(OneWeekMtgRatesDataTable75[[#This Row],[asOf]]))</f>
        <v>37125</v>
      </c>
      <c r="N3622" s="51">
        <v>6.91</v>
      </c>
      <c r="O3622" s="51">
        <v>0.9</v>
      </c>
      <c r="P3622" s="51">
        <v>6.8849999999999998</v>
      </c>
    </row>
    <row r="3623" spans="12:16">
      <c r="L3623" s="51" t="s">
        <v>3628</v>
      </c>
      <c r="M3623" s="25">
        <f>DATE(YEAR(OneWeekMtgRatesDataTable75[[#This Row],[asOf]]),MONTH(OneWeekMtgRatesDataTable75[[#This Row],[asOf]]),DAY(OneWeekMtgRatesDataTable75[[#This Row],[asOf]]))</f>
        <v>37124</v>
      </c>
      <c r="N3623" s="51">
        <v>6.91</v>
      </c>
      <c r="O3623" s="51">
        <v>0.9</v>
      </c>
      <c r="P3623" s="51">
        <v>6.8849999999999998</v>
      </c>
    </row>
    <row r="3624" spans="12:16">
      <c r="L3624" s="51" t="s">
        <v>3629</v>
      </c>
      <c r="M3624" s="25">
        <f>DATE(YEAR(OneWeekMtgRatesDataTable75[[#This Row],[asOf]]),MONTH(OneWeekMtgRatesDataTable75[[#This Row],[asOf]]),DAY(OneWeekMtgRatesDataTable75[[#This Row],[asOf]]))</f>
        <v>37123</v>
      </c>
      <c r="N3624" s="51">
        <v>6.91</v>
      </c>
      <c r="O3624" s="51">
        <v>0.9</v>
      </c>
      <c r="P3624" s="51">
        <v>6.8849999999999998</v>
      </c>
    </row>
    <row r="3625" spans="12:16">
      <c r="L3625" s="51" t="s">
        <v>3630</v>
      </c>
      <c r="M3625" s="25">
        <f>DATE(YEAR(OneWeekMtgRatesDataTable75[[#This Row],[asOf]]),MONTH(OneWeekMtgRatesDataTable75[[#This Row],[asOf]]),DAY(OneWeekMtgRatesDataTable75[[#This Row],[asOf]]))</f>
        <v>37120</v>
      </c>
      <c r="N3625" s="51">
        <v>6.91</v>
      </c>
      <c r="O3625" s="51">
        <v>0.9</v>
      </c>
      <c r="P3625" s="51">
        <v>6.8849999999999998</v>
      </c>
    </row>
    <row r="3626" spans="12:16">
      <c r="L3626" s="51" t="s">
        <v>3631</v>
      </c>
      <c r="M3626" s="25">
        <f>DATE(YEAR(OneWeekMtgRatesDataTable75[[#This Row],[asOf]]),MONTH(OneWeekMtgRatesDataTable75[[#This Row],[asOf]]),DAY(OneWeekMtgRatesDataTable75[[#This Row],[asOf]]))</f>
        <v>37119</v>
      </c>
      <c r="N3626" s="51">
        <v>6.92</v>
      </c>
      <c r="O3626" s="51">
        <v>0.9</v>
      </c>
      <c r="P3626" s="51">
        <v>6.8949999999999996</v>
      </c>
    </row>
    <row r="3627" spans="12:16">
      <c r="L3627" s="51" t="s">
        <v>3632</v>
      </c>
      <c r="M3627" s="25">
        <f>DATE(YEAR(OneWeekMtgRatesDataTable75[[#This Row],[asOf]]),MONTH(OneWeekMtgRatesDataTable75[[#This Row],[asOf]]),DAY(OneWeekMtgRatesDataTable75[[#This Row],[asOf]]))</f>
        <v>37118</v>
      </c>
      <c r="N3627" s="51">
        <v>6.92</v>
      </c>
      <c r="O3627" s="51">
        <v>0.9</v>
      </c>
      <c r="P3627" s="51">
        <v>6.8949999999999996</v>
      </c>
    </row>
    <row r="3628" spans="12:16">
      <c r="L3628" s="51" t="s">
        <v>3633</v>
      </c>
      <c r="M3628" s="25">
        <f>DATE(YEAR(OneWeekMtgRatesDataTable75[[#This Row],[asOf]]),MONTH(OneWeekMtgRatesDataTable75[[#This Row],[asOf]]),DAY(OneWeekMtgRatesDataTable75[[#This Row],[asOf]]))</f>
        <v>37117</v>
      </c>
      <c r="N3628" s="51">
        <v>6.92</v>
      </c>
      <c r="O3628" s="51">
        <v>0.9</v>
      </c>
      <c r="P3628" s="51">
        <v>6.8949999999999996</v>
      </c>
    </row>
    <row r="3629" spans="12:16">
      <c r="L3629" s="51" t="s">
        <v>3634</v>
      </c>
      <c r="M3629" s="25">
        <f>DATE(YEAR(OneWeekMtgRatesDataTable75[[#This Row],[asOf]]),MONTH(OneWeekMtgRatesDataTable75[[#This Row],[asOf]]),DAY(OneWeekMtgRatesDataTable75[[#This Row],[asOf]]))</f>
        <v>37116</v>
      </c>
      <c r="N3629" s="51">
        <v>6.92</v>
      </c>
      <c r="O3629" s="51">
        <v>0.9</v>
      </c>
      <c r="P3629" s="51">
        <v>6.8949999999999996</v>
      </c>
    </row>
    <row r="3630" spans="12:16">
      <c r="L3630" s="51" t="s">
        <v>3635</v>
      </c>
      <c r="M3630" s="25">
        <f>DATE(YEAR(OneWeekMtgRatesDataTable75[[#This Row],[asOf]]),MONTH(OneWeekMtgRatesDataTable75[[#This Row],[asOf]]),DAY(OneWeekMtgRatesDataTable75[[#This Row],[asOf]]))</f>
        <v>37113</v>
      </c>
      <c r="N3630" s="51">
        <v>6.92</v>
      </c>
      <c r="O3630" s="51">
        <v>0.9</v>
      </c>
      <c r="P3630" s="51">
        <v>6.8949999999999996</v>
      </c>
    </row>
    <row r="3631" spans="12:16">
      <c r="L3631" s="51" t="s">
        <v>3636</v>
      </c>
      <c r="M3631" s="25">
        <f>DATE(YEAR(OneWeekMtgRatesDataTable75[[#This Row],[asOf]]),MONTH(OneWeekMtgRatesDataTable75[[#This Row],[asOf]]),DAY(OneWeekMtgRatesDataTable75[[#This Row],[asOf]]))</f>
        <v>37112</v>
      </c>
      <c r="N3631" s="51">
        <v>7</v>
      </c>
      <c r="O3631" s="51">
        <v>0.9</v>
      </c>
      <c r="P3631" s="51">
        <v>6.9749999999999996</v>
      </c>
    </row>
    <row r="3632" spans="12:16">
      <c r="L3632" s="51" t="s">
        <v>3637</v>
      </c>
      <c r="M3632" s="25">
        <f>DATE(YEAR(OneWeekMtgRatesDataTable75[[#This Row],[asOf]]),MONTH(OneWeekMtgRatesDataTable75[[#This Row],[asOf]]),DAY(OneWeekMtgRatesDataTable75[[#This Row],[asOf]]))</f>
        <v>37111</v>
      </c>
      <c r="N3632" s="51">
        <v>7</v>
      </c>
      <c r="O3632" s="51">
        <v>0.9</v>
      </c>
      <c r="P3632" s="51">
        <v>6.9749999999999996</v>
      </c>
    </row>
    <row r="3633" spans="12:16">
      <c r="L3633" s="51" t="s">
        <v>3638</v>
      </c>
      <c r="M3633" s="25">
        <f>DATE(YEAR(OneWeekMtgRatesDataTable75[[#This Row],[asOf]]),MONTH(OneWeekMtgRatesDataTable75[[#This Row],[asOf]]),DAY(OneWeekMtgRatesDataTable75[[#This Row],[asOf]]))</f>
        <v>37110</v>
      </c>
      <c r="N3633" s="51">
        <v>7</v>
      </c>
      <c r="O3633" s="51">
        <v>0.9</v>
      </c>
      <c r="P3633" s="51">
        <v>6.9749999999999996</v>
      </c>
    </row>
    <row r="3634" spans="12:16">
      <c r="L3634" s="51" t="s">
        <v>3639</v>
      </c>
      <c r="M3634" s="25">
        <f>DATE(YEAR(OneWeekMtgRatesDataTable75[[#This Row],[asOf]]),MONTH(OneWeekMtgRatesDataTable75[[#This Row],[asOf]]),DAY(OneWeekMtgRatesDataTable75[[#This Row],[asOf]]))</f>
        <v>37109</v>
      </c>
      <c r="N3634" s="51">
        <v>7</v>
      </c>
      <c r="O3634" s="51">
        <v>0.9</v>
      </c>
      <c r="P3634" s="51">
        <v>6.9749999999999996</v>
      </c>
    </row>
    <row r="3635" spans="12:16">
      <c r="L3635" s="51" t="s">
        <v>3640</v>
      </c>
      <c r="M3635" s="25">
        <f>DATE(YEAR(OneWeekMtgRatesDataTable75[[#This Row],[asOf]]),MONTH(OneWeekMtgRatesDataTable75[[#This Row],[asOf]]),DAY(OneWeekMtgRatesDataTable75[[#This Row],[asOf]]))</f>
        <v>37106</v>
      </c>
      <c r="N3635" s="51">
        <v>7</v>
      </c>
      <c r="O3635" s="51">
        <v>0.9</v>
      </c>
      <c r="P3635" s="51">
        <v>6.9749999999999996</v>
      </c>
    </row>
    <row r="3636" spans="12:16">
      <c r="L3636" s="51" t="s">
        <v>3641</v>
      </c>
      <c r="M3636" s="25">
        <f>DATE(YEAR(OneWeekMtgRatesDataTable75[[#This Row],[asOf]]),MONTH(OneWeekMtgRatesDataTable75[[#This Row],[asOf]]),DAY(OneWeekMtgRatesDataTable75[[#This Row],[asOf]]))</f>
        <v>37105</v>
      </c>
      <c r="N3636" s="51">
        <v>7</v>
      </c>
      <c r="O3636" s="51">
        <v>0.9</v>
      </c>
      <c r="P3636" s="51">
        <v>6.9749999999999996</v>
      </c>
    </row>
    <row r="3637" spans="12:16">
      <c r="L3637" s="51" t="s">
        <v>3642</v>
      </c>
      <c r="M3637" s="25">
        <f>DATE(YEAR(OneWeekMtgRatesDataTable75[[#This Row],[asOf]]),MONTH(OneWeekMtgRatesDataTable75[[#This Row],[asOf]]),DAY(OneWeekMtgRatesDataTable75[[#This Row],[asOf]]))</f>
        <v>37104</v>
      </c>
      <c r="N3637" s="51">
        <v>7</v>
      </c>
      <c r="O3637" s="51">
        <v>0.9</v>
      </c>
      <c r="P3637" s="51">
        <v>6.9749999999999996</v>
      </c>
    </row>
    <row r="3638" spans="12:16">
      <c r="L3638" s="51" t="s">
        <v>3643</v>
      </c>
      <c r="M3638" s="25">
        <f>DATE(YEAR(OneWeekMtgRatesDataTable75[[#This Row],[asOf]]),MONTH(OneWeekMtgRatesDataTable75[[#This Row],[asOf]]),DAY(OneWeekMtgRatesDataTable75[[#This Row],[asOf]]))</f>
        <v>37103</v>
      </c>
      <c r="N3638" s="51">
        <v>7</v>
      </c>
      <c r="O3638" s="51">
        <v>0.9</v>
      </c>
      <c r="P3638" s="51">
        <v>6.9749999999999996</v>
      </c>
    </row>
    <row r="3639" spans="12:16">
      <c r="L3639" s="51" t="s">
        <v>3644</v>
      </c>
      <c r="M3639" s="25">
        <f>DATE(YEAR(OneWeekMtgRatesDataTable75[[#This Row],[asOf]]),MONTH(OneWeekMtgRatesDataTable75[[#This Row],[asOf]]),DAY(OneWeekMtgRatesDataTable75[[#This Row],[asOf]]))</f>
        <v>37102</v>
      </c>
      <c r="N3639" s="51">
        <v>7</v>
      </c>
      <c r="O3639" s="51">
        <v>0.9</v>
      </c>
      <c r="P3639" s="51">
        <v>6.9749999999999996</v>
      </c>
    </row>
    <row r="3640" spans="12:16">
      <c r="L3640" s="51" t="s">
        <v>3645</v>
      </c>
      <c r="M3640" s="25">
        <f>DATE(YEAR(OneWeekMtgRatesDataTable75[[#This Row],[asOf]]),MONTH(OneWeekMtgRatesDataTable75[[#This Row],[asOf]]),DAY(OneWeekMtgRatesDataTable75[[#This Row],[asOf]]))</f>
        <v>37099</v>
      </c>
      <c r="N3640" s="51">
        <v>7</v>
      </c>
      <c r="O3640" s="51">
        <v>0.9</v>
      </c>
      <c r="P3640" s="51">
        <v>6.9749999999999996</v>
      </c>
    </row>
    <row r="3641" spans="12:16">
      <c r="L3641" s="51" t="s">
        <v>3646</v>
      </c>
      <c r="M3641" s="25">
        <f>DATE(YEAR(OneWeekMtgRatesDataTable75[[#This Row],[asOf]]),MONTH(OneWeekMtgRatesDataTable75[[#This Row],[asOf]]),DAY(OneWeekMtgRatesDataTable75[[#This Row],[asOf]]))</f>
        <v>37098</v>
      </c>
      <c r="N3641" s="51">
        <v>7.03</v>
      </c>
      <c r="O3641" s="51">
        <v>0.9</v>
      </c>
      <c r="P3641" s="51">
        <v>7.0049999999999999</v>
      </c>
    </row>
    <row r="3642" spans="12:16">
      <c r="L3642" s="51" t="s">
        <v>3647</v>
      </c>
      <c r="M3642" s="25">
        <f>DATE(YEAR(OneWeekMtgRatesDataTable75[[#This Row],[asOf]]),MONTH(OneWeekMtgRatesDataTable75[[#This Row],[asOf]]),DAY(OneWeekMtgRatesDataTable75[[#This Row],[asOf]]))</f>
        <v>37097</v>
      </c>
      <c r="N3642" s="51">
        <v>7.03</v>
      </c>
      <c r="O3642" s="51">
        <v>0.9</v>
      </c>
      <c r="P3642" s="51">
        <v>7.0049999999999999</v>
      </c>
    </row>
    <row r="3643" spans="12:16">
      <c r="L3643" s="51" t="s">
        <v>3648</v>
      </c>
      <c r="M3643" s="25">
        <f>DATE(YEAR(OneWeekMtgRatesDataTable75[[#This Row],[asOf]]),MONTH(OneWeekMtgRatesDataTable75[[#This Row],[asOf]]),DAY(OneWeekMtgRatesDataTable75[[#This Row],[asOf]]))</f>
        <v>37096</v>
      </c>
      <c r="N3643" s="51">
        <v>7.03</v>
      </c>
      <c r="O3643" s="51">
        <v>0.9</v>
      </c>
      <c r="P3643" s="51">
        <v>7.0049999999999999</v>
      </c>
    </row>
    <row r="3644" spans="12:16">
      <c r="L3644" s="51" t="s">
        <v>3649</v>
      </c>
      <c r="M3644" s="25">
        <f>DATE(YEAR(OneWeekMtgRatesDataTable75[[#This Row],[asOf]]),MONTH(OneWeekMtgRatesDataTable75[[#This Row],[asOf]]),DAY(OneWeekMtgRatesDataTable75[[#This Row],[asOf]]))</f>
        <v>37095</v>
      </c>
      <c r="N3644" s="51">
        <v>7.03</v>
      </c>
      <c r="O3644" s="51">
        <v>0.9</v>
      </c>
      <c r="P3644" s="51">
        <v>7.0049999999999999</v>
      </c>
    </row>
    <row r="3645" spans="12:16">
      <c r="L3645" s="51" t="s">
        <v>3650</v>
      </c>
      <c r="M3645" s="25">
        <f>DATE(YEAR(OneWeekMtgRatesDataTable75[[#This Row],[asOf]]),MONTH(OneWeekMtgRatesDataTable75[[#This Row],[asOf]]),DAY(OneWeekMtgRatesDataTable75[[#This Row],[asOf]]))</f>
        <v>37092</v>
      </c>
      <c r="N3645" s="51">
        <v>7.03</v>
      </c>
      <c r="O3645" s="51">
        <v>0.9</v>
      </c>
      <c r="P3645" s="51">
        <v>7.0049999999999999</v>
      </c>
    </row>
    <row r="3646" spans="12:16">
      <c r="L3646" s="51" t="s">
        <v>3651</v>
      </c>
      <c r="M3646" s="25">
        <f>DATE(YEAR(OneWeekMtgRatesDataTable75[[#This Row],[asOf]]),MONTH(OneWeekMtgRatesDataTable75[[#This Row],[asOf]]),DAY(OneWeekMtgRatesDataTable75[[#This Row],[asOf]]))</f>
        <v>37091</v>
      </c>
      <c r="N3646" s="51">
        <v>7.08</v>
      </c>
      <c r="O3646" s="51">
        <v>0.9</v>
      </c>
      <c r="P3646" s="51">
        <v>7.0549999999999997</v>
      </c>
    </row>
    <row r="3647" spans="12:16">
      <c r="L3647" s="51" t="s">
        <v>3652</v>
      </c>
      <c r="M3647" s="25">
        <f>DATE(YEAR(OneWeekMtgRatesDataTable75[[#This Row],[asOf]]),MONTH(OneWeekMtgRatesDataTable75[[#This Row],[asOf]]),DAY(OneWeekMtgRatesDataTable75[[#This Row],[asOf]]))</f>
        <v>37090</v>
      </c>
      <c r="N3647" s="51">
        <v>7.08</v>
      </c>
      <c r="O3647" s="51">
        <v>0.9</v>
      </c>
      <c r="P3647" s="51">
        <v>7.0549999999999997</v>
      </c>
    </row>
    <row r="3648" spans="12:16">
      <c r="L3648" s="51" t="s">
        <v>3653</v>
      </c>
      <c r="M3648" s="25">
        <f>DATE(YEAR(OneWeekMtgRatesDataTable75[[#This Row],[asOf]]),MONTH(OneWeekMtgRatesDataTable75[[#This Row],[asOf]]),DAY(OneWeekMtgRatesDataTable75[[#This Row],[asOf]]))</f>
        <v>37089</v>
      </c>
      <c r="N3648" s="51">
        <v>7.08</v>
      </c>
      <c r="O3648" s="51">
        <v>0.9</v>
      </c>
      <c r="P3648" s="51">
        <v>7.0549999999999997</v>
      </c>
    </row>
    <row r="3649" spans="12:16">
      <c r="L3649" s="51" t="s">
        <v>3654</v>
      </c>
      <c r="M3649" s="25">
        <f>DATE(YEAR(OneWeekMtgRatesDataTable75[[#This Row],[asOf]]),MONTH(OneWeekMtgRatesDataTable75[[#This Row],[asOf]]),DAY(OneWeekMtgRatesDataTable75[[#This Row],[asOf]]))</f>
        <v>37088</v>
      </c>
      <c r="N3649" s="51">
        <v>7.08</v>
      </c>
      <c r="O3649" s="51">
        <v>0.9</v>
      </c>
      <c r="P3649" s="51">
        <v>7.0549999999999997</v>
      </c>
    </row>
    <row r="3650" spans="12:16">
      <c r="L3650" s="51" t="s">
        <v>3655</v>
      </c>
      <c r="M3650" s="25">
        <f>DATE(YEAR(OneWeekMtgRatesDataTable75[[#This Row],[asOf]]),MONTH(OneWeekMtgRatesDataTable75[[#This Row],[asOf]]),DAY(OneWeekMtgRatesDataTable75[[#This Row],[asOf]]))</f>
        <v>37085</v>
      </c>
      <c r="N3650" s="51">
        <v>7.08</v>
      </c>
      <c r="O3650" s="51">
        <v>0.9</v>
      </c>
      <c r="P3650" s="51">
        <v>7.0549999999999997</v>
      </c>
    </row>
    <row r="3651" spans="12:16">
      <c r="L3651" s="51" t="s">
        <v>3656</v>
      </c>
      <c r="M3651" s="25">
        <f>DATE(YEAR(OneWeekMtgRatesDataTable75[[#This Row],[asOf]]),MONTH(OneWeekMtgRatesDataTable75[[#This Row],[asOf]]),DAY(OneWeekMtgRatesDataTable75[[#This Row],[asOf]]))</f>
        <v>37084</v>
      </c>
      <c r="N3651" s="51">
        <v>7.21</v>
      </c>
      <c r="O3651" s="51">
        <v>0.9</v>
      </c>
      <c r="P3651" s="51">
        <v>7.1849999999999996</v>
      </c>
    </row>
    <row r="3652" spans="12:16">
      <c r="L3652" s="51" t="s">
        <v>3657</v>
      </c>
      <c r="M3652" s="25">
        <f>DATE(YEAR(OneWeekMtgRatesDataTable75[[#This Row],[asOf]]),MONTH(OneWeekMtgRatesDataTable75[[#This Row],[asOf]]),DAY(OneWeekMtgRatesDataTable75[[#This Row],[asOf]]))</f>
        <v>37083</v>
      </c>
      <c r="N3652" s="51">
        <v>7.21</v>
      </c>
      <c r="O3652" s="51">
        <v>0.9</v>
      </c>
      <c r="P3652" s="51">
        <v>7.1849999999999996</v>
      </c>
    </row>
    <row r="3653" spans="12:16">
      <c r="L3653" s="51" t="s">
        <v>3658</v>
      </c>
      <c r="M3653" s="25">
        <f>DATE(YEAR(OneWeekMtgRatesDataTable75[[#This Row],[asOf]]),MONTH(OneWeekMtgRatesDataTable75[[#This Row],[asOf]]),DAY(OneWeekMtgRatesDataTable75[[#This Row],[asOf]]))</f>
        <v>37082</v>
      </c>
      <c r="N3653" s="51">
        <v>7.21</v>
      </c>
      <c r="O3653" s="51">
        <v>0.9</v>
      </c>
      <c r="P3653" s="51">
        <v>7.1849999999999996</v>
      </c>
    </row>
    <row r="3654" spans="12:16">
      <c r="L3654" s="51" t="s">
        <v>3659</v>
      </c>
      <c r="M3654" s="25">
        <f>DATE(YEAR(OneWeekMtgRatesDataTable75[[#This Row],[asOf]]),MONTH(OneWeekMtgRatesDataTable75[[#This Row],[asOf]]),DAY(OneWeekMtgRatesDataTable75[[#This Row],[asOf]]))</f>
        <v>37081</v>
      </c>
      <c r="N3654" s="51">
        <v>7.21</v>
      </c>
      <c r="O3654" s="51">
        <v>0.9</v>
      </c>
      <c r="P3654" s="51">
        <v>7.1849999999999996</v>
      </c>
    </row>
    <row r="3655" spans="12:16">
      <c r="L3655" s="51" t="s">
        <v>3660</v>
      </c>
      <c r="M3655" s="25">
        <f>DATE(YEAR(OneWeekMtgRatesDataTable75[[#This Row],[asOf]]),MONTH(OneWeekMtgRatesDataTable75[[#This Row],[asOf]]),DAY(OneWeekMtgRatesDataTable75[[#This Row],[asOf]]))</f>
        <v>37078</v>
      </c>
      <c r="N3655" s="51">
        <v>7.21</v>
      </c>
      <c r="O3655" s="51">
        <v>0.9</v>
      </c>
      <c r="P3655" s="51">
        <v>7.1849999999999996</v>
      </c>
    </row>
    <row r="3656" spans="12:16">
      <c r="L3656" s="51" t="s">
        <v>3661</v>
      </c>
      <c r="M3656" s="25">
        <f>DATE(YEAR(OneWeekMtgRatesDataTable75[[#This Row],[asOf]]),MONTH(OneWeekMtgRatesDataTable75[[#This Row],[asOf]]),DAY(OneWeekMtgRatesDataTable75[[#This Row],[asOf]]))</f>
        <v>37077</v>
      </c>
      <c r="N3656" s="51">
        <v>7.19</v>
      </c>
      <c r="O3656" s="51">
        <v>0.9</v>
      </c>
      <c r="P3656" s="51">
        <v>7.165</v>
      </c>
    </row>
    <row r="3657" spans="12:16">
      <c r="L3657" s="51" t="s">
        <v>3662</v>
      </c>
      <c r="M3657" s="25">
        <f>DATE(YEAR(OneWeekMtgRatesDataTable75[[#This Row],[asOf]]),MONTH(OneWeekMtgRatesDataTable75[[#This Row],[asOf]]),DAY(OneWeekMtgRatesDataTable75[[#This Row],[asOf]]))</f>
        <v>37076</v>
      </c>
      <c r="N3657" s="51">
        <v>7.19</v>
      </c>
      <c r="O3657" s="51">
        <v>0.9</v>
      </c>
      <c r="P3657" s="51">
        <v>7.165</v>
      </c>
    </row>
    <row r="3658" spans="12:16">
      <c r="L3658" s="51" t="s">
        <v>3663</v>
      </c>
      <c r="M3658" s="25">
        <f>DATE(YEAR(OneWeekMtgRatesDataTable75[[#This Row],[asOf]]),MONTH(OneWeekMtgRatesDataTable75[[#This Row],[asOf]]),DAY(OneWeekMtgRatesDataTable75[[#This Row],[asOf]]))</f>
        <v>37075</v>
      </c>
      <c r="N3658" s="51">
        <v>7.19</v>
      </c>
      <c r="O3658" s="51">
        <v>0.9</v>
      </c>
      <c r="P3658" s="51">
        <v>7.165</v>
      </c>
    </row>
    <row r="3659" spans="12:16">
      <c r="L3659" s="51" t="s">
        <v>3664</v>
      </c>
      <c r="M3659" s="25">
        <f>DATE(YEAR(OneWeekMtgRatesDataTable75[[#This Row],[asOf]]),MONTH(OneWeekMtgRatesDataTable75[[#This Row],[asOf]]),DAY(OneWeekMtgRatesDataTable75[[#This Row],[asOf]]))</f>
        <v>37074</v>
      </c>
      <c r="N3659" s="51">
        <v>7.19</v>
      </c>
      <c r="O3659" s="51">
        <v>0.9</v>
      </c>
      <c r="P3659" s="51">
        <v>7.165</v>
      </c>
    </row>
    <row r="3660" spans="12:16">
      <c r="L3660" s="51" t="s">
        <v>3665</v>
      </c>
      <c r="M3660" s="25">
        <f>DATE(YEAR(OneWeekMtgRatesDataTable75[[#This Row],[asOf]]),MONTH(OneWeekMtgRatesDataTable75[[#This Row],[asOf]]),DAY(OneWeekMtgRatesDataTable75[[#This Row],[asOf]]))</f>
        <v>37071</v>
      </c>
      <c r="N3660" s="51">
        <v>7.19</v>
      </c>
      <c r="O3660" s="51">
        <v>0.9</v>
      </c>
      <c r="P3660" s="51">
        <v>7.165</v>
      </c>
    </row>
    <row r="3661" spans="12:16">
      <c r="L3661" s="51" t="s">
        <v>3666</v>
      </c>
      <c r="M3661" s="25">
        <f>DATE(YEAR(OneWeekMtgRatesDataTable75[[#This Row],[asOf]]),MONTH(OneWeekMtgRatesDataTable75[[#This Row],[asOf]]),DAY(OneWeekMtgRatesDataTable75[[#This Row],[asOf]]))</f>
        <v>37070</v>
      </c>
      <c r="N3661" s="51">
        <v>7.11</v>
      </c>
      <c r="O3661" s="51">
        <v>1</v>
      </c>
      <c r="P3661" s="51">
        <v>7.11</v>
      </c>
    </row>
    <row r="3662" spans="12:16">
      <c r="L3662" s="51" t="s">
        <v>3667</v>
      </c>
      <c r="M3662" s="25">
        <f>DATE(YEAR(OneWeekMtgRatesDataTable75[[#This Row],[asOf]]),MONTH(OneWeekMtgRatesDataTable75[[#This Row],[asOf]]),DAY(OneWeekMtgRatesDataTable75[[#This Row],[asOf]]))</f>
        <v>37069</v>
      </c>
      <c r="N3662" s="51">
        <v>7.11</v>
      </c>
      <c r="O3662" s="51">
        <v>1</v>
      </c>
      <c r="P3662" s="51">
        <v>7.11</v>
      </c>
    </row>
    <row r="3663" spans="12:16">
      <c r="L3663" s="51" t="s">
        <v>3668</v>
      </c>
      <c r="M3663" s="25">
        <f>DATE(YEAR(OneWeekMtgRatesDataTable75[[#This Row],[asOf]]),MONTH(OneWeekMtgRatesDataTable75[[#This Row],[asOf]]),DAY(OneWeekMtgRatesDataTable75[[#This Row],[asOf]]))</f>
        <v>37068</v>
      </c>
      <c r="N3663" s="51">
        <v>7.11</v>
      </c>
      <c r="O3663" s="51">
        <v>1</v>
      </c>
      <c r="P3663" s="51">
        <v>7.11</v>
      </c>
    </row>
    <row r="3664" spans="12:16">
      <c r="L3664" s="51" t="s">
        <v>3669</v>
      </c>
      <c r="M3664" s="25">
        <f>DATE(YEAR(OneWeekMtgRatesDataTable75[[#This Row],[asOf]]),MONTH(OneWeekMtgRatesDataTable75[[#This Row],[asOf]]),DAY(OneWeekMtgRatesDataTable75[[#This Row],[asOf]]))</f>
        <v>37067</v>
      </c>
      <c r="N3664" s="51">
        <v>7.11</v>
      </c>
      <c r="O3664" s="51">
        <v>1</v>
      </c>
      <c r="P3664" s="51">
        <v>7.11</v>
      </c>
    </row>
    <row r="3665" spans="12:16">
      <c r="L3665" s="51" t="s">
        <v>3670</v>
      </c>
      <c r="M3665" s="25">
        <f>DATE(YEAR(OneWeekMtgRatesDataTable75[[#This Row],[asOf]]),MONTH(OneWeekMtgRatesDataTable75[[#This Row],[asOf]]),DAY(OneWeekMtgRatesDataTable75[[#This Row],[asOf]]))</f>
        <v>37064</v>
      </c>
      <c r="N3665" s="51">
        <v>7.11</v>
      </c>
      <c r="O3665" s="51">
        <v>1</v>
      </c>
      <c r="P3665" s="51">
        <v>7.11</v>
      </c>
    </row>
    <row r="3666" spans="12:16">
      <c r="L3666" s="51" t="s">
        <v>3671</v>
      </c>
      <c r="M3666" s="25">
        <f>DATE(YEAR(OneWeekMtgRatesDataTable75[[#This Row],[asOf]]),MONTH(OneWeekMtgRatesDataTable75[[#This Row],[asOf]]),DAY(OneWeekMtgRatesDataTable75[[#This Row],[asOf]]))</f>
        <v>37063</v>
      </c>
      <c r="N3666" s="51">
        <v>7.11</v>
      </c>
      <c r="O3666" s="51">
        <v>1</v>
      </c>
      <c r="P3666" s="51">
        <v>7.11</v>
      </c>
    </row>
    <row r="3667" spans="12:16">
      <c r="L3667" s="51" t="s">
        <v>3672</v>
      </c>
      <c r="M3667" s="25">
        <f>DATE(YEAR(OneWeekMtgRatesDataTable75[[#This Row],[asOf]]),MONTH(OneWeekMtgRatesDataTable75[[#This Row],[asOf]]),DAY(OneWeekMtgRatesDataTable75[[#This Row],[asOf]]))</f>
        <v>37062</v>
      </c>
      <c r="N3667" s="51">
        <v>7.11</v>
      </c>
      <c r="O3667" s="51">
        <v>1</v>
      </c>
      <c r="P3667" s="51">
        <v>7.11</v>
      </c>
    </row>
    <row r="3668" spans="12:16">
      <c r="L3668" s="51" t="s">
        <v>3673</v>
      </c>
      <c r="M3668" s="25">
        <f>DATE(YEAR(OneWeekMtgRatesDataTable75[[#This Row],[asOf]]),MONTH(OneWeekMtgRatesDataTable75[[#This Row],[asOf]]),DAY(OneWeekMtgRatesDataTable75[[#This Row],[asOf]]))</f>
        <v>37061</v>
      </c>
      <c r="N3668" s="51">
        <v>7.11</v>
      </c>
      <c r="O3668" s="51">
        <v>1</v>
      </c>
      <c r="P3668" s="51">
        <v>7.11</v>
      </c>
    </row>
    <row r="3669" spans="12:16">
      <c r="L3669" s="51" t="s">
        <v>3674</v>
      </c>
      <c r="M3669" s="25">
        <f>DATE(YEAR(OneWeekMtgRatesDataTable75[[#This Row],[asOf]]),MONTH(OneWeekMtgRatesDataTable75[[#This Row],[asOf]]),DAY(OneWeekMtgRatesDataTable75[[#This Row],[asOf]]))</f>
        <v>37060</v>
      </c>
      <c r="N3669" s="51">
        <v>7.11</v>
      </c>
      <c r="O3669" s="51">
        <v>1</v>
      </c>
      <c r="P3669" s="51">
        <v>7.11</v>
      </c>
    </row>
    <row r="3670" spans="12:16">
      <c r="L3670" s="51" t="s">
        <v>3675</v>
      </c>
      <c r="M3670" s="25">
        <f>DATE(YEAR(OneWeekMtgRatesDataTable75[[#This Row],[asOf]]),MONTH(OneWeekMtgRatesDataTable75[[#This Row],[asOf]]),DAY(OneWeekMtgRatesDataTable75[[#This Row],[asOf]]))</f>
        <v>37057</v>
      </c>
      <c r="N3670" s="51">
        <v>7.11</v>
      </c>
      <c r="O3670" s="51">
        <v>1</v>
      </c>
      <c r="P3670" s="51">
        <v>7.11</v>
      </c>
    </row>
    <row r="3671" spans="12:16">
      <c r="L3671" s="51" t="s">
        <v>3676</v>
      </c>
      <c r="M3671" s="25">
        <f>DATE(YEAR(OneWeekMtgRatesDataTable75[[#This Row],[asOf]]),MONTH(OneWeekMtgRatesDataTable75[[#This Row],[asOf]]),DAY(OneWeekMtgRatesDataTable75[[#This Row],[asOf]]))</f>
        <v>37056</v>
      </c>
      <c r="N3671" s="51">
        <v>7.14</v>
      </c>
      <c r="O3671" s="51">
        <v>0.9</v>
      </c>
      <c r="P3671" s="51">
        <v>7.1149999999999993</v>
      </c>
    </row>
    <row r="3672" spans="12:16">
      <c r="L3672" s="51" t="s">
        <v>3677</v>
      </c>
      <c r="M3672" s="25">
        <f>DATE(YEAR(OneWeekMtgRatesDataTable75[[#This Row],[asOf]]),MONTH(OneWeekMtgRatesDataTable75[[#This Row],[asOf]]),DAY(OneWeekMtgRatesDataTable75[[#This Row],[asOf]]))</f>
        <v>37055</v>
      </c>
      <c r="N3672" s="51">
        <v>7.14</v>
      </c>
      <c r="O3672" s="51">
        <v>0.9</v>
      </c>
      <c r="P3672" s="51">
        <v>7.1149999999999993</v>
      </c>
    </row>
    <row r="3673" spans="12:16">
      <c r="L3673" s="51" t="s">
        <v>3678</v>
      </c>
      <c r="M3673" s="25">
        <f>DATE(YEAR(OneWeekMtgRatesDataTable75[[#This Row],[asOf]]),MONTH(OneWeekMtgRatesDataTable75[[#This Row],[asOf]]),DAY(OneWeekMtgRatesDataTable75[[#This Row],[asOf]]))</f>
        <v>37054</v>
      </c>
      <c r="N3673" s="51">
        <v>7.14</v>
      </c>
      <c r="O3673" s="51">
        <v>0.9</v>
      </c>
      <c r="P3673" s="51">
        <v>7.1149999999999993</v>
      </c>
    </row>
    <row r="3674" spans="12:16">
      <c r="L3674" s="51" t="s">
        <v>3679</v>
      </c>
      <c r="M3674" s="25">
        <f>DATE(YEAR(OneWeekMtgRatesDataTable75[[#This Row],[asOf]]),MONTH(OneWeekMtgRatesDataTable75[[#This Row],[asOf]]),DAY(OneWeekMtgRatesDataTable75[[#This Row],[asOf]]))</f>
        <v>37053</v>
      </c>
      <c r="N3674" s="51">
        <v>7.14</v>
      </c>
      <c r="O3674" s="51">
        <v>0.9</v>
      </c>
      <c r="P3674" s="51">
        <v>7.1149999999999993</v>
      </c>
    </row>
    <row r="3675" spans="12:16">
      <c r="L3675" s="51" t="s">
        <v>3680</v>
      </c>
      <c r="M3675" s="25">
        <f>DATE(YEAR(OneWeekMtgRatesDataTable75[[#This Row],[asOf]]),MONTH(OneWeekMtgRatesDataTable75[[#This Row],[asOf]]),DAY(OneWeekMtgRatesDataTable75[[#This Row],[asOf]]))</f>
        <v>37050</v>
      </c>
      <c r="N3675" s="51">
        <v>7.14</v>
      </c>
      <c r="O3675" s="51">
        <v>0.9</v>
      </c>
      <c r="P3675" s="51">
        <v>7.1149999999999993</v>
      </c>
    </row>
    <row r="3676" spans="12:16">
      <c r="L3676" s="51" t="s">
        <v>3681</v>
      </c>
      <c r="M3676" s="25">
        <f>DATE(YEAR(OneWeekMtgRatesDataTable75[[#This Row],[asOf]]),MONTH(OneWeekMtgRatesDataTable75[[#This Row],[asOf]]),DAY(OneWeekMtgRatesDataTable75[[#This Row],[asOf]]))</f>
        <v>37049</v>
      </c>
      <c r="N3676" s="51">
        <v>7.2</v>
      </c>
      <c r="O3676" s="51">
        <v>1</v>
      </c>
      <c r="P3676" s="51">
        <v>7.2</v>
      </c>
    </row>
    <row r="3677" spans="12:16">
      <c r="L3677" s="51" t="s">
        <v>3682</v>
      </c>
      <c r="M3677" s="25">
        <f>DATE(YEAR(OneWeekMtgRatesDataTable75[[#This Row],[asOf]]),MONTH(OneWeekMtgRatesDataTable75[[#This Row],[asOf]]),DAY(OneWeekMtgRatesDataTable75[[#This Row],[asOf]]))</f>
        <v>37048</v>
      </c>
      <c r="N3677" s="51">
        <v>7.2</v>
      </c>
      <c r="O3677" s="51">
        <v>1</v>
      </c>
      <c r="P3677" s="51">
        <v>7.2</v>
      </c>
    </row>
    <row r="3678" spans="12:16">
      <c r="L3678" s="51" t="s">
        <v>3683</v>
      </c>
      <c r="M3678" s="25">
        <f>DATE(YEAR(OneWeekMtgRatesDataTable75[[#This Row],[asOf]]),MONTH(OneWeekMtgRatesDataTable75[[#This Row],[asOf]]),DAY(OneWeekMtgRatesDataTable75[[#This Row],[asOf]]))</f>
        <v>37047</v>
      </c>
      <c r="N3678" s="51">
        <v>7.2</v>
      </c>
      <c r="O3678" s="51">
        <v>1</v>
      </c>
      <c r="P3678" s="51">
        <v>7.2</v>
      </c>
    </row>
    <row r="3679" spans="12:16">
      <c r="L3679" s="51" t="s">
        <v>3684</v>
      </c>
      <c r="M3679" s="25">
        <f>DATE(YEAR(OneWeekMtgRatesDataTable75[[#This Row],[asOf]]),MONTH(OneWeekMtgRatesDataTable75[[#This Row],[asOf]]),DAY(OneWeekMtgRatesDataTable75[[#This Row],[asOf]]))</f>
        <v>37046</v>
      </c>
      <c r="N3679" s="51">
        <v>7.2</v>
      </c>
      <c r="O3679" s="51">
        <v>1</v>
      </c>
      <c r="P3679" s="51">
        <v>7.2</v>
      </c>
    </row>
    <row r="3680" spans="12:16">
      <c r="L3680" s="51" t="s">
        <v>3685</v>
      </c>
      <c r="M3680" s="25">
        <f>DATE(YEAR(OneWeekMtgRatesDataTable75[[#This Row],[asOf]]),MONTH(OneWeekMtgRatesDataTable75[[#This Row],[asOf]]),DAY(OneWeekMtgRatesDataTable75[[#This Row],[asOf]]))</f>
        <v>37043</v>
      </c>
      <c r="N3680" s="51">
        <v>7.2</v>
      </c>
      <c r="O3680" s="51">
        <v>1</v>
      </c>
      <c r="P3680" s="51">
        <v>7.2</v>
      </c>
    </row>
    <row r="3681" spans="12:16">
      <c r="L3681" s="51" t="s">
        <v>3686</v>
      </c>
      <c r="M3681" s="25">
        <f>DATE(YEAR(OneWeekMtgRatesDataTable75[[#This Row],[asOf]]),MONTH(OneWeekMtgRatesDataTable75[[#This Row],[asOf]]),DAY(OneWeekMtgRatesDataTable75[[#This Row],[asOf]]))</f>
        <v>37042</v>
      </c>
      <c r="N3681" s="51">
        <v>7.24</v>
      </c>
      <c r="O3681" s="51">
        <v>0.9</v>
      </c>
      <c r="P3681" s="51">
        <v>7.2149999999999999</v>
      </c>
    </row>
    <row r="3682" spans="12:16">
      <c r="L3682" s="51" t="s">
        <v>3687</v>
      </c>
      <c r="M3682" s="25">
        <f>DATE(YEAR(OneWeekMtgRatesDataTable75[[#This Row],[asOf]]),MONTH(OneWeekMtgRatesDataTable75[[#This Row],[asOf]]),DAY(OneWeekMtgRatesDataTable75[[#This Row],[asOf]]))</f>
        <v>37041</v>
      </c>
      <c r="N3682" s="51">
        <v>7.24</v>
      </c>
      <c r="O3682" s="51">
        <v>0.9</v>
      </c>
      <c r="P3682" s="51">
        <v>7.2149999999999999</v>
      </c>
    </row>
    <row r="3683" spans="12:16">
      <c r="L3683" s="51" t="s">
        <v>3688</v>
      </c>
      <c r="M3683" s="25">
        <f>DATE(YEAR(OneWeekMtgRatesDataTable75[[#This Row],[asOf]]),MONTH(OneWeekMtgRatesDataTable75[[#This Row],[asOf]]),DAY(OneWeekMtgRatesDataTable75[[#This Row],[asOf]]))</f>
        <v>37040</v>
      </c>
      <c r="N3683" s="51">
        <v>7.24</v>
      </c>
      <c r="O3683" s="51">
        <v>0.9</v>
      </c>
      <c r="P3683" s="51">
        <v>7.2149999999999999</v>
      </c>
    </row>
    <row r="3684" spans="12:16">
      <c r="L3684" s="51" t="s">
        <v>3689</v>
      </c>
      <c r="M3684" s="25">
        <f>DATE(YEAR(OneWeekMtgRatesDataTable75[[#This Row],[asOf]]),MONTH(OneWeekMtgRatesDataTable75[[#This Row],[asOf]]),DAY(OneWeekMtgRatesDataTable75[[#This Row],[asOf]]))</f>
        <v>37039</v>
      </c>
      <c r="N3684" s="51">
        <v>7.24</v>
      </c>
      <c r="O3684" s="51">
        <v>0.9</v>
      </c>
      <c r="P3684" s="51">
        <v>7.2149999999999999</v>
      </c>
    </row>
    <row r="3685" spans="12:16">
      <c r="L3685" s="51" t="s">
        <v>3690</v>
      </c>
      <c r="M3685" s="25">
        <f>DATE(YEAR(OneWeekMtgRatesDataTable75[[#This Row],[asOf]]),MONTH(OneWeekMtgRatesDataTable75[[#This Row],[asOf]]),DAY(OneWeekMtgRatesDataTable75[[#This Row],[asOf]]))</f>
        <v>37036</v>
      </c>
      <c r="N3685" s="51">
        <v>7.24</v>
      </c>
      <c r="O3685" s="51">
        <v>0.9</v>
      </c>
      <c r="P3685" s="51">
        <v>7.2149999999999999</v>
      </c>
    </row>
    <row r="3686" spans="12:16">
      <c r="L3686" s="51" t="s">
        <v>3691</v>
      </c>
      <c r="M3686" s="25">
        <f>DATE(YEAR(OneWeekMtgRatesDataTable75[[#This Row],[asOf]]),MONTH(OneWeekMtgRatesDataTable75[[#This Row],[asOf]]),DAY(OneWeekMtgRatesDataTable75[[#This Row],[asOf]]))</f>
        <v>37035</v>
      </c>
      <c r="N3686" s="51">
        <v>7.2</v>
      </c>
      <c r="O3686" s="51">
        <v>1</v>
      </c>
      <c r="P3686" s="51">
        <v>7.2</v>
      </c>
    </row>
    <row r="3687" spans="12:16">
      <c r="L3687" s="51" t="s">
        <v>3692</v>
      </c>
      <c r="M3687" s="25">
        <f>DATE(YEAR(OneWeekMtgRatesDataTable75[[#This Row],[asOf]]),MONTH(OneWeekMtgRatesDataTable75[[#This Row],[asOf]]),DAY(OneWeekMtgRatesDataTable75[[#This Row],[asOf]]))</f>
        <v>37034</v>
      </c>
      <c r="N3687" s="51">
        <v>7.2</v>
      </c>
      <c r="O3687" s="51">
        <v>1</v>
      </c>
      <c r="P3687" s="51">
        <v>7.2</v>
      </c>
    </row>
    <row r="3688" spans="12:16">
      <c r="L3688" s="51" t="s">
        <v>3693</v>
      </c>
      <c r="M3688" s="25">
        <f>DATE(YEAR(OneWeekMtgRatesDataTable75[[#This Row],[asOf]]),MONTH(OneWeekMtgRatesDataTable75[[#This Row],[asOf]]),DAY(OneWeekMtgRatesDataTable75[[#This Row],[asOf]]))</f>
        <v>37033</v>
      </c>
      <c r="N3688" s="51">
        <v>7.2</v>
      </c>
      <c r="O3688" s="51">
        <v>1</v>
      </c>
      <c r="P3688" s="51">
        <v>7.2</v>
      </c>
    </row>
    <row r="3689" spans="12:16">
      <c r="L3689" s="51" t="s">
        <v>3694</v>
      </c>
      <c r="M3689" s="25">
        <f>DATE(YEAR(OneWeekMtgRatesDataTable75[[#This Row],[asOf]]),MONTH(OneWeekMtgRatesDataTable75[[#This Row],[asOf]]),DAY(OneWeekMtgRatesDataTable75[[#This Row],[asOf]]))</f>
        <v>37032</v>
      </c>
      <c r="N3689" s="51">
        <v>7.2</v>
      </c>
      <c r="O3689" s="51">
        <v>1</v>
      </c>
      <c r="P3689" s="51">
        <v>7.2</v>
      </c>
    </row>
    <row r="3690" spans="12:16">
      <c r="L3690" s="51" t="s">
        <v>3695</v>
      </c>
      <c r="M3690" s="25">
        <f>DATE(YEAR(OneWeekMtgRatesDataTable75[[#This Row],[asOf]]),MONTH(OneWeekMtgRatesDataTable75[[#This Row],[asOf]]),DAY(OneWeekMtgRatesDataTable75[[#This Row],[asOf]]))</f>
        <v>37029</v>
      </c>
      <c r="N3690" s="51">
        <v>7.2</v>
      </c>
      <c r="O3690" s="51">
        <v>1</v>
      </c>
      <c r="P3690" s="51">
        <v>7.2</v>
      </c>
    </row>
    <row r="3691" spans="12:16">
      <c r="L3691" s="51" t="s">
        <v>3696</v>
      </c>
      <c r="M3691" s="25">
        <f>DATE(YEAR(OneWeekMtgRatesDataTable75[[#This Row],[asOf]]),MONTH(OneWeekMtgRatesDataTable75[[#This Row],[asOf]]),DAY(OneWeekMtgRatesDataTable75[[#This Row],[asOf]]))</f>
        <v>37028</v>
      </c>
      <c r="N3691" s="51">
        <v>7.14</v>
      </c>
      <c r="O3691" s="51">
        <v>1</v>
      </c>
      <c r="P3691" s="51">
        <v>7.14</v>
      </c>
    </row>
    <row r="3692" spans="12:16">
      <c r="L3692" s="51" t="s">
        <v>3697</v>
      </c>
      <c r="M3692" s="25">
        <f>DATE(YEAR(OneWeekMtgRatesDataTable75[[#This Row],[asOf]]),MONTH(OneWeekMtgRatesDataTable75[[#This Row],[asOf]]),DAY(OneWeekMtgRatesDataTable75[[#This Row],[asOf]]))</f>
        <v>37027</v>
      </c>
      <c r="N3692" s="51">
        <v>7.14</v>
      </c>
      <c r="O3692" s="51">
        <v>1</v>
      </c>
      <c r="P3692" s="51">
        <v>7.14</v>
      </c>
    </row>
    <row r="3693" spans="12:16">
      <c r="L3693" s="51" t="s">
        <v>3698</v>
      </c>
      <c r="M3693" s="25">
        <f>DATE(YEAR(OneWeekMtgRatesDataTable75[[#This Row],[asOf]]),MONTH(OneWeekMtgRatesDataTable75[[#This Row],[asOf]]),DAY(OneWeekMtgRatesDataTable75[[#This Row],[asOf]]))</f>
        <v>37026</v>
      </c>
      <c r="N3693" s="51">
        <v>7.14</v>
      </c>
      <c r="O3693" s="51">
        <v>1</v>
      </c>
      <c r="P3693" s="51">
        <v>7.14</v>
      </c>
    </row>
    <row r="3694" spans="12:16">
      <c r="L3694" s="51" t="s">
        <v>3699</v>
      </c>
      <c r="M3694" s="25">
        <f>DATE(YEAR(OneWeekMtgRatesDataTable75[[#This Row],[asOf]]),MONTH(OneWeekMtgRatesDataTable75[[#This Row],[asOf]]),DAY(OneWeekMtgRatesDataTable75[[#This Row],[asOf]]))</f>
        <v>37025</v>
      </c>
      <c r="N3694" s="51">
        <v>7.14</v>
      </c>
      <c r="O3694" s="51">
        <v>1</v>
      </c>
      <c r="P3694" s="51">
        <v>7.14</v>
      </c>
    </row>
    <row r="3695" spans="12:16">
      <c r="L3695" s="51" t="s">
        <v>3700</v>
      </c>
      <c r="M3695" s="25">
        <f>DATE(YEAR(OneWeekMtgRatesDataTable75[[#This Row],[asOf]]),MONTH(OneWeekMtgRatesDataTable75[[#This Row],[asOf]]),DAY(OneWeekMtgRatesDataTable75[[#This Row],[asOf]]))</f>
        <v>37022</v>
      </c>
      <c r="N3695" s="51">
        <v>7.14</v>
      </c>
      <c r="O3695" s="51">
        <v>1</v>
      </c>
      <c r="P3695" s="51">
        <v>7.14</v>
      </c>
    </row>
    <row r="3696" spans="12:16">
      <c r="L3696" s="51" t="s">
        <v>3701</v>
      </c>
      <c r="M3696" s="25">
        <f>DATE(YEAR(OneWeekMtgRatesDataTable75[[#This Row],[asOf]]),MONTH(OneWeekMtgRatesDataTable75[[#This Row],[asOf]]),DAY(OneWeekMtgRatesDataTable75[[#This Row],[asOf]]))</f>
        <v>37021</v>
      </c>
      <c r="N3696" s="51">
        <v>7.1</v>
      </c>
      <c r="O3696" s="51">
        <v>0.9</v>
      </c>
      <c r="P3696" s="51">
        <v>7.0749999999999993</v>
      </c>
    </row>
    <row r="3697" spans="12:16">
      <c r="L3697" s="51" t="s">
        <v>3702</v>
      </c>
      <c r="M3697" s="25">
        <f>DATE(YEAR(OneWeekMtgRatesDataTable75[[#This Row],[asOf]]),MONTH(OneWeekMtgRatesDataTable75[[#This Row],[asOf]]),DAY(OneWeekMtgRatesDataTable75[[#This Row],[asOf]]))</f>
        <v>37020</v>
      </c>
      <c r="N3697" s="51">
        <v>7.1</v>
      </c>
      <c r="O3697" s="51">
        <v>0.9</v>
      </c>
      <c r="P3697" s="51">
        <v>7.0749999999999993</v>
      </c>
    </row>
    <row r="3698" spans="12:16">
      <c r="L3698" s="51" t="s">
        <v>3703</v>
      </c>
      <c r="M3698" s="25">
        <f>DATE(YEAR(OneWeekMtgRatesDataTable75[[#This Row],[asOf]]),MONTH(OneWeekMtgRatesDataTable75[[#This Row],[asOf]]),DAY(OneWeekMtgRatesDataTable75[[#This Row],[asOf]]))</f>
        <v>37019</v>
      </c>
      <c r="N3698" s="51">
        <v>7.1</v>
      </c>
      <c r="O3698" s="51">
        <v>0.9</v>
      </c>
      <c r="P3698" s="51">
        <v>7.0749999999999993</v>
      </c>
    </row>
    <row r="3699" spans="12:16">
      <c r="L3699" s="51" t="s">
        <v>3704</v>
      </c>
      <c r="M3699" s="25">
        <f>DATE(YEAR(OneWeekMtgRatesDataTable75[[#This Row],[asOf]]),MONTH(OneWeekMtgRatesDataTable75[[#This Row],[asOf]]),DAY(OneWeekMtgRatesDataTable75[[#This Row],[asOf]]))</f>
        <v>37018</v>
      </c>
      <c r="N3699" s="51">
        <v>7.1</v>
      </c>
      <c r="O3699" s="51">
        <v>0.9</v>
      </c>
      <c r="P3699" s="51">
        <v>7.0749999999999993</v>
      </c>
    </row>
    <row r="3700" spans="12:16">
      <c r="L3700" s="51" t="s">
        <v>3705</v>
      </c>
      <c r="M3700" s="25">
        <f>DATE(YEAR(OneWeekMtgRatesDataTable75[[#This Row],[asOf]]),MONTH(OneWeekMtgRatesDataTable75[[#This Row],[asOf]]),DAY(OneWeekMtgRatesDataTable75[[#This Row],[asOf]]))</f>
        <v>37015</v>
      </c>
      <c r="N3700" s="51">
        <v>7.1</v>
      </c>
      <c r="O3700" s="51">
        <v>0.9</v>
      </c>
      <c r="P3700" s="51">
        <v>7.0749999999999993</v>
      </c>
    </row>
    <row r="3701" spans="12:16">
      <c r="L3701" s="51" t="s">
        <v>3706</v>
      </c>
      <c r="M3701" s="25">
        <f>DATE(YEAR(OneWeekMtgRatesDataTable75[[#This Row],[asOf]]),MONTH(OneWeekMtgRatesDataTable75[[#This Row],[asOf]]),DAY(OneWeekMtgRatesDataTable75[[#This Row],[asOf]]))</f>
        <v>37014</v>
      </c>
      <c r="N3701" s="51">
        <v>7.14</v>
      </c>
      <c r="O3701" s="51">
        <v>0.9</v>
      </c>
      <c r="P3701" s="51">
        <v>7.1149999999999993</v>
      </c>
    </row>
    <row r="3702" spans="12:16">
      <c r="L3702" s="51" t="s">
        <v>3707</v>
      </c>
      <c r="M3702" s="25">
        <f>DATE(YEAR(OneWeekMtgRatesDataTable75[[#This Row],[asOf]]),MONTH(OneWeekMtgRatesDataTable75[[#This Row],[asOf]]),DAY(OneWeekMtgRatesDataTable75[[#This Row],[asOf]]))</f>
        <v>37013</v>
      </c>
      <c r="N3702" s="51">
        <v>7.14</v>
      </c>
      <c r="O3702" s="51">
        <v>0.9</v>
      </c>
      <c r="P3702" s="51">
        <v>7.1149999999999993</v>
      </c>
    </row>
    <row r="3703" spans="12:16">
      <c r="L3703" s="51" t="s">
        <v>3708</v>
      </c>
      <c r="M3703" s="25">
        <f>DATE(YEAR(OneWeekMtgRatesDataTable75[[#This Row],[asOf]]),MONTH(OneWeekMtgRatesDataTable75[[#This Row],[asOf]]),DAY(OneWeekMtgRatesDataTable75[[#This Row],[asOf]]))</f>
        <v>37012</v>
      </c>
      <c r="N3703" s="51">
        <v>7.14</v>
      </c>
      <c r="O3703" s="51">
        <v>0.9</v>
      </c>
      <c r="P3703" s="51">
        <v>7.1149999999999993</v>
      </c>
    </row>
    <row r="3704" spans="12:16">
      <c r="L3704" s="51" t="s">
        <v>3709</v>
      </c>
      <c r="M3704" s="25">
        <f>DATE(YEAR(OneWeekMtgRatesDataTable75[[#This Row],[asOf]]),MONTH(OneWeekMtgRatesDataTable75[[#This Row],[asOf]]),DAY(OneWeekMtgRatesDataTable75[[#This Row],[asOf]]))</f>
        <v>37011</v>
      </c>
      <c r="N3704" s="51">
        <v>7.14</v>
      </c>
      <c r="O3704" s="51">
        <v>0.9</v>
      </c>
      <c r="P3704" s="51">
        <v>7.1149999999999993</v>
      </c>
    </row>
    <row r="3705" spans="12:16">
      <c r="L3705" s="51" t="s">
        <v>3710</v>
      </c>
      <c r="M3705" s="25">
        <f>DATE(YEAR(OneWeekMtgRatesDataTable75[[#This Row],[asOf]]),MONTH(OneWeekMtgRatesDataTable75[[#This Row],[asOf]]),DAY(OneWeekMtgRatesDataTable75[[#This Row],[asOf]]))</f>
        <v>37008</v>
      </c>
      <c r="N3705" s="51">
        <v>7.14</v>
      </c>
      <c r="O3705" s="51">
        <v>0.9</v>
      </c>
      <c r="P3705" s="51">
        <v>7.1149999999999993</v>
      </c>
    </row>
    <row r="3706" spans="12:16">
      <c r="L3706" s="51" t="s">
        <v>3711</v>
      </c>
      <c r="M3706" s="25">
        <f>DATE(YEAR(OneWeekMtgRatesDataTable75[[#This Row],[asOf]]),MONTH(OneWeekMtgRatesDataTable75[[#This Row],[asOf]]),DAY(OneWeekMtgRatesDataTable75[[#This Row],[asOf]]))</f>
        <v>37007</v>
      </c>
      <c r="N3706" s="51">
        <v>7.12</v>
      </c>
      <c r="O3706" s="51">
        <v>1</v>
      </c>
      <c r="P3706" s="51">
        <v>7.12</v>
      </c>
    </row>
    <row r="3707" spans="12:16">
      <c r="L3707" s="51" t="s">
        <v>3712</v>
      </c>
      <c r="M3707" s="25">
        <f>DATE(YEAR(OneWeekMtgRatesDataTable75[[#This Row],[asOf]]),MONTH(OneWeekMtgRatesDataTable75[[#This Row],[asOf]]),DAY(OneWeekMtgRatesDataTable75[[#This Row],[asOf]]))</f>
        <v>37006</v>
      </c>
      <c r="N3707" s="51">
        <v>7.12</v>
      </c>
      <c r="O3707" s="51">
        <v>1</v>
      </c>
      <c r="P3707" s="51">
        <v>7.12</v>
      </c>
    </row>
    <row r="3708" spans="12:16">
      <c r="L3708" s="51" t="s">
        <v>3713</v>
      </c>
      <c r="M3708" s="25">
        <f>DATE(YEAR(OneWeekMtgRatesDataTable75[[#This Row],[asOf]]),MONTH(OneWeekMtgRatesDataTable75[[#This Row],[asOf]]),DAY(OneWeekMtgRatesDataTable75[[#This Row],[asOf]]))</f>
        <v>37005</v>
      </c>
      <c r="N3708" s="51">
        <v>7.12</v>
      </c>
      <c r="O3708" s="51">
        <v>1</v>
      </c>
      <c r="P3708" s="51">
        <v>7.12</v>
      </c>
    </row>
    <row r="3709" spans="12:16">
      <c r="L3709" s="51" t="s">
        <v>3714</v>
      </c>
      <c r="M3709" s="25">
        <f>DATE(YEAR(OneWeekMtgRatesDataTable75[[#This Row],[asOf]]),MONTH(OneWeekMtgRatesDataTable75[[#This Row],[asOf]]),DAY(OneWeekMtgRatesDataTable75[[#This Row],[asOf]]))</f>
        <v>37004</v>
      </c>
      <c r="N3709" s="51">
        <v>7.12</v>
      </c>
      <c r="O3709" s="51">
        <v>1</v>
      </c>
      <c r="P3709" s="51">
        <v>7.12</v>
      </c>
    </row>
    <row r="3710" spans="12:16">
      <c r="L3710" s="51" t="s">
        <v>3715</v>
      </c>
      <c r="M3710" s="25">
        <f>DATE(YEAR(OneWeekMtgRatesDataTable75[[#This Row],[asOf]]),MONTH(OneWeekMtgRatesDataTable75[[#This Row],[asOf]]),DAY(OneWeekMtgRatesDataTable75[[#This Row],[asOf]]))</f>
        <v>37001</v>
      </c>
      <c r="N3710" s="51">
        <v>7.12</v>
      </c>
      <c r="O3710" s="51">
        <v>1</v>
      </c>
      <c r="P3710" s="51">
        <v>7.12</v>
      </c>
    </row>
    <row r="3711" spans="12:16">
      <c r="L3711" s="51" t="s">
        <v>3716</v>
      </c>
      <c r="M3711" s="25">
        <f>DATE(YEAR(OneWeekMtgRatesDataTable75[[#This Row],[asOf]]),MONTH(OneWeekMtgRatesDataTable75[[#This Row],[asOf]]),DAY(OneWeekMtgRatesDataTable75[[#This Row],[asOf]]))</f>
        <v>37000</v>
      </c>
      <c r="N3711" s="51">
        <v>7.14</v>
      </c>
      <c r="O3711" s="51">
        <v>0.9</v>
      </c>
      <c r="P3711" s="51">
        <v>7.1149999999999993</v>
      </c>
    </row>
    <row r="3712" spans="12:16">
      <c r="L3712" s="51" t="s">
        <v>3717</v>
      </c>
      <c r="M3712" s="25">
        <f>DATE(YEAR(OneWeekMtgRatesDataTable75[[#This Row],[asOf]]),MONTH(OneWeekMtgRatesDataTable75[[#This Row],[asOf]]),DAY(OneWeekMtgRatesDataTable75[[#This Row],[asOf]]))</f>
        <v>36999</v>
      </c>
      <c r="N3712" s="51">
        <v>7.14</v>
      </c>
      <c r="O3712" s="51">
        <v>0.9</v>
      </c>
      <c r="P3712" s="51">
        <v>7.1149999999999993</v>
      </c>
    </row>
    <row r="3713" spans="12:16">
      <c r="L3713" s="51" t="s">
        <v>3718</v>
      </c>
      <c r="M3713" s="25">
        <f>DATE(YEAR(OneWeekMtgRatesDataTable75[[#This Row],[asOf]]),MONTH(OneWeekMtgRatesDataTable75[[#This Row],[asOf]]),DAY(OneWeekMtgRatesDataTable75[[#This Row],[asOf]]))</f>
        <v>36998</v>
      </c>
      <c r="N3713" s="51">
        <v>7.14</v>
      </c>
      <c r="O3713" s="51">
        <v>0.9</v>
      </c>
      <c r="P3713" s="51">
        <v>7.1149999999999993</v>
      </c>
    </row>
    <row r="3714" spans="12:16">
      <c r="L3714" s="51" t="s">
        <v>3719</v>
      </c>
      <c r="M3714" s="25">
        <f>DATE(YEAR(OneWeekMtgRatesDataTable75[[#This Row],[asOf]]),MONTH(OneWeekMtgRatesDataTable75[[#This Row],[asOf]]),DAY(OneWeekMtgRatesDataTable75[[#This Row],[asOf]]))</f>
        <v>36997</v>
      </c>
      <c r="N3714" s="51">
        <v>7.14</v>
      </c>
      <c r="O3714" s="51">
        <v>0.9</v>
      </c>
      <c r="P3714" s="51">
        <v>7.1149999999999993</v>
      </c>
    </row>
    <row r="3715" spans="12:16">
      <c r="L3715" s="51" t="s">
        <v>3720</v>
      </c>
      <c r="M3715" s="25">
        <f>DATE(YEAR(OneWeekMtgRatesDataTable75[[#This Row],[asOf]]),MONTH(OneWeekMtgRatesDataTable75[[#This Row],[asOf]]),DAY(OneWeekMtgRatesDataTable75[[#This Row],[asOf]]))</f>
        <v>36994</v>
      </c>
      <c r="N3715" s="51">
        <v>7.14</v>
      </c>
      <c r="O3715" s="51">
        <v>0.9</v>
      </c>
      <c r="P3715" s="51">
        <v>7.1149999999999993</v>
      </c>
    </row>
    <row r="3716" spans="12:16">
      <c r="L3716" s="51" t="s">
        <v>3721</v>
      </c>
      <c r="M3716" s="25">
        <f>DATE(YEAR(OneWeekMtgRatesDataTable75[[#This Row],[asOf]]),MONTH(OneWeekMtgRatesDataTable75[[#This Row],[asOf]]),DAY(OneWeekMtgRatesDataTable75[[#This Row],[asOf]]))</f>
        <v>36993</v>
      </c>
      <c r="N3716" s="51">
        <v>7.04</v>
      </c>
      <c r="O3716" s="51">
        <v>0.8</v>
      </c>
      <c r="P3716" s="51">
        <v>6.99</v>
      </c>
    </row>
    <row r="3717" spans="12:16">
      <c r="L3717" s="51" t="s">
        <v>3722</v>
      </c>
      <c r="M3717" s="25">
        <f>DATE(YEAR(OneWeekMtgRatesDataTable75[[#This Row],[asOf]]),MONTH(OneWeekMtgRatesDataTable75[[#This Row],[asOf]]),DAY(OneWeekMtgRatesDataTable75[[#This Row],[asOf]]))</f>
        <v>36992</v>
      </c>
      <c r="N3717" s="51">
        <v>7.04</v>
      </c>
      <c r="O3717" s="51">
        <v>0.8</v>
      </c>
      <c r="P3717" s="51">
        <v>6.99</v>
      </c>
    </row>
    <row r="3718" spans="12:16">
      <c r="L3718" s="51" t="s">
        <v>3723</v>
      </c>
      <c r="M3718" s="25">
        <f>DATE(YEAR(OneWeekMtgRatesDataTable75[[#This Row],[asOf]]),MONTH(OneWeekMtgRatesDataTable75[[#This Row],[asOf]]),DAY(OneWeekMtgRatesDataTable75[[#This Row],[asOf]]))</f>
        <v>36991</v>
      </c>
      <c r="N3718" s="51">
        <v>7.04</v>
      </c>
      <c r="O3718" s="51">
        <v>0.8</v>
      </c>
      <c r="P3718" s="51">
        <v>6.99</v>
      </c>
    </row>
    <row r="3719" spans="12:16">
      <c r="L3719" s="51" t="s">
        <v>3724</v>
      </c>
      <c r="M3719" s="25">
        <f>DATE(YEAR(OneWeekMtgRatesDataTable75[[#This Row],[asOf]]),MONTH(OneWeekMtgRatesDataTable75[[#This Row],[asOf]]),DAY(OneWeekMtgRatesDataTable75[[#This Row],[asOf]]))</f>
        <v>36990</v>
      </c>
      <c r="N3719" s="51">
        <v>7.04</v>
      </c>
      <c r="O3719" s="51">
        <v>0.8</v>
      </c>
      <c r="P3719" s="51">
        <v>6.99</v>
      </c>
    </row>
    <row r="3720" spans="12:16">
      <c r="L3720" s="51" t="s">
        <v>3725</v>
      </c>
      <c r="M3720" s="25">
        <f>DATE(YEAR(OneWeekMtgRatesDataTable75[[#This Row],[asOf]]),MONTH(OneWeekMtgRatesDataTable75[[#This Row],[asOf]]),DAY(OneWeekMtgRatesDataTable75[[#This Row],[asOf]]))</f>
        <v>36987</v>
      </c>
      <c r="N3720" s="51">
        <v>7.04</v>
      </c>
      <c r="O3720" s="51">
        <v>0.8</v>
      </c>
      <c r="P3720" s="51">
        <v>6.99</v>
      </c>
    </row>
    <row r="3721" spans="12:16">
      <c r="L3721" s="51" t="s">
        <v>3726</v>
      </c>
      <c r="M3721" s="25">
        <f>DATE(YEAR(OneWeekMtgRatesDataTable75[[#This Row],[asOf]]),MONTH(OneWeekMtgRatesDataTable75[[#This Row],[asOf]]),DAY(OneWeekMtgRatesDataTable75[[#This Row],[asOf]]))</f>
        <v>36986</v>
      </c>
      <c r="N3721" s="51">
        <v>7.01</v>
      </c>
      <c r="O3721" s="51">
        <v>0.9</v>
      </c>
      <c r="P3721" s="51">
        <v>6.9849999999999994</v>
      </c>
    </row>
    <row r="3722" spans="12:16">
      <c r="L3722" s="51" t="s">
        <v>3727</v>
      </c>
      <c r="M3722" s="25">
        <f>DATE(YEAR(OneWeekMtgRatesDataTable75[[#This Row],[asOf]]),MONTH(OneWeekMtgRatesDataTable75[[#This Row],[asOf]]),DAY(OneWeekMtgRatesDataTable75[[#This Row],[asOf]]))</f>
        <v>36985</v>
      </c>
      <c r="N3722" s="51">
        <v>7.01</v>
      </c>
      <c r="O3722" s="51">
        <v>0.9</v>
      </c>
      <c r="P3722" s="51">
        <v>6.9849999999999994</v>
      </c>
    </row>
    <row r="3723" spans="12:16">
      <c r="L3723" s="51" t="s">
        <v>3728</v>
      </c>
      <c r="M3723" s="25">
        <f>DATE(YEAR(OneWeekMtgRatesDataTable75[[#This Row],[asOf]]),MONTH(OneWeekMtgRatesDataTable75[[#This Row],[asOf]]),DAY(OneWeekMtgRatesDataTable75[[#This Row],[asOf]]))</f>
        <v>36984</v>
      </c>
      <c r="N3723" s="51">
        <v>7.01</v>
      </c>
      <c r="O3723" s="51">
        <v>0.9</v>
      </c>
      <c r="P3723" s="51">
        <v>6.9849999999999994</v>
      </c>
    </row>
    <row r="3724" spans="12:16">
      <c r="L3724" s="51" t="s">
        <v>3729</v>
      </c>
      <c r="M3724" s="25">
        <f>DATE(YEAR(OneWeekMtgRatesDataTable75[[#This Row],[asOf]]),MONTH(OneWeekMtgRatesDataTable75[[#This Row],[asOf]]),DAY(OneWeekMtgRatesDataTable75[[#This Row],[asOf]]))</f>
        <v>36983</v>
      </c>
      <c r="N3724" s="51">
        <v>7.01</v>
      </c>
      <c r="O3724" s="51">
        <v>0.9</v>
      </c>
      <c r="P3724" s="51">
        <v>6.9849999999999994</v>
      </c>
    </row>
    <row r="3725" spans="12:16">
      <c r="L3725" s="51" t="s">
        <v>3730</v>
      </c>
      <c r="M3725" s="25">
        <f>DATE(YEAR(OneWeekMtgRatesDataTable75[[#This Row],[asOf]]),MONTH(OneWeekMtgRatesDataTable75[[#This Row],[asOf]]),DAY(OneWeekMtgRatesDataTable75[[#This Row],[asOf]]))</f>
        <v>36980</v>
      </c>
      <c r="N3725" s="51">
        <v>7.01</v>
      </c>
      <c r="O3725" s="51">
        <v>0.9</v>
      </c>
      <c r="P3725" s="51">
        <v>6.9849999999999994</v>
      </c>
    </row>
    <row r="3726" spans="12:16">
      <c r="L3726" s="51" t="s">
        <v>3731</v>
      </c>
      <c r="M3726" s="25">
        <f>DATE(YEAR(OneWeekMtgRatesDataTable75[[#This Row],[asOf]]),MONTH(OneWeekMtgRatesDataTable75[[#This Row],[asOf]]),DAY(OneWeekMtgRatesDataTable75[[#This Row],[asOf]]))</f>
        <v>36979</v>
      </c>
      <c r="N3726" s="51">
        <v>6.91</v>
      </c>
      <c r="O3726" s="51">
        <v>0.9</v>
      </c>
      <c r="P3726" s="51">
        <v>6.8849999999999998</v>
      </c>
    </row>
    <row r="3727" spans="12:16">
      <c r="L3727" s="51" t="s">
        <v>3732</v>
      </c>
      <c r="M3727" s="25">
        <f>DATE(YEAR(OneWeekMtgRatesDataTable75[[#This Row],[asOf]]),MONTH(OneWeekMtgRatesDataTable75[[#This Row],[asOf]]),DAY(OneWeekMtgRatesDataTable75[[#This Row],[asOf]]))</f>
        <v>36978</v>
      </c>
      <c r="N3727" s="51">
        <v>6.91</v>
      </c>
      <c r="O3727" s="51">
        <v>0.9</v>
      </c>
      <c r="P3727" s="51">
        <v>6.8849999999999998</v>
      </c>
    </row>
    <row r="3728" spans="12:16">
      <c r="L3728" s="51" t="s">
        <v>3733</v>
      </c>
      <c r="M3728" s="25">
        <f>DATE(YEAR(OneWeekMtgRatesDataTable75[[#This Row],[asOf]]),MONTH(OneWeekMtgRatesDataTable75[[#This Row],[asOf]]),DAY(OneWeekMtgRatesDataTable75[[#This Row],[asOf]]))</f>
        <v>36977</v>
      </c>
      <c r="N3728" s="51">
        <v>6.91</v>
      </c>
      <c r="O3728" s="51">
        <v>0.9</v>
      </c>
      <c r="P3728" s="51">
        <v>6.8849999999999998</v>
      </c>
    </row>
    <row r="3729" spans="12:16">
      <c r="L3729" s="51" t="s">
        <v>3734</v>
      </c>
      <c r="M3729" s="25">
        <f>DATE(YEAR(OneWeekMtgRatesDataTable75[[#This Row],[asOf]]),MONTH(OneWeekMtgRatesDataTable75[[#This Row],[asOf]]),DAY(OneWeekMtgRatesDataTable75[[#This Row],[asOf]]))</f>
        <v>36976</v>
      </c>
      <c r="N3729" s="51">
        <v>6.91</v>
      </c>
      <c r="O3729" s="51">
        <v>0.9</v>
      </c>
      <c r="P3729" s="51">
        <v>6.8849999999999998</v>
      </c>
    </row>
    <row r="3730" spans="12:16">
      <c r="L3730" s="51" t="s">
        <v>3735</v>
      </c>
      <c r="M3730" s="25">
        <f>DATE(YEAR(OneWeekMtgRatesDataTable75[[#This Row],[asOf]]),MONTH(OneWeekMtgRatesDataTable75[[#This Row],[asOf]]),DAY(OneWeekMtgRatesDataTable75[[#This Row],[asOf]]))</f>
        <v>36973</v>
      </c>
      <c r="N3730" s="51">
        <v>6.91</v>
      </c>
      <c r="O3730" s="51">
        <v>0.9</v>
      </c>
      <c r="P3730" s="51">
        <v>6.8849999999999998</v>
      </c>
    </row>
    <row r="3731" spans="12:16">
      <c r="L3731" s="51" t="s">
        <v>3736</v>
      </c>
      <c r="M3731" s="25">
        <f>DATE(YEAR(OneWeekMtgRatesDataTable75[[#This Row],[asOf]]),MONTH(OneWeekMtgRatesDataTable75[[#This Row],[asOf]]),DAY(OneWeekMtgRatesDataTable75[[#This Row],[asOf]]))</f>
        <v>36972</v>
      </c>
      <c r="N3731" s="51">
        <v>6.89</v>
      </c>
      <c r="O3731" s="51">
        <v>1</v>
      </c>
      <c r="P3731" s="51">
        <v>6.89</v>
      </c>
    </row>
    <row r="3732" spans="12:16">
      <c r="L3732" s="51" t="s">
        <v>3737</v>
      </c>
      <c r="M3732" s="25">
        <f>DATE(YEAR(OneWeekMtgRatesDataTable75[[#This Row],[asOf]]),MONTH(OneWeekMtgRatesDataTable75[[#This Row],[asOf]]),DAY(OneWeekMtgRatesDataTable75[[#This Row],[asOf]]))</f>
        <v>36971</v>
      </c>
      <c r="N3732" s="51">
        <v>6.89</v>
      </c>
      <c r="O3732" s="51">
        <v>1</v>
      </c>
      <c r="P3732" s="51">
        <v>6.89</v>
      </c>
    </row>
    <row r="3733" spans="12:16">
      <c r="L3733" s="51" t="s">
        <v>3738</v>
      </c>
      <c r="M3733" s="25">
        <f>DATE(YEAR(OneWeekMtgRatesDataTable75[[#This Row],[asOf]]),MONTH(OneWeekMtgRatesDataTable75[[#This Row],[asOf]]),DAY(OneWeekMtgRatesDataTable75[[#This Row],[asOf]]))</f>
        <v>36970</v>
      </c>
      <c r="N3733" s="51">
        <v>6.89</v>
      </c>
      <c r="O3733" s="51">
        <v>1</v>
      </c>
      <c r="P3733" s="51">
        <v>6.89</v>
      </c>
    </row>
    <row r="3734" spans="12:16">
      <c r="L3734" s="51" t="s">
        <v>3739</v>
      </c>
      <c r="M3734" s="25">
        <f>DATE(YEAR(OneWeekMtgRatesDataTable75[[#This Row],[asOf]]),MONTH(OneWeekMtgRatesDataTable75[[#This Row],[asOf]]),DAY(OneWeekMtgRatesDataTable75[[#This Row],[asOf]]))</f>
        <v>36969</v>
      </c>
      <c r="N3734" s="51">
        <v>6.89</v>
      </c>
      <c r="O3734" s="51">
        <v>1</v>
      </c>
      <c r="P3734" s="51">
        <v>6.89</v>
      </c>
    </row>
    <row r="3735" spans="12:16">
      <c r="L3735" s="51" t="s">
        <v>3740</v>
      </c>
      <c r="M3735" s="25">
        <f>DATE(YEAR(OneWeekMtgRatesDataTable75[[#This Row],[asOf]]),MONTH(OneWeekMtgRatesDataTable75[[#This Row],[asOf]]),DAY(OneWeekMtgRatesDataTable75[[#This Row],[asOf]]))</f>
        <v>36966</v>
      </c>
      <c r="N3735" s="51">
        <v>6.89</v>
      </c>
      <c r="O3735" s="51">
        <v>1</v>
      </c>
      <c r="P3735" s="51">
        <v>6.89</v>
      </c>
    </row>
    <row r="3736" spans="12:16">
      <c r="L3736" s="51" t="s">
        <v>3741</v>
      </c>
      <c r="M3736" s="25">
        <f>DATE(YEAR(OneWeekMtgRatesDataTable75[[#This Row],[asOf]]),MONTH(OneWeekMtgRatesDataTable75[[#This Row],[asOf]]),DAY(OneWeekMtgRatesDataTable75[[#This Row],[asOf]]))</f>
        <v>36965</v>
      </c>
      <c r="N3736" s="51">
        <v>6.96</v>
      </c>
      <c r="O3736" s="51">
        <v>0.9</v>
      </c>
      <c r="P3736" s="51">
        <v>6.9349999999999996</v>
      </c>
    </row>
    <row r="3737" spans="12:16">
      <c r="L3737" s="51" t="s">
        <v>3742</v>
      </c>
      <c r="M3737" s="25">
        <f>DATE(YEAR(OneWeekMtgRatesDataTable75[[#This Row],[asOf]]),MONTH(OneWeekMtgRatesDataTable75[[#This Row],[asOf]]),DAY(OneWeekMtgRatesDataTable75[[#This Row],[asOf]]))</f>
        <v>36964</v>
      </c>
      <c r="N3737" s="51">
        <v>6.96</v>
      </c>
      <c r="O3737" s="51">
        <v>0.9</v>
      </c>
      <c r="P3737" s="51">
        <v>6.9349999999999996</v>
      </c>
    </row>
    <row r="3738" spans="12:16">
      <c r="L3738" s="51" t="s">
        <v>3743</v>
      </c>
      <c r="M3738" s="25">
        <f>DATE(YEAR(OneWeekMtgRatesDataTable75[[#This Row],[asOf]]),MONTH(OneWeekMtgRatesDataTable75[[#This Row],[asOf]]),DAY(OneWeekMtgRatesDataTable75[[#This Row],[asOf]]))</f>
        <v>36963</v>
      </c>
      <c r="N3738" s="51">
        <v>6.96</v>
      </c>
      <c r="O3738" s="51">
        <v>0.9</v>
      </c>
      <c r="P3738" s="51">
        <v>6.9349999999999996</v>
      </c>
    </row>
    <row r="3739" spans="12:16">
      <c r="L3739" s="51" t="s">
        <v>3744</v>
      </c>
      <c r="M3739" s="25">
        <f>DATE(YEAR(OneWeekMtgRatesDataTable75[[#This Row],[asOf]]),MONTH(OneWeekMtgRatesDataTable75[[#This Row],[asOf]]),DAY(OneWeekMtgRatesDataTable75[[#This Row],[asOf]]))</f>
        <v>36962</v>
      </c>
      <c r="N3739" s="51">
        <v>6.96</v>
      </c>
      <c r="O3739" s="51">
        <v>0.9</v>
      </c>
      <c r="P3739" s="51">
        <v>6.9349999999999996</v>
      </c>
    </row>
    <row r="3740" spans="12:16">
      <c r="L3740" s="51" t="s">
        <v>3745</v>
      </c>
      <c r="M3740" s="25">
        <f>DATE(YEAR(OneWeekMtgRatesDataTable75[[#This Row],[asOf]]),MONTH(OneWeekMtgRatesDataTable75[[#This Row],[asOf]]),DAY(OneWeekMtgRatesDataTable75[[#This Row],[asOf]]))</f>
        <v>36959</v>
      </c>
      <c r="N3740" s="51">
        <v>6.96</v>
      </c>
      <c r="O3740" s="51">
        <v>0.9</v>
      </c>
      <c r="P3740" s="51">
        <v>6.9349999999999996</v>
      </c>
    </row>
    <row r="3741" spans="12:16">
      <c r="L3741" s="51" t="s">
        <v>3746</v>
      </c>
      <c r="M3741" s="25">
        <f>DATE(YEAR(OneWeekMtgRatesDataTable75[[#This Row],[asOf]]),MONTH(OneWeekMtgRatesDataTable75[[#This Row],[asOf]]),DAY(OneWeekMtgRatesDataTable75[[#This Row],[asOf]]))</f>
        <v>36958</v>
      </c>
      <c r="N3741" s="51">
        <v>6.97</v>
      </c>
      <c r="O3741" s="51">
        <v>0.9</v>
      </c>
      <c r="P3741" s="51">
        <v>6.9449999999999994</v>
      </c>
    </row>
    <row r="3742" spans="12:16">
      <c r="L3742" s="51" t="s">
        <v>3747</v>
      </c>
      <c r="M3742" s="25">
        <f>DATE(YEAR(OneWeekMtgRatesDataTable75[[#This Row],[asOf]]),MONTH(OneWeekMtgRatesDataTable75[[#This Row],[asOf]]),DAY(OneWeekMtgRatesDataTable75[[#This Row],[asOf]]))</f>
        <v>36957</v>
      </c>
      <c r="N3742" s="51">
        <v>6.97</v>
      </c>
      <c r="O3742" s="51">
        <v>0.9</v>
      </c>
      <c r="P3742" s="51">
        <v>6.9449999999999994</v>
      </c>
    </row>
    <row r="3743" spans="12:16">
      <c r="L3743" s="51" t="s">
        <v>3748</v>
      </c>
      <c r="M3743" s="25">
        <f>DATE(YEAR(OneWeekMtgRatesDataTable75[[#This Row],[asOf]]),MONTH(OneWeekMtgRatesDataTable75[[#This Row],[asOf]]),DAY(OneWeekMtgRatesDataTable75[[#This Row],[asOf]]))</f>
        <v>36956</v>
      </c>
      <c r="N3743" s="51">
        <v>6.97</v>
      </c>
      <c r="O3743" s="51">
        <v>0.9</v>
      </c>
      <c r="P3743" s="51">
        <v>6.9449999999999994</v>
      </c>
    </row>
    <row r="3744" spans="12:16">
      <c r="L3744" s="51" t="s">
        <v>3749</v>
      </c>
      <c r="M3744" s="25">
        <f>DATE(YEAR(OneWeekMtgRatesDataTable75[[#This Row],[asOf]]),MONTH(OneWeekMtgRatesDataTable75[[#This Row],[asOf]]),DAY(OneWeekMtgRatesDataTable75[[#This Row],[asOf]]))</f>
        <v>36955</v>
      </c>
      <c r="N3744" s="51">
        <v>6.97</v>
      </c>
      <c r="O3744" s="51">
        <v>0.9</v>
      </c>
      <c r="P3744" s="51">
        <v>6.9449999999999994</v>
      </c>
    </row>
    <row r="3745" spans="12:16">
      <c r="L3745" s="51" t="s">
        <v>3750</v>
      </c>
      <c r="M3745" s="25">
        <f>DATE(YEAR(OneWeekMtgRatesDataTable75[[#This Row],[asOf]]),MONTH(OneWeekMtgRatesDataTable75[[#This Row],[asOf]]),DAY(OneWeekMtgRatesDataTable75[[#This Row],[asOf]]))</f>
        <v>36952</v>
      </c>
      <c r="N3745" s="51">
        <v>6.97</v>
      </c>
      <c r="O3745" s="51">
        <v>0.9</v>
      </c>
      <c r="P3745" s="51">
        <v>6.9449999999999994</v>
      </c>
    </row>
    <row r="3746" spans="12:16">
      <c r="L3746" s="51" t="s">
        <v>3751</v>
      </c>
      <c r="M3746" s="25">
        <f>DATE(YEAR(OneWeekMtgRatesDataTable75[[#This Row],[asOf]]),MONTH(OneWeekMtgRatesDataTable75[[#This Row],[asOf]]),DAY(OneWeekMtgRatesDataTable75[[#This Row],[asOf]]))</f>
        <v>36951</v>
      </c>
      <c r="N3746" s="51">
        <v>7.03</v>
      </c>
      <c r="O3746" s="51">
        <v>0.9</v>
      </c>
      <c r="P3746" s="51">
        <v>7.0049999999999999</v>
      </c>
    </row>
    <row r="3747" spans="12:16">
      <c r="L3747" s="51" t="s">
        <v>3752</v>
      </c>
      <c r="M3747" s="25">
        <f>DATE(YEAR(OneWeekMtgRatesDataTable75[[#This Row],[asOf]]),MONTH(OneWeekMtgRatesDataTable75[[#This Row],[asOf]]),DAY(OneWeekMtgRatesDataTable75[[#This Row],[asOf]]))</f>
        <v>36950</v>
      </c>
      <c r="N3747" s="51">
        <v>7.03</v>
      </c>
      <c r="O3747" s="51">
        <v>0.9</v>
      </c>
      <c r="P3747" s="51">
        <v>7.0049999999999999</v>
      </c>
    </row>
    <row r="3748" spans="12:16">
      <c r="L3748" s="51" t="s">
        <v>3753</v>
      </c>
      <c r="M3748" s="25">
        <f>DATE(YEAR(OneWeekMtgRatesDataTable75[[#This Row],[asOf]]),MONTH(OneWeekMtgRatesDataTable75[[#This Row],[asOf]]),DAY(OneWeekMtgRatesDataTable75[[#This Row],[asOf]]))</f>
        <v>36949</v>
      </c>
      <c r="N3748" s="51">
        <v>7.03</v>
      </c>
      <c r="O3748" s="51">
        <v>0.9</v>
      </c>
      <c r="P3748" s="51">
        <v>7.0049999999999999</v>
      </c>
    </row>
    <row r="3749" spans="12:16">
      <c r="L3749" s="51" t="s">
        <v>3754</v>
      </c>
      <c r="M3749" s="25">
        <f>DATE(YEAR(OneWeekMtgRatesDataTable75[[#This Row],[asOf]]),MONTH(OneWeekMtgRatesDataTable75[[#This Row],[asOf]]),DAY(OneWeekMtgRatesDataTable75[[#This Row],[asOf]]))</f>
        <v>36948</v>
      </c>
      <c r="N3749" s="51">
        <v>7.03</v>
      </c>
      <c r="O3749" s="51">
        <v>0.9</v>
      </c>
      <c r="P3749" s="51">
        <v>7.0049999999999999</v>
      </c>
    </row>
    <row r="3750" spans="12:16">
      <c r="L3750" s="51" t="s">
        <v>3755</v>
      </c>
      <c r="M3750" s="25">
        <f>DATE(YEAR(OneWeekMtgRatesDataTable75[[#This Row],[asOf]]),MONTH(OneWeekMtgRatesDataTable75[[#This Row],[asOf]]),DAY(OneWeekMtgRatesDataTable75[[#This Row],[asOf]]))</f>
        <v>36945</v>
      </c>
      <c r="N3750" s="51">
        <v>7.03</v>
      </c>
      <c r="O3750" s="51">
        <v>0.9</v>
      </c>
      <c r="P3750" s="51">
        <v>7.0049999999999999</v>
      </c>
    </row>
    <row r="3751" spans="12:16">
      <c r="L3751" s="51" t="s">
        <v>3756</v>
      </c>
      <c r="M3751" s="25">
        <f>DATE(YEAR(OneWeekMtgRatesDataTable75[[#This Row],[asOf]]),MONTH(OneWeekMtgRatesDataTable75[[#This Row],[asOf]]),DAY(OneWeekMtgRatesDataTable75[[#This Row],[asOf]]))</f>
        <v>36944</v>
      </c>
      <c r="N3751" s="51">
        <v>7.12</v>
      </c>
      <c r="O3751" s="51">
        <v>0.9</v>
      </c>
      <c r="P3751" s="51">
        <v>7.0949999999999998</v>
      </c>
    </row>
    <row r="3752" spans="12:16">
      <c r="L3752" s="51" t="s">
        <v>3757</v>
      </c>
      <c r="M3752" s="25">
        <f>DATE(YEAR(OneWeekMtgRatesDataTable75[[#This Row],[asOf]]),MONTH(OneWeekMtgRatesDataTable75[[#This Row],[asOf]]),DAY(OneWeekMtgRatesDataTable75[[#This Row],[asOf]]))</f>
        <v>36943</v>
      </c>
      <c r="N3752" s="51">
        <v>7.12</v>
      </c>
      <c r="O3752" s="51">
        <v>0.9</v>
      </c>
      <c r="P3752" s="51">
        <v>7.0949999999999998</v>
      </c>
    </row>
    <row r="3753" spans="12:16">
      <c r="L3753" s="51" t="s">
        <v>3758</v>
      </c>
      <c r="M3753" s="25">
        <f>DATE(YEAR(OneWeekMtgRatesDataTable75[[#This Row],[asOf]]),MONTH(OneWeekMtgRatesDataTable75[[#This Row],[asOf]]),DAY(OneWeekMtgRatesDataTable75[[#This Row],[asOf]]))</f>
        <v>36942</v>
      </c>
      <c r="N3753" s="51">
        <v>7.12</v>
      </c>
      <c r="O3753" s="51">
        <v>0.9</v>
      </c>
      <c r="P3753" s="51">
        <v>7.0949999999999998</v>
      </c>
    </row>
    <row r="3754" spans="12:16">
      <c r="L3754" s="51" t="s">
        <v>3759</v>
      </c>
      <c r="M3754" s="25">
        <f>DATE(YEAR(OneWeekMtgRatesDataTable75[[#This Row],[asOf]]),MONTH(OneWeekMtgRatesDataTable75[[#This Row],[asOf]]),DAY(OneWeekMtgRatesDataTable75[[#This Row],[asOf]]))</f>
        <v>36941</v>
      </c>
      <c r="N3754" s="51">
        <v>7.12</v>
      </c>
      <c r="O3754" s="51">
        <v>0.9</v>
      </c>
      <c r="P3754" s="51">
        <v>7.0949999999999998</v>
      </c>
    </row>
    <row r="3755" spans="12:16">
      <c r="L3755" s="51" t="s">
        <v>3760</v>
      </c>
      <c r="M3755" s="25">
        <f>DATE(YEAR(OneWeekMtgRatesDataTable75[[#This Row],[asOf]]),MONTH(OneWeekMtgRatesDataTable75[[#This Row],[asOf]]),DAY(OneWeekMtgRatesDataTable75[[#This Row],[asOf]]))</f>
        <v>36938</v>
      </c>
      <c r="N3755" s="51">
        <v>7.12</v>
      </c>
      <c r="O3755" s="51">
        <v>0.9</v>
      </c>
      <c r="P3755" s="51">
        <v>7.0949999999999998</v>
      </c>
    </row>
    <row r="3756" spans="12:16">
      <c r="L3756" s="51" t="s">
        <v>3761</v>
      </c>
      <c r="M3756" s="25">
        <f>DATE(YEAR(OneWeekMtgRatesDataTable75[[#This Row],[asOf]]),MONTH(OneWeekMtgRatesDataTable75[[#This Row],[asOf]]),DAY(OneWeekMtgRatesDataTable75[[#This Row],[asOf]]))</f>
        <v>36937</v>
      </c>
      <c r="N3756" s="51">
        <v>7.01</v>
      </c>
      <c r="O3756" s="51">
        <v>0.9</v>
      </c>
      <c r="P3756" s="51">
        <v>6.9849999999999994</v>
      </c>
    </row>
    <row r="3757" spans="12:16">
      <c r="L3757" s="51" t="s">
        <v>3762</v>
      </c>
      <c r="M3757" s="25">
        <f>DATE(YEAR(OneWeekMtgRatesDataTable75[[#This Row],[asOf]]),MONTH(OneWeekMtgRatesDataTable75[[#This Row],[asOf]]),DAY(OneWeekMtgRatesDataTable75[[#This Row],[asOf]]))</f>
        <v>36936</v>
      </c>
      <c r="N3757" s="51">
        <v>7.01</v>
      </c>
      <c r="O3757" s="51">
        <v>0.9</v>
      </c>
      <c r="P3757" s="51">
        <v>6.9849999999999994</v>
      </c>
    </row>
    <row r="3758" spans="12:16">
      <c r="L3758" s="51" t="s">
        <v>3763</v>
      </c>
      <c r="M3758" s="25">
        <f>DATE(YEAR(OneWeekMtgRatesDataTable75[[#This Row],[asOf]]),MONTH(OneWeekMtgRatesDataTable75[[#This Row],[asOf]]),DAY(OneWeekMtgRatesDataTable75[[#This Row],[asOf]]))</f>
        <v>36935</v>
      </c>
      <c r="N3758" s="51">
        <v>7.01</v>
      </c>
      <c r="O3758" s="51">
        <v>0.9</v>
      </c>
      <c r="P3758" s="51">
        <v>6.9849999999999994</v>
      </c>
    </row>
    <row r="3759" spans="12:16">
      <c r="L3759" s="51" t="s">
        <v>3764</v>
      </c>
      <c r="M3759" s="25">
        <f>DATE(YEAR(OneWeekMtgRatesDataTable75[[#This Row],[asOf]]),MONTH(OneWeekMtgRatesDataTable75[[#This Row],[asOf]]),DAY(OneWeekMtgRatesDataTable75[[#This Row],[asOf]]))</f>
        <v>36934</v>
      </c>
      <c r="N3759" s="51">
        <v>7.01</v>
      </c>
      <c r="O3759" s="51">
        <v>0.9</v>
      </c>
      <c r="P3759" s="51">
        <v>6.9849999999999994</v>
      </c>
    </row>
    <row r="3760" spans="12:16">
      <c r="L3760" s="51" t="s">
        <v>3765</v>
      </c>
      <c r="M3760" s="25">
        <f>DATE(YEAR(OneWeekMtgRatesDataTable75[[#This Row],[asOf]]),MONTH(OneWeekMtgRatesDataTable75[[#This Row],[asOf]]),DAY(OneWeekMtgRatesDataTable75[[#This Row],[asOf]]))</f>
        <v>36931</v>
      </c>
      <c r="N3760" s="51">
        <v>7.01</v>
      </c>
      <c r="O3760" s="51">
        <v>0.9</v>
      </c>
      <c r="P3760" s="51">
        <v>6.9849999999999994</v>
      </c>
    </row>
    <row r="3761" spans="12:16">
      <c r="L3761" s="51" t="s">
        <v>3766</v>
      </c>
      <c r="M3761" s="25">
        <f>DATE(YEAR(OneWeekMtgRatesDataTable75[[#This Row],[asOf]]),MONTH(OneWeekMtgRatesDataTable75[[#This Row],[asOf]]),DAY(OneWeekMtgRatesDataTable75[[#This Row],[asOf]]))</f>
        <v>36930</v>
      </c>
      <c r="N3761" s="51">
        <v>6.98</v>
      </c>
      <c r="O3761" s="51">
        <v>1</v>
      </c>
      <c r="P3761" s="51">
        <v>6.98</v>
      </c>
    </row>
    <row r="3762" spans="12:16">
      <c r="L3762" s="66" t="s">
        <v>3767</v>
      </c>
      <c r="M3762" s="64">
        <f>DATE(YEAR(OneWeekMtgRatesDataTable75[[#This Row],[asOf]]),MONTH(OneWeekMtgRatesDataTable75[[#This Row],[asOf]]),DAY(OneWeekMtgRatesDataTable75[[#This Row],[asOf]]))</f>
        <v>36929</v>
      </c>
      <c r="N3762" s="66">
        <v>6.98</v>
      </c>
      <c r="O3762" s="66">
        <v>1</v>
      </c>
      <c r="P3762" s="66">
        <v>6.98</v>
      </c>
    </row>
    <row r="3763" spans="12:16">
      <c r="L3763" s="66" t="s">
        <v>3768</v>
      </c>
      <c r="M3763" s="64">
        <f>DATE(YEAR(OneWeekMtgRatesDataTable75[[#This Row],[asOf]]),MONTH(OneWeekMtgRatesDataTable75[[#This Row],[asOf]]),DAY(OneWeekMtgRatesDataTable75[[#This Row],[asOf]]))</f>
        <v>36928</v>
      </c>
      <c r="N3763" s="66">
        <v>6.98</v>
      </c>
      <c r="O3763" s="66">
        <v>1</v>
      </c>
      <c r="P3763" s="66">
        <v>6.98</v>
      </c>
    </row>
    <row r="3764" spans="12:16">
      <c r="L3764" s="66" t="s">
        <v>3769</v>
      </c>
      <c r="M3764" s="64">
        <f>DATE(YEAR(OneWeekMtgRatesDataTable75[[#This Row],[asOf]]),MONTH(OneWeekMtgRatesDataTable75[[#This Row],[asOf]]),DAY(OneWeekMtgRatesDataTable75[[#This Row],[asOf]]))</f>
        <v>36927</v>
      </c>
      <c r="N3764" s="66">
        <v>6.98</v>
      </c>
      <c r="O3764" s="66">
        <v>1</v>
      </c>
      <c r="P3764" s="66">
        <v>6.98</v>
      </c>
    </row>
    <row r="3765" spans="12:16">
      <c r="L3765" s="66" t="s">
        <v>3770</v>
      </c>
      <c r="M3765" s="64">
        <f>DATE(YEAR(OneWeekMtgRatesDataTable75[[#This Row],[asOf]]),MONTH(OneWeekMtgRatesDataTable75[[#This Row],[asOf]]),DAY(OneWeekMtgRatesDataTable75[[#This Row],[asOf]]))</f>
        <v>36924</v>
      </c>
      <c r="N3765" s="66">
        <v>6.98</v>
      </c>
      <c r="O3765" s="66">
        <v>1</v>
      </c>
      <c r="P3765" s="66">
        <v>6.98</v>
      </c>
    </row>
    <row r="3766" spans="12:16">
      <c r="L3766" s="66" t="s">
        <v>3771</v>
      </c>
      <c r="M3766" s="64">
        <f>DATE(YEAR(OneWeekMtgRatesDataTable75[[#This Row],[asOf]]),MONTH(OneWeekMtgRatesDataTable75[[#This Row],[asOf]]),DAY(OneWeekMtgRatesDataTable75[[#This Row],[asOf]]))</f>
        <v>36923</v>
      </c>
      <c r="N3766" s="66">
        <v>7.09</v>
      </c>
      <c r="O3766" s="66">
        <v>1</v>
      </c>
      <c r="P3766" s="66">
        <v>7.09</v>
      </c>
    </row>
    <row r="3767" spans="12:16">
      <c r="L3767" s="66" t="s">
        <v>3772</v>
      </c>
      <c r="M3767" s="64">
        <f>DATE(YEAR(OneWeekMtgRatesDataTable75[[#This Row],[asOf]]),MONTH(OneWeekMtgRatesDataTable75[[#This Row],[asOf]]),DAY(OneWeekMtgRatesDataTable75[[#This Row],[asOf]]))</f>
        <v>36922</v>
      </c>
      <c r="N3767" s="66">
        <v>7.09</v>
      </c>
      <c r="O3767" s="66">
        <v>1</v>
      </c>
      <c r="P3767" s="66">
        <v>7.09</v>
      </c>
    </row>
    <row r="3768" spans="12:16">
      <c r="L3768" s="66" t="s">
        <v>3773</v>
      </c>
      <c r="M3768" s="64">
        <f>DATE(YEAR(OneWeekMtgRatesDataTable75[[#This Row],[asOf]]),MONTH(OneWeekMtgRatesDataTable75[[#This Row],[asOf]]),DAY(OneWeekMtgRatesDataTable75[[#This Row],[asOf]]))</f>
        <v>36921</v>
      </c>
      <c r="N3768" s="66">
        <v>7.09</v>
      </c>
      <c r="O3768" s="66">
        <v>1</v>
      </c>
      <c r="P3768" s="66">
        <v>7.09</v>
      </c>
    </row>
    <row r="3769" spans="12:16">
      <c r="L3769" s="66" t="s">
        <v>3774</v>
      </c>
      <c r="M3769" s="64">
        <f>DATE(YEAR(OneWeekMtgRatesDataTable75[[#This Row],[asOf]]),MONTH(OneWeekMtgRatesDataTable75[[#This Row],[asOf]]),DAY(OneWeekMtgRatesDataTable75[[#This Row],[asOf]]))</f>
        <v>36920</v>
      </c>
      <c r="N3769" s="66">
        <v>7.09</v>
      </c>
      <c r="O3769" s="66">
        <v>1</v>
      </c>
      <c r="P3769" s="66">
        <v>7.09</v>
      </c>
    </row>
    <row r="3770" spans="12:16">
      <c r="L3770" s="66" t="s">
        <v>3775</v>
      </c>
      <c r="M3770" s="64">
        <f>DATE(YEAR(OneWeekMtgRatesDataTable75[[#This Row],[asOf]]),MONTH(OneWeekMtgRatesDataTable75[[#This Row],[asOf]]),DAY(OneWeekMtgRatesDataTable75[[#This Row],[asOf]]))</f>
        <v>36917</v>
      </c>
      <c r="N3770" s="66">
        <v>7.09</v>
      </c>
      <c r="O3770" s="66">
        <v>1</v>
      </c>
      <c r="P3770" s="66">
        <v>7.09</v>
      </c>
    </row>
    <row r="3771" spans="12:16">
      <c r="L3771" s="66" t="s">
        <v>3776</v>
      </c>
      <c r="M3771" s="64">
        <f>DATE(YEAR(OneWeekMtgRatesDataTable75[[#This Row],[asOf]]),MONTH(OneWeekMtgRatesDataTable75[[#This Row],[asOf]]),DAY(OneWeekMtgRatesDataTable75[[#This Row],[asOf]]))</f>
        <v>36916</v>
      </c>
      <c r="N3771" s="66">
        <v>7.15</v>
      </c>
      <c r="O3771" s="66">
        <v>0.8</v>
      </c>
      <c r="P3771" s="66">
        <v>7.1000000000000005</v>
      </c>
    </row>
    <row r="3772" spans="12:16">
      <c r="L3772" s="66" t="s">
        <v>3777</v>
      </c>
      <c r="M3772" s="64">
        <f>DATE(YEAR(OneWeekMtgRatesDataTable75[[#This Row],[asOf]]),MONTH(OneWeekMtgRatesDataTable75[[#This Row],[asOf]]),DAY(OneWeekMtgRatesDataTable75[[#This Row],[asOf]]))</f>
        <v>36915</v>
      </c>
      <c r="N3772" s="66">
        <v>7.15</v>
      </c>
      <c r="O3772" s="66">
        <v>0.8</v>
      </c>
      <c r="P3772" s="66">
        <v>7.1000000000000005</v>
      </c>
    </row>
    <row r="3773" spans="12:16">
      <c r="L3773" s="66" t="s">
        <v>3778</v>
      </c>
      <c r="M3773" s="64">
        <f>DATE(YEAR(OneWeekMtgRatesDataTable75[[#This Row],[asOf]]),MONTH(OneWeekMtgRatesDataTable75[[#This Row],[asOf]]),DAY(OneWeekMtgRatesDataTable75[[#This Row],[asOf]]))</f>
        <v>36914</v>
      </c>
      <c r="N3773" s="66">
        <v>7.15</v>
      </c>
      <c r="O3773" s="66">
        <v>0.8</v>
      </c>
      <c r="P3773" s="66">
        <v>7.1000000000000005</v>
      </c>
    </row>
    <row r="3774" spans="12:16">
      <c r="L3774" s="66" t="s">
        <v>3779</v>
      </c>
      <c r="M3774" s="64">
        <f>DATE(YEAR(OneWeekMtgRatesDataTable75[[#This Row],[asOf]]),MONTH(OneWeekMtgRatesDataTable75[[#This Row],[asOf]]),DAY(OneWeekMtgRatesDataTable75[[#This Row],[asOf]]))</f>
        <v>36913</v>
      </c>
      <c r="N3774" s="66">
        <v>7.15</v>
      </c>
      <c r="O3774" s="66">
        <v>0.8</v>
      </c>
      <c r="P3774" s="66">
        <v>7.1000000000000005</v>
      </c>
    </row>
    <row r="3775" spans="12:16">
      <c r="L3775" s="66" t="s">
        <v>3780</v>
      </c>
      <c r="M3775" s="64">
        <f>DATE(YEAR(OneWeekMtgRatesDataTable75[[#This Row],[asOf]]),MONTH(OneWeekMtgRatesDataTable75[[#This Row],[asOf]]),DAY(OneWeekMtgRatesDataTable75[[#This Row],[asOf]]))</f>
        <v>36910</v>
      </c>
      <c r="N3775" s="66">
        <v>7.15</v>
      </c>
      <c r="O3775" s="66">
        <v>0.8</v>
      </c>
      <c r="P3775" s="66">
        <v>7.1000000000000005</v>
      </c>
    </row>
    <row r="3776" spans="12:16">
      <c r="L3776" s="66" t="s">
        <v>3781</v>
      </c>
      <c r="M3776" s="64">
        <f>DATE(YEAR(OneWeekMtgRatesDataTable75[[#This Row],[asOf]]),MONTH(OneWeekMtgRatesDataTable75[[#This Row],[asOf]]),DAY(OneWeekMtgRatesDataTable75[[#This Row],[asOf]]))</f>
        <v>36909</v>
      </c>
      <c r="N3776" s="66">
        <v>7.02</v>
      </c>
      <c r="O3776" s="66">
        <v>0.9</v>
      </c>
      <c r="P3776" s="66">
        <v>6.9949999999999992</v>
      </c>
    </row>
    <row r="3777" spans="12:16">
      <c r="L3777" s="66" t="s">
        <v>3782</v>
      </c>
      <c r="M3777" s="64">
        <f>DATE(YEAR(OneWeekMtgRatesDataTable75[[#This Row],[asOf]]),MONTH(OneWeekMtgRatesDataTable75[[#This Row],[asOf]]),DAY(OneWeekMtgRatesDataTable75[[#This Row],[asOf]]))</f>
        <v>36908</v>
      </c>
      <c r="N3777" s="66">
        <v>7.02</v>
      </c>
      <c r="O3777" s="66">
        <v>0.9</v>
      </c>
      <c r="P3777" s="66">
        <v>6.9949999999999992</v>
      </c>
    </row>
    <row r="3778" spans="12:16">
      <c r="L3778" s="66" t="s">
        <v>3783</v>
      </c>
      <c r="M3778" s="64">
        <f>DATE(YEAR(OneWeekMtgRatesDataTable75[[#This Row],[asOf]]),MONTH(OneWeekMtgRatesDataTable75[[#This Row],[asOf]]),DAY(OneWeekMtgRatesDataTable75[[#This Row],[asOf]]))</f>
        <v>36907</v>
      </c>
      <c r="N3778" s="66">
        <v>7.02</v>
      </c>
      <c r="O3778" s="66">
        <v>0.9</v>
      </c>
      <c r="P3778" s="66">
        <v>6.9949999999999992</v>
      </c>
    </row>
    <row r="3779" spans="12:16">
      <c r="L3779" s="66" t="s">
        <v>3784</v>
      </c>
      <c r="M3779" s="64">
        <f>DATE(YEAR(OneWeekMtgRatesDataTable75[[#This Row],[asOf]]),MONTH(OneWeekMtgRatesDataTable75[[#This Row],[asOf]]),DAY(OneWeekMtgRatesDataTable75[[#This Row],[asOf]]))</f>
        <v>36906</v>
      </c>
      <c r="N3779" s="66">
        <v>7.02</v>
      </c>
      <c r="O3779" s="66">
        <v>0.9</v>
      </c>
      <c r="P3779" s="66">
        <v>6.9949999999999992</v>
      </c>
    </row>
    <row r="3780" spans="12:16">
      <c r="L3780" s="66" t="s">
        <v>3785</v>
      </c>
      <c r="M3780" s="64">
        <f>DATE(YEAR(OneWeekMtgRatesDataTable75[[#This Row],[asOf]]),MONTH(OneWeekMtgRatesDataTable75[[#This Row],[asOf]]),DAY(OneWeekMtgRatesDataTable75[[#This Row],[asOf]]))</f>
        <v>36903</v>
      </c>
      <c r="N3780" s="66">
        <v>7.02</v>
      </c>
      <c r="O3780" s="66">
        <v>0.9</v>
      </c>
      <c r="P3780" s="66">
        <v>6.9949999999999992</v>
      </c>
    </row>
    <row r="3781" spans="12:16">
      <c r="L3781" s="66" t="s">
        <v>3786</v>
      </c>
      <c r="M3781" s="64">
        <f>DATE(YEAR(OneWeekMtgRatesDataTable75[[#This Row],[asOf]]),MONTH(OneWeekMtgRatesDataTable75[[#This Row],[asOf]]),DAY(OneWeekMtgRatesDataTable75[[#This Row],[asOf]]))</f>
        <v>36902</v>
      </c>
      <c r="N3781" s="66">
        <v>6.89</v>
      </c>
      <c r="O3781" s="66">
        <v>0.9</v>
      </c>
      <c r="P3781" s="66">
        <v>6.8649999999999993</v>
      </c>
    </row>
    <row r="3782" spans="12:16">
      <c r="L3782" s="66" t="s">
        <v>3787</v>
      </c>
      <c r="M3782" s="64">
        <f>DATE(YEAR(OneWeekMtgRatesDataTable75[[#This Row],[asOf]]),MONTH(OneWeekMtgRatesDataTable75[[#This Row],[asOf]]),DAY(OneWeekMtgRatesDataTable75[[#This Row],[asOf]]))</f>
        <v>36901</v>
      </c>
      <c r="N3782" s="66">
        <v>6.89</v>
      </c>
      <c r="O3782" s="66">
        <v>0.9</v>
      </c>
      <c r="P3782" s="66">
        <v>6.8649999999999993</v>
      </c>
    </row>
    <row r="3783" spans="12:16">
      <c r="L3783" s="66" t="s">
        <v>3788</v>
      </c>
      <c r="M3783" s="64">
        <f>DATE(YEAR(OneWeekMtgRatesDataTable75[[#This Row],[asOf]]),MONTH(OneWeekMtgRatesDataTable75[[#This Row],[asOf]]),DAY(OneWeekMtgRatesDataTable75[[#This Row],[asOf]]))</f>
        <v>36900</v>
      </c>
      <c r="N3783" s="66">
        <v>6.89</v>
      </c>
      <c r="O3783" s="66">
        <v>0.9</v>
      </c>
      <c r="P3783" s="66">
        <v>6.8649999999999993</v>
      </c>
    </row>
    <row r="3784" spans="12:16">
      <c r="L3784" s="66" t="s">
        <v>3789</v>
      </c>
      <c r="M3784" s="64">
        <f>DATE(YEAR(OneWeekMtgRatesDataTable75[[#This Row],[asOf]]),MONTH(OneWeekMtgRatesDataTable75[[#This Row],[asOf]]),DAY(OneWeekMtgRatesDataTable75[[#This Row],[asOf]]))</f>
        <v>36899</v>
      </c>
      <c r="N3784" s="66">
        <v>6.89</v>
      </c>
      <c r="O3784" s="66">
        <v>0.9</v>
      </c>
      <c r="P3784" s="66">
        <v>6.8649999999999993</v>
      </c>
    </row>
    <row r="3785" spans="12:16">
      <c r="L3785" s="66" t="s">
        <v>3790</v>
      </c>
      <c r="M3785" s="64">
        <f>DATE(YEAR(OneWeekMtgRatesDataTable75[[#This Row],[asOf]]),MONTH(OneWeekMtgRatesDataTable75[[#This Row],[asOf]]),DAY(OneWeekMtgRatesDataTable75[[#This Row],[asOf]]))</f>
        <v>36896</v>
      </c>
      <c r="N3785" s="66">
        <v>6.89</v>
      </c>
      <c r="O3785" s="66">
        <v>0.9</v>
      </c>
      <c r="P3785" s="66">
        <v>6.8649999999999993</v>
      </c>
    </row>
    <row r="3786" spans="12:16">
      <c r="L3786" s="66" t="s">
        <v>3791</v>
      </c>
      <c r="M3786" s="64">
        <f>DATE(YEAR(OneWeekMtgRatesDataTable75[[#This Row],[asOf]]),MONTH(OneWeekMtgRatesDataTable75[[#This Row],[asOf]]),DAY(OneWeekMtgRatesDataTable75[[#This Row],[asOf]]))</f>
        <v>36895</v>
      </c>
      <c r="N3786" s="66">
        <v>7.07</v>
      </c>
      <c r="O3786" s="66">
        <v>1</v>
      </c>
      <c r="P3786" s="66">
        <v>7.07</v>
      </c>
    </row>
    <row r="3787" spans="12:16">
      <c r="L3787" s="66" t="s">
        <v>3792</v>
      </c>
      <c r="M3787" s="64">
        <f>DATE(YEAR(OneWeekMtgRatesDataTable75[[#This Row],[asOf]]),MONTH(OneWeekMtgRatesDataTable75[[#This Row],[asOf]]),DAY(OneWeekMtgRatesDataTable75[[#This Row],[asOf]]))</f>
        <v>36894</v>
      </c>
      <c r="N3787" s="66">
        <v>7.07</v>
      </c>
      <c r="O3787" s="66">
        <v>1</v>
      </c>
      <c r="P3787" s="66">
        <v>7.07</v>
      </c>
    </row>
    <row r="3788" spans="12:16">
      <c r="L3788" s="66" t="s">
        <v>3793</v>
      </c>
      <c r="M3788" s="64">
        <f>DATE(YEAR(OneWeekMtgRatesDataTable75[[#This Row],[asOf]]),MONTH(OneWeekMtgRatesDataTable75[[#This Row],[asOf]]),DAY(OneWeekMtgRatesDataTable75[[#This Row],[asOf]]))</f>
        <v>36893</v>
      </c>
      <c r="N3788" s="66">
        <v>7.07</v>
      </c>
      <c r="O3788" s="66">
        <v>1</v>
      </c>
      <c r="P3788" s="66">
        <v>7.07</v>
      </c>
    </row>
    <row r="3789" spans="12:16">
      <c r="L3789" s="66" t="s">
        <v>3794</v>
      </c>
      <c r="M3789" s="64">
        <f>DATE(YEAR(OneWeekMtgRatesDataTable75[[#This Row],[asOf]]),MONTH(OneWeekMtgRatesDataTable75[[#This Row],[asOf]]),DAY(OneWeekMtgRatesDataTable75[[#This Row],[asOf]]))</f>
        <v>36892</v>
      </c>
      <c r="N3789" s="66">
        <v>7.07</v>
      </c>
      <c r="O3789" s="66">
        <v>1</v>
      </c>
      <c r="P3789" s="66">
        <v>7.07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484"/>
  <sheetViews>
    <sheetView workbookViewId="0">
      <selection activeCell="D4" sqref="D4"/>
    </sheetView>
  </sheetViews>
  <sheetFormatPr defaultRowHeight="15"/>
  <cols>
    <col min="2" max="2" width="14" bestFit="1" customWidth="1"/>
    <col min="3" max="3" width="10.7109375" bestFit="1" customWidth="1"/>
    <col min="4" max="4" width="10.7109375" style="24" customWidth="1"/>
    <col min="5" max="5" width="5" bestFit="1" customWidth="1"/>
    <col min="6" max="6" width="8" bestFit="1" customWidth="1"/>
    <col min="8" max="10" width="9.140625" style="24"/>
    <col min="11" max="11" width="9.140625" style="56"/>
  </cols>
  <sheetData>
    <row r="2" spans="2:6">
      <c r="B2" s="51" t="s">
        <v>3795</v>
      </c>
      <c r="C2" s="51" t="s">
        <v>3796</v>
      </c>
      <c r="D2" s="51" t="s">
        <v>1647</v>
      </c>
      <c r="E2" s="51" t="s">
        <v>3797</v>
      </c>
      <c r="F2" s="57" t="s">
        <v>23</v>
      </c>
    </row>
    <row r="3" spans="2:6">
      <c r="B3" s="50" t="s">
        <v>21</v>
      </c>
      <c r="C3" s="50" t="s">
        <v>3803</v>
      </c>
      <c r="D3" s="50">
        <f>DATE(YEAR(OneWeekMtgRatesDataTable756[[#This Row],[asofdate]]),MONTH(OneWeekMtgRatesDataTable756[[#This Row],[asofdate]]),DAY(OneWeekMtgRatesDataTable756[[#This Row],[asofdate]]))</f>
        <v>42320</v>
      </c>
      <c r="E3" s="50" t="s">
        <v>11</v>
      </c>
      <c r="F3" s="57">
        <v>0.19700000000000001</v>
      </c>
    </row>
    <row r="4" spans="2:6">
      <c r="B4" s="50" t="s">
        <v>21</v>
      </c>
      <c r="C4" s="50" t="s">
        <v>3804</v>
      </c>
      <c r="D4" s="50">
        <f>DATE(YEAR(OneWeekMtgRatesDataTable756[[#This Row],[asofdate]]),MONTH(OneWeekMtgRatesDataTable756[[#This Row],[asofdate]]),DAY(OneWeekMtgRatesDataTable756[[#This Row],[asofdate]]))</f>
        <v>42318</v>
      </c>
      <c r="E4" s="50" t="s">
        <v>11</v>
      </c>
      <c r="F4" s="57">
        <v>0.19550000000000001</v>
      </c>
    </row>
    <row r="5" spans="2:6">
      <c r="B5" s="50" t="s">
        <v>21</v>
      </c>
      <c r="C5" s="50" t="s">
        <v>3805</v>
      </c>
      <c r="D5" s="50">
        <f>DATE(YEAR(OneWeekMtgRatesDataTable756[[#This Row],[asofdate]]),MONTH(OneWeekMtgRatesDataTable756[[#This Row],[asofdate]]),DAY(OneWeekMtgRatesDataTable756[[#This Row],[asofdate]]))</f>
        <v>42317</v>
      </c>
      <c r="E5" s="50" t="s">
        <v>11</v>
      </c>
      <c r="F5" s="57">
        <v>0.19700000000000001</v>
      </c>
    </row>
    <row r="6" spans="2:6">
      <c r="B6" s="50" t="s">
        <v>21</v>
      </c>
      <c r="C6" s="50" t="s">
        <v>3806</v>
      </c>
      <c r="D6" s="50">
        <f>DATE(YEAR(OneWeekMtgRatesDataTable756[[#This Row],[asofdate]]),MONTH(OneWeekMtgRatesDataTable756[[#This Row],[asofdate]]),DAY(OneWeekMtgRatesDataTable756[[#This Row],[asofdate]]))</f>
        <v>42314</v>
      </c>
      <c r="E6" s="50" t="s">
        <v>11</v>
      </c>
      <c r="F6" s="57">
        <v>0.19450000000000001</v>
      </c>
    </row>
    <row r="7" spans="2:6">
      <c r="B7" s="50" t="s">
        <v>21</v>
      </c>
      <c r="C7" s="50" t="s">
        <v>3807</v>
      </c>
      <c r="D7" s="50">
        <f>DATE(YEAR(OneWeekMtgRatesDataTable756[[#This Row],[asofdate]]),MONTH(OneWeekMtgRatesDataTable756[[#This Row],[asofdate]]),DAY(OneWeekMtgRatesDataTable756[[#This Row],[asofdate]]))</f>
        <v>42313</v>
      </c>
      <c r="E7" s="50" t="s">
        <v>11</v>
      </c>
      <c r="F7" s="57">
        <v>0.19475000000000001</v>
      </c>
    </row>
    <row r="8" spans="2:6">
      <c r="B8" s="50" t="s">
        <v>21</v>
      </c>
      <c r="C8" s="50" t="s">
        <v>3808</v>
      </c>
      <c r="D8" s="50">
        <f>DATE(YEAR(OneWeekMtgRatesDataTable756[[#This Row],[asofdate]]),MONTH(OneWeekMtgRatesDataTable756[[#This Row],[asofdate]]),DAY(OneWeekMtgRatesDataTable756[[#This Row],[asofdate]]))</f>
        <v>42312</v>
      </c>
      <c r="E8" s="50" t="s">
        <v>11</v>
      </c>
      <c r="F8" s="57">
        <v>0.19320000000000001</v>
      </c>
    </row>
    <row r="9" spans="2:6">
      <c r="B9" s="50" t="s">
        <v>21</v>
      </c>
      <c r="C9" s="50" t="s">
        <v>3809</v>
      </c>
      <c r="D9" s="50">
        <f>DATE(YEAR(OneWeekMtgRatesDataTable756[[#This Row],[asofdate]]),MONTH(OneWeekMtgRatesDataTable756[[#This Row],[asofdate]]),DAY(OneWeekMtgRatesDataTable756[[#This Row],[asofdate]]))</f>
        <v>42311</v>
      </c>
      <c r="E9" s="50" t="s">
        <v>11</v>
      </c>
      <c r="F9" s="57">
        <v>0.19220000000000001</v>
      </c>
    </row>
    <row r="10" spans="2:6">
      <c r="B10" s="50" t="s">
        <v>21</v>
      </c>
      <c r="C10" s="50" t="s">
        <v>3810</v>
      </c>
      <c r="D10" s="50">
        <f>DATE(YEAR(OneWeekMtgRatesDataTable756[[#This Row],[asofdate]]),MONTH(OneWeekMtgRatesDataTable756[[#This Row],[asofdate]]),DAY(OneWeekMtgRatesDataTable756[[#This Row],[asofdate]]))</f>
        <v>42310</v>
      </c>
      <c r="E10" s="50" t="s">
        <v>11</v>
      </c>
      <c r="F10" s="57">
        <v>0.19</v>
      </c>
    </row>
    <row r="11" spans="2:6">
      <c r="B11" s="50" t="s">
        <v>21</v>
      </c>
      <c r="C11" s="50" t="s">
        <v>3811</v>
      </c>
      <c r="D11" s="50">
        <f>DATE(YEAR(OneWeekMtgRatesDataTable756[[#This Row],[asofdate]]),MONTH(OneWeekMtgRatesDataTable756[[#This Row],[asofdate]]),DAY(OneWeekMtgRatesDataTable756[[#This Row],[asofdate]]))</f>
        <v>42307</v>
      </c>
      <c r="E11" s="50" t="s">
        <v>11</v>
      </c>
      <c r="F11" s="57">
        <v>0.192</v>
      </c>
    </row>
    <row r="12" spans="2:6">
      <c r="B12" s="50" t="s">
        <v>21</v>
      </c>
      <c r="C12" s="50" t="s">
        <v>3812</v>
      </c>
      <c r="D12" s="50">
        <f>DATE(YEAR(OneWeekMtgRatesDataTable756[[#This Row],[asofdate]]),MONTH(OneWeekMtgRatesDataTable756[[#This Row],[asofdate]]),DAY(OneWeekMtgRatesDataTable756[[#This Row],[asofdate]]))</f>
        <v>42306</v>
      </c>
      <c r="E12" s="50" t="s">
        <v>11</v>
      </c>
      <c r="F12" s="57">
        <v>0.193</v>
      </c>
    </row>
    <row r="13" spans="2:6">
      <c r="B13" s="50" t="s">
        <v>21</v>
      </c>
      <c r="C13" s="50" t="s">
        <v>3813</v>
      </c>
      <c r="D13" s="50">
        <f>DATE(YEAR(OneWeekMtgRatesDataTable756[[#This Row],[asofdate]]),MONTH(OneWeekMtgRatesDataTable756[[#This Row],[asofdate]]),DAY(OneWeekMtgRatesDataTable756[[#This Row],[asofdate]]))</f>
        <v>42305</v>
      </c>
      <c r="E13" s="50" t="s">
        <v>11</v>
      </c>
      <c r="F13" s="57">
        <v>0.1883</v>
      </c>
    </row>
    <row r="14" spans="2:6">
      <c r="B14" s="50" t="s">
        <v>21</v>
      </c>
      <c r="C14" s="50" t="s">
        <v>3814</v>
      </c>
      <c r="D14" s="50">
        <f>DATE(YEAR(OneWeekMtgRatesDataTable756[[#This Row],[asofdate]]),MONTH(OneWeekMtgRatesDataTable756[[#This Row],[asofdate]]),DAY(OneWeekMtgRatesDataTable756[[#This Row],[asofdate]]))</f>
        <v>42304</v>
      </c>
      <c r="E14" s="50" t="s">
        <v>11</v>
      </c>
      <c r="F14" s="57">
        <v>0.19075</v>
      </c>
    </row>
    <row r="15" spans="2:6">
      <c r="B15" s="50" t="s">
        <v>21</v>
      </c>
      <c r="C15" s="50" t="s">
        <v>3815</v>
      </c>
      <c r="D15" s="50">
        <f>DATE(YEAR(OneWeekMtgRatesDataTable756[[#This Row],[asofdate]]),MONTH(OneWeekMtgRatesDataTable756[[#This Row],[asofdate]]),DAY(OneWeekMtgRatesDataTable756[[#This Row],[asofdate]]))</f>
        <v>42303</v>
      </c>
      <c r="E15" s="50" t="s">
        <v>11</v>
      </c>
      <c r="F15" s="57">
        <v>0.19355</v>
      </c>
    </row>
    <row r="16" spans="2:6">
      <c r="B16" s="50" t="s">
        <v>21</v>
      </c>
      <c r="C16" s="50" t="s">
        <v>3816</v>
      </c>
      <c r="D16" s="50">
        <f>DATE(YEAR(OneWeekMtgRatesDataTable756[[#This Row],[asofdate]]),MONTH(OneWeekMtgRatesDataTable756[[#This Row],[asofdate]]),DAY(OneWeekMtgRatesDataTable756[[#This Row],[asofdate]]))</f>
        <v>42300</v>
      </c>
      <c r="E16" s="50" t="s">
        <v>11</v>
      </c>
      <c r="F16" s="57">
        <v>0.19350000000000001</v>
      </c>
    </row>
    <row r="17" spans="2:6">
      <c r="B17" s="50" t="s">
        <v>21</v>
      </c>
      <c r="C17" s="50" t="s">
        <v>3817</v>
      </c>
      <c r="D17" s="50">
        <f>DATE(YEAR(OneWeekMtgRatesDataTable756[[#This Row],[asofdate]]),MONTH(OneWeekMtgRatesDataTable756[[#This Row],[asofdate]]),DAY(OneWeekMtgRatesDataTable756[[#This Row],[asofdate]]))</f>
        <v>42299</v>
      </c>
      <c r="E17" s="50" t="s">
        <v>11</v>
      </c>
      <c r="F17" s="57">
        <v>0.19694999999999999</v>
      </c>
    </row>
    <row r="18" spans="2:6">
      <c r="B18" s="50" t="s">
        <v>21</v>
      </c>
      <c r="C18" s="50" t="s">
        <v>3818</v>
      </c>
      <c r="D18" s="50">
        <f>DATE(YEAR(OneWeekMtgRatesDataTable756[[#This Row],[asofdate]]),MONTH(OneWeekMtgRatesDataTable756[[#This Row],[asofdate]]),DAY(OneWeekMtgRatesDataTable756[[#This Row],[asofdate]]))</f>
        <v>42298</v>
      </c>
      <c r="E18" s="50" t="s">
        <v>11</v>
      </c>
      <c r="F18" s="57">
        <v>0.1948</v>
      </c>
    </row>
    <row r="19" spans="2:6">
      <c r="B19" s="50" t="s">
        <v>21</v>
      </c>
      <c r="C19" s="50" t="s">
        <v>3819</v>
      </c>
      <c r="D19" s="50">
        <f>DATE(YEAR(OneWeekMtgRatesDataTable756[[#This Row],[asofdate]]),MONTH(OneWeekMtgRatesDataTable756[[#This Row],[asofdate]]),DAY(OneWeekMtgRatesDataTable756[[#This Row],[asofdate]]))</f>
        <v>42297</v>
      </c>
      <c r="E19" s="50" t="s">
        <v>11</v>
      </c>
      <c r="F19" s="57">
        <v>0.19650000000000001</v>
      </c>
    </row>
    <row r="20" spans="2:6">
      <c r="B20" s="50" t="s">
        <v>21</v>
      </c>
      <c r="C20" s="50" t="s">
        <v>3820</v>
      </c>
      <c r="D20" s="50">
        <f>DATE(YEAR(OneWeekMtgRatesDataTable756[[#This Row],[asofdate]]),MONTH(OneWeekMtgRatesDataTable756[[#This Row],[asofdate]]),DAY(OneWeekMtgRatesDataTable756[[#This Row],[asofdate]]))</f>
        <v>42296</v>
      </c>
      <c r="E20" s="50" t="s">
        <v>11</v>
      </c>
      <c r="F20" s="57">
        <v>0.19600000000000001</v>
      </c>
    </row>
    <row r="21" spans="2:6">
      <c r="B21" s="50" t="s">
        <v>21</v>
      </c>
      <c r="C21" s="50" t="s">
        <v>3821</v>
      </c>
      <c r="D21" s="50">
        <f>DATE(YEAR(OneWeekMtgRatesDataTable756[[#This Row],[asofdate]]),MONTH(OneWeekMtgRatesDataTable756[[#This Row],[asofdate]]),DAY(OneWeekMtgRatesDataTable756[[#This Row],[asofdate]]))</f>
        <v>42293</v>
      </c>
      <c r="E21" s="50" t="s">
        <v>11</v>
      </c>
      <c r="F21" s="57">
        <v>0.19425000000000001</v>
      </c>
    </row>
    <row r="22" spans="2:6">
      <c r="B22" s="50" t="s">
        <v>21</v>
      </c>
      <c r="C22" s="50" t="s">
        <v>3822</v>
      </c>
      <c r="D22" s="50">
        <f>DATE(YEAR(OneWeekMtgRatesDataTable756[[#This Row],[asofdate]]),MONTH(OneWeekMtgRatesDataTable756[[#This Row],[asofdate]]),DAY(OneWeekMtgRatesDataTable756[[#This Row],[asofdate]]))</f>
        <v>42292</v>
      </c>
      <c r="E22" s="50" t="s">
        <v>11</v>
      </c>
      <c r="F22" s="57">
        <v>0.19675000000000001</v>
      </c>
    </row>
    <row r="23" spans="2:6">
      <c r="B23" s="50" t="s">
        <v>21</v>
      </c>
      <c r="C23" s="50" t="s">
        <v>3823</v>
      </c>
      <c r="D23" s="50">
        <f>DATE(YEAR(OneWeekMtgRatesDataTable756[[#This Row],[asofdate]]),MONTH(OneWeekMtgRatesDataTable756[[#This Row],[asofdate]]),DAY(OneWeekMtgRatesDataTable756[[#This Row],[asofdate]]))</f>
        <v>42291</v>
      </c>
      <c r="E23" s="50" t="s">
        <v>11</v>
      </c>
      <c r="F23" s="57">
        <v>0.19900000000000001</v>
      </c>
    </row>
    <row r="24" spans="2:6">
      <c r="B24" s="50" t="s">
        <v>21</v>
      </c>
      <c r="C24" s="50" t="s">
        <v>3824</v>
      </c>
      <c r="D24" s="50">
        <f>DATE(YEAR(OneWeekMtgRatesDataTable756[[#This Row],[asofdate]]),MONTH(OneWeekMtgRatesDataTable756[[#This Row],[asofdate]]),DAY(OneWeekMtgRatesDataTable756[[#This Row],[asofdate]]))</f>
        <v>42290</v>
      </c>
      <c r="E24" s="50" t="s">
        <v>11</v>
      </c>
      <c r="F24" s="57">
        <v>0.19575000000000001</v>
      </c>
    </row>
    <row r="25" spans="2:6">
      <c r="B25" s="50" t="s">
        <v>21</v>
      </c>
      <c r="C25" s="50" t="s">
        <v>3826</v>
      </c>
      <c r="D25" s="50">
        <f>DATE(YEAR(OneWeekMtgRatesDataTable756[[#This Row],[asofdate]]),MONTH(OneWeekMtgRatesDataTable756[[#This Row],[asofdate]]),DAY(OneWeekMtgRatesDataTable756[[#This Row],[asofdate]]))</f>
        <v>42286</v>
      </c>
      <c r="E25" s="50" t="s">
        <v>11</v>
      </c>
      <c r="F25" s="57">
        <v>0.19685</v>
      </c>
    </row>
    <row r="26" spans="2:6">
      <c r="B26" s="50" t="s">
        <v>21</v>
      </c>
      <c r="C26" s="50" t="s">
        <v>3827</v>
      </c>
      <c r="D26" s="50">
        <f>DATE(YEAR(OneWeekMtgRatesDataTable756[[#This Row],[asofdate]]),MONTH(OneWeekMtgRatesDataTable756[[#This Row],[asofdate]]),DAY(OneWeekMtgRatesDataTable756[[#This Row],[asofdate]]))</f>
        <v>42285</v>
      </c>
      <c r="E26" s="50" t="s">
        <v>11</v>
      </c>
      <c r="F26" s="57">
        <v>0.19545000000000001</v>
      </c>
    </row>
    <row r="27" spans="2:6">
      <c r="B27" s="50" t="s">
        <v>21</v>
      </c>
      <c r="C27" s="50" t="s">
        <v>3828</v>
      </c>
      <c r="D27" s="50">
        <f>DATE(YEAR(OneWeekMtgRatesDataTable756[[#This Row],[asofdate]]),MONTH(OneWeekMtgRatesDataTable756[[#This Row],[asofdate]]),DAY(OneWeekMtgRatesDataTable756[[#This Row],[asofdate]]))</f>
        <v>42284</v>
      </c>
      <c r="E27" s="50" t="s">
        <v>11</v>
      </c>
      <c r="F27" s="57">
        <v>0.19605</v>
      </c>
    </row>
    <row r="28" spans="2:6">
      <c r="B28" s="50" t="s">
        <v>21</v>
      </c>
      <c r="C28" s="50" t="s">
        <v>3829</v>
      </c>
      <c r="D28" s="50">
        <f>DATE(YEAR(OneWeekMtgRatesDataTable756[[#This Row],[asofdate]]),MONTH(OneWeekMtgRatesDataTable756[[#This Row],[asofdate]]),DAY(OneWeekMtgRatesDataTable756[[#This Row],[asofdate]]))</f>
        <v>42283</v>
      </c>
      <c r="E28" s="50" t="s">
        <v>11</v>
      </c>
      <c r="F28" s="57">
        <v>0.19409999999999999</v>
      </c>
    </row>
    <row r="29" spans="2:6">
      <c r="B29" s="50" t="s">
        <v>21</v>
      </c>
      <c r="C29" s="50" t="s">
        <v>3830</v>
      </c>
      <c r="D29" s="50">
        <f>DATE(YEAR(OneWeekMtgRatesDataTable756[[#This Row],[asofdate]]),MONTH(OneWeekMtgRatesDataTable756[[#This Row],[asofdate]]),DAY(OneWeekMtgRatesDataTable756[[#This Row],[asofdate]]))</f>
        <v>42282</v>
      </c>
      <c r="E29" s="50" t="s">
        <v>11</v>
      </c>
      <c r="F29" s="57">
        <v>0.19375000000000001</v>
      </c>
    </row>
    <row r="30" spans="2:6">
      <c r="B30" s="50" t="s">
        <v>21</v>
      </c>
      <c r="C30" s="50" t="s">
        <v>3831</v>
      </c>
      <c r="D30" s="50">
        <f>DATE(YEAR(OneWeekMtgRatesDataTable756[[#This Row],[asofdate]]),MONTH(OneWeekMtgRatesDataTable756[[#This Row],[asofdate]]),DAY(OneWeekMtgRatesDataTable756[[#This Row],[asofdate]]))</f>
        <v>42279</v>
      </c>
      <c r="E30" s="50" t="s">
        <v>11</v>
      </c>
      <c r="F30" s="57">
        <v>0.19470000000000001</v>
      </c>
    </row>
    <row r="31" spans="2:6">
      <c r="B31" s="50" t="s">
        <v>21</v>
      </c>
      <c r="C31" s="50" t="s">
        <v>1624</v>
      </c>
      <c r="D31" s="50">
        <f>DATE(YEAR(OneWeekMtgRatesDataTable756[[#This Row],[asofdate]]),MONTH(OneWeekMtgRatesDataTable756[[#This Row],[asofdate]]),DAY(OneWeekMtgRatesDataTable756[[#This Row],[asofdate]]))</f>
        <v>42278</v>
      </c>
      <c r="E31" s="50" t="s">
        <v>11</v>
      </c>
      <c r="F31" s="57">
        <v>0.19400000000000001</v>
      </c>
    </row>
    <row r="32" spans="2:6">
      <c r="B32" s="50" t="s">
        <v>21</v>
      </c>
      <c r="C32" s="50" t="s">
        <v>1625</v>
      </c>
      <c r="D32" s="50">
        <f>DATE(YEAR(OneWeekMtgRatesDataTable756[[#This Row],[asofdate]]),MONTH(OneWeekMtgRatesDataTable756[[#This Row],[asofdate]]),DAY(OneWeekMtgRatesDataTable756[[#This Row],[asofdate]]))</f>
        <v>42277</v>
      </c>
      <c r="E32" s="50" t="s">
        <v>11</v>
      </c>
      <c r="F32" s="57">
        <v>0.193</v>
      </c>
    </row>
    <row r="33" spans="2:6">
      <c r="B33" s="50" t="s">
        <v>21</v>
      </c>
      <c r="C33" s="50" t="s">
        <v>1626</v>
      </c>
      <c r="D33" s="50">
        <f>DATE(YEAR(OneWeekMtgRatesDataTable756[[#This Row],[asofdate]]),MONTH(OneWeekMtgRatesDataTable756[[#This Row],[asofdate]]),DAY(OneWeekMtgRatesDataTable756[[#This Row],[asofdate]]))</f>
        <v>42276</v>
      </c>
      <c r="E33" s="50" t="s">
        <v>11</v>
      </c>
      <c r="F33" s="57">
        <v>0.193</v>
      </c>
    </row>
    <row r="34" spans="2:6">
      <c r="B34" s="50" t="s">
        <v>21</v>
      </c>
      <c r="C34" s="50" t="s">
        <v>1627</v>
      </c>
      <c r="D34" s="50">
        <f>DATE(YEAR(OneWeekMtgRatesDataTable756[[#This Row],[asofdate]]),MONTH(OneWeekMtgRatesDataTable756[[#This Row],[asofdate]]),DAY(OneWeekMtgRatesDataTable756[[#This Row],[asofdate]]))</f>
        <v>42275</v>
      </c>
      <c r="E34" s="50" t="s">
        <v>11</v>
      </c>
      <c r="F34" s="57">
        <v>0.19359999999999999</v>
      </c>
    </row>
    <row r="35" spans="2:6">
      <c r="B35" s="50" t="s">
        <v>21</v>
      </c>
      <c r="C35" s="50" t="s">
        <v>1628</v>
      </c>
      <c r="D35" s="50">
        <f>DATE(YEAR(OneWeekMtgRatesDataTable756[[#This Row],[asofdate]]),MONTH(OneWeekMtgRatesDataTable756[[#This Row],[asofdate]]),DAY(OneWeekMtgRatesDataTable756[[#This Row],[asofdate]]))</f>
        <v>42272</v>
      </c>
      <c r="E35" s="50" t="s">
        <v>11</v>
      </c>
      <c r="F35" s="57">
        <v>0.1943</v>
      </c>
    </row>
    <row r="36" spans="2:6">
      <c r="B36" s="50" t="s">
        <v>21</v>
      </c>
      <c r="C36" s="50" t="s">
        <v>1629</v>
      </c>
      <c r="D36" s="50">
        <f>DATE(YEAR(OneWeekMtgRatesDataTable756[[#This Row],[asofdate]]),MONTH(OneWeekMtgRatesDataTable756[[#This Row],[asofdate]]),DAY(OneWeekMtgRatesDataTable756[[#This Row],[asofdate]]))</f>
        <v>42271</v>
      </c>
      <c r="E36" s="50" t="s">
        <v>11</v>
      </c>
      <c r="F36" s="57">
        <v>0.1943</v>
      </c>
    </row>
    <row r="37" spans="2:6">
      <c r="B37" s="50" t="s">
        <v>21</v>
      </c>
      <c r="C37" s="50" t="s">
        <v>1630</v>
      </c>
      <c r="D37" s="50">
        <f>DATE(YEAR(OneWeekMtgRatesDataTable756[[#This Row],[asofdate]]),MONTH(OneWeekMtgRatesDataTable756[[#This Row],[asofdate]]),DAY(OneWeekMtgRatesDataTable756[[#This Row],[asofdate]]))</f>
        <v>42270</v>
      </c>
      <c r="E37" s="50" t="s">
        <v>11</v>
      </c>
      <c r="F37" s="57">
        <v>0.19389999999999999</v>
      </c>
    </row>
    <row r="38" spans="2:6">
      <c r="B38" s="50" t="s">
        <v>21</v>
      </c>
      <c r="C38" s="50" t="s">
        <v>1631</v>
      </c>
      <c r="D38" s="50">
        <f>DATE(YEAR(OneWeekMtgRatesDataTable756[[#This Row],[asofdate]]),MONTH(OneWeekMtgRatesDataTable756[[#This Row],[asofdate]]),DAY(OneWeekMtgRatesDataTable756[[#This Row],[asofdate]]))</f>
        <v>42269</v>
      </c>
      <c r="E38" s="50" t="s">
        <v>11</v>
      </c>
      <c r="F38" s="57">
        <v>0.1956</v>
      </c>
    </row>
    <row r="39" spans="2:6">
      <c r="B39" s="50" t="s">
        <v>21</v>
      </c>
      <c r="C39" s="50" t="s">
        <v>1632</v>
      </c>
      <c r="D39" s="50">
        <f>DATE(YEAR(OneWeekMtgRatesDataTable756[[#This Row],[asofdate]]),MONTH(OneWeekMtgRatesDataTable756[[#This Row],[asofdate]]),DAY(OneWeekMtgRatesDataTable756[[#This Row],[asofdate]]))</f>
        <v>42268</v>
      </c>
      <c r="E39" s="50" t="s">
        <v>11</v>
      </c>
      <c r="F39" s="57">
        <v>0.19500000000000001</v>
      </c>
    </row>
    <row r="40" spans="2:6">
      <c r="B40" s="50" t="s">
        <v>21</v>
      </c>
      <c r="C40" s="50" t="s">
        <v>1633</v>
      </c>
      <c r="D40" s="50">
        <f>DATE(YEAR(OneWeekMtgRatesDataTable756[[#This Row],[asofdate]]),MONTH(OneWeekMtgRatesDataTable756[[#This Row],[asofdate]]),DAY(OneWeekMtgRatesDataTable756[[#This Row],[asofdate]]))</f>
        <v>42265</v>
      </c>
      <c r="E40" s="50" t="s">
        <v>11</v>
      </c>
      <c r="F40" s="57">
        <v>0.1958</v>
      </c>
    </row>
    <row r="41" spans="2:6">
      <c r="B41" s="50" t="s">
        <v>21</v>
      </c>
      <c r="C41" s="50" t="s">
        <v>1634</v>
      </c>
      <c r="D41" s="50">
        <f>DATE(YEAR(OneWeekMtgRatesDataTable756[[#This Row],[asofdate]]),MONTH(OneWeekMtgRatesDataTable756[[#This Row],[asofdate]]),DAY(OneWeekMtgRatesDataTable756[[#This Row],[asofdate]]))</f>
        <v>42264</v>
      </c>
      <c r="E41" s="50" t="s">
        <v>11</v>
      </c>
      <c r="F41" s="57">
        <v>0.216</v>
      </c>
    </row>
    <row r="42" spans="2:6">
      <c r="B42" s="50" t="s">
        <v>21</v>
      </c>
      <c r="C42" s="50" t="s">
        <v>1635</v>
      </c>
      <c r="D42" s="50">
        <f>DATE(YEAR(OneWeekMtgRatesDataTable756[[#This Row],[asofdate]]),MONTH(OneWeekMtgRatesDataTable756[[#This Row],[asofdate]]),DAY(OneWeekMtgRatesDataTable756[[#This Row],[asofdate]]))</f>
        <v>42263</v>
      </c>
      <c r="E42" s="50" t="s">
        <v>11</v>
      </c>
      <c r="F42" s="57">
        <v>0.21279999999999999</v>
      </c>
    </row>
    <row r="43" spans="2:6">
      <c r="B43" s="50" t="s">
        <v>21</v>
      </c>
      <c r="C43" s="50" t="s">
        <v>1636</v>
      </c>
      <c r="D43" s="50">
        <f>DATE(YEAR(OneWeekMtgRatesDataTable756[[#This Row],[asofdate]]),MONTH(OneWeekMtgRatesDataTable756[[#This Row],[asofdate]]),DAY(OneWeekMtgRatesDataTable756[[#This Row],[asofdate]]))</f>
        <v>42262</v>
      </c>
      <c r="E43" s="50" t="s">
        <v>11</v>
      </c>
      <c r="F43" s="57">
        <v>0.20724999999999999</v>
      </c>
    </row>
    <row r="44" spans="2:6">
      <c r="B44" s="50" t="s">
        <v>21</v>
      </c>
      <c r="C44" s="50" t="s">
        <v>1637</v>
      </c>
      <c r="D44" s="50">
        <f>DATE(YEAR(OneWeekMtgRatesDataTable756[[#This Row],[asofdate]]),MONTH(OneWeekMtgRatesDataTable756[[#This Row],[asofdate]]),DAY(OneWeekMtgRatesDataTable756[[#This Row],[asofdate]]))</f>
        <v>42261</v>
      </c>
      <c r="E44" s="50" t="s">
        <v>11</v>
      </c>
      <c r="F44" s="57">
        <v>0.20899999999999999</v>
      </c>
    </row>
    <row r="45" spans="2:6">
      <c r="B45" s="50" t="s">
        <v>21</v>
      </c>
      <c r="C45" s="50" t="s">
        <v>1638</v>
      </c>
      <c r="D45" s="50">
        <f>DATE(YEAR(OneWeekMtgRatesDataTable756[[#This Row],[asofdate]]),MONTH(OneWeekMtgRatesDataTable756[[#This Row],[asofdate]]),DAY(OneWeekMtgRatesDataTable756[[#This Row],[asofdate]]))</f>
        <v>42258</v>
      </c>
      <c r="E45" s="50" t="s">
        <v>11</v>
      </c>
      <c r="F45" s="57">
        <v>0.20655000000000001</v>
      </c>
    </row>
    <row r="46" spans="2:6">
      <c r="B46" s="50" t="s">
        <v>21</v>
      </c>
      <c r="C46" s="50" t="s">
        <v>1639</v>
      </c>
      <c r="D46" s="50">
        <f>DATE(YEAR(OneWeekMtgRatesDataTable756[[#This Row],[asofdate]]),MONTH(OneWeekMtgRatesDataTable756[[#This Row],[asofdate]]),DAY(OneWeekMtgRatesDataTable756[[#This Row],[asofdate]]))</f>
        <v>42257</v>
      </c>
      <c r="E46" s="50" t="s">
        <v>11</v>
      </c>
      <c r="F46" s="57">
        <v>0.20635000000000001</v>
      </c>
    </row>
    <row r="47" spans="2:6">
      <c r="B47" s="50" t="s">
        <v>21</v>
      </c>
      <c r="C47" s="50" t="s">
        <v>1640</v>
      </c>
      <c r="D47" s="50">
        <f>DATE(YEAR(OneWeekMtgRatesDataTable756[[#This Row],[asofdate]]),MONTH(OneWeekMtgRatesDataTable756[[#This Row],[asofdate]]),DAY(OneWeekMtgRatesDataTable756[[#This Row],[asofdate]]))</f>
        <v>42256</v>
      </c>
      <c r="E47" s="50" t="s">
        <v>11</v>
      </c>
      <c r="F47" s="57">
        <v>0.20399999999999999</v>
      </c>
    </row>
    <row r="48" spans="2:6">
      <c r="B48" s="50" t="s">
        <v>21</v>
      </c>
      <c r="C48" s="50" t="s">
        <v>1641</v>
      </c>
      <c r="D48" s="50">
        <f>DATE(YEAR(OneWeekMtgRatesDataTable756[[#This Row],[asofdate]]),MONTH(OneWeekMtgRatesDataTable756[[#This Row],[asofdate]]),DAY(OneWeekMtgRatesDataTable756[[#This Row],[asofdate]]))</f>
        <v>42255</v>
      </c>
      <c r="E48" s="50" t="s">
        <v>11</v>
      </c>
      <c r="F48" s="57">
        <v>0.20300000000000001</v>
      </c>
    </row>
    <row r="49" spans="2:6">
      <c r="B49" s="50" t="s">
        <v>21</v>
      </c>
      <c r="C49" s="50" t="s">
        <v>1642</v>
      </c>
      <c r="D49" s="50">
        <f>DATE(YEAR(OneWeekMtgRatesDataTable756[[#This Row],[asofdate]]),MONTH(OneWeekMtgRatesDataTable756[[#This Row],[asofdate]]),DAY(OneWeekMtgRatesDataTable756[[#This Row],[asofdate]]))</f>
        <v>42251</v>
      </c>
      <c r="E49" s="50" t="s">
        <v>11</v>
      </c>
      <c r="F49" s="57">
        <v>0.19925000000000001</v>
      </c>
    </row>
    <row r="50" spans="2:6">
      <c r="B50" s="50" t="s">
        <v>21</v>
      </c>
      <c r="C50" s="50" t="s">
        <v>1643</v>
      </c>
      <c r="D50" s="50">
        <f>DATE(YEAR(OneWeekMtgRatesDataTable756[[#This Row],[asofdate]]),MONTH(OneWeekMtgRatesDataTable756[[#This Row],[asofdate]]),DAY(OneWeekMtgRatesDataTable756[[#This Row],[asofdate]]))</f>
        <v>42250</v>
      </c>
      <c r="E50" s="50" t="s">
        <v>11</v>
      </c>
      <c r="F50" s="57">
        <v>0.20430000000000001</v>
      </c>
    </row>
    <row r="51" spans="2:6">
      <c r="B51" s="50" t="s">
        <v>21</v>
      </c>
      <c r="C51" s="50" t="s">
        <v>1644</v>
      </c>
      <c r="D51" s="50">
        <f>DATE(YEAR(OneWeekMtgRatesDataTable756[[#This Row],[asofdate]]),MONTH(OneWeekMtgRatesDataTable756[[#This Row],[asofdate]]),DAY(OneWeekMtgRatesDataTable756[[#This Row],[asofdate]]))</f>
        <v>42249</v>
      </c>
      <c r="E51" s="50" t="s">
        <v>11</v>
      </c>
      <c r="F51" s="57">
        <v>0.20280000000000001</v>
      </c>
    </row>
    <row r="52" spans="2:6">
      <c r="B52" s="50" t="s">
        <v>21</v>
      </c>
      <c r="C52" s="50" t="s">
        <v>1645</v>
      </c>
      <c r="D52" s="50">
        <f>DATE(YEAR(OneWeekMtgRatesDataTable756[[#This Row],[asofdate]]),MONTH(OneWeekMtgRatesDataTable756[[#This Row],[asofdate]]),DAY(OneWeekMtgRatesDataTable756[[#This Row],[asofdate]]))</f>
        <v>42248</v>
      </c>
      <c r="E52" s="50" t="s">
        <v>11</v>
      </c>
      <c r="F52" s="57">
        <v>0.20119999999999999</v>
      </c>
    </row>
    <row r="53" spans="2:6">
      <c r="B53" s="50" t="s">
        <v>21</v>
      </c>
      <c r="C53" s="50" t="s">
        <v>1603</v>
      </c>
      <c r="D53" s="50">
        <f>DATE(YEAR(OneWeekMtgRatesDataTable756[[#This Row],[asofdate]]),MONTH(OneWeekMtgRatesDataTable756[[#This Row],[asofdate]]),DAY(OneWeekMtgRatesDataTable756[[#This Row],[asofdate]]))</f>
        <v>42247</v>
      </c>
      <c r="E53" s="50" t="s">
        <v>11</v>
      </c>
      <c r="F53" s="57">
        <v>0.19855</v>
      </c>
    </row>
    <row r="54" spans="2:6">
      <c r="B54" s="50" t="s">
        <v>21</v>
      </c>
      <c r="C54" s="50" t="s">
        <v>1604</v>
      </c>
      <c r="D54" s="50">
        <f>DATE(YEAR(OneWeekMtgRatesDataTable756[[#This Row],[asofdate]]),MONTH(OneWeekMtgRatesDataTable756[[#This Row],[asofdate]]),DAY(OneWeekMtgRatesDataTable756[[#This Row],[asofdate]]))</f>
        <v>42244</v>
      </c>
      <c r="E54" s="50" t="s">
        <v>11</v>
      </c>
      <c r="F54" s="57">
        <v>0.19855</v>
      </c>
    </row>
    <row r="55" spans="2:6">
      <c r="B55" s="50" t="s">
        <v>21</v>
      </c>
      <c r="C55" s="50" t="s">
        <v>1605</v>
      </c>
      <c r="D55" s="50">
        <f>DATE(YEAR(OneWeekMtgRatesDataTable756[[#This Row],[asofdate]]),MONTH(OneWeekMtgRatesDataTable756[[#This Row],[asofdate]]),DAY(OneWeekMtgRatesDataTable756[[#This Row],[asofdate]]))</f>
        <v>42243</v>
      </c>
      <c r="E55" s="50" t="s">
        <v>11</v>
      </c>
      <c r="F55" s="57">
        <v>0.19700000000000001</v>
      </c>
    </row>
    <row r="56" spans="2:6">
      <c r="B56" s="50" t="s">
        <v>21</v>
      </c>
      <c r="C56" s="50" t="s">
        <v>1606</v>
      </c>
      <c r="D56" s="50">
        <f>DATE(YEAR(OneWeekMtgRatesDataTable756[[#This Row],[asofdate]]),MONTH(OneWeekMtgRatesDataTable756[[#This Row],[asofdate]]),DAY(OneWeekMtgRatesDataTable756[[#This Row],[asofdate]]))</f>
        <v>42242</v>
      </c>
      <c r="E56" s="50" t="s">
        <v>11</v>
      </c>
      <c r="F56" s="57">
        <v>0.19800000000000001</v>
      </c>
    </row>
    <row r="57" spans="2:6">
      <c r="B57" s="50" t="s">
        <v>21</v>
      </c>
      <c r="C57" s="50" t="s">
        <v>1607</v>
      </c>
      <c r="D57" s="50">
        <f>DATE(YEAR(OneWeekMtgRatesDataTable756[[#This Row],[asofdate]]),MONTH(OneWeekMtgRatesDataTable756[[#This Row],[asofdate]]),DAY(OneWeekMtgRatesDataTable756[[#This Row],[asofdate]]))</f>
        <v>42241</v>
      </c>
      <c r="E57" s="50" t="s">
        <v>11</v>
      </c>
      <c r="F57" s="57">
        <v>0.19775000000000001</v>
      </c>
    </row>
    <row r="58" spans="2:6">
      <c r="B58" s="50" t="s">
        <v>21</v>
      </c>
      <c r="C58" s="50" t="s">
        <v>1608</v>
      </c>
      <c r="D58" s="50">
        <f>DATE(YEAR(OneWeekMtgRatesDataTable756[[#This Row],[asofdate]]),MONTH(OneWeekMtgRatesDataTable756[[#This Row],[asofdate]]),DAY(OneWeekMtgRatesDataTable756[[#This Row],[asofdate]]))</f>
        <v>42240</v>
      </c>
      <c r="E58" s="50" t="s">
        <v>11</v>
      </c>
      <c r="F58" s="57">
        <v>0.19939999999999999</v>
      </c>
    </row>
    <row r="59" spans="2:6">
      <c r="B59" s="50" t="s">
        <v>21</v>
      </c>
      <c r="C59" s="50" t="s">
        <v>1609</v>
      </c>
      <c r="D59" s="50">
        <f>DATE(YEAR(OneWeekMtgRatesDataTable756[[#This Row],[asofdate]]),MONTH(OneWeekMtgRatesDataTable756[[#This Row],[asofdate]]),DAY(OneWeekMtgRatesDataTable756[[#This Row],[asofdate]]))</f>
        <v>42237</v>
      </c>
      <c r="E59" s="50" t="s">
        <v>11</v>
      </c>
      <c r="F59" s="57">
        <v>0.19939999999999999</v>
      </c>
    </row>
    <row r="60" spans="2:6">
      <c r="B60" s="50" t="s">
        <v>21</v>
      </c>
      <c r="C60" s="50" t="s">
        <v>1610</v>
      </c>
      <c r="D60" s="50">
        <f>DATE(YEAR(OneWeekMtgRatesDataTable756[[#This Row],[asofdate]]),MONTH(OneWeekMtgRatesDataTable756[[#This Row],[asofdate]]),DAY(OneWeekMtgRatesDataTable756[[#This Row],[asofdate]]))</f>
        <v>42236</v>
      </c>
      <c r="E60" s="50" t="s">
        <v>11</v>
      </c>
      <c r="F60" s="57">
        <v>0.20039999999999999</v>
      </c>
    </row>
    <row r="61" spans="2:6">
      <c r="B61" s="50" t="s">
        <v>21</v>
      </c>
      <c r="C61" s="50" t="s">
        <v>1611</v>
      </c>
      <c r="D61" s="50">
        <f>DATE(YEAR(OneWeekMtgRatesDataTable756[[#This Row],[asofdate]]),MONTH(OneWeekMtgRatesDataTable756[[#This Row],[asofdate]]),DAY(OneWeekMtgRatesDataTable756[[#This Row],[asofdate]]))</f>
        <v>42235</v>
      </c>
      <c r="E61" s="50" t="s">
        <v>11</v>
      </c>
      <c r="F61" s="57">
        <v>0.20200000000000001</v>
      </c>
    </row>
    <row r="62" spans="2:6">
      <c r="B62" s="50" t="s">
        <v>21</v>
      </c>
      <c r="C62" s="50" t="s">
        <v>1612</v>
      </c>
      <c r="D62" s="50">
        <f>DATE(YEAR(OneWeekMtgRatesDataTable756[[#This Row],[asofdate]]),MONTH(OneWeekMtgRatesDataTable756[[#This Row],[asofdate]]),DAY(OneWeekMtgRatesDataTable756[[#This Row],[asofdate]]))</f>
        <v>42234</v>
      </c>
      <c r="E62" s="50" t="s">
        <v>11</v>
      </c>
      <c r="F62" s="57">
        <v>0.20275000000000001</v>
      </c>
    </row>
    <row r="63" spans="2:6">
      <c r="B63" s="50" t="s">
        <v>21</v>
      </c>
      <c r="C63" s="50" t="s">
        <v>1613</v>
      </c>
      <c r="D63" s="50">
        <f>DATE(YEAR(OneWeekMtgRatesDataTable756[[#This Row],[asofdate]]),MONTH(OneWeekMtgRatesDataTable756[[#This Row],[asofdate]]),DAY(OneWeekMtgRatesDataTable756[[#This Row],[asofdate]]))</f>
        <v>42233</v>
      </c>
      <c r="E63" s="50" t="s">
        <v>11</v>
      </c>
      <c r="F63" s="57">
        <v>0.2046</v>
      </c>
    </row>
    <row r="64" spans="2:6">
      <c r="B64" s="50" t="s">
        <v>21</v>
      </c>
      <c r="C64" s="50" t="s">
        <v>1614</v>
      </c>
      <c r="D64" s="50">
        <f>DATE(YEAR(OneWeekMtgRatesDataTable756[[#This Row],[asofdate]]),MONTH(OneWeekMtgRatesDataTable756[[#This Row],[asofdate]]),DAY(OneWeekMtgRatesDataTable756[[#This Row],[asofdate]]))</f>
        <v>42230</v>
      </c>
      <c r="E64" s="50" t="s">
        <v>11</v>
      </c>
      <c r="F64" s="57">
        <v>0.1996</v>
      </c>
    </row>
    <row r="65" spans="2:6">
      <c r="B65" s="50" t="s">
        <v>21</v>
      </c>
      <c r="C65" s="50" t="s">
        <v>1615</v>
      </c>
      <c r="D65" s="50">
        <f>DATE(YEAR(OneWeekMtgRatesDataTable756[[#This Row],[asofdate]]),MONTH(OneWeekMtgRatesDataTable756[[#This Row],[asofdate]]),DAY(OneWeekMtgRatesDataTable756[[#This Row],[asofdate]]))</f>
        <v>42229</v>
      </c>
      <c r="E65" s="50" t="s">
        <v>11</v>
      </c>
      <c r="F65" s="57">
        <v>0.1976</v>
      </c>
    </row>
    <row r="66" spans="2:6">
      <c r="B66" s="50" t="s">
        <v>21</v>
      </c>
      <c r="C66" s="50" t="s">
        <v>1616</v>
      </c>
      <c r="D66" s="50">
        <f>DATE(YEAR(OneWeekMtgRatesDataTable756[[#This Row],[asofdate]]),MONTH(OneWeekMtgRatesDataTable756[[#This Row],[asofdate]]),DAY(OneWeekMtgRatesDataTable756[[#This Row],[asofdate]]))</f>
        <v>42228</v>
      </c>
      <c r="E66" s="50" t="s">
        <v>11</v>
      </c>
      <c r="F66" s="57">
        <v>0.19400000000000001</v>
      </c>
    </row>
    <row r="67" spans="2:6">
      <c r="B67" s="50" t="s">
        <v>21</v>
      </c>
      <c r="C67" s="50" t="s">
        <v>1617</v>
      </c>
      <c r="D67" s="50">
        <f>DATE(YEAR(OneWeekMtgRatesDataTable756[[#This Row],[asofdate]]),MONTH(OneWeekMtgRatesDataTable756[[#This Row],[asofdate]]),DAY(OneWeekMtgRatesDataTable756[[#This Row],[asofdate]]))</f>
        <v>42227</v>
      </c>
      <c r="E67" s="50" t="s">
        <v>11</v>
      </c>
      <c r="F67" s="57">
        <v>0.19345000000000001</v>
      </c>
    </row>
    <row r="68" spans="2:6">
      <c r="B68" s="50" t="s">
        <v>21</v>
      </c>
      <c r="C68" s="50" t="s">
        <v>1618</v>
      </c>
      <c r="D68" s="50">
        <f>DATE(YEAR(OneWeekMtgRatesDataTable756[[#This Row],[asofdate]]),MONTH(OneWeekMtgRatesDataTable756[[#This Row],[asofdate]]),DAY(OneWeekMtgRatesDataTable756[[#This Row],[asofdate]]))</f>
        <v>42226</v>
      </c>
      <c r="E68" s="50" t="s">
        <v>11</v>
      </c>
      <c r="F68" s="57">
        <v>0.19255</v>
      </c>
    </row>
    <row r="69" spans="2:6">
      <c r="B69" s="50" t="s">
        <v>21</v>
      </c>
      <c r="C69" s="50" t="s">
        <v>1619</v>
      </c>
      <c r="D69" s="50">
        <f>DATE(YEAR(OneWeekMtgRatesDataTable756[[#This Row],[asofdate]]),MONTH(OneWeekMtgRatesDataTable756[[#This Row],[asofdate]]),DAY(OneWeekMtgRatesDataTable756[[#This Row],[asofdate]]))</f>
        <v>42223</v>
      </c>
      <c r="E69" s="50" t="s">
        <v>11</v>
      </c>
      <c r="F69" s="57">
        <v>0.19125</v>
      </c>
    </row>
    <row r="70" spans="2:6">
      <c r="B70" s="50" t="s">
        <v>21</v>
      </c>
      <c r="C70" s="50" t="s">
        <v>1620</v>
      </c>
      <c r="D70" s="50">
        <f>DATE(YEAR(OneWeekMtgRatesDataTable756[[#This Row],[asofdate]]),MONTH(OneWeekMtgRatesDataTable756[[#This Row],[asofdate]]),DAY(OneWeekMtgRatesDataTable756[[#This Row],[asofdate]]))</f>
        <v>42222</v>
      </c>
      <c r="E70" s="50" t="s">
        <v>11</v>
      </c>
      <c r="F70" s="57">
        <v>0.1915</v>
      </c>
    </row>
    <row r="71" spans="2:6">
      <c r="B71" s="50" t="s">
        <v>21</v>
      </c>
      <c r="C71" s="50" t="s">
        <v>1621</v>
      </c>
      <c r="D71" s="50">
        <f>DATE(YEAR(OneWeekMtgRatesDataTable756[[#This Row],[asofdate]]),MONTH(OneWeekMtgRatesDataTable756[[#This Row],[asofdate]]),DAY(OneWeekMtgRatesDataTable756[[#This Row],[asofdate]]))</f>
        <v>42221</v>
      </c>
      <c r="E71" s="50" t="s">
        <v>11</v>
      </c>
      <c r="F71" s="57">
        <v>0.19350000000000001</v>
      </c>
    </row>
    <row r="72" spans="2:6">
      <c r="B72" s="50" t="s">
        <v>21</v>
      </c>
      <c r="C72" s="50" t="s">
        <v>1622</v>
      </c>
      <c r="D72" s="50">
        <f>DATE(YEAR(OneWeekMtgRatesDataTable756[[#This Row],[asofdate]]),MONTH(OneWeekMtgRatesDataTable756[[#This Row],[asofdate]]),DAY(OneWeekMtgRatesDataTable756[[#This Row],[asofdate]]))</f>
        <v>42220</v>
      </c>
      <c r="E72" s="50" t="s">
        <v>11</v>
      </c>
      <c r="F72" s="57">
        <v>0.19075</v>
      </c>
    </row>
    <row r="73" spans="2:6">
      <c r="B73" s="50" t="s">
        <v>21</v>
      </c>
      <c r="C73" s="50" t="s">
        <v>1623</v>
      </c>
      <c r="D73" s="50">
        <f>DATE(YEAR(OneWeekMtgRatesDataTable756[[#This Row],[asofdate]]),MONTH(OneWeekMtgRatesDataTable756[[#This Row],[asofdate]]),DAY(OneWeekMtgRatesDataTable756[[#This Row],[asofdate]]))</f>
        <v>42219</v>
      </c>
      <c r="E73" s="50" t="s">
        <v>11</v>
      </c>
      <c r="F73" s="57">
        <v>0.1905</v>
      </c>
    </row>
    <row r="74" spans="2:6">
      <c r="B74" s="50" t="s">
        <v>21</v>
      </c>
      <c r="C74" s="50" t="s">
        <v>1581</v>
      </c>
      <c r="D74" s="50">
        <f>DATE(YEAR(OneWeekMtgRatesDataTable756[[#This Row],[asofdate]]),MONTH(OneWeekMtgRatesDataTable756[[#This Row],[asofdate]]),DAY(OneWeekMtgRatesDataTable756[[#This Row],[asofdate]]))</f>
        <v>42216</v>
      </c>
      <c r="E74" s="50" t="s">
        <v>11</v>
      </c>
      <c r="F74" s="57">
        <v>0.19175</v>
      </c>
    </row>
    <row r="75" spans="2:6">
      <c r="B75" s="50" t="s">
        <v>21</v>
      </c>
      <c r="C75" s="50" t="s">
        <v>1582</v>
      </c>
      <c r="D75" s="50">
        <f>DATE(YEAR(OneWeekMtgRatesDataTable756[[#This Row],[asofdate]]),MONTH(OneWeekMtgRatesDataTable756[[#This Row],[asofdate]]),DAY(OneWeekMtgRatesDataTable756[[#This Row],[asofdate]]))</f>
        <v>42215</v>
      </c>
      <c r="E75" s="50" t="s">
        <v>11</v>
      </c>
      <c r="F75" s="57">
        <v>0.1885</v>
      </c>
    </row>
    <row r="76" spans="2:6">
      <c r="B76" s="50" t="s">
        <v>21</v>
      </c>
      <c r="C76" s="50" t="s">
        <v>1583</v>
      </c>
      <c r="D76" s="50">
        <f>DATE(YEAR(OneWeekMtgRatesDataTable756[[#This Row],[asofdate]]),MONTH(OneWeekMtgRatesDataTable756[[#This Row],[asofdate]]),DAY(OneWeekMtgRatesDataTable756[[#This Row],[asofdate]]))</f>
        <v>42214</v>
      </c>
      <c r="E76" s="50" t="s">
        <v>11</v>
      </c>
      <c r="F76" s="57">
        <v>0.18955</v>
      </c>
    </row>
    <row r="77" spans="2:6">
      <c r="B77" s="50" t="s">
        <v>21</v>
      </c>
      <c r="C77" s="50" t="s">
        <v>1584</v>
      </c>
      <c r="D77" s="50">
        <f>DATE(YEAR(OneWeekMtgRatesDataTable756[[#This Row],[asofdate]]),MONTH(OneWeekMtgRatesDataTable756[[#This Row],[asofdate]]),DAY(OneWeekMtgRatesDataTable756[[#This Row],[asofdate]]))</f>
        <v>42213</v>
      </c>
      <c r="E77" s="50" t="s">
        <v>11</v>
      </c>
      <c r="F77" s="57">
        <v>0.1908</v>
      </c>
    </row>
    <row r="78" spans="2:6">
      <c r="B78" s="50" t="s">
        <v>21</v>
      </c>
      <c r="C78" s="50" t="s">
        <v>1585</v>
      </c>
      <c r="D78" s="50">
        <f>DATE(YEAR(OneWeekMtgRatesDataTable756[[#This Row],[asofdate]]),MONTH(OneWeekMtgRatesDataTable756[[#This Row],[asofdate]]),DAY(OneWeekMtgRatesDataTable756[[#This Row],[asofdate]]))</f>
        <v>42212</v>
      </c>
      <c r="E78" s="50" t="s">
        <v>11</v>
      </c>
      <c r="F78" s="57">
        <v>0.189</v>
      </c>
    </row>
    <row r="79" spans="2:6">
      <c r="B79" s="50" t="s">
        <v>21</v>
      </c>
      <c r="C79" s="50" t="s">
        <v>1586</v>
      </c>
      <c r="D79" s="50">
        <f>DATE(YEAR(OneWeekMtgRatesDataTable756[[#This Row],[asofdate]]),MONTH(OneWeekMtgRatesDataTable756[[#This Row],[asofdate]]),DAY(OneWeekMtgRatesDataTable756[[#This Row],[asofdate]]))</f>
        <v>42209</v>
      </c>
      <c r="E79" s="50" t="s">
        <v>11</v>
      </c>
      <c r="F79" s="57">
        <v>0.189</v>
      </c>
    </row>
    <row r="80" spans="2:6">
      <c r="B80" s="50" t="s">
        <v>21</v>
      </c>
      <c r="C80" s="50" t="s">
        <v>1587</v>
      </c>
      <c r="D80" s="50">
        <f>DATE(YEAR(OneWeekMtgRatesDataTable756[[#This Row],[asofdate]]),MONTH(OneWeekMtgRatesDataTable756[[#This Row],[asofdate]]),DAY(OneWeekMtgRatesDataTable756[[#This Row],[asofdate]]))</f>
        <v>42208</v>
      </c>
      <c r="E80" s="50" t="s">
        <v>11</v>
      </c>
      <c r="F80" s="57">
        <v>0.1905</v>
      </c>
    </row>
    <row r="81" spans="2:6">
      <c r="B81" s="50" t="s">
        <v>21</v>
      </c>
      <c r="C81" s="50" t="s">
        <v>1588</v>
      </c>
      <c r="D81" s="50">
        <f>DATE(YEAR(OneWeekMtgRatesDataTable756[[#This Row],[asofdate]]),MONTH(OneWeekMtgRatesDataTable756[[#This Row],[asofdate]]),DAY(OneWeekMtgRatesDataTable756[[#This Row],[asofdate]]))</f>
        <v>42207</v>
      </c>
      <c r="E81" s="50" t="s">
        <v>11</v>
      </c>
      <c r="F81" s="57">
        <v>0.187</v>
      </c>
    </row>
    <row r="82" spans="2:6">
      <c r="B82" s="50" t="s">
        <v>21</v>
      </c>
      <c r="C82" s="50" t="s">
        <v>1589</v>
      </c>
      <c r="D82" s="50">
        <f>DATE(YEAR(OneWeekMtgRatesDataTable756[[#This Row],[asofdate]]),MONTH(OneWeekMtgRatesDataTable756[[#This Row],[asofdate]]),DAY(OneWeekMtgRatesDataTable756[[#This Row],[asofdate]]))</f>
        <v>42206</v>
      </c>
      <c r="E82" s="50" t="s">
        <v>11</v>
      </c>
      <c r="F82" s="57">
        <v>0.185</v>
      </c>
    </row>
    <row r="83" spans="2:6">
      <c r="B83" s="50" t="s">
        <v>21</v>
      </c>
      <c r="C83" s="50" t="s">
        <v>1590</v>
      </c>
      <c r="D83" s="50">
        <f>DATE(YEAR(OneWeekMtgRatesDataTable756[[#This Row],[asofdate]]),MONTH(OneWeekMtgRatesDataTable756[[#This Row],[asofdate]]),DAY(OneWeekMtgRatesDataTable756[[#This Row],[asofdate]]))</f>
        <v>42205</v>
      </c>
      <c r="E83" s="50" t="s">
        <v>11</v>
      </c>
      <c r="F83" s="57">
        <v>0.189</v>
      </c>
    </row>
    <row r="84" spans="2:6">
      <c r="B84" s="50" t="s">
        <v>21</v>
      </c>
      <c r="C84" s="50" t="s">
        <v>1591</v>
      </c>
      <c r="D84" s="50">
        <f>DATE(YEAR(OneWeekMtgRatesDataTable756[[#This Row],[asofdate]]),MONTH(OneWeekMtgRatesDataTable756[[#This Row],[asofdate]]),DAY(OneWeekMtgRatesDataTable756[[#This Row],[asofdate]]))</f>
        <v>42202</v>
      </c>
      <c r="E84" s="50" t="s">
        <v>11</v>
      </c>
      <c r="F84" s="57">
        <v>0.1905</v>
      </c>
    </row>
    <row r="85" spans="2:6">
      <c r="B85" s="50" t="s">
        <v>21</v>
      </c>
      <c r="C85" s="50" t="s">
        <v>1592</v>
      </c>
      <c r="D85" s="50">
        <f>DATE(YEAR(OneWeekMtgRatesDataTable756[[#This Row],[asofdate]]),MONTH(OneWeekMtgRatesDataTable756[[#This Row],[asofdate]]),DAY(OneWeekMtgRatesDataTable756[[#This Row],[asofdate]]))</f>
        <v>42201</v>
      </c>
      <c r="E85" s="50" t="s">
        <v>11</v>
      </c>
      <c r="F85" s="57">
        <v>0.188</v>
      </c>
    </row>
    <row r="86" spans="2:6">
      <c r="B86" s="50" t="s">
        <v>21</v>
      </c>
      <c r="C86" s="50" t="s">
        <v>1593</v>
      </c>
      <c r="D86" s="50">
        <f>DATE(YEAR(OneWeekMtgRatesDataTable756[[#This Row],[asofdate]]),MONTH(OneWeekMtgRatesDataTable756[[#This Row],[asofdate]]),DAY(OneWeekMtgRatesDataTable756[[#This Row],[asofdate]]))</f>
        <v>42200</v>
      </c>
      <c r="E86" s="50" t="s">
        <v>11</v>
      </c>
      <c r="F86" s="57">
        <v>0.186</v>
      </c>
    </row>
    <row r="87" spans="2:6">
      <c r="B87" s="50" t="s">
        <v>21</v>
      </c>
      <c r="C87" s="50" t="s">
        <v>1594</v>
      </c>
      <c r="D87" s="50">
        <f>DATE(YEAR(OneWeekMtgRatesDataTable756[[#This Row],[asofdate]]),MONTH(OneWeekMtgRatesDataTable756[[#This Row],[asofdate]]),DAY(OneWeekMtgRatesDataTable756[[#This Row],[asofdate]]))</f>
        <v>42199</v>
      </c>
      <c r="E87" s="50" t="s">
        <v>11</v>
      </c>
      <c r="F87" s="57">
        <v>0.187</v>
      </c>
    </row>
    <row r="88" spans="2:6">
      <c r="B88" s="50" t="s">
        <v>21</v>
      </c>
      <c r="C88" s="50" t="s">
        <v>1595</v>
      </c>
      <c r="D88" s="50">
        <f>DATE(YEAR(OneWeekMtgRatesDataTable756[[#This Row],[asofdate]]),MONTH(OneWeekMtgRatesDataTable756[[#This Row],[asofdate]]),DAY(OneWeekMtgRatesDataTable756[[#This Row],[asofdate]]))</f>
        <v>42198</v>
      </c>
      <c r="E88" s="50" t="s">
        <v>11</v>
      </c>
      <c r="F88" s="57">
        <v>0.18729999999999999</v>
      </c>
    </row>
    <row r="89" spans="2:6">
      <c r="B89" s="50" t="s">
        <v>21</v>
      </c>
      <c r="C89" s="50" t="s">
        <v>1596</v>
      </c>
      <c r="D89" s="50">
        <f>DATE(YEAR(OneWeekMtgRatesDataTable756[[#This Row],[asofdate]]),MONTH(OneWeekMtgRatesDataTable756[[#This Row],[asofdate]]),DAY(OneWeekMtgRatesDataTable756[[#This Row],[asofdate]]))</f>
        <v>42195</v>
      </c>
      <c r="E89" s="50" t="s">
        <v>11</v>
      </c>
      <c r="F89" s="57">
        <v>0.186</v>
      </c>
    </row>
    <row r="90" spans="2:6">
      <c r="B90" s="50" t="s">
        <v>21</v>
      </c>
      <c r="C90" s="50" t="s">
        <v>1597</v>
      </c>
      <c r="D90" s="50">
        <f>DATE(YEAR(OneWeekMtgRatesDataTable756[[#This Row],[asofdate]]),MONTH(OneWeekMtgRatesDataTable756[[#This Row],[asofdate]]),DAY(OneWeekMtgRatesDataTable756[[#This Row],[asofdate]]))</f>
        <v>42194</v>
      </c>
      <c r="E90" s="50" t="s">
        <v>11</v>
      </c>
      <c r="F90" s="57">
        <v>0.1867</v>
      </c>
    </row>
    <row r="91" spans="2:6">
      <c r="B91" s="50" t="s">
        <v>21</v>
      </c>
      <c r="C91" s="50" t="s">
        <v>1598</v>
      </c>
      <c r="D91" s="50">
        <f>DATE(YEAR(OneWeekMtgRatesDataTable756[[#This Row],[asofdate]]),MONTH(OneWeekMtgRatesDataTable756[[#This Row],[asofdate]]),DAY(OneWeekMtgRatesDataTable756[[#This Row],[asofdate]]))</f>
        <v>42193</v>
      </c>
      <c r="E91" s="50" t="s">
        <v>11</v>
      </c>
      <c r="F91" s="57">
        <v>0.1885</v>
      </c>
    </row>
    <row r="92" spans="2:6">
      <c r="B92" s="50" t="s">
        <v>21</v>
      </c>
      <c r="C92" s="50" t="s">
        <v>1599</v>
      </c>
      <c r="D92" s="50">
        <f>DATE(YEAR(OneWeekMtgRatesDataTable756[[#This Row],[asofdate]]),MONTH(OneWeekMtgRatesDataTable756[[#This Row],[asofdate]]),DAY(OneWeekMtgRatesDataTable756[[#This Row],[asofdate]]))</f>
        <v>42192</v>
      </c>
      <c r="E92" s="50" t="s">
        <v>11</v>
      </c>
      <c r="F92" s="57">
        <v>0.1895</v>
      </c>
    </row>
    <row r="93" spans="2:6">
      <c r="B93" s="50" t="s">
        <v>21</v>
      </c>
      <c r="C93" s="50" t="s">
        <v>1600</v>
      </c>
      <c r="D93" s="50">
        <f>DATE(YEAR(OneWeekMtgRatesDataTable756[[#This Row],[asofdate]]),MONTH(OneWeekMtgRatesDataTable756[[#This Row],[asofdate]]),DAY(OneWeekMtgRatesDataTable756[[#This Row],[asofdate]]))</f>
        <v>42191</v>
      </c>
      <c r="E93" s="50" t="s">
        <v>11</v>
      </c>
      <c r="F93" s="57">
        <v>0.1865</v>
      </c>
    </row>
    <row r="94" spans="2:6">
      <c r="B94" s="50" t="s">
        <v>21</v>
      </c>
      <c r="C94" s="50" t="s">
        <v>1601</v>
      </c>
      <c r="D94" s="50">
        <f>DATE(YEAR(OneWeekMtgRatesDataTable756[[#This Row],[asofdate]]),MONTH(OneWeekMtgRatesDataTable756[[#This Row],[asofdate]]),DAY(OneWeekMtgRatesDataTable756[[#This Row],[asofdate]]))</f>
        <v>42187</v>
      </c>
      <c r="E94" s="50" t="s">
        <v>11</v>
      </c>
      <c r="F94" s="57">
        <v>0.18815000000000001</v>
      </c>
    </row>
    <row r="95" spans="2:6">
      <c r="B95" s="50" t="s">
        <v>21</v>
      </c>
      <c r="C95" s="50" t="s">
        <v>1602</v>
      </c>
      <c r="D95" s="50">
        <f>DATE(YEAR(OneWeekMtgRatesDataTable756[[#This Row],[asofdate]]),MONTH(OneWeekMtgRatesDataTable756[[#This Row],[asofdate]]),DAY(OneWeekMtgRatesDataTable756[[#This Row],[asofdate]]))</f>
        <v>42186</v>
      </c>
      <c r="E95" s="50" t="s">
        <v>11</v>
      </c>
      <c r="F95" s="57">
        <v>0.185</v>
      </c>
    </row>
    <row r="96" spans="2:6">
      <c r="B96" s="50" t="s">
        <v>21</v>
      </c>
      <c r="C96" s="50" t="s">
        <v>1555</v>
      </c>
      <c r="D96" s="50">
        <f>DATE(YEAR(OneWeekMtgRatesDataTable756[[#This Row],[asofdate]]),MONTH(OneWeekMtgRatesDataTable756[[#This Row],[asofdate]]),DAY(OneWeekMtgRatesDataTable756[[#This Row],[asofdate]]))</f>
        <v>42185</v>
      </c>
      <c r="E96" s="50" t="s">
        <v>11</v>
      </c>
      <c r="F96" s="57">
        <v>0.1865</v>
      </c>
    </row>
    <row r="97" spans="2:6">
      <c r="B97" s="50" t="s">
        <v>21</v>
      </c>
      <c r="C97" s="50" t="s">
        <v>1556</v>
      </c>
      <c r="D97" s="50">
        <f>DATE(YEAR(OneWeekMtgRatesDataTable756[[#This Row],[asofdate]]),MONTH(OneWeekMtgRatesDataTable756[[#This Row],[asofdate]]),DAY(OneWeekMtgRatesDataTable756[[#This Row],[asofdate]]))</f>
        <v>42184</v>
      </c>
      <c r="E97" s="50" t="s">
        <v>11</v>
      </c>
      <c r="F97" s="57">
        <v>0.18659999999999999</v>
      </c>
    </row>
    <row r="98" spans="2:6">
      <c r="B98" s="50" t="s">
        <v>21</v>
      </c>
      <c r="C98" s="50" t="s">
        <v>1557</v>
      </c>
      <c r="D98" s="50">
        <f>DATE(YEAR(OneWeekMtgRatesDataTable756[[#This Row],[asofdate]]),MONTH(OneWeekMtgRatesDataTable756[[#This Row],[asofdate]]),DAY(OneWeekMtgRatesDataTable756[[#This Row],[asofdate]]))</f>
        <v>42181</v>
      </c>
      <c r="E98" s="50" t="s">
        <v>11</v>
      </c>
      <c r="F98" s="57">
        <v>0.18659999999999999</v>
      </c>
    </row>
    <row r="99" spans="2:6">
      <c r="B99" s="50" t="s">
        <v>21</v>
      </c>
      <c r="C99" s="50" t="s">
        <v>1558</v>
      </c>
      <c r="D99" s="50">
        <f>DATE(YEAR(OneWeekMtgRatesDataTable756[[#This Row],[asofdate]]),MONTH(OneWeekMtgRatesDataTable756[[#This Row],[asofdate]]),DAY(OneWeekMtgRatesDataTable756[[#This Row],[asofdate]]))</f>
        <v>42180</v>
      </c>
      <c r="E99" s="50" t="s">
        <v>11</v>
      </c>
      <c r="F99" s="57">
        <v>0.186</v>
      </c>
    </row>
    <row r="100" spans="2:6">
      <c r="B100" s="50" t="s">
        <v>21</v>
      </c>
      <c r="C100" s="50" t="s">
        <v>1559</v>
      </c>
      <c r="D100" s="50">
        <f>DATE(YEAR(OneWeekMtgRatesDataTable756[[#This Row],[asofdate]]),MONTH(OneWeekMtgRatesDataTable756[[#This Row],[asofdate]]),DAY(OneWeekMtgRatesDataTable756[[#This Row],[asofdate]]))</f>
        <v>42179</v>
      </c>
      <c r="E100" s="50" t="s">
        <v>11</v>
      </c>
      <c r="F100" s="57">
        <v>0.1865</v>
      </c>
    </row>
    <row r="101" spans="2:6">
      <c r="B101" s="50" t="s">
        <v>21</v>
      </c>
      <c r="C101" s="50" t="s">
        <v>1560</v>
      </c>
      <c r="D101" s="50">
        <f>DATE(YEAR(OneWeekMtgRatesDataTable756[[#This Row],[asofdate]]),MONTH(OneWeekMtgRatesDataTable756[[#This Row],[asofdate]]),DAY(OneWeekMtgRatesDataTable756[[#This Row],[asofdate]]))</f>
        <v>42178</v>
      </c>
      <c r="E101" s="50" t="s">
        <v>11</v>
      </c>
      <c r="F101" s="57">
        <v>0.187</v>
      </c>
    </row>
    <row r="102" spans="2:6">
      <c r="B102" s="50" t="s">
        <v>21</v>
      </c>
      <c r="C102" s="50" t="s">
        <v>1561</v>
      </c>
      <c r="D102" s="50">
        <f>DATE(YEAR(OneWeekMtgRatesDataTable756[[#This Row],[asofdate]]),MONTH(OneWeekMtgRatesDataTable756[[#This Row],[asofdate]]),DAY(OneWeekMtgRatesDataTable756[[#This Row],[asofdate]]))</f>
        <v>42177</v>
      </c>
      <c r="E102" s="50" t="s">
        <v>11</v>
      </c>
      <c r="F102" s="57">
        <v>0.187</v>
      </c>
    </row>
    <row r="103" spans="2:6">
      <c r="B103" s="50" t="s">
        <v>21</v>
      </c>
      <c r="C103" s="50" t="s">
        <v>1562</v>
      </c>
      <c r="D103" s="50">
        <f>DATE(YEAR(OneWeekMtgRatesDataTable756[[#This Row],[asofdate]]),MONTH(OneWeekMtgRatesDataTable756[[#This Row],[asofdate]]),DAY(OneWeekMtgRatesDataTable756[[#This Row],[asofdate]]))</f>
        <v>42174</v>
      </c>
      <c r="E103" s="50" t="s">
        <v>11</v>
      </c>
      <c r="F103" s="57">
        <v>0.187</v>
      </c>
    </row>
    <row r="104" spans="2:6">
      <c r="B104" s="50" t="s">
        <v>21</v>
      </c>
      <c r="C104" s="50" t="s">
        <v>1563</v>
      </c>
      <c r="D104" s="50">
        <f>DATE(YEAR(OneWeekMtgRatesDataTable756[[#This Row],[asofdate]]),MONTH(OneWeekMtgRatesDataTable756[[#This Row],[asofdate]]),DAY(OneWeekMtgRatesDataTable756[[#This Row],[asofdate]]))</f>
        <v>42173</v>
      </c>
      <c r="E104" s="50" t="s">
        <v>11</v>
      </c>
      <c r="F104" s="57">
        <v>0.18675</v>
      </c>
    </row>
    <row r="105" spans="2:6">
      <c r="B105" s="50" t="s">
        <v>21</v>
      </c>
      <c r="C105" s="50" t="s">
        <v>1564</v>
      </c>
      <c r="D105" s="50">
        <f>DATE(YEAR(OneWeekMtgRatesDataTable756[[#This Row],[asofdate]]),MONTH(OneWeekMtgRatesDataTable756[[#This Row],[asofdate]]),DAY(OneWeekMtgRatesDataTable756[[#This Row],[asofdate]]))</f>
        <v>42172</v>
      </c>
      <c r="E105" s="50" t="s">
        <v>11</v>
      </c>
      <c r="F105" s="57">
        <v>0.1875</v>
      </c>
    </row>
    <row r="106" spans="2:6">
      <c r="B106" s="50" t="s">
        <v>21</v>
      </c>
      <c r="C106" s="50" t="s">
        <v>1565</v>
      </c>
      <c r="D106" s="50">
        <f>DATE(YEAR(OneWeekMtgRatesDataTable756[[#This Row],[asofdate]]),MONTH(OneWeekMtgRatesDataTable756[[#This Row],[asofdate]]),DAY(OneWeekMtgRatesDataTable756[[#This Row],[asofdate]]))</f>
        <v>42171</v>
      </c>
      <c r="E106" s="50" t="s">
        <v>11</v>
      </c>
      <c r="F106" s="57">
        <v>0.185</v>
      </c>
    </row>
    <row r="107" spans="2:6">
      <c r="B107" s="50" t="s">
        <v>21</v>
      </c>
      <c r="C107" s="50" t="s">
        <v>1566</v>
      </c>
      <c r="D107" s="50">
        <f>DATE(YEAR(OneWeekMtgRatesDataTable756[[#This Row],[asofdate]]),MONTH(OneWeekMtgRatesDataTable756[[#This Row],[asofdate]]),DAY(OneWeekMtgRatesDataTable756[[#This Row],[asofdate]]))</f>
        <v>42170</v>
      </c>
      <c r="E107" s="50" t="s">
        <v>11</v>
      </c>
      <c r="F107" s="57">
        <v>0.18525</v>
      </c>
    </row>
    <row r="108" spans="2:6">
      <c r="B108" s="50" t="s">
        <v>21</v>
      </c>
      <c r="C108" s="50" t="s">
        <v>1567</v>
      </c>
      <c r="D108" s="50">
        <f>DATE(YEAR(OneWeekMtgRatesDataTable756[[#This Row],[asofdate]]),MONTH(OneWeekMtgRatesDataTable756[[#This Row],[asofdate]]),DAY(OneWeekMtgRatesDataTable756[[#This Row],[asofdate]]))</f>
        <v>42167</v>
      </c>
      <c r="E108" s="50" t="s">
        <v>11</v>
      </c>
      <c r="F108" s="57">
        <v>0.18475</v>
      </c>
    </row>
    <row r="109" spans="2:6">
      <c r="B109" s="50" t="s">
        <v>21</v>
      </c>
      <c r="C109" s="50" t="s">
        <v>1568</v>
      </c>
      <c r="D109" s="50">
        <f>DATE(YEAR(OneWeekMtgRatesDataTable756[[#This Row],[asofdate]]),MONTH(OneWeekMtgRatesDataTable756[[#This Row],[asofdate]]),DAY(OneWeekMtgRatesDataTable756[[#This Row],[asofdate]]))</f>
        <v>42166</v>
      </c>
      <c r="E109" s="50" t="s">
        <v>11</v>
      </c>
      <c r="F109" s="57">
        <v>0.1855</v>
      </c>
    </row>
    <row r="110" spans="2:6">
      <c r="B110" s="50" t="s">
        <v>21</v>
      </c>
      <c r="C110" s="50" t="s">
        <v>1569</v>
      </c>
      <c r="D110" s="50">
        <f>DATE(YEAR(OneWeekMtgRatesDataTable756[[#This Row],[asofdate]]),MONTH(OneWeekMtgRatesDataTable756[[#This Row],[asofdate]]),DAY(OneWeekMtgRatesDataTable756[[#This Row],[asofdate]]))</f>
        <v>42165</v>
      </c>
      <c r="E110" s="50" t="s">
        <v>11</v>
      </c>
      <c r="F110" s="57">
        <v>0.18875</v>
      </c>
    </row>
    <row r="111" spans="2:6">
      <c r="B111" s="50" t="s">
        <v>21</v>
      </c>
      <c r="C111" s="50" t="s">
        <v>1570</v>
      </c>
      <c r="D111" s="50">
        <f>DATE(YEAR(OneWeekMtgRatesDataTable756[[#This Row],[asofdate]]),MONTH(OneWeekMtgRatesDataTable756[[#This Row],[asofdate]]),DAY(OneWeekMtgRatesDataTable756[[#This Row],[asofdate]]))</f>
        <v>42164</v>
      </c>
      <c r="E111" s="50" t="s">
        <v>11</v>
      </c>
      <c r="F111" s="57">
        <v>0.1875</v>
      </c>
    </row>
    <row r="112" spans="2:6">
      <c r="B112" s="50" t="s">
        <v>21</v>
      </c>
      <c r="C112" s="50" t="s">
        <v>1571</v>
      </c>
      <c r="D112" s="50">
        <f>DATE(YEAR(OneWeekMtgRatesDataTable756[[#This Row],[asofdate]]),MONTH(OneWeekMtgRatesDataTable756[[#This Row],[asofdate]]),DAY(OneWeekMtgRatesDataTable756[[#This Row],[asofdate]]))</f>
        <v>42163</v>
      </c>
      <c r="E112" s="50" t="s">
        <v>11</v>
      </c>
      <c r="F112" s="57">
        <v>0.18540000000000001</v>
      </c>
    </row>
    <row r="113" spans="2:6">
      <c r="B113" s="50" t="s">
        <v>21</v>
      </c>
      <c r="C113" s="50" t="s">
        <v>1572</v>
      </c>
      <c r="D113" s="50">
        <f>DATE(YEAR(OneWeekMtgRatesDataTable756[[#This Row],[asofdate]]),MONTH(OneWeekMtgRatesDataTable756[[#This Row],[asofdate]]),DAY(OneWeekMtgRatesDataTable756[[#This Row],[asofdate]]))</f>
        <v>42160</v>
      </c>
      <c r="E113" s="50" t="s">
        <v>11</v>
      </c>
      <c r="F113" s="57">
        <v>0.183</v>
      </c>
    </row>
    <row r="114" spans="2:6">
      <c r="B114" s="50" t="s">
        <v>21</v>
      </c>
      <c r="C114" s="50" t="s">
        <v>1573</v>
      </c>
      <c r="D114" s="50">
        <f>DATE(YEAR(OneWeekMtgRatesDataTable756[[#This Row],[asofdate]]),MONTH(OneWeekMtgRatesDataTable756[[#This Row],[asofdate]]),DAY(OneWeekMtgRatesDataTable756[[#This Row],[asofdate]]))</f>
        <v>42159</v>
      </c>
      <c r="E114" s="50" t="s">
        <v>11</v>
      </c>
      <c r="F114" s="57">
        <v>0.18404999999999999</v>
      </c>
    </row>
    <row r="115" spans="2:6">
      <c r="B115" s="50" t="s">
        <v>21</v>
      </c>
      <c r="C115" s="50" t="s">
        <v>1574</v>
      </c>
      <c r="D115" s="50">
        <f>DATE(YEAR(OneWeekMtgRatesDataTable756[[#This Row],[asofdate]]),MONTH(OneWeekMtgRatesDataTable756[[#This Row],[asofdate]]),DAY(OneWeekMtgRatesDataTable756[[#This Row],[asofdate]]))</f>
        <v>42158</v>
      </c>
      <c r="E115" s="50" t="s">
        <v>11</v>
      </c>
      <c r="F115" s="57">
        <v>0.185</v>
      </c>
    </row>
    <row r="116" spans="2:6">
      <c r="B116" s="50" t="s">
        <v>21</v>
      </c>
      <c r="C116" s="50" t="s">
        <v>1575</v>
      </c>
      <c r="D116" s="50">
        <f>DATE(YEAR(OneWeekMtgRatesDataTable756[[#This Row],[asofdate]]),MONTH(OneWeekMtgRatesDataTable756[[#This Row],[asofdate]]),DAY(OneWeekMtgRatesDataTable756[[#This Row],[asofdate]]))</f>
        <v>42157</v>
      </c>
      <c r="E116" s="50" t="s">
        <v>11</v>
      </c>
      <c r="F116" s="57">
        <v>0.18479999999999999</v>
      </c>
    </row>
    <row r="117" spans="2:6">
      <c r="B117" s="50" t="s">
        <v>21</v>
      </c>
      <c r="C117" s="50" t="s">
        <v>1527</v>
      </c>
      <c r="D117" s="50">
        <f>DATE(YEAR(OneWeekMtgRatesDataTable756[[#This Row],[asofdate]]),MONTH(OneWeekMtgRatesDataTable756[[#This Row],[asofdate]]),DAY(OneWeekMtgRatesDataTable756[[#This Row],[asofdate]]))</f>
        <v>42156</v>
      </c>
      <c r="E117" s="50" t="s">
        <v>11</v>
      </c>
      <c r="F117" s="57">
        <v>0.183</v>
      </c>
    </row>
    <row r="118" spans="2:6">
      <c r="B118" s="50" t="s">
        <v>21</v>
      </c>
      <c r="C118" s="50" t="s">
        <v>1528</v>
      </c>
      <c r="D118" s="50">
        <f>DATE(YEAR(OneWeekMtgRatesDataTable756[[#This Row],[asofdate]]),MONTH(OneWeekMtgRatesDataTable756[[#This Row],[asofdate]]),DAY(OneWeekMtgRatesDataTable756[[#This Row],[asofdate]]))</f>
        <v>42153</v>
      </c>
      <c r="E118" s="50" t="s">
        <v>11</v>
      </c>
      <c r="F118" s="57">
        <v>0.184</v>
      </c>
    </row>
    <row r="119" spans="2:6">
      <c r="B119" s="50" t="s">
        <v>21</v>
      </c>
      <c r="C119" s="50" t="s">
        <v>1529</v>
      </c>
      <c r="D119" s="50">
        <f>DATE(YEAR(OneWeekMtgRatesDataTable756[[#This Row],[asofdate]]),MONTH(OneWeekMtgRatesDataTable756[[#This Row],[asofdate]]),DAY(OneWeekMtgRatesDataTable756[[#This Row],[asofdate]]))</f>
        <v>42152</v>
      </c>
      <c r="E119" s="50" t="s">
        <v>11</v>
      </c>
      <c r="F119" s="57">
        <v>0.184</v>
      </c>
    </row>
    <row r="120" spans="2:6">
      <c r="B120" s="50" t="s">
        <v>21</v>
      </c>
      <c r="C120" s="50" t="s">
        <v>1530</v>
      </c>
      <c r="D120" s="50">
        <f>DATE(YEAR(OneWeekMtgRatesDataTable756[[#This Row],[asofdate]]),MONTH(OneWeekMtgRatesDataTable756[[#This Row],[asofdate]]),DAY(OneWeekMtgRatesDataTable756[[#This Row],[asofdate]]))</f>
        <v>42151</v>
      </c>
      <c r="E120" s="50" t="s">
        <v>11</v>
      </c>
      <c r="F120" s="57">
        <v>0.18534999999999999</v>
      </c>
    </row>
    <row r="121" spans="2:6">
      <c r="B121" s="50" t="s">
        <v>21</v>
      </c>
      <c r="C121" s="50" t="s">
        <v>1531</v>
      </c>
      <c r="D121" s="50">
        <f>DATE(YEAR(OneWeekMtgRatesDataTable756[[#This Row],[asofdate]]),MONTH(OneWeekMtgRatesDataTable756[[#This Row],[asofdate]]),DAY(OneWeekMtgRatesDataTable756[[#This Row],[asofdate]]))</f>
        <v>42150</v>
      </c>
      <c r="E121" s="50" t="s">
        <v>11</v>
      </c>
      <c r="F121" s="57">
        <v>0.18629999999999999</v>
      </c>
    </row>
    <row r="122" spans="2:6">
      <c r="B122" s="50" t="s">
        <v>21</v>
      </c>
      <c r="C122" s="50" t="s">
        <v>1532</v>
      </c>
      <c r="D122" s="50">
        <f>DATE(YEAR(OneWeekMtgRatesDataTable756[[#This Row],[asofdate]]),MONTH(OneWeekMtgRatesDataTable756[[#This Row],[asofdate]]),DAY(OneWeekMtgRatesDataTable756[[#This Row],[asofdate]]))</f>
        <v>42146</v>
      </c>
      <c r="E122" s="50" t="s">
        <v>11</v>
      </c>
      <c r="F122" s="57">
        <v>0.18484999999999999</v>
      </c>
    </row>
    <row r="123" spans="2:6">
      <c r="B123" s="50" t="s">
        <v>21</v>
      </c>
      <c r="C123" s="50" t="s">
        <v>1533</v>
      </c>
      <c r="D123" s="50">
        <f>DATE(YEAR(OneWeekMtgRatesDataTable756[[#This Row],[asofdate]]),MONTH(OneWeekMtgRatesDataTable756[[#This Row],[asofdate]]),DAY(OneWeekMtgRatesDataTable756[[#This Row],[asofdate]]))</f>
        <v>42145</v>
      </c>
      <c r="E123" s="50" t="s">
        <v>11</v>
      </c>
      <c r="F123" s="57">
        <v>0.18475</v>
      </c>
    </row>
    <row r="124" spans="2:6">
      <c r="B124" s="50" t="s">
        <v>21</v>
      </c>
      <c r="C124" s="50" t="s">
        <v>1534</v>
      </c>
      <c r="D124" s="50">
        <f>DATE(YEAR(OneWeekMtgRatesDataTable756[[#This Row],[asofdate]]),MONTH(OneWeekMtgRatesDataTable756[[#This Row],[asofdate]]),DAY(OneWeekMtgRatesDataTable756[[#This Row],[asofdate]]))</f>
        <v>42144</v>
      </c>
      <c r="E124" s="50" t="s">
        <v>11</v>
      </c>
      <c r="F124" s="57">
        <v>0.18475</v>
      </c>
    </row>
    <row r="125" spans="2:6">
      <c r="B125" s="50" t="s">
        <v>21</v>
      </c>
      <c r="C125" s="50" t="s">
        <v>1535</v>
      </c>
      <c r="D125" s="50">
        <f>DATE(YEAR(OneWeekMtgRatesDataTable756[[#This Row],[asofdate]]),MONTH(OneWeekMtgRatesDataTable756[[#This Row],[asofdate]]),DAY(OneWeekMtgRatesDataTable756[[#This Row],[asofdate]]))</f>
        <v>42143</v>
      </c>
      <c r="E125" s="50" t="s">
        <v>11</v>
      </c>
      <c r="F125" s="57">
        <v>0.18675</v>
      </c>
    </row>
    <row r="126" spans="2:6">
      <c r="B126" s="50" t="s">
        <v>21</v>
      </c>
      <c r="C126" s="50" t="s">
        <v>1536</v>
      </c>
      <c r="D126" s="50">
        <f>DATE(YEAR(OneWeekMtgRatesDataTable756[[#This Row],[asofdate]]),MONTH(OneWeekMtgRatesDataTable756[[#This Row],[asofdate]]),DAY(OneWeekMtgRatesDataTable756[[#This Row],[asofdate]]))</f>
        <v>42142</v>
      </c>
      <c r="E126" s="50" t="s">
        <v>11</v>
      </c>
      <c r="F126" s="57">
        <v>0.184</v>
      </c>
    </row>
    <row r="127" spans="2:6">
      <c r="B127" s="50" t="s">
        <v>21</v>
      </c>
      <c r="C127" s="50" t="s">
        <v>1537</v>
      </c>
      <c r="D127" s="50">
        <f>DATE(YEAR(OneWeekMtgRatesDataTable756[[#This Row],[asofdate]]),MONTH(OneWeekMtgRatesDataTable756[[#This Row],[asofdate]]),DAY(OneWeekMtgRatesDataTable756[[#This Row],[asofdate]]))</f>
        <v>42139</v>
      </c>
      <c r="E127" s="50" t="s">
        <v>11</v>
      </c>
      <c r="F127" s="57">
        <v>0.1862</v>
      </c>
    </row>
    <row r="128" spans="2:6">
      <c r="B128" s="50" t="s">
        <v>21</v>
      </c>
      <c r="C128" s="50" t="s">
        <v>1538</v>
      </c>
      <c r="D128" s="50">
        <f>DATE(YEAR(OneWeekMtgRatesDataTable756[[#This Row],[asofdate]]),MONTH(OneWeekMtgRatesDataTable756[[#This Row],[asofdate]]),DAY(OneWeekMtgRatesDataTable756[[#This Row],[asofdate]]))</f>
        <v>42138</v>
      </c>
      <c r="E128" s="50" t="s">
        <v>11</v>
      </c>
      <c r="F128" s="57">
        <v>0.18335000000000001</v>
      </c>
    </row>
    <row r="129" spans="2:6">
      <c r="B129" s="50" t="s">
        <v>21</v>
      </c>
      <c r="C129" s="50" t="s">
        <v>1539</v>
      </c>
      <c r="D129" s="50">
        <f>DATE(YEAR(OneWeekMtgRatesDataTable756[[#This Row],[asofdate]]),MONTH(OneWeekMtgRatesDataTable756[[#This Row],[asofdate]]),DAY(OneWeekMtgRatesDataTable756[[#This Row],[asofdate]]))</f>
        <v>42137</v>
      </c>
      <c r="E129" s="50" t="s">
        <v>11</v>
      </c>
      <c r="F129" s="57">
        <v>0.18559999999999999</v>
      </c>
    </row>
    <row r="130" spans="2:6">
      <c r="B130" s="50" t="s">
        <v>21</v>
      </c>
      <c r="C130" s="50" t="s">
        <v>1540</v>
      </c>
      <c r="D130" s="50">
        <f>DATE(YEAR(OneWeekMtgRatesDataTable756[[#This Row],[asofdate]]),MONTH(OneWeekMtgRatesDataTable756[[#This Row],[asofdate]]),DAY(OneWeekMtgRatesDataTable756[[#This Row],[asofdate]]))</f>
        <v>42136</v>
      </c>
      <c r="E130" s="50" t="s">
        <v>11</v>
      </c>
      <c r="F130" s="57">
        <v>0.18559999999999999</v>
      </c>
    </row>
    <row r="131" spans="2:6">
      <c r="B131" s="50" t="s">
        <v>21</v>
      </c>
      <c r="C131" s="50" t="s">
        <v>1541</v>
      </c>
      <c r="D131" s="50">
        <f>DATE(YEAR(OneWeekMtgRatesDataTable756[[#This Row],[asofdate]]),MONTH(OneWeekMtgRatesDataTable756[[#This Row],[asofdate]]),DAY(OneWeekMtgRatesDataTable756[[#This Row],[asofdate]]))</f>
        <v>42135</v>
      </c>
      <c r="E131" s="50" t="s">
        <v>11</v>
      </c>
      <c r="F131" s="57">
        <v>0.18559999999999999</v>
      </c>
    </row>
    <row r="132" spans="2:6">
      <c r="B132" s="50" t="s">
        <v>21</v>
      </c>
      <c r="C132" s="50" t="s">
        <v>1526</v>
      </c>
      <c r="D132" s="50">
        <f>DATE(YEAR(OneWeekMtgRatesDataTable756[[#This Row],[asofdate]]),MONTH(OneWeekMtgRatesDataTable756[[#This Row],[asofdate]]),DAY(OneWeekMtgRatesDataTable756[[#This Row],[asofdate]]))</f>
        <v>42132</v>
      </c>
      <c r="E132" s="50" t="s">
        <v>11</v>
      </c>
      <c r="F132" s="57">
        <v>0.18475</v>
      </c>
    </row>
    <row r="133" spans="2:6">
      <c r="B133" s="50" t="s">
        <v>21</v>
      </c>
      <c r="C133" s="50" t="s">
        <v>24</v>
      </c>
      <c r="D133" s="50">
        <f>DATE(YEAR(OneWeekMtgRatesDataTable756[[#This Row],[asofdate]]),MONTH(OneWeekMtgRatesDataTable756[[#This Row],[asofdate]]),DAY(OneWeekMtgRatesDataTable756[[#This Row],[asofdate]]))</f>
        <v>42131</v>
      </c>
      <c r="E133" s="50" t="s">
        <v>11</v>
      </c>
      <c r="F133" s="57">
        <v>0.18149999999999999</v>
      </c>
    </row>
    <row r="134" spans="2:6">
      <c r="B134" s="50" t="s">
        <v>21</v>
      </c>
      <c r="C134" s="50" t="s">
        <v>1525</v>
      </c>
      <c r="D134" s="50">
        <f>DATE(YEAR(OneWeekMtgRatesDataTable756[[#This Row],[asofdate]]),MONTH(OneWeekMtgRatesDataTable756[[#This Row],[asofdate]]),DAY(OneWeekMtgRatesDataTable756[[#This Row],[asofdate]]))</f>
        <v>42130</v>
      </c>
      <c r="E134" s="50" t="s">
        <v>11</v>
      </c>
      <c r="F134" s="57">
        <v>0.18024999999999999</v>
      </c>
    </row>
    <row r="135" spans="2:6">
      <c r="B135" s="50" t="s">
        <v>21</v>
      </c>
      <c r="C135" s="50" t="s">
        <v>1524</v>
      </c>
      <c r="D135" s="50">
        <f>DATE(YEAR(OneWeekMtgRatesDataTable756[[#This Row],[asofdate]]),MONTH(OneWeekMtgRatesDataTable756[[#This Row],[asofdate]]),DAY(OneWeekMtgRatesDataTable756[[#This Row],[asofdate]]))</f>
        <v>42129</v>
      </c>
      <c r="E135" s="50" t="s">
        <v>11</v>
      </c>
      <c r="F135" s="57">
        <v>0.18049999999999999</v>
      </c>
    </row>
    <row r="136" spans="2:6">
      <c r="B136" s="50" t="s">
        <v>21</v>
      </c>
      <c r="C136" s="50" t="s">
        <v>1523</v>
      </c>
      <c r="D136" s="50">
        <f>DATE(YEAR(OneWeekMtgRatesDataTable756[[#This Row],[asofdate]]),MONTH(OneWeekMtgRatesDataTable756[[#This Row],[asofdate]]),DAY(OneWeekMtgRatesDataTable756[[#This Row],[asofdate]]))</f>
        <v>42128</v>
      </c>
      <c r="E136" s="50" t="s">
        <v>11</v>
      </c>
      <c r="F136" s="57">
        <v>0.18225</v>
      </c>
    </row>
    <row r="137" spans="2:6">
      <c r="B137" s="50" t="s">
        <v>21</v>
      </c>
      <c r="C137" s="50" t="s">
        <v>1522</v>
      </c>
      <c r="D137" s="50">
        <f>DATE(YEAR(OneWeekMtgRatesDataTable756[[#This Row],[asofdate]]),MONTH(OneWeekMtgRatesDataTable756[[#This Row],[asofdate]]),DAY(OneWeekMtgRatesDataTable756[[#This Row],[asofdate]]))</f>
        <v>42125</v>
      </c>
      <c r="E137" s="50" t="s">
        <v>11</v>
      </c>
      <c r="F137" s="57">
        <v>0.18225</v>
      </c>
    </row>
    <row r="138" spans="2:6">
      <c r="B138" s="50" t="s">
        <v>21</v>
      </c>
      <c r="C138" s="50" t="s">
        <v>1521</v>
      </c>
      <c r="D138" s="50">
        <f>DATE(YEAR(OneWeekMtgRatesDataTable756[[#This Row],[asofdate]]),MONTH(OneWeekMtgRatesDataTable756[[#This Row],[asofdate]]),DAY(OneWeekMtgRatesDataTable756[[#This Row],[asofdate]]))</f>
        <v>42124</v>
      </c>
      <c r="E138" s="50" t="s">
        <v>11</v>
      </c>
      <c r="F138" s="57">
        <v>0.18099999999999999</v>
      </c>
    </row>
    <row r="139" spans="2:6">
      <c r="B139" s="50" t="s">
        <v>21</v>
      </c>
      <c r="C139" s="50" t="s">
        <v>1520</v>
      </c>
      <c r="D139" s="50">
        <f>DATE(YEAR(OneWeekMtgRatesDataTable756[[#This Row],[asofdate]]),MONTH(OneWeekMtgRatesDataTable756[[#This Row],[asofdate]]),DAY(OneWeekMtgRatesDataTable756[[#This Row],[asofdate]]))</f>
        <v>42123</v>
      </c>
      <c r="E139" s="50" t="s">
        <v>11</v>
      </c>
      <c r="F139" s="57">
        <v>0.18024999999999999</v>
      </c>
    </row>
    <row r="140" spans="2:6">
      <c r="B140" s="50" t="s">
        <v>21</v>
      </c>
      <c r="C140" s="50" t="s">
        <v>1519</v>
      </c>
      <c r="D140" s="50">
        <f>DATE(YEAR(OneWeekMtgRatesDataTable756[[#This Row],[asofdate]]),MONTH(OneWeekMtgRatesDataTable756[[#This Row],[asofdate]]),DAY(OneWeekMtgRatesDataTable756[[#This Row],[asofdate]]))</f>
        <v>42122</v>
      </c>
      <c r="E140" s="50" t="s">
        <v>11</v>
      </c>
      <c r="F140" s="57">
        <v>0.18425</v>
      </c>
    </row>
    <row r="141" spans="2:6">
      <c r="B141" s="50" t="s">
        <v>21</v>
      </c>
      <c r="C141" s="50" t="s">
        <v>1518</v>
      </c>
      <c r="D141" s="50">
        <f>DATE(YEAR(OneWeekMtgRatesDataTable756[[#This Row],[asofdate]]),MONTH(OneWeekMtgRatesDataTable756[[#This Row],[asofdate]]),DAY(OneWeekMtgRatesDataTable756[[#This Row],[asofdate]]))</f>
        <v>42121</v>
      </c>
      <c r="E141" s="50" t="s">
        <v>11</v>
      </c>
      <c r="F141" s="57">
        <v>0.18124999999999999</v>
      </c>
    </row>
    <row r="142" spans="2:6">
      <c r="B142" s="50" t="s">
        <v>21</v>
      </c>
      <c r="C142" s="50" t="s">
        <v>1517</v>
      </c>
      <c r="D142" s="50">
        <f>DATE(YEAR(OneWeekMtgRatesDataTable756[[#This Row],[asofdate]]),MONTH(OneWeekMtgRatesDataTable756[[#This Row],[asofdate]]),DAY(OneWeekMtgRatesDataTable756[[#This Row],[asofdate]]))</f>
        <v>42118</v>
      </c>
      <c r="E142" s="50" t="s">
        <v>11</v>
      </c>
      <c r="F142" s="57">
        <v>0.18149999999999999</v>
      </c>
    </row>
    <row r="143" spans="2:6">
      <c r="B143" s="50" t="s">
        <v>21</v>
      </c>
      <c r="C143" s="50" t="s">
        <v>1516</v>
      </c>
      <c r="D143" s="50">
        <f>DATE(YEAR(OneWeekMtgRatesDataTable756[[#This Row],[asofdate]]),MONTH(OneWeekMtgRatesDataTable756[[#This Row],[asofdate]]),DAY(OneWeekMtgRatesDataTable756[[#This Row],[asofdate]]))</f>
        <v>42117</v>
      </c>
      <c r="E143" s="50" t="s">
        <v>11</v>
      </c>
      <c r="F143" s="57">
        <v>0.18124999999999999</v>
      </c>
    </row>
    <row r="144" spans="2:6">
      <c r="B144" s="50" t="s">
        <v>21</v>
      </c>
      <c r="C144" s="50" t="s">
        <v>1515</v>
      </c>
      <c r="D144" s="50">
        <f>DATE(YEAR(OneWeekMtgRatesDataTable756[[#This Row],[asofdate]]),MONTH(OneWeekMtgRatesDataTable756[[#This Row],[asofdate]]),DAY(OneWeekMtgRatesDataTable756[[#This Row],[asofdate]]))</f>
        <v>42116</v>
      </c>
      <c r="E144" s="50" t="s">
        <v>11</v>
      </c>
      <c r="F144" s="57">
        <v>0.18174999999999999</v>
      </c>
    </row>
    <row r="145" spans="2:6">
      <c r="B145" s="50" t="s">
        <v>21</v>
      </c>
      <c r="C145" s="50" t="s">
        <v>1514</v>
      </c>
      <c r="D145" s="50">
        <f>DATE(YEAR(OneWeekMtgRatesDataTable756[[#This Row],[asofdate]]),MONTH(OneWeekMtgRatesDataTable756[[#This Row],[asofdate]]),DAY(OneWeekMtgRatesDataTable756[[#This Row],[asofdate]]))</f>
        <v>42115</v>
      </c>
      <c r="E145" s="50" t="s">
        <v>11</v>
      </c>
      <c r="F145" s="57">
        <v>0.18149999999999999</v>
      </c>
    </row>
    <row r="146" spans="2:6">
      <c r="B146" s="50" t="s">
        <v>21</v>
      </c>
      <c r="C146" s="50" t="s">
        <v>1513</v>
      </c>
      <c r="D146" s="50">
        <f>DATE(YEAR(OneWeekMtgRatesDataTable756[[#This Row],[asofdate]]),MONTH(OneWeekMtgRatesDataTable756[[#This Row],[asofdate]]),DAY(OneWeekMtgRatesDataTable756[[#This Row],[asofdate]]))</f>
        <v>42114</v>
      </c>
      <c r="E146" s="50" t="s">
        <v>11</v>
      </c>
      <c r="F146" s="57">
        <v>0.18049999999999999</v>
      </c>
    </row>
    <row r="147" spans="2:6">
      <c r="B147" s="50" t="s">
        <v>21</v>
      </c>
      <c r="C147" s="50" t="s">
        <v>1512</v>
      </c>
      <c r="D147" s="50">
        <f>DATE(YEAR(OneWeekMtgRatesDataTable756[[#This Row],[asofdate]]),MONTH(OneWeekMtgRatesDataTable756[[#This Row],[asofdate]]),DAY(OneWeekMtgRatesDataTable756[[#This Row],[asofdate]]))</f>
        <v>42111</v>
      </c>
      <c r="E147" s="50" t="s">
        <v>11</v>
      </c>
      <c r="F147" s="57">
        <v>0.18024999999999999</v>
      </c>
    </row>
    <row r="148" spans="2:6">
      <c r="B148" s="50" t="s">
        <v>21</v>
      </c>
      <c r="C148" s="50" t="s">
        <v>1511</v>
      </c>
      <c r="D148" s="50">
        <f>DATE(YEAR(OneWeekMtgRatesDataTable756[[#This Row],[asofdate]]),MONTH(OneWeekMtgRatesDataTable756[[#This Row],[asofdate]]),DAY(OneWeekMtgRatesDataTable756[[#This Row],[asofdate]]))</f>
        <v>42110</v>
      </c>
      <c r="E148" s="50" t="s">
        <v>11</v>
      </c>
      <c r="F148" s="57">
        <v>0.18054999999999999</v>
      </c>
    </row>
    <row r="149" spans="2:6">
      <c r="B149" s="50" t="s">
        <v>21</v>
      </c>
      <c r="C149" s="50" t="s">
        <v>1510</v>
      </c>
      <c r="D149" s="50">
        <f>DATE(YEAR(OneWeekMtgRatesDataTable756[[#This Row],[asofdate]]),MONTH(OneWeekMtgRatesDataTable756[[#This Row],[asofdate]]),DAY(OneWeekMtgRatesDataTable756[[#This Row],[asofdate]]))</f>
        <v>42109</v>
      </c>
      <c r="E149" s="50" t="s">
        <v>11</v>
      </c>
      <c r="F149" s="57">
        <v>0.1804</v>
      </c>
    </row>
    <row r="150" spans="2:6">
      <c r="B150" s="50" t="s">
        <v>21</v>
      </c>
      <c r="C150" s="50" t="s">
        <v>1509</v>
      </c>
      <c r="D150" s="50">
        <f>DATE(YEAR(OneWeekMtgRatesDataTable756[[#This Row],[asofdate]]),MONTH(OneWeekMtgRatesDataTable756[[#This Row],[asofdate]]),DAY(OneWeekMtgRatesDataTable756[[#This Row],[asofdate]]))</f>
        <v>42108</v>
      </c>
      <c r="E150" s="50" t="s">
        <v>11</v>
      </c>
      <c r="F150" s="57">
        <v>0.1825</v>
      </c>
    </row>
    <row r="151" spans="2:6">
      <c r="B151" s="50" t="s">
        <v>21</v>
      </c>
      <c r="C151" s="50" t="s">
        <v>1508</v>
      </c>
      <c r="D151" s="50">
        <f>DATE(YEAR(OneWeekMtgRatesDataTable756[[#This Row],[asofdate]]),MONTH(OneWeekMtgRatesDataTable756[[#This Row],[asofdate]]),DAY(OneWeekMtgRatesDataTable756[[#This Row],[asofdate]]))</f>
        <v>42107</v>
      </c>
      <c r="E151" s="50" t="s">
        <v>11</v>
      </c>
      <c r="F151" s="57">
        <v>0.18149999999999999</v>
      </c>
    </row>
    <row r="152" spans="2:6">
      <c r="B152" s="50" t="s">
        <v>21</v>
      </c>
      <c r="C152" s="50" t="s">
        <v>1507</v>
      </c>
      <c r="D152" s="50">
        <f>DATE(YEAR(OneWeekMtgRatesDataTable756[[#This Row],[asofdate]]),MONTH(OneWeekMtgRatesDataTable756[[#This Row],[asofdate]]),DAY(OneWeekMtgRatesDataTable756[[#This Row],[asofdate]]))</f>
        <v>42104</v>
      </c>
      <c r="E152" s="50" t="s">
        <v>11</v>
      </c>
      <c r="F152" s="57">
        <v>0.17849999999999999</v>
      </c>
    </row>
    <row r="153" spans="2:6">
      <c r="B153" s="50" t="s">
        <v>21</v>
      </c>
      <c r="C153" s="50" t="s">
        <v>1506</v>
      </c>
      <c r="D153" s="50">
        <f>DATE(YEAR(OneWeekMtgRatesDataTable756[[#This Row],[asofdate]]),MONTH(OneWeekMtgRatesDataTable756[[#This Row],[asofdate]]),DAY(OneWeekMtgRatesDataTable756[[#This Row],[asofdate]]))</f>
        <v>42103</v>
      </c>
      <c r="E153" s="50" t="s">
        <v>11</v>
      </c>
      <c r="F153" s="57">
        <v>0.18</v>
      </c>
    </row>
    <row r="154" spans="2:6">
      <c r="B154" s="50" t="s">
        <v>21</v>
      </c>
      <c r="C154" s="50" t="s">
        <v>1505</v>
      </c>
      <c r="D154" s="50">
        <f>DATE(YEAR(OneWeekMtgRatesDataTable756[[#This Row],[asofdate]]),MONTH(OneWeekMtgRatesDataTable756[[#This Row],[asofdate]]),DAY(OneWeekMtgRatesDataTable756[[#This Row],[asofdate]]))</f>
        <v>42102</v>
      </c>
      <c r="E154" s="50" t="s">
        <v>11</v>
      </c>
      <c r="F154" s="57">
        <v>0.18095</v>
      </c>
    </row>
    <row r="155" spans="2:6">
      <c r="B155" s="50" t="s">
        <v>21</v>
      </c>
      <c r="C155" s="50" t="s">
        <v>1504</v>
      </c>
      <c r="D155" s="50">
        <f>DATE(YEAR(OneWeekMtgRatesDataTable756[[#This Row],[asofdate]]),MONTH(OneWeekMtgRatesDataTable756[[#This Row],[asofdate]]),DAY(OneWeekMtgRatesDataTable756[[#This Row],[asofdate]]))</f>
        <v>42101</v>
      </c>
      <c r="E155" s="50" t="s">
        <v>11</v>
      </c>
      <c r="F155" s="57">
        <v>0.18015</v>
      </c>
    </row>
    <row r="156" spans="2:6">
      <c r="B156" s="50" t="s">
        <v>21</v>
      </c>
      <c r="C156" s="50" t="s">
        <v>1503</v>
      </c>
      <c r="D156" s="50">
        <f>DATE(YEAR(OneWeekMtgRatesDataTable756[[#This Row],[asofdate]]),MONTH(OneWeekMtgRatesDataTable756[[#This Row],[asofdate]]),DAY(OneWeekMtgRatesDataTable756[[#This Row],[asofdate]]))</f>
        <v>42100</v>
      </c>
      <c r="E156" s="50" t="s">
        <v>11</v>
      </c>
      <c r="F156" s="57">
        <v>0.17974999999999999</v>
      </c>
    </row>
    <row r="157" spans="2:6">
      <c r="B157" s="50" t="s">
        <v>21</v>
      </c>
      <c r="C157" s="50" t="s">
        <v>1502</v>
      </c>
      <c r="D157" s="50">
        <f>DATE(YEAR(OneWeekMtgRatesDataTable756[[#This Row],[asofdate]]),MONTH(OneWeekMtgRatesDataTable756[[#This Row],[asofdate]]),DAY(OneWeekMtgRatesDataTable756[[#This Row],[asofdate]]))</f>
        <v>42097</v>
      </c>
      <c r="E157" s="50" t="s">
        <v>11</v>
      </c>
      <c r="F157" s="57">
        <v>0.17974999999999999</v>
      </c>
    </row>
    <row r="158" spans="2:6">
      <c r="B158" s="50" t="s">
        <v>21</v>
      </c>
      <c r="C158" s="50" t="s">
        <v>1501</v>
      </c>
      <c r="D158" s="50">
        <f>DATE(YEAR(OneWeekMtgRatesDataTable756[[#This Row],[asofdate]]),MONTH(OneWeekMtgRatesDataTable756[[#This Row],[asofdate]]),DAY(OneWeekMtgRatesDataTable756[[#This Row],[asofdate]]))</f>
        <v>42096</v>
      </c>
      <c r="E158" s="50" t="s">
        <v>11</v>
      </c>
      <c r="F158" s="57">
        <v>0.17974999999999999</v>
      </c>
    </row>
    <row r="159" spans="2:6">
      <c r="B159" s="50" t="s">
        <v>21</v>
      </c>
      <c r="C159" s="50" t="s">
        <v>1500</v>
      </c>
      <c r="D159" s="50">
        <f>DATE(YEAR(OneWeekMtgRatesDataTable756[[#This Row],[asofdate]]),MONTH(OneWeekMtgRatesDataTable756[[#This Row],[asofdate]]),DAY(OneWeekMtgRatesDataTable756[[#This Row],[asofdate]]))</f>
        <v>42095</v>
      </c>
      <c r="E159" s="50" t="s">
        <v>11</v>
      </c>
      <c r="F159" s="57">
        <v>0.17755000000000001</v>
      </c>
    </row>
    <row r="160" spans="2:6">
      <c r="B160" s="50" t="s">
        <v>21</v>
      </c>
      <c r="C160" s="50" t="s">
        <v>1499</v>
      </c>
      <c r="D160" s="50">
        <f>DATE(YEAR(OneWeekMtgRatesDataTable756[[#This Row],[asofdate]]),MONTH(OneWeekMtgRatesDataTable756[[#This Row],[asofdate]]),DAY(OneWeekMtgRatesDataTable756[[#This Row],[asofdate]]))</f>
        <v>42094</v>
      </c>
      <c r="E160" s="50" t="s">
        <v>11</v>
      </c>
      <c r="F160" s="57">
        <v>0.17624999999999999</v>
      </c>
    </row>
    <row r="161" spans="2:6">
      <c r="B161" s="50" t="s">
        <v>21</v>
      </c>
      <c r="C161" s="50" t="s">
        <v>1498</v>
      </c>
      <c r="D161" s="50">
        <f>DATE(YEAR(OneWeekMtgRatesDataTable756[[#This Row],[asofdate]]),MONTH(OneWeekMtgRatesDataTable756[[#This Row],[asofdate]]),DAY(OneWeekMtgRatesDataTable756[[#This Row],[asofdate]]))</f>
        <v>42093</v>
      </c>
      <c r="E161" s="50" t="s">
        <v>11</v>
      </c>
      <c r="F161" s="57">
        <v>0.17924999999999999</v>
      </c>
    </row>
    <row r="162" spans="2:6">
      <c r="B162" s="50" t="s">
        <v>21</v>
      </c>
      <c r="C162" s="50" t="s">
        <v>1497</v>
      </c>
      <c r="D162" s="50">
        <f>DATE(YEAR(OneWeekMtgRatesDataTable756[[#This Row],[asofdate]]),MONTH(OneWeekMtgRatesDataTable756[[#This Row],[asofdate]]),DAY(OneWeekMtgRatesDataTable756[[#This Row],[asofdate]]))</f>
        <v>42090</v>
      </c>
      <c r="E162" s="50" t="s">
        <v>11</v>
      </c>
      <c r="F162" s="57">
        <v>0.17799999999999999</v>
      </c>
    </row>
    <row r="163" spans="2:6">
      <c r="B163" s="50" t="s">
        <v>21</v>
      </c>
      <c r="C163" s="50" t="s">
        <v>1496</v>
      </c>
      <c r="D163" s="50">
        <f>DATE(YEAR(OneWeekMtgRatesDataTable756[[#This Row],[asofdate]]),MONTH(OneWeekMtgRatesDataTable756[[#This Row],[asofdate]]),DAY(OneWeekMtgRatesDataTable756[[#This Row],[asofdate]]))</f>
        <v>42089</v>
      </c>
      <c r="E163" s="50" t="s">
        <v>11</v>
      </c>
      <c r="F163" s="57">
        <v>0.17774999999999999</v>
      </c>
    </row>
    <row r="164" spans="2:6">
      <c r="B164" s="50" t="s">
        <v>21</v>
      </c>
      <c r="C164" s="50" t="s">
        <v>1495</v>
      </c>
      <c r="D164" s="50">
        <f>DATE(YEAR(OneWeekMtgRatesDataTable756[[#This Row],[asofdate]]),MONTH(OneWeekMtgRatesDataTable756[[#This Row],[asofdate]]),DAY(OneWeekMtgRatesDataTable756[[#This Row],[asofdate]]))</f>
        <v>42088</v>
      </c>
      <c r="E164" s="50" t="s">
        <v>11</v>
      </c>
      <c r="F164" s="57">
        <v>0.17560000000000001</v>
      </c>
    </row>
    <row r="165" spans="2:6">
      <c r="B165" s="50" t="s">
        <v>21</v>
      </c>
      <c r="C165" s="50" t="s">
        <v>1494</v>
      </c>
      <c r="D165" s="50">
        <f>DATE(YEAR(OneWeekMtgRatesDataTable756[[#This Row],[asofdate]]),MONTH(OneWeekMtgRatesDataTable756[[#This Row],[asofdate]]),DAY(OneWeekMtgRatesDataTable756[[#This Row],[asofdate]]))</f>
        <v>42087</v>
      </c>
      <c r="E165" s="50" t="s">
        <v>11</v>
      </c>
      <c r="F165" s="57">
        <v>0.17274999999999999</v>
      </c>
    </row>
    <row r="166" spans="2:6">
      <c r="B166" s="50" t="s">
        <v>21</v>
      </c>
      <c r="C166" s="50" t="s">
        <v>1493</v>
      </c>
      <c r="D166" s="50">
        <f>DATE(YEAR(OneWeekMtgRatesDataTable756[[#This Row],[asofdate]]),MONTH(OneWeekMtgRatesDataTable756[[#This Row],[asofdate]]),DAY(OneWeekMtgRatesDataTable756[[#This Row],[asofdate]]))</f>
        <v>42086</v>
      </c>
      <c r="E166" s="50" t="s">
        <v>11</v>
      </c>
      <c r="F166" s="57">
        <v>0.17374999999999999</v>
      </c>
    </row>
    <row r="167" spans="2:6">
      <c r="B167" s="50" t="s">
        <v>21</v>
      </c>
      <c r="C167" s="50" t="s">
        <v>1492</v>
      </c>
      <c r="D167" s="50">
        <f>DATE(YEAR(OneWeekMtgRatesDataTable756[[#This Row],[asofdate]]),MONTH(OneWeekMtgRatesDataTable756[[#This Row],[asofdate]]),DAY(OneWeekMtgRatesDataTable756[[#This Row],[asofdate]]))</f>
        <v>42083</v>
      </c>
      <c r="E167" s="50" t="s">
        <v>11</v>
      </c>
      <c r="F167" s="57">
        <v>0.17399999999999999</v>
      </c>
    </row>
    <row r="168" spans="2:6">
      <c r="B168" s="50" t="s">
        <v>21</v>
      </c>
      <c r="C168" s="50" t="s">
        <v>1491</v>
      </c>
      <c r="D168" s="50">
        <f>DATE(YEAR(OneWeekMtgRatesDataTable756[[#This Row],[asofdate]]),MONTH(OneWeekMtgRatesDataTable756[[#This Row],[asofdate]]),DAY(OneWeekMtgRatesDataTable756[[#This Row],[asofdate]]))</f>
        <v>42082</v>
      </c>
      <c r="E168" s="50" t="s">
        <v>11</v>
      </c>
      <c r="F168" s="57">
        <v>0.17324999999999999</v>
      </c>
    </row>
    <row r="169" spans="2:6">
      <c r="B169" s="50" t="s">
        <v>21</v>
      </c>
      <c r="C169" s="50" t="s">
        <v>1490</v>
      </c>
      <c r="D169" s="50">
        <f>DATE(YEAR(OneWeekMtgRatesDataTable756[[#This Row],[asofdate]]),MONTH(OneWeekMtgRatesDataTable756[[#This Row],[asofdate]]),DAY(OneWeekMtgRatesDataTable756[[#This Row],[asofdate]]))</f>
        <v>42081</v>
      </c>
      <c r="E169" s="50" t="s">
        <v>11</v>
      </c>
      <c r="F169" s="57">
        <v>0.17599999999999999</v>
      </c>
    </row>
    <row r="170" spans="2:6">
      <c r="B170" s="50" t="s">
        <v>21</v>
      </c>
      <c r="C170" s="50" t="s">
        <v>1489</v>
      </c>
      <c r="D170" s="50">
        <f>DATE(YEAR(OneWeekMtgRatesDataTable756[[#This Row],[asofdate]]),MONTH(OneWeekMtgRatesDataTable756[[#This Row],[asofdate]]),DAY(OneWeekMtgRatesDataTable756[[#This Row],[asofdate]]))</f>
        <v>42080</v>
      </c>
      <c r="E170" s="50" t="s">
        <v>11</v>
      </c>
      <c r="F170" s="57">
        <v>0.17749999999999999</v>
      </c>
    </row>
    <row r="171" spans="2:6">
      <c r="B171" s="50" t="s">
        <v>21</v>
      </c>
      <c r="C171" s="50" t="s">
        <v>1488</v>
      </c>
      <c r="D171" s="50">
        <f>DATE(YEAR(OneWeekMtgRatesDataTable756[[#This Row],[asofdate]]),MONTH(OneWeekMtgRatesDataTable756[[#This Row],[asofdate]]),DAY(OneWeekMtgRatesDataTable756[[#This Row],[asofdate]]))</f>
        <v>42079</v>
      </c>
      <c r="E171" s="50" t="s">
        <v>11</v>
      </c>
      <c r="F171" s="57">
        <v>0.17699999999999999</v>
      </c>
    </row>
    <row r="172" spans="2:6">
      <c r="B172" s="50" t="s">
        <v>21</v>
      </c>
      <c r="C172" s="50" t="s">
        <v>1487</v>
      </c>
      <c r="D172" s="50">
        <f>DATE(YEAR(OneWeekMtgRatesDataTable756[[#This Row],[asofdate]]),MONTH(OneWeekMtgRatesDataTable756[[#This Row],[asofdate]]),DAY(OneWeekMtgRatesDataTable756[[#This Row],[asofdate]]))</f>
        <v>42076</v>
      </c>
      <c r="E172" s="50" t="s">
        <v>11</v>
      </c>
      <c r="F172" s="57">
        <v>0.17649999999999999</v>
      </c>
    </row>
    <row r="173" spans="2:6">
      <c r="B173" s="50" t="s">
        <v>21</v>
      </c>
      <c r="C173" s="50" t="s">
        <v>1486</v>
      </c>
      <c r="D173" s="50">
        <f>DATE(YEAR(OneWeekMtgRatesDataTable756[[#This Row],[asofdate]]),MONTH(OneWeekMtgRatesDataTable756[[#This Row],[asofdate]]),DAY(OneWeekMtgRatesDataTable756[[#This Row],[asofdate]]))</f>
        <v>42075</v>
      </c>
      <c r="E173" s="50" t="s">
        <v>11</v>
      </c>
      <c r="F173" s="57">
        <v>0.17449999999999999</v>
      </c>
    </row>
    <row r="174" spans="2:6">
      <c r="B174" s="50" t="s">
        <v>21</v>
      </c>
      <c r="C174" s="50" t="s">
        <v>1485</v>
      </c>
      <c r="D174" s="50">
        <f>DATE(YEAR(OneWeekMtgRatesDataTable756[[#This Row],[asofdate]]),MONTH(OneWeekMtgRatesDataTable756[[#This Row],[asofdate]]),DAY(OneWeekMtgRatesDataTable756[[#This Row],[asofdate]]))</f>
        <v>42074</v>
      </c>
      <c r="E174" s="50" t="s">
        <v>11</v>
      </c>
      <c r="F174" s="57">
        <v>0.17599999999999999</v>
      </c>
    </row>
    <row r="175" spans="2:6">
      <c r="B175" s="50" t="s">
        <v>21</v>
      </c>
      <c r="C175" s="50" t="s">
        <v>1484</v>
      </c>
      <c r="D175" s="50">
        <f>DATE(YEAR(OneWeekMtgRatesDataTable756[[#This Row],[asofdate]]),MONTH(OneWeekMtgRatesDataTable756[[#This Row],[asofdate]]),DAY(OneWeekMtgRatesDataTable756[[#This Row],[asofdate]]))</f>
        <v>42073</v>
      </c>
      <c r="E175" s="50" t="s">
        <v>11</v>
      </c>
      <c r="F175" s="57">
        <v>0.1779</v>
      </c>
    </row>
    <row r="176" spans="2:6">
      <c r="B176" s="50" t="s">
        <v>21</v>
      </c>
      <c r="C176" s="50" t="s">
        <v>1483</v>
      </c>
      <c r="D176" s="50">
        <f>DATE(YEAR(OneWeekMtgRatesDataTable756[[#This Row],[asofdate]]),MONTH(OneWeekMtgRatesDataTable756[[#This Row],[asofdate]]),DAY(OneWeekMtgRatesDataTable756[[#This Row],[asofdate]]))</f>
        <v>42072</v>
      </c>
      <c r="E176" s="50" t="s">
        <v>11</v>
      </c>
      <c r="F176" s="57">
        <v>0.17649999999999999</v>
      </c>
    </row>
    <row r="177" spans="2:6">
      <c r="B177" s="50" t="s">
        <v>21</v>
      </c>
      <c r="C177" s="50" t="s">
        <v>1482</v>
      </c>
      <c r="D177" s="50">
        <f>DATE(YEAR(OneWeekMtgRatesDataTable756[[#This Row],[asofdate]]),MONTH(OneWeekMtgRatesDataTable756[[#This Row],[asofdate]]),DAY(OneWeekMtgRatesDataTable756[[#This Row],[asofdate]]))</f>
        <v>42069</v>
      </c>
      <c r="E177" s="50" t="s">
        <v>11</v>
      </c>
      <c r="F177" s="57">
        <v>0.17499999999999999</v>
      </c>
    </row>
    <row r="178" spans="2:6">
      <c r="B178" s="50" t="s">
        <v>21</v>
      </c>
      <c r="C178" s="50" t="s">
        <v>1481</v>
      </c>
      <c r="D178" s="50">
        <f>DATE(YEAR(OneWeekMtgRatesDataTable756[[#This Row],[asofdate]]),MONTH(OneWeekMtgRatesDataTable756[[#This Row],[asofdate]]),DAY(OneWeekMtgRatesDataTable756[[#This Row],[asofdate]]))</f>
        <v>42068</v>
      </c>
      <c r="E178" s="50" t="s">
        <v>11</v>
      </c>
      <c r="F178" s="57">
        <v>0.17499999999999999</v>
      </c>
    </row>
    <row r="179" spans="2:6">
      <c r="B179" s="50" t="s">
        <v>21</v>
      </c>
      <c r="C179" s="50" t="s">
        <v>1480</v>
      </c>
      <c r="D179" s="50">
        <f>DATE(YEAR(OneWeekMtgRatesDataTable756[[#This Row],[asofdate]]),MONTH(OneWeekMtgRatesDataTable756[[#This Row],[asofdate]]),DAY(OneWeekMtgRatesDataTable756[[#This Row],[asofdate]]))</f>
        <v>42067</v>
      </c>
      <c r="E179" s="50" t="s">
        <v>11</v>
      </c>
      <c r="F179" s="57">
        <v>0.17499999999999999</v>
      </c>
    </row>
    <row r="180" spans="2:6">
      <c r="B180" s="50" t="s">
        <v>21</v>
      </c>
      <c r="C180" s="50" t="s">
        <v>1479</v>
      </c>
      <c r="D180" s="50">
        <f>DATE(YEAR(OneWeekMtgRatesDataTable756[[#This Row],[asofdate]]),MONTH(OneWeekMtgRatesDataTable756[[#This Row],[asofdate]]),DAY(OneWeekMtgRatesDataTable756[[#This Row],[asofdate]]))</f>
        <v>42066</v>
      </c>
      <c r="E180" s="50" t="s">
        <v>11</v>
      </c>
      <c r="F180" s="57">
        <v>0.17299999999999999</v>
      </c>
    </row>
    <row r="181" spans="2:6">
      <c r="B181" s="50" t="s">
        <v>21</v>
      </c>
      <c r="C181" s="50" t="s">
        <v>1478</v>
      </c>
      <c r="D181" s="50">
        <f>DATE(YEAR(OneWeekMtgRatesDataTable756[[#This Row],[asofdate]]),MONTH(OneWeekMtgRatesDataTable756[[#This Row],[asofdate]]),DAY(OneWeekMtgRatesDataTable756[[#This Row],[asofdate]]))</f>
        <v>42065</v>
      </c>
      <c r="E181" s="50" t="s">
        <v>11</v>
      </c>
      <c r="F181" s="57">
        <v>0.17269999999999999</v>
      </c>
    </row>
    <row r="182" spans="2:6">
      <c r="B182" s="50" t="s">
        <v>21</v>
      </c>
      <c r="C182" s="50" t="s">
        <v>1477</v>
      </c>
      <c r="D182" s="50">
        <f>DATE(YEAR(OneWeekMtgRatesDataTable756[[#This Row],[asofdate]]),MONTH(OneWeekMtgRatesDataTable756[[#This Row],[asofdate]]),DAY(OneWeekMtgRatesDataTable756[[#This Row],[asofdate]]))</f>
        <v>42062</v>
      </c>
      <c r="E182" s="50" t="s">
        <v>11</v>
      </c>
      <c r="F182" s="57">
        <v>0.17299999999999999</v>
      </c>
    </row>
    <row r="183" spans="2:6">
      <c r="B183" s="50" t="s">
        <v>21</v>
      </c>
      <c r="C183" s="50" t="s">
        <v>1476</v>
      </c>
      <c r="D183" s="50">
        <f>DATE(YEAR(OneWeekMtgRatesDataTable756[[#This Row],[asofdate]]),MONTH(OneWeekMtgRatesDataTable756[[#This Row],[asofdate]]),DAY(OneWeekMtgRatesDataTable756[[#This Row],[asofdate]]))</f>
        <v>42061</v>
      </c>
      <c r="E183" s="50" t="s">
        <v>11</v>
      </c>
      <c r="F183" s="57">
        <v>0.1719</v>
      </c>
    </row>
    <row r="184" spans="2:6">
      <c r="B184" s="50" t="s">
        <v>21</v>
      </c>
      <c r="C184" s="50" t="s">
        <v>1475</v>
      </c>
      <c r="D184" s="50">
        <f>DATE(YEAR(OneWeekMtgRatesDataTable756[[#This Row],[asofdate]]),MONTH(OneWeekMtgRatesDataTable756[[#This Row],[asofdate]]),DAY(OneWeekMtgRatesDataTable756[[#This Row],[asofdate]]))</f>
        <v>42060</v>
      </c>
      <c r="E184" s="50" t="s">
        <v>11</v>
      </c>
      <c r="F184" s="57">
        <v>0.17199999999999999</v>
      </c>
    </row>
    <row r="185" spans="2:6">
      <c r="B185" s="50" t="s">
        <v>21</v>
      </c>
      <c r="C185" s="50" t="s">
        <v>1474</v>
      </c>
      <c r="D185" s="50">
        <f>DATE(YEAR(OneWeekMtgRatesDataTable756[[#This Row],[asofdate]]),MONTH(OneWeekMtgRatesDataTable756[[#This Row],[asofdate]]),DAY(OneWeekMtgRatesDataTable756[[#This Row],[asofdate]]))</f>
        <v>42059</v>
      </c>
      <c r="E185" s="50" t="s">
        <v>11</v>
      </c>
      <c r="F185" s="57">
        <v>0.17150000000000001</v>
      </c>
    </row>
    <row r="186" spans="2:6">
      <c r="B186" s="50" t="s">
        <v>21</v>
      </c>
      <c r="C186" s="50" t="s">
        <v>1473</v>
      </c>
      <c r="D186" s="50">
        <f>DATE(YEAR(OneWeekMtgRatesDataTable756[[#This Row],[asofdate]]),MONTH(OneWeekMtgRatesDataTable756[[#This Row],[asofdate]]),DAY(OneWeekMtgRatesDataTable756[[#This Row],[asofdate]]))</f>
        <v>42058</v>
      </c>
      <c r="E186" s="50" t="s">
        <v>11</v>
      </c>
      <c r="F186" s="57">
        <v>0.17100000000000001</v>
      </c>
    </row>
    <row r="187" spans="2:6">
      <c r="B187" s="50" t="s">
        <v>21</v>
      </c>
      <c r="C187" s="50" t="s">
        <v>1472</v>
      </c>
      <c r="D187" s="50">
        <f>DATE(YEAR(OneWeekMtgRatesDataTable756[[#This Row],[asofdate]]),MONTH(OneWeekMtgRatesDataTable756[[#This Row],[asofdate]]),DAY(OneWeekMtgRatesDataTable756[[#This Row],[asofdate]]))</f>
        <v>42055</v>
      </c>
      <c r="E187" s="50" t="s">
        <v>11</v>
      </c>
      <c r="F187" s="57">
        <v>0.17150000000000001</v>
      </c>
    </row>
    <row r="188" spans="2:6">
      <c r="B188" s="50" t="s">
        <v>21</v>
      </c>
      <c r="C188" s="50" t="s">
        <v>1471</v>
      </c>
      <c r="D188" s="50">
        <f>DATE(YEAR(OneWeekMtgRatesDataTable756[[#This Row],[asofdate]]),MONTH(OneWeekMtgRatesDataTable756[[#This Row],[asofdate]]),DAY(OneWeekMtgRatesDataTable756[[#This Row],[asofdate]]))</f>
        <v>42054</v>
      </c>
      <c r="E188" s="50" t="s">
        <v>11</v>
      </c>
      <c r="F188" s="57">
        <v>0.17349999999999999</v>
      </c>
    </row>
    <row r="189" spans="2:6">
      <c r="B189" s="50" t="s">
        <v>21</v>
      </c>
      <c r="C189" s="50" t="s">
        <v>1470</v>
      </c>
      <c r="D189" s="50">
        <f>DATE(YEAR(OneWeekMtgRatesDataTable756[[#This Row],[asofdate]]),MONTH(OneWeekMtgRatesDataTable756[[#This Row],[asofdate]]),DAY(OneWeekMtgRatesDataTable756[[#This Row],[asofdate]]))</f>
        <v>42053</v>
      </c>
      <c r="E189" s="50" t="s">
        <v>11</v>
      </c>
      <c r="F189" s="57">
        <v>0.17349999999999999</v>
      </c>
    </row>
    <row r="190" spans="2:6">
      <c r="B190" s="50" t="s">
        <v>21</v>
      </c>
      <c r="C190" s="50" t="s">
        <v>1469</v>
      </c>
      <c r="D190" s="50">
        <f>DATE(YEAR(OneWeekMtgRatesDataTable756[[#This Row],[asofdate]]),MONTH(OneWeekMtgRatesDataTable756[[#This Row],[asofdate]]),DAY(OneWeekMtgRatesDataTable756[[#This Row],[asofdate]]))</f>
        <v>42052</v>
      </c>
      <c r="E190" s="50" t="s">
        <v>11</v>
      </c>
      <c r="F190" s="57">
        <v>0.17349999999999999</v>
      </c>
    </row>
    <row r="191" spans="2:6">
      <c r="B191" s="50" t="s">
        <v>21</v>
      </c>
      <c r="C191" s="50" t="s">
        <v>1468</v>
      </c>
      <c r="D191" s="50">
        <f>DATE(YEAR(OneWeekMtgRatesDataTable756[[#This Row],[asofdate]]),MONTH(OneWeekMtgRatesDataTable756[[#This Row],[asofdate]]),DAY(OneWeekMtgRatesDataTable756[[#This Row],[asofdate]]))</f>
        <v>42048</v>
      </c>
      <c r="E191" s="50" t="s">
        <v>11</v>
      </c>
      <c r="F191" s="57">
        <v>0.17299999999999999</v>
      </c>
    </row>
    <row r="192" spans="2:6">
      <c r="B192" s="50" t="s">
        <v>21</v>
      </c>
      <c r="C192" s="50" t="s">
        <v>1467</v>
      </c>
      <c r="D192" s="50">
        <f>DATE(YEAR(OneWeekMtgRatesDataTable756[[#This Row],[asofdate]]),MONTH(OneWeekMtgRatesDataTable756[[#This Row],[asofdate]]),DAY(OneWeekMtgRatesDataTable756[[#This Row],[asofdate]]))</f>
        <v>42047</v>
      </c>
      <c r="E192" s="50" t="s">
        <v>11</v>
      </c>
      <c r="F192" s="57">
        <v>0.17199999999999999</v>
      </c>
    </row>
    <row r="193" spans="2:6">
      <c r="B193" s="50" t="s">
        <v>21</v>
      </c>
      <c r="C193" s="50" t="s">
        <v>1466</v>
      </c>
      <c r="D193" s="50">
        <f>DATE(YEAR(OneWeekMtgRatesDataTable756[[#This Row],[asofdate]]),MONTH(OneWeekMtgRatesDataTable756[[#This Row],[asofdate]]),DAY(OneWeekMtgRatesDataTable756[[#This Row],[asofdate]]))</f>
        <v>42046</v>
      </c>
      <c r="E193" s="50" t="s">
        <v>11</v>
      </c>
      <c r="F193" s="57">
        <v>0.17169999999999999</v>
      </c>
    </row>
    <row r="194" spans="2:6">
      <c r="B194" s="50" t="s">
        <v>21</v>
      </c>
      <c r="C194" s="50" t="s">
        <v>1465</v>
      </c>
      <c r="D194" s="50">
        <f>DATE(YEAR(OneWeekMtgRatesDataTable756[[#This Row],[asofdate]]),MONTH(OneWeekMtgRatesDataTable756[[#This Row],[asofdate]]),DAY(OneWeekMtgRatesDataTable756[[#This Row],[asofdate]]))</f>
        <v>42045</v>
      </c>
      <c r="E194" s="50" t="s">
        <v>11</v>
      </c>
      <c r="F194" s="57">
        <v>0.17169999999999999</v>
      </c>
    </row>
    <row r="195" spans="2:6">
      <c r="B195" s="50" t="s">
        <v>21</v>
      </c>
      <c r="C195" s="50" t="s">
        <v>1464</v>
      </c>
      <c r="D195" s="50">
        <f>DATE(YEAR(OneWeekMtgRatesDataTable756[[#This Row],[asofdate]]),MONTH(OneWeekMtgRatesDataTable756[[#This Row],[asofdate]]),DAY(OneWeekMtgRatesDataTable756[[#This Row],[asofdate]]))</f>
        <v>42044</v>
      </c>
      <c r="E195" s="50" t="s">
        <v>11</v>
      </c>
      <c r="F195" s="57">
        <v>0.17219999999999999</v>
      </c>
    </row>
    <row r="196" spans="2:6">
      <c r="B196" s="50" t="s">
        <v>21</v>
      </c>
      <c r="C196" s="50" t="s">
        <v>1463</v>
      </c>
      <c r="D196" s="50">
        <f>DATE(YEAR(OneWeekMtgRatesDataTable756[[#This Row],[asofdate]]),MONTH(OneWeekMtgRatesDataTable756[[#This Row],[asofdate]]),DAY(OneWeekMtgRatesDataTable756[[#This Row],[asofdate]]))</f>
        <v>42041</v>
      </c>
      <c r="E196" s="50" t="s">
        <v>11</v>
      </c>
      <c r="F196" s="57">
        <v>0.17150000000000001</v>
      </c>
    </row>
    <row r="197" spans="2:6">
      <c r="B197" s="50" t="s">
        <v>21</v>
      </c>
      <c r="C197" s="50" t="s">
        <v>1462</v>
      </c>
      <c r="D197" s="50">
        <f>DATE(YEAR(OneWeekMtgRatesDataTable756[[#This Row],[asofdate]]),MONTH(OneWeekMtgRatesDataTable756[[#This Row],[asofdate]]),DAY(OneWeekMtgRatesDataTable756[[#This Row],[asofdate]]))</f>
        <v>42040</v>
      </c>
      <c r="E197" s="50" t="s">
        <v>11</v>
      </c>
      <c r="F197" s="57">
        <v>0.17100000000000001</v>
      </c>
    </row>
    <row r="198" spans="2:6">
      <c r="B198" s="50" t="s">
        <v>21</v>
      </c>
      <c r="C198" s="50" t="s">
        <v>1461</v>
      </c>
      <c r="D198" s="50">
        <f>DATE(YEAR(OneWeekMtgRatesDataTable756[[#This Row],[asofdate]]),MONTH(OneWeekMtgRatesDataTable756[[#This Row],[asofdate]]),DAY(OneWeekMtgRatesDataTable756[[#This Row],[asofdate]]))</f>
        <v>42039</v>
      </c>
      <c r="E198" s="50" t="s">
        <v>11</v>
      </c>
      <c r="F198" s="57">
        <v>0.17349999999999999</v>
      </c>
    </row>
    <row r="199" spans="2:6">
      <c r="B199" s="50" t="s">
        <v>21</v>
      </c>
      <c r="C199" s="50" t="s">
        <v>1460</v>
      </c>
      <c r="D199" s="50">
        <f>DATE(YEAR(OneWeekMtgRatesDataTable756[[#This Row],[asofdate]]),MONTH(OneWeekMtgRatesDataTable756[[#This Row],[asofdate]]),DAY(OneWeekMtgRatesDataTable756[[#This Row],[asofdate]]))</f>
        <v>42038</v>
      </c>
      <c r="E199" s="50" t="s">
        <v>11</v>
      </c>
      <c r="F199" s="57">
        <v>0.17100000000000001</v>
      </c>
    </row>
    <row r="200" spans="2:6">
      <c r="B200" s="50" t="s">
        <v>21</v>
      </c>
      <c r="C200" s="50" t="s">
        <v>1459</v>
      </c>
      <c r="D200" s="50">
        <f>DATE(YEAR(OneWeekMtgRatesDataTable756[[#This Row],[asofdate]]),MONTH(OneWeekMtgRatesDataTable756[[#This Row],[asofdate]]),DAY(OneWeekMtgRatesDataTable756[[#This Row],[asofdate]]))</f>
        <v>42037</v>
      </c>
      <c r="E200" s="50" t="s">
        <v>11</v>
      </c>
      <c r="F200" s="57">
        <v>0.16950000000000001</v>
      </c>
    </row>
    <row r="201" spans="2:6">
      <c r="B201" s="50" t="s">
        <v>21</v>
      </c>
      <c r="C201" s="50" t="s">
        <v>1458</v>
      </c>
      <c r="D201" s="50">
        <f>DATE(YEAR(OneWeekMtgRatesDataTable756[[#This Row],[asofdate]]),MONTH(OneWeekMtgRatesDataTable756[[#This Row],[asofdate]]),DAY(OneWeekMtgRatesDataTable756[[#This Row],[asofdate]]))</f>
        <v>42034</v>
      </c>
      <c r="E201" s="50" t="s">
        <v>11</v>
      </c>
      <c r="F201" s="57">
        <v>0.17125000000000001</v>
      </c>
    </row>
    <row r="202" spans="2:6">
      <c r="B202" s="50" t="s">
        <v>21</v>
      </c>
      <c r="C202" s="50" t="s">
        <v>1457</v>
      </c>
      <c r="D202" s="50">
        <f>DATE(YEAR(OneWeekMtgRatesDataTable756[[#This Row],[asofdate]]),MONTH(OneWeekMtgRatesDataTable756[[#This Row],[asofdate]]),DAY(OneWeekMtgRatesDataTable756[[#This Row],[asofdate]]))</f>
        <v>42033</v>
      </c>
      <c r="E202" s="50" t="s">
        <v>11</v>
      </c>
      <c r="F202" s="57">
        <v>0.1709</v>
      </c>
    </row>
    <row r="203" spans="2:6">
      <c r="B203" s="50" t="s">
        <v>21</v>
      </c>
      <c r="C203" s="50" t="s">
        <v>1456</v>
      </c>
      <c r="D203" s="50">
        <f>DATE(YEAR(OneWeekMtgRatesDataTable756[[#This Row],[asofdate]]),MONTH(OneWeekMtgRatesDataTable756[[#This Row],[asofdate]]),DAY(OneWeekMtgRatesDataTable756[[#This Row],[asofdate]]))</f>
        <v>42032</v>
      </c>
      <c r="E203" s="50" t="s">
        <v>11</v>
      </c>
      <c r="F203" s="57">
        <v>0.17050000000000001</v>
      </c>
    </row>
    <row r="204" spans="2:6">
      <c r="B204" s="50" t="s">
        <v>21</v>
      </c>
      <c r="C204" s="50" t="s">
        <v>1455</v>
      </c>
      <c r="D204" s="50">
        <f>DATE(YEAR(OneWeekMtgRatesDataTable756[[#This Row],[asofdate]]),MONTH(OneWeekMtgRatesDataTable756[[#This Row],[asofdate]]),DAY(OneWeekMtgRatesDataTable756[[#This Row],[asofdate]]))</f>
        <v>42031</v>
      </c>
      <c r="E204" s="50" t="s">
        <v>11</v>
      </c>
      <c r="F204" s="57">
        <v>0.16800000000000001</v>
      </c>
    </row>
    <row r="205" spans="2:6">
      <c r="B205" s="50" t="s">
        <v>21</v>
      </c>
      <c r="C205" s="50" t="s">
        <v>1454</v>
      </c>
      <c r="D205" s="50">
        <f>DATE(YEAR(OneWeekMtgRatesDataTable756[[#This Row],[asofdate]]),MONTH(OneWeekMtgRatesDataTable756[[#This Row],[asofdate]]),DAY(OneWeekMtgRatesDataTable756[[#This Row],[asofdate]]))</f>
        <v>42030</v>
      </c>
      <c r="E205" s="50" t="s">
        <v>11</v>
      </c>
      <c r="F205" s="57">
        <v>0.16900000000000001</v>
      </c>
    </row>
    <row r="206" spans="2:6">
      <c r="B206" s="50" t="s">
        <v>21</v>
      </c>
      <c r="C206" s="50" t="s">
        <v>1453</v>
      </c>
      <c r="D206" s="50">
        <f>DATE(YEAR(OneWeekMtgRatesDataTable756[[#This Row],[asofdate]]),MONTH(OneWeekMtgRatesDataTable756[[#This Row],[asofdate]]),DAY(OneWeekMtgRatesDataTable756[[#This Row],[asofdate]]))</f>
        <v>42027</v>
      </c>
      <c r="E206" s="50" t="s">
        <v>11</v>
      </c>
      <c r="F206" s="57">
        <v>0.16775000000000001</v>
      </c>
    </row>
    <row r="207" spans="2:6">
      <c r="B207" s="50" t="s">
        <v>21</v>
      </c>
      <c r="C207" s="50" t="s">
        <v>1452</v>
      </c>
      <c r="D207" s="50">
        <f>DATE(YEAR(OneWeekMtgRatesDataTable756[[#This Row],[asofdate]]),MONTH(OneWeekMtgRatesDataTable756[[#This Row],[asofdate]]),DAY(OneWeekMtgRatesDataTable756[[#This Row],[asofdate]]))</f>
        <v>42026</v>
      </c>
      <c r="E207" s="50" t="s">
        <v>11</v>
      </c>
      <c r="F207" s="57">
        <v>0.16825000000000001</v>
      </c>
    </row>
    <row r="208" spans="2:6">
      <c r="B208" s="50" t="s">
        <v>21</v>
      </c>
      <c r="C208" s="50" t="s">
        <v>1451</v>
      </c>
      <c r="D208" s="50">
        <f>DATE(YEAR(OneWeekMtgRatesDataTable756[[#This Row],[asofdate]]),MONTH(OneWeekMtgRatesDataTable756[[#This Row],[asofdate]]),DAY(OneWeekMtgRatesDataTable756[[#This Row],[asofdate]]))</f>
        <v>42025</v>
      </c>
      <c r="E208" s="50" t="s">
        <v>11</v>
      </c>
      <c r="F208" s="57">
        <v>0.16675000000000001</v>
      </c>
    </row>
    <row r="209" spans="2:6">
      <c r="B209" s="50" t="s">
        <v>21</v>
      </c>
      <c r="C209" s="50" t="s">
        <v>1450</v>
      </c>
      <c r="D209" s="50">
        <f>DATE(YEAR(OneWeekMtgRatesDataTable756[[#This Row],[asofdate]]),MONTH(OneWeekMtgRatesDataTable756[[#This Row],[asofdate]]),DAY(OneWeekMtgRatesDataTable756[[#This Row],[asofdate]]))</f>
        <v>42024</v>
      </c>
      <c r="E209" s="50" t="s">
        <v>11</v>
      </c>
      <c r="F209" s="57">
        <v>0.16850000000000001</v>
      </c>
    </row>
    <row r="210" spans="2:6">
      <c r="B210" s="50" t="s">
        <v>21</v>
      </c>
      <c r="C210" s="50" t="s">
        <v>1449</v>
      </c>
      <c r="D210" s="50">
        <f>DATE(YEAR(OneWeekMtgRatesDataTable756[[#This Row],[asofdate]]),MONTH(OneWeekMtgRatesDataTable756[[#This Row],[asofdate]]),DAY(OneWeekMtgRatesDataTable756[[#This Row],[asofdate]]))</f>
        <v>42020</v>
      </c>
      <c r="E210" s="50" t="s">
        <v>11</v>
      </c>
      <c r="F210" s="57">
        <v>0.16800000000000001</v>
      </c>
    </row>
    <row r="211" spans="2:6">
      <c r="B211" s="50" t="s">
        <v>21</v>
      </c>
      <c r="C211" s="50" t="s">
        <v>1448</v>
      </c>
      <c r="D211" s="50">
        <f>DATE(YEAR(OneWeekMtgRatesDataTable756[[#This Row],[asofdate]]),MONTH(OneWeekMtgRatesDataTable756[[#This Row],[asofdate]]),DAY(OneWeekMtgRatesDataTable756[[#This Row],[asofdate]]))</f>
        <v>42019</v>
      </c>
      <c r="E211" s="50" t="s">
        <v>11</v>
      </c>
      <c r="F211" s="57">
        <v>0.16800000000000001</v>
      </c>
    </row>
    <row r="212" spans="2:6">
      <c r="B212" s="50" t="s">
        <v>21</v>
      </c>
      <c r="C212" s="50" t="s">
        <v>1447</v>
      </c>
      <c r="D212" s="50">
        <f>DATE(YEAR(OneWeekMtgRatesDataTable756[[#This Row],[asofdate]]),MONTH(OneWeekMtgRatesDataTable756[[#This Row],[asofdate]]),DAY(OneWeekMtgRatesDataTable756[[#This Row],[asofdate]]))</f>
        <v>42018</v>
      </c>
      <c r="E212" s="50" t="s">
        <v>11</v>
      </c>
      <c r="F212" s="57">
        <v>0.16825000000000001</v>
      </c>
    </row>
    <row r="213" spans="2:6">
      <c r="B213" s="50" t="s">
        <v>21</v>
      </c>
      <c r="C213" s="50" t="s">
        <v>1446</v>
      </c>
      <c r="D213" s="50">
        <f>DATE(YEAR(OneWeekMtgRatesDataTable756[[#This Row],[asofdate]]),MONTH(OneWeekMtgRatesDataTable756[[#This Row],[asofdate]]),DAY(OneWeekMtgRatesDataTable756[[#This Row],[asofdate]]))</f>
        <v>42017</v>
      </c>
      <c r="E213" s="50" t="s">
        <v>11</v>
      </c>
      <c r="F213" s="57">
        <v>0.16650000000000001</v>
      </c>
    </row>
    <row r="214" spans="2:6">
      <c r="B214" s="50" t="s">
        <v>21</v>
      </c>
      <c r="C214" s="50" t="s">
        <v>1445</v>
      </c>
      <c r="D214" s="50">
        <f>DATE(YEAR(OneWeekMtgRatesDataTable756[[#This Row],[asofdate]]),MONTH(OneWeekMtgRatesDataTable756[[#This Row],[asofdate]]),DAY(OneWeekMtgRatesDataTable756[[#This Row],[asofdate]]))</f>
        <v>42016</v>
      </c>
      <c r="E214" s="50" t="s">
        <v>11</v>
      </c>
      <c r="F214" s="57">
        <v>0.16650000000000001</v>
      </c>
    </row>
    <row r="215" spans="2:6">
      <c r="B215" s="50" t="s">
        <v>21</v>
      </c>
      <c r="C215" s="50" t="s">
        <v>1444</v>
      </c>
      <c r="D215" s="50">
        <f>DATE(YEAR(OneWeekMtgRatesDataTable756[[#This Row],[asofdate]]),MONTH(OneWeekMtgRatesDataTable756[[#This Row],[asofdate]]),DAY(OneWeekMtgRatesDataTable756[[#This Row],[asofdate]]))</f>
        <v>42013</v>
      </c>
      <c r="E215" s="50" t="s">
        <v>11</v>
      </c>
      <c r="F215" s="57">
        <v>0.16675000000000001</v>
      </c>
    </row>
    <row r="216" spans="2:6">
      <c r="B216" s="50" t="s">
        <v>21</v>
      </c>
      <c r="C216" s="50" t="s">
        <v>1443</v>
      </c>
      <c r="D216" s="50">
        <f>DATE(YEAR(OneWeekMtgRatesDataTable756[[#This Row],[asofdate]]),MONTH(OneWeekMtgRatesDataTable756[[#This Row],[asofdate]]),DAY(OneWeekMtgRatesDataTable756[[#This Row],[asofdate]]))</f>
        <v>42012</v>
      </c>
      <c r="E216" s="50" t="s">
        <v>11</v>
      </c>
      <c r="F216" s="57">
        <v>0.16625000000000001</v>
      </c>
    </row>
    <row r="217" spans="2:6">
      <c r="B217" s="50" t="s">
        <v>21</v>
      </c>
      <c r="C217" s="50" t="s">
        <v>1442</v>
      </c>
      <c r="D217" s="50">
        <f>DATE(YEAR(OneWeekMtgRatesDataTable756[[#This Row],[asofdate]]),MONTH(OneWeekMtgRatesDataTable756[[#This Row],[asofdate]]),DAY(OneWeekMtgRatesDataTable756[[#This Row],[asofdate]]))</f>
        <v>42011</v>
      </c>
      <c r="E217" s="50" t="s">
        <v>11</v>
      </c>
      <c r="F217" s="57">
        <v>0.16650000000000001</v>
      </c>
    </row>
    <row r="218" spans="2:6">
      <c r="B218" s="50" t="s">
        <v>21</v>
      </c>
      <c r="C218" s="50" t="s">
        <v>1441</v>
      </c>
      <c r="D218" s="50">
        <f>DATE(YEAR(OneWeekMtgRatesDataTable756[[#This Row],[asofdate]]),MONTH(OneWeekMtgRatesDataTable756[[#This Row],[asofdate]]),DAY(OneWeekMtgRatesDataTable756[[#This Row],[asofdate]]))</f>
        <v>42010</v>
      </c>
      <c r="E218" s="50" t="s">
        <v>11</v>
      </c>
      <c r="F218" s="57">
        <v>0.16775000000000001</v>
      </c>
    </row>
    <row r="219" spans="2:6">
      <c r="B219" s="50" t="s">
        <v>21</v>
      </c>
      <c r="C219" s="50" t="s">
        <v>1440</v>
      </c>
      <c r="D219" s="50">
        <f>DATE(YEAR(OneWeekMtgRatesDataTable756[[#This Row],[asofdate]]),MONTH(OneWeekMtgRatesDataTable756[[#This Row],[asofdate]]),DAY(OneWeekMtgRatesDataTable756[[#This Row],[asofdate]]))</f>
        <v>42009</v>
      </c>
      <c r="E219" s="50" t="s">
        <v>11</v>
      </c>
      <c r="F219" s="57">
        <v>0.16800000000000001</v>
      </c>
    </row>
    <row r="220" spans="2:6">
      <c r="B220" s="50" t="s">
        <v>21</v>
      </c>
      <c r="C220" s="50" t="s">
        <v>1439</v>
      </c>
      <c r="D220" s="50">
        <f>DATE(YEAR(OneWeekMtgRatesDataTable756[[#This Row],[asofdate]]),MONTH(OneWeekMtgRatesDataTable756[[#This Row],[asofdate]]),DAY(OneWeekMtgRatesDataTable756[[#This Row],[asofdate]]))</f>
        <v>42006</v>
      </c>
      <c r="E220" s="50" t="s">
        <v>11</v>
      </c>
      <c r="F220" s="57">
        <v>0.16750000000000001</v>
      </c>
    </row>
    <row r="221" spans="2:6">
      <c r="B221" s="50" t="s">
        <v>21</v>
      </c>
      <c r="C221" s="50" t="s">
        <v>1438</v>
      </c>
      <c r="D221" s="50">
        <f>DATE(YEAR(OneWeekMtgRatesDataTable756[[#This Row],[asofdate]]),MONTH(OneWeekMtgRatesDataTable756[[#This Row],[asofdate]]),DAY(OneWeekMtgRatesDataTable756[[#This Row],[asofdate]]))</f>
        <v>42004</v>
      </c>
      <c r="E221" s="50" t="s">
        <v>11</v>
      </c>
      <c r="F221" s="57">
        <v>0.17125000000000001</v>
      </c>
    </row>
    <row r="222" spans="2:6">
      <c r="B222" s="50" t="s">
        <v>21</v>
      </c>
      <c r="C222" s="50" t="s">
        <v>1437</v>
      </c>
      <c r="D222" s="50">
        <f>DATE(YEAR(OneWeekMtgRatesDataTable756[[#This Row],[asofdate]]),MONTH(OneWeekMtgRatesDataTable756[[#This Row],[asofdate]]),DAY(OneWeekMtgRatesDataTable756[[#This Row],[asofdate]]))</f>
        <v>42003</v>
      </c>
      <c r="E222" s="50" t="s">
        <v>11</v>
      </c>
      <c r="F222" s="57">
        <v>0.16950000000000001</v>
      </c>
    </row>
    <row r="223" spans="2:6">
      <c r="B223" s="50" t="s">
        <v>21</v>
      </c>
      <c r="C223" s="50" t="s">
        <v>1436</v>
      </c>
      <c r="D223" s="50">
        <f>DATE(YEAR(OneWeekMtgRatesDataTable756[[#This Row],[asofdate]]),MONTH(OneWeekMtgRatesDataTable756[[#This Row],[asofdate]]),DAY(OneWeekMtgRatesDataTable756[[#This Row],[asofdate]]))</f>
        <v>42002</v>
      </c>
      <c r="E223" s="50" t="s">
        <v>11</v>
      </c>
      <c r="F223" s="57">
        <v>0.16925000000000001</v>
      </c>
    </row>
    <row r="224" spans="2:6">
      <c r="B224" s="50" t="s">
        <v>21</v>
      </c>
      <c r="C224" s="50" t="s">
        <v>1435</v>
      </c>
      <c r="D224" s="50">
        <f>DATE(YEAR(OneWeekMtgRatesDataTable756[[#This Row],[asofdate]]),MONTH(OneWeekMtgRatesDataTable756[[#This Row],[asofdate]]),DAY(OneWeekMtgRatesDataTable756[[#This Row],[asofdate]]))</f>
        <v>41999</v>
      </c>
      <c r="E224" s="50" t="s">
        <v>11</v>
      </c>
      <c r="F224" s="57">
        <v>0.16875000000000001</v>
      </c>
    </row>
    <row r="225" spans="2:6">
      <c r="B225" s="50" t="s">
        <v>21</v>
      </c>
      <c r="C225" s="50" t="s">
        <v>1434</v>
      </c>
      <c r="D225" s="50">
        <f>DATE(YEAR(OneWeekMtgRatesDataTable756[[#This Row],[asofdate]]),MONTH(OneWeekMtgRatesDataTable756[[#This Row],[asofdate]]),DAY(OneWeekMtgRatesDataTable756[[#This Row],[asofdate]]))</f>
        <v>41997</v>
      </c>
      <c r="E225" s="50" t="s">
        <v>11</v>
      </c>
      <c r="F225" s="57">
        <v>0.16875000000000001</v>
      </c>
    </row>
    <row r="226" spans="2:6">
      <c r="B226" s="50" t="s">
        <v>21</v>
      </c>
      <c r="C226" s="50" t="s">
        <v>1433</v>
      </c>
      <c r="D226" s="50">
        <f>DATE(YEAR(OneWeekMtgRatesDataTable756[[#This Row],[asofdate]]),MONTH(OneWeekMtgRatesDataTable756[[#This Row],[asofdate]]),DAY(OneWeekMtgRatesDataTable756[[#This Row],[asofdate]]))</f>
        <v>41996</v>
      </c>
      <c r="E226" s="50" t="s">
        <v>11</v>
      </c>
      <c r="F226" s="57">
        <v>0.16950000000000001</v>
      </c>
    </row>
    <row r="227" spans="2:6">
      <c r="B227" s="50" t="s">
        <v>21</v>
      </c>
      <c r="C227" s="50" t="s">
        <v>1432</v>
      </c>
      <c r="D227" s="50">
        <f>DATE(YEAR(OneWeekMtgRatesDataTable756[[#This Row],[asofdate]]),MONTH(OneWeekMtgRatesDataTable756[[#This Row],[asofdate]]),DAY(OneWeekMtgRatesDataTable756[[#This Row],[asofdate]]))</f>
        <v>41995</v>
      </c>
      <c r="E227" s="50" t="s">
        <v>11</v>
      </c>
      <c r="F227" s="57">
        <v>0.16700000000000001</v>
      </c>
    </row>
    <row r="228" spans="2:6">
      <c r="B228" s="50" t="s">
        <v>21</v>
      </c>
      <c r="C228" s="50" t="s">
        <v>1431</v>
      </c>
      <c r="D228" s="50">
        <f>DATE(YEAR(OneWeekMtgRatesDataTable756[[#This Row],[asofdate]]),MONTH(OneWeekMtgRatesDataTable756[[#This Row],[asofdate]]),DAY(OneWeekMtgRatesDataTable756[[#This Row],[asofdate]]))</f>
        <v>41992</v>
      </c>
      <c r="E228" s="50" t="s">
        <v>11</v>
      </c>
      <c r="F228" s="57">
        <v>0.16425000000000001</v>
      </c>
    </row>
    <row r="229" spans="2:6">
      <c r="B229" s="50" t="s">
        <v>21</v>
      </c>
      <c r="C229" s="50" t="s">
        <v>1430</v>
      </c>
      <c r="D229" s="50">
        <f>DATE(YEAR(OneWeekMtgRatesDataTable756[[#This Row],[asofdate]]),MONTH(OneWeekMtgRatesDataTable756[[#This Row],[asofdate]]),DAY(OneWeekMtgRatesDataTable756[[#This Row],[asofdate]]))</f>
        <v>41991</v>
      </c>
      <c r="E229" s="50" t="s">
        <v>11</v>
      </c>
      <c r="F229" s="57">
        <v>0.16545000000000001</v>
      </c>
    </row>
    <row r="230" spans="2:6">
      <c r="B230" s="50" t="s">
        <v>21</v>
      </c>
      <c r="C230" s="50" t="s">
        <v>1429</v>
      </c>
      <c r="D230" s="50">
        <f>DATE(YEAR(OneWeekMtgRatesDataTable756[[#This Row],[asofdate]]),MONTH(OneWeekMtgRatesDataTable756[[#This Row],[asofdate]]),DAY(OneWeekMtgRatesDataTable756[[#This Row],[asofdate]]))</f>
        <v>41990</v>
      </c>
      <c r="E230" s="50" t="s">
        <v>11</v>
      </c>
      <c r="F230" s="57">
        <v>0.1641</v>
      </c>
    </row>
    <row r="231" spans="2:6">
      <c r="B231" s="50" t="s">
        <v>21</v>
      </c>
      <c r="C231" s="50" t="s">
        <v>1428</v>
      </c>
      <c r="D231" s="50">
        <f>DATE(YEAR(OneWeekMtgRatesDataTable756[[#This Row],[asofdate]]),MONTH(OneWeekMtgRatesDataTable756[[#This Row],[asofdate]]),DAY(OneWeekMtgRatesDataTable756[[#This Row],[asofdate]]))</f>
        <v>41989</v>
      </c>
      <c r="E231" s="50" t="s">
        <v>11</v>
      </c>
      <c r="F231" s="57">
        <v>0.16200000000000001</v>
      </c>
    </row>
    <row r="232" spans="2:6">
      <c r="B232" s="50" t="s">
        <v>21</v>
      </c>
      <c r="C232" s="50" t="s">
        <v>1427</v>
      </c>
      <c r="D232" s="50">
        <f>DATE(YEAR(OneWeekMtgRatesDataTable756[[#This Row],[asofdate]]),MONTH(OneWeekMtgRatesDataTable756[[#This Row],[asofdate]]),DAY(OneWeekMtgRatesDataTable756[[#This Row],[asofdate]]))</f>
        <v>41988</v>
      </c>
      <c r="E232" s="50" t="s">
        <v>11</v>
      </c>
      <c r="F232" s="57">
        <v>0.16200000000000001</v>
      </c>
    </row>
    <row r="233" spans="2:6">
      <c r="B233" s="50" t="s">
        <v>21</v>
      </c>
      <c r="C233" s="50" t="s">
        <v>1426</v>
      </c>
      <c r="D233" s="50">
        <f>DATE(YEAR(OneWeekMtgRatesDataTable756[[#This Row],[asofdate]]),MONTH(OneWeekMtgRatesDataTable756[[#This Row],[asofdate]]),DAY(OneWeekMtgRatesDataTable756[[#This Row],[asofdate]]))</f>
        <v>41985</v>
      </c>
      <c r="E233" s="50" t="s">
        <v>11</v>
      </c>
      <c r="F233" s="57">
        <v>0.161</v>
      </c>
    </row>
    <row r="234" spans="2:6">
      <c r="B234" s="50" t="s">
        <v>21</v>
      </c>
      <c r="C234" s="50" t="s">
        <v>1425</v>
      </c>
      <c r="D234" s="50">
        <f>DATE(YEAR(OneWeekMtgRatesDataTable756[[#This Row],[asofdate]]),MONTH(OneWeekMtgRatesDataTable756[[#This Row],[asofdate]]),DAY(OneWeekMtgRatesDataTable756[[#This Row],[asofdate]]))</f>
        <v>41984</v>
      </c>
      <c r="E234" s="50" t="s">
        <v>11</v>
      </c>
      <c r="F234" s="57">
        <v>0.1608</v>
      </c>
    </row>
    <row r="235" spans="2:6">
      <c r="B235" s="50" t="s">
        <v>21</v>
      </c>
      <c r="C235" s="50" t="s">
        <v>1424</v>
      </c>
      <c r="D235" s="50">
        <f>DATE(YEAR(OneWeekMtgRatesDataTable756[[#This Row],[asofdate]]),MONTH(OneWeekMtgRatesDataTable756[[#This Row],[asofdate]]),DAY(OneWeekMtgRatesDataTable756[[#This Row],[asofdate]]))</f>
        <v>41983</v>
      </c>
      <c r="E235" s="50" t="s">
        <v>11</v>
      </c>
      <c r="F235" s="57">
        <v>0.1608</v>
      </c>
    </row>
    <row r="236" spans="2:6">
      <c r="B236" s="50" t="s">
        <v>21</v>
      </c>
      <c r="C236" s="50" t="s">
        <v>1423</v>
      </c>
      <c r="D236" s="50">
        <f>DATE(YEAR(OneWeekMtgRatesDataTable756[[#This Row],[asofdate]]),MONTH(OneWeekMtgRatesDataTable756[[#This Row],[asofdate]]),DAY(OneWeekMtgRatesDataTable756[[#This Row],[asofdate]]))</f>
        <v>41982</v>
      </c>
      <c r="E236" s="50" t="s">
        <v>11</v>
      </c>
      <c r="F236" s="57">
        <v>0.1585</v>
      </c>
    </row>
    <row r="237" spans="2:6">
      <c r="B237" s="50" t="s">
        <v>21</v>
      </c>
      <c r="C237" s="50" t="s">
        <v>1422</v>
      </c>
      <c r="D237" s="50">
        <f>DATE(YEAR(OneWeekMtgRatesDataTable756[[#This Row],[asofdate]]),MONTH(OneWeekMtgRatesDataTable756[[#This Row],[asofdate]]),DAY(OneWeekMtgRatesDataTable756[[#This Row],[asofdate]]))</f>
        <v>41981</v>
      </c>
      <c r="E237" s="50" t="s">
        <v>11</v>
      </c>
      <c r="F237" s="57">
        <v>0.16170000000000001</v>
      </c>
    </row>
    <row r="238" spans="2:6">
      <c r="B238" s="50" t="s">
        <v>21</v>
      </c>
      <c r="C238" s="50" t="s">
        <v>1421</v>
      </c>
      <c r="D238" s="50">
        <f>DATE(YEAR(OneWeekMtgRatesDataTable756[[#This Row],[asofdate]]),MONTH(OneWeekMtgRatesDataTable756[[#This Row],[asofdate]]),DAY(OneWeekMtgRatesDataTable756[[#This Row],[asofdate]]))</f>
        <v>41978</v>
      </c>
      <c r="E238" s="50" t="s">
        <v>11</v>
      </c>
      <c r="F238" s="57">
        <v>0.158</v>
      </c>
    </row>
    <row r="239" spans="2:6">
      <c r="B239" s="50" t="s">
        <v>21</v>
      </c>
      <c r="C239" s="50" t="s">
        <v>1420</v>
      </c>
      <c r="D239" s="50">
        <f>DATE(YEAR(OneWeekMtgRatesDataTable756[[#This Row],[asofdate]]),MONTH(OneWeekMtgRatesDataTable756[[#This Row],[asofdate]]),DAY(OneWeekMtgRatesDataTable756[[#This Row],[asofdate]]))</f>
        <v>41977</v>
      </c>
      <c r="E239" s="50" t="s">
        <v>11</v>
      </c>
      <c r="F239" s="57">
        <v>0.15720000000000001</v>
      </c>
    </row>
    <row r="240" spans="2:6">
      <c r="B240" s="50" t="s">
        <v>21</v>
      </c>
      <c r="C240" s="50" t="s">
        <v>1419</v>
      </c>
      <c r="D240" s="50">
        <f>DATE(YEAR(OneWeekMtgRatesDataTable756[[#This Row],[asofdate]]),MONTH(OneWeekMtgRatesDataTable756[[#This Row],[asofdate]]),DAY(OneWeekMtgRatesDataTable756[[#This Row],[asofdate]]))</f>
        <v>41976</v>
      </c>
      <c r="E240" s="50" t="s">
        <v>11</v>
      </c>
      <c r="F240" s="57">
        <v>0.157</v>
      </c>
    </row>
    <row r="241" spans="2:6">
      <c r="B241" s="50" t="s">
        <v>21</v>
      </c>
      <c r="C241" s="50" t="s">
        <v>1418</v>
      </c>
      <c r="D241" s="50">
        <f>DATE(YEAR(OneWeekMtgRatesDataTable756[[#This Row],[asofdate]]),MONTH(OneWeekMtgRatesDataTable756[[#This Row],[asofdate]]),DAY(OneWeekMtgRatesDataTable756[[#This Row],[asofdate]]))</f>
        <v>41975</v>
      </c>
      <c r="E241" s="50" t="s">
        <v>11</v>
      </c>
      <c r="F241" s="57">
        <v>0.15825</v>
      </c>
    </row>
    <row r="242" spans="2:6">
      <c r="B242" s="50" t="s">
        <v>21</v>
      </c>
      <c r="C242" s="50" t="s">
        <v>1417</v>
      </c>
      <c r="D242" s="50">
        <f>DATE(YEAR(OneWeekMtgRatesDataTable756[[#This Row],[asofdate]]),MONTH(OneWeekMtgRatesDataTable756[[#This Row],[asofdate]]),DAY(OneWeekMtgRatesDataTable756[[#This Row],[asofdate]]))</f>
        <v>41974</v>
      </c>
      <c r="E242" s="50" t="s">
        <v>11</v>
      </c>
      <c r="F242" s="57">
        <v>0.15775</v>
      </c>
    </row>
    <row r="243" spans="2:6">
      <c r="B243" s="50" t="s">
        <v>21</v>
      </c>
      <c r="C243" s="50" t="s">
        <v>1416</v>
      </c>
      <c r="D243" s="50">
        <f>DATE(YEAR(OneWeekMtgRatesDataTable756[[#This Row],[asofdate]]),MONTH(OneWeekMtgRatesDataTable756[[#This Row],[asofdate]]),DAY(OneWeekMtgRatesDataTable756[[#This Row],[asofdate]]))</f>
        <v>41971</v>
      </c>
      <c r="E243" s="50" t="s">
        <v>11</v>
      </c>
      <c r="F243" s="57">
        <v>0.154</v>
      </c>
    </row>
    <row r="244" spans="2:6">
      <c r="B244" s="50" t="s">
        <v>21</v>
      </c>
      <c r="C244" s="50" t="s">
        <v>1415</v>
      </c>
      <c r="D244" s="50">
        <f>DATE(YEAR(OneWeekMtgRatesDataTable756[[#This Row],[asofdate]]),MONTH(OneWeekMtgRatesDataTable756[[#This Row],[asofdate]]),DAY(OneWeekMtgRatesDataTable756[[#This Row],[asofdate]]))</f>
        <v>41969</v>
      </c>
      <c r="E244" s="50" t="s">
        <v>11</v>
      </c>
      <c r="F244" s="57">
        <v>0.15575</v>
      </c>
    </row>
    <row r="245" spans="2:6">
      <c r="B245" s="50" t="s">
        <v>21</v>
      </c>
      <c r="C245" s="50" t="s">
        <v>1414</v>
      </c>
      <c r="D245" s="50">
        <f>DATE(YEAR(OneWeekMtgRatesDataTable756[[#This Row],[asofdate]]),MONTH(OneWeekMtgRatesDataTable756[[#This Row],[asofdate]]),DAY(OneWeekMtgRatesDataTable756[[#This Row],[asofdate]]))</f>
        <v>41968</v>
      </c>
      <c r="E245" s="50" t="s">
        <v>11</v>
      </c>
      <c r="F245" s="57">
        <v>0.15625</v>
      </c>
    </row>
    <row r="246" spans="2:6">
      <c r="B246" s="50" t="s">
        <v>21</v>
      </c>
      <c r="C246" s="50" t="s">
        <v>1413</v>
      </c>
      <c r="D246" s="50">
        <f>DATE(YEAR(OneWeekMtgRatesDataTable756[[#This Row],[asofdate]]),MONTH(OneWeekMtgRatesDataTable756[[#This Row],[asofdate]]),DAY(OneWeekMtgRatesDataTable756[[#This Row],[asofdate]]))</f>
        <v>41967</v>
      </c>
      <c r="E246" s="50" t="s">
        <v>11</v>
      </c>
      <c r="F246" s="57">
        <v>0.1535</v>
      </c>
    </row>
    <row r="247" spans="2:6">
      <c r="B247" s="50" t="s">
        <v>21</v>
      </c>
      <c r="C247" s="50" t="s">
        <v>1412</v>
      </c>
      <c r="D247" s="50">
        <f>DATE(YEAR(OneWeekMtgRatesDataTable756[[#This Row],[asofdate]]),MONTH(OneWeekMtgRatesDataTable756[[#This Row],[asofdate]]),DAY(OneWeekMtgRatesDataTable756[[#This Row],[asofdate]]))</f>
        <v>41964</v>
      </c>
      <c r="E247" s="50" t="s">
        <v>11</v>
      </c>
      <c r="F247" s="57">
        <v>0.15525</v>
      </c>
    </row>
    <row r="248" spans="2:6">
      <c r="B248" s="50" t="s">
        <v>21</v>
      </c>
      <c r="C248" s="50" t="s">
        <v>1411</v>
      </c>
      <c r="D248" s="50">
        <f>DATE(YEAR(OneWeekMtgRatesDataTable756[[#This Row],[asofdate]]),MONTH(OneWeekMtgRatesDataTable756[[#This Row],[asofdate]]),DAY(OneWeekMtgRatesDataTable756[[#This Row],[asofdate]]))</f>
        <v>41963</v>
      </c>
      <c r="E248" s="50" t="s">
        <v>11</v>
      </c>
      <c r="F248" s="57">
        <v>0.155</v>
      </c>
    </row>
    <row r="249" spans="2:6">
      <c r="B249" s="50" t="s">
        <v>21</v>
      </c>
      <c r="C249" s="50" t="s">
        <v>1410</v>
      </c>
      <c r="D249" s="50">
        <f>DATE(YEAR(OneWeekMtgRatesDataTable756[[#This Row],[asofdate]]),MONTH(OneWeekMtgRatesDataTable756[[#This Row],[asofdate]]),DAY(OneWeekMtgRatesDataTable756[[#This Row],[asofdate]]))</f>
        <v>41962</v>
      </c>
      <c r="E249" s="50" t="s">
        <v>11</v>
      </c>
      <c r="F249" s="57">
        <v>0.155</v>
      </c>
    </row>
    <row r="250" spans="2:6">
      <c r="B250" s="50" t="s">
        <v>21</v>
      </c>
      <c r="C250" s="50" t="s">
        <v>1409</v>
      </c>
      <c r="D250" s="50">
        <f>DATE(YEAR(OneWeekMtgRatesDataTable756[[#This Row],[asofdate]]),MONTH(OneWeekMtgRatesDataTable756[[#This Row],[asofdate]]),DAY(OneWeekMtgRatesDataTable756[[#This Row],[asofdate]]))</f>
        <v>41961</v>
      </c>
      <c r="E250" s="50" t="s">
        <v>11</v>
      </c>
      <c r="F250" s="57">
        <v>0.155</v>
      </c>
    </row>
    <row r="251" spans="2:6">
      <c r="B251" s="50" t="s">
        <v>21</v>
      </c>
      <c r="C251" s="50" t="s">
        <v>1408</v>
      </c>
      <c r="D251" s="50">
        <f>DATE(YEAR(OneWeekMtgRatesDataTable756[[#This Row],[asofdate]]),MONTH(OneWeekMtgRatesDataTable756[[#This Row],[asofdate]]),DAY(OneWeekMtgRatesDataTable756[[#This Row],[asofdate]]))</f>
        <v>41960</v>
      </c>
      <c r="E251" s="50" t="s">
        <v>11</v>
      </c>
      <c r="F251" s="57">
        <v>0.154</v>
      </c>
    </row>
    <row r="252" spans="2:6">
      <c r="B252" s="50" t="s">
        <v>21</v>
      </c>
      <c r="C252" s="50" t="s">
        <v>1407</v>
      </c>
      <c r="D252" s="50">
        <f>DATE(YEAR(OneWeekMtgRatesDataTable756[[#This Row],[asofdate]]),MONTH(OneWeekMtgRatesDataTable756[[#This Row],[asofdate]]),DAY(OneWeekMtgRatesDataTable756[[#This Row],[asofdate]]))</f>
        <v>41957</v>
      </c>
      <c r="E252" s="50" t="s">
        <v>11</v>
      </c>
      <c r="F252" s="57">
        <v>0.153</v>
      </c>
    </row>
    <row r="253" spans="2:6">
      <c r="B253" s="50" t="s">
        <v>21</v>
      </c>
      <c r="C253" s="50" t="s">
        <v>1406</v>
      </c>
      <c r="D253" s="50">
        <f>DATE(YEAR(OneWeekMtgRatesDataTable756[[#This Row],[asofdate]]),MONTH(OneWeekMtgRatesDataTable756[[#This Row],[asofdate]]),DAY(OneWeekMtgRatesDataTable756[[#This Row],[asofdate]]))</f>
        <v>41956</v>
      </c>
      <c r="E253" s="50" t="s">
        <v>11</v>
      </c>
      <c r="F253" s="57">
        <v>0.1547</v>
      </c>
    </row>
    <row r="254" spans="2:6">
      <c r="B254" s="50" t="s">
        <v>21</v>
      </c>
      <c r="C254" s="50" t="s">
        <v>1405</v>
      </c>
      <c r="D254" s="50">
        <f>DATE(YEAR(OneWeekMtgRatesDataTable756[[#This Row],[asofdate]]),MONTH(OneWeekMtgRatesDataTable756[[#This Row],[asofdate]]),DAY(OneWeekMtgRatesDataTable756[[#This Row],[asofdate]]))</f>
        <v>41955</v>
      </c>
      <c r="E254" s="50" t="s">
        <v>11</v>
      </c>
      <c r="F254" s="57">
        <v>0.15279999999999999</v>
      </c>
    </row>
    <row r="255" spans="2:6">
      <c r="B255" s="50" t="s">
        <v>21</v>
      </c>
      <c r="C255" s="50" t="s">
        <v>1404</v>
      </c>
      <c r="D255" s="50">
        <f>DATE(YEAR(OneWeekMtgRatesDataTable756[[#This Row],[asofdate]]),MONTH(OneWeekMtgRatesDataTable756[[#This Row],[asofdate]]),DAY(OneWeekMtgRatesDataTable756[[#This Row],[asofdate]]))</f>
        <v>41953</v>
      </c>
      <c r="E255" s="50" t="s">
        <v>11</v>
      </c>
      <c r="F255" s="57">
        <v>0.15429999999999999</v>
      </c>
    </row>
    <row r="256" spans="2:6">
      <c r="B256" s="50" t="s">
        <v>21</v>
      </c>
      <c r="C256" s="50" t="s">
        <v>1403</v>
      </c>
      <c r="D256" s="50">
        <f>DATE(YEAR(OneWeekMtgRatesDataTable756[[#This Row],[asofdate]]),MONTH(OneWeekMtgRatesDataTable756[[#This Row],[asofdate]]),DAY(OneWeekMtgRatesDataTable756[[#This Row],[asofdate]]))</f>
        <v>41950</v>
      </c>
      <c r="E256" s="50" t="s">
        <v>11</v>
      </c>
      <c r="F256" s="57">
        <v>0.1573</v>
      </c>
    </row>
    <row r="257" spans="2:6">
      <c r="B257" s="50" t="s">
        <v>21</v>
      </c>
      <c r="C257" s="50" t="s">
        <v>1402</v>
      </c>
      <c r="D257" s="50">
        <f>DATE(YEAR(OneWeekMtgRatesDataTable756[[#This Row],[asofdate]]),MONTH(OneWeekMtgRatesDataTable756[[#This Row],[asofdate]]),DAY(OneWeekMtgRatesDataTable756[[#This Row],[asofdate]]))</f>
        <v>41949</v>
      </c>
      <c r="E257" s="50" t="s">
        <v>11</v>
      </c>
      <c r="F257" s="57">
        <v>0.1555</v>
      </c>
    </row>
    <row r="258" spans="2:6">
      <c r="B258" s="50" t="s">
        <v>21</v>
      </c>
      <c r="C258" s="50" t="s">
        <v>1401</v>
      </c>
      <c r="D258" s="50">
        <f>DATE(YEAR(OneWeekMtgRatesDataTable756[[#This Row],[asofdate]]),MONTH(OneWeekMtgRatesDataTable756[[#This Row],[asofdate]]),DAY(OneWeekMtgRatesDataTable756[[#This Row],[asofdate]]))</f>
        <v>41948</v>
      </c>
      <c r="E258" s="50" t="s">
        <v>11</v>
      </c>
      <c r="F258" s="57">
        <v>0.1555</v>
      </c>
    </row>
    <row r="259" spans="2:6">
      <c r="B259" s="50" t="s">
        <v>21</v>
      </c>
      <c r="C259" s="50" t="s">
        <v>1400</v>
      </c>
      <c r="D259" s="50">
        <f>DATE(YEAR(OneWeekMtgRatesDataTable756[[#This Row],[asofdate]]),MONTH(OneWeekMtgRatesDataTable756[[#This Row],[asofdate]]),DAY(OneWeekMtgRatesDataTable756[[#This Row],[asofdate]]))</f>
        <v>41947</v>
      </c>
      <c r="E259" s="50" t="s">
        <v>11</v>
      </c>
      <c r="F259" s="57">
        <v>0.1555</v>
      </c>
    </row>
    <row r="260" spans="2:6">
      <c r="B260" s="50" t="s">
        <v>21</v>
      </c>
      <c r="C260" s="50" t="s">
        <v>1399</v>
      </c>
      <c r="D260" s="50">
        <f>DATE(YEAR(OneWeekMtgRatesDataTable756[[#This Row],[asofdate]]),MONTH(OneWeekMtgRatesDataTable756[[#This Row],[asofdate]]),DAY(OneWeekMtgRatesDataTable756[[#This Row],[asofdate]]))</f>
        <v>41946</v>
      </c>
      <c r="E260" s="50" t="s">
        <v>11</v>
      </c>
      <c r="F260" s="57">
        <v>0.1555</v>
      </c>
    </row>
    <row r="261" spans="2:6">
      <c r="B261" s="50" t="s">
        <v>21</v>
      </c>
      <c r="C261" s="50" t="s">
        <v>1398</v>
      </c>
      <c r="D261" s="50">
        <f>DATE(YEAR(OneWeekMtgRatesDataTable756[[#This Row],[asofdate]]),MONTH(OneWeekMtgRatesDataTable756[[#This Row],[asofdate]]),DAY(OneWeekMtgRatesDataTable756[[#This Row],[asofdate]]))</f>
        <v>41943</v>
      </c>
      <c r="E261" s="50" t="s">
        <v>11</v>
      </c>
      <c r="F261" s="57">
        <v>0.15590000000000001</v>
      </c>
    </row>
    <row r="262" spans="2:6">
      <c r="B262" s="50" t="s">
        <v>21</v>
      </c>
      <c r="C262" s="50" t="s">
        <v>1397</v>
      </c>
      <c r="D262" s="50">
        <f>DATE(YEAR(OneWeekMtgRatesDataTable756[[#This Row],[asofdate]]),MONTH(OneWeekMtgRatesDataTable756[[#This Row],[asofdate]]),DAY(OneWeekMtgRatesDataTable756[[#This Row],[asofdate]]))</f>
        <v>41942</v>
      </c>
      <c r="E262" s="50" t="s">
        <v>11</v>
      </c>
      <c r="F262" s="57">
        <v>0.15670000000000001</v>
      </c>
    </row>
    <row r="263" spans="2:6">
      <c r="B263" s="50" t="s">
        <v>21</v>
      </c>
      <c r="C263" s="50" t="s">
        <v>1396</v>
      </c>
      <c r="D263" s="50">
        <f>DATE(YEAR(OneWeekMtgRatesDataTable756[[#This Row],[asofdate]]),MONTH(OneWeekMtgRatesDataTable756[[#This Row],[asofdate]]),DAY(OneWeekMtgRatesDataTable756[[#This Row],[asofdate]]))</f>
        <v>41941</v>
      </c>
      <c r="E263" s="50" t="s">
        <v>11</v>
      </c>
      <c r="F263" s="57">
        <v>0.154</v>
      </c>
    </row>
    <row r="264" spans="2:6">
      <c r="B264" s="50" t="s">
        <v>21</v>
      </c>
      <c r="C264" s="50" t="s">
        <v>1395</v>
      </c>
      <c r="D264" s="50">
        <f>DATE(YEAR(OneWeekMtgRatesDataTable756[[#This Row],[asofdate]]),MONTH(OneWeekMtgRatesDataTable756[[#This Row],[asofdate]]),DAY(OneWeekMtgRatesDataTable756[[#This Row],[asofdate]]))</f>
        <v>41940</v>
      </c>
      <c r="E264" s="50" t="s">
        <v>11</v>
      </c>
      <c r="F264" s="57">
        <v>0.1535</v>
      </c>
    </row>
    <row r="265" spans="2:6">
      <c r="B265" s="50" t="s">
        <v>21</v>
      </c>
      <c r="C265" s="50" t="s">
        <v>1394</v>
      </c>
      <c r="D265" s="50">
        <f>DATE(YEAR(OneWeekMtgRatesDataTable756[[#This Row],[asofdate]]),MONTH(OneWeekMtgRatesDataTable756[[#This Row],[asofdate]]),DAY(OneWeekMtgRatesDataTable756[[#This Row],[asofdate]]))</f>
        <v>41939</v>
      </c>
      <c r="E265" s="50" t="s">
        <v>11</v>
      </c>
      <c r="F265" s="57">
        <v>0.1525</v>
      </c>
    </row>
    <row r="266" spans="2:6">
      <c r="B266" s="50" t="s">
        <v>21</v>
      </c>
      <c r="C266" s="50" t="s">
        <v>1393</v>
      </c>
      <c r="D266" s="50">
        <f>DATE(YEAR(OneWeekMtgRatesDataTable756[[#This Row],[asofdate]]),MONTH(OneWeekMtgRatesDataTable756[[#This Row],[asofdate]]),DAY(OneWeekMtgRatesDataTable756[[#This Row],[asofdate]]))</f>
        <v>41936</v>
      </c>
      <c r="E266" s="50" t="s">
        <v>11</v>
      </c>
      <c r="F266" s="57">
        <v>0.152</v>
      </c>
    </row>
    <row r="267" spans="2:6">
      <c r="B267" s="50" t="s">
        <v>21</v>
      </c>
      <c r="C267" s="50" t="s">
        <v>1392</v>
      </c>
      <c r="D267" s="50">
        <f>DATE(YEAR(OneWeekMtgRatesDataTable756[[#This Row],[asofdate]]),MONTH(OneWeekMtgRatesDataTable756[[#This Row],[asofdate]]),DAY(OneWeekMtgRatesDataTable756[[#This Row],[asofdate]]))</f>
        <v>41935</v>
      </c>
      <c r="E267" s="50" t="s">
        <v>11</v>
      </c>
      <c r="F267" s="57">
        <v>0.152</v>
      </c>
    </row>
    <row r="268" spans="2:6">
      <c r="B268" s="50" t="s">
        <v>21</v>
      </c>
      <c r="C268" s="50" t="s">
        <v>1391</v>
      </c>
      <c r="D268" s="50">
        <f>DATE(YEAR(OneWeekMtgRatesDataTable756[[#This Row],[asofdate]]),MONTH(OneWeekMtgRatesDataTable756[[#This Row],[asofdate]]),DAY(OneWeekMtgRatesDataTable756[[#This Row],[asofdate]]))</f>
        <v>41934</v>
      </c>
      <c r="E268" s="50" t="s">
        <v>11</v>
      </c>
      <c r="F268" s="57">
        <v>0.153</v>
      </c>
    </row>
    <row r="269" spans="2:6">
      <c r="B269" s="50" t="s">
        <v>21</v>
      </c>
      <c r="C269" s="50" t="s">
        <v>1390</v>
      </c>
      <c r="D269" s="50">
        <f>DATE(YEAR(OneWeekMtgRatesDataTable756[[#This Row],[asofdate]]),MONTH(OneWeekMtgRatesDataTable756[[#This Row],[asofdate]]),DAY(OneWeekMtgRatesDataTable756[[#This Row],[asofdate]]))</f>
        <v>41933</v>
      </c>
      <c r="E269" s="50" t="s">
        <v>11</v>
      </c>
      <c r="F269" s="57">
        <v>0.153</v>
      </c>
    </row>
    <row r="270" spans="2:6">
      <c r="B270" s="50" t="s">
        <v>21</v>
      </c>
      <c r="C270" s="50" t="s">
        <v>1389</v>
      </c>
      <c r="D270" s="50">
        <f>DATE(YEAR(OneWeekMtgRatesDataTable756[[#This Row],[asofdate]]),MONTH(OneWeekMtgRatesDataTable756[[#This Row],[asofdate]]),DAY(OneWeekMtgRatesDataTable756[[#This Row],[asofdate]]))</f>
        <v>41932</v>
      </c>
      <c r="E270" s="50" t="s">
        <v>11</v>
      </c>
      <c r="F270" s="57">
        <v>0.15570000000000001</v>
      </c>
    </row>
    <row r="271" spans="2:6">
      <c r="B271" s="50" t="s">
        <v>21</v>
      </c>
      <c r="C271" s="50" t="s">
        <v>1388</v>
      </c>
      <c r="D271" s="50">
        <f>DATE(YEAR(OneWeekMtgRatesDataTable756[[#This Row],[asofdate]]),MONTH(OneWeekMtgRatesDataTable756[[#This Row],[asofdate]]),DAY(OneWeekMtgRatesDataTable756[[#This Row],[asofdate]]))</f>
        <v>41929</v>
      </c>
      <c r="E271" s="50" t="s">
        <v>11</v>
      </c>
      <c r="F271" s="57">
        <v>0.15720000000000001</v>
      </c>
    </row>
    <row r="272" spans="2:6">
      <c r="B272" s="50" t="s">
        <v>21</v>
      </c>
      <c r="C272" s="50" t="s">
        <v>1387</v>
      </c>
      <c r="D272" s="50">
        <f>DATE(YEAR(OneWeekMtgRatesDataTable756[[#This Row],[asofdate]]),MONTH(OneWeekMtgRatesDataTable756[[#This Row],[asofdate]]),DAY(OneWeekMtgRatesDataTable756[[#This Row],[asofdate]]))</f>
        <v>41928</v>
      </c>
      <c r="E272" s="50" t="s">
        <v>11</v>
      </c>
      <c r="F272" s="57">
        <v>0.157</v>
      </c>
    </row>
    <row r="273" spans="2:6">
      <c r="B273" s="50" t="s">
        <v>21</v>
      </c>
      <c r="C273" s="50" t="s">
        <v>1386</v>
      </c>
      <c r="D273" s="50">
        <f>DATE(YEAR(OneWeekMtgRatesDataTable756[[#This Row],[asofdate]]),MONTH(OneWeekMtgRatesDataTable756[[#This Row],[asofdate]]),DAY(OneWeekMtgRatesDataTable756[[#This Row],[asofdate]]))</f>
        <v>41927</v>
      </c>
      <c r="E273" s="50" t="s">
        <v>11</v>
      </c>
      <c r="F273" s="57">
        <v>0.1535</v>
      </c>
    </row>
    <row r="274" spans="2:6">
      <c r="B274" s="50" t="s">
        <v>21</v>
      </c>
      <c r="C274" s="50" t="s">
        <v>1385</v>
      </c>
      <c r="D274" s="50">
        <f>DATE(YEAR(OneWeekMtgRatesDataTable756[[#This Row],[asofdate]]),MONTH(OneWeekMtgRatesDataTable756[[#This Row],[asofdate]]),DAY(OneWeekMtgRatesDataTable756[[#This Row],[asofdate]]))</f>
        <v>41926</v>
      </c>
      <c r="E274" s="50" t="s">
        <v>11</v>
      </c>
      <c r="F274" s="57">
        <v>0.15179999999999999</v>
      </c>
    </row>
    <row r="275" spans="2:6">
      <c r="B275" s="50" t="s">
        <v>21</v>
      </c>
      <c r="C275" s="50" t="s">
        <v>1384</v>
      </c>
      <c r="D275" s="50">
        <f>DATE(YEAR(OneWeekMtgRatesDataTable756[[#This Row],[asofdate]]),MONTH(OneWeekMtgRatesDataTable756[[#This Row],[asofdate]]),DAY(OneWeekMtgRatesDataTable756[[#This Row],[asofdate]]))</f>
        <v>41922</v>
      </c>
      <c r="E275" s="50" t="s">
        <v>11</v>
      </c>
      <c r="F275" s="57">
        <v>0.15279999999999999</v>
      </c>
    </row>
    <row r="276" spans="2:6">
      <c r="B276" s="50" t="s">
        <v>21</v>
      </c>
      <c r="C276" s="50" t="s">
        <v>1383</v>
      </c>
      <c r="D276" s="50">
        <f>DATE(YEAR(OneWeekMtgRatesDataTable756[[#This Row],[asofdate]]),MONTH(OneWeekMtgRatesDataTable756[[#This Row],[asofdate]]),DAY(OneWeekMtgRatesDataTable756[[#This Row],[asofdate]]))</f>
        <v>41921</v>
      </c>
      <c r="E276" s="50" t="s">
        <v>11</v>
      </c>
      <c r="F276" s="57">
        <v>0.1527</v>
      </c>
    </row>
    <row r="277" spans="2:6">
      <c r="B277" s="50" t="s">
        <v>21</v>
      </c>
      <c r="C277" s="50" t="s">
        <v>1382</v>
      </c>
      <c r="D277" s="50">
        <f>DATE(YEAR(OneWeekMtgRatesDataTable756[[#This Row],[asofdate]]),MONTH(OneWeekMtgRatesDataTable756[[#This Row],[asofdate]]),DAY(OneWeekMtgRatesDataTable756[[#This Row],[asofdate]]))</f>
        <v>41920</v>
      </c>
      <c r="E277" s="50" t="s">
        <v>11</v>
      </c>
      <c r="F277" s="57">
        <v>0.15179999999999999</v>
      </c>
    </row>
    <row r="278" spans="2:6">
      <c r="B278" s="50" t="s">
        <v>21</v>
      </c>
      <c r="C278" s="50" t="s">
        <v>1381</v>
      </c>
      <c r="D278" s="50">
        <f>DATE(YEAR(OneWeekMtgRatesDataTable756[[#This Row],[asofdate]]),MONTH(OneWeekMtgRatesDataTable756[[#This Row],[asofdate]]),DAY(OneWeekMtgRatesDataTable756[[#This Row],[asofdate]]))</f>
        <v>41919</v>
      </c>
      <c r="E278" s="50" t="s">
        <v>11</v>
      </c>
      <c r="F278" s="57">
        <v>0.1525</v>
      </c>
    </row>
    <row r="279" spans="2:6">
      <c r="B279" s="50" t="s">
        <v>21</v>
      </c>
      <c r="C279" s="50" t="s">
        <v>1380</v>
      </c>
      <c r="D279" s="50">
        <f>DATE(YEAR(OneWeekMtgRatesDataTable756[[#This Row],[asofdate]]),MONTH(OneWeekMtgRatesDataTable756[[#This Row],[asofdate]]),DAY(OneWeekMtgRatesDataTable756[[#This Row],[asofdate]]))</f>
        <v>41918</v>
      </c>
      <c r="E279" s="50" t="s">
        <v>11</v>
      </c>
      <c r="F279" s="57">
        <v>0.153</v>
      </c>
    </row>
    <row r="280" spans="2:6">
      <c r="B280" s="50" t="s">
        <v>21</v>
      </c>
      <c r="C280" s="50" t="s">
        <v>1379</v>
      </c>
      <c r="D280" s="50">
        <f>DATE(YEAR(OneWeekMtgRatesDataTable756[[#This Row],[asofdate]]),MONTH(OneWeekMtgRatesDataTable756[[#This Row],[asofdate]]),DAY(OneWeekMtgRatesDataTable756[[#This Row],[asofdate]]))</f>
        <v>41915</v>
      </c>
      <c r="E280" s="50" t="s">
        <v>11</v>
      </c>
      <c r="F280" s="57">
        <v>0.153</v>
      </c>
    </row>
    <row r="281" spans="2:6">
      <c r="B281" s="50" t="s">
        <v>21</v>
      </c>
      <c r="C281" s="50" t="s">
        <v>1378</v>
      </c>
      <c r="D281" s="50">
        <f>DATE(YEAR(OneWeekMtgRatesDataTable756[[#This Row],[asofdate]]),MONTH(OneWeekMtgRatesDataTable756[[#This Row],[asofdate]]),DAY(OneWeekMtgRatesDataTable756[[#This Row],[asofdate]]))</f>
        <v>41914</v>
      </c>
      <c r="E281" s="50" t="s">
        <v>11</v>
      </c>
      <c r="F281" s="57">
        <v>0.152</v>
      </c>
    </row>
    <row r="282" spans="2:6">
      <c r="B282" s="50" t="s">
        <v>21</v>
      </c>
      <c r="C282" s="50" t="s">
        <v>1377</v>
      </c>
      <c r="D282" s="50">
        <f>DATE(YEAR(OneWeekMtgRatesDataTable756[[#This Row],[asofdate]]),MONTH(OneWeekMtgRatesDataTable756[[#This Row],[asofdate]]),DAY(OneWeekMtgRatesDataTable756[[#This Row],[asofdate]]))</f>
        <v>41913</v>
      </c>
      <c r="E282" s="50" t="s">
        <v>11</v>
      </c>
      <c r="F282" s="57">
        <v>0.152</v>
      </c>
    </row>
    <row r="283" spans="2:6">
      <c r="B283" s="50" t="s">
        <v>21</v>
      </c>
      <c r="C283" s="50" t="s">
        <v>1376</v>
      </c>
      <c r="D283" s="50">
        <f>DATE(YEAR(OneWeekMtgRatesDataTable756[[#This Row],[asofdate]]),MONTH(OneWeekMtgRatesDataTable756[[#This Row],[asofdate]]),DAY(OneWeekMtgRatesDataTable756[[#This Row],[asofdate]]))</f>
        <v>41912</v>
      </c>
      <c r="E283" s="50" t="s">
        <v>11</v>
      </c>
      <c r="F283" s="57">
        <v>0.1565</v>
      </c>
    </row>
    <row r="284" spans="2:6">
      <c r="B284" s="50" t="s">
        <v>21</v>
      </c>
      <c r="C284" s="50" t="s">
        <v>1375</v>
      </c>
      <c r="D284" s="50">
        <f>DATE(YEAR(OneWeekMtgRatesDataTable756[[#This Row],[asofdate]]),MONTH(OneWeekMtgRatesDataTable756[[#This Row],[asofdate]]),DAY(OneWeekMtgRatesDataTable756[[#This Row],[asofdate]]))</f>
        <v>41911</v>
      </c>
      <c r="E284" s="50" t="s">
        <v>11</v>
      </c>
      <c r="F284" s="57">
        <v>0.1525</v>
      </c>
    </row>
    <row r="285" spans="2:6">
      <c r="B285" s="50" t="s">
        <v>21</v>
      </c>
      <c r="C285" s="50" t="s">
        <v>1374</v>
      </c>
      <c r="D285" s="50">
        <f>DATE(YEAR(OneWeekMtgRatesDataTable756[[#This Row],[asofdate]]),MONTH(OneWeekMtgRatesDataTable756[[#This Row],[asofdate]]),DAY(OneWeekMtgRatesDataTable756[[#This Row],[asofdate]]))</f>
        <v>41908</v>
      </c>
      <c r="E285" s="50" t="s">
        <v>11</v>
      </c>
      <c r="F285" s="57">
        <v>0.154</v>
      </c>
    </row>
    <row r="286" spans="2:6">
      <c r="B286" s="50" t="s">
        <v>21</v>
      </c>
      <c r="C286" s="50" t="s">
        <v>1373</v>
      </c>
      <c r="D286" s="50">
        <f>DATE(YEAR(OneWeekMtgRatesDataTable756[[#This Row],[asofdate]]),MONTH(OneWeekMtgRatesDataTable756[[#This Row],[asofdate]]),DAY(OneWeekMtgRatesDataTable756[[#This Row],[asofdate]]))</f>
        <v>41907</v>
      </c>
      <c r="E286" s="50" t="s">
        <v>11</v>
      </c>
      <c r="F286" s="57">
        <v>0.1515</v>
      </c>
    </row>
    <row r="287" spans="2:6">
      <c r="B287" s="50" t="s">
        <v>21</v>
      </c>
      <c r="C287" s="50" t="s">
        <v>1372</v>
      </c>
      <c r="D287" s="50">
        <f>DATE(YEAR(OneWeekMtgRatesDataTable756[[#This Row],[asofdate]]),MONTH(OneWeekMtgRatesDataTable756[[#This Row],[asofdate]]),DAY(OneWeekMtgRatesDataTable756[[#This Row],[asofdate]]))</f>
        <v>41906</v>
      </c>
      <c r="E287" s="50" t="s">
        <v>11</v>
      </c>
      <c r="F287" s="57">
        <v>0.1535</v>
      </c>
    </row>
    <row r="288" spans="2:6">
      <c r="B288" s="50" t="s">
        <v>21</v>
      </c>
      <c r="C288" s="50" t="s">
        <v>1371</v>
      </c>
      <c r="D288" s="50">
        <f>DATE(YEAR(OneWeekMtgRatesDataTable756[[#This Row],[asofdate]]),MONTH(OneWeekMtgRatesDataTable756[[#This Row],[asofdate]]),DAY(OneWeekMtgRatesDataTable756[[#This Row],[asofdate]]))</f>
        <v>41905</v>
      </c>
      <c r="E288" s="50" t="s">
        <v>11</v>
      </c>
      <c r="F288" s="57">
        <v>0.1545</v>
      </c>
    </row>
    <row r="289" spans="2:6">
      <c r="B289" s="50" t="s">
        <v>21</v>
      </c>
      <c r="C289" s="50" t="s">
        <v>1370</v>
      </c>
      <c r="D289" s="50">
        <f>DATE(YEAR(OneWeekMtgRatesDataTable756[[#This Row],[asofdate]]),MONTH(OneWeekMtgRatesDataTable756[[#This Row],[asofdate]]),DAY(OneWeekMtgRatesDataTable756[[#This Row],[asofdate]]))</f>
        <v>41904</v>
      </c>
      <c r="E289" s="50" t="s">
        <v>11</v>
      </c>
      <c r="F289" s="57">
        <v>0.1545</v>
      </c>
    </row>
    <row r="290" spans="2:6">
      <c r="B290" s="50" t="s">
        <v>21</v>
      </c>
      <c r="C290" s="50" t="s">
        <v>1369</v>
      </c>
      <c r="D290" s="50">
        <f>DATE(YEAR(OneWeekMtgRatesDataTable756[[#This Row],[asofdate]]),MONTH(OneWeekMtgRatesDataTable756[[#This Row],[asofdate]]),DAY(OneWeekMtgRatesDataTable756[[#This Row],[asofdate]]))</f>
        <v>41901</v>
      </c>
      <c r="E290" s="50" t="s">
        <v>11</v>
      </c>
      <c r="F290" s="57">
        <v>0.154</v>
      </c>
    </row>
    <row r="291" spans="2:6">
      <c r="B291" s="50" t="s">
        <v>21</v>
      </c>
      <c r="C291" s="50" t="s">
        <v>1368</v>
      </c>
      <c r="D291" s="50">
        <f>DATE(YEAR(OneWeekMtgRatesDataTable756[[#This Row],[asofdate]]),MONTH(OneWeekMtgRatesDataTable756[[#This Row],[asofdate]]),DAY(OneWeekMtgRatesDataTable756[[#This Row],[asofdate]]))</f>
        <v>41900</v>
      </c>
      <c r="E291" s="50" t="s">
        <v>11</v>
      </c>
      <c r="F291" s="57">
        <v>0.1535</v>
      </c>
    </row>
    <row r="292" spans="2:6">
      <c r="B292" s="50" t="s">
        <v>21</v>
      </c>
      <c r="C292" s="50" t="s">
        <v>1367</v>
      </c>
      <c r="D292" s="50">
        <f>DATE(YEAR(OneWeekMtgRatesDataTable756[[#This Row],[asofdate]]),MONTH(OneWeekMtgRatesDataTable756[[#This Row],[asofdate]]),DAY(OneWeekMtgRatesDataTable756[[#This Row],[asofdate]]))</f>
        <v>41899</v>
      </c>
      <c r="E292" s="50" t="s">
        <v>11</v>
      </c>
      <c r="F292" s="57">
        <v>0.153</v>
      </c>
    </row>
    <row r="293" spans="2:6">
      <c r="B293" s="50" t="s">
        <v>21</v>
      </c>
      <c r="C293" s="50" t="s">
        <v>1366</v>
      </c>
      <c r="D293" s="50">
        <f>DATE(YEAR(OneWeekMtgRatesDataTable756[[#This Row],[asofdate]]),MONTH(OneWeekMtgRatesDataTable756[[#This Row],[asofdate]]),DAY(OneWeekMtgRatesDataTable756[[#This Row],[asofdate]]))</f>
        <v>41898</v>
      </c>
      <c r="E293" s="50" t="s">
        <v>11</v>
      </c>
      <c r="F293" s="57">
        <v>0.1535</v>
      </c>
    </row>
    <row r="294" spans="2:6">
      <c r="B294" s="50" t="s">
        <v>21</v>
      </c>
      <c r="C294" s="50" t="s">
        <v>1365</v>
      </c>
      <c r="D294" s="50">
        <f>DATE(YEAR(OneWeekMtgRatesDataTable756[[#This Row],[asofdate]]),MONTH(OneWeekMtgRatesDataTable756[[#This Row],[asofdate]]),DAY(OneWeekMtgRatesDataTable756[[#This Row],[asofdate]]))</f>
        <v>41897</v>
      </c>
      <c r="E294" s="50" t="s">
        <v>11</v>
      </c>
      <c r="F294" s="57">
        <v>0.15359999999999999</v>
      </c>
    </row>
    <row r="295" spans="2:6">
      <c r="B295" s="50" t="s">
        <v>21</v>
      </c>
      <c r="C295" s="50" t="s">
        <v>1364</v>
      </c>
      <c r="D295" s="50">
        <f>DATE(YEAR(OneWeekMtgRatesDataTable756[[#This Row],[asofdate]]),MONTH(OneWeekMtgRatesDataTable756[[#This Row],[asofdate]]),DAY(OneWeekMtgRatesDataTable756[[#This Row],[asofdate]]))</f>
        <v>41894</v>
      </c>
      <c r="E295" s="50" t="s">
        <v>11</v>
      </c>
      <c r="F295" s="57">
        <v>0.15359999999999999</v>
      </c>
    </row>
    <row r="296" spans="2:6">
      <c r="B296" s="50" t="s">
        <v>21</v>
      </c>
      <c r="C296" s="50" t="s">
        <v>1363</v>
      </c>
      <c r="D296" s="50">
        <f>DATE(YEAR(OneWeekMtgRatesDataTable756[[#This Row],[asofdate]]),MONTH(OneWeekMtgRatesDataTable756[[#This Row],[asofdate]]),DAY(OneWeekMtgRatesDataTable756[[#This Row],[asofdate]]))</f>
        <v>41893</v>
      </c>
      <c r="E296" s="50" t="s">
        <v>11</v>
      </c>
      <c r="F296" s="57">
        <v>0.15359999999999999</v>
      </c>
    </row>
    <row r="297" spans="2:6">
      <c r="B297" s="50" t="s">
        <v>21</v>
      </c>
      <c r="C297" s="50" t="s">
        <v>1362</v>
      </c>
      <c r="D297" s="50">
        <f>DATE(YEAR(OneWeekMtgRatesDataTable756[[#This Row],[asofdate]]),MONTH(OneWeekMtgRatesDataTable756[[#This Row],[asofdate]]),DAY(OneWeekMtgRatesDataTable756[[#This Row],[asofdate]]))</f>
        <v>41892</v>
      </c>
      <c r="E297" s="50" t="s">
        <v>11</v>
      </c>
      <c r="F297" s="57">
        <v>0.1535</v>
      </c>
    </row>
    <row r="298" spans="2:6">
      <c r="B298" s="50" t="s">
        <v>21</v>
      </c>
      <c r="C298" s="50" t="s">
        <v>1361</v>
      </c>
      <c r="D298" s="50">
        <f>DATE(YEAR(OneWeekMtgRatesDataTable756[[#This Row],[asofdate]]),MONTH(OneWeekMtgRatesDataTable756[[#This Row],[asofdate]]),DAY(OneWeekMtgRatesDataTable756[[#This Row],[asofdate]]))</f>
        <v>41891</v>
      </c>
      <c r="E298" s="50" t="s">
        <v>11</v>
      </c>
      <c r="F298" s="57">
        <v>0.1535</v>
      </c>
    </row>
    <row r="299" spans="2:6">
      <c r="B299" s="50" t="s">
        <v>21</v>
      </c>
      <c r="C299" s="50" t="s">
        <v>1360</v>
      </c>
      <c r="D299" s="50">
        <f>DATE(YEAR(OneWeekMtgRatesDataTable756[[#This Row],[asofdate]]),MONTH(OneWeekMtgRatesDataTable756[[#This Row],[asofdate]]),DAY(OneWeekMtgRatesDataTable756[[#This Row],[asofdate]]))</f>
        <v>41890</v>
      </c>
      <c r="E299" s="50" t="s">
        <v>11</v>
      </c>
      <c r="F299" s="57">
        <v>0.1535</v>
      </c>
    </row>
    <row r="300" spans="2:6">
      <c r="B300" s="50" t="s">
        <v>21</v>
      </c>
      <c r="C300" s="50" t="s">
        <v>1359</v>
      </c>
      <c r="D300" s="50">
        <f>DATE(YEAR(OneWeekMtgRatesDataTable756[[#This Row],[asofdate]]),MONTH(OneWeekMtgRatesDataTable756[[#This Row],[asofdate]]),DAY(OneWeekMtgRatesDataTable756[[#This Row],[asofdate]]))</f>
        <v>41887</v>
      </c>
      <c r="E300" s="50" t="s">
        <v>11</v>
      </c>
      <c r="F300" s="57">
        <v>0.15279999999999999</v>
      </c>
    </row>
    <row r="301" spans="2:6">
      <c r="B301" s="50" t="s">
        <v>21</v>
      </c>
      <c r="C301" s="50" t="s">
        <v>1358</v>
      </c>
      <c r="D301" s="50">
        <f>DATE(YEAR(OneWeekMtgRatesDataTable756[[#This Row],[asofdate]]),MONTH(OneWeekMtgRatesDataTable756[[#This Row],[asofdate]]),DAY(OneWeekMtgRatesDataTable756[[#This Row],[asofdate]]))</f>
        <v>41886</v>
      </c>
      <c r="E301" s="50" t="s">
        <v>11</v>
      </c>
      <c r="F301" s="57">
        <v>0.15609999999999999</v>
      </c>
    </row>
    <row r="302" spans="2:6">
      <c r="B302" s="50" t="s">
        <v>21</v>
      </c>
      <c r="C302" s="50" t="s">
        <v>1357</v>
      </c>
      <c r="D302" s="50">
        <f>DATE(YEAR(OneWeekMtgRatesDataTable756[[#This Row],[asofdate]]),MONTH(OneWeekMtgRatesDataTable756[[#This Row],[asofdate]]),DAY(OneWeekMtgRatesDataTable756[[#This Row],[asofdate]]))</f>
        <v>41885</v>
      </c>
      <c r="E302" s="50" t="s">
        <v>11</v>
      </c>
      <c r="F302" s="57">
        <v>0.15609999999999999</v>
      </c>
    </row>
    <row r="303" spans="2:6">
      <c r="B303" s="50" t="s">
        <v>21</v>
      </c>
      <c r="C303" s="50" t="s">
        <v>1356</v>
      </c>
      <c r="D303" s="50">
        <f>DATE(YEAR(OneWeekMtgRatesDataTable756[[#This Row],[asofdate]]),MONTH(OneWeekMtgRatesDataTable756[[#This Row],[asofdate]]),DAY(OneWeekMtgRatesDataTable756[[#This Row],[asofdate]]))</f>
        <v>41884</v>
      </c>
      <c r="E303" s="50" t="s">
        <v>11</v>
      </c>
      <c r="F303" s="57">
        <v>0.1565</v>
      </c>
    </row>
    <row r="304" spans="2:6">
      <c r="B304" s="50" t="s">
        <v>21</v>
      </c>
      <c r="C304" s="50" t="s">
        <v>1355</v>
      </c>
      <c r="D304" s="50">
        <f>DATE(YEAR(OneWeekMtgRatesDataTable756[[#This Row],[asofdate]]),MONTH(OneWeekMtgRatesDataTable756[[#This Row],[asofdate]]),DAY(OneWeekMtgRatesDataTable756[[#This Row],[asofdate]]))</f>
        <v>41880</v>
      </c>
      <c r="E304" s="50" t="s">
        <v>11</v>
      </c>
      <c r="F304" s="57">
        <v>0.157</v>
      </c>
    </row>
    <row r="305" spans="2:6">
      <c r="B305" s="50" t="s">
        <v>21</v>
      </c>
      <c r="C305" s="50" t="s">
        <v>1354</v>
      </c>
      <c r="D305" s="50">
        <f>DATE(YEAR(OneWeekMtgRatesDataTable756[[#This Row],[asofdate]]),MONTH(OneWeekMtgRatesDataTable756[[#This Row],[asofdate]]),DAY(OneWeekMtgRatesDataTable756[[#This Row],[asofdate]]))</f>
        <v>41879</v>
      </c>
      <c r="E305" s="50" t="s">
        <v>11</v>
      </c>
      <c r="F305" s="57">
        <v>0.1545</v>
      </c>
    </row>
    <row r="306" spans="2:6">
      <c r="B306" s="50" t="s">
        <v>21</v>
      </c>
      <c r="C306" s="50" t="s">
        <v>1353</v>
      </c>
      <c r="D306" s="50">
        <f>DATE(YEAR(OneWeekMtgRatesDataTable756[[#This Row],[asofdate]]),MONTH(OneWeekMtgRatesDataTable756[[#This Row],[asofdate]]),DAY(OneWeekMtgRatesDataTable756[[#This Row],[asofdate]]))</f>
        <v>41878</v>
      </c>
      <c r="E306" s="50" t="s">
        <v>11</v>
      </c>
      <c r="F306" s="57">
        <v>0.15670000000000001</v>
      </c>
    </row>
    <row r="307" spans="2:6">
      <c r="B307" s="50" t="s">
        <v>21</v>
      </c>
      <c r="C307" s="50" t="s">
        <v>1352</v>
      </c>
      <c r="D307" s="50">
        <f>DATE(YEAR(OneWeekMtgRatesDataTable756[[#This Row],[asofdate]]),MONTH(OneWeekMtgRatesDataTable756[[#This Row],[asofdate]]),DAY(OneWeekMtgRatesDataTable756[[#This Row],[asofdate]]))</f>
        <v>41877</v>
      </c>
      <c r="E307" s="50" t="s">
        <v>11</v>
      </c>
      <c r="F307" s="57">
        <v>0.156</v>
      </c>
    </row>
    <row r="308" spans="2:6">
      <c r="B308" s="50" t="s">
        <v>21</v>
      </c>
      <c r="C308" s="50" t="s">
        <v>1351</v>
      </c>
      <c r="D308" s="50">
        <f>DATE(YEAR(OneWeekMtgRatesDataTable756[[#This Row],[asofdate]]),MONTH(OneWeekMtgRatesDataTable756[[#This Row],[asofdate]]),DAY(OneWeekMtgRatesDataTable756[[#This Row],[asofdate]]))</f>
        <v>41876</v>
      </c>
      <c r="E308" s="50" t="s">
        <v>11</v>
      </c>
      <c r="F308" s="57">
        <v>0.155</v>
      </c>
    </row>
    <row r="309" spans="2:6">
      <c r="B309" s="50" t="s">
        <v>21</v>
      </c>
      <c r="C309" s="50" t="s">
        <v>1350</v>
      </c>
      <c r="D309" s="50">
        <f>DATE(YEAR(OneWeekMtgRatesDataTable756[[#This Row],[asofdate]]),MONTH(OneWeekMtgRatesDataTable756[[#This Row],[asofdate]]),DAY(OneWeekMtgRatesDataTable756[[#This Row],[asofdate]]))</f>
        <v>41873</v>
      </c>
      <c r="E309" s="50" t="s">
        <v>11</v>
      </c>
      <c r="F309" s="57">
        <v>0.155</v>
      </c>
    </row>
    <row r="310" spans="2:6">
      <c r="B310" s="50" t="s">
        <v>21</v>
      </c>
      <c r="C310" s="50" t="s">
        <v>1349</v>
      </c>
      <c r="D310" s="50">
        <f>DATE(YEAR(OneWeekMtgRatesDataTable756[[#This Row],[asofdate]]),MONTH(OneWeekMtgRatesDataTable756[[#This Row],[asofdate]]),DAY(OneWeekMtgRatesDataTable756[[#This Row],[asofdate]]))</f>
        <v>41872</v>
      </c>
      <c r="E310" s="50" t="s">
        <v>11</v>
      </c>
      <c r="F310" s="57">
        <v>0.155</v>
      </c>
    </row>
    <row r="311" spans="2:6">
      <c r="B311" s="50" t="s">
        <v>21</v>
      </c>
      <c r="C311" s="50" t="s">
        <v>1348</v>
      </c>
      <c r="D311" s="50">
        <f>DATE(YEAR(OneWeekMtgRatesDataTable756[[#This Row],[asofdate]]),MONTH(OneWeekMtgRatesDataTable756[[#This Row],[asofdate]]),DAY(OneWeekMtgRatesDataTable756[[#This Row],[asofdate]]))</f>
        <v>41871</v>
      </c>
      <c r="E311" s="50" t="s">
        <v>11</v>
      </c>
      <c r="F311" s="57">
        <v>0.155</v>
      </c>
    </row>
    <row r="312" spans="2:6">
      <c r="B312" s="50" t="s">
        <v>21</v>
      </c>
      <c r="C312" s="50" t="s">
        <v>1347</v>
      </c>
      <c r="D312" s="50">
        <f>DATE(YEAR(OneWeekMtgRatesDataTable756[[#This Row],[asofdate]]),MONTH(OneWeekMtgRatesDataTable756[[#This Row],[asofdate]]),DAY(OneWeekMtgRatesDataTable756[[#This Row],[asofdate]]))</f>
        <v>41870</v>
      </c>
      <c r="E312" s="50" t="s">
        <v>11</v>
      </c>
      <c r="F312" s="57">
        <v>0.1555</v>
      </c>
    </row>
    <row r="313" spans="2:6">
      <c r="B313" s="50" t="s">
        <v>21</v>
      </c>
      <c r="C313" s="50" t="s">
        <v>1346</v>
      </c>
      <c r="D313" s="50">
        <f>DATE(YEAR(OneWeekMtgRatesDataTable756[[#This Row],[asofdate]]),MONTH(OneWeekMtgRatesDataTable756[[#This Row],[asofdate]]),DAY(OneWeekMtgRatesDataTable756[[#This Row],[asofdate]]))</f>
        <v>41869</v>
      </c>
      <c r="E313" s="50" t="s">
        <v>11</v>
      </c>
      <c r="F313" s="57">
        <v>0.1555</v>
      </c>
    </row>
    <row r="314" spans="2:6">
      <c r="B314" s="50" t="s">
        <v>21</v>
      </c>
      <c r="C314" s="50" t="s">
        <v>1345</v>
      </c>
      <c r="D314" s="50">
        <f>DATE(YEAR(OneWeekMtgRatesDataTable756[[#This Row],[asofdate]]),MONTH(OneWeekMtgRatesDataTable756[[#This Row],[asofdate]]),DAY(OneWeekMtgRatesDataTable756[[#This Row],[asofdate]]))</f>
        <v>41866</v>
      </c>
      <c r="E314" s="50" t="s">
        <v>11</v>
      </c>
      <c r="F314" s="57">
        <v>0.1555</v>
      </c>
    </row>
    <row r="315" spans="2:6">
      <c r="B315" s="50" t="s">
        <v>21</v>
      </c>
      <c r="C315" s="50" t="s">
        <v>1344</v>
      </c>
      <c r="D315" s="50">
        <f>DATE(YEAR(OneWeekMtgRatesDataTable756[[#This Row],[asofdate]]),MONTH(OneWeekMtgRatesDataTable756[[#This Row],[asofdate]]),DAY(OneWeekMtgRatesDataTable756[[#This Row],[asofdate]]))</f>
        <v>41865</v>
      </c>
      <c r="E315" s="50" t="s">
        <v>11</v>
      </c>
      <c r="F315" s="57">
        <v>0.155</v>
      </c>
    </row>
    <row r="316" spans="2:6">
      <c r="B316" s="50" t="s">
        <v>21</v>
      </c>
      <c r="C316" s="50" t="s">
        <v>1343</v>
      </c>
      <c r="D316" s="50">
        <f>DATE(YEAR(OneWeekMtgRatesDataTable756[[#This Row],[asofdate]]),MONTH(OneWeekMtgRatesDataTable756[[#This Row],[asofdate]]),DAY(OneWeekMtgRatesDataTable756[[#This Row],[asofdate]]))</f>
        <v>41864</v>
      </c>
      <c r="E316" s="50" t="s">
        <v>11</v>
      </c>
      <c r="F316" s="57">
        <v>0.155</v>
      </c>
    </row>
    <row r="317" spans="2:6">
      <c r="B317" s="50" t="s">
        <v>21</v>
      </c>
      <c r="C317" s="50" t="s">
        <v>1342</v>
      </c>
      <c r="D317" s="50">
        <f>DATE(YEAR(OneWeekMtgRatesDataTable756[[#This Row],[asofdate]]),MONTH(OneWeekMtgRatesDataTable756[[#This Row],[asofdate]]),DAY(OneWeekMtgRatesDataTable756[[#This Row],[asofdate]]))</f>
        <v>41863</v>
      </c>
      <c r="E317" s="50" t="s">
        <v>11</v>
      </c>
      <c r="F317" s="57">
        <v>0.156</v>
      </c>
    </row>
    <row r="318" spans="2:6">
      <c r="B318" s="50" t="s">
        <v>21</v>
      </c>
      <c r="C318" s="50" t="s">
        <v>1341</v>
      </c>
      <c r="D318" s="50">
        <f>DATE(YEAR(OneWeekMtgRatesDataTable756[[#This Row],[asofdate]]),MONTH(OneWeekMtgRatesDataTable756[[#This Row],[asofdate]]),DAY(OneWeekMtgRatesDataTable756[[#This Row],[asofdate]]))</f>
        <v>41862</v>
      </c>
      <c r="E318" s="50" t="s">
        <v>11</v>
      </c>
      <c r="F318" s="57">
        <v>0.1555</v>
      </c>
    </row>
    <row r="319" spans="2:6">
      <c r="B319" s="50" t="s">
        <v>21</v>
      </c>
      <c r="C319" s="50" t="s">
        <v>1340</v>
      </c>
      <c r="D319" s="50">
        <f>DATE(YEAR(OneWeekMtgRatesDataTable756[[#This Row],[asofdate]]),MONTH(OneWeekMtgRatesDataTable756[[#This Row],[asofdate]]),DAY(OneWeekMtgRatesDataTable756[[#This Row],[asofdate]]))</f>
        <v>41859</v>
      </c>
      <c r="E319" s="50" t="s">
        <v>11</v>
      </c>
      <c r="F319" s="57">
        <v>0.156</v>
      </c>
    </row>
    <row r="320" spans="2:6">
      <c r="B320" s="50" t="s">
        <v>21</v>
      </c>
      <c r="C320" s="50" t="s">
        <v>1339</v>
      </c>
      <c r="D320" s="50">
        <f>DATE(YEAR(OneWeekMtgRatesDataTable756[[#This Row],[asofdate]]),MONTH(OneWeekMtgRatesDataTable756[[#This Row],[asofdate]]),DAY(OneWeekMtgRatesDataTable756[[#This Row],[asofdate]]))</f>
        <v>41858</v>
      </c>
      <c r="E320" s="50" t="s">
        <v>11</v>
      </c>
      <c r="F320" s="57">
        <v>0.157</v>
      </c>
    </row>
    <row r="321" spans="2:6">
      <c r="B321" s="50" t="s">
        <v>21</v>
      </c>
      <c r="C321" s="50" t="s">
        <v>1338</v>
      </c>
      <c r="D321" s="50">
        <f>DATE(YEAR(OneWeekMtgRatesDataTable756[[#This Row],[asofdate]]),MONTH(OneWeekMtgRatesDataTable756[[#This Row],[asofdate]]),DAY(OneWeekMtgRatesDataTable756[[#This Row],[asofdate]]))</f>
        <v>41857</v>
      </c>
      <c r="E321" s="50" t="s">
        <v>11</v>
      </c>
      <c r="F321" s="57">
        <v>0.1588</v>
      </c>
    </row>
    <row r="322" spans="2:6">
      <c r="B322" s="50" t="s">
        <v>21</v>
      </c>
      <c r="C322" s="50" t="s">
        <v>1337</v>
      </c>
      <c r="D322" s="50">
        <f>DATE(YEAR(OneWeekMtgRatesDataTable756[[#This Row],[asofdate]]),MONTH(OneWeekMtgRatesDataTable756[[#This Row],[asofdate]]),DAY(OneWeekMtgRatesDataTable756[[#This Row],[asofdate]]))</f>
        <v>41856</v>
      </c>
      <c r="E322" s="50" t="s">
        <v>11</v>
      </c>
      <c r="F322" s="57">
        <v>0.1585</v>
      </c>
    </row>
    <row r="323" spans="2:6">
      <c r="B323" s="50" t="s">
        <v>21</v>
      </c>
      <c r="C323" s="50" t="s">
        <v>1336</v>
      </c>
      <c r="D323" s="50">
        <f>DATE(YEAR(OneWeekMtgRatesDataTable756[[#This Row],[asofdate]]),MONTH(OneWeekMtgRatesDataTable756[[#This Row],[asofdate]]),DAY(OneWeekMtgRatesDataTable756[[#This Row],[asofdate]]))</f>
        <v>41855</v>
      </c>
      <c r="E323" s="50" t="s">
        <v>11</v>
      </c>
      <c r="F323" s="57">
        <v>0.15690000000000001</v>
      </c>
    </row>
    <row r="324" spans="2:6">
      <c r="B324" s="50" t="s">
        <v>21</v>
      </c>
      <c r="C324" s="50" t="s">
        <v>1335</v>
      </c>
      <c r="D324" s="50">
        <f>DATE(YEAR(OneWeekMtgRatesDataTable756[[#This Row],[asofdate]]),MONTH(OneWeekMtgRatesDataTable756[[#This Row],[asofdate]]),DAY(OneWeekMtgRatesDataTable756[[#This Row],[asofdate]]))</f>
        <v>41852</v>
      </c>
      <c r="E324" s="50" t="s">
        <v>11</v>
      </c>
      <c r="F324" s="57">
        <v>0.156</v>
      </c>
    </row>
    <row r="325" spans="2:6">
      <c r="B325" s="50" t="s">
        <v>21</v>
      </c>
      <c r="C325" s="50" t="s">
        <v>1334</v>
      </c>
      <c r="D325" s="50">
        <f>DATE(YEAR(OneWeekMtgRatesDataTable756[[#This Row],[asofdate]]),MONTH(OneWeekMtgRatesDataTable756[[#This Row],[asofdate]]),DAY(OneWeekMtgRatesDataTable756[[#This Row],[asofdate]]))</f>
        <v>41851</v>
      </c>
      <c r="E325" s="50" t="s">
        <v>11</v>
      </c>
      <c r="F325" s="57">
        <v>0.156</v>
      </c>
    </row>
    <row r="326" spans="2:6">
      <c r="B326" s="50" t="s">
        <v>21</v>
      </c>
      <c r="C326" s="50" t="s">
        <v>1333</v>
      </c>
      <c r="D326" s="50">
        <f>DATE(YEAR(OneWeekMtgRatesDataTable756[[#This Row],[asofdate]]),MONTH(OneWeekMtgRatesDataTable756[[#This Row],[asofdate]]),DAY(OneWeekMtgRatesDataTable756[[#This Row],[asofdate]]))</f>
        <v>41850</v>
      </c>
      <c r="E326" s="50" t="s">
        <v>11</v>
      </c>
      <c r="F326" s="57">
        <v>0.15579999999999999</v>
      </c>
    </row>
    <row r="327" spans="2:6">
      <c r="B327" s="50" t="s">
        <v>21</v>
      </c>
      <c r="C327" s="50" t="s">
        <v>1332</v>
      </c>
      <c r="D327" s="50">
        <f>DATE(YEAR(OneWeekMtgRatesDataTable756[[#This Row],[asofdate]]),MONTH(OneWeekMtgRatesDataTable756[[#This Row],[asofdate]]),DAY(OneWeekMtgRatesDataTable756[[#This Row],[asofdate]]))</f>
        <v>41849</v>
      </c>
      <c r="E327" s="50" t="s">
        <v>11</v>
      </c>
      <c r="F327" s="57">
        <v>0.155</v>
      </c>
    </row>
    <row r="328" spans="2:6">
      <c r="B328" s="50" t="s">
        <v>21</v>
      </c>
      <c r="C328" s="50" t="s">
        <v>1331</v>
      </c>
      <c r="D328" s="50">
        <f>DATE(YEAR(OneWeekMtgRatesDataTable756[[#This Row],[asofdate]]),MONTH(OneWeekMtgRatesDataTable756[[#This Row],[asofdate]]),DAY(OneWeekMtgRatesDataTable756[[#This Row],[asofdate]]))</f>
        <v>41848</v>
      </c>
      <c r="E328" s="50" t="s">
        <v>11</v>
      </c>
      <c r="F328" s="57">
        <v>0.155</v>
      </c>
    </row>
    <row r="329" spans="2:6">
      <c r="B329" s="50" t="s">
        <v>21</v>
      </c>
      <c r="C329" s="50" t="s">
        <v>1330</v>
      </c>
      <c r="D329" s="50">
        <f>DATE(YEAR(OneWeekMtgRatesDataTable756[[#This Row],[asofdate]]),MONTH(OneWeekMtgRatesDataTable756[[#This Row],[asofdate]]),DAY(OneWeekMtgRatesDataTable756[[#This Row],[asofdate]]))</f>
        <v>41845</v>
      </c>
      <c r="E329" s="50" t="s">
        <v>11</v>
      </c>
      <c r="F329" s="57">
        <v>0.156</v>
      </c>
    </row>
    <row r="330" spans="2:6">
      <c r="B330" s="50" t="s">
        <v>21</v>
      </c>
      <c r="C330" s="50" t="s">
        <v>1329</v>
      </c>
      <c r="D330" s="50">
        <f>DATE(YEAR(OneWeekMtgRatesDataTable756[[#This Row],[asofdate]]),MONTH(OneWeekMtgRatesDataTable756[[#This Row],[asofdate]]),DAY(OneWeekMtgRatesDataTable756[[#This Row],[asofdate]]))</f>
        <v>41844</v>
      </c>
      <c r="E330" s="50" t="s">
        <v>11</v>
      </c>
      <c r="F330" s="57">
        <v>0.15425</v>
      </c>
    </row>
    <row r="331" spans="2:6">
      <c r="B331" s="50" t="s">
        <v>21</v>
      </c>
      <c r="C331" s="50" t="s">
        <v>1328</v>
      </c>
      <c r="D331" s="50">
        <f>DATE(YEAR(OneWeekMtgRatesDataTable756[[#This Row],[asofdate]]),MONTH(OneWeekMtgRatesDataTable756[[#This Row],[asofdate]]),DAY(OneWeekMtgRatesDataTable756[[#This Row],[asofdate]]))</f>
        <v>41843</v>
      </c>
      <c r="E331" s="50" t="s">
        <v>11</v>
      </c>
      <c r="F331" s="57">
        <v>0.155</v>
      </c>
    </row>
    <row r="332" spans="2:6">
      <c r="B332" s="50" t="s">
        <v>21</v>
      </c>
      <c r="C332" s="50" t="s">
        <v>1327</v>
      </c>
      <c r="D332" s="50">
        <f>DATE(YEAR(OneWeekMtgRatesDataTable756[[#This Row],[asofdate]]),MONTH(OneWeekMtgRatesDataTable756[[#This Row],[asofdate]]),DAY(OneWeekMtgRatesDataTable756[[#This Row],[asofdate]]))</f>
        <v>41842</v>
      </c>
      <c r="E332" s="50" t="s">
        <v>11</v>
      </c>
      <c r="F332" s="57">
        <v>0.15525</v>
      </c>
    </row>
    <row r="333" spans="2:6">
      <c r="B333" s="50" t="s">
        <v>21</v>
      </c>
      <c r="C333" s="50" t="s">
        <v>1326</v>
      </c>
      <c r="D333" s="50">
        <f>DATE(YEAR(OneWeekMtgRatesDataTable756[[#This Row],[asofdate]]),MONTH(OneWeekMtgRatesDataTable756[[#This Row],[asofdate]]),DAY(OneWeekMtgRatesDataTable756[[#This Row],[asofdate]]))</f>
        <v>41841</v>
      </c>
      <c r="E333" s="50" t="s">
        <v>11</v>
      </c>
      <c r="F333" s="57">
        <v>0.15475</v>
      </c>
    </row>
    <row r="334" spans="2:6">
      <c r="B334" s="50" t="s">
        <v>21</v>
      </c>
      <c r="C334" s="50" t="s">
        <v>1325</v>
      </c>
      <c r="D334" s="50">
        <f>DATE(YEAR(OneWeekMtgRatesDataTable756[[#This Row],[asofdate]]),MONTH(OneWeekMtgRatesDataTable756[[#This Row],[asofdate]]),DAY(OneWeekMtgRatesDataTable756[[#This Row],[asofdate]]))</f>
        <v>41838</v>
      </c>
      <c r="E334" s="50" t="s">
        <v>11</v>
      </c>
      <c r="F334" s="57">
        <v>0.15340000000000001</v>
      </c>
    </row>
    <row r="335" spans="2:6">
      <c r="B335" s="50" t="s">
        <v>21</v>
      </c>
      <c r="C335" s="50" t="s">
        <v>1324</v>
      </c>
      <c r="D335" s="50">
        <f>DATE(YEAR(OneWeekMtgRatesDataTable756[[#This Row],[asofdate]]),MONTH(OneWeekMtgRatesDataTable756[[#This Row],[asofdate]]),DAY(OneWeekMtgRatesDataTable756[[#This Row],[asofdate]]))</f>
        <v>41837</v>
      </c>
      <c r="E335" s="50" t="s">
        <v>11</v>
      </c>
      <c r="F335" s="57">
        <v>0.15620000000000001</v>
      </c>
    </row>
    <row r="336" spans="2:6">
      <c r="B336" s="50" t="s">
        <v>21</v>
      </c>
      <c r="C336" s="50" t="s">
        <v>1323</v>
      </c>
      <c r="D336" s="50">
        <f>DATE(YEAR(OneWeekMtgRatesDataTable756[[#This Row],[asofdate]]),MONTH(OneWeekMtgRatesDataTable756[[#This Row],[asofdate]]),DAY(OneWeekMtgRatesDataTable756[[#This Row],[asofdate]]))</f>
        <v>41836</v>
      </c>
      <c r="E336" s="50" t="s">
        <v>11</v>
      </c>
      <c r="F336" s="57">
        <v>0.15545</v>
      </c>
    </row>
    <row r="337" spans="2:6">
      <c r="B337" s="50" t="s">
        <v>21</v>
      </c>
      <c r="C337" s="50" t="s">
        <v>1322</v>
      </c>
      <c r="D337" s="50">
        <f>DATE(YEAR(OneWeekMtgRatesDataTable756[[#This Row],[asofdate]]),MONTH(OneWeekMtgRatesDataTable756[[#This Row],[asofdate]]),DAY(OneWeekMtgRatesDataTable756[[#This Row],[asofdate]]))</f>
        <v>41835</v>
      </c>
      <c r="E337" s="50" t="s">
        <v>11</v>
      </c>
      <c r="F337" s="57">
        <v>0.1542</v>
      </c>
    </row>
    <row r="338" spans="2:6">
      <c r="B338" s="50" t="s">
        <v>21</v>
      </c>
      <c r="C338" s="50" t="s">
        <v>1321</v>
      </c>
      <c r="D338" s="50">
        <f>DATE(YEAR(OneWeekMtgRatesDataTable756[[#This Row],[asofdate]]),MONTH(OneWeekMtgRatesDataTable756[[#This Row],[asofdate]]),DAY(OneWeekMtgRatesDataTable756[[#This Row],[asofdate]]))</f>
        <v>41834</v>
      </c>
      <c r="E338" s="50" t="s">
        <v>11</v>
      </c>
      <c r="F338" s="57">
        <v>0.152</v>
      </c>
    </row>
    <row r="339" spans="2:6">
      <c r="B339" s="50" t="s">
        <v>21</v>
      </c>
      <c r="C339" s="50" t="s">
        <v>1320</v>
      </c>
      <c r="D339" s="50">
        <f>DATE(YEAR(OneWeekMtgRatesDataTable756[[#This Row],[asofdate]]),MONTH(OneWeekMtgRatesDataTable756[[#This Row],[asofdate]]),DAY(OneWeekMtgRatesDataTable756[[#This Row],[asofdate]]))</f>
        <v>41831</v>
      </c>
      <c r="E339" s="50" t="s">
        <v>11</v>
      </c>
      <c r="F339" s="57">
        <v>0.152</v>
      </c>
    </row>
    <row r="340" spans="2:6">
      <c r="B340" s="50" t="s">
        <v>21</v>
      </c>
      <c r="C340" s="50" t="s">
        <v>1319</v>
      </c>
      <c r="D340" s="50">
        <f>DATE(YEAR(OneWeekMtgRatesDataTable756[[#This Row],[asofdate]]),MONTH(OneWeekMtgRatesDataTable756[[#This Row],[asofdate]]),DAY(OneWeekMtgRatesDataTable756[[#This Row],[asofdate]]))</f>
        <v>41830</v>
      </c>
      <c r="E340" s="50" t="s">
        <v>11</v>
      </c>
      <c r="F340" s="57">
        <v>0.1515</v>
      </c>
    </row>
    <row r="341" spans="2:6">
      <c r="B341" s="50" t="s">
        <v>21</v>
      </c>
      <c r="C341" s="50" t="s">
        <v>1318</v>
      </c>
      <c r="D341" s="50">
        <f>DATE(YEAR(OneWeekMtgRatesDataTable756[[#This Row],[asofdate]]),MONTH(OneWeekMtgRatesDataTable756[[#This Row],[asofdate]]),DAY(OneWeekMtgRatesDataTable756[[#This Row],[asofdate]]))</f>
        <v>41829</v>
      </c>
      <c r="E341" s="50" t="s">
        <v>11</v>
      </c>
      <c r="F341" s="57">
        <v>0.15275</v>
      </c>
    </row>
    <row r="342" spans="2:6">
      <c r="B342" s="50" t="s">
        <v>21</v>
      </c>
      <c r="C342" s="50" t="s">
        <v>1317</v>
      </c>
      <c r="D342" s="50">
        <f>DATE(YEAR(OneWeekMtgRatesDataTable756[[#This Row],[asofdate]]),MONTH(OneWeekMtgRatesDataTable756[[#This Row],[asofdate]]),DAY(OneWeekMtgRatesDataTable756[[#This Row],[asofdate]]))</f>
        <v>41828</v>
      </c>
      <c r="E342" s="50" t="s">
        <v>11</v>
      </c>
      <c r="F342" s="57">
        <v>0.1525</v>
      </c>
    </row>
    <row r="343" spans="2:6">
      <c r="B343" s="50" t="s">
        <v>21</v>
      </c>
      <c r="C343" s="50" t="s">
        <v>1316</v>
      </c>
      <c r="D343" s="50">
        <f>DATE(YEAR(OneWeekMtgRatesDataTable756[[#This Row],[asofdate]]),MONTH(OneWeekMtgRatesDataTable756[[#This Row],[asofdate]]),DAY(OneWeekMtgRatesDataTable756[[#This Row],[asofdate]]))</f>
        <v>41827</v>
      </c>
      <c r="E343" s="50" t="s">
        <v>11</v>
      </c>
      <c r="F343" s="57">
        <v>0.15340000000000001</v>
      </c>
    </row>
    <row r="344" spans="2:6">
      <c r="B344" s="50" t="s">
        <v>21</v>
      </c>
      <c r="C344" s="50" t="s">
        <v>1315</v>
      </c>
      <c r="D344" s="50">
        <f>DATE(YEAR(OneWeekMtgRatesDataTable756[[#This Row],[asofdate]]),MONTH(OneWeekMtgRatesDataTable756[[#This Row],[asofdate]]),DAY(OneWeekMtgRatesDataTable756[[#This Row],[asofdate]]))</f>
        <v>41823</v>
      </c>
      <c r="E344" s="50" t="s">
        <v>11</v>
      </c>
      <c r="F344" s="57">
        <v>0.1555</v>
      </c>
    </row>
    <row r="345" spans="2:6">
      <c r="B345" s="50" t="s">
        <v>21</v>
      </c>
      <c r="C345" s="50" t="s">
        <v>1314</v>
      </c>
      <c r="D345" s="50">
        <f>DATE(YEAR(OneWeekMtgRatesDataTable756[[#This Row],[asofdate]]),MONTH(OneWeekMtgRatesDataTable756[[#This Row],[asofdate]]),DAY(OneWeekMtgRatesDataTable756[[#This Row],[asofdate]]))</f>
        <v>41822</v>
      </c>
      <c r="E345" s="50" t="s">
        <v>11</v>
      </c>
      <c r="F345" s="57">
        <v>0.1555</v>
      </c>
    </row>
    <row r="346" spans="2:6">
      <c r="B346" s="50" t="s">
        <v>21</v>
      </c>
      <c r="C346" s="50" t="s">
        <v>1313</v>
      </c>
      <c r="D346" s="50">
        <f>DATE(YEAR(OneWeekMtgRatesDataTable756[[#This Row],[asofdate]]),MONTH(OneWeekMtgRatesDataTable756[[#This Row],[asofdate]]),DAY(OneWeekMtgRatesDataTable756[[#This Row],[asofdate]]))</f>
        <v>41821</v>
      </c>
      <c r="E346" s="50" t="s">
        <v>11</v>
      </c>
      <c r="F346" s="57">
        <v>0.1552</v>
      </c>
    </row>
    <row r="347" spans="2:6">
      <c r="B347" s="50" t="s">
        <v>21</v>
      </c>
      <c r="C347" s="50" t="s">
        <v>1312</v>
      </c>
      <c r="D347" s="50">
        <f>DATE(YEAR(OneWeekMtgRatesDataTable756[[#This Row],[asofdate]]),MONTH(OneWeekMtgRatesDataTable756[[#This Row],[asofdate]]),DAY(OneWeekMtgRatesDataTable756[[#This Row],[asofdate]]))</f>
        <v>41820</v>
      </c>
      <c r="E347" s="50" t="s">
        <v>11</v>
      </c>
      <c r="F347" s="57">
        <v>0.1552</v>
      </c>
    </row>
    <row r="348" spans="2:6">
      <c r="B348" s="50" t="s">
        <v>21</v>
      </c>
      <c r="C348" s="50" t="s">
        <v>1311</v>
      </c>
      <c r="D348" s="50">
        <f>DATE(YEAR(OneWeekMtgRatesDataTable756[[#This Row],[asofdate]]),MONTH(OneWeekMtgRatesDataTable756[[#This Row],[asofdate]]),DAY(OneWeekMtgRatesDataTable756[[#This Row],[asofdate]]))</f>
        <v>41817</v>
      </c>
      <c r="E348" s="50" t="s">
        <v>11</v>
      </c>
      <c r="F348" s="57">
        <v>0.1515</v>
      </c>
    </row>
    <row r="349" spans="2:6">
      <c r="B349" s="50" t="s">
        <v>21</v>
      </c>
      <c r="C349" s="50" t="s">
        <v>1310</v>
      </c>
      <c r="D349" s="50">
        <f>DATE(YEAR(OneWeekMtgRatesDataTable756[[#This Row],[asofdate]]),MONTH(OneWeekMtgRatesDataTable756[[#This Row],[asofdate]]),DAY(OneWeekMtgRatesDataTable756[[#This Row],[asofdate]]))</f>
        <v>41816</v>
      </c>
      <c r="E349" s="50" t="s">
        <v>11</v>
      </c>
      <c r="F349" s="57">
        <v>0.14949999999999999</v>
      </c>
    </row>
    <row r="350" spans="2:6">
      <c r="B350" s="50" t="s">
        <v>21</v>
      </c>
      <c r="C350" s="50" t="s">
        <v>1309</v>
      </c>
      <c r="D350" s="50">
        <f>DATE(YEAR(OneWeekMtgRatesDataTable756[[#This Row],[asofdate]]),MONTH(OneWeekMtgRatesDataTable756[[#This Row],[asofdate]]),DAY(OneWeekMtgRatesDataTable756[[#This Row],[asofdate]]))</f>
        <v>41815</v>
      </c>
      <c r="E350" s="50" t="s">
        <v>11</v>
      </c>
      <c r="F350" s="57">
        <v>0.151</v>
      </c>
    </row>
    <row r="351" spans="2:6">
      <c r="B351" s="50" t="s">
        <v>21</v>
      </c>
      <c r="C351" s="50" t="s">
        <v>1308</v>
      </c>
      <c r="D351" s="50">
        <f>DATE(YEAR(OneWeekMtgRatesDataTable756[[#This Row],[asofdate]]),MONTH(OneWeekMtgRatesDataTable756[[#This Row],[asofdate]]),DAY(OneWeekMtgRatesDataTable756[[#This Row],[asofdate]]))</f>
        <v>41814</v>
      </c>
      <c r="E351" s="50" t="s">
        <v>11</v>
      </c>
      <c r="F351" s="57">
        <v>0.1515</v>
      </c>
    </row>
    <row r="352" spans="2:6">
      <c r="B352" s="50" t="s">
        <v>21</v>
      </c>
      <c r="C352" s="50" t="s">
        <v>1307</v>
      </c>
      <c r="D352" s="50">
        <f>DATE(YEAR(OneWeekMtgRatesDataTable756[[#This Row],[asofdate]]),MONTH(OneWeekMtgRatesDataTable756[[#This Row],[asofdate]]),DAY(OneWeekMtgRatesDataTable756[[#This Row],[asofdate]]))</f>
        <v>41813</v>
      </c>
      <c r="E352" s="50" t="s">
        <v>11</v>
      </c>
      <c r="F352" s="57">
        <v>0.152</v>
      </c>
    </row>
    <row r="353" spans="2:6">
      <c r="B353" s="50" t="s">
        <v>21</v>
      </c>
      <c r="C353" s="50" t="s">
        <v>1306</v>
      </c>
      <c r="D353" s="50">
        <f>DATE(YEAR(OneWeekMtgRatesDataTable756[[#This Row],[asofdate]]),MONTH(OneWeekMtgRatesDataTable756[[#This Row],[asofdate]]),DAY(OneWeekMtgRatesDataTable756[[#This Row],[asofdate]]))</f>
        <v>41810</v>
      </c>
      <c r="E353" s="50" t="s">
        <v>11</v>
      </c>
      <c r="F353" s="57">
        <v>0.154</v>
      </c>
    </row>
    <row r="354" spans="2:6">
      <c r="B354" s="50" t="s">
        <v>21</v>
      </c>
      <c r="C354" s="50" t="s">
        <v>1305</v>
      </c>
      <c r="D354" s="50">
        <f>DATE(YEAR(OneWeekMtgRatesDataTable756[[#This Row],[asofdate]]),MONTH(OneWeekMtgRatesDataTable756[[#This Row],[asofdate]]),DAY(OneWeekMtgRatesDataTable756[[#This Row],[asofdate]]))</f>
        <v>41809</v>
      </c>
      <c r="E354" s="50" t="s">
        <v>11</v>
      </c>
      <c r="F354" s="57">
        <v>0.15325</v>
      </c>
    </row>
    <row r="355" spans="2:6">
      <c r="B355" s="50" t="s">
        <v>21</v>
      </c>
      <c r="C355" s="50" t="s">
        <v>1304</v>
      </c>
      <c r="D355" s="50">
        <f>DATE(YEAR(OneWeekMtgRatesDataTable756[[#This Row],[asofdate]]),MONTH(OneWeekMtgRatesDataTable756[[#This Row],[asofdate]]),DAY(OneWeekMtgRatesDataTable756[[#This Row],[asofdate]]))</f>
        <v>41808</v>
      </c>
      <c r="E355" s="50" t="s">
        <v>11</v>
      </c>
      <c r="F355" s="57">
        <v>0.153</v>
      </c>
    </row>
    <row r="356" spans="2:6">
      <c r="B356" s="50" t="s">
        <v>21</v>
      </c>
      <c r="C356" s="50" t="s">
        <v>1303</v>
      </c>
      <c r="D356" s="50">
        <f>DATE(YEAR(OneWeekMtgRatesDataTable756[[#This Row],[asofdate]]),MONTH(OneWeekMtgRatesDataTable756[[#This Row],[asofdate]]),DAY(OneWeekMtgRatesDataTable756[[#This Row],[asofdate]]))</f>
        <v>41807</v>
      </c>
      <c r="E356" s="50" t="s">
        <v>11</v>
      </c>
      <c r="F356" s="57">
        <v>0.155</v>
      </c>
    </row>
    <row r="357" spans="2:6">
      <c r="B357" s="50" t="s">
        <v>21</v>
      </c>
      <c r="C357" s="50" t="s">
        <v>1302</v>
      </c>
      <c r="D357" s="50">
        <f>DATE(YEAR(OneWeekMtgRatesDataTable756[[#This Row],[asofdate]]),MONTH(OneWeekMtgRatesDataTable756[[#This Row],[asofdate]]),DAY(OneWeekMtgRatesDataTable756[[#This Row],[asofdate]]))</f>
        <v>41806</v>
      </c>
      <c r="E357" s="50" t="s">
        <v>11</v>
      </c>
      <c r="F357" s="57">
        <v>0.154</v>
      </c>
    </row>
    <row r="358" spans="2:6">
      <c r="B358" s="50" t="s">
        <v>21</v>
      </c>
      <c r="C358" s="50" t="s">
        <v>1301</v>
      </c>
      <c r="D358" s="50">
        <f>DATE(YEAR(OneWeekMtgRatesDataTable756[[#This Row],[asofdate]]),MONTH(OneWeekMtgRatesDataTable756[[#This Row],[asofdate]]),DAY(OneWeekMtgRatesDataTable756[[#This Row],[asofdate]]))</f>
        <v>41803</v>
      </c>
      <c r="E358" s="50" t="s">
        <v>11</v>
      </c>
      <c r="F358" s="57">
        <v>0.15425</v>
      </c>
    </row>
    <row r="359" spans="2:6">
      <c r="B359" s="50" t="s">
        <v>21</v>
      </c>
      <c r="C359" s="50" t="s">
        <v>1300</v>
      </c>
      <c r="D359" s="50">
        <f>DATE(YEAR(OneWeekMtgRatesDataTable756[[#This Row],[asofdate]]),MONTH(OneWeekMtgRatesDataTable756[[#This Row],[asofdate]]),DAY(OneWeekMtgRatesDataTable756[[#This Row],[asofdate]]))</f>
        <v>41802</v>
      </c>
      <c r="E359" s="50" t="s">
        <v>11</v>
      </c>
      <c r="F359" s="57">
        <v>0.15175</v>
      </c>
    </row>
    <row r="360" spans="2:6">
      <c r="B360" s="50" t="s">
        <v>21</v>
      </c>
      <c r="C360" s="50" t="s">
        <v>1299</v>
      </c>
      <c r="D360" s="50">
        <f>DATE(YEAR(OneWeekMtgRatesDataTable756[[#This Row],[asofdate]]),MONTH(OneWeekMtgRatesDataTable756[[#This Row],[asofdate]]),DAY(OneWeekMtgRatesDataTable756[[#This Row],[asofdate]]))</f>
        <v>41801</v>
      </c>
      <c r="E360" s="50" t="s">
        <v>11</v>
      </c>
      <c r="F360" s="57">
        <v>0.15125</v>
      </c>
    </row>
    <row r="361" spans="2:6">
      <c r="B361" s="50" t="s">
        <v>21</v>
      </c>
      <c r="C361" s="50" t="s">
        <v>1298</v>
      </c>
      <c r="D361" s="50">
        <f>DATE(YEAR(OneWeekMtgRatesDataTable756[[#This Row],[asofdate]]),MONTH(OneWeekMtgRatesDataTable756[[#This Row],[asofdate]]),DAY(OneWeekMtgRatesDataTable756[[#This Row],[asofdate]]))</f>
        <v>41800</v>
      </c>
      <c r="E361" s="50" t="s">
        <v>11</v>
      </c>
      <c r="F361" s="57">
        <v>0.152</v>
      </c>
    </row>
    <row r="362" spans="2:6">
      <c r="B362" s="50" t="s">
        <v>21</v>
      </c>
      <c r="C362" s="50" t="s">
        <v>1297</v>
      </c>
      <c r="D362" s="50">
        <f>DATE(YEAR(OneWeekMtgRatesDataTable756[[#This Row],[asofdate]]),MONTH(OneWeekMtgRatesDataTable756[[#This Row],[asofdate]]),DAY(OneWeekMtgRatesDataTable756[[#This Row],[asofdate]]))</f>
        <v>41799</v>
      </c>
      <c r="E362" s="50" t="s">
        <v>11</v>
      </c>
      <c r="F362" s="57">
        <v>0.15225</v>
      </c>
    </row>
    <row r="363" spans="2:6">
      <c r="B363" s="50" t="s">
        <v>21</v>
      </c>
      <c r="C363" s="50" t="s">
        <v>1296</v>
      </c>
      <c r="D363" s="50">
        <f>DATE(YEAR(OneWeekMtgRatesDataTable756[[#This Row],[asofdate]]),MONTH(OneWeekMtgRatesDataTable756[[#This Row],[asofdate]]),DAY(OneWeekMtgRatesDataTable756[[#This Row],[asofdate]]))</f>
        <v>41796</v>
      </c>
      <c r="E363" s="50" t="s">
        <v>11</v>
      </c>
      <c r="F363" s="57">
        <v>0.1535</v>
      </c>
    </row>
    <row r="364" spans="2:6">
      <c r="B364" s="50" t="s">
        <v>21</v>
      </c>
      <c r="C364" s="50" t="s">
        <v>1295</v>
      </c>
      <c r="D364" s="50">
        <f>DATE(YEAR(OneWeekMtgRatesDataTable756[[#This Row],[asofdate]]),MONTH(OneWeekMtgRatesDataTable756[[#This Row],[asofdate]]),DAY(OneWeekMtgRatesDataTable756[[#This Row],[asofdate]]))</f>
        <v>41795</v>
      </c>
      <c r="E364" s="50" t="s">
        <v>11</v>
      </c>
      <c r="F364" s="57">
        <v>0.151</v>
      </c>
    </row>
    <row r="365" spans="2:6">
      <c r="B365" s="50" t="s">
        <v>21</v>
      </c>
      <c r="C365" s="50" t="s">
        <v>1294</v>
      </c>
      <c r="D365" s="50">
        <f>DATE(YEAR(OneWeekMtgRatesDataTable756[[#This Row],[asofdate]]),MONTH(OneWeekMtgRatesDataTable756[[#This Row],[asofdate]]),DAY(OneWeekMtgRatesDataTable756[[#This Row],[asofdate]]))</f>
        <v>41794</v>
      </c>
      <c r="E365" s="50" t="s">
        <v>11</v>
      </c>
      <c r="F365" s="57">
        <v>0.152</v>
      </c>
    </row>
    <row r="366" spans="2:6">
      <c r="B366" s="50" t="s">
        <v>21</v>
      </c>
      <c r="C366" s="50" t="s">
        <v>1293</v>
      </c>
      <c r="D366" s="50">
        <f>DATE(YEAR(OneWeekMtgRatesDataTable756[[#This Row],[asofdate]]),MONTH(OneWeekMtgRatesDataTable756[[#This Row],[asofdate]]),DAY(OneWeekMtgRatesDataTable756[[#This Row],[asofdate]]))</f>
        <v>41793</v>
      </c>
      <c r="E366" s="50" t="s">
        <v>11</v>
      </c>
      <c r="F366" s="57">
        <v>0.15090000000000001</v>
      </c>
    </row>
    <row r="367" spans="2:6">
      <c r="B367" s="50" t="s">
        <v>21</v>
      </c>
      <c r="C367" s="50" t="s">
        <v>1292</v>
      </c>
      <c r="D367" s="50">
        <f>DATE(YEAR(OneWeekMtgRatesDataTable756[[#This Row],[asofdate]]),MONTH(OneWeekMtgRatesDataTable756[[#This Row],[asofdate]]),DAY(OneWeekMtgRatesDataTable756[[#This Row],[asofdate]]))</f>
        <v>41792</v>
      </c>
      <c r="E367" s="50" t="s">
        <v>11</v>
      </c>
      <c r="F367" s="57">
        <v>0.151</v>
      </c>
    </row>
    <row r="368" spans="2:6">
      <c r="B368" s="50" t="s">
        <v>21</v>
      </c>
      <c r="C368" s="50" t="s">
        <v>1291</v>
      </c>
      <c r="D368" s="50">
        <f>DATE(YEAR(OneWeekMtgRatesDataTable756[[#This Row],[asofdate]]),MONTH(OneWeekMtgRatesDataTable756[[#This Row],[asofdate]]),DAY(OneWeekMtgRatesDataTable756[[#This Row],[asofdate]]))</f>
        <v>41789</v>
      </c>
      <c r="E368" s="50" t="s">
        <v>11</v>
      </c>
      <c r="F368" s="57">
        <v>0.151</v>
      </c>
    </row>
    <row r="369" spans="2:6">
      <c r="B369" s="50" t="s">
        <v>21</v>
      </c>
      <c r="C369" s="50" t="s">
        <v>1290</v>
      </c>
      <c r="D369" s="50">
        <f>DATE(YEAR(OneWeekMtgRatesDataTable756[[#This Row],[asofdate]]),MONTH(OneWeekMtgRatesDataTable756[[#This Row],[asofdate]]),DAY(OneWeekMtgRatesDataTable756[[#This Row],[asofdate]]))</f>
        <v>41788</v>
      </c>
      <c r="E369" s="50" t="s">
        <v>11</v>
      </c>
      <c r="F369" s="57">
        <v>0.151</v>
      </c>
    </row>
    <row r="370" spans="2:6">
      <c r="B370" s="50" t="s">
        <v>21</v>
      </c>
      <c r="C370" s="50" t="s">
        <v>1289</v>
      </c>
      <c r="D370" s="50">
        <f>DATE(YEAR(OneWeekMtgRatesDataTable756[[#This Row],[asofdate]]),MONTH(OneWeekMtgRatesDataTable756[[#This Row],[asofdate]]),DAY(OneWeekMtgRatesDataTable756[[#This Row],[asofdate]]))</f>
        <v>41787</v>
      </c>
      <c r="E370" s="50" t="s">
        <v>11</v>
      </c>
      <c r="F370" s="57">
        <v>0.15</v>
      </c>
    </row>
    <row r="371" spans="2:6">
      <c r="B371" s="50" t="s">
        <v>21</v>
      </c>
      <c r="C371" s="50" t="s">
        <v>1288</v>
      </c>
      <c r="D371" s="50">
        <f>DATE(YEAR(OneWeekMtgRatesDataTable756[[#This Row],[asofdate]]),MONTH(OneWeekMtgRatesDataTable756[[#This Row],[asofdate]]),DAY(OneWeekMtgRatesDataTable756[[#This Row],[asofdate]]))</f>
        <v>41786</v>
      </c>
      <c r="E371" s="50" t="s">
        <v>11</v>
      </c>
      <c r="F371" s="57">
        <v>0.15049999999999999</v>
      </c>
    </row>
    <row r="372" spans="2:6">
      <c r="B372" s="50" t="s">
        <v>21</v>
      </c>
      <c r="C372" s="50" t="s">
        <v>1287</v>
      </c>
      <c r="D372" s="50">
        <f>DATE(YEAR(OneWeekMtgRatesDataTable756[[#This Row],[asofdate]]),MONTH(OneWeekMtgRatesDataTable756[[#This Row],[asofdate]]),DAY(OneWeekMtgRatesDataTable756[[#This Row],[asofdate]]))</f>
        <v>41782</v>
      </c>
      <c r="E372" s="50" t="s">
        <v>11</v>
      </c>
      <c r="F372" s="57">
        <v>0.15049999999999999</v>
      </c>
    </row>
    <row r="373" spans="2:6">
      <c r="B373" s="50" t="s">
        <v>21</v>
      </c>
      <c r="C373" s="50" t="s">
        <v>1286</v>
      </c>
      <c r="D373" s="50">
        <f>DATE(YEAR(OneWeekMtgRatesDataTable756[[#This Row],[asofdate]]),MONTH(OneWeekMtgRatesDataTable756[[#This Row],[asofdate]]),DAY(OneWeekMtgRatesDataTable756[[#This Row],[asofdate]]))</f>
        <v>41781</v>
      </c>
      <c r="E373" s="50" t="s">
        <v>11</v>
      </c>
      <c r="F373" s="57">
        <v>0.15</v>
      </c>
    </row>
    <row r="374" spans="2:6">
      <c r="B374" s="50" t="s">
        <v>21</v>
      </c>
      <c r="C374" s="50" t="s">
        <v>1285</v>
      </c>
      <c r="D374" s="50">
        <f>DATE(YEAR(OneWeekMtgRatesDataTable756[[#This Row],[asofdate]]),MONTH(OneWeekMtgRatesDataTable756[[#This Row],[asofdate]]),DAY(OneWeekMtgRatesDataTable756[[#This Row],[asofdate]]))</f>
        <v>41780</v>
      </c>
      <c r="E374" s="50" t="s">
        <v>11</v>
      </c>
      <c r="F374" s="57">
        <v>0.14849999999999999</v>
      </c>
    </row>
    <row r="375" spans="2:6">
      <c r="B375" s="50" t="s">
        <v>21</v>
      </c>
      <c r="C375" s="50" t="s">
        <v>1284</v>
      </c>
      <c r="D375" s="50">
        <f>DATE(YEAR(OneWeekMtgRatesDataTable756[[#This Row],[asofdate]]),MONTH(OneWeekMtgRatesDataTable756[[#This Row],[asofdate]]),DAY(OneWeekMtgRatesDataTable756[[#This Row],[asofdate]]))</f>
        <v>41779</v>
      </c>
      <c r="E375" s="50" t="s">
        <v>11</v>
      </c>
      <c r="F375" s="57">
        <v>0.14774999999999999</v>
      </c>
    </row>
    <row r="376" spans="2:6">
      <c r="B376" s="50" t="s">
        <v>21</v>
      </c>
      <c r="C376" s="50" t="s">
        <v>1283</v>
      </c>
      <c r="D376" s="50">
        <f>DATE(YEAR(OneWeekMtgRatesDataTable756[[#This Row],[asofdate]]),MONTH(OneWeekMtgRatesDataTable756[[#This Row],[asofdate]]),DAY(OneWeekMtgRatesDataTable756[[#This Row],[asofdate]]))</f>
        <v>41778</v>
      </c>
      <c r="E376" s="50" t="s">
        <v>11</v>
      </c>
      <c r="F376" s="57">
        <v>0.14849999999999999</v>
      </c>
    </row>
    <row r="377" spans="2:6">
      <c r="B377" s="50" t="s">
        <v>21</v>
      </c>
      <c r="C377" s="50" t="s">
        <v>1282</v>
      </c>
      <c r="D377" s="50">
        <f>DATE(YEAR(OneWeekMtgRatesDataTable756[[#This Row],[asofdate]]),MONTH(OneWeekMtgRatesDataTable756[[#This Row],[asofdate]]),DAY(OneWeekMtgRatesDataTable756[[#This Row],[asofdate]]))</f>
        <v>41775</v>
      </c>
      <c r="E377" s="50" t="s">
        <v>11</v>
      </c>
      <c r="F377" s="57">
        <v>0.14924999999999999</v>
      </c>
    </row>
    <row r="378" spans="2:6">
      <c r="B378" s="50" t="s">
        <v>21</v>
      </c>
      <c r="C378" s="50" t="s">
        <v>1281</v>
      </c>
      <c r="D378" s="50">
        <f>DATE(YEAR(OneWeekMtgRatesDataTable756[[#This Row],[asofdate]]),MONTH(OneWeekMtgRatesDataTable756[[#This Row],[asofdate]]),DAY(OneWeekMtgRatesDataTable756[[#This Row],[asofdate]]))</f>
        <v>41774</v>
      </c>
      <c r="E378" s="50" t="s">
        <v>11</v>
      </c>
      <c r="F378" s="57">
        <v>0.151</v>
      </c>
    </row>
    <row r="379" spans="2:6">
      <c r="B379" s="50" t="s">
        <v>21</v>
      </c>
      <c r="C379" s="50" t="s">
        <v>1280</v>
      </c>
      <c r="D379" s="50">
        <f>DATE(YEAR(OneWeekMtgRatesDataTable756[[#This Row],[asofdate]]),MONTH(OneWeekMtgRatesDataTable756[[#This Row],[asofdate]]),DAY(OneWeekMtgRatesDataTable756[[#This Row],[asofdate]]))</f>
        <v>41773</v>
      </c>
      <c r="E379" s="50" t="s">
        <v>11</v>
      </c>
      <c r="F379" s="57">
        <v>0.15110000000000001</v>
      </c>
    </row>
    <row r="380" spans="2:6">
      <c r="B380" s="50" t="s">
        <v>21</v>
      </c>
      <c r="C380" s="50" t="s">
        <v>1279</v>
      </c>
      <c r="D380" s="50">
        <f>DATE(YEAR(OneWeekMtgRatesDataTable756[[#This Row],[asofdate]]),MONTH(OneWeekMtgRatesDataTable756[[#This Row],[asofdate]]),DAY(OneWeekMtgRatesDataTable756[[#This Row],[asofdate]]))</f>
        <v>41772</v>
      </c>
      <c r="E380" s="50" t="s">
        <v>11</v>
      </c>
      <c r="F380" s="57">
        <v>0.15110000000000001</v>
      </c>
    </row>
    <row r="381" spans="2:6">
      <c r="B381" s="50" t="s">
        <v>21</v>
      </c>
      <c r="C381" s="50" t="s">
        <v>1278</v>
      </c>
      <c r="D381" s="50">
        <f>DATE(YEAR(OneWeekMtgRatesDataTable756[[#This Row],[asofdate]]),MONTH(OneWeekMtgRatesDataTable756[[#This Row],[asofdate]]),DAY(OneWeekMtgRatesDataTable756[[#This Row],[asofdate]]))</f>
        <v>41771</v>
      </c>
      <c r="E381" s="50" t="s">
        <v>11</v>
      </c>
      <c r="F381" s="57">
        <v>0.15110000000000001</v>
      </c>
    </row>
    <row r="382" spans="2:6">
      <c r="B382" s="50" t="s">
        <v>21</v>
      </c>
      <c r="C382" s="50" t="s">
        <v>1277</v>
      </c>
      <c r="D382" s="50">
        <f>DATE(YEAR(OneWeekMtgRatesDataTable756[[#This Row],[asofdate]]),MONTH(OneWeekMtgRatesDataTable756[[#This Row],[asofdate]]),DAY(OneWeekMtgRatesDataTable756[[#This Row],[asofdate]]))</f>
        <v>41768</v>
      </c>
      <c r="E382" s="50" t="s">
        <v>11</v>
      </c>
      <c r="F382" s="57">
        <v>0.15160000000000001</v>
      </c>
    </row>
    <row r="383" spans="2:6">
      <c r="B383" s="50" t="s">
        <v>21</v>
      </c>
      <c r="C383" s="50" t="s">
        <v>1276</v>
      </c>
      <c r="D383" s="50">
        <f>DATE(YEAR(OneWeekMtgRatesDataTable756[[#This Row],[asofdate]]),MONTH(OneWeekMtgRatesDataTable756[[#This Row],[asofdate]]),DAY(OneWeekMtgRatesDataTable756[[#This Row],[asofdate]]))</f>
        <v>41767</v>
      </c>
      <c r="E383" s="50" t="s">
        <v>11</v>
      </c>
      <c r="F383" s="57">
        <v>0.15024999999999999</v>
      </c>
    </row>
    <row r="384" spans="2:6">
      <c r="B384" s="50" t="s">
        <v>21</v>
      </c>
      <c r="C384" s="50" t="s">
        <v>1275</v>
      </c>
      <c r="D384" s="50">
        <f>DATE(YEAR(OneWeekMtgRatesDataTable756[[#This Row],[asofdate]]),MONTH(OneWeekMtgRatesDataTable756[[#This Row],[asofdate]]),DAY(OneWeekMtgRatesDataTable756[[#This Row],[asofdate]]))</f>
        <v>41766</v>
      </c>
      <c r="E384" s="50" t="s">
        <v>11</v>
      </c>
      <c r="F384" s="57">
        <v>0.1515</v>
      </c>
    </row>
    <row r="385" spans="2:6">
      <c r="B385" s="50" t="s">
        <v>21</v>
      </c>
      <c r="C385" s="50" t="s">
        <v>1274</v>
      </c>
      <c r="D385" s="50">
        <f>DATE(YEAR(OneWeekMtgRatesDataTable756[[#This Row],[asofdate]]),MONTH(OneWeekMtgRatesDataTable756[[#This Row],[asofdate]]),DAY(OneWeekMtgRatesDataTable756[[#This Row],[asofdate]]))</f>
        <v>41765</v>
      </c>
      <c r="E385" s="50" t="s">
        <v>11</v>
      </c>
      <c r="F385" s="57">
        <v>0.15049999999999999</v>
      </c>
    </row>
    <row r="386" spans="2:6">
      <c r="B386" s="50" t="s">
        <v>21</v>
      </c>
      <c r="C386" s="50" t="s">
        <v>1273</v>
      </c>
      <c r="D386" s="50">
        <f>DATE(YEAR(OneWeekMtgRatesDataTable756[[#This Row],[asofdate]]),MONTH(OneWeekMtgRatesDataTable756[[#This Row],[asofdate]]),DAY(OneWeekMtgRatesDataTable756[[#This Row],[asofdate]]))</f>
        <v>41764</v>
      </c>
      <c r="E386" s="50" t="s">
        <v>11</v>
      </c>
      <c r="F386" s="57">
        <v>0.1515</v>
      </c>
    </row>
    <row r="387" spans="2:6">
      <c r="B387" s="50" t="s">
        <v>21</v>
      </c>
      <c r="C387" s="50" t="s">
        <v>1272</v>
      </c>
      <c r="D387" s="50">
        <f>DATE(YEAR(OneWeekMtgRatesDataTable756[[#This Row],[asofdate]]),MONTH(OneWeekMtgRatesDataTable756[[#This Row],[asofdate]]),DAY(OneWeekMtgRatesDataTable756[[#This Row],[asofdate]]))</f>
        <v>41761</v>
      </c>
      <c r="E387" s="50" t="s">
        <v>11</v>
      </c>
      <c r="F387" s="57">
        <v>0.1515</v>
      </c>
    </row>
    <row r="388" spans="2:6">
      <c r="B388" s="50" t="s">
        <v>21</v>
      </c>
      <c r="C388" s="50" t="s">
        <v>1271</v>
      </c>
      <c r="D388" s="50">
        <f>DATE(YEAR(OneWeekMtgRatesDataTable756[[#This Row],[asofdate]]),MONTH(OneWeekMtgRatesDataTable756[[#This Row],[asofdate]]),DAY(OneWeekMtgRatesDataTable756[[#This Row],[asofdate]]))</f>
        <v>41760</v>
      </c>
      <c r="E388" s="50" t="s">
        <v>11</v>
      </c>
      <c r="F388" s="57">
        <v>0.15049999999999999</v>
      </c>
    </row>
    <row r="389" spans="2:6">
      <c r="B389" s="50" t="s">
        <v>21</v>
      </c>
      <c r="C389" s="50" t="s">
        <v>1270</v>
      </c>
      <c r="D389" s="50">
        <f>DATE(YEAR(OneWeekMtgRatesDataTable756[[#This Row],[asofdate]]),MONTH(OneWeekMtgRatesDataTable756[[#This Row],[asofdate]]),DAY(OneWeekMtgRatesDataTable756[[#This Row],[asofdate]]))</f>
        <v>41759</v>
      </c>
      <c r="E389" s="50" t="s">
        <v>11</v>
      </c>
      <c r="F389" s="57">
        <v>0.15049999999999999</v>
      </c>
    </row>
    <row r="390" spans="2:6">
      <c r="B390" s="50" t="s">
        <v>21</v>
      </c>
      <c r="C390" s="50" t="s">
        <v>1269</v>
      </c>
      <c r="D390" s="50">
        <f>DATE(YEAR(OneWeekMtgRatesDataTable756[[#This Row],[asofdate]]),MONTH(OneWeekMtgRatesDataTable756[[#This Row],[asofdate]]),DAY(OneWeekMtgRatesDataTable756[[#This Row],[asofdate]]))</f>
        <v>41758</v>
      </c>
      <c r="E390" s="50" t="s">
        <v>11</v>
      </c>
      <c r="F390" s="57">
        <v>0.1515</v>
      </c>
    </row>
    <row r="391" spans="2:6">
      <c r="B391" s="50" t="s">
        <v>21</v>
      </c>
      <c r="C391" s="50" t="s">
        <v>1268</v>
      </c>
      <c r="D391" s="50">
        <f>DATE(YEAR(OneWeekMtgRatesDataTable756[[#This Row],[asofdate]]),MONTH(OneWeekMtgRatesDataTable756[[#This Row],[asofdate]]),DAY(OneWeekMtgRatesDataTable756[[#This Row],[asofdate]]))</f>
        <v>41757</v>
      </c>
      <c r="E391" s="50" t="s">
        <v>11</v>
      </c>
      <c r="F391" s="57">
        <v>0.15029999999999999</v>
      </c>
    </row>
    <row r="392" spans="2:6">
      <c r="B392" s="50" t="s">
        <v>21</v>
      </c>
      <c r="C392" s="50" t="s">
        <v>1267</v>
      </c>
      <c r="D392" s="50">
        <f>DATE(YEAR(OneWeekMtgRatesDataTable756[[#This Row],[asofdate]]),MONTH(OneWeekMtgRatesDataTable756[[#This Row],[asofdate]]),DAY(OneWeekMtgRatesDataTable756[[#This Row],[asofdate]]))</f>
        <v>41754</v>
      </c>
      <c r="E392" s="50" t="s">
        <v>11</v>
      </c>
      <c r="F392" s="57">
        <v>0.152</v>
      </c>
    </row>
    <row r="393" spans="2:6">
      <c r="B393" s="50" t="s">
        <v>21</v>
      </c>
      <c r="C393" s="50" t="s">
        <v>1266</v>
      </c>
      <c r="D393" s="50">
        <f>DATE(YEAR(OneWeekMtgRatesDataTable756[[#This Row],[asofdate]]),MONTH(OneWeekMtgRatesDataTable756[[#This Row],[asofdate]]),DAY(OneWeekMtgRatesDataTable756[[#This Row],[asofdate]]))</f>
        <v>41753</v>
      </c>
      <c r="E393" s="50" t="s">
        <v>11</v>
      </c>
      <c r="F393" s="57">
        <v>0.15179999999999999</v>
      </c>
    </row>
    <row r="394" spans="2:6">
      <c r="B394" s="50" t="s">
        <v>21</v>
      </c>
      <c r="C394" s="50" t="s">
        <v>1265</v>
      </c>
      <c r="D394" s="50">
        <f>DATE(YEAR(OneWeekMtgRatesDataTable756[[#This Row],[asofdate]]),MONTH(OneWeekMtgRatesDataTable756[[#This Row],[asofdate]]),DAY(OneWeekMtgRatesDataTable756[[#This Row],[asofdate]]))</f>
        <v>41752</v>
      </c>
      <c r="E394" s="50" t="s">
        <v>11</v>
      </c>
      <c r="F394" s="57">
        <v>0.15229999999999999</v>
      </c>
    </row>
    <row r="395" spans="2:6">
      <c r="B395" s="50" t="s">
        <v>21</v>
      </c>
      <c r="C395" s="50" t="s">
        <v>1264</v>
      </c>
      <c r="D395" s="50">
        <f>DATE(YEAR(OneWeekMtgRatesDataTable756[[#This Row],[asofdate]]),MONTH(OneWeekMtgRatesDataTable756[[#This Row],[asofdate]]),DAY(OneWeekMtgRatesDataTable756[[#This Row],[asofdate]]))</f>
        <v>41751</v>
      </c>
      <c r="E395" s="50" t="s">
        <v>11</v>
      </c>
      <c r="F395" s="57">
        <v>0.15229999999999999</v>
      </c>
    </row>
    <row r="396" spans="2:6">
      <c r="B396" s="50" t="s">
        <v>21</v>
      </c>
      <c r="C396" s="50" t="s">
        <v>1263</v>
      </c>
      <c r="D396" s="50">
        <f>DATE(YEAR(OneWeekMtgRatesDataTable756[[#This Row],[asofdate]]),MONTH(OneWeekMtgRatesDataTable756[[#This Row],[asofdate]]),DAY(OneWeekMtgRatesDataTable756[[#This Row],[asofdate]]))</f>
        <v>41750</v>
      </c>
      <c r="E396" s="50" t="s">
        <v>11</v>
      </c>
      <c r="F396" s="57">
        <v>0.1522</v>
      </c>
    </row>
    <row r="397" spans="2:6">
      <c r="B397" s="50" t="s">
        <v>21</v>
      </c>
      <c r="C397" s="50" t="s">
        <v>1262</v>
      </c>
      <c r="D397" s="50">
        <f>DATE(YEAR(OneWeekMtgRatesDataTable756[[#This Row],[asofdate]]),MONTH(OneWeekMtgRatesDataTable756[[#This Row],[asofdate]]),DAY(OneWeekMtgRatesDataTable756[[#This Row],[asofdate]]))</f>
        <v>41746</v>
      </c>
      <c r="E397" s="50" t="s">
        <v>11</v>
      </c>
      <c r="F397" s="57">
        <v>0.1522</v>
      </c>
    </row>
    <row r="398" spans="2:6">
      <c r="B398" s="50" t="s">
        <v>21</v>
      </c>
      <c r="C398" s="50" t="s">
        <v>1261</v>
      </c>
      <c r="D398" s="50">
        <f>DATE(YEAR(OneWeekMtgRatesDataTable756[[#This Row],[asofdate]]),MONTH(OneWeekMtgRatesDataTable756[[#This Row],[asofdate]]),DAY(OneWeekMtgRatesDataTable756[[#This Row],[asofdate]]))</f>
        <v>41745</v>
      </c>
      <c r="E398" s="50" t="s">
        <v>11</v>
      </c>
      <c r="F398" s="57">
        <v>0.152</v>
      </c>
    </row>
    <row r="399" spans="2:6">
      <c r="B399" s="50" t="s">
        <v>21</v>
      </c>
      <c r="C399" s="50" t="s">
        <v>1260</v>
      </c>
      <c r="D399" s="50">
        <f>DATE(YEAR(OneWeekMtgRatesDataTable756[[#This Row],[asofdate]]),MONTH(OneWeekMtgRatesDataTable756[[#This Row],[asofdate]]),DAY(OneWeekMtgRatesDataTable756[[#This Row],[asofdate]]))</f>
        <v>41744</v>
      </c>
      <c r="E399" s="50" t="s">
        <v>11</v>
      </c>
      <c r="F399" s="57">
        <v>0.15140000000000001</v>
      </c>
    </row>
    <row r="400" spans="2:6">
      <c r="B400" s="50" t="s">
        <v>21</v>
      </c>
      <c r="C400" s="50" t="s">
        <v>1259</v>
      </c>
      <c r="D400" s="50">
        <f>DATE(YEAR(OneWeekMtgRatesDataTable756[[#This Row],[asofdate]]),MONTH(OneWeekMtgRatesDataTable756[[#This Row],[asofdate]]),DAY(OneWeekMtgRatesDataTable756[[#This Row],[asofdate]]))</f>
        <v>41743</v>
      </c>
      <c r="E400" s="50" t="s">
        <v>11</v>
      </c>
      <c r="F400" s="57">
        <v>0.1517</v>
      </c>
    </row>
    <row r="401" spans="2:6">
      <c r="B401" s="50" t="s">
        <v>21</v>
      </c>
      <c r="C401" s="50" t="s">
        <v>1258</v>
      </c>
      <c r="D401" s="50">
        <f>DATE(YEAR(OneWeekMtgRatesDataTable756[[#This Row],[asofdate]]),MONTH(OneWeekMtgRatesDataTable756[[#This Row],[asofdate]]),DAY(OneWeekMtgRatesDataTable756[[#This Row],[asofdate]]))</f>
        <v>41740</v>
      </c>
      <c r="E401" s="50" t="s">
        <v>11</v>
      </c>
      <c r="F401" s="57">
        <v>0.1522</v>
      </c>
    </row>
    <row r="402" spans="2:6">
      <c r="B402" s="50" t="s">
        <v>21</v>
      </c>
      <c r="C402" s="50" t="s">
        <v>1257</v>
      </c>
      <c r="D402" s="50">
        <f>DATE(YEAR(OneWeekMtgRatesDataTable756[[#This Row],[asofdate]]),MONTH(OneWeekMtgRatesDataTable756[[#This Row],[asofdate]]),DAY(OneWeekMtgRatesDataTable756[[#This Row],[asofdate]]))</f>
        <v>41739</v>
      </c>
      <c r="E402" s="50" t="s">
        <v>11</v>
      </c>
      <c r="F402" s="57">
        <v>0.1525</v>
      </c>
    </row>
    <row r="403" spans="2:6">
      <c r="B403" s="50" t="s">
        <v>21</v>
      </c>
      <c r="C403" s="50" t="s">
        <v>1256</v>
      </c>
      <c r="D403" s="50">
        <f>DATE(YEAR(OneWeekMtgRatesDataTable756[[#This Row],[asofdate]]),MONTH(OneWeekMtgRatesDataTable756[[#This Row],[asofdate]]),DAY(OneWeekMtgRatesDataTable756[[#This Row],[asofdate]]))</f>
        <v>41738</v>
      </c>
      <c r="E403" s="50" t="s">
        <v>11</v>
      </c>
      <c r="F403" s="57">
        <v>0.15090000000000001</v>
      </c>
    </row>
    <row r="404" spans="2:6">
      <c r="B404" s="50" t="s">
        <v>21</v>
      </c>
      <c r="C404" s="50" t="s">
        <v>1255</v>
      </c>
      <c r="D404" s="50">
        <f>DATE(YEAR(OneWeekMtgRatesDataTable756[[#This Row],[asofdate]]),MONTH(OneWeekMtgRatesDataTable756[[#This Row],[asofdate]]),DAY(OneWeekMtgRatesDataTable756[[#This Row],[asofdate]]))</f>
        <v>41737</v>
      </c>
      <c r="E404" s="50" t="s">
        <v>11</v>
      </c>
      <c r="F404" s="57">
        <v>0.15040000000000001</v>
      </c>
    </row>
    <row r="405" spans="2:6">
      <c r="B405" s="50" t="s">
        <v>21</v>
      </c>
      <c r="C405" s="50" t="s">
        <v>1254</v>
      </c>
      <c r="D405" s="50">
        <f>DATE(YEAR(OneWeekMtgRatesDataTable756[[#This Row],[asofdate]]),MONTH(OneWeekMtgRatesDataTable756[[#This Row],[asofdate]]),DAY(OneWeekMtgRatesDataTable756[[#This Row],[asofdate]]))</f>
        <v>41736</v>
      </c>
      <c r="E405" s="50" t="s">
        <v>11</v>
      </c>
      <c r="F405" s="57">
        <v>0.152</v>
      </c>
    </row>
    <row r="406" spans="2:6">
      <c r="B406" s="50" t="s">
        <v>21</v>
      </c>
      <c r="C406" s="50" t="s">
        <v>1253</v>
      </c>
      <c r="D406" s="50">
        <f>DATE(YEAR(OneWeekMtgRatesDataTable756[[#This Row],[asofdate]]),MONTH(OneWeekMtgRatesDataTable756[[#This Row],[asofdate]]),DAY(OneWeekMtgRatesDataTable756[[#This Row],[asofdate]]))</f>
        <v>41733</v>
      </c>
      <c r="E406" s="50" t="s">
        <v>11</v>
      </c>
      <c r="F406" s="57">
        <v>0.1525</v>
      </c>
    </row>
    <row r="407" spans="2:6">
      <c r="B407" s="50" t="s">
        <v>21</v>
      </c>
      <c r="C407" s="50" t="s">
        <v>1252</v>
      </c>
      <c r="D407" s="50">
        <f>DATE(YEAR(OneWeekMtgRatesDataTable756[[#This Row],[asofdate]]),MONTH(OneWeekMtgRatesDataTable756[[#This Row],[asofdate]]),DAY(OneWeekMtgRatesDataTable756[[#This Row],[asofdate]]))</f>
        <v>41732</v>
      </c>
      <c r="E407" s="50" t="s">
        <v>11</v>
      </c>
      <c r="F407" s="57">
        <v>0.1525</v>
      </c>
    </row>
    <row r="408" spans="2:6">
      <c r="B408" s="50" t="s">
        <v>21</v>
      </c>
      <c r="C408" s="50" t="s">
        <v>1251</v>
      </c>
      <c r="D408" s="50">
        <f>DATE(YEAR(OneWeekMtgRatesDataTable756[[#This Row],[asofdate]]),MONTH(OneWeekMtgRatesDataTable756[[#This Row],[asofdate]]),DAY(OneWeekMtgRatesDataTable756[[#This Row],[asofdate]]))</f>
        <v>41731</v>
      </c>
      <c r="E408" s="50" t="s">
        <v>11</v>
      </c>
      <c r="F408" s="57">
        <v>0.152</v>
      </c>
    </row>
    <row r="409" spans="2:6">
      <c r="B409" s="50" t="s">
        <v>21</v>
      </c>
      <c r="C409" s="50" t="s">
        <v>1250</v>
      </c>
      <c r="D409" s="50">
        <f>DATE(YEAR(OneWeekMtgRatesDataTable756[[#This Row],[asofdate]]),MONTH(OneWeekMtgRatesDataTable756[[#This Row],[asofdate]]),DAY(OneWeekMtgRatesDataTable756[[#This Row],[asofdate]]))</f>
        <v>41730</v>
      </c>
      <c r="E409" s="50" t="s">
        <v>11</v>
      </c>
      <c r="F409" s="57">
        <v>0.151</v>
      </c>
    </row>
    <row r="410" spans="2:6">
      <c r="B410" s="50" t="s">
        <v>21</v>
      </c>
      <c r="C410" s="50" t="s">
        <v>1249</v>
      </c>
      <c r="D410" s="50">
        <f>DATE(YEAR(OneWeekMtgRatesDataTable756[[#This Row],[asofdate]]),MONTH(OneWeekMtgRatesDataTable756[[#This Row],[asofdate]]),DAY(OneWeekMtgRatesDataTable756[[#This Row],[asofdate]]))</f>
        <v>41729</v>
      </c>
      <c r="E410" s="50" t="s">
        <v>11</v>
      </c>
      <c r="F410" s="57">
        <v>0.152</v>
      </c>
    </row>
    <row r="411" spans="2:6">
      <c r="B411" s="50" t="s">
        <v>21</v>
      </c>
      <c r="C411" s="50" t="s">
        <v>1248</v>
      </c>
      <c r="D411" s="50">
        <f>DATE(YEAR(OneWeekMtgRatesDataTable756[[#This Row],[asofdate]]),MONTH(OneWeekMtgRatesDataTable756[[#This Row],[asofdate]]),DAY(OneWeekMtgRatesDataTable756[[#This Row],[asofdate]]))</f>
        <v>41726</v>
      </c>
      <c r="E411" s="50" t="s">
        <v>11</v>
      </c>
      <c r="F411" s="57">
        <v>0.15175</v>
      </c>
    </row>
    <row r="412" spans="2:6">
      <c r="B412" s="50" t="s">
        <v>21</v>
      </c>
      <c r="C412" s="50" t="s">
        <v>1247</v>
      </c>
      <c r="D412" s="50">
        <f>DATE(YEAR(OneWeekMtgRatesDataTable756[[#This Row],[asofdate]]),MONTH(OneWeekMtgRatesDataTable756[[#This Row],[asofdate]]),DAY(OneWeekMtgRatesDataTable756[[#This Row],[asofdate]]))</f>
        <v>41725</v>
      </c>
      <c r="E412" s="50" t="s">
        <v>11</v>
      </c>
      <c r="F412" s="57">
        <v>0.1525</v>
      </c>
    </row>
    <row r="413" spans="2:6">
      <c r="B413" s="50" t="s">
        <v>21</v>
      </c>
      <c r="C413" s="50" t="s">
        <v>1246</v>
      </c>
      <c r="D413" s="50">
        <f>DATE(YEAR(OneWeekMtgRatesDataTable756[[#This Row],[asofdate]]),MONTH(OneWeekMtgRatesDataTable756[[#This Row],[asofdate]]),DAY(OneWeekMtgRatesDataTable756[[#This Row],[asofdate]]))</f>
        <v>41724</v>
      </c>
      <c r="E413" s="50" t="s">
        <v>11</v>
      </c>
      <c r="F413" s="57">
        <v>0.153</v>
      </c>
    </row>
    <row r="414" spans="2:6">
      <c r="B414" s="50" t="s">
        <v>21</v>
      </c>
      <c r="C414" s="50" t="s">
        <v>1245</v>
      </c>
      <c r="D414" s="50">
        <f>DATE(YEAR(OneWeekMtgRatesDataTable756[[#This Row],[asofdate]]),MONTH(OneWeekMtgRatesDataTable756[[#This Row],[asofdate]]),DAY(OneWeekMtgRatesDataTable756[[#This Row],[asofdate]]))</f>
        <v>41723</v>
      </c>
      <c r="E414" s="50" t="s">
        <v>11</v>
      </c>
      <c r="F414" s="57">
        <v>0.15375</v>
      </c>
    </row>
    <row r="415" spans="2:6">
      <c r="B415" s="50" t="s">
        <v>21</v>
      </c>
      <c r="C415" s="50" t="s">
        <v>1244</v>
      </c>
      <c r="D415" s="50">
        <f>DATE(YEAR(OneWeekMtgRatesDataTable756[[#This Row],[asofdate]]),MONTH(OneWeekMtgRatesDataTable756[[#This Row],[asofdate]]),DAY(OneWeekMtgRatesDataTable756[[#This Row],[asofdate]]))</f>
        <v>41722</v>
      </c>
      <c r="E415" s="50" t="s">
        <v>11</v>
      </c>
      <c r="F415" s="57">
        <v>0.15425</v>
      </c>
    </row>
    <row r="416" spans="2:6">
      <c r="B416" s="50" t="s">
        <v>21</v>
      </c>
      <c r="C416" s="50" t="s">
        <v>1243</v>
      </c>
      <c r="D416" s="50">
        <f>DATE(YEAR(OneWeekMtgRatesDataTable756[[#This Row],[asofdate]]),MONTH(OneWeekMtgRatesDataTable756[[#This Row],[asofdate]]),DAY(OneWeekMtgRatesDataTable756[[#This Row],[asofdate]]))</f>
        <v>41719</v>
      </c>
      <c r="E416" s="50" t="s">
        <v>11</v>
      </c>
      <c r="F416" s="57">
        <v>0.15425</v>
      </c>
    </row>
    <row r="417" spans="2:6">
      <c r="B417" s="50" t="s">
        <v>21</v>
      </c>
      <c r="C417" s="50" t="s">
        <v>1242</v>
      </c>
      <c r="D417" s="50">
        <f>DATE(YEAR(OneWeekMtgRatesDataTable756[[#This Row],[asofdate]]),MONTH(OneWeekMtgRatesDataTable756[[#This Row],[asofdate]]),DAY(OneWeekMtgRatesDataTable756[[#This Row],[asofdate]]))</f>
        <v>41718</v>
      </c>
      <c r="E417" s="50" t="s">
        <v>11</v>
      </c>
      <c r="F417" s="57">
        <v>0.1545</v>
      </c>
    </row>
    <row r="418" spans="2:6">
      <c r="B418" s="50" t="s">
        <v>21</v>
      </c>
      <c r="C418" s="50" t="s">
        <v>1241</v>
      </c>
      <c r="D418" s="50">
        <f>DATE(YEAR(OneWeekMtgRatesDataTable756[[#This Row],[asofdate]]),MONTH(OneWeekMtgRatesDataTable756[[#This Row],[asofdate]]),DAY(OneWeekMtgRatesDataTable756[[#This Row],[asofdate]]))</f>
        <v>41717</v>
      </c>
      <c r="E418" s="50" t="s">
        <v>11</v>
      </c>
      <c r="F418" s="57">
        <v>0.15755</v>
      </c>
    </row>
    <row r="419" spans="2:6">
      <c r="B419" s="50" t="s">
        <v>21</v>
      </c>
      <c r="C419" s="50" t="s">
        <v>1240</v>
      </c>
      <c r="D419" s="50">
        <f>DATE(YEAR(OneWeekMtgRatesDataTable756[[#This Row],[asofdate]]),MONTH(OneWeekMtgRatesDataTable756[[#This Row],[asofdate]]),DAY(OneWeekMtgRatesDataTable756[[#This Row],[asofdate]]))</f>
        <v>41716</v>
      </c>
      <c r="E419" s="50" t="s">
        <v>11</v>
      </c>
      <c r="F419" s="57">
        <v>0.15675</v>
      </c>
    </row>
    <row r="420" spans="2:6">
      <c r="B420" s="50" t="s">
        <v>21</v>
      </c>
      <c r="C420" s="50" t="s">
        <v>1239</v>
      </c>
      <c r="D420" s="50">
        <f>DATE(YEAR(OneWeekMtgRatesDataTable756[[#This Row],[asofdate]]),MONTH(OneWeekMtgRatesDataTable756[[#This Row],[asofdate]]),DAY(OneWeekMtgRatesDataTable756[[#This Row],[asofdate]]))</f>
        <v>41715</v>
      </c>
      <c r="E420" s="50" t="s">
        <v>11</v>
      </c>
      <c r="F420" s="57">
        <v>0.15620000000000001</v>
      </c>
    </row>
    <row r="421" spans="2:6">
      <c r="B421" s="50" t="s">
        <v>21</v>
      </c>
      <c r="C421" s="50" t="s">
        <v>1238</v>
      </c>
      <c r="D421" s="50">
        <f>DATE(YEAR(OneWeekMtgRatesDataTable756[[#This Row],[asofdate]]),MONTH(OneWeekMtgRatesDataTable756[[#This Row],[asofdate]]),DAY(OneWeekMtgRatesDataTable756[[#This Row],[asofdate]]))</f>
        <v>41712</v>
      </c>
      <c r="E421" s="50" t="s">
        <v>11</v>
      </c>
      <c r="F421" s="57">
        <v>0.15645000000000001</v>
      </c>
    </row>
    <row r="422" spans="2:6">
      <c r="B422" s="50" t="s">
        <v>21</v>
      </c>
      <c r="C422" s="50" t="s">
        <v>1237</v>
      </c>
      <c r="D422" s="50">
        <f>DATE(YEAR(OneWeekMtgRatesDataTable756[[#This Row],[asofdate]]),MONTH(OneWeekMtgRatesDataTable756[[#This Row],[asofdate]]),DAY(OneWeekMtgRatesDataTable756[[#This Row],[asofdate]]))</f>
        <v>41711</v>
      </c>
      <c r="E422" s="50" t="s">
        <v>11</v>
      </c>
      <c r="F422" s="57">
        <v>0.155</v>
      </c>
    </row>
    <row r="423" spans="2:6">
      <c r="B423" s="50" t="s">
        <v>21</v>
      </c>
      <c r="C423" s="50" t="s">
        <v>1236</v>
      </c>
      <c r="D423" s="50">
        <f>DATE(YEAR(OneWeekMtgRatesDataTable756[[#This Row],[asofdate]]),MONTH(OneWeekMtgRatesDataTable756[[#This Row],[asofdate]]),DAY(OneWeekMtgRatesDataTable756[[#This Row],[asofdate]]))</f>
        <v>41710</v>
      </c>
      <c r="E423" s="50" t="s">
        <v>11</v>
      </c>
      <c r="F423" s="57">
        <v>0.1555</v>
      </c>
    </row>
    <row r="424" spans="2:6">
      <c r="B424" s="50" t="s">
        <v>21</v>
      </c>
      <c r="C424" s="50" t="s">
        <v>1235</v>
      </c>
      <c r="D424" s="50">
        <f>DATE(YEAR(OneWeekMtgRatesDataTable756[[#This Row],[asofdate]]),MONTH(OneWeekMtgRatesDataTable756[[#This Row],[asofdate]]),DAY(OneWeekMtgRatesDataTable756[[#This Row],[asofdate]]))</f>
        <v>41709</v>
      </c>
      <c r="E424" s="50" t="s">
        <v>11</v>
      </c>
      <c r="F424" s="57">
        <v>0.15579999999999999</v>
      </c>
    </row>
    <row r="425" spans="2:6">
      <c r="B425" s="50" t="s">
        <v>21</v>
      </c>
      <c r="C425" s="50" t="s">
        <v>1234</v>
      </c>
      <c r="D425" s="50">
        <f>DATE(YEAR(OneWeekMtgRatesDataTable756[[#This Row],[asofdate]]),MONTH(OneWeekMtgRatesDataTable756[[#This Row],[asofdate]]),DAY(OneWeekMtgRatesDataTable756[[#This Row],[asofdate]]))</f>
        <v>41708</v>
      </c>
      <c r="E425" s="50" t="s">
        <v>11</v>
      </c>
      <c r="F425" s="57">
        <v>0.155</v>
      </c>
    </row>
    <row r="426" spans="2:6">
      <c r="B426" s="50" t="s">
        <v>21</v>
      </c>
      <c r="C426" s="50" t="s">
        <v>1233</v>
      </c>
      <c r="D426" s="50">
        <f>DATE(YEAR(OneWeekMtgRatesDataTable756[[#This Row],[asofdate]]),MONTH(OneWeekMtgRatesDataTable756[[#This Row],[asofdate]]),DAY(OneWeekMtgRatesDataTable756[[#This Row],[asofdate]]))</f>
        <v>41705</v>
      </c>
      <c r="E426" s="50" t="s">
        <v>11</v>
      </c>
      <c r="F426" s="57">
        <v>0.1565</v>
      </c>
    </row>
    <row r="427" spans="2:6">
      <c r="B427" s="50" t="s">
        <v>21</v>
      </c>
      <c r="C427" s="50" t="s">
        <v>1232</v>
      </c>
      <c r="D427" s="50">
        <f>DATE(YEAR(OneWeekMtgRatesDataTable756[[#This Row],[asofdate]]),MONTH(OneWeekMtgRatesDataTable756[[#This Row],[asofdate]]),DAY(OneWeekMtgRatesDataTable756[[#This Row],[asofdate]]))</f>
        <v>41704</v>
      </c>
      <c r="E427" s="50" t="s">
        <v>11</v>
      </c>
      <c r="F427" s="57">
        <v>0.15440000000000001</v>
      </c>
    </row>
    <row r="428" spans="2:6">
      <c r="B428" s="50" t="s">
        <v>21</v>
      </c>
      <c r="C428" s="50" t="s">
        <v>1231</v>
      </c>
      <c r="D428" s="50">
        <f>DATE(YEAR(OneWeekMtgRatesDataTable756[[#This Row],[asofdate]]),MONTH(OneWeekMtgRatesDataTable756[[#This Row],[asofdate]]),DAY(OneWeekMtgRatesDataTable756[[#This Row],[asofdate]]))</f>
        <v>41703</v>
      </c>
      <c r="E428" s="50" t="s">
        <v>11</v>
      </c>
      <c r="F428" s="57">
        <v>0.15559999999999999</v>
      </c>
    </row>
    <row r="429" spans="2:6">
      <c r="B429" s="50" t="s">
        <v>21</v>
      </c>
      <c r="C429" s="50" t="s">
        <v>1230</v>
      </c>
      <c r="D429" s="50">
        <f>DATE(YEAR(OneWeekMtgRatesDataTable756[[#This Row],[asofdate]]),MONTH(OneWeekMtgRatesDataTable756[[#This Row],[asofdate]]),DAY(OneWeekMtgRatesDataTable756[[#This Row],[asofdate]]))</f>
        <v>41702</v>
      </c>
      <c r="E429" s="50" t="s">
        <v>11</v>
      </c>
      <c r="F429" s="57">
        <v>0.1565</v>
      </c>
    </row>
    <row r="430" spans="2:6">
      <c r="B430" s="50" t="s">
        <v>21</v>
      </c>
      <c r="C430" s="50" t="s">
        <v>1229</v>
      </c>
      <c r="D430" s="50">
        <f>DATE(YEAR(OneWeekMtgRatesDataTable756[[#This Row],[asofdate]]),MONTH(OneWeekMtgRatesDataTable756[[#This Row],[asofdate]]),DAY(OneWeekMtgRatesDataTable756[[#This Row],[asofdate]]))</f>
        <v>41701</v>
      </c>
      <c r="E430" s="50" t="s">
        <v>11</v>
      </c>
      <c r="F430" s="57">
        <v>0.15529999999999999</v>
      </c>
    </row>
    <row r="431" spans="2:6">
      <c r="B431" s="50" t="s">
        <v>21</v>
      </c>
      <c r="C431" s="50" t="s">
        <v>1228</v>
      </c>
      <c r="D431" s="50">
        <f>DATE(YEAR(OneWeekMtgRatesDataTable756[[#This Row],[asofdate]]),MONTH(OneWeekMtgRatesDataTable756[[#This Row],[asofdate]]),DAY(OneWeekMtgRatesDataTable756[[#This Row],[asofdate]]))</f>
        <v>41698</v>
      </c>
      <c r="E431" s="50" t="s">
        <v>11</v>
      </c>
      <c r="F431" s="57">
        <v>0.1555</v>
      </c>
    </row>
    <row r="432" spans="2:6">
      <c r="B432" s="50" t="s">
        <v>21</v>
      </c>
      <c r="C432" s="50" t="s">
        <v>1227</v>
      </c>
      <c r="D432" s="50">
        <f>DATE(YEAR(OneWeekMtgRatesDataTable756[[#This Row],[asofdate]]),MONTH(OneWeekMtgRatesDataTable756[[#This Row],[asofdate]]),DAY(OneWeekMtgRatesDataTable756[[#This Row],[asofdate]]))</f>
        <v>41697</v>
      </c>
      <c r="E432" s="50" t="s">
        <v>11</v>
      </c>
      <c r="F432" s="57">
        <v>0.1545</v>
      </c>
    </row>
    <row r="433" spans="2:6">
      <c r="B433" s="50" t="s">
        <v>21</v>
      </c>
      <c r="C433" s="50" t="s">
        <v>1226</v>
      </c>
      <c r="D433" s="50">
        <f>DATE(YEAR(OneWeekMtgRatesDataTable756[[#This Row],[asofdate]]),MONTH(OneWeekMtgRatesDataTable756[[#This Row],[asofdate]]),DAY(OneWeekMtgRatesDataTable756[[#This Row],[asofdate]]))</f>
        <v>41696</v>
      </c>
      <c r="E433" s="50" t="s">
        <v>11</v>
      </c>
      <c r="F433" s="57">
        <v>0.1545</v>
      </c>
    </row>
    <row r="434" spans="2:6">
      <c r="B434" s="50" t="s">
        <v>21</v>
      </c>
      <c r="C434" s="50" t="s">
        <v>1225</v>
      </c>
      <c r="D434" s="50">
        <f>DATE(YEAR(OneWeekMtgRatesDataTable756[[#This Row],[asofdate]]),MONTH(OneWeekMtgRatesDataTable756[[#This Row],[asofdate]]),DAY(OneWeekMtgRatesDataTable756[[#This Row],[asofdate]]))</f>
        <v>41695</v>
      </c>
      <c r="E434" s="50" t="s">
        <v>11</v>
      </c>
      <c r="F434" s="57">
        <v>0.1545</v>
      </c>
    </row>
    <row r="435" spans="2:6">
      <c r="B435" s="50" t="s">
        <v>21</v>
      </c>
      <c r="C435" s="50" t="s">
        <v>1224</v>
      </c>
      <c r="D435" s="50">
        <f>DATE(YEAR(OneWeekMtgRatesDataTable756[[#This Row],[asofdate]]),MONTH(OneWeekMtgRatesDataTable756[[#This Row],[asofdate]]),DAY(OneWeekMtgRatesDataTable756[[#This Row],[asofdate]]))</f>
        <v>41694</v>
      </c>
      <c r="E435" s="50" t="s">
        <v>11</v>
      </c>
      <c r="F435" s="57">
        <v>0.1545</v>
      </c>
    </row>
    <row r="436" spans="2:6">
      <c r="B436" s="50" t="s">
        <v>21</v>
      </c>
      <c r="C436" s="50" t="s">
        <v>1223</v>
      </c>
      <c r="D436" s="50">
        <f>DATE(YEAR(OneWeekMtgRatesDataTable756[[#This Row],[asofdate]]),MONTH(OneWeekMtgRatesDataTable756[[#This Row],[asofdate]]),DAY(OneWeekMtgRatesDataTable756[[#This Row],[asofdate]]))</f>
        <v>41691</v>
      </c>
      <c r="E436" s="50" t="s">
        <v>11</v>
      </c>
      <c r="F436" s="57">
        <v>0.1555</v>
      </c>
    </row>
    <row r="437" spans="2:6">
      <c r="B437" s="50" t="s">
        <v>21</v>
      </c>
      <c r="C437" s="50" t="s">
        <v>1222</v>
      </c>
      <c r="D437" s="50">
        <f>DATE(YEAR(OneWeekMtgRatesDataTable756[[#This Row],[asofdate]]),MONTH(OneWeekMtgRatesDataTable756[[#This Row],[asofdate]]),DAY(OneWeekMtgRatesDataTable756[[#This Row],[asofdate]]))</f>
        <v>41690</v>
      </c>
      <c r="E437" s="50" t="s">
        <v>11</v>
      </c>
      <c r="F437" s="57">
        <v>0.1555</v>
      </c>
    </row>
    <row r="438" spans="2:6">
      <c r="B438" s="50" t="s">
        <v>21</v>
      </c>
      <c r="C438" s="50" t="s">
        <v>1221</v>
      </c>
      <c r="D438" s="50">
        <f>DATE(YEAR(OneWeekMtgRatesDataTable756[[#This Row],[asofdate]]),MONTH(OneWeekMtgRatesDataTable756[[#This Row],[asofdate]]),DAY(OneWeekMtgRatesDataTable756[[#This Row],[asofdate]]))</f>
        <v>41689</v>
      </c>
      <c r="E438" s="50" t="s">
        <v>11</v>
      </c>
      <c r="F438" s="57">
        <v>0.1545</v>
      </c>
    </row>
    <row r="439" spans="2:6">
      <c r="B439" s="50" t="s">
        <v>21</v>
      </c>
      <c r="C439" s="50" t="s">
        <v>1220</v>
      </c>
      <c r="D439" s="50">
        <f>DATE(YEAR(OneWeekMtgRatesDataTable756[[#This Row],[asofdate]]),MONTH(OneWeekMtgRatesDataTable756[[#This Row],[asofdate]]),DAY(OneWeekMtgRatesDataTable756[[#This Row],[asofdate]]))</f>
        <v>41688</v>
      </c>
      <c r="E439" s="50" t="s">
        <v>11</v>
      </c>
      <c r="F439" s="57">
        <v>0.154</v>
      </c>
    </row>
    <row r="440" spans="2:6">
      <c r="B440" s="50" t="s">
        <v>21</v>
      </c>
      <c r="C440" s="50" t="s">
        <v>1219</v>
      </c>
      <c r="D440" s="50">
        <f>DATE(YEAR(OneWeekMtgRatesDataTable756[[#This Row],[asofdate]]),MONTH(OneWeekMtgRatesDataTable756[[#This Row],[asofdate]]),DAY(OneWeekMtgRatesDataTable756[[#This Row],[asofdate]]))</f>
        <v>41684</v>
      </c>
      <c r="E440" s="50" t="s">
        <v>11</v>
      </c>
      <c r="F440" s="57">
        <v>0.1545</v>
      </c>
    </row>
    <row r="441" spans="2:6">
      <c r="B441" s="50" t="s">
        <v>21</v>
      </c>
      <c r="C441" s="50" t="s">
        <v>1218</v>
      </c>
      <c r="D441" s="50">
        <f>DATE(YEAR(OneWeekMtgRatesDataTable756[[#This Row],[asofdate]]),MONTH(OneWeekMtgRatesDataTable756[[#This Row],[asofdate]]),DAY(OneWeekMtgRatesDataTable756[[#This Row],[asofdate]]))</f>
        <v>41683</v>
      </c>
      <c r="E441" s="50" t="s">
        <v>11</v>
      </c>
      <c r="F441" s="57">
        <v>0.1545</v>
      </c>
    </row>
    <row r="442" spans="2:6">
      <c r="B442" s="50" t="s">
        <v>21</v>
      </c>
      <c r="C442" s="50" t="s">
        <v>1217</v>
      </c>
      <c r="D442" s="50">
        <f>DATE(YEAR(OneWeekMtgRatesDataTable756[[#This Row],[asofdate]]),MONTH(OneWeekMtgRatesDataTable756[[#This Row],[asofdate]]),DAY(OneWeekMtgRatesDataTable756[[#This Row],[asofdate]]))</f>
        <v>41682</v>
      </c>
      <c r="E442" s="50" t="s">
        <v>11</v>
      </c>
      <c r="F442" s="57">
        <v>0.1535</v>
      </c>
    </row>
    <row r="443" spans="2:6">
      <c r="B443" s="50" t="s">
        <v>21</v>
      </c>
      <c r="C443" s="50" t="s">
        <v>1216</v>
      </c>
      <c r="D443" s="50">
        <f>DATE(YEAR(OneWeekMtgRatesDataTable756[[#This Row],[asofdate]]),MONTH(OneWeekMtgRatesDataTable756[[#This Row],[asofdate]]),DAY(OneWeekMtgRatesDataTable756[[#This Row],[asofdate]]))</f>
        <v>41681</v>
      </c>
      <c r="E443" s="50" t="s">
        <v>11</v>
      </c>
      <c r="F443" s="57">
        <v>0.15425</v>
      </c>
    </row>
    <row r="444" spans="2:6">
      <c r="B444" s="50" t="s">
        <v>21</v>
      </c>
      <c r="C444" s="50" t="s">
        <v>1215</v>
      </c>
      <c r="D444" s="50">
        <f>DATE(YEAR(OneWeekMtgRatesDataTable756[[#This Row],[asofdate]]),MONTH(OneWeekMtgRatesDataTable756[[#This Row],[asofdate]]),DAY(OneWeekMtgRatesDataTable756[[#This Row],[asofdate]]))</f>
        <v>41680</v>
      </c>
      <c r="E444" s="50" t="s">
        <v>11</v>
      </c>
      <c r="F444" s="57">
        <v>0.15475</v>
      </c>
    </row>
    <row r="445" spans="2:6">
      <c r="B445" s="50" t="s">
        <v>21</v>
      </c>
      <c r="C445" s="50" t="s">
        <v>1214</v>
      </c>
      <c r="D445" s="50">
        <f>DATE(YEAR(OneWeekMtgRatesDataTable756[[#This Row],[asofdate]]),MONTH(OneWeekMtgRatesDataTable756[[#This Row],[asofdate]]),DAY(OneWeekMtgRatesDataTable756[[#This Row],[asofdate]]))</f>
        <v>41677</v>
      </c>
      <c r="E445" s="50" t="s">
        <v>11</v>
      </c>
      <c r="F445" s="57">
        <v>0.1555</v>
      </c>
    </row>
    <row r="446" spans="2:6">
      <c r="B446" s="50" t="s">
        <v>21</v>
      </c>
      <c r="C446" s="50" t="s">
        <v>1213</v>
      </c>
      <c r="D446" s="50">
        <f>DATE(YEAR(OneWeekMtgRatesDataTable756[[#This Row],[asofdate]]),MONTH(OneWeekMtgRatesDataTable756[[#This Row],[asofdate]]),DAY(OneWeekMtgRatesDataTable756[[#This Row],[asofdate]]))</f>
        <v>41676</v>
      </c>
      <c r="E446" s="50" t="s">
        <v>11</v>
      </c>
      <c r="F446" s="57">
        <v>0.1565</v>
      </c>
    </row>
    <row r="447" spans="2:6">
      <c r="B447" s="50" t="s">
        <v>21</v>
      </c>
      <c r="C447" s="50" t="s">
        <v>1212</v>
      </c>
      <c r="D447" s="50">
        <f>DATE(YEAR(OneWeekMtgRatesDataTable756[[#This Row],[asofdate]]),MONTH(OneWeekMtgRatesDataTable756[[#This Row],[asofdate]]),DAY(OneWeekMtgRatesDataTable756[[#This Row],[asofdate]]))</f>
        <v>41675</v>
      </c>
      <c r="E447" s="50" t="s">
        <v>11</v>
      </c>
      <c r="F447" s="57">
        <v>0.1575</v>
      </c>
    </row>
    <row r="448" spans="2:6">
      <c r="B448" s="50" t="s">
        <v>21</v>
      </c>
      <c r="C448" s="50" t="s">
        <v>1211</v>
      </c>
      <c r="D448" s="50">
        <f>DATE(YEAR(OneWeekMtgRatesDataTable756[[#This Row],[asofdate]]),MONTH(OneWeekMtgRatesDataTable756[[#This Row],[asofdate]]),DAY(OneWeekMtgRatesDataTable756[[#This Row],[asofdate]]))</f>
        <v>41674</v>
      </c>
      <c r="E448" s="50" t="s">
        <v>11</v>
      </c>
      <c r="F448" s="57">
        <v>0.1575</v>
      </c>
    </row>
    <row r="449" spans="2:6">
      <c r="B449" s="50" t="s">
        <v>21</v>
      </c>
      <c r="C449" s="50" t="s">
        <v>1210</v>
      </c>
      <c r="D449" s="50">
        <f>DATE(YEAR(OneWeekMtgRatesDataTable756[[#This Row],[asofdate]]),MONTH(OneWeekMtgRatesDataTable756[[#This Row],[asofdate]]),DAY(OneWeekMtgRatesDataTable756[[#This Row],[asofdate]]))</f>
        <v>41673</v>
      </c>
      <c r="E449" s="50" t="s">
        <v>11</v>
      </c>
      <c r="F449" s="57">
        <v>0.15709999999999999</v>
      </c>
    </row>
    <row r="450" spans="2:6">
      <c r="B450" s="50" t="s">
        <v>21</v>
      </c>
      <c r="C450" s="50" t="s">
        <v>1209</v>
      </c>
      <c r="D450" s="50">
        <f>DATE(YEAR(OneWeekMtgRatesDataTable756[[#This Row],[asofdate]]),MONTH(OneWeekMtgRatesDataTable756[[#This Row],[asofdate]]),DAY(OneWeekMtgRatesDataTable756[[#This Row],[asofdate]]))</f>
        <v>41670</v>
      </c>
      <c r="E450" s="50" t="s">
        <v>11</v>
      </c>
      <c r="F450" s="57">
        <v>0.1565</v>
      </c>
    </row>
    <row r="451" spans="2:6">
      <c r="B451" s="50" t="s">
        <v>21</v>
      </c>
      <c r="C451" s="50" t="s">
        <v>1208</v>
      </c>
      <c r="D451" s="50">
        <f>DATE(YEAR(OneWeekMtgRatesDataTable756[[#This Row],[asofdate]]),MONTH(OneWeekMtgRatesDataTable756[[#This Row],[asofdate]]),DAY(OneWeekMtgRatesDataTable756[[#This Row],[asofdate]]))</f>
        <v>41669</v>
      </c>
      <c r="E451" s="50" t="s">
        <v>11</v>
      </c>
      <c r="F451" s="57">
        <v>0.1585</v>
      </c>
    </row>
    <row r="452" spans="2:6">
      <c r="B452" s="50" t="s">
        <v>21</v>
      </c>
      <c r="C452" s="50" t="s">
        <v>1207</v>
      </c>
      <c r="D452" s="50">
        <f>DATE(YEAR(OneWeekMtgRatesDataTable756[[#This Row],[asofdate]]),MONTH(OneWeekMtgRatesDataTable756[[#This Row],[asofdate]]),DAY(OneWeekMtgRatesDataTable756[[#This Row],[asofdate]]))</f>
        <v>41668</v>
      </c>
      <c r="E452" s="50" t="s">
        <v>11</v>
      </c>
      <c r="F452" s="57">
        <v>0.1595</v>
      </c>
    </row>
    <row r="453" spans="2:6">
      <c r="B453" s="50" t="s">
        <v>21</v>
      </c>
      <c r="C453" s="50" t="s">
        <v>1206</v>
      </c>
      <c r="D453" s="50">
        <f>DATE(YEAR(OneWeekMtgRatesDataTable756[[#This Row],[asofdate]]),MONTH(OneWeekMtgRatesDataTable756[[#This Row],[asofdate]]),DAY(OneWeekMtgRatesDataTable756[[#This Row],[asofdate]]))</f>
        <v>41667</v>
      </c>
      <c r="E453" s="50" t="s">
        <v>11</v>
      </c>
      <c r="F453" s="57">
        <v>0.159</v>
      </c>
    </row>
    <row r="454" spans="2:6">
      <c r="B454" s="50" t="s">
        <v>21</v>
      </c>
      <c r="C454" s="50" t="s">
        <v>1205</v>
      </c>
      <c r="D454" s="50">
        <f>DATE(YEAR(OneWeekMtgRatesDataTable756[[#This Row],[asofdate]]),MONTH(OneWeekMtgRatesDataTable756[[#This Row],[asofdate]]),DAY(OneWeekMtgRatesDataTable756[[#This Row],[asofdate]]))</f>
        <v>41666</v>
      </c>
      <c r="E454" s="50" t="s">
        <v>11</v>
      </c>
      <c r="F454" s="57">
        <v>0.1585</v>
      </c>
    </row>
    <row r="455" spans="2:6">
      <c r="B455" s="50" t="s">
        <v>21</v>
      </c>
      <c r="C455" s="50" t="s">
        <v>1204</v>
      </c>
      <c r="D455" s="50">
        <f>DATE(YEAR(OneWeekMtgRatesDataTable756[[#This Row],[asofdate]]),MONTH(OneWeekMtgRatesDataTable756[[#This Row],[asofdate]]),DAY(OneWeekMtgRatesDataTable756[[#This Row],[asofdate]]))</f>
        <v>41663</v>
      </c>
      <c r="E455" s="50" t="s">
        <v>11</v>
      </c>
      <c r="F455" s="57">
        <v>0.16120000000000001</v>
      </c>
    </row>
    <row r="456" spans="2:6">
      <c r="B456" s="50" t="s">
        <v>21</v>
      </c>
      <c r="C456" s="50" t="s">
        <v>1203</v>
      </c>
      <c r="D456" s="50">
        <f>DATE(YEAR(OneWeekMtgRatesDataTable756[[#This Row],[asofdate]]),MONTH(OneWeekMtgRatesDataTable756[[#This Row],[asofdate]]),DAY(OneWeekMtgRatesDataTable756[[#This Row],[asofdate]]))</f>
        <v>41662</v>
      </c>
      <c r="E456" s="50" t="s">
        <v>11</v>
      </c>
      <c r="F456" s="57">
        <v>0.158</v>
      </c>
    </row>
    <row r="457" spans="2:6">
      <c r="B457" s="50" t="s">
        <v>21</v>
      </c>
      <c r="C457" s="50" t="s">
        <v>1202</v>
      </c>
      <c r="D457" s="50">
        <f>DATE(YEAR(OneWeekMtgRatesDataTable756[[#This Row],[asofdate]]),MONTH(OneWeekMtgRatesDataTable756[[#This Row],[asofdate]]),DAY(OneWeekMtgRatesDataTable756[[#This Row],[asofdate]]))</f>
        <v>41661</v>
      </c>
      <c r="E457" s="50" t="s">
        <v>11</v>
      </c>
      <c r="F457" s="57">
        <v>0.158</v>
      </c>
    </row>
    <row r="458" spans="2:6">
      <c r="B458" s="50" t="s">
        <v>21</v>
      </c>
      <c r="C458" s="50" t="s">
        <v>1201</v>
      </c>
      <c r="D458" s="50">
        <f>DATE(YEAR(OneWeekMtgRatesDataTable756[[#This Row],[asofdate]]),MONTH(OneWeekMtgRatesDataTable756[[#This Row],[asofdate]]),DAY(OneWeekMtgRatesDataTable756[[#This Row],[asofdate]]))</f>
        <v>41660</v>
      </c>
      <c r="E458" s="50" t="s">
        <v>11</v>
      </c>
      <c r="F458" s="57">
        <v>0.157</v>
      </c>
    </row>
    <row r="459" spans="2:6">
      <c r="B459" s="50" t="s">
        <v>21</v>
      </c>
      <c r="C459" s="50" t="s">
        <v>1200</v>
      </c>
      <c r="D459" s="50">
        <f>DATE(YEAR(OneWeekMtgRatesDataTable756[[#This Row],[asofdate]]),MONTH(OneWeekMtgRatesDataTable756[[#This Row],[asofdate]]),DAY(OneWeekMtgRatesDataTable756[[#This Row],[asofdate]]))</f>
        <v>41656</v>
      </c>
      <c r="E459" s="50" t="s">
        <v>11</v>
      </c>
      <c r="F459" s="57">
        <v>0.157</v>
      </c>
    </row>
    <row r="460" spans="2:6">
      <c r="B460" s="50" t="s">
        <v>21</v>
      </c>
      <c r="C460" s="50" t="s">
        <v>1199</v>
      </c>
      <c r="D460" s="50">
        <f>DATE(YEAR(OneWeekMtgRatesDataTable756[[#This Row],[asofdate]]),MONTH(OneWeekMtgRatesDataTable756[[#This Row],[asofdate]]),DAY(OneWeekMtgRatesDataTable756[[#This Row],[asofdate]]))</f>
        <v>41655</v>
      </c>
      <c r="E460" s="50" t="s">
        <v>11</v>
      </c>
      <c r="F460" s="57">
        <v>0.157</v>
      </c>
    </row>
    <row r="461" spans="2:6">
      <c r="B461" s="50" t="s">
        <v>21</v>
      </c>
      <c r="C461" s="50" t="s">
        <v>1198</v>
      </c>
      <c r="D461" s="50">
        <f>DATE(YEAR(OneWeekMtgRatesDataTable756[[#This Row],[asofdate]]),MONTH(OneWeekMtgRatesDataTable756[[#This Row],[asofdate]]),DAY(OneWeekMtgRatesDataTable756[[#This Row],[asofdate]]))</f>
        <v>41654</v>
      </c>
      <c r="E461" s="50" t="s">
        <v>11</v>
      </c>
      <c r="F461" s="57">
        <v>0.15870000000000001</v>
      </c>
    </row>
    <row r="462" spans="2:6">
      <c r="B462" s="50" t="s">
        <v>21</v>
      </c>
      <c r="C462" s="50" t="s">
        <v>1197</v>
      </c>
      <c r="D462" s="50">
        <f>DATE(YEAR(OneWeekMtgRatesDataTable756[[#This Row],[asofdate]]),MONTH(OneWeekMtgRatesDataTable756[[#This Row],[asofdate]]),DAY(OneWeekMtgRatesDataTable756[[#This Row],[asofdate]]))</f>
        <v>41653</v>
      </c>
      <c r="E462" s="50" t="s">
        <v>11</v>
      </c>
      <c r="F462" s="57">
        <v>0.159</v>
      </c>
    </row>
    <row r="463" spans="2:6">
      <c r="B463" s="50" t="s">
        <v>21</v>
      </c>
      <c r="C463" s="50" t="s">
        <v>1196</v>
      </c>
      <c r="D463" s="50">
        <f>DATE(YEAR(OneWeekMtgRatesDataTable756[[#This Row],[asofdate]]),MONTH(OneWeekMtgRatesDataTable756[[#This Row],[asofdate]]),DAY(OneWeekMtgRatesDataTable756[[#This Row],[asofdate]]))</f>
        <v>41652</v>
      </c>
      <c r="E463" s="50" t="s">
        <v>11</v>
      </c>
      <c r="F463" s="57">
        <v>0.16</v>
      </c>
    </row>
    <row r="464" spans="2:6">
      <c r="B464" s="50" t="s">
        <v>21</v>
      </c>
      <c r="C464" s="50" t="s">
        <v>1195</v>
      </c>
      <c r="D464" s="50">
        <f>DATE(YEAR(OneWeekMtgRatesDataTable756[[#This Row],[asofdate]]),MONTH(OneWeekMtgRatesDataTable756[[#This Row],[asofdate]]),DAY(OneWeekMtgRatesDataTable756[[#This Row],[asofdate]]))</f>
        <v>41649</v>
      </c>
      <c r="E464" s="50" t="s">
        <v>11</v>
      </c>
      <c r="F464" s="57">
        <v>0.16039999999999999</v>
      </c>
    </row>
    <row r="465" spans="2:6">
      <c r="B465" s="50" t="s">
        <v>21</v>
      </c>
      <c r="C465" s="50" t="s">
        <v>1194</v>
      </c>
      <c r="D465" s="50">
        <f>DATE(YEAR(OneWeekMtgRatesDataTable756[[#This Row],[asofdate]]),MONTH(OneWeekMtgRatesDataTable756[[#This Row],[asofdate]]),DAY(OneWeekMtgRatesDataTable756[[#This Row],[asofdate]]))</f>
        <v>41648</v>
      </c>
      <c r="E465" s="50" t="s">
        <v>11</v>
      </c>
      <c r="F465" s="57">
        <v>0.1603</v>
      </c>
    </row>
    <row r="466" spans="2:6">
      <c r="B466" s="50" t="s">
        <v>21</v>
      </c>
      <c r="C466" s="50" t="s">
        <v>1193</v>
      </c>
      <c r="D466" s="50">
        <f>DATE(YEAR(OneWeekMtgRatesDataTable756[[#This Row],[asofdate]]),MONTH(OneWeekMtgRatesDataTable756[[#This Row],[asofdate]]),DAY(OneWeekMtgRatesDataTable756[[#This Row],[asofdate]]))</f>
        <v>41647</v>
      </c>
      <c r="E466" s="50" t="s">
        <v>11</v>
      </c>
      <c r="F466" s="57">
        <v>0.161</v>
      </c>
    </row>
    <row r="467" spans="2:6">
      <c r="B467" s="50" t="s">
        <v>21</v>
      </c>
      <c r="C467" s="50" t="s">
        <v>1192</v>
      </c>
      <c r="D467" s="50">
        <f>DATE(YEAR(OneWeekMtgRatesDataTable756[[#This Row],[asofdate]]),MONTH(OneWeekMtgRatesDataTable756[[#This Row],[asofdate]]),DAY(OneWeekMtgRatesDataTable756[[#This Row],[asofdate]]))</f>
        <v>41646</v>
      </c>
      <c r="E467" s="50" t="s">
        <v>11</v>
      </c>
      <c r="F467" s="57">
        <v>0.1615</v>
      </c>
    </row>
    <row r="468" spans="2:6">
      <c r="B468" s="50" t="s">
        <v>21</v>
      </c>
      <c r="C468" s="50" t="s">
        <v>1191</v>
      </c>
      <c r="D468" s="50">
        <f>DATE(YEAR(OneWeekMtgRatesDataTable756[[#This Row],[asofdate]]),MONTH(OneWeekMtgRatesDataTable756[[#This Row],[asofdate]]),DAY(OneWeekMtgRatesDataTable756[[#This Row],[asofdate]]))</f>
        <v>41645</v>
      </c>
      <c r="E468" s="50" t="s">
        <v>11</v>
      </c>
      <c r="F468" s="57">
        <v>0.16250000000000001</v>
      </c>
    </row>
    <row r="469" spans="2:6">
      <c r="B469" s="50" t="s">
        <v>21</v>
      </c>
      <c r="C469" s="50" t="s">
        <v>1190</v>
      </c>
      <c r="D469" s="50">
        <f>DATE(YEAR(OneWeekMtgRatesDataTable756[[#This Row],[asofdate]]),MONTH(OneWeekMtgRatesDataTable756[[#This Row],[asofdate]]),DAY(OneWeekMtgRatesDataTable756[[#This Row],[asofdate]]))</f>
        <v>41642</v>
      </c>
      <c r="E469" s="50" t="s">
        <v>11</v>
      </c>
      <c r="F469" s="57">
        <v>0.16470000000000001</v>
      </c>
    </row>
    <row r="470" spans="2:6">
      <c r="B470" s="50" t="s">
        <v>21</v>
      </c>
      <c r="C470" s="50" t="s">
        <v>1189</v>
      </c>
      <c r="D470" s="50">
        <f>DATE(YEAR(OneWeekMtgRatesDataTable756[[#This Row],[asofdate]]),MONTH(OneWeekMtgRatesDataTable756[[#This Row],[asofdate]]),DAY(OneWeekMtgRatesDataTable756[[#This Row],[asofdate]]))</f>
        <v>41641</v>
      </c>
      <c r="E470" s="50" t="s">
        <v>11</v>
      </c>
      <c r="F470" s="57">
        <v>0.16830000000000001</v>
      </c>
    </row>
    <row r="471" spans="2:6">
      <c r="B471" s="50" t="s">
        <v>21</v>
      </c>
      <c r="C471" s="50" t="s">
        <v>1187</v>
      </c>
      <c r="D471" s="50">
        <f>DATE(YEAR(OneWeekMtgRatesDataTable756[[#This Row],[asofdate]]),MONTH(OneWeekMtgRatesDataTable756[[#This Row],[asofdate]]),DAY(OneWeekMtgRatesDataTable756[[#This Row],[asofdate]]))</f>
        <v>41638</v>
      </c>
      <c r="E471" s="50" t="s">
        <v>11</v>
      </c>
      <c r="F471" s="57">
        <v>0.17019999999999999</v>
      </c>
    </row>
    <row r="472" spans="2:6">
      <c r="B472" s="50" t="s">
        <v>21</v>
      </c>
      <c r="C472" s="50" t="s">
        <v>1186</v>
      </c>
      <c r="D472" s="50">
        <f>DATE(YEAR(OneWeekMtgRatesDataTable756[[#This Row],[asofdate]]),MONTH(OneWeekMtgRatesDataTable756[[#This Row],[asofdate]]),DAY(OneWeekMtgRatesDataTable756[[#This Row],[asofdate]]))</f>
        <v>41635</v>
      </c>
      <c r="E472" s="50" t="s">
        <v>11</v>
      </c>
      <c r="F472" s="57">
        <v>0.16900000000000001</v>
      </c>
    </row>
    <row r="473" spans="2:6">
      <c r="B473" s="50" t="s">
        <v>21</v>
      </c>
      <c r="C473" s="50" t="s">
        <v>1185</v>
      </c>
      <c r="D473" s="50">
        <f>DATE(YEAR(OneWeekMtgRatesDataTable756[[#This Row],[asofdate]]),MONTH(OneWeekMtgRatesDataTable756[[#This Row],[asofdate]]),DAY(OneWeekMtgRatesDataTable756[[#This Row],[asofdate]]))</f>
        <v>41634</v>
      </c>
      <c r="E473" s="50" t="s">
        <v>11</v>
      </c>
      <c r="F473" s="57">
        <v>0.16700000000000001</v>
      </c>
    </row>
    <row r="474" spans="2:6">
      <c r="B474" s="50" t="s">
        <v>21</v>
      </c>
      <c r="C474" s="50" t="s">
        <v>1184</v>
      </c>
      <c r="D474" s="50">
        <f>DATE(YEAR(OneWeekMtgRatesDataTable756[[#This Row],[asofdate]]),MONTH(OneWeekMtgRatesDataTable756[[#This Row],[asofdate]]),DAY(OneWeekMtgRatesDataTable756[[#This Row],[asofdate]]))</f>
        <v>41632</v>
      </c>
      <c r="E474" s="50" t="s">
        <v>11</v>
      </c>
      <c r="F474" s="57">
        <v>0.16700000000000001</v>
      </c>
    </row>
    <row r="475" spans="2:6">
      <c r="B475" s="50" t="s">
        <v>21</v>
      </c>
      <c r="C475" s="50" t="s">
        <v>1183</v>
      </c>
      <c r="D475" s="50">
        <f>DATE(YEAR(OneWeekMtgRatesDataTable756[[#This Row],[asofdate]]),MONTH(OneWeekMtgRatesDataTable756[[#This Row],[asofdate]]),DAY(OneWeekMtgRatesDataTable756[[#This Row],[asofdate]]))</f>
        <v>41631</v>
      </c>
      <c r="E475" s="50" t="s">
        <v>11</v>
      </c>
      <c r="F475" s="57">
        <v>0.1646</v>
      </c>
    </row>
    <row r="476" spans="2:6">
      <c r="B476" s="50" t="s">
        <v>21</v>
      </c>
      <c r="C476" s="50" t="s">
        <v>1182</v>
      </c>
      <c r="D476" s="50">
        <f>DATE(YEAR(OneWeekMtgRatesDataTable756[[#This Row],[asofdate]]),MONTH(OneWeekMtgRatesDataTable756[[#This Row],[asofdate]]),DAY(OneWeekMtgRatesDataTable756[[#This Row],[asofdate]]))</f>
        <v>41628</v>
      </c>
      <c r="E476" s="50" t="s">
        <v>11</v>
      </c>
      <c r="F476" s="57">
        <v>0.16400000000000001</v>
      </c>
    </row>
    <row r="477" spans="2:6">
      <c r="B477" s="50" t="s">
        <v>21</v>
      </c>
      <c r="C477" s="50" t="s">
        <v>1181</v>
      </c>
      <c r="D477" s="50">
        <f>DATE(YEAR(OneWeekMtgRatesDataTable756[[#This Row],[asofdate]]),MONTH(OneWeekMtgRatesDataTable756[[#This Row],[asofdate]]),DAY(OneWeekMtgRatesDataTable756[[#This Row],[asofdate]]))</f>
        <v>41627</v>
      </c>
      <c r="E477" s="50" t="s">
        <v>11</v>
      </c>
      <c r="F477" s="57">
        <v>0.16450000000000001</v>
      </c>
    </row>
    <row r="478" spans="2:6">
      <c r="B478" s="50" t="s">
        <v>21</v>
      </c>
      <c r="C478" s="50" t="s">
        <v>1180</v>
      </c>
      <c r="D478" s="50">
        <f>DATE(YEAR(OneWeekMtgRatesDataTable756[[#This Row],[asofdate]]),MONTH(OneWeekMtgRatesDataTable756[[#This Row],[asofdate]]),DAY(OneWeekMtgRatesDataTable756[[#This Row],[asofdate]]))</f>
        <v>41626</v>
      </c>
      <c r="E478" s="50" t="s">
        <v>11</v>
      </c>
      <c r="F478" s="57">
        <v>0.1668</v>
      </c>
    </row>
    <row r="479" spans="2:6">
      <c r="B479" s="50" t="s">
        <v>21</v>
      </c>
      <c r="C479" s="50" t="s">
        <v>1179</v>
      </c>
      <c r="D479" s="50">
        <f>DATE(YEAR(OneWeekMtgRatesDataTable756[[#This Row],[asofdate]]),MONTH(OneWeekMtgRatesDataTable756[[#This Row],[asofdate]]),DAY(OneWeekMtgRatesDataTable756[[#This Row],[asofdate]]))</f>
        <v>41625</v>
      </c>
      <c r="E479" s="50" t="s">
        <v>11</v>
      </c>
      <c r="F479" s="57">
        <v>0.1663</v>
      </c>
    </row>
    <row r="480" spans="2:6">
      <c r="B480" s="50" t="s">
        <v>21</v>
      </c>
      <c r="C480" s="50" t="s">
        <v>1178</v>
      </c>
      <c r="D480" s="50">
        <f>DATE(YEAR(OneWeekMtgRatesDataTable756[[#This Row],[asofdate]]),MONTH(OneWeekMtgRatesDataTable756[[#This Row],[asofdate]]),DAY(OneWeekMtgRatesDataTable756[[#This Row],[asofdate]]))</f>
        <v>41624</v>
      </c>
      <c r="E480" s="50" t="s">
        <v>11</v>
      </c>
      <c r="F480" s="57">
        <v>0.16500000000000001</v>
      </c>
    </row>
    <row r="481" spans="2:6">
      <c r="B481" s="50" t="s">
        <v>21</v>
      </c>
      <c r="C481" s="50" t="s">
        <v>1177</v>
      </c>
      <c r="D481" s="50">
        <f>DATE(YEAR(OneWeekMtgRatesDataTable756[[#This Row],[asofdate]]),MONTH(OneWeekMtgRatesDataTable756[[#This Row],[asofdate]]),DAY(OneWeekMtgRatesDataTable756[[#This Row],[asofdate]]))</f>
        <v>41621</v>
      </c>
      <c r="E481" s="50" t="s">
        <v>11</v>
      </c>
      <c r="F481" s="57">
        <v>0.16400000000000001</v>
      </c>
    </row>
    <row r="482" spans="2:6">
      <c r="B482" s="50" t="s">
        <v>21</v>
      </c>
      <c r="C482" s="50" t="s">
        <v>1176</v>
      </c>
      <c r="D482" s="50">
        <f>DATE(YEAR(OneWeekMtgRatesDataTable756[[#This Row],[asofdate]]),MONTH(OneWeekMtgRatesDataTable756[[#This Row],[asofdate]]),DAY(OneWeekMtgRatesDataTable756[[#This Row],[asofdate]]))</f>
        <v>41620</v>
      </c>
      <c r="E482" s="50" t="s">
        <v>11</v>
      </c>
      <c r="F482" s="57">
        <v>0.1666</v>
      </c>
    </row>
    <row r="483" spans="2:6">
      <c r="B483" s="50" t="s">
        <v>21</v>
      </c>
      <c r="C483" s="50" t="s">
        <v>1175</v>
      </c>
      <c r="D483" s="50">
        <f>DATE(YEAR(OneWeekMtgRatesDataTable756[[#This Row],[asofdate]]),MONTH(OneWeekMtgRatesDataTable756[[#This Row],[asofdate]]),DAY(OneWeekMtgRatesDataTable756[[#This Row],[asofdate]]))</f>
        <v>41619</v>
      </c>
      <c r="E483" s="50" t="s">
        <v>11</v>
      </c>
      <c r="F483" s="57">
        <v>0.16735</v>
      </c>
    </row>
    <row r="484" spans="2:6">
      <c r="B484" s="50" t="s">
        <v>21</v>
      </c>
      <c r="C484" s="50" t="s">
        <v>1174</v>
      </c>
      <c r="D484" s="50">
        <f>DATE(YEAR(OneWeekMtgRatesDataTable756[[#This Row],[asofdate]]),MONTH(OneWeekMtgRatesDataTable756[[#This Row],[asofdate]]),DAY(OneWeekMtgRatesDataTable756[[#This Row],[asofdate]]))</f>
        <v>41618</v>
      </c>
      <c r="E484" s="50" t="s">
        <v>11</v>
      </c>
      <c r="F484" s="57">
        <v>0.16935</v>
      </c>
    </row>
    <row r="485" spans="2:6">
      <c r="B485" s="50" t="s">
        <v>21</v>
      </c>
      <c r="C485" s="50" t="s">
        <v>1173</v>
      </c>
      <c r="D485" s="50">
        <f>DATE(YEAR(OneWeekMtgRatesDataTable756[[#This Row],[asofdate]]),MONTH(OneWeekMtgRatesDataTable756[[#This Row],[asofdate]]),DAY(OneWeekMtgRatesDataTable756[[#This Row],[asofdate]]))</f>
        <v>41617</v>
      </c>
      <c r="E485" s="50" t="s">
        <v>11</v>
      </c>
      <c r="F485" s="57">
        <v>0.1706</v>
      </c>
    </row>
    <row r="486" spans="2:6">
      <c r="B486" s="50" t="s">
        <v>21</v>
      </c>
      <c r="C486" s="50" t="s">
        <v>1172</v>
      </c>
      <c r="D486" s="50">
        <f>DATE(YEAR(OneWeekMtgRatesDataTable756[[#This Row],[asofdate]]),MONTH(OneWeekMtgRatesDataTable756[[#This Row],[asofdate]]),DAY(OneWeekMtgRatesDataTable756[[#This Row],[asofdate]]))</f>
        <v>41614</v>
      </c>
      <c r="E486" s="50" t="s">
        <v>11</v>
      </c>
      <c r="F486" s="57">
        <v>0.16950000000000001</v>
      </c>
    </row>
    <row r="487" spans="2:6">
      <c r="B487" s="50" t="s">
        <v>21</v>
      </c>
      <c r="C487" s="50" t="s">
        <v>1171</v>
      </c>
      <c r="D487" s="50">
        <f>DATE(YEAR(OneWeekMtgRatesDataTable756[[#This Row],[asofdate]]),MONTH(OneWeekMtgRatesDataTable756[[#This Row],[asofdate]]),DAY(OneWeekMtgRatesDataTable756[[#This Row],[asofdate]]))</f>
        <v>41613</v>
      </c>
      <c r="E487" s="50" t="s">
        <v>11</v>
      </c>
      <c r="F487" s="57">
        <v>0.16785</v>
      </c>
    </row>
    <row r="488" spans="2:6">
      <c r="B488" s="50" t="s">
        <v>21</v>
      </c>
      <c r="C488" s="50" t="s">
        <v>1170</v>
      </c>
      <c r="D488" s="50">
        <f>DATE(YEAR(OneWeekMtgRatesDataTable756[[#This Row],[asofdate]]),MONTH(OneWeekMtgRatesDataTable756[[#This Row],[asofdate]]),DAY(OneWeekMtgRatesDataTable756[[#This Row],[asofdate]]))</f>
        <v>41612</v>
      </c>
      <c r="E488" s="50" t="s">
        <v>11</v>
      </c>
      <c r="F488" s="57">
        <v>0.16850000000000001</v>
      </c>
    </row>
    <row r="489" spans="2:6">
      <c r="B489" s="50" t="s">
        <v>21</v>
      </c>
      <c r="C489" s="50" t="s">
        <v>1169</v>
      </c>
      <c r="D489" s="50">
        <f>DATE(YEAR(OneWeekMtgRatesDataTable756[[#This Row],[asofdate]]),MONTH(OneWeekMtgRatesDataTable756[[#This Row],[asofdate]]),DAY(OneWeekMtgRatesDataTable756[[#This Row],[asofdate]]))</f>
        <v>41611</v>
      </c>
      <c r="E489" s="50" t="s">
        <v>11</v>
      </c>
      <c r="F489" s="57">
        <v>0.16750000000000001</v>
      </c>
    </row>
    <row r="490" spans="2:6">
      <c r="B490" s="50" t="s">
        <v>21</v>
      </c>
      <c r="C490" s="50" t="s">
        <v>1168</v>
      </c>
      <c r="D490" s="50">
        <f>DATE(YEAR(OneWeekMtgRatesDataTable756[[#This Row],[asofdate]]),MONTH(OneWeekMtgRatesDataTable756[[#This Row],[asofdate]]),DAY(OneWeekMtgRatesDataTable756[[#This Row],[asofdate]]))</f>
        <v>41610</v>
      </c>
      <c r="E490" s="50" t="s">
        <v>11</v>
      </c>
      <c r="F490" s="57">
        <v>0.16825000000000001</v>
      </c>
    </row>
    <row r="491" spans="2:6">
      <c r="B491" s="50" t="s">
        <v>21</v>
      </c>
      <c r="C491" s="50" t="s">
        <v>1167</v>
      </c>
      <c r="D491" s="50">
        <f>DATE(YEAR(OneWeekMtgRatesDataTable756[[#This Row],[asofdate]]),MONTH(OneWeekMtgRatesDataTable756[[#This Row],[asofdate]]),DAY(OneWeekMtgRatesDataTable756[[#This Row],[asofdate]]))</f>
        <v>41607</v>
      </c>
      <c r="E491" s="50" t="s">
        <v>11</v>
      </c>
      <c r="F491" s="57">
        <v>0.16825000000000001</v>
      </c>
    </row>
    <row r="492" spans="2:6">
      <c r="B492" s="50" t="s">
        <v>21</v>
      </c>
      <c r="C492" s="50" t="s">
        <v>1166</v>
      </c>
      <c r="D492" s="50">
        <f>DATE(YEAR(OneWeekMtgRatesDataTable756[[#This Row],[asofdate]]),MONTH(OneWeekMtgRatesDataTable756[[#This Row],[asofdate]]),DAY(OneWeekMtgRatesDataTable756[[#This Row],[asofdate]]))</f>
        <v>41605</v>
      </c>
      <c r="E492" s="50" t="s">
        <v>11</v>
      </c>
      <c r="F492" s="57">
        <v>0.16500000000000001</v>
      </c>
    </row>
    <row r="493" spans="2:6">
      <c r="B493" s="50" t="s">
        <v>21</v>
      </c>
      <c r="C493" s="50" t="s">
        <v>1165</v>
      </c>
      <c r="D493" s="50">
        <f>DATE(YEAR(OneWeekMtgRatesDataTable756[[#This Row],[asofdate]]),MONTH(OneWeekMtgRatesDataTable756[[#This Row],[asofdate]]),DAY(OneWeekMtgRatesDataTable756[[#This Row],[asofdate]]))</f>
        <v>41604</v>
      </c>
      <c r="E493" s="50" t="s">
        <v>11</v>
      </c>
      <c r="F493" s="57">
        <v>0.16400000000000001</v>
      </c>
    </row>
    <row r="494" spans="2:6">
      <c r="B494" s="50" t="s">
        <v>21</v>
      </c>
      <c r="C494" s="50" t="s">
        <v>1164</v>
      </c>
      <c r="D494" s="50">
        <f>DATE(YEAR(OneWeekMtgRatesDataTable756[[#This Row],[asofdate]]),MONTH(OneWeekMtgRatesDataTable756[[#This Row],[asofdate]]),DAY(OneWeekMtgRatesDataTable756[[#This Row],[asofdate]]))</f>
        <v>41603</v>
      </c>
      <c r="E494" s="50" t="s">
        <v>11</v>
      </c>
      <c r="F494" s="57">
        <v>0.16400000000000001</v>
      </c>
    </row>
    <row r="495" spans="2:6">
      <c r="B495" s="50" t="s">
        <v>21</v>
      </c>
      <c r="C495" s="50" t="s">
        <v>1163</v>
      </c>
      <c r="D495" s="50">
        <f>DATE(YEAR(OneWeekMtgRatesDataTable756[[#This Row],[asofdate]]),MONTH(OneWeekMtgRatesDataTable756[[#This Row],[asofdate]]),DAY(OneWeekMtgRatesDataTable756[[#This Row],[asofdate]]))</f>
        <v>41600</v>
      </c>
      <c r="E495" s="50" t="s">
        <v>11</v>
      </c>
      <c r="F495" s="57">
        <v>0.16550000000000001</v>
      </c>
    </row>
    <row r="496" spans="2:6">
      <c r="B496" s="50" t="s">
        <v>21</v>
      </c>
      <c r="C496" s="50" t="s">
        <v>1162</v>
      </c>
      <c r="D496" s="50">
        <f>DATE(YEAR(OneWeekMtgRatesDataTable756[[#This Row],[asofdate]]),MONTH(OneWeekMtgRatesDataTable756[[#This Row],[asofdate]]),DAY(OneWeekMtgRatesDataTable756[[#This Row],[asofdate]]))</f>
        <v>41599</v>
      </c>
      <c r="E496" s="50" t="s">
        <v>11</v>
      </c>
      <c r="F496" s="57">
        <v>0.16600000000000001</v>
      </c>
    </row>
    <row r="497" spans="2:6">
      <c r="B497" s="50" t="s">
        <v>21</v>
      </c>
      <c r="C497" s="50" t="s">
        <v>1161</v>
      </c>
      <c r="D497" s="50">
        <f>DATE(YEAR(OneWeekMtgRatesDataTable756[[#This Row],[asofdate]]),MONTH(OneWeekMtgRatesDataTable756[[#This Row],[asofdate]]),DAY(OneWeekMtgRatesDataTable756[[#This Row],[asofdate]]))</f>
        <v>41598</v>
      </c>
      <c r="E497" s="50" t="s">
        <v>11</v>
      </c>
      <c r="F497" s="57">
        <v>0.16650000000000001</v>
      </c>
    </row>
    <row r="498" spans="2:6">
      <c r="B498" s="50" t="s">
        <v>21</v>
      </c>
      <c r="C498" s="50" t="s">
        <v>1159</v>
      </c>
      <c r="D498" s="50">
        <f>DATE(YEAR(OneWeekMtgRatesDataTable756[[#This Row],[asofdate]]),MONTH(OneWeekMtgRatesDataTable756[[#This Row],[asofdate]]),DAY(OneWeekMtgRatesDataTable756[[#This Row],[asofdate]]))</f>
        <v>41596</v>
      </c>
      <c r="E498" s="50" t="s">
        <v>11</v>
      </c>
      <c r="F498" s="57">
        <v>0.16800000000000001</v>
      </c>
    </row>
    <row r="499" spans="2:6">
      <c r="B499" s="50" t="s">
        <v>21</v>
      </c>
      <c r="C499" s="50" t="s">
        <v>1158</v>
      </c>
      <c r="D499" s="50">
        <f>DATE(YEAR(OneWeekMtgRatesDataTable756[[#This Row],[asofdate]]),MONTH(OneWeekMtgRatesDataTable756[[#This Row],[asofdate]]),DAY(OneWeekMtgRatesDataTable756[[#This Row],[asofdate]]))</f>
        <v>41593</v>
      </c>
      <c r="E499" s="50" t="s">
        <v>11</v>
      </c>
      <c r="F499" s="57">
        <v>0.16750000000000001</v>
      </c>
    </row>
    <row r="500" spans="2:6">
      <c r="B500" s="50" t="s">
        <v>21</v>
      </c>
      <c r="C500" s="50" t="s">
        <v>1157</v>
      </c>
      <c r="D500" s="50">
        <f>DATE(YEAR(OneWeekMtgRatesDataTable756[[#This Row],[asofdate]]),MONTH(OneWeekMtgRatesDataTable756[[#This Row],[asofdate]]),DAY(OneWeekMtgRatesDataTable756[[#This Row],[asofdate]]))</f>
        <v>41592</v>
      </c>
      <c r="E500" s="50" t="s">
        <v>11</v>
      </c>
      <c r="F500" s="57">
        <v>0.16750000000000001</v>
      </c>
    </row>
    <row r="501" spans="2:6">
      <c r="B501" s="50" t="s">
        <v>21</v>
      </c>
      <c r="C501" s="50" t="s">
        <v>1156</v>
      </c>
      <c r="D501" s="50">
        <f>DATE(YEAR(OneWeekMtgRatesDataTable756[[#This Row],[asofdate]]),MONTH(OneWeekMtgRatesDataTable756[[#This Row],[asofdate]]),DAY(OneWeekMtgRatesDataTable756[[#This Row],[asofdate]]))</f>
        <v>41591</v>
      </c>
      <c r="E501" s="50" t="s">
        <v>11</v>
      </c>
      <c r="F501" s="57">
        <v>0.16769999999999999</v>
      </c>
    </row>
    <row r="502" spans="2:6">
      <c r="B502" s="50" t="s">
        <v>21</v>
      </c>
      <c r="C502" s="50" t="s">
        <v>1155</v>
      </c>
      <c r="D502" s="50">
        <f>DATE(YEAR(OneWeekMtgRatesDataTable756[[#This Row],[asofdate]]),MONTH(OneWeekMtgRatesDataTable756[[#This Row],[asofdate]]),DAY(OneWeekMtgRatesDataTable756[[#This Row],[asofdate]]))</f>
        <v>41590</v>
      </c>
      <c r="E502" s="50" t="s">
        <v>11</v>
      </c>
      <c r="F502" s="57">
        <v>0.16850000000000001</v>
      </c>
    </row>
    <row r="503" spans="2:6">
      <c r="B503" s="50" t="s">
        <v>21</v>
      </c>
      <c r="C503" s="50" t="s">
        <v>1154</v>
      </c>
      <c r="D503" s="50">
        <f>DATE(YEAR(OneWeekMtgRatesDataTable756[[#This Row],[asofdate]]),MONTH(OneWeekMtgRatesDataTable756[[#This Row],[asofdate]]),DAY(OneWeekMtgRatesDataTable756[[#This Row],[asofdate]]))</f>
        <v>41586</v>
      </c>
      <c r="E503" s="50" t="s">
        <v>11</v>
      </c>
      <c r="F503" s="57">
        <v>0.16850000000000001</v>
      </c>
    </row>
    <row r="504" spans="2:6">
      <c r="B504" s="50" t="s">
        <v>21</v>
      </c>
      <c r="C504" s="50" t="s">
        <v>1153</v>
      </c>
      <c r="D504" s="50">
        <f>DATE(YEAR(OneWeekMtgRatesDataTable756[[#This Row],[asofdate]]),MONTH(OneWeekMtgRatesDataTable756[[#This Row],[asofdate]]),DAY(OneWeekMtgRatesDataTable756[[#This Row],[asofdate]]))</f>
        <v>41585</v>
      </c>
      <c r="E504" s="50" t="s">
        <v>11</v>
      </c>
      <c r="F504" s="57">
        <v>0.16750000000000001</v>
      </c>
    </row>
    <row r="505" spans="2:6">
      <c r="B505" s="50" t="s">
        <v>21</v>
      </c>
      <c r="C505" s="50" t="s">
        <v>1152</v>
      </c>
      <c r="D505" s="50">
        <f>DATE(YEAR(OneWeekMtgRatesDataTable756[[#This Row],[asofdate]]),MONTH(OneWeekMtgRatesDataTable756[[#This Row],[asofdate]]),DAY(OneWeekMtgRatesDataTable756[[#This Row],[asofdate]]))</f>
        <v>41584</v>
      </c>
      <c r="E505" s="50" t="s">
        <v>11</v>
      </c>
      <c r="F505" s="57">
        <v>0.16850000000000001</v>
      </c>
    </row>
    <row r="506" spans="2:6">
      <c r="B506" s="50" t="s">
        <v>21</v>
      </c>
      <c r="C506" s="50" t="s">
        <v>1151</v>
      </c>
      <c r="D506" s="50">
        <f>DATE(YEAR(OneWeekMtgRatesDataTable756[[#This Row],[asofdate]]),MONTH(OneWeekMtgRatesDataTable756[[#This Row],[asofdate]]),DAY(OneWeekMtgRatesDataTable756[[#This Row],[asofdate]]))</f>
        <v>41583</v>
      </c>
      <c r="E506" s="50" t="s">
        <v>11</v>
      </c>
      <c r="F506" s="57">
        <v>0.16850000000000001</v>
      </c>
    </row>
    <row r="507" spans="2:6">
      <c r="B507" s="50" t="s">
        <v>21</v>
      </c>
      <c r="C507" s="50" t="s">
        <v>1150</v>
      </c>
      <c r="D507" s="50">
        <f>DATE(YEAR(OneWeekMtgRatesDataTable756[[#This Row],[asofdate]]),MONTH(OneWeekMtgRatesDataTable756[[#This Row],[asofdate]]),DAY(OneWeekMtgRatesDataTable756[[#This Row],[asofdate]]))</f>
        <v>41582</v>
      </c>
      <c r="E507" s="50" t="s">
        <v>11</v>
      </c>
      <c r="F507" s="57">
        <v>0.16850000000000001</v>
      </c>
    </row>
    <row r="508" spans="2:6">
      <c r="B508" s="50" t="s">
        <v>21</v>
      </c>
      <c r="C508" s="50" t="s">
        <v>1149</v>
      </c>
      <c r="D508" s="50">
        <f>DATE(YEAR(OneWeekMtgRatesDataTable756[[#This Row],[asofdate]]),MONTH(OneWeekMtgRatesDataTable756[[#This Row],[asofdate]]),DAY(OneWeekMtgRatesDataTable756[[#This Row],[asofdate]]))</f>
        <v>41579</v>
      </c>
      <c r="E508" s="50" t="s">
        <v>11</v>
      </c>
      <c r="F508" s="57">
        <v>0.16850000000000001</v>
      </c>
    </row>
    <row r="509" spans="2:6">
      <c r="B509" s="50" t="s">
        <v>21</v>
      </c>
      <c r="C509" s="50" t="s">
        <v>1148</v>
      </c>
      <c r="D509" s="50">
        <f>DATE(YEAR(OneWeekMtgRatesDataTable756[[#This Row],[asofdate]]),MONTH(OneWeekMtgRatesDataTable756[[#This Row],[asofdate]]),DAY(OneWeekMtgRatesDataTable756[[#This Row],[asofdate]]))</f>
        <v>41578</v>
      </c>
      <c r="E509" s="50" t="s">
        <v>11</v>
      </c>
      <c r="F509" s="57">
        <v>0.16800000000000001</v>
      </c>
    </row>
    <row r="510" spans="2:6">
      <c r="B510" s="50" t="s">
        <v>21</v>
      </c>
      <c r="C510" s="50" t="s">
        <v>1147</v>
      </c>
      <c r="D510" s="50">
        <f>DATE(YEAR(OneWeekMtgRatesDataTable756[[#This Row],[asofdate]]),MONTH(OneWeekMtgRatesDataTable756[[#This Row],[asofdate]]),DAY(OneWeekMtgRatesDataTable756[[#This Row],[asofdate]]))</f>
        <v>41577</v>
      </c>
      <c r="E510" s="50" t="s">
        <v>11</v>
      </c>
      <c r="F510" s="57">
        <v>0.16800000000000001</v>
      </c>
    </row>
    <row r="511" spans="2:6">
      <c r="B511" s="50" t="s">
        <v>21</v>
      </c>
      <c r="C511" s="50" t="s">
        <v>1146</v>
      </c>
      <c r="D511" s="50">
        <f>DATE(YEAR(OneWeekMtgRatesDataTable756[[#This Row],[asofdate]]),MONTH(OneWeekMtgRatesDataTable756[[#This Row],[asofdate]]),DAY(OneWeekMtgRatesDataTable756[[#This Row],[asofdate]]))</f>
        <v>41576</v>
      </c>
      <c r="E511" s="50" t="s">
        <v>11</v>
      </c>
      <c r="F511" s="57">
        <v>0.16800000000000001</v>
      </c>
    </row>
    <row r="512" spans="2:6">
      <c r="B512" s="50" t="s">
        <v>21</v>
      </c>
      <c r="C512" s="50" t="s">
        <v>1145</v>
      </c>
      <c r="D512" s="50">
        <f>DATE(YEAR(OneWeekMtgRatesDataTable756[[#This Row],[asofdate]]),MONTH(OneWeekMtgRatesDataTable756[[#This Row],[asofdate]]),DAY(OneWeekMtgRatesDataTable756[[#This Row],[asofdate]]))</f>
        <v>41575</v>
      </c>
      <c r="E512" s="50" t="s">
        <v>11</v>
      </c>
      <c r="F512" s="57">
        <v>0.1681</v>
      </c>
    </row>
    <row r="513" spans="2:6">
      <c r="B513" s="50" t="s">
        <v>21</v>
      </c>
      <c r="C513" s="50" t="s">
        <v>1144</v>
      </c>
      <c r="D513" s="50">
        <f>DATE(YEAR(OneWeekMtgRatesDataTable756[[#This Row],[asofdate]]),MONTH(OneWeekMtgRatesDataTable756[[#This Row],[asofdate]]),DAY(OneWeekMtgRatesDataTable756[[#This Row],[asofdate]]))</f>
        <v>41572</v>
      </c>
      <c r="E513" s="50" t="s">
        <v>11</v>
      </c>
      <c r="F513" s="57">
        <v>0.1686</v>
      </c>
    </row>
    <row r="514" spans="2:6">
      <c r="B514" s="50" t="s">
        <v>21</v>
      </c>
      <c r="C514" s="50" t="s">
        <v>1143</v>
      </c>
      <c r="D514" s="50">
        <f>DATE(YEAR(OneWeekMtgRatesDataTable756[[#This Row],[asofdate]]),MONTH(OneWeekMtgRatesDataTable756[[#This Row],[asofdate]]),DAY(OneWeekMtgRatesDataTable756[[#This Row],[asofdate]]))</f>
        <v>41571</v>
      </c>
      <c r="E514" s="50" t="s">
        <v>11</v>
      </c>
      <c r="F514" s="57">
        <v>0.17100000000000001</v>
      </c>
    </row>
    <row r="515" spans="2:6">
      <c r="B515" s="50" t="s">
        <v>21</v>
      </c>
      <c r="C515" s="50" t="s">
        <v>1142</v>
      </c>
      <c r="D515" s="50">
        <f>DATE(YEAR(OneWeekMtgRatesDataTable756[[#This Row],[asofdate]]),MONTH(OneWeekMtgRatesDataTable756[[#This Row],[asofdate]]),DAY(OneWeekMtgRatesDataTable756[[#This Row],[asofdate]]))</f>
        <v>41570</v>
      </c>
      <c r="E515" s="50" t="s">
        <v>11</v>
      </c>
      <c r="F515" s="57">
        <v>0.17019999999999999</v>
      </c>
    </row>
    <row r="516" spans="2:6">
      <c r="B516" s="50" t="s">
        <v>21</v>
      </c>
      <c r="C516" s="50" t="s">
        <v>1141</v>
      </c>
      <c r="D516" s="50">
        <f>DATE(YEAR(OneWeekMtgRatesDataTable756[[#This Row],[asofdate]]),MONTH(OneWeekMtgRatesDataTable756[[#This Row],[asofdate]]),DAY(OneWeekMtgRatesDataTable756[[#This Row],[asofdate]]))</f>
        <v>41569</v>
      </c>
      <c r="E516" s="50" t="s">
        <v>11</v>
      </c>
      <c r="F516" s="57">
        <v>0.17</v>
      </c>
    </row>
    <row r="517" spans="2:6">
      <c r="B517" s="50" t="s">
        <v>21</v>
      </c>
      <c r="C517" s="50" t="s">
        <v>1140</v>
      </c>
      <c r="D517" s="50">
        <f>DATE(YEAR(OneWeekMtgRatesDataTable756[[#This Row],[asofdate]]),MONTH(OneWeekMtgRatesDataTable756[[#This Row],[asofdate]]),DAY(OneWeekMtgRatesDataTable756[[#This Row],[asofdate]]))</f>
        <v>41568</v>
      </c>
      <c r="E517" s="50" t="s">
        <v>11</v>
      </c>
      <c r="F517" s="57">
        <v>0.17</v>
      </c>
    </row>
    <row r="518" spans="2:6">
      <c r="B518" s="50" t="s">
        <v>21</v>
      </c>
      <c r="C518" s="50" t="s">
        <v>1139</v>
      </c>
      <c r="D518" s="50">
        <f>DATE(YEAR(OneWeekMtgRatesDataTable756[[#This Row],[asofdate]]),MONTH(OneWeekMtgRatesDataTable756[[#This Row],[asofdate]]),DAY(OneWeekMtgRatesDataTable756[[#This Row],[asofdate]]))</f>
        <v>41565</v>
      </c>
      <c r="E518" s="50" t="s">
        <v>11</v>
      </c>
      <c r="F518" s="57">
        <v>0.17199999999999999</v>
      </c>
    </row>
    <row r="519" spans="2:6">
      <c r="B519" s="50" t="s">
        <v>21</v>
      </c>
      <c r="C519" s="50" t="s">
        <v>1138</v>
      </c>
      <c r="D519" s="50">
        <f>DATE(YEAR(OneWeekMtgRatesDataTable756[[#This Row],[asofdate]]),MONTH(OneWeekMtgRatesDataTable756[[#This Row],[asofdate]]),DAY(OneWeekMtgRatesDataTable756[[#This Row],[asofdate]]))</f>
        <v>41564</v>
      </c>
      <c r="E519" s="50" t="s">
        <v>11</v>
      </c>
      <c r="F519" s="57">
        <v>0.17249999999999999</v>
      </c>
    </row>
    <row r="520" spans="2:6">
      <c r="B520" s="50" t="s">
        <v>21</v>
      </c>
      <c r="C520" s="50" t="s">
        <v>1137</v>
      </c>
      <c r="D520" s="50">
        <f>DATE(YEAR(OneWeekMtgRatesDataTable756[[#This Row],[asofdate]]),MONTH(OneWeekMtgRatesDataTable756[[#This Row],[asofdate]]),DAY(OneWeekMtgRatesDataTable756[[#This Row],[asofdate]]))</f>
        <v>41563</v>
      </c>
      <c r="E520" s="50" t="s">
        <v>11</v>
      </c>
      <c r="F520" s="57">
        <v>0.17549999999999999</v>
      </c>
    </row>
    <row r="521" spans="2:6">
      <c r="B521" s="50" t="s">
        <v>21</v>
      </c>
      <c r="C521" s="50" t="s">
        <v>1136</v>
      </c>
      <c r="D521" s="50">
        <f>DATE(YEAR(OneWeekMtgRatesDataTable756[[#This Row],[asofdate]]),MONTH(OneWeekMtgRatesDataTable756[[#This Row],[asofdate]]),DAY(OneWeekMtgRatesDataTable756[[#This Row],[asofdate]]))</f>
        <v>41562</v>
      </c>
      <c r="E521" s="50" t="s">
        <v>11</v>
      </c>
      <c r="F521" s="57">
        <v>0.17374999999999999</v>
      </c>
    </row>
    <row r="522" spans="2:6">
      <c r="B522" s="50" t="s">
        <v>21</v>
      </c>
      <c r="C522" s="50" t="s">
        <v>1135</v>
      </c>
      <c r="D522" s="50">
        <f>DATE(YEAR(OneWeekMtgRatesDataTable756[[#This Row],[asofdate]]),MONTH(OneWeekMtgRatesDataTable756[[#This Row],[asofdate]]),DAY(OneWeekMtgRatesDataTable756[[#This Row],[asofdate]]))</f>
        <v>41558</v>
      </c>
      <c r="E522" s="50" t="s">
        <v>11</v>
      </c>
      <c r="F522" s="57">
        <v>0.17399999999999999</v>
      </c>
    </row>
    <row r="523" spans="2:6">
      <c r="B523" s="50" t="s">
        <v>21</v>
      </c>
      <c r="C523" s="50" t="s">
        <v>1134</v>
      </c>
      <c r="D523" s="50">
        <f>DATE(YEAR(OneWeekMtgRatesDataTable756[[#This Row],[asofdate]]),MONTH(OneWeekMtgRatesDataTable756[[#This Row],[asofdate]]),DAY(OneWeekMtgRatesDataTable756[[#This Row],[asofdate]]))</f>
        <v>41557</v>
      </c>
      <c r="E523" s="50" t="s">
        <v>11</v>
      </c>
      <c r="F523" s="57">
        <v>0.17399999999999999</v>
      </c>
    </row>
    <row r="524" spans="2:6">
      <c r="B524" s="50" t="s">
        <v>21</v>
      </c>
      <c r="C524" s="50" t="s">
        <v>1133</v>
      </c>
      <c r="D524" s="50">
        <f>DATE(YEAR(OneWeekMtgRatesDataTable756[[#This Row],[asofdate]]),MONTH(OneWeekMtgRatesDataTable756[[#This Row],[asofdate]]),DAY(OneWeekMtgRatesDataTable756[[#This Row],[asofdate]]))</f>
        <v>41556</v>
      </c>
      <c r="E524" s="50" t="s">
        <v>11</v>
      </c>
      <c r="F524" s="57">
        <v>0.17724999999999999</v>
      </c>
    </row>
    <row r="525" spans="2:6">
      <c r="B525" s="50" t="s">
        <v>21</v>
      </c>
      <c r="C525" s="50" t="s">
        <v>1132</v>
      </c>
      <c r="D525" s="50">
        <f>DATE(YEAR(OneWeekMtgRatesDataTable756[[#This Row],[asofdate]]),MONTH(OneWeekMtgRatesDataTable756[[#This Row],[asofdate]]),DAY(OneWeekMtgRatesDataTable756[[#This Row],[asofdate]]))</f>
        <v>41555</v>
      </c>
      <c r="E525" s="50" t="s">
        <v>11</v>
      </c>
      <c r="F525" s="57">
        <v>0.17399999999999999</v>
      </c>
    </row>
    <row r="526" spans="2:6">
      <c r="B526" s="50" t="s">
        <v>21</v>
      </c>
      <c r="C526" s="50" t="s">
        <v>1131</v>
      </c>
      <c r="D526" s="50">
        <f>DATE(YEAR(OneWeekMtgRatesDataTable756[[#This Row],[asofdate]]),MONTH(OneWeekMtgRatesDataTable756[[#This Row],[asofdate]]),DAY(OneWeekMtgRatesDataTable756[[#This Row],[asofdate]]))</f>
        <v>41554</v>
      </c>
      <c r="E526" s="50" t="s">
        <v>11</v>
      </c>
      <c r="F526" s="57">
        <v>0.17380000000000001</v>
      </c>
    </row>
    <row r="527" spans="2:6">
      <c r="B527" s="50" t="s">
        <v>21</v>
      </c>
      <c r="C527" s="50" t="s">
        <v>1130</v>
      </c>
      <c r="D527" s="50">
        <f>DATE(YEAR(OneWeekMtgRatesDataTable756[[#This Row],[asofdate]]),MONTH(OneWeekMtgRatesDataTable756[[#This Row],[asofdate]]),DAY(OneWeekMtgRatesDataTable756[[#This Row],[asofdate]]))</f>
        <v>41551</v>
      </c>
      <c r="E527" s="50" t="s">
        <v>11</v>
      </c>
      <c r="F527" s="57">
        <v>0.17330000000000001</v>
      </c>
    </row>
    <row r="528" spans="2:6">
      <c r="B528" s="50" t="s">
        <v>21</v>
      </c>
      <c r="C528" s="50" t="s">
        <v>1129</v>
      </c>
      <c r="D528" s="50">
        <f>DATE(YEAR(OneWeekMtgRatesDataTable756[[#This Row],[asofdate]]),MONTH(OneWeekMtgRatesDataTable756[[#This Row],[asofdate]]),DAY(OneWeekMtgRatesDataTable756[[#This Row],[asofdate]]))</f>
        <v>41550</v>
      </c>
      <c r="E528" s="50" t="s">
        <v>11</v>
      </c>
      <c r="F528" s="57">
        <v>0.17430000000000001</v>
      </c>
    </row>
    <row r="529" spans="2:6">
      <c r="B529" s="50" t="s">
        <v>21</v>
      </c>
      <c r="C529" s="50" t="s">
        <v>1128</v>
      </c>
      <c r="D529" s="50">
        <f>DATE(YEAR(OneWeekMtgRatesDataTable756[[#This Row],[asofdate]]),MONTH(OneWeekMtgRatesDataTable756[[#This Row],[asofdate]]),DAY(OneWeekMtgRatesDataTable756[[#This Row],[asofdate]]))</f>
        <v>41549</v>
      </c>
      <c r="E529" s="50" t="s">
        <v>11</v>
      </c>
      <c r="F529" s="57">
        <v>0.17574999999999999</v>
      </c>
    </row>
    <row r="530" spans="2:6">
      <c r="B530" s="50" t="s">
        <v>21</v>
      </c>
      <c r="C530" s="50" t="s">
        <v>1127</v>
      </c>
      <c r="D530" s="50">
        <f>DATE(YEAR(OneWeekMtgRatesDataTable756[[#This Row],[asofdate]]),MONTH(OneWeekMtgRatesDataTable756[[#This Row],[asofdate]]),DAY(OneWeekMtgRatesDataTable756[[#This Row],[asofdate]]))</f>
        <v>41548</v>
      </c>
      <c r="E530" s="50" t="s">
        <v>11</v>
      </c>
      <c r="F530" s="57">
        <v>0.17799999999999999</v>
      </c>
    </row>
    <row r="531" spans="2:6">
      <c r="B531" s="50" t="s">
        <v>21</v>
      </c>
      <c r="C531" s="50" t="s">
        <v>1126</v>
      </c>
      <c r="D531" s="50">
        <f>DATE(YEAR(OneWeekMtgRatesDataTable756[[#This Row],[asofdate]]),MONTH(OneWeekMtgRatesDataTable756[[#This Row],[asofdate]]),DAY(OneWeekMtgRatesDataTable756[[#This Row],[asofdate]]))</f>
        <v>41547</v>
      </c>
      <c r="E531" s="50" t="s">
        <v>11</v>
      </c>
      <c r="F531" s="57">
        <v>0.17885000000000001</v>
      </c>
    </row>
    <row r="532" spans="2:6">
      <c r="B532" s="50" t="s">
        <v>21</v>
      </c>
      <c r="C532" s="50" t="s">
        <v>1125</v>
      </c>
      <c r="D532" s="50">
        <f>DATE(YEAR(OneWeekMtgRatesDataTable756[[#This Row],[asofdate]]),MONTH(OneWeekMtgRatesDataTable756[[#This Row],[asofdate]]),DAY(OneWeekMtgRatesDataTable756[[#This Row],[asofdate]]))</f>
        <v>41544</v>
      </c>
      <c r="E532" s="50" t="s">
        <v>11</v>
      </c>
      <c r="F532" s="57">
        <v>0.17965</v>
      </c>
    </row>
    <row r="533" spans="2:6">
      <c r="B533" s="50" t="s">
        <v>21</v>
      </c>
      <c r="C533" s="50" t="s">
        <v>1124</v>
      </c>
      <c r="D533" s="50">
        <f>DATE(YEAR(OneWeekMtgRatesDataTable756[[#This Row],[asofdate]]),MONTH(OneWeekMtgRatesDataTable756[[#This Row],[asofdate]]),DAY(OneWeekMtgRatesDataTable756[[#This Row],[asofdate]]))</f>
        <v>41543</v>
      </c>
      <c r="E533" s="50" t="s">
        <v>11</v>
      </c>
      <c r="F533" s="57">
        <v>0.17904999999999999</v>
      </c>
    </row>
    <row r="534" spans="2:6">
      <c r="B534" s="50" t="s">
        <v>21</v>
      </c>
      <c r="C534" s="50" t="s">
        <v>1123</v>
      </c>
      <c r="D534" s="50">
        <f>DATE(YEAR(OneWeekMtgRatesDataTable756[[#This Row],[asofdate]]),MONTH(OneWeekMtgRatesDataTable756[[#This Row],[asofdate]]),DAY(OneWeekMtgRatesDataTable756[[#This Row],[asofdate]]))</f>
        <v>41542</v>
      </c>
      <c r="E534" s="50" t="s">
        <v>11</v>
      </c>
      <c r="F534" s="57">
        <v>0.17904999999999999</v>
      </c>
    </row>
    <row r="535" spans="2:6">
      <c r="B535" s="50" t="s">
        <v>21</v>
      </c>
      <c r="C535" s="50" t="s">
        <v>1122</v>
      </c>
      <c r="D535" s="50">
        <f>DATE(YEAR(OneWeekMtgRatesDataTable756[[#This Row],[asofdate]]),MONTH(OneWeekMtgRatesDataTable756[[#This Row],[asofdate]]),DAY(OneWeekMtgRatesDataTable756[[#This Row],[asofdate]]))</f>
        <v>41541</v>
      </c>
      <c r="E535" s="50" t="s">
        <v>11</v>
      </c>
      <c r="F535" s="57">
        <v>0.17979999999999999</v>
      </c>
    </row>
    <row r="536" spans="2:6">
      <c r="B536" s="50" t="s">
        <v>21</v>
      </c>
      <c r="C536" s="50" t="s">
        <v>1121</v>
      </c>
      <c r="D536" s="50">
        <f>DATE(YEAR(OneWeekMtgRatesDataTable756[[#This Row],[asofdate]]),MONTH(OneWeekMtgRatesDataTable756[[#This Row],[asofdate]]),DAY(OneWeekMtgRatesDataTable756[[#This Row],[asofdate]]))</f>
        <v>41540</v>
      </c>
      <c r="E536" s="50" t="s">
        <v>11</v>
      </c>
      <c r="F536" s="57">
        <v>0.17885000000000001</v>
      </c>
    </row>
    <row r="537" spans="2:6">
      <c r="B537" s="50" t="s">
        <v>21</v>
      </c>
      <c r="C537" s="50" t="s">
        <v>1120</v>
      </c>
      <c r="D537" s="50">
        <f>DATE(YEAR(OneWeekMtgRatesDataTable756[[#This Row],[asofdate]]),MONTH(OneWeekMtgRatesDataTable756[[#This Row],[asofdate]]),DAY(OneWeekMtgRatesDataTable756[[#This Row],[asofdate]]))</f>
        <v>41537</v>
      </c>
      <c r="E537" s="50" t="s">
        <v>11</v>
      </c>
      <c r="F537" s="57">
        <v>0.17949999999999999</v>
      </c>
    </row>
    <row r="538" spans="2:6">
      <c r="B538" s="50" t="s">
        <v>21</v>
      </c>
      <c r="C538" s="50" t="s">
        <v>1119</v>
      </c>
      <c r="D538" s="50">
        <f>DATE(YEAR(OneWeekMtgRatesDataTable756[[#This Row],[asofdate]]),MONTH(OneWeekMtgRatesDataTable756[[#This Row],[asofdate]]),DAY(OneWeekMtgRatesDataTable756[[#This Row],[asofdate]]))</f>
        <v>41536</v>
      </c>
      <c r="E538" s="50" t="s">
        <v>11</v>
      </c>
      <c r="F538" s="57">
        <v>0.17924999999999999</v>
      </c>
    </row>
    <row r="539" spans="2:6">
      <c r="B539" s="50" t="s">
        <v>21</v>
      </c>
      <c r="C539" s="50" t="s">
        <v>1118</v>
      </c>
      <c r="D539" s="50">
        <f>DATE(YEAR(OneWeekMtgRatesDataTable756[[#This Row],[asofdate]]),MONTH(OneWeekMtgRatesDataTable756[[#This Row],[asofdate]]),DAY(OneWeekMtgRatesDataTable756[[#This Row],[asofdate]]))</f>
        <v>41535</v>
      </c>
      <c r="E539" s="50" t="s">
        <v>11</v>
      </c>
      <c r="F539" s="57">
        <v>0.18</v>
      </c>
    </row>
    <row r="540" spans="2:6">
      <c r="B540" s="50" t="s">
        <v>21</v>
      </c>
      <c r="C540" s="50" t="s">
        <v>1117</v>
      </c>
      <c r="D540" s="50">
        <f>DATE(YEAR(OneWeekMtgRatesDataTable756[[#This Row],[asofdate]]),MONTH(OneWeekMtgRatesDataTable756[[#This Row],[asofdate]]),DAY(OneWeekMtgRatesDataTable756[[#This Row],[asofdate]]))</f>
        <v>41534</v>
      </c>
      <c r="E540" s="50" t="s">
        <v>11</v>
      </c>
      <c r="F540" s="57">
        <v>0.18049999999999999</v>
      </c>
    </row>
    <row r="541" spans="2:6">
      <c r="B541" s="50" t="s">
        <v>21</v>
      </c>
      <c r="C541" s="50" t="s">
        <v>1116</v>
      </c>
      <c r="D541" s="50">
        <f>DATE(YEAR(OneWeekMtgRatesDataTable756[[#This Row],[asofdate]]),MONTH(OneWeekMtgRatesDataTable756[[#This Row],[asofdate]]),DAY(OneWeekMtgRatesDataTable756[[#This Row],[asofdate]]))</f>
        <v>41533</v>
      </c>
      <c r="E541" s="50" t="s">
        <v>11</v>
      </c>
      <c r="F541" s="57">
        <v>0.17924999999999999</v>
      </c>
    </row>
    <row r="542" spans="2:6">
      <c r="B542" s="50" t="s">
        <v>21</v>
      </c>
      <c r="C542" s="50" t="s">
        <v>1115</v>
      </c>
      <c r="D542" s="50">
        <f>DATE(YEAR(OneWeekMtgRatesDataTable756[[#This Row],[asofdate]]),MONTH(OneWeekMtgRatesDataTable756[[#This Row],[asofdate]]),DAY(OneWeekMtgRatesDataTable756[[#This Row],[asofdate]]))</f>
        <v>41530</v>
      </c>
      <c r="E542" s="50" t="s">
        <v>11</v>
      </c>
      <c r="F542" s="57">
        <v>0.1802</v>
      </c>
    </row>
    <row r="543" spans="2:6">
      <c r="B543" s="50" t="s">
        <v>21</v>
      </c>
      <c r="C543" s="50" t="s">
        <v>1114</v>
      </c>
      <c r="D543" s="50">
        <f>DATE(YEAR(OneWeekMtgRatesDataTable756[[#This Row],[asofdate]]),MONTH(OneWeekMtgRatesDataTable756[[#This Row],[asofdate]]),DAY(OneWeekMtgRatesDataTable756[[#This Row],[asofdate]]))</f>
        <v>41529</v>
      </c>
      <c r="E543" s="50" t="s">
        <v>11</v>
      </c>
      <c r="F543" s="57">
        <v>0.18229999999999999</v>
      </c>
    </row>
    <row r="544" spans="2:6">
      <c r="B544" s="50" t="s">
        <v>21</v>
      </c>
      <c r="C544" s="50" t="s">
        <v>1113</v>
      </c>
      <c r="D544" s="50">
        <f>DATE(YEAR(OneWeekMtgRatesDataTable756[[#This Row],[asofdate]]),MONTH(OneWeekMtgRatesDataTable756[[#This Row],[asofdate]]),DAY(OneWeekMtgRatesDataTable756[[#This Row],[asofdate]]))</f>
        <v>41528</v>
      </c>
      <c r="E544" s="50" t="s">
        <v>11</v>
      </c>
      <c r="F544" s="57">
        <v>0.18240000000000001</v>
      </c>
    </row>
    <row r="545" spans="2:6">
      <c r="B545" s="50" t="s">
        <v>21</v>
      </c>
      <c r="C545" s="50" t="s">
        <v>1112</v>
      </c>
      <c r="D545" s="50">
        <f>DATE(YEAR(OneWeekMtgRatesDataTable756[[#This Row],[asofdate]]),MONTH(OneWeekMtgRatesDataTable756[[#This Row],[asofdate]]),DAY(OneWeekMtgRatesDataTable756[[#This Row],[asofdate]]))</f>
        <v>41527</v>
      </c>
      <c r="E545" s="50" t="s">
        <v>11</v>
      </c>
      <c r="F545" s="57">
        <v>0.18140000000000001</v>
      </c>
    </row>
    <row r="546" spans="2:6">
      <c r="B546" s="50" t="s">
        <v>21</v>
      </c>
      <c r="C546" s="50" t="s">
        <v>1111</v>
      </c>
      <c r="D546" s="50">
        <f>DATE(YEAR(OneWeekMtgRatesDataTable756[[#This Row],[asofdate]]),MONTH(OneWeekMtgRatesDataTable756[[#This Row],[asofdate]]),DAY(OneWeekMtgRatesDataTable756[[#This Row],[asofdate]]))</f>
        <v>41526</v>
      </c>
      <c r="E546" s="50" t="s">
        <v>11</v>
      </c>
      <c r="F546" s="57">
        <v>0.18190000000000001</v>
      </c>
    </row>
    <row r="547" spans="2:6">
      <c r="B547" s="50" t="s">
        <v>21</v>
      </c>
      <c r="C547" s="50" t="s">
        <v>1110</v>
      </c>
      <c r="D547" s="50">
        <f>DATE(YEAR(OneWeekMtgRatesDataTable756[[#This Row],[asofdate]]),MONTH(OneWeekMtgRatesDataTable756[[#This Row],[asofdate]]),DAY(OneWeekMtgRatesDataTable756[[#This Row],[asofdate]]))</f>
        <v>41523</v>
      </c>
      <c r="E547" s="50" t="s">
        <v>11</v>
      </c>
      <c r="F547" s="57">
        <v>0.18190000000000001</v>
      </c>
    </row>
    <row r="548" spans="2:6">
      <c r="B548" s="50" t="s">
        <v>21</v>
      </c>
      <c r="C548" s="50" t="s">
        <v>1109</v>
      </c>
      <c r="D548" s="50">
        <f>DATE(YEAR(OneWeekMtgRatesDataTable756[[#This Row],[asofdate]]),MONTH(OneWeekMtgRatesDataTable756[[#This Row],[asofdate]]),DAY(OneWeekMtgRatesDataTable756[[#This Row],[asofdate]]))</f>
        <v>41522</v>
      </c>
      <c r="E548" s="50" t="s">
        <v>11</v>
      </c>
      <c r="F548" s="57">
        <v>0.18190000000000001</v>
      </c>
    </row>
    <row r="549" spans="2:6">
      <c r="B549" s="50" t="s">
        <v>21</v>
      </c>
      <c r="C549" s="50" t="s">
        <v>1108</v>
      </c>
      <c r="D549" s="50">
        <f>DATE(YEAR(OneWeekMtgRatesDataTable756[[#This Row],[asofdate]]),MONTH(OneWeekMtgRatesDataTable756[[#This Row],[asofdate]]),DAY(OneWeekMtgRatesDataTable756[[#This Row],[asofdate]]))</f>
        <v>41521</v>
      </c>
      <c r="E549" s="50" t="s">
        <v>11</v>
      </c>
      <c r="F549" s="57">
        <v>0.1817</v>
      </c>
    </row>
    <row r="550" spans="2:6">
      <c r="B550" s="50" t="s">
        <v>21</v>
      </c>
      <c r="C550" s="50" t="s">
        <v>1107</v>
      </c>
      <c r="D550" s="50">
        <f>DATE(YEAR(OneWeekMtgRatesDataTable756[[#This Row],[asofdate]]),MONTH(OneWeekMtgRatesDataTable756[[#This Row],[asofdate]]),DAY(OneWeekMtgRatesDataTable756[[#This Row],[asofdate]]))</f>
        <v>41520</v>
      </c>
      <c r="E550" s="50" t="s">
        <v>11</v>
      </c>
      <c r="F550" s="57">
        <v>0.18206</v>
      </c>
    </row>
    <row r="551" spans="2:6">
      <c r="B551" s="50" t="s">
        <v>21</v>
      </c>
      <c r="C551" s="50" t="s">
        <v>1106</v>
      </c>
      <c r="D551" s="50">
        <f>DATE(YEAR(OneWeekMtgRatesDataTable756[[#This Row],[asofdate]]),MONTH(OneWeekMtgRatesDataTable756[[#This Row],[asofdate]]),DAY(OneWeekMtgRatesDataTable756[[#This Row],[asofdate]]))</f>
        <v>41516</v>
      </c>
      <c r="E551" s="50" t="s">
        <v>11</v>
      </c>
      <c r="F551" s="57">
        <v>0.18206</v>
      </c>
    </row>
    <row r="552" spans="2:6">
      <c r="B552" s="50" t="s">
        <v>21</v>
      </c>
      <c r="C552" s="50" t="s">
        <v>1105</v>
      </c>
      <c r="D552" s="50">
        <f>DATE(YEAR(OneWeekMtgRatesDataTable756[[#This Row],[asofdate]]),MONTH(OneWeekMtgRatesDataTable756[[#This Row],[asofdate]]),DAY(OneWeekMtgRatesDataTable756[[#This Row],[asofdate]]))</f>
        <v>41515</v>
      </c>
      <c r="E552" s="50" t="s">
        <v>11</v>
      </c>
      <c r="F552" s="57">
        <v>0.18256</v>
      </c>
    </row>
    <row r="553" spans="2:6">
      <c r="B553" s="50" t="s">
        <v>21</v>
      </c>
      <c r="C553" s="50" t="s">
        <v>1104</v>
      </c>
      <c r="D553" s="50">
        <f>DATE(YEAR(OneWeekMtgRatesDataTable756[[#This Row],[asofdate]]),MONTH(OneWeekMtgRatesDataTable756[[#This Row],[asofdate]]),DAY(OneWeekMtgRatesDataTable756[[#This Row],[asofdate]]))</f>
        <v>41514</v>
      </c>
      <c r="E553" s="50" t="s">
        <v>11</v>
      </c>
      <c r="F553" s="57">
        <v>0.18206</v>
      </c>
    </row>
    <row r="554" spans="2:6">
      <c r="B554" s="50" t="s">
        <v>21</v>
      </c>
      <c r="C554" s="50" t="s">
        <v>1103</v>
      </c>
      <c r="D554" s="50">
        <f>DATE(YEAR(OneWeekMtgRatesDataTable756[[#This Row],[asofdate]]),MONTH(OneWeekMtgRatesDataTable756[[#This Row],[asofdate]]),DAY(OneWeekMtgRatesDataTable756[[#This Row],[asofdate]]))</f>
        <v>41513</v>
      </c>
      <c r="E554" s="50" t="s">
        <v>11</v>
      </c>
      <c r="F554" s="57">
        <v>0.18256</v>
      </c>
    </row>
    <row r="555" spans="2:6">
      <c r="B555" s="50" t="s">
        <v>21</v>
      </c>
      <c r="C555" s="50" t="s">
        <v>1102</v>
      </c>
      <c r="D555" s="50">
        <f>DATE(YEAR(OneWeekMtgRatesDataTable756[[#This Row],[asofdate]]),MONTH(OneWeekMtgRatesDataTable756[[#This Row],[asofdate]]),DAY(OneWeekMtgRatesDataTable756[[#This Row],[asofdate]]))</f>
        <v>41512</v>
      </c>
      <c r="E555" s="50" t="s">
        <v>11</v>
      </c>
      <c r="F555" s="57">
        <v>0.18406</v>
      </c>
    </row>
    <row r="556" spans="2:6">
      <c r="B556" s="50" t="s">
        <v>21</v>
      </c>
      <c r="C556" s="50" t="s">
        <v>1101</v>
      </c>
      <c r="D556" s="50">
        <f>DATE(YEAR(OneWeekMtgRatesDataTable756[[#This Row],[asofdate]]),MONTH(OneWeekMtgRatesDataTable756[[#This Row],[asofdate]]),DAY(OneWeekMtgRatesDataTable756[[#This Row],[asofdate]]))</f>
        <v>41509</v>
      </c>
      <c r="E556" s="50" t="s">
        <v>11</v>
      </c>
      <c r="F556" s="57">
        <v>0.18406</v>
      </c>
    </row>
    <row r="557" spans="2:6">
      <c r="B557" s="50" t="s">
        <v>21</v>
      </c>
      <c r="C557" s="50" t="s">
        <v>1100</v>
      </c>
      <c r="D557" s="50">
        <f>DATE(YEAR(OneWeekMtgRatesDataTable756[[#This Row],[asofdate]]),MONTH(OneWeekMtgRatesDataTable756[[#This Row],[asofdate]]),DAY(OneWeekMtgRatesDataTable756[[#This Row],[asofdate]]))</f>
        <v>41508</v>
      </c>
      <c r="E557" s="50" t="s">
        <v>11</v>
      </c>
      <c r="F557" s="57">
        <v>0.18406</v>
      </c>
    </row>
    <row r="558" spans="2:6">
      <c r="B558" s="50" t="s">
        <v>21</v>
      </c>
      <c r="C558" s="50" t="s">
        <v>1099</v>
      </c>
      <c r="D558" s="50">
        <f>DATE(YEAR(OneWeekMtgRatesDataTable756[[#This Row],[asofdate]]),MONTH(OneWeekMtgRatesDataTable756[[#This Row],[asofdate]]),DAY(OneWeekMtgRatesDataTable756[[#This Row],[asofdate]]))</f>
        <v>41507</v>
      </c>
      <c r="E558" s="50" t="s">
        <v>11</v>
      </c>
      <c r="F558" s="57">
        <v>0.18336</v>
      </c>
    </row>
    <row r="559" spans="2:6">
      <c r="B559" s="50" t="s">
        <v>21</v>
      </c>
      <c r="C559" s="50" t="s">
        <v>1098</v>
      </c>
      <c r="D559" s="50">
        <f>DATE(YEAR(OneWeekMtgRatesDataTable756[[#This Row],[asofdate]]),MONTH(OneWeekMtgRatesDataTable756[[#This Row],[asofdate]]),DAY(OneWeekMtgRatesDataTable756[[#This Row],[asofdate]]))</f>
        <v>41506</v>
      </c>
      <c r="E559" s="50" t="s">
        <v>11</v>
      </c>
      <c r="F559" s="57">
        <v>0.18285999999999999</v>
      </c>
    </row>
    <row r="560" spans="2:6">
      <c r="B560" s="50" t="s">
        <v>21</v>
      </c>
      <c r="C560" s="50" t="s">
        <v>1097</v>
      </c>
      <c r="D560" s="50">
        <f>DATE(YEAR(OneWeekMtgRatesDataTable756[[#This Row],[asofdate]]),MONTH(OneWeekMtgRatesDataTable756[[#This Row],[asofdate]]),DAY(OneWeekMtgRatesDataTable756[[#This Row],[asofdate]]))</f>
        <v>41505</v>
      </c>
      <c r="E560" s="50" t="s">
        <v>11</v>
      </c>
      <c r="F560" s="57">
        <v>0.18356</v>
      </c>
    </row>
    <row r="561" spans="2:6">
      <c r="B561" s="50" t="s">
        <v>21</v>
      </c>
      <c r="C561" s="50" t="s">
        <v>1096</v>
      </c>
      <c r="D561" s="50">
        <f>DATE(YEAR(OneWeekMtgRatesDataTable756[[#This Row],[asofdate]]),MONTH(OneWeekMtgRatesDataTable756[[#This Row],[asofdate]]),DAY(OneWeekMtgRatesDataTable756[[#This Row],[asofdate]]))</f>
        <v>41502</v>
      </c>
      <c r="E561" s="50" t="s">
        <v>11</v>
      </c>
      <c r="F561" s="57">
        <v>0.18406</v>
      </c>
    </row>
    <row r="562" spans="2:6">
      <c r="B562" s="50" t="s">
        <v>21</v>
      </c>
      <c r="C562" s="50" t="s">
        <v>1095</v>
      </c>
      <c r="D562" s="50">
        <f>DATE(YEAR(OneWeekMtgRatesDataTable756[[#This Row],[asofdate]]),MONTH(OneWeekMtgRatesDataTable756[[#This Row],[asofdate]]),DAY(OneWeekMtgRatesDataTable756[[#This Row],[asofdate]]))</f>
        <v>41501</v>
      </c>
      <c r="E562" s="50" t="s">
        <v>11</v>
      </c>
      <c r="F562" s="57">
        <v>0.18406</v>
      </c>
    </row>
    <row r="563" spans="2:6">
      <c r="B563" s="50" t="s">
        <v>21</v>
      </c>
      <c r="C563" s="50" t="s">
        <v>1094</v>
      </c>
      <c r="D563" s="50">
        <f>DATE(YEAR(OneWeekMtgRatesDataTable756[[#This Row],[asofdate]]),MONTH(OneWeekMtgRatesDataTable756[[#This Row],[asofdate]]),DAY(OneWeekMtgRatesDataTable756[[#This Row],[asofdate]]))</f>
        <v>41500</v>
      </c>
      <c r="E563" s="50" t="s">
        <v>11</v>
      </c>
      <c r="F563" s="57">
        <v>0.18406</v>
      </c>
    </row>
    <row r="564" spans="2:6">
      <c r="B564" s="50" t="s">
        <v>21</v>
      </c>
      <c r="C564" s="50" t="s">
        <v>1093</v>
      </c>
      <c r="D564" s="50">
        <f>DATE(YEAR(OneWeekMtgRatesDataTable756[[#This Row],[asofdate]]),MONTH(OneWeekMtgRatesDataTable756[[#This Row],[asofdate]]),DAY(OneWeekMtgRatesDataTable756[[#This Row],[asofdate]]))</f>
        <v>41499</v>
      </c>
      <c r="E564" s="50" t="s">
        <v>11</v>
      </c>
      <c r="F564" s="57">
        <v>0.18406</v>
      </c>
    </row>
    <row r="565" spans="2:6">
      <c r="B565" s="50" t="s">
        <v>21</v>
      </c>
      <c r="C565" s="50" t="s">
        <v>1092</v>
      </c>
      <c r="D565" s="50">
        <f>DATE(YEAR(OneWeekMtgRatesDataTable756[[#This Row],[asofdate]]),MONTH(OneWeekMtgRatesDataTable756[[#This Row],[asofdate]]),DAY(OneWeekMtgRatesDataTable756[[#This Row],[asofdate]]))</f>
        <v>41498</v>
      </c>
      <c r="E565" s="50" t="s">
        <v>11</v>
      </c>
      <c r="F565" s="57">
        <v>0.18456</v>
      </c>
    </row>
    <row r="566" spans="2:6">
      <c r="B566" s="50" t="s">
        <v>21</v>
      </c>
      <c r="C566" s="50" t="s">
        <v>1091</v>
      </c>
      <c r="D566" s="50">
        <f>DATE(YEAR(OneWeekMtgRatesDataTable756[[#This Row],[asofdate]]),MONTH(OneWeekMtgRatesDataTable756[[#This Row],[asofdate]]),DAY(OneWeekMtgRatesDataTable756[[#This Row],[asofdate]]))</f>
        <v>41495</v>
      </c>
      <c r="E566" s="50" t="s">
        <v>11</v>
      </c>
      <c r="F566" s="57">
        <v>0.18456</v>
      </c>
    </row>
    <row r="567" spans="2:6">
      <c r="B567" s="50" t="s">
        <v>21</v>
      </c>
      <c r="C567" s="50" t="s">
        <v>1090</v>
      </c>
      <c r="D567" s="50">
        <f>DATE(YEAR(OneWeekMtgRatesDataTable756[[#This Row],[asofdate]]),MONTH(OneWeekMtgRatesDataTable756[[#This Row],[asofdate]]),DAY(OneWeekMtgRatesDataTable756[[#This Row],[asofdate]]))</f>
        <v>41494</v>
      </c>
      <c r="E567" s="50" t="s">
        <v>11</v>
      </c>
      <c r="F567" s="57">
        <v>0.18503</v>
      </c>
    </row>
    <row r="568" spans="2:6">
      <c r="B568" s="50" t="s">
        <v>21</v>
      </c>
      <c r="C568" s="50" t="s">
        <v>1089</v>
      </c>
      <c r="D568" s="50">
        <f>DATE(YEAR(OneWeekMtgRatesDataTable756[[#This Row],[asofdate]]),MONTH(OneWeekMtgRatesDataTable756[[#This Row],[asofdate]]),DAY(OneWeekMtgRatesDataTable756[[#This Row],[asofdate]]))</f>
        <v>41493</v>
      </c>
      <c r="E568" s="50" t="s">
        <v>11</v>
      </c>
      <c r="F568" s="57">
        <v>0.18503</v>
      </c>
    </row>
    <row r="569" spans="2:6">
      <c r="B569" s="50" t="s">
        <v>21</v>
      </c>
      <c r="C569" s="50" t="s">
        <v>1088</v>
      </c>
      <c r="D569" s="50">
        <f>DATE(YEAR(OneWeekMtgRatesDataTable756[[#This Row],[asofdate]]),MONTH(OneWeekMtgRatesDataTable756[[#This Row],[asofdate]]),DAY(OneWeekMtgRatesDataTable756[[#This Row],[asofdate]]))</f>
        <v>41492</v>
      </c>
      <c r="E569" s="50" t="s">
        <v>11</v>
      </c>
      <c r="F569" s="57">
        <v>0.18503</v>
      </c>
    </row>
    <row r="570" spans="2:6">
      <c r="B570" s="50" t="s">
        <v>21</v>
      </c>
      <c r="C570" s="50" t="s">
        <v>1087</v>
      </c>
      <c r="D570" s="50">
        <f>DATE(YEAR(OneWeekMtgRatesDataTable756[[#This Row],[asofdate]]),MONTH(OneWeekMtgRatesDataTable756[[#This Row],[asofdate]]),DAY(OneWeekMtgRatesDataTable756[[#This Row],[asofdate]]))</f>
        <v>41491</v>
      </c>
      <c r="E570" s="50" t="s">
        <v>11</v>
      </c>
      <c r="F570" s="57">
        <v>0.18603</v>
      </c>
    </row>
    <row r="571" spans="2:6">
      <c r="B571" s="50" t="s">
        <v>21</v>
      </c>
      <c r="C571" s="50" t="s">
        <v>1086</v>
      </c>
      <c r="D571" s="50">
        <f>DATE(YEAR(OneWeekMtgRatesDataTable756[[#This Row],[asofdate]]),MONTH(OneWeekMtgRatesDataTable756[[#This Row],[asofdate]]),DAY(OneWeekMtgRatesDataTable756[[#This Row],[asofdate]]))</f>
        <v>41488</v>
      </c>
      <c r="E571" s="50" t="s">
        <v>11</v>
      </c>
      <c r="F571" s="57">
        <v>0.18593000000000001</v>
      </c>
    </row>
    <row r="572" spans="2:6">
      <c r="B572" s="50" t="s">
        <v>21</v>
      </c>
      <c r="C572" s="50" t="s">
        <v>1085</v>
      </c>
      <c r="D572" s="50">
        <f>DATE(YEAR(OneWeekMtgRatesDataTable756[[#This Row],[asofdate]]),MONTH(OneWeekMtgRatesDataTable756[[#This Row],[asofdate]]),DAY(OneWeekMtgRatesDataTable756[[#This Row],[asofdate]]))</f>
        <v>41487</v>
      </c>
      <c r="E572" s="50" t="s">
        <v>11</v>
      </c>
      <c r="F572" s="57">
        <v>0.18593000000000001</v>
      </c>
    </row>
    <row r="573" spans="2:6">
      <c r="B573" s="50" t="s">
        <v>21</v>
      </c>
      <c r="C573" s="50" t="s">
        <v>1084</v>
      </c>
      <c r="D573" s="50">
        <f>DATE(YEAR(OneWeekMtgRatesDataTable756[[#This Row],[asofdate]]),MONTH(OneWeekMtgRatesDataTable756[[#This Row],[asofdate]]),DAY(OneWeekMtgRatesDataTable756[[#This Row],[asofdate]]))</f>
        <v>41486</v>
      </c>
      <c r="E573" s="50" t="s">
        <v>11</v>
      </c>
      <c r="F573" s="57">
        <v>0.18673000000000001</v>
      </c>
    </row>
    <row r="574" spans="2:6">
      <c r="B574" s="50" t="s">
        <v>21</v>
      </c>
      <c r="C574" s="50" t="s">
        <v>1083</v>
      </c>
      <c r="D574" s="50">
        <f>DATE(YEAR(OneWeekMtgRatesDataTable756[[#This Row],[asofdate]]),MONTH(OneWeekMtgRatesDataTable756[[#This Row],[asofdate]]),DAY(OneWeekMtgRatesDataTable756[[#This Row],[asofdate]]))</f>
        <v>41485</v>
      </c>
      <c r="E574" s="50" t="s">
        <v>11</v>
      </c>
      <c r="F574" s="57">
        <v>0.18723000000000001</v>
      </c>
    </row>
    <row r="575" spans="2:6">
      <c r="B575" s="50" t="s">
        <v>21</v>
      </c>
      <c r="C575" s="50" t="s">
        <v>1082</v>
      </c>
      <c r="D575" s="50">
        <f>DATE(YEAR(OneWeekMtgRatesDataTable756[[#This Row],[asofdate]]),MONTH(OneWeekMtgRatesDataTable756[[#This Row],[asofdate]]),DAY(OneWeekMtgRatesDataTable756[[#This Row],[asofdate]]))</f>
        <v>41484</v>
      </c>
      <c r="E575" s="50" t="s">
        <v>11</v>
      </c>
      <c r="F575" s="57">
        <v>0.18643000000000001</v>
      </c>
    </row>
    <row r="576" spans="2:6">
      <c r="B576" s="50" t="s">
        <v>21</v>
      </c>
      <c r="C576" s="50" t="s">
        <v>1081</v>
      </c>
      <c r="D576" s="50">
        <f>DATE(YEAR(OneWeekMtgRatesDataTable756[[#This Row],[asofdate]]),MONTH(OneWeekMtgRatesDataTable756[[#This Row],[asofdate]]),DAY(OneWeekMtgRatesDataTable756[[#This Row],[asofdate]]))</f>
        <v>41481</v>
      </c>
      <c r="E576" s="50" t="s">
        <v>11</v>
      </c>
      <c r="F576" s="57">
        <v>0.18643000000000001</v>
      </c>
    </row>
    <row r="577" spans="2:6">
      <c r="B577" s="50" t="s">
        <v>21</v>
      </c>
      <c r="C577" s="50" t="s">
        <v>1080</v>
      </c>
      <c r="D577" s="50">
        <f>DATE(YEAR(OneWeekMtgRatesDataTable756[[#This Row],[asofdate]]),MONTH(OneWeekMtgRatesDataTable756[[#This Row],[asofdate]]),DAY(OneWeekMtgRatesDataTable756[[#This Row],[asofdate]]))</f>
        <v>41480</v>
      </c>
      <c r="E577" s="50" t="s">
        <v>11</v>
      </c>
      <c r="F577" s="57">
        <v>0.18643000000000001</v>
      </c>
    </row>
    <row r="578" spans="2:6">
      <c r="B578" s="50" t="s">
        <v>21</v>
      </c>
      <c r="C578" s="50" t="s">
        <v>1079</v>
      </c>
      <c r="D578" s="50">
        <f>DATE(YEAR(OneWeekMtgRatesDataTable756[[#This Row],[asofdate]]),MONTH(OneWeekMtgRatesDataTable756[[#This Row],[asofdate]]),DAY(OneWeekMtgRatesDataTable756[[#This Row],[asofdate]]))</f>
        <v>41479</v>
      </c>
      <c r="E578" s="50" t="s">
        <v>11</v>
      </c>
      <c r="F578" s="57">
        <v>0.18933</v>
      </c>
    </row>
    <row r="579" spans="2:6">
      <c r="B579" s="50" t="s">
        <v>21</v>
      </c>
      <c r="C579" s="50" t="s">
        <v>1078</v>
      </c>
      <c r="D579" s="50">
        <f>DATE(YEAR(OneWeekMtgRatesDataTable756[[#This Row],[asofdate]]),MONTH(OneWeekMtgRatesDataTable756[[#This Row],[asofdate]]),DAY(OneWeekMtgRatesDataTable756[[#This Row],[asofdate]]))</f>
        <v>41478</v>
      </c>
      <c r="E579" s="50" t="s">
        <v>11</v>
      </c>
      <c r="F579" s="57">
        <v>0.19003</v>
      </c>
    </row>
    <row r="580" spans="2:6">
      <c r="B580" s="50" t="s">
        <v>21</v>
      </c>
      <c r="C580" s="50" t="s">
        <v>1077</v>
      </c>
      <c r="D580" s="50">
        <f>DATE(YEAR(OneWeekMtgRatesDataTable756[[#This Row],[asofdate]]),MONTH(OneWeekMtgRatesDataTable756[[#This Row],[asofdate]]),DAY(OneWeekMtgRatesDataTable756[[#This Row],[asofdate]]))</f>
        <v>41477</v>
      </c>
      <c r="E580" s="50" t="s">
        <v>11</v>
      </c>
      <c r="F580" s="57">
        <v>0.19053</v>
      </c>
    </row>
    <row r="581" spans="2:6">
      <c r="B581" s="50" t="s">
        <v>21</v>
      </c>
      <c r="C581" s="50" t="s">
        <v>1076</v>
      </c>
      <c r="D581" s="50">
        <f>DATE(YEAR(OneWeekMtgRatesDataTable756[[#This Row],[asofdate]]),MONTH(OneWeekMtgRatesDataTable756[[#This Row],[asofdate]]),DAY(OneWeekMtgRatesDataTable756[[#This Row],[asofdate]]))</f>
        <v>41474</v>
      </c>
      <c r="E581" s="50" t="s">
        <v>11</v>
      </c>
      <c r="F581" s="57">
        <v>0.19103000000000001</v>
      </c>
    </row>
    <row r="582" spans="2:6">
      <c r="B582" s="50" t="s">
        <v>21</v>
      </c>
      <c r="C582" s="50" t="s">
        <v>1075</v>
      </c>
      <c r="D582" s="50">
        <f>DATE(YEAR(OneWeekMtgRatesDataTable756[[#This Row],[asofdate]]),MONTH(OneWeekMtgRatesDataTable756[[#This Row],[asofdate]]),DAY(OneWeekMtgRatesDataTable756[[#This Row],[asofdate]]))</f>
        <v>41473</v>
      </c>
      <c r="E582" s="50" t="s">
        <v>11</v>
      </c>
      <c r="F582" s="57">
        <v>0.19153000000000001</v>
      </c>
    </row>
    <row r="583" spans="2:6">
      <c r="B583" s="50" t="s">
        <v>21</v>
      </c>
      <c r="C583" s="50" t="s">
        <v>1074</v>
      </c>
      <c r="D583" s="50">
        <f>DATE(YEAR(OneWeekMtgRatesDataTable756[[#This Row],[asofdate]]),MONTH(OneWeekMtgRatesDataTable756[[#This Row],[asofdate]]),DAY(OneWeekMtgRatesDataTable756[[#This Row],[asofdate]]))</f>
        <v>41472</v>
      </c>
      <c r="E583" s="50" t="s">
        <v>11</v>
      </c>
      <c r="F583" s="57">
        <v>0.19153000000000001</v>
      </c>
    </row>
    <row r="584" spans="2:6">
      <c r="B584" s="50" t="s">
        <v>21</v>
      </c>
      <c r="C584" s="50" t="s">
        <v>1073</v>
      </c>
      <c r="D584" s="50">
        <f>DATE(YEAR(OneWeekMtgRatesDataTable756[[#This Row],[asofdate]]),MONTH(OneWeekMtgRatesDataTable756[[#This Row],[asofdate]]),DAY(OneWeekMtgRatesDataTable756[[#This Row],[asofdate]]))</f>
        <v>41471</v>
      </c>
      <c r="E584" s="50" t="s">
        <v>11</v>
      </c>
      <c r="F584" s="57">
        <v>0.19053</v>
      </c>
    </row>
    <row r="585" spans="2:6">
      <c r="B585" s="50" t="s">
        <v>21</v>
      </c>
      <c r="C585" s="50" t="s">
        <v>1072</v>
      </c>
      <c r="D585" s="50">
        <f>DATE(YEAR(OneWeekMtgRatesDataTable756[[#This Row],[asofdate]]),MONTH(OneWeekMtgRatesDataTable756[[#This Row],[asofdate]]),DAY(OneWeekMtgRatesDataTable756[[#This Row],[asofdate]]))</f>
        <v>41470</v>
      </c>
      <c r="E585" s="50" t="s">
        <v>11</v>
      </c>
      <c r="F585" s="57">
        <v>0.19192999999999999</v>
      </c>
    </row>
    <row r="586" spans="2:6">
      <c r="B586" s="50" t="s">
        <v>21</v>
      </c>
      <c r="C586" s="50" t="s">
        <v>1071</v>
      </c>
      <c r="D586" s="50">
        <f>DATE(YEAR(OneWeekMtgRatesDataTable756[[#This Row],[asofdate]]),MONTH(OneWeekMtgRatesDataTable756[[#This Row],[asofdate]]),DAY(OneWeekMtgRatesDataTable756[[#This Row],[asofdate]]))</f>
        <v>41467</v>
      </c>
      <c r="E586" s="50" t="s">
        <v>11</v>
      </c>
      <c r="F586" s="57">
        <v>0.19192999999999999</v>
      </c>
    </row>
    <row r="587" spans="2:6">
      <c r="B587" s="50" t="s">
        <v>21</v>
      </c>
      <c r="C587" s="50" t="s">
        <v>1070</v>
      </c>
      <c r="D587" s="50">
        <f>DATE(YEAR(OneWeekMtgRatesDataTable756[[#This Row],[asofdate]]),MONTH(OneWeekMtgRatesDataTable756[[#This Row],[asofdate]]),DAY(OneWeekMtgRatesDataTable756[[#This Row],[asofdate]]))</f>
        <v>41466</v>
      </c>
      <c r="E587" s="50" t="s">
        <v>11</v>
      </c>
      <c r="F587" s="57">
        <v>0.19103000000000001</v>
      </c>
    </row>
    <row r="588" spans="2:6">
      <c r="B588" s="50" t="s">
        <v>21</v>
      </c>
      <c r="C588" s="50" t="s">
        <v>1069</v>
      </c>
      <c r="D588" s="50">
        <f>DATE(YEAR(OneWeekMtgRatesDataTable756[[#This Row],[asofdate]]),MONTH(OneWeekMtgRatesDataTable756[[#This Row],[asofdate]]),DAY(OneWeekMtgRatesDataTable756[[#This Row],[asofdate]]))</f>
        <v>41465</v>
      </c>
      <c r="E588" s="50" t="s">
        <v>11</v>
      </c>
      <c r="F588" s="57">
        <v>0.19213</v>
      </c>
    </row>
    <row r="589" spans="2:6">
      <c r="B589" s="50" t="s">
        <v>21</v>
      </c>
      <c r="C589" s="50" t="s">
        <v>1068</v>
      </c>
      <c r="D589" s="50">
        <f>DATE(YEAR(OneWeekMtgRatesDataTable756[[#This Row],[asofdate]]),MONTH(OneWeekMtgRatesDataTable756[[#This Row],[asofdate]]),DAY(OneWeekMtgRatesDataTable756[[#This Row],[asofdate]]))</f>
        <v>41464</v>
      </c>
      <c r="E589" s="50" t="s">
        <v>11</v>
      </c>
      <c r="F589" s="57">
        <v>0.19275999999999999</v>
      </c>
    </row>
    <row r="590" spans="2:6">
      <c r="B590" s="50" t="s">
        <v>21</v>
      </c>
      <c r="C590" s="50" t="s">
        <v>1067</v>
      </c>
      <c r="D590" s="50">
        <f>DATE(YEAR(OneWeekMtgRatesDataTable756[[#This Row],[asofdate]]),MONTH(OneWeekMtgRatesDataTable756[[#This Row],[asofdate]]),DAY(OneWeekMtgRatesDataTable756[[#This Row],[asofdate]]))</f>
        <v>41463</v>
      </c>
      <c r="E590" s="50" t="s">
        <v>11</v>
      </c>
      <c r="F590" s="57">
        <v>0.19278000000000001</v>
      </c>
    </row>
    <row r="591" spans="2:6">
      <c r="B591" s="50" t="s">
        <v>21</v>
      </c>
      <c r="C591" s="50" t="s">
        <v>1066</v>
      </c>
      <c r="D591" s="50">
        <f>DATE(YEAR(OneWeekMtgRatesDataTable756[[#This Row],[asofdate]]),MONTH(OneWeekMtgRatesDataTable756[[#This Row],[asofdate]]),DAY(OneWeekMtgRatesDataTable756[[#This Row],[asofdate]]))</f>
        <v>41460</v>
      </c>
      <c r="E591" s="50" t="s">
        <v>11</v>
      </c>
      <c r="F591" s="57">
        <v>0.19478000000000001</v>
      </c>
    </row>
    <row r="592" spans="2:6">
      <c r="B592" s="50" t="s">
        <v>21</v>
      </c>
      <c r="C592" s="50" t="s">
        <v>1065</v>
      </c>
      <c r="D592" s="50">
        <f>DATE(YEAR(OneWeekMtgRatesDataTable756[[#This Row],[asofdate]]),MONTH(OneWeekMtgRatesDataTable756[[#This Row],[asofdate]]),DAY(OneWeekMtgRatesDataTable756[[#This Row],[asofdate]]))</f>
        <v>41458</v>
      </c>
      <c r="E592" s="50" t="s">
        <v>11</v>
      </c>
      <c r="F592" s="57">
        <v>0.19478000000000001</v>
      </c>
    </row>
    <row r="593" spans="2:6">
      <c r="B593" s="50" t="s">
        <v>21</v>
      </c>
      <c r="C593" s="50" t="s">
        <v>1064</v>
      </c>
      <c r="D593" s="50">
        <f>DATE(YEAR(OneWeekMtgRatesDataTable756[[#This Row],[asofdate]]),MONTH(OneWeekMtgRatesDataTable756[[#This Row],[asofdate]]),DAY(OneWeekMtgRatesDataTable756[[#This Row],[asofdate]]))</f>
        <v>41457</v>
      </c>
      <c r="E593" s="50" t="s">
        <v>11</v>
      </c>
      <c r="F593" s="57">
        <v>0.19528000000000001</v>
      </c>
    </row>
    <row r="594" spans="2:6">
      <c r="B594" s="50" t="s">
        <v>21</v>
      </c>
      <c r="C594" s="50" t="s">
        <v>1063</v>
      </c>
      <c r="D594" s="50">
        <f>DATE(YEAR(OneWeekMtgRatesDataTable756[[#This Row],[asofdate]]),MONTH(OneWeekMtgRatesDataTable756[[#This Row],[asofdate]]),DAY(OneWeekMtgRatesDataTable756[[#This Row],[asofdate]]))</f>
        <v>41456</v>
      </c>
      <c r="E594" s="50" t="s">
        <v>11</v>
      </c>
      <c r="F594" s="57">
        <v>0.1958</v>
      </c>
    </row>
    <row r="595" spans="2:6">
      <c r="B595" s="50" t="s">
        <v>21</v>
      </c>
      <c r="C595" s="50" t="s">
        <v>1062</v>
      </c>
      <c r="D595" s="50">
        <f>DATE(YEAR(OneWeekMtgRatesDataTable756[[#This Row],[asofdate]]),MONTH(OneWeekMtgRatesDataTable756[[#This Row],[asofdate]]),DAY(OneWeekMtgRatesDataTable756[[#This Row],[asofdate]]))</f>
        <v>41453</v>
      </c>
      <c r="E595" s="50" t="s">
        <v>11</v>
      </c>
      <c r="F595" s="57">
        <v>0.19464999999999999</v>
      </c>
    </row>
    <row r="596" spans="2:6">
      <c r="B596" s="50" t="s">
        <v>21</v>
      </c>
      <c r="C596" s="50" t="s">
        <v>1061</v>
      </c>
      <c r="D596" s="50">
        <f>DATE(YEAR(OneWeekMtgRatesDataTable756[[#This Row],[asofdate]]),MONTH(OneWeekMtgRatesDataTable756[[#This Row],[asofdate]]),DAY(OneWeekMtgRatesDataTable756[[#This Row],[asofdate]]))</f>
        <v>41452</v>
      </c>
      <c r="E596" s="50" t="s">
        <v>11</v>
      </c>
      <c r="F596" s="57">
        <v>0.19505</v>
      </c>
    </row>
    <row r="597" spans="2:6">
      <c r="B597" s="50" t="s">
        <v>21</v>
      </c>
      <c r="C597" s="50" t="s">
        <v>1060</v>
      </c>
      <c r="D597" s="50">
        <f>DATE(YEAR(OneWeekMtgRatesDataTable756[[#This Row],[asofdate]]),MONTH(OneWeekMtgRatesDataTable756[[#This Row],[asofdate]]),DAY(OneWeekMtgRatesDataTable756[[#This Row],[asofdate]]))</f>
        <v>41451</v>
      </c>
      <c r="E597" s="50" t="s">
        <v>11</v>
      </c>
      <c r="F597" s="57">
        <v>0.19535</v>
      </c>
    </row>
    <row r="598" spans="2:6">
      <c r="B598" s="50" t="s">
        <v>21</v>
      </c>
      <c r="C598" s="50" t="s">
        <v>1059</v>
      </c>
      <c r="D598" s="50">
        <f>DATE(YEAR(OneWeekMtgRatesDataTable756[[#This Row],[asofdate]]),MONTH(OneWeekMtgRatesDataTable756[[#This Row],[asofdate]]),DAY(OneWeekMtgRatesDataTable756[[#This Row],[asofdate]]))</f>
        <v>41450</v>
      </c>
      <c r="E598" s="50" t="s">
        <v>11</v>
      </c>
      <c r="F598" s="57">
        <v>0.19434999999999999</v>
      </c>
    </row>
    <row r="599" spans="2:6">
      <c r="B599" s="50" t="s">
        <v>21</v>
      </c>
      <c r="C599" s="50" t="s">
        <v>1058</v>
      </c>
      <c r="D599" s="50">
        <f>DATE(YEAR(OneWeekMtgRatesDataTable756[[#This Row],[asofdate]]),MONTH(OneWeekMtgRatesDataTable756[[#This Row],[asofdate]]),DAY(OneWeekMtgRatesDataTable756[[#This Row],[asofdate]]))</f>
        <v>41449</v>
      </c>
      <c r="E599" s="50" t="s">
        <v>11</v>
      </c>
      <c r="F599" s="57">
        <v>0.19535</v>
      </c>
    </row>
    <row r="600" spans="2:6">
      <c r="B600" s="50" t="s">
        <v>21</v>
      </c>
      <c r="C600" s="50" t="s">
        <v>1057</v>
      </c>
      <c r="D600" s="50">
        <f>DATE(YEAR(OneWeekMtgRatesDataTable756[[#This Row],[asofdate]]),MONTH(OneWeekMtgRatesDataTable756[[#This Row],[asofdate]]),DAY(OneWeekMtgRatesDataTable756[[#This Row],[asofdate]]))</f>
        <v>41446</v>
      </c>
      <c r="E600" s="50" t="s">
        <v>11</v>
      </c>
      <c r="F600" s="57">
        <v>0.193</v>
      </c>
    </row>
    <row r="601" spans="2:6">
      <c r="B601" s="50" t="s">
        <v>21</v>
      </c>
      <c r="C601" s="50" t="s">
        <v>1056</v>
      </c>
      <c r="D601" s="50">
        <f>DATE(YEAR(OneWeekMtgRatesDataTable756[[#This Row],[asofdate]]),MONTH(OneWeekMtgRatesDataTable756[[#This Row],[asofdate]]),DAY(OneWeekMtgRatesDataTable756[[#This Row],[asofdate]]))</f>
        <v>41445</v>
      </c>
      <c r="E601" s="50" t="s">
        <v>11</v>
      </c>
      <c r="F601" s="57">
        <v>0.193</v>
      </c>
    </row>
    <row r="602" spans="2:6">
      <c r="B602" s="50" t="s">
        <v>21</v>
      </c>
      <c r="C602" s="50" t="s">
        <v>1055</v>
      </c>
      <c r="D602" s="50">
        <f>DATE(YEAR(OneWeekMtgRatesDataTable756[[#This Row],[asofdate]]),MONTH(OneWeekMtgRatesDataTable756[[#This Row],[asofdate]]),DAY(OneWeekMtgRatesDataTable756[[#This Row],[asofdate]]))</f>
        <v>41444</v>
      </c>
      <c r="E602" s="50" t="s">
        <v>11</v>
      </c>
      <c r="F602" s="57">
        <v>0.19159999999999999</v>
      </c>
    </row>
    <row r="603" spans="2:6">
      <c r="B603" s="50" t="s">
        <v>21</v>
      </c>
      <c r="C603" s="50" t="s">
        <v>1054</v>
      </c>
      <c r="D603" s="50">
        <f>DATE(YEAR(OneWeekMtgRatesDataTable756[[#This Row],[asofdate]]),MONTH(OneWeekMtgRatesDataTable756[[#This Row],[asofdate]]),DAY(OneWeekMtgRatesDataTable756[[#This Row],[asofdate]]))</f>
        <v>41443</v>
      </c>
      <c r="E603" s="50" t="s">
        <v>11</v>
      </c>
      <c r="F603" s="57">
        <v>0.19159999999999999</v>
      </c>
    </row>
    <row r="604" spans="2:6">
      <c r="B604" s="50" t="s">
        <v>21</v>
      </c>
      <c r="C604" s="50" t="s">
        <v>1053</v>
      </c>
      <c r="D604" s="50">
        <f>DATE(YEAR(OneWeekMtgRatesDataTable756[[#This Row],[asofdate]]),MONTH(OneWeekMtgRatesDataTable756[[#This Row],[asofdate]]),DAY(OneWeekMtgRatesDataTable756[[#This Row],[asofdate]]))</f>
        <v>41442</v>
      </c>
      <c r="E604" s="50" t="s">
        <v>11</v>
      </c>
      <c r="F604" s="57">
        <v>0.19159999999999999</v>
      </c>
    </row>
    <row r="605" spans="2:6">
      <c r="B605" s="50" t="s">
        <v>21</v>
      </c>
      <c r="C605" s="50" t="s">
        <v>1052</v>
      </c>
      <c r="D605" s="50">
        <f>DATE(YEAR(OneWeekMtgRatesDataTable756[[#This Row],[asofdate]]),MONTH(OneWeekMtgRatesDataTable756[[#This Row],[asofdate]]),DAY(OneWeekMtgRatesDataTable756[[#This Row],[asofdate]]))</f>
        <v>41439</v>
      </c>
      <c r="E605" s="50" t="s">
        <v>11</v>
      </c>
      <c r="F605" s="57">
        <v>0.1925</v>
      </c>
    </row>
    <row r="606" spans="2:6">
      <c r="B606" s="50" t="s">
        <v>21</v>
      </c>
      <c r="C606" s="50" t="s">
        <v>1051</v>
      </c>
      <c r="D606" s="50">
        <f>DATE(YEAR(OneWeekMtgRatesDataTable756[[#This Row],[asofdate]]),MONTH(OneWeekMtgRatesDataTable756[[#This Row],[asofdate]]),DAY(OneWeekMtgRatesDataTable756[[#This Row],[asofdate]]))</f>
        <v>41438</v>
      </c>
      <c r="E606" s="50" t="s">
        <v>11</v>
      </c>
      <c r="F606" s="57">
        <v>0.1925</v>
      </c>
    </row>
    <row r="607" spans="2:6">
      <c r="B607" s="50" t="s">
        <v>21</v>
      </c>
      <c r="C607" s="50" t="s">
        <v>1050</v>
      </c>
      <c r="D607" s="50">
        <f>DATE(YEAR(OneWeekMtgRatesDataTable756[[#This Row],[asofdate]]),MONTH(OneWeekMtgRatesDataTable756[[#This Row],[asofdate]]),DAY(OneWeekMtgRatesDataTable756[[#This Row],[asofdate]]))</f>
        <v>41437</v>
      </c>
      <c r="E607" s="50" t="s">
        <v>11</v>
      </c>
      <c r="F607" s="57">
        <v>0.1925</v>
      </c>
    </row>
    <row r="608" spans="2:6">
      <c r="B608" s="50" t="s">
        <v>21</v>
      </c>
      <c r="C608" s="50" t="s">
        <v>1049</v>
      </c>
      <c r="D608" s="50">
        <f>DATE(YEAR(OneWeekMtgRatesDataTable756[[#This Row],[asofdate]]),MONTH(OneWeekMtgRatesDataTable756[[#This Row],[asofdate]]),DAY(OneWeekMtgRatesDataTable756[[#This Row],[asofdate]]))</f>
        <v>41436</v>
      </c>
      <c r="E608" s="50" t="s">
        <v>11</v>
      </c>
      <c r="F608" s="57">
        <v>0.1925</v>
      </c>
    </row>
    <row r="609" spans="2:6">
      <c r="B609" s="50" t="s">
        <v>21</v>
      </c>
      <c r="C609" s="50" t="s">
        <v>1048</v>
      </c>
      <c r="D609" s="50">
        <f>DATE(YEAR(OneWeekMtgRatesDataTable756[[#This Row],[asofdate]]),MONTH(OneWeekMtgRatesDataTable756[[#This Row],[asofdate]]),DAY(OneWeekMtgRatesDataTable756[[#This Row],[asofdate]]))</f>
        <v>41435</v>
      </c>
      <c r="E609" s="50" t="s">
        <v>11</v>
      </c>
      <c r="F609" s="57">
        <v>0.1925</v>
      </c>
    </row>
    <row r="610" spans="2:6">
      <c r="B610" s="50" t="s">
        <v>21</v>
      </c>
      <c r="C610" s="50" t="s">
        <v>1047</v>
      </c>
      <c r="D610" s="50">
        <f>DATE(YEAR(OneWeekMtgRatesDataTable756[[#This Row],[asofdate]]),MONTH(OneWeekMtgRatesDataTable756[[#This Row],[asofdate]]),DAY(OneWeekMtgRatesDataTable756[[#This Row],[asofdate]]))</f>
        <v>41432</v>
      </c>
      <c r="E610" s="50" t="s">
        <v>11</v>
      </c>
      <c r="F610" s="57">
        <v>0.19238</v>
      </c>
    </row>
    <row r="611" spans="2:6">
      <c r="B611" s="50" t="s">
        <v>21</v>
      </c>
      <c r="C611" s="50" t="s">
        <v>1046</v>
      </c>
      <c r="D611" s="50">
        <f>DATE(YEAR(OneWeekMtgRatesDataTable756[[#This Row],[asofdate]]),MONTH(OneWeekMtgRatesDataTable756[[#This Row],[asofdate]]),DAY(OneWeekMtgRatesDataTable756[[#This Row],[asofdate]]))</f>
        <v>41431</v>
      </c>
      <c r="E611" s="50" t="s">
        <v>11</v>
      </c>
      <c r="F611" s="57">
        <v>0.19288</v>
      </c>
    </row>
    <row r="612" spans="2:6">
      <c r="B612" s="50" t="s">
        <v>21</v>
      </c>
      <c r="C612" s="50" t="s">
        <v>1045</v>
      </c>
      <c r="D612" s="50">
        <f>DATE(YEAR(OneWeekMtgRatesDataTable756[[#This Row],[asofdate]]),MONTH(OneWeekMtgRatesDataTable756[[#This Row],[asofdate]]),DAY(OneWeekMtgRatesDataTable756[[#This Row],[asofdate]]))</f>
        <v>41430</v>
      </c>
      <c r="E612" s="50" t="s">
        <v>11</v>
      </c>
      <c r="F612" s="57">
        <v>0.19328000000000001</v>
      </c>
    </row>
    <row r="613" spans="2:6">
      <c r="B613" s="50" t="s">
        <v>21</v>
      </c>
      <c r="C613" s="50" t="s">
        <v>1044</v>
      </c>
      <c r="D613" s="50">
        <f>DATE(YEAR(OneWeekMtgRatesDataTable756[[#This Row],[asofdate]]),MONTH(OneWeekMtgRatesDataTable756[[#This Row],[asofdate]]),DAY(OneWeekMtgRatesDataTable756[[#This Row],[asofdate]]))</f>
        <v>41429</v>
      </c>
      <c r="E613" s="50" t="s">
        <v>11</v>
      </c>
      <c r="F613" s="57">
        <v>0.19328000000000001</v>
      </c>
    </row>
    <row r="614" spans="2:6">
      <c r="B614" s="50" t="s">
        <v>21</v>
      </c>
      <c r="C614" s="50" t="s">
        <v>1043</v>
      </c>
      <c r="D614" s="50">
        <f>DATE(YEAR(OneWeekMtgRatesDataTable756[[#This Row],[asofdate]]),MONTH(OneWeekMtgRatesDataTable756[[#This Row],[asofdate]]),DAY(OneWeekMtgRatesDataTable756[[#This Row],[asofdate]]))</f>
        <v>41428</v>
      </c>
      <c r="E614" s="50" t="s">
        <v>11</v>
      </c>
      <c r="F614" s="57">
        <v>0.19398000000000001</v>
      </c>
    </row>
    <row r="615" spans="2:6">
      <c r="B615" s="50" t="s">
        <v>21</v>
      </c>
      <c r="C615" s="50" t="s">
        <v>1042</v>
      </c>
      <c r="D615" s="50">
        <f>DATE(YEAR(OneWeekMtgRatesDataTable756[[#This Row],[asofdate]]),MONTH(OneWeekMtgRatesDataTable756[[#This Row],[asofdate]]),DAY(OneWeekMtgRatesDataTable756[[#This Row],[asofdate]]))</f>
        <v>41425</v>
      </c>
      <c r="E615" s="50" t="s">
        <v>11</v>
      </c>
      <c r="F615" s="57">
        <v>0.19428000000000001</v>
      </c>
    </row>
    <row r="616" spans="2:6">
      <c r="B616" s="50" t="s">
        <v>21</v>
      </c>
      <c r="C616" s="50" t="s">
        <v>1041</v>
      </c>
      <c r="D616" s="50">
        <f>DATE(YEAR(OneWeekMtgRatesDataTable756[[#This Row],[asofdate]]),MONTH(OneWeekMtgRatesDataTable756[[#This Row],[asofdate]]),DAY(OneWeekMtgRatesDataTable756[[#This Row],[asofdate]]))</f>
        <v>41424</v>
      </c>
      <c r="E616" s="50" t="s">
        <v>11</v>
      </c>
      <c r="F616" s="57">
        <v>0.19378000000000001</v>
      </c>
    </row>
    <row r="617" spans="2:6">
      <c r="B617" s="50" t="s">
        <v>21</v>
      </c>
      <c r="C617" s="50" t="s">
        <v>1040</v>
      </c>
      <c r="D617" s="50">
        <f>DATE(YEAR(OneWeekMtgRatesDataTable756[[#This Row],[asofdate]]),MONTH(OneWeekMtgRatesDataTable756[[#This Row],[asofdate]]),DAY(OneWeekMtgRatesDataTable756[[#This Row],[asofdate]]))</f>
        <v>41423</v>
      </c>
      <c r="E617" s="50" t="s">
        <v>11</v>
      </c>
      <c r="F617" s="57">
        <v>0.19378000000000001</v>
      </c>
    </row>
    <row r="618" spans="2:6">
      <c r="B618" s="50" t="s">
        <v>21</v>
      </c>
      <c r="C618" s="50" t="s">
        <v>1039</v>
      </c>
      <c r="D618" s="50">
        <f>DATE(YEAR(OneWeekMtgRatesDataTable756[[#This Row],[asofdate]]),MONTH(OneWeekMtgRatesDataTable756[[#This Row],[asofdate]]),DAY(OneWeekMtgRatesDataTable756[[#This Row],[asofdate]]))</f>
        <v>41422</v>
      </c>
      <c r="E618" s="50" t="s">
        <v>11</v>
      </c>
      <c r="F618" s="57">
        <v>0.19278000000000001</v>
      </c>
    </row>
    <row r="619" spans="2:6">
      <c r="B619" s="50" t="s">
        <v>21</v>
      </c>
      <c r="C619" s="50" t="s">
        <v>1038</v>
      </c>
      <c r="D619" s="50">
        <f>DATE(YEAR(OneWeekMtgRatesDataTable756[[#This Row],[asofdate]]),MONTH(OneWeekMtgRatesDataTable756[[#This Row],[asofdate]]),DAY(OneWeekMtgRatesDataTable756[[#This Row],[asofdate]]))</f>
        <v>41418</v>
      </c>
      <c r="E619" s="50" t="s">
        <v>11</v>
      </c>
      <c r="F619" s="57">
        <v>0.19328000000000001</v>
      </c>
    </row>
    <row r="620" spans="2:6">
      <c r="B620" s="50" t="s">
        <v>21</v>
      </c>
      <c r="C620" s="50" t="s">
        <v>1037</v>
      </c>
      <c r="D620" s="50">
        <f>DATE(YEAR(OneWeekMtgRatesDataTable756[[#This Row],[asofdate]]),MONTH(OneWeekMtgRatesDataTable756[[#This Row],[asofdate]]),DAY(OneWeekMtgRatesDataTable756[[#This Row],[asofdate]]))</f>
        <v>41417</v>
      </c>
      <c r="E620" s="50" t="s">
        <v>11</v>
      </c>
      <c r="F620" s="57">
        <v>0.19328000000000001</v>
      </c>
    </row>
    <row r="621" spans="2:6">
      <c r="B621" s="50" t="s">
        <v>21</v>
      </c>
      <c r="C621" s="50" t="s">
        <v>1036</v>
      </c>
      <c r="D621" s="50">
        <f>DATE(YEAR(OneWeekMtgRatesDataTable756[[#This Row],[asofdate]]),MONTH(OneWeekMtgRatesDataTable756[[#This Row],[asofdate]]),DAY(OneWeekMtgRatesDataTable756[[#This Row],[asofdate]]))</f>
        <v>41416</v>
      </c>
      <c r="E621" s="50" t="s">
        <v>11</v>
      </c>
      <c r="F621" s="57">
        <v>0.19528000000000001</v>
      </c>
    </row>
    <row r="622" spans="2:6">
      <c r="B622" s="50" t="s">
        <v>21</v>
      </c>
      <c r="C622" s="50" t="s">
        <v>1035</v>
      </c>
      <c r="D622" s="50">
        <f>DATE(YEAR(OneWeekMtgRatesDataTable756[[#This Row],[asofdate]]),MONTH(OneWeekMtgRatesDataTable756[[#This Row],[asofdate]]),DAY(OneWeekMtgRatesDataTable756[[#This Row],[asofdate]]))</f>
        <v>41415</v>
      </c>
      <c r="E622" s="50" t="s">
        <v>11</v>
      </c>
      <c r="F622" s="57">
        <v>0.19628000000000001</v>
      </c>
    </row>
    <row r="623" spans="2:6">
      <c r="B623" s="50" t="s">
        <v>21</v>
      </c>
      <c r="C623" s="50" t="s">
        <v>1034</v>
      </c>
      <c r="D623" s="50">
        <f>DATE(YEAR(OneWeekMtgRatesDataTable756[[#This Row],[asofdate]]),MONTH(OneWeekMtgRatesDataTable756[[#This Row],[asofdate]]),DAY(OneWeekMtgRatesDataTable756[[#This Row],[asofdate]]))</f>
        <v>41414</v>
      </c>
      <c r="E623" s="50" t="s">
        <v>11</v>
      </c>
      <c r="F623" s="57">
        <v>0.19617999999999999</v>
      </c>
    </row>
    <row r="624" spans="2:6">
      <c r="B624" s="50" t="s">
        <v>21</v>
      </c>
      <c r="C624" s="50" t="s">
        <v>1033</v>
      </c>
      <c r="D624" s="50">
        <f>DATE(YEAR(OneWeekMtgRatesDataTable756[[#This Row],[asofdate]]),MONTH(OneWeekMtgRatesDataTable756[[#This Row],[asofdate]]),DAY(OneWeekMtgRatesDataTable756[[#This Row],[asofdate]]))</f>
        <v>41411</v>
      </c>
      <c r="E624" s="50" t="s">
        <v>11</v>
      </c>
      <c r="F624" s="57">
        <v>0.19678000000000001</v>
      </c>
    </row>
    <row r="625" spans="2:6">
      <c r="B625" s="50" t="s">
        <v>21</v>
      </c>
      <c r="C625" s="50" t="s">
        <v>1032</v>
      </c>
      <c r="D625" s="50">
        <f>DATE(YEAR(OneWeekMtgRatesDataTable756[[#This Row],[asofdate]]),MONTH(OneWeekMtgRatesDataTable756[[#This Row],[asofdate]]),DAY(OneWeekMtgRatesDataTable756[[#This Row],[asofdate]]))</f>
        <v>41410</v>
      </c>
      <c r="E625" s="50" t="s">
        <v>11</v>
      </c>
      <c r="F625" s="57">
        <v>0.19819999999999999</v>
      </c>
    </row>
    <row r="626" spans="2:6">
      <c r="B626" s="50" t="s">
        <v>21</v>
      </c>
      <c r="C626" s="50" t="s">
        <v>1031</v>
      </c>
      <c r="D626" s="50">
        <f>DATE(YEAR(OneWeekMtgRatesDataTable756[[#This Row],[asofdate]]),MONTH(OneWeekMtgRatesDataTable756[[#This Row],[asofdate]]),DAY(OneWeekMtgRatesDataTable756[[#This Row],[asofdate]]))</f>
        <v>41409</v>
      </c>
      <c r="E626" s="50" t="s">
        <v>11</v>
      </c>
      <c r="F626" s="57">
        <v>0.19819999999999999</v>
      </c>
    </row>
    <row r="627" spans="2:6">
      <c r="B627" s="50" t="s">
        <v>21</v>
      </c>
      <c r="C627" s="50" t="s">
        <v>1030</v>
      </c>
      <c r="D627" s="50">
        <f>DATE(YEAR(OneWeekMtgRatesDataTable756[[#This Row],[asofdate]]),MONTH(OneWeekMtgRatesDataTable756[[#This Row],[asofdate]]),DAY(OneWeekMtgRatesDataTable756[[#This Row],[asofdate]]))</f>
        <v>41408</v>
      </c>
      <c r="E627" s="50" t="s">
        <v>11</v>
      </c>
      <c r="F627" s="57">
        <v>0.19819999999999999</v>
      </c>
    </row>
    <row r="628" spans="2:6">
      <c r="B628" s="50" t="s">
        <v>21</v>
      </c>
      <c r="C628" s="50" t="s">
        <v>1029</v>
      </c>
      <c r="D628" s="50">
        <f>DATE(YEAR(OneWeekMtgRatesDataTable756[[#This Row],[asofdate]]),MONTH(OneWeekMtgRatesDataTable756[[#This Row],[asofdate]]),DAY(OneWeekMtgRatesDataTable756[[#This Row],[asofdate]]))</f>
        <v>41407</v>
      </c>
      <c r="E628" s="50" t="s">
        <v>11</v>
      </c>
      <c r="F628" s="57">
        <v>0.19919999999999999</v>
      </c>
    </row>
    <row r="629" spans="2:6">
      <c r="B629" s="50" t="s">
        <v>21</v>
      </c>
      <c r="C629" s="50" t="s">
        <v>1028</v>
      </c>
      <c r="D629" s="50">
        <f>DATE(YEAR(OneWeekMtgRatesDataTable756[[#This Row],[asofdate]]),MONTH(OneWeekMtgRatesDataTable756[[#This Row],[asofdate]]),DAY(OneWeekMtgRatesDataTable756[[#This Row],[asofdate]]))</f>
        <v>41404</v>
      </c>
      <c r="E629" s="50" t="s">
        <v>11</v>
      </c>
      <c r="F629" s="57">
        <v>0.19919999999999999</v>
      </c>
    </row>
    <row r="630" spans="2:6">
      <c r="B630" s="50" t="s">
        <v>21</v>
      </c>
      <c r="C630" s="50" t="s">
        <v>1027</v>
      </c>
      <c r="D630" s="50">
        <f>DATE(YEAR(OneWeekMtgRatesDataTable756[[#This Row],[asofdate]]),MONTH(OneWeekMtgRatesDataTable756[[#This Row],[asofdate]]),DAY(OneWeekMtgRatesDataTable756[[#This Row],[asofdate]]))</f>
        <v>41403</v>
      </c>
      <c r="E630" s="50" t="s">
        <v>11</v>
      </c>
      <c r="F630" s="57">
        <v>0.19919999999999999</v>
      </c>
    </row>
    <row r="631" spans="2:6">
      <c r="B631" s="50" t="s">
        <v>21</v>
      </c>
      <c r="C631" s="50" t="s">
        <v>1026</v>
      </c>
      <c r="D631" s="50">
        <f>DATE(YEAR(OneWeekMtgRatesDataTable756[[#This Row],[asofdate]]),MONTH(OneWeekMtgRatesDataTable756[[#This Row],[asofdate]]),DAY(OneWeekMtgRatesDataTable756[[#This Row],[asofdate]]))</f>
        <v>41402</v>
      </c>
      <c r="E631" s="50" t="s">
        <v>11</v>
      </c>
      <c r="F631" s="57">
        <v>0.19919999999999999</v>
      </c>
    </row>
    <row r="632" spans="2:6">
      <c r="B632" s="50" t="s">
        <v>21</v>
      </c>
      <c r="C632" s="50" t="s">
        <v>1025</v>
      </c>
      <c r="D632" s="50">
        <f>DATE(YEAR(OneWeekMtgRatesDataTable756[[#This Row],[asofdate]]),MONTH(OneWeekMtgRatesDataTable756[[#This Row],[asofdate]]),DAY(OneWeekMtgRatesDataTable756[[#This Row],[asofdate]]))</f>
        <v>41401</v>
      </c>
      <c r="E632" s="50" t="s">
        <v>11</v>
      </c>
      <c r="F632" s="57">
        <v>0.19919999999999999</v>
      </c>
    </row>
    <row r="633" spans="2:6">
      <c r="B633" s="50" t="s">
        <v>21</v>
      </c>
      <c r="C633" s="50" t="s">
        <v>1024</v>
      </c>
      <c r="D633" s="50">
        <f>DATE(YEAR(OneWeekMtgRatesDataTable756[[#This Row],[asofdate]]),MONTH(OneWeekMtgRatesDataTable756[[#This Row],[asofdate]]),DAY(OneWeekMtgRatesDataTable756[[#This Row],[asofdate]]))</f>
        <v>41400</v>
      </c>
      <c r="E633" s="50" t="s">
        <v>11</v>
      </c>
      <c r="F633" s="57">
        <v>0.19819999999999999</v>
      </c>
    </row>
    <row r="634" spans="2:6">
      <c r="B634" s="50" t="s">
        <v>21</v>
      </c>
      <c r="C634" s="50" t="s">
        <v>1023</v>
      </c>
      <c r="D634" s="50">
        <f>DATE(YEAR(OneWeekMtgRatesDataTable756[[#This Row],[asofdate]]),MONTH(OneWeekMtgRatesDataTable756[[#This Row],[asofdate]]),DAY(OneWeekMtgRatesDataTable756[[#This Row],[asofdate]]))</f>
        <v>41397</v>
      </c>
      <c r="E634" s="50" t="s">
        <v>11</v>
      </c>
      <c r="F634" s="57">
        <v>0.19819999999999999</v>
      </c>
    </row>
    <row r="635" spans="2:6">
      <c r="B635" s="50" t="s">
        <v>21</v>
      </c>
      <c r="C635" s="50" t="s">
        <v>1022</v>
      </c>
      <c r="D635" s="50">
        <f>DATE(YEAR(OneWeekMtgRatesDataTable756[[#This Row],[asofdate]]),MONTH(OneWeekMtgRatesDataTable756[[#This Row],[asofdate]]),DAY(OneWeekMtgRatesDataTable756[[#This Row],[asofdate]]))</f>
        <v>41396</v>
      </c>
      <c r="E635" s="50" t="s">
        <v>11</v>
      </c>
      <c r="F635" s="57">
        <v>0.19819999999999999</v>
      </c>
    </row>
    <row r="636" spans="2:6">
      <c r="B636" s="50" t="s">
        <v>21</v>
      </c>
      <c r="C636" s="50" t="s">
        <v>1021</v>
      </c>
      <c r="D636" s="50">
        <f>DATE(YEAR(OneWeekMtgRatesDataTable756[[#This Row],[asofdate]]),MONTH(OneWeekMtgRatesDataTable756[[#This Row],[asofdate]]),DAY(OneWeekMtgRatesDataTable756[[#This Row],[asofdate]]))</f>
        <v>41395</v>
      </c>
      <c r="E636" s="50" t="s">
        <v>11</v>
      </c>
      <c r="F636" s="57">
        <v>0.19819999999999999</v>
      </c>
    </row>
    <row r="637" spans="2:6">
      <c r="B637" s="50" t="s">
        <v>21</v>
      </c>
      <c r="C637" s="50" t="s">
        <v>1020</v>
      </c>
      <c r="D637" s="50">
        <f>DATE(YEAR(OneWeekMtgRatesDataTable756[[#This Row],[asofdate]]),MONTH(OneWeekMtgRatesDataTable756[[#This Row],[asofdate]]),DAY(OneWeekMtgRatesDataTable756[[#This Row],[asofdate]]))</f>
        <v>41394</v>
      </c>
      <c r="E637" s="50" t="s">
        <v>11</v>
      </c>
      <c r="F637" s="57">
        <v>0.19819999999999999</v>
      </c>
    </row>
    <row r="638" spans="2:6">
      <c r="B638" s="50" t="s">
        <v>21</v>
      </c>
      <c r="C638" s="50" t="s">
        <v>1019</v>
      </c>
      <c r="D638" s="50">
        <f>DATE(YEAR(OneWeekMtgRatesDataTable756[[#This Row],[asofdate]]),MONTH(OneWeekMtgRatesDataTable756[[#This Row],[asofdate]]),DAY(OneWeekMtgRatesDataTable756[[#This Row],[asofdate]]))</f>
        <v>41393</v>
      </c>
      <c r="E638" s="50" t="s">
        <v>11</v>
      </c>
      <c r="F638" s="57">
        <v>0.19819999999999999</v>
      </c>
    </row>
    <row r="639" spans="2:6">
      <c r="B639" s="50" t="s">
        <v>21</v>
      </c>
      <c r="C639" s="50" t="s">
        <v>1018</v>
      </c>
      <c r="D639" s="50">
        <f>DATE(YEAR(OneWeekMtgRatesDataTable756[[#This Row],[asofdate]]),MONTH(OneWeekMtgRatesDataTable756[[#This Row],[asofdate]]),DAY(OneWeekMtgRatesDataTable756[[#This Row],[asofdate]]))</f>
        <v>41390</v>
      </c>
      <c r="E639" s="50" t="s">
        <v>11</v>
      </c>
      <c r="F639" s="57">
        <v>0.19819999999999999</v>
      </c>
    </row>
    <row r="640" spans="2:6">
      <c r="B640" s="50" t="s">
        <v>21</v>
      </c>
      <c r="C640" s="50" t="s">
        <v>1017</v>
      </c>
      <c r="D640" s="50">
        <f>DATE(YEAR(OneWeekMtgRatesDataTable756[[#This Row],[asofdate]]),MONTH(OneWeekMtgRatesDataTable756[[#This Row],[asofdate]]),DAY(OneWeekMtgRatesDataTable756[[#This Row],[asofdate]]))</f>
        <v>41389</v>
      </c>
      <c r="E640" s="50" t="s">
        <v>11</v>
      </c>
      <c r="F640" s="57">
        <v>0.19819999999999999</v>
      </c>
    </row>
    <row r="641" spans="2:6">
      <c r="B641" s="50" t="s">
        <v>21</v>
      </c>
      <c r="C641" s="50" t="s">
        <v>1016</v>
      </c>
      <c r="D641" s="50">
        <f>DATE(YEAR(OneWeekMtgRatesDataTable756[[#This Row],[asofdate]]),MONTH(OneWeekMtgRatesDataTable756[[#This Row],[asofdate]]),DAY(OneWeekMtgRatesDataTable756[[#This Row],[asofdate]]))</f>
        <v>41388</v>
      </c>
      <c r="E641" s="50" t="s">
        <v>11</v>
      </c>
      <c r="F641" s="57">
        <v>0.19819999999999999</v>
      </c>
    </row>
    <row r="642" spans="2:6">
      <c r="B642" s="50" t="s">
        <v>21</v>
      </c>
      <c r="C642" s="50" t="s">
        <v>1015</v>
      </c>
      <c r="D642" s="50">
        <f>DATE(YEAR(OneWeekMtgRatesDataTable756[[#This Row],[asofdate]]),MONTH(OneWeekMtgRatesDataTable756[[#This Row],[asofdate]]),DAY(OneWeekMtgRatesDataTable756[[#This Row],[asofdate]]))</f>
        <v>41387</v>
      </c>
      <c r="E642" s="50" t="s">
        <v>11</v>
      </c>
      <c r="F642" s="57">
        <v>0.20019999999999999</v>
      </c>
    </row>
    <row r="643" spans="2:6">
      <c r="B643" s="50" t="s">
        <v>21</v>
      </c>
      <c r="C643" s="50" t="s">
        <v>1014</v>
      </c>
      <c r="D643" s="50">
        <f>DATE(YEAR(OneWeekMtgRatesDataTable756[[#This Row],[asofdate]]),MONTH(OneWeekMtgRatesDataTable756[[#This Row],[asofdate]]),DAY(OneWeekMtgRatesDataTable756[[#This Row],[asofdate]]))</f>
        <v>41386</v>
      </c>
      <c r="E643" s="50" t="s">
        <v>11</v>
      </c>
      <c r="F643" s="57">
        <v>0.19919999999999999</v>
      </c>
    </row>
    <row r="644" spans="2:6">
      <c r="B644" s="50" t="s">
        <v>21</v>
      </c>
      <c r="C644" s="50" t="s">
        <v>1013</v>
      </c>
      <c r="D644" s="50">
        <f>DATE(YEAR(OneWeekMtgRatesDataTable756[[#This Row],[asofdate]]),MONTH(OneWeekMtgRatesDataTable756[[#This Row],[asofdate]]),DAY(OneWeekMtgRatesDataTable756[[#This Row],[asofdate]]))</f>
        <v>41383</v>
      </c>
      <c r="E644" s="50" t="s">
        <v>11</v>
      </c>
      <c r="F644" s="57">
        <v>0.19919999999999999</v>
      </c>
    </row>
    <row r="645" spans="2:6">
      <c r="B645" s="50" t="s">
        <v>21</v>
      </c>
      <c r="C645" s="50" t="s">
        <v>1012</v>
      </c>
      <c r="D645" s="50">
        <f>DATE(YEAR(OneWeekMtgRatesDataTable756[[#This Row],[asofdate]]),MONTH(OneWeekMtgRatesDataTable756[[#This Row],[asofdate]]),DAY(OneWeekMtgRatesDataTable756[[#This Row],[asofdate]]))</f>
        <v>41382</v>
      </c>
      <c r="E645" s="50" t="s">
        <v>11</v>
      </c>
      <c r="F645" s="57">
        <v>0.19919999999999999</v>
      </c>
    </row>
    <row r="646" spans="2:6">
      <c r="B646" s="50" t="s">
        <v>21</v>
      </c>
      <c r="C646" s="50" t="s">
        <v>1011</v>
      </c>
      <c r="D646" s="50">
        <f>DATE(YEAR(OneWeekMtgRatesDataTable756[[#This Row],[asofdate]]),MONTH(OneWeekMtgRatesDataTable756[[#This Row],[asofdate]]),DAY(OneWeekMtgRatesDataTable756[[#This Row],[asofdate]]))</f>
        <v>41381</v>
      </c>
      <c r="E646" s="50" t="s">
        <v>11</v>
      </c>
      <c r="F646" s="57">
        <v>0.19919999999999999</v>
      </c>
    </row>
    <row r="647" spans="2:6">
      <c r="B647" s="50" t="s">
        <v>21</v>
      </c>
      <c r="C647" s="50" t="s">
        <v>1010</v>
      </c>
      <c r="D647" s="50">
        <f>DATE(YEAR(OneWeekMtgRatesDataTable756[[#This Row],[asofdate]]),MONTH(OneWeekMtgRatesDataTable756[[#This Row],[asofdate]]),DAY(OneWeekMtgRatesDataTable756[[#This Row],[asofdate]]))</f>
        <v>41380</v>
      </c>
      <c r="E647" s="50" t="s">
        <v>11</v>
      </c>
      <c r="F647" s="57">
        <v>0.20019999999999999</v>
      </c>
    </row>
    <row r="648" spans="2:6">
      <c r="B648" s="50" t="s">
        <v>21</v>
      </c>
      <c r="C648" s="50" t="s">
        <v>1009</v>
      </c>
      <c r="D648" s="50">
        <f>DATE(YEAR(OneWeekMtgRatesDataTable756[[#This Row],[asofdate]]),MONTH(OneWeekMtgRatesDataTable756[[#This Row],[asofdate]]),DAY(OneWeekMtgRatesDataTable756[[#This Row],[asofdate]]))</f>
        <v>41379</v>
      </c>
      <c r="E648" s="50" t="s">
        <v>11</v>
      </c>
      <c r="F648" s="57">
        <v>0.19969999999999999</v>
      </c>
    </row>
    <row r="649" spans="2:6">
      <c r="B649" s="50" t="s">
        <v>21</v>
      </c>
      <c r="C649" s="50" t="s">
        <v>1008</v>
      </c>
      <c r="D649" s="50">
        <f>DATE(YEAR(OneWeekMtgRatesDataTable756[[#This Row],[asofdate]]),MONTH(OneWeekMtgRatesDataTable756[[#This Row],[asofdate]]),DAY(OneWeekMtgRatesDataTable756[[#This Row],[asofdate]]))</f>
        <v>41376</v>
      </c>
      <c r="E649" s="50" t="s">
        <v>11</v>
      </c>
      <c r="F649" s="57">
        <v>0.19969999999999999</v>
      </c>
    </row>
    <row r="650" spans="2:6">
      <c r="B650" s="50" t="s">
        <v>21</v>
      </c>
      <c r="C650" s="50" t="s">
        <v>1007</v>
      </c>
      <c r="D650" s="50">
        <f>DATE(YEAR(OneWeekMtgRatesDataTable756[[#This Row],[asofdate]]),MONTH(OneWeekMtgRatesDataTable756[[#This Row],[asofdate]]),DAY(OneWeekMtgRatesDataTable756[[#This Row],[asofdate]]))</f>
        <v>41375</v>
      </c>
      <c r="E650" s="50" t="s">
        <v>11</v>
      </c>
      <c r="F650" s="57">
        <v>0.19869999999999999</v>
      </c>
    </row>
    <row r="651" spans="2:6">
      <c r="B651" s="50" t="s">
        <v>21</v>
      </c>
      <c r="C651" s="50" t="s">
        <v>1006</v>
      </c>
      <c r="D651" s="50">
        <f>DATE(YEAR(OneWeekMtgRatesDataTable756[[#This Row],[asofdate]]),MONTH(OneWeekMtgRatesDataTable756[[#This Row],[asofdate]]),DAY(OneWeekMtgRatesDataTable756[[#This Row],[asofdate]]))</f>
        <v>41374</v>
      </c>
      <c r="E651" s="50" t="s">
        <v>11</v>
      </c>
      <c r="F651" s="57">
        <v>0.1993</v>
      </c>
    </row>
    <row r="652" spans="2:6">
      <c r="B652" s="50" t="s">
        <v>21</v>
      </c>
      <c r="C652" s="50" t="s">
        <v>1005</v>
      </c>
      <c r="D652" s="50">
        <f>DATE(YEAR(OneWeekMtgRatesDataTable756[[#This Row],[asofdate]]),MONTH(OneWeekMtgRatesDataTable756[[#This Row],[asofdate]]),DAY(OneWeekMtgRatesDataTable756[[#This Row],[asofdate]]))</f>
        <v>41373</v>
      </c>
      <c r="E652" s="50" t="s">
        <v>11</v>
      </c>
      <c r="F652" s="57">
        <v>0.1993</v>
      </c>
    </row>
    <row r="653" spans="2:6">
      <c r="B653" s="50" t="s">
        <v>21</v>
      </c>
      <c r="C653" s="50" t="s">
        <v>1004</v>
      </c>
      <c r="D653" s="50">
        <f>DATE(YEAR(OneWeekMtgRatesDataTable756[[#This Row],[asofdate]]),MONTH(OneWeekMtgRatesDataTable756[[#This Row],[asofdate]]),DAY(OneWeekMtgRatesDataTable756[[#This Row],[asofdate]]))</f>
        <v>41372</v>
      </c>
      <c r="E653" s="50" t="s">
        <v>11</v>
      </c>
      <c r="F653" s="57">
        <v>0.20030000000000001</v>
      </c>
    </row>
    <row r="654" spans="2:6">
      <c r="B654" s="50" t="s">
        <v>21</v>
      </c>
      <c r="C654" s="50" t="s">
        <v>1003</v>
      </c>
      <c r="D654" s="50">
        <f>DATE(YEAR(OneWeekMtgRatesDataTable756[[#This Row],[asofdate]]),MONTH(OneWeekMtgRatesDataTable756[[#This Row],[asofdate]]),DAY(OneWeekMtgRatesDataTable756[[#This Row],[asofdate]]))</f>
        <v>41369</v>
      </c>
      <c r="E654" s="50" t="s">
        <v>11</v>
      </c>
      <c r="F654" s="57">
        <v>0.20030000000000001</v>
      </c>
    </row>
    <row r="655" spans="2:6">
      <c r="B655" s="50" t="s">
        <v>21</v>
      </c>
      <c r="C655" s="50" t="s">
        <v>1002</v>
      </c>
      <c r="D655" s="50">
        <f>DATE(YEAR(OneWeekMtgRatesDataTable756[[#This Row],[asofdate]]),MONTH(OneWeekMtgRatesDataTable756[[#This Row],[asofdate]]),DAY(OneWeekMtgRatesDataTable756[[#This Row],[asofdate]]))</f>
        <v>41368</v>
      </c>
      <c r="E655" s="50" t="s">
        <v>11</v>
      </c>
      <c r="F655" s="57">
        <v>0.20030000000000001</v>
      </c>
    </row>
    <row r="656" spans="2:6">
      <c r="B656" s="50" t="s">
        <v>21</v>
      </c>
      <c r="C656" s="50" t="s">
        <v>1001</v>
      </c>
      <c r="D656" s="50">
        <f>DATE(YEAR(OneWeekMtgRatesDataTable756[[#This Row],[asofdate]]),MONTH(OneWeekMtgRatesDataTable756[[#This Row],[asofdate]]),DAY(OneWeekMtgRatesDataTable756[[#This Row],[asofdate]]))</f>
        <v>41367</v>
      </c>
      <c r="E656" s="50" t="s">
        <v>11</v>
      </c>
      <c r="F656" s="57">
        <v>0.20169999999999999</v>
      </c>
    </row>
    <row r="657" spans="2:6">
      <c r="B657" s="50" t="s">
        <v>21</v>
      </c>
      <c r="C657" s="50" t="s">
        <v>1000</v>
      </c>
      <c r="D657" s="50">
        <f>DATE(YEAR(OneWeekMtgRatesDataTable756[[#This Row],[asofdate]]),MONTH(OneWeekMtgRatesDataTable756[[#This Row],[asofdate]]),DAY(OneWeekMtgRatesDataTable756[[#This Row],[asofdate]]))</f>
        <v>41366</v>
      </c>
      <c r="E657" s="50" t="s">
        <v>11</v>
      </c>
      <c r="F657" s="57">
        <v>0.20269999999999999</v>
      </c>
    </row>
    <row r="658" spans="2:6">
      <c r="B658" s="50" t="s">
        <v>21</v>
      </c>
      <c r="C658" s="50" t="s">
        <v>999</v>
      </c>
      <c r="D658" s="50">
        <f>DATE(YEAR(OneWeekMtgRatesDataTable756[[#This Row],[asofdate]]),MONTH(OneWeekMtgRatesDataTable756[[#This Row],[asofdate]]),DAY(OneWeekMtgRatesDataTable756[[#This Row],[asofdate]]))</f>
        <v>41365</v>
      </c>
      <c r="E658" s="50" t="s">
        <v>11</v>
      </c>
      <c r="F658" s="57">
        <v>0.20369999999999999</v>
      </c>
    </row>
    <row r="659" spans="2:6">
      <c r="B659" s="50" t="s">
        <v>21</v>
      </c>
      <c r="C659" s="50" t="s">
        <v>998</v>
      </c>
      <c r="D659" s="50">
        <f>DATE(YEAR(OneWeekMtgRatesDataTable756[[#This Row],[asofdate]]),MONTH(OneWeekMtgRatesDataTable756[[#This Row],[asofdate]]),DAY(OneWeekMtgRatesDataTable756[[#This Row],[asofdate]]))</f>
        <v>41361</v>
      </c>
      <c r="E659" s="50" t="s">
        <v>11</v>
      </c>
      <c r="F659" s="57">
        <v>0.20369999999999999</v>
      </c>
    </row>
    <row r="660" spans="2:6">
      <c r="B660" s="50" t="s">
        <v>21</v>
      </c>
      <c r="C660" s="50" t="s">
        <v>997</v>
      </c>
      <c r="D660" s="50">
        <f>DATE(YEAR(OneWeekMtgRatesDataTable756[[#This Row],[asofdate]]),MONTH(OneWeekMtgRatesDataTable756[[#This Row],[asofdate]]),DAY(OneWeekMtgRatesDataTable756[[#This Row],[asofdate]]))</f>
        <v>41360</v>
      </c>
      <c r="E660" s="50" t="s">
        <v>11</v>
      </c>
      <c r="F660" s="57">
        <v>0.20369999999999999</v>
      </c>
    </row>
    <row r="661" spans="2:6">
      <c r="B661" s="50" t="s">
        <v>21</v>
      </c>
      <c r="C661" s="50" t="s">
        <v>996</v>
      </c>
      <c r="D661" s="50">
        <f>DATE(YEAR(OneWeekMtgRatesDataTable756[[#This Row],[asofdate]]),MONTH(OneWeekMtgRatesDataTable756[[#This Row],[asofdate]]),DAY(OneWeekMtgRatesDataTable756[[#This Row],[asofdate]]))</f>
        <v>41359</v>
      </c>
      <c r="E661" s="50" t="s">
        <v>11</v>
      </c>
      <c r="F661" s="57">
        <v>0.20369999999999999</v>
      </c>
    </row>
    <row r="662" spans="2:6">
      <c r="B662" s="50" t="s">
        <v>21</v>
      </c>
      <c r="C662" s="50" t="s">
        <v>995</v>
      </c>
      <c r="D662" s="50">
        <f>DATE(YEAR(OneWeekMtgRatesDataTable756[[#This Row],[asofdate]]),MONTH(OneWeekMtgRatesDataTable756[[#This Row],[asofdate]]),DAY(OneWeekMtgRatesDataTable756[[#This Row],[asofdate]]))</f>
        <v>41358</v>
      </c>
      <c r="E662" s="50" t="s">
        <v>11</v>
      </c>
      <c r="F662" s="57">
        <v>0.20419999999999999</v>
      </c>
    </row>
    <row r="663" spans="2:6">
      <c r="B663" s="50" t="s">
        <v>21</v>
      </c>
      <c r="C663" s="50" t="s">
        <v>994</v>
      </c>
      <c r="D663" s="50">
        <f>DATE(YEAR(OneWeekMtgRatesDataTable756[[#This Row],[asofdate]]),MONTH(OneWeekMtgRatesDataTable756[[#This Row],[asofdate]]),DAY(OneWeekMtgRatesDataTable756[[#This Row],[asofdate]]))</f>
        <v>41355</v>
      </c>
      <c r="E663" s="50" t="s">
        <v>11</v>
      </c>
      <c r="F663" s="57">
        <v>0.20419999999999999</v>
      </c>
    </row>
    <row r="664" spans="2:6">
      <c r="B664" s="50" t="s">
        <v>21</v>
      </c>
      <c r="C664" s="50" t="s">
        <v>993</v>
      </c>
      <c r="D664" s="50">
        <f>DATE(YEAR(OneWeekMtgRatesDataTable756[[#This Row],[asofdate]]),MONTH(OneWeekMtgRatesDataTable756[[#This Row],[asofdate]]),DAY(OneWeekMtgRatesDataTable756[[#This Row],[asofdate]]))</f>
        <v>41354</v>
      </c>
      <c r="E664" s="50" t="s">
        <v>11</v>
      </c>
      <c r="F664" s="57">
        <v>0.20419999999999999</v>
      </c>
    </row>
    <row r="665" spans="2:6">
      <c r="B665" s="50" t="s">
        <v>21</v>
      </c>
      <c r="C665" s="50" t="s">
        <v>992</v>
      </c>
      <c r="D665" s="50">
        <f>DATE(YEAR(OneWeekMtgRatesDataTable756[[#This Row],[asofdate]]),MONTH(OneWeekMtgRatesDataTable756[[#This Row],[asofdate]]),DAY(OneWeekMtgRatesDataTable756[[#This Row],[asofdate]]))</f>
        <v>41353</v>
      </c>
      <c r="E665" s="50" t="s">
        <v>11</v>
      </c>
      <c r="F665" s="57">
        <v>0.20469999999999999</v>
      </c>
    </row>
    <row r="666" spans="2:6">
      <c r="B666" s="50" t="s">
        <v>21</v>
      </c>
      <c r="C666" s="50" t="s">
        <v>991</v>
      </c>
      <c r="D666" s="50">
        <f>DATE(YEAR(OneWeekMtgRatesDataTable756[[#This Row],[asofdate]]),MONTH(OneWeekMtgRatesDataTable756[[#This Row],[asofdate]]),DAY(OneWeekMtgRatesDataTable756[[#This Row],[asofdate]]))</f>
        <v>41352</v>
      </c>
      <c r="E666" s="50" t="s">
        <v>11</v>
      </c>
      <c r="F666" s="57">
        <v>0.20369999999999999</v>
      </c>
    </row>
    <row r="667" spans="2:6">
      <c r="B667" s="50" t="s">
        <v>21</v>
      </c>
      <c r="C667" s="50" t="s">
        <v>990</v>
      </c>
      <c r="D667" s="50">
        <f>DATE(YEAR(OneWeekMtgRatesDataTable756[[#This Row],[asofdate]]),MONTH(OneWeekMtgRatesDataTable756[[#This Row],[asofdate]]),DAY(OneWeekMtgRatesDataTable756[[#This Row],[asofdate]]))</f>
        <v>41351</v>
      </c>
      <c r="E667" s="50" t="s">
        <v>11</v>
      </c>
      <c r="F667" s="57">
        <v>0.20319999999999999</v>
      </c>
    </row>
    <row r="668" spans="2:6">
      <c r="B668" s="50" t="s">
        <v>21</v>
      </c>
      <c r="C668" s="50" t="s">
        <v>989</v>
      </c>
      <c r="D668" s="50">
        <f>DATE(YEAR(OneWeekMtgRatesDataTable756[[#This Row],[asofdate]]),MONTH(OneWeekMtgRatesDataTable756[[#This Row],[asofdate]]),DAY(OneWeekMtgRatesDataTable756[[#This Row],[asofdate]]))</f>
        <v>41348</v>
      </c>
      <c r="E668" s="50" t="s">
        <v>11</v>
      </c>
      <c r="F668" s="57">
        <v>0.20319999999999999</v>
      </c>
    </row>
    <row r="669" spans="2:6">
      <c r="B669" s="50" t="s">
        <v>21</v>
      </c>
      <c r="C669" s="50" t="s">
        <v>988</v>
      </c>
      <c r="D669" s="50">
        <f>DATE(YEAR(OneWeekMtgRatesDataTable756[[#This Row],[asofdate]]),MONTH(OneWeekMtgRatesDataTable756[[#This Row],[asofdate]]),DAY(OneWeekMtgRatesDataTable756[[#This Row],[asofdate]]))</f>
        <v>41347</v>
      </c>
      <c r="E669" s="50" t="s">
        <v>11</v>
      </c>
      <c r="F669" s="57">
        <v>0.20319999999999999</v>
      </c>
    </row>
    <row r="670" spans="2:6">
      <c r="B670" s="50" t="s">
        <v>21</v>
      </c>
      <c r="C670" s="50" t="s">
        <v>987</v>
      </c>
      <c r="D670" s="50">
        <f>DATE(YEAR(OneWeekMtgRatesDataTable756[[#This Row],[asofdate]]),MONTH(OneWeekMtgRatesDataTable756[[#This Row],[asofdate]]),DAY(OneWeekMtgRatesDataTable756[[#This Row],[asofdate]]))</f>
        <v>41346</v>
      </c>
      <c r="E670" s="50" t="s">
        <v>11</v>
      </c>
      <c r="F670" s="57">
        <v>0.20319999999999999</v>
      </c>
    </row>
    <row r="671" spans="2:6">
      <c r="B671" s="50" t="s">
        <v>21</v>
      </c>
      <c r="C671" s="50" t="s">
        <v>986</v>
      </c>
      <c r="D671" s="50">
        <f>DATE(YEAR(OneWeekMtgRatesDataTable756[[#This Row],[asofdate]]),MONTH(OneWeekMtgRatesDataTable756[[#This Row],[asofdate]]),DAY(OneWeekMtgRatesDataTable756[[#This Row],[asofdate]]))</f>
        <v>41345</v>
      </c>
      <c r="E671" s="50" t="s">
        <v>11</v>
      </c>
      <c r="F671" s="57">
        <v>0.20319999999999999</v>
      </c>
    </row>
    <row r="672" spans="2:6">
      <c r="B672" s="50" t="s">
        <v>21</v>
      </c>
      <c r="C672" s="50" t="s">
        <v>985</v>
      </c>
      <c r="D672" s="50">
        <f>DATE(YEAR(OneWeekMtgRatesDataTable756[[#This Row],[asofdate]]),MONTH(OneWeekMtgRatesDataTable756[[#This Row],[asofdate]]),DAY(OneWeekMtgRatesDataTable756[[#This Row],[asofdate]]))</f>
        <v>41344</v>
      </c>
      <c r="E672" s="50" t="s">
        <v>11</v>
      </c>
      <c r="F672" s="57">
        <v>0.20219999999999999</v>
      </c>
    </row>
    <row r="673" spans="2:6">
      <c r="B673" s="50" t="s">
        <v>21</v>
      </c>
      <c r="C673" s="50" t="s">
        <v>984</v>
      </c>
      <c r="D673" s="50">
        <f>DATE(YEAR(OneWeekMtgRatesDataTable756[[#This Row],[asofdate]]),MONTH(OneWeekMtgRatesDataTable756[[#This Row],[asofdate]]),DAY(OneWeekMtgRatesDataTable756[[#This Row],[asofdate]]))</f>
        <v>41341</v>
      </c>
      <c r="E673" s="50" t="s">
        <v>11</v>
      </c>
      <c r="F673" s="57">
        <v>0.20219999999999999</v>
      </c>
    </row>
    <row r="674" spans="2:6">
      <c r="B674" s="50" t="s">
        <v>21</v>
      </c>
      <c r="C674" s="50" t="s">
        <v>983</v>
      </c>
      <c r="D674" s="50">
        <f>DATE(YEAR(OneWeekMtgRatesDataTable756[[#This Row],[asofdate]]),MONTH(OneWeekMtgRatesDataTable756[[#This Row],[asofdate]]),DAY(OneWeekMtgRatesDataTable756[[#This Row],[asofdate]]))</f>
        <v>41340</v>
      </c>
      <c r="E674" s="50" t="s">
        <v>11</v>
      </c>
      <c r="F674" s="57">
        <v>0.20219999999999999</v>
      </c>
    </row>
    <row r="675" spans="2:6">
      <c r="B675" s="50" t="s">
        <v>21</v>
      </c>
      <c r="C675" s="50" t="s">
        <v>982</v>
      </c>
      <c r="D675" s="50">
        <f>DATE(YEAR(OneWeekMtgRatesDataTable756[[#This Row],[asofdate]]),MONTH(OneWeekMtgRatesDataTable756[[#This Row],[asofdate]]),DAY(OneWeekMtgRatesDataTable756[[#This Row],[asofdate]]))</f>
        <v>41339</v>
      </c>
      <c r="E675" s="50" t="s">
        <v>11</v>
      </c>
      <c r="F675" s="57">
        <v>0.20219999999999999</v>
      </c>
    </row>
    <row r="676" spans="2:6">
      <c r="B676" s="50" t="s">
        <v>21</v>
      </c>
      <c r="C676" s="50" t="s">
        <v>981</v>
      </c>
      <c r="D676" s="50">
        <f>DATE(YEAR(OneWeekMtgRatesDataTable756[[#This Row],[asofdate]]),MONTH(OneWeekMtgRatesDataTable756[[#This Row],[asofdate]]),DAY(OneWeekMtgRatesDataTable756[[#This Row],[asofdate]]))</f>
        <v>41338</v>
      </c>
      <c r="E676" s="50" t="s">
        <v>11</v>
      </c>
      <c r="F676" s="57">
        <v>0.20319999999999999</v>
      </c>
    </row>
    <row r="677" spans="2:6">
      <c r="B677" s="50" t="s">
        <v>21</v>
      </c>
      <c r="C677" s="50" t="s">
        <v>980</v>
      </c>
      <c r="D677" s="50">
        <f>DATE(YEAR(OneWeekMtgRatesDataTable756[[#This Row],[asofdate]]),MONTH(OneWeekMtgRatesDataTable756[[#This Row],[asofdate]]),DAY(OneWeekMtgRatesDataTable756[[#This Row],[asofdate]]))</f>
        <v>41337</v>
      </c>
      <c r="E677" s="50" t="s">
        <v>11</v>
      </c>
      <c r="F677" s="57">
        <v>0.20519999999999999</v>
      </c>
    </row>
    <row r="678" spans="2:6">
      <c r="B678" s="50" t="s">
        <v>21</v>
      </c>
      <c r="C678" s="50" t="s">
        <v>979</v>
      </c>
      <c r="D678" s="50">
        <f>DATE(YEAR(OneWeekMtgRatesDataTable756[[#This Row],[asofdate]]),MONTH(OneWeekMtgRatesDataTable756[[#This Row],[asofdate]]),DAY(OneWeekMtgRatesDataTable756[[#This Row],[asofdate]]))</f>
        <v>41334</v>
      </c>
      <c r="E678" s="50" t="s">
        <v>11</v>
      </c>
      <c r="F678" s="57">
        <v>0.20369999999999999</v>
      </c>
    </row>
    <row r="679" spans="2:6">
      <c r="B679" s="50" t="s">
        <v>21</v>
      </c>
      <c r="C679" s="50" t="s">
        <v>978</v>
      </c>
      <c r="D679" s="50">
        <f>DATE(YEAR(OneWeekMtgRatesDataTable756[[#This Row],[asofdate]]),MONTH(OneWeekMtgRatesDataTable756[[#This Row],[asofdate]]),DAY(OneWeekMtgRatesDataTable756[[#This Row],[asofdate]]))</f>
        <v>41333</v>
      </c>
      <c r="E679" s="50" t="s">
        <v>11</v>
      </c>
      <c r="F679" s="57">
        <v>0.20369999999999999</v>
      </c>
    </row>
    <row r="680" spans="2:6">
      <c r="B680" s="50" t="s">
        <v>21</v>
      </c>
      <c r="C680" s="50" t="s">
        <v>977</v>
      </c>
      <c r="D680" s="50">
        <f>DATE(YEAR(OneWeekMtgRatesDataTable756[[#This Row],[asofdate]]),MONTH(OneWeekMtgRatesDataTable756[[#This Row],[asofdate]]),DAY(OneWeekMtgRatesDataTable756[[#This Row],[asofdate]]))</f>
        <v>41332</v>
      </c>
      <c r="E680" s="50" t="s">
        <v>11</v>
      </c>
      <c r="F680" s="57">
        <v>0.20369999999999999</v>
      </c>
    </row>
    <row r="681" spans="2:6">
      <c r="B681" s="50" t="s">
        <v>21</v>
      </c>
      <c r="C681" s="50" t="s">
        <v>976</v>
      </c>
      <c r="D681" s="50">
        <f>DATE(YEAR(OneWeekMtgRatesDataTable756[[#This Row],[asofdate]]),MONTH(OneWeekMtgRatesDataTable756[[#This Row],[asofdate]]),DAY(OneWeekMtgRatesDataTable756[[#This Row],[asofdate]]))</f>
        <v>41331</v>
      </c>
      <c r="E681" s="50" t="s">
        <v>11</v>
      </c>
      <c r="F681" s="57">
        <v>0.20369999999999999</v>
      </c>
    </row>
    <row r="682" spans="2:6">
      <c r="B682" s="50" t="s">
        <v>21</v>
      </c>
      <c r="C682" s="50" t="s">
        <v>975</v>
      </c>
      <c r="D682" s="50">
        <f>DATE(YEAR(OneWeekMtgRatesDataTable756[[#This Row],[asofdate]]),MONTH(OneWeekMtgRatesDataTable756[[#This Row],[asofdate]]),DAY(OneWeekMtgRatesDataTable756[[#This Row],[asofdate]]))</f>
        <v>41330</v>
      </c>
      <c r="E682" s="50" t="s">
        <v>11</v>
      </c>
      <c r="F682" s="57">
        <v>0.20269999999999999</v>
      </c>
    </row>
    <row r="683" spans="2:6">
      <c r="B683" s="50" t="s">
        <v>21</v>
      </c>
      <c r="C683" s="50" t="s">
        <v>974</v>
      </c>
      <c r="D683" s="50">
        <f>DATE(YEAR(OneWeekMtgRatesDataTable756[[#This Row],[asofdate]]),MONTH(OneWeekMtgRatesDataTable756[[#This Row],[asofdate]]),DAY(OneWeekMtgRatesDataTable756[[#This Row],[asofdate]]))</f>
        <v>41327</v>
      </c>
      <c r="E683" s="50" t="s">
        <v>11</v>
      </c>
      <c r="F683" s="57">
        <v>0.20269999999999999</v>
      </c>
    </row>
    <row r="684" spans="2:6">
      <c r="B684" s="50" t="s">
        <v>21</v>
      </c>
      <c r="C684" s="50" t="s">
        <v>973</v>
      </c>
      <c r="D684" s="50">
        <f>DATE(YEAR(OneWeekMtgRatesDataTable756[[#This Row],[asofdate]]),MONTH(OneWeekMtgRatesDataTable756[[#This Row],[asofdate]]),DAY(OneWeekMtgRatesDataTable756[[#This Row],[asofdate]]))</f>
        <v>41326</v>
      </c>
      <c r="E684" s="50" t="s">
        <v>11</v>
      </c>
      <c r="F684" s="57">
        <v>0.20169999999999999</v>
      </c>
    </row>
    <row r="685" spans="2:6">
      <c r="B685" s="50" t="s">
        <v>21</v>
      </c>
      <c r="C685" s="50" t="s">
        <v>972</v>
      </c>
      <c r="D685" s="50">
        <f>DATE(YEAR(OneWeekMtgRatesDataTable756[[#This Row],[asofdate]]),MONTH(OneWeekMtgRatesDataTable756[[#This Row],[asofdate]]),DAY(OneWeekMtgRatesDataTable756[[#This Row],[asofdate]]))</f>
        <v>41325</v>
      </c>
      <c r="E685" s="50" t="s">
        <v>11</v>
      </c>
      <c r="F685" s="57">
        <v>0.20169999999999999</v>
      </c>
    </row>
    <row r="686" spans="2:6">
      <c r="B686" s="50" t="s">
        <v>21</v>
      </c>
      <c r="C686" s="50" t="s">
        <v>971</v>
      </c>
      <c r="D686" s="50">
        <f>DATE(YEAR(OneWeekMtgRatesDataTable756[[#This Row],[asofdate]]),MONTH(OneWeekMtgRatesDataTable756[[#This Row],[asofdate]]),DAY(OneWeekMtgRatesDataTable756[[#This Row],[asofdate]]))</f>
        <v>41324</v>
      </c>
      <c r="E686" s="50" t="s">
        <v>11</v>
      </c>
      <c r="F686" s="57">
        <v>0.20169999999999999</v>
      </c>
    </row>
    <row r="687" spans="2:6">
      <c r="B687" s="50" t="s">
        <v>21</v>
      </c>
      <c r="C687" s="50" t="s">
        <v>970</v>
      </c>
      <c r="D687" s="50">
        <f>DATE(YEAR(OneWeekMtgRatesDataTable756[[#This Row],[asofdate]]),MONTH(OneWeekMtgRatesDataTable756[[#This Row],[asofdate]]),DAY(OneWeekMtgRatesDataTable756[[#This Row],[asofdate]]))</f>
        <v>41320</v>
      </c>
      <c r="E687" s="50" t="s">
        <v>11</v>
      </c>
      <c r="F687" s="57">
        <v>0.20219999999999999</v>
      </c>
    </row>
    <row r="688" spans="2:6">
      <c r="B688" s="50" t="s">
        <v>21</v>
      </c>
      <c r="C688" s="50" t="s">
        <v>969</v>
      </c>
      <c r="D688" s="50">
        <f>DATE(YEAR(OneWeekMtgRatesDataTable756[[#This Row],[asofdate]]),MONTH(OneWeekMtgRatesDataTable756[[#This Row],[asofdate]]),DAY(OneWeekMtgRatesDataTable756[[#This Row],[asofdate]]))</f>
        <v>41319</v>
      </c>
      <c r="E688" s="50" t="s">
        <v>11</v>
      </c>
      <c r="F688" s="57">
        <v>0.20169999999999999</v>
      </c>
    </row>
    <row r="689" spans="2:6">
      <c r="B689" s="50" t="s">
        <v>21</v>
      </c>
      <c r="C689" s="50" t="s">
        <v>968</v>
      </c>
      <c r="D689" s="50">
        <f>DATE(YEAR(OneWeekMtgRatesDataTable756[[#This Row],[asofdate]]),MONTH(OneWeekMtgRatesDataTable756[[#This Row],[asofdate]]),DAY(OneWeekMtgRatesDataTable756[[#This Row],[asofdate]]))</f>
        <v>41318</v>
      </c>
      <c r="E689" s="50" t="s">
        <v>11</v>
      </c>
      <c r="F689" s="57">
        <v>0.20119999999999999</v>
      </c>
    </row>
    <row r="690" spans="2:6">
      <c r="B690" s="50" t="s">
        <v>21</v>
      </c>
      <c r="C690" s="50" t="s">
        <v>967</v>
      </c>
      <c r="D690" s="50">
        <f>DATE(YEAR(OneWeekMtgRatesDataTable756[[#This Row],[asofdate]]),MONTH(OneWeekMtgRatesDataTable756[[#This Row],[asofdate]]),DAY(OneWeekMtgRatesDataTable756[[#This Row],[asofdate]]))</f>
        <v>41317</v>
      </c>
      <c r="E690" s="50" t="s">
        <v>11</v>
      </c>
      <c r="F690" s="57">
        <v>0.20119999999999999</v>
      </c>
    </row>
    <row r="691" spans="2:6">
      <c r="B691" s="50" t="s">
        <v>21</v>
      </c>
      <c r="C691" s="50" t="s">
        <v>966</v>
      </c>
      <c r="D691" s="50">
        <f>DATE(YEAR(OneWeekMtgRatesDataTable756[[#This Row],[asofdate]]),MONTH(OneWeekMtgRatesDataTable756[[#This Row],[asofdate]]),DAY(OneWeekMtgRatesDataTable756[[#This Row],[asofdate]]))</f>
        <v>41316</v>
      </c>
      <c r="E691" s="50" t="s">
        <v>11</v>
      </c>
      <c r="F691" s="57">
        <v>0.20219999999999999</v>
      </c>
    </row>
    <row r="692" spans="2:6">
      <c r="B692" s="50" t="s">
        <v>21</v>
      </c>
      <c r="C692" s="50" t="s">
        <v>965</v>
      </c>
      <c r="D692" s="50">
        <f>DATE(YEAR(OneWeekMtgRatesDataTable756[[#This Row],[asofdate]]),MONTH(OneWeekMtgRatesDataTable756[[#This Row],[asofdate]]),DAY(OneWeekMtgRatesDataTable756[[#This Row],[asofdate]]))</f>
        <v>41313</v>
      </c>
      <c r="E692" s="50" t="s">
        <v>11</v>
      </c>
      <c r="F692" s="57">
        <v>0.20019999999999999</v>
      </c>
    </row>
    <row r="693" spans="2:6">
      <c r="B693" s="50" t="s">
        <v>21</v>
      </c>
      <c r="C693" s="50" t="s">
        <v>964</v>
      </c>
      <c r="D693" s="50">
        <f>DATE(YEAR(OneWeekMtgRatesDataTable756[[#This Row],[asofdate]]),MONTH(OneWeekMtgRatesDataTable756[[#This Row],[asofdate]]),DAY(OneWeekMtgRatesDataTable756[[#This Row],[asofdate]]))</f>
        <v>41312</v>
      </c>
      <c r="E693" s="50" t="s">
        <v>11</v>
      </c>
      <c r="F693" s="57">
        <v>0.19919999999999999</v>
      </c>
    </row>
    <row r="694" spans="2:6">
      <c r="B694" s="50" t="s">
        <v>21</v>
      </c>
      <c r="C694" s="50" t="s">
        <v>963</v>
      </c>
      <c r="D694" s="50">
        <f>DATE(YEAR(OneWeekMtgRatesDataTable756[[#This Row],[asofdate]]),MONTH(OneWeekMtgRatesDataTable756[[#This Row],[asofdate]]),DAY(OneWeekMtgRatesDataTable756[[#This Row],[asofdate]]))</f>
        <v>41311</v>
      </c>
      <c r="E694" s="50" t="s">
        <v>11</v>
      </c>
      <c r="F694" s="57">
        <v>0.19919999999999999</v>
      </c>
    </row>
    <row r="695" spans="2:6">
      <c r="B695" s="50" t="s">
        <v>21</v>
      </c>
      <c r="C695" s="50" t="s">
        <v>962</v>
      </c>
      <c r="D695" s="50">
        <f>DATE(YEAR(OneWeekMtgRatesDataTable756[[#This Row],[asofdate]]),MONTH(OneWeekMtgRatesDataTable756[[#This Row],[asofdate]]),DAY(OneWeekMtgRatesDataTable756[[#This Row],[asofdate]]))</f>
        <v>41310</v>
      </c>
      <c r="E695" s="50" t="s">
        <v>11</v>
      </c>
      <c r="F695" s="57">
        <v>0.19919999999999999</v>
      </c>
    </row>
    <row r="696" spans="2:6">
      <c r="B696" s="50" t="s">
        <v>21</v>
      </c>
      <c r="C696" s="50" t="s">
        <v>961</v>
      </c>
      <c r="D696" s="50">
        <f>DATE(YEAR(OneWeekMtgRatesDataTable756[[#This Row],[asofdate]]),MONTH(OneWeekMtgRatesDataTable756[[#This Row],[asofdate]]),DAY(OneWeekMtgRatesDataTable756[[#This Row],[asofdate]]))</f>
        <v>41309</v>
      </c>
      <c r="E696" s="50" t="s">
        <v>11</v>
      </c>
      <c r="F696" s="57">
        <v>0.19819999999999999</v>
      </c>
    </row>
    <row r="697" spans="2:6">
      <c r="B697" s="50" t="s">
        <v>21</v>
      </c>
      <c r="C697" s="50" t="s">
        <v>960</v>
      </c>
      <c r="D697" s="50">
        <f>DATE(YEAR(OneWeekMtgRatesDataTable756[[#This Row],[asofdate]]),MONTH(OneWeekMtgRatesDataTable756[[#This Row],[asofdate]]),DAY(OneWeekMtgRatesDataTable756[[#This Row],[asofdate]]))</f>
        <v>41306</v>
      </c>
      <c r="E697" s="50" t="s">
        <v>11</v>
      </c>
      <c r="F697" s="57">
        <v>0.19919999999999999</v>
      </c>
    </row>
    <row r="698" spans="2:6">
      <c r="B698" s="50" t="s">
        <v>21</v>
      </c>
      <c r="C698" s="50" t="s">
        <v>959</v>
      </c>
      <c r="D698" s="50">
        <f>DATE(YEAR(OneWeekMtgRatesDataTable756[[#This Row],[asofdate]]),MONTH(OneWeekMtgRatesDataTable756[[#This Row],[asofdate]]),DAY(OneWeekMtgRatesDataTable756[[#This Row],[asofdate]]))</f>
        <v>41305</v>
      </c>
      <c r="E698" s="50" t="s">
        <v>11</v>
      </c>
      <c r="F698" s="57">
        <v>0.19969999999999999</v>
      </c>
    </row>
    <row r="699" spans="2:6">
      <c r="B699" s="50" t="s">
        <v>21</v>
      </c>
      <c r="C699" s="50" t="s">
        <v>958</v>
      </c>
      <c r="D699" s="50">
        <f>DATE(YEAR(OneWeekMtgRatesDataTable756[[#This Row],[asofdate]]),MONTH(OneWeekMtgRatesDataTable756[[#This Row],[asofdate]]),DAY(OneWeekMtgRatesDataTable756[[#This Row],[asofdate]]))</f>
        <v>41304</v>
      </c>
      <c r="E699" s="50" t="s">
        <v>11</v>
      </c>
      <c r="F699" s="57">
        <v>0.20169999999999999</v>
      </c>
    </row>
    <row r="700" spans="2:6">
      <c r="B700" s="50" t="s">
        <v>21</v>
      </c>
      <c r="C700" s="50" t="s">
        <v>957</v>
      </c>
      <c r="D700" s="50">
        <f>DATE(YEAR(OneWeekMtgRatesDataTable756[[#This Row],[asofdate]]),MONTH(OneWeekMtgRatesDataTable756[[#This Row],[asofdate]]),DAY(OneWeekMtgRatesDataTable756[[#This Row],[asofdate]]))</f>
        <v>41303</v>
      </c>
      <c r="E700" s="50" t="s">
        <v>11</v>
      </c>
      <c r="F700" s="57">
        <v>0.20169999999999999</v>
      </c>
    </row>
    <row r="701" spans="2:6">
      <c r="B701" s="50" t="s">
        <v>21</v>
      </c>
      <c r="C701" s="50" t="s">
        <v>956</v>
      </c>
      <c r="D701" s="50">
        <f>DATE(YEAR(OneWeekMtgRatesDataTable756[[#This Row],[asofdate]]),MONTH(OneWeekMtgRatesDataTable756[[#This Row],[asofdate]]),DAY(OneWeekMtgRatesDataTable756[[#This Row],[asofdate]]))</f>
        <v>41302</v>
      </c>
      <c r="E701" s="50" t="s">
        <v>11</v>
      </c>
      <c r="F701" s="57">
        <v>0.20269999999999999</v>
      </c>
    </row>
    <row r="702" spans="2:6">
      <c r="B702" s="50" t="s">
        <v>21</v>
      </c>
      <c r="C702" s="50" t="s">
        <v>955</v>
      </c>
      <c r="D702" s="50">
        <f>DATE(YEAR(OneWeekMtgRatesDataTable756[[#This Row],[asofdate]]),MONTH(OneWeekMtgRatesDataTable756[[#This Row],[asofdate]]),DAY(OneWeekMtgRatesDataTable756[[#This Row],[asofdate]]))</f>
        <v>41299</v>
      </c>
      <c r="E702" s="50" t="s">
        <v>11</v>
      </c>
      <c r="F702" s="57">
        <v>0.20369999999999999</v>
      </c>
    </row>
    <row r="703" spans="2:6">
      <c r="B703" s="50" t="s">
        <v>21</v>
      </c>
      <c r="C703" s="50" t="s">
        <v>954</v>
      </c>
      <c r="D703" s="50">
        <f>DATE(YEAR(OneWeekMtgRatesDataTable756[[#This Row],[asofdate]]),MONTH(OneWeekMtgRatesDataTable756[[#This Row],[asofdate]]),DAY(OneWeekMtgRatesDataTable756[[#This Row],[asofdate]]))</f>
        <v>41298</v>
      </c>
      <c r="E703" s="50" t="s">
        <v>11</v>
      </c>
      <c r="F703" s="57">
        <v>0.20369999999999999</v>
      </c>
    </row>
    <row r="704" spans="2:6">
      <c r="B704" s="50" t="s">
        <v>21</v>
      </c>
      <c r="C704" s="50" t="s">
        <v>953</v>
      </c>
      <c r="D704" s="50">
        <f>DATE(YEAR(OneWeekMtgRatesDataTable756[[#This Row],[asofdate]]),MONTH(OneWeekMtgRatesDataTable756[[#This Row],[asofdate]]),DAY(OneWeekMtgRatesDataTable756[[#This Row],[asofdate]]))</f>
        <v>41297</v>
      </c>
      <c r="E704" s="50" t="s">
        <v>11</v>
      </c>
      <c r="F704" s="57">
        <v>0.20369999999999999</v>
      </c>
    </row>
    <row r="705" spans="2:6">
      <c r="B705" s="50" t="s">
        <v>21</v>
      </c>
      <c r="C705" s="50" t="s">
        <v>952</v>
      </c>
      <c r="D705" s="50">
        <f>DATE(YEAR(OneWeekMtgRatesDataTable756[[#This Row],[asofdate]]),MONTH(OneWeekMtgRatesDataTable756[[#This Row],[asofdate]]),DAY(OneWeekMtgRatesDataTable756[[#This Row],[asofdate]]))</f>
        <v>41296</v>
      </c>
      <c r="E705" s="50" t="s">
        <v>11</v>
      </c>
      <c r="F705" s="57">
        <v>0.20469999999999999</v>
      </c>
    </row>
    <row r="706" spans="2:6">
      <c r="B706" s="50" t="s">
        <v>21</v>
      </c>
      <c r="C706" s="50" t="s">
        <v>951</v>
      </c>
      <c r="D706" s="50">
        <f>DATE(YEAR(OneWeekMtgRatesDataTable756[[#This Row],[asofdate]]),MONTH(OneWeekMtgRatesDataTable756[[#This Row],[asofdate]]),DAY(OneWeekMtgRatesDataTable756[[#This Row],[asofdate]]))</f>
        <v>41292</v>
      </c>
      <c r="E706" s="50" t="s">
        <v>11</v>
      </c>
      <c r="F706" s="57">
        <v>0.20469999999999999</v>
      </c>
    </row>
    <row r="707" spans="2:6">
      <c r="B707" s="50" t="s">
        <v>21</v>
      </c>
      <c r="C707" s="50" t="s">
        <v>950</v>
      </c>
      <c r="D707" s="50">
        <f>DATE(YEAR(OneWeekMtgRatesDataTable756[[#This Row],[asofdate]]),MONTH(OneWeekMtgRatesDataTable756[[#This Row],[asofdate]]),DAY(OneWeekMtgRatesDataTable756[[#This Row],[asofdate]]))</f>
        <v>41291</v>
      </c>
      <c r="E707" s="50" t="s">
        <v>11</v>
      </c>
      <c r="F707" s="57">
        <v>0.20469999999999999</v>
      </c>
    </row>
    <row r="708" spans="2:6">
      <c r="B708" s="50" t="s">
        <v>21</v>
      </c>
      <c r="C708" s="50" t="s">
        <v>949</v>
      </c>
      <c r="D708" s="50">
        <f>DATE(YEAR(OneWeekMtgRatesDataTable756[[#This Row],[asofdate]]),MONTH(OneWeekMtgRatesDataTable756[[#This Row],[asofdate]]),DAY(OneWeekMtgRatesDataTable756[[#This Row],[asofdate]]))</f>
        <v>41290</v>
      </c>
      <c r="E708" s="50" t="s">
        <v>11</v>
      </c>
      <c r="F708" s="57">
        <v>0.20569999999999999</v>
      </c>
    </row>
    <row r="709" spans="2:6">
      <c r="B709" s="50" t="s">
        <v>21</v>
      </c>
      <c r="C709" s="50" t="s">
        <v>948</v>
      </c>
      <c r="D709" s="50">
        <f>DATE(YEAR(OneWeekMtgRatesDataTable756[[#This Row],[asofdate]]),MONTH(OneWeekMtgRatesDataTable756[[#This Row],[asofdate]]),DAY(OneWeekMtgRatesDataTable756[[#This Row],[asofdate]]))</f>
        <v>41289</v>
      </c>
      <c r="E709" s="50" t="s">
        <v>11</v>
      </c>
      <c r="F709" s="57">
        <v>0.20569999999999999</v>
      </c>
    </row>
    <row r="710" spans="2:6">
      <c r="B710" s="50" t="s">
        <v>21</v>
      </c>
      <c r="C710" s="50" t="s">
        <v>947</v>
      </c>
      <c r="D710" s="50">
        <f>DATE(YEAR(OneWeekMtgRatesDataTable756[[#This Row],[asofdate]]),MONTH(OneWeekMtgRatesDataTable756[[#This Row],[asofdate]]),DAY(OneWeekMtgRatesDataTable756[[#This Row],[asofdate]]))</f>
        <v>41288</v>
      </c>
      <c r="E710" s="50" t="s">
        <v>11</v>
      </c>
      <c r="F710" s="57">
        <v>0.20569999999999999</v>
      </c>
    </row>
    <row r="711" spans="2:6">
      <c r="B711" s="50" t="s">
        <v>21</v>
      </c>
      <c r="C711" s="50" t="s">
        <v>946</v>
      </c>
      <c r="D711" s="50">
        <f>DATE(YEAR(OneWeekMtgRatesDataTable756[[#This Row],[asofdate]]),MONTH(OneWeekMtgRatesDataTable756[[#This Row],[asofdate]]),DAY(OneWeekMtgRatesDataTable756[[#This Row],[asofdate]]))</f>
        <v>41285</v>
      </c>
      <c r="E711" s="50" t="s">
        <v>11</v>
      </c>
      <c r="F711" s="57">
        <v>0.20569999999999999</v>
      </c>
    </row>
    <row r="712" spans="2:6">
      <c r="B712" s="50" t="s">
        <v>21</v>
      </c>
      <c r="C712" s="50" t="s">
        <v>945</v>
      </c>
      <c r="D712" s="50">
        <f>DATE(YEAR(OneWeekMtgRatesDataTable756[[#This Row],[asofdate]]),MONTH(OneWeekMtgRatesDataTable756[[#This Row],[asofdate]]),DAY(OneWeekMtgRatesDataTable756[[#This Row],[asofdate]]))</f>
        <v>41284</v>
      </c>
      <c r="E712" s="50" t="s">
        <v>11</v>
      </c>
      <c r="F712" s="57">
        <v>0.20569999999999999</v>
      </c>
    </row>
    <row r="713" spans="2:6">
      <c r="B713" s="50" t="s">
        <v>21</v>
      </c>
      <c r="C713" s="50" t="s">
        <v>944</v>
      </c>
      <c r="D713" s="50">
        <f>DATE(YEAR(OneWeekMtgRatesDataTable756[[#This Row],[asofdate]]),MONTH(OneWeekMtgRatesDataTable756[[#This Row],[asofdate]]),DAY(OneWeekMtgRatesDataTable756[[#This Row],[asofdate]]))</f>
        <v>41283</v>
      </c>
      <c r="E713" s="50" t="s">
        <v>11</v>
      </c>
      <c r="F713" s="57">
        <v>0.20669999999999999</v>
      </c>
    </row>
    <row r="714" spans="2:6">
      <c r="B714" s="50" t="s">
        <v>21</v>
      </c>
      <c r="C714" s="50" t="s">
        <v>943</v>
      </c>
      <c r="D714" s="50">
        <f>DATE(YEAR(OneWeekMtgRatesDataTable756[[#This Row],[asofdate]]),MONTH(OneWeekMtgRatesDataTable756[[#This Row],[asofdate]]),DAY(OneWeekMtgRatesDataTable756[[#This Row],[asofdate]]))</f>
        <v>41282</v>
      </c>
      <c r="E714" s="50" t="s">
        <v>11</v>
      </c>
      <c r="F714" s="57">
        <v>0.2077</v>
      </c>
    </row>
    <row r="715" spans="2:6">
      <c r="B715" s="50" t="s">
        <v>21</v>
      </c>
      <c r="C715" s="50" t="s">
        <v>942</v>
      </c>
      <c r="D715" s="50">
        <f>DATE(YEAR(OneWeekMtgRatesDataTable756[[#This Row],[asofdate]]),MONTH(OneWeekMtgRatesDataTable756[[#This Row],[asofdate]]),DAY(OneWeekMtgRatesDataTable756[[#This Row],[asofdate]]))</f>
        <v>41281</v>
      </c>
      <c r="E715" s="50" t="s">
        <v>11</v>
      </c>
      <c r="F715" s="57">
        <v>0.2077</v>
      </c>
    </row>
    <row r="716" spans="2:6">
      <c r="B716" s="50" t="s">
        <v>21</v>
      </c>
      <c r="C716" s="50" t="s">
        <v>941</v>
      </c>
      <c r="D716" s="50">
        <f>DATE(YEAR(OneWeekMtgRatesDataTable756[[#This Row],[asofdate]]),MONTH(OneWeekMtgRatesDataTable756[[#This Row],[asofdate]]),DAY(OneWeekMtgRatesDataTable756[[#This Row],[asofdate]]))</f>
        <v>41278</v>
      </c>
      <c r="E716" s="50" t="s">
        <v>11</v>
      </c>
      <c r="F716" s="57">
        <v>0.2077</v>
      </c>
    </row>
    <row r="717" spans="2:6">
      <c r="B717" s="50" t="s">
        <v>21</v>
      </c>
      <c r="C717" s="50" t="s">
        <v>940</v>
      </c>
      <c r="D717" s="50">
        <f>DATE(YEAR(OneWeekMtgRatesDataTable756[[#This Row],[asofdate]]),MONTH(OneWeekMtgRatesDataTable756[[#This Row],[asofdate]]),DAY(OneWeekMtgRatesDataTable756[[#This Row],[asofdate]]))</f>
        <v>41277</v>
      </c>
      <c r="E717" s="50" t="s">
        <v>11</v>
      </c>
      <c r="F717" s="57">
        <v>0.2077</v>
      </c>
    </row>
    <row r="718" spans="2:6">
      <c r="B718" s="50" t="s">
        <v>21</v>
      </c>
      <c r="C718" s="50" t="s">
        <v>939</v>
      </c>
      <c r="D718" s="50">
        <f>DATE(YEAR(OneWeekMtgRatesDataTable756[[#This Row],[asofdate]]),MONTH(OneWeekMtgRatesDataTable756[[#This Row],[asofdate]]),DAY(OneWeekMtgRatesDataTable756[[#This Row],[asofdate]]))</f>
        <v>41276</v>
      </c>
      <c r="E718" s="50" t="s">
        <v>11</v>
      </c>
      <c r="F718" s="57">
        <v>0.2077</v>
      </c>
    </row>
    <row r="719" spans="2:6">
      <c r="B719" s="50" t="s">
        <v>21</v>
      </c>
      <c r="C719" s="50" t="s">
        <v>938</v>
      </c>
      <c r="D719" s="50">
        <f>DATE(YEAR(OneWeekMtgRatesDataTable756[[#This Row],[asofdate]]),MONTH(OneWeekMtgRatesDataTable756[[#This Row],[asofdate]]),DAY(OneWeekMtgRatesDataTable756[[#This Row],[asofdate]]))</f>
        <v>41274</v>
      </c>
      <c r="E719" s="50" t="s">
        <v>11</v>
      </c>
      <c r="F719" s="57">
        <v>0.2087</v>
      </c>
    </row>
    <row r="720" spans="2:6">
      <c r="B720" s="50" t="s">
        <v>21</v>
      </c>
      <c r="C720" s="50" t="s">
        <v>937</v>
      </c>
      <c r="D720" s="50">
        <f>DATE(YEAR(OneWeekMtgRatesDataTable756[[#This Row],[asofdate]]),MONTH(OneWeekMtgRatesDataTable756[[#This Row],[asofdate]]),DAY(OneWeekMtgRatesDataTable756[[#This Row],[asofdate]]))</f>
        <v>41271</v>
      </c>
      <c r="E720" s="50" t="s">
        <v>11</v>
      </c>
      <c r="F720" s="57">
        <v>0.2097</v>
      </c>
    </row>
    <row r="721" spans="2:6">
      <c r="B721" s="50" t="s">
        <v>21</v>
      </c>
      <c r="C721" s="50" t="s">
        <v>936</v>
      </c>
      <c r="D721" s="50">
        <f>DATE(YEAR(OneWeekMtgRatesDataTable756[[#This Row],[asofdate]]),MONTH(OneWeekMtgRatesDataTable756[[#This Row],[asofdate]]),DAY(OneWeekMtgRatesDataTable756[[#This Row],[asofdate]]))</f>
        <v>41270</v>
      </c>
      <c r="E721" s="50" t="s">
        <v>11</v>
      </c>
      <c r="F721" s="57">
        <v>0.2117</v>
      </c>
    </row>
    <row r="722" spans="2:6">
      <c r="B722" s="50" t="s">
        <v>21</v>
      </c>
      <c r="C722" s="50" t="s">
        <v>935</v>
      </c>
      <c r="D722" s="50">
        <f>DATE(YEAR(OneWeekMtgRatesDataTable756[[#This Row],[asofdate]]),MONTH(OneWeekMtgRatesDataTable756[[#This Row],[asofdate]]),DAY(OneWeekMtgRatesDataTable756[[#This Row],[asofdate]]))</f>
        <v>41269</v>
      </c>
      <c r="E722" s="50" t="s">
        <v>11</v>
      </c>
      <c r="F722" s="57">
        <v>0.2097</v>
      </c>
    </row>
    <row r="723" spans="2:6">
      <c r="B723" s="50" t="s">
        <v>21</v>
      </c>
      <c r="C723" s="50" t="s">
        <v>934</v>
      </c>
      <c r="D723" s="50">
        <f>DATE(YEAR(OneWeekMtgRatesDataTable756[[#This Row],[asofdate]]),MONTH(OneWeekMtgRatesDataTable756[[#This Row],[asofdate]]),DAY(OneWeekMtgRatesDataTable756[[#This Row],[asofdate]]))</f>
        <v>41267</v>
      </c>
      <c r="E723" s="50" t="s">
        <v>11</v>
      </c>
      <c r="F723" s="57">
        <v>0.2097</v>
      </c>
    </row>
    <row r="724" spans="2:6">
      <c r="B724" s="50" t="s">
        <v>21</v>
      </c>
      <c r="C724" s="50" t="s">
        <v>933</v>
      </c>
      <c r="D724" s="50">
        <f>DATE(YEAR(OneWeekMtgRatesDataTable756[[#This Row],[asofdate]]),MONTH(OneWeekMtgRatesDataTable756[[#This Row],[asofdate]]),DAY(OneWeekMtgRatesDataTable756[[#This Row],[asofdate]]))</f>
        <v>41264</v>
      </c>
      <c r="E724" s="50" t="s">
        <v>11</v>
      </c>
      <c r="F724" s="57">
        <v>0.2097</v>
      </c>
    </row>
    <row r="725" spans="2:6">
      <c r="B725" s="50" t="s">
        <v>21</v>
      </c>
      <c r="C725" s="50" t="s">
        <v>932</v>
      </c>
      <c r="D725" s="50">
        <f>DATE(YEAR(OneWeekMtgRatesDataTable756[[#This Row],[asofdate]]),MONTH(OneWeekMtgRatesDataTable756[[#This Row],[asofdate]]),DAY(OneWeekMtgRatesDataTable756[[#This Row],[asofdate]]))</f>
        <v>41263</v>
      </c>
      <c r="E725" s="50" t="s">
        <v>11</v>
      </c>
      <c r="F725" s="57">
        <v>0.2107</v>
      </c>
    </row>
    <row r="726" spans="2:6">
      <c r="B726" s="50" t="s">
        <v>21</v>
      </c>
      <c r="C726" s="50" t="s">
        <v>931</v>
      </c>
      <c r="D726" s="50">
        <f>DATE(YEAR(OneWeekMtgRatesDataTable756[[#This Row],[asofdate]]),MONTH(OneWeekMtgRatesDataTable756[[#This Row],[asofdate]]),DAY(OneWeekMtgRatesDataTable756[[#This Row],[asofdate]]))</f>
        <v>41262</v>
      </c>
      <c r="E726" s="50" t="s">
        <v>11</v>
      </c>
      <c r="F726" s="57">
        <v>0.2107</v>
      </c>
    </row>
    <row r="727" spans="2:6">
      <c r="B727" s="50" t="s">
        <v>21</v>
      </c>
      <c r="C727" s="50" t="s">
        <v>930</v>
      </c>
      <c r="D727" s="50">
        <f>DATE(YEAR(OneWeekMtgRatesDataTable756[[#This Row],[asofdate]]),MONTH(OneWeekMtgRatesDataTable756[[#This Row],[asofdate]]),DAY(OneWeekMtgRatesDataTable756[[#This Row],[asofdate]]))</f>
        <v>41261</v>
      </c>
      <c r="E727" s="50" t="s">
        <v>11</v>
      </c>
      <c r="F727" s="57">
        <v>0.2107</v>
      </c>
    </row>
    <row r="728" spans="2:6">
      <c r="B728" s="50" t="s">
        <v>21</v>
      </c>
      <c r="C728" s="50" t="s">
        <v>929</v>
      </c>
      <c r="D728" s="50">
        <f>DATE(YEAR(OneWeekMtgRatesDataTable756[[#This Row],[asofdate]]),MONTH(OneWeekMtgRatesDataTable756[[#This Row],[asofdate]]),DAY(OneWeekMtgRatesDataTable756[[#This Row],[asofdate]]))</f>
        <v>41260</v>
      </c>
      <c r="E728" s="50" t="s">
        <v>11</v>
      </c>
      <c r="F728" s="57">
        <v>0.21</v>
      </c>
    </row>
    <row r="729" spans="2:6">
      <c r="B729" s="50" t="s">
        <v>21</v>
      </c>
      <c r="C729" s="50" t="s">
        <v>928</v>
      </c>
      <c r="D729" s="50">
        <f>DATE(YEAR(OneWeekMtgRatesDataTable756[[#This Row],[asofdate]]),MONTH(OneWeekMtgRatesDataTable756[[#This Row],[asofdate]]),DAY(OneWeekMtgRatesDataTable756[[#This Row],[asofdate]]))</f>
        <v>41257</v>
      </c>
      <c r="E729" s="50" t="s">
        <v>11</v>
      </c>
      <c r="F729" s="57">
        <v>0.20899999999999999</v>
      </c>
    </row>
    <row r="730" spans="2:6">
      <c r="B730" s="50" t="s">
        <v>21</v>
      </c>
      <c r="C730" s="50" t="s">
        <v>927</v>
      </c>
      <c r="D730" s="50">
        <f>DATE(YEAR(OneWeekMtgRatesDataTable756[[#This Row],[asofdate]]),MONTH(OneWeekMtgRatesDataTable756[[#This Row],[asofdate]]),DAY(OneWeekMtgRatesDataTable756[[#This Row],[asofdate]]))</f>
        <v>41256</v>
      </c>
      <c r="E730" s="50" t="s">
        <v>11</v>
      </c>
      <c r="F730" s="57">
        <v>0.20899999999999999</v>
      </c>
    </row>
    <row r="731" spans="2:6">
      <c r="B731" s="50" t="s">
        <v>21</v>
      </c>
      <c r="C731" s="50" t="s">
        <v>926</v>
      </c>
      <c r="D731" s="50">
        <f>DATE(YEAR(OneWeekMtgRatesDataTable756[[#This Row],[asofdate]]),MONTH(OneWeekMtgRatesDataTable756[[#This Row],[asofdate]]),DAY(OneWeekMtgRatesDataTable756[[#This Row],[asofdate]]))</f>
        <v>41255</v>
      </c>
      <c r="E731" s="50" t="s">
        <v>11</v>
      </c>
      <c r="F731" s="57">
        <v>0.20899999999999999</v>
      </c>
    </row>
    <row r="732" spans="2:6">
      <c r="B732" s="50" t="s">
        <v>21</v>
      </c>
      <c r="C732" s="50" t="s">
        <v>925</v>
      </c>
      <c r="D732" s="50">
        <f>DATE(YEAR(OneWeekMtgRatesDataTable756[[#This Row],[asofdate]]),MONTH(OneWeekMtgRatesDataTable756[[#This Row],[asofdate]]),DAY(OneWeekMtgRatesDataTable756[[#This Row],[asofdate]]))</f>
        <v>41254</v>
      </c>
      <c r="E732" s="50" t="s">
        <v>11</v>
      </c>
      <c r="F732" s="57">
        <v>0.21099999999999999</v>
      </c>
    </row>
    <row r="733" spans="2:6">
      <c r="B733" s="50" t="s">
        <v>21</v>
      </c>
      <c r="C733" s="50" t="s">
        <v>924</v>
      </c>
      <c r="D733" s="50">
        <f>DATE(YEAR(OneWeekMtgRatesDataTable756[[#This Row],[asofdate]]),MONTH(OneWeekMtgRatesDataTable756[[#This Row],[asofdate]]),DAY(OneWeekMtgRatesDataTable756[[#This Row],[asofdate]]))</f>
        <v>41253</v>
      </c>
      <c r="E733" s="50" t="s">
        <v>11</v>
      </c>
      <c r="F733" s="57">
        <v>0.21199999999999999</v>
      </c>
    </row>
    <row r="734" spans="2:6">
      <c r="B734" s="50" t="s">
        <v>21</v>
      </c>
      <c r="C734" s="50" t="s">
        <v>923</v>
      </c>
      <c r="D734" s="50">
        <f>DATE(YEAR(OneWeekMtgRatesDataTable756[[#This Row],[asofdate]]),MONTH(OneWeekMtgRatesDataTable756[[#This Row],[asofdate]]),DAY(OneWeekMtgRatesDataTable756[[#This Row],[asofdate]]))</f>
        <v>41250</v>
      </c>
      <c r="E734" s="50" t="s">
        <v>11</v>
      </c>
      <c r="F734" s="57">
        <v>0.21199999999999999</v>
      </c>
    </row>
    <row r="735" spans="2:6">
      <c r="B735" s="50" t="s">
        <v>21</v>
      </c>
      <c r="C735" s="50" t="s">
        <v>922</v>
      </c>
      <c r="D735" s="50">
        <f>DATE(YEAR(OneWeekMtgRatesDataTable756[[#This Row],[asofdate]]),MONTH(OneWeekMtgRatesDataTable756[[#This Row],[asofdate]]),DAY(OneWeekMtgRatesDataTable756[[#This Row],[asofdate]]))</f>
        <v>41249</v>
      </c>
      <c r="E735" s="50" t="s">
        <v>11</v>
      </c>
      <c r="F735" s="57">
        <v>0.21299999999999999</v>
      </c>
    </row>
    <row r="736" spans="2:6">
      <c r="B736" s="50" t="s">
        <v>21</v>
      </c>
      <c r="C736" s="50" t="s">
        <v>921</v>
      </c>
      <c r="D736" s="50">
        <f>DATE(YEAR(OneWeekMtgRatesDataTable756[[#This Row],[asofdate]]),MONTH(OneWeekMtgRatesDataTable756[[#This Row],[asofdate]]),DAY(OneWeekMtgRatesDataTable756[[#This Row],[asofdate]]))</f>
        <v>41248</v>
      </c>
      <c r="E736" s="50" t="s">
        <v>11</v>
      </c>
      <c r="F736" s="57">
        <v>0.21299999999999999</v>
      </c>
    </row>
    <row r="737" spans="2:6">
      <c r="B737" s="50" t="s">
        <v>21</v>
      </c>
      <c r="C737" s="50" t="s">
        <v>920</v>
      </c>
      <c r="D737" s="50">
        <f>DATE(YEAR(OneWeekMtgRatesDataTable756[[#This Row],[asofdate]]),MONTH(OneWeekMtgRatesDataTable756[[#This Row],[asofdate]]),DAY(OneWeekMtgRatesDataTable756[[#This Row],[asofdate]]))</f>
        <v>41247</v>
      </c>
      <c r="E737" s="50" t="s">
        <v>11</v>
      </c>
      <c r="F737" s="57">
        <v>0.21299999999999999</v>
      </c>
    </row>
    <row r="738" spans="2:6">
      <c r="B738" s="50" t="s">
        <v>21</v>
      </c>
      <c r="C738" s="50" t="s">
        <v>919</v>
      </c>
      <c r="D738" s="50">
        <f>DATE(YEAR(OneWeekMtgRatesDataTable756[[#This Row],[asofdate]]),MONTH(OneWeekMtgRatesDataTable756[[#This Row],[asofdate]]),DAY(OneWeekMtgRatesDataTable756[[#This Row],[asofdate]]))</f>
        <v>41246</v>
      </c>
      <c r="E738" s="50" t="s">
        <v>11</v>
      </c>
      <c r="F738" s="57">
        <v>0.215</v>
      </c>
    </row>
    <row r="739" spans="2:6">
      <c r="B739" s="50" t="s">
        <v>21</v>
      </c>
      <c r="C739" s="50" t="s">
        <v>918</v>
      </c>
      <c r="D739" s="50">
        <f>DATE(YEAR(OneWeekMtgRatesDataTable756[[#This Row],[asofdate]]),MONTH(OneWeekMtgRatesDataTable756[[#This Row],[asofdate]]),DAY(OneWeekMtgRatesDataTable756[[#This Row],[asofdate]]))</f>
        <v>41243</v>
      </c>
      <c r="E739" s="50" t="s">
        <v>11</v>
      </c>
      <c r="F739" s="57">
        <v>0.2145</v>
      </c>
    </row>
    <row r="740" spans="2:6">
      <c r="B740" s="50" t="s">
        <v>21</v>
      </c>
      <c r="C740" s="50" t="s">
        <v>917</v>
      </c>
      <c r="D740" s="50">
        <f>DATE(YEAR(OneWeekMtgRatesDataTable756[[#This Row],[asofdate]]),MONTH(OneWeekMtgRatesDataTable756[[#This Row],[asofdate]]),DAY(OneWeekMtgRatesDataTable756[[#This Row],[asofdate]]))</f>
        <v>41242</v>
      </c>
      <c r="E740" s="50" t="s">
        <v>11</v>
      </c>
      <c r="F740" s="57">
        <v>0.2135</v>
      </c>
    </row>
    <row r="741" spans="2:6">
      <c r="B741" s="50" t="s">
        <v>21</v>
      </c>
      <c r="C741" s="50" t="s">
        <v>916</v>
      </c>
      <c r="D741" s="50">
        <f>DATE(YEAR(OneWeekMtgRatesDataTable756[[#This Row],[asofdate]]),MONTH(OneWeekMtgRatesDataTable756[[#This Row],[asofdate]]),DAY(OneWeekMtgRatesDataTable756[[#This Row],[asofdate]]))</f>
        <v>41241</v>
      </c>
      <c r="E741" s="50" t="s">
        <v>11</v>
      </c>
      <c r="F741" s="57">
        <v>0.20899999999999999</v>
      </c>
    </row>
    <row r="742" spans="2:6">
      <c r="B742" s="50" t="s">
        <v>21</v>
      </c>
      <c r="C742" s="50" t="s">
        <v>915</v>
      </c>
      <c r="D742" s="50">
        <f>DATE(YEAR(OneWeekMtgRatesDataTable756[[#This Row],[asofdate]]),MONTH(OneWeekMtgRatesDataTable756[[#This Row],[asofdate]]),DAY(OneWeekMtgRatesDataTable756[[#This Row],[asofdate]]))</f>
        <v>41240</v>
      </c>
      <c r="E742" s="50" t="s">
        <v>11</v>
      </c>
      <c r="F742" s="57">
        <v>0.20899999999999999</v>
      </c>
    </row>
    <row r="743" spans="2:6">
      <c r="B743" s="50" t="s">
        <v>21</v>
      </c>
      <c r="C743" s="50" t="s">
        <v>914</v>
      </c>
      <c r="D743" s="50">
        <f>DATE(YEAR(OneWeekMtgRatesDataTable756[[#This Row],[asofdate]]),MONTH(OneWeekMtgRatesDataTable756[[#This Row],[asofdate]]),DAY(OneWeekMtgRatesDataTable756[[#This Row],[asofdate]]))</f>
        <v>41239</v>
      </c>
      <c r="E743" s="50" t="s">
        <v>11</v>
      </c>
      <c r="F743" s="57">
        <v>0.20899999999999999</v>
      </c>
    </row>
    <row r="744" spans="2:6">
      <c r="B744" s="50" t="s">
        <v>21</v>
      </c>
      <c r="C744" s="50" t="s">
        <v>913</v>
      </c>
      <c r="D744" s="50">
        <f>DATE(YEAR(OneWeekMtgRatesDataTable756[[#This Row],[asofdate]]),MONTH(OneWeekMtgRatesDataTable756[[#This Row],[asofdate]]),DAY(OneWeekMtgRatesDataTable756[[#This Row],[asofdate]]))</f>
        <v>41236</v>
      </c>
      <c r="E744" s="50" t="s">
        <v>11</v>
      </c>
      <c r="F744" s="57">
        <v>0.20849999999999999</v>
      </c>
    </row>
    <row r="745" spans="2:6">
      <c r="B745" s="50" t="s">
        <v>21</v>
      </c>
      <c r="C745" s="50" t="s">
        <v>912</v>
      </c>
      <c r="D745" s="50">
        <f>DATE(YEAR(OneWeekMtgRatesDataTable756[[#This Row],[asofdate]]),MONTH(OneWeekMtgRatesDataTable756[[#This Row],[asofdate]]),DAY(OneWeekMtgRatesDataTable756[[#This Row],[asofdate]]))</f>
        <v>41234</v>
      </c>
      <c r="E745" s="50" t="s">
        <v>11</v>
      </c>
      <c r="F745" s="57">
        <v>0.20749999999999999</v>
      </c>
    </row>
    <row r="746" spans="2:6">
      <c r="B746" s="50" t="s">
        <v>21</v>
      </c>
      <c r="C746" s="50" t="s">
        <v>911</v>
      </c>
      <c r="D746" s="50">
        <f>DATE(YEAR(OneWeekMtgRatesDataTable756[[#This Row],[asofdate]]),MONTH(OneWeekMtgRatesDataTable756[[#This Row],[asofdate]]),DAY(OneWeekMtgRatesDataTable756[[#This Row],[asofdate]]))</f>
        <v>41233</v>
      </c>
      <c r="E746" s="50" t="s">
        <v>11</v>
      </c>
      <c r="F746" s="57">
        <v>0.20749999999999999</v>
      </c>
    </row>
    <row r="747" spans="2:6">
      <c r="B747" s="50" t="s">
        <v>21</v>
      </c>
      <c r="C747" s="50" t="s">
        <v>910</v>
      </c>
      <c r="D747" s="50">
        <f>DATE(YEAR(OneWeekMtgRatesDataTable756[[#This Row],[asofdate]]),MONTH(OneWeekMtgRatesDataTable756[[#This Row],[asofdate]]),DAY(OneWeekMtgRatesDataTable756[[#This Row],[asofdate]]))</f>
        <v>41232</v>
      </c>
      <c r="E747" s="50" t="s">
        <v>11</v>
      </c>
      <c r="F747" s="57">
        <v>0.20749999999999999</v>
      </c>
    </row>
    <row r="748" spans="2:6">
      <c r="B748" s="50" t="s">
        <v>21</v>
      </c>
      <c r="C748" s="50" t="s">
        <v>909</v>
      </c>
      <c r="D748" s="50">
        <f>DATE(YEAR(OneWeekMtgRatesDataTable756[[#This Row],[asofdate]]),MONTH(OneWeekMtgRatesDataTable756[[#This Row],[asofdate]]),DAY(OneWeekMtgRatesDataTable756[[#This Row],[asofdate]]))</f>
        <v>41229</v>
      </c>
      <c r="E748" s="50" t="s">
        <v>11</v>
      </c>
      <c r="F748" s="57">
        <v>0.20749999999999999</v>
      </c>
    </row>
    <row r="749" spans="2:6">
      <c r="B749" s="50" t="s">
        <v>21</v>
      </c>
      <c r="C749" s="50" t="s">
        <v>908</v>
      </c>
      <c r="D749" s="50">
        <f>DATE(YEAR(OneWeekMtgRatesDataTable756[[#This Row],[asofdate]]),MONTH(OneWeekMtgRatesDataTable756[[#This Row],[asofdate]]),DAY(OneWeekMtgRatesDataTable756[[#This Row],[asofdate]]))</f>
        <v>41228</v>
      </c>
      <c r="E749" s="50" t="s">
        <v>11</v>
      </c>
      <c r="F749" s="57">
        <v>0.20749999999999999</v>
      </c>
    </row>
    <row r="750" spans="2:6">
      <c r="B750" s="50" t="s">
        <v>21</v>
      </c>
      <c r="C750" s="50" t="s">
        <v>907</v>
      </c>
      <c r="D750" s="50">
        <f>DATE(YEAR(OneWeekMtgRatesDataTable756[[#This Row],[asofdate]]),MONTH(OneWeekMtgRatesDataTable756[[#This Row],[asofdate]]),DAY(OneWeekMtgRatesDataTable756[[#This Row],[asofdate]]))</f>
        <v>41227</v>
      </c>
      <c r="E750" s="50" t="s">
        <v>11</v>
      </c>
      <c r="F750" s="57">
        <v>0.20749999999999999</v>
      </c>
    </row>
    <row r="751" spans="2:6">
      <c r="B751" s="50" t="s">
        <v>21</v>
      </c>
      <c r="C751" s="50" t="s">
        <v>906</v>
      </c>
      <c r="D751" s="50">
        <f>DATE(YEAR(OneWeekMtgRatesDataTable756[[#This Row],[asofdate]]),MONTH(OneWeekMtgRatesDataTable756[[#This Row],[asofdate]]),DAY(OneWeekMtgRatesDataTable756[[#This Row],[asofdate]]))</f>
        <v>41226</v>
      </c>
      <c r="E751" s="50" t="s">
        <v>11</v>
      </c>
      <c r="F751" s="57">
        <v>0.20799999999999999</v>
      </c>
    </row>
    <row r="752" spans="2:6">
      <c r="B752" s="50" t="s">
        <v>21</v>
      </c>
      <c r="C752" s="50" t="s">
        <v>905</v>
      </c>
      <c r="D752" s="50">
        <f>DATE(YEAR(OneWeekMtgRatesDataTable756[[#This Row],[asofdate]]),MONTH(OneWeekMtgRatesDataTable756[[#This Row],[asofdate]]),DAY(OneWeekMtgRatesDataTable756[[#This Row],[asofdate]]))</f>
        <v>41222</v>
      </c>
      <c r="E752" s="50" t="s">
        <v>11</v>
      </c>
      <c r="F752" s="57">
        <v>0.20899999999999999</v>
      </c>
    </row>
    <row r="753" spans="2:6">
      <c r="B753" s="50" t="s">
        <v>21</v>
      </c>
      <c r="C753" s="50" t="s">
        <v>904</v>
      </c>
      <c r="D753" s="50">
        <f>DATE(YEAR(OneWeekMtgRatesDataTable756[[#This Row],[asofdate]]),MONTH(OneWeekMtgRatesDataTable756[[#This Row],[asofdate]]),DAY(OneWeekMtgRatesDataTable756[[#This Row],[asofdate]]))</f>
        <v>41221</v>
      </c>
      <c r="E753" s="50" t="s">
        <v>11</v>
      </c>
      <c r="F753" s="57">
        <v>0.20899999999999999</v>
      </c>
    </row>
    <row r="754" spans="2:6">
      <c r="B754" s="50" t="s">
        <v>21</v>
      </c>
      <c r="C754" s="50" t="s">
        <v>903</v>
      </c>
      <c r="D754" s="50">
        <f>DATE(YEAR(OneWeekMtgRatesDataTable756[[#This Row],[asofdate]]),MONTH(OneWeekMtgRatesDataTable756[[#This Row],[asofdate]]),DAY(OneWeekMtgRatesDataTable756[[#This Row],[asofdate]]))</f>
        <v>41220</v>
      </c>
      <c r="E754" s="50" t="s">
        <v>11</v>
      </c>
      <c r="F754" s="57">
        <v>0.20899999999999999</v>
      </c>
    </row>
    <row r="755" spans="2:6">
      <c r="B755" s="50" t="s">
        <v>21</v>
      </c>
      <c r="C755" s="50" t="s">
        <v>902</v>
      </c>
      <c r="D755" s="50">
        <f>DATE(YEAR(OneWeekMtgRatesDataTable756[[#This Row],[asofdate]]),MONTH(OneWeekMtgRatesDataTable756[[#This Row],[asofdate]]),DAY(OneWeekMtgRatesDataTable756[[#This Row],[asofdate]]))</f>
        <v>41219</v>
      </c>
      <c r="E755" s="50" t="s">
        <v>11</v>
      </c>
      <c r="F755" s="57">
        <v>0.20899999999999999</v>
      </c>
    </row>
    <row r="756" spans="2:6">
      <c r="B756" s="50" t="s">
        <v>21</v>
      </c>
      <c r="C756" s="50" t="s">
        <v>901</v>
      </c>
      <c r="D756" s="50">
        <f>DATE(YEAR(OneWeekMtgRatesDataTable756[[#This Row],[asofdate]]),MONTH(OneWeekMtgRatesDataTable756[[#This Row],[asofdate]]),DAY(OneWeekMtgRatesDataTable756[[#This Row],[asofdate]]))</f>
        <v>41218</v>
      </c>
      <c r="E756" s="50" t="s">
        <v>11</v>
      </c>
      <c r="F756" s="57">
        <v>0.20799999999999999</v>
      </c>
    </row>
    <row r="757" spans="2:6">
      <c r="B757" s="50" t="s">
        <v>21</v>
      </c>
      <c r="C757" s="50" t="s">
        <v>900</v>
      </c>
      <c r="D757" s="50">
        <f>DATE(YEAR(OneWeekMtgRatesDataTable756[[#This Row],[asofdate]]),MONTH(OneWeekMtgRatesDataTable756[[#This Row],[asofdate]]),DAY(OneWeekMtgRatesDataTable756[[#This Row],[asofdate]]))</f>
        <v>41215</v>
      </c>
      <c r="E757" s="50" t="s">
        <v>11</v>
      </c>
      <c r="F757" s="57">
        <v>0.20899999999999999</v>
      </c>
    </row>
    <row r="758" spans="2:6">
      <c r="B758" s="50" t="s">
        <v>21</v>
      </c>
      <c r="C758" s="50" t="s">
        <v>899</v>
      </c>
      <c r="D758" s="50">
        <f>DATE(YEAR(OneWeekMtgRatesDataTable756[[#This Row],[asofdate]]),MONTH(OneWeekMtgRatesDataTable756[[#This Row],[asofdate]]),DAY(OneWeekMtgRatesDataTable756[[#This Row],[asofdate]]))</f>
        <v>41214</v>
      </c>
      <c r="E758" s="50" t="s">
        <v>11</v>
      </c>
      <c r="F758" s="57">
        <v>0.21</v>
      </c>
    </row>
    <row r="759" spans="2:6">
      <c r="B759" s="50" t="s">
        <v>21</v>
      </c>
      <c r="C759" s="50" t="s">
        <v>898</v>
      </c>
      <c r="D759" s="50">
        <f>DATE(YEAR(OneWeekMtgRatesDataTable756[[#This Row],[asofdate]]),MONTH(OneWeekMtgRatesDataTable756[[#This Row],[asofdate]]),DAY(OneWeekMtgRatesDataTable756[[#This Row],[asofdate]]))</f>
        <v>41213</v>
      </c>
      <c r="E759" s="50" t="s">
        <v>11</v>
      </c>
      <c r="F759" s="57">
        <v>0.21199999999999999</v>
      </c>
    </row>
    <row r="760" spans="2:6">
      <c r="B760" s="50" t="s">
        <v>21</v>
      </c>
      <c r="C760" s="50" t="s">
        <v>897</v>
      </c>
      <c r="D760" s="50">
        <f>DATE(YEAR(OneWeekMtgRatesDataTable756[[#This Row],[asofdate]]),MONTH(OneWeekMtgRatesDataTable756[[#This Row],[asofdate]]),DAY(OneWeekMtgRatesDataTable756[[#This Row],[asofdate]]))</f>
        <v>41211</v>
      </c>
      <c r="E760" s="50" t="s">
        <v>11</v>
      </c>
      <c r="F760" s="57">
        <v>0.21199999999999999</v>
      </c>
    </row>
    <row r="761" spans="2:6">
      <c r="B761" s="50" t="s">
        <v>21</v>
      </c>
      <c r="C761" s="50" t="s">
        <v>896</v>
      </c>
      <c r="D761" s="50">
        <f>DATE(YEAR(OneWeekMtgRatesDataTable756[[#This Row],[asofdate]]),MONTH(OneWeekMtgRatesDataTable756[[#This Row],[asofdate]]),DAY(OneWeekMtgRatesDataTable756[[#This Row],[asofdate]]))</f>
        <v>41208</v>
      </c>
      <c r="E761" s="50" t="s">
        <v>11</v>
      </c>
      <c r="F761" s="57">
        <v>0.21199999999999999</v>
      </c>
    </row>
    <row r="762" spans="2:6">
      <c r="B762" s="50" t="s">
        <v>21</v>
      </c>
      <c r="C762" s="50" t="s">
        <v>895</v>
      </c>
      <c r="D762" s="50">
        <f>DATE(YEAR(OneWeekMtgRatesDataTable756[[#This Row],[asofdate]]),MONTH(OneWeekMtgRatesDataTable756[[#This Row],[asofdate]]),DAY(OneWeekMtgRatesDataTable756[[#This Row],[asofdate]]))</f>
        <v>41207</v>
      </c>
      <c r="E762" s="50" t="s">
        <v>11</v>
      </c>
      <c r="F762" s="57">
        <v>0.21099999999999999</v>
      </c>
    </row>
    <row r="763" spans="2:6">
      <c r="B763" s="50" t="s">
        <v>21</v>
      </c>
      <c r="C763" s="50" t="s">
        <v>894</v>
      </c>
      <c r="D763" s="50">
        <f>DATE(YEAR(OneWeekMtgRatesDataTable756[[#This Row],[asofdate]]),MONTH(OneWeekMtgRatesDataTable756[[#This Row],[asofdate]]),DAY(OneWeekMtgRatesDataTable756[[#This Row],[asofdate]]))</f>
        <v>41206</v>
      </c>
      <c r="E763" s="50" t="s">
        <v>11</v>
      </c>
      <c r="F763" s="57">
        <v>0.21049999999999999</v>
      </c>
    </row>
    <row r="764" spans="2:6">
      <c r="B764" s="50" t="s">
        <v>21</v>
      </c>
      <c r="C764" s="50" t="s">
        <v>893</v>
      </c>
      <c r="D764" s="50">
        <f>DATE(YEAR(OneWeekMtgRatesDataTable756[[#This Row],[asofdate]]),MONTH(OneWeekMtgRatesDataTable756[[#This Row],[asofdate]]),DAY(OneWeekMtgRatesDataTable756[[#This Row],[asofdate]]))</f>
        <v>41205</v>
      </c>
      <c r="E764" s="50" t="s">
        <v>11</v>
      </c>
      <c r="F764" s="57">
        <v>0.2107</v>
      </c>
    </row>
    <row r="765" spans="2:6">
      <c r="B765" s="50" t="s">
        <v>21</v>
      </c>
      <c r="C765" s="50" t="s">
        <v>892</v>
      </c>
      <c r="D765" s="50">
        <f>DATE(YEAR(OneWeekMtgRatesDataTable756[[#This Row],[asofdate]]),MONTH(OneWeekMtgRatesDataTable756[[#This Row],[asofdate]]),DAY(OneWeekMtgRatesDataTable756[[#This Row],[asofdate]]))</f>
        <v>41204</v>
      </c>
      <c r="E765" s="50" t="s">
        <v>11</v>
      </c>
      <c r="F765" s="57">
        <v>0.2107</v>
      </c>
    </row>
    <row r="766" spans="2:6">
      <c r="B766" s="50" t="s">
        <v>21</v>
      </c>
      <c r="C766" s="50" t="s">
        <v>891</v>
      </c>
      <c r="D766" s="50">
        <f>DATE(YEAR(OneWeekMtgRatesDataTable756[[#This Row],[asofdate]]),MONTH(OneWeekMtgRatesDataTable756[[#This Row],[asofdate]]),DAY(OneWeekMtgRatesDataTable756[[#This Row],[asofdate]]))</f>
        <v>41201</v>
      </c>
      <c r="E766" s="50" t="s">
        <v>11</v>
      </c>
      <c r="F766" s="57">
        <v>0.2107</v>
      </c>
    </row>
    <row r="767" spans="2:6">
      <c r="B767" s="50" t="s">
        <v>21</v>
      </c>
      <c r="C767" s="50" t="s">
        <v>890</v>
      </c>
      <c r="D767" s="50">
        <f>DATE(YEAR(OneWeekMtgRatesDataTable756[[#This Row],[asofdate]]),MONTH(OneWeekMtgRatesDataTable756[[#This Row],[asofdate]]),DAY(OneWeekMtgRatesDataTable756[[#This Row],[asofdate]]))</f>
        <v>41200</v>
      </c>
      <c r="E767" s="50" t="s">
        <v>11</v>
      </c>
      <c r="F767" s="57">
        <v>0.2107</v>
      </c>
    </row>
    <row r="768" spans="2:6">
      <c r="B768" s="50" t="s">
        <v>21</v>
      </c>
      <c r="C768" s="50" t="s">
        <v>889</v>
      </c>
      <c r="D768" s="50">
        <f>DATE(YEAR(OneWeekMtgRatesDataTable756[[#This Row],[asofdate]]),MONTH(OneWeekMtgRatesDataTable756[[#This Row],[asofdate]]),DAY(OneWeekMtgRatesDataTable756[[#This Row],[asofdate]]))</f>
        <v>41199</v>
      </c>
      <c r="E768" s="50" t="s">
        <v>11</v>
      </c>
      <c r="F768" s="57">
        <v>0.2117</v>
      </c>
    </row>
    <row r="769" spans="2:6">
      <c r="B769" s="50" t="s">
        <v>21</v>
      </c>
      <c r="C769" s="50" t="s">
        <v>888</v>
      </c>
      <c r="D769" s="50">
        <f>DATE(YEAR(OneWeekMtgRatesDataTable756[[#This Row],[asofdate]]),MONTH(OneWeekMtgRatesDataTable756[[#This Row],[asofdate]]),DAY(OneWeekMtgRatesDataTable756[[#This Row],[asofdate]]))</f>
        <v>41198</v>
      </c>
      <c r="E769" s="50" t="s">
        <v>11</v>
      </c>
      <c r="F769" s="57">
        <v>0.2132</v>
      </c>
    </row>
    <row r="770" spans="2:6">
      <c r="B770" s="50" t="s">
        <v>21</v>
      </c>
      <c r="C770" s="50" t="s">
        <v>887</v>
      </c>
      <c r="D770" s="50">
        <f>DATE(YEAR(OneWeekMtgRatesDataTable756[[#This Row],[asofdate]]),MONTH(OneWeekMtgRatesDataTable756[[#This Row],[asofdate]]),DAY(OneWeekMtgRatesDataTable756[[#This Row],[asofdate]]))</f>
        <v>41197</v>
      </c>
      <c r="E770" s="50" t="s">
        <v>11</v>
      </c>
      <c r="F770" s="57">
        <v>0.214</v>
      </c>
    </row>
    <row r="771" spans="2:6">
      <c r="B771" s="50" t="s">
        <v>21</v>
      </c>
      <c r="C771" s="50" t="s">
        <v>886</v>
      </c>
      <c r="D771" s="50">
        <f>DATE(YEAR(OneWeekMtgRatesDataTable756[[#This Row],[asofdate]]),MONTH(OneWeekMtgRatesDataTable756[[#This Row],[asofdate]]),DAY(OneWeekMtgRatesDataTable756[[#This Row],[asofdate]]))</f>
        <v>41194</v>
      </c>
      <c r="E771" s="50" t="s">
        <v>11</v>
      </c>
      <c r="F771" s="57">
        <v>0.214</v>
      </c>
    </row>
    <row r="772" spans="2:6">
      <c r="B772" s="50" t="s">
        <v>21</v>
      </c>
      <c r="C772" s="50" t="s">
        <v>885</v>
      </c>
      <c r="D772" s="50">
        <f>DATE(YEAR(OneWeekMtgRatesDataTable756[[#This Row],[asofdate]]),MONTH(OneWeekMtgRatesDataTable756[[#This Row],[asofdate]]),DAY(OneWeekMtgRatesDataTable756[[#This Row],[asofdate]]))</f>
        <v>41193</v>
      </c>
      <c r="E772" s="50" t="s">
        <v>11</v>
      </c>
      <c r="F772" s="57">
        <v>0.214</v>
      </c>
    </row>
    <row r="773" spans="2:6">
      <c r="B773" s="50" t="s">
        <v>21</v>
      </c>
      <c r="C773" s="50" t="s">
        <v>884</v>
      </c>
      <c r="D773" s="50">
        <f>DATE(YEAR(OneWeekMtgRatesDataTable756[[#This Row],[asofdate]]),MONTH(OneWeekMtgRatesDataTable756[[#This Row],[asofdate]]),DAY(OneWeekMtgRatesDataTable756[[#This Row],[asofdate]]))</f>
        <v>41192</v>
      </c>
      <c r="E773" s="50" t="s">
        <v>11</v>
      </c>
      <c r="F773" s="57">
        <v>0.214</v>
      </c>
    </row>
    <row r="774" spans="2:6">
      <c r="B774" s="50" t="s">
        <v>21</v>
      </c>
      <c r="C774" s="50" t="s">
        <v>883</v>
      </c>
      <c r="D774" s="50">
        <f>DATE(YEAR(OneWeekMtgRatesDataTable756[[#This Row],[asofdate]]),MONTH(OneWeekMtgRatesDataTable756[[#This Row],[asofdate]]),DAY(OneWeekMtgRatesDataTable756[[#This Row],[asofdate]]))</f>
        <v>41191</v>
      </c>
      <c r="E774" s="50" t="s">
        <v>11</v>
      </c>
      <c r="F774" s="57">
        <v>0.2155</v>
      </c>
    </row>
    <row r="775" spans="2:6">
      <c r="B775" s="50" t="s">
        <v>21</v>
      </c>
      <c r="C775" s="50" t="s">
        <v>882</v>
      </c>
      <c r="D775" s="50">
        <f>DATE(YEAR(OneWeekMtgRatesDataTable756[[#This Row],[asofdate]]),MONTH(OneWeekMtgRatesDataTable756[[#This Row],[asofdate]]),DAY(OneWeekMtgRatesDataTable756[[#This Row],[asofdate]]))</f>
        <v>41187</v>
      </c>
      <c r="E775" s="50" t="s">
        <v>11</v>
      </c>
      <c r="F775" s="57">
        <v>0.2185</v>
      </c>
    </row>
    <row r="776" spans="2:6">
      <c r="B776" s="50" t="s">
        <v>21</v>
      </c>
      <c r="C776" s="50" t="s">
        <v>881</v>
      </c>
      <c r="D776" s="50">
        <f>DATE(YEAR(OneWeekMtgRatesDataTable756[[#This Row],[asofdate]]),MONTH(OneWeekMtgRatesDataTable756[[#This Row],[asofdate]]),DAY(OneWeekMtgRatesDataTable756[[#This Row],[asofdate]]))</f>
        <v>41186</v>
      </c>
      <c r="E776" s="50" t="s">
        <v>11</v>
      </c>
      <c r="F776" s="57">
        <v>0.2185</v>
      </c>
    </row>
    <row r="777" spans="2:6">
      <c r="B777" s="50" t="s">
        <v>21</v>
      </c>
      <c r="C777" s="50" t="s">
        <v>880</v>
      </c>
      <c r="D777" s="50">
        <f>DATE(YEAR(OneWeekMtgRatesDataTable756[[#This Row],[asofdate]]),MONTH(OneWeekMtgRatesDataTable756[[#This Row],[asofdate]]),DAY(OneWeekMtgRatesDataTable756[[#This Row],[asofdate]]))</f>
        <v>41185</v>
      </c>
      <c r="E777" s="50" t="s">
        <v>11</v>
      </c>
      <c r="F777" s="57">
        <v>0.2185</v>
      </c>
    </row>
    <row r="778" spans="2:6">
      <c r="B778" s="50" t="s">
        <v>21</v>
      </c>
      <c r="C778" s="50" t="s">
        <v>879</v>
      </c>
      <c r="D778" s="50">
        <f>DATE(YEAR(OneWeekMtgRatesDataTable756[[#This Row],[asofdate]]),MONTH(OneWeekMtgRatesDataTable756[[#This Row],[asofdate]]),DAY(OneWeekMtgRatesDataTable756[[#This Row],[asofdate]]))</f>
        <v>41184</v>
      </c>
      <c r="E778" s="50" t="s">
        <v>11</v>
      </c>
      <c r="F778" s="57">
        <v>0.2145</v>
      </c>
    </row>
    <row r="779" spans="2:6">
      <c r="B779" s="50" t="s">
        <v>21</v>
      </c>
      <c r="C779" s="50" t="s">
        <v>878</v>
      </c>
      <c r="D779" s="50">
        <f>DATE(YEAR(OneWeekMtgRatesDataTable756[[#This Row],[asofdate]]),MONTH(OneWeekMtgRatesDataTable756[[#This Row],[asofdate]]),DAY(OneWeekMtgRatesDataTable756[[#This Row],[asofdate]]))</f>
        <v>41183</v>
      </c>
      <c r="E779" s="50" t="s">
        <v>11</v>
      </c>
      <c r="F779" s="57">
        <v>0.2135</v>
      </c>
    </row>
    <row r="780" spans="2:6">
      <c r="B780" s="50" t="s">
        <v>21</v>
      </c>
      <c r="C780" s="50" t="s">
        <v>877</v>
      </c>
      <c r="D780" s="50">
        <f>DATE(YEAR(OneWeekMtgRatesDataTable756[[#This Row],[asofdate]]),MONTH(OneWeekMtgRatesDataTable756[[#This Row],[asofdate]]),DAY(OneWeekMtgRatesDataTable756[[#This Row],[asofdate]]))</f>
        <v>41180</v>
      </c>
      <c r="E780" s="50" t="s">
        <v>11</v>
      </c>
      <c r="F780" s="57">
        <v>0.21425</v>
      </c>
    </row>
    <row r="781" spans="2:6">
      <c r="B781" s="50" t="s">
        <v>21</v>
      </c>
      <c r="C781" s="50" t="s">
        <v>876</v>
      </c>
      <c r="D781" s="50">
        <f>DATE(YEAR(OneWeekMtgRatesDataTable756[[#This Row],[asofdate]]),MONTH(OneWeekMtgRatesDataTable756[[#This Row],[asofdate]]),DAY(OneWeekMtgRatesDataTable756[[#This Row],[asofdate]]))</f>
        <v>41179</v>
      </c>
      <c r="E781" s="50" t="s">
        <v>11</v>
      </c>
      <c r="F781" s="57">
        <v>0.2145</v>
      </c>
    </row>
    <row r="782" spans="2:6">
      <c r="B782" s="50" t="s">
        <v>21</v>
      </c>
      <c r="C782" s="50" t="s">
        <v>875</v>
      </c>
      <c r="D782" s="50">
        <f>DATE(YEAR(OneWeekMtgRatesDataTable756[[#This Row],[asofdate]]),MONTH(OneWeekMtgRatesDataTable756[[#This Row],[asofdate]]),DAY(OneWeekMtgRatesDataTable756[[#This Row],[asofdate]]))</f>
        <v>41178</v>
      </c>
      <c r="E782" s="50" t="s">
        <v>11</v>
      </c>
      <c r="F782" s="57">
        <v>0.2155</v>
      </c>
    </row>
    <row r="783" spans="2:6">
      <c r="B783" s="50" t="s">
        <v>21</v>
      </c>
      <c r="C783" s="50" t="s">
        <v>874</v>
      </c>
      <c r="D783" s="50">
        <f>DATE(YEAR(OneWeekMtgRatesDataTable756[[#This Row],[asofdate]]),MONTH(OneWeekMtgRatesDataTable756[[#This Row],[asofdate]]),DAY(OneWeekMtgRatesDataTable756[[#This Row],[asofdate]]))</f>
        <v>41177</v>
      </c>
      <c r="E783" s="50" t="s">
        <v>11</v>
      </c>
      <c r="F783" s="57">
        <v>0.2155</v>
      </c>
    </row>
    <row r="784" spans="2:6">
      <c r="B784" s="50" t="s">
        <v>21</v>
      </c>
      <c r="C784" s="50" t="s">
        <v>873</v>
      </c>
      <c r="D784" s="50">
        <f>DATE(YEAR(OneWeekMtgRatesDataTable756[[#This Row],[asofdate]]),MONTH(OneWeekMtgRatesDataTable756[[#This Row],[asofdate]]),DAY(OneWeekMtgRatesDataTable756[[#This Row],[asofdate]]))</f>
        <v>41176</v>
      </c>
      <c r="E784" s="50" t="s">
        <v>11</v>
      </c>
      <c r="F784" s="57">
        <v>0.2165</v>
      </c>
    </row>
    <row r="785" spans="2:6">
      <c r="B785" s="50" t="s">
        <v>21</v>
      </c>
      <c r="C785" s="50" t="s">
        <v>872</v>
      </c>
      <c r="D785" s="50">
        <f>DATE(YEAR(OneWeekMtgRatesDataTable756[[#This Row],[asofdate]]),MONTH(OneWeekMtgRatesDataTable756[[#This Row],[asofdate]]),DAY(OneWeekMtgRatesDataTable756[[#This Row],[asofdate]]))</f>
        <v>41173</v>
      </c>
      <c r="E785" s="50" t="s">
        <v>11</v>
      </c>
      <c r="F785" s="57">
        <v>0.2165</v>
      </c>
    </row>
    <row r="786" spans="2:6">
      <c r="B786" s="50" t="s">
        <v>21</v>
      </c>
      <c r="C786" s="50" t="s">
        <v>871</v>
      </c>
      <c r="D786" s="50">
        <f>DATE(YEAR(OneWeekMtgRatesDataTable756[[#This Row],[asofdate]]),MONTH(OneWeekMtgRatesDataTable756[[#This Row],[asofdate]]),DAY(OneWeekMtgRatesDataTable756[[#This Row],[asofdate]]))</f>
        <v>41172</v>
      </c>
      <c r="E786" s="50" t="s">
        <v>11</v>
      </c>
      <c r="F786" s="57">
        <v>0.2165</v>
      </c>
    </row>
    <row r="787" spans="2:6">
      <c r="B787" s="50" t="s">
        <v>21</v>
      </c>
      <c r="C787" s="50" t="s">
        <v>870</v>
      </c>
      <c r="D787" s="50">
        <f>DATE(YEAR(OneWeekMtgRatesDataTable756[[#This Row],[asofdate]]),MONTH(OneWeekMtgRatesDataTable756[[#This Row],[asofdate]]),DAY(OneWeekMtgRatesDataTable756[[#This Row],[asofdate]]))</f>
        <v>41171</v>
      </c>
      <c r="E787" s="50" t="s">
        <v>11</v>
      </c>
      <c r="F787" s="57">
        <v>0.2185</v>
      </c>
    </row>
    <row r="788" spans="2:6">
      <c r="B788" s="50" t="s">
        <v>21</v>
      </c>
      <c r="C788" s="50" t="s">
        <v>869</v>
      </c>
      <c r="D788" s="50">
        <f>DATE(YEAR(OneWeekMtgRatesDataTable756[[#This Row],[asofdate]]),MONTH(OneWeekMtgRatesDataTable756[[#This Row],[asofdate]]),DAY(OneWeekMtgRatesDataTable756[[#This Row],[asofdate]]))</f>
        <v>41170</v>
      </c>
      <c r="E788" s="50" t="s">
        <v>11</v>
      </c>
      <c r="F788" s="57">
        <v>0.2185</v>
      </c>
    </row>
    <row r="789" spans="2:6">
      <c r="B789" s="50" t="s">
        <v>21</v>
      </c>
      <c r="C789" s="50" t="s">
        <v>868</v>
      </c>
      <c r="D789" s="50">
        <f>DATE(YEAR(OneWeekMtgRatesDataTable756[[#This Row],[asofdate]]),MONTH(OneWeekMtgRatesDataTable756[[#This Row],[asofdate]]),DAY(OneWeekMtgRatesDataTable756[[#This Row],[asofdate]]))</f>
        <v>41169</v>
      </c>
      <c r="E789" s="50" t="s">
        <v>11</v>
      </c>
      <c r="F789" s="57">
        <v>0.219</v>
      </c>
    </row>
    <row r="790" spans="2:6">
      <c r="B790" s="50" t="s">
        <v>21</v>
      </c>
      <c r="C790" s="50" t="s">
        <v>867</v>
      </c>
      <c r="D790" s="50">
        <f>DATE(YEAR(OneWeekMtgRatesDataTable756[[#This Row],[asofdate]]),MONTH(OneWeekMtgRatesDataTable756[[#This Row],[asofdate]]),DAY(OneWeekMtgRatesDataTable756[[#This Row],[asofdate]]))</f>
        <v>41166</v>
      </c>
      <c r="E790" s="50" t="s">
        <v>11</v>
      </c>
      <c r="F790" s="57">
        <v>0.22</v>
      </c>
    </row>
    <row r="791" spans="2:6">
      <c r="B791" s="50" t="s">
        <v>21</v>
      </c>
      <c r="C791" s="50" t="s">
        <v>866</v>
      </c>
      <c r="D791" s="50">
        <f>DATE(YEAR(OneWeekMtgRatesDataTable756[[#This Row],[asofdate]]),MONTH(OneWeekMtgRatesDataTable756[[#This Row],[asofdate]]),DAY(OneWeekMtgRatesDataTable756[[#This Row],[asofdate]]))</f>
        <v>41165</v>
      </c>
      <c r="E791" s="50" t="s">
        <v>11</v>
      </c>
      <c r="F791" s="57">
        <v>0.22075</v>
      </c>
    </row>
    <row r="792" spans="2:6">
      <c r="B792" s="50" t="s">
        <v>21</v>
      </c>
      <c r="C792" s="50" t="s">
        <v>865</v>
      </c>
      <c r="D792" s="50">
        <f>DATE(YEAR(OneWeekMtgRatesDataTable756[[#This Row],[asofdate]]),MONTH(OneWeekMtgRatesDataTable756[[#This Row],[asofdate]]),DAY(OneWeekMtgRatesDataTable756[[#This Row],[asofdate]]))</f>
        <v>41164</v>
      </c>
      <c r="E792" s="50" t="s">
        <v>11</v>
      </c>
      <c r="F792" s="57">
        <v>0.22375</v>
      </c>
    </row>
    <row r="793" spans="2:6">
      <c r="B793" s="50" t="s">
        <v>21</v>
      </c>
      <c r="C793" s="50" t="s">
        <v>864</v>
      </c>
      <c r="D793" s="50">
        <f>DATE(YEAR(OneWeekMtgRatesDataTable756[[#This Row],[asofdate]]),MONTH(OneWeekMtgRatesDataTable756[[#This Row],[asofdate]]),DAY(OneWeekMtgRatesDataTable756[[#This Row],[asofdate]]))</f>
        <v>41163</v>
      </c>
      <c r="E793" s="50" t="s">
        <v>11</v>
      </c>
      <c r="F793" s="57">
        <v>0.22675000000000001</v>
      </c>
    </row>
    <row r="794" spans="2:6">
      <c r="B794" s="50" t="s">
        <v>21</v>
      </c>
      <c r="C794" s="50" t="s">
        <v>863</v>
      </c>
      <c r="D794" s="50">
        <f>DATE(YEAR(OneWeekMtgRatesDataTable756[[#This Row],[asofdate]]),MONTH(OneWeekMtgRatesDataTable756[[#This Row],[asofdate]]),DAY(OneWeekMtgRatesDataTable756[[#This Row],[asofdate]]))</f>
        <v>41162</v>
      </c>
      <c r="E794" s="50" t="s">
        <v>11</v>
      </c>
      <c r="F794" s="57">
        <v>0.22800000000000001</v>
      </c>
    </row>
    <row r="795" spans="2:6">
      <c r="B795" s="50" t="s">
        <v>21</v>
      </c>
      <c r="C795" s="50" t="s">
        <v>862</v>
      </c>
      <c r="D795" s="50">
        <f>DATE(YEAR(OneWeekMtgRatesDataTable756[[#This Row],[asofdate]]),MONTH(OneWeekMtgRatesDataTable756[[#This Row],[asofdate]]),DAY(OneWeekMtgRatesDataTable756[[#This Row],[asofdate]]))</f>
        <v>41159</v>
      </c>
      <c r="E795" s="50" t="s">
        <v>11</v>
      </c>
      <c r="F795" s="57">
        <v>0.22800000000000001</v>
      </c>
    </row>
    <row r="796" spans="2:6">
      <c r="B796" s="50" t="s">
        <v>21</v>
      </c>
      <c r="C796" s="50" t="s">
        <v>861</v>
      </c>
      <c r="D796" s="50">
        <f>DATE(YEAR(OneWeekMtgRatesDataTable756[[#This Row],[asofdate]]),MONTH(OneWeekMtgRatesDataTable756[[#This Row],[asofdate]]),DAY(OneWeekMtgRatesDataTable756[[#This Row],[asofdate]]))</f>
        <v>41158</v>
      </c>
      <c r="E796" s="50" t="s">
        <v>11</v>
      </c>
      <c r="F796" s="57">
        <v>0.22750000000000001</v>
      </c>
    </row>
    <row r="797" spans="2:6">
      <c r="B797" s="50" t="s">
        <v>21</v>
      </c>
      <c r="C797" s="50" t="s">
        <v>860</v>
      </c>
      <c r="D797" s="50">
        <f>DATE(YEAR(OneWeekMtgRatesDataTable756[[#This Row],[asofdate]]),MONTH(OneWeekMtgRatesDataTable756[[#This Row],[asofdate]]),DAY(OneWeekMtgRatesDataTable756[[#This Row],[asofdate]]))</f>
        <v>41157</v>
      </c>
      <c r="E797" s="50" t="s">
        <v>11</v>
      </c>
      <c r="F797" s="57">
        <v>0.22800000000000001</v>
      </c>
    </row>
    <row r="798" spans="2:6">
      <c r="B798" s="50" t="s">
        <v>21</v>
      </c>
      <c r="C798" s="50" t="s">
        <v>859</v>
      </c>
      <c r="D798" s="50">
        <f>DATE(YEAR(OneWeekMtgRatesDataTable756[[#This Row],[asofdate]]),MONTH(OneWeekMtgRatesDataTable756[[#This Row],[asofdate]]),DAY(OneWeekMtgRatesDataTable756[[#This Row],[asofdate]]))</f>
        <v>41156</v>
      </c>
      <c r="E798" s="50" t="s">
        <v>11</v>
      </c>
      <c r="F798" s="57">
        <v>0.22825000000000001</v>
      </c>
    </row>
    <row r="799" spans="2:6">
      <c r="B799" s="50" t="s">
        <v>21</v>
      </c>
      <c r="C799" s="50" t="s">
        <v>858</v>
      </c>
      <c r="D799" s="50">
        <f>DATE(YEAR(OneWeekMtgRatesDataTable756[[#This Row],[asofdate]]),MONTH(OneWeekMtgRatesDataTable756[[#This Row],[asofdate]]),DAY(OneWeekMtgRatesDataTable756[[#This Row],[asofdate]]))</f>
        <v>41152</v>
      </c>
      <c r="E799" s="50" t="s">
        <v>11</v>
      </c>
      <c r="F799" s="57">
        <v>0.23050000000000001</v>
      </c>
    </row>
    <row r="800" spans="2:6">
      <c r="B800" s="50" t="s">
        <v>21</v>
      </c>
      <c r="C800" s="50" t="s">
        <v>857</v>
      </c>
      <c r="D800" s="50">
        <f>DATE(YEAR(OneWeekMtgRatesDataTable756[[#This Row],[asofdate]]),MONTH(OneWeekMtgRatesDataTable756[[#This Row],[asofdate]]),DAY(OneWeekMtgRatesDataTable756[[#This Row],[asofdate]]))</f>
        <v>41151</v>
      </c>
      <c r="E800" s="50" t="s">
        <v>11</v>
      </c>
      <c r="F800" s="57">
        <v>0.23050000000000001</v>
      </c>
    </row>
    <row r="801" spans="2:6">
      <c r="B801" s="50" t="s">
        <v>21</v>
      </c>
      <c r="C801" s="50" t="s">
        <v>856</v>
      </c>
      <c r="D801" s="50">
        <f>DATE(YEAR(OneWeekMtgRatesDataTable756[[#This Row],[asofdate]]),MONTH(OneWeekMtgRatesDataTable756[[#This Row],[asofdate]]),DAY(OneWeekMtgRatesDataTable756[[#This Row],[asofdate]]))</f>
        <v>41150</v>
      </c>
      <c r="E801" s="50" t="s">
        <v>11</v>
      </c>
      <c r="F801" s="57">
        <v>0.23150000000000001</v>
      </c>
    </row>
    <row r="802" spans="2:6">
      <c r="B802" s="50" t="s">
        <v>21</v>
      </c>
      <c r="C802" s="50" t="s">
        <v>855</v>
      </c>
      <c r="D802" s="50">
        <f>DATE(YEAR(OneWeekMtgRatesDataTable756[[#This Row],[asofdate]]),MONTH(OneWeekMtgRatesDataTable756[[#This Row],[asofdate]]),DAY(OneWeekMtgRatesDataTable756[[#This Row],[asofdate]]))</f>
        <v>41149</v>
      </c>
      <c r="E802" s="50" t="s">
        <v>11</v>
      </c>
      <c r="F802" s="57">
        <v>0.23350000000000001</v>
      </c>
    </row>
    <row r="803" spans="2:6">
      <c r="B803" s="50" t="s">
        <v>21</v>
      </c>
      <c r="C803" s="50" t="s">
        <v>854</v>
      </c>
      <c r="D803" s="50">
        <f>DATE(YEAR(OneWeekMtgRatesDataTable756[[#This Row],[asofdate]]),MONTH(OneWeekMtgRatesDataTable756[[#This Row],[asofdate]]),DAY(OneWeekMtgRatesDataTable756[[#This Row],[asofdate]]))</f>
        <v>41148</v>
      </c>
      <c r="E803" s="50" t="s">
        <v>11</v>
      </c>
      <c r="F803" s="57">
        <v>0.23449999999999999</v>
      </c>
    </row>
    <row r="804" spans="2:6">
      <c r="B804" s="50" t="s">
        <v>21</v>
      </c>
      <c r="C804" s="50" t="s">
        <v>853</v>
      </c>
      <c r="D804" s="50">
        <f>DATE(YEAR(OneWeekMtgRatesDataTable756[[#This Row],[asofdate]]),MONTH(OneWeekMtgRatesDataTable756[[#This Row],[asofdate]]),DAY(OneWeekMtgRatesDataTable756[[#This Row],[asofdate]]))</f>
        <v>41145</v>
      </c>
      <c r="E804" s="50" t="s">
        <v>11</v>
      </c>
      <c r="F804" s="57">
        <v>0.23449999999999999</v>
      </c>
    </row>
    <row r="805" spans="2:6">
      <c r="B805" s="50" t="s">
        <v>21</v>
      </c>
      <c r="C805" s="50" t="s">
        <v>852</v>
      </c>
      <c r="D805" s="50">
        <f>DATE(YEAR(OneWeekMtgRatesDataTable756[[#This Row],[asofdate]]),MONTH(OneWeekMtgRatesDataTable756[[#This Row],[asofdate]]),DAY(OneWeekMtgRatesDataTable756[[#This Row],[asofdate]]))</f>
        <v>41144</v>
      </c>
      <c r="E805" s="50" t="s">
        <v>11</v>
      </c>
      <c r="F805" s="57">
        <v>0.23549999999999999</v>
      </c>
    </row>
    <row r="806" spans="2:6">
      <c r="B806" s="50" t="s">
        <v>21</v>
      </c>
      <c r="C806" s="50" t="s">
        <v>851</v>
      </c>
      <c r="D806" s="50">
        <f>DATE(YEAR(OneWeekMtgRatesDataTable756[[#This Row],[asofdate]]),MONTH(OneWeekMtgRatesDataTable756[[#This Row],[asofdate]]),DAY(OneWeekMtgRatesDataTable756[[#This Row],[asofdate]]))</f>
        <v>41143</v>
      </c>
      <c r="E806" s="50" t="s">
        <v>11</v>
      </c>
      <c r="F806" s="57">
        <v>0.23649999999999999</v>
      </c>
    </row>
    <row r="807" spans="2:6">
      <c r="B807" s="50" t="s">
        <v>21</v>
      </c>
      <c r="C807" s="50" t="s">
        <v>850</v>
      </c>
      <c r="D807" s="50">
        <f>DATE(YEAR(OneWeekMtgRatesDataTable756[[#This Row],[asofdate]]),MONTH(OneWeekMtgRatesDataTable756[[#This Row],[asofdate]]),DAY(OneWeekMtgRatesDataTable756[[#This Row],[asofdate]]))</f>
        <v>41142</v>
      </c>
      <c r="E807" s="50" t="s">
        <v>11</v>
      </c>
      <c r="F807" s="57">
        <v>0.23749999999999999</v>
      </c>
    </row>
    <row r="808" spans="2:6">
      <c r="B808" s="50" t="s">
        <v>21</v>
      </c>
      <c r="C808" s="50" t="s">
        <v>849</v>
      </c>
      <c r="D808" s="50">
        <f>DATE(YEAR(OneWeekMtgRatesDataTable756[[#This Row],[asofdate]]),MONTH(OneWeekMtgRatesDataTable756[[#This Row],[asofdate]]),DAY(OneWeekMtgRatesDataTable756[[#This Row],[asofdate]]))</f>
        <v>41141</v>
      </c>
      <c r="E808" s="50" t="s">
        <v>11</v>
      </c>
      <c r="F808" s="57">
        <v>0.23599999999999999</v>
      </c>
    </row>
    <row r="809" spans="2:6">
      <c r="B809" s="50" t="s">
        <v>21</v>
      </c>
      <c r="C809" s="50" t="s">
        <v>848</v>
      </c>
      <c r="D809" s="50">
        <f>DATE(YEAR(OneWeekMtgRatesDataTable756[[#This Row],[asofdate]]),MONTH(OneWeekMtgRatesDataTable756[[#This Row],[asofdate]]),DAY(OneWeekMtgRatesDataTable756[[#This Row],[asofdate]]))</f>
        <v>41138</v>
      </c>
      <c r="E809" s="50" t="s">
        <v>11</v>
      </c>
      <c r="F809" s="57">
        <v>0.23699999999999999</v>
      </c>
    </row>
    <row r="810" spans="2:6">
      <c r="B810" s="50" t="s">
        <v>21</v>
      </c>
      <c r="C810" s="50" t="s">
        <v>847</v>
      </c>
      <c r="D810" s="50">
        <f>DATE(YEAR(OneWeekMtgRatesDataTable756[[#This Row],[asofdate]]),MONTH(OneWeekMtgRatesDataTable756[[#This Row],[asofdate]]),DAY(OneWeekMtgRatesDataTable756[[#This Row],[asofdate]]))</f>
        <v>41137</v>
      </c>
      <c r="E810" s="50" t="s">
        <v>11</v>
      </c>
      <c r="F810" s="57">
        <v>0.23699999999999999</v>
      </c>
    </row>
    <row r="811" spans="2:6">
      <c r="B811" s="50" t="s">
        <v>21</v>
      </c>
      <c r="C811" s="50" t="s">
        <v>846</v>
      </c>
      <c r="D811" s="50">
        <f>DATE(YEAR(OneWeekMtgRatesDataTable756[[#This Row],[asofdate]]),MONTH(OneWeekMtgRatesDataTable756[[#This Row],[asofdate]]),DAY(OneWeekMtgRatesDataTable756[[#This Row],[asofdate]]))</f>
        <v>41136</v>
      </c>
      <c r="E811" s="50" t="s">
        <v>11</v>
      </c>
      <c r="F811" s="57">
        <v>0.23799999999999999</v>
      </c>
    </row>
    <row r="812" spans="2:6">
      <c r="B812" s="50" t="s">
        <v>21</v>
      </c>
      <c r="C812" s="50" t="s">
        <v>845</v>
      </c>
      <c r="D812" s="50">
        <f>DATE(YEAR(OneWeekMtgRatesDataTable756[[#This Row],[asofdate]]),MONTH(OneWeekMtgRatesDataTable756[[#This Row],[asofdate]]),DAY(OneWeekMtgRatesDataTable756[[#This Row],[asofdate]]))</f>
        <v>41135</v>
      </c>
      <c r="E812" s="50" t="s">
        <v>11</v>
      </c>
      <c r="F812" s="57">
        <v>0.23849999999999999</v>
      </c>
    </row>
    <row r="813" spans="2:6">
      <c r="B813" s="50" t="s">
        <v>21</v>
      </c>
      <c r="C813" s="50" t="s">
        <v>844</v>
      </c>
      <c r="D813" s="50">
        <f>DATE(YEAR(OneWeekMtgRatesDataTable756[[#This Row],[asofdate]]),MONTH(OneWeekMtgRatesDataTable756[[#This Row],[asofdate]]),DAY(OneWeekMtgRatesDataTable756[[#This Row],[asofdate]]))</f>
        <v>41134</v>
      </c>
      <c r="E813" s="50" t="s">
        <v>11</v>
      </c>
      <c r="F813" s="57">
        <v>0.23949999999999999</v>
      </c>
    </row>
    <row r="814" spans="2:6">
      <c r="B814" s="50" t="s">
        <v>21</v>
      </c>
      <c r="C814" s="50" t="s">
        <v>843</v>
      </c>
      <c r="D814" s="50">
        <f>DATE(YEAR(OneWeekMtgRatesDataTable756[[#This Row],[asofdate]]),MONTH(OneWeekMtgRatesDataTable756[[#This Row],[asofdate]]),DAY(OneWeekMtgRatesDataTable756[[#This Row],[asofdate]]))</f>
        <v>41131</v>
      </c>
      <c r="E814" s="50" t="s">
        <v>11</v>
      </c>
      <c r="F814" s="57">
        <v>0.23974999999999999</v>
      </c>
    </row>
    <row r="815" spans="2:6">
      <c r="B815" s="50" t="s">
        <v>21</v>
      </c>
      <c r="C815" s="50" t="s">
        <v>842</v>
      </c>
      <c r="D815" s="50">
        <f>DATE(YEAR(OneWeekMtgRatesDataTable756[[#This Row],[asofdate]]),MONTH(OneWeekMtgRatesDataTable756[[#This Row],[asofdate]]),DAY(OneWeekMtgRatesDataTable756[[#This Row],[asofdate]]))</f>
        <v>41130</v>
      </c>
      <c r="E815" s="50" t="s">
        <v>11</v>
      </c>
      <c r="F815" s="57">
        <v>0.23924999999999999</v>
      </c>
    </row>
    <row r="816" spans="2:6">
      <c r="B816" s="50" t="s">
        <v>21</v>
      </c>
      <c r="C816" s="50" t="s">
        <v>841</v>
      </c>
      <c r="D816" s="50">
        <f>DATE(YEAR(OneWeekMtgRatesDataTable756[[#This Row],[asofdate]]),MONTH(OneWeekMtgRatesDataTable756[[#This Row],[asofdate]]),DAY(OneWeekMtgRatesDataTable756[[#This Row],[asofdate]]))</f>
        <v>41129</v>
      </c>
      <c r="E816" s="50" t="s">
        <v>11</v>
      </c>
      <c r="F816" s="57">
        <v>0.24024999999999999</v>
      </c>
    </row>
    <row r="817" spans="2:6">
      <c r="B817" s="50" t="s">
        <v>21</v>
      </c>
      <c r="C817" s="50" t="s">
        <v>840</v>
      </c>
      <c r="D817" s="50">
        <f>DATE(YEAR(OneWeekMtgRatesDataTable756[[#This Row],[asofdate]]),MONTH(OneWeekMtgRatesDataTable756[[#This Row],[asofdate]]),DAY(OneWeekMtgRatesDataTable756[[#This Row],[asofdate]]))</f>
        <v>41128</v>
      </c>
      <c r="E817" s="50" t="s">
        <v>11</v>
      </c>
      <c r="F817" s="57">
        <v>0.24124999999999999</v>
      </c>
    </row>
    <row r="818" spans="2:6">
      <c r="B818" s="50" t="s">
        <v>21</v>
      </c>
      <c r="C818" s="50" t="s">
        <v>839</v>
      </c>
      <c r="D818" s="50">
        <f>DATE(YEAR(OneWeekMtgRatesDataTable756[[#This Row],[asofdate]]),MONTH(OneWeekMtgRatesDataTable756[[#This Row],[asofdate]]),DAY(OneWeekMtgRatesDataTable756[[#This Row],[asofdate]]))</f>
        <v>41127</v>
      </c>
      <c r="E818" s="50" t="s">
        <v>11</v>
      </c>
      <c r="F818" s="57">
        <v>0.24324999999999999</v>
      </c>
    </row>
    <row r="819" spans="2:6">
      <c r="B819" s="50" t="s">
        <v>21</v>
      </c>
      <c r="C819" s="50" t="s">
        <v>838</v>
      </c>
      <c r="D819" s="50">
        <f>DATE(YEAR(OneWeekMtgRatesDataTable756[[#This Row],[asofdate]]),MONTH(OneWeekMtgRatesDataTable756[[#This Row],[asofdate]]),DAY(OneWeekMtgRatesDataTable756[[#This Row],[asofdate]]))</f>
        <v>41124</v>
      </c>
      <c r="E819" s="50" t="s">
        <v>11</v>
      </c>
      <c r="F819" s="57">
        <v>0.24374999999999999</v>
      </c>
    </row>
    <row r="820" spans="2:6">
      <c r="B820" s="50" t="s">
        <v>21</v>
      </c>
      <c r="C820" s="50" t="s">
        <v>837</v>
      </c>
      <c r="D820" s="50">
        <f>DATE(YEAR(OneWeekMtgRatesDataTable756[[#This Row],[asofdate]]),MONTH(OneWeekMtgRatesDataTable756[[#This Row],[asofdate]]),DAY(OneWeekMtgRatesDataTable756[[#This Row],[asofdate]]))</f>
        <v>41123</v>
      </c>
      <c r="E820" s="50" t="s">
        <v>11</v>
      </c>
      <c r="F820" s="57">
        <v>0.24424999999999999</v>
      </c>
    </row>
    <row r="821" spans="2:6">
      <c r="B821" s="50" t="s">
        <v>21</v>
      </c>
      <c r="C821" s="50" t="s">
        <v>836</v>
      </c>
      <c r="D821" s="50">
        <f>DATE(YEAR(OneWeekMtgRatesDataTable756[[#This Row],[asofdate]]),MONTH(OneWeekMtgRatesDataTable756[[#This Row],[asofdate]]),DAY(OneWeekMtgRatesDataTable756[[#This Row],[asofdate]]))</f>
        <v>41122</v>
      </c>
      <c r="E821" s="50" t="s">
        <v>11</v>
      </c>
      <c r="F821" s="57">
        <v>0.2447</v>
      </c>
    </row>
    <row r="822" spans="2:6">
      <c r="B822" s="50" t="s">
        <v>21</v>
      </c>
      <c r="C822" s="50" t="s">
        <v>835</v>
      </c>
      <c r="D822" s="50">
        <f>DATE(YEAR(OneWeekMtgRatesDataTable756[[#This Row],[asofdate]]),MONTH(OneWeekMtgRatesDataTable756[[#This Row],[asofdate]]),DAY(OneWeekMtgRatesDataTable756[[#This Row],[asofdate]]))</f>
        <v>41121</v>
      </c>
      <c r="E822" s="50" t="s">
        <v>11</v>
      </c>
      <c r="F822" s="57">
        <v>0.2457</v>
      </c>
    </row>
    <row r="823" spans="2:6">
      <c r="B823" s="50" t="s">
        <v>21</v>
      </c>
      <c r="C823" s="50" t="s">
        <v>834</v>
      </c>
      <c r="D823" s="50">
        <f>DATE(YEAR(OneWeekMtgRatesDataTable756[[#This Row],[asofdate]]),MONTH(OneWeekMtgRatesDataTable756[[#This Row],[asofdate]]),DAY(OneWeekMtgRatesDataTable756[[#This Row],[asofdate]]))</f>
        <v>41120</v>
      </c>
      <c r="E823" s="50" t="s">
        <v>11</v>
      </c>
      <c r="F823" s="57">
        <v>0.2457</v>
      </c>
    </row>
    <row r="824" spans="2:6">
      <c r="B824" s="50" t="s">
        <v>21</v>
      </c>
      <c r="C824" s="50" t="s">
        <v>833</v>
      </c>
      <c r="D824" s="50">
        <f>DATE(YEAR(OneWeekMtgRatesDataTable756[[#This Row],[asofdate]]),MONTH(OneWeekMtgRatesDataTable756[[#This Row],[asofdate]]),DAY(OneWeekMtgRatesDataTable756[[#This Row],[asofdate]]))</f>
        <v>41117</v>
      </c>
      <c r="E824" s="50" t="s">
        <v>11</v>
      </c>
      <c r="F824" s="57">
        <v>0.2457</v>
      </c>
    </row>
    <row r="825" spans="2:6">
      <c r="B825" s="50" t="s">
        <v>21</v>
      </c>
      <c r="C825" s="50" t="s">
        <v>832</v>
      </c>
      <c r="D825" s="50">
        <f>DATE(YEAR(OneWeekMtgRatesDataTable756[[#This Row],[asofdate]]),MONTH(OneWeekMtgRatesDataTable756[[#This Row],[asofdate]]),DAY(OneWeekMtgRatesDataTable756[[#This Row],[asofdate]]))</f>
        <v>41116</v>
      </c>
      <c r="E825" s="50" t="s">
        <v>11</v>
      </c>
      <c r="F825" s="57">
        <v>0.2452</v>
      </c>
    </row>
    <row r="826" spans="2:6">
      <c r="B826" s="50" t="s">
        <v>21</v>
      </c>
      <c r="C826" s="50" t="s">
        <v>831</v>
      </c>
      <c r="D826" s="50">
        <f>DATE(YEAR(OneWeekMtgRatesDataTable756[[#This Row],[asofdate]]),MONTH(OneWeekMtgRatesDataTable756[[#This Row],[asofdate]]),DAY(OneWeekMtgRatesDataTable756[[#This Row],[asofdate]]))</f>
        <v>41115</v>
      </c>
      <c r="E826" s="50" t="s">
        <v>11</v>
      </c>
      <c r="F826" s="57">
        <v>0.2442</v>
      </c>
    </row>
    <row r="827" spans="2:6">
      <c r="B827" s="50" t="s">
        <v>21</v>
      </c>
      <c r="C827" s="50" t="s">
        <v>830</v>
      </c>
      <c r="D827" s="50">
        <f>DATE(YEAR(OneWeekMtgRatesDataTable756[[#This Row],[asofdate]]),MONTH(OneWeekMtgRatesDataTable756[[#This Row],[asofdate]]),DAY(OneWeekMtgRatesDataTable756[[#This Row],[asofdate]]))</f>
        <v>41114</v>
      </c>
      <c r="E827" s="50" t="s">
        <v>11</v>
      </c>
      <c r="F827" s="57">
        <v>0.2442</v>
      </c>
    </row>
    <row r="828" spans="2:6">
      <c r="B828" s="50" t="s">
        <v>21</v>
      </c>
      <c r="C828" s="50" t="s">
        <v>829</v>
      </c>
      <c r="D828" s="50">
        <f>DATE(YEAR(OneWeekMtgRatesDataTable756[[#This Row],[asofdate]]),MONTH(OneWeekMtgRatesDataTable756[[#This Row],[asofdate]]),DAY(OneWeekMtgRatesDataTable756[[#This Row],[asofdate]]))</f>
        <v>41113</v>
      </c>
      <c r="E828" s="50" t="s">
        <v>11</v>
      </c>
      <c r="F828" s="57">
        <v>0.2462</v>
      </c>
    </row>
    <row r="829" spans="2:6">
      <c r="B829" s="50" t="s">
        <v>21</v>
      </c>
      <c r="C829" s="50" t="s">
        <v>828</v>
      </c>
      <c r="D829" s="50">
        <f>DATE(YEAR(OneWeekMtgRatesDataTable756[[#This Row],[asofdate]]),MONTH(OneWeekMtgRatesDataTable756[[#This Row],[asofdate]]),DAY(OneWeekMtgRatesDataTable756[[#This Row],[asofdate]]))</f>
        <v>41110</v>
      </c>
      <c r="E829" s="50" t="s">
        <v>11</v>
      </c>
      <c r="F829" s="57">
        <v>0.24675</v>
      </c>
    </row>
    <row r="830" spans="2:6">
      <c r="B830" s="50" t="s">
        <v>21</v>
      </c>
      <c r="C830" s="50" t="s">
        <v>827</v>
      </c>
      <c r="D830" s="50">
        <f>DATE(YEAR(OneWeekMtgRatesDataTable756[[#This Row],[asofdate]]),MONTH(OneWeekMtgRatesDataTable756[[#This Row],[asofdate]]),DAY(OneWeekMtgRatesDataTable756[[#This Row],[asofdate]]))</f>
        <v>41109</v>
      </c>
      <c r="E830" s="50" t="s">
        <v>11</v>
      </c>
      <c r="F830" s="57">
        <v>0.24675</v>
      </c>
    </row>
    <row r="831" spans="2:6">
      <c r="B831" s="50" t="s">
        <v>21</v>
      </c>
      <c r="C831" s="50" t="s">
        <v>826</v>
      </c>
      <c r="D831" s="50">
        <f>DATE(YEAR(OneWeekMtgRatesDataTable756[[#This Row],[asofdate]]),MONTH(OneWeekMtgRatesDataTable756[[#This Row],[asofdate]]),DAY(OneWeekMtgRatesDataTable756[[#This Row],[asofdate]]))</f>
        <v>41108</v>
      </c>
      <c r="E831" s="50" t="s">
        <v>11</v>
      </c>
      <c r="F831" s="57">
        <v>0.24675</v>
      </c>
    </row>
    <row r="832" spans="2:6">
      <c r="B832" s="50" t="s">
        <v>21</v>
      </c>
      <c r="C832" s="50" t="s">
        <v>825</v>
      </c>
      <c r="D832" s="50">
        <f>DATE(YEAR(OneWeekMtgRatesDataTable756[[#This Row],[asofdate]]),MONTH(OneWeekMtgRatesDataTable756[[#This Row],[asofdate]]),DAY(OneWeekMtgRatesDataTable756[[#This Row],[asofdate]]))</f>
        <v>41107</v>
      </c>
      <c r="E832" s="50" t="s">
        <v>11</v>
      </c>
      <c r="F832" s="57">
        <v>0.24675</v>
      </c>
    </row>
    <row r="833" spans="2:6">
      <c r="B833" s="50" t="s">
        <v>21</v>
      </c>
      <c r="C833" s="50" t="s">
        <v>824</v>
      </c>
      <c r="D833" s="50">
        <f>DATE(YEAR(OneWeekMtgRatesDataTable756[[#This Row],[asofdate]]),MONTH(OneWeekMtgRatesDataTable756[[#This Row],[asofdate]]),DAY(OneWeekMtgRatesDataTable756[[#This Row],[asofdate]]))</f>
        <v>41106</v>
      </c>
      <c r="E833" s="50" t="s">
        <v>11</v>
      </c>
      <c r="F833" s="57">
        <v>0.24775</v>
      </c>
    </row>
    <row r="834" spans="2:6">
      <c r="B834" s="50" t="s">
        <v>21</v>
      </c>
      <c r="C834" s="50" t="s">
        <v>823</v>
      </c>
      <c r="D834" s="50">
        <f>DATE(YEAR(OneWeekMtgRatesDataTable756[[#This Row],[asofdate]]),MONTH(OneWeekMtgRatesDataTable756[[#This Row],[asofdate]]),DAY(OneWeekMtgRatesDataTable756[[#This Row],[asofdate]]))</f>
        <v>41103</v>
      </c>
      <c r="E834" s="50" t="s">
        <v>11</v>
      </c>
      <c r="F834" s="57">
        <v>0.24775</v>
      </c>
    </row>
    <row r="835" spans="2:6">
      <c r="B835" s="50" t="s">
        <v>21</v>
      </c>
      <c r="C835" s="50" t="s">
        <v>822</v>
      </c>
      <c r="D835" s="50">
        <f>DATE(YEAR(OneWeekMtgRatesDataTable756[[#This Row],[asofdate]]),MONTH(OneWeekMtgRatesDataTable756[[#This Row],[asofdate]]),DAY(OneWeekMtgRatesDataTable756[[#This Row],[asofdate]]))</f>
        <v>41102</v>
      </c>
      <c r="E835" s="50" t="s">
        <v>11</v>
      </c>
      <c r="F835" s="57">
        <v>0.24875</v>
      </c>
    </row>
    <row r="836" spans="2:6">
      <c r="B836" s="50" t="s">
        <v>21</v>
      </c>
      <c r="C836" s="50" t="s">
        <v>821</v>
      </c>
      <c r="D836" s="50">
        <f>DATE(YEAR(OneWeekMtgRatesDataTable756[[#This Row],[asofdate]]),MONTH(OneWeekMtgRatesDataTable756[[#This Row],[asofdate]]),DAY(OneWeekMtgRatesDataTable756[[#This Row],[asofdate]]))</f>
        <v>41101</v>
      </c>
      <c r="E836" s="50" t="s">
        <v>11</v>
      </c>
      <c r="F836" s="57">
        <v>0.24875</v>
      </c>
    </row>
    <row r="837" spans="2:6">
      <c r="B837" s="50" t="s">
        <v>21</v>
      </c>
      <c r="C837" s="50" t="s">
        <v>820</v>
      </c>
      <c r="D837" s="50">
        <f>DATE(YEAR(OneWeekMtgRatesDataTable756[[#This Row],[asofdate]]),MONTH(OneWeekMtgRatesDataTable756[[#This Row],[asofdate]]),DAY(OneWeekMtgRatesDataTable756[[#This Row],[asofdate]]))</f>
        <v>41100</v>
      </c>
      <c r="E837" s="50" t="s">
        <v>11</v>
      </c>
      <c r="F837" s="57">
        <v>0.24875</v>
      </c>
    </row>
    <row r="838" spans="2:6">
      <c r="B838" s="50" t="s">
        <v>21</v>
      </c>
      <c r="C838" s="50" t="s">
        <v>819</v>
      </c>
      <c r="D838" s="50">
        <f>DATE(YEAR(OneWeekMtgRatesDataTable756[[#This Row],[asofdate]]),MONTH(OneWeekMtgRatesDataTable756[[#This Row],[asofdate]]),DAY(OneWeekMtgRatesDataTable756[[#This Row],[asofdate]]))</f>
        <v>41099</v>
      </c>
      <c r="E838" s="50" t="s">
        <v>11</v>
      </c>
      <c r="F838" s="57">
        <v>0.24875</v>
      </c>
    </row>
    <row r="839" spans="2:6">
      <c r="B839" s="50" t="s">
        <v>21</v>
      </c>
      <c r="C839" s="50" t="s">
        <v>818</v>
      </c>
      <c r="D839" s="50">
        <f>DATE(YEAR(OneWeekMtgRatesDataTable756[[#This Row],[asofdate]]),MONTH(OneWeekMtgRatesDataTable756[[#This Row],[asofdate]]),DAY(OneWeekMtgRatesDataTable756[[#This Row],[asofdate]]))</f>
        <v>41096</v>
      </c>
      <c r="E839" s="50" t="s">
        <v>11</v>
      </c>
      <c r="F839" s="57">
        <v>0.24575</v>
      </c>
    </row>
    <row r="840" spans="2:6">
      <c r="B840" s="50" t="s">
        <v>21</v>
      </c>
      <c r="C840" s="50" t="s">
        <v>817</v>
      </c>
      <c r="D840" s="50">
        <f>DATE(YEAR(OneWeekMtgRatesDataTable756[[#This Row],[asofdate]]),MONTH(OneWeekMtgRatesDataTable756[[#This Row],[asofdate]]),DAY(OneWeekMtgRatesDataTable756[[#This Row],[asofdate]]))</f>
        <v>41095</v>
      </c>
      <c r="E840" s="50" t="s">
        <v>11</v>
      </c>
      <c r="F840" s="57">
        <v>0.24575</v>
      </c>
    </row>
    <row r="841" spans="2:6">
      <c r="B841" s="50" t="s">
        <v>21</v>
      </c>
      <c r="C841" s="50" t="s">
        <v>816</v>
      </c>
      <c r="D841" s="50">
        <f>DATE(YEAR(OneWeekMtgRatesDataTable756[[#This Row],[asofdate]]),MONTH(OneWeekMtgRatesDataTable756[[#This Row],[asofdate]]),DAY(OneWeekMtgRatesDataTable756[[#This Row],[asofdate]]))</f>
        <v>41093</v>
      </c>
      <c r="E841" s="50" t="s">
        <v>11</v>
      </c>
      <c r="F841" s="57">
        <v>0.24575</v>
      </c>
    </row>
    <row r="842" spans="2:6">
      <c r="B842" s="50" t="s">
        <v>21</v>
      </c>
      <c r="C842" s="50" t="s">
        <v>815</v>
      </c>
      <c r="D842" s="50">
        <f>DATE(YEAR(OneWeekMtgRatesDataTable756[[#This Row],[asofdate]]),MONTH(OneWeekMtgRatesDataTable756[[#This Row],[asofdate]]),DAY(OneWeekMtgRatesDataTable756[[#This Row],[asofdate]]))</f>
        <v>41092</v>
      </c>
      <c r="E842" s="50" t="s">
        <v>11</v>
      </c>
      <c r="F842" s="57">
        <v>0.24475</v>
      </c>
    </row>
    <row r="843" spans="2:6">
      <c r="B843" s="50" t="s">
        <v>21</v>
      </c>
      <c r="C843" s="50" t="s">
        <v>814</v>
      </c>
      <c r="D843" s="50">
        <f>DATE(YEAR(OneWeekMtgRatesDataTable756[[#This Row],[asofdate]]),MONTH(OneWeekMtgRatesDataTable756[[#This Row],[asofdate]]),DAY(OneWeekMtgRatesDataTable756[[#This Row],[asofdate]]))</f>
        <v>41089</v>
      </c>
      <c r="E843" s="50" t="s">
        <v>11</v>
      </c>
      <c r="F843" s="57">
        <v>0.24575</v>
      </c>
    </row>
    <row r="844" spans="2:6">
      <c r="B844" s="50" t="s">
        <v>21</v>
      </c>
      <c r="C844" s="50" t="s">
        <v>813</v>
      </c>
      <c r="D844" s="50">
        <f>DATE(YEAR(OneWeekMtgRatesDataTable756[[#This Row],[asofdate]]),MONTH(OneWeekMtgRatesDataTable756[[#This Row],[asofdate]]),DAY(OneWeekMtgRatesDataTable756[[#This Row],[asofdate]]))</f>
        <v>41088</v>
      </c>
      <c r="E844" s="50" t="s">
        <v>11</v>
      </c>
      <c r="F844" s="57">
        <v>0.24525</v>
      </c>
    </row>
    <row r="845" spans="2:6">
      <c r="B845" s="50" t="s">
        <v>21</v>
      </c>
      <c r="C845" s="50" t="s">
        <v>812</v>
      </c>
      <c r="D845" s="50">
        <f>DATE(YEAR(OneWeekMtgRatesDataTable756[[#This Row],[asofdate]]),MONTH(OneWeekMtgRatesDataTable756[[#This Row],[asofdate]]),DAY(OneWeekMtgRatesDataTable756[[#This Row],[asofdate]]))</f>
        <v>41087</v>
      </c>
      <c r="E845" s="50" t="s">
        <v>11</v>
      </c>
      <c r="F845" s="57">
        <v>0.24525</v>
      </c>
    </row>
    <row r="846" spans="2:6">
      <c r="B846" s="50" t="s">
        <v>21</v>
      </c>
      <c r="C846" s="50" t="s">
        <v>811</v>
      </c>
      <c r="D846" s="50">
        <f>DATE(YEAR(OneWeekMtgRatesDataTable756[[#This Row],[asofdate]]),MONTH(OneWeekMtgRatesDataTable756[[#This Row],[asofdate]]),DAY(OneWeekMtgRatesDataTable756[[#This Row],[asofdate]]))</f>
        <v>41086</v>
      </c>
      <c r="E846" s="50" t="s">
        <v>11</v>
      </c>
      <c r="F846" s="57">
        <v>0.24525</v>
      </c>
    </row>
    <row r="847" spans="2:6">
      <c r="B847" s="50" t="s">
        <v>21</v>
      </c>
      <c r="C847" s="50" t="s">
        <v>810</v>
      </c>
      <c r="D847" s="50">
        <f>DATE(YEAR(OneWeekMtgRatesDataTable756[[#This Row],[asofdate]]),MONTH(OneWeekMtgRatesDataTable756[[#This Row],[asofdate]]),DAY(OneWeekMtgRatesDataTable756[[#This Row],[asofdate]]))</f>
        <v>41085</v>
      </c>
      <c r="E847" s="50" t="s">
        <v>11</v>
      </c>
      <c r="F847" s="57">
        <v>0.24525</v>
      </c>
    </row>
    <row r="848" spans="2:6">
      <c r="B848" s="50" t="s">
        <v>21</v>
      </c>
      <c r="C848" s="50" t="s">
        <v>809</v>
      </c>
      <c r="D848" s="50">
        <f>DATE(YEAR(OneWeekMtgRatesDataTable756[[#This Row],[asofdate]]),MONTH(OneWeekMtgRatesDataTable756[[#This Row],[asofdate]]),DAY(OneWeekMtgRatesDataTable756[[#This Row],[asofdate]]))</f>
        <v>41082</v>
      </c>
      <c r="E848" s="50" t="s">
        <v>11</v>
      </c>
      <c r="F848" s="57">
        <v>0.24525</v>
      </c>
    </row>
    <row r="849" spans="2:6">
      <c r="B849" s="50" t="s">
        <v>21</v>
      </c>
      <c r="C849" s="50" t="s">
        <v>808</v>
      </c>
      <c r="D849" s="50">
        <f>DATE(YEAR(OneWeekMtgRatesDataTable756[[#This Row],[asofdate]]),MONTH(OneWeekMtgRatesDataTable756[[#This Row],[asofdate]]),DAY(OneWeekMtgRatesDataTable756[[#This Row],[asofdate]]))</f>
        <v>41081</v>
      </c>
      <c r="E849" s="50" t="s">
        <v>11</v>
      </c>
      <c r="F849" s="57">
        <v>0.24525</v>
      </c>
    </row>
    <row r="850" spans="2:6">
      <c r="B850" s="50" t="s">
        <v>21</v>
      </c>
      <c r="C850" s="50" t="s">
        <v>807</v>
      </c>
      <c r="D850" s="50">
        <f>DATE(YEAR(OneWeekMtgRatesDataTable756[[#This Row],[asofdate]]),MONTH(OneWeekMtgRatesDataTable756[[#This Row],[asofdate]]),DAY(OneWeekMtgRatesDataTable756[[#This Row],[asofdate]]))</f>
        <v>41080</v>
      </c>
      <c r="E850" s="50" t="s">
        <v>11</v>
      </c>
      <c r="F850" s="57">
        <v>0.24525</v>
      </c>
    </row>
    <row r="851" spans="2:6">
      <c r="B851" s="50" t="s">
        <v>21</v>
      </c>
      <c r="C851" s="50" t="s">
        <v>806</v>
      </c>
      <c r="D851" s="50">
        <f>DATE(YEAR(OneWeekMtgRatesDataTable756[[#This Row],[asofdate]]),MONTH(OneWeekMtgRatesDataTable756[[#This Row],[asofdate]]),DAY(OneWeekMtgRatesDataTable756[[#This Row],[asofdate]]))</f>
        <v>41079</v>
      </c>
      <c r="E851" s="50" t="s">
        <v>11</v>
      </c>
      <c r="F851" s="57">
        <v>0.24374999999999999</v>
      </c>
    </row>
    <row r="852" spans="2:6">
      <c r="B852" s="50" t="s">
        <v>21</v>
      </c>
      <c r="C852" s="50" t="s">
        <v>805</v>
      </c>
      <c r="D852" s="50">
        <f>DATE(YEAR(OneWeekMtgRatesDataTable756[[#This Row],[asofdate]]),MONTH(OneWeekMtgRatesDataTable756[[#This Row],[asofdate]]),DAY(OneWeekMtgRatesDataTable756[[#This Row],[asofdate]]))</f>
        <v>41078</v>
      </c>
      <c r="E852" s="50" t="s">
        <v>11</v>
      </c>
      <c r="F852" s="57">
        <v>0.24374999999999999</v>
      </c>
    </row>
    <row r="853" spans="2:6">
      <c r="B853" s="50" t="s">
        <v>21</v>
      </c>
      <c r="C853" s="50" t="s">
        <v>804</v>
      </c>
      <c r="D853" s="50">
        <f>DATE(YEAR(OneWeekMtgRatesDataTable756[[#This Row],[asofdate]]),MONTH(OneWeekMtgRatesDataTable756[[#This Row],[asofdate]]),DAY(OneWeekMtgRatesDataTable756[[#This Row],[asofdate]]))</f>
        <v>41075</v>
      </c>
      <c r="E853" s="50" t="s">
        <v>11</v>
      </c>
      <c r="F853" s="57">
        <v>0.24274999999999999</v>
      </c>
    </row>
    <row r="854" spans="2:6">
      <c r="B854" s="50" t="s">
        <v>21</v>
      </c>
      <c r="C854" s="50" t="s">
        <v>803</v>
      </c>
      <c r="D854" s="50">
        <f>DATE(YEAR(OneWeekMtgRatesDataTable756[[#This Row],[asofdate]]),MONTH(OneWeekMtgRatesDataTable756[[#This Row],[asofdate]]),DAY(OneWeekMtgRatesDataTable756[[#This Row],[asofdate]]))</f>
        <v>41074</v>
      </c>
      <c r="E854" s="50" t="s">
        <v>11</v>
      </c>
      <c r="F854" s="57">
        <v>0.24274999999999999</v>
      </c>
    </row>
    <row r="855" spans="2:6">
      <c r="B855" s="50" t="s">
        <v>21</v>
      </c>
      <c r="C855" s="50" t="s">
        <v>802</v>
      </c>
      <c r="D855" s="50">
        <f>DATE(YEAR(OneWeekMtgRatesDataTable756[[#This Row],[asofdate]]),MONTH(OneWeekMtgRatesDataTable756[[#This Row],[asofdate]]),DAY(OneWeekMtgRatesDataTable756[[#This Row],[asofdate]]))</f>
        <v>41073</v>
      </c>
      <c r="E855" s="50" t="s">
        <v>11</v>
      </c>
      <c r="F855" s="57">
        <v>0.24174999999999999</v>
      </c>
    </row>
    <row r="856" spans="2:6">
      <c r="B856" s="50" t="s">
        <v>21</v>
      </c>
      <c r="C856" s="50" t="s">
        <v>801</v>
      </c>
      <c r="D856" s="50">
        <f>DATE(YEAR(OneWeekMtgRatesDataTable756[[#This Row],[asofdate]]),MONTH(OneWeekMtgRatesDataTable756[[#This Row],[asofdate]]),DAY(OneWeekMtgRatesDataTable756[[#This Row],[asofdate]]))</f>
        <v>41072</v>
      </c>
      <c r="E856" s="50" t="s">
        <v>11</v>
      </c>
      <c r="F856" s="57">
        <v>0.24074999999999999</v>
      </c>
    </row>
    <row r="857" spans="2:6">
      <c r="B857" s="50" t="s">
        <v>21</v>
      </c>
      <c r="C857" s="50" t="s">
        <v>800</v>
      </c>
      <c r="D857" s="50">
        <f>DATE(YEAR(OneWeekMtgRatesDataTable756[[#This Row],[asofdate]]),MONTH(OneWeekMtgRatesDataTable756[[#This Row],[asofdate]]),DAY(OneWeekMtgRatesDataTable756[[#This Row],[asofdate]]))</f>
        <v>41071</v>
      </c>
      <c r="E857" s="50" t="s">
        <v>11</v>
      </c>
      <c r="F857" s="57">
        <v>0.24074999999999999</v>
      </c>
    </row>
    <row r="858" spans="2:6">
      <c r="B858" s="50" t="s">
        <v>21</v>
      </c>
      <c r="C858" s="50" t="s">
        <v>799</v>
      </c>
      <c r="D858" s="50">
        <f>DATE(YEAR(OneWeekMtgRatesDataTable756[[#This Row],[asofdate]]),MONTH(OneWeekMtgRatesDataTable756[[#This Row],[asofdate]]),DAY(OneWeekMtgRatesDataTable756[[#This Row],[asofdate]]))</f>
        <v>41068</v>
      </c>
      <c r="E858" s="50" t="s">
        <v>11</v>
      </c>
      <c r="F858" s="57">
        <v>0.24074999999999999</v>
      </c>
    </row>
    <row r="859" spans="2:6">
      <c r="B859" s="50" t="s">
        <v>21</v>
      </c>
      <c r="C859" s="50" t="s">
        <v>798</v>
      </c>
      <c r="D859" s="50">
        <f>DATE(YEAR(OneWeekMtgRatesDataTable756[[#This Row],[asofdate]]),MONTH(OneWeekMtgRatesDataTable756[[#This Row],[asofdate]]),DAY(OneWeekMtgRatesDataTable756[[#This Row],[asofdate]]))</f>
        <v>41067</v>
      </c>
      <c r="E859" s="50" t="s">
        <v>11</v>
      </c>
      <c r="F859" s="57">
        <v>0.24074999999999999</v>
      </c>
    </row>
    <row r="860" spans="2:6">
      <c r="B860" s="50" t="s">
        <v>21</v>
      </c>
      <c r="C860" s="50" t="s">
        <v>797</v>
      </c>
      <c r="D860" s="50">
        <f>DATE(YEAR(OneWeekMtgRatesDataTable756[[#This Row],[asofdate]]),MONTH(OneWeekMtgRatesDataTable756[[#This Row],[asofdate]]),DAY(OneWeekMtgRatesDataTable756[[#This Row],[asofdate]]))</f>
        <v>41066</v>
      </c>
      <c r="E860" s="50" t="s">
        <v>11</v>
      </c>
      <c r="F860" s="57">
        <v>0.24074999999999999</v>
      </c>
    </row>
    <row r="861" spans="2:6">
      <c r="B861" s="50" t="s">
        <v>21</v>
      </c>
      <c r="C861" s="50" t="s">
        <v>796</v>
      </c>
      <c r="D861" s="50">
        <f>DATE(YEAR(OneWeekMtgRatesDataTable756[[#This Row],[asofdate]]),MONTH(OneWeekMtgRatesDataTable756[[#This Row],[asofdate]]),DAY(OneWeekMtgRatesDataTable756[[#This Row],[asofdate]]))</f>
        <v>41065</v>
      </c>
      <c r="E861" s="50" t="s">
        <v>11</v>
      </c>
      <c r="F861" s="57">
        <v>0.23974999999999999</v>
      </c>
    </row>
    <row r="862" spans="2:6">
      <c r="B862" s="50" t="s">
        <v>21</v>
      </c>
      <c r="C862" s="50" t="s">
        <v>795</v>
      </c>
      <c r="D862" s="50">
        <f>DATE(YEAR(OneWeekMtgRatesDataTable756[[#This Row],[asofdate]]),MONTH(OneWeekMtgRatesDataTable756[[#This Row],[asofdate]]),DAY(OneWeekMtgRatesDataTable756[[#This Row],[asofdate]]))</f>
        <v>41064</v>
      </c>
      <c r="E862" s="50" t="s">
        <v>11</v>
      </c>
      <c r="F862" s="57">
        <v>0.23974999999999999</v>
      </c>
    </row>
    <row r="863" spans="2:6">
      <c r="B863" s="50" t="s">
        <v>21</v>
      </c>
      <c r="C863" s="50" t="s">
        <v>794</v>
      </c>
      <c r="D863" s="50">
        <f>DATE(YEAR(OneWeekMtgRatesDataTable756[[#This Row],[asofdate]]),MONTH(OneWeekMtgRatesDataTable756[[#This Row],[asofdate]]),DAY(OneWeekMtgRatesDataTable756[[#This Row],[asofdate]]))</f>
        <v>41061</v>
      </c>
      <c r="E863" s="50" t="s">
        <v>11</v>
      </c>
      <c r="F863" s="57">
        <v>0.23974999999999999</v>
      </c>
    </row>
    <row r="864" spans="2:6">
      <c r="B864" s="50" t="s">
        <v>21</v>
      </c>
      <c r="C864" s="50" t="s">
        <v>793</v>
      </c>
      <c r="D864" s="50">
        <f>DATE(YEAR(OneWeekMtgRatesDataTable756[[#This Row],[asofdate]]),MONTH(OneWeekMtgRatesDataTable756[[#This Row],[asofdate]]),DAY(OneWeekMtgRatesDataTable756[[#This Row],[asofdate]]))</f>
        <v>41060</v>
      </c>
      <c r="E864" s="50" t="s">
        <v>11</v>
      </c>
      <c r="F864" s="57">
        <v>0.23874999999999999</v>
      </c>
    </row>
    <row r="865" spans="2:6">
      <c r="B865" s="50" t="s">
        <v>21</v>
      </c>
      <c r="C865" s="50" t="s">
        <v>792</v>
      </c>
      <c r="D865" s="50">
        <f>DATE(YEAR(OneWeekMtgRatesDataTable756[[#This Row],[asofdate]]),MONTH(OneWeekMtgRatesDataTable756[[#This Row],[asofdate]]),DAY(OneWeekMtgRatesDataTable756[[#This Row],[asofdate]]))</f>
        <v>41059</v>
      </c>
      <c r="E865" s="50" t="s">
        <v>11</v>
      </c>
      <c r="F865" s="57">
        <v>0.23874999999999999</v>
      </c>
    </row>
    <row r="866" spans="2:6">
      <c r="B866" s="50" t="s">
        <v>21</v>
      </c>
      <c r="C866" s="50" t="s">
        <v>791</v>
      </c>
      <c r="D866" s="50">
        <f>DATE(YEAR(OneWeekMtgRatesDataTable756[[#This Row],[asofdate]]),MONTH(OneWeekMtgRatesDataTable756[[#This Row],[asofdate]]),DAY(OneWeekMtgRatesDataTable756[[#This Row],[asofdate]]))</f>
        <v>41058</v>
      </c>
      <c r="E866" s="50" t="s">
        <v>11</v>
      </c>
      <c r="F866" s="57">
        <v>0.23874999999999999</v>
      </c>
    </row>
    <row r="867" spans="2:6">
      <c r="B867" s="50" t="s">
        <v>21</v>
      </c>
      <c r="C867" s="50" t="s">
        <v>790</v>
      </c>
      <c r="D867" s="50">
        <f>DATE(YEAR(OneWeekMtgRatesDataTable756[[#This Row],[asofdate]]),MONTH(OneWeekMtgRatesDataTable756[[#This Row],[asofdate]]),DAY(OneWeekMtgRatesDataTable756[[#This Row],[asofdate]]))</f>
        <v>41054</v>
      </c>
      <c r="E867" s="50" t="s">
        <v>11</v>
      </c>
      <c r="F867" s="57">
        <v>0.23874999999999999</v>
      </c>
    </row>
    <row r="868" spans="2:6">
      <c r="B868" s="50" t="s">
        <v>21</v>
      </c>
      <c r="C868" s="50" t="s">
        <v>789</v>
      </c>
      <c r="D868" s="50">
        <f>DATE(YEAR(OneWeekMtgRatesDataTable756[[#This Row],[asofdate]]),MONTH(OneWeekMtgRatesDataTable756[[#This Row],[asofdate]]),DAY(OneWeekMtgRatesDataTable756[[#This Row],[asofdate]]))</f>
        <v>41053</v>
      </c>
      <c r="E868" s="50" t="s">
        <v>11</v>
      </c>
      <c r="F868" s="57">
        <v>0.23874999999999999</v>
      </c>
    </row>
    <row r="869" spans="2:6">
      <c r="B869" s="50" t="s">
        <v>21</v>
      </c>
      <c r="C869" s="50" t="s">
        <v>788</v>
      </c>
      <c r="D869" s="50">
        <f>DATE(YEAR(OneWeekMtgRatesDataTable756[[#This Row],[asofdate]]),MONTH(OneWeekMtgRatesDataTable756[[#This Row],[asofdate]]),DAY(OneWeekMtgRatesDataTable756[[#This Row],[asofdate]]))</f>
        <v>41052</v>
      </c>
      <c r="E869" s="50" t="s">
        <v>11</v>
      </c>
      <c r="F869" s="57">
        <v>0.23874999999999999</v>
      </c>
    </row>
    <row r="870" spans="2:6">
      <c r="B870" s="50" t="s">
        <v>21</v>
      </c>
      <c r="C870" s="50" t="s">
        <v>787</v>
      </c>
      <c r="D870" s="50">
        <f>DATE(YEAR(OneWeekMtgRatesDataTable756[[#This Row],[asofdate]]),MONTH(OneWeekMtgRatesDataTable756[[#This Row],[asofdate]]),DAY(OneWeekMtgRatesDataTable756[[#This Row],[asofdate]]))</f>
        <v>41051</v>
      </c>
      <c r="E870" s="50" t="s">
        <v>11</v>
      </c>
      <c r="F870" s="57">
        <v>0.23874999999999999</v>
      </c>
    </row>
    <row r="871" spans="2:6">
      <c r="B871" s="50" t="s">
        <v>21</v>
      </c>
      <c r="C871" s="50" t="s">
        <v>786</v>
      </c>
      <c r="D871" s="50">
        <f>DATE(YEAR(OneWeekMtgRatesDataTable756[[#This Row],[asofdate]]),MONTH(OneWeekMtgRatesDataTable756[[#This Row],[asofdate]]),DAY(OneWeekMtgRatesDataTable756[[#This Row],[asofdate]]))</f>
        <v>41050</v>
      </c>
      <c r="E871" s="50" t="s">
        <v>11</v>
      </c>
      <c r="F871" s="57">
        <v>0.23974999999999999</v>
      </c>
    </row>
    <row r="872" spans="2:6">
      <c r="B872" s="50" t="s">
        <v>21</v>
      </c>
      <c r="C872" s="50" t="s">
        <v>785</v>
      </c>
      <c r="D872" s="50">
        <f>DATE(YEAR(OneWeekMtgRatesDataTable756[[#This Row],[asofdate]]),MONTH(OneWeekMtgRatesDataTable756[[#This Row],[asofdate]]),DAY(OneWeekMtgRatesDataTable756[[#This Row],[asofdate]]))</f>
        <v>41047</v>
      </c>
      <c r="E872" s="50" t="s">
        <v>11</v>
      </c>
      <c r="F872" s="57">
        <v>0.23974999999999999</v>
      </c>
    </row>
    <row r="873" spans="2:6">
      <c r="B873" s="50" t="s">
        <v>21</v>
      </c>
      <c r="C873" s="50" t="s">
        <v>784</v>
      </c>
      <c r="D873" s="50">
        <f>DATE(YEAR(OneWeekMtgRatesDataTable756[[#This Row],[asofdate]]),MONTH(OneWeekMtgRatesDataTable756[[#This Row],[asofdate]]),DAY(OneWeekMtgRatesDataTable756[[#This Row],[asofdate]]))</f>
        <v>41046</v>
      </c>
      <c r="E873" s="50" t="s">
        <v>11</v>
      </c>
      <c r="F873" s="57">
        <v>0.23974999999999999</v>
      </c>
    </row>
    <row r="874" spans="2:6">
      <c r="B874" s="50" t="s">
        <v>21</v>
      </c>
      <c r="C874" s="50" t="s">
        <v>783</v>
      </c>
      <c r="D874" s="50">
        <f>DATE(YEAR(OneWeekMtgRatesDataTable756[[#This Row],[asofdate]]),MONTH(OneWeekMtgRatesDataTable756[[#This Row],[asofdate]]),DAY(OneWeekMtgRatesDataTable756[[#This Row],[asofdate]]))</f>
        <v>41045</v>
      </c>
      <c r="E874" s="50" t="s">
        <v>11</v>
      </c>
      <c r="F874" s="57">
        <v>0.23974999999999999</v>
      </c>
    </row>
    <row r="875" spans="2:6">
      <c r="B875" s="50" t="s">
        <v>21</v>
      </c>
      <c r="C875" s="50" t="s">
        <v>782</v>
      </c>
      <c r="D875" s="50">
        <f>DATE(YEAR(OneWeekMtgRatesDataTable756[[#This Row],[asofdate]]),MONTH(OneWeekMtgRatesDataTable756[[#This Row],[asofdate]]),DAY(OneWeekMtgRatesDataTable756[[#This Row],[asofdate]]))</f>
        <v>41044</v>
      </c>
      <c r="E875" s="50" t="s">
        <v>11</v>
      </c>
      <c r="F875" s="57">
        <v>0.23874999999999999</v>
      </c>
    </row>
    <row r="876" spans="2:6">
      <c r="B876" s="50" t="s">
        <v>21</v>
      </c>
      <c r="C876" s="50" t="s">
        <v>781</v>
      </c>
      <c r="D876" s="50">
        <f>DATE(YEAR(OneWeekMtgRatesDataTable756[[#This Row],[asofdate]]),MONTH(OneWeekMtgRatesDataTable756[[#This Row],[asofdate]]),DAY(OneWeekMtgRatesDataTable756[[#This Row],[asofdate]]))</f>
        <v>41043</v>
      </c>
      <c r="E876" s="50" t="s">
        <v>11</v>
      </c>
      <c r="F876" s="57">
        <v>0.23874999999999999</v>
      </c>
    </row>
    <row r="877" spans="2:6">
      <c r="B877" s="50" t="s">
        <v>21</v>
      </c>
      <c r="C877" s="50" t="s">
        <v>780</v>
      </c>
      <c r="D877" s="50">
        <f>DATE(YEAR(OneWeekMtgRatesDataTable756[[#This Row],[asofdate]]),MONTH(OneWeekMtgRatesDataTable756[[#This Row],[asofdate]]),DAY(OneWeekMtgRatesDataTable756[[#This Row],[asofdate]]))</f>
        <v>41040</v>
      </c>
      <c r="E877" s="50" t="s">
        <v>11</v>
      </c>
      <c r="F877" s="57">
        <v>0.23874999999999999</v>
      </c>
    </row>
    <row r="878" spans="2:6">
      <c r="B878" s="50" t="s">
        <v>21</v>
      </c>
      <c r="C878" s="50" t="s">
        <v>779</v>
      </c>
      <c r="D878" s="50">
        <f>DATE(YEAR(OneWeekMtgRatesDataTable756[[#This Row],[asofdate]]),MONTH(OneWeekMtgRatesDataTable756[[#This Row],[asofdate]]),DAY(OneWeekMtgRatesDataTable756[[#This Row],[asofdate]]))</f>
        <v>41039</v>
      </c>
      <c r="E878" s="50" t="s">
        <v>11</v>
      </c>
      <c r="F878" s="57">
        <v>0.23874999999999999</v>
      </c>
    </row>
    <row r="879" spans="2:6">
      <c r="B879" s="50" t="s">
        <v>21</v>
      </c>
      <c r="C879" s="50" t="s">
        <v>778</v>
      </c>
      <c r="D879" s="50">
        <f>DATE(YEAR(OneWeekMtgRatesDataTable756[[#This Row],[asofdate]]),MONTH(OneWeekMtgRatesDataTable756[[#This Row],[asofdate]]),DAY(OneWeekMtgRatesDataTable756[[#This Row],[asofdate]]))</f>
        <v>41038</v>
      </c>
      <c r="E879" s="50" t="s">
        <v>11</v>
      </c>
      <c r="F879" s="57">
        <v>0.23874999999999999</v>
      </c>
    </row>
    <row r="880" spans="2:6">
      <c r="B880" s="50" t="s">
        <v>21</v>
      </c>
      <c r="C880" s="50" t="s">
        <v>777</v>
      </c>
      <c r="D880" s="50">
        <f>DATE(YEAR(OneWeekMtgRatesDataTable756[[#This Row],[asofdate]]),MONTH(OneWeekMtgRatesDataTable756[[#This Row],[asofdate]]),DAY(OneWeekMtgRatesDataTable756[[#This Row],[asofdate]]))</f>
        <v>41037</v>
      </c>
      <c r="E880" s="50" t="s">
        <v>11</v>
      </c>
      <c r="F880" s="57">
        <v>0.23874999999999999</v>
      </c>
    </row>
    <row r="881" spans="2:6">
      <c r="B881" s="50" t="s">
        <v>21</v>
      </c>
      <c r="C881" s="50" t="s">
        <v>776</v>
      </c>
      <c r="D881" s="50">
        <f>DATE(YEAR(OneWeekMtgRatesDataTable756[[#This Row],[asofdate]]),MONTH(OneWeekMtgRatesDataTable756[[#This Row],[asofdate]]),DAY(OneWeekMtgRatesDataTable756[[#This Row],[asofdate]]))</f>
        <v>41036</v>
      </c>
      <c r="E881" s="50" t="s">
        <v>11</v>
      </c>
      <c r="F881" s="57">
        <v>0.23874999999999999</v>
      </c>
    </row>
    <row r="882" spans="2:6">
      <c r="B882" s="50" t="s">
        <v>21</v>
      </c>
      <c r="C882" s="50" t="s">
        <v>775</v>
      </c>
      <c r="D882" s="50">
        <f>DATE(YEAR(OneWeekMtgRatesDataTable756[[#This Row],[asofdate]]),MONTH(OneWeekMtgRatesDataTable756[[#This Row],[asofdate]]),DAY(OneWeekMtgRatesDataTable756[[#This Row],[asofdate]]))</f>
        <v>41033</v>
      </c>
      <c r="E882" s="50" t="s">
        <v>11</v>
      </c>
      <c r="F882" s="57">
        <v>0.23874999999999999</v>
      </c>
    </row>
    <row r="883" spans="2:6">
      <c r="B883" s="50" t="s">
        <v>21</v>
      </c>
      <c r="C883" s="50" t="s">
        <v>774</v>
      </c>
      <c r="D883" s="50">
        <f>DATE(YEAR(OneWeekMtgRatesDataTable756[[#This Row],[asofdate]]),MONTH(OneWeekMtgRatesDataTable756[[#This Row],[asofdate]]),DAY(OneWeekMtgRatesDataTable756[[#This Row],[asofdate]]))</f>
        <v>41032</v>
      </c>
      <c r="E883" s="50" t="s">
        <v>11</v>
      </c>
      <c r="F883" s="57">
        <v>0.23874999999999999</v>
      </c>
    </row>
    <row r="884" spans="2:6">
      <c r="B884" s="50" t="s">
        <v>21</v>
      </c>
      <c r="C884" s="50" t="s">
        <v>773</v>
      </c>
      <c r="D884" s="50">
        <f>DATE(YEAR(OneWeekMtgRatesDataTable756[[#This Row],[asofdate]]),MONTH(OneWeekMtgRatesDataTable756[[#This Row],[asofdate]]),DAY(OneWeekMtgRatesDataTable756[[#This Row],[asofdate]]))</f>
        <v>41031</v>
      </c>
      <c r="E884" s="50" t="s">
        <v>11</v>
      </c>
      <c r="F884" s="57">
        <v>0.23874999999999999</v>
      </c>
    </row>
    <row r="885" spans="2:6">
      <c r="B885" s="50" t="s">
        <v>21</v>
      </c>
      <c r="C885" s="50" t="s">
        <v>772</v>
      </c>
      <c r="D885" s="50">
        <f>DATE(YEAR(OneWeekMtgRatesDataTable756[[#This Row],[asofdate]]),MONTH(OneWeekMtgRatesDataTable756[[#This Row],[asofdate]]),DAY(OneWeekMtgRatesDataTable756[[#This Row],[asofdate]]))</f>
        <v>41030</v>
      </c>
      <c r="E885" s="50" t="s">
        <v>11</v>
      </c>
      <c r="F885" s="57">
        <v>0.23874999999999999</v>
      </c>
    </row>
    <row r="886" spans="2:6">
      <c r="B886" s="50" t="s">
        <v>21</v>
      </c>
      <c r="C886" s="50" t="s">
        <v>771</v>
      </c>
      <c r="D886" s="50">
        <f>DATE(YEAR(OneWeekMtgRatesDataTable756[[#This Row],[asofdate]]),MONTH(OneWeekMtgRatesDataTable756[[#This Row],[asofdate]]),DAY(OneWeekMtgRatesDataTable756[[#This Row],[asofdate]]))</f>
        <v>41029</v>
      </c>
      <c r="E886" s="50" t="s">
        <v>11</v>
      </c>
      <c r="F886" s="57">
        <v>0.23874999999999999</v>
      </c>
    </row>
    <row r="887" spans="2:6">
      <c r="B887" s="50" t="s">
        <v>21</v>
      </c>
      <c r="C887" s="50" t="s">
        <v>770</v>
      </c>
      <c r="D887" s="50">
        <f>DATE(YEAR(OneWeekMtgRatesDataTable756[[#This Row],[asofdate]]),MONTH(OneWeekMtgRatesDataTable756[[#This Row],[asofdate]]),DAY(OneWeekMtgRatesDataTable756[[#This Row],[asofdate]]))</f>
        <v>41026</v>
      </c>
      <c r="E887" s="50" t="s">
        <v>11</v>
      </c>
      <c r="F887" s="57">
        <v>0.23874999999999999</v>
      </c>
    </row>
    <row r="888" spans="2:6">
      <c r="B888" s="50" t="s">
        <v>21</v>
      </c>
      <c r="C888" s="50" t="s">
        <v>769</v>
      </c>
      <c r="D888" s="50">
        <f>DATE(YEAR(OneWeekMtgRatesDataTable756[[#This Row],[asofdate]]),MONTH(OneWeekMtgRatesDataTable756[[#This Row],[asofdate]]),DAY(OneWeekMtgRatesDataTable756[[#This Row],[asofdate]]))</f>
        <v>41025</v>
      </c>
      <c r="E888" s="50" t="s">
        <v>11</v>
      </c>
      <c r="F888" s="57">
        <v>0.23874999999999999</v>
      </c>
    </row>
    <row r="889" spans="2:6">
      <c r="B889" s="50" t="s">
        <v>21</v>
      </c>
      <c r="C889" s="50" t="s">
        <v>768</v>
      </c>
      <c r="D889" s="50">
        <f>DATE(YEAR(OneWeekMtgRatesDataTable756[[#This Row],[asofdate]]),MONTH(OneWeekMtgRatesDataTable756[[#This Row],[asofdate]]),DAY(OneWeekMtgRatesDataTable756[[#This Row],[asofdate]]))</f>
        <v>41024</v>
      </c>
      <c r="E889" s="50" t="s">
        <v>11</v>
      </c>
      <c r="F889" s="57">
        <v>0.23874999999999999</v>
      </c>
    </row>
    <row r="890" spans="2:6">
      <c r="B890" s="50" t="s">
        <v>21</v>
      </c>
      <c r="C890" s="50" t="s">
        <v>767</v>
      </c>
      <c r="D890" s="50">
        <f>DATE(YEAR(OneWeekMtgRatesDataTable756[[#This Row],[asofdate]]),MONTH(OneWeekMtgRatesDataTable756[[#This Row],[asofdate]]),DAY(OneWeekMtgRatesDataTable756[[#This Row],[asofdate]]))</f>
        <v>41023</v>
      </c>
      <c r="E890" s="50" t="s">
        <v>11</v>
      </c>
      <c r="F890" s="57">
        <v>0.23874999999999999</v>
      </c>
    </row>
    <row r="891" spans="2:6">
      <c r="B891" s="50" t="s">
        <v>21</v>
      </c>
      <c r="C891" s="50" t="s">
        <v>766</v>
      </c>
      <c r="D891" s="50">
        <f>DATE(YEAR(OneWeekMtgRatesDataTable756[[#This Row],[asofdate]]),MONTH(OneWeekMtgRatesDataTable756[[#This Row],[asofdate]]),DAY(OneWeekMtgRatesDataTable756[[#This Row],[asofdate]]))</f>
        <v>41022</v>
      </c>
      <c r="E891" s="50" t="s">
        <v>11</v>
      </c>
      <c r="F891" s="57">
        <v>0.23874999999999999</v>
      </c>
    </row>
    <row r="892" spans="2:6">
      <c r="B892" s="50" t="s">
        <v>21</v>
      </c>
      <c r="C892" s="50" t="s">
        <v>765</v>
      </c>
      <c r="D892" s="50">
        <f>DATE(YEAR(OneWeekMtgRatesDataTable756[[#This Row],[asofdate]]),MONTH(OneWeekMtgRatesDataTable756[[#This Row],[asofdate]]),DAY(OneWeekMtgRatesDataTable756[[#This Row],[asofdate]]))</f>
        <v>41019</v>
      </c>
      <c r="E892" s="50" t="s">
        <v>11</v>
      </c>
      <c r="F892" s="57">
        <v>0.23974999999999999</v>
      </c>
    </row>
    <row r="893" spans="2:6">
      <c r="B893" s="50" t="s">
        <v>21</v>
      </c>
      <c r="C893" s="50" t="s">
        <v>764</v>
      </c>
      <c r="D893" s="50">
        <f>DATE(YEAR(OneWeekMtgRatesDataTable756[[#This Row],[asofdate]]),MONTH(OneWeekMtgRatesDataTable756[[#This Row],[asofdate]]),DAY(OneWeekMtgRatesDataTable756[[#This Row],[asofdate]]))</f>
        <v>41018</v>
      </c>
      <c r="E893" s="50" t="s">
        <v>11</v>
      </c>
      <c r="F893" s="57">
        <v>0.23974999999999999</v>
      </c>
    </row>
    <row r="894" spans="2:6">
      <c r="B894" s="50" t="s">
        <v>21</v>
      </c>
      <c r="C894" s="50" t="s">
        <v>763</v>
      </c>
      <c r="D894" s="50">
        <f>DATE(YEAR(OneWeekMtgRatesDataTable756[[#This Row],[asofdate]]),MONTH(OneWeekMtgRatesDataTable756[[#This Row],[asofdate]]),DAY(OneWeekMtgRatesDataTable756[[#This Row],[asofdate]]))</f>
        <v>41017</v>
      </c>
      <c r="E894" s="50" t="s">
        <v>11</v>
      </c>
      <c r="F894" s="57">
        <v>0.23974999999999999</v>
      </c>
    </row>
    <row r="895" spans="2:6">
      <c r="B895" s="50" t="s">
        <v>21</v>
      </c>
      <c r="C895" s="50" t="s">
        <v>762</v>
      </c>
      <c r="D895" s="50">
        <f>DATE(YEAR(OneWeekMtgRatesDataTable756[[#This Row],[asofdate]]),MONTH(OneWeekMtgRatesDataTable756[[#This Row],[asofdate]]),DAY(OneWeekMtgRatesDataTable756[[#This Row],[asofdate]]))</f>
        <v>41016</v>
      </c>
      <c r="E895" s="50" t="s">
        <v>11</v>
      </c>
      <c r="F895" s="57">
        <v>0.23974999999999999</v>
      </c>
    </row>
    <row r="896" spans="2:6">
      <c r="B896" s="50" t="s">
        <v>21</v>
      </c>
      <c r="C896" s="50" t="s">
        <v>761</v>
      </c>
      <c r="D896" s="50">
        <f>DATE(YEAR(OneWeekMtgRatesDataTable756[[#This Row],[asofdate]]),MONTH(OneWeekMtgRatesDataTable756[[#This Row],[asofdate]]),DAY(OneWeekMtgRatesDataTable756[[#This Row],[asofdate]]))</f>
        <v>41015</v>
      </c>
      <c r="E896" s="50" t="s">
        <v>11</v>
      </c>
      <c r="F896" s="57">
        <v>0.23974999999999999</v>
      </c>
    </row>
    <row r="897" spans="2:6">
      <c r="B897" s="50" t="s">
        <v>21</v>
      </c>
      <c r="C897" s="50" t="s">
        <v>760</v>
      </c>
      <c r="D897" s="50">
        <f>DATE(YEAR(OneWeekMtgRatesDataTable756[[#This Row],[asofdate]]),MONTH(OneWeekMtgRatesDataTable756[[#This Row],[asofdate]]),DAY(OneWeekMtgRatesDataTable756[[#This Row],[asofdate]]))</f>
        <v>41012</v>
      </c>
      <c r="E897" s="50" t="s">
        <v>11</v>
      </c>
      <c r="F897" s="57">
        <v>0.23974999999999999</v>
      </c>
    </row>
    <row r="898" spans="2:6">
      <c r="B898" s="50" t="s">
        <v>21</v>
      </c>
      <c r="C898" s="50" t="s">
        <v>759</v>
      </c>
      <c r="D898" s="50">
        <f>DATE(YEAR(OneWeekMtgRatesDataTable756[[#This Row],[asofdate]]),MONTH(OneWeekMtgRatesDataTable756[[#This Row],[asofdate]]),DAY(OneWeekMtgRatesDataTable756[[#This Row],[asofdate]]))</f>
        <v>41011</v>
      </c>
      <c r="E898" s="50" t="s">
        <v>11</v>
      </c>
      <c r="F898" s="57">
        <v>0.24024999999999999</v>
      </c>
    </row>
    <row r="899" spans="2:6">
      <c r="B899" s="50" t="s">
        <v>21</v>
      </c>
      <c r="C899" s="50" t="s">
        <v>758</v>
      </c>
      <c r="D899" s="50">
        <f>DATE(YEAR(OneWeekMtgRatesDataTable756[[#This Row],[asofdate]]),MONTH(OneWeekMtgRatesDataTable756[[#This Row],[asofdate]]),DAY(OneWeekMtgRatesDataTable756[[#This Row],[asofdate]]))</f>
        <v>41010</v>
      </c>
      <c r="E899" s="50" t="s">
        <v>11</v>
      </c>
      <c r="F899" s="57">
        <v>0.24024999999999999</v>
      </c>
    </row>
    <row r="900" spans="2:6">
      <c r="B900" s="50" t="s">
        <v>21</v>
      </c>
      <c r="C900" s="50" t="s">
        <v>757</v>
      </c>
      <c r="D900" s="50">
        <f>DATE(YEAR(OneWeekMtgRatesDataTable756[[#This Row],[asofdate]]),MONTH(OneWeekMtgRatesDataTable756[[#This Row],[asofdate]]),DAY(OneWeekMtgRatesDataTable756[[#This Row],[asofdate]]))</f>
        <v>41009</v>
      </c>
      <c r="E900" s="50" t="s">
        <v>11</v>
      </c>
      <c r="F900" s="57">
        <v>0.24024999999999999</v>
      </c>
    </row>
    <row r="901" spans="2:6">
      <c r="B901" s="50" t="s">
        <v>21</v>
      </c>
      <c r="C901" s="50" t="s">
        <v>756</v>
      </c>
      <c r="D901" s="50">
        <f>DATE(YEAR(OneWeekMtgRatesDataTable756[[#This Row],[asofdate]]),MONTH(OneWeekMtgRatesDataTable756[[#This Row],[asofdate]]),DAY(OneWeekMtgRatesDataTable756[[#This Row],[asofdate]]))</f>
        <v>41008</v>
      </c>
      <c r="E901" s="50" t="s">
        <v>11</v>
      </c>
      <c r="F901" s="57">
        <v>0.24124999999999999</v>
      </c>
    </row>
    <row r="902" spans="2:6">
      <c r="B902" s="50" t="s">
        <v>21</v>
      </c>
      <c r="C902" s="50" t="s">
        <v>755</v>
      </c>
      <c r="D902" s="50">
        <f>DATE(YEAR(OneWeekMtgRatesDataTable756[[#This Row],[asofdate]]),MONTH(OneWeekMtgRatesDataTable756[[#This Row],[asofdate]]),DAY(OneWeekMtgRatesDataTable756[[#This Row],[asofdate]]))</f>
        <v>41005</v>
      </c>
      <c r="E902" s="50" t="s">
        <v>11</v>
      </c>
      <c r="F902" s="57">
        <v>0.24124999999999999</v>
      </c>
    </row>
    <row r="903" spans="2:6">
      <c r="B903" s="50" t="s">
        <v>21</v>
      </c>
      <c r="C903" s="50" t="s">
        <v>754</v>
      </c>
      <c r="D903" s="50">
        <f>DATE(YEAR(OneWeekMtgRatesDataTable756[[#This Row],[asofdate]]),MONTH(OneWeekMtgRatesDataTable756[[#This Row],[asofdate]]),DAY(OneWeekMtgRatesDataTable756[[#This Row],[asofdate]]))</f>
        <v>41004</v>
      </c>
      <c r="E903" s="50" t="s">
        <v>11</v>
      </c>
      <c r="F903" s="57">
        <v>0.24124999999999999</v>
      </c>
    </row>
    <row r="904" spans="2:6">
      <c r="B904" s="50" t="s">
        <v>21</v>
      </c>
      <c r="C904" s="50" t="s">
        <v>753</v>
      </c>
      <c r="D904" s="50">
        <f>DATE(YEAR(OneWeekMtgRatesDataTable756[[#This Row],[asofdate]]),MONTH(OneWeekMtgRatesDataTable756[[#This Row],[asofdate]]),DAY(OneWeekMtgRatesDataTable756[[#This Row],[asofdate]]))</f>
        <v>41003</v>
      </c>
      <c r="E904" s="50" t="s">
        <v>11</v>
      </c>
      <c r="F904" s="57">
        <v>0.24124999999999999</v>
      </c>
    </row>
    <row r="905" spans="2:6">
      <c r="B905" s="50" t="s">
        <v>21</v>
      </c>
      <c r="C905" s="50" t="s">
        <v>752</v>
      </c>
      <c r="D905" s="50">
        <f>DATE(YEAR(OneWeekMtgRatesDataTable756[[#This Row],[asofdate]]),MONTH(OneWeekMtgRatesDataTable756[[#This Row],[asofdate]]),DAY(OneWeekMtgRatesDataTable756[[#This Row],[asofdate]]))</f>
        <v>41002</v>
      </c>
      <c r="E905" s="50" t="s">
        <v>11</v>
      </c>
      <c r="F905" s="57">
        <v>0.24124999999999999</v>
      </c>
    </row>
    <row r="906" spans="2:6">
      <c r="B906" s="50" t="s">
        <v>21</v>
      </c>
      <c r="C906" s="50" t="s">
        <v>751</v>
      </c>
      <c r="D906" s="50">
        <f>DATE(YEAR(OneWeekMtgRatesDataTable756[[#This Row],[asofdate]]),MONTH(OneWeekMtgRatesDataTable756[[#This Row],[asofdate]]),DAY(OneWeekMtgRatesDataTable756[[#This Row],[asofdate]]))</f>
        <v>41001</v>
      </c>
      <c r="E906" s="50" t="s">
        <v>11</v>
      </c>
      <c r="F906" s="57">
        <v>0.24124999999999999</v>
      </c>
    </row>
    <row r="907" spans="2:6">
      <c r="B907" s="50" t="s">
        <v>21</v>
      </c>
      <c r="C907" s="50" t="s">
        <v>750</v>
      </c>
      <c r="D907" s="50">
        <f>DATE(YEAR(OneWeekMtgRatesDataTable756[[#This Row],[asofdate]]),MONTH(OneWeekMtgRatesDataTable756[[#This Row],[asofdate]]),DAY(OneWeekMtgRatesDataTable756[[#This Row],[asofdate]]))</f>
        <v>40998</v>
      </c>
      <c r="E907" s="50" t="s">
        <v>11</v>
      </c>
      <c r="F907" s="57">
        <v>0.24124999999999999</v>
      </c>
    </row>
    <row r="908" spans="2:6">
      <c r="B908" s="50" t="s">
        <v>21</v>
      </c>
      <c r="C908" s="50" t="s">
        <v>749</v>
      </c>
      <c r="D908" s="50">
        <f>DATE(YEAR(OneWeekMtgRatesDataTable756[[#This Row],[asofdate]]),MONTH(OneWeekMtgRatesDataTable756[[#This Row],[asofdate]]),DAY(OneWeekMtgRatesDataTable756[[#This Row],[asofdate]]))</f>
        <v>40997</v>
      </c>
      <c r="E908" s="50" t="s">
        <v>11</v>
      </c>
      <c r="F908" s="57">
        <v>0.24124999999999999</v>
      </c>
    </row>
    <row r="909" spans="2:6">
      <c r="B909" s="50" t="s">
        <v>21</v>
      </c>
      <c r="C909" s="50" t="s">
        <v>748</v>
      </c>
      <c r="D909" s="50">
        <f>DATE(YEAR(OneWeekMtgRatesDataTable756[[#This Row],[asofdate]]),MONTH(OneWeekMtgRatesDataTable756[[#This Row],[asofdate]]),DAY(OneWeekMtgRatesDataTable756[[#This Row],[asofdate]]))</f>
        <v>40996</v>
      </c>
      <c r="E909" s="50" t="s">
        <v>11</v>
      </c>
      <c r="F909" s="57">
        <v>0.24124999999999999</v>
      </c>
    </row>
    <row r="910" spans="2:6">
      <c r="B910" s="50" t="s">
        <v>21</v>
      </c>
      <c r="C910" s="50" t="s">
        <v>747</v>
      </c>
      <c r="D910" s="50">
        <f>DATE(YEAR(OneWeekMtgRatesDataTable756[[#This Row],[asofdate]]),MONTH(OneWeekMtgRatesDataTable756[[#This Row],[asofdate]]),DAY(OneWeekMtgRatesDataTable756[[#This Row],[asofdate]]))</f>
        <v>40995</v>
      </c>
      <c r="E910" s="50" t="s">
        <v>11</v>
      </c>
      <c r="F910" s="57">
        <v>0.24124999999999999</v>
      </c>
    </row>
    <row r="911" spans="2:6">
      <c r="B911" s="50" t="s">
        <v>21</v>
      </c>
      <c r="C911" s="50" t="s">
        <v>746</v>
      </c>
      <c r="D911" s="50">
        <f>DATE(YEAR(OneWeekMtgRatesDataTable756[[#This Row],[asofdate]]),MONTH(OneWeekMtgRatesDataTable756[[#This Row],[asofdate]]),DAY(OneWeekMtgRatesDataTable756[[#This Row],[asofdate]]))</f>
        <v>40994</v>
      </c>
      <c r="E911" s="50" t="s">
        <v>11</v>
      </c>
      <c r="F911" s="57">
        <v>0.24124999999999999</v>
      </c>
    </row>
    <row r="912" spans="2:6">
      <c r="B912" s="50" t="s">
        <v>21</v>
      </c>
      <c r="C912" s="50" t="s">
        <v>745</v>
      </c>
      <c r="D912" s="50">
        <f>DATE(YEAR(OneWeekMtgRatesDataTable756[[#This Row],[asofdate]]),MONTH(OneWeekMtgRatesDataTable756[[#This Row],[asofdate]]),DAY(OneWeekMtgRatesDataTable756[[#This Row],[asofdate]]))</f>
        <v>40991</v>
      </c>
      <c r="E912" s="50" t="s">
        <v>11</v>
      </c>
      <c r="F912" s="57">
        <v>0.24124999999999999</v>
      </c>
    </row>
    <row r="913" spans="2:6">
      <c r="B913" s="50" t="s">
        <v>21</v>
      </c>
      <c r="C913" s="50" t="s">
        <v>744</v>
      </c>
      <c r="D913" s="50">
        <f>DATE(YEAR(OneWeekMtgRatesDataTable756[[#This Row],[asofdate]]),MONTH(OneWeekMtgRatesDataTable756[[#This Row],[asofdate]]),DAY(OneWeekMtgRatesDataTable756[[#This Row],[asofdate]]))</f>
        <v>40990</v>
      </c>
      <c r="E913" s="50" t="s">
        <v>11</v>
      </c>
      <c r="F913" s="57">
        <v>0.24174999999999999</v>
      </c>
    </row>
    <row r="914" spans="2:6">
      <c r="B914" s="50" t="s">
        <v>21</v>
      </c>
      <c r="C914" s="50" t="s">
        <v>743</v>
      </c>
      <c r="D914" s="50">
        <f>DATE(YEAR(OneWeekMtgRatesDataTable756[[#This Row],[asofdate]]),MONTH(OneWeekMtgRatesDataTable756[[#This Row],[asofdate]]),DAY(OneWeekMtgRatesDataTable756[[#This Row],[asofdate]]))</f>
        <v>40989</v>
      </c>
      <c r="E914" s="50" t="s">
        <v>11</v>
      </c>
      <c r="F914" s="57">
        <v>0.24174999999999999</v>
      </c>
    </row>
    <row r="915" spans="2:6">
      <c r="B915" s="50" t="s">
        <v>21</v>
      </c>
      <c r="C915" s="50" t="s">
        <v>742</v>
      </c>
      <c r="D915" s="50">
        <f>DATE(YEAR(OneWeekMtgRatesDataTable756[[#This Row],[asofdate]]),MONTH(OneWeekMtgRatesDataTable756[[#This Row],[asofdate]]),DAY(OneWeekMtgRatesDataTable756[[#This Row],[asofdate]]))</f>
        <v>40988</v>
      </c>
      <c r="E915" s="50" t="s">
        <v>11</v>
      </c>
      <c r="F915" s="57">
        <v>0.24174999999999999</v>
      </c>
    </row>
    <row r="916" spans="2:6">
      <c r="B916" s="50" t="s">
        <v>21</v>
      </c>
      <c r="C916" s="50" t="s">
        <v>741</v>
      </c>
      <c r="D916" s="50">
        <f>DATE(YEAR(OneWeekMtgRatesDataTable756[[#This Row],[asofdate]]),MONTH(OneWeekMtgRatesDataTable756[[#This Row],[asofdate]]),DAY(OneWeekMtgRatesDataTable756[[#This Row],[asofdate]]))</f>
        <v>40987</v>
      </c>
      <c r="E916" s="50" t="s">
        <v>11</v>
      </c>
      <c r="F916" s="57">
        <v>0.24174999999999999</v>
      </c>
    </row>
    <row r="917" spans="2:6">
      <c r="B917" s="50" t="s">
        <v>21</v>
      </c>
      <c r="C917" s="50" t="s">
        <v>740</v>
      </c>
      <c r="D917" s="50">
        <f>DATE(YEAR(OneWeekMtgRatesDataTable756[[#This Row],[asofdate]]),MONTH(OneWeekMtgRatesDataTable756[[#This Row],[asofdate]]),DAY(OneWeekMtgRatesDataTable756[[#This Row],[asofdate]]))</f>
        <v>40984</v>
      </c>
      <c r="E917" s="50" t="s">
        <v>11</v>
      </c>
      <c r="F917" s="57">
        <v>0.24174999999999999</v>
      </c>
    </row>
    <row r="918" spans="2:6">
      <c r="B918" s="50" t="s">
        <v>21</v>
      </c>
      <c r="C918" s="50" t="s">
        <v>739</v>
      </c>
      <c r="D918" s="50">
        <f>DATE(YEAR(OneWeekMtgRatesDataTable756[[#This Row],[asofdate]]),MONTH(OneWeekMtgRatesDataTable756[[#This Row],[asofdate]]),DAY(OneWeekMtgRatesDataTable756[[#This Row],[asofdate]]))</f>
        <v>40983</v>
      </c>
      <c r="E918" s="50" t="s">
        <v>11</v>
      </c>
      <c r="F918" s="57">
        <v>0.24174999999999999</v>
      </c>
    </row>
    <row r="919" spans="2:6">
      <c r="B919" s="50" t="s">
        <v>21</v>
      </c>
      <c r="C919" s="50" t="s">
        <v>738</v>
      </c>
      <c r="D919" s="50">
        <f>DATE(YEAR(OneWeekMtgRatesDataTable756[[#This Row],[asofdate]]),MONTH(OneWeekMtgRatesDataTable756[[#This Row],[asofdate]]),DAY(OneWeekMtgRatesDataTable756[[#This Row],[asofdate]]))</f>
        <v>40982</v>
      </c>
      <c r="E919" s="50" t="s">
        <v>11</v>
      </c>
      <c r="F919" s="57">
        <v>0.24174999999999999</v>
      </c>
    </row>
    <row r="920" spans="2:6">
      <c r="B920" s="50" t="s">
        <v>21</v>
      </c>
      <c r="C920" s="50" t="s">
        <v>737</v>
      </c>
      <c r="D920" s="50">
        <f>DATE(YEAR(OneWeekMtgRatesDataTable756[[#This Row],[asofdate]]),MONTH(OneWeekMtgRatesDataTable756[[#This Row],[asofdate]]),DAY(OneWeekMtgRatesDataTable756[[#This Row],[asofdate]]))</f>
        <v>40981</v>
      </c>
      <c r="E920" s="50" t="s">
        <v>11</v>
      </c>
      <c r="F920" s="57">
        <v>0.24174999999999999</v>
      </c>
    </row>
    <row r="921" spans="2:6">
      <c r="B921" s="50" t="s">
        <v>21</v>
      </c>
      <c r="C921" s="50" t="s">
        <v>736</v>
      </c>
      <c r="D921" s="50">
        <f>DATE(YEAR(OneWeekMtgRatesDataTable756[[#This Row],[asofdate]]),MONTH(OneWeekMtgRatesDataTable756[[#This Row],[asofdate]]),DAY(OneWeekMtgRatesDataTable756[[#This Row],[asofdate]]))</f>
        <v>40980</v>
      </c>
      <c r="E921" s="50" t="s">
        <v>11</v>
      </c>
      <c r="F921" s="57">
        <v>0.24174999999999999</v>
      </c>
    </row>
    <row r="922" spans="2:6">
      <c r="B922" s="50" t="s">
        <v>21</v>
      </c>
      <c r="C922" s="50" t="s">
        <v>735</v>
      </c>
      <c r="D922" s="50">
        <f>DATE(YEAR(OneWeekMtgRatesDataTable756[[#This Row],[asofdate]]),MONTH(OneWeekMtgRatesDataTable756[[#This Row],[asofdate]]),DAY(OneWeekMtgRatesDataTable756[[#This Row],[asofdate]]))</f>
        <v>40977</v>
      </c>
      <c r="E922" s="50" t="s">
        <v>11</v>
      </c>
      <c r="F922" s="57">
        <v>0.24174999999999999</v>
      </c>
    </row>
    <row r="923" spans="2:6">
      <c r="B923" s="50" t="s">
        <v>21</v>
      </c>
      <c r="C923" s="50" t="s">
        <v>734</v>
      </c>
      <c r="D923" s="50">
        <f>DATE(YEAR(OneWeekMtgRatesDataTable756[[#This Row],[asofdate]]),MONTH(OneWeekMtgRatesDataTable756[[#This Row],[asofdate]]),DAY(OneWeekMtgRatesDataTable756[[#This Row],[asofdate]]))</f>
        <v>40976</v>
      </c>
      <c r="E923" s="50" t="s">
        <v>11</v>
      </c>
      <c r="F923" s="57">
        <v>0.24174999999999999</v>
      </c>
    </row>
    <row r="924" spans="2:6">
      <c r="B924" s="50" t="s">
        <v>21</v>
      </c>
      <c r="C924" s="50" t="s">
        <v>733</v>
      </c>
      <c r="D924" s="50">
        <f>DATE(YEAR(OneWeekMtgRatesDataTable756[[#This Row],[asofdate]]),MONTH(OneWeekMtgRatesDataTable756[[#This Row],[asofdate]]),DAY(OneWeekMtgRatesDataTable756[[#This Row],[asofdate]]))</f>
        <v>40975</v>
      </c>
      <c r="E924" s="50" t="s">
        <v>11</v>
      </c>
      <c r="F924" s="57">
        <v>0.24274999999999999</v>
      </c>
    </row>
    <row r="925" spans="2:6">
      <c r="B925" s="50" t="s">
        <v>21</v>
      </c>
      <c r="C925" s="50" t="s">
        <v>732</v>
      </c>
      <c r="D925" s="50">
        <f>DATE(YEAR(OneWeekMtgRatesDataTable756[[#This Row],[asofdate]]),MONTH(OneWeekMtgRatesDataTable756[[#This Row],[asofdate]]),DAY(OneWeekMtgRatesDataTable756[[#This Row],[asofdate]]))</f>
        <v>40974</v>
      </c>
      <c r="E925" s="50" t="s">
        <v>11</v>
      </c>
      <c r="F925" s="57">
        <v>0.24274999999999999</v>
      </c>
    </row>
    <row r="926" spans="2:6">
      <c r="B926" s="50" t="s">
        <v>21</v>
      </c>
      <c r="C926" s="50" t="s">
        <v>731</v>
      </c>
      <c r="D926" s="50">
        <f>DATE(YEAR(OneWeekMtgRatesDataTable756[[#This Row],[asofdate]]),MONTH(OneWeekMtgRatesDataTable756[[#This Row],[asofdate]]),DAY(OneWeekMtgRatesDataTable756[[#This Row],[asofdate]]))</f>
        <v>40973</v>
      </c>
      <c r="E926" s="50" t="s">
        <v>11</v>
      </c>
      <c r="F926" s="57">
        <v>0.24274999999999999</v>
      </c>
    </row>
    <row r="927" spans="2:6">
      <c r="B927" s="50" t="s">
        <v>21</v>
      </c>
      <c r="C927" s="50" t="s">
        <v>730</v>
      </c>
      <c r="D927" s="50">
        <f>DATE(YEAR(OneWeekMtgRatesDataTable756[[#This Row],[asofdate]]),MONTH(OneWeekMtgRatesDataTable756[[#This Row],[asofdate]]),DAY(OneWeekMtgRatesDataTable756[[#This Row],[asofdate]]))</f>
        <v>40970</v>
      </c>
      <c r="E927" s="50" t="s">
        <v>11</v>
      </c>
      <c r="F927" s="57">
        <v>0.24274999999999999</v>
      </c>
    </row>
    <row r="928" spans="2:6">
      <c r="B928" s="50" t="s">
        <v>21</v>
      </c>
      <c r="C928" s="50" t="s">
        <v>729</v>
      </c>
      <c r="D928" s="50">
        <f>DATE(YEAR(OneWeekMtgRatesDataTable756[[#This Row],[asofdate]]),MONTH(OneWeekMtgRatesDataTable756[[#This Row],[asofdate]]),DAY(OneWeekMtgRatesDataTable756[[#This Row],[asofdate]]))</f>
        <v>40969</v>
      </c>
      <c r="E928" s="50" t="s">
        <v>11</v>
      </c>
      <c r="F928" s="57">
        <v>0.24299999999999999</v>
      </c>
    </row>
    <row r="929" spans="2:6">
      <c r="B929" s="50" t="s">
        <v>21</v>
      </c>
      <c r="C929" s="50" t="s">
        <v>728</v>
      </c>
      <c r="D929" s="50">
        <f>DATE(YEAR(OneWeekMtgRatesDataTable756[[#This Row],[asofdate]]),MONTH(OneWeekMtgRatesDataTable756[[#This Row],[asofdate]]),DAY(OneWeekMtgRatesDataTable756[[#This Row],[asofdate]]))</f>
        <v>40968</v>
      </c>
      <c r="E929" s="50" t="s">
        <v>11</v>
      </c>
      <c r="F929" s="57">
        <v>0.24349999999999999</v>
      </c>
    </row>
    <row r="930" spans="2:6">
      <c r="B930" s="50" t="s">
        <v>21</v>
      </c>
      <c r="C930" s="50" t="s">
        <v>727</v>
      </c>
      <c r="D930" s="50">
        <f>DATE(YEAR(OneWeekMtgRatesDataTable756[[#This Row],[asofdate]]),MONTH(OneWeekMtgRatesDataTable756[[#This Row],[asofdate]]),DAY(OneWeekMtgRatesDataTable756[[#This Row],[asofdate]]))</f>
        <v>40967</v>
      </c>
      <c r="E930" s="50" t="s">
        <v>11</v>
      </c>
      <c r="F930" s="57">
        <v>0.24399999999999999</v>
      </c>
    </row>
    <row r="931" spans="2:6">
      <c r="B931" s="50" t="s">
        <v>21</v>
      </c>
      <c r="C931" s="50" t="s">
        <v>726</v>
      </c>
      <c r="D931" s="50">
        <f>DATE(YEAR(OneWeekMtgRatesDataTable756[[#This Row],[asofdate]]),MONTH(OneWeekMtgRatesDataTable756[[#This Row],[asofdate]]),DAY(OneWeekMtgRatesDataTable756[[#This Row],[asofdate]]))</f>
        <v>40966</v>
      </c>
      <c r="E931" s="50" t="s">
        <v>11</v>
      </c>
      <c r="F931" s="57">
        <v>0.24399999999999999</v>
      </c>
    </row>
    <row r="932" spans="2:6">
      <c r="B932" s="50" t="s">
        <v>21</v>
      </c>
      <c r="C932" s="50" t="s">
        <v>725</v>
      </c>
      <c r="D932" s="50">
        <f>DATE(YEAR(OneWeekMtgRatesDataTable756[[#This Row],[asofdate]]),MONTH(OneWeekMtgRatesDataTable756[[#This Row],[asofdate]]),DAY(OneWeekMtgRatesDataTable756[[#This Row],[asofdate]]))</f>
        <v>40963</v>
      </c>
      <c r="E932" s="50" t="s">
        <v>11</v>
      </c>
      <c r="F932" s="57">
        <v>0.24399999999999999</v>
      </c>
    </row>
    <row r="933" spans="2:6">
      <c r="B933" s="50" t="s">
        <v>21</v>
      </c>
      <c r="C933" s="50" t="s">
        <v>724</v>
      </c>
      <c r="D933" s="50">
        <f>DATE(YEAR(OneWeekMtgRatesDataTable756[[#This Row],[asofdate]]),MONTH(OneWeekMtgRatesDataTable756[[#This Row],[asofdate]]),DAY(OneWeekMtgRatesDataTable756[[#This Row],[asofdate]]))</f>
        <v>40962</v>
      </c>
      <c r="E933" s="50" t="s">
        <v>11</v>
      </c>
      <c r="F933" s="57">
        <v>0.24399999999999999</v>
      </c>
    </row>
    <row r="934" spans="2:6">
      <c r="B934" s="50" t="s">
        <v>21</v>
      </c>
      <c r="C934" s="50" t="s">
        <v>723</v>
      </c>
      <c r="D934" s="50">
        <f>DATE(YEAR(OneWeekMtgRatesDataTable756[[#This Row],[asofdate]]),MONTH(OneWeekMtgRatesDataTable756[[#This Row],[asofdate]]),DAY(OneWeekMtgRatesDataTable756[[#This Row],[asofdate]]))</f>
        <v>40961</v>
      </c>
      <c r="E934" s="50" t="s">
        <v>11</v>
      </c>
      <c r="F934" s="57">
        <v>0.2445</v>
      </c>
    </row>
    <row r="935" spans="2:6">
      <c r="B935" s="50" t="s">
        <v>21</v>
      </c>
      <c r="C935" s="50" t="s">
        <v>722</v>
      </c>
      <c r="D935" s="50">
        <f>DATE(YEAR(OneWeekMtgRatesDataTable756[[#This Row],[asofdate]]),MONTH(OneWeekMtgRatesDataTable756[[#This Row],[asofdate]]),DAY(OneWeekMtgRatesDataTable756[[#This Row],[asofdate]]))</f>
        <v>40960</v>
      </c>
      <c r="E935" s="50" t="s">
        <v>11</v>
      </c>
      <c r="F935" s="57">
        <v>0.2455</v>
      </c>
    </row>
    <row r="936" spans="2:6">
      <c r="B936" s="50" t="s">
        <v>21</v>
      </c>
      <c r="C936" s="50" t="s">
        <v>721</v>
      </c>
      <c r="D936" s="50">
        <f>DATE(YEAR(OneWeekMtgRatesDataTable756[[#This Row],[asofdate]]),MONTH(OneWeekMtgRatesDataTable756[[#This Row],[asofdate]]),DAY(OneWeekMtgRatesDataTable756[[#This Row],[asofdate]]))</f>
        <v>40956</v>
      </c>
      <c r="E936" s="50" t="s">
        <v>11</v>
      </c>
      <c r="F936" s="57">
        <v>0.2455</v>
      </c>
    </row>
    <row r="937" spans="2:6">
      <c r="B937" s="50" t="s">
        <v>21</v>
      </c>
      <c r="C937" s="50" t="s">
        <v>720</v>
      </c>
      <c r="D937" s="50">
        <f>DATE(YEAR(OneWeekMtgRatesDataTable756[[#This Row],[asofdate]]),MONTH(OneWeekMtgRatesDataTable756[[#This Row],[asofdate]]),DAY(OneWeekMtgRatesDataTable756[[#This Row],[asofdate]]))</f>
        <v>40955</v>
      </c>
      <c r="E937" s="50" t="s">
        <v>11</v>
      </c>
      <c r="F937" s="57">
        <v>0.2455</v>
      </c>
    </row>
    <row r="938" spans="2:6">
      <c r="B938" s="50" t="s">
        <v>21</v>
      </c>
      <c r="C938" s="50" t="s">
        <v>719</v>
      </c>
      <c r="D938" s="50">
        <f>DATE(YEAR(OneWeekMtgRatesDataTable756[[#This Row],[asofdate]]),MONTH(OneWeekMtgRatesDataTable756[[#This Row],[asofdate]]),DAY(OneWeekMtgRatesDataTable756[[#This Row],[asofdate]]))</f>
        <v>40954</v>
      </c>
      <c r="E938" s="50" t="s">
        <v>11</v>
      </c>
      <c r="F938" s="57">
        <v>0.246</v>
      </c>
    </row>
    <row r="939" spans="2:6">
      <c r="B939" s="50" t="s">
        <v>21</v>
      </c>
      <c r="C939" s="50" t="s">
        <v>718</v>
      </c>
      <c r="D939" s="50">
        <f>DATE(YEAR(OneWeekMtgRatesDataTable756[[#This Row],[asofdate]]),MONTH(OneWeekMtgRatesDataTable756[[#This Row],[asofdate]]),DAY(OneWeekMtgRatesDataTable756[[#This Row],[asofdate]]))</f>
        <v>40953</v>
      </c>
      <c r="E939" s="50" t="s">
        <v>11</v>
      </c>
      <c r="F939" s="57">
        <v>0.2475</v>
      </c>
    </row>
    <row r="940" spans="2:6">
      <c r="B940" s="50" t="s">
        <v>21</v>
      </c>
      <c r="C940" s="50" t="s">
        <v>717</v>
      </c>
      <c r="D940" s="50">
        <f>DATE(YEAR(OneWeekMtgRatesDataTable756[[#This Row],[asofdate]]),MONTH(OneWeekMtgRatesDataTable756[[#This Row],[asofdate]]),DAY(OneWeekMtgRatesDataTable756[[#This Row],[asofdate]]))</f>
        <v>40952</v>
      </c>
      <c r="E940" s="50" t="s">
        <v>11</v>
      </c>
      <c r="F940" s="57">
        <v>0.2485</v>
      </c>
    </row>
    <row r="941" spans="2:6">
      <c r="B941" s="50" t="s">
        <v>21</v>
      </c>
      <c r="C941" s="50" t="s">
        <v>716</v>
      </c>
      <c r="D941" s="50">
        <f>DATE(YEAR(OneWeekMtgRatesDataTable756[[#This Row],[asofdate]]),MONTH(OneWeekMtgRatesDataTable756[[#This Row],[asofdate]]),DAY(OneWeekMtgRatesDataTable756[[#This Row],[asofdate]]))</f>
        <v>40949</v>
      </c>
      <c r="E941" s="50" t="s">
        <v>11</v>
      </c>
      <c r="F941" s="57">
        <v>0.2505</v>
      </c>
    </row>
    <row r="942" spans="2:6">
      <c r="B942" s="50" t="s">
        <v>21</v>
      </c>
      <c r="C942" s="50" t="s">
        <v>715</v>
      </c>
      <c r="D942" s="50">
        <f>DATE(YEAR(OneWeekMtgRatesDataTable756[[#This Row],[asofdate]]),MONTH(OneWeekMtgRatesDataTable756[[#This Row],[asofdate]]),DAY(OneWeekMtgRatesDataTable756[[#This Row],[asofdate]]))</f>
        <v>40948</v>
      </c>
      <c r="E942" s="50" t="s">
        <v>11</v>
      </c>
      <c r="F942" s="57">
        <v>0.2535</v>
      </c>
    </row>
    <row r="943" spans="2:6">
      <c r="B943" s="50" t="s">
        <v>21</v>
      </c>
      <c r="C943" s="50" t="s">
        <v>714</v>
      </c>
      <c r="D943" s="50">
        <f>DATE(YEAR(OneWeekMtgRatesDataTable756[[#This Row],[asofdate]]),MONTH(OneWeekMtgRatesDataTable756[[#This Row],[asofdate]]),DAY(OneWeekMtgRatesDataTable756[[#This Row],[asofdate]]))</f>
        <v>40947</v>
      </c>
      <c r="E943" s="50" t="s">
        <v>11</v>
      </c>
      <c r="F943" s="57">
        <v>0.25474999999999998</v>
      </c>
    </row>
    <row r="944" spans="2:6">
      <c r="B944" s="50" t="s">
        <v>21</v>
      </c>
      <c r="C944" s="50" t="s">
        <v>713</v>
      </c>
      <c r="D944" s="50">
        <f>DATE(YEAR(OneWeekMtgRatesDataTable756[[#This Row],[asofdate]]),MONTH(OneWeekMtgRatesDataTable756[[#This Row],[asofdate]]),DAY(OneWeekMtgRatesDataTable756[[#This Row],[asofdate]]))</f>
        <v>40946</v>
      </c>
      <c r="E944" s="50" t="s">
        <v>11</v>
      </c>
      <c r="F944" s="57">
        <v>0.25700000000000001</v>
      </c>
    </row>
    <row r="945" spans="2:6">
      <c r="B945" s="50" t="s">
        <v>21</v>
      </c>
      <c r="C945" s="50" t="s">
        <v>712</v>
      </c>
      <c r="D945" s="50">
        <f>DATE(YEAR(OneWeekMtgRatesDataTable756[[#This Row],[asofdate]]),MONTH(OneWeekMtgRatesDataTable756[[#This Row],[asofdate]]),DAY(OneWeekMtgRatesDataTable756[[#This Row],[asofdate]]))</f>
        <v>40945</v>
      </c>
      <c r="E945" s="50" t="s">
        <v>11</v>
      </c>
      <c r="F945" s="57">
        <v>0.25974999999999998</v>
      </c>
    </row>
    <row r="946" spans="2:6">
      <c r="B946" s="50" t="s">
        <v>21</v>
      </c>
      <c r="C946" s="50" t="s">
        <v>711</v>
      </c>
      <c r="D946" s="50">
        <f>DATE(YEAR(OneWeekMtgRatesDataTable756[[#This Row],[asofdate]]),MONTH(OneWeekMtgRatesDataTable756[[#This Row],[asofdate]]),DAY(OneWeekMtgRatesDataTable756[[#This Row],[asofdate]]))</f>
        <v>40942</v>
      </c>
      <c r="E946" s="50" t="s">
        <v>11</v>
      </c>
      <c r="F946" s="57">
        <v>0.26050000000000001</v>
      </c>
    </row>
    <row r="947" spans="2:6">
      <c r="B947" s="50" t="s">
        <v>21</v>
      </c>
      <c r="C947" s="50" t="s">
        <v>710</v>
      </c>
      <c r="D947" s="50">
        <f>DATE(YEAR(OneWeekMtgRatesDataTable756[[#This Row],[asofdate]]),MONTH(OneWeekMtgRatesDataTable756[[#This Row],[asofdate]]),DAY(OneWeekMtgRatesDataTable756[[#This Row],[asofdate]]))</f>
        <v>40941</v>
      </c>
      <c r="E947" s="50" t="s">
        <v>11</v>
      </c>
      <c r="F947" s="57">
        <v>0.26250000000000001</v>
      </c>
    </row>
    <row r="948" spans="2:6">
      <c r="B948" s="50" t="s">
        <v>21</v>
      </c>
      <c r="C948" s="50" t="s">
        <v>709</v>
      </c>
      <c r="D948" s="50">
        <f>DATE(YEAR(OneWeekMtgRatesDataTable756[[#This Row],[asofdate]]),MONTH(OneWeekMtgRatesDataTable756[[#This Row],[asofdate]]),DAY(OneWeekMtgRatesDataTable756[[#This Row],[asofdate]]))</f>
        <v>40940</v>
      </c>
      <c r="E948" s="50" t="s">
        <v>11</v>
      </c>
      <c r="F948" s="57">
        <v>0.26400000000000001</v>
      </c>
    </row>
    <row r="949" spans="2:6">
      <c r="B949" s="50" t="s">
        <v>21</v>
      </c>
      <c r="C949" s="50" t="s">
        <v>708</v>
      </c>
      <c r="D949" s="50">
        <f>DATE(YEAR(OneWeekMtgRatesDataTable756[[#This Row],[asofdate]]),MONTH(OneWeekMtgRatesDataTable756[[#This Row],[asofdate]]),DAY(OneWeekMtgRatesDataTable756[[#This Row],[asofdate]]))</f>
        <v>40939</v>
      </c>
      <c r="E949" s="50" t="s">
        <v>11</v>
      </c>
      <c r="F949" s="57">
        <v>0.26474999999999999</v>
      </c>
    </row>
    <row r="950" spans="2:6">
      <c r="B950" s="50" t="s">
        <v>21</v>
      </c>
      <c r="C950" s="50" t="s">
        <v>707</v>
      </c>
      <c r="D950" s="50">
        <f>DATE(YEAR(OneWeekMtgRatesDataTable756[[#This Row],[asofdate]]),MONTH(OneWeekMtgRatesDataTable756[[#This Row],[asofdate]]),DAY(OneWeekMtgRatesDataTable756[[#This Row],[asofdate]]))</f>
        <v>40938</v>
      </c>
      <c r="E950" s="50" t="s">
        <v>11</v>
      </c>
      <c r="F950" s="57">
        <v>0.26774999999999999</v>
      </c>
    </row>
    <row r="951" spans="2:6">
      <c r="B951" s="50" t="s">
        <v>21</v>
      </c>
      <c r="C951" s="50" t="s">
        <v>706</v>
      </c>
      <c r="D951" s="50">
        <f>DATE(YEAR(OneWeekMtgRatesDataTable756[[#This Row],[asofdate]]),MONTH(OneWeekMtgRatesDataTable756[[#This Row],[asofdate]]),DAY(OneWeekMtgRatesDataTable756[[#This Row],[asofdate]]))</f>
        <v>40935</v>
      </c>
      <c r="E951" s="50" t="s">
        <v>11</v>
      </c>
      <c r="F951" s="57">
        <v>0.27</v>
      </c>
    </row>
    <row r="952" spans="2:6">
      <c r="B952" s="50" t="s">
        <v>21</v>
      </c>
      <c r="C952" s="50" t="s">
        <v>705</v>
      </c>
      <c r="D952" s="50">
        <f>DATE(YEAR(OneWeekMtgRatesDataTable756[[#This Row],[asofdate]]),MONTH(OneWeekMtgRatesDataTable756[[#This Row],[asofdate]]),DAY(OneWeekMtgRatesDataTable756[[#This Row],[asofdate]]))</f>
        <v>40934</v>
      </c>
      <c r="E952" s="50" t="s">
        <v>11</v>
      </c>
      <c r="F952" s="57">
        <v>0.27050000000000002</v>
      </c>
    </row>
    <row r="953" spans="2:6">
      <c r="B953" s="50" t="s">
        <v>21</v>
      </c>
      <c r="C953" s="50" t="s">
        <v>704</v>
      </c>
      <c r="D953" s="50">
        <f>DATE(YEAR(OneWeekMtgRatesDataTable756[[#This Row],[asofdate]]),MONTH(OneWeekMtgRatesDataTable756[[#This Row],[asofdate]]),DAY(OneWeekMtgRatesDataTable756[[#This Row],[asofdate]]))</f>
        <v>40933</v>
      </c>
      <c r="E953" s="50" t="s">
        <v>11</v>
      </c>
      <c r="F953" s="57">
        <v>0.27279999999999999</v>
      </c>
    </row>
    <row r="954" spans="2:6">
      <c r="B954" s="50" t="s">
        <v>21</v>
      </c>
      <c r="C954" s="50" t="s">
        <v>703</v>
      </c>
      <c r="D954" s="50">
        <f>DATE(YEAR(OneWeekMtgRatesDataTable756[[#This Row],[asofdate]]),MONTH(OneWeekMtgRatesDataTable756[[#This Row],[asofdate]]),DAY(OneWeekMtgRatesDataTable756[[#This Row],[asofdate]]))</f>
        <v>40932</v>
      </c>
      <c r="E954" s="50" t="s">
        <v>11</v>
      </c>
      <c r="F954" s="57">
        <v>0.27529999999999999</v>
      </c>
    </row>
    <row r="955" spans="2:6">
      <c r="B955" s="50" t="s">
        <v>21</v>
      </c>
      <c r="C955" s="50" t="s">
        <v>702</v>
      </c>
      <c r="D955" s="50">
        <f>DATE(YEAR(OneWeekMtgRatesDataTable756[[#This Row],[asofdate]]),MONTH(OneWeekMtgRatesDataTable756[[#This Row],[asofdate]]),DAY(OneWeekMtgRatesDataTable756[[#This Row],[asofdate]]))</f>
        <v>40931</v>
      </c>
      <c r="E955" s="50" t="s">
        <v>11</v>
      </c>
      <c r="F955" s="57">
        <v>0.27629999999999999</v>
      </c>
    </row>
    <row r="956" spans="2:6">
      <c r="B956" s="50" t="s">
        <v>21</v>
      </c>
      <c r="C956" s="50" t="s">
        <v>701</v>
      </c>
      <c r="D956" s="50">
        <f>DATE(YEAR(OneWeekMtgRatesDataTable756[[#This Row],[asofdate]]),MONTH(OneWeekMtgRatesDataTable756[[#This Row],[asofdate]]),DAY(OneWeekMtgRatesDataTable756[[#This Row],[asofdate]]))</f>
        <v>40928</v>
      </c>
      <c r="E956" s="50" t="s">
        <v>11</v>
      </c>
      <c r="F956" s="57">
        <v>0.27729999999999999</v>
      </c>
    </row>
    <row r="957" spans="2:6">
      <c r="B957" s="50" t="s">
        <v>21</v>
      </c>
      <c r="C957" s="50" t="s">
        <v>700</v>
      </c>
      <c r="D957" s="50">
        <f>DATE(YEAR(OneWeekMtgRatesDataTable756[[#This Row],[asofdate]]),MONTH(OneWeekMtgRatesDataTable756[[#This Row],[asofdate]]),DAY(OneWeekMtgRatesDataTable756[[#This Row],[asofdate]]))</f>
        <v>40927</v>
      </c>
      <c r="E957" s="50" t="s">
        <v>11</v>
      </c>
      <c r="F957" s="57">
        <v>0.27889999999999998</v>
      </c>
    </row>
    <row r="958" spans="2:6">
      <c r="B958" s="50" t="s">
        <v>21</v>
      </c>
      <c r="C958" s="50" t="s">
        <v>699</v>
      </c>
      <c r="D958" s="50">
        <f>DATE(YEAR(OneWeekMtgRatesDataTable756[[#This Row],[asofdate]]),MONTH(OneWeekMtgRatesDataTable756[[#This Row],[asofdate]]),DAY(OneWeekMtgRatesDataTable756[[#This Row],[asofdate]]))</f>
        <v>40926</v>
      </c>
      <c r="E958" s="50" t="s">
        <v>11</v>
      </c>
      <c r="F958" s="57">
        <v>0.28089999999999998</v>
      </c>
    </row>
    <row r="959" spans="2:6">
      <c r="B959" s="50" t="s">
        <v>21</v>
      </c>
      <c r="C959" s="50" t="s">
        <v>698</v>
      </c>
      <c r="D959" s="50">
        <f>DATE(YEAR(OneWeekMtgRatesDataTable756[[#This Row],[asofdate]]),MONTH(OneWeekMtgRatesDataTable756[[#This Row],[asofdate]]),DAY(OneWeekMtgRatesDataTable756[[#This Row],[asofdate]]))</f>
        <v>40925</v>
      </c>
      <c r="E959" s="50" t="s">
        <v>11</v>
      </c>
      <c r="F959" s="57">
        <v>0.28100000000000003</v>
      </c>
    </row>
    <row r="960" spans="2:6">
      <c r="B960" s="50" t="s">
        <v>21</v>
      </c>
      <c r="C960" s="50" t="s">
        <v>697</v>
      </c>
      <c r="D960" s="50">
        <f>DATE(YEAR(OneWeekMtgRatesDataTable756[[#This Row],[asofdate]]),MONTH(OneWeekMtgRatesDataTable756[[#This Row],[asofdate]]),DAY(OneWeekMtgRatesDataTable756[[#This Row],[asofdate]]))</f>
        <v>40921</v>
      </c>
      <c r="E960" s="50" t="s">
        <v>11</v>
      </c>
      <c r="F960" s="57">
        <v>0.28510000000000002</v>
      </c>
    </row>
    <row r="961" spans="2:6">
      <c r="B961" s="50" t="s">
        <v>21</v>
      </c>
      <c r="C961" s="50" t="s">
        <v>696</v>
      </c>
      <c r="D961" s="50">
        <f>DATE(YEAR(OneWeekMtgRatesDataTable756[[#This Row],[asofdate]]),MONTH(OneWeekMtgRatesDataTable756[[#This Row],[asofdate]]),DAY(OneWeekMtgRatesDataTable756[[#This Row],[asofdate]]))</f>
        <v>40920</v>
      </c>
      <c r="E961" s="50" t="s">
        <v>11</v>
      </c>
      <c r="F961" s="57">
        <v>0.28960000000000002</v>
      </c>
    </row>
    <row r="962" spans="2:6">
      <c r="B962" s="50" t="s">
        <v>21</v>
      </c>
      <c r="C962" s="50" t="s">
        <v>695</v>
      </c>
      <c r="D962" s="50">
        <f>DATE(YEAR(OneWeekMtgRatesDataTable756[[#This Row],[asofdate]]),MONTH(OneWeekMtgRatesDataTable756[[#This Row],[asofdate]]),DAY(OneWeekMtgRatesDataTable756[[#This Row],[asofdate]]))</f>
        <v>40919</v>
      </c>
      <c r="E962" s="50" t="s">
        <v>11</v>
      </c>
      <c r="F962" s="57">
        <v>0.29470000000000002</v>
      </c>
    </row>
    <row r="963" spans="2:6">
      <c r="B963" s="50" t="s">
        <v>21</v>
      </c>
      <c r="C963" s="50" t="s">
        <v>694</v>
      </c>
      <c r="D963" s="50">
        <f>DATE(YEAR(OneWeekMtgRatesDataTable756[[#This Row],[asofdate]]),MONTH(OneWeekMtgRatesDataTable756[[#This Row],[asofdate]]),DAY(OneWeekMtgRatesDataTable756[[#This Row],[asofdate]]))</f>
        <v>40918</v>
      </c>
      <c r="E963" s="50" t="s">
        <v>11</v>
      </c>
      <c r="F963" s="57">
        <v>0.29580000000000001</v>
      </c>
    </row>
    <row r="964" spans="2:6">
      <c r="B964" s="50" t="s">
        <v>21</v>
      </c>
      <c r="C964" s="50" t="s">
        <v>693</v>
      </c>
      <c r="D964" s="50">
        <f>DATE(YEAR(OneWeekMtgRatesDataTable756[[#This Row],[asofdate]]),MONTH(OneWeekMtgRatesDataTable756[[#This Row],[asofdate]]),DAY(OneWeekMtgRatesDataTable756[[#This Row],[asofdate]]))</f>
        <v>40917</v>
      </c>
      <c r="E964" s="50" t="s">
        <v>11</v>
      </c>
      <c r="F964" s="57">
        <v>0.29630000000000001</v>
      </c>
    </row>
    <row r="965" spans="2:6">
      <c r="B965" s="50" t="s">
        <v>21</v>
      </c>
      <c r="C965" s="50" t="s">
        <v>692</v>
      </c>
      <c r="D965" s="50">
        <f>DATE(YEAR(OneWeekMtgRatesDataTable756[[#This Row],[asofdate]]),MONTH(OneWeekMtgRatesDataTable756[[#This Row],[asofdate]]),DAY(OneWeekMtgRatesDataTable756[[#This Row],[asofdate]]))</f>
        <v>40914</v>
      </c>
      <c r="E965" s="50" t="s">
        <v>11</v>
      </c>
      <c r="F965" s="57">
        <v>0.29630000000000001</v>
      </c>
    </row>
    <row r="966" spans="2:6">
      <c r="B966" s="50" t="s">
        <v>21</v>
      </c>
      <c r="C966" s="50" t="s">
        <v>691</v>
      </c>
      <c r="D966" s="50">
        <f>DATE(YEAR(OneWeekMtgRatesDataTable756[[#This Row],[asofdate]]),MONTH(OneWeekMtgRatesDataTable756[[#This Row],[asofdate]]),DAY(OneWeekMtgRatesDataTable756[[#This Row],[asofdate]]))</f>
        <v>40913</v>
      </c>
      <c r="E966" s="50" t="s">
        <v>11</v>
      </c>
      <c r="F966" s="57">
        <v>0.29530000000000001</v>
      </c>
    </row>
    <row r="967" spans="2:6">
      <c r="B967" s="50" t="s">
        <v>21</v>
      </c>
      <c r="C967" s="50" t="s">
        <v>690</v>
      </c>
      <c r="D967" s="50">
        <f>DATE(YEAR(OneWeekMtgRatesDataTable756[[#This Row],[asofdate]]),MONTH(OneWeekMtgRatesDataTable756[[#This Row],[asofdate]]),DAY(OneWeekMtgRatesDataTable756[[#This Row],[asofdate]]))</f>
        <v>40912</v>
      </c>
      <c r="E967" s="50" t="s">
        <v>11</v>
      </c>
      <c r="F967" s="57">
        <v>0.29530000000000001</v>
      </c>
    </row>
    <row r="968" spans="2:6">
      <c r="B968" s="50" t="s">
        <v>21</v>
      </c>
      <c r="C968" s="50" t="s">
        <v>689</v>
      </c>
      <c r="D968" s="50">
        <f>DATE(YEAR(OneWeekMtgRatesDataTable756[[#This Row],[asofdate]]),MONTH(OneWeekMtgRatesDataTable756[[#This Row],[asofdate]]),DAY(OneWeekMtgRatesDataTable756[[#This Row],[asofdate]]))</f>
        <v>40911</v>
      </c>
      <c r="E968" s="50" t="s">
        <v>11</v>
      </c>
      <c r="F968" s="57">
        <v>0.29530000000000001</v>
      </c>
    </row>
    <row r="969" spans="2:6">
      <c r="B969" s="50" t="s">
        <v>21</v>
      </c>
      <c r="C969" s="50" t="s">
        <v>688</v>
      </c>
      <c r="D969" s="50">
        <f>DATE(YEAR(OneWeekMtgRatesDataTable756[[#This Row],[asofdate]]),MONTH(OneWeekMtgRatesDataTable756[[#This Row],[asofdate]]),DAY(OneWeekMtgRatesDataTable756[[#This Row],[asofdate]]))</f>
        <v>40907</v>
      </c>
      <c r="E969" s="50" t="s">
        <v>11</v>
      </c>
      <c r="F969" s="57">
        <v>0.29530000000000001</v>
      </c>
    </row>
    <row r="970" spans="2:6">
      <c r="B970" s="50" t="s">
        <v>21</v>
      </c>
      <c r="C970" s="50" t="s">
        <v>687</v>
      </c>
      <c r="D970" s="50">
        <f>DATE(YEAR(OneWeekMtgRatesDataTable756[[#This Row],[asofdate]]),MONTH(OneWeekMtgRatesDataTable756[[#This Row],[asofdate]]),DAY(OneWeekMtgRatesDataTable756[[#This Row],[asofdate]]))</f>
        <v>40906</v>
      </c>
      <c r="E970" s="50" t="s">
        <v>11</v>
      </c>
      <c r="F970" s="57">
        <v>0.29530000000000001</v>
      </c>
    </row>
    <row r="971" spans="2:6">
      <c r="B971" s="50" t="s">
        <v>21</v>
      </c>
      <c r="C971" s="50" t="s">
        <v>686</v>
      </c>
      <c r="D971" s="50">
        <f>DATE(YEAR(OneWeekMtgRatesDataTable756[[#This Row],[asofdate]]),MONTH(OneWeekMtgRatesDataTable756[[#This Row],[asofdate]]),DAY(OneWeekMtgRatesDataTable756[[#This Row],[asofdate]]))</f>
        <v>40905</v>
      </c>
      <c r="E971" s="50" t="s">
        <v>11</v>
      </c>
      <c r="F971" s="57">
        <v>0.29630000000000001</v>
      </c>
    </row>
    <row r="972" spans="2:6">
      <c r="B972" s="50" t="s">
        <v>21</v>
      </c>
      <c r="C972" s="50" t="s">
        <v>685</v>
      </c>
      <c r="D972" s="50">
        <f>DATE(YEAR(OneWeekMtgRatesDataTable756[[#This Row],[asofdate]]),MONTH(OneWeekMtgRatesDataTable756[[#This Row],[asofdate]]),DAY(OneWeekMtgRatesDataTable756[[#This Row],[asofdate]]))</f>
        <v>40904</v>
      </c>
      <c r="E972" s="50" t="s">
        <v>11</v>
      </c>
      <c r="F972" s="57">
        <v>0.29394999999999999</v>
      </c>
    </row>
    <row r="973" spans="2:6">
      <c r="B973" s="50" t="s">
        <v>21</v>
      </c>
      <c r="C973" s="50" t="s">
        <v>684</v>
      </c>
      <c r="D973" s="50">
        <f>DATE(YEAR(OneWeekMtgRatesDataTable756[[#This Row],[asofdate]]),MONTH(OneWeekMtgRatesDataTable756[[#This Row],[asofdate]]),DAY(OneWeekMtgRatesDataTable756[[#This Row],[asofdate]]))</f>
        <v>40900</v>
      </c>
      <c r="E973" s="50" t="s">
        <v>11</v>
      </c>
      <c r="F973" s="57">
        <v>0.29394999999999999</v>
      </c>
    </row>
    <row r="974" spans="2:6">
      <c r="B974" s="50" t="s">
        <v>21</v>
      </c>
      <c r="C974" s="50" t="s">
        <v>683</v>
      </c>
      <c r="D974" s="50">
        <f>DATE(YEAR(OneWeekMtgRatesDataTable756[[#This Row],[asofdate]]),MONTH(OneWeekMtgRatesDataTable756[[#This Row],[asofdate]]),DAY(OneWeekMtgRatesDataTable756[[#This Row],[asofdate]]))</f>
        <v>40899</v>
      </c>
      <c r="E974" s="50" t="s">
        <v>11</v>
      </c>
      <c r="F974" s="57">
        <v>0.29360000000000003</v>
      </c>
    </row>
    <row r="975" spans="2:6">
      <c r="B975" s="50" t="s">
        <v>21</v>
      </c>
      <c r="C975" s="50" t="s">
        <v>682</v>
      </c>
      <c r="D975" s="50">
        <f>DATE(YEAR(OneWeekMtgRatesDataTable756[[#This Row],[asofdate]]),MONTH(OneWeekMtgRatesDataTable756[[#This Row],[asofdate]]),DAY(OneWeekMtgRatesDataTable756[[#This Row],[asofdate]]))</f>
        <v>40898</v>
      </c>
      <c r="E975" s="50" t="s">
        <v>11</v>
      </c>
      <c r="F975" s="57">
        <v>0.29185</v>
      </c>
    </row>
    <row r="976" spans="2:6">
      <c r="B976" s="50" t="s">
        <v>21</v>
      </c>
      <c r="C976" s="50" t="s">
        <v>681</v>
      </c>
      <c r="D976" s="50">
        <f>DATE(YEAR(OneWeekMtgRatesDataTable756[[#This Row],[asofdate]]),MONTH(OneWeekMtgRatesDataTable756[[#This Row],[asofdate]]),DAY(OneWeekMtgRatesDataTable756[[#This Row],[asofdate]]))</f>
        <v>40897</v>
      </c>
      <c r="E976" s="50" t="s">
        <v>11</v>
      </c>
      <c r="F976" s="57">
        <v>0.29060000000000002</v>
      </c>
    </row>
    <row r="977" spans="2:6">
      <c r="B977" s="50" t="s">
        <v>21</v>
      </c>
      <c r="C977" s="50" t="s">
        <v>680</v>
      </c>
      <c r="D977" s="50">
        <f>DATE(YEAR(OneWeekMtgRatesDataTable756[[#This Row],[asofdate]]),MONTH(OneWeekMtgRatesDataTable756[[#This Row],[asofdate]]),DAY(OneWeekMtgRatesDataTable756[[#This Row],[asofdate]]))</f>
        <v>40896</v>
      </c>
      <c r="E977" s="50" t="s">
        <v>11</v>
      </c>
      <c r="F977" s="57">
        <v>0.28734999999999999</v>
      </c>
    </row>
    <row r="978" spans="2:6">
      <c r="B978" s="50" t="s">
        <v>21</v>
      </c>
      <c r="C978" s="50" t="s">
        <v>679</v>
      </c>
      <c r="D978" s="50">
        <f>DATE(YEAR(OneWeekMtgRatesDataTable756[[#This Row],[asofdate]]),MONTH(OneWeekMtgRatesDataTable756[[#This Row],[asofdate]]),DAY(OneWeekMtgRatesDataTable756[[#This Row],[asofdate]]))</f>
        <v>40893</v>
      </c>
      <c r="E978" s="50" t="s">
        <v>11</v>
      </c>
      <c r="F978" s="57">
        <v>0.28484999999999999</v>
      </c>
    </row>
    <row r="979" spans="2:6">
      <c r="B979" s="50" t="s">
        <v>21</v>
      </c>
      <c r="C979" s="50" t="s">
        <v>678</v>
      </c>
      <c r="D979" s="50">
        <f>DATE(YEAR(OneWeekMtgRatesDataTable756[[#This Row],[asofdate]]),MONTH(OneWeekMtgRatesDataTable756[[#This Row],[asofdate]]),DAY(OneWeekMtgRatesDataTable756[[#This Row],[asofdate]]))</f>
        <v>40892</v>
      </c>
      <c r="E979" s="50" t="s">
        <v>11</v>
      </c>
      <c r="F979" s="57">
        <v>0.28460000000000002</v>
      </c>
    </row>
    <row r="980" spans="2:6">
      <c r="B980" s="50" t="s">
        <v>21</v>
      </c>
      <c r="C980" s="50" t="s">
        <v>677</v>
      </c>
      <c r="D980" s="50">
        <f>DATE(YEAR(OneWeekMtgRatesDataTable756[[#This Row],[asofdate]]),MONTH(OneWeekMtgRatesDataTable756[[#This Row],[asofdate]]),DAY(OneWeekMtgRatesDataTable756[[#This Row],[asofdate]]))</f>
        <v>40891</v>
      </c>
      <c r="E980" s="50" t="s">
        <v>11</v>
      </c>
      <c r="F980" s="57">
        <v>0.28255000000000002</v>
      </c>
    </row>
    <row r="981" spans="2:6">
      <c r="B981" s="50" t="s">
        <v>21</v>
      </c>
      <c r="C981" s="50" t="s">
        <v>676</v>
      </c>
      <c r="D981" s="50">
        <f>DATE(YEAR(OneWeekMtgRatesDataTable756[[#This Row],[asofdate]]),MONTH(OneWeekMtgRatesDataTable756[[#This Row],[asofdate]]),DAY(OneWeekMtgRatesDataTable756[[#This Row],[asofdate]]))</f>
        <v>40890</v>
      </c>
      <c r="E981" s="50" t="s">
        <v>11</v>
      </c>
      <c r="F981" s="57">
        <v>0.27829999999999999</v>
      </c>
    </row>
    <row r="982" spans="2:6">
      <c r="B982" s="50" t="s">
        <v>21</v>
      </c>
      <c r="C982" s="50" t="s">
        <v>675</v>
      </c>
      <c r="D982" s="50">
        <f>DATE(YEAR(OneWeekMtgRatesDataTable756[[#This Row],[asofdate]]),MONTH(OneWeekMtgRatesDataTable756[[#This Row],[asofdate]]),DAY(OneWeekMtgRatesDataTable756[[#This Row],[asofdate]]))</f>
        <v>40889</v>
      </c>
      <c r="E982" s="50" t="s">
        <v>11</v>
      </c>
      <c r="F982" s="57">
        <v>0.27755000000000002</v>
      </c>
    </row>
    <row r="983" spans="2:6">
      <c r="B983" s="50" t="s">
        <v>21</v>
      </c>
      <c r="C983" s="50" t="s">
        <v>674</v>
      </c>
      <c r="D983" s="50">
        <f>DATE(YEAR(OneWeekMtgRatesDataTable756[[#This Row],[asofdate]]),MONTH(OneWeekMtgRatesDataTable756[[#This Row],[asofdate]]),DAY(OneWeekMtgRatesDataTable756[[#This Row],[asofdate]]))</f>
        <v>40886</v>
      </c>
      <c r="E983" s="50" t="s">
        <v>11</v>
      </c>
      <c r="F983" s="57">
        <v>0.27655000000000002</v>
      </c>
    </row>
    <row r="984" spans="2:6">
      <c r="B984" s="50" t="s">
        <v>21</v>
      </c>
      <c r="C984" s="50" t="s">
        <v>673</v>
      </c>
      <c r="D984" s="50">
        <f>DATE(YEAR(OneWeekMtgRatesDataTable756[[#This Row],[asofdate]]),MONTH(OneWeekMtgRatesDataTable756[[#This Row],[asofdate]]),DAY(OneWeekMtgRatesDataTable756[[#This Row],[asofdate]]))</f>
        <v>40885</v>
      </c>
      <c r="E984" s="50" t="s">
        <v>11</v>
      </c>
      <c r="F984" s="57">
        <v>0.27629999999999999</v>
      </c>
    </row>
    <row r="985" spans="2:6">
      <c r="B985" s="50" t="s">
        <v>21</v>
      </c>
      <c r="C985" s="50" t="s">
        <v>672</v>
      </c>
      <c r="D985" s="50">
        <f>DATE(YEAR(OneWeekMtgRatesDataTable756[[#This Row],[asofdate]]),MONTH(OneWeekMtgRatesDataTable756[[#This Row],[asofdate]]),DAY(OneWeekMtgRatesDataTable756[[#This Row],[asofdate]]))</f>
        <v>40884</v>
      </c>
      <c r="E985" s="50" t="s">
        <v>11</v>
      </c>
      <c r="F985" s="57">
        <v>0.27629999999999999</v>
      </c>
    </row>
    <row r="986" spans="2:6">
      <c r="B986" s="50" t="s">
        <v>21</v>
      </c>
      <c r="C986" s="50" t="s">
        <v>671</v>
      </c>
      <c r="D986" s="50">
        <f>DATE(YEAR(OneWeekMtgRatesDataTable756[[#This Row],[asofdate]]),MONTH(OneWeekMtgRatesDataTable756[[#This Row],[asofdate]]),DAY(OneWeekMtgRatesDataTable756[[#This Row],[asofdate]]))</f>
        <v>40883</v>
      </c>
      <c r="E986" s="50" t="s">
        <v>11</v>
      </c>
      <c r="F986" s="57">
        <v>0.27505000000000002</v>
      </c>
    </row>
    <row r="987" spans="2:6">
      <c r="B987" s="50" t="s">
        <v>21</v>
      </c>
      <c r="C987" s="50" t="s">
        <v>670</v>
      </c>
      <c r="D987" s="50">
        <f>DATE(YEAR(OneWeekMtgRatesDataTable756[[#This Row],[asofdate]]),MONTH(OneWeekMtgRatesDataTable756[[#This Row],[asofdate]]),DAY(OneWeekMtgRatesDataTable756[[#This Row],[asofdate]]))</f>
        <v>40882</v>
      </c>
      <c r="E987" s="50" t="s">
        <v>11</v>
      </c>
      <c r="F987" s="57">
        <v>0.27410000000000001</v>
      </c>
    </row>
    <row r="988" spans="2:6">
      <c r="B988" s="50" t="s">
        <v>21</v>
      </c>
      <c r="C988" s="50" t="s">
        <v>669</v>
      </c>
      <c r="D988" s="50">
        <f>DATE(YEAR(OneWeekMtgRatesDataTable756[[#This Row],[asofdate]]),MONTH(OneWeekMtgRatesDataTable756[[#This Row],[asofdate]]),DAY(OneWeekMtgRatesDataTable756[[#This Row],[asofdate]]))</f>
        <v>40879</v>
      </c>
      <c r="E988" s="50" t="s">
        <v>11</v>
      </c>
      <c r="F988" s="57">
        <v>0.27033000000000001</v>
      </c>
    </row>
    <row r="989" spans="2:6">
      <c r="B989" s="50" t="s">
        <v>21</v>
      </c>
      <c r="C989" s="50" t="s">
        <v>668</v>
      </c>
      <c r="D989" s="50">
        <f>DATE(YEAR(OneWeekMtgRatesDataTable756[[#This Row],[asofdate]]),MONTH(OneWeekMtgRatesDataTable756[[#This Row],[asofdate]]),DAY(OneWeekMtgRatesDataTable756[[#This Row],[asofdate]]))</f>
        <v>40878</v>
      </c>
      <c r="E989" s="50" t="s">
        <v>11</v>
      </c>
      <c r="F989" s="57">
        <v>0.27144000000000001</v>
      </c>
    </row>
    <row r="990" spans="2:6">
      <c r="B990" s="50" t="s">
        <v>21</v>
      </c>
      <c r="C990" s="50" t="s">
        <v>667</v>
      </c>
      <c r="D990" s="50">
        <f>DATE(YEAR(OneWeekMtgRatesDataTable756[[#This Row],[asofdate]]),MONTH(OneWeekMtgRatesDataTable756[[#This Row],[asofdate]]),DAY(OneWeekMtgRatesDataTable756[[#This Row],[asofdate]]))</f>
        <v>40877</v>
      </c>
      <c r="E990" s="50" t="s">
        <v>11</v>
      </c>
      <c r="F990" s="57">
        <v>0.27144000000000001</v>
      </c>
    </row>
    <row r="991" spans="2:6">
      <c r="B991" s="50" t="s">
        <v>21</v>
      </c>
      <c r="C991" s="50" t="s">
        <v>666</v>
      </c>
      <c r="D991" s="50">
        <f>DATE(YEAR(OneWeekMtgRatesDataTable756[[#This Row],[asofdate]]),MONTH(OneWeekMtgRatesDataTable756[[#This Row],[asofdate]]),DAY(OneWeekMtgRatesDataTable756[[#This Row],[asofdate]]))</f>
        <v>40876</v>
      </c>
      <c r="E991" s="50" t="s">
        <v>11</v>
      </c>
      <c r="F991" s="57">
        <v>0.27022000000000002</v>
      </c>
    </row>
    <row r="992" spans="2:6">
      <c r="B992" s="50" t="s">
        <v>21</v>
      </c>
      <c r="C992" s="50" t="s">
        <v>665</v>
      </c>
      <c r="D992" s="50">
        <f>DATE(YEAR(OneWeekMtgRatesDataTable756[[#This Row],[asofdate]]),MONTH(OneWeekMtgRatesDataTable756[[#This Row],[asofdate]]),DAY(OneWeekMtgRatesDataTable756[[#This Row],[asofdate]]))</f>
        <v>40875</v>
      </c>
      <c r="E992" s="50" t="s">
        <v>11</v>
      </c>
      <c r="F992" s="57">
        <v>0.26</v>
      </c>
    </row>
    <row r="993" spans="2:6">
      <c r="B993" s="50" t="s">
        <v>21</v>
      </c>
      <c r="C993" s="50" t="s">
        <v>664</v>
      </c>
      <c r="D993" s="50">
        <f>DATE(YEAR(OneWeekMtgRatesDataTable756[[#This Row],[asofdate]]),MONTH(OneWeekMtgRatesDataTable756[[#This Row],[asofdate]]),DAY(OneWeekMtgRatesDataTable756[[#This Row],[asofdate]]))</f>
        <v>40872</v>
      </c>
      <c r="E993" s="50" t="s">
        <v>11</v>
      </c>
      <c r="F993" s="57">
        <v>0.25944</v>
      </c>
    </row>
    <row r="994" spans="2:6">
      <c r="B994" s="50" t="s">
        <v>21</v>
      </c>
      <c r="C994" s="50" t="s">
        <v>663</v>
      </c>
      <c r="D994" s="50">
        <f>DATE(YEAR(OneWeekMtgRatesDataTable756[[#This Row],[asofdate]]),MONTH(OneWeekMtgRatesDataTable756[[#This Row],[asofdate]]),DAY(OneWeekMtgRatesDataTable756[[#This Row],[asofdate]]))</f>
        <v>40870</v>
      </c>
      <c r="E994" s="50" t="s">
        <v>11</v>
      </c>
      <c r="F994" s="57">
        <v>0.25722</v>
      </c>
    </row>
    <row r="995" spans="2:6">
      <c r="B995" s="50" t="s">
        <v>21</v>
      </c>
      <c r="C995" s="50" t="s">
        <v>662</v>
      </c>
      <c r="D995" s="50">
        <f>DATE(YEAR(OneWeekMtgRatesDataTable756[[#This Row],[asofdate]]),MONTH(OneWeekMtgRatesDataTable756[[#This Row],[asofdate]]),DAY(OneWeekMtgRatesDataTable756[[#This Row],[asofdate]]))</f>
        <v>40869</v>
      </c>
      <c r="E995" s="50" t="s">
        <v>11</v>
      </c>
      <c r="F995" s="57">
        <v>0.25722</v>
      </c>
    </row>
    <row r="996" spans="2:6">
      <c r="B996" s="50" t="s">
        <v>21</v>
      </c>
      <c r="C996" s="50" t="s">
        <v>661</v>
      </c>
      <c r="D996" s="50">
        <f>DATE(YEAR(OneWeekMtgRatesDataTable756[[#This Row],[asofdate]]),MONTH(OneWeekMtgRatesDataTable756[[#This Row],[asofdate]]),DAY(OneWeekMtgRatesDataTable756[[#This Row],[asofdate]]))</f>
        <v>40868</v>
      </c>
      <c r="E996" s="50" t="s">
        <v>11</v>
      </c>
      <c r="F996" s="57">
        <v>0.25667000000000001</v>
      </c>
    </row>
    <row r="997" spans="2:6">
      <c r="B997" s="50" t="s">
        <v>21</v>
      </c>
      <c r="C997" s="50" t="s">
        <v>660</v>
      </c>
      <c r="D997" s="50">
        <f>DATE(YEAR(OneWeekMtgRatesDataTable756[[#This Row],[asofdate]]),MONTH(OneWeekMtgRatesDataTable756[[#This Row],[asofdate]]),DAY(OneWeekMtgRatesDataTable756[[#This Row],[asofdate]]))</f>
        <v>40865</v>
      </c>
      <c r="E997" s="50" t="s">
        <v>11</v>
      </c>
      <c r="F997" s="57">
        <v>0.25656000000000001</v>
      </c>
    </row>
    <row r="998" spans="2:6">
      <c r="B998" s="50" t="s">
        <v>21</v>
      </c>
      <c r="C998" s="50" t="s">
        <v>659</v>
      </c>
      <c r="D998" s="50">
        <f>DATE(YEAR(OneWeekMtgRatesDataTable756[[#This Row],[asofdate]]),MONTH(OneWeekMtgRatesDataTable756[[#This Row],[asofdate]]),DAY(OneWeekMtgRatesDataTable756[[#This Row],[asofdate]]))</f>
        <v>40864</v>
      </c>
      <c r="E998" s="50" t="s">
        <v>11</v>
      </c>
      <c r="F998" s="57">
        <v>0.25478000000000001</v>
      </c>
    </row>
    <row r="999" spans="2:6">
      <c r="B999" s="50" t="s">
        <v>21</v>
      </c>
      <c r="C999" s="50" t="s">
        <v>658</v>
      </c>
      <c r="D999" s="50">
        <f>DATE(YEAR(OneWeekMtgRatesDataTable756[[#This Row],[asofdate]]),MONTH(OneWeekMtgRatesDataTable756[[#This Row],[asofdate]]),DAY(OneWeekMtgRatesDataTable756[[#This Row],[asofdate]]))</f>
        <v>40863</v>
      </c>
      <c r="E999" s="50" t="s">
        <v>11</v>
      </c>
      <c r="F999" s="57">
        <v>0.25172</v>
      </c>
    </row>
    <row r="1000" spans="2:6">
      <c r="B1000" s="50" t="s">
        <v>21</v>
      </c>
      <c r="C1000" s="50" t="s">
        <v>657</v>
      </c>
      <c r="D1000" s="50">
        <f>DATE(YEAR(OneWeekMtgRatesDataTable756[[#This Row],[asofdate]]),MONTH(OneWeekMtgRatesDataTable756[[#This Row],[asofdate]]),DAY(OneWeekMtgRatesDataTable756[[#This Row],[asofdate]]))</f>
        <v>40862</v>
      </c>
      <c r="E1000" s="50" t="s">
        <v>11</v>
      </c>
      <c r="F1000" s="57">
        <v>0.25172</v>
      </c>
    </row>
    <row r="1001" spans="2:6">
      <c r="B1001" s="50" t="s">
        <v>21</v>
      </c>
      <c r="C1001" s="50" t="s">
        <v>656</v>
      </c>
      <c r="D1001" s="50">
        <f>DATE(YEAR(OneWeekMtgRatesDataTable756[[#This Row],[asofdate]]),MONTH(OneWeekMtgRatesDataTable756[[#This Row],[asofdate]]),DAY(OneWeekMtgRatesDataTable756[[#This Row],[asofdate]]))</f>
        <v>40861</v>
      </c>
      <c r="E1001" s="50" t="s">
        <v>11</v>
      </c>
      <c r="F1001" s="57">
        <v>0.25022</v>
      </c>
    </row>
    <row r="1002" spans="2:6">
      <c r="B1002" s="50" t="s">
        <v>21</v>
      </c>
      <c r="C1002" s="50" t="s">
        <v>655</v>
      </c>
      <c r="D1002" s="50">
        <f>DATE(YEAR(OneWeekMtgRatesDataTable756[[#This Row],[asofdate]]),MONTH(OneWeekMtgRatesDataTable756[[#This Row],[asofdate]]),DAY(OneWeekMtgRatesDataTable756[[#This Row],[asofdate]]))</f>
        <v>40857</v>
      </c>
      <c r="E1002" s="50" t="s">
        <v>11</v>
      </c>
      <c r="F1002" s="57">
        <v>0.24789</v>
      </c>
    </row>
    <row r="1003" spans="2:6">
      <c r="B1003" s="50" t="s">
        <v>21</v>
      </c>
      <c r="C1003" s="50" t="s">
        <v>654</v>
      </c>
      <c r="D1003" s="50">
        <f>DATE(YEAR(OneWeekMtgRatesDataTable756[[#This Row],[asofdate]]),MONTH(OneWeekMtgRatesDataTable756[[#This Row],[asofdate]]),DAY(OneWeekMtgRatesDataTable756[[#This Row],[asofdate]]))</f>
        <v>40856</v>
      </c>
      <c r="E1003" s="50" t="s">
        <v>11</v>
      </c>
      <c r="F1003" s="57">
        <v>0.24778</v>
      </c>
    </row>
    <row r="1004" spans="2:6">
      <c r="B1004" s="50" t="s">
        <v>21</v>
      </c>
      <c r="C1004" s="50" t="s">
        <v>653</v>
      </c>
      <c r="D1004" s="50">
        <f>DATE(YEAR(OneWeekMtgRatesDataTable756[[#This Row],[asofdate]]),MONTH(OneWeekMtgRatesDataTable756[[#This Row],[asofdate]]),DAY(OneWeekMtgRatesDataTable756[[#This Row],[asofdate]]))</f>
        <v>40855</v>
      </c>
      <c r="E1004" s="50" t="s">
        <v>11</v>
      </c>
      <c r="F1004" s="57">
        <v>0.24778</v>
      </c>
    </row>
    <row r="1005" spans="2:6">
      <c r="B1005" s="50" t="s">
        <v>21</v>
      </c>
      <c r="C1005" s="50" t="s">
        <v>652</v>
      </c>
      <c r="D1005" s="50">
        <f>DATE(YEAR(OneWeekMtgRatesDataTable756[[#This Row],[asofdate]]),MONTH(OneWeekMtgRatesDataTable756[[#This Row],[asofdate]]),DAY(OneWeekMtgRatesDataTable756[[#This Row],[asofdate]]))</f>
        <v>40854</v>
      </c>
      <c r="E1005" s="50" t="s">
        <v>11</v>
      </c>
      <c r="F1005" s="57">
        <v>0.24778</v>
      </c>
    </row>
    <row r="1006" spans="2:6">
      <c r="B1006" s="50" t="s">
        <v>21</v>
      </c>
      <c r="C1006" s="50" t="s">
        <v>651</v>
      </c>
      <c r="D1006" s="50">
        <f>DATE(YEAR(OneWeekMtgRatesDataTable756[[#This Row],[asofdate]]),MONTH(OneWeekMtgRatesDataTable756[[#This Row],[asofdate]]),DAY(OneWeekMtgRatesDataTable756[[#This Row],[asofdate]]))</f>
        <v>40851</v>
      </c>
      <c r="E1006" s="50" t="s">
        <v>11</v>
      </c>
      <c r="F1006" s="57">
        <v>0.2475</v>
      </c>
    </row>
    <row r="1007" spans="2:6">
      <c r="B1007" s="50" t="s">
        <v>21</v>
      </c>
      <c r="C1007" s="50" t="s">
        <v>650</v>
      </c>
      <c r="D1007" s="50">
        <f>DATE(YEAR(OneWeekMtgRatesDataTable756[[#This Row],[asofdate]]),MONTH(OneWeekMtgRatesDataTable756[[#This Row],[asofdate]]),DAY(OneWeekMtgRatesDataTable756[[#This Row],[asofdate]]))</f>
        <v>40850</v>
      </c>
      <c r="E1007" s="50" t="s">
        <v>11</v>
      </c>
      <c r="F1007" s="57">
        <v>0.2475</v>
      </c>
    </row>
    <row r="1008" spans="2:6">
      <c r="B1008" s="50" t="s">
        <v>21</v>
      </c>
      <c r="C1008" s="50" t="s">
        <v>649</v>
      </c>
      <c r="D1008" s="50">
        <f>DATE(YEAR(OneWeekMtgRatesDataTable756[[#This Row],[asofdate]]),MONTH(OneWeekMtgRatesDataTable756[[#This Row],[asofdate]]),DAY(OneWeekMtgRatesDataTable756[[#This Row],[asofdate]]))</f>
        <v>40849</v>
      </c>
      <c r="E1008" s="50" t="s">
        <v>11</v>
      </c>
      <c r="F1008" s="57">
        <v>0.24528</v>
      </c>
    </row>
    <row r="1009" spans="2:6">
      <c r="B1009" s="50" t="s">
        <v>21</v>
      </c>
      <c r="C1009" s="50" t="s">
        <v>648</v>
      </c>
      <c r="D1009" s="50">
        <f>DATE(YEAR(OneWeekMtgRatesDataTable756[[#This Row],[asofdate]]),MONTH(OneWeekMtgRatesDataTable756[[#This Row],[asofdate]]),DAY(OneWeekMtgRatesDataTable756[[#This Row],[asofdate]]))</f>
        <v>40848</v>
      </c>
      <c r="E1009" s="50" t="s">
        <v>11</v>
      </c>
      <c r="F1009" s="57">
        <v>0.24528</v>
      </c>
    </row>
    <row r="1010" spans="2:6">
      <c r="B1010" s="50" t="s">
        <v>21</v>
      </c>
      <c r="C1010" s="50" t="s">
        <v>647</v>
      </c>
      <c r="D1010" s="50">
        <f>DATE(YEAR(OneWeekMtgRatesDataTable756[[#This Row],[asofdate]]),MONTH(OneWeekMtgRatesDataTable756[[#This Row],[asofdate]]),DAY(OneWeekMtgRatesDataTable756[[#This Row],[asofdate]]))</f>
        <v>40847</v>
      </c>
      <c r="E1010" s="50" t="s">
        <v>11</v>
      </c>
      <c r="F1010" s="57">
        <v>0.24528</v>
      </c>
    </row>
    <row r="1011" spans="2:6">
      <c r="B1011" s="50" t="s">
        <v>21</v>
      </c>
      <c r="C1011" s="50" t="s">
        <v>646</v>
      </c>
      <c r="D1011" s="50">
        <f>DATE(YEAR(OneWeekMtgRatesDataTable756[[#This Row],[asofdate]]),MONTH(OneWeekMtgRatesDataTable756[[#This Row],[asofdate]]),DAY(OneWeekMtgRatesDataTable756[[#This Row],[asofdate]]))</f>
        <v>40844</v>
      </c>
      <c r="E1011" s="50" t="s">
        <v>11</v>
      </c>
      <c r="F1011" s="57">
        <v>0.24582999999999999</v>
      </c>
    </row>
    <row r="1012" spans="2:6">
      <c r="B1012" s="50" t="s">
        <v>21</v>
      </c>
      <c r="C1012" s="50" t="s">
        <v>645</v>
      </c>
      <c r="D1012" s="50">
        <f>DATE(YEAR(OneWeekMtgRatesDataTable756[[#This Row],[asofdate]]),MONTH(OneWeekMtgRatesDataTable756[[#This Row],[asofdate]]),DAY(OneWeekMtgRatesDataTable756[[#This Row],[asofdate]]))</f>
        <v>40843</v>
      </c>
      <c r="E1012" s="50" t="s">
        <v>11</v>
      </c>
      <c r="F1012" s="57">
        <v>0.24582999999999999</v>
      </c>
    </row>
    <row r="1013" spans="2:6">
      <c r="B1013" s="50" t="s">
        <v>21</v>
      </c>
      <c r="C1013" s="50" t="s">
        <v>644</v>
      </c>
      <c r="D1013" s="50">
        <f>DATE(YEAR(OneWeekMtgRatesDataTable756[[#This Row],[asofdate]]),MONTH(OneWeekMtgRatesDataTable756[[#This Row],[asofdate]]),DAY(OneWeekMtgRatesDataTable756[[#This Row],[asofdate]]))</f>
        <v>40842</v>
      </c>
      <c r="E1013" s="50" t="s">
        <v>11</v>
      </c>
      <c r="F1013" s="57">
        <v>0.24582999999999999</v>
      </c>
    </row>
    <row r="1014" spans="2:6">
      <c r="B1014" s="50" t="s">
        <v>21</v>
      </c>
      <c r="C1014" s="50" t="s">
        <v>643</v>
      </c>
      <c r="D1014" s="50">
        <f>DATE(YEAR(OneWeekMtgRatesDataTable756[[#This Row],[asofdate]]),MONTH(OneWeekMtgRatesDataTable756[[#This Row],[asofdate]]),DAY(OneWeekMtgRatesDataTable756[[#This Row],[asofdate]]))</f>
        <v>40841</v>
      </c>
      <c r="E1014" s="50" t="s">
        <v>11</v>
      </c>
      <c r="F1014" s="57">
        <v>0.24471999999999999</v>
      </c>
    </row>
    <row r="1015" spans="2:6">
      <c r="B1015" s="50" t="s">
        <v>21</v>
      </c>
      <c r="C1015" s="50" t="s">
        <v>642</v>
      </c>
      <c r="D1015" s="50">
        <f>DATE(YEAR(OneWeekMtgRatesDataTable756[[#This Row],[asofdate]]),MONTH(OneWeekMtgRatesDataTable756[[#This Row],[asofdate]]),DAY(OneWeekMtgRatesDataTable756[[#This Row],[asofdate]]))</f>
        <v>40840</v>
      </c>
      <c r="E1015" s="50" t="s">
        <v>11</v>
      </c>
      <c r="F1015" s="57">
        <v>0.24471999999999999</v>
      </c>
    </row>
    <row r="1016" spans="2:6">
      <c r="B1016" s="50" t="s">
        <v>21</v>
      </c>
      <c r="C1016" s="50" t="s">
        <v>641</v>
      </c>
      <c r="D1016" s="50">
        <f>DATE(YEAR(OneWeekMtgRatesDataTable756[[#This Row],[asofdate]]),MONTH(OneWeekMtgRatesDataTable756[[#This Row],[asofdate]]),DAY(OneWeekMtgRatesDataTable756[[#This Row],[asofdate]]))</f>
        <v>40837</v>
      </c>
      <c r="E1016" s="50" t="s">
        <v>11</v>
      </c>
      <c r="F1016" s="57">
        <v>0.24471999999999999</v>
      </c>
    </row>
    <row r="1017" spans="2:6">
      <c r="B1017" s="50" t="s">
        <v>21</v>
      </c>
      <c r="C1017" s="50" t="s">
        <v>640</v>
      </c>
      <c r="D1017" s="50">
        <f>DATE(YEAR(OneWeekMtgRatesDataTable756[[#This Row],[asofdate]]),MONTH(OneWeekMtgRatesDataTable756[[#This Row],[asofdate]]),DAY(OneWeekMtgRatesDataTable756[[#This Row],[asofdate]]))</f>
        <v>40836</v>
      </c>
      <c r="E1017" s="50" t="s">
        <v>11</v>
      </c>
      <c r="F1017" s="57">
        <v>0.24471999999999999</v>
      </c>
    </row>
    <row r="1018" spans="2:6">
      <c r="B1018" s="50" t="s">
        <v>21</v>
      </c>
      <c r="C1018" s="50" t="s">
        <v>639</v>
      </c>
      <c r="D1018" s="50">
        <f>DATE(YEAR(OneWeekMtgRatesDataTable756[[#This Row],[asofdate]]),MONTH(OneWeekMtgRatesDataTable756[[#This Row],[asofdate]]),DAY(OneWeekMtgRatesDataTable756[[#This Row],[asofdate]]))</f>
        <v>40835</v>
      </c>
      <c r="E1018" s="50" t="s">
        <v>11</v>
      </c>
      <c r="F1018" s="57">
        <v>0.24471999999999999</v>
      </c>
    </row>
    <row r="1019" spans="2:6">
      <c r="B1019" s="50" t="s">
        <v>21</v>
      </c>
      <c r="C1019" s="50" t="s">
        <v>638</v>
      </c>
      <c r="D1019" s="50">
        <f>DATE(YEAR(OneWeekMtgRatesDataTable756[[#This Row],[asofdate]]),MONTH(OneWeekMtgRatesDataTable756[[#This Row],[asofdate]]),DAY(OneWeekMtgRatesDataTable756[[#This Row],[asofdate]]))</f>
        <v>40834</v>
      </c>
      <c r="E1019" s="50" t="s">
        <v>11</v>
      </c>
      <c r="F1019" s="57">
        <v>0.24471999999999999</v>
      </c>
    </row>
    <row r="1020" spans="2:6">
      <c r="B1020" s="50" t="s">
        <v>21</v>
      </c>
      <c r="C1020" s="50" t="s">
        <v>637</v>
      </c>
      <c r="D1020" s="50">
        <f>DATE(YEAR(OneWeekMtgRatesDataTable756[[#This Row],[asofdate]]),MONTH(OneWeekMtgRatesDataTable756[[#This Row],[asofdate]]),DAY(OneWeekMtgRatesDataTable756[[#This Row],[asofdate]]))</f>
        <v>40833</v>
      </c>
      <c r="E1020" s="50" t="s">
        <v>11</v>
      </c>
      <c r="F1020" s="57">
        <v>0.24443999999999999</v>
      </c>
    </row>
    <row r="1021" spans="2:6">
      <c r="B1021" s="50" t="s">
        <v>21</v>
      </c>
      <c r="C1021" s="50" t="s">
        <v>636</v>
      </c>
      <c r="D1021" s="50">
        <f>DATE(YEAR(OneWeekMtgRatesDataTable756[[#This Row],[asofdate]]),MONTH(OneWeekMtgRatesDataTable756[[#This Row],[asofdate]]),DAY(OneWeekMtgRatesDataTable756[[#This Row],[asofdate]]))</f>
        <v>40830</v>
      </c>
      <c r="E1021" s="50" t="s">
        <v>11</v>
      </c>
      <c r="F1021" s="57">
        <v>0.24332999999999999</v>
      </c>
    </row>
    <row r="1022" spans="2:6">
      <c r="B1022" s="50" t="s">
        <v>21</v>
      </c>
      <c r="C1022" s="50" t="s">
        <v>635</v>
      </c>
      <c r="D1022" s="50">
        <f>DATE(YEAR(OneWeekMtgRatesDataTable756[[#This Row],[asofdate]]),MONTH(OneWeekMtgRatesDataTable756[[#This Row],[asofdate]]),DAY(OneWeekMtgRatesDataTable756[[#This Row],[asofdate]]))</f>
        <v>40829</v>
      </c>
      <c r="E1022" s="50" t="s">
        <v>11</v>
      </c>
      <c r="F1022" s="57">
        <v>0.24332999999999999</v>
      </c>
    </row>
    <row r="1023" spans="2:6">
      <c r="B1023" s="50" t="s">
        <v>21</v>
      </c>
      <c r="C1023" s="50" t="s">
        <v>634</v>
      </c>
      <c r="D1023" s="50">
        <f>DATE(YEAR(OneWeekMtgRatesDataTable756[[#This Row],[asofdate]]),MONTH(OneWeekMtgRatesDataTable756[[#This Row],[asofdate]]),DAY(OneWeekMtgRatesDataTable756[[#This Row],[asofdate]]))</f>
        <v>40828</v>
      </c>
      <c r="E1023" s="50" t="s">
        <v>11</v>
      </c>
      <c r="F1023" s="57">
        <v>0.24321999999999999</v>
      </c>
    </row>
    <row r="1024" spans="2:6">
      <c r="B1024" s="50" t="s">
        <v>21</v>
      </c>
      <c r="C1024" s="50" t="s">
        <v>633</v>
      </c>
      <c r="D1024" s="50">
        <f>DATE(YEAR(OneWeekMtgRatesDataTable756[[#This Row],[asofdate]]),MONTH(OneWeekMtgRatesDataTable756[[#This Row],[asofdate]]),DAY(OneWeekMtgRatesDataTable756[[#This Row],[asofdate]]))</f>
        <v>40827</v>
      </c>
      <c r="E1024" s="50" t="s">
        <v>11</v>
      </c>
      <c r="F1024" s="57">
        <v>0.24310999999999999</v>
      </c>
    </row>
    <row r="1025" spans="2:6">
      <c r="B1025" s="50" t="s">
        <v>21</v>
      </c>
      <c r="C1025" s="50" t="s">
        <v>632</v>
      </c>
      <c r="D1025" s="50">
        <f>DATE(YEAR(OneWeekMtgRatesDataTable756[[#This Row],[asofdate]]),MONTH(OneWeekMtgRatesDataTable756[[#This Row],[asofdate]]),DAY(OneWeekMtgRatesDataTable756[[#This Row],[asofdate]]))</f>
        <v>40823</v>
      </c>
      <c r="E1025" s="50" t="s">
        <v>11</v>
      </c>
      <c r="F1025" s="57">
        <v>0.24288999999999999</v>
      </c>
    </row>
    <row r="1026" spans="2:6">
      <c r="B1026" s="50" t="s">
        <v>21</v>
      </c>
      <c r="C1026" s="50" t="s">
        <v>631</v>
      </c>
      <c r="D1026" s="50">
        <f>DATE(YEAR(OneWeekMtgRatesDataTable756[[#This Row],[asofdate]]),MONTH(OneWeekMtgRatesDataTable756[[#This Row],[asofdate]]),DAY(OneWeekMtgRatesDataTable756[[#This Row],[asofdate]]))</f>
        <v>40822</v>
      </c>
      <c r="E1026" s="50" t="s">
        <v>11</v>
      </c>
      <c r="F1026" s="57">
        <v>0.24232999999999999</v>
      </c>
    </row>
    <row r="1027" spans="2:6">
      <c r="B1027" s="50" t="s">
        <v>21</v>
      </c>
      <c r="C1027" s="50" t="s">
        <v>630</v>
      </c>
      <c r="D1027" s="50">
        <f>DATE(YEAR(OneWeekMtgRatesDataTable756[[#This Row],[asofdate]]),MONTH(OneWeekMtgRatesDataTable756[[#This Row],[asofdate]]),DAY(OneWeekMtgRatesDataTable756[[#This Row],[asofdate]]))</f>
        <v>40821</v>
      </c>
      <c r="E1027" s="50" t="s">
        <v>11</v>
      </c>
      <c r="F1027" s="57">
        <v>0.24067</v>
      </c>
    </row>
    <row r="1028" spans="2:6">
      <c r="B1028" s="50" t="s">
        <v>21</v>
      </c>
      <c r="C1028" s="50" t="s">
        <v>629</v>
      </c>
      <c r="D1028" s="50">
        <f>DATE(YEAR(OneWeekMtgRatesDataTable756[[#This Row],[asofdate]]),MONTH(OneWeekMtgRatesDataTable756[[#This Row],[asofdate]]),DAY(OneWeekMtgRatesDataTable756[[#This Row],[asofdate]]))</f>
        <v>40820</v>
      </c>
      <c r="E1028" s="50" t="s">
        <v>11</v>
      </c>
      <c r="F1028" s="57">
        <v>0.24110999999999999</v>
      </c>
    </row>
    <row r="1029" spans="2:6">
      <c r="B1029" s="50" t="s">
        <v>21</v>
      </c>
      <c r="C1029" s="50" t="s">
        <v>628</v>
      </c>
      <c r="D1029" s="50">
        <f>DATE(YEAR(OneWeekMtgRatesDataTable756[[#This Row],[asofdate]]),MONTH(OneWeekMtgRatesDataTable756[[#This Row],[asofdate]]),DAY(OneWeekMtgRatesDataTable756[[#This Row],[asofdate]]))</f>
        <v>40819</v>
      </c>
      <c r="E1029" s="50" t="s">
        <v>11</v>
      </c>
      <c r="F1029" s="57">
        <v>0.24</v>
      </c>
    </row>
    <row r="1030" spans="2:6">
      <c r="B1030" s="50" t="s">
        <v>21</v>
      </c>
      <c r="C1030" s="50" t="s">
        <v>627</v>
      </c>
      <c r="D1030" s="50">
        <f>DATE(YEAR(OneWeekMtgRatesDataTable756[[#This Row],[asofdate]]),MONTH(OneWeekMtgRatesDataTable756[[#This Row],[asofdate]]),DAY(OneWeekMtgRatesDataTable756[[#This Row],[asofdate]]))</f>
        <v>40816</v>
      </c>
      <c r="E1030" s="50" t="s">
        <v>11</v>
      </c>
      <c r="F1030" s="57">
        <v>0.23943999999999999</v>
      </c>
    </row>
    <row r="1031" spans="2:6">
      <c r="B1031" s="50" t="s">
        <v>21</v>
      </c>
      <c r="C1031" s="50" t="s">
        <v>626</v>
      </c>
      <c r="D1031" s="50">
        <f>DATE(YEAR(OneWeekMtgRatesDataTable756[[#This Row],[asofdate]]),MONTH(OneWeekMtgRatesDataTable756[[#This Row],[asofdate]]),DAY(OneWeekMtgRatesDataTable756[[#This Row],[asofdate]]))</f>
        <v>40815</v>
      </c>
      <c r="E1031" s="50" t="s">
        <v>11</v>
      </c>
      <c r="F1031" s="57">
        <v>0.23943999999999999</v>
      </c>
    </row>
    <row r="1032" spans="2:6">
      <c r="B1032" s="50" t="s">
        <v>21</v>
      </c>
      <c r="C1032" s="50" t="s">
        <v>625</v>
      </c>
      <c r="D1032" s="50">
        <f>DATE(YEAR(OneWeekMtgRatesDataTable756[[#This Row],[asofdate]]),MONTH(OneWeekMtgRatesDataTable756[[#This Row],[asofdate]]),DAY(OneWeekMtgRatesDataTable756[[#This Row],[asofdate]]))</f>
        <v>40814</v>
      </c>
      <c r="E1032" s="50" t="s">
        <v>11</v>
      </c>
      <c r="F1032" s="57">
        <v>0.23888999999999999</v>
      </c>
    </row>
    <row r="1033" spans="2:6">
      <c r="B1033" s="50" t="s">
        <v>21</v>
      </c>
      <c r="C1033" s="50" t="s">
        <v>624</v>
      </c>
      <c r="D1033" s="50">
        <f>DATE(YEAR(OneWeekMtgRatesDataTable756[[#This Row],[asofdate]]),MONTH(OneWeekMtgRatesDataTable756[[#This Row],[asofdate]]),DAY(OneWeekMtgRatesDataTable756[[#This Row],[asofdate]]))</f>
        <v>40813</v>
      </c>
      <c r="E1033" s="50" t="s">
        <v>11</v>
      </c>
      <c r="F1033" s="57">
        <v>0.23877999999999999</v>
      </c>
    </row>
    <row r="1034" spans="2:6">
      <c r="B1034" s="50" t="s">
        <v>21</v>
      </c>
      <c r="C1034" s="50" t="s">
        <v>623</v>
      </c>
      <c r="D1034" s="50">
        <f>DATE(YEAR(OneWeekMtgRatesDataTable756[[#This Row],[asofdate]]),MONTH(OneWeekMtgRatesDataTable756[[#This Row],[asofdate]]),DAY(OneWeekMtgRatesDataTable756[[#This Row],[asofdate]]))</f>
        <v>40812</v>
      </c>
      <c r="E1034" s="50" t="s">
        <v>11</v>
      </c>
      <c r="F1034" s="57">
        <v>0.23744000000000001</v>
      </c>
    </row>
    <row r="1035" spans="2:6">
      <c r="B1035" s="50" t="s">
        <v>21</v>
      </c>
      <c r="C1035" s="50" t="s">
        <v>622</v>
      </c>
      <c r="D1035" s="50">
        <f>DATE(YEAR(OneWeekMtgRatesDataTable756[[#This Row],[asofdate]]),MONTH(OneWeekMtgRatesDataTable756[[#This Row],[asofdate]]),DAY(OneWeekMtgRatesDataTable756[[#This Row],[asofdate]]))</f>
        <v>40809</v>
      </c>
      <c r="E1035" s="50" t="s">
        <v>11</v>
      </c>
      <c r="F1035" s="57">
        <v>0.23577999999999999</v>
      </c>
    </row>
    <row r="1036" spans="2:6">
      <c r="B1036" s="50" t="s">
        <v>21</v>
      </c>
      <c r="C1036" s="50" t="s">
        <v>621</v>
      </c>
      <c r="D1036" s="50">
        <f>DATE(YEAR(OneWeekMtgRatesDataTable756[[#This Row],[asofdate]]),MONTH(OneWeekMtgRatesDataTable756[[#This Row],[asofdate]]),DAY(OneWeekMtgRatesDataTable756[[#This Row],[asofdate]]))</f>
        <v>40808</v>
      </c>
      <c r="E1036" s="50" t="s">
        <v>11</v>
      </c>
      <c r="F1036" s="57">
        <v>0.23455999999999999</v>
      </c>
    </row>
    <row r="1037" spans="2:6">
      <c r="B1037" s="50" t="s">
        <v>21</v>
      </c>
      <c r="C1037" s="50" t="s">
        <v>620</v>
      </c>
      <c r="D1037" s="50">
        <f>DATE(YEAR(OneWeekMtgRatesDataTable756[[#This Row],[asofdate]]),MONTH(OneWeekMtgRatesDataTable756[[#This Row],[asofdate]]),DAY(OneWeekMtgRatesDataTable756[[#This Row],[asofdate]]))</f>
        <v>40807</v>
      </c>
      <c r="E1037" s="50" t="s">
        <v>11</v>
      </c>
      <c r="F1037" s="57">
        <v>0.23350000000000001</v>
      </c>
    </row>
    <row r="1038" spans="2:6">
      <c r="B1038" s="50" t="s">
        <v>21</v>
      </c>
      <c r="C1038" s="50" t="s">
        <v>619</v>
      </c>
      <c r="D1038" s="50">
        <f>DATE(YEAR(OneWeekMtgRatesDataTable756[[#This Row],[asofdate]]),MONTH(OneWeekMtgRatesDataTable756[[#This Row],[asofdate]]),DAY(OneWeekMtgRatesDataTable756[[#This Row],[asofdate]]))</f>
        <v>40806</v>
      </c>
      <c r="E1038" s="50" t="s">
        <v>11</v>
      </c>
      <c r="F1038" s="57">
        <v>0.23183000000000001</v>
      </c>
    </row>
    <row r="1039" spans="2:6">
      <c r="B1039" s="50" t="s">
        <v>21</v>
      </c>
      <c r="C1039" s="50" t="s">
        <v>618</v>
      </c>
      <c r="D1039" s="50">
        <f>DATE(YEAR(OneWeekMtgRatesDataTable756[[#This Row],[asofdate]]),MONTH(OneWeekMtgRatesDataTable756[[#This Row],[asofdate]]),DAY(OneWeekMtgRatesDataTable756[[#This Row],[asofdate]]))</f>
        <v>40805</v>
      </c>
      <c r="E1039" s="50" t="s">
        <v>11</v>
      </c>
      <c r="F1039" s="57">
        <v>0.23072000000000001</v>
      </c>
    </row>
    <row r="1040" spans="2:6">
      <c r="B1040" s="50" t="s">
        <v>21</v>
      </c>
      <c r="C1040" s="50" t="s">
        <v>617</v>
      </c>
      <c r="D1040" s="50">
        <f>DATE(YEAR(OneWeekMtgRatesDataTable756[[#This Row],[asofdate]]),MONTH(OneWeekMtgRatesDataTable756[[#This Row],[asofdate]]),DAY(OneWeekMtgRatesDataTable756[[#This Row],[asofdate]]))</f>
        <v>40802</v>
      </c>
      <c r="E1040" s="50" t="s">
        <v>11</v>
      </c>
      <c r="F1040" s="57">
        <v>0.23050000000000001</v>
      </c>
    </row>
    <row r="1041" spans="2:6">
      <c r="B1041" s="50" t="s">
        <v>21</v>
      </c>
      <c r="C1041" s="50" t="s">
        <v>616</v>
      </c>
      <c r="D1041" s="50">
        <f>DATE(YEAR(OneWeekMtgRatesDataTable756[[#This Row],[asofdate]]),MONTH(OneWeekMtgRatesDataTable756[[#This Row],[asofdate]]),DAY(OneWeekMtgRatesDataTable756[[#This Row],[asofdate]]))</f>
        <v>40801</v>
      </c>
      <c r="E1041" s="50" t="s">
        <v>11</v>
      </c>
      <c r="F1041" s="57">
        <v>0.22994000000000001</v>
      </c>
    </row>
    <row r="1042" spans="2:6">
      <c r="B1042" s="50" t="s">
        <v>21</v>
      </c>
      <c r="C1042" s="50" t="s">
        <v>615</v>
      </c>
      <c r="D1042" s="50">
        <f>DATE(YEAR(OneWeekMtgRatesDataTable756[[#This Row],[asofdate]]),MONTH(OneWeekMtgRatesDataTable756[[#This Row],[asofdate]]),DAY(OneWeekMtgRatesDataTable756[[#This Row],[asofdate]]))</f>
        <v>40800</v>
      </c>
      <c r="E1042" s="50" t="s">
        <v>11</v>
      </c>
      <c r="F1042" s="57">
        <v>0.22939000000000001</v>
      </c>
    </row>
    <row r="1043" spans="2:6">
      <c r="B1043" s="50" t="s">
        <v>21</v>
      </c>
      <c r="C1043" s="50" t="s">
        <v>614</v>
      </c>
      <c r="D1043" s="50">
        <f>DATE(YEAR(OneWeekMtgRatesDataTable756[[#This Row],[asofdate]]),MONTH(OneWeekMtgRatesDataTable756[[#This Row],[asofdate]]),DAY(OneWeekMtgRatesDataTable756[[#This Row],[asofdate]]))</f>
        <v>40799</v>
      </c>
      <c r="E1043" s="50" t="s">
        <v>11</v>
      </c>
      <c r="F1043" s="57">
        <v>0.22900000000000001</v>
      </c>
    </row>
    <row r="1044" spans="2:6">
      <c r="B1044" s="50" t="s">
        <v>21</v>
      </c>
      <c r="C1044" s="50" t="s">
        <v>613</v>
      </c>
      <c r="D1044" s="50">
        <f>DATE(YEAR(OneWeekMtgRatesDataTable756[[#This Row],[asofdate]]),MONTH(OneWeekMtgRatesDataTable756[[#This Row],[asofdate]]),DAY(OneWeekMtgRatesDataTable756[[#This Row],[asofdate]]))</f>
        <v>40798</v>
      </c>
      <c r="E1044" s="50" t="s">
        <v>11</v>
      </c>
      <c r="F1044" s="57">
        <v>0.22861000000000001</v>
      </c>
    </row>
    <row r="1045" spans="2:6">
      <c r="B1045" s="50" t="s">
        <v>21</v>
      </c>
      <c r="C1045" s="50" t="s">
        <v>612</v>
      </c>
      <c r="D1045" s="50">
        <f>DATE(YEAR(OneWeekMtgRatesDataTable756[[#This Row],[asofdate]]),MONTH(OneWeekMtgRatesDataTable756[[#This Row],[asofdate]]),DAY(OneWeekMtgRatesDataTable756[[#This Row],[asofdate]]))</f>
        <v>40795</v>
      </c>
      <c r="E1045" s="50" t="s">
        <v>11</v>
      </c>
      <c r="F1045" s="57">
        <v>0.22611000000000001</v>
      </c>
    </row>
    <row r="1046" spans="2:6">
      <c r="B1046" s="50" t="s">
        <v>21</v>
      </c>
      <c r="C1046" s="50" t="s">
        <v>611</v>
      </c>
      <c r="D1046" s="50">
        <f>DATE(YEAR(OneWeekMtgRatesDataTable756[[#This Row],[asofdate]]),MONTH(OneWeekMtgRatesDataTable756[[#This Row],[asofdate]]),DAY(OneWeekMtgRatesDataTable756[[#This Row],[asofdate]]))</f>
        <v>40794</v>
      </c>
      <c r="E1046" s="50" t="s">
        <v>11</v>
      </c>
      <c r="F1046" s="57">
        <v>0.22500000000000001</v>
      </c>
    </row>
    <row r="1047" spans="2:6">
      <c r="B1047" s="50" t="s">
        <v>21</v>
      </c>
      <c r="C1047" s="50" t="s">
        <v>610</v>
      </c>
      <c r="D1047" s="50">
        <f>DATE(YEAR(OneWeekMtgRatesDataTable756[[#This Row],[asofdate]]),MONTH(OneWeekMtgRatesDataTable756[[#This Row],[asofdate]]),DAY(OneWeekMtgRatesDataTable756[[#This Row],[asofdate]]))</f>
        <v>40793</v>
      </c>
      <c r="E1047" s="50" t="s">
        <v>11</v>
      </c>
      <c r="F1047" s="57">
        <v>0.22611000000000001</v>
      </c>
    </row>
    <row r="1048" spans="2:6">
      <c r="B1048" s="50" t="s">
        <v>21</v>
      </c>
      <c r="C1048" s="50" t="s">
        <v>609</v>
      </c>
      <c r="D1048" s="50">
        <f>DATE(YEAR(OneWeekMtgRatesDataTable756[[#This Row],[asofdate]]),MONTH(OneWeekMtgRatesDataTable756[[#This Row],[asofdate]]),DAY(OneWeekMtgRatesDataTable756[[#This Row],[asofdate]]))</f>
        <v>40792</v>
      </c>
      <c r="E1048" s="50" t="s">
        <v>11</v>
      </c>
      <c r="F1048" s="57">
        <v>0.22600000000000001</v>
      </c>
    </row>
    <row r="1049" spans="2:6">
      <c r="B1049" s="50" t="s">
        <v>21</v>
      </c>
      <c r="C1049" s="50" t="s">
        <v>608</v>
      </c>
      <c r="D1049" s="50">
        <f>DATE(YEAR(OneWeekMtgRatesDataTable756[[#This Row],[asofdate]]),MONTH(OneWeekMtgRatesDataTable756[[#This Row],[asofdate]]),DAY(OneWeekMtgRatesDataTable756[[#This Row],[asofdate]]))</f>
        <v>40788</v>
      </c>
      <c r="E1049" s="50" t="s">
        <v>11</v>
      </c>
      <c r="F1049" s="57">
        <v>0.22178</v>
      </c>
    </row>
    <row r="1050" spans="2:6">
      <c r="B1050" s="50" t="s">
        <v>21</v>
      </c>
      <c r="C1050" s="50" t="s">
        <v>607</v>
      </c>
      <c r="D1050" s="50">
        <f>DATE(YEAR(OneWeekMtgRatesDataTable756[[#This Row],[asofdate]]),MONTH(OneWeekMtgRatesDataTable756[[#This Row],[asofdate]]),DAY(OneWeekMtgRatesDataTable756[[#This Row],[asofdate]]))</f>
        <v>40787</v>
      </c>
      <c r="E1050" s="50" t="s">
        <v>11</v>
      </c>
      <c r="F1050" s="57">
        <v>0.2215</v>
      </c>
    </row>
    <row r="1051" spans="2:6">
      <c r="B1051" s="50" t="s">
        <v>21</v>
      </c>
      <c r="C1051" s="50" t="s">
        <v>606</v>
      </c>
      <c r="D1051" s="50">
        <f>DATE(YEAR(OneWeekMtgRatesDataTable756[[#This Row],[asofdate]]),MONTH(OneWeekMtgRatesDataTable756[[#This Row],[asofdate]]),DAY(OneWeekMtgRatesDataTable756[[#This Row],[asofdate]]))</f>
        <v>40786</v>
      </c>
      <c r="E1051" s="50" t="s">
        <v>11</v>
      </c>
      <c r="F1051" s="57">
        <v>0.2215</v>
      </c>
    </row>
    <row r="1052" spans="2:6">
      <c r="B1052" s="50" t="s">
        <v>21</v>
      </c>
      <c r="C1052" s="50" t="s">
        <v>605</v>
      </c>
      <c r="D1052" s="50">
        <f>DATE(YEAR(OneWeekMtgRatesDataTable756[[#This Row],[asofdate]]),MONTH(OneWeekMtgRatesDataTable756[[#This Row],[asofdate]]),DAY(OneWeekMtgRatesDataTable756[[#This Row],[asofdate]]))</f>
        <v>40785</v>
      </c>
      <c r="E1052" s="50" t="s">
        <v>11</v>
      </c>
      <c r="F1052" s="57">
        <v>0.2215</v>
      </c>
    </row>
    <row r="1053" spans="2:6">
      <c r="B1053" s="50" t="s">
        <v>21</v>
      </c>
      <c r="C1053" s="50" t="s">
        <v>604</v>
      </c>
      <c r="D1053" s="50">
        <f>DATE(YEAR(OneWeekMtgRatesDataTable756[[#This Row],[asofdate]]),MONTH(OneWeekMtgRatesDataTable756[[#This Row],[asofdate]]),DAY(OneWeekMtgRatesDataTable756[[#This Row],[asofdate]]))</f>
        <v>40784</v>
      </c>
      <c r="E1053" s="50" t="s">
        <v>11</v>
      </c>
      <c r="F1053" s="57">
        <v>0.22094</v>
      </c>
    </row>
    <row r="1054" spans="2:6">
      <c r="B1054" s="50" t="s">
        <v>21</v>
      </c>
      <c r="C1054" s="50" t="s">
        <v>603</v>
      </c>
      <c r="D1054" s="50">
        <f>DATE(YEAR(OneWeekMtgRatesDataTable756[[#This Row],[asofdate]]),MONTH(OneWeekMtgRatesDataTable756[[#This Row],[asofdate]]),DAY(OneWeekMtgRatesDataTable756[[#This Row],[asofdate]]))</f>
        <v>40781</v>
      </c>
      <c r="E1054" s="50" t="s">
        <v>11</v>
      </c>
      <c r="F1054" s="57">
        <v>0.22094</v>
      </c>
    </row>
    <row r="1055" spans="2:6">
      <c r="B1055" s="50" t="s">
        <v>21</v>
      </c>
      <c r="C1055" s="50" t="s">
        <v>602</v>
      </c>
      <c r="D1055" s="50">
        <f>DATE(YEAR(OneWeekMtgRatesDataTable756[[#This Row],[asofdate]]),MONTH(OneWeekMtgRatesDataTable756[[#This Row],[asofdate]]),DAY(OneWeekMtgRatesDataTable756[[#This Row],[asofdate]]))</f>
        <v>40780</v>
      </c>
      <c r="E1055" s="50" t="s">
        <v>11</v>
      </c>
      <c r="F1055" s="57">
        <v>0.22083</v>
      </c>
    </row>
    <row r="1056" spans="2:6">
      <c r="B1056" s="50" t="s">
        <v>21</v>
      </c>
      <c r="C1056" s="50" t="s">
        <v>601</v>
      </c>
      <c r="D1056" s="50">
        <f>DATE(YEAR(OneWeekMtgRatesDataTable756[[#This Row],[asofdate]]),MONTH(OneWeekMtgRatesDataTable756[[#This Row],[asofdate]]),DAY(OneWeekMtgRatesDataTable756[[#This Row],[asofdate]]))</f>
        <v>40779</v>
      </c>
      <c r="E1056" s="50" t="s">
        <v>11</v>
      </c>
      <c r="F1056" s="57">
        <v>0.21894</v>
      </c>
    </row>
    <row r="1057" spans="2:6">
      <c r="B1057" s="50" t="s">
        <v>21</v>
      </c>
      <c r="C1057" s="50" t="s">
        <v>600</v>
      </c>
      <c r="D1057" s="50">
        <f>DATE(YEAR(OneWeekMtgRatesDataTable756[[#This Row],[asofdate]]),MONTH(OneWeekMtgRatesDataTable756[[#This Row],[asofdate]]),DAY(OneWeekMtgRatesDataTable756[[#This Row],[asofdate]]))</f>
        <v>40778</v>
      </c>
      <c r="E1057" s="50" t="s">
        <v>11</v>
      </c>
      <c r="F1057" s="57">
        <v>0.21839</v>
      </c>
    </row>
    <row r="1058" spans="2:6">
      <c r="B1058" s="50" t="s">
        <v>21</v>
      </c>
      <c r="C1058" s="50" t="s">
        <v>599</v>
      </c>
      <c r="D1058" s="50">
        <f>DATE(YEAR(OneWeekMtgRatesDataTable756[[#This Row],[asofdate]]),MONTH(OneWeekMtgRatesDataTable756[[#This Row],[asofdate]]),DAY(OneWeekMtgRatesDataTable756[[#This Row],[asofdate]]))</f>
        <v>40777</v>
      </c>
      <c r="E1058" s="50" t="s">
        <v>11</v>
      </c>
      <c r="F1058" s="57">
        <v>0.21678</v>
      </c>
    </row>
    <row r="1059" spans="2:6">
      <c r="B1059" s="50" t="s">
        <v>21</v>
      </c>
      <c r="C1059" s="50" t="s">
        <v>598</v>
      </c>
      <c r="D1059" s="50">
        <f>DATE(YEAR(OneWeekMtgRatesDataTable756[[#This Row],[asofdate]]),MONTH(OneWeekMtgRatesDataTable756[[#This Row],[asofdate]]),DAY(OneWeekMtgRatesDataTable756[[#This Row],[asofdate]]))</f>
        <v>40774</v>
      </c>
      <c r="E1059" s="50" t="s">
        <v>11</v>
      </c>
      <c r="F1059" s="57">
        <v>0.21543999999999999</v>
      </c>
    </row>
    <row r="1060" spans="2:6">
      <c r="B1060" s="50" t="s">
        <v>21</v>
      </c>
      <c r="C1060" s="50" t="s">
        <v>597</v>
      </c>
      <c r="D1060" s="50">
        <f>DATE(YEAR(OneWeekMtgRatesDataTable756[[#This Row],[asofdate]]),MONTH(OneWeekMtgRatesDataTable756[[#This Row],[asofdate]]),DAY(OneWeekMtgRatesDataTable756[[#This Row],[asofdate]]))</f>
        <v>40773</v>
      </c>
      <c r="E1060" s="50" t="s">
        <v>11</v>
      </c>
      <c r="F1060" s="57">
        <v>0.21299999999999999</v>
      </c>
    </row>
    <row r="1061" spans="2:6">
      <c r="B1061" s="50" t="s">
        <v>21</v>
      </c>
      <c r="C1061" s="50" t="s">
        <v>596</v>
      </c>
      <c r="D1061" s="50">
        <f>DATE(YEAR(OneWeekMtgRatesDataTable756[[#This Row],[asofdate]]),MONTH(OneWeekMtgRatesDataTable756[[#This Row],[asofdate]]),DAY(OneWeekMtgRatesDataTable756[[#This Row],[asofdate]]))</f>
        <v>40772</v>
      </c>
      <c r="E1061" s="50" t="s">
        <v>11</v>
      </c>
      <c r="F1061" s="57">
        <v>0.21243999999999999</v>
      </c>
    </row>
    <row r="1062" spans="2:6">
      <c r="B1062" s="50" t="s">
        <v>21</v>
      </c>
      <c r="C1062" s="50" t="s">
        <v>595</v>
      </c>
      <c r="D1062" s="50">
        <f>DATE(YEAR(OneWeekMtgRatesDataTable756[[#This Row],[asofdate]]),MONTH(OneWeekMtgRatesDataTable756[[#This Row],[asofdate]]),DAY(OneWeekMtgRatesDataTable756[[#This Row],[asofdate]]))</f>
        <v>40771</v>
      </c>
      <c r="E1062" s="50" t="s">
        <v>11</v>
      </c>
      <c r="F1062" s="57">
        <v>0.21021999999999999</v>
      </c>
    </row>
    <row r="1063" spans="2:6">
      <c r="B1063" s="50" t="s">
        <v>21</v>
      </c>
      <c r="C1063" s="50" t="s">
        <v>594</v>
      </c>
      <c r="D1063" s="50">
        <f>DATE(YEAR(OneWeekMtgRatesDataTable756[[#This Row],[asofdate]]),MONTH(OneWeekMtgRatesDataTable756[[#This Row],[asofdate]]),DAY(OneWeekMtgRatesDataTable756[[#This Row],[asofdate]]))</f>
        <v>40770</v>
      </c>
      <c r="E1063" s="50" t="s">
        <v>11</v>
      </c>
      <c r="F1063" s="57">
        <v>0.21021999999999999</v>
      </c>
    </row>
    <row r="1064" spans="2:6">
      <c r="B1064" s="50" t="s">
        <v>21</v>
      </c>
      <c r="C1064" s="50" t="s">
        <v>593</v>
      </c>
      <c r="D1064" s="50">
        <f>DATE(YEAR(OneWeekMtgRatesDataTable756[[#This Row],[asofdate]]),MONTH(OneWeekMtgRatesDataTable756[[#This Row],[asofdate]]),DAY(OneWeekMtgRatesDataTable756[[#This Row],[asofdate]]))</f>
        <v>40767</v>
      </c>
      <c r="E1064" s="50" t="s">
        <v>11</v>
      </c>
      <c r="F1064" s="57">
        <v>0.20832999999999999</v>
      </c>
    </row>
    <row r="1065" spans="2:6">
      <c r="B1065" s="50" t="s">
        <v>21</v>
      </c>
      <c r="C1065" s="50" t="s">
        <v>592</v>
      </c>
      <c r="D1065" s="50">
        <f>DATE(YEAR(OneWeekMtgRatesDataTable756[[#This Row],[asofdate]]),MONTH(OneWeekMtgRatesDataTable756[[#This Row],[asofdate]]),DAY(OneWeekMtgRatesDataTable756[[#This Row],[asofdate]]))</f>
        <v>40766</v>
      </c>
      <c r="E1065" s="50" t="s">
        <v>11</v>
      </c>
      <c r="F1065" s="57">
        <v>0.20721999999999999</v>
      </c>
    </row>
    <row r="1066" spans="2:6">
      <c r="B1066" s="50" t="s">
        <v>21</v>
      </c>
      <c r="C1066" s="50" t="s">
        <v>591</v>
      </c>
      <c r="D1066" s="50">
        <f>DATE(YEAR(OneWeekMtgRatesDataTable756[[#This Row],[asofdate]]),MONTH(OneWeekMtgRatesDataTable756[[#This Row],[asofdate]]),DAY(OneWeekMtgRatesDataTable756[[#This Row],[asofdate]]))</f>
        <v>40765</v>
      </c>
      <c r="E1066" s="50" t="s">
        <v>11</v>
      </c>
      <c r="F1066" s="57">
        <v>0.20710999999999999</v>
      </c>
    </row>
    <row r="1067" spans="2:6">
      <c r="B1067" s="50" t="s">
        <v>21</v>
      </c>
      <c r="C1067" s="50" t="s">
        <v>590</v>
      </c>
      <c r="D1067" s="50">
        <f>DATE(YEAR(OneWeekMtgRatesDataTable756[[#This Row],[asofdate]]),MONTH(OneWeekMtgRatesDataTable756[[#This Row],[asofdate]]),DAY(OneWeekMtgRatesDataTable756[[#This Row],[asofdate]]))</f>
        <v>40764</v>
      </c>
      <c r="E1067" s="50" t="s">
        <v>11</v>
      </c>
      <c r="F1067" s="57">
        <v>0.20799999999999999</v>
      </c>
    </row>
    <row r="1068" spans="2:6">
      <c r="B1068" s="50" t="s">
        <v>21</v>
      </c>
      <c r="C1068" s="50" t="s">
        <v>589</v>
      </c>
      <c r="D1068" s="50">
        <f>DATE(YEAR(OneWeekMtgRatesDataTable756[[#This Row],[asofdate]]),MONTH(OneWeekMtgRatesDataTable756[[#This Row],[asofdate]]),DAY(OneWeekMtgRatesDataTable756[[#This Row],[asofdate]]))</f>
        <v>40763</v>
      </c>
      <c r="E1068" s="50" t="s">
        <v>11</v>
      </c>
      <c r="F1068" s="57">
        <v>0.20577999999999999</v>
      </c>
    </row>
    <row r="1069" spans="2:6">
      <c r="B1069" s="50" t="s">
        <v>21</v>
      </c>
      <c r="C1069" s="50" t="s">
        <v>588</v>
      </c>
      <c r="D1069" s="50">
        <f>DATE(YEAR(OneWeekMtgRatesDataTable756[[#This Row],[asofdate]]),MONTH(OneWeekMtgRatesDataTable756[[#This Row],[asofdate]]),DAY(OneWeekMtgRatesDataTable756[[#This Row],[asofdate]]))</f>
        <v>40760</v>
      </c>
      <c r="E1069" s="50" t="s">
        <v>11</v>
      </c>
      <c r="F1069" s="57">
        <v>0.20549999999999999</v>
      </c>
    </row>
    <row r="1070" spans="2:6">
      <c r="B1070" s="50" t="s">
        <v>21</v>
      </c>
      <c r="C1070" s="50" t="s">
        <v>587</v>
      </c>
      <c r="D1070" s="50">
        <f>DATE(YEAR(OneWeekMtgRatesDataTable756[[#This Row],[asofdate]]),MONTH(OneWeekMtgRatesDataTable756[[#This Row],[asofdate]]),DAY(OneWeekMtgRatesDataTable756[[#This Row],[asofdate]]))</f>
        <v>40759</v>
      </c>
      <c r="E1070" s="50" t="s">
        <v>11</v>
      </c>
      <c r="F1070" s="57">
        <v>0.20505999999999999</v>
      </c>
    </row>
    <row r="1071" spans="2:6">
      <c r="B1071" s="50" t="s">
        <v>21</v>
      </c>
      <c r="C1071" s="50" t="s">
        <v>586</v>
      </c>
      <c r="D1071" s="50">
        <f>DATE(YEAR(OneWeekMtgRatesDataTable756[[#This Row],[asofdate]]),MONTH(OneWeekMtgRatesDataTable756[[#This Row],[asofdate]]),DAY(OneWeekMtgRatesDataTable756[[#This Row],[asofdate]]))</f>
        <v>40758</v>
      </c>
      <c r="E1071" s="50" t="s">
        <v>11</v>
      </c>
      <c r="F1071" s="57">
        <v>0.20555999999999999</v>
      </c>
    </row>
    <row r="1072" spans="2:6">
      <c r="B1072" s="50" t="s">
        <v>21</v>
      </c>
      <c r="C1072" s="50" t="s">
        <v>585</v>
      </c>
      <c r="D1072" s="50">
        <f>DATE(YEAR(OneWeekMtgRatesDataTable756[[#This Row],[asofdate]]),MONTH(OneWeekMtgRatesDataTable756[[#This Row],[asofdate]]),DAY(OneWeekMtgRatesDataTable756[[#This Row],[asofdate]]))</f>
        <v>40757</v>
      </c>
      <c r="E1072" s="50" t="s">
        <v>11</v>
      </c>
      <c r="F1072" s="57">
        <v>0.20083000000000001</v>
      </c>
    </row>
    <row r="1073" spans="2:6">
      <c r="B1073" s="50" t="s">
        <v>21</v>
      </c>
      <c r="C1073" s="50" t="s">
        <v>584</v>
      </c>
      <c r="D1073" s="50">
        <f>DATE(YEAR(OneWeekMtgRatesDataTable756[[#This Row],[asofdate]]),MONTH(OneWeekMtgRatesDataTable756[[#This Row],[asofdate]]),DAY(OneWeekMtgRatesDataTable756[[#This Row],[asofdate]]))</f>
        <v>40756</v>
      </c>
      <c r="E1073" s="50" t="s">
        <v>11</v>
      </c>
      <c r="F1073" s="57">
        <v>0.19206000000000001</v>
      </c>
    </row>
    <row r="1074" spans="2:6">
      <c r="B1074" s="50" t="s">
        <v>21</v>
      </c>
      <c r="C1074" s="50" t="s">
        <v>583</v>
      </c>
      <c r="D1074" s="50">
        <f>DATE(YEAR(OneWeekMtgRatesDataTable756[[#This Row],[asofdate]]),MONTH(OneWeekMtgRatesDataTable756[[#This Row],[asofdate]]),DAY(OneWeekMtgRatesDataTable756[[#This Row],[asofdate]]))</f>
        <v>40753</v>
      </c>
      <c r="E1074" s="50" t="s">
        <v>11</v>
      </c>
      <c r="F1074" s="57">
        <v>0.19109999999999999</v>
      </c>
    </row>
    <row r="1075" spans="2:6">
      <c r="B1075" s="50" t="s">
        <v>21</v>
      </c>
      <c r="C1075" s="50" t="s">
        <v>582</v>
      </c>
      <c r="D1075" s="50">
        <f>DATE(YEAR(OneWeekMtgRatesDataTable756[[#This Row],[asofdate]]),MONTH(OneWeekMtgRatesDataTable756[[#This Row],[asofdate]]),DAY(OneWeekMtgRatesDataTable756[[#This Row],[asofdate]]))</f>
        <v>40752</v>
      </c>
      <c r="E1075" s="50" t="s">
        <v>11</v>
      </c>
      <c r="F1075" s="57">
        <v>0.18825</v>
      </c>
    </row>
    <row r="1076" spans="2:6">
      <c r="B1076" s="50" t="s">
        <v>21</v>
      </c>
      <c r="C1076" s="50" t="s">
        <v>581</v>
      </c>
      <c r="D1076" s="50">
        <f>DATE(YEAR(OneWeekMtgRatesDataTable756[[#This Row],[asofdate]]),MONTH(OneWeekMtgRatesDataTable756[[#This Row],[asofdate]]),DAY(OneWeekMtgRatesDataTable756[[#This Row],[asofdate]]))</f>
        <v>40751</v>
      </c>
      <c r="E1076" s="50" t="s">
        <v>11</v>
      </c>
      <c r="F1076" s="57">
        <v>0.18725</v>
      </c>
    </row>
    <row r="1077" spans="2:6">
      <c r="B1077" s="50" t="s">
        <v>21</v>
      </c>
      <c r="C1077" s="50" t="s">
        <v>580</v>
      </c>
      <c r="D1077" s="50">
        <f>DATE(YEAR(OneWeekMtgRatesDataTable756[[#This Row],[asofdate]]),MONTH(OneWeekMtgRatesDataTable756[[#This Row],[asofdate]]),DAY(OneWeekMtgRatesDataTable756[[#This Row],[asofdate]]))</f>
        <v>40750</v>
      </c>
      <c r="E1077" s="50" t="s">
        <v>11</v>
      </c>
      <c r="F1077" s="57">
        <v>0.18725</v>
      </c>
    </row>
    <row r="1078" spans="2:6">
      <c r="B1078" s="50" t="s">
        <v>21</v>
      </c>
      <c r="C1078" s="50" t="s">
        <v>579</v>
      </c>
      <c r="D1078" s="50">
        <f>DATE(YEAR(OneWeekMtgRatesDataTable756[[#This Row],[asofdate]]),MONTH(OneWeekMtgRatesDataTable756[[#This Row],[asofdate]]),DAY(OneWeekMtgRatesDataTable756[[#This Row],[asofdate]]))</f>
        <v>40749</v>
      </c>
      <c r="E1078" s="50" t="s">
        <v>11</v>
      </c>
      <c r="F1078" s="57">
        <v>0.18725</v>
      </c>
    </row>
    <row r="1079" spans="2:6">
      <c r="B1079" s="50" t="s">
        <v>21</v>
      </c>
      <c r="C1079" s="50" t="s">
        <v>578</v>
      </c>
      <c r="D1079" s="50">
        <f>DATE(YEAR(OneWeekMtgRatesDataTable756[[#This Row],[asofdate]]),MONTH(OneWeekMtgRatesDataTable756[[#This Row],[asofdate]]),DAY(OneWeekMtgRatesDataTable756[[#This Row],[asofdate]]))</f>
        <v>40746</v>
      </c>
      <c r="E1079" s="50" t="s">
        <v>11</v>
      </c>
      <c r="F1079" s="57">
        <v>0.18725</v>
      </c>
    </row>
    <row r="1080" spans="2:6">
      <c r="B1080" s="50" t="s">
        <v>21</v>
      </c>
      <c r="C1080" s="50" t="s">
        <v>577</v>
      </c>
      <c r="D1080" s="50">
        <f>DATE(YEAR(OneWeekMtgRatesDataTable756[[#This Row],[asofdate]]),MONTH(OneWeekMtgRatesDataTable756[[#This Row],[asofdate]]),DAY(OneWeekMtgRatesDataTable756[[#This Row],[asofdate]]))</f>
        <v>40745</v>
      </c>
      <c r="E1080" s="50" t="s">
        <v>11</v>
      </c>
      <c r="F1080" s="57">
        <v>0.18725</v>
      </c>
    </row>
    <row r="1081" spans="2:6">
      <c r="B1081" s="50" t="s">
        <v>21</v>
      </c>
      <c r="C1081" s="50" t="s">
        <v>576</v>
      </c>
      <c r="D1081" s="50">
        <f>DATE(YEAR(OneWeekMtgRatesDataTable756[[#This Row],[asofdate]]),MONTH(OneWeekMtgRatesDataTable756[[#This Row],[asofdate]]),DAY(OneWeekMtgRatesDataTable756[[#This Row],[asofdate]]))</f>
        <v>40744</v>
      </c>
      <c r="E1081" s="50" t="s">
        <v>11</v>
      </c>
      <c r="F1081" s="57">
        <v>0.18725</v>
      </c>
    </row>
    <row r="1082" spans="2:6">
      <c r="B1082" s="50" t="s">
        <v>21</v>
      </c>
      <c r="C1082" s="50" t="s">
        <v>575</v>
      </c>
      <c r="D1082" s="50">
        <f>DATE(YEAR(OneWeekMtgRatesDataTable756[[#This Row],[asofdate]]),MONTH(OneWeekMtgRatesDataTable756[[#This Row],[asofdate]]),DAY(OneWeekMtgRatesDataTable756[[#This Row],[asofdate]]))</f>
        <v>40743</v>
      </c>
      <c r="E1082" s="50" t="s">
        <v>11</v>
      </c>
      <c r="F1082" s="57">
        <v>0.18625</v>
      </c>
    </row>
    <row r="1083" spans="2:6">
      <c r="B1083" s="50" t="s">
        <v>21</v>
      </c>
      <c r="C1083" s="50" t="s">
        <v>574</v>
      </c>
      <c r="D1083" s="50">
        <f>DATE(YEAR(OneWeekMtgRatesDataTable756[[#This Row],[asofdate]]),MONTH(OneWeekMtgRatesDataTable756[[#This Row],[asofdate]]),DAY(OneWeekMtgRatesDataTable756[[#This Row],[asofdate]]))</f>
        <v>40742</v>
      </c>
      <c r="E1083" s="50" t="s">
        <v>11</v>
      </c>
      <c r="F1083" s="57">
        <v>0.18625</v>
      </c>
    </row>
    <row r="1084" spans="2:6">
      <c r="B1084" s="50" t="s">
        <v>21</v>
      </c>
      <c r="C1084" s="50" t="s">
        <v>573</v>
      </c>
      <c r="D1084" s="50">
        <f>DATE(YEAR(OneWeekMtgRatesDataTable756[[#This Row],[asofdate]]),MONTH(OneWeekMtgRatesDataTable756[[#This Row],[asofdate]]),DAY(OneWeekMtgRatesDataTable756[[#This Row],[asofdate]]))</f>
        <v>40739</v>
      </c>
      <c r="E1084" s="50" t="s">
        <v>11</v>
      </c>
      <c r="F1084" s="57">
        <v>0.1865</v>
      </c>
    </row>
    <row r="1085" spans="2:6">
      <c r="B1085" s="50" t="s">
        <v>21</v>
      </c>
      <c r="C1085" s="50" t="s">
        <v>572</v>
      </c>
      <c r="D1085" s="50">
        <f>DATE(YEAR(OneWeekMtgRatesDataTable756[[#This Row],[asofdate]]),MONTH(OneWeekMtgRatesDataTable756[[#This Row],[asofdate]]),DAY(OneWeekMtgRatesDataTable756[[#This Row],[asofdate]]))</f>
        <v>40738</v>
      </c>
      <c r="E1085" s="50" t="s">
        <v>11</v>
      </c>
      <c r="F1085" s="57">
        <v>0.1865</v>
      </c>
    </row>
    <row r="1086" spans="2:6">
      <c r="B1086" s="50" t="s">
        <v>21</v>
      </c>
      <c r="C1086" s="50" t="s">
        <v>571</v>
      </c>
      <c r="D1086" s="50">
        <f>DATE(YEAR(OneWeekMtgRatesDataTable756[[#This Row],[asofdate]]),MONTH(OneWeekMtgRatesDataTable756[[#This Row],[asofdate]]),DAY(OneWeekMtgRatesDataTable756[[#This Row],[asofdate]]))</f>
        <v>40737</v>
      </c>
      <c r="E1086" s="50" t="s">
        <v>11</v>
      </c>
      <c r="F1086" s="57">
        <v>0.1865</v>
      </c>
    </row>
    <row r="1087" spans="2:6">
      <c r="B1087" s="50" t="s">
        <v>21</v>
      </c>
      <c r="C1087" s="50" t="s">
        <v>570</v>
      </c>
      <c r="D1087" s="50">
        <f>DATE(YEAR(OneWeekMtgRatesDataTable756[[#This Row],[asofdate]]),MONTH(OneWeekMtgRatesDataTable756[[#This Row],[asofdate]]),DAY(OneWeekMtgRatesDataTable756[[#This Row],[asofdate]]))</f>
        <v>40736</v>
      </c>
      <c r="E1087" s="50" t="s">
        <v>11</v>
      </c>
      <c r="F1087" s="57">
        <v>0.1865</v>
      </c>
    </row>
    <row r="1088" spans="2:6">
      <c r="B1088" s="50" t="s">
        <v>21</v>
      </c>
      <c r="C1088" s="50" t="s">
        <v>569</v>
      </c>
      <c r="D1088" s="50">
        <f>DATE(YEAR(OneWeekMtgRatesDataTable756[[#This Row],[asofdate]]),MONTH(OneWeekMtgRatesDataTable756[[#This Row],[asofdate]]),DAY(OneWeekMtgRatesDataTable756[[#This Row],[asofdate]]))</f>
        <v>40735</v>
      </c>
      <c r="E1088" s="50" t="s">
        <v>11</v>
      </c>
      <c r="F1088" s="57">
        <v>0.18575</v>
      </c>
    </row>
    <row r="1089" spans="2:6">
      <c r="B1089" s="50" t="s">
        <v>21</v>
      </c>
      <c r="C1089" s="50" t="s">
        <v>568</v>
      </c>
      <c r="D1089" s="50">
        <f>DATE(YEAR(OneWeekMtgRatesDataTable756[[#This Row],[asofdate]]),MONTH(OneWeekMtgRatesDataTable756[[#This Row],[asofdate]]),DAY(OneWeekMtgRatesDataTable756[[#This Row],[asofdate]]))</f>
        <v>40732</v>
      </c>
      <c r="E1089" s="50" t="s">
        <v>11</v>
      </c>
      <c r="F1089" s="57">
        <v>0.18575</v>
      </c>
    </row>
    <row r="1090" spans="2:6">
      <c r="B1090" s="50" t="s">
        <v>21</v>
      </c>
      <c r="C1090" s="50" t="s">
        <v>567</v>
      </c>
      <c r="D1090" s="50">
        <f>DATE(YEAR(OneWeekMtgRatesDataTable756[[#This Row],[asofdate]]),MONTH(OneWeekMtgRatesDataTable756[[#This Row],[asofdate]]),DAY(OneWeekMtgRatesDataTable756[[#This Row],[asofdate]]))</f>
        <v>40731</v>
      </c>
      <c r="E1090" s="50" t="s">
        <v>11</v>
      </c>
      <c r="F1090" s="57">
        <v>0.18575</v>
      </c>
    </row>
    <row r="1091" spans="2:6">
      <c r="B1091" s="50" t="s">
        <v>21</v>
      </c>
      <c r="C1091" s="50" t="s">
        <v>566</v>
      </c>
      <c r="D1091" s="50">
        <f>DATE(YEAR(OneWeekMtgRatesDataTable756[[#This Row],[asofdate]]),MONTH(OneWeekMtgRatesDataTable756[[#This Row],[asofdate]]),DAY(OneWeekMtgRatesDataTable756[[#This Row],[asofdate]]))</f>
        <v>40730</v>
      </c>
      <c r="E1091" s="50" t="s">
        <v>11</v>
      </c>
      <c r="F1091" s="57">
        <v>0.18525</v>
      </c>
    </row>
    <row r="1092" spans="2:6">
      <c r="B1092" s="50" t="s">
        <v>21</v>
      </c>
      <c r="C1092" s="50" t="s">
        <v>565</v>
      </c>
      <c r="D1092" s="50">
        <f>DATE(YEAR(OneWeekMtgRatesDataTable756[[#This Row],[asofdate]]),MONTH(OneWeekMtgRatesDataTable756[[#This Row],[asofdate]]),DAY(OneWeekMtgRatesDataTable756[[#This Row],[asofdate]]))</f>
        <v>40729</v>
      </c>
      <c r="E1092" s="50" t="s">
        <v>11</v>
      </c>
      <c r="F1092" s="57">
        <v>0.18504999999999999</v>
      </c>
    </row>
    <row r="1093" spans="2:6">
      <c r="B1093" s="50" t="s">
        <v>21</v>
      </c>
      <c r="C1093" s="50" t="s">
        <v>564</v>
      </c>
      <c r="D1093" s="50">
        <f>DATE(YEAR(OneWeekMtgRatesDataTable756[[#This Row],[asofdate]]),MONTH(OneWeekMtgRatesDataTable756[[#This Row],[asofdate]]),DAY(OneWeekMtgRatesDataTable756[[#This Row],[asofdate]]))</f>
        <v>40725</v>
      </c>
      <c r="E1093" s="50" t="s">
        <v>11</v>
      </c>
      <c r="F1093" s="57">
        <v>0.18504999999999999</v>
      </c>
    </row>
    <row r="1094" spans="2:6">
      <c r="B1094" s="50" t="s">
        <v>21</v>
      </c>
      <c r="C1094" s="50" t="s">
        <v>563</v>
      </c>
      <c r="D1094" s="50">
        <f>DATE(YEAR(OneWeekMtgRatesDataTable756[[#This Row],[asofdate]]),MONTH(OneWeekMtgRatesDataTable756[[#This Row],[asofdate]]),DAY(OneWeekMtgRatesDataTable756[[#This Row],[asofdate]]))</f>
        <v>40724</v>
      </c>
      <c r="E1094" s="50" t="s">
        <v>11</v>
      </c>
      <c r="F1094" s="57">
        <v>0.18554999999999999</v>
      </c>
    </row>
    <row r="1095" spans="2:6">
      <c r="B1095" s="50" t="s">
        <v>21</v>
      </c>
      <c r="C1095" s="50" t="s">
        <v>562</v>
      </c>
      <c r="D1095" s="50">
        <f>DATE(YEAR(OneWeekMtgRatesDataTable756[[#This Row],[asofdate]]),MONTH(OneWeekMtgRatesDataTable756[[#This Row],[asofdate]]),DAY(OneWeekMtgRatesDataTable756[[#This Row],[asofdate]]))</f>
        <v>40723</v>
      </c>
      <c r="E1095" s="50" t="s">
        <v>11</v>
      </c>
      <c r="F1095" s="57">
        <v>0.18554999999999999</v>
      </c>
    </row>
    <row r="1096" spans="2:6">
      <c r="B1096" s="50" t="s">
        <v>21</v>
      </c>
      <c r="C1096" s="50" t="s">
        <v>561</v>
      </c>
      <c r="D1096" s="50">
        <f>DATE(YEAR(OneWeekMtgRatesDataTable756[[#This Row],[asofdate]]),MONTH(OneWeekMtgRatesDataTable756[[#This Row],[asofdate]]),DAY(OneWeekMtgRatesDataTable756[[#This Row],[asofdate]]))</f>
        <v>40722</v>
      </c>
      <c r="E1096" s="50" t="s">
        <v>11</v>
      </c>
      <c r="F1096" s="57">
        <v>0.18554999999999999</v>
      </c>
    </row>
    <row r="1097" spans="2:6">
      <c r="B1097" s="50" t="s">
        <v>21</v>
      </c>
      <c r="C1097" s="50" t="s">
        <v>560</v>
      </c>
      <c r="D1097" s="50">
        <f>DATE(YEAR(OneWeekMtgRatesDataTable756[[#This Row],[asofdate]]),MONTH(OneWeekMtgRatesDataTable756[[#This Row],[asofdate]]),DAY(OneWeekMtgRatesDataTable756[[#This Row],[asofdate]]))</f>
        <v>40721</v>
      </c>
      <c r="E1097" s="50" t="s">
        <v>11</v>
      </c>
      <c r="F1097" s="57">
        <v>0.18554999999999999</v>
      </c>
    </row>
    <row r="1098" spans="2:6">
      <c r="B1098" s="50" t="s">
        <v>21</v>
      </c>
      <c r="C1098" s="50" t="s">
        <v>559</v>
      </c>
      <c r="D1098" s="50">
        <f>DATE(YEAR(OneWeekMtgRatesDataTable756[[#This Row],[asofdate]]),MONTH(OneWeekMtgRatesDataTable756[[#This Row],[asofdate]]),DAY(OneWeekMtgRatesDataTable756[[#This Row],[asofdate]]))</f>
        <v>40718</v>
      </c>
      <c r="E1098" s="50" t="s">
        <v>11</v>
      </c>
      <c r="F1098" s="57">
        <v>0.18554999999999999</v>
      </c>
    </row>
    <row r="1099" spans="2:6">
      <c r="B1099" s="50" t="s">
        <v>21</v>
      </c>
      <c r="C1099" s="50" t="s">
        <v>558</v>
      </c>
      <c r="D1099" s="50">
        <f>DATE(YEAR(OneWeekMtgRatesDataTable756[[#This Row],[asofdate]]),MONTH(OneWeekMtgRatesDataTable756[[#This Row],[asofdate]]),DAY(OneWeekMtgRatesDataTable756[[#This Row],[asofdate]]))</f>
        <v>40717</v>
      </c>
      <c r="E1099" s="50" t="s">
        <v>11</v>
      </c>
      <c r="F1099" s="57">
        <v>0.18579999999999999</v>
      </c>
    </row>
    <row r="1100" spans="2:6">
      <c r="B1100" s="50" t="s">
        <v>21</v>
      </c>
      <c r="C1100" s="50" t="s">
        <v>557</v>
      </c>
      <c r="D1100" s="50">
        <f>DATE(YEAR(OneWeekMtgRatesDataTable756[[#This Row],[asofdate]]),MONTH(OneWeekMtgRatesDataTable756[[#This Row],[asofdate]]),DAY(OneWeekMtgRatesDataTable756[[#This Row],[asofdate]]))</f>
        <v>40716</v>
      </c>
      <c r="E1100" s="50" t="s">
        <v>11</v>
      </c>
      <c r="F1100" s="57">
        <v>0.18579999999999999</v>
      </c>
    </row>
    <row r="1101" spans="2:6">
      <c r="B1101" s="50" t="s">
        <v>21</v>
      </c>
      <c r="C1101" s="50" t="s">
        <v>556</v>
      </c>
      <c r="D1101" s="50">
        <f>DATE(YEAR(OneWeekMtgRatesDataTable756[[#This Row],[asofdate]]),MONTH(OneWeekMtgRatesDataTable756[[#This Row],[asofdate]]),DAY(OneWeekMtgRatesDataTable756[[#This Row],[asofdate]]))</f>
        <v>40715</v>
      </c>
      <c r="E1101" s="50" t="s">
        <v>11</v>
      </c>
      <c r="F1101" s="57">
        <v>0.18579999999999999</v>
      </c>
    </row>
    <row r="1102" spans="2:6">
      <c r="B1102" s="50" t="s">
        <v>21</v>
      </c>
      <c r="C1102" s="50" t="s">
        <v>555</v>
      </c>
      <c r="D1102" s="50">
        <f>DATE(YEAR(OneWeekMtgRatesDataTable756[[#This Row],[asofdate]]),MONTH(OneWeekMtgRatesDataTable756[[#This Row],[asofdate]]),DAY(OneWeekMtgRatesDataTable756[[#This Row],[asofdate]]))</f>
        <v>40714</v>
      </c>
      <c r="E1102" s="50" t="s">
        <v>11</v>
      </c>
      <c r="F1102" s="57">
        <v>0.18579999999999999</v>
      </c>
    </row>
    <row r="1103" spans="2:6">
      <c r="B1103" s="50" t="s">
        <v>21</v>
      </c>
      <c r="C1103" s="50" t="s">
        <v>554</v>
      </c>
      <c r="D1103" s="50">
        <f>DATE(YEAR(OneWeekMtgRatesDataTable756[[#This Row],[asofdate]]),MONTH(OneWeekMtgRatesDataTable756[[#This Row],[asofdate]]),DAY(OneWeekMtgRatesDataTable756[[#This Row],[asofdate]]))</f>
        <v>40711</v>
      </c>
      <c r="E1103" s="50" t="s">
        <v>11</v>
      </c>
      <c r="F1103" s="57">
        <v>0.18579999999999999</v>
      </c>
    </row>
    <row r="1104" spans="2:6">
      <c r="B1104" s="50" t="s">
        <v>21</v>
      </c>
      <c r="C1104" s="50" t="s">
        <v>553</v>
      </c>
      <c r="D1104" s="50">
        <f>DATE(YEAR(OneWeekMtgRatesDataTable756[[#This Row],[asofdate]]),MONTH(OneWeekMtgRatesDataTable756[[#This Row],[asofdate]]),DAY(OneWeekMtgRatesDataTable756[[#This Row],[asofdate]]))</f>
        <v>40710</v>
      </c>
      <c r="E1104" s="50" t="s">
        <v>11</v>
      </c>
      <c r="F1104" s="57">
        <v>0.18579999999999999</v>
      </c>
    </row>
    <row r="1105" spans="2:6">
      <c r="B1105" s="50" t="s">
        <v>21</v>
      </c>
      <c r="C1105" s="50" t="s">
        <v>552</v>
      </c>
      <c r="D1105" s="50">
        <f>DATE(YEAR(OneWeekMtgRatesDataTable756[[#This Row],[asofdate]]),MONTH(OneWeekMtgRatesDataTable756[[#This Row],[asofdate]]),DAY(OneWeekMtgRatesDataTable756[[#This Row],[asofdate]]))</f>
        <v>40709</v>
      </c>
      <c r="E1105" s="50" t="s">
        <v>11</v>
      </c>
      <c r="F1105" s="57">
        <v>0.18529999999999999</v>
      </c>
    </row>
    <row r="1106" spans="2:6">
      <c r="B1106" s="50" t="s">
        <v>21</v>
      </c>
      <c r="C1106" s="50" t="s">
        <v>551</v>
      </c>
      <c r="D1106" s="50">
        <f>DATE(YEAR(OneWeekMtgRatesDataTable756[[#This Row],[asofdate]]),MONTH(OneWeekMtgRatesDataTable756[[#This Row],[asofdate]]),DAY(OneWeekMtgRatesDataTable756[[#This Row],[asofdate]]))</f>
        <v>40708</v>
      </c>
      <c r="E1106" s="50" t="s">
        <v>11</v>
      </c>
      <c r="F1106" s="57">
        <v>0.18554999999999999</v>
      </c>
    </row>
    <row r="1107" spans="2:6">
      <c r="B1107" s="50" t="s">
        <v>21</v>
      </c>
      <c r="C1107" s="50" t="s">
        <v>550</v>
      </c>
      <c r="D1107" s="50">
        <f>DATE(YEAR(OneWeekMtgRatesDataTable756[[#This Row],[asofdate]]),MONTH(OneWeekMtgRatesDataTable756[[#This Row],[asofdate]]),DAY(OneWeekMtgRatesDataTable756[[#This Row],[asofdate]]))</f>
        <v>40707</v>
      </c>
      <c r="E1107" s="50" t="s">
        <v>11</v>
      </c>
      <c r="F1107" s="57">
        <v>0.18704999999999999</v>
      </c>
    </row>
    <row r="1108" spans="2:6">
      <c r="B1108" s="50" t="s">
        <v>21</v>
      </c>
      <c r="C1108" s="50" t="s">
        <v>549</v>
      </c>
      <c r="D1108" s="50">
        <f>DATE(YEAR(OneWeekMtgRatesDataTable756[[#This Row],[asofdate]]),MONTH(OneWeekMtgRatesDataTable756[[#This Row],[asofdate]]),DAY(OneWeekMtgRatesDataTable756[[#This Row],[asofdate]]))</f>
        <v>40704</v>
      </c>
      <c r="E1108" s="50" t="s">
        <v>11</v>
      </c>
      <c r="F1108" s="57">
        <v>0.18855</v>
      </c>
    </row>
    <row r="1109" spans="2:6">
      <c r="B1109" s="50" t="s">
        <v>21</v>
      </c>
      <c r="C1109" s="50" t="s">
        <v>548</v>
      </c>
      <c r="D1109" s="50">
        <f>DATE(YEAR(OneWeekMtgRatesDataTable756[[#This Row],[asofdate]]),MONTH(OneWeekMtgRatesDataTable756[[#This Row],[asofdate]]),DAY(OneWeekMtgRatesDataTable756[[#This Row],[asofdate]]))</f>
        <v>40703</v>
      </c>
      <c r="E1109" s="50" t="s">
        <v>11</v>
      </c>
      <c r="F1109" s="57">
        <v>0.18955</v>
      </c>
    </row>
    <row r="1110" spans="2:6">
      <c r="B1110" s="50" t="s">
        <v>21</v>
      </c>
      <c r="C1110" s="50" t="s">
        <v>547</v>
      </c>
      <c r="D1110" s="50">
        <f>DATE(YEAR(OneWeekMtgRatesDataTable756[[#This Row],[asofdate]]),MONTH(OneWeekMtgRatesDataTable756[[#This Row],[asofdate]]),DAY(OneWeekMtgRatesDataTable756[[#This Row],[asofdate]]))</f>
        <v>40702</v>
      </c>
      <c r="E1110" s="50" t="s">
        <v>11</v>
      </c>
      <c r="F1110" s="57">
        <v>0.18955</v>
      </c>
    </row>
    <row r="1111" spans="2:6">
      <c r="B1111" s="50" t="s">
        <v>21</v>
      </c>
      <c r="C1111" s="50" t="s">
        <v>546</v>
      </c>
      <c r="D1111" s="50">
        <f>DATE(YEAR(OneWeekMtgRatesDataTable756[[#This Row],[asofdate]]),MONTH(OneWeekMtgRatesDataTable756[[#This Row],[asofdate]]),DAY(OneWeekMtgRatesDataTable756[[#This Row],[asofdate]]))</f>
        <v>40701</v>
      </c>
      <c r="E1111" s="50" t="s">
        <v>11</v>
      </c>
      <c r="F1111" s="57">
        <v>0.18955</v>
      </c>
    </row>
    <row r="1112" spans="2:6">
      <c r="B1112" s="50" t="s">
        <v>21</v>
      </c>
      <c r="C1112" s="50" t="s">
        <v>545</v>
      </c>
      <c r="D1112" s="50">
        <f>DATE(YEAR(OneWeekMtgRatesDataTable756[[#This Row],[asofdate]]),MONTH(OneWeekMtgRatesDataTable756[[#This Row],[asofdate]]),DAY(OneWeekMtgRatesDataTable756[[#This Row],[asofdate]]))</f>
        <v>40700</v>
      </c>
      <c r="E1112" s="50" t="s">
        <v>11</v>
      </c>
      <c r="F1112" s="57">
        <v>0.18955</v>
      </c>
    </row>
    <row r="1113" spans="2:6">
      <c r="B1113" s="50" t="s">
        <v>21</v>
      </c>
      <c r="C1113" s="50" t="s">
        <v>544</v>
      </c>
      <c r="D1113" s="50">
        <f>DATE(YEAR(OneWeekMtgRatesDataTable756[[#This Row],[asofdate]]),MONTH(OneWeekMtgRatesDataTable756[[#This Row],[asofdate]]),DAY(OneWeekMtgRatesDataTable756[[#This Row],[asofdate]]))</f>
        <v>40697</v>
      </c>
      <c r="E1113" s="50" t="s">
        <v>11</v>
      </c>
      <c r="F1113" s="57">
        <v>0.1898</v>
      </c>
    </row>
    <row r="1114" spans="2:6">
      <c r="B1114" s="50" t="s">
        <v>21</v>
      </c>
      <c r="C1114" s="50" t="s">
        <v>543</v>
      </c>
      <c r="D1114" s="50">
        <f>DATE(YEAR(OneWeekMtgRatesDataTable756[[#This Row],[asofdate]]),MONTH(OneWeekMtgRatesDataTable756[[#This Row],[asofdate]]),DAY(OneWeekMtgRatesDataTable756[[#This Row],[asofdate]]))</f>
        <v>40696</v>
      </c>
      <c r="E1114" s="50" t="s">
        <v>11</v>
      </c>
      <c r="F1114" s="57">
        <v>0.19017999999999999</v>
      </c>
    </row>
    <row r="1115" spans="2:6">
      <c r="B1115" s="50" t="s">
        <v>21</v>
      </c>
      <c r="C1115" s="50" t="s">
        <v>542</v>
      </c>
      <c r="D1115" s="50">
        <f>DATE(YEAR(OneWeekMtgRatesDataTable756[[#This Row],[asofdate]]),MONTH(OneWeekMtgRatesDataTable756[[#This Row],[asofdate]]),DAY(OneWeekMtgRatesDataTable756[[#This Row],[asofdate]]))</f>
        <v>40695</v>
      </c>
      <c r="E1115" s="50" t="s">
        <v>11</v>
      </c>
      <c r="F1115" s="57">
        <v>0.19042999999999999</v>
      </c>
    </row>
    <row r="1116" spans="2:6">
      <c r="B1116" s="50" t="s">
        <v>21</v>
      </c>
      <c r="C1116" s="50" t="s">
        <v>541</v>
      </c>
      <c r="D1116" s="50">
        <f>DATE(YEAR(OneWeekMtgRatesDataTable756[[#This Row],[asofdate]]),MONTH(OneWeekMtgRatesDataTable756[[#This Row],[asofdate]]),DAY(OneWeekMtgRatesDataTable756[[#This Row],[asofdate]]))</f>
        <v>40694</v>
      </c>
      <c r="E1116" s="50" t="s">
        <v>11</v>
      </c>
      <c r="F1116" s="57">
        <v>0.19042999999999999</v>
      </c>
    </row>
    <row r="1117" spans="2:6">
      <c r="B1117" s="50" t="s">
        <v>21</v>
      </c>
      <c r="C1117" s="50" t="s">
        <v>540</v>
      </c>
      <c r="D1117" s="50">
        <f>DATE(YEAR(OneWeekMtgRatesDataTable756[[#This Row],[asofdate]]),MONTH(OneWeekMtgRatesDataTable756[[#This Row],[asofdate]]),DAY(OneWeekMtgRatesDataTable756[[#This Row],[asofdate]]))</f>
        <v>40690</v>
      </c>
      <c r="E1117" s="50" t="s">
        <v>11</v>
      </c>
      <c r="F1117" s="57">
        <v>0.19103000000000001</v>
      </c>
    </row>
    <row r="1118" spans="2:6">
      <c r="B1118" s="50" t="s">
        <v>21</v>
      </c>
      <c r="C1118" s="50" t="s">
        <v>539</v>
      </c>
      <c r="D1118" s="50">
        <f>DATE(YEAR(OneWeekMtgRatesDataTable756[[#This Row],[asofdate]]),MONTH(OneWeekMtgRatesDataTable756[[#This Row],[asofdate]]),DAY(OneWeekMtgRatesDataTable756[[#This Row],[asofdate]]))</f>
        <v>40689</v>
      </c>
      <c r="E1118" s="50" t="s">
        <v>11</v>
      </c>
      <c r="F1118" s="57">
        <v>0.19125</v>
      </c>
    </row>
    <row r="1119" spans="2:6">
      <c r="B1119" s="50" t="s">
        <v>21</v>
      </c>
      <c r="C1119" s="50" t="s">
        <v>538</v>
      </c>
      <c r="D1119" s="50">
        <f>DATE(YEAR(OneWeekMtgRatesDataTable756[[#This Row],[asofdate]]),MONTH(OneWeekMtgRatesDataTable756[[#This Row],[asofdate]]),DAY(OneWeekMtgRatesDataTable756[[#This Row],[asofdate]]))</f>
        <v>40688</v>
      </c>
      <c r="E1119" s="50" t="s">
        <v>11</v>
      </c>
      <c r="F1119" s="57">
        <v>0.19234999999999999</v>
      </c>
    </row>
    <row r="1120" spans="2:6">
      <c r="B1120" s="50" t="s">
        <v>21</v>
      </c>
      <c r="C1120" s="50" t="s">
        <v>537</v>
      </c>
      <c r="D1120" s="50">
        <f>DATE(YEAR(OneWeekMtgRatesDataTable756[[#This Row],[asofdate]]),MONTH(OneWeekMtgRatesDataTable756[[#This Row],[asofdate]]),DAY(OneWeekMtgRatesDataTable756[[#This Row],[asofdate]]))</f>
        <v>40687</v>
      </c>
      <c r="E1120" s="50" t="s">
        <v>11</v>
      </c>
      <c r="F1120" s="57">
        <v>0.19270000000000001</v>
      </c>
    </row>
    <row r="1121" spans="2:6">
      <c r="B1121" s="50" t="s">
        <v>21</v>
      </c>
      <c r="C1121" s="50" t="s">
        <v>536</v>
      </c>
      <c r="D1121" s="50">
        <f>DATE(YEAR(OneWeekMtgRatesDataTable756[[#This Row],[asofdate]]),MONTH(OneWeekMtgRatesDataTable756[[#This Row],[asofdate]]),DAY(OneWeekMtgRatesDataTable756[[#This Row],[asofdate]]))</f>
        <v>40686</v>
      </c>
      <c r="E1121" s="50" t="s">
        <v>11</v>
      </c>
      <c r="F1121" s="57">
        <v>0.19400000000000001</v>
      </c>
    </row>
    <row r="1122" spans="2:6">
      <c r="B1122" s="50" t="s">
        <v>21</v>
      </c>
      <c r="C1122" s="50" t="s">
        <v>535</v>
      </c>
      <c r="D1122" s="50">
        <f>DATE(YEAR(OneWeekMtgRatesDataTable756[[#This Row],[asofdate]]),MONTH(OneWeekMtgRatesDataTable756[[#This Row],[asofdate]]),DAY(OneWeekMtgRatesDataTable756[[#This Row],[asofdate]]))</f>
        <v>40683</v>
      </c>
      <c r="E1122" s="50" t="s">
        <v>11</v>
      </c>
      <c r="F1122" s="57">
        <v>0.19475000000000001</v>
      </c>
    </row>
    <row r="1123" spans="2:6">
      <c r="B1123" s="50" t="s">
        <v>21</v>
      </c>
      <c r="C1123" s="50" t="s">
        <v>534</v>
      </c>
      <c r="D1123" s="50">
        <f>DATE(YEAR(OneWeekMtgRatesDataTable756[[#This Row],[asofdate]]),MONTH(OneWeekMtgRatesDataTable756[[#This Row],[asofdate]]),DAY(OneWeekMtgRatesDataTable756[[#This Row],[asofdate]]))</f>
        <v>40682</v>
      </c>
      <c r="E1123" s="50" t="s">
        <v>11</v>
      </c>
      <c r="F1123" s="57">
        <v>0.19525000000000001</v>
      </c>
    </row>
    <row r="1124" spans="2:6">
      <c r="B1124" s="50" t="s">
        <v>21</v>
      </c>
      <c r="C1124" s="50" t="s">
        <v>533</v>
      </c>
      <c r="D1124" s="50">
        <f>DATE(YEAR(OneWeekMtgRatesDataTable756[[#This Row],[asofdate]]),MONTH(OneWeekMtgRatesDataTable756[[#This Row],[asofdate]]),DAY(OneWeekMtgRatesDataTable756[[#This Row],[asofdate]]))</f>
        <v>40681</v>
      </c>
      <c r="E1124" s="50" t="s">
        <v>11</v>
      </c>
      <c r="F1124" s="57">
        <v>0.19575000000000001</v>
      </c>
    </row>
    <row r="1125" spans="2:6">
      <c r="B1125" s="50" t="s">
        <v>21</v>
      </c>
      <c r="C1125" s="50" t="s">
        <v>532</v>
      </c>
      <c r="D1125" s="50">
        <f>DATE(YEAR(OneWeekMtgRatesDataTable756[[#This Row],[asofdate]]),MONTH(OneWeekMtgRatesDataTable756[[#This Row],[asofdate]]),DAY(OneWeekMtgRatesDataTable756[[#This Row],[asofdate]]))</f>
        <v>40680</v>
      </c>
      <c r="E1125" s="50" t="s">
        <v>11</v>
      </c>
      <c r="F1125" s="57">
        <v>0.19700000000000001</v>
      </c>
    </row>
    <row r="1126" spans="2:6">
      <c r="B1126" s="50" t="s">
        <v>21</v>
      </c>
      <c r="C1126" s="50" t="s">
        <v>531</v>
      </c>
      <c r="D1126" s="50">
        <f>DATE(YEAR(OneWeekMtgRatesDataTable756[[#This Row],[asofdate]]),MONTH(OneWeekMtgRatesDataTable756[[#This Row],[asofdate]]),DAY(OneWeekMtgRatesDataTable756[[#This Row],[asofdate]]))</f>
        <v>40679</v>
      </c>
      <c r="E1126" s="50" t="s">
        <v>11</v>
      </c>
      <c r="F1126" s="57">
        <v>0.19700000000000001</v>
      </c>
    </row>
    <row r="1127" spans="2:6">
      <c r="B1127" s="50" t="s">
        <v>21</v>
      </c>
      <c r="C1127" s="50" t="s">
        <v>530</v>
      </c>
      <c r="D1127" s="50">
        <f>DATE(YEAR(OneWeekMtgRatesDataTable756[[#This Row],[asofdate]]),MONTH(OneWeekMtgRatesDataTable756[[#This Row],[asofdate]]),DAY(OneWeekMtgRatesDataTable756[[#This Row],[asofdate]]))</f>
        <v>40676</v>
      </c>
      <c r="E1127" s="50" t="s">
        <v>11</v>
      </c>
      <c r="F1127" s="57">
        <v>0.1971</v>
      </c>
    </row>
    <row r="1128" spans="2:6">
      <c r="B1128" s="50" t="s">
        <v>21</v>
      </c>
      <c r="C1128" s="50" t="s">
        <v>529</v>
      </c>
      <c r="D1128" s="50">
        <f>DATE(YEAR(OneWeekMtgRatesDataTable756[[#This Row],[asofdate]]),MONTH(OneWeekMtgRatesDataTable756[[#This Row],[asofdate]]),DAY(OneWeekMtgRatesDataTable756[[#This Row],[asofdate]]))</f>
        <v>40675</v>
      </c>
      <c r="E1128" s="50" t="s">
        <v>11</v>
      </c>
      <c r="F1128" s="57">
        <v>0.19800000000000001</v>
      </c>
    </row>
    <row r="1129" spans="2:6">
      <c r="B1129" s="50" t="s">
        <v>21</v>
      </c>
      <c r="C1129" s="50" t="s">
        <v>528</v>
      </c>
      <c r="D1129" s="50">
        <f>DATE(YEAR(OneWeekMtgRatesDataTable756[[#This Row],[asofdate]]),MONTH(OneWeekMtgRatesDataTable756[[#This Row],[asofdate]]),DAY(OneWeekMtgRatesDataTable756[[#This Row],[asofdate]]))</f>
        <v>40674</v>
      </c>
      <c r="E1129" s="50" t="s">
        <v>11</v>
      </c>
      <c r="F1129" s="57">
        <v>0.19875000000000001</v>
      </c>
    </row>
    <row r="1130" spans="2:6">
      <c r="B1130" s="50" t="s">
        <v>21</v>
      </c>
      <c r="C1130" s="50" t="s">
        <v>527</v>
      </c>
      <c r="D1130" s="50">
        <f>DATE(YEAR(OneWeekMtgRatesDataTable756[[#This Row],[asofdate]]),MONTH(OneWeekMtgRatesDataTable756[[#This Row],[asofdate]]),DAY(OneWeekMtgRatesDataTable756[[#This Row],[asofdate]]))</f>
        <v>40673</v>
      </c>
      <c r="E1130" s="50" t="s">
        <v>11</v>
      </c>
      <c r="F1130" s="57">
        <v>0.20025000000000001</v>
      </c>
    </row>
    <row r="1131" spans="2:6">
      <c r="B1131" s="50" t="s">
        <v>21</v>
      </c>
      <c r="C1131" s="50" t="s">
        <v>526</v>
      </c>
      <c r="D1131" s="50">
        <f>DATE(YEAR(OneWeekMtgRatesDataTable756[[#This Row],[asofdate]]),MONTH(OneWeekMtgRatesDataTable756[[#This Row],[asofdate]]),DAY(OneWeekMtgRatesDataTable756[[#This Row],[asofdate]]))</f>
        <v>40672</v>
      </c>
      <c r="E1131" s="50" t="s">
        <v>11</v>
      </c>
      <c r="F1131" s="57">
        <v>0.20185</v>
      </c>
    </row>
    <row r="1132" spans="2:6">
      <c r="B1132" s="50" t="s">
        <v>21</v>
      </c>
      <c r="C1132" s="50" t="s">
        <v>525</v>
      </c>
      <c r="D1132" s="50">
        <f>DATE(YEAR(OneWeekMtgRatesDataTable756[[#This Row],[asofdate]]),MONTH(OneWeekMtgRatesDataTable756[[#This Row],[asofdate]]),DAY(OneWeekMtgRatesDataTable756[[#This Row],[asofdate]]))</f>
        <v>40669</v>
      </c>
      <c r="E1132" s="50" t="s">
        <v>11</v>
      </c>
      <c r="F1132" s="57">
        <v>0.20385</v>
      </c>
    </row>
    <row r="1133" spans="2:6">
      <c r="B1133" s="50" t="s">
        <v>21</v>
      </c>
      <c r="C1133" s="50" t="s">
        <v>524</v>
      </c>
      <c r="D1133" s="50">
        <f>DATE(YEAR(OneWeekMtgRatesDataTable756[[#This Row],[asofdate]]),MONTH(OneWeekMtgRatesDataTable756[[#This Row],[asofdate]]),DAY(OneWeekMtgRatesDataTable756[[#This Row],[asofdate]]))</f>
        <v>40668</v>
      </c>
      <c r="E1133" s="50" t="s">
        <v>11</v>
      </c>
      <c r="F1133" s="57">
        <v>0.20619999999999999</v>
      </c>
    </row>
    <row r="1134" spans="2:6">
      <c r="B1134" s="50" t="s">
        <v>21</v>
      </c>
      <c r="C1134" s="50" t="s">
        <v>523</v>
      </c>
      <c r="D1134" s="50">
        <f>DATE(YEAR(OneWeekMtgRatesDataTable756[[#This Row],[asofdate]]),MONTH(OneWeekMtgRatesDataTable756[[#This Row],[asofdate]]),DAY(OneWeekMtgRatesDataTable756[[#This Row],[asofdate]]))</f>
        <v>40667</v>
      </c>
      <c r="E1134" s="50" t="s">
        <v>11</v>
      </c>
      <c r="F1134" s="57">
        <v>0.20899999999999999</v>
      </c>
    </row>
    <row r="1135" spans="2:6">
      <c r="B1135" s="50" t="s">
        <v>21</v>
      </c>
      <c r="C1135" s="50" t="s">
        <v>522</v>
      </c>
      <c r="D1135" s="50">
        <f>DATE(YEAR(OneWeekMtgRatesDataTable756[[#This Row],[asofdate]]),MONTH(OneWeekMtgRatesDataTable756[[#This Row],[asofdate]]),DAY(OneWeekMtgRatesDataTable756[[#This Row],[asofdate]]))</f>
        <v>40666</v>
      </c>
      <c r="E1135" s="50" t="s">
        <v>11</v>
      </c>
      <c r="F1135" s="57">
        <v>0.20949999999999999</v>
      </c>
    </row>
    <row r="1136" spans="2:6">
      <c r="B1136" s="50" t="s">
        <v>21</v>
      </c>
      <c r="C1136" s="50" t="s">
        <v>521</v>
      </c>
      <c r="D1136" s="50">
        <f>DATE(YEAR(OneWeekMtgRatesDataTable756[[#This Row],[asofdate]]),MONTH(OneWeekMtgRatesDataTable756[[#This Row],[asofdate]]),DAY(OneWeekMtgRatesDataTable756[[#This Row],[asofdate]]))</f>
        <v>40665</v>
      </c>
      <c r="E1136" s="50" t="s">
        <v>11</v>
      </c>
      <c r="F1136" s="57">
        <v>0.21024999999999999</v>
      </c>
    </row>
    <row r="1137" spans="2:6">
      <c r="B1137" s="50" t="s">
        <v>21</v>
      </c>
      <c r="C1137" s="50" t="s">
        <v>520</v>
      </c>
      <c r="D1137" s="50">
        <f>DATE(YEAR(OneWeekMtgRatesDataTable756[[#This Row],[asofdate]]),MONTH(OneWeekMtgRatesDataTable756[[#This Row],[asofdate]]),DAY(OneWeekMtgRatesDataTable756[[#This Row],[asofdate]]))</f>
        <v>40662</v>
      </c>
      <c r="E1137" s="50" t="s">
        <v>11</v>
      </c>
      <c r="F1137" s="57">
        <v>0.21024999999999999</v>
      </c>
    </row>
    <row r="1138" spans="2:6">
      <c r="B1138" s="50" t="s">
        <v>21</v>
      </c>
      <c r="C1138" s="50" t="s">
        <v>519</v>
      </c>
      <c r="D1138" s="50">
        <f>DATE(YEAR(OneWeekMtgRatesDataTable756[[#This Row],[asofdate]]),MONTH(OneWeekMtgRatesDataTable756[[#This Row],[asofdate]]),DAY(OneWeekMtgRatesDataTable756[[#This Row],[asofdate]]))</f>
        <v>40661</v>
      </c>
      <c r="E1138" s="50" t="s">
        <v>11</v>
      </c>
      <c r="F1138" s="57">
        <v>0.21024999999999999</v>
      </c>
    </row>
    <row r="1139" spans="2:6">
      <c r="B1139" s="50" t="s">
        <v>21</v>
      </c>
      <c r="C1139" s="50" t="s">
        <v>518</v>
      </c>
      <c r="D1139" s="50">
        <f>DATE(YEAR(OneWeekMtgRatesDataTable756[[#This Row],[asofdate]]),MONTH(OneWeekMtgRatesDataTable756[[#This Row],[asofdate]]),DAY(OneWeekMtgRatesDataTable756[[#This Row],[asofdate]]))</f>
        <v>40660</v>
      </c>
      <c r="E1139" s="50" t="s">
        <v>11</v>
      </c>
      <c r="F1139" s="57">
        <v>0.21049999999999999</v>
      </c>
    </row>
    <row r="1140" spans="2:6">
      <c r="B1140" s="50" t="s">
        <v>21</v>
      </c>
      <c r="C1140" s="50" t="s">
        <v>517</v>
      </c>
      <c r="D1140" s="50">
        <f>DATE(YEAR(OneWeekMtgRatesDataTable756[[#This Row],[asofdate]]),MONTH(OneWeekMtgRatesDataTable756[[#This Row],[asofdate]]),DAY(OneWeekMtgRatesDataTable756[[#This Row],[asofdate]]))</f>
        <v>40659</v>
      </c>
      <c r="E1140" s="50" t="s">
        <v>11</v>
      </c>
      <c r="F1140" s="57">
        <v>0.21135000000000001</v>
      </c>
    </row>
    <row r="1141" spans="2:6">
      <c r="B1141" s="50" t="s">
        <v>21</v>
      </c>
      <c r="C1141" s="50" t="s">
        <v>516</v>
      </c>
      <c r="D1141" s="50">
        <f>DATE(YEAR(OneWeekMtgRatesDataTable756[[#This Row],[asofdate]]),MONTH(OneWeekMtgRatesDataTable756[[#This Row],[asofdate]]),DAY(OneWeekMtgRatesDataTable756[[#This Row],[asofdate]]))</f>
        <v>40658</v>
      </c>
      <c r="E1141" s="50" t="s">
        <v>11</v>
      </c>
      <c r="F1141" s="57">
        <v>0.21260000000000001</v>
      </c>
    </row>
    <row r="1142" spans="2:6">
      <c r="B1142" s="50" t="s">
        <v>21</v>
      </c>
      <c r="C1142" s="50" t="s">
        <v>515</v>
      </c>
      <c r="D1142" s="50">
        <f>DATE(YEAR(OneWeekMtgRatesDataTable756[[#This Row],[asofdate]]),MONTH(OneWeekMtgRatesDataTable756[[#This Row],[asofdate]]),DAY(OneWeekMtgRatesDataTable756[[#This Row],[asofdate]]))</f>
        <v>40654</v>
      </c>
      <c r="E1142" s="50" t="s">
        <v>11</v>
      </c>
      <c r="F1142" s="57">
        <v>0.21260000000000001</v>
      </c>
    </row>
    <row r="1143" spans="2:6">
      <c r="B1143" s="50" t="s">
        <v>21</v>
      </c>
      <c r="C1143" s="50" t="s">
        <v>514</v>
      </c>
      <c r="D1143" s="50">
        <f>DATE(YEAR(OneWeekMtgRatesDataTable756[[#This Row],[asofdate]]),MONTH(OneWeekMtgRatesDataTable756[[#This Row],[asofdate]]),DAY(OneWeekMtgRatesDataTable756[[#This Row],[asofdate]]))</f>
        <v>40653</v>
      </c>
      <c r="E1143" s="50" t="s">
        <v>11</v>
      </c>
      <c r="F1143" s="57">
        <v>0.21260000000000001</v>
      </c>
    </row>
    <row r="1144" spans="2:6">
      <c r="B1144" s="50" t="s">
        <v>21</v>
      </c>
      <c r="C1144" s="50" t="s">
        <v>513</v>
      </c>
      <c r="D1144" s="50">
        <f>DATE(YEAR(OneWeekMtgRatesDataTable756[[#This Row],[asofdate]]),MONTH(OneWeekMtgRatesDataTable756[[#This Row],[asofdate]]),DAY(OneWeekMtgRatesDataTable756[[#This Row],[asofdate]]))</f>
        <v>40652</v>
      </c>
      <c r="E1144" s="50" t="s">
        <v>11</v>
      </c>
      <c r="F1144" s="57">
        <v>0.21260000000000001</v>
      </c>
    </row>
    <row r="1145" spans="2:6">
      <c r="B1145" s="50" t="s">
        <v>21</v>
      </c>
      <c r="C1145" s="50" t="s">
        <v>512</v>
      </c>
      <c r="D1145" s="50">
        <f>DATE(YEAR(OneWeekMtgRatesDataTable756[[#This Row],[asofdate]]),MONTH(OneWeekMtgRatesDataTable756[[#This Row],[asofdate]]),DAY(OneWeekMtgRatesDataTable756[[#This Row],[asofdate]]))</f>
        <v>40651</v>
      </c>
      <c r="E1145" s="50" t="s">
        <v>11</v>
      </c>
      <c r="F1145" s="57">
        <v>0.21295</v>
      </c>
    </row>
    <row r="1146" spans="2:6">
      <c r="B1146" s="50" t="s">
        <v>21</v>
      </c>
      <c r="C1146" s="50" t="s">
        <v>511</v>
      </c>
      <c r="D1146" s="50">
        <f>DATE(YEAR(OneWeekMtgRatesDataTable756[[#This Row],[asofdate]]),MONTH(OneWeekMtgRatesDataTable756[[#This Row],[asofdate]]),DAY(OneWeekMtgRatesDataTable756[[#This Row],[asofdate]]))</f>
        <v>40648</v>
      </c>
      <c r="E1146" s="50" t="s">
        <v>11</v>
      </c>
      <c r="F1146" s="57">
        <v>0.21375</v>
      </c>
    </row>
    <row r="1147" spans="2:6">
      <c r="B1147" s="50" t="s">
        <v>21</v>
      </c>
      <c r="C1147" s="50" t="s">
        <v>510</v>
      </c>
      <c r="D1147" s="50">
        <f>DATE(YEAR(OneWeekMtgRatesDataTable756[[#This Row],[asofdate]]),MONTH(OneWeekMtgRatesDataTable756[[#This Row],[asofdate]]),DAY(OneWeekMtgRatesDataTable756[[#This Row],[asofdate]]))</f>
        <v>40647</v>
      </c>
      <c r="E1147" s="50" t="s">
        <v>11</v>
      </c>
      <c r="F1147" s="57">
        <v>0.21584999999999999</v>
      </c>
    </row>
    <row r="1148" spans="2:6">
      <c r="B1148" s="50" t="s">
        <v>21</v>
      </c>
      <c r="C1148" s="50" t="s">
        <v>509</v>
      </c>
      <c r="D1148" s="50">
        <f>DATE(YEAR(OneWeekMtgRatesDataTable756[[#This Row],[asofdate]]),MONTH(OneWeekMtgRatesDataTable756[[#This Row],[asofdate]]),DAY(OneWeekMtgRatesDataTable756[[#This Row],[asofdate]]))</f>
        <v>40646</v>
      </c>
      <c r="E1148" s="50" t="s">
        <v>11</v>
      </c>
      <c r="F1148" s="57">
        <v>0.21875</v>
      </c>
    </row>
    <row r="1149" spans="2:6">
      <c r="B1149" s="50" t="s">
        <v>21</v>
      </c>
      <c r="C1149" s="50" t="s">
        <v>508</v>
      </c>
      <c r="D1149" s="50">
        <f>DATE(YEAR(OneWeekMtgRatesDataTable756[[#This Row],[asofdate]]),MONTH(OneWeekMtgRatesDataTable756[[#This Row],[asofdate]]),DAY(OneWeekMtgRatesDataTable756[[#This Row],[asofdate]]))</f>
        <v>40645</v>
      </c>
      <c r="E1149" s="50" t="s">
        <v>11</v>
      </c>
      <c r="F1149" s="57">
        <v>0.22109999999999999</v>
      </c>
    </row>
    <row r="1150" spans="2:6">
      <c r="B1150" s="50" t="s">
        <v>21</v>
      </c>
      <c r="C1150" s="50" t="s">
        <v>507</v>
      </c>
      <c r="D1150" s="50">
        <f>DATE(YEAR(OneWeekMtgRatesDataTable756[[#This Row],[asofdate]]),MONTH(OneWeekMtgRatesDataTable756[[#This Row],[asofdate]]),DAY(OneWeekMtgRatesDataTable756[[#This Row],[asofdate]]))</f>
        <v>40644</v>
      </c>
      <c r="E1150" s="50" t="s">
        <v>11</v>
      </c>
      <c r="F1150" s="57">
        <v>0.2238</v>
      </c>
    </row>
    <row r="1151" spans="2:6">
      <c r="B1151" s="50" t="s">
        <v>21</v>
      </c>
      <c r="C1151" s="50" t="s">
        <v>506</v>
      </c>
      <c r="D1151" s="50">
        <f>DATE(YEAR(OneWeekMtgRatesDataTable756[[#This Row],[asofdate]]),MONTH(OneWeekMtgRatesDataTable756[[#This Row],[asofdate]]),DAY(OneWeekMtgRatesDataTable756[[#This Row],[asofdate]]))</f>
        <v>40641</v>
      </c>
      <c r="E1151" s="50" t="s">
        <v>11</v>
      </c>
      <c r="F1151" s="57">
        <v>0.22650000000000001</v>
      </c>
    </row>
    <row r="1152" spans="2:6">
      <c r="B1152" s="50" t="s">
        <v>21</v>
      </c>
      <c r="C1152" s="50" t="s">
        <v>505</v>
      </c>
      <c r="D1152" s="50">
        <f>DATE(YEAR(OneWeekMtgRatesDataTable756[[#This Row],[asofdate]]),MONTH(OneWeekMtgRatesDataTable756[[#This Row],[asofdate]]),DAY(OneWeekMtgRatesDataTable756[[#This Row],[asofdate]]))</f>
        <v>40640</v>
      </c>
      <c r="E1152" s="50" t="s">
        <v>11</v>
      </c>
      <c r="F1152" s="57">
        <v>0.23138</v>
      </c>
    </row>
    <row r="1153" spans="2:6">
      <c r="B1153" s="50" t="s">
        <v>21</v>
      </c>
      <c r="C1153" s="50" t="s">
        <v>504</v>
      </c>
      <c r="D1153" s="50">
        <f>DATE(YEAR(OneWeekMtgRatesDataTable756[[#This Row],[asofdate]]),MONTH(OneWeekMtgRatesDataTable756[[#This Row],[asofdate]]),DAY(OneWeekMtgRatesDataTable756[[#This Row],[asofdate]]))</f>
        <v>40639</v>
      </c>
      <c r="E1153" s="50" t="s">
        <v>11</v>
      </c>
      <c r="F1153" s="57">
        <v>0.23350000000000001</v>
      </c>
    </row>
    <row r="1154" spans="2:6">
      <c r="B1154" s="50" t="s">
        <v>21</v>
      </c>
      <c r="C1154" s="50" t="s">
        <v>503</v>
      </c>
      <c r="D1154" s="50">
        <f>DATE(YEAR(OneWeekMtgRatesDataTable756[[#This Row],[asofdate]]),MONTH(OneWeekMtgRatesDataTable756[[#This Row],[asofdate]]),DAY(OneWeekMtgRatesDataTable756[[#This Row],[asofdate]]))</f>
        <v>40638</v>
      </c>
      <c r="E1154" s="50" t="s">
        <v>11</v>
      </c>
      <c r="F1154" s="57">
        <v>0.23549999999999999</v>
      </c>
    </row>
    <row r="1155" spans="2:6">
      <c r="B1155" s="50" t="s">
        <v>21</v>
      </c>
      <c r="C1155" s="50" t="s">
        <v>502</v>
      </c>
      <c r="D1155" s="50">
        <f>DATE(YEAR(OneWeekMtgRatesDataTable756[[#This Row],[asofdate]]),MONTH(OneWeekMtgRatesDataTable756[[#This Row],[asofdate]]),DAY(OneWeekMtgRatesDataTable756[[#This Row],[asofdate]]))</f>
        <v>40637</v>
      </c>
      <c r="E1155" s="50" t="s">
        <v>11</v>
      </c>
      <c r="F1155" s="57">
        <v>0.2399</v>
      </c>
    </row>
    <row r="1156" spans="2:6">
      <c r="B1156" s="50" t="s">
        <v>21</v>
      </c>
      <c r="C1156" s="50" t="s">
        <v>501</v>
      </c>
      <c r="D1156" s="50">
        <f>DATE(YEAR(OneWeekMtgRatesDataTable756[[#This Row],[asofdate]]),MONTH(OneWeekMtgRatesDataTable756[[#This Row],[asofdate]]),DAY(OneWeekMtgRatesDataTable756[[#This Row],[asofdate]]))</f>
        <v>40634</v>
      </c>
      <c r="E1156" s="50" t="s">
        <v>11</v>
      </c>
      <c r="F1156" s="57">
        <v>0.24295</v>
      </c>
    </row>
    <row r="1157" spans="2:6">
      <c r="B1157" s="50" t="s">
        <v>21</v>
      </c>
      <c r="C1157" s="50" t="s">
        <v>500</v>
      </c>
      <c r="D1157" s="50">
        <f>DATE(YEAR(OneWeekMtgRatesDataTable756[[#This Row],[asofdate]]),MONTH(OneWeekMtgRatesDataTable756[[#This Row],[asofdate]]),DAY(OneWeekMtgRatesDataTable756[[#This Row],[asofdate]]))</f>
        <v>40633</v>
      </c>
      <c r="E1157" s="50" t="s">
        <v>11</v>
      </c>
      <c r="F1157" s="57">
        <v>0.24345</v>
      </c>
    </row>
    <row r="1158" spans="2:6">
      <c r="B1158" s="50" t="s">
        <v>21</v>
      </c>
      <c r="C1158" s="50" t="s">
        <v>499</v>
      </c>
      <c r="D1158" s="50">
        <f>DATE(YEAR(OneWeekMtgRatesDataTable756[[#This Row],[asofdate]]),MONTH(OneWeekMtgRatesDataTable756[[#This Row],[asofdate]]),DAY(OneWeekMtgRatesDataTable756[[#This Row],[asofdate]]))</f>
        <v>40632</v>
      </c>
      <c r="E1158" s="50" t="s">
        <v>11</v>
      </c>
      <c r="F1158" s="57">
        <v>0.24379999999999999</v>
      </c>
    </row>
    <row r="1159" spans="2:6">
      <c r="B1159" s="50" t="s">
        <v>21</v>
      </c>
      <c r="C1159" s="50" t="s">
        <v>498</v>
      </c>
      <c r="D1159" s="50">
        <f>DATE(YEAR(OneWeekMtgRatesDataTable756[[#This Row],[asofdate]]),MONTH(OneWeekMtgRatesDataTable756[[#This Row],[asofdate]]),DAY(OneWeekMtgRatesDataTable756[[#This Row],[asofdate]]))</f>
        <v>40631</v>
      </c>
      <c r="E1159" s="50" t="s">
        <v>11</v>
      </c>
      <c r="F1159" s="57">
        <v>0.24615000000000001</v>
      </c>
    </row>
    <row r="1160" spans="2:6">
      <c r="B1160" s="50" t="s">
        <v>21</v>
      </c>
      <c r="C1160" s="50" t="s">
        <v>497</v>
      </c>
      <c r="D1160" s="50">
        <f>DATE(YEAR(OneWeekMtgRatesDataTable756[[#This Row],[asofdate]]),MONTH(OneWeekMtgRatesDataTable756[[#This Row],[asofdate]]),DAY(OneWeekMtgRatesDataTable756[[#This Row],[asofdate]]))</f>
        <v>40630</v>
      </c>
      <c r="E1160" s="50" t="s">
        <v>11</v>
      </c>
      <c r="F1160" s="57">
        <v>0.24765000000000001</v>
      </c>
    </row>
    <row r="1161" spans="2:6">
      <c r="B1161" s="50" t="s">
        <v>21</v>
      </c>
      <c r="C1161" s="50" t="s">
        <v>496</v>
      </c>
      <c r="D1161" s="50">
        <f>DATE(YEAR(OneWeekMtgRatesDataTable756[[#This Row],[asofdate]]),MONTH(OneWeekMtgRatesDataTable756[[#This Row],[asofdate]]),DAY(OneWeekMtgRatesDataTable756[[#This Row],[asofdate]]))</f>
        <v>40627</v>
      </c>
      <c r="E1161" s="50" t="s">
        <v>11</v>
      </c>
      <c r="F1161" s="57">
        <v>0.24825</v>
      </c>
    </row>
    <row r="1162" spans="2:6">
      <c r="B1162" s="50" t="s">
        <v>21</v>
      </c>
      <c r="C1162" s="50" t="s">
        <v>495</v>
      </c>
      <c r="D1162" s="50">
        <f>DATE(YEAR(OneWeekMtgRatesDataTable756[[#This Row],[asofdate]]),MONTH(OneWeekMtgRatesDataTable756[[#This Row],[asofdate]]),DAY(OneWeekMtgRatesDataTable756[[#This Row],[asofdate]]))</f>
        <v>40626</v>
      </c>
      <c r="E1162" s="50" t="s">
        <v>11</v>
      </c>
      <c r="F1162" s="57">
        <v>0.24825</v>
      </c>
    </row>
    <row r="1163" spans="2:6">
      <c r="B1163" s="50" t="s">
        <v>21</v>
      </c>
      <c r="C1163" s="50" t="s">
        <v>494</v>
      </c>
      <c r="D1163" s="50">
        <f>DATE(YEAR(OneWeekMtgRatesDataTable756[[#This Row],[asofdate]]),MONTH(OneWeekMtgRatesDataTable756[[#This Row],[asofdate]]),DAY(OneWeekMtgRatesDataTable756[[#This Row],[asofdate]]))</f>
        <v>40625</v>
      </c>
      <c r="E1163" s="50" t="s">
        <v>11</v>
      </c>
      <c r="F1163" s="57">
        <v>0.2495</v>
      </c>
    </row>
    <row r="1164" spans="2:6">
      <c r="B1164" s="50" t="s">
        <v>21</v>
      </c>
      <c r="C1164" s="50" t="s">
        <v>493</v>
      </c>
      <c r="D1164" s="50">
        <f>DATE(YEAR(OneWeekMtgRatesDataTable756[[#This Row],[asofdate]]),MONTH(OneWeekMtgRatesDataTable756[[#This Row],[asofdate]]),DAY(OneWeekMtgRatesDataTable756[[#This Row],[asofdate]]))</f>
        <v>40624</v>
      </c>
      <c r="E1164" s="50" t="s">
        <v>11</v>
      </c>
      <c r="F1164" s="57">
        <v>0.252</v>
      </c>
    </row>
    <row r="1165" spans="2:6">
      <c r="B1165" s="50" t="s">
        <v>21</v>
      </c>
      <c r="C1165" s="50" t="s">
        <v>492</v>
      </c>
      <c r="D1165" s="50">
        <f>DATE(YEAR(OneWeekMtgRatesDataTable756[[#This Row],[asofdate]]),MONTH(OneWeekMtgRatesDataTable756[[#This Row],[asofdate]]),DAY(OneWeekMtgRatesDataTable756[[#This Row],[asofdate]]))</f>
        <v>40623</v>
      </c>
      <c r="E1165" s="50" t="s">
        <v>11</v>
      </c>
      <c r="F1165" s="57">
        <v>0.2525</v>
      </c>
    </row>
    <row r="1166" spans="2:6">
      <c r="B1166" s="50" t="s">
        <v>21</v>
      </c>
      <c r="C1166" s="50" t="s">
        <v>491</v>
      </c>
      <c r="D1166" s="50">
        <f>DATE(YEAR(OneWeekMtgRatesDataTable756[[#This Row],[asofdate]]),MONTH(OneWeekMtgRatesDataTable756[[#This Row],[asofdate]]),DAY(OneWeekMtgRatesDataTable756[[#This Row],[asofdate]]))</f>
        <v>40620</v>
      </c>
      <c r="E1166" s="50" t="s">
        <v>11</v>
      </c>
      <c r="F1166" s="57">
        <v>0.2535</v>
      </c>
    </row>
    <row r="1167" spans="2:6">
      <c r="B1167" s="50" t="s">
        <v>21</v>
      </c>
      <c r="C1167" s="50" t="s">
        <v>490</v>
      </c>
      <c r="D1167" s="50">
        <f>DATE(YEAR(OneWeekMtgRatesDataTable756[[#This Row],[asofdate]]),MONTH(OneWeekMtgRatesDataTable756[[#This Row],[asofdate]]),DAY(OneWeekMtgRatesDataTable756[[#This Row],[asofdate]]))</f>
        <v>40619</v>
      </c>
      <c r="E1167" s="50" t="s">
        <v>11</v>
      </c>
      <c r="F1167" s="57">
        <v>0.2535</v>
      </c>
    </row>
    <row r="1168" spans="2:6">
      <c r="B1168" s="50" t="s">
        <v>21</v>
      </c>
      <c r="C1168" s="50" t="s">
        <v>489</v>
      </c>
      <c r="D1168" s="50">
        <f>DATE(YEAR(OneWeekMtgRatesDataTable756[[#This Row],[asofdate]]),MONTH(OneWeekMtgRatesDataTable756[[#This Row],[asofdate]]),DAY(OneWeekMtgRatesDataTable756[[#This Row],[asofdate]]))</f>
        <v>40618</v>
      </c>
      <c r="E1168" s="50" t="s">
        <v>11</v>
      </c>
      <c r="F1168" s="57">
        <v>0.2535</v>
      </c>
    </row>
    <row r="1169" spans="2:6">
      <c r="B1169" s="50" t="s">
        <v>21</v>
      </c>
      <c r="C1169" s="50" t="s">
        <v>488</v>
      </c>
      <c r="D1169" s="50">
        <f>DATE(YEAR(OneWeekMtgRatesDataTable756[[#This Row],[asofdate]]),MONTH(OneWeekMtgRatesDataTable756[[#This Row],[asofdate]]),DAY(OneWeekMtgRatesDataTable756[[#This Row],[asofdate]]))</f>
        <v>40617</v>
      </c>
      <c r="E1169" s="50" t="s">
        <v>11</v>
      </c>
      <c r="F1169" s="57">
        <v>0.2535</v>
      </c>
    </row>
    <row r="1170" spans="2:6">
      <c r="B1170" s="50" t="s">
        <v>21</v>
      </c>
      <c r="C1170" s="50" t="s">
        <v>487</v>
      </c>
      <c r="D1170" s="50">
        <f>DATE(YEAR(OneWeekMtgRatesDataTable756[[#This Row],[asofdate]]),MONTH(OneWeekMtgRatesDataTable756[[#This Row],[asofdate]]),DAY(OneWeekMtgRatesDataTable756[[#This Row],[asofdate]]))</f>
        <v>40616</v>
      </c>
      <c r="E1170" s="50" t="s">
        <v>11</v>
      </c>
      <c r="F1170" s="57">
        <v>0.2535</v>
      </c>
    </row>
    <row r="1171" spans="2:6">
      <c r="B1171" s="50" t="s">
        <v>21</v>
      </c>
      <c r="C1171" s="50" t="s">
        <v>486</v>
      </c>
      <c r="D1171" s="50">
        <f>DATE(YEAR(OneWeekMtgRatesDataTable756[[#This Row],[asofdate]]),MONTH(OneWeekMtgRatesDataTable756[[#This Row],[asofdate]]),DAY(OneWeekMtgRatesDataTable756[[#This Row],[asofdate]]))</f>
        <v>40613</v>
      </c>
      <c r="E1171" s="50" t="s">
        <v>11</v>
      </c>
      <c r="F1171" s="57">
        <v>0.255</v>
      </c>
    </row>
    <row r="1172" spans="2:6">
      <c r="B1172" s="50" t="s">
        <v>21</v>
      </c>
      <c r="C1172" s="50" t="s">
        <v>485</v>
      </c>
      <c r="D1172" s="50">
        <f>DATE(YEAR(OneWeekMtgRatesDataTable756[[#This Row],[asofdate]]),MONTH(OneWeekMtgRatesDataTable756[[#This Row],[asofdate]]),DAY(OneWeekMtgRatesDataTable756[[#This Row],[asofdate]]))</f>
        <v>40612</v>
      </c>
      <c r="E1172" s="50" t="s">
        <v>11</v>
      </c>
      <c r="F1172" s="57">
        <v>0.2555</v>
      </c>
    </row>
    <row r="1173" spans="2:6">
      <c r="B1173" s="50" t="s">
        <v>21</v>
      </c>
      <c r="C1173" s="50" t="s">
        <v>484</v>
      </c>
      <c r="D1173" s="50">
        <f>DATE(YEAR(OneWeekMtgRatesDataTable756[[#This Row],[asofdate]]),MONTH(OneWeekMtgRatesDataTable756[[#This Row],[asofdate]]),DAY(OneWeekMtgRatesDataTable756[[#This Row],[asofdate]]))</f>
        <v>40611</v>
      </c>
      <c r="E1173" s="50" t="s">
        <v>11</v>
      </c>
      <c r="F1173" s="57">
        <v>0.25800000000000001</v>
      </c>
    </row>
    <row r="1174" spans="2:6">
      <c r="B1174" s="50" t="s">
        <v>21</v>
      </c>
      <c r="C1174" s="50" t="s">
        <v>483</v>
      </c>
      <c r="D1174" s="50">
        <f>DATE(YEAR(OneWeekMtgRatesDataTable756[[#This Row],[asofdate]]),MONTH(OneWeekMtgRatesDataTable756[[#This Row],[asofdate]]),DAY(OneWeekMtgRatesDataTable756[[#This Row],[asofdate]]))</f>
        <v>40610</v>
      </c>
      <c r="E1174" s="50" t="s">
        <v>11</v>
      </c>
      <c r="F1174" s="57">
        <v>0.25800000000000001</v>
      </c>
    </row>
    <row r="1175" spans="2:6">
      <c r="B1175" s="50" t="s">
        <v>21</v>
      </c>
      <c r="C1175" s="50" t="s">
        <v>482</v>
      </c>
      <c r="D1175" s="50">
        <f>DATE(YEAR(OneWeekMtgRatesDataTable756[[#This Row],[asofdate]]),MONTH(OneWeekMtgRatesDataTable756[[#This Row],[asofdate]]),DAY(OneWeekMtgRatesDataTable756[[#This Row],[asofdate]]))</f>
        <v>40609</v>
      </c>
      <c r="E1175" s="50" t="s">
        <v>11</v>
      </c>
      <c r="F1175" s="57">
        <v>0.25900000000000001</v>
      </c>
    </row>
    <row r="1176" spans="2:6">
      <c r="B1176" s="50" t="s">
        <v>21</v>
      </c>
      <c r="C1176" s="50" t="s">
        <v>481</v>
      </c>
      <c r="D1176" s="50">
        <f>DATE(YEAR(OneWeekMtgRatesDataTable756[[#This Row],[asofdate]]),MONTH(OneWeekMtgRatesDataTable756[[#This Row],[asofdate]]),DAY(OneWeekMtgRatesDataTable756[[#This Row],[asofdate]]))</f>
        <v>40606</v>
      </c>
      <c r="E1176" s="50" t="s">
        <v>11</v>
      </c>
      <c r="F1176" s="57">
        <v>0.26</v>
      </c>
    </row>
    <row r="1177" spans="2:6">
      <c r="B1177" s="50" t="s">
        <v>21</v>
      </c>
      <c r="C1177" s="50" t="s">
        <v>480</v>
      </c>
      <c r="D1177" s="50">
        <f>DATE(YEAR(OneWeekMtgRatesDataTable756[[#This Row],[asofdate]]),MONTH(OneWeekMtgRatesDataTable756[[#This Row],[asofdate]]),DAY(OneWeekMtgRatesDataTable756[[#This Row],[asofdate]]))</f>
        <v>40605</v>
      </c>
      <c r="E1177" s="50" t="s">
        <v>11</v>
      </c>
      <c r="F1177" s="57">
        <v>0.26</v>
      </c>
    </row>
    <row r="1178" spans="2:6">
      <c r="B1178" s="50" t="s">
        <v>21</v>
      </c>
      <c r="C1178" s="50" t="s">
        <v>479</v>
      </c>
      <c r="D1178" s="50">
        <f>DATE(YEAR(OneWeekMtgRatesDataTable756[[#This Row],[asofdate]]),MONTH(OneWeekMtgRatesDataTable756[[#This Row],[asofdate]]),DAY(OneWeekMtgRatesDataTable756[[#This Row],[asofdate]]))</f>
        <v>40604</v>
      </c>
      <c r="E1178" s="50" t="s">
        <v>11</v>
      </c>
      <c r="F1178" s="57">
        <v>0.26</v>
      </c>
    </row>
    <row r="1179" spans="2:6">
      <c r="B1179" s="50" t="s">
        <v>21</v>
      </c>
      <c r="C1179" s="50" t="s">
        <v>478</v>
      </c>
      <c r="D1179" s="50">
        <f>DATE(YEAR(OneWeekMtgRatesDataTable756[[#This Row],[asofdate]]),MONTH(OneWeekMtgRatesDataTable756[[#This Row],[asofdate]]),DAY(OneWeekMtgRatesDataTable756[[#This Row],[asofdate]]))</f>
        <v>40603</v>
      </c>
      <c r="E1179" s="50" t="s">
        <v>11</v>
      </c>
      <c r="F1179" s="57">
        <v>0.26100000000000001</v>
      </c>
    </row>
    <row r="1180" spans="2:6">
      <c r="B1180" s="50" t="s">
        <v>21</v>
      </c>
      <c r="C1180" s="50" t="s">
        <v>477</v>
      </c>
      <c r="D1180" s="50">
        <f>DATE(YEAR(OneWeekMtgRatesDataTable756[[#This Row],[asofdate]]),MONTH(OneWeekMtgRatesDataTable756[[#This Row],[asofdate]]),DAY(OneWeekMtgRatesDataTable756[[#This Row],[asofdate]]))</f>
        <v>40602</v>
      </c>
      <c r="E1180" s="50" t="s">
        <v>11</v>
      </c>
      <c r="F1180" s="57">
        <v>0.26100000000000001</v>
      </c>
    </row>
    <row r="1181" spans="2:6">
      <c r="B1181" s="50" t="s">
        <v>21</v>
      </c>
      <c r="C1181" s="50" t="s">
        <v>476</v>
      </c>
      <c r="D1181" s="50">
        <f>DATE(YEAR(OneWeekMtgRatesDataTable756[[#This Row],[asofdate]]),MONTH(OneWeekMtgRatesDataTable756[[#This Row],[asofdate]]),DAY(OneWeekMtgRatesDataTable756[[#This Row],[asofdate]]))</f>
        <v>40599</v>
      </c>
      <c r="E1181" s="50" t="s">
        <v>11</v>
      </c>
      <c r="F1181" s="57">
        <v>0.26100000000000001</v>
      </c>
    </row>
    <row r="1182" spans="2:6">
      <c r="B1182" s="50" t="s">
        <v>21</v>
      </c>
      <c r="C1182" s="50" t="s">
        <v>475</v>
      </c>
      <c r="D1182" s="50">
        <f>DATE(YEAR(OneWeekMtgRatesDataTable756[[#This Row],[asofdate]]),MONTH(OneWeekMtgRatesDataTable756[[#This Row],[asofdate]]),DAY(OneWeekMtgRatesDataTable756[[#This Row],[asofdate]]))</f>
        <v>40598</v>
      </c>
      <c r="E1182" s="50" t="s">
        <v>11</v>
      </c>
      <c r="F1182" s="57">
        <v>0.26150000000000001</v>
      </c>
    </row>
    <row r="1183" spans="2:6">
      <c r="B1183" s="50" t="s">
        <v>21</v>
      </c>
      <c r="C1183" s="50" t="s">
        <v>474</v>
      </c>
      <c r="D1183" s="50">
        <f>DATE(YEAR(OneWeekMtgRatesDataTable756[[#This Row],[asofdate]]),MONTH(OneWeekMtgRatesDataTable756[[#This Row],[asofdate]]),DAY(OneWeekMtgRatesDataTable756[[#This Row],[asofdate]]))</f>
        <v>40597</v>
      </c>
      <c r="E1183" s="50" t="s">
        <v>11</v>
      </c>
      <c r="F1183" s="57">
        <v>0.26150000000000001</v>
      </c>
    </row>
    <row r="1184" spans="2:6">
      <c r="B1184" s="50" t="s">
        <v>21</v>
      </c>
      <c r="C1184" s="50" t="s">
        <v>473</v>
      </c>
      <c r="D1184" s="50">
        <f>DATE(YEAR(OneWeekMtgRatesDataTable756[[#This Row],[asofdate]]),MONTH(OneWeekMtgRatesDataTable756[[#This Row],[asofdate]]),DAY(OneWeekMtgRatesDataTable756[[#This Row],[asofdate]]))</f>
        <v>40596</v>
      </c>
      <c r="E1184" s="50" t="s">
        <v>11</v>
      </c>
      <c r="F1184" s="57">
        <v>0.26150000000000001</v>
      </c>
    </row>
    <row r="1185" spans="2:6">
      <c r="B1185" s="50" t="s">
        <v>21</v>
      </c>
      <c r="C1185" s="50" t="s">
        <v>472</v>
      </c>
      <c r="D1185" s="50">
        <f>DATE(YEAR(OneWeekMtgRatesDataTable756[[#This Row],[asofdate]]),MONTH(OneWeekMtgRatesDataTable756[[#This Row],[asofdate]]),DAY(OneWeekMtgRatesDataTable756[[#This Row],[asofdate]]))</f>
        <v>40592</v>
      </c>
      <c r="E1185" s="50" t="s">
        <v>11</v>
      </c>
      <c r="F1185" s="57">
        <v>0.26200000000000001</v>
      </c>
    </row>
    <row r="1186" spans="2:6">
      <c r="B1186" s="50" t="s">
        <v>21</v>
      </c>
      <c r="C1186" s="50" t="s">
        <v>471</v>
      </c>
      <c r="D1186" s="50">
        <f>DATE(YEAR(OneWeekMtgRatesDataTable756[[#This Row],[asofdate]]),MONTH(OneWeekMtgRatesDataTable756[[#This Row],[asofdate]]),DAY(OneWeekMtgRatesDataTable756[[#This Row],[asofdate]]))</f>
        <v>40591</v>
      </c>
      <c r="E1186" s="50" t="s">
        <v>11</v>
      </c>
      <c r="F1186" s="57">
        <v>0.26300000000000001</v>
      </c>
    </row>
    <row r="1187" spans="2:6">
      <c r="B1187" s="50" t="s">
        <v>21</v>
      </c>
      <c r="C1187" s="50" t="s">
        <v>470</v>
      </c>
      <c r="D1187" s="50">
        <f>DATE(YEAR(OneWeekMtgRatesDataTable756[[#This Row],[asofdate]]),MONTH(OneWeekMtgRatesDataTable756[[#This Row],[asofdate]]),DAY(OneWeekMtgRatesDataTable756[[#This Row],[asofdate]]))</f>
        <v>40590</v>
      </c>
      <c r="E1187" s="50" t="s">
        <v>11</v>
      </c>
      <c r="F1187" s="57">
        <v>0.26300000000000001</v>
      </c>
    </row>
    <row r="1188" spans="2:6">
      <c r="B1188" s="50" t="s">
        <v>21</v>
      </c>
      <c r="C1188" s="50" t="s">
        <v>469</v>
      </c>
      <c r="D1188" s="50">
        <f>DATE(YEAR(OneWeekMtgRatesDataTable756[[#This Row],[asofdate]]),MONTH(OneWeekMtgRatesDataTable756[[#This Row],[asofdate]]),DAY(OneWeekMtgRatesDataTable756[[#This Row],[asofdate]]))</f>
        <v>40589</v>
      </c>
      <c r="E1188" s="50" t="s">
        <v>11</v>
      </c>
      <c r="F1188" s="57">
        <v>0.26400000000000001</v>
      </c>
    </row>
    <row r="1189" spans="2:6">
      <c r="B1189" s="50" t="s">
        <v>21</v>
      </c>
      <c r="C1189" s="50" t="s">
        <v>468</v>
      </c>
      <c r="D1189" s="50">
        <f>DATE(YEAR(OneWeekMtgRatesDataTable756[[#This Row],[asofdate]]),MONTH(OneWeekMtgRatesDataTable756[[#This Row],[asofdate]]),DAY(OneWeekMtgRatesDataTable756[[#This Row],[asofdate]]))</f>
        <v>40588</v>
      </c>
      <c r="E1189" s="50" t="s">
        <v>11</v>
      </c>
      <c r="F1189" s="57">
        <v>0.26474999999999999</v>
      </c>
    </row>
    <row r="1190" spans="2:6">
      <c r="B1190" s="50" t="s">
        <v>21</v>
      </c>
      <c r="C1190" s="50" t="s">
        <v>467</v>
      </c>
      <c r="D1190" s="50">
        <f>DATE(YEAR(OneWeekMtgRatesDataTable756[[#This Row],[asofdate]]),MONTH(OneWeekMtgRatesDataTable756[[#This Row],[asofdate]]),DAY(OneWeekMtgRatesDataTable756[[#This Row],[asofdate]]))</f>
        <v>40585</v>
      </c>
      <c r="E1190" s="50" t="s">
        <v>11</v>
      </c>
      <c r="F1190" s="57">
        <v>0.26574999999999999</v>
      </c>
    </row>
    <row r="1191" spans="2:6">
      <c r="B1191" s="50" t="s">
        <v>21</v>
      </c>
      <c r="C1191" s="50" t="s">
        <v>466</v>
      </c>
      <c r="D1191" s="50">
        <f>DATE(YEAR(OneWeekMtgRatesDataTable756[[#This Row],[asofdate]]),MONTH(OneWeekMtgRatesDataTable756[[#This Row],[asofdate]]),DAY(OneWeekMtgRatesDataTable756[[#This Row],[asofdate]]))</f>
        <v>40584</v>
      </c>
      <c r="E1191" s="50" t="s">
        <v>11</v>
      </c>
      <c r="F1191" s="57">
        <v>0.26400000000000001</v>
      </c>
    </row>
    <row r="1192" spans="2:6">
      <c r="B1192" s="50" t="s">
        <v>21</v>
      </c>
      <c r="C1192" s="50" t="s">
        <v>465</v>
      </c>
      <c r="D1192" s="50">
        <f>DATE(YEAR(OneWeekMtgRatesDataTable756[[#This Row],[asofdate]]),MONTH(OneWeekMtgRatesDataTable756[[#This Row],[asofdate]]),DAY(OneWeekMtgRatesDataTable756[[#This Row],[asofdate]]))</f>
        <v>40583</v>
      </c>
      <c r="E1192" s="50" t="s">
        <v>11</v>
      </c>
      <c r="F1192" s="57">
        <v>0.26400000000000001</v>
      </c>
    </row>
    <row r="1193" spans="2:6">
      <c r="B1193" s="50" t="s">
        <v>21</v>
      </c>
      <c r="C1193" s="50" t="s">
        <v>464</v>
      </c>
      <c r="D1193" s="50">
        <f>DATE(YEAR(OneWeekMtgRatesDataTable756[[#This Row],[asofdate]]),MONTH(OneWeekMtgRatesDataTable756[[#This Row],[asofdate]]),DAY(OneWeekMtgRatesDataTable756[[#This Row],[asofdate]]))</f>
        <v>40582</v>
      </c>
      <c r="E1193" s="50" t="s">
        <v>11</v>
      </c>
      <c r="F1193" s="57">
        <v>0.26400000000000001</v>
      </c>
    </row>
    <row r="1194" spans="2:6">
      <c r="B1194" s="50" t="s">
        <v>21</v>
      </c>
      <c r="C1194" s="50" t="s">
        <v>463</v>
      </c>
      <c r="D1194" s="50">
        <f>DATE(YEAR(OneWeekMtgRatesDataTable756[[#This Row],[asofdate]]),MONTH(OneWeekMtgRatesDataTable756[[#This Row],[asofdate]]),DAY(OneWeekMtgRatesDataTable756[[#This Row],[asofdate]]))</f>
        <v>40581</v>
      </c>
      <c r="E1194" s="50" t="s">
        <v>11</v>
      </c>
      <c r="F1194" s="57">
        <v>0.26374999999999998</v>
      </c>
    </row>
    <row r="1195" spans="2:6">
      <c r="B1195" s="50" t="s">
        <v>21</v>
      </c>
      <c r="C1195" s="50" t="s">
        <v>462</v>
      </c>
      <c r="D1195" s="50">
        <f>DATE(YEAR(OneWeekMtgRatesDataTable756[[#This Row],[asofdate]]),MONTH(OneWeekMtgRatesDataTable756[[#This Row],[asofdate]]),DAY(OneWeekMtgRatesDataTable756[[#This Row],[asofdate]]))</f>
        <v>40578</v>
      </c>
      <c r="E1195" s="50" t="s">
        <v>11</v>
      </c>
      <c r="F1195" s="57">
        <v>0.26274999999999998</v>
      </c>
    </row>
    <row r="1196" spans="2:6">
      <c r="B1196" s="50" t="s">
        <v>21</v>
      </c>
      <c r="C1196" s="50" t="s">
        <v>461</v>
      </c>
      <c r="D1196" s="50">
        <f>DATE(YEAR(OneWeekMtgRatesDataTable756[[#This Row],[asofdate]]),MONTH(OneWeekMtgRatesDataTable756[[#This Row],[asofdate]]),DAY(OneWeekMtgRatesDataTable756[[#This Row],[asofdate]]))</f>
        <v>40577</v>
      </c>
      <c r="E1196" s="50" t="s">
        <v>11</v>
      </c>
      <c r="F1196" s="57">
        <v>0.26300000000000001</v>
      </c>
    </row>
    <row r="1197" spans="2:6">
      <c r="B1197" s="50" t="s">
        <v>21</v>
      </c>
      <c r="C1197" s="50" t="s">
        <v>460</v>
      </c>
      <c r="D1197" s="50">
        <f>DATE(YEAR(OneWeekMtgRatesDataTable756[[#This Row],[asofdate]]),MONTH(OneWeekMtgRatesDataTable756[[#This Row],[asofdate]]),DAY(OneWeekMtgRatesDataTable756[[#This Row],[asofdate]]))</f>
        <v>40576</v>
      </c>
      <c r="E1197" s="50" t="s">
        <v>11</v>
      </c>
      <c r="F1197" s="57">
        <v>0.26300000000000001</v>
      </c>
    </row>
    <row r="1198" spans="2:6">
      <c r="B1198" s="50" t="s">
        <v>21</v>
      </c>
      <c r="C1198" s="50" t="s">
        <v>459</v>
      </c>
      <c r="D1198" s="50">
        <f>DATE(YEAR(OneWeekMtgRatesDataTable756[[#This Row],[asofdate]]),MONTH(OneWeekMtgRatesDataTable756[[#This Row],[asofdate]]),DAY(OneWeekMtgRatesDataTable756[[#This Row],[asofdate]]))</f>
        <v>40575</v>
      </c>
      <c r="E1198" s="50" t="s">
        <v>11</v>
      </c>
      <c r="F1198" s="57">
        <v>0.26300000000000001</v>
      </c>
    </row>
    <row r="1199" spans="2:6">
      <c r="B1199" s="50" t="s">
        <v>21</v>
      </c>
      <c r="C1199" s="50" t="s">
        <v>458</v>
      </c>
      <c r="D1199" s="50">
        <f>DATE(YEAR(OneWeekMtgRatesDataTable756[[#This Row],[asofdate]]),MONTH(OneWeekMtgRatesDataTable756[[#This Row],[asofdate]]),DAY(OneWeekMtgRatesDataTable756[[#This Row],[asofdate]]))</f>
        <v>40574</v>
      </c>
      <c r="E1199" s="50" t="s">
        <v>11</v>
      </c>
      <c r="F1199" s="57">
        <v>0.26</v>
      </c>
    </row>
    <row r="1200" spans="2:6">
      <c r="B1200" s="50" t="s">
        <v>21</v>
      </c>
      <c r="C1200" s="50" t="s">
        <v>457</v>
      </c>
      <c r="D1200" s="50">
        <f>DATE(YEAR(OneWeekMtgRatesDataTable756[[#This Row],[asofdate]]),MONTH(OneWeekMtgRatesDataTable756[[#This Row],[asofdate]]),DAY(OneWeekMtgRatesDataTable756[[#This Row],[asofdate]]))</f>
        <v>40571</v>
      </c>
      <c r="E1200" s="50" t="s">
        <v>11</v>
      </c>
      <c r="F1200" s="57">
        <v>0.26</v>
      </c>
    </row>
    <row r="1201" spans="2:6">
      <c r="B1201" s="50" t="s">
        <v>21</v>
      </c>
      <c r="C1201" s="50" t="s">
        <v>456</v>
      </c>
      <c r="D1201" s="50">
        <f>DATE(YEAR(OneWeekMtgRatesDataTable756[[#This Row],[asofdate]]),MONTH(OneWeekMtgRatesDataTable756[[#This Row],[asofdate]]),DAY(OneWeekMtgRatesDataTable756[[#This Row],[asofdate]]))</f>
        <v>40570</v>
      </c>
      <c r="E1201" s="50" t="s">
        <v>11</v>
      </c>
      <c r="F1201" s="57">
        <v>0.26</v>
      </c>
    </row>
    <row r="1202" spans="2:6">
      <c r="B1202" s="50" t="s">
        <v>21</v>
      </c>
      <c r="C1202" s="50" t="s">
        <v>455</v>
      </c>
      <c r="D1202" s="50">
        <f>DATE(YEAR(OneWeekMtgRatesDataTable756[[#This Row],[asofdate]]),MONTH(OneWeekMtgRatesDataTable756[[#This Row],[asofdate]]),DAY(OneWeekMtgRatesDataTable756[[#This Row],[asofdate]]))</f>
        <v>40569</v>
      </c>
      <c r="E1202" s="50" t="s">
        <v>11</v>
      </c>
      <c r="F1202" s="57">
        <v>0.26</v>
      </c>
    </row>
    <row r="1203" spans="2:6">
      <c r="B1203" s="50" t="s">
        <v>21</v>
      </c>
      <c r="C1203" s="50" t="s">
        <v>454</v>
      </c>
      <c r="D1203" s="50">
        <f>DATE(YEAR(OneWeekMtgRatesDataTable756[[#This Row],[asofdate]]),MONTH(OneWeekMtgRatesDataTable756[[#This Row],[asofdate]]),DAY(OneWeekMtgRatesDataTable756[[#This Row],[asofdate]]))</f>
        <v>40568</v>
      </c>
      <c r="E1203" s="50" t="s">
        <v>11</v>
      </c>
      <c r="F1203" s="57">
        <v>0.26</v>
      </c>
    </row>
    <row r="1204" spans="2:6">
      <c r="B1204" s="50" t="s">
        <v>21</v>
      </c>
      <c r="C1204" s="50" t="s">
        <v>453</v>
      </c>
      <c r="D1204" s="50">
        <f>DATE(YEAR(OneWeekMtgRatesDataTable756[[#This Row],[asofdate]]),MONTH(OneWeekMtgRatesDataTable756[[#This Row],[asofdate]]),DAY(OneWeekMtgRatesDataTable756[[#This Row],[asofdate]]))</f>
        <v>40567</v>
      </c>
      <c r="E1204" s="50" t="s">
        <v>11</v>
      </c>
      <c r="F1204" s="57">
        <v>0.26</v>
      </c>
    </row>
    <row r="1205" spans="2:6">
      <c r="B1205" s="50" t="s">
        <v>21</v>
      </c>
      <c r="C1205" s="50" t="s">
        <v>452</v>
      </c>
      <c r="D1205" s="50">
        <f>DATE(YEAR(OneWeekMtgRatesDataTable756[[#This Row],[asofdate]]),MONTH(OneWeekMtgRatesDataTable756[[#This Row],[asofdate]]),DAY(OneWeekMtgRatesDataTable756[[#This Row],[asofdate]]))</f>
        <v>40564</v>
      </c>
      <c r="E1205" s="50" t="s">
        <v>11</v>
      </c>
      <c r="F1205" s="57">
        <v>0.26</v>
      </c>
    </row>
    <row r="1206" spans="2:6">
      <c r="B1206" s="50" t="s">
        <v>21</v>
      </c>
      <c r="C1206" s="50" t="s">
        <v>451</v>
      </c>
      <c r="D1206" s="50">
        <f>DATE(YEAR(OneWeekMtgRatesDataTable756[[#This Row],[asofdate]]),MONTH(OneWeekMtgRatesDataTable756[[#This Row],[asofdate]]),DAY(OneWeekMtgRatesDataTable756[[#This Row],[asofdate]]))</f>
        <v>40563</v>
      </c>
      <c r="E1206" s="50" t="s">
        <v>11</v>
      </c>
      <c r="F1206" s="57">
        <v>0.26</v>
      </c>
    </row>
    <row r="1207" spans="2:6">
      <c r="B1207" s="50" t="s">
        <v>21</v>
      </c>
      <c r="C1207" s="50" t="s">
        <v>450</v>
      </c>
      <c r="D1207" s="50">
        <f>DATE(YEAR(OneWeekMtgRatesDataTable756[[#This Row],[asofdate]]),MONTH(OneWeekMtgRatesDataTable756[[#This Row],[asofdate]]),DAY(OneWeekMtgRatesDataTable756[[#This Row],[asofdate]]))</f>
        <v>40562</v>
      </c>
      <c r="E1207" s="50" t="s">
        <v>11</v>
      </c>
      <c r="F1207" s="57">
        <v>0.26</v>
      </c>
    </row>
    <row r="1208" spans="2:6">
      <c r="B1208" s="50" t="s">
        <v>21</v>
      </c>
      <c r="C1208" s="50" t="s">
        <v>449</v>
      </c>
      <c r="D1208" s="50">
        <f>DATE(YEAR(OneWeekMtgRatesDataTable756[[#This Row],[asofdate]]),MONTH(OneWeekMtgRatesDataTable756[[#This Row],[asofdate]]),DAY(OneWeekMtgRatesDataTable756[[#This Row],[asofdate]]))</f>
        <v>40561</v>
      </c>
      <c r="E1208" s="50" t="s">
        <v>11</v>
      </c>
      <c r="F1208" s="57">
        <v>0.26062999999999997</v>
      </c>
    </row>
    <row r="1209" spans="2:6">
      <c r="B1209" s="50" t="s">
        <v>21</v>
      </c>
      <c r="C1209" s="50" t="s">
        <v>448</v>
      </c>
      <c r="D1209" s="50">
        <f>DATE(YEAR(OneWeekMtgRatesDataTable756[[#This Row],[asofdate]]),MONTH(OneWeekMtgRatesDataTable756[[#This Row],[asofdate]]),DAY(OneWeekMtgRatesDataTable756[[#This Row],[asofdate]]))</f>
        <v>40557</v>
      </c>
      <c r="E1209" s="50" t="s">
        <v>11</v>
      </c>
      <c r="F1209" s="57">
        <v>0.26124999999999998</v>
      </c>
    </row>
    <row r="1210" spans="2:6">
      <c r="B1210" s="50" t="s">
        <v>21</v>
      </c>
      <c r="C1210" s="50" t="s">
        <v>447</v>
      </c>
      <c r="D1210" s="50">
        <f>DATE(YEAR(OneWeekMtgRatesDataTable756[[#This Row],[asofdate]]),MONTH(OneWeekMtgRatesDataTable756[[#This Row],[asofdate]]),DAY(OneWeekMtgRatesDataTable756[[#This Row],[asofdate]]))</f>
        <v>40556</v>
      </c>
      <c r="E1210" s="50" t="s">
        <v>11</v>
      </c>
      <c r="F1210" s="57">
        <v>0.26124999999999998</v>
      </c>
    </row>
    <row r="1211" spans="2:6">
      <c r="B1211" s="50" t="s">
        <v>21</v>
      </c>
      <c r="C1211" s="50" t="s">
        <v>446</v>
      </c>
      <c r="D1211" s="50">
        <f>DATE(YEAR(OneWeekMtgRatesDataTable756[[#This Row],[asofdate]]),MONTH(OneWeekMtgRatesDataTable756[[#This Row],[asofdate]]),DAY(OneWeekMtgRatesDataTable756[[#This Row],[asofdate]]))</f>
        <v>40555</v>
      </c>
      <c r="E1211" s="50" t="s">
        <v>11</v>
      </c>
      <c r="F1211" s="57">
        <v>0.26124999999999998</v>
      </c>
    </row>
    <row r="1212" spans="2:6">
      <c r="B1212" s="50" t="s">
        <v>21</v>
      </c>
      <c r="C1212" s="50" t="s">
        <v>445</v>
      </c>
      <c r="D1212" s="50">
        <f>DATE(YEAR(OneWeekMtgRatesDataTable756[[#This Row],[asofdate]]),MONTH(OneWeekMtgRatesDataTable756[[#This Row],[asofdate]]),DAY(OneWeekMtgRatesDataTable756[[#This Row],[asofdate]]))</f>
        <v>40554</v>
      </c>
      <c r="E1212" s="50" t="s">
        <v>11</v>
      </c>
      <c r="F1212" s="57">
        <v>0.26124999999999998</v>
      </c>
    </row>
    <row r="1213" spans="2:6">
      <c r="B1213" s="50" t="s">
        <v>21</v>
      </c>
      <c r="C1213" s="50" t="s">
        <v>444</v>
      </c>
      <c r="D1213" s="50">
        <f>DATE(YEAR(OneWeekMtgRatesDataTable756[[#This Row],[asofdate]]),MONTH(OneWeekMtgRatesDataTable756[[#This Row],[asofdate]]),DAY(OneWeekMtgRatesDataTable756[[#This Row],[asofdate]]))</f>
        <v>40553</v>
      </c>
      <c r="E1213" s="50" t="s">
        <v>11</v>
      </c>
      <c r="F1213" s="57">
        <v>0.26124999999999998</v>
      </c>
    </row>
    <row r="1214" spans="2:6">
      <c r="B1214" s="50" t="s">
        <v>21</v>
      </c>
      <c r="C1214" s="50" t="s">
        <v>443</v>
      </c>
      <c r="D1214" s="50">
        <f>DATE(YEAR(OneWeekMtgRatesDataTable756[[#This Row],[asofdate]]),MONTH(OneWeekMtgRatesDataTable756[[#This Row],[asofdate]]),DAY(OneWeekMtgRatesDataTable756[[#This Row],[asofdate]]))</f>
        <v>40550</v>
      </c>
      <c r="E1214" s="50" t="s">
        <v>11</v>
      </c>
      <c r="F1214" s="57">
        <v>0.26124999999999998</v>
      </c>
    </row>
    <row r="1215" spans="2:6">
      <c r="B1215" s="50" t="s">
        <v>21</v>
      </c>
      <c r="C1215" s="50" t="s">
        <v>442</v>
      </c>
      <c r="D1215" s="50">
        <f>DATE(YEAR(OneWeekMtgRatesDataTable756[[#This Row],[asofdate]]),MONTH(OneWeekMtgRatesDataTable756[[#This Row],[asofdate]]),DAY(OneWeekMtgRatesDataTable756[[#This Row],[asofdate]]))</f>
        <v>40549</v>
      </c>
      <c r="E1215" s="50" t="s">
        <v>11</v>
      </c>
      <c r="F1215" s="57">
        <v>0.26124999999999998</v>
      </c>
    </row>
    <row r="1216" spans="2:6">
      <c r="B1216" s="50" t="s">
        <v>21</v>
      </c>
      <c r="C1216" s="50" t="s">
        <v>441</v>
      </c>
      <c r="D1216" s="50">
        <f>DATE(YEAR(OneWeekMtgRatesDataTable756[[#This Row],[asofdate]]),MONTH(OneWeekMtgRatesDataTable756[[#This Row],[asofdate]]),DAY(OneWeekMtgRatesDataTable756[[#This Row],[asofdate]]))</f>
        <v>40548</v>
      </c>
      <c r="E1216" s="50" t="s">
        <v>11</v>
      </c>
      <c r="F1216" s="57">
        <v>0.26124999999999998</v>
      </c>
    </row>
    <row r="1217" spans="2:6">
      <c r="B1217" s="50" t="s">
        <v>21</v>
      </c>
      <c r="C1217" s="50" t="s">
        <v>440</v>
      </c>
      <c r="D1217" s="50">
        <f>DATE(YEAR(OneWeekMtgRatesDataTable756[[#This Row],[asofdate]]),MONTH(OneWeekMtgRatesDataTable756[[#This Row],[asofdate]]),DAY(OneWeekMtgRatesDataTable756[[#This Row],[asofdate]]))</f>
        <v>40547</v>
      </c>
      <c r="E1217" s="50" t="s">
        <v>11</v>
      </c>
      <c r="F1217" s="57">
        <v>0.26062999999999997</v>
      </c>
    </row>
    <row r="1218" spans="2:6">
      <c r="B1218" s="50" t="s">
        <v>21</v>
      </c>
      <c r="C1218" s="50" t="s">
        <v>439</v>
      </c>
      <c r="D1218" s="50">
        <f>DATE(YEAR(OneWeekMtgRatesDataTable756[[#This Row],[asofdate]]),MONTH(OneWeekMtgRatesDataTable756[[#This Row],[asofdate]]),DAY(OneWeekMtgRatesDataTable756[[#This Row],[asofdate]]))</f>
        <v>40546</v>
      </c>
      <c r="E1218" s="50" t="s">
        <v>11</v>
      </c>
      <c r="F1218" s="57">
        <v>0.26062999999999997</v>
      </c>
    </row>
    <row r="1219" spans="2:6">
      <c r="B1219" s="50" t="s">
        <v>21</v>
      </c>
      <c r="C1219" s="50" t="s">
        <v>438</v>
      </c>
      <c r="D1219" s="50">
        <f>DATE(YEAR(OneWeekMtgRatesDataTable756[[#This Row],[asofdate]]),MONTH(OneWeekMtgRatesDataTable756[[#This Row],[asofdate]]),DAY(OneWeekMtgRatesDataTable756[[#This Row],[asofdate]]))</f>
        <v>40543</v>
      </c>
      <c r="E1219" s="50" t="s">
        <v>11</v>
      </c>
      <c r="F1219" s="57">
        <v>0.26062999999999997</v>
      </c>
    </row>
    <row r="1220" spans="2:6">
      <c r="B1220" s="50" t="s">
        <v>21</v>
      </c>
      <c r="C1220" s="50" t="s">
        <v>437</v>
      </c>
      <c r="D1220" s="50">
        <f>DATE(YEAR(OneWeekMtgRatesDataTable756[[#This Row],[asofdate]]),MONTH(OneWeekMtgRatesDataTable756[[#This Row],[asofdate]]),DAY(OneWeekMtgRatesDataTable756[[#This Row],[asofdate]]))</f>
        <v>40542</v>
      </c>
      <c r="E1220" s="50" t="s">
        <v>11</v>
      </c>
      <c r="F1220" s="57">
        <v>0.26062999999999997</v>
      </c>
    </row>
    <row r="1221" spans="2:6">
      <c r="B1221" s="50" t="s">
        <v>21</v>
      </c>
      <c r="C1221" s="50" t="s">
        <v>436</v>
      </c>
      <c r="D1221" s="50">
        <f>DATE(YEAR(OneWeekMtgRatesDataTable756[[#This Row],[asofdate]]),MONTH(OneWeekMtgRatesDataTable756[[#This Row],[asofdate]]),DAY(OneWeekMtgRatesDataTable756[[#This Row],[asofdate]]))</f>
        <v>40541</v>
      </c>
      <c r="E1221" s="50" t="s">
        <v>11</v>
      </c>
      <c r="F1221" s="57">
        <v>0.26062999999999997</v>
      </c>
    </row>
    <row r="1222" spans="2:6">
      <c r="B1222" s="50" t="s">
        <v>21</v>
      </c>
      <c r="C1222" s="50" t="s">
        <v>435</v>
      </c>
      <c r="D1222" s="50">
        <f>DATE(YEAR(OneWeekMtgRatesDataTable756[[#This Row],[asofdate]]),MONTH(OneWeekMtgRatesDataTable756[[#This Row],[asofdate]]),DAY(OneWeekMtgRatesDataTable756[[#This Row],[asofdate]]))</f>
        <v>40540</v>
      </c>
      <c r="E1222" s="50" t="s">
        <v>11</v>
      </c>
      <c r="F1222" s="57">
        <v>0.26062999999999997</v>
      </c>
    </row>
    <row r="1223" spans="2:6">
      <c r="B1223" s="50" t="s">
        <v>21</v>
      </c>
      <c r="C1223" s="50" t="s">
        <v>434</v>
      </c>
      <c r="D1223" s="50">
        <f>DATE(YEAR(OneWeekMtgRatesDataTable756[[#This Row],[asofdate]]),MONTH(OneWeekMtgRatesDataTable756[[#This Row],[asofdate]]),DAY(OneWeekMtgRatesDataTable756[[#This Row],[asofdate]]))</f>
        <v>40539</v>
      </c>
      <c r="E1223" s="50" t="s">
        <v>11</v>
      </c>
      <c r="F1223" s="57">
        <v>0.26062999999999997</v>
      </c>
    </row>
    <row r="1224" spans="2:6">
      <c r="B1224" s="50" t="s">
        <v>21</v>
      </c>
      <c r="C1224" s="50" t="s">
        <v>433</v>
      </c>
      <c r="D1224" s="50">
        <f>DATE(YEAR(OneWeekMtgRatesDataTable756[[#This Row],[asofdate]]),MONTH(OneWeekMtgRatesDataTable756[[#This Row],[asofdate]]),DAY(OneWeekMtgRatesDataTable756[[#This Row],[asofdate]]))</f>
        <v>40535</v>
      </c>
      <c r="E1224" s="50" t="s">
        <v>11</v>
      </c>
      <c r="F1224" s="57">
        <v>0.26062999999999997</v>
      </c>
    </row>
    <row r="1225" spans="2:6">
      <c r="B1225" s="50" t="s">
        <v>21</v>
      </c>
      <c r="C1225" s="50" t="s">
        <v>432</v>
      </c>
      <c r="D1225" s="50">
        <f>DATE(YEAR(OneWeekMtgRatesDataTable756[[#This Row],[asofdate]]),MONTH(OneWeekMtgRatesDataTable756[[#This Row],[asofdate]]),DAY(OneWeekMtgRatesDataTable756[[#This Row],[asofdate]]))</f>
        <v>40534</v>
      </c>
      <c r="E1225" s="50" t="s">
        <v>11</v>
      </c>
      <c r="F1225" s="57">
        <v>0.26062999999999997</v>
      </c>
    </row>
    <row r="1226" spans="2:6">
      <c r="B1226" s="50" t="s">
        <v>21</v>
      </c>
      <c r="C1226" s="50" t="s">
        <v>431</v>
      </c>
      <c r="D1226" s="50">
        <f>DATE(YEAR(OneWeekMtgRatesDataTable756[[#This Row],[asofdate]]),MONTH(OneWeekMtgRatesDataTable756[[#This Row],[asofdate]]),DAY(OneWeekMtgRatesDataTable756[[#This Row],[asofdate]]))</f>
        <v>40533</v>
      </c>
      <c r="E1226" s="50" t="s">
        <v>11</v>
      </c>
      <c r="F1226" s="57">
        <v>0.26062999999999997</v>
      </c>
    </row>
    <row r="1227" spans="2:6">
      <c r="B1227" s="50" t="s">
        <v>21</v>
      </c>
      <c r="C1227" s="50" t="s">
        <v>430</v>
      </c>
      <c r="D1227" s="50">
        <f>DATE(YEAR(OneWeekMtgRatesDataTable756[[#This Row],[asofdate]]),MONTH(OneWeekMtgRatesDataTable756[[#This Row],[asofdate]]),DAY(OneWeekMtgRatesDataTable756[[#This Row],[asofdate]]))</f>
        <v>40532</v>
      </c>
      <c r="E1227" s="50" t="s">
        <v>11</v>
      </c>
      <c r="F1227" s="57">
        <v>0.26062999999999997</v>
      </c>
    </row>
    <row r="1228" spans="2:6">
      <c r="B1228" s="50" t="s">
        <v>21</v>
      </c>
      <c r="C1228" s="50" t="s">
        <v>429</v>
      </c>
      <c r="D1228" s="50">
        <f>DATE(YEAR(OneWeekMtgRatesDataTable756[[#This Row],[asofdate]]),MONTH(OneWeekMtgRatesDataTable756[[#This Row],[asofdate]]),DAY(OneWeekMtgRatesDataTable756[[#This Row],[asofdate]]))</f>
        <v>40529</v>
      </c>
      <c r="E1228" s="50" t="s">
        <v>11</v>
      </c>
      <c r="F1228" s="57">
        <v>0.26062999999999997</v>
      </c>
    </row>
    <row r="1229" spans="2:6">
      <c r="B1229" s="50" t="s">
        <v>21</v>
      </c>
      <c r="C1229" s="50" t="s">
        <v>428</v>
      </c>
      <c r="D1229" s="50">
        <f>DATE(YEAR(OneWeekMtgRatesDataTable756[[#This Row],[asofdate]]),MONTH(OneWeekMtgRatesDataTable756[[#This Row],[asofdate]]),DAY(OneWeekMtgRatesDataTable756[[#This Row],[asofdate]]))</f>
        <v>40528</v>
      </c>
      <c r="E1229" s="50" t="s">
        <v>11</v>
      </c>
      <c r="F1229" s="57">
        <v>0.26062999999999997</v>
      </c>
    </row>
    <row r="1230" spans="2:6">
      <c r="B1230" s="50" t="s">
        <v>21</v>
      </c>
      <c r="C1230" s="50" t="s">
        <v>427</v>
      </c>
      <c r="D1230" s="50">
        <f>DATE(YEAR(OneWeekMtgRatesDataTable756[[#This Row],[asofdate]]),MONTH(OneWeekMtgRatesDataTable756[[#This Row],[asofdate]]),DAY(OneWeekMtgRatesDataTable756[[#This Row],[asofdate]]))</f>
        <v>40527</v>
      </c>
      <c r="E1230" s="50" t="s">
        <v>11</v>
      </c>
      <c r="F1230" s="57">
        <v>0.26062999999999997</v>
      </c>
    </row>
    <row r="1231" spans="2:6">
      <c r="B1231" s="50" t="s">
        <v>21</v>
      </c>
      <c r="C1231" s="50" t="s">
        <v>426</v>
      </c>
      <c r="D1231" s="50">
        <f>DATE(YEAR(OneWeekMtgRatesDataTable756[[#This Row],[asofdate]]),MONTH(OneWeekMtgRatesDataTable756[[#This Row],[asofdate]]),DAY(OneWeekMtgRatesDataTable756[[#This Row],[asofdate]]))</f>
        <v>40526</v>
      </c>
      <c r="E1231" s="50" t="s">
        <v>11</v>
      </c>
      <c r="F1231" s="57">
        <v>0.26062999999999997</v>
      </c>
    </row>
    <row r="1232" spans="2:6">
      <c r="B1232" s="50" t="s">
        <v>21</v>
      </c>
      <c r="C1232" s="50" t="s">
        <v>425</v>
      </c>
      <c r="D1232" s="50">
        <f>DATE(YEAR(OneWeekMtgRatesDataTable756[[#This Row],[asofdate]]),MONTH(OneWeekMtgRatesDataTable756[[#This Row],[asofdate]]),DAY(OneWeekMtgRatesDataTable756[[#This Row],[asofdate]]))</f>
        <v>40525</v>
      </c>
      <c r="E1232" s="50" t="s">
        <v>11</v>
      </c>
      <c r="F1232" s="57">
        <v>0.26030999999999999</v>
      </c>
    </row>
    <row r="1233" spans="2:6">
      <c r="B1233" s="50" t="s">
        <v>21</v>
      </c>
      <c r="C1233" s="50" t="s">
        <v>424</v>
      </c>
      <c r="D1233" s="50">
        <f>DATE(YEAR(OneWeekMtgRatesDataTable756[[#This Row],[asofdate]]),MONTH(OneWeekMtgRatesDataTable756[[#This Row],[asofdate]]),DAY(OneWeekMtgRatesDataTable756[[#This Row],[asofdate]]))</f>
        <v>40522</v>
      </c>
      <c r="E1233" s="50" t="s">
        <v>11</v>
      </c>
      <c r="F1233" s="57">
        <v>0.26030999999999999</v>
      </c>
    </row>
    <row r="1234" spans="2:6">
      <c r="B1234" s="50" t="s">
        <v>21</v>
      </c>
      <c r="C1234" s="50" t="s">
        <v>423</v>
      </c>
      <c r="D1234" s="50">
        <f>DATE(YEAR(OneWeekMtgRatesDataTable756[[#This Row],[asofdate]]),MONTH(OneWeekMtgRatesDataTable756[[#This Row],[asofdate]]),DAY(OneWeekMtgRatesDataTable756[[#This Row],[asofdate]]))</f>
        <v>40521</v>
      </c>
      <c r="E1234" s="50" t="s">
        <v>11</v>
      </c>
      <c r="F1234" s="57">
        <v>0.26218999999999998</v>
      </c>
    </row>
    <row r="1235" spans="2:6">
      <c r="B1235" s="50" t="s">
        <v>21</v>
      </c>
      <c r="C1235" s="50" t="s">
        <v>422</v>
      </c>
      <c r="D1235" s="50">
        <f>DATE(YEAR(OneWeekMtgRatesDataTable756[[#This Row],[asofdate]]),MONTH(OneWeekMtgRatesDataTable756[[#This Row],[asofdate]]),DAY(OneWeekMtgRatesDataTable756[[#This Row],[asofdate]]))</f>
        <v>40520</v>
      </c>
      <c r="E1235" s="50" t="s">
        <v>11</v>
      </c>
      <c r="F1235" s="57">
        <v>0.26250000000000001</v>
      </c>
    </row>
    <row r="1236" spans="2:6">
      <c r="B1236" s="50" t="s">
        <v>21</v>
      </c>
      <c r="C1236" s="50" t="s">
        <v>421</v>
      </c>
      <c r="D1236" s="50">
        <f>DATE(YEAR(OneWeekMtgRatesDataTable756[[#This Row],[asofdate]]),MONTH(OneWeekMtgRatesDataTable756[[#This Row],[asofdate]]),DAY(OneWeekMtgRatesDataTable756[[#This Row],[asofdate]]))</f>
        <v>40519</v>
      </c>
      <c r="E1236" s="50" t="s">
        <v>11</v>
      </c>
      <c r="F1236" s="57">
        <v>0.26374999999999998</v>
      </c>
    </row>
    <row r="1237" spans="2:6">
      <c r="B1237" s="50" t="s">
        <v>21</v>
      </c>
      <c r="C1237" s="50" t="s">
        <v>420</v>
      </c>
      <c r="D1237" s="50">
        <f>DATE(YEAR(OneWeekMtgRatesDataTable756[[#This Row],[asofdate]]),MONTH(OneWeekMtgRatesDataTable756[[#This Row],[asofdate]]),DAY(OneWeekMtgRatesDataTable756[[#This Row],[asofdate]]))</f>
        <v>40518</v>
      </c>
      <c r="E1237" s="50" t="s">
        <v>11</v>
      </c>
      <c r="F1237" s="57">
        <v>0.26500000000000001</v>
      </c>
    </row>
    <row r="1238" spans="2:6">
      <c r="B1238" s="50" t="s">
        <v>21</v>
      </c>
      <c r="C1238" s="50" t="s">
        <v>419</v>
      </c>
      <c r="D1238" s="50">
        <f>DATE(YEAR(OneWeekMtgRatesDataTable756[[#This Row],[asofdate]]),MONTH(OneWeekMtgRatesDataTable756[[#This Row],[asofdate]]),DAY(OneWeekMtgRatesDataTable756[[#This Row],[asofdate]]))</f>
        <v>40515</v>
      </c>
      <c r="E1238" s="50" t="s">
        <v>11</v>
      </c>
      <c r="F1238" s="57">
        <v>0.26500000000000001</v>
      </c>
    </row>
    <row r="1239" spans="2:6">
      <c r="B1239" s="50" t="s">
        <v>21</v>
      </c>
      <c r="C1239" s="50" t="s">
        <v>418</v>
      </c>
      <c r="D1239" s="50">
        <f>DATE(YEAR(OneWeekMtgRatesDataTable756[[#This Row],[asofdate]]),MONTH(OneWeekMtgRatesDataTable756[[#This Row],[asofdate]]),DAY(OneWeekMtgRatesDataTable756[[#This Row],[asofdate]]))</f>
        <v>40514</v>
      </c>
      <c r="E1239" s="50" t="s">
        <v>11</v>
      </c>
      <c r="F1239" s="57">
        <v>0.26562999999999998</v>
      </c>
    </row>
    <row r="1240" spans="2:6">
      <c r="B1240" s="50" t="s">
        <v>21</v>
      </c>
      <c r="C1240" s="50" t="s">
        <v>417</v>
      </c>
      <c r="D1240" s="50">
        <f>DATE(YEAR(OneWeekMtgRatesDataTable756[[#This Row],[asofdate]]),MONTH(OneWeekMtgRatesDataTable756[[#This Row],[asofdate]]),DAY(OneWeekMtgRatesDataTable756[[#This Row],[asofdate]]))</f>
        <v>40513</v>
      </c>
      <c r="E1240" s="50" t="s">
        <v>11</v>
      </c>
      <c r="F1240" s="57">
        <v>0.26530999999999999</v>
      </c>
    </row>
    <row r="1241" spans="2:6">
      <c r="B1241" s="50" t="s">
        <v>21</v>
      </c>
      <c r="C1241" s="50" t="s">
        <v>416</v>
      </c>
      <c r="D1241" s="50">
        <f>DATE(YEAR(OneWeekMtgRatesDataTable756[[#This Row],[asofdate]]),MONTH(OneWeekMtgRatesDataTable756[[#This Row],[asofdate]]),DAY(OneWeekMtgRatesDataTable756[[#This Row],[asofdate]]))</f>
        <v>40512</v>
      </c>
      <c r="E1241" s="50" t="s">
        <v>11</v>
      </c>
      <c r="F1241" s="57">
        <v>0.26062999999999997</v>
      </c>
    </row>
    <row r="1242" spans="2:6">
      <c r="B1242" s="50" t="s">
        <v>21</v>
      </c>
      <c r="C1242" s="50" t="s">
        <v>415</v>
      </c>
      <c r="D1242" s="50">
        <f>DATE(YEAR(OneWeekMtgRatesDataTable756[[#This Row],[asofdate]]),MONTH(OneWeekMtgRatesDataTable756[[#This Row],[asofdate]]),DAY(OneWeekMtgRatesDataTable756[[#This Row],[asofdate]]))</f>
        <v>40511</v>
      </c>
      <c r="E1242" s="50" t="s">
        <v>11</v>
      </c>
      <c r="F1242" s="57">
        <v>0.25750000000000001</v>
      </c>
    </row>
    <row r="1243" spans="2:6">
      <c r="B1243" s="50" t="s">
        <v>21</v>
      </c>
      <c r="C1243" s="50" t="s">
        <v>414</v>
      </c>
      <c r="D1243" s="50">
        <f>DATE(YEAR(OneWeekMtgRatesDataTable756[[#This Row],[asofdate]]),MONTH(OneWeekMtgRatesDataTable756[[#This Row],[asofdate]]),DAY(OneWeekMtgRatesDataTable756[[#This Row],[asofdate]]))</f>
        <v>40508</v>
      </c>
      <c r="E1243" s="50" t="s">
        <v>11</v>
      </c>
      <c r="F1243" s="57">
        <v>0.25624999999999998</v>
      </c>
    </row>
    <row r="1244" spans="2:6">
      <c r="B1244" s="50" t="s">
        <v>21</v>
      </c>
      <c r="C1244" s="50" t="s">
        <v>413</v>
      </c>
      <c r="D1244" s="50">
        <f>DATE(YEAR(OneWeekMtgRatesDataTable756[[#This Row],[asofdate]]),MONTH(OneWeekMtgRatesDataTable756[[#This Row],[asofdate]]),DAY(OneWeekMtgRatesDataTable756[[#This Row],[asofdate]]))</f>
        <v>40506</v>
      </c>
      <c r="E1244" s="50" t="s">
        <v>11</v>
      </c>
      <c r="F1244" s="57">
        <v>0.25344</v>
      </c>
    </row>
    <row r="1245" spans="2:6">
      <c r="B1245" s="50" t="s">
        <v>21</v>
      </c>
      <c r="C1245" s="50" t="s">
        <v>412</v>
      </c>
      <c r="D1245" s="50">
        <f>DATE(YEAR(OneWeekMtgRatesDataTable756[[#This Row],[asofdate]]),MONTH(OneWeekMtgRatesDataTable756[[#This Row],[asofdate]]),DAY(OneWeekMtgRatesDataTable756[[#This Row],[asofdate]]))</f>
        <v>40505</v>
      </c>
      <c r="E1245" s="50" t="s">
        <v>11</v>
      </c>
      <c r="F1245" s="57">
        <v>0.25344</v>
      </c>
    </row>
    <row r="1246" spans="2:6">
      <c r="B1246" s="50" t="s">
        <v>21</v>
      </c>
      <c r="C1246" s="50" t="s">
        <v>411</v>
      </c>
      <c r="D1246" s="50">
        <f>DATE(YEAR(OneWeekMtgRatesDataTable756[[#This Row],[asofdate]]),MONTH(OneWeekMtgRatesDataTable756[[#This Row],[asofdate]]),DAY(OneWeekMtgRatesDataTable756[[#This Row],[asofdate]]))</f>
        <v>40504</v>
      </c>
      <c r="E1246" s="50" t="s">
        <v>11</v>
      </c>
      <c r="F1246" s="57">
        <v>0.25344</v>
      </c>
    </row>
    <row r="1247" spans="2:6">
      <c r="B1247" s="50" t="s">
        <v>21</v>
      </c>
      <c r="C1247" s="50" t="s">
        <v>410</v>
      </c>
      <c r="D1247" s="50">
        <f>DATE(YEAR(OneWeekMtgRatesDataTable756[[#This Row],[asofdate]]),MONTH(OneWeekMtgRatesDataTable756[[#This Row],[asofdate]]),DAY(OneWeekMtgRatesDataTable756[[#This Row],[asofdate]]))</f>
        <v>40501</v>
      </c>
      <c r="E1247" s="50" t="s">
        <v>11</v>
      </c>
      <c r="F1247" s="57">
        <v>0.25344</v>
      </c>
    </row>
    <row r="1248" spans="2:6">
      <c r="B1248" s="50" t="s">
        <v>21</v>
      </c>
      <c r="C1248" s="50" t="s">
        <v>409</v>
      </c>
      <c r="D1248" s="50">
        <f>DATE(YEAR(OneWeekMtgRatesDataTable756[[#This Row],[asofdate]]),MONTH(OneWeekMtgRatesDataTable756[[#This Row],[asofdate]]),DAY(OneWeekMtgRatesDataTable756[[#This Row],[asofdate]]))</f>
        <v>40500</v>
      </c>
      <c r="E1248" s="50" t="s">
        <v>11</v>
      </c>
      <c r="F1248" s="57">
        <v>0.25344</v>
      </c>
    </row>
    <row r="1249" spans="2:6">
      <c r="B1249" s="50" t="s">
        <v>21</v>
      </c>
      <c r="C1249" s="50" t="s">
        <v>408</v>
      </c>
      <c r="D1249" s="50">
        <f>DATE(YEAR(OneWeekMtgRatesDataTable756[[#This Row],[asofdate]]),MONTH(OneWeekMtgRatesDataTable756[[#This Row],[asofdate]]),DAY(OneWeekMtgRatesDataTable756[[#This Row],[asofdate]]))</f>
        <v>40499</v>
      </c>
      <c r="E1249" s="50" t="s">
        <v>11</v>
      </c>
      <c r="F1249" s="57">
        <v>0.25344</v>
      </c>
    </row>
    <row r="1250" spans="2:6">
      <c r="B1250" s="50" t="s">
        <v>21</v>
      </c>
      <c r="C1250" s="50" t="s">
        <v>407</v>
      </c>
      <c r="D1250" s="50">
        <f>DATE(YEAR(OneWeekMtgRatesDataTable756[[#This Row],[asofdate]]),MONTH(OneWeekMtgRatesDataTable756[[#This Row],[asofdate]]),DAY(OneWeekMtgRatesDataTable756[[#This Row],[asofdate]]))</f>
        <v>40498</v>
      </c>
      <c r="E1250" s="50" t="s">
        <v>11</v>
      </c>
      <c r="F1250" s="57">
        <v>0.25344</v>
      </c>
    </row>
    <row r="1251" spans="2:6">
      <c r="B1251" s="50" t="s">
        <v>21</v>
      </c>
      <c r="C1251" s="50" t="s">
        <v>406</v>
      </c>
      <c r="D1251" s="50">
        <f>DATE(YEAR(OneWeekMtgRatesDataTable756[[#This Row],[asofdate]]),MONTH(OneWeekMtgRatesDataTable756[[#This Row],[asofdate]]),DAY(OneWeekMtgRatesDataTable756[[#This Row],[asofdate]]))</f>
        <v>40497</v>
      </c>
      <c r="E1251" s="50" t="s">
        <v>11</v>
      </c>
      <c r="F1251" s="57">
        <v>0.25344</v>
      </c>
    </row>
    <row r="1252" spans="2:6">
      <c r="B1252" s="50" t="s">
        <v>21</v>
      </c>
      <c r="C1252" s="50" t="s">
        <v>405</v>
      </c>
      <c r="D1252" s="50">
        <f>DATE(YEAR(OneWeekMtgRatesDataTable756[[#This Row],[asofdate]]),MONTH(OneWeekMtgRatesDataTable756[[#This Row],[asofdate]]),DAY(OneWeekMtgRatesDataTable756[[#This Row],[asofdate]]))</f>
        <v>40494</v>
      </c>
      <c r="E1252" s="50" t="s">
        <v>11</v>
      </c>
      <c r="F1252" s="57">
        <v>0.25344</v>
      </c>
    </row>
    <row r="1253" spans="2:6">
      <c r="B1253" s="50" t="s">
        <v>21</v>
      </c>
      <c r="C1253" s="50" t="s">
        <v>404</v>
      </c>
      <c r="D1253" s="50">
        <f>DATE(YEAR(OneWeekMtgRatesDataTable756[[#This Row],[asofdate]]),MONTH(OneWeekMtgRatesDataTable756[[#This Row],[asofdate]]),DAY(OneWeekMtgRatesDataTable756[[#This Row],[asofdate]]))</f>
        <v>40492</v>
      </c>
      <c r="E1253" s="50" t="s">
        <v>11</v>
      </c>
      <c r="F1253" s="57">
        <v>0.25344</v>
      </c>
    </row>
    <row r="1254" spans="2:6">
      <c r="B1254" s="50" t="s">
        <v>21</v>
      </c>
      <c r="C1254" s="50" t="s">
        <v>403</v>
      </c>
      <c r="D1254" s="50">
        <f>DATE(YEAR(OneWeekMtgRatesDataTable756[[#This Row],[asofdate]]),MONTH(OneWeekMtgRatesDataTable756[[#This Row],[asofdate]]),DAY(OneWeekMtgRatesDataTable756[[#This Row],[asofdate]]))</f>
        <v>40491</v>
      </c>
      <c r="E1254" s="50" t="s">
        <v>11</v>
      </c>
      <c r="F1254" s="57">
        <v>0.25344</v>
      </c>
    </row>
    <row r="1255" spans="2:6">
      <c r="B1255" s="50" t="s">
        <v>21</v>
      </c>
      <c r="C1255" s="50" t="s">
        <v>402</v>
      </c>
      <c r="D1255" s="50">
        <f>DATE(YEAR(OneWeekMtgRatesDataTable756[[#This Row],[asofdate]]),MONTH(OneWeekMtgRatesDataTable756[[#This Row],[asofdate]]),DAY(OneWeekMtgRatesDataTable756[[#This Row],[asofdate]]))</f>
        <v>40490</v>
      </c>
      <c r="E1255" s="50" t="s">
        <v>11</v>
      </c>
      <c r="F1255" s="57">
        <v>0.25344</v>
      </c>
    </row>
    <row r="1256" spans="2:6">
      <c r="B1256" s="50" t="s">
        <v>21</v>
      </c>
      <c r="C1256" s="50" t="s">
        <v>401</v>
      </c>
      <c r="D1256" s="50">
        <f>DATE(YEAR(OneWeekMtgRatesDataTable756[[#This Row],[asofdate]]),MONTH(OneWeekMtgRatesDataTable756[[#This Row],[asofdate]]),DAY(OneWeekMtgRatesDataTable756[[#This Row],[asofdate]]))</f>
        <v>40487</v>
      </c>
      <c r="E1256" s="50" t="s">
        <v>11</v>
      </c>
      <c r="F1256" s="57">
        <v>0.25344</v>
      </c>
    </row>
    <row r="1257" spans="2:6">
      <c r="B1257" s="50" t="s">
        <v>21</v>
      </c>
      <c r="C1257" s="50" t="s">
        <v>400</v>
      </c>
      <c r="D1257" s="50">
        <f>DATE(YEAR(OneWeekMtgRatesDataTable756[[#This Row],[asofdate]]),MONTH(OneWeekMtgRatesDataTable756[[#This Row],[asofdate]]),DAY(OneWeekMtgRatesDataTable756[[#This Row],[asofdate]]))</f>
        <v>40486</v>
      </c>
      <c r="E1257" s="50" t="s">
        <v>11</v>
      </c>
      <c r="F1257" s="57">
        <v>0.25344</v>
      </c>
    </row>
    <row r="1258" spans="2:6">
      <c r="B1258" s="50" t="s">
        <v>21</v>
      </c>
      <c r="C1258" s="50" t="s">
        <v>399</v>
      </c>
      <c r="D1258" s="50">
        <f>DATE(YEAR(OneWeekMtgRatesDataTable756[[#This Row],[asofdate]]),MONTH(OneWeekMtgRatesDataTable756[[#This Row],[asofdate]]),DAY(OneWeekMtgRatesDataTable756[[#This Row],[asofdate]]))</f>
        <v>40485</v>
      </c>
      <c r="E1258" s="50" t="s">
        <v>11</v>
      </c>
      <c r="F1258" s="57">
        <v>0.25374999999999998</v>
      </c>
    </row>
    <row r="1259" spans="2:6">
      <c r="B1259" s="50" t="s">
        <v>21</v>
      </c>
      <c r="C1259" s="50" t="s">
        <v>398</v>
      </c>
      <c r="D1259" s="50">
        <f>DATE(YEAR(OneWeekMtgRatesDataTable756[[#This Row],[asofdate]]),MONTH(OneWeekMtgRatesDataTable756[[#This Row],[asofdate]]),DAY(OneWeekMtgRatesDataTable756[[#This Row],[asofdate]]))</f>
        <v>40484</v>
      </c>
      <c r="E1259" s="50" t="s">
        <v>11</v>
      </c>
      <c r="F1259" s="57">
        <v>0.25374999999999998</v>
      </c>
    </row>
    <row r="1260" spans="2:6">
      <c r="B1260" s="50" t="s">
        <v>21</v>
      </c>
      <c r="C1260" s="50" t="s">
        <v>397</v>
      </c>
      <c r="D1260" s="50">
        <f>DATE(YEAR(OneWeekMtgRatesDataTable756[[#This Row],[asofdate]]),MONTH(OneWeekMtgRatesDataTable756[[#This Row],[asofdate]]),DAY(OneWeekMtgRatesDataTable756[[#This Row],[asofdate]]))</f>
        <v>40483</v>
      </c>
      <c r="E1260" s="50" t="s">
        <v>11</v>
      </c>
      <c r="F1260" s="57">
        <v>0.25374999999999998</v>
      </c>
    </row>
    <row r="1261" spans="2:6">
      <c r="B1261" s="50" t="s">
        <v>21</v>
      </c>
      <c r="C1261" s="50" t="s">
        <v>396</v>
      </c>
      <c r="D1261" s="50">
        <f>DATE(YEAR(OneWeekMtgRatesDataTable756[[#This Row],[asofdate]]),MONTH(OneWeekMtgRatesDataTable756[[#This Row],[asofdate]]),DAY(OneWeekMtgRatesDataTable756[[#This Row],[asofdate]]))</f>
        <v>40480</v>
      </c>
      <c r="E1261" s="50" t="s">
        <v>11</v>
      </c>
      <c r="F1261" s="57">
        <v>0.25374999999999998</v>
      </c>
    </row>
    <row r="1262" spans="2:6">
      <c r="B1262" s="50" t="s">
        <v>21</v>
      </c>
      <c r="C1262" s="50" t="s">
        <v>395</v>
      </c>
      <c r="D1262" s="50">
        <f>DATE(YEAR(OneWeekMtgRatesDataTable756[[#This Row],[asofdate]]),MONTH(OneWeekMtgRatesDataTable756[[#This Row],[asofdate]]),DAY(OneWeekMtgRatesDataTable756[[#This Row],[asofdate]]))</f>
        <v>40479</v>
      </c>
      <c r="E1262" s="50" t="s">
        <v>11</v>
      </c>
      <c r="F1262" s="57">
        <v>0.25406000000000001</v>
      </c>
    </row>
    <row r="1263" spans="2:6">
      <c r="B1263" s="50" t="s">
        <v>21</v>
      </c>
      <c r="C1263" s="50" t="s">
        <v>394</v>
      </c>
      <c r="D1263" s="50">
        <f>DATE(YEAR(OneWeekMtgRatesDataTable756[[#This Row],[asofdate]]),MONTH(OneWeekMtgRatesDataTable756[[#This Row],[asofdate]]),DAY(OneWeekMtgRatesDataTable756[[#This Row],[asofdate]]))</f>
        <v>40478</v>
      </c>
      <c r="E1263" s="50" t="s">
        <v>11</v>
      </c>
      <c r="F1263" s="57">
        <v>0.25530999999999998</v>
      </c>
    </row>
    <row r="1264" spans="2:6">
      <c r="B1264" s="50" t="s">
        <v>21</v>
      </c>
      <c r="C1264" s="50" t="s">
        <v>393</v>
      </c>
      <c r="D1264" s="50">
        <f>DATE(YEAR(OneWeekMtgRatesDataTable756[[#This Row],[asofdate]]),MONTH(OneWeekMtgRatesDataTable756[[#This Row],[asofdate]]),DAY(OneWeekMtgRatesDataTable756[[#This Row],[asofdate]]))</f>
        <v>40477</v>
      </c>
      <c r="E1264" s="50" t="s">
        <v>11</v>
      </c>
      <c r="F1264" s="57">
        <v>0.25530999999999998</v>
      </c>
    </row>
    <row r="1265" spans="2:6">
      <c r="B1265" s="50" t="s">
        <v>21</v>
      </c>
      <c r="C1265" s="50" t="s">
        <v>392</v>
      </c>
      <c r="D1265" s="50">
        <f>DATE(YEAR(OneWeekMtgRatesDataTable756[[#This Row],[asofdate]]),MONTH(OneWeekMtgRatesDataTable756[[#This Row],[asofdate]]),DAY(OneWeekMtgRatesDataTable756[[#This Row],[asofdate]]))</f>
        <v>40476</v>
      </c>
      <c r="E1265" s="50" t="s">
        <v>11</v>
      </c>
      <c r="F1265" s="57">
        <v>0.25624999999999998</v>
      </c>
    </row>
    <row r="1266" spans="2:6">
      <c r="B1266" s="50" t="s">
        <v>21</v>
      </c>
      <c r="C1266" s="50" t="s">
        <v>391</v>
      </c>
      <c r="D1266" s="50">
        <f>DATE(YEAR(OneWeekMtgRatesDataTable756[[#This Row],[asofdate]]),MONTH(OneWeekMtgRatesDataTable756[[#This Row],[asofdate]]),DAY(OneWeekMtgRatesDataTable756[[#This Row],[asofdate]]))</f>
        <v>40473</v>
      </c>
      <c r="E1266" s="50" t="s">
        <v>11</v>
      </c>
      <c r="F1266" s="57">
        <v>0.25624999999999998</v>
      </c>
    </row>
    <row r="1267" spans="2:6">
      <c r="B1267" s="50" t="s">
        <v>21</v>
      </c>
      <c r="C1267" s="50" t="s">
        <v>390</v>
      </c>
      <c r="D1267" s="50">
        <f>DATE(YEAR(OneWeekMtgRatesDataTable756[[#This Row],[asofdate]]),MONTH(OneWeekMtgRatesDataTable756[[#This Row],[asofdate]]),DAY(OneWeekMtgRatesDataTable756[[#This Row],[asofdate]]))</f>
        <v>40472</v>
      </c>
      <c r="E1267" s="50" t="s">
        <v>11</v>
      </c>
      <c r="F1267" s="57">
        <v>0.25624999999999998</v>
      </c>
    </row>
    <row r="1268" spans="2:6">
      <c r="B1268" s="50" t="s">
        <v>21</v>
      </c>
      <c r="C1268" s="50" t="s">
        <v>389</v>
      </c>
      <c r="D1268" s="50">
        <f>DATE(YEAR(OneWeekMtgRatesDataTable756[[#This Row],[asofdate]]),MONTH(OneWeekMtgRatesDataTable756[[#This Row],[asofdate]]),DAY(OneWeekMtgRatesDataTable756[[#This Row],[asofdate]]))</f>
        <v>40471</v>
      </c>
      <c r="E1268" s="50" t="s">
        <v>11</v>
      </c>
      <c r="F1268" s="57">
        <v>0.25624999999999998</v>
      </c>
    </row>
    <row r="1269" spans="2:6">
      <c r="B1269" s="50" t="s">
        <v>21</v>
      </c>
      <c r="C1269" s="50" t="s">
        <v>388</v>
      </c>
      <c r="D1269" s="50">
        <f>DATE(YEAR(OneWeekMtgRatesDataTable756[[#This Row],[asofdate]]),MONTH(OneWeekMtgRatesDataTable756[[#This Row],[asofdate]]),DAY(OneWeekMtgRatesDataTable756[[#This Row],[asofdate]]))</f>
        <v>40470</v>
      </c>
      <c r="E1269" s="50" t="s">
        <v>11</v>
      </c>
      <c r="F1269" s="57">
        <v>0.25624999999999998</v>
      </c>
    </row>
    <row r="1270" spans="2:6">
      <c r="B1270" s="50" t="s">
        <v>21</v>
      </c>
      <c r="C1270" s="50" t="s">
        <v>387</v>
      </c>
      <c r="D1270" s="50">
        <f>DATE(YEAR(OneWeekMtgRatesDataTable756[[#This Row],[asofdate]]),MONTH(OneWeekMtgRatesDataTable756[[#This Row],[asofdate]]),DAY(OneWeekMtgRatesDataTable756[[#This Row],[asofdate]]))</f>
        <v>40469</v>
      </c>
      <c r="E1270" s="50" t="s">
        <v>11</v>
      </c>
      <c r="F1270" s="57">
        <v>0.25624999999999998</v>
      </c>
    </row>
    <row r="1271" spans="2:6">
      <c r="B1271" s="50" t="s">
        <v>21</v>
      </c>
      <c r="C1271" s="50" t="s">
        <v>386</v>
      </c>
      <c r="D1271" s="50">
        <f>DATE(YEAR(OneWeekMtgRatesDataTable756[[#This Row],[asofdate]]),MONTH(OneWeekMtgRatesDataTable756[[#This Row],[asofdate]]),DAY(OneWeekMtgRatesDataTable756[[#This Row],[asofdate]]))</f>
        <v>40466</v>
      </c>
      <c r="E1271" s="50" t="s">
        <v>11</v>
      </c>
      <c r="F1271" s="57">
        <v>0.25624999999999998</v>
      </c>
    </row>
    <row r="1272" spans="2:6">
      <c r="B1272" s="50" t="s">
        <v>21</v>
      </c>
      <c r="C1272" s="50" t="s">
        <v>385</v>
      </c>
      <c r="D1272" s="50">
        <f>DATE(YEAR(OneWeekMtgRatesDataTable756[[#This Row],[asofdate]]),MONTH(OneWeekMtgRatesDataTable756[[#This Row],[asofdate]]),DAY(OneWeekMtgRatesDataTable756[[#This Row],[asofdate]]))</f>
        <v>40465</v>
      </c>
      <c r="E1272" s="50" t="s">
        <v>11</v>
      </c>
      <c r="F1272" s="57">
        <v>0.25624999999999998</v>
      </c>
    </row>
    <row r="1273" spans="2:6">
      <c r="B1273" s="50" t="s">
        <v>21</v>
      </c>
      <c r="C1273" s="50" t="s">
        <v>384</v>
      </c>
      <c r="D1273" s="50">
        <f>DATE(YEAR(OneWeekMtgRatesDataTable756[[#This Row],[asofdate]]),MONTH(OneWeekMtgRatesDataTable756[[#This Row],[asofdate]]),DAY(OneWeekMtgRatesDataTable756[[#This Row],[asofdate]]))</f>
        <v>40464</v>
      </c>
      <c r="E1273" s="50" t="s">
        <v>11</v>
      </c>
      <c r="F1273" s="57">
        <v>0.25624999999999998</v>
      </c>
    </row>
    <row r="1274" spans="2:6">
      <c r="B1274" s="50" t="s">
        <v>21</v>
      </c>
      <c r="C1274" s="50" t="s">
        <v>383</v>
      </c>
      <c r="D1274" s="50">
        <f>DATE(YEAR(OneWeekMtgRatesDataTable756[[#This Row],[asofdate]]),MONTH(OneWeekMtgRatesDataTable756[[#This Row],[asofdate]]),DAY(OneWeekMtgRatesDataTable756[[#This Row],[asofdate]]))</f>
        <v>40463</v>
      </c>
      <c r="E1274" s="50" t="s">
        <v>11</v>
      </c>
      <c r="F1274" s="57">
        <v>0.25624999999999998</v>
      </c>
    </row>
    <row r="1275" spans="2:6">
      <c r="B1275" s="50" t="s">
        <v>21</v>
      </c>
      <c r="C1275" s="50" t="s">
        <v>382</v>
      </c>
      <c r="D1275" s="50">
        <f>DATE(YEAR(OneWeekMtgRatesDataTable756[[#This Row],[asofdate]]),MONTH(OneWeekMtgRatesDataTable756[[#This Row],[asofdate]]),DAY(OneWeekMtgRatesDataTable756[[#This Row],[asofdate]]))</f>
        <v>40459</v>
      </c>
      <c r="E1275" s="50" t="s">
        <v>11</v>
      </c>
      <c r="F1275" s="57">
        <v>0.25624999999999998</v>
      </c>
    </row>
    <row r="1276" spans="2:6">
      <c r="B1276" s="50" t="s">
        <v>21</v>
      </c>
      <c r="C1276" s="50" t="s">
        <v>381</v>
      </c>
      <c r="D1276" s="50">
        <f>DATE(YEAR(OneWeekMtgRatesDataTable756[[#This Row],[asofdate]]),MONTH(OneWeekMtgRatesDataTable756[[#This Row],[asofdate]]),DAY(OneWeekMtgRatesDataTable756[[#This Row],[asofdate]]))</f>
        <v>40458</v>
      </c>
      <c r="E1276" s="50" t="s">
        <v>11</v>
      </c>
      <c r="F1276" s="57">
        <v>0.25624999999999998</v>
      </c>
    </row>
    <row r="1277" spans="2:6">
      <c r="B1277" s="50" t="s">
        <v>21</v>
      </c>
      <c r="C1277" s="50" t="s">
        <v>380</v>
      </c>
      <c r="D1277" s="50">
        <f>DATE(YEAR(OneWeekMtgRatesDataTable756[[#This Row],[asofdate]]),MONTH(OneWeekMtgRatesDataTable756[[#This Row],[asofdate]]),DAY(OneWeekMtgRatesDataTable756[[#This Row],[asofdate]]))</f>
        <v>40457</v>
      </c>
      <c r="E1277" s="50" t="s">
        <v>11</v>
      </c>
      <c r="F1277" s="57">
        <v>0.25688</v>
      </c>
    </row>
    <row r="1278" spans="2:6">
      <c r="B1278" s="50" t="s">
        <v>21</v>
      </c>
      <c r="C1278" s="50" t="s">
        <v>379</v>
      </c>
      <c r="D1278" s="50">
        <f>DATE(YEAR(OneWeekMtgRatesDataTable756[[#This Row],[asofdate]]),MONTH(OneWeekMtgRatesDataTable756[[#This Row],[asofdate]]),DAY(OneWeekMtgRatesDataTable756[[#This Row],[asofdate]]))</f>
        <v>40456</v>
      </c>
      <c r="E1278" s="50" t="s">
        <v>11</v>
      </c>
      <c r="F1278" s="57">
        <v>0.25688</v>
      </c>
    </row>
    <row r="1279" spans="2:6">
      <c r="B1279" s="50" t="s">
        <v>21</v>
      </c>
      <c r="C1279" s="50" t="s">
        <v>378</v>
      </c>
      <c r="D1279" s="50">
        <f>DATE(YEAR(OneWeekMtgRatesDataTable756[[#This Row],[asofdate]]),MONTH(OneWeekMtgRatesDataTable756[[#This Row],[asofdate]]),DAY(OneWeekMtgRatesDataTable756[[#This Row],[asofdate]]))</f>
        <v>40455</v>
      </c>
      <c r="E1279" s="50" t="s">
        <v>11</v>
      </c>
      <c r="F1279" s="57">
        <v>0.25688</v>
      </c>
    </row>
    <row r="1280" spans="2:6">
      <c r="B1280" s="50" t="s">
        <v>21</v>
      </c>
      <c r="C1280" s="50" t="s">
        <v>377</v>
      </c>
      <c r="D1280" s="50">
        <f>DATE(YEAR(OneWeekMtgRatesDataTable756[[#This Row],[asofdate]]),MONTH(OneWeekMtgRatesDataTable756[[#This Row],[asofdate]]),DAY(OneWeekMtgRatesDataTable756[[#This Row],[asofdate]]))</f>
        <v>40452</v>
      </c>
      <c r="E1280" s="50" t="s">
        <v>11</v>
      </c>
      <c r="F1280" s="57">
        <v>0.25688</v>
      </c>
    </row>
    <row r="1281" spans="2:6">
      <c r="B1281" s="50" t="s">
        <v>21</v>
      </c>
      <c r="C1281" s="50" t="s">
        <v>376</v>
      </c>
      <c r="D1281" s="50">
        <f>DATE(YEAR(OneWeekMtgRatesDataTable756[[#This Row],[asofdate]]),MONTH(OneWeekMtgRatesDataTable756[[#This Row],[asofdate]]),DAY(OneWeekMtgRatesDataTable756[[#This Row],[asofdate]]))</f>
        <v>40451</v>
      </c>
      <c r="E1281" s="50" t="s">
        <v>11</v>
      </c>
      <c r="F1281" s="57">
        <v>0.25624999999999998</v>
      </c>
    </row>
    <row r="1282" spans="2:6">
      <c r="B1282" s="50" t="s">
        <v>21</v>
      </c>
      <c r="C1282" s="50" t="s">
        <v>375</v>
      </c>
      <c r="D1282" s="50">
        <f>DATE(YEAR(OneWeekMtgRatesDataTable756[[#This Row],[asofdate]]),MONTH(OneWeekMtgRatesDataTable756[[#This Row],[asofdate]]),DAY(OneWeekMtgRatesDataTable756[[#This Row],[asofdate]]))</f>
        <v>40450</v>
      </c>
      <c r="E1282" s="50" t="s">
        <v>11</v>
      </c>
      <c r="F1282" s="57">
        <v>0.25624999999999998</v>
      </c>
    </row>
    <row r="1283" spans="2:6">
      <c r="B1283" s="50" t="s">
        <v>21</v>
      </c>
      <c r="C1283" s="50" t="s">
        <v>374</v>
      </c>
      <c r="D1283" s="50">
        <f>DATE(YEAR(OneWeekMtgRatesDataTable756[[#This Row],[asofdate]]),MONTH(OneWeekMtgRatesDataTable756[[#This Row],[asofdate]]),DAY(OneWeekMtgRatesDataTable756[[#This Row],[asofdate]]))</f>
        <v>40449</v>
      </c>
      <c r="E1283" s="50" t="s">
        <v>11</v>
      </c>
      <c r="F1283" s="57">
        <v>0.25624999999999998</v>
      </c>
    </row>
    <row r="1284" spans="2:6">
      <c r="B1284" s="50" t="s">
        <v>21</v>
      </c>
      <c r="C1284" s="50" t="s">
        <v>373</v>
      </c>
      <c r="D1284" s="50">
        <f>DATE(YEAR(OneWeekMtgRatesDataTable756[[#This Row],[asofdate]]),MONTH(OneWeekMtgRatesDataTable756[[#This Row],[asofdate]]),DAY(OneWeekMtgRatesDataTable756[[#This Row],[asofdate]]))</f>
        <v>40448</v>
      </c>
      <c r="E1284" s="50" t="s">
        <v>11</v>
      </c>
      <c r="F1284" s="57">
        <v>0.25624999999999998</v>
      </c>
    </row>
    <row r="1285" spans="2:6">
      <c r="B1285" s="50" t="s">
        <v>21</v>
      </c>
      <c r="C1285" s="50" t="s">
        <v>372</v>
      </c>
      <c r="D1285" s="50">
        <f>DATE(YEAR(OneWeekMtgRatesDataTable756[[#This Row],[asofdate]]),MONTH(OneWeekMtgRatesDataTable756[[#This Row],[asofdate]]),DAY(OneWeekMtgRatesDataTable756[[#This Row],[asofdate]]))</f>
        <v>40445</v>
      </c>
      <c r="E1285" s="50" t="s">
        <v>11</v>
      </c>
      <c r="F1285" s="57">
        <v>0.25624999999999998</v>
      </c>
    </row>
    <row r="1286" spans="2:6">
      <c r="B1286" s="50" t="s">
        <v>21</v>
      </c>
      <c r="C1286" s="50" t="s">
        <v>371</v>
      </c>
      <c r="D1286" s="50">
        <f>DATE(YEAR(OneWeekMtgRatesDataTable756[[#This Row],[asofdate]]),MONTH(OneWeekMtgRatesDataTable756[[#This Row],[asofdate]]),DAY(OneWeekMtgRatesDataTable756[[#This Row],[asofdate]]))</f>
        <v>40444</v>
      </c>
      <c r="E1286" s="50" t="s">
        <v>11</v>
      </c>
      <c r="F1286" s="57">
        <v>0.25624999999999998</v>
      </c>
    </row>
    <row r="1287" spans="2:6">
      <c r="B1287" s="50" t="s">
        <v>21</v>
      </c>
      <c r="C1287" s="50" t="s">
        <v>370</v>
      </c>
      <c r="D1287" s="50">
        <f>DATE(YEAR(OneWeekMtgRatesDataTable756[[#This Row],[asofdate]]),MONTH(OneWeekMtgRatesDataTable756[[#This Row],[asofdate]]),DAY(OneWeekMtgRatesDataTable756[[#This Row],[asofdate]]))</f>
        <v>40443</v>
      </c>
      <c r="E1287" s="50" t="s">
        <v>11</v>
      </c>
      <c r="F1287" s="57">
        <v>0.25624999999999998</v>
      </c>
    </row>
    <row r="1288" spans="2:6">
      <c r="B1288" s="50" t="s">
        <v>21</v>
      </c>
      <c r="C1288" s="50" t="s">
        <v>369</v>
      </c>
      <c r="D1288" s="50">
        <f>DATE(YEAR(OneWeekMtgRatesDataTable756[[#This Row],[asofdate]]),MONTH(OneWeekMtgRatesDataTable756[[#This Row],[asofdate]]),DAY(OneWeekMtgRatesDataTable756[[#This Row],[asofdate]]))</f>
        <v>40442</v>
      </c>
      <c r="E1288" s="50" t="s">
        <v>11</v>
      </c>
      <c r="F1288" s="57">
        <v>0.25624999999999998</v>
      </c>
    </row>
    <row r="1289" spans="2:6">
      <c r="B1289" s="50" t="s">
        <v>21</v>
      </c>
      <c r="C1289" s="50" t="s">
        <v>368</v>
      </c>
      <c r="D1289" s="50">
        <f>DATE(YEAR(OneWeekMtgRatesDataTable756[[#This Row],[asofdate]]),MONTH(OneWeekMtgRatesDataTable756[[#This Row],[asofdate]]),DAY(OneWeekMtgRatesDataTable756[[#This Row],[asofdate]]))</f>
        <v>40441</v>
      </c>
      <c r="E1289" s="50" t="s">
        <v>11</v>
      </c>
      <c r="F1289" s="57">
        <v>0.25624999999999998</v>
      </c>
    </row>
    <row r="1290" spans="2:6">
      <c r="B1290" s="50" t="s">
        <v>21</v>
      </c>
      <c r="C1290" s="50" t="s">
        <v>367</v>
      </c>
      <c r="D1290" s="50">
        <f>DATE(YEAR(OneWeekMtgRatesDataTable756[[#This Row],[asofdate]]),MONTH(OneWeekMtgRatesDataTable756[[#This Row],[asofdate]]),DAY(OneWeekMtgRatesDataTable756[[#This Row],[asofdate]]))</f>
        <v>40438</v>
      </c>
      <c r="E1290" s="50" t="s">
        <v>11</v>
      </c>
      <c r="F1290" s="57">
        <v>0.25750000000000001</v>
      </c>
    </row>
    <row r="1291" spans="2:6">
      <c r="B1291" s="50" t="s">
        <v>21</v>
      </c>
      <c r="C1291" s="50" t="s">
        <v>366</v>
      </c>
      <c r="D1291" s="50">
        <f>DATE(YEAR(OneWeekMtgRatesDataTable756[[#This Row],[asofdate]]),MONTH(OneWeekMtgRatesDataTable756[[#This Row],[asofdate]]),DAY(OneWeekMtgRatesDataTable756[[#This Row],[asofdate]]))</f>
        <v>40437</v>
      </c>
      <c r="E1291" s="50" t="s">
        <v>11</v>
      </c>
      <c r="F1291" s="57">
        <v>0.25734000000000001</v>
      </c>
    </row>
    <row r="1292" spans="2:6">
      <c r="B1292" s="50" t="s">
        <v>21</v>
      </c>
      <c r="C1292" s="50" t="s">
        <v>365</v>
      </c>
      <c r="D1292" s="50">
        <f>DATE(YEAR(OneWeekMtgRatesDataTable756[[#This Row],[asofdate]]),MONTH(OneWeekMtgRatesDataTable756[[#This Row],[asofdate]]),DAY(OneWeekMtgRatesDataTable756[[#This Row],[asofdate]]))</f>
        <v>40436</v>
      </c>
      <c r="E1292" s="50" t="s">
        <v>11</v>
      </c>
      <c r="F1292" s="57">
        <v>0.25734000000000001</v>
      </c>
    </row>
    <row r="1293" spans="2:6">
      <c r="B1293" s="50" t="s">
        <v>21</v>
      </c>
      <c r="C1293" s="50" t="s">
        <v>364</v>
      </c>
      <c r="D1293" s="50">
        <f>DATE(YEAR(OneWeekMtgRatesDataTable756[[#This Row],[asofdate]]),MONTH(OneWeekMtgRatesDataTable756[[#This Row],[asofdate]]),DAY(OneWeekMtgRatesDataTable756[[#This Row],[asofdate]]))</f>
        <v>40435</v>
      </c>
      <c r="E1293" s="50" t="s">
        <v>11</v>
      </c>
      <c r="F1293" s="57">
        <v>0.25734000000000001</v>
      </c>
    </row>
    <row r="1294" spans="2:6">
      <c r="B1294" s="50" t="s">
        <v>21</v>
      </c>
      <c r="C1294" s="50" t="s">
        <v>363</v>
      </c>
      <c r="D1294" s="50">
        <f>DATE(YEAR(OneWeekMtgRatesDataTable756[[#This Row],[asofdate]]),MONTH(OneWeekMtgRatesDataTable756[[#This Row],[asofdate]]),DAY(OneWeekMtgRatesDataTable756[[#This Row],[asofdate]]))</f>
        <v>40434</v>
      </c>
      <c r="E1294" s="50" t="s">
        <v>11</v>
      </c>
      <c r="F1294" s="57">
        <v>0.25734000000000001</v>
      </c>
    </row>
    <row r="1295" spans="2:6">
      <c r="B1295" s="50" t="s">
        <v>21</v>
      </c>
      <c r="C1295" s="50" t="s">
        <v>362</v>
      </c>
      <c r="D1295" s="50">
        <f>DATE(YEAR(OneWeekMtgRatesDataTable756[[#This Row],[asofdate]]),MONTH(OneWeekMtgRatesDataTable756[[#This Row],[asofdate]]),DAY(OneWeekMtgRatesDataTable756[[#This Row],[asofdate]]))</f>
        <v>40431</v>
      </c>
      <c r="E1295" s="50" t="s">
        <v>11</v>
      </c>
      <c r="F1295" s="57">
        <v>0.25734000000000001</v>
      </c>
    </row>
    <row r="1296" spans="2:6">
      <c r="B1296" s="50" t="s">
        <v>21</v>
      </c>
      <c r="C1296" s="50" t="s">
        <v>361</v>
      </c>
      <c r="D1296" s="50">
        <f>DATE(YEAR(OneWeekMtgRatesDataTable756[[#This Row],[asofdate]]),MONTH(OneWeekMtgRatesDataTable756[[#This Row],[asofdate]]),DAY(OneWeekMtgRatesDataTable756[[#This Row],[asofdate]]))</f>
        <v>40430</v>
      </c>
      <c r="E1296" s="50" t="s">
        <v>11</v>
      </c>
      <c r="F1296" s="57">
        <v>0.25734000000000001</v>
      </c>
    </row>
    <row r="1297" spans="2:6">
      <c r="B1297" s="50" t="s">
        <v>21</v>
      </c>
      <c r="C1297" s="50" t="s">
        <v>360</v>
      </c>
      <c r="D1297" s="50">
        <f>DATE(YEAR(OneWeekMtgRatesDataTable756[[#This Row],[asofdate]]),MONTH(OneWeekMtgRatesDataTable756[[#This Row],[asofdate]]),DAY(OneWeekMtgRatesDataTable756[[#This Row],[asofdate]]))</f>
        <v>40429</v>
      </c>
      <c r="E1297" s="50" t="s">
        <v>11</v>
      </c>
      <c r="F1297" s="57">
        <v>0.25734000000000001</v>
      </c>
    </row>
    <row r="1298" spans="2:6">
      <c r="B1298" s="50" t="s">
        <v>21</v>
      </c>
      <c r="C1298" s="50" t="s">
        <v>359</v>
      </c>
      <c r="D1298" s="50">
        <f>DATE(YEAR(OneWeekMtgRatesDataTable756[[#This Row],[asofdate]]),MONTH(OneWeekMtgRatesDataTable756[[#This Row],[asofdate]]),DAY(OneWeekMtgRatesDataTable756[[#This Row],[asofdate]]))</f>
        <v>40428</v>
      </c>
      <c r="E1298" s="50" t="s">
        <v>11</v>
      </c>
      <c r="F1298" s="57">
        <v>0.25766</v>
      </c>
    </row>
    <row r="1299" spans="2:6">
      <c r="B1299" s="50" t="s">
        <v>21</v>
      </c>
      <c r="C1299" s="50" t="s">
        <v>358</v>
      </c>
      <c r="D1299" s="50">
        <f>DATE(YEAR(OneWeekMtgRatesDataTable756[[#This Row],[asofdate]]),MONTH(OneWeekMtgRatesDataTable756[[#This Row],[asofdate]]),DAY(OneWeekMtgRatesDataTable756[[#This Row],[asofdate]]))</f>
        <v>40424</v>
      </c>
      <c r="E1299" s="50" t="s">
        <v>11</v>
      </c>
      <c r="F1299" s="57">
        <v>0.25780999999999998</v>
      </c>
    </row>
    <row r="1300" spans="2:6">
      <c r="B1300" s="50" t="s">
        <v>21</v>
      </c>
      <c r="C1300" s="50" t="s">
        <v>357</v>
      </c>
      <c r="D1300" s="50">
        <f>DATE(YEAR(OneWeekMtgRatesDataTable756[[#This Row],[asofdate]]),MONTH(OneWeekMtgRatesDataTable756[[#This Row],[asofdate]]),DAY(OneWeekMtgRatesDataTable756[[#This Row],[asofdate]]))</f>
        <v>40423</v>
      </c>
      <c r="E1300" s="50" t="s">
        <v>11</v>
      </c>
      <c r="F1300" s="57">
        <v>0.25780999999999998</v>
      </c>
    </row>
    <row r="1301" spans="2:6">
      <c r="B1301" s="50" t="s">
        <v>21</v>
      </c>
      <c r="C1301" s="50" t="s">
        <v>356</v>
      </c>
      <c r="D1301" s="50">
        <f>DATE(YEAR(OneWeekMtgRatesDataTable756[[#This Row],[asofdate]]),MONTH(OneWeekMtgRatesDataTable756[[#This Row],[asofdate]]),DAY(OneWeekMtgRatesDataTable756[[#This Row],[asofdate]]))</f>
        <v>40422</v>
      </c>
      <c r="E1301" s="50" t="s">
        <v>11</v>
      </c>
      <c r="F1301" s="57">
        <v>0.25780999999999998</v>
      </c>
    </row>
    <row r="1302" spans="2:6">
      <c r="B1302" s="50" t="s">
        <v>21</v>
      </c>
      <c r="C1302" s="50" t="s">
        <v>355</v>
      </c>
      <c r="D1302" s="50">
        <f>DATE(YEAR(OneWeekMtgRatesDataTable756[[#This Row],[asofdate]]),MONTH(OneWeekMtgRatesDataTable756[[#This Row],[asofdate]]),DAY(OneWeekMtgRatesDataTable756[[#This Row],[asofdate]]))</f>
        <v>40421</v>
      </c>
      <c r="E1302" s="50" t="s">
        <v>11</v>
      </c>
      <c r="F1302" s="57">
        <v>0.25780999999999998</v>
      </c>
    </row>
    <row r="1303" spans="2:6">
      <c r="B1303" s="50" t="s">
        <v>21</v>
      </c>
      <c r="C1303" s="50" t="s">
        <v>354</v>
      </c>
      <c r="D1303" s="50">
        <f>DATE(YEAR(OneWeekMtgRatesDataTable756[[#This Row],[asofdate]]),MONTH(OneWeekMtgRatesDataTable756[[#This Row],[asofdate]]),DAY(OneWeekMtgRatesDataTable756[[#This Row],[asofdate]]))</f>
        <v>40420</v>
      </c>
      <c r="E1303" s="50" t="s">
        <v>11</v>
      </c>
      <c r="F1303" s="57">
        <v>0.25938</v>
      </c>
    </row>
    <row r="1304" spans="2:6">
      <c r="B1304" s="50" t="s">
        <v>21</v>
      </c>
      <c r="C1304" s="50" t="s">
        <v>353</v>
      </c>
      <c r="D1304" s="50">
        <f>DATE(YEAR(OneWeekMtgRatesDataTable756[[#This Row],[asofdate]]),MONTH(OneWeekMtgRatesDataTable756[[#This Row],[asofdate]]),DAY(OneWeekMtgRatesDataTable756[[#This Row],[asofdate]]))</f>
        <v>40417</v>
      </c>
      <c r="E1304" s="50" t="s">
        <v>11</v>
      </c>
      <c r="F1304" s="57">
        <v>0.25938</v>
      </c>
    </row>
    <row r="1305" spans="2:6">
      <c r="B1305" s="50" t="s">
        <v>21</v>
      </c>
      <c r="C1305" s="50" t="s">
        <v>352</v>
      </c>
      <c r="D1305" s="50">
        <f>DATE(YEAR(OneWeekMtgRatesDataTable756[[#This Row],[asofdate]]),MONTH(OneWeekMtgRatesDataTable756[[#This Row],[asofdate]]),DAY(OneWeekMtgRatesDataTable756[[#This Row],[asofdate]]))</f>
        <v>40416</v>
      </c>
      <c r="E1305" s="50" t="s">
        <v>11</v>
      </c>
      <c r="F1305" s="57">
        <v>0.26030999999999999</v>
      </c>
    </row>
    <row r="1306" spans="2:6">
      <c r="B1306" s="50" t="s">
        <v>21</v>
      </c>
      <c r="C1306" s="50" t="s">
        <v>351</v>
      </c>
      <c r="D1306" s="50">
        <f>DATE(YEAR(OneWeekMtgRatesDataTable756[[#This Row],[asofdate]]),MONTH(OneWeekMtgRatesDataTable756[[#This Row],[asofdate]]),DAY(OneWeekMtgRatesDataTable756[[#This Row],[asofdate]]))</f>
        <v>40415</v>
      </c>
      <c r="E1306" s="50" t="s">
        <v>11</v>
      </c>
      <c r="F1306" s="57">
        <v>0.26156000000000001</v>
      </c>
    </row>
    <row r="1307" spans="2:6">
      <c r="B1307" s="50" t="s">
        <v>21</v>
      </c>
      <c r="C1307" s="50" t="s">
        <v>350</v>
      </c>
      <c r="D1307" s="50">
        <f>DATE(YEAR(OneWeekMtgRatesDataTable756[[#This Row],[asofdate]]),MONTH(OneWeekMtgRatesDataTable756[[#This Row],[asofdate]]),DAY(OneWeekMtgRatesDataTable756[[#This Row],[asofdate]]))</f>
        <v>40414</v>
      </c>
      <c r="E1307" s="50" t="s">
        <v>11</v>
      </c>
      <c r="F1307" s="57">
        <v>0.26156000000000001</v>
      </c>
    </row>
    <row r="1308" spans="2:6">
      <c r="B1308" s="50" t="s">
        <v>21</v>
      </c>
      <c r="C1308" s="50" t="s">
        <v>349</v>
      </c>
      <c r="D1308" s="50">
        <f>DATE(YEAR(OneWeekMtgRatesDataTable756[[#This Row],[asofdate]]),MONTH(OneWeekMtgRatesDataTable756[[#This Row],[asofdate]]),DAY(OneWeekMtgRatesDataTable756[[#This Row],[asofdate]]))</f>
        <v>40413</v>
      </c>
      <c r="E1308" s="50" t="s">
        <v>11</v>
      </c>
      <c r="F1308" s="57">
        <v>0.26374999999999998</v>
      </c>
    </row>
    <row r="1309" spans="2:6">
      <c r="B1309" s="50" t="s">
        <v>21</v>
      </c>
      <c r="C1309" s="50" t="s">
        <v>348</v>
      </c>
      <c r="D1309" s="50">
        <f>DATE(YEAR(OneWeekMtgRatesDataTable756[[#This Row],[asofdate]]),MONTH(OneWeekMtgRatesDataTable756[[#This Row],[asofdate]]),DAY(OneWeekMtgRatesDataTable756[[#This Row],[asofdate]]))</f>
        <v>40410</v>
      </c>
      <c r="E1309" s="50" t="s">
        <v>11</v>
      </c>
      <c r="F1309" s="57">
        <v>0.26438</v>
      </c>
    </row>
    <row r="1310" spans="2:6">
      <c r="B1310" s="50" t="s">
        <v>21</v>
      </c>
      <c r="C1310" s="50" t="s">
        <v>347</v>
      </c>
      <c r="D1310" s="50">
        <f>DATE(YEAR(OneWeekMtgRatesDataTable756[[#This Row],[asofdate]]),MONTH(OneWeekMtgRatesDataTable756[[#This Row],[asofdate]]),DAY(OneWeekMtgRatesDataTable756[[#This Row],[asofdate]]))</f>
        <v>40409</v>
      </c>
      <c r="E1310" s="50" t="s">
        <v>11</v>
      </c>
      <c r="F1310" s="57">
        <v>0.26468999999999998</v>
      </c>
    </row>
    <row r="1311" spans="2:6">
      <c r="B1311" s="50" t="s">
        <v>21</v>
      </c>
      <c r="C1311" s="50" t="s">
        <v>346</v>
      </c>
      <c r="D1311" s="50">
        <f>DATE(YEAR(OneWeekMtgRatesDataTable756[[#This Row],[asofdate]]),MONTH(OneWeekMtgRatesDataTable756[[#This Row],[asofdate]]),DAY(OneWeekMtgRatesDataTable756[[#This Row],[asofdate]]))</f>
        <v>40408</v>
      </c>
      <c r="E1311" s="50" t="s">
        <v>11</v>
      </c>
      <c r="F1311" s="57">
        <v>0.26624999999999999</v>
      </c>
    </row>
    <row r="1312" spans="2:6">
      <c r="B1312" s="50" t="s">
        <v>21</v>
      </c>
      <c r="C1312" s="50" t="s">
        <v>345</v>
      </c>
      <c r="D1312" s="50">
        <f>DATE(YEAR(OneWeekMtgRatesDataTable756[[#This Row],[asofdate]]),MONTH(OneWeekMtgRatesDataTable756[[#This Row],[asofdate]]),DAY(OneWeekMtgRatesDataTable756[[#This Row],[asofdate]]))</f>
        <v>40407</v>
      </c>
      <c r="E1312" s="50" t="s">
        <v>11</v>
      </c>
      <c r="F1312" s="57">
        <v>0.26656000000000002</v>
      </c>
    </row>
    <row r="1313" spans="2:6">
      <c r="B1313" s="50" t="s">
        <v>21</v>
      </c>
      <c r="C1313" s="50" t="s">
        <v>344</v>
      </c>
      <c r="D1313" s="50">
        <f>DATE(YEAR(OneWeekMtgRatesDataTable756[[#This Row],[asofdate]]),MONTH(OneWeekMtgRatesDataTable756[[#This Row],[asofdate]]),DAY(OneWeekMtgRatesDataTable756[[#This Row],[asofdate]]))</f>
        <v>40406</v>
      </c>
      <c r="E1313" s="50" t="s">
        <v>11</v>
      </c>
      <c r="F1313" s="57">
        <v>0.26938000000000001</v>
      </c>
    </row>
    <row r="1314" spans="2:6">
      <c r="B1314" s="50" t="s">
        <v>21</v>
      </c>
      <c r="C1314" s="50" t="s">
        <v>343</v>
      </c>
      <c r="D1314" s="50">
        <f>DATE(YEAR(OneWeekMtgRatesDataTable756[[#This Row],[asofdate]]),MONTH(OneWeekMtgRatesDataTable756[[#This Row],[asofdate]]),DAY(OneWeekMtgRatesDataTable756[[#This Row],[asofdate]]))</f>
        <v>40403</v>
      </c>
      <c r="E1314" s="50" t="s">
        <v>11</v>
      </c>
      <c r="F1314" s="57">
        <v>0.27188000000000001</v>
      </c>
    </row>
    <row r="1315" spans="2:6">
      <c r="B1315" s="50" t="s">
        <v>21</v>
      </c>
      <c r="C1315" s="50" t="s">
        <v>342</v>
      </c>
      <c r="D1315" s="50">
        <f>DATE(YEAR(OneWeekMtgRatesDataTable756[[#This Row],[asofdate]]),MONTH(OneWeekMtgRatesDataTable756[[#This Row],[asofdate]]),DAY(OneWeekMtgRatesDataTable756[[#This Row],[asofdate]]))</f>
        <v>40402</v>
      </c>
      <c r="E1315" s="50" t="s">
        <v>11</v>
      </c>
      <c r="F1315" s="57">
        <v>0.27594000000000002</v>
      </c>
    </row>
    <row r="1316" spans="2:6">
      <c r="B1316" s="50" t="s">
        <v>21</v>
      </c>
      <c r="C1316" s="50" t="s">
        <v>341</v>
      </c>
      <c r="D1316" s="50">
        <f>DATE(YEAR(OneWeekMtgRatesDataTable756[[#This Row],[asofdate]]),MONTH(OneWeekMtgRatesDataTable756[[#This Row],[asofdate]]),DAY(OneWeekMtgRatesDataTable756[[#This Row],[asofdate]]))</f>
        <v>40401</v>
      </c>
      <c r="E1316" s="50" t="s">
        <v>11</v>
      </c>
      <c r="F1316" s="57">
        <v>0.27938000000000002</v>
      </c>
    </row>
    <row r="1317" spans="2:6">
      <c r="B1317" s="50" t="s">
        <v>21</v>
      </c>
      <c r="C1317" s="50" t="s">
        <v>340</v>
      </c>
      <c r="D1317" s="50">
        <f>DATE(YEAR(OneWeekMtgRatesDataTable756[[#This Row],[asofdate]]),MONTH(OneWeekMtgRatesDataTable756[[#This Row],[asofdate]]),DAY(OneWeekMtgRatesDataTable756[[#This Row],[asofdate]]))</f>
        <v>40400</v>
      </c>
      <c r="E1317" s="50" t="s">
        <v>11</v>
      </c>
      <c r="F1317" s="57">
        <v>0.28563</v>
      </c>
    </row>
    <row r="1318" spans="2:6">
      <c r="B1318" s="50" t="s">
        <v>21</v>
      </c>
      <c r="C1318" s="50" t="s">
        <v>339</v>
      </c>
      <c r="D1318" s="50">
        <f>DATE(YEAR(OneWeekMtgRatesDataTable756[[#This Row],[asofdate]]),MONTH(OneWeekMtgRatesDataTable756[[#This Row],[asofdate]]),DAY(OneWeekMtgRatesDataTable756[[#This Row],[asofdate]]))</f>
        <v>40399</v>
      </c>
      <c r="E1318" s="50" t="s">
        <v>11</v>
      </c>
      <c r="F1318" s="57">
        <v>0.28999999999999998</v>
      </c>
    </row>
    <row r="1319" spans="2:6">
      <c r="B1319" s="50" t="s">
        <v>21</v>
      </c>
      <c r="C1319" s="50" t="s">
        <v>338</v>
      </c>
      <c r="D1319" s="50">
        <f>DATE(YEAR(OneWeekMtgRatesDataTable756[[#This Row],[asofdate]]),MONTH(OneWeekMtgRatesDataTable756[[#This Row],[asofdate]]),DAY(OneWeekMtgRatesDataTable756[[#This Row],[asofdate]]))</f>
        <v>40396</v>
      </c>
      <c r="E1319" s="50" t="s">
        <v>11</v>
      </c>
      <c r="F1319" s="57">
        <v>0.29343999999999998</v>
      </c>
    </row>
    <row r="1320" spans="2:6">
      <c r="B1320" s="50" t="s">
        <v>21</v>
      </c>
      <c r="C1320" s="50" t="s">
        <v>337</v>
      </c>
      <c r="D1320" s="50">
        <f>DATE(YEAR(OneWeekMtgRatesDataTable756[[#This Row],[asofdate]]),MONTH(OneWeekMtgRatesDataTable756[[#This Row],[asofdate]]),DAY(OneWeekMtgRatesDataTable756[[#This Row],[asofdate]]))</f>
        <v>40395</v>
      </c>
      <c r="E1320" s="50" t="s">
        <v>11</v>
      </c>
      <c r="F1320" s="57">
        <v>0.29469000000000001</v>
      </c>
    </row>
    <row r="1321" spans="2:6">
      <c r="B1321" s="50" t="s">
        <v>21</v>
      </c>
      <c r="C1321" s="50" t="s">
        <v>336</v>
      </c>
      <c r="D1321" s="50">
        <f>DATE(YEAR(OneWeekMtgRatesDataTable756[[#This Row],[asofdate]]),MONTH(OneWeekMtgRatesDataTable756[[#This Row],[asofdate]]),DAY(OneWeekMtgRatesDataTable756[[#This Row],[asofdate]]))</f>
        <v>40394</v>
      </c>
      <c r="E1321" s="50" t="s">
        <v>11</v>
      </c>
      <c r="F1321" s="57">
        <v>0.29531000000000002</v>
      </c>
    </row>
    <row r="1322" spans="2:6">
      <c r="B1322" s="50" t="s">
        <v>21</v>
      </c>
      <c r="C1322" s="50" t="s">
        <v>335</v>
      </c>
      <c r="D1322" s="50">
        <f>DATE(YEAR(OneWeekMtgRatesDataTable756[[#This Row],[asofdate]]),MONTH(OneWeekMtgRatesDataTable756[[#This Row],[asofdate]]),DAY(OneWeekMtgRatesDataTable756[[#This Row],[asofdate]]))</f>
        <v>40393</v>
      </c>
      <c r="E1322" s="50" t="s">
        <v>11</v>
      </c>
      <c r="F1322" s="57">
        <v>0.3</v>
      </c>
    </row>
    <row r="1323" spans="2:6">
      <c r="B1323" s="50" t="s">
        <v>21</v>
      </c>
      <c r="C1323" s="50" t="s">
        <v>334</v>
      </c>
      <c r="D1323" s="50">
        <f>DATE(YEAR(OneWeekMtgRatesDataTable756[[#This Row],[asofdate]]),MONTH(OneWeekMtgRatesDataTable756[[#This Row],[asofdate]]),DAY(OneWeekMtgRatesDataTable756[[#This Row],[asofdate]]))</f>
        <v>40392</v>
      </c>
      <c r="E1323" s="50" t="s">
        <v>11</v>
      </c>
      <c r="F1323" s="57">
        <v>0.30281000000000002</v>
      </c>
    </row>
    <row r="1324" spans="2:6">
      <c r="B1324" s="50" t="s">
        <v>21</v>
      </c>
      <c r="C1324" s="50" t="s">
        <v>333</v>
      </c>
      <c r="D1324" s="50">
        <f>DATE(YEAR(OneWeekMtgRatesDataTable756[[#This Row],[asofdate]]),MONTH(OneWeekMtgRatesDataTable756[[#This Row],[asofdate]]),DAY(OneWeekMtgRatesDataTable756[[#This Row],[asofdate]]))</f>
        <v>40389</v>
      </c>
      <c r="E1324" s="50" t="s">
        <v>11</v>
      </c>
      <c r="F1324" s="57">
        <v>0.30499999999999999</v>
      </c>
    </row>
    <row r="1325" spans="2:6">
      <c r="B1325" s="50" t="s">
        <v>21</v>
      </c>
      <c r="C1325" s="50" t="s">
        <v>332</v>
      </c>
      <c r="D1325" s="50">
        <f>DATE(YEAR(OneWeekMtgRatesDataTable756[[#This Row],[asofdate]]),MONTH(OneWeekMtgRatesDataTable756[[#This Row],[asofdate]]),DAY(OneWeekMtgRatesDataTable756[[#This Row],[asofdate]]))</f>
        <v>40388</v>
      </c>
      <c r="E1325" s="50" t="s">
        <v>11</v>
      </c>
      <c r="F1325" s="57">
        <v>0.31156</v>
      </c>
    </row>
    <row r="1326" spans="2:6">
      <c r="B1326" s="50" t="s">
        <v>21</v>
      </c>
      <c r="C1326" s="50" t="s">
        <v>331</v>
      </c>
      <c r="D1326" s="50">
        <f>DATE(YEAR(OneWeekMtgRatesDataTable756[[#This Row],[asofdate]]),MONTH(OneWeekMtgRatesDataTable756[[#This Row],[asofdate]]),DAY(OneWeekMtgRatesDataTable756[[#This Row],[asofdate]]))</f>
        <v>40387</v>
      </c>
      <c r="E1326" s="50" t="s">
        <v>11</v>
      </c>
      <c r="F1326" s="57">
        <v>0.31563000000000002</v>
      </c>
    </row>
    <row r="1327" spans="2:6">
      <c r="B1327" s="50" t="s">
        <v>21</v>
      </c>
      <c r="C1327" s="50" t="s">
        <v>330</v>
      </c>
      <c r="D1327" s="50">
        <f>DATE(YEAR(OneWeekMtgRatesDataTable756[[#This Row],[asofdate]]),MONTH(OneWeekMtgRatesDataTable756[[#This Row],[asofdate]]),DAY(OneWeekMtgRatesDataTable756[[#This Row],[asofdate]]))</f>
        <v>40386</v>
      </c>
      <c r="E1327" s="50" t="s">
        <v>11</v>
      </c>
      <c r="F1327" s="57">
        <v>0.32063000000000003</v>
      </c>
    </row>
    <row r="1328" spans="2:6">
      <c r="B1328" s="50" t="s">
        <v>21</v>
      </c>
      <c r="C1328" s="50" t="s">
        <v>329</v>
      </c>
      <c r="D1328" s="50">
        <f>DATE(YEAR(OneWeekMtgRatesDataTable756[[#This Row],[asofdate]]),MONTH(OneWeekMtgRatesDataTable756[[#This Row],[asofdate]]),DAY(OneWeekMtgRatesDataTable756[[#This Row],[asofdate]]))</f>
        <v>40385</v>
      </c>
      <c r="E1328" s="50" t="s">
        <v>11</v>
      </c>
      <c r="F1328" s="57">
        <v>0.32500000000000001</v>
      </c>
    </row>
    <row r="1329" spans="2:6">
      <c r="B1329" s="50" t="s">
        <v>21</v>
      </c>
      <c r="C1329" s="50" t="s">
        <v>328</v>
      </c>
      <c r="D1329" s="50">
        <f>DATE(YEAR(OneWeekMtgRatesDataTable756[[#This Row],[asofdate]]),MONTH(OneWeekMtgRatesDataTable756[[#This Row],[asofdate]]),DAY(OneWeekMtgRatesDataTable756[[#This Row],[asofdate]]))</f>
        <v>40382</v>
      </c>
      <c r="E1329" s="50" t="s">
        <v>11</v>
      </c>
      <c r="F1329" s="57">
        <v>0.32688</v>
      </c>
    </row>
    <row r="1330" spans="2:6">
      <c r="B1330" s="50" t="s">
        <v>21</v>
      </c>
      <c r="C1330" s="50" t="s">
        <v>327</v>
      </c>
      <c r="D1330" s="50">
        <f>DATE(YEAR(OneWeekMtgRatesDataTable756[[#This Row],[asofdate]]),MONTH(OneWeekMtgRatesDataTable756[[#This Row],[asofdate]]),DAY(OneWeekMtgRatesDataTable756[[#This Row],[asofdate]]))</f>
        <v>40381</v>
      </c>
      <c r="E1330" s="50" t="s">
        <v>11</v>
      </c>
      <c r="F1330" s="57">
        <v>0.32874999999999999</v>
      </c>
    </row>
    <row r="1331" spans="2:6">
      <c r="B1331" s="50" t="s">
        <v>21</v>
      </c>
      <c r="C1331" s="50" t="s">
        <v>326</v>
      </c>
      <c r="D1331" s="50">
        <f>DATE(YEAR(OneWeekMtgRatesDataTable756[[#This Row],[asofdate]]),MONTH(OneWeekMtgRatesDataTable756[[#This Row],[asofdate]]),DAY(OneWeekMtgRatesDataTable756[[#This Row],[asofdate]]))</f>
        <v>40380</v>
      </c>
      <c r="E1331" s="50" t="s">
        <v>11</v>
      </c>
      <c r="F1331" s="57">
        <v>0.33062999999999998</v>
      </c>
    </row>
    <row r="1332" spans="2:6">
      <c r="B1332" s="50" t="s">
        <v>21</v>
      </c>
      <c r="C1332" s="50" t="s">
        <v>325</v>
      </c>
      <c r="D1332" s="50">
        <f>DATE(YEAR(OneWeekMtgRatesDataTable756[[#This Row],[asofdate]]),MONTH(OneWeekMtgRatesDataTable756[[#This Row],[asofdate]]),DAY(OneWeekMtgRatesDataTable756[[#This Row],[asofdate]]))</f>
        <v>40379</v>
      </c>
      <c r="E1332" s="50" t="s">
        <v>11</v>
      </c>
      <c r="F1332" s="57">
        <v>0.33250000000000002</v>
      </c>
    </row>
    <row r="1333" spans="2:6">
      <c r="B1333" s="50" t="s">
        <v>21</v>
      </c>
      <c r="C1333" s="50" t="s">
        <v>324</v>
      </c>
      <c r="D1333" s="50">
        <f>DATE(YEAR(OneWeekMtgRatesDataTable756[[#This Row],[asofdate]]),MONTH(OneWeekMtgRatesDataTable756[[#This Row],[asofdate]]),DAY(OneWeekMtgRatesDataTable756[[#This Row],[asofdate]]))</f>
        <v>40378</v>
      </c>
      <c r="E1333" s="50" t="s">
        <v>11</v>
      </c>
      <c r="F1333" s="57">
        <v>0.33688000000000001</v>
      </c>
    </row>
    <row r="1334" spans="2:6">
      <c r="B1334" s="50" t="s">
        <v>21</v>
      </c>
      <c r="C1334" s="50" t="s">
        <v>323</v>
      </c>
      <c r="D1334" s="50">
        <f>DATE(YEAR(OneWeekMtgRatesDataTable756[[#This Row],[asofdate]]),MONTH(OneWeekMtgRatesDataTable756[[#This Row],[asofdate]]),DAY(OneWeekMtgRatesDataTable756[[#This Row],[asofdate]]))</f>
        <v>40375</v>
      </c>
      <c r="E1334" s="50" t="s">
        <v>11</v>
      </c>
      <c r="F1334" s="57">
        <v>0.33812999999999999</v>
      </c>
    </row>
    <row r="1335" spans="2:6">
      <c r="B1335" s="50" t="s">
        <v>21</v>
      </c>
      <c r="C1335" s="50" t="s">
        <v>322</v>
      </c>
      <c r="D1335" s="50">
        <f>DATE(YEAR(OneWeekMtgRatesDataTable756[[#This Row],[asofdate]]),MONTH(OneWeekMtgRatesDataTable756[[#This Row],[asofdate]]),DAY(OneWeekMtgRatesDataTable756[[#This Row],[asofdate]]))</f>
        <v>40374</v>
      </c>
      <c r="E1335" s="50" t="s">
        <v>11</v>
      </c>
      <c r="F1335" s="57">
        <v>0.34062999999999999</v>
      </c>
    </row>
    <row r="1336" spans="2:6">
      <c r="B1336" s="50" t="s">
        <v>21</v>
      </c>
      <c r="C1336" s="50" t="s">
        <v>321</v>
      </c>
      <c r="D1336" s="50">
        <f>DATE(YEAR(OneWeekMtgRatesDataTable756[[#This Row],[asofdate]]),MONTH(OneWeekMtgRatesDataTable756[[#This Row],[asofdate]]),DAY(OneWeekMtgRatesDataTable756[[#This Row],[asofdate]]))</f>
        <v>40373</v>
      </c>
      <c r="E1336" s="50" t="s">
        <v>11</v>
      </c>
      <c r="F1336" s="57">
        <v>0.34094000000000002</v>
      </c>
    </row>
    <row r="1337" spans="2:6">
      <c r="B1337" s="50" t="s">
        <v>21</v>
      </c>
      <c r="C1337" s="50" t="s">
        <v>320</v>
      </c>
      <c r="D1337" s="50">
        <f>DATE(YEAR(OneWeekMtgRatesDataTable756[[#This Row],[asofdate]]),MONTH(OneWeekMtgRatesDataTable756[[#This Row],[asofdate]]),DAY(OneWeekMtgRatesDataTable756[[#This Row],[asofdate]]))</f>
        <v>40372</v>
      </c>
      <c r="E1337" s="50" t="s">
        <v>11</v>
      </c>
      <c r="F1337" s="57">
        <v>0.34094000000000002</v>
      </c>
    </row>
    <row r="1338" spans="2:6">
      <c r="B1338" s="50" t="s">
        <v>21</v>
      </c>
      <c r="C1338" s="50" t="s">
        <v>319</v>
      </c>
      <c r="D1338" s="50">
        <f>DATE(YEAR(OneWeekMtgRatesDataTable756[[#This Row],[asofdate]]),MONTH(OneWeekMtgRatesDataTable756[[#This Row],[asofdate]]),DAY(OneWeekMtgRatesDataTable756[[#This Row],[asofdate]]))</f>
        <v>40371</v>
      </c>
      <c r="E1338" s="50" t="s">
        <v>11</v>
      </c>
      <c r="F1338" s="57">
        <v>0.34094000000000002</v>
      </c>
    </row>
    <row r="1339" spans="2:6">
      <c r="B1339" s="50" t="s">
        <v>21</v>
      </c>
      <c r="C1339" s="50" t="s">
        <v>318</v>
      </c>
      <c r="D1339" s="50">
        <f>DATE(YEAR(OneWeekMtgRatesDataTable756[[#This Row],[asofdate]]),MONTH(OneWeekMtgRatesDataTable756[[#This Row],[asofdate]]),DAY(OneWeekMtgRatesDataTable756[[#This Row],[asofdate]]))</f>
        <v>40368</v>
      </c>
      <c r="E1339" s="50" t="s">
        <v>11</v>
      </c>
      <c r="F1339" s="57">
        <v>0.34094000000000002</v>
      </c>
    </row>
    <row r="1340" spans="2:6">
      <c r="B1340" s="50" t="s">
        <v>21</v>
      </c>
      <c r="C1340" s="50" t="s">
        <v>317</v>
      </c>
      <c r="D1340" s="50">
        <f>DATE(YEAR(OneWeekMtgRatesDataTable756[[#This Row],[asofdate]]),MONTH(OneWeekMtgRatesDataTable756[[#This Row],[asofdate]]),DAY(OneWeekMtgRatesDataTable756[[#This Row],[asofdate]]))</f>
        <v>40367</v>
      </c>
      <c r="E1340" s="50" t="s">
        <v>11</v>
      </c>
      <c r="F1340" s="57">
        <v>0.34250000000000003</v>
      </c>
    </row>
    <row r="1341" spans="2:6">
      <c r="B1341" s="50" t="s">
        <v>21</v>
      </c>
      <c r="C1341" s="50" t="s">
        <v>316</v>
      </c>
      <c r="D1341" s="50">
        <f>DATE(YEAR(OneWeekMtgRatesDataTable756[[#This Row],[asofdate]]),MONTH(OneWeekMtgRatesDataTable756[[#This Row],[asofdate]]),DAY(OneWeekMtgRatesDataTable756[[#This Row],[asofdate]]))</f>
        <v>40366</v>
      </c>
      <c r="E1341" s="50" t="s">
        <v>11</v>
      </c>
      <c r="F1341" s="57">
        <v>0.34499999999999997</v>
      </c>
    </row>
    <row r="1342" spans="2:6">
      <c r="B1342" s="50" t="s">
        <v>21</v>
      </c>
      <c r="C1342" s="50" t="s">
        <v>315</v>
      </c>
      <c r="D1342" s="50">
        <f>DATE(YEAR(OneWeekMtgRatesDataTable756[[#This Row],[asofdate]]),MONTH(OneWeekMtgRatesDataTable756[[#This Row],[asofdate]]),DAY(OneWeekMtgRatesDataTable756[[#This Row],[asofdate]]))</f>
        <v>40365</v>
      </c>
      <c r="E1342" s="50" t="s">
        <v>11</v>
      </c>
      <c r="F1342" s="57">
        <v>0.34625</v>
      </c>
    </row>
    <row r="1343" spans="2:6">
      <c r="B1343" s="50" t="s">
        <v>21</v>
      </c>
      <c r="C1343" s="50" t="s">
        <v>314</v>
      </c>
      <c r="D1343" s="50">
        <f>DATE(YEAR(OneWeekMtgRatesDataTable756[[#This Row],[asofdate]]),MONTH(OneWeekMtgRatesDataTable756[[#This Row],[asofdate]]),DAY(OneWeekMtgRatesDataTable756[[#This Row],[asofdate]]))</f>
        <v>40361</v>
      </c>
      <c r="E1343" s="50" t="s">
        <v>11</v>
      </c>
      <c r="F1343" s="57">
        <v>0.34749999999999998</v>
      </c>
    </row>
    <row r="1344" spans="2:6">
      <c r="B1344" s="50" t="s">
        <v>21</v>
      </c>
      <c r="C1344" s="50" t="s">
        <v>313</v>
      </c>
      <c r="D1344" s="50">
        <f>DATE(YEAR(OneWeekMtgRatesDataTable756[[#This Row],[asofdate]]),MONTH(OneWeekMtgRatesDataTable756[[#This Row],[asofdate]]),DAY(OneWeekMtgRatesDataTable756[[#This Row],[asofdate]]))</f>
        <v>40360</v>
      </c>
      <c r="E1344" s="50" t="s">
        <v>11</v>
      </c>
      <c r="F1344" s="57">
        <v>0.34719</v>
      </c>
    </row>
    <row r="1345" spans="2:6">
      <c r="B1345" s="50" t="s">
        <v>21</v>
      </c>
      <c r="C1345" s="50" t="s">
        <v>312</v>
      </c>
      <c r="D1345" s="50">
        <f>DATE(YEAR(OneWeekMtgRatesDataTable756[[#This Row],[asofdate]]),MONTH(OneWeekMtgRatesDataTable756[[#This Row],[asofdate]]),DAY(OneWeekMtgRatesDataTable756[[#This Row],[asofdate]]))</f>
        <v>40359</v>
      </c>
      <c r="E1345" s="50" t="s">
        <v>11</v>
      </c>
      <c r="F1345" s="57">
        <v>0.34844000000000003</v>
      </c>
    </row>
    <row r="1346" spans="2:6">
      <c r="B1346" s="50" t="s">
        <v>21</v>
      </c>
      <c r="C1346" s="50" t="s">
        <v>311</v>
      </c>
      <c r="D1346" s="50">
        <f>DATE(YEAR(OneWeekMtgRatesDataTable756[[#This Row],[asofdate]]),MONTH(OneWeekMtgRatesDataTable756[[#This Row],[asofdate]]),DAY(OneWeekMtgRatesDataTable756[[#This Row],[asofdate]]))</f>
        <v>40358</v>
      </c>
      <c r="E1346" s="50" t="s">
        <v>11</v>
      </c>
      <c r="F1346" s="57">
        <v>0.34562999999999999</v>
      </c>
    </row>
    <row r="1347" spans="2:6">
      <c r="B1347" s="50" t="s">
        <v>21</v>
      </c>
      <c r="C1347" s="50" t="s">
        <v>310</v>
      </c>
      <c r="D1347" s="50">
        <f>DATE(YEAR(OneWeekMtgRatesDataTable756[[#This Row],[asofdate]]),MONTH(OneWeekMtgRatesDataTable756[[#This Row],[asofdate]]),DAY(OneWeekMtgRatesDataTable756[[#This Row],[asofdate]]))</f>
        <v>40357</v>
      </c>
      <c r="E1347" s="50" t="s">
        <v>11</v>
      </c>
      <c r="F1347" s="57">
        <v>0.34719</v>
      </c>
    </row>
    <row r="1348" spans="2:6">
      <c r="B1348" s="50" t="s">
        <v>21</v>
      </c>
      <c r="C1348" s="50" t="s">
        <v>309</v>
      </c>
      <c r="D1348" s="50">
        <f>DATE(YEAR(OneWeekMtgRatesDataTable756[[#This Row],[asofdate]]),MONTH(OneWeekMtgRatesDataTable756[[#This Row],[asofdate]]),DAY(OneWeekMtgRatesDataTable756[[#This Row],[asofdate]]))</f>
        <v>40354</v>
      </c>
      <c r="E1348" s="50" t="s">
        <v>11</v>
      </c>
      <c r="F1348" s="57">
        <v>0.34719</v>
      </c>
    </row>
    <row r="1349" spans="2:6">
      <c r="B1349" s="50" t="s">
        <v>21</v>
      </c>
      <c r="C1349" s="50" t="s">
        <v>308</v>
      </c>
      <c r="D1349" s="50">
        <f>DATE(YEAR(OneWeekMtgRatesDataTable756[[#This Row],[asofdate]]),MONTH(OneWeekMtgRatesDataTable756[[#This Row],[asofdate]]),DAY(OneWeekMtgRatesDataTable756[[#This Row],[asofdate]]))</f>
        <v>40353</v>
      </c>
      <c r="E1349" s="50" t="s">
        <v>11</v>
      </c>
      <c r="F1349" s="57">
        <v>0.34719</v>
      </c>
    </row>
    <row r="1350" spans="2:6">
      <c r="B1350" s="50" t="s">
        <v>21</v>
      </c>
      <c r="C1350" s="50" t="s">
        <v>307</v>
      </c>
      <c r="D1350" s="50">
        <f>DATE(YEAR(OneWeekMtgRatesDataTable756[[#This Row],[asofdate]]),MONTH(OneWeekMtgRatesDataTable756[[#This Row],[asofdate]]),DAY(OneWeekMtgRatesDataTable756[[#This Row],[asofdate]]))</f>
        <v>40352</v>
      </c>
      <c r="E1350" s="50" t="s">
        <v>11</v>
      </c>
      <c r="F1350" s="57">
        <v>0.34719</v>
      </c>
    </row>
    <row r="1351" spans="2:6">
      <c r="B1351" s="50" t="s">
        <v>21</v>
      </c>
      <c r="C1351" s="50" t="s">
        <v>306</v>
      </c>
      <c r="D1351" s="50">
        <f>DATE(YEAR(OneWeekMtgRatesDataTable756[[#This Row],[asofdate]]),MONTH(OneWeekMtgRatesDataTable756[[#This Row],[asofdate]]),DAY(OneWeekMtgRatesDataTable756[[#This Row],[asofdate]]))</f>
        <v>40351</v>
      </c>
      <c r="E1351" s="50" t="s">
        <v>11</v>
      </c>
      <c r="F1351" s="57">
        <v>0.34719</v>
      </c>
    </row>
    <row r="1352" spans="2:6">
      <c r="B1352" s="50" t="s">
        <v>21</v>
      </c>
      <c r="C1352" s="50" t="s">
        <v>305</v>
      </c>
      <c r="D1352" s="50">
        <f>DATE(YEAR(OneWeekMtgRatesDataTable756[[#This Row],[asofdate]]),MONTH(OneWeekMtgRatesDataTable756[[#This Row],[asofdate]]),DAY(OneWeekMtgRatesDataTable756[[#This Row],[asofdate]]))</f>
        <v>40350</v>
      </c>
      <c r="E1352" s="50" t="s">
        <v>11</v>
      </c>
      <c r="F1352" s="57">
        <v>0.34719</v>
      </c>
    </row>
    <row r="1353" spans="2:6">
      <c r="B1353" s="50" t="s">
        <v>21</v>
      </c>
      <c r="C1353" s="50" t="s">
        <v>304</v>
      </c>
      <c r="D1353" s="50">
        <f>DATE(YEAR(OneWeekMtgRatesDataTable756[[#This Row],[asofdate]]),MONTH(OneWeekMtgRatesDataTable756[[#This Row],[asofdate]]),DAY(OneWeekMtgRatesDataTable756[[#This Row],[asofdate]]))</f>
        <v>40347</v>
      </c>
      <c r="E1353" s="50" t="s">
        <v>11</v>
      </c>
      <c r="F1353" s="57">
        <v>0.34733999999999998</v>
      </c>
    </row>
    <row r="1354" spans="2:6">
      <c r="B1354" s="50" t="s">
        <v>21</v>
      </c>
      <c r="C1354" s="50" t="s">
        <v>303</v>
      </c>
      <c r="D1354" s="50">
        <f>DATE(YEAR(OneWeekMtgRatesDataTable756[[#This Row],[asofdate]]),MONTH(OneWeekMtgRatesDataTable756[[#This Row],[asofdate]]),DAY(OneWeekMtgRatesDataTable756[[#This Row],[asofdate]]))</f>
        <v>40346</v>
      </c>
      <c r="E1354" s="50" t="s">
        <v>11</v>
      </c>
      <c r="F1354" s="57">
        <v>0.34749999999999998</v>
      </c>
    </row>
    <row r="1355" spans="2:6">
      <c r="B1355" s="50" t="s">
        <v>21</v>
      </c>
      <c r="C1355" s="50" t="s">
        <v>302</v>
      </c>
      <c r="D1355" s="50">
        <f>DATE(YEAR(OneWeekMtgRatesDataTable756[[#This Row],[asofdate]]),MONTH(OneWeekMtgRatesDataTable756[[#This Row],[asofdate]]),DAY(OneWeekMtgRatesDataTable756[[#This Row],[asofdate]]))</f>
        <v>40345</v>
      </c>
      <c r="E1355" s="50" t="s">
        <v>11</v>
      </c>
      <c r="F1355" s="57">
        <v>0.34844000000000003</v>
      </c>
    </row>
    <row r="1356" spans="2:6">
      <c r="B1356" s="50" t="s">
        <v>21</v>
      </c>
      <c r="C1356" s="50" t="s">
        <v>301</v>
      </c>
      <c r="D1356" s="50">
        <f>DATE(YEAR(OneWeekMtgRatesDataTable756[[#This Row],[asofdate]]),MONTH(OneWeekMtgRatesDataTable756[[#This Row],[asofdate]]),DAY(OneWeekMtgRatesDataTable756[[#This Row],[asofdate]]))</f>
        <v>40344</v>
      </c>
      <c r="E1356" s="50" t="s">
        <v>11</v>
      </c>
      <c r="F1356" s="57">
        <v>0.34969</v>
      </c>
    </row>
    <row r="1357" spans="2:6">
      <c r="B1357" s="50" t="s">
        <v>21</v>
      </c>
      <c r="C1357" s="50" t="s">
        <v>300</v>
      </c>
      <c r="D1357" s="50">
        <f>DATE(YEAR(OneWeekMtgRatesDataTable756[[#This Row],[asofdate]]),MONTH(OneWeekMtgRatesDataTable756[[#This Row],[asofdate]]),DAY(OneWeekMtgRatesDataTable756[[#This Row],[asofdate]]))</f>
        <v>40343</v>
      </c>
      <c r="E1357" s="50" t="s">
        <v>11</v>
      </c>
      <c r="F1357" s="57">
        <v>0.34969</v>
      </c>
    </row>
    <row r="1358" spans="2:6">
      <c r="B1358" s="50" t="s">
        <v>21</v>
      </c>
      <c r="C1358" s="50" t="s">
        <v>299</v>
      </c>
      <c r="D1358" s="50">
        <f>DATE(YEAR(OneWeekMtgRatesDataTable756[[#This Row],[asofdate]]),MONTH(OneWeekMtgRatesDataTable756[[#This Row],[asofdate]]),DAY(OneWeekMtgRatesDataTable756[[#This Row],[asofdate]]))</f>
        <v>40340</v>
      </c>
      <c r="E1358" s="50" t="s">
        <v>11</v>
      </c>
      <c r="F1358" s="57">
        <v>0.34969</v>
      </c>
    </row>
    <row r="1359" spans="2:6">
      <c r="B1359" s="50" t="s">
        <v>21</v>
      </c>
      <c r="C1359" s="50" t="s">
        <v>298</v>
      </c>
      <c r="D1359" s="50">
        <f>DATE(YEAR(OneWeekMtgRatesDataTable756[[#This Row],[asofdate]]),MONTH(OneWeekMtgRatesDataTable756[[#This Row],[asofdate]]),DAY(OneWeekMtgRatesDataTable756[[#This Row],[asofdate]]))</f>
        <v>40339</v>
      </c>
      <c r="E1359" s="50" t="s">
        <v>11</v>
      </c>
      <c r="F1359" s="57">
        <v>0.34969</v>
      </c>
    </row>
    <row r="1360" spans="2:6">
      <c r="B1360" s="50" t="s">
        <v>21</v>
      </c>
      <c r="C1360" s="50" t="s">
        <v>297</v>
      </c>
      <c r="D1360" s="50">
        <f>DATE(YEAR(OneWeekMtgRatesDataTable756[[#This Row],[asofdate]]),MONTH(OneWeekMtgRatesDataTable756[[#This Row],[asofdate]]),DAY(OneWeekMtgRatesDataTable756[[#This Row],[asofdate]]))</f>
        <v>40338</v>
      </c>
      <c r="E1360" s="50" t="s">
        <v>11</v>
      </c>
      <c r="F1360" s="57">
        <v>0.35031000000000001</v>
      </c>
    </row>
    <row r="1361" spans="2:6">
      <c r="B1361" s="50" t="s">
        <v>21</v>
      </c>
      <c r="C1361" s="50" t="s">
        <v>296</v>
      </c>
      <c r="D1361" s="50">
        <f>DATE(YEAR(OneWeekMtgRatesDataTable756[[#This Row],[asofdate]]),MONTH(OneWeekMtgRatesDataTable756[[#This Row],[asofdate]]),DAY(OneWeekMtgRatesDataTable756[[#This Row],[asofdate]]))</f>
        <v>40337</v>
      </c>
      <c r="E1361" s="50" t="s">
        <v>11</v>
      </c>
      <c r="F1361" s="57">
        <v>0.35</v>
      </c>
    </row>
    <row r="1362" spans="2:6">
      <c r="B1362" s="50" t="s">
        <v>21</v>
      </c>
      <c r="C1362" s="50" t="s">
        <v>295</v>
      </c>
      <c r="D1362" s="50">
        <f>DATE(YEAR(OneWeekMtgRatesDataTable756[[#This Row],[asofdate]]),MONTH(OneWeekMtgRatesDataTable756[[#This Row],[asofdate]]),DAY(OneWeekMtgRatesDataTable756[[#This Row],[asofdate]]))</f>
        <v>40336</v>
      </c>
      <c r="E1362" s="50" t="s">
        <v>11</v>
      </c>
      <c r="F1362" s="57">
        <v>0.35</v>
      </c>
    </row>
    <row r="1363" spans="2:6">
      <c r="B1363" s="50" t="s">
        <v>21</v>
      </c>
      <c r="C1363" s="50" t="s">
        <v>294</v>
      </c>
      <c r="D1363" s="50">
        <f>DATE(YEAR(OneWeekMtgRatesDataTable756[[#This Row],[asofdate]]),MONTH(OneWeekMtgRatesDataTable756[[#This Row],[asofdate]]),DAY(OneWeekMtgRatesDataTable756[[#This Row],[asofdate]]))</f>
        <v>40333</v>
      </c>
      <c r="E1363" s="50" t="s">
        <v>11</v>
      </c>
      <c r="F1363" s="57">
        <v>0.35</v>
      </c>
    </row>
    <row r="1364" spans="2:6">
      <c r="B1364" s="50" t="s">
        <v>21</v>
      </c>
      <c r="C1364" s="50" t="s">
        <v>293</v>
      </c>
      <c r="D1364" s="50">
        <f>DATE(YEAR(OneWeekMtgRatesDataTable756[[#This Row],[asofdate]]),MONTH(OneWeekMtgRatesDataTable756[[#This Row],[asofdate]]),DAY(OneWeekMtgRatesDataTable756[[#This Row],[asofdate]]))</f>
        <v>40332</v>
      </c>
      <c r="E1364" s="50" t="s">
        <v>11</v>
      </c>
      <c r="F1364" s="57">
        <v>0.35088000000000003</v>
      </c>
    </row>
    <row r="1365" spans="2:6">
      <c r="B1365" s="50" t="s">
        <v>21</v>
      </c>
      <c r="C1365" s="50" t="s">
        <v>292</v>
      </c>
      <c r="D1365" s="50">
        <f>DATE(YEAR(OneWeekMtgRatesDataTable756[[#This Row],[asofdate]]),MONTH(OneWeekMtgRatesDataTable756[[#This Row],[asofdate]]),DAY(OneWeekMtgRatesDataTable756[[#This Row],[asofdate]]))</f>
        <v>40331</v>
      </c>
      <c r="E1365" s="50" t="s">
        <v>11</v>
      </c>
      <c r="F1365" s="57">
        <v>0.35088000000000003</v>
      </c>
    </row>
    <row r="1366" spans="2:6">
      <c r="B1366" s="50" t="s">
        <v>21</v>
      </c>
      <c r="C1366" s="50" t="s">
        <v>291</v>
      </c>
      <c r="D1366" s="50">
        <f>DATE(YEAR(OneWeekMtgRatesDataTable756[[#This Row],[asofdate]]),MONTH(OneWeekMtgRatesDataTable756[[#This Row],[asofdate]]),DAY(OneWeekMtgRatesDataTable756[[#This Row],[asofdate]]))</f>
        <v>40330</v>
      </c>
      <c r="E1366" s="50" t="s">
        <v>11</v>
      </c>
      <c r="F1366" s="57">
        <v>0.35088000000000003</v>
      </c>
    </row>
    <row r="1367" spans="2:6">
      <c r="B1367" s="50" t="s">
        <v>21</v>
      </c>
      <c r="C1367" s="50" t="s">
        <v>290</v>
      </c>
      <c r="D1367" s="50">
        <f>DATE(YEAR(OneWeekMtgRatesDataTable756[[#This Row],[asofdate]]),MONTH(OneWeekMtgRatesDataTable756[[#This Row],[asofdate]]),DAY(OneWeekMtgRatesDataTable756[[#This Row],[asofdate]]))</f>
        <v>40326</v>
      </c>
      <c r="E1367" s="50" t="s">
        <v>11</v>
      </c>
      <c r="F1367" s="57">
        <v>0.35125000000000001</v>
      </c>
    </row>
    <row r="1368" spans="2:6">
      <c r="B1368" s="50" t="s">
        <v>21</v>
      </c>
      <c r="C1368" s="50" t="s">
        <v>289</v>
      </c>
      <c r="D1368" s="50">
        <f>DATE(YEAR(OneWeekMtgRatesDataTable756[[#This Row],[asofdate]]),MONTH(OneWeekMtgRatesDataTable756[[#This Row],[asofdate]]),DAY(OneWeekMtgRatesDataTable756[[#This Row],[asofdate]]))</f>
        <v>40325</v>
      </c>
      <c r="E1368" s="50" t="s">
        <v>11</v>
      </c>
      <c r="F1368" s="57">
        <v>0.35375000000000001</v>
      </c>
    </row>
    <row r="1369" spans="2:6">
      <c r="B1369" s="50" t="s">
        <v>21</v>
      </c>
      <c r="C1369" s="50" t="s">
        <v>288</v>
      </c>
      <c r="D1369" s="50">
        <f>DATE(YEAR(OneWeekMtgRatesDataTable756[[#This Row],[asofdate]]),MONTH(OneWeekMtgRatesDataTable756[[#This Row],[asofdate]]),DAY(OneWeekMtgRatesDataTable756[[#This Row],[asofdate]]))</f>
        <v>40324</v>
      </c>
      <c r="E1369" s="50" t="s">
        <v>11</v>
      </c>
      <c r="F1369" s="57">
        <v>0.35405999999999999</v>
      </c>
    </row>
    <row r="1370" spans="2:6">
      <c r="B1370" s="50" t="s">
        <v>21</v>
      </c>
      <c r="C1370" s="50" t="s">
        <v>287</v>
      </c>
      <c r="D1370" s="50">
        <f>DATE(YEAR(OneWeekMtgRatesDataTable756[[#This Row],[asofdate]]),MONTH(OneWeekMtgRatesDataTable756[[#This Row],[asofdate]]),DAY(OneWeekMtgRatesDataTable756[[#This Row],[asofdate]]))</f>
        <v>40323</v>
      </c>
      <c r="E1370" s="50" t="s">
        <v>11</v>
      </c>
      <c r="F1370" s="57">
        <v>0.35399999999999998</v>
      </c>
    </row>
    <row r="1371" spans="2:6">
      <c r="B1371" s="50" t="s">
        <v>21</v>
      </c>
      <c r="C1371" s="50" t="s">
        <v>286</v>
      </c>
      <c r="D1371" s="50">
        <f>DATE(YEAR(OneWeekMtgRatesDataTable756[[#This Row],[asofdate]]),MONTH(OneWeekMtgRatesDataTable756[[#This Row],[asofdate]]),DAY(OneWeekMtgRatesDataTable756[[#This Row],[asofdate]]))</f>
        <v>40322</v>
      </c>
      <c r="E1371" s="50" t="s">
        <v>11</v>
      </c>
      <c r="F1371" s="57">
        <v>0.34525</v>
      </c>
    </row>
    <row r="1372" spans="2:6">
      <c r="B1372" s="50" t="s">
        <v>21</v>
      </c>
      <c r="C1372" s="50" t="s">
        <v>285</v>
      </c>
      <c r="D1372" s="50">
        <f>DATE(YEAR(OneWeekMtgRatesDataTable756[[#This Row],[asofdate]]),MONTH(OneWeekMtgRatesDataTable756[[#This Row],[asofdate]]),DAY(OneWeekMtgRatesDataTable756[[#This Row],[asofdate]]))</f>
        <v>40319</v>
      </c>
      <c r="E1372" s="50" t="s">
        <v>11</v>
      </c>
      <c r="F1372" s="57">
        <v>0.34281</v>
      </c>
    </row>
    <row r="1373" spans="2:6">
      <c r="B1373" s="50" t="s">
        <v>21</v>
      </c>
      <c r="C1373" s="50" t="s">
        <v>284</v>
      </c>
      <c r="D1373" s="50">
        <f>DATE(YEAR(OneWeekMtgRatesDataTable756[[#This Row],[asofdate]]),MONTH(OneWeekMtgRatesDataTable756[[#This Row],[asofdate]]),DAY(OneWeekMtgRatesDataTable756[[#This Row],[asofdate]]))</f>
        <v>40318</v>
      </c>
      <c r="E1373" s="50" t="s">
        <v>11</v>
      </c>
      <c r="F1373" s="57">
        <v>0.34131</v>
      </c>
    </row>
    <row r="1374" spans="2:6">
      <c r="B1374" s="50" t="s">
        <v>21</v>
      </c>
      <c r="C1374" s="50" t="s">
        <v>283</v>
      </c>
      <c r="D1374" s="50">
        <f>DATE(YEAR(OneWeekMtgRatesDataTable756[[#This Row],[asofdate]]),MONTH(OneWeekMtgRatesDataTable756[[#This Row],[asofdate]]),DAY(OneWeekMtgRatesDataTable756[[#This Row],[asofdate]]))</f>
        <v>40317</v>
      </c>
      <c r="E1374" s="50" t="s">
        <v>11</v>
      </c>
      <c r="F1374" s="57">
        <v>0.34105999999999997</v>
      </c>
    </row>
    <row r="1375" spans="2:6">
      <c r="B1375" s="50" t="s">
        <v>21</v>
      </c>
      <c r="C1375" s="50" t="s">
        <v>282</v>
      </c>
      <c r="D1375" s="50">
        <f>DATE(YEAR(OneWeekMtgRatesDataTable756[[#This Row],[asofdate]]),MONTH(OneWeekMtgRatesDataTable756[[#This Row],[asofdate]]),DAY(OneWeekMtgRatesDataTable756[[#This Row],[asofdate]]))</f>
        <v>40316</v>
      </c>
      <c r="E1375" s="50" t="s">
        <v>11</v>
      </c>
      <c r="F1375" s="57">
        <v>0.33968999999999999</v>
      </c>
    </row>
    <row r="1376" spans="2:6">
      <c r="B1376" s="50" t="s">
        <v>21</v>
      </c>
      <c r="C1376" s="50" t="s">
        <v>281</v>
      </c>
      <c r="D1376" s="50">
        <f>DATE(YEAR(OneWeekMtgRatesDataTable756[[#This Row],[asofdate]]),MONTH(OneWeekMtgRatesDataTable756[[#This Row],[asofdate]]),DAY(OneWeekMtgRatesDataTable756[[#This Row],[asofdate]]))</f>
        <v>40315</v>
      </c>
      <c r="E1376" s="50" t="s">
        <v>11</v>
      </c>
      <c r="F1376" s="57">
        <v>0.33894000000000002</v>
      </c>
    </row>
    <row r="1377" spans="2:6">
      <c r="B1377" s="50" t="s">
        <v>21</v>
      </c>
      <c r="C1377" s="50" t="s">
        <v>280</v>
      </c>
      <c r="D1377" s="50">
        <f>DATE(YEAR(OneWeekMtgRatesDataTable756[[#This Row],[asofdate]]),MONTH(OneWeekMtgRatesDataTable756[[#This Row],[asofdate]]),DAY(OneWeekMtgRatesDataTable756[[#This Row],[asofdate]]))</f>
        <v>40312</v>
      </c>
      <c r="E1377" s="50" t="s">
        <v>11</v>
      </c>
      <c r="F1377" s="57">
        <v>0.33774999999999999</v>
      </c>
    </row>
    <row r="1378" spans="2:6">
      <c r="B1378" s="50" t="s">
        <v>21</v>
      </c>
      <c r="C1378" s="50" t="s">
        <v>279</v>
      </c>
      <c r="D1378" s="50">
        <f>DATE(YEAR(OneWeekMtgRatesDataTable756[[#This Row],[asofdate]]),MONTH(OneWeekMtgRatesDataTable756[[#This Row],[asofdate]]),DAY(OneWeekMtgRatesDataTable756[[#This Row],[asofdate]]))</f>
        <v>40311</v>
      </c>
      <c r="E1378" s="50" t="s">
        <v>11</v>
      </c>
      <c r="F1378" s="57">
        <v>0.33688000000000001</v>
      </c>
    </row>
    <row r="1379" spans="2:6">
      <c r="B1379" s="50" t="s">
        <v>21</v>
      </c>
      <c r="C1379" s="50" t="s">
        <v>278</v>
      </c>
      <c r="D1379" s="50">
        <f>DATE(YEAR(OneWeekMtgRatesDataTable756[[#This Row],[asofdate]]),MONTH(OneWeekMtgRatesDataTable756[[#This Row],[asofdate]]),DAY(OneWeekMtgRatesDataTable756[[#This Row],[asofdate]]))</f>
        <v>40310</v>
      </c>
      <c r="E1379" s="50" t="s">
        <v>11</v>
      </c>
      <c r="F1379" s="57">
        <v>0.33812999999999999</v>
      </c>
    </row>
    <row r="1380" spans="2:6">
      <c r="B1380" s="50" t="s">
        <v>21</v>
      </c>
      <c r="C1380" s="50" t="s">
        <v>277</v>
      </c>
      <c r="D1380" s="50">
        <f>DATE(YEAR(OneWeekMtgRatesDataTable756[[#This Row],[asofdate]]),MONTH(OneWeekMtgRatesDataTable756[[#This Row],[asofdate]]),DAY(OneWeekMtgRatesDataTable756[[#This Row],[asofdate]]))</f>
        <v>40309</v>
      </c>
      <c r="E1380" s="50" t="s">
        <v>11</v>
      </c>
      <c r="F1380" s="57">
        <v>0.33750000000000002</v>
      </c>
    </row>
    <row r="1381" spans="2:6">
      <c r="B1381" s="50" t="s">
        <v>21</v>
      </c>
      <c r="C1381" s="50" t="s">
        <v>276</v>
      </c>
      <c r="D1381" s="50">
        <f>DATE(YEAR(OneWeekMtgRatesDataTable756[[#This Row],[asofdate]]),MONTH(OneWeekMtgRatesDataTable756[[#This Row],[asofdate]]),DAY(OneWeekMtgRatesDataTable756[[#This Row],[asofdate]]))</f>
        <v>40308</v>
      </c>
      <c r="E1381" s="50" t="s">
        <v>11</v>
      </c>
      <c r="F1381" s="57">
        <v>0.34</v>
      </c>
    </row>
    <row r="1382" spans="2:6">
      <c r="B1382" s="50" t="s">
        <v>21</v>
      </c>
      <c r="C1382" s="50" t="s">
        <v>275</v>
      </c>
      <c r="D1382" s="50">
        <f>DATE(YEAR(OneWeekMtgRatesDataTable756[[#This Row],[asofdate]]),MONTH(OneWeekMtgRatesDataTable756[[#This Row],[asofdate]]),DAY(OneWeekMtgRatesDataTable756[[#This Row],[asofdate]]))</f>
        <v>40305</v>
      </c>
      <c r="E1382" s="50" t="s">
        <v>11</v>
      </c>
      <c r="F1382" s="57">
        <v>0.34875</v>
      </c>
    </row>
    <row r="1383" spans="2:6">
      <c r="B1383" s="50" t="s">
        <v>21</v>
      </c>
      <c r="C1383" s="50" t="s">
        <v>274</v>
      </c>
      <c r="D1383" s="50">
        <f>DATE(YEAR(OneWeekMtgRatesDataTable756[[#This Row],[asofdate]]),MONTH(OneWeekMtgRatesDataTable756[[#This Row],[asofdate]]),DAY(OneWeekMtgRatesDataTable756[[#This Row],[asofdate]]))</f>
        <v>40304</v>
      </c>
      <c r="E1383" s="50" t="s">
        <v>11</v>
      </c>
      <c r="F1383" s="57">
        <v>0.29705999999999999</v>
      </c>
    </row>
    <row r="1384" spans="2:6">
      <c r="B1384" s="50" t="s">
        <v>21</v>
      </c>
      <c r="C1384" s="50" t="s">
        <v>273</v>
      </c>
      <c r="D1384" s="50">
        <f>DATE(YEAR(OneWeekMtgRatesDataTable756[[#This Row],[asofdate]]),MONTH(OneWeekMtgRatesDataTable756[[#This Row],[asofdate]]),DAY(OneWeekMtgRatesDataTable756[[#This Row],[asofdate]]))</f>
        <v>40303</v>
      </c>
      <c r="E1384" s="50" t="s">
        <v>11</v>
      </c>
      <c r="F1384" s="57">
        <v>0.29093999999999998</v>
      </c>
    </row>
    <row r="1385" spans="2:6">
      <c r="B1385" s="50" t="s">
        <v>21</v>
      </c>
      <c r="C1385" s="50" t="s">
        <v>272</v>
      </c>
      <c r="D1385" s="50">
        <f>DATE(YEAR(OneWeekMtgRatesDataTable756[[#This Row],[asofdate]]),MONTH(OneWeekMtgRatesDataTable756[[#This Row],[asofdate]]),DAY(OneWeekMtgRatesDataTable756[[#This Row],[asofdate]]))</f>
        <v>40302</v>
      </c>
      <c r="E1385" s="50" t="s">
        <v>11</v>
      </c>
      <c r="F1385" s="57">
        <v>0.28469</v>
      </c>
    </row>
    <row r="1386" spans="2:6">
      <c r="B1386" s="50" t="s">
        <v>21</v>
      </c>
      <c r="C1386" s="50" t="s">
        <v>271</v>
      </c>
      <c r="D1386" s="50">
        <f>DATE(YEAR(OneWeekMtgRatesDataTable756[[#This Row],[asofdate]]),MONTH(OneWeekMtgRatesDataTable756[[#This Row],[asofdate]]),DAY(OneWeekMtgRatesDataTable756[[#This Row],[asofdate]]))</f>
        <v>40301</v>
      </c>
      <c r="E1386" s="50" t="s">
        <v>11</v>
      </c>
      <c r="F1386" s="57">
        <v>0.28000000000000003</v>
      </c>
    </row>
    <row r="1387" spans="2:6">
      <c r="B1387" s="50" t="s">
        <v>21</v>
      </c>
      <c r="C1387" s="50" t="s">
        <v>270</v>
      </c>
      <c r="D1387" s="50">
        <f>DATE(YEAR(OneWeekMtgRatesDataTable756[[#This Row],[asofdate]]),MONTH(OneWeekMtgRatesDataTable756[[#This Row],[asofdate]]),DAY(OneWeekMtgRatesDataTable756[[#This Row],[asofdate]]))</f>
        <v>40298</v>
      </c>
      <c r="E1387" s="50" t="s">
        <v>11</v>
      </c>
      <c r="F1387" s="57">
        <v>0.28000000000000003</v>
      </c>
    </row>
    <row r="1388" spans="2:6">
      <c r="B1388" s="50" t="s">
        <v>21</v>
      </c>
      <c r="C1388" s="50" t="s">
        <v>269</v>
      </c>
      <c r="D1388" s="50">
        <f>DATE(YEAR(OneWeekMtgRatesDataTable756[[#This Row],[asofdate]]),MONTH(OneWeekMtgRatesDataTable756[[#This Row],[asofdate]]),DAY(OneWeekMtgRatesDataTable756[[#This Row],[asofdate]]))</f>
        <v>40297</v>
      </c>
      <c r="E1388" s="50" t="s">
        <v>11</v>
      </c>
      <c r="F1388" s="57">
        <v>0.27766000000000002</v>
      </c>
    </row>
    <row r="1389" spans="2:6">
      <c r="B1389" s="50" t="s">
        <v>21</v>
      </c>
      <c r="C1389" s="50" t="s">
        <v>268</v>
      </c>
      <c r="D1389" s="50">
        <f>DATE(YEAR(OneWeekMtgRatesDataTable756[[#This Row],[asofdate]]),MONTH(OneWeekMtgRatesDataTable756[[#This Row],[asofdate]]),DAY(OneWeekMtgRatesDataTable756[[#This Row],[asofdate]]))</f>
        <v>40296</v>
      </c>
      <c r="E1389" s="50" t="s">
        <v>11</v>
      </c>
      <c r="F1389" s="57">
        <v>0.27312999999999998</v>
      </c>
    </row>
    <row r="1390" spans="2:6">
      <c r="B1390" s="50" t="s">
        <v>21</v>
      </c>
      <c r="C1390" s="50" t="s">
        <v>267</v>
      </c>
      <c r="D1390" s="50">
        <f>DATE(YEAR(OneWeekMtgRatesDataTable756[[#This Row],[asofdate]]),MONTH(OneWeekMtgRatesDataTable756[[#This Row],[asofdate]]),DAY(OneWeekMtgRatesDataTable756[[#This Row],[asofdate]]))</f>
        <v>40295</v>
      </c>
      <c r="E1390" s="50" t="s">
        <v>11</v>
      </c>
      <c r="F1390" s="57">
        <v>0.26672000000000001</v>
      </c>
    </row>
    <row r="1391" spans="2:6">
      <c r="B1391" s="50" t="s">
        <v>21</v>
      </c>
      <c r="C1391" s="50" t="s">
        <v>266</v>
      </c>
      <c r="D1391" s="50">
        <f>DATE(YEAR(OneWeekMtgRatesDataTable756[[#This Row],[asofdate]]),MONTH(OneWeekMtgRatesDataTable756[[#This Row],[asofdate]]),DAY(OneWeekMtgRatesDataTable756[[#This Row],[asofdate]]))</f>
        <v>40294</v>
      </c>
      <c r="E1391" s="50" t="s">
        <v>11</v>
      </c>
      <c r="F1391" s="57">
        <v>0.26468999999999998</v>
      </c>
    </row>
    <row r="1392" spans="2:6">
      <c r="B1392" s="50" t="s">
        <v>21</v>
      </c>
      <c r="C1392" s="50" t="s">
        <v>265</v>
      </c>
      <c r="D1392" s="50">
        <f>DATE(YEAR(OneWeekMtgRatesDataTable756[[#This Row],[asofdate]]),MONTH(OneWeekMtgRatesDataTable756[[#This Row],[asofdate]]),DAY(OneWeekMtgRatesDataTable756[[#This Row],[asofdate]]))</f>
        <v>40291</v>
      </c>
      <c r="E1392" s="50" t="s">
        <v>11</v>
      </c>
      <c r="F1392" s="57">
        <v>0.26438</v>
      </c>
    </row>
    <row r="1393" spans="2:6">
      <c r="B1393" s="50" t="s">
        <v>21</v>
      </c>
      <c r="C1393" s="50" t="s">
        <v>264</v>
      </c>
      <c r="D1393" s="50">
        <f>DATE(YEAR(OneWeekMtgRatesDataTable756[[#This Row],[asofdate]]),MONTH(OneWeekMtgRatesDataTable756[[#This Row],[asofdate]]),DAY(OneWeekMtgRatesDataTable756[[#This Row],[asofdate]]))</f>
        <v>40290</v>
      </c>
      <c r="E1393" s="50" t="s">
        <v>11</v>
      </c>
      <c r="F1393" s="57">
        <v>0.26250000000000001</v>
      </c>
    </row>
    <row r="1394" spans="2:6">
      <c r="B1394" s="50" t="s">
        <v>21</v>
      </c>
      <c r="C1394" s="50" t="s">
        <v>263</v>
      </c>
      <c r="D1394" s="50">
        <f>DATE(YEAR(OneWeekMtgRatesDataTable756[[#This Row],[asofdate]]),MONTH(OneWeekMtgRatesDataTable756[[#This Row],[asofdate]]),DAY(OneWeekMtgRatesDataTable756[[#This Row],[asofdate]]))</f>
        <v>40289</v>
      </c>
      <c r="E1394" s="50" t="s">
        <v>11</v>
      </c>
      <c r="F1394" s="57">
        <v>0.26062999999999997</v>
      </c>
    </row>
    <row r="1395" spans="2:6">
      <c r="B1395" s="50" t="s">
        <v>21</v>
      </c>
      <c r="C1395" s="50" t="s">
        <v>262</v>
      </c>
      <c r="D1395" s="50">
        <f>DATE(YEAR(OneWeekMtgRatesDataTable756[[#This Row],[asofdate]]),MONTH(OneWeekMtgRatesDataTable756[[#This Row],[asofdate]]),DAY(OneWeekMtgRatesDataTable756[[#This Row],[asofdate]]))</f>
        <v>40288</v>
      </c>
      <c r="E1395" s="50" t="s">
        <v>11</v>
      </c>
      <c r="F1395" s="57">
        <v>0.25874999999999998</v>
      </c>
    </row>
    <row r="1396" spans="2:6">
      <c r="B1396" s="50" t="s">
        <v>21</v>
      </c>
      <c r="C1396" s="50" t="s">
        <v>261</v>
      </c>
      <c r="D1396" s="50">
        <f>DATE(YEAR(OneWeekMtgRatesDataTable756[[#This Row],[asofdate]]),MONTH(OneWeekMtgRatesDataTable756[[#This Row],[asofdate]]),DAY(OneWeekMtgRatesDataTable756[[#This Row],[asofdate]]))</f>
        <v>40287</v>
      </c>
      <c r="E1396" s="50" t="s">
        <v>11</v>
      </c>
      <c r="F1396" s="57">
        <v>0.25750000000000001</v>
      </c>
    </row>
    <row r="1397" spans="2:6">
      <c r="B1397" s="50" t="s">
        <v>21</v>
      </c>
      <c r="C1397" s="50" t="s">
        <v>260</v>
      </c>
      <c r="D1397" s="50">
        <f>DATE(YEAR(OneWeekMtgRatesDataTable756[[#This Row],[asofdate]]),MONTH(OneWeekMtgRatesDataTable756[[#This Row],[asofdate]]),DAY(OneWeekMtgRatesDataTable756[[#This Row],[asofdate]]))</f>
        <v>40284</v>
      </c>
      <c r="E1397" s="50" t="s">
        <v>11</v>
      </c>
      <c r="F1397" s="57">
        <v>0.25563000000000002</v>
      </c>
    </row>
    <row r="1398" spans="2:6">
      <c r="B1398" s="50" t="s">
        <v>21</v>
      </c>
      <c r="C1398" s="50" t="s">
        <v>259</v>
      </c>
      <c r="D1398" s="50">
        <f>DATE(YEAR(OneWeekMtgRatesDataTable756[[#This Row],[asofdate]]),MONTH(OneWeekMtgRatesDataTable756[[#This Row],[asofdate]]),DAY(OneWeekMtgRatesDataTable756[[#This Row],[asofdate]]))</f>
        <v>40283</v>
      </c>
      <c r="E1398" s="50" t="s">
        <v>11</v>
      </c>
      <c r="F1398" s="57">
        <v>0.25624999999999998</v>
      </c>
    </row>
    <row r="1399" spans="2:6">
      <c r="B1399" s="50" t="s">
        <v>21</v>
      </c>
      <c r="C1399" s="50" t="s">
        <v>258</v>
      </c>
      <c r="D1399" s="50">
        <f>DATE(YEAR(OneWeekMtgRatesDataTable756[[#This Row],[asofdate]]),MONTH(OneWeekMtgRatesDataTable756[[#This Row],[asofdate]]),DAY(OneWeekMtgRatesDataTable756[[#This Row],[asofdate]]))</f>
        <v>40282</v>
      </c>
      <c r="E1399" s="50" t="s">
        <v>11</v>
      </c>
      <c r="F1399" s="57">
        <v>0.25594</v>
      </c>
    </row>
    <row r="1400" spans="2:6">
      <c r="B1400" s="50" t="s">
        <v>21</v>
      </c>
      <c r="C1400" s="50" t="s">
        <v>257</v>
      </c>
      <c r="D1400" s="50">
        <f>DATE(YEAR(OneWeekMtgRatesDataTable756[[#This Row],[asofdate]]),MONTH(OneWeekMtgRatesDataTable756[[#This Row],[asofdate]]),DAY(OneWeekMtgRatesDataTable756[[#This Row],[asofdate]]))</f>
        <v>40281</v>
      </c>
      <c r="E1400" s="50" t="s">
        <v>11</v>
      </c>
      <c r="F1400" s="57">
        <v>0.25438</v>
      </c>
    </row>
    <row r="1401" spans="2:6">
      <c r="B1401" s="50" t="s">
        <v>21</v>
      </c>
      <c r="C1401" s="50" t="s">
        <v>256</v>
      </c>
      <c r="D1401" s="50">
        <f>DATE(YEAR(OneWeekMtgRatesDataTable756[[#This Row],[asofdate]]),MONTH(OneWeekMtgRatesDataTable756[[#This Row],[asofdate]]),DAY(OneWeekMtgRatesDataTable756[[#This Row],[asofdate]]))</f>
        <v>40280</v>
      </c>
      <c r="E1401" s="50" t="s">
        <v>11</v>
      </c>
      <c r="F1401" s="57">
        <v>0.25297999999999998</v>
      </c>
    </row>
    <row r="1402" spans="2:6">
      <c r="B1402" s="50" t="s">
        <v>21</v>
      </c>
      <c r="C1402" s="50" t="s">
        <v>255</v>
      </c>
      <c r="D1402" s="50">
        <f>DATE(YEAR(OneWeekMtgRatesDataTable756[[#This Row],[asofdate]]),MONTH(OneWeekMtgRatesDataTable756[[#This Row],[asofdate]]),DAY(OneWeekMtgRatesDataTable756[[#This Row],[asofdate]]))</f>
        <v>40277</v>
      </c>
      <c r="E1402" s="50" t="s">
        <v>11</v>
      </c>
      <c r="F1402" s="57">
        <v>0.25287999999999999</v>
      </c>
    </row>
    <row r="1403" spans="2:6">
      <c r="B1403" s="50" t="s">
        <v>21</v>
      </c>
      <c r="C1403" s="50" t="s">
        <v>254</v>
      </c>
      <c r="D1403" s="50">
        <f>DATE(YEAR(OneWeekMtgRatesDataTable756[[#This Row],[asofdate]]),MONTH(OneWeekMtgRatesDataTable756[[#This Row],[asofdate]]),DAY(OneWeekMtgRatesDataTable756[[#This Row],[asofdate]]))</f>
        <v>40276</v>
      </c>
      <c r="E1403" s="50" t="s">
        <v>11</v>
      </c>
      <c r="F1403" s="57">
        <v>0.25013000000000002</v>
      </c>
    </row>
    <row r="1404" spans="2:6">
      <c r="B1404" s="50" t="s">
        <v>21</v>
      </c>
      <c r="C1404" s="50" t="s">
        <v>253</v>
      </c>
      <c r="D1404" s="50">
        <f>DATE(YEAR(OneWeekMtgRatesDataTable756[[#This Row],[asofdate]]),MONTH(OneWeekMtgRatesDataTable756[[#This Row],[asofdate]]),DAY(OneWeekMtgRatesDataTable756[[#This Row],[asofdate]]))</f>
        <v>40275</v>
      </c>
      <c r="E1404" s="50" t="s">
        <v>11</v>
      </c>
      <c r="F1404" s="57">
        <v>0.25137999999999999</v>
      </c>
    </row>
    <row r="1405" spans="2:6">
      <c r="B1405" s="50" t="s">
        <v>21</v>
      </c>
      <c r="C1405" s="50" t="s">
        <v>252</v>
      </c>
      <c r="D1405" s="50">
        <f>DATE(YEAR(OneWeekMtgRatesDataTable756[[#This Row],[asofdate]]),MONTH(OneWeekMtgRatesDataTable756[[#This Row],[asofdate]]),DAY(OneWeekMtgRatesDataTable756[[#This Row],[asofdate]]))</f>
        <v>40274</v>
      </c>
      <c r="E1405" s="50" t="s">
        <v>11</v>
      </c>
      <c r="F1405" s="57">
        <v>0.25074999999999997</v>
      </c>
    </row>
    <row r="1406" spans="2:6">
      <c r="B1406" s="50" t="s">
        <v>21</v>
      </c>
      <c r="C1406" s="50" t="s">
        <v>251</v>
      </c>
      <c r="D1406" s="50">
        <f>DATE(YEAR(OneWeekMtgRatesDataTable756[[#This Row],[asofdate]]),MONTH(OneWeekMtgRatesDataTable756[[#This Row],[asofdate]]),DAY(OneWeekMtgRatesDataTable756[[#This Row],[asofdate]]))</f>
        <v>40273</v>
      </c>
      <c r="E1406" s="50" t="s">
        <v>11</v>
      </c>
      <c r="F1406" s="57">
        <v>0.24862999999999999</v>
      </c>
    </row>
    <row r="1407" spans="2:6">
      <c r="B1407" s="50" t="s">
        <v>21</v>
      </c>
      <c r="C1407" s="50" t="s">
        <v>250</v>
      </c>
      <c r="D1407" s="50">
        <f>DATE(YEAR(OneWeekMtgRatesDataTable756[[#This Row],[asofdate]]),MONTH(OneWeekMtgRatesDataTable756[[#This Row],[asofdate]]),DAY(OneWeekMtgRatesDataTable756[[#This Row],[asofdate]]))</f>
        <v>40269</v>
      </c>
      <c r="E1407" s="50" t="s">
        <v>11</v>
      </c>
      <c r="F1407" s="57">
        <v>0.24862999999999999</v>
      </c>
    </row>
    <row r="1408" spans="2:6">
      <c r="B1408" s="50" t="s">
        <v>21</v>
      </c>
      <c r="C1408" s="50" t="s">
        <v>249</v>
      </c>
      <c r="D1408" s="50">
        <f>DATE(YEAR(OneWeekMtgRatesDataTable756[[#This Row],[asofdate]]),MONTH(OneWeekMtgRatesDataTable756[[#This Row],[asofdate]]),DAY(OneWeekMtgRatesDataTable756[[#This Row],[asofdate]]))</f>
        <v>40268</v>
      </c>
      <c r="E1408" s="50" t="s">
        <v>11</v>
      </c>
      <c r="F1408" s="57">
        <v>0.24862999999999999</v>
      </c>
    </row>
    <row r="1409" spans="2:6">
      <c r="B1409" s="50" t="s">
        <v>21</v>
      </c>
      <c r="C1409" s="50" t="s">
        <v>248</v>
      </c>
      <c r="D1409" s="50">
        <f>DATE(YEAR(OneWeekMtgRatesDataTable756[[#This Row],[asofdate]]),MONTH(OneWeekMtgRatesDataTable756[[#This Row],[asofdate]]),DAY(OneWeekMtgRatesDataTable756[[#This Row],[asofdate]]))</f>
        <v>40267</v>
      </c>
      <c r="E1409" s="50" t="s">
        <v>11</v>
      </c>
      <c r="F1409" s="57">
        <v>0.24862999999999999</v>
      </c>
    </row>
    <row r="1410" spans="2:6">
      <c r="B1410" s="50" t="s">
        <v>21</v>
      </c>
      <c r="C1410" s="50" t="s">
        <v>247</v>
      </c>
      <c r="D1410" s="50">
        <f>DATE(YEAR(OneWeekMtgRatesDataTable756[[#This Row],[asofdate]]),MONTH(OneWeekMtgRatesDataTable756[[#This Row],[asofdate]]),DAY(OneWeekMtgRatesDataTable756[[#This Row],[asofdate]]))</f>
        <v>40266</v>
      </c>
      <c r="E1410" s="50" t="s">
        <v>11</v>
      </c>
      <c r="F1410" s="57">
        <v>0.24787999999999999</v>
      </c>
    </row>
    <row r="1411" spans="2:6">
      <c r="B1411" s="50" t="s">
        <v>21</v>
      </c>
      <c r="C1411" s="50" t="s">
        <v>246</v>
      </c>
      <c r="D1411" s="50">
        <f>DATE(YEAR(OneWeekMtgRatesDataTable756[[#This Row],[asofdate]]),MONTH(OneWeekMtgRatesDataTable756[[#This Row],[asofdate]]),DAY(OneWeekMtgRatesDataTable756[[#This Row],[asofdate]]))</f>
        <v>40263</v>
      </c>
      <c r="E1411" s="50" t="s">
        <v>11</v>
      </c>
      <c r="F1411" s="57">
        <v>0.24687999999999999</v>
      </c>
    </row>
    <row r="1412" spans="2:6">
      <c r="B1412" s="50" t="s">
        <v>21</v>
      </c>
      <c r="C1412" s="50" t="s">
        <v>245</v>
      </c>
      <c r="D1412" s="50">
        <f>DATE(YEAR(OneWeekMtgRatesDataTable756[[#This Row],[asofdate]]),MONTH(OneWeekMtgRatesDataTable756[[#This Row],[asofdate]]),DAY(OneWeekMtgRatesDataTable756[[#This Row],[asofdate]]))</f>
        <v>40262</v>
      </c>
      <c r="E1412" s="50" t="s">
        <v>11</v>
      </c>
      <c r="F1412" s="57">
        <v>0.24693999999999999</v>
      </c>
    </row>
    <row r="1413" spans="2:6">
      <c r="B1413" s="50" t="s">
        <v>21</v>
      </c>
      <c r="C1413" s="50" t="s">
        <v>244</v>
      </c>
      <c r="D1413" s="50">
        <f>DATE(YEAR(OneWeekMtgRatesDataTable756[[#This Row],[asofdate]]),MONTH(OneWeekMtgRatesDataTable756[[#This Row],[asofdate]]),DAY(OneWeekMtgRatesDataTable756[[#This Row],[asofdate]]))</f>
        <v>40261</v>
      </c>
      <c r="E1413" s="50" t="s">
        <v>11</v>
      </c>
      <c r="F1413" s="57">
        <v>0.24618999999999999</v>
      </c>
    </row>
    <row r="1414" spans="2:6">
      <c r="B1414" s="50" t="s">
        <v>21</v>
      </c>
      <c r="C1414" s="50" t="s">
        <v>243</v>
      </c>
      <c r="D1414" s="50">
        <f>DATE(YEAR(OneWeekMtgRatesDataTable756[[#This Row],[asofdate]]),MONTH(OneWeekMtgRatesDataTable756[[#This Row],[asofdate]]),DAY(OneWeekMtgRatesDataTable756[[#This Row],[asofdate]]))</f>
        <v>40260</v>
      </c>
      <c r="E1414" s="50" t="s">
        <v>11</v>
      </c>
      <c r="F1414" s="57">
        <v>0.24606</v>
      </c>
    </row>
    <row r="1415" spans="2:6">
      <c r="B1415" s="50" t="s">
        <v>21</v>
      </c>
      <c r="C1415" s="50" t="s">
        <v>242</v>
      </c>
      <c r="D1415" s="50">
        <f>DATE(YEAR(OneWeekMtgRatesDataTable756[[#This Row],[asofdate]]),MONTH(OneWeekMtgRatesDataTable756[[#This Row],[asofdate]]),DAY(OneWeekMtgRatesDataTable756[[#This Row],[asofdate]]))</f>
        <v>40259</v>
      </c>
      <c r="E1415" s="50" t="s">
        <v>11</v>
      </c>
      <c r="F1415" s="57">
        <v>0.24718999999999999</v>
      </c>
    </row>
    <row r="1416" spans="2:6">
      <c r="B1416" s="50" t="s">
        <v>21</v>
      </c>
      <c r="C1416" s="50" t="s">
        <v>241</v>
      </c>
      <c r="D1416" s="50">
        <f>DATE(YEAR(OneWeekMtgRatesDataTable756[[#This Row],[asofdate]]),MONTH(OneWeekMtgRatesDataTable756[[#This Row],[asofdate]]),DAY(OneWeekMtgRatesDataTable756[[#This Row],[asofdate]]))</f>
        <v>40256</v>
      </c>
      <c r="E1416" s="50" t="s">
        <v>11</v>
      </c>
      <c r="F1416" s="57">
        <v>0.24506</v>
      </c>
    </row>
    <row r="1417" spans="2:6">
      <c r="B1417" s="50" t="s">
        <v>21</v>
      </c>
      <c r="C1417" s="50" t="s">
        <v>240</v>
      </c>
      <c r="D1417" s="50">
        <f>DATE(YEAR(OneWeekMtgRatesDataTable756[[#This Row],[asofdate]]),MONTH(OneWeekMtgRatesDataTable756[[#This Row],[asofdate]]),DAY(OneWeekMtgRatesDataTable756[[#This Row],[asofdate]]))</f>
        <v>40255</v>
      </c>
      <c r="E1417" s="50" t="s">
        <v>11</v>
      </c>
      <c r="F1417" s="57">
        <v>0.23974999999999999</v>
      </c>
    </row>
    <row r="1418" spans="2:6">
      <c r="B1418" s="50" t="s">
        <v>21</v>
      </c>
      <c r="C1418" s="50" t="s">
        <v>239</v>
      </c>
      <c r="D1418" s="50">
        <f>DATE(YEAR(OneWeekMtgRatesDataTable756[[#This Row],[asofdate]]),MONTH(OneWeekMtgRatesDataTable756[[#This Row],[asofdate]]),DAY(OneWeekMtgRatesDataTable756[[#This Row],[asofdate]]))</f>
        <v>40254</v>
      </c>
      <c r="E1418" s="50" t="s">
        <v>11</v>
      </c>
      <c r="F1418" s="57">
        <v>0.23744000000000001</v>
      </c>
    </row>
    <row r="1419" spans="2:6">
      <c r="B1419" s="50" t="s">
        <v>21</v>
      </c>
      <c r="C1419" s="50" t="s">
        <v>238</v>
      </c>
      <c r="D1419" s="50">
        <f>DATE(YEAR(OneWeekMtgRatesDataTable756[[#This Row],[asofdate]]),MONTH(OneWeekMtgRatesDataTable756[[#This Row],[asofdate]]),DAY(OneWeekMtgRatesDataTable756[[#This Row],[asofdate]]))</f>
        <v>40253</v>
      </c>
      <c r="E1419" s="50" t="s">
        <v>11</v>
      </c>
      <c r="F1419" s="57">
        <v>0.23563000000000001</v>
      </c>
    </row>
    <row r="1420" spans="2:6">
      <c r="B1420" s="50" t="s">
        <v>21</v>
      </c>
      <c r="C1420" s="50" t="s">
        <v>237</v>
      </c>
      <c r="D1420" s="50">
        <f>DATE(YEAR(OneWeekMtgRatesDataTable756[[#This Row],[asofdate]]),MONTH(OneWeekMtgRatesDataTable756[[#This Row],[asofdate]]),DAY(OneWeekMtgRatesDataTable756[[#This Row],[asofdate]]))</f>
        <v>40252</v>
      </c>
      <c r="E1420" s="50" t="s">
        <v>11</v>
      </c>
      <c r="F1420" s="57">
        <v>0.23030999999999999</v>
      </c>
    </row>
    <row r="1421" spans="2:6">
      <c r="B1421" s="50" t="s">
        <v>21</v>
      </c>
      <c r="C1421" s="50" t="s">
        <v>236</v>
      </c>
      <c r="D1421" s="50">
        <f>DATE(YEAR(OneWeekMtgRatesDataTable756[[#This Row],[asofdate]]),MONTH(OneWeekMtgRatesDataTable756[[#This Row],[asofdate]]),DAY(OneWeekMtgRatesDataTable756[[#This Row],[asofdate]]))</f>
        <v>40249</v>
      </c>
      <c r="E1421" s="50" t="s">
        <v>11</v>
      </c>
      <c r="F1421" s="57">
        <v>0.23</v>
      </c>
    </row>
    <row r="1422" spans="2:6">
      <c r="B1422" s="50" t="s">
        <v>21</v>
      </c>
      <c r="C1422" s="50" t="s">
        <v>235</v>
      </c>
      <c r="D1422" s="50">
        <f>DATE(YEAR(OneWeekMtgRatesDataTable756[[#This Row],[asofdate]]),MONTH(OneWeekMtgRatesDataTable756[[#This Row],[asofdate]]),DAY(OneWeekMtgRatesDataTable756[[#This Row],[asofdate]]))</f>
        <v>40248</v>
      </c>
      <c r="E1422" s="50" t="s">
        <v>11</v>
      </c>
      <c r="F1422" s="57">
        <v>0.23</v>
      </c>
    </row>
    <row r="1423" spans="2:6">
      <c r="B1423" s="50" t="s">
        <v>21</v>
      </c>
      <c r="C1423" s="50" t="s">
        <v>234</v>
      </c>
      <c r="D1423" s="50">
        <f>DATE(YEAR(OneWeekMtgRatesDataTable756[[#This Row],[asofdate]]),MONTH(OneWeekMtgRatesDataTable756[[#This Row],[asofdate]]),DAY(OneWeekMtgRatesDataTable756[[#This Row],[asofdate]]))</f>
        <v>40247</v>
      </c>
      <c r="E1423" s="50" t="s">
        <v>11</v>
      </c>
      <c r="F1423" s="57">
        <v>0.23</v>
      </c>
    </row>
    <row r="1424" spans="2:6">
      <c r="B1424" s="50" t="s">
        <v>21</v>
      </c>
      <c r="C1424" s="50" t="s">
        <v>233</v>
      </c>
      <c r="D1424" s="50">
        <f>DATE(YEAR(OneWeekMtgRatesDataTable756[[#This Row],[asofdate]]),MONTH(OneWeekMtgRatesDataTable756[[#This Row],[asofdate]]),DAY(OneWeekMtgRatesDataTable756[[#This Row],[asofdate]]))</f>
        <v>40246</v>
      </c>
      <c r="E1424" s="50" t="s">
        <v>11</v>
      </c>
      <c r="F1424" s="57">
        <v>0.23</v>
      </c>
    </row>
    <row r="1425" spans="2:6">
      <c r="B1425" s="50" t="s">
        <v>21</v>
      </c>
      <c r="C1425" s="50" t="s">
        <v>232</v>
      </c>
      <c r="D1425" s="50">
        <f>DATE(YEAR(OneWeekMtgRatesDataTable756[[#This Row],[asofdate]]),MONTH(OneWeekMtgRatesDataTable756[[#This Row],[asofdate]]),DAY(OneWeekMtgRatesDataTable756[[#This Row],[asofdate]]))</f>
        <v>40245</v>
      </c>
      <c r="E1425" s="50" t="s">
        <v>11</v>
      </c>
      <c r="F1425" s="57">
        <v>0.23</v>
      </c>
    </row>
    <row r="1426" spans="2:6">
      <c r="B1426" s="50" t="s">
        <v>21</v>
      </c>
      <c r="C1426" s="50" t="s">
        <v>231</v>
      </c>
      <c r="D1426" s="50">
        <f>DATE(YEAR(OneWeekMtgRatesDataTable756[[#This Row],[asofdate]]),MONTH(OneWeekMtgRatesDataTable756[[#This Row],[asofdate]]),DAY(OneWeekMtgRatesDataTable756[[#This Row],[asofdate]]))</f>
        <v>40242</v>
      </c>
      <c r="E1426" s="50" t="s">
        <v>11</v>
      </c>
      <c r="F1426" s="57">
        <v>0.22906000000000001</v>
      </c>
    </row>
    <row r="1427" spans="2:6">
      <c r="B1427" s="50" t="s">
        <v>21</v>
      </c>
      <c r="C1427" s="50" t="s">
        <v>230</v>
      </c>
      <c r="D1427" s="50">
        <f>DATE(YEAR(OneWeekMtgRatesDataTable756[[#This Row],[asofdate]]),MONTH(OneWeekMtgRatesDataTable756[[#This Row],[asofdate]]),DAY(OneWeekMtgRatesDataTable756[[#This Row],[asofdate]]))</f>
        <v>40241</v>
      </c>
      <c r="E1427" s="50" t="s">
        <v>11</v>
      </c>
      <c r="F1427" s="57">
        <v>0.22813</v>
      </c>
    </row>
    <row r="1428" spans="2:6">
      <c r="B1428" s="50" t="s">
        <v>21</v>
      </c>
      <c r="C1428" s="50" t="s">
        <v>229</v>
      </c>
      <c r="D1428" s="50">
        <f>DATE(YEAR(OneWeekMtgRatesDataTable756[[#This Row],[asofdate]]),MONTH(OneWeekMtgRatesDataTable756[[#This Row],[asofdate]]),DAY(OneWeekMtgRatesDataTable756[[#This Row],[asofdate]]))</f>
        <v>40240</v>
      </c>
      <c r="E1428" s="50" t="s">
        <v>11</v>
      </c>
      <c r="F1428" s="57">
        <v>0.22813</v>
      </c>
    </row>
    <row r="1429" spans="2:6">
      <c r="B1429" s="50" t="s">
        <v>21</v>
      </c>
      <c r="C1429" s="50" t="s">
        <v>228</v>
      </c>
      <c r="D1429" s="50">
        <f>DATE(YEAR(OneWeekMtgRatesDataTable756[[#This Row],[asofdate]]),MONTH(OneWeekMtgRatesDataTable756[[#This Row],[asofdate]]),DAY(OneWeekMtgRatesDataTable756[[#This Row],[asofdate]]))</f>
        <v>40239</v>
      </c>
      <c r="E1429" s="50" t="s">
        <v>11</v>
      </c>
      <c r="F1429" s="57">
        <v>0.22813</v>
      </c>
    </row>
    <row r="1430" spans="2:6">
      <c r="B1430" s="50" t="s">
        <v>21</v>
      </c>
      <c r="C1430" s="50" t="s">
        <v>227</v>
      </c>
      <c r="D1430" s="50">
        <f>DATE(YEAR(OneWeekMtgRatesDataTable756[[#This Row],[asofdate]]),MONTH(OneWeekMtgRatesDataTable756[[#This Row],[asofdate]]),DAY(OneWeekMtgRatesDataTable756[[#This Row],[asofdate]]))</f>
        <v>40238</v>
      </c>
      <c r="E1430" s="50" t="s">
        <v>11</v>
      </c>
      <c r="F1430" s="57">
        <v>0.22813</v>
      </c>
    </row>
    <row r="1431" spans="2:6">
      <c r="B1431" s="50" t="s">
        <v>21</v>
      </c>
      <c r="C1431" s="50" t="s">
        <v>226</v>
      </c>
      <c r="D1431" s="50">
        <f>DATE(YEAR(OneWeekMtgRatesDataTable756[[#This Row],[asofdate]]),MONTH(OneWeekMtgRatesDataTable756[[#This Row],[asofdate]]),DAY(OneWeekMtgRatesDataTable756[[#This Row],[asofdate]]))</f>
        <v>40235</v>
      </c>
      <c r="E1431" s="50" t="s">
        <v>11</v>
      </c>
      <c r="F1431" s="57">
        <v>0.22875000000000001</v>
      </c>
    </row>
    <row r="1432" spans="2:6">
      <c r="B1432" s="50" t="s">
        <v>21</v>
      </c>
      <c r="C1432" s="50" t="s">
        <v>225</v>
      </c>
      <c r="D1432" s="50">
        <f>DATE(YEAR(OneWeekMtgRatesDataTable756[[#This Row],[asofdate]]),MONTH(OneWeekMtgRatesDataTable756[[#This Row],[asofdate]]),DAY(OneWeekMtgRatesDataTable756[[#This Row],[asofdate]]))</f>
        <v>40234</v>
      </c>
      <c r="E1432" s="50" t="s">
        <v>11</v>
      </c>
      <c r="F1432" s="57">
        <v>0.22875000000000001</v>
      </c>
    </row>
    <row r="1433" spans="2:6">
      <c r="B1433" s="50" t="s">
        <v>21</v>
      </c>
      <c r="C1433" s="50" t="s">
        <v>224</v>
      </c>
      <c r="D1433" s="50">
        <f>DATE(YEAR(OneWeekMtgRatesDataTable756[[#This Row],[asofdate]]),MONTH(OneWeekMtgRatesDataTable756[[#This Row],[asofdate]]),DAY(OneWeekMtgRatesDataTable756[[#This Row],[asofdate]]))</f>
        <v>40233</v>
      </c>
      <c r="E1433" s="50" t="s">
        <v>11</v>
      </c>
      <c r="F1433" s="57">
        <v>0.22875000000000001</v>
      </c>
    </row>
    <row r="1434" spans="2:6">
      <c r="B1434" s="50" t="s">
        <v>21</v>
      </c>
      <c r="C1434" s="50" t="s">
        <v>223</v>
      </c>
      <c r="D1434" s="50">
        <f>DATE(YEAR(OneWeekMtgRatesDataTable756[[#This Row],[asofdate]]),MONTH(OneWeekMtgRatesDataTable756[[#This Row],[asofdate]]),DAY(OneWeekMtgRatesDataTable756[[#This Row],[asofdate]]))</f>
        <v>40232</v>
      </c>
      <c r="E1434" s="50" t="s">
        <v>11</v>
      </c>
      <c r="F1434" s="57">
        <v>0.22875000000000001</v>
      </c>
    </row>
    <row r="1435" spans="2:6">
      <c r="B1435" s="50" t="s">
        <v>21</v>
      </c>
      <c r="C1435" s="50" t="s">
        <v>222</v>
      </c>
      <c r="D1435" s="50">
        <f>DATE(YEAR(OneWeekMtgRatesDataTable756[[#This Row],[asofdate]]),MONTH(OneWeekMtgRatesDataTable756[[#This Row],[asofdate]]),DAY(OneWeekMtgRatesDataTable756[[#This Row],[asofdate]]))</f>
        <v>40231</v>
      </c>
      <c r="E1435" s="50" t="s">
        <v>11</v>
      </c>
      <c r="F1435" s="57">
        <v>0.22875000000000001</v>
      </c>
    </row>
    <row r="1436" spans="2:6">
      <c r="B1436" s="50" t="s">
        <v>21</v>
      </c>
      <c r="C1436" s="50" t="s">
        <v>221</v>
      </c>
      <c r="D1436" s="50">
        <f>DATE(YEAR(OneWeekMtgRatesDataTable756[[#This Row],[asofdate]]),MONTH(OneWeekMtgRatesDataTable756[[#This Row],[asofdate]]),DAY(OneWeekMtgRatesDataTable756[[#This Row],[asofdate]]))</f>
        <v>40228</v>
      </c>
      <c r="E1436" s="50" t="s">
        <v>11</v>
      </c>
      <c r="F1436" s="57">
        <v>0.22875000000000001</v>
      </c>
    </row>
    <row r="1437" spans="2:6">
      <c r="B1437" s="50" t="s">
        <v>21</v>
      </c>
      <c r="C1437" s="50" t="s">
        <v>220</v>
      </c>
      <c r="D1437" s="50">
        <f>DATE(YEAR(OneWeekMtgRatesDataTable756[[#This Row],[asofdate]]),MONTH(OneWeekMtgRatesDataTable756[[#This Row],[asofdate]]),DAY(OneWeekMtgRatesDataTable756[[#This Row],[asofdate]]))</f>
        <v>40227</v>
      </c>
      <c r="E1437" s="50" t="s">
        <v>11</v>
      </c>
      <c r="F1437" s="57">
        <v>0.22875000000000001</v>
      </c>
    </row>
    <row r="1438" spans="2:6">
      <c r="B1438" s="50" t="s">
        <v>21</v>
      </c>
      <c r="C1438" s="50" t="s">
        <v>219</v>
      </c>
      <c r="D1438" s="50">
        <f>DATE(YEAR(OneWeekMtgRatesDataTable756[[#This Row],[asofdate]]),MONTH(OneWeekMtgRatesDataTable756[[#This Row],[asofdate]]),DAY(OneWeekMtgRatesDataTable756[[#This Row],[asofdate]]))</f>
        <v>40226</v>
      </c>
      <c r="E1438" s="50" t="s">
        <v>11</v>
      </c>
      <c r="F1438" s="57">
        <v>0.22875000000000001</v>
      </c>
    </row>
    <row r="1439" spans="2:6">
      <c r="B1439" s="50" t="s">
        <v>21</v>
      </c>
      <c r="C1439" s="50" t="s">
        <v>218</v>
      </c>
      <c r="D1439" s="50">
        <f>DATE(YEAR(OneWeekMtgRatesDataTable756[[#This Row],[asofdate]]),MONTH(OneWeekMtgRatesDataTable756[[#This Row],[asofdate]]),DAY(OneWeekMtgRatesDataTable756[[#This Row],[asofdate]]))</f>
        <v>40225</v>
      </c>
      <c r="E1439" s="50" t="s">
        <v>11</v>
      </c>
      <c r="F1439" s="57">
        <v>0.22875000000000001</v>
      </c>
    </row>
    <row r="1440" spans="2:6">
      <c r="B1440" s="50" t="s">
        <v>21</v>
      </c>
      <c r="C1440" s="50" t="s">
        <v>217</v>
      </c>
      <c r="D1440" s="50">
        <f>DATE(YEAR(OneWeekMtgRatesDataTable756[[#This Row],[asofdate]]),MONTH(OneWeekMtgRatesDataTable756[[#This Row],[asofdate]]),DAY(OneWeekMtgRatesDataTable756[[#This Row],[asofdate]]))</f>
        <v>40221</v>
      </c>
      <c r="E1440" s="50" t="s">
        <v>11</v>
      </c>
      <c r="F1440" s="57">
        <v>0.23188</v>
      </c>
    </row>
    <row r="1441" spans="2:6">
      <c r="B1441" s="50" t="s">
        <v>21</v>
      </c>
      <c r="C1441" s="50" t="s">
        <v>216</v>
      </c>
      <c r="D1441" s="50">
        <f>DATE(YEAR(OneWeekMtgRatesDataTable756[[#This Row],[asofdate]]),MONTH(OneWeekMtgRatesDataTable756[[#This Row],[asofdate]]),DAY(OneWeekMtgRatesDataTable756[[#This Row],[asofdate]]))</f>
        <v>40220</v>
      </c>
      <c r="E1441" s="50" t="s">
        <v>11</v>
      </c>
      <c r="F1441" s="57">
        <v>0.23063</v>
      </c>
    </row>
    <row r="1442" spans="2:6">
      <c r="B1442" s="50" t="s">
        <v>21</v>
      </c>
      <c r="C1442" s="50" t="s">
        <v>215</v>
      </c>
      <c r="D1442" s="50">
        <f>DATE(YEAR(OneWeekMtgRatesDataTable756[[#This Row],[asofdate]]),MONTH(OneWeekMtgRatesDataTable756[[#This Row],[asofdate]]),DAY(OneWeekMtgRatesDataTable756[[#This Row],[asofdate]]))</f>
        <v>40219</v>
      </c>
      <c r="E1442" s="50" t="s">
        <v>11</v>
      </c>
      <c r="F1442" s="57">
        <v>0.22844</v>
      </c>
    </row>
    <row r="1443" spans="2:6">
      <c r="B1443" s="50" t="s">
        <v>21</v>
      </c>
      <c r="C1443" s="50" t="s">
        <v>214</v>
      </c>
      <c r="D1443" s="50">
        <f>DATE(YEAR(OneWeekMtgRatesDataTable756[[#This Row],[asofdate]]),MONTH(OneWeekMtgRatesDataTable756[[#This Row],[asofdate]]),DAY(OneWeekMtgRatesDataTable756[[#This Row],[asofdate]]))</f>
        <v>40218</v>
      </c>
      <c r="E1443" s="50" t="s">
        <v>11</v>
      </c>
      <c r="F1443" s="57">
        <v>0.22844</v>
      </c>
    </row>
    <row r="1444" spans="2:6">
      <c r="B1444" s="50" t="s">
        <v>21</v>
      </c>
      <c r="C1444" s="50" t="s">
        <v>213</v>
      </c>
      <c r="D1444" s="50">
        <f>DATE(YEAR(OneWeekMtgRatesDataTable756[[#This Row],[asofdate]]),MONTH(OneWeekMtgRatesDataTable756[[#This Row],[asofdate]]),DAY(OneWeekMtgRatesDataTable756[[#This Row],[asofdate]]))</f>
        <v>40217</v>
      </c>
      <c r="E1444" s="50" t="s">
        <v>11</v>
      </c>
      <c r="F1444" s="57">
        <v>0.22844</v>
      </c>
    </row>
    <row r="1445" spans="2:6">
      <c r="B1445" s="50" t="s">
        <v>21</v>
      </c>
      <c r="C1445" s="50" t="s">
        <v>212</v>
      </c>
      <c r="D1445" s="50">
        <f>DATE(YEAR(OneWeekMtgRatesDataTable756[[#This Row],[asofdate]]),MONTH(OneWeekMtgRatesDataTable756[[#This Row],[asofdate]]),DAY(OneWeekMtgRatesDataTable756[[#This Row],[asofdate]]))</f>
        <v>40214</v>
      </c>
      <c r="E1445" s="50" t="s">
        <v>11</v>
      </c>
      <c r="F1445" s="57">
        <v>0.22844</v>
      </c>
    </row>
    <row r="1446" spans="2:6">
      <c r="B1446" s="50" t="s">
        <v>21</v>
      </c>
      <c r="C1446" s="50" t="s">
        <v>211</v>
      </c>
      <c r="D1446" s="50">
        <f>DATE(YEAR(OneWeekMtgRatesDataTable756[[#This Row],[asofdate]]),MONTH(OneWeekMtgRatesDataTable756[[#This Row],[asofdate]]),DAY(OneWeekMtgRatesDataTable756[[#This Row],[asofdate]]))</f>
        <v>40213</v>
      </c>
      <c r="E1446" s="50" t="s">
        <v>11</v>
      </c>
      <c r="F1446" s="57">
        <v>0.22844</v>
      </c>
    </row>
    <row r="1447" spans="2:6">
      <c r="B1447" s="50" t="s">
        <v>21</v>
      </c>
      <c r="C1447" s="50" t="s">
        <v>210</v>
      </c>
      <c r="D1447" s="50">
        <f>DATE(YEAR(OneWeekMtgRatesDataTable756[[#This Row],[asofdate]]),MONTH(OneWeekMtgRatesDataTable756[[#This Row],[asofdate]]),DAY(OneWeekMtgRatesDataTable756[[#This Row],[asofdate]]))</f>
        <v>40212</v>
      </c>
      <c r="E1447" s="50" t="s">
        <v>11</v>
      </c>
      <c r="F1447" s="57">
        <v>0.22906000000000001</v>
      </c>
    </row>
    <row r="1448" spans="2:6">
      <c r="B1448" s="50" t="s">
        <v>21</v>
      </c>
      <c r="C1448" s="50" t="s">
        <v>209</v>
      </c>
      <c r="D1448" s="50">
        <f>DATE(YEAR(OneWeekMtgRatesDataTable756[[#This Row],[asofdate]]),MONTH(OneWeekMtgRatesDataTable756[[#This Row],[asofdate]]),DAY(OneWeekMtgRatesDataTable756[[#This Row],[asofdate]]))</f>
        <v>40211</v>
      </c>
      <c r="E1448" s="50" t="s">
        <v>11</v>
      </c>
      <c r="F1448" s="57">
        <v>0.23094000000000001</v>
      </c>
    </row>
    <row r="1449" spans="2:6">
      <c r="B1449" s="50" t="s">
        <v>21</v>
      </c>
      <c r="C1449" s="50" t="s">
        <v>208</v>
      </c>
      <c r="D1449" s="50">
        <f>DATE(YEAR(OneWeekMtgRatesDataTable756[[#This Row],[asofdate]]),MONTH(OneWeekMtgRatesDataTable756[[#This Row],[asofdate]]),DAY(OneWeekMtgRatesDataTable756[[#This Row],[asofdate]]))</f>
        <v>40210</v>
      </c>
      <c r="E1449" s="50" t="s">
        <v>11</v>
      </c>
      <c r="F1449" s="57">
        <v>0.22906000000000001</v>
      </c>
    </row>
    <row r="1450" spans="2:6">
      <c r="B1450" s="50" t="s">
        <v>21</v>
      </c>
      <c r="C1450" s="50" t="s">
        <v>207</v>
      </c>
      <c r="D1450" s="50">
        <f>DATE(YEAR(OneWeekMtgRatesDataTable756[[#This Row],[asofdate]]),MONTH(OneWeekMtgRatesDataTable756[[#This Row],[asofdate]]),DAY(OneWeekMtgRatesDataTable756[[#This Row],[asofdate]]))</f>
        <v>40207</v>
      </c>
      <c r="E1450" s="50" t="s">
        <v>11</v>
      </c>
      <c r="F1450" s="57">
        <v>0.22906000000000001</v>
      </c>
    </row>
    <row r="1451" spans="2:6">
      <c r="B1451" s="50" t="s">
        <v>21</v>
      </c>
      <c r="C1451" s="50" t="s">
        <v>206</v>
      </c>
      <c r="D1451" s="50">
        <f>DATE(YEAR(OneWeekMtgRatesDataTable756[[#This Row],[asofdate]]),MONTH(OneWeekMtgRatesDataTable756[[#This Row],[asofdate]]),DAY(OneWeekMtgRatesDataTable756[[#This Row],[asofdate]]))</f>
        <v>40206</v>
      </c>
      <c r="E1451" s="50" t="s">
        <v>11</v>
      </c>
      <c r="F1451" s="57">
        <v>0.22875000000000001</v>
      </c>
    </row>
    <row r="1452" spans="2:6">
      <c r="B1452" s="50" t="s">
        <v>21</v>
      </c>
      <c r="C1452" s="50" t="s">
        <v>205</v>
      </c>
      <c r="D1452" s="50">
        <f>DATE(YEAR(OneWeekMtgRatesDataTable756[[#This Row],[asofdate]]),MONTH(OneWeekMtgRatesDataTable756[[#This Row],[asofdate]]),DAY(OneWeekMtgRatesDataTable756[[#This Row],[asofdate]]))</f>
        <v>40205</v>
      </c>
      <c r="E1452" s="50" t="s">
        <v>11</v>
      </c>
      <c r="F1452" s="57">
        <v>0.23063</v>
      </c>
    </row>
    <row r="1453" spans="2:6">
      <c r="B1453" s="50" t="s">
        <v>21</v>
      </c>
      <c r="C1453" s="50" t="s">
        <v>204</v>
      </c>
      <c r="D1453" s="50">
        <f>DATE(YEAR(OneWeekMtgRatesDataTable756[[#This Row],[asofdate]]),MONTH(OneWeekMtgRatesDataTable756[[#This Row],[asofdate]]),DAY(OneWeekMtgRatesDataTable756[[#This Row],[asofdate]]))</f>
        <v>40204</v>
      </c>
      <c r="E1453" s="50" t="s">
        <v>11</v>
      </c>
      <c r="F1453" s="57">
        <v>0.23063</v>
      </c>
    </row>
    <row r="1454" spans="2:6">
      <c r="B1454" s="50" t="s">
        <v>21</v>
      </c>
      <c r="C1454" s="50" t="s">
        <v>203</v>
      </c>
      <c r="D1454" s="50">
        <f>DATE(YEAR(OneWeekMtgRatesDataTable756[[#This Row],[asofdate]]),MONTH(OneWeekMtgRatesDataTable756[[#This Row],[asofdate]]),DAY(OneWeekMtgRatesDataTable756[[#This Row],[asofdate]]))</f>
        <v>40203</v>
      </c>
      <c r="E1454" s="50" t="s">
        <v>11</v>
      </c>
      <c r="F1454" s="57">
        <v>0.23063</v>
      </c>
    </row>
    <row r="1455" spans="2:6">
      <c r="B1455" s="50" t="s">
        <v>21</v>
      </c>
      <c r="C1455" s="50" t="s">
        <v>202</v>
      </c>
      <c r="D1455" s="50">
        <f>DATE(YEAR(OneWeekMtgRatesDataTable756[[#This Row],[asofdate]]),MONTH(OneWeekMtgRatesDataTable756[[#This Row],[asofdate]]),DAY(OneWeekMtgRatesDataTable756[[#This Row],[asofdate]]))</f>
        <v>40200</v>
      </c>
      <c r="E1455" s="50" t="s">
        <v>11</v>
      </c>
      <c r="F1455" s="57">
        <v>0.23063</v>
      </c>
    </row>
    <row r="1456" spans="2:6">
      <c r="B1456" s="50" t="s">
        <v>21</v>
      </c>
      <c r="C1456" s="50" t="s">
        <v>201</v>
      </c>
      <c r="D1456" s="50">
        <f>DATE(YEAR(OneWeekMtgRatesDataTable756[[#This Row],[asofdate]]),MONTH(OneWeekMtgRatesDataTable756[[#This Row],[asofdate]]),DAY(OneWeekMtgRatesDataTable756[[#This Row],[asofdate]]))</f>
        <v>40199</v>
      </c>
      <c r="E1456" s="50" t="s">
        <v>11</v>
      </c>
      <c r="F1456" s="57">
        <v>0.23063</v>
      </c>
    </row>
    <row r="1457" spans="2:6">
      <c r="B1457" s="50" t="s">
        <v>21</v>
      </c>
      <c r="C1457" s="50" t="s">
        <v>200</v>
      </c>
      <c r="D1457" s="50">
        <f>DATE(YEAR(OneWeekMtgRatesDataTable756[[#This Row],[asofdate]]),MONTH(OneWeekMtgRatesDataTable756[[#This Row],[asofdate]]),DAY(OneWeekMtgRatesDataTable756[[#This Row],[asofdate]]))</f>
        <v>40198</v>
      </c>
      <c r="E1457" s="50" t="s">
        <v>11</v>
      </c>
      <c r="F1457" s="57">
        <v>0.23063</v>
      </c>
    </row>
    <row r="1458" spans="2:6">
      <c r="B1458" s="50" t="s">
        <v>21</v>
      </c>
      <c r="C1458" s="50" t="s">
        <v>199</v>
      </c>
      <c r="D1458" s="50">
        <f>DATE(YEAR(OneWeekMtgRatesDataTable756[[#This Row],[asofdate]]),MONTH(OneWeekMtgRatesDataTable756[[#This Row],[asofdate]]),DAY(OneWeekMtgRatesDataTable756[[#This Row],[asofdate]]))</f>
        <v>40197</v>
      </c>
      <c r="E1458" s="50" t="s">
        <v>11</v>
      </c>
      <c r="F1458" s="57">
        <v>0.23063</v>
      </c>
    </row>
    <row r="1459" spans="2:6">
      <c r="B1459" s="50" t="s">
        <v>21</v>
      </c>
      <c r="C1459" s="50" t="s">
        <v>198</v>
      </c>
      <c r="D1459" s="50">
        <f>DATE(YEAR(OneWeekMtgRatesDataTable756[[#This Row],[asofdate]]),MONTH(OneWeekMtgRatesDataTable756[[#This Row],[asofdate]]),DAY(OneWeekMtgRatesDataTable756[[#This Row],[asofdate]]))</f>
        <v>40193</v>
      </c>
      <c r="E1459" s="50" t="s">
        <v>11</v>
      </c>
      <c r="F1459" s="57">
        <v>0.23313</v>
      </c>
    </row>
    <row r="1460" spans="2:6">
      <c r="B1460" s="50" t="s">
        <v>21</v>
      </c>
      <c r="C1460" s="50" t="s">
        <v>197</v>
      </c>
      <c r="D1460" s="50">
        <f>DATE(YEAR(OneWeekMtgRatesDataTable756[[#This Row],[asofdate]]),MONTH(OneWeekMtgRatesDataTable756[[#This Row],[asofdate]]),DAY(OneWeekMtgRatesDataTable756[[#This Row],[asofdate]]))</f>
        <v>40192</v>
      </c>
      <c r="E1460" s="50" t="s">
        <v>11</v>
      </c>
      <c r="F1460" s="57">
        <v>0.23313</v>
      </c>
    </row>
    <row r="1461" spans="2:6">
      <c r="B1461" s="50" t="s">
        <v>21</v>
      </c>
      <c r="C1461" s="50" t="s">
        <v>196</v>
      </c>
      <c r="D1461" s="50">
        <f>DATE(YEAR(OneWeekMtgRatesDataTable756[[#This Row],[asofdate]]),MONTH(OneWeekMtgRatesDataTable756[[#This Row],[asofdate]]),DAY(OneWeekMtgRatesDataTable756[[#This Row],[asofdate]]))</f>
        <v>40191</v>
      </c>
      <c r="E1461" s="50" t="s">
        <v>11</v>
      </c>
      <c r="F1461" s="57">
        <v>0.23313</v>
      </c>
    </row>
    <row r="1462" spans="2:6">
      <c r="B1462" s="50" t="s">
        <v>21</v>
      </c>
      <c r="C1462" s="50" t="s">
        <v>195</v>
      </c>
      <c r="D1462" s="50">
        <f>DATE(YEAR(OneWeekMtgRatesDataTable756[[#This Row],[asofdate]]),MONTH(OneWeekMtgRatesDataTable756[[#This Row],[asofdate]]),DAY(OneWeekMtgRatesDataTable756[[#This Row],[asofdate]]))</f>
        <v>40190</v>
      </c>
      <c r="E1462" s="50" t="s">
        <v>11</v>
      </c>
      <c r="F1462" s="57">
        <v>0.23313</v>
      </c>
    </row>
    <row r="1463" spans="2:6">
      <c r="B1463" s="50" t="s">
        <v>21</v>
      </c>
      <c r="C1463" s="50" t="s">
        <v>194</v>
      </c>
      <c r="D1463" s="50">
        <f>DATE(YEAR(OneWeekMtgRatesDataTable756[[#This Row],[asofdate]]),MONTH(OneWeekMtgRatesDataTable756[[#This Row],[asofdate]]),DAY(OneWeekMtgRatesDataTable756[[#This Row],[asofdate]]))</f>
        <v>40189</v>
      </c>
      <c r="E1463" s="50" t="s">
        <v>11</v>
      </c>
      <c r="F1463" s="57">
        <v>0.23313</v>
      </c>
    </row>
    <row r="1464" spans="2:6">
      <c r="B1464" s="50" t="s">
        <v>21</v>
      </c>
      <c r="C1464" s="50" t="s">
        <v>193</v>
      </c>
      <c r="D1464" s="50">
        <f>DATE(YEAR(OneWeekMtgRatesDataTable756[[#This Row],[asofdate]]),MONTH(OneWeekMtgRatesDataTable756[[#This Row],[asofdate]]),DAY(OneWeekMtgRatesDataTable756[[#This Row],[asofdate]]))</f>
        <v>40186</v>
      </c>
      <c r="E1464" s="50" t="s">
        <v>11</v>
      </c>
      <c r="F1464" s="57">
        <v>0.23313</v>
      </c>
    </row>
    <row r="1465" spans="2:6">
      <c r="B1465" s="50" t="s">
        <v>21</v>
      </c>
      <c r="C1465" s="50" t="s">
        <v>192</v>
      </c>
      <c r="D1465" s="50">
        <f>DATE(YEAR(OneWeekMtgRatesDataTable756[[#This Row],[asofdate]]),MONTH(OneWeekMtgRatesDataTable756[[#This Row],[asofdate]]),DAY(OneWeekMtgRatesDataTable756[[#This Row],[asofdate]]))</f>
        <v>40185</v>
      </c>
      <c r="E1465" s="50" t="s">
        <v>11</v>
      </c>
      <c r="F1465" s="57">
        <v>0.23125000000000001</v>
      </c>
    </row>
    <row r="1466" spans="2:6">
      <c r="B1466" s="50" t="s">
        <v>21</v>
      </c>
      <c r="C1466" s="50" t="s">
        <v>191</v>
      </c>
      <c r="D1466" s="50">
        <f>DATE(YEAR(OneWeekMtgRatesDataTable756[[#This Row],[asofdate]]),MONTH(OneWeekMtgRatesDataTable756[[#This Row],[asofdate]]),DAY(OneWeekMtgRatesDataTable756[[#This Row],[asofdate]]))</f>
        <v>40184</v>
      </c>
      <c r="E1466" s="50" t="s">
        <v>11</v>
      </c>
      <c r="F1466" s="57">
        <v>0.23219000000000001</v>
      </c>
    </row>
    <row r="1467" spans="2:6">
      <c r="B1467" s="50" t="s">
        <v>21</v>
      </c>
      <c r="C1467" s="50" t="s">
        <v>190</v>
      </c>
      <c r="D1467" s="50">
        <f>DATE(YEAR(OneWeekMtgRatesDataTable756[[#This Row],[asofdate]]),MONTH(OneWeekMtgRatesDataTable756[[#This Row],[asofdate]]),DAY(OneWeekMtgRatesDataTable756[[#This Row],[asofdate]]))</f>
        <v>40183</v>
      </c>
      <c r="E1467" s="50" t="s">
        <v>11</v>
      </c>
      <c r="F1467" s="57">
        <v>0.23344000000000001</v>
      </c>
    </row>
    <row r="1468" spans="2:6">
      <c r="B1468" s="50" t="s">
        <v>21</v>
      </c>
      <c r="C1468" s="50" t="s">
        <v>189</v>
      </c>
      <c r="D1468" s="50">
        <f>DATE(YEAR(OneWeekMtgRatesDataTable756[[#This Row],[asofdate]]),MONTH(OneWeekMtgRatesDataTable756[[#This Row],[asofdate]]),DAY(OneWeekMtgRatesDataTable756[[#This Row],[asofdate]]))</f>
        <v>40182</v>
      </c>
      <c r="E1468" s="50" t="s">
        <v>11</v>
      </c>
      <c r="F1468" s="57">
        <v>0.23344000000000001</v>
      </c>
    </row>
    <row r="1469" spans="2:6">
      <c r="B1469" s="50" t="s">
        <v>21</v>
      </c>
      <c r="C1469" s="50" t="s">
        <v>188</v>
      </c>
      <c r="D1469" s="50">
        <f>DATE(YEAR(OneWeekMtgRatesDataTable756[[#This Row],[asofdate]]),MONTH(OneWeekMtgRatesDataTable756[[#This Row],[asofdate]]),DAY(OneWeekMtgRatesDataTable756[[#This Row],[asofdate]]))</f>
        <v>40178</v>
      </c>
      <c r="E1469" s="50" t="s">
        <v>11</v>
      </c>
      <c r="F1469" s="57">
        <v>0.23094000000000001</v>
      </c>
    </row>
    <row r="1470" spans="2:6">
      <c r="B1470" s="50" t="s">
        <v>21</v>
      </c>
      <c r="C1470" s="50" t="s">
        <v>187</v>
      </c>
      <c r="D1470" s="50">
        <f>DATE(YEAR(OneWeekMtgRatesDataTable756[[#This Row],[asofdate]]),MONTH(OneWeekMtgRatesDataTable756[[#This Row],[asofdate]]),DAY(OneWeekMtgRatesDataTable756[[#This Row],[asofdate]]))</f>
        <v>40177</v>
      </c>
      <c r="E1470" s="50" t="s">
        <v>11</v>
      </c>
      <c r="F1470" s="57">
        <v>0.23094000000000001</v>
      </c>
    </row>
    <row r="1471" spans="2:6">
      <c r="B1471" s="50" t="s">
        <v>21</v>
      </c>
      <c r="C1471" s="50" t="s">
        <v>186</v>
      </c>
      <c r="D1471" s="50">
        <f>DATE(YEAR(OneWeekMtgRatesDataTable756[[#This Row],[asofdate]]),MONTH(OneWeekMtgRatesDataTable756[[#This Row],[asofdate]]),DAY(OneWeekMtgRatesDataTable756[[#This Row],[asofdate]]))</f>
        <v>40176</v>
      </c>
      <c r="E1471" s="50" t="s">
        <v>11</v>
      </c>
      <c r="F1471" s="57">
        <v>0.23094000000000001</v>
      </c>
    </row>
    <row r="1472" spans="2:6">
      <c r="B1472" s="50" t="s">
        <v>21</v>
      </c>
      <c r="C1472" s="50" t="s">
        <v>185</v>
      </c>
      <c r="D1472" s="50">
        <f>DATE(YEAR(OneWeekMtgRatesDataTable756[[#This Row],[asofdate]]),MONTH(OneWeekMtgRatesDataTable756[[#This Row],[asofdate]]),DAY(OneWeekMtgRatesDataTable756[[#This Row],[asofdate]]))</f>
        <v>40175</v>
      </c>
      <c r="E1472" s="50" t="s">
        <v>11</v>
      </c>
      <c r="F1472" s="57">
        <v>0.23125000000000001</v>
      </c>
    </row>
    <row r="1473" spans="2:6">
      <c r="B1473" s="50" t="s">
        <v>21</v>
      </c>
      <c r="C1473" s="50" t="s">
        <v>184</v>
      </c>
      <c r="D1473" s="50">
        <f>DATE(YEAR(OneWeekMtgRatesDataTable756[[#This Row],[asofdate]]),MONTH(OneWeekMtgRatesDataTable756[[#This Row],[asofdate]]),DAY(OneWeekMtgRatesDataTable756[[#This Row],[asofdate]]))</f>
        <v>40171</v>
      </c>
      <c r="E1473" s="50" t="s">
        <v>11</v>
      </c>
      <c r="F1473" s="57">
        <v>0.23125000000000001</v>
      </c>
    </row>
    <row r="1474" spans="2:6">
      <c r="B1474" s="50" t="s">
        <v>21</v>
      </c>
      <c r="C1474" s="50" t="s">
        <v>183</v>
      </c>
      <c r="D1474" s="50">
        <f>DATE(YEAR(OneWeekMtgRatesDataTable756[[#This Row],[asofdate]]),MONTH(OneWeekMtgRatesDataTable756[[#This Row],[asofdate]]),DAY(OneWeekMtgRatesDataTable756[[#This Row],[asofdate]]))</f>
        <v>40170</v>
      </c>
      <c r="E1474" s="50" t="s">
        <v>11</v>
      </c>
      <c r="F1474" s="57">
        <v>0.23125000000000001</v>
      </c>
    </row>
    <row r="1475" spans="2:6">
      <c r="B1475" s="50" t="s">
        <v>21</v>
      </c>
      <c r="C1475" s="50" t="s">
        <v>182</v>
      </c>
      <c r="D1475" s="50">
        <f>DATE(YEAR(OneWeekMtgRatesDataTable756[[#This Row],[asofdate]]),MONTH(OneWeekMtgRatesDataTable756[[#This Row],[asofdate]]),DAY(OneWeekMtgRatesDataTable756[[#This Row],[asofdate]]))</f>
        <v>40169</v>
      </c>
      <c r="E1475" s="50" t="s">
        <v>11</v>
      </c>
      <c r="F1475" s="57">
        <v>0.23188</v>
      </c>
    </row>
    <row r="1476" spans="2:6">
      <c r="B1476" s="50" t="s">
        <v>21</v>
      </c>
      <c r="C1476" s="50" t="s">
        <v>181</v>
      </c>
      <c r="D1476" s="50">
        <f>DATE(YEAR(OneWeekMtgRatesDataTable756[[#This Row],[asofdate]]),MONTH(OneWeekMtgRatesDataTable756[[#This Row],[asofdate]]),DAY(OneWeekMtgRatesDataTable756[[#This Row],[asofdate]]))</f>
        <v>40168</v>
      </c>
      <c r="E1476" s="50" t="s">
        <v>11</v>
      </c>
      <c r="F1476" s="57">
        <v>0.23188</v>
      </c>
    </row>
    <row r="1477" spans="2:6">
      <c r="B1477" s="50" t="s">
        <v>21</v>
      </c>
      <c r="C1477" s="50" t="s">
        <v>180</v>
      </c>
      <c r="D1477" s="50">
        <f>DATE(YEAR(OneWeekMtgRatesDataTable756[[#This Row],[asofdate]]),MONTH(OneWeekMtgRatesDataTable756[[#This Row],[asofdate]]),DAY(OneWeekMtgRatesDataTable756[[#This Row],[asofdate]]))</f>
        <v>40165</v>
      </c>
      <c r="E1477" s="50" t="s">
        <v>11</v>
      </c>
      <c r="F1477" s="57">
        <v>0.23188</v>
      </c>
    </row>
    <row r="1478" spans="2:6">
      <c r="B1478" s="50" t="s">
        <v>21</v>
      </c>
      <c r="C1478" s="50" t="s">
        <v>179</v>
      </c>
      <c r="D1478" s="50">
        <f>DATE(YEAR(OneWeekMtgRatesDataTable756[[#This Row],[asofdate]]),MONTH(OneWeekMtgRatesDataTable756[[#This Row],[asofdate]]),DAY(OneWeekMtgRatesDataTable756[[#This Row],[asofdate]]))</f>
        <v>40164</v>
      </c>
      <c r="E1478" s="50" t="s">
        <v>11</v>
      </c>
      <c r="F1478" s="57">
        <v>0.23313</v>
      </c>
    </row>
    <row r="1479" spans="2:6">
      <c r="B1479" s="50" t="s">
        <v>21</v>
      </c>
      <c r="C1479" s="50" t="s">
        <v>178</v>
      </c>
      <c r="D1479" s="50">
        <f>DATE(YEAR(OneWeekMtgRatesDataTable756[[#This Row],[asofdate]]),MONTH(OneWeekMtgRatesDataTable756[[#This Row],[asofdate]]),DAY(OneWeekMtgRatesDataTable756[[#This Row],[asofdate]]))</f>
        <v>40163</v>
      </c>
      <c r="E1479" s="50" t="s">
        <v>11</v>
      </c>
      <c r="F1479" s="57">
        <v>0.23250000000000001</v>
      </c>
    </row>
    <row r="1480" spans="2:6">
      <c r="B1480" s="50" t="s">
        <v>21</v>
      </c>
      <c r="C1480" s="50" t="s">
        <v>177</v>
      </c>
      <c r="D1480" s="50">
        <f>DATE(YEAR(OneWeekMtgRatesDataTable756[[#This Row],[asofdate]]),MONTH(OneWeekMtgRatesDataTable756[[#This Row],[asofdate]]),DAY(OneWeekMtgRatesDataTable756[[#This Row],[asofdate]]))</f>
        <v>40162</v>
      </c>
      <c r="E1480" s="50" t="s">
        <v>11</v>
      </c>
      <c r="F1480" s="57">
        <v>0.23250000000000001</v>
      </c>
    </row>
    <row r="1481" spans="2:6">
      <c r="B1481" s="50" t="s">
        <v>21</v>
      </c>
      <c r="C1481" s="50" t="s">
        <v>176</v>
      </c>
      <c r="D1481" s="50">
        <f>DATE(YEAR(OneWeekMtgRatesDataTable756[[#This Row],[asofdate]]),MONTH(OneWeekMtgRatesDataTable756[[#This Row],[asofdate]]),DAY(OneWeekMtgRatesDataTable756[[#This Row],[asofdate]]))</f>
        <v>40161</v>
      </c>
      <c r="E1481" s="50" t="s">
        <v>11</v>
      </c>
      <c r="F1481" s="57">
        <v>0.23250000000000001</v>
      </c>
    </row>
    <row r="1482" spans="2:6">
      <c r="B1482" s="50" t="s">
        <v>21</v>
      </c>
      <c r="C1482" s="50" t="s">
        <v>175</v>
      </c>
      <c r="D1482" s="50">
        <f>DATE(YEAR(OneWeekMtgRatesDataTable756[[#This Row],[asofdate]]),MONTH(OneWeekMtgRatesDataTable756[[#This Row],[asofdate]]),DAY(OneWeekMtgRatesDataTable756[[#This Row],[asofdate]]))</f>
        <v>40158</v>
      </c>
      <c r="E1482" s="50" t="s">
        <v>11</v>
      </c>
      <c r="F1482" s="57">
        <v>0.23313</v>
      </c>
    </row>
    <row r="1483" spans="2:6">
      <c r="B1483" s="50" t="s">
        <v>21</v>
      </c>
      <c r="C1483" s="50" t="s">
        <v>174</v>
      </c>
      <c r="D1483" s="50">
        <f>DATE(YEAR(OneWeekMtgRatesDataTable756[[#This Row],[asofdate]]),MONTH(OneWeekMtgRatesDataTable756[[#This Row],[asofdate]]),DAY(OneWeekMtgRatesDataTable756[[#This Row],[asofdate]]))</f>
        <v>40157</v>
      </c>
      <c r="E1483" s="50" t="s">
        <v>11</v>
      </c>
      <c r="F1483" s="57">
        <v>0.23405999999999999</v>
      </c>
    </row>
    <row r="1484" spans="2:6">
      <c r="B1484" s="50" t="s">
        <v>21</v>
      </c>
      <c r="C1484" s="50" t="s">
        <v>173</v>
      </c>
      <c r="D1484" s="50">
        <f>DATE(YEAR(OneWeekMtgRatesDataTable756[[#This Row],[asofdate]]),MONTH(OneWeekMtgRatesDataTable756[[#This Row],[asofdate]]),DAY(OneWeekMtgRatesDataTable756[[#This Row],[asofdate]]))</f>
        <v>40156</v>
      </c>
      <c r="E1484" s="50" t="s">
        <v>11</v>
      </c>
      <c r="F1484" s="57">
        <v>0.23405999999999999</v>
      </c>
    </row>
    <row r="1485" spans="2:6">
      <c r="B1485" s="50" t="s">
        <v>21</v>
      </c>
      <c r="C1485" s="50" t="s">
        <v>172</v>
      </c>
      <c r="D1485" s="50">
        <f>DATE(YEAR(OneWeekMtgRatesDataTable756[[#This Row],[asofdate]]),MONTH(OneWeekMtgRatesDataTable756[[#This Row],[asofdate]]),DAY(OneWeekMtgRatesDataTable756[[#This Row],[asofdate]]))</f>
        <v>40155</v>
      </c>
      <c r="E1485" s="50" t="s">
        <v>11</v>
      </c>
      <c r="F1485" s="57">
        <v>0.23469000000000001</v>
      </c>
    </row>
    <row r="1486" spans="2:6">
      <c r="B1486" s="50" t="s">
        <v>21</v>
      </c>
      <c r="C1486" s="50" t="s">
        <v>171</v>
      </c>
      <c r="D1486" s="50">
        <f>DATE(YEAR(OneWeekMtgRatesDataTable756[[#This Row],[asofdate]]),MONTH(OneWeekMtgRatesDataTable756[[#This Row],[asofdate]]),DAY(OneWeekMtgRatesDataTable756[[#This Row],[asofdate]]))</f>
        <v>40154</v>
      </c>
      <c r="E1486" s="50" t="s">
        <v>11</v>
      </c>
      <c r="F1486" s="57">
        <v>0.23469000000000001</v>
      </c>
    </row>
    <row r="1487" spans="2:6">
      <c r="B1487" s="50" t="s">
        <v>21</v>
      </c>
      <c r="C1487" s="50" t="s">
        <v>170</v>
      </c>
      <c r="D1487" s="50">
        <f>DATE(YEAR(OneWeekMtgRatesDataTable756[[#This Row],[asofdate]]),MONTH(OneWeekMtgRatesDataTable756[[#This Row],[asofdate]]),DAY(OneWeekMtgRatesDataTable756[[#This Row],[asofdate]]))</f>
        <v>40151</v>
      </c>
      <c r="E1487" s="50" t="s">
        <v>11</v>
      </c>
      <c r="F1487" s="57">
        <v>0.23469000000000001</v>
      </c>
    </row>
    <row r="1488" spans="2:6">
      <c r="B1488" s="50" t="s">
        <v>21</v>
      </c>
      <c r="C1488" s="50" t="s">
        <v>169</v>
      </c>
      <c r="D1488" s="50">
        <f>DATE(YEAR(OneWeekMtgRatesDataTable756[[#This Row],[asofdate]]),MONTH(OneWeekMtgRatesDataTable756[[#This Row],[asofdate]]),DAY(OneWeekMtgRatesDataTable756[[#This Row],[asofdate]]))</f>
        <v>40150</v>
      </c>
      <c r="E1488" s="50" t="s">
        <v>11</v>
      </c>
      <c r="F1488" s="57">
        <v>0.23469000000000001</v>
      </c>
    </row>
    <row r="1489" spans="2:6">
      <c r="B1489" s="50" t="s">
        <v>21</v>
      </c>
      <c r="C1489" s="50" t="s">
        <v>168</v>
      </c>
      <c r="D1489" s="50">
        <f>DATE(YEAR(OneWeekMtgRatesDataTable756[[#This Row],[asofdate]]),MONTH(OneWeekMtgRatesDataTable756[[#This Row],[asofdate]]),DAY(OneWeekMtgRatesDataTable756[[#This Row],[asofdate]]))</f>
        <v>40149</v>
      </c>
      <c r="E1489" s="50" t="s">
        <v>11</v>
      </c>
      <c r="F1489" s="57">
        <v>0.23438000000000001</v>
      </c>
    </row>
    <row r="1490" spans="2:6">
      <c r="B1490" s="50" t="s">
        <v>21</v>
      </c>
      <c r="C1490" s="50" t="s">
        <v>167</v>
      </c>
      <c r="D1490" s="50">
        <f>DATE(YEAR(OneWeekMtgRatesDataTable756[[#This Row],[asofdate]]),MONTH(OneWeekMtgRatesDataTable756[[#This Row],[asofdate]]),DAY(OneWeekMtgRatesDataTable756[[#This Row],[asofdate]]))</f>
        <v>40148</v>
      </c>
      <c r="E1490" s="50" t="s">
        <v>11</v>
      </c>
      <c r="F1490" s="57">
        <v>0.23469000000000001</v>
      </c>
    </row>
    <row r="1491" spans="2:6">
      <c r="B1491" s="50" t="s">
        <v>21</v>
      </c>
      <c r="C1491" s="50" t="s">
        <v>166</v>
      </c>
      <c r="D1491" s="50">
        <f>DATE(YEAR(OneWeekMtgRatesDataTable756[[#This Row],[asofdate]]),MONTH(OneWeekMtgRatesDataTable756[[#This Row],[asofdate]]),DAY(OneWeekMtgRatesDataTable756[[#This Row],[asofdate]]))</f>
        <v>40147</v>
      </c>
      <c r="E1491" s="50" t="s">
        <v>11</v>
      </c>
      <c r="F1491" s="57">
        <v>0.23530999999999999</v>
      </c>
    </row>
    <row r="1492" spans="2:6">
      <c r="B1492" s="50" t="s">
        <v>21</v>
      </c>
      <c r="C1492" s="50" t="s">
        <v>165</v>
      </c>
      <c r="D1492" s="50">
        <f>DATE(YEAR(OneWeekMtgRatesDataTable756[[#This Row],[asofdate]]),MONTH(OneWeekMtgRatesDataTable756[[#This Row],[asofdate]]),DAY(OneWeekMtgRatesDataTable756[[#This Row],[asofdate]]))</f>
        <v>40144</v>
      </c>
      <c r="E1492" s="50" t="s">
        <v>11</v>
      </c>
      <c r="F1492" s="57">
        <v>0.23530999999999999</v>
      </c>
    </row>
    <row r="1493" spans="2:6">
      <c r="B1493" s="50" t="s">
        <v>21</v>
      </c>
      <c r="C1493" s="50" t="s">
        <v>164</v>
      </c>
      <c r="D1493" s="50">
        <f>DATE(YEAR(OneWeekMtgRatesDataTable756[[#This Row],[asofdate]]),MONTH(OneWeekMtgRatesDataTable756[[#This Row],[asofdate]]),DAY(OneWeekMtgRatesDataTable756[[#This Row],[asofdate]]))</f>
        <v>40142</v>
      </c>
      <c r="E1493" s="50" t="s">
        <v>11</v>
      </c>
      <c r="F1493" s="57">
        <v>0.23405999999999999</v>
      </c>
    </row>
    <row r="1494" spans="2:6">
      <c r="B1494" s="50" t="s">
        <v>21</v>
      </c>
      <c r="C1494" s="50" t="s">
        <v>163</v>
      </c>
      <c r="D1494" s="50">
        <f>DATE(YEAR(OneWeekMtgRatesDataTable756[[#This Row],[asofdate]]),MONTH(OneWeekMtgRatesDataTable756[[#This Row],[asofdate]]),DAY(OneWeekMtgRatesDataTable756[[#This Row],[asofdate]]))</f>
        <v>40141</v>
      </c>
      <c r="E1494" s="50" t="s">
        <v>11</v>
      </c>
      <c r="F1494" s="57">
        <v>0.23594000000000001</v>
      </c>
    </row>
    <row r="1495" spans="2:6">
      <c r="B1495" s="50" t="s">
        <v>21</v>
      </c>
      <c r="C1495" s="50" t="s">
        <v>162</v>
      </c>
      <c r="D1495" s="50">
        <f>DATE(YEAR(OneWeekMtgRatesDataTable756[[#This Row],[asofdate]]),MONTH(OneWeekMtgRatesDataTable756[[#This Row],[asofdate]]),DAY(OneWeekMtgRatesDataTable756[[#This Row],[asofdate]]))</f>
        <v>40140</v>
      </c>
      <c r="E1495" s="50" t="s">
        <v>11</v>
      </c>
      <c r="F1495" s="57">
        <v>0.23594000000000001</v>
      </c>
    </row>
    <row r="1496" spans="2:6">
      <c r="B1496" s="50" t="s">
        <v>21</v>
      </c>
      <c r="C1496" s="50" t="s">
        <v>161</v>
      </c>
      <c r="D1496" s="50">
        <f>DATE(YEAR(OneWeekMtgRatesDataTable756[[#This Row],[asofdate]]),MONTH(OneWeekMtgRatesDataTable756[[#This Row],[asofdate]]),DAY(OneWeekMtgRatesDataTable756[[#This Row],[asofdate]]))</f>
        <v>40137</v>
      </c>
      <c r="E1496" s="50" t="s">
        <v>11</v>
      </c>
      <c r="F1496" s="57">
        <v>0.23594000000000001</v>
      </c>
    </row>
    <row r="1497" spans="2:6">
      <c r="B1497" s="50" t="s">
        <v>21</v>
      </c>
      <c r="C1497" s="50" t="s">
        <v>160</v>
      </c>
      <c r="D1497" s="50">
        <f>DATE(YEAR(OneWeekMtgRatesDataTable756[[#This Row],[asofdate]]),MONTH(OneWeekMtgRatesDataTable756[[#This Row],[asofdate]]),DAY(OneWeekMtgRatesDataTable756[[#This Row],[asofdate]]))</f>
        <v>40136</v>
      </c>
      <c r="E1497" s="50" t="s">
        <v>11</v>
      </c>
      <c r="F1497" s="57">
        <v>0.23655999999999999</v>
      </c>
    </row>
    <row r="1498" spans="2:6">
      <c r="B1498" s="50" t="s">
        <v>21</v>
      </c>
      <c r="C1498" s="50" t="s">
        <v>159</v>
      </c>
      <c r="D1498" s="50">
        <f>DATE(YEAR(OneWeekMtgRatesDataTable756[[#This Row],[asofdate]]),MONTH(OneWeekMtgRatesDataTable756[[#This Row],[asofdate]]),DAY(OneWeekMtgRatesDataTable756[[#This Row],[asofdate]]))</f>
        <v>40135</v>
      </c>
      <c r="E1498" s="50" t="s">
        <v>11</v>
      </c>
      <c r="F1498" s="57">
        <v>0.23655999999999999</v>
      </c>
    </row>
    <row r="1499" spans="2:6">
      <c r="B1499" s="50" t="s">
        <v>21</v>
      </c>
      <c r="C1499" s="50" t="s">
        <v>158</v>
      </c>
      <c r="D1499" s="50">
        <f>DATE(YEAR(OneWeekMtgRatesDataTable756[[#This Row],[asofdate]]),MONTH(OneWeekMtgRatesDataTable756[[#This Row],[asofdate]]),DAY(OneWeekMtgRatesDataTable756[[#This Row],[asofdate]]))</f>
        <v>40134</v>
      </c>
      <c r="E1499" s="50" t="s">
        <v>11</v>
      </c>
      <c r="F1499" s="57">
        <v>0.23688000000000001</v>
      </c>
    </row>
    <row r="1500" spans="2:6">
      <c r="B1500" s="50" t="s">
        <v>21</v>
      </c>
      <c r="C1500" s="50" t="s">
        <v>157</v>
      </c>
      <c r="D1500" s="50">
        <f>DATE(YEAR(OneWeekMtgRatesDataTable756[[#This Row],[asofdate]]),MONTH(OneWeekMtgRatesDataTable756[[#This Row],[asofdate]]),DAY(OneWeekMtgRatesDataTable756[[#This Row],[asofdate]]))</f>
        <v>40133</v>
      </c>
      <c r="E1500" s="50" t="s">
        <v>11</v>
      </c>
      <c r="F1500" s="57">
        <v>0.23749999999999999</v>
      </c>
    </row>
    <row r="1501" spans="2:6">
      <c r="B1501" s="50" t="s">
        <v>21</v>
      </c>
      <c r="C1501" s="50" t="s">
        <v>156</v>
      </c>
      <c r="D1501" s="50">
        <f>DATE(YEAR(OneWeekMtgRatesDataTable756[[#This Row],[asofdate]]),MONTH(OneWeekMtgRatesDataTable756[[#This Row],[asofdate]]),DAY(OneWeekMtgRatesDataTable756[[#This Row],[asofdate]]))</f>
        <v>40130</v>
      </c>
      <c r="E1501" s="50" t="s">
        <v>11</v>
      </c>
      <c r="F1501" s="57">
        <v>0.23749999999999999</v>
      </c>
    </row>
    <row r="1502" spans="2:6">
      <c r="B1502" s="50" t="s">
        <v>21</v>
      </c>
      <c r="C1502" s="50" t="s">
        <v>155</v>
      </c>
      <c r="D1502" s="50">
        <f>DATE(YEAR(OneWeekMtgRatesDataTable756[[#This Row],[asofdate]]),MONTH(OneWeekMtgRatesDataTable756[[#This Row],[asofdate]]),DAY(OneWeekMtgRatesDataTable756[[#This Row],[asofdate]]))</f>
        <v>40129</v>
      </c>
      <c r="E1502" s="50" t="s">
        <v>11</v>
      </c>
      <c r="F1502" s="57">
        <v>0.23874999999999999</v>
      </c>
    </row>
    <row r="1503" spans="2:6">
      <c r="B1503" s="50" t="s">
        <v>21</v>
      </c>
      <c r="C1503" s="50" t="s">
        <v>154</v>
      </c>
      <c r="D1503" s="50">
        <f>DATE(YEAR(OneWeekMtgRatesDataTable756[[#This Row],[asofdate]]),MONTH(OneWeekMtgRatesDataTable756[[#This Row],[asofdate]]),DAY(OneWeekMtgRatesDataTable756[[#This Row],[asofdate]]))</f>
        <v>40127</v>
      </c>
      <c r="E1503" s="50" t="s">
        <v>11</v>
      </c>
      <c r="F1503" s="57">
        <v>0.23874999999999999</v>
      </c>
    </row>
    <row r="1504" spans="2:6">
      <c r="B1504" s="50" t="s">
        <v>21</v>
      </c>
      <c r="C1504" s="50" t="s">
        <v>153</v>
      </c>
      <c r="D1504" s="50">
        <f>DATE(YEAR(OneWeekMtgRatesDataTable756[[#This Row],[asofdate]]),MONTH(OneWeekMtgRatesDataTable756[[#This Row],[asofdate]]),DAY(OneWeekMtgRatesDataTable756[[#This Row],[asofdate]]))</f>
        <v>40126</v>
      </c>
      <c r="E1504" s="50" t="s">
        <v>11</v>
      </c>
      <c r="F1504" s="57">
        <v>0.23905999999999999</v>
      </c>
    </row>
    <row r="1505" spans="2:6">
      <c r="B1505" s="50" t="s">
        <v>21</v>
      </c>
      <c r="C1505" s="50" t="s">
        <v>152</v>
      </c>
      <c r="D1505" s="50">
        <f>DATE(YEAR(OneWeekMtgRatesDataTable756[[#This Row],[asofdate]]),MONTH(OneWeekMtgRatesDataTable756[[#This Row],[asofdate]]),DAY(OneWeekMtgRatesDataTable756[[#This Row],[asofdate]]))</f>
        <v>40123</v>
      </c>
      <c r="E1505" s="50" t="s">
        <v>11</v>
      </c>
      <c r="F1505" s="57">
        <v>0.24156</v>
      </c>
    </row>
    <row r="1506" spans="2:6">
      <c r="B1506" s="50" t="s">
        <v>21</v>
      </c>
      <c r="C1506" s="50" t="s">
        <v>151</v>
      </c>
      <c r="D1506" s="50">
        <f>DATE(YEAR(OneWeekMtgRatesDataTable756[[#This Row],[asofdate]]),MONTH(OneWeekMtgRatesDataTable756[[#This Row],[asofdate]]),DAY(OneWeekMtgRatesDataTable756[[#This Row],[asofdate]]))</f>
        <v>40122</v>
      </c>
      <c r="E1506" s="50" t="s">
        <v>11</v>
      </c>
      <c r="F1506" s="57">
        <v>0.24156</v>
      </c>
    </row>
    <row r="1507" spans="2:6">
      <c r="B1507" s="50" t="s">
        <v>21</v>
      </c>
      <c r="C1507" s="50" t="s">
        <v>150</v>
      </c>
      <c r="D1507" s="50">
        <f>DATE(YEAR(OneWeekMtgRatesDataTable756[[#This Row],[asofdate]]),MONTH(OneWeekMtgRatesDataTable756[[#This Row],[asofdate]]),DAY(OneWeekMtgRatesDataTable756[[#This Row],[asofdate]]))</f>
        <v>40121</v>
      </c>
      <c r="E1507" s="50" t="s">
        <v>11</v>
      </c>
      <c r="F1507" s="57">
        <v>0.24156</v>
      </c>
    </row>
    <row r="1508" spans="2:6">
      <c r="B1508" s="50" t="s">
        <v>21</v>
      </c>
      <c r="C1508" s="50" t="s">
        <v>149</v>
      </c>
      <c r="D1508" s="50">
        <f>DATE(YEAR(OneWeekMtgRatesDataTable756[[#This Row],[asofdate]]),MONTH(OneWeekMtgRatesDataTable756[[#This Row],[asofdate]]),DAY(OneWeekMtgRatesDataTable756[[#This Row],[asofdate]]))</f>
        <v>40120</v>
      </c>
      <c r="E1508" s="50" t="s">
        <v>11</v>
      </c>
      <c r="F1508" s="57">
        <v>0.24156</v>
      </c>
    </row>
    <row r="1509" spans="2:6">
      <c r="B1509" s="50" t="s">
        <v>21</v>
      </c>
      <c r="C1509" s="50" t="s">
        <v>148</v>
      </c>
      <c r="D1509" s="50">
        <f>DATE(YEAR(OneWeekMtgRatesDataTable756[[#This Row],[asofdate]]),MONTH(OneWeekMtgRatesDataTable756[[#This Row],[asofdate]]),DAY(OneWeekMtgRatesDataTable756[[#This Row],[asofdate]]))</f>
        <v>40119</v>
      </c>
      <c r="E1509" s="50" t="s">
        <v>11</v>
      </c>
      <c r="F1509" s="57">
        <v>0.24124999999999999</v>
      </c>
    </row>
    <row r="1510" spans="2:6">
      <c r="B1510" s="50" t="s">
        <v>21</v>
      </c>
      <c r="C1510" s="50" t="s">
        <v>147</v>
      </c>
      <c r="D1510" s="50">
        <f>DATE(YEAR(OneWeekMtgRatesDataTable756[[#This Row],[asofdate]]),MONTH(OneWeekMtgRatesDataTable756[[#This Row],[asofdate]]),DAY(OneWeekMtgRatesDataTable756[[#This Row],[asofdate]]))</f>
        <v>40116</v>
      </c>
      <c r="E1510" s="50" t="s">
        <v>11</v>
      </c>
      <c r="F1510" s="57">
        <v>0.24349999999999999</v>
      </c>
    </row>
    <row r="1511" spans="2:6">
      <c r="B1511" s="50" t="s">
        <v>21</v>
      </c>
      <c r="C1511" s="50" t="s">
        <v>146</v>
      </c>
      <c r="D1511" s="50">
        <f>DATE(YEAR(OneWeekMtgRatesDataTable756[[#This Row],[asofdate]]),MONTH(OneWeekMtgRatesDataTable756[[#This Row],[asofdate]]),DAY(OneWeekMtgRatesDataTable756[[#This Row],[asofdate]]))</f>
        <v>40115</v>
      </c>
      <c r="E1511" s="50" t="s">
        <v>11</v>
      </c>
      <c r="F1511" s="57">
        <v>0.24349999999999999</v>
      </c>
    </row>
    <row r="1512" spans="2:6">
      <c r="B1512" s="50" t="s">
        <v>21</v>
      </c>
      <c r="C1512" s="50" t="s">
        <v>145</v>
      </c>
      <c r="D1512" s="50">
        <f>DATE(YEAR(OneWeekMtgRatesDataTable756[[#This Row],[asofdate]]),MONTH(OneWeekMtgRatesDataTable756[[#This Row],[asofdate]]),DAY(OneWeekMtgRatesDataTable756[[#This Row],[asofdate]]))</f>
        <v>40114</v>
      </c>
      <c r="E1512" s="50" t="s">
        <v>11</v>
      </c>
      <c r="F1512" s="57">
        <v>0.24288000000000001</v>
      </c>
    </row>
    <row r="1513" spans="2:6">
      <c r="B1513" s="50" t="s">
        <v>21</v>
      </c>
      <c r="C1513" s="50" t="s">
        <v>144</v>
      </c>
      <c r="D1513" s="50">
        <f>DATE(YEAR(OneWeekMtgRatesDataTable756[[#This Row],[asofdate]]),MONTH(OneWeekMtgRatesDataTable756[[#This Row],[asofdate]]),DAY(OneWeekMtgRatesDataTable756[[#This Row],[asofdate]]))</f>
        <v>40113</v>
      </c>
      <c r="E1513" s="50" t="s">
        <v>11</v>
      </c>
      <c r="F1513" s="57">
        <v>0.24349999999999999</v>
      </c>
    </row>
    <row r="1514" spans="2:6">
      <c r="B1514" s="50" t="s">
        <v>21</v>
      </c>
      <c r="C1514" s="50" t="s">
        <v>143</v>
      </c>
      <c r="D1514" s="50">
        <f>DATE(YEAR(OneWeekMtgRatesDataTable756[[#This Row],[asofdate]]),MONTH(OneWeekMtgRatesDataTable756[[#This Row],[asofdate]]),DAY(OneWeekMtgRatesDataTable756[[#This Row],[asofdate]]))</f>
        <v>40112</v>
      </c>
      <c r="E1514" s="50" t="s">
        <v>11</v>
      </c>
      <c r="F1514" s="57">
        <v>0.24374999999999999</v>
      </c>
    </row>
    <row r="1515" spans="2:6">
      <c r="B1515" s="50" t="s">
        <v>21</v>
      </c>
      <c r="C1515" s="50" t="s">
        <v>142</v>
      </c>
      <c r="D1515" s="50">
        <f>DATE(YEAR(OneWeekMtgRatesDataTable756[[#This Row],[asofdate]]),MONTH(OneWeekMtgRatesDataTable756[[#This Row],[asofdate]]),DAY(OneWeekMtgRatesDataTable756[[#This Row],[asofdate]]))</f>
        <v>40109</v>
      </c>
      <c r="E1515" s="50" t="s">
        <v>11</v>
      </c>
      <c r="F1515" s="57">
        <v>0.24374999999999999</v>
      </c>
    </row>
    <row r="1516" spans="2:6">
      <c r="B1516" s="50" t="s">
        <v>21</v>
      </c>
      <c r="C1516" s="50" t="s">
        <v>141</v>
      </c>
      <c r="D1516" s="50">
        <f>DATE(YEAR(OneWeekMtgRatesDataTable756[[#This Row],[asofdate]]),MONTH(OneWeekMtgRatesDataTable756[[#This Row],[asofdate]]),DAY(OneWeekMtgRatesDataTable756[[#This Row],[asofdate]]))</f>
        <v>40108</v>
      </c>
      <c r="E1516" s="50" t="s">
        <v>11</v>
      </c>
      <c r="F1516" s="57">
        <v>0.24374999999999999</v>
      </c>
    </row>
    <row r="1517" spans="2:6">
      <c r="B1517" s="50" t="s">
        <v>21</v>
      </c>
      <c r="C1517" s="50" t="s">
        <v>140</v>
      </c>
      <c r="D1517" s="50">
        <f>DATE(YEAR(OneWeekMtgRatesDataTable756[[#This Row],[asofdate]]),MONTH(OneWeekMtgRatesDataTable756[[#This Row],[asofdate]]),DAY(OneWeekMtgRatesDataTable756[[#This Row],[asofdate]]))</f>
        <v>40107</v>
      </c>
      <c r="E1517" s="50" t="s">
        <v>11</v>
      </c>
      <c r="F1517" s="57">
        <v>0.24374999999999999</v>
      </c>
    </row>
    <row r="1518" spans="2:6">
      <c r="B1518" s="50" t="s">
        <v>21</v>
      </c>
      <c r="C1518" s="50" t="s">
        <v>139</v>
      </c>
      <c r="D1518" s="50">
        <f>DATE(YEAR(OneWeekMtgRatesDataTable756[[#This Row],[asofdate]]),MONTH(OneWeekMtgRatesDataTable756[[#This Row],[asofdate]]),DAY(OneWeekMtgRatesDataTable756[[#This Row],[asofdate]]))</f>
        <v>40106</v>
      </c>
      <c r="E1518" s="50" t="s">
        <v>11</v>
      </c>
      <c r="F1518" s="57">
        <v>0.245</v>
      </c>
    </row>
    <row r="1519" spans="2:6">
      <c r="B1519" s="50" t="s">
        <v>21</v>
      </c>
      <c r="C1519" s="50" t="s">
        <v>138</v>
      </c>
      <c r="D1519" s="50">
        <f>DATE(YEAR(OneWeekMtgRatesDataTable756[[#This Row],[asofdate]]),MONTH(OneWeekMtgRatesDataTable756[[#This Row],[asofdate]]),DAY(OneWeekMtgRatesDataTable756[[#This Row],[asofdate]]))</f>
        <v>40105</v>
      </c>
      <c r="E1519" s="50" t="s">
        <v>11</v>
      </c>
      <c r="F1519" s="57">
        <v>0.245</v>
      </c>
    </row>
    <row r="1520" spans="2:6">
      <c r="B1520" s="50" t="s">
        <v>21</v>
      </c>
      <c r="C1520" s="50" t="s">
        <v>137</v>
      </c>
      <c r="D1520" s="50">
        <f>DATE(YEAR(OneWeekMtgRatesDataTable756[[#This Row],[asofdate]]),MONTH(OneWeekMtgRatesDataTable756[[#This Row],[asofdate]]),DAY(OneWeekMtgRatesDataTable756[[#This Row],[asofdate]]))</f>
        <v>40102</v>
      </c>
      <c r="E1520" s="50" t="s">
        <v>11</v>
      </c>
      <c r="F1520" s="57">
        <v>0.245</v>
      </c>
    </row>
    <row r="1521" spans="2:6">
      <c r="B1521" s="50" t="s">
        <v>21</v>
      </c>
      <c r="C1521" s="50" t="s">
        <v>136</v>
      </c>
      <c r="D1521" s="50">
        <f>DATE(YEAR(OneWeekMtgRatesDataTable756[[#This Row],[asofdate]]),MONTH(OneWeekMtgRatesDataTable756[[#This Row],[asofdate]]),DAY(OneWeekMtgRatesDataTable756[[#This Row],[asofdate]]))</f>
        <v>40101</v>
      </c>
      <c r="E1521" s="50" t="s">
        <v>11</v>
      </c>
      <c r="F1521" s="57">
        <v>0.245</v>
      </c>
    </row>
    <row r="1522" spans="2:6">
      <c r="B1522" s="50" t="s">
        <v>21</v>
      </c>
      <c r="C1522" s="50" t="s">
        <v>135</v>
      </c>
      <c r="D1522" s="50">
        <f>DATE(YEAR(OneWeekMtgRatesDataTable756[[#This Row],[asofdate]]),MONTH(OneWeekMtgRatesDataTable756[[#This Row],[asofdate]]),DAY(OneWeekMtgRatesDataTable756[[#This Row],[asofdate]]))</f>
        <v>40100</v>
      </c>
      <c r="E1522" s="50" t="s">
        <v>11</v>
      </c>
      <c r="F1522" s="57">
        <v>0.245</v>
      </c>
    </row>
    <row r="1523" spans="2:6">
      <c r="B1523" s="50" t="s">
        <v>21</v>
      </c>
      <c r="C1523" s="50" t="s">
        <v>134</v>
      </c>
      <c r="D1523" s="50">
        <f>DATE(YEAR(OneWeekMtgRatesDataTable756[[#This Row],[asofdate]]),MONTH(OneWeekMtgRatesDataTable756[[#This Row],[asofdate]]),DAY(OneWeekMtgRatesDataTable756[[#This Row],[asofdate]]))</f>
        <v>40099</v>
      </c>
      <c r="E1523" s="50" t="s">
        <v>11</v>
      </c>
      <c r="F1523" s="57">
        <v>0.245</v>
      </c>
    </row>
    <row r="1524" spans="2:6">
      <c r="B1524" s="50" t="s">
        <v>21</v>
      </c>
      <c r="C1524" s="50" t="s">
        <v>133</v>
      </c>
      <c r="D1524" s="50">
        <f>DATE(YEAR(OneWeekMtgRatesDataTable756[[#This Row],[asofdate]]),MONTH(OneWeekMtgRatesDataTable756[[#This Row],[asofdate]]),DAY(OneWeekMtgRatesDataTable756[[#This Row],[asofdate]]))</f>
        <v>40095</v>
      </c>
      <c r="E1524" s="50" t="s">
        <v>11</v>
      </c>
      <c r="F1524" s="57">
        <v>0.245</v>
      </c>
    </row>
    <row r="1525" spans="2:6">
      <c r="B1525" s="50" t="s">
        <v>21</v>
      </c>
      <c r="C1525" s="50" t="s">
        <v>132</v>
      </c>
      <c r="D1525" s="50">
        <f>DATE(YEAR(OneWeekMtgRatesDataTable756[[#This Row],[asofdate]]),MONTH(OneWeekMtgRatesDataTable756[[#This Row],[asofdate]]),DAY(OneWeekMtgRatesDataTable756[[#This Row],[asofdate]]))</f>
        <v>40094</v>
      </c>
      <c r="E1525" s="50" t="s">
        <v>11</v>
      </c>
      <c r="F1525" s="57">
        <v>0.24437999999999999</v>
      </c>
    </row>
    <row r="1526" spans="2:6">
      <c r="B1526" s="50" t="s">
        <v>21</v>
      </c>
      <c r="C1526" s="50" t="s">
        <v>131</v>
      </c>
      <c r="D1526" s="50">
        <f>DATE(YEAR(OneWeekMtgRatesDataTable756[[#This Row],[asofdate]]),MONTH(OneWeekMtgRatesDataTable756[[#This Row],[asofdate]]),DAY(OneWeekMtgRatesDataTable756[[#This Row],[asofdate]]))</f>
        <v>40093</v>
      </c>
      <c r="E1526" s="50" t="s">
        <v>11</v>
      </c>
      <c r="F1526" s="57">
        <v>0.24437999999999999</v>
      </c>
    </row>
    <row r="1527" spans="2:6">
      <c r="B1527" s="50" t="s">
        <v>21</v>
      </c>
      <c r="C1527" s="50" t="s">
        <v>130</v>
      </c>
      <c r="D1527" s="50">
        <f>DATE(YEAR(OneWeekMtgRatesDataTable756[[#This Row],[asofdate]]),MONTH(OneWeekMtgRatesDataTable756[[#This Row],[asofdate]]),DAY(OneWeekMtgRatesDataTable756[[#This Row],[asofdate]]))</f>
        <v>40092</v>
      </c>
      <c r="E1527" s="50" t="s">
        <v>11</v>
      </c>
      <c r="F1527" s="57">
        <v>0.24437999999999999</v>
      </c>
    </row>
    <row r="1528" spans="2:6">
      <c r="B1528" s="50" t="s">
        <v>21</v>
      </c>
      <c r="C1528" s="50" t="s">
        <v>129</v>
      </c>
      <c r="D1528" s="50">
        <f>DATE(YEAR(OneWeekMtgRatesDataTable756[[#This Row],[asofdate]]),MONTH(OneWeekMtgRatesDataTable756[[#This Row],[asofdate]]),DAY(OneWeekMtgRatesDataTable756[[#This Row],[asofdate]]))</f>
        <v>40091</v>
      </c>
      <c r="E1528" s="50" t="s">
        <v>11</v>
      </c>
      <c r="F1528" s="57">
        <v>0.24437999999999999</v>
      </c>
    </row>
    <row r="1529" spans="2:6">
      <c r="B1529" s="50" t="s">
        <v>21</v>
      </c>
      <c r="C1529" s="50" t="s">
        <v>128</v>
      </c>
      <c r="D1529" s="50">
        <f>DATE(YEAR(OneWeekMtgRatesDataTable756[[#This Row],[asofdate]]),MONTH(OneWeekMtgRatesDataTable756[[#This Row],[asofdate]]),DAY(OneWeekMtgRatesDataTable756[[#This Row],[asofdate]]))</f>
        <v>40088</v>
      </c>
      <c r="E1529" s="50" t="s">
        <v>11</v>
      </c>
      <c r="F1529" s="57">
        <v>0.24437999999999999</v>
      </c>
    </row>
    <row r="1530" spans="2:6">
      <c r="B1530" s="50" t="s">
        <v>21</v>
      </c>
      <c r="C1530" s="50" t="s">
        <v>127</v>
      </c>
      <c r="D1530" s="50">
        <f>DATE(YEAR(OneWeekMtgRatesDataTable756[[#This Row],[asofdate]]),MONTH(OneWeekMtgRatesDataTable756[[#This Row],[asofdate]]),DAY(OneWeekMtgRatesDataTable756[[#This Row],[asofdate]]))</f>
        <v>40087</v>
      </c>
      <c r="E1530" s="50" t="s">
        <v>11</v>
      </c>
      <c r="F1530" s="57">
        <v>0.24562999999999999</v>
      </c>
    </row>
    <row r="1531" spans="2:6">
      <c r="B1531" s="50" t="s">
        <v>21</v>
      </c>
      <c r="C1531" s="50" t="s">
        <v>126</v>
      </c>
      <c r="D1531" s="50">
        <f>DATE(YEAR(OneWeekMtgRatesDataTable756[[#This Row],[asofdate]]),MONTH(OneWeekMtgRatesDataTable756[[#This Row],[asofdate]]),DAY(OneWeekMtgRatesDataTable756[[#This Row],[asofdate]]))</f>
        <v>40086</v>
      </c>
      <c r="E1531" s="50" t="s">
        <v>11</v>
      </c>
      <c r="F1531" s="57">
        <v>0.24562999999999999</v>
      </c>
    </row>
    <row r="1532" spans="2:6">
      <c r="B1532" s="50" t="s">
        <v>21</v>
      </c>
      <c r="C1532" s="50" t="s">
        <v>125</v>
      </c>
      <c r="D1532" s="50">
        <f>DATE(YEAR(OneWeekMtgRatesDataTable756[[#This Row],[asofdate]]),MONTH(OneWeekMtgRatesDataTable756[[#This Row],[asofdate]]),DAY(OneWeekMtgRatesDataTable756[[#This Row],[asofdate]]))</f>
        <v>40085</v>
      </c>
      <c r="E1532" s="50" t="s">
        <v>11</v>
      </c>
      <c r="F1532" s="57">
        <v>0.24625</v>
      </c>
    </row>
    <row r="1533" spans="2:6">
      <c r="B1533" s="50" t="s">
        <v>21</v>
      </c>
      <c r="C1533" s="50" t="s">
        <v>124</v>
      </c>
      <c r="D1533" s="50">
        <f>DATE(YEAR(OneWeekMtgRatesDataTable756[[#This Row],[asofdate]]),MONTH(OneWeekMtgRatesDataTable756[[#This Row],[asofdate]]),DAY(OneWeekMtgRatesDataTable756[[#This Row],[asofdate]]))</f>
        <v>40084</v>
      </c>
      <c r="E1533" s="50" t="s">
        <v>11</v>
      </c>
      <c r="F1533" s="57">
        <v>0.24625</v>
      </c>
    </row>
    <row r="1534" spans="2:6">
      <c r="B1534" s="50" t="s">
        <v>21</v>
      </c>
      <c r="C1534" s="50" t="s">
        <v>123</v>
      </c>
      <c r="D1534" s="50">
        <f>DATE(YEAR(OneWeekMtgRatesDataTable756[[#This Row],[asofdate]]),MONTH(OneWeekMtgRatesDataTable756[[#This Row],[asofdate]]),DAY(OneWeekMtgRatesDataTable756[[#This Row],[asofdate]]))</f>
        <v>40081</v>
      </c>
      <c r="E1534" s="50" t="s">
        <v>11</v>
      </c>
      <c r="F1534" s="57">
        <v>0.24625</v>
      </c>
    </row>
    <row r="1535" spans="2:6">
      <c r="B1535" s="50" t="s">
        <v>21</v>
      </c>
      <c r="C1535" s="50" t="s">
        <v>122</v>
      </c>
      <c r="D1535" s="50">
        <f>DATE(YEAR(OneWeekMtgRatesDataTable756[[#This Row],[asofdate]]),MONTH(OneWeekMtgRatesDataTable756[[#This Row],[asofdate]]),DAY(OneWeekMtgRatesDataTable756[[#This Row],[asofdate]]))</f>
        <v>40080</v>
      </c>
      <c r="E1535" s="50" t="s">
        <v>11</v>
      </c>
      <c r="F1535" s="57">
        <v>0.24625</v>
      </c>
    </row>
    <row r="1536" spans="2:6">
      <c r="B1536" s="50" t="s">
        <v>21</v>
      </c>
      <c r="C1536" s="50" t="s">
        <v>121</v>
      </c>
      <c r="D1536" s="50">
        <f>DATE(YEAR(OneWeekMtgRatesDataTable756[[#This Row],[asofdate]]),MONTH(OneWeekMtgRatesDataTable756[[#This Row],[asofdate]]),DAY(OneWeekMtgRatesDataTable756[[#This Row],[asofdate]]))</f>
        <v>40079</v>
      </c>
      <c r="E1536" s="50" t="s">
        <v>11</v>
      </c>
      <c r="F1536" s="57">
        <v>0.24625</v>
      </c>
    </row>
    <row r="1537" spans="2:6">
      <c r="B1537" s="50" t="s">
        <v>21</v>
      </c>
      <c r="C1537" s="50" t="s">
        <v>120</v>
      </c>
      <c r="D1537" s="50">
        <f>DATE(YEAR(OneWeekMtgRatesDataTable756[[#This Row],[asofdate]]),MONTH(OneWeekMtgRatesDataTable756[[#This Row],[asofdate]]),DAY(OneWeekMtgRatesDataTable756[[#This Row],[asofdate]]))</f>
        <v>40078</v>
      </c>
      <c r="E1537" s="50" t="s">
        <v>11</v>
      </c>
      <c r="F1537" s="57">
        <v>0.24625</v>
      </c>
    </row>
    <row r="1538" spans="2:6">
      <c r="B1538" s="50" t="s">
        <v>21</v>
      </c>
      <c r="C1538" s="50" t="s">
        <v>119</v>
      </c>
      <c r="D1538" s="50">
        <f>DATE(YEAR(OneWeekMtgRatesDataTable756[[#This Row],[asofdate]]),MONTH(OneWeekMtgRatesDataTable756[[#This Row],[asofdate]]),DAY(OneWeekMtgRatesDataTable756[[#This Row],[asofdate]]))</f>
        <v>40077</v>
      </c>
      <c r="E1538" s="50" t="s">
        <v>11</v>
      </c>
      <c r="F1538" s="57">
        <v>0.24625</v>
      </c>
    </row>
    <row r="1539" spans="2:6">
      <c r="B1539" s="50" t="s">
        <v>21</v>
      </c>
      <c r="C1539" s="50" t="s">
        <v>118</v>
      </c>
      <c r="D1539" s="50">
        <f>DATE(YEAR(OneWeekMtgRatesDataTable756[[#This Row],[asofdate]]),MONTH(OneWeekMtgRatesDataTable756[[#This Row],[asofdate]]),DAY(OneWeekMtgRatesDataTable756[[#This Row],[asofdate]]))</f>
        <v>40074</v>
      </c>
      <c r="E1539" s="50" t="s">
        <v>11</v>
      </c>
      <c r="F1539" s="57">
        <v>0.24625</v>
      </c>
    </row>
    <row r="1540" spans="2:6">
      <c r="B1540" s="50" t="s">
        <v>21</v>
      </c>
      <c r="C1540" s="50" t="s">
        <v>117</v>
      </c>
      <c r="D1540" s="50">
        <f>DATE(YEAR(OneWeekMtgRatesDataTable756[[#This Row],[asofdate]]),MONTH(OneWeekMtgRatesDataTable756[[#This Row],[asofdate]]),DAY(OneWeekMtgRatesDataTable756[[#This Row],[asofdate]]))</f>
        <v>40073</v>
      </c>
      <c r="E1540" s="50" t="s">
        <v>11</v>
      </c>
      <c r="F1540" s="57">
        <v>0.24625</v>
      </c>
    </row>
    <row r="1541" spans="2:6">
      <c r="B1541" s="50" t="s">
        <v>21</v>
      </c>
      <c r="C1541" s="50" t="s">
        <v>116</v>
      </c>
      <c r="D1541" s="50">
        <f>DATE(YEAR(OneWeekMtgRatesDataTable756[[#This Row],[asofdate]]),MONTH(OneWeekMtgRatesDataTable756[[#This Row],[asofdate]]),DAY(OneWeekMtgRatesDataTable756[[#This Row],[asofdate]]))</f>
        <v>40072</v>
      </c>
      <c r="E1541" s="50" t="s">
        <v>11</v>
      </c>
      <c r="F1541" s="57">
        <v>0.24374999999999999</v>
      </c>
    </row>
    <row r="1542" spans="2:6">
      <c r="B1542" s="50" t="s">
        <v>21</v>
      </c>
      <c r="C1542" s="50" t="s">
        <v>115</v>
      </c>
      <c r="D1542" s="50">
        <f>DATE(YEAR(OneWeekMtgRatesDataTable756[[#This Row],[asofdate]]),MONTH(OneWeekMtgRatesDataTable756[[#This Row],[asofdate]]),DAY(OneWeekMtgRatesDataTable756[[#This Row],[asofdate]]))</f>
        <v>40071</v>
      </c>
      <c r="E1542" s="50" t="s">
        <v>11</v>
      </c>
      <c r="F1542" s="57">
        <v>0.24249999999999999</v>
      </c>
    </row>
    <row r="1543" spans="2:6">
      <c r="B1543" s="50" t="s">
        <v>21</v>
      </c>
      <c r="C1543" s="50" t="s">
        <v>114</v>
      </c>
      <c r="D1543" s="50">
        <f>DATE(YEAR(OneWeekMtgRatesDataTable756[[#This Row],[asofdate]]),MONTH(OneWeekMtgRatesDataTable756[[#This Row],[asofdate]]),DAY(OneWeekMtgRatesDataTable756[[#This Row],[asofdate]]))</f>
        <v>40070</v>
      </c>
      <c r="E1543" s="50" t="s">
        <v>11</v>
      </c>
      <c r="F1543" s="57">
        <v>0.24124999999999999</v>
      </c>
    </row>
    <row r="1544" spans="2:6">
      <c r="B1544" s="50" t="s">
        <v>21</v>
      </c>
      <c r="C1544" s="50" t="s">
        <v>113</v>
      </c>
      <c r="D1544" s="50">
        <f>DATE(YEAR(OneWeekMtgRatesDataTable756[[#This Row],[asofdate]]),MONTH(OneWeekMtgRatesDataTable756[[#This Row],[asofdate]]),DAY(OneWeekMtgRatesDataTable756[[#This Row],[asofdate]]))</f>
        <v>40067</v>
      </c>
      <c r="E1544" s="50" t="s">
        <v>11</v>
      </c>
      <c r="F1544" s="57">
        <v>0.24338000000000001</v>
      </c>
    </row>
    <row r="1545" spans="2:6">
      <c r="B1545" s="50" t="s">
        <v>21</v>
      </c>
      <c r="C1545" s="50" t="s">
        <v>112</v>
      </c>
      <c r="D1545" s="50">
        <f>DATE(YEAR(OneWeekMtgRatesDataTable756[[#This Row],[asofdate]]),MONTH(OneWeekMtgRatesDataTable756[[#This Row],[asofdate]]),DAY(OneWeekMtgRatesDataTable756[[#This Row],[asofdate]]))</f>
        <v>40066</v>
      </c>
      <c r="E1545" s="50" t="s">
        <v>11</v>
      </c>
      <c r="F1545" s="57">
        <v>0.24374999999999999</v>
      </c>
    </row>
    <row r="1546" spans="2:6">
      <c r="B1546" s="50" t="s">
        <v>21</v>
      </c>
      <c r="C1546" s="50" t="s">
        <v>111</v>
      </c>
      <c r="D1546" s="50">
        <f>DATE(YEAR(OneWeekMtgRatesDataTable756[[#This Row],[asofdate]]),MONTH(OneWeekMtgRatesDataTable756[[#This Row],[asofdate]]),DAY(OneWeekMtgRatesDataTable756[[#This Row],[asofdate]]))</f>
        <v>40065</v>
      </c>
      <c r="E1546" s="50" t="s">
        <v>11</v>
      </c>
      <c r="F1546" s="57">
        <v>0.24587999999999999</v>
      </c>
    </row>
    <row r="1547" spans="2:6">
      <c r="B1547" s="50" t="s">
        <v>21</v>
      </c>
      <c r="C1547" s="50" t="s">
        <v>110</v>
      </c>
      <c r="D1547" s="50">
        <f>DATE(YEAR(OneWeekMtgRatesDataTable756[[#This Row],[asofdate]]),MONTH(OneWeekMtgRatesDataTable756[[#This Row],[asofdate]]),DAY(OneWeekMtgRatesDataTable756[[#This Row],[asofdate]]))</f>
        <v>40064</v>
      </c>
      <c r="E1547" s="50" t="s">
        <v>11</v>
      </c>
      <c r="F1547" s="57">
        <v>0.24937999999999999</v>
      </c>
    </row>
    <row r="1548" spans="2:6">
      <c r="B1548" s="50" t="s">
        <v>21</v>
      </c>
      <c r="C1548" s="50" t="s">
        <v>109</v>
      </c>
      <c r="D1548" s="50">
        <f>DATE(YEAR(OneWeekMtgRatesDataTable756[[#This Row],[asofdate]]),MONTH(OneWeekMtgRatesDataTable756[[#This Row],[asofdate]]),DAY(OneWeekMtgRatesDataTable756[[#This Row],[asofdate]]))</f>
        <v>40060</v>
      </c>
      <c r="E1548" s="50" t="s">
        <v>11</v>
      </c>
      <c r="F1548" s="57">
        <v>0.25374999999999998</v>
      </c>
    </row>
    <row r="1549" spans="2:6">
      <c r="B1549" s="50" t="s">
        <v>21</v>
      </c>
      <c r="C1549" s="50" t="s">
        <v>108</v>
      </c>
      <c r="D1549" s="50">
        <f>DATE(YEAR(OneWeekMtgRatesDataTable756[[#This Row],[asofdate]]),MONTH(OneWeekMtgRatesDataTable756[[#This Row],[asofdate]]),DAY(OneWeekMtgRatesDataTable756[[#This Row],[asofdate]]))</f>
        <v>40059</v>
      </c>
      <c r="E1549" s="50" t="s">
        <v>11</v>
      </c>
      <c r="F1549" s="57">
        <v>0.25313000000000002</v>
      </c>
    </row>
    <row r="1550" spans="2:6">
      <c r="B1550" s="50" t="s">
        <v>21</v>
      </c>
      <c r="C1550" s="50" t="s">
        <v>107</v>
      </c>
      <c r="D1550" s="50">
        <f>DATE(YEAR(OneWeekMtgRatesDataTable756[[#This Row],[asofdate]]),MONTH(OneWeekMtgRatesDataTable756[[#This Row],[asofdate]]),DAY(OneWeekMtgRatesDataTable756[[#This Row],[asofdate]]))</f>
        <v>40058</v>
      </c>
      <c r="E1550" s="50" t="s">
        <v>11</v>
      </c>
      <c r="F1550" s="57">
        <v>0.25438</v>
      </c>
    </row>
    <row r="1551" spans="2:6">
      <c r="B1551" s="50" t="s">
        <v>21</v>
      </c>
      <c r="C1551" s="50" t="s">
        <v>106</v>
      </c>
      <c r="D1551" s="50">
        <f>DATE(YEAR(OneWeekMtgRatesDataTable756[[#This Row],[asofdate]]),MONTH(OneWeekMtgRatesDataTable756[[#This Row],[asofdate]]),DAY(OneWeekMtgRatesDataTable756[[#This Row],[asofdate]]))</f>
        <v>40057</v>
      </c>
      <c r="E1551" s="50" t="s">
        <v>11</v>
      </c>
      <c r="F1551" s="57">
        <v>0.25624999999999998</v>
      </c>
    </row>
    <row r="1552" spans="2:6">
      <c r="B1552" s="50" t="s">
        <v>21</v>
      </c>
      <c r="C1552" s="50" t="s">
        <v>105</v>
      </c>
      <c r="D1552" s="50">
        <f>DATE(YEAR(OneWeekMtgRatesDataTable756[[#This Row],[asofdate]]),MONTH(OneWeekMtgRatesDataTable756[[#This Row],[asofdate]]),DAY(OneWeekMtgRatesDataTable756[[#This Row],[asofdate]]))</f>
        <v>40056</v>
      </c>
      <c r="E1552" s="50" t="s">
        <v>11</v>
      </c>
      <c r="F1552" s="57">
        <v>0.25874999999999998</v>
      </c>
    </row>
    <row r="1553" spans="2:6">
      <c r="B1553" s="50" t="s">
        <v>21</v>
      </c>
      <c r="C1553" s="50" t="s">
        <v>104</v>
      </c>
      <c r="D1553" s="50">
        <f>DATE(YEAR(OneWeekMtgRatesDataTable756[[#This Row],[asofdate]]),MONTH(OneWeekMtgRatesDataTable756[[#This Row],[asofdate]]),DAY(OneWeekMtgRatesDataTable756[[#This Row],[asofdate]]))</f>
        <v>40053</v>
      </c>
      <c r="E1553" s="50" t="s">
        <v>11</v>
      </c>
      <c r="F1553" s="57">
        <v>0.25874999999999998</v>
      </c>
    </row>
    <row r="1554" spans="2:6">
      <c r="B1554" s="50" t="s">
        <v>21</v>
      </c>
      <c r="C1554" s="50" t="s">
        <v>103</v>
      </c>
      <c r="D1554" s="50">
        <f>DATE(YEAR(OneWeekMtgRatesDataTable756[[#This Row],[asofdate]]),MONTH(OneWeekMtgRatesDataTable756[[#This Row],[asofdate]]),DAY(OneWeekMtgRatesDataTable756[[#This Row],[asofdate]]))</f>
        <v>40052</v>
      </c>
      <c r="E1554" s="50" t="s">
        <v>11</v>
      </c>
      <c r="F1554" s="57">
        <v>0.26124999999999998</v>
      </c>
    </row>
    <row r="1555" spans="2:6">
      <c r="B1555" s="50" t="s">
        <v>21</v>
      </c>
      <c r="C1555" s="50" t="s">
        <v>102</v>
      </c>
      <c r="D1555" s="50">
        <f>DATE(YEAR(OneWeekMtgRatesDataTable756[[#This Row],[asofdate]]),MONTH(OneWeekMtgRatesDataTable756[[#This Row],[asofdate]]),DAY(OneWeekMtgRatesDataTable756[[#This Row],[asofdate]]))</f>
        <v>40051</v>
      </c>
      <c r="E1555" s="50" t="s">
        <v>11</v>
      </c>
      <c r="F1555" s="57">
        <v>0.26062999999999997</v>
      </c>
    </row>
    <row r="1556" spans="2:6">
      <c r="B1556" s="50" t="s">
        <v>21</v>
      </c>
      <c r="C1556" s="50" t="s">
        <v>101</v>
      </c>
      <c r="D1556" s="50">
        <f>DATE(YEAR(OneWeekMtgRatesDataTable756[[#This Row],[asofdate]]),MONTH(OneWeekMtgRatesDataTable756[[#This Row],[asofdate]]),DAY(OneWeekMtgRatesDataTable756[[#This Row],[asofdate]]))</f>
        <v>40050</v>
      </c>
      <c r="E1556" s="50" t="s">
        <v>11</v>
      </c>
      <c r="F1556" s="57">
        <v>0.26280999999999999</v>
      </c>
    </row>
    <row r="1557" spans="2:6">
      <c r="B1557" s="50" t="s">
        <v>21</v>
      </c>
      <c r="C1557" s="50" t="s">
        <v>100</v>
      </c>
      <c r="D1557" s="50">
        <f>DATE(YEAR(OneWeekMtgRatesDataTable756[[#This Row],[asofdate]]),MONTH(OneWeekMtgRatesDataTable756[[#This Row],[asofdate]]),DAY(OneWeekMtgRatesDataTable756[[#This Row],[asofdate]]))</f>
        <v>40049</v>
      </c>
      <c r="E1557" s="50" t="s">
        <v>11</v>
      </c>
      <c r="F1557" s="57">
        <v>0.26438</v>
      </c>
    </row>
    <row r="1558" spans="2:6">
      <c r="B1558" s="50" t="s">
        <v>21</v>
      </c>
      <c r="C1558" s="50" t="s">
        <v>99</v>
      </c>
      <c r="D1558" s="50">
        <f>DATE(YEAR(OneWeekMtgRatesDataTable756[[#This Row],[asofdate]]),MONTH(OneWeekMtgRatesDataTable756[[#This Row],[asofdate]]),DAY(OneWeekMtgRatesDataTable756[[#This Row],[asofdate]]))</f>
        <v>40046</v>
      </c>
      <c r="E1558" s="50" t="s">
        <v>11</v>
      </c>
      <c r="F1558" s="57">
        <v>0.26562999999999998</v>
      </c>
    </row>
    <row r="1559" spans="2:6">
      <c r="B1559" s="50" t="s">
        <v>21</v>
      </c>
      <c r="C1559" s="50" t="s">
        <v>98</v>
      </c>
      <c r="D1559" s="50">
        <f>DATE(YEAR(OneWeekMtgRatesDataTable756[[#This Row],[asofdate]]),MONTH(OneWeekMtgRatesDataTable756[[#This Row],[asofdate]]),DAY(OneWeekMtgRatesDataTable756[[#This Row],[asofdate]]))</f>
        <v>40045</v>
      </c>
      <c r="E1559" s="50" t="s">
        <v>11</v>
      </c>
      <c r="F1559" s="57">
        <v>0.26750000000000002</v>
      </c>
    </row>
    <row r="1560" spans="2:6">
      <c r="B1560" s="50" t="s">
        <v>21</v>
      </c>
      <c r="C1560" s="50" t="s">
        <v>97</v>
      </c>
      <c r="D1560" s="50">
        <f>DATE(YEAR(OneWeekMtgRatesDataTable756[[#This Row],[asofdate]]),MONTH(OneWeekMtgRatesDataTable756[[#This Row],[asofdate]]),DAY(OneWeekMtgRatesDataTable756[[#This Row],[asofdate]]))</f>
        <v>40044</v>
      </c>
      <c r="E1560" s="50" t="s">
        <v>11</v>
      </c>
      <c r="F1560" s="57">
        <v>0.26874999999999999</v>
      </c>
    </row>
    <row r="1561" spans="2:6">
      <c r="B1561" s="50" t="s">
        <v>21</v>
      </c>
      <c r="C1561" s="50" t="s">
        <v>96</v>
      </c>
      <c r="D1561" s="50">
        <f>DATE(YEAR(OneWeekMtgRatesDataTable756[[#This Row],[asofdate]]),MONTH(OneWeekMtgRatesDataTable756[[#This Row],[asofdate]]),DAY(OneWeekMtgRatesDataTable756[[#This Row],[asofdate]]))</f>
        <v>40043</v>
      </c>
      <c r="E1561" s="50" t="s">
        <v>11</v>
      </c>
      <c r="F1561" s="57">
        <v>0.27250000000000002</v>
      </c>
    </row>
    <row r="1562" spans="2:6">
      <c r="B1562" s="50" t="s">
        <v>21</v>
      </c>
      <c r="C1562" s="50" t="s">
        <v>95</v>
      </c>
      <c r="D1562" s="50">
        <f>DATE(YEAR(OneWeekMtgRatesDataTable756[[#This Row],[asofdate]]),MONTH(OneWeekMtgRatesDataTable756[[#This Row],[asofdate]]),DAY(OneWeekMtgRatesDataTable756[[#This Row],[asofdate]]))</f>
        <v>40042</v>
      </c>
      <c r="E1562" s="50" t="s">
        <v>11</v>
      </c>
      <c r="F1562" s="57">
        <v>0.27875</v>
      </c>
    </row>
    <row r="1563" spans="2:6">
      <c r="B1563" s="50" t="s">
        <v>21</v>
      </c>
      <c r="C1563" s="50" t="s">
        <v>94</v>
      </c>
      <c r="D1563" s="50">
        <f>DATE(YEAR(OneWeekMtgRatesDataTable756[[#This Row],[asofdate]]),MONTH(OneWeekMtgRatesDataTable756[[#This Row],[asofdate]]),DAY(OneWeekMtgRatesDataTable756[[#This Row],[asofdate]]))</f>
        <v>40039</v>
      </c>
      <c r="E1563" s="50" t="s">
        <v>11</v>
      </c>
      <c r="F1563" s="57">
        <v>0.27250000000000002</v>
      </c>
    </row>
    <row r="1564" spans="2:6">
      <c r="B1564" s="50" t="s">
        <v>21</v>
      </c>
      <c r="C1564" s="50" t="s">
        <v>93</v>
      </c>
      <c r="D1564" s="50">
        <f>DATE(YEAR(OneWeekMtgRatesDataTable756[[#This Row],[asofdate]]),MONTH(OneWeekMtgRatesDataTable756[[#This Row],[asofdate]]),DAY(OneWeekMtgRatesDataTable756[[#This Row],[asofdate]]))</f>
        <v>40038</v>
      </c>
      <c r="E1564" s="50" t="s">
        <v>11</v>
      </c>
      <c r="F1564" s="57">
        <v>0.27281</v>
      </c>
    </row>
    <row r="1565" spans="2:6">
      <c r="B1565" s="50" t="s">
        <v>21</v>
      </c>
      <c r="C1565" s="50" t="s">
        <v>92</v>
      </c>
      <c r="D1565" s="50">
        <f>DATE(YEAR(OneWeekMtgRatesDataTable756[[#This Row],[asofdate]]),MONTH(OneWeekMtgRatesDataTable756[[#This Row],[asofdate]]),DAY(OneWeekMtgRatesDataTable756[[#This Row],[asofdate]]))</f>
        <v>40037</v>
      </c>
      <c r="E1565" s="50" t="s">
        <v>11</v>
      </c>
      <c r="F1565" s="57">
        <v>0.27406000000000003</v>
      </c>
    </row>
    <row r="1566" spans="2:6">
      <c r="B1566" s="50" t="s">
        <v>21</v>
      </c>
      <c r="C1566" s="50" t="s">
        <v>91</v>
      </c>
      <c r="D1566" s="50">
        <f>DATE(YEAR(OneWeekMtgRatesDataTable756[[#This Row],[asofdate]]),MONTH(OneWeekMtgRatesDataTable756[[#This Row],[asofdate]]),DAY(OneWeekMtgRatesDataTable756[[#This Row],[asofdate]]))</f>
        <v>40036</v>
      </c>
      <c r="E1566" s="50" t="s">
        <v>11</v>
      </c>
      <c r="F1566" s="57">
        <v>0.27450000000000002</v>
      </c>
    </row>
    <row r="1567" spans="2:6">
      <c r="B1567" s="50" t="s">
        <v>21</v>
      </c>
      <c r="C1567" s="50" t="s">
        <v>90</v>
      </c>
      <c r="D1567" s="50">
        <f>DATE(YEAR(OneWeekMtgRatesDataTable756[[#This Row],[asofdate]]),MONTH(OneWeekMtgRatesDataTable756[[#This Row],[asofdate]]),DAY(OneWeekMtgRatesDataTable756[[#This Row],[asofdate]]))</f>
        <v>40035</v>
      </c>
      <c r="E1567" s="50" t="s">
        <v>11</v>
      </c>
      <c r="F1567" s="57">
        <v>0.27500000000000002</v>
      </c>
    </row>
    <row r="1568" spans="2:6">
      <c r="B1568" s="50" t="s">
        <v>21</v>
      </c>
      <c r="C1568" s="50" t="s">
        <v>89</v>
      </c>
      <c r="D1568" s="50">
        <f>DATE(YEAR(OneWeekMtgRatesDataTable756[[#This Row],[asofdate]]),MONTH(OneWeekMtgRatesDataTable756[[#This Row],[asofdate]]),DAY(OneWeekMtgRatesDataTable756[[#This Row],[asofdate]]))</f>
        <v>40032</v>
      </c>
      <c r="E1568" s="50" t="s">
        <v>11</v>
      </c>
      <c r="F1568" s="57">
        <v>0.27562999999999999</v>
      </c>
    </row>
    <row r="1569" spans="2:6">
      <c r="B1569" s="50" t="s">
        <v>21</v>
      </c>
      <c r="C1569" s="50" t="s">
        <v>88</v>
      </c>
      <c r="D1569" s="50">
        <f>DATE(YEAR(OneWeekMtgRatesDataTable756[[#This Row],[asofdate]]),MONTH(OneWeekMtgRatesDataTable756[[#This Row],[asofdate]]),DAY(OneWeekMtgRatesDataTable756[[#This Row],[asofdate]]))</f>
        <v>40031</v>
      </c>
      <c r="E1569" s="50" t="s">
        <v>11</v>
      </c>
      <c r="F1569" s="57">
        <v>0.27562999999999999</v>
      </c>
    </row>
    <row r="1570" spans="2:6">
      <c r="B1570" s="50" t="s">
        <v>21</v>
      </c>
      <c r="C1570" s="50" t="s">
        <v>87</v>
      </c>
      <c r="D1570" s="50">
        <f>DATE(YEAR(OneWeekMtgRatesDataTable756[[#This Row],[asofdate]]),MONTH(OneWeekMtgRatesDataTable756[[#This Row],[asofdate]]),DAY(OneWeekMtgRatesDataTable756[[#This Row],[asofdate]]))</f>
        <v>40030</v>
      </c>
      <c r="E1570" s="50" t="s">
        <v>11</v>
      </c>
      <c r="F1570" s="57">
        <v>0.27562999999999999</v>
      </c>
    </row>
    <row r="1571" spans="2:6">
      <c r="B1571" s="50" t="s">
        <v>21</v>
      </c>
      <c r="C1571" s="50" t="s">
        <v>86</v>
      </c>
      <c r="D1571" s="50">
        <f>DATE(YEAR(OneWeekMtgRatesDataTable756[[#This Row],[asofdate]]),MONTH(OneWeekMtgRatesDataTable756[[#This Row],[asofdate]]),DAY(OneWeekMtgRatesDataTable756[[#This Row],[asofdate]]))</f>
        <v>40029</v>
      </c>
      <c r="E1571" s="50" t="s">
        <v>11</v>
      </c>
      <c r="F1571" s="57">
        <v>0.27562999999999999</v>
      </c>
    </row>
    <row r="1572" spans="2:6">
      <c r="B1572" s="50" t="s">
        <v>21</v>
      </c>
      <c r="C1572" s="50" t="s">
        <v>85</v>
      </c>
      <c r="D1572" s="50">
        <f>DATE(YEAR(OneWeekMtgRatesDataTable756[[#This Row],[asofdate]]),MONTH(OneWeekMtgRatesDataTable756[[#This Row],[asofdate]]),DAY(OneWeekMtgRatesDataTable756[[#This Row],[asofdate]]))</f>
        <v>40028</v>
      </c>
      <c r="E1572" s="50" t="s">
        <v>11</v>
      </c>
      <c r="F1572" s="57">
        <v>0.27562999999999999</v>
      </c>
    </row>
    <row r="1573" spans="2:6">
      <c r="B1573" s="50" t="s">
        <v>21</v>
      </c>
      <c r="C1573" s="50" t="s">
        <v>84</v>
      </c>
      <c r="D1573" s="50">
        <f>DATE(YEAR(OneWeekMtgRatesDataTable756[[#This Row],[asofdate]]),MONTH(OneWeekMtgRatesDataTable756[[#This Row],[asofdate]]),DAY(OneWeekMtgRatesDataTable756[[#This Row],[asofdate]]))</f>
        <v>40025</v>
      </c>
      <c r="E1573" s="50" t="s">
        <v>11</v>
      </c>
      <c r="F1573" s="57">
        <v>0.27938000000000002</v>
      </c>
    </row>
    <row r="1574" spans="2:6">
      <c r="B1574" s="50" t="s">
        <v>21</v>
      </c>
      <c r="C1574" s="50" t="s">
        <v>83</v>
      </c>
      <c r="D1574" s="50">
        <f>DATE(YEAR(OneWeekMtgRatesDataTable756[[#This Row],[asofdate]]),MONTH(OneWeekMtgRatesDataTable756[[#This Row],[asofdate]]),DAY(OneWeekMtgRatesDataTable756[[#This Row],[asofdate]]))</f>
        <v>40024</v>
      </c>
      <c r="E1574" s="50" t="s">
        <v>11</v>
      </c>
      <c r="F1574" s="57">
        <v>0.28062999999999999</v>
      </c>
    </row>
    <row r="1575" spans="2:6">
      <c r="B1575" s="50" t="s">
        <v>21</v>
      </c>
      <c r="C1575" s="50" t="s">
        <v>82</v>
      </c>
      <c r="D1575" s="50">
        <f>DATE(YEAR(OneWeekMtgRatesDataTable756[[#This Row],[asofdate]]),MONTH(OneWeekMtgRatesDataTable756[[#This Row],[asofdate]]),DAY(OneWeekMtgRatesDataTable756[[#This Row],[asofdate]]))</f>
        <v>40023</v>
      </c>
      <c r="E1575" s="50" t="s">
        <v>11</v>
      </c>
      <c r="F1575" s="57">
        <v>0.28499999999999998</v>
      </c>
    </row>
    <row r="1576" spans="2:6">
      <c r="B1576" s="50" t="s">
        <v>21</v>
      </c>
      <c r="C1576" s="50" t="s">
        <v>81</v>
      </c>
      <c r="D1576" s="50">
        <f>DATE(YEAR(OneWeekMtgRatesDataTable756[[#This Row],[asofdate]]),MONTH(OneWeekMtgRatesDataTable756[[#This Row],[asofdate]]),DAY(OneWeekMtgRatesDataTable756[[#This Row],[asofdate]]))</f>
        <v>40022</v>
      </c>
      <c r="E1576" s="50" t="s">
        <v>11</v>
      </c>
      <c r="F1576" s="57">
        <v>0.28499999999999998</v>
      </c>
    </row>
    <row r="1577" spans="2:6">
      <c r="B1577" s="50" t="s">
        <v>21</v>
      </c>
      <c r="C1577" s="50" t="s">
        <v>80</v>
      </c>
      <c r="D1577" s="50">
        <f>DATE(YEAR(OneWeekMtgRatesDataTable756[[#This Row],[asofdate]]),MONTH(OneWeekMtgRatesDataTable756[[#This Row],[asofdate]]),DAY(OneWeekMtgRatesDataTable756[[#This Row],[asofdate]]))</f>
        <v>40021</v>
      </c>
      <c r="E1577" s="50" t="s">
        <v>11</v>
      </c>
      <c r="F1577" s="57">
        <v>0.28749999999999998</v>
      </c>
    </row>
    <row r="1578" spans="2:6">
      <c r="B1578" s="50" t="s">
        <v>21</v>
      </c>
      <c r="C1578" s="50" t="s">
        <v>79</v>
      </c>
      <c r="D1578" s="50">
        <f>DATE(YEAR(OneWeekMtgRatesDataTable756[[#This Row],[asofdate]]),MONTH(OneWeekMtgRatesDataTable756[[#This Row],[asofdate]]),DAY(OneWeekMtgRatesDataTable756[[#This Row],[asofdate]]))</f>
        <v>40018</v>
      </c>
      <c r="E1578" s="50" t="s">
        <v>11</v>
      </c>
      <c r="F1578" s="57">
        <v>0.28499999999999998</v>
      </c>
    </row>
    <row r="1579" spans="2:6">
      <c r="B1579" s="50" t="s">
        <v>21</v>
      </c>
      <c r="C1579" s="50" t="s">
        <v>78</v>
      </c>
      <c r="D1579" s="50">
        <f>DATE(YEAR(OneWeekMtgRatesDataTable756[[#This Row],[asofdate]]),MONTH(OneWeekMtgRatesDataTable756[[#This Row],[asofdate]]),DAY(OneWeekMtgRatesDataTable756[[#This Row],[asofdate]]))</f>
        <v>40017</v>
      </c>
      <c r="E1579" s="50" t="s">
        <v>11</v>
      </c>
      <c r="F1579" s="57">
        <v>0.28499999999999998</v>
      </c>
    </row>
    <row r="1580" spans="2:6">
      <c r="B1580" s="50" t="s">
        <v>21</v>
      </c>
      <c r="C1580" s="50" t="s">
        <v>77</v>
      </c>
      <c r="D1580" s="50">
        <f>DATE(YEAR(OneWeekMtgRatesDataTable756[[#This Row],[asofdate]]),MONTH(OneWeekMtgRatesDataTable756[[#This Row],[asofdate]]),DAY(OneWeekMtgRatesDataTable756[[#This Row],[asofdate]]))</f>
        <v>40016</v>
      </c>
      <c r="E1580" s="50" t="s">
        <v>11</v>
      </c>
      <c r="F1580" s="57">
        <v>0.28499999999999998</v>
      </c>
    </row>
    <row r="1581" spans="2:6">
      <c r="B1581" s="50" t="s">
        <v>21</v>
      </c>
      <c r="C1581" s="50" t="s">
        <v>76</v>
      </c>
      <c r="D1581" s="50">
        <f>DATE(YEAR(OneWeekMtgRatesDataTable756[[#This Row],[asofdate]]),MONTH(OneWeekMtgRatesDataTable756[[#This Row],[asofdate]]),DAY(OneWeekMtgRatesDataTable756[[#This Row],[asofdate]]))</f>
        <v>40015</v>
      </c>
      <c r="E1581" s="50" t="s">
        <v>11</v>
      </c>
      <c r="F1581" s="57">
        <v>0.28499999999999998</v>
      </c>
    </row>
    <row r="1582" spans="2:6">
      <c r="B1582" s="50" t="s">
        <v>21</v>
      </c>
      <c r="C1582" s="50" t="s">
        <v>75</v>
      </c>
      <c r="D1582" s="50">
        <f>DATE(YEAR(OneWeekMtgRatesDataTable756[[#This Row],[asofdate]]),MONTH(OneWeekMtgRatesDataTable756[[#This Row],[asofdate]]),DAY(OneWeekMtgRatesDataTable756[[#This Row],[asofdate]]))</f>
        <v>40014</v>
      </c>
      <c r="E1582" s="50" t="s">
        <v>11</v>
      </c>
      <c r="F1582" s="57">
        <v>0.28625</v>
      </c>
    </row>
    <row r="1583" spans="2:6">
      <c r="B1583" s="50" t="s">
        <v>21</v>
      </c>
      <c r="C1583" s="50" t="s">
        <v>74</v>
      </c>
      <c r="D1583" s="50">
        <f>DATE(YEAR(OneWeekMtgRatesDataTable756[[#This Row],[asofdate]]),MONTH(OneWeekMtgRatesDataTable756[[#This Row],[asofdate]]),DAY(OneWeekMtgRatesDataTable756[[#This Row],[asofdate]]))</f>
        <v>40011</v>
      </c>
      <c r="E1583" s="50" t="s">
        <v>11</v>
      </c>
      <c r="F1583" s="57">
        <v>0.28625</v>
      </c>
    </row>
    <row r="1584" spans="2:6">
      <c r="B1584" s="50" t="s">
        <v>21</v>
      </c>
      <c r="C1584" s="50" t="s">
        <v>73</v>
      </c>
      <c r="D1584" s="50">
        <f>DATE(YEAR(OneWeekMtgRatesDataTable756[[#This Row],[asofdate]]),MONTH(OneWeekMtgRatesDataTable756[[#This Row],[asofdate]]),DAY(OneWeekMtgRatesDataTable756[[#This Row],[asofdate]]))</f>
        <v>40010</v>
      </c>
      <c r="E1584" s="50" t="s">
        <v>11</v>
      </c>
      <c r="F1584" s="57">
        <v>0.28875000000000001</v>
      </c>
    </row>
    <row r="1585" spans="2:6">
      <c r="B1585" s="50" t="s">
        <v>21</v>
      </c>
      <c r="C1585" s="50" t="s">
        <v>72</v>
      </c>
      <c r="D1585" s="50">
        <f>DATE(YEAR(OneWeekMtgRatesDataTable756[[#This Row],[asofdate]]),MONTH(OneWeekMtgRatesDataTable756[[#This Row],[asofdate]]),DAY(OneWeekMtgRatesDataTable756[[#This Row],[asofdate]]))</f>
        <v>40009</v>
      </c>
      <c r="E1585" s="50" t="s">
        <v>11</v>
      </c>
      <c r="F1585" s="57">
        <v>0.28749999999999998</v>
      </c>
    </row>
    <row r="1586" spans="2:6">
      <c r="B1586" s="50" t="s">
        <v>21</v>
      </c>
      <c r="C1586" s="50" t="s">
        <v>71</v>
      </c>
      <c r="D1586" s="50">
        <f>DATE(YEAR(OneWeekMtgRatesDataTable756[[#This Row],[asofdate]]),MONTH(OneWeekMtgRatesDataTable756[[#This Row],[asofdate]]),DAY(OneWeekMtgRatesDataTable756[[#This Row],[asofdate]]))</f>
        <v>40008</v>
      </c>
      <c r="E1586" s="50" t="s">
        <v>11</v>
      </c>
      <c r="F1586" s="57">
        <v>0.28749999999999998</v>
      </c>
    </row>
    <row r="1587" spans="2:6">
      <c r="B1587" s="50" t="s">
        <v>21</v>
      </c>
      <c r="C1587" s="50" t="s">
        <v>70</v>
      </c>
      <c r="D1587" s="50">
        <f>DATE(YEAR(OneWeekMtgRatesDataTable756[[#This Row],[asofdate]]),MONTH(OneWeekMtgRatesDataTable756[[#This Row],[asofdate]]),DAY(OneWeekMtgRatesDataTable756[[#This Row],[asofdate]]))</f>
        <v>40007</v>
      </c>
      <c r="E1587" s="50" t="s">
        <v>11</v>
      </c>
      <c r="F1587" s="57">
        <v>0.28813</v>
      </c>
    </row>
    <row r="1588" spans="2:6">
      <c r="B1588" s="50" t="s">
        <v>21</v>
      </c>
      <c r="C1588" s="50" t="s">
        <v>69</v>
      </c>
      <c r="D1588" s="50">
        <f>DATE(YEAR(OneWeekMtgRatesDataTable756[[#This Row],[asofdate]]),MONTH(OneWeekMtgRatesDataTable756[[#This Row],[asofdate]]),DAY(OneWeekMtgRatesDataTable756[[#This Row],[asofdate]]))</f>
        <v>40004</v>
      </c>
      <c r="E1588" s="50" t="s">
        <v>11</v>
      </c>
      <c r="F1588" s="57">
        <v>0.29249999999999998</v>
      </c>
    </row>
    <row r="1589" spans="2:6">
      <c r="B1589" s="50" t="s">
        <v>21</v>
      </c>
      <c r="C1589" s="50" t="s">
        <v>68</v>
      </c>
      <c r="D1589" s="50">
        <f>DATE(YEAR(OneWeekMtgRatesDataTable756[[#This Row],[asofdate]]),MONTH(OneWeekMtgRatesDataTable756[[#This Row],[asofdate]]),DAY(OneWeekMtgRatesDataTable756[[#This Row],[asofdate]]))</f>
        <v>40003</v>
      </c>
      <c r="E1589" s="50" t="s">
        <v>11</v>
      </c>
      <c r="F1589" s="57">
        <v>0.29625000000000001</v>
      </c>
    </row>
    <row r="1590" spans="2:6">
      <c r="B1590" s="50" t="s">
        <v>21</v>
      </c>
      <c r="C1590" s="50" t="s">
        <v>67</v>
      </c>
      <c r="D1590" s="50">
        <f>DATE(YEAR(OneWeekMtgRatesDataTable756[[#This Row],[asofdate]]),MONTH(OneWeekMtgRatesDataTable756[[#This Row],[asofdate]]),DAY(OneWeekMtgRatesDataTable756[[#This Row],[asofdate]]))</f>
        <v>40002</v>
      </c>
      <c r="E1590" s="50" t="s">
        <v>11</v>
      </c>
      <c r="F1590" s="57">
        <v>0.3</v>
      </c>
    </row>
    <row r="1591" spans="2:6">
      <c r="B1591" s="50" t="s">
        <v>21</v>
      </c>
      <c r="C1591" s="50" t="s">
        <v>66</v>
      </c>
      <c r="D1591" s="50">
        <f>DATE(YEAR(OneWeekMtgRatesDataTable756[[#This Row],[asofdate]]),MONTH(OneWeekMtgRatesDataTable756[[#This Row],[asofdate]]),DAY(OneWeekMtgRatesDataTable756[[#This Row],[asofdate]]))</f>
        <v>40001</v>
      </c>
      <c r="E1591" s="50" t="s">
        <v>11</v>
      </c>
      <c r="F1591" s="57">
        <v>0.30187999999999998</v>
      </c>
    </row>
    <row r="1592" spans="2:6">
      <c r="B1592" s="50" t="s">
        <v>21</v>
      </c>
      <c r="C1592" s="50" t="s">
        <v>65</v>
      </c>
      <c r="D1592" s="50">
        <f>DATE(YEAR(OneWeekMtgRatesDataTable756[[#This Row],[asofdate]]),MONTH(OneWeekMtgRatesDataTable756[[#This Row],[asofdate]]),DAY(OneWeekMtgRatesDataTable756[[#This Row],[asofdate]]))</f>
        <v>40000</v>
      </c>
      <c r="E1592" s="50" t="s">
        <v>11</v>
      </c>
      <c r="F1592" s="57">
        <v>0.30187999999999998</v>
      </c>
    </row>
    <row r="1593" spans="2:6">
      <c r="B1593" s="50" t="s">
        <v>21</v>
      </c>
      <c r="C1593" s="50" t="s">
        <v>64</v>
      </c>
      <c r="D1593" s="50">
        <f>DATE(YEAR(OneWeekMtgRatesDataTable756[[#This Row],[asofdate]]),MONTH(OneWeekMtgRatesDataTable756[[#This Row],[asofdate]]),DAY(OneWeekMtgRatesDataTable756[[#This Row],[asofdate]]))</f>
        <v>39996</v>
      </c>
      <c r="E1593" s="50" t="s">
        <v>11</v>
      </c>
      <c r="F1593" s="57">
        <v>0.30437999999999998</v>
      </c>
    </row>
    <row r="1594" spans="2:6">
      <c r="B1594" s="50" t="s">
        <v>21</v>
      </c>
      <c r="C1594" s="50" t="s">
        <v>63</v>
      </c>
      <c r="D1594" s="50">
        <f>DATE(YEAR(OneWeekMtgRatesDataTable756[[#This Row],[asofdate]]),MONTH(OneWeekMtgRatesDataTable756[[#This Row],[asofdate]]),DAY(OneWeekMtgRatesDataTable756[[#This Row],[asofdate]]))</f>
        <v>39995</v>
      </c>
      <c r="E1594" s="50" t="s">
        <v>11</v>
      </c>
      <c r="F1594" s="57">
        <v>0.30625000000000002</v>
      </c>
    </row>
    <row r="1595" spans="2:6">
      <c r="B1595" s="50" t="s">
        <v>21</v>
      </c>
      <c r="C1595" s="50" t="s">
        <v>62</v>
      </c>
      <c r="D1595" s="50">
        <f>DATE(YEAR(OneWeekMtgRatesDataTable756[[#This Row],[asofdate]]),MONTH(OneWeekMtgRatesDataTable756[[#This Row],[asofdate]]),DAY(OneWeekMtgRatesDataTable756[[#This Row],[asofdate]]))</f>
        <v>39994</v>
      </c>
      <c r="E1595" s="50" t="s">
        <v>11</v>
      </c>
      <c r="F1595" s="57">
        <v>0.30875000000000002</v>
      </c>
    </row>
    <row r="1596" spans="2:6">
      <c r="B1596" s="50" t="s">
        <v>21</v>
      </c>
      <c r="C1596" s="50" t="s">
        <v>61</v>
      </c>
      <c r="D1596" s="50">
        <f>DATE(YEAR(OneWeekMtgRatesDataTable756[[#This Row],[asofdate]]),MONTH(OneWeekMtgRatesDataTable756[[#This Row],[asofdate]]),DAY(OneWeekMtgRatesDataTable756[[#This Row],[asofdate]]))</f>
        <v>39993</v>
      </c>
      <c r="E1596" s="50" t="s">
        <v>11</v>
      </c>
      <c r="F1596" s="57">
        <v>0.30875000000000002</v>
      </c>
    </row>
    <row r="1597" spans="2:6">
      <c r="B1597" s="50" t="s">
        <v>21</v>
      </c>
      <c r="C1597" s="50" t="s">
        <v>60</v>
      </c>
      <c r="D1597" s="50">
        <f>DATE(YEAR(OneWeekMtgRatesDataTable756[[#This Row],[asofdate]]),MONTH(OneWeekMtgRatesDataTable756[[#This Row],[asofdate]]),DAY(OneWeekMtgRatesDataTable756[[#This Row],[asofdate]]))</f>
        <v>39990</v>
      </c>
      <c r="E1597" s="50" t="s">
        <v>11</v>
      </c>
      <c r="F1597" s="57">
        <v>0.31</v>
      </c>
    </row>
    <row r="1598" spans="2:6">
      <c r="B1598" s="50" t="s">
        <v>21</v>
      </c>
      <c r="C1598" s="50" t="s">
        <v>59</v>
      </c>
      <c r="D1598" s="50">
        <f>DATE(YEAR(OneWeekMtgRatesDataTable756[[#This Row],[asofdate]]),MONTH(OneWeekMtgRatesDataTable756[[#This Row],[asofdate]]),DAY(OneWeekMtgRatesDataTable756[[#This Row],[asofdate]]))</f>
        <v>39989</v>
      </c>
      <c r="E1598" s="50" t="s">
        <v>11</v>
      </c>
      <c r="F1598" s="57">
        <v>0.3075</v>
      </c>
    </row>
    <row r="1599" spans="2:6">
      <c r="B1599" s="50" t="s">
        <v>21</v>
      </c>
      <c r="C1599" s="50" t="s">
        <v>58</v>
      </c>
      <c r="D1599" s="50">
        <f>DATE(YEAR(OneWeekMtgRatesDataTable756[[#This Row],[asofdate]]),MONTH(OneWeekMtgRatesDataTable756[[#This Row],[asofdate]]),DAY(OneWeekMtgRatesDataTable756[[#This Row],[asofdate]]))</f>
        <v>39988</v>
      </c>
      <c r="E1599" s="50" t="s">
        <v>11</v>
      </c>
      <c r="F1599" s="57">
        <v>0.31125000000000003</v>
      </c>
    </row>
    <row r="1600" spans="2:6">
      <c r="B1600" s="50" t="s">
        <v>21</v>
      </c>
      <c r="C1600" s="50" t="s">
        <v>57</v>
      </c>
      <c r="D1600" s="50">
        <f>DATE(YEAR(OneWeekMtgRatesDataTable756[[#This Row],[asofdate]]),MONTH(OneWeekMtgRatesDataTable756[[#This Row],[asofdate]]),DAY(OneWeekMtgRatesDataTable756[[#This Row],[asofdate]]))</f>
        <v>39987</v>
      </c>
      <c r="E1600" s="50" t="s">
        <v>11</v>
      </c>
      <c r="F1600" s="57">
        <v>0.31374999999999997</v>
      </c>
    </row>
    <row r="1601" spans="2:6">
      <c r="B1601" s="50" t="s">
        <v>21</v>
      </c>
      <c r="C1601" s="50" t="s">
        <v>56</v>
      </c>
      <c r="D1601" s="50">
        <f>DATE(YEAR(OneWeekMtgRatesDataTable756[[#This Row],[asofdate]]),MONTH(OneWeekMtgRatesDataTable756[[#This Row],[asofdate]]),DAY(OneWeekMtgRatesDataTable756[[#This Row],[asofdate]]))</f>
        <v>39986</v>
      </c>
      <c r="E1601" s="50" t="s">
        <v>11</v>
      </c>
      <c r="F1601" s="57">
        <v>0.315</v>
      </c>
    </row>
    <row r="1602" spans="2:6">
      <c r="B1602" s="50" t="s">
        <v>21</v>
      </c>
      <c r="C1602" s="50" t="s">
        <v>55</v>
      </c>
      <c r="D1602" s="50">
        <f>DATE(YEAR(OneWeekMtgRatesDataTable756[[#This Row],[asofdate]]),MONTH(OneWeekMtgRatesDataTable756[[#This Row],[asofdate]]),DAY(OneWeekMtgRatesDataTable756[[#This Row],[asofdate]]))</f>
        <v>39983</v>
      </c>
      <c r="E1602" s="50" t="s">
        <v>11</v>
      </c>
      <c r="F1602" s="57">
        <v>0.31688</v>
      </c>
    </row>
    <row r="1603" spans="2:6">
      <c r="B1603" s="50" t="s">
        <v>21</v>
      </c>
      <c r="C1603" s="50" t="s">
        <v>54</v>
      </c>
      <c r="D1603" s="50">
        <f>DATE(YEAR(OneWeekMtgRatesDataTable756[[#This Row],[asofdate]]),MONTH(OneWeekMtgRatesDataTable756[[#This Row],[asofdate]]),DAY(OneWeekMtgRatesDataTable756[[#This Row],[asofdate]]))</f>
        <v>39982</v>
      </c>
      <c r="E1603" s="50" t="s">
        <v>11</v>
      </c>
      <c r="F1603" s="57">
        <v>0.315</v>
      </c>
    </row>
    <row r="1604" spans="2:6">
      <c r="B1604" s="50" t="s">
        <v>21</v>
      </c>
      <c r="C1604" s="50" t="s">
        <v>53</v>
      </c>
      <c r="D1604" s="50">
        <f>DATE(YEAR(OneWeekMtgRatesDataTable756[[#This Row],[asofdate]]),MONTH(OneWeekMtgRatesDataTable756[[#This Row],[asofdate]]),DAY(OneWeekMtgRatesDataTable756[[#This Row],[asofdate]]))</f>
        <v>39981</v>
      </c>
      <c r="E1604" s="50" t="s">
        <v>11</v>
      </c>
      <c r="F1604" s="57">
        <v>0.31313000000000002</v>
      </c>
    </row>
    <row r="1605" spans="2:6">
      <c r="B1605" s="50" t="s">
        <v>21</v>
      </c>
      <c r="C1605" s="50" t="s">
        <v>52</v>
      </c>
      <c r="D1605" s="50">
        <f>DATE(YEAR(OneWeekMtgRatesDataTable756[[#This Row],[asofdate]]),MONTH(OneWeekMtgRatesDataTable756[[#This Row],[asofdate]]),DAY(OneWeekMtgRatesDataTable756[[#This Row],[asofdate]]))</f>
        <v>39980</v>
      </c>
      <c r="E1605" s="50" t="s">
        <v>11</v>
      </c>
      <c r="F1605" s="57">
        <v>0.31813000000000002</v>
      </c>
    </row>
    <row r="1606" spans="2:6">
      <c r="B1606" s="50" t="s">
        <v>21</v>
      </c>
      <c r="C1606" s="50" t="s">
        <v>51</v>
      </c>
      <c r="D1606" s="50">
        <f>DATE(YEAR(OneWeekMtgRatesDataTable756[[#This Row],[asofdate]]),MONTH(OneWeekMtgRatesDataTable756[[#This Row],[asofdate]]),DAY(OneWeekMtgRatesDataTable756[[#This Row],[asofdate]]))</f>
        <v>39979</v>
      </c>
      <c r="E1606" s="50" t="s">
        <v>11</v>
      </c>
      <c r="F1606" s="57">
        <v>0.31874999999999998</v>
      </c>
    </row>
    <row r="1607" spans="2:6">
      <c r="B1607" s="50" t="s">
        <v>21</v>
      </c>
      <c r="C1607" s="50" t="s">
        <v>50</v>
      </c>
      <c r="D1607" s="50">
        <f>DATE(YEAR(OneWeekMtgRatesDataTable756[[#This Row],[asofdate]]),MONTH(OneWeekMtgRatesDataTable756[[#This Row],[asofdate]]),DAY(OneWeekMtgRatesDataTable756[[#This Row],[asofdate]]))</f>
        <v>39976</v>
      </c>
      <c r="E1607" s="50" t="s">
        <v>11</v>
      </c>
      <c r="F1607" s="57">
        <v>0.31813000000000002</v>
      </c>
    </row>
    <row r="1608" spans="2:6">
      <c r="B1608" s="50" t="s">
        <v>21</v>
      </c>
      <c r="C1608" s="50" t="s">
        <v>49</v>
      </c>
      <c r="D1608" s="50">
        <f>DATE(YEAR(OneWeekMtgRatesDataTable756[[#This Row],[asofdate]]),MONTH(OneWeekMtgRatesDataTable756[[#This Row],[asofdate]]),DAY(OneWeekMtgRatesDataTable756[[#This Row],[asofdate]]))</f>
        <v>39975</v>
      </c>
      <c r="E1608" s="50" t="s">
        <v>11</v>
      </c>
      <c r="F1608" s="57">
        <v>0.31938</v>
      </c>
    </row>
    <row r="1609" spans="2:6">
      <c r="B1609" s="50" t="s">
        <v>21</v>
      </c>
      <c r="C1609" s="50" t="s">
        <v>48</v>
      </c>
      <c r="D1609" s="50">
        <f>DATE(YEAR(OneWeekMtgRatesDataTable756[[#This Row],[asofdate]]),MONTH(OneWeekMtgRatesDataTable756[[#This Row],[asofdate]]),DAY(OneWeekMtgRatesDataTable756[[#This Row],[asofdate]]))</f>
        <v>39974</v>
      </c>
      <c r="E1609" s="50" t="s">
        <v>11</v>
      </c>
      <c r="F1609" s="57">
        <v>0.32063000000000003</v>
      </c>
    </row>
    <row r="1610" spans="2:6">
      <c r="B1610" s="50" t="s">
        <v>21</v>
      </c>
      <c r="C1610" s="50" t="s">
        <v>47</v>
      </c>
      <c r="D1610" s="50">
        <f>DATE(YEAR(OneWeekMtgRatesDataTable756[[#This Row],[asofdate]]),MONTH(OneWeekMtgRatesDataTable756[[#This Row],[asofdate]]),DAY(OneWeekMtgRatesDataTable756[[#This Row],[asofdate]]))</f>
        <v>39973</v>
      </c>
      <c r="E1610" s="50" t="s">
        <v>11</v>
      </c>
      <c r="F1610" s="57">
        <v>0.32124999999999998</v>
      </c>
    </row>
    <row r="1611" spans="2:6">
      <c r="B1611" s="50" t="s">
        <v>21</v>
      </c>
      <c r="C1611" s="50" t="s">
        <v>46</v>
      </c>
      <c r="D1611" s="50">
        <f>DATE(YEAR(OneWeekMtgRatesDataTable756[[#This Row],[asofdate]]),MONTH(OneWeekMtgRatesDataTable756[[#This Row],[asofdate]]),DAY(OneWeekMtgRatesDataTable756[[#This Row],[asofdate]]))</f>
        <v>39972</v>
      </c>
      <c r="E1611" s="50" t="s">
        <v>11</v>
      </c>
      <c r="F1611" s="57">
        <v>0.32312999999999997</v>
      </c>
    </row>
    <row r="1612" spans="2:6">
      <c r="B1612" s="50" t="s">
        <v>21</v>
      </c>
      <c r="C1612" s="50" t="s">
        <v>45</v>
      </c>
      <c r="D1612" s="50">
        <f>DATE(YEAR(OneWeekMtgRatesDataTable756[[#This Row],[asofdate]]),MONTH(OneWeekMtgRatesDataTable756[[#This Row],[asofdate]]),DAY(OneWeekMtgRatesDataTable756[[#This Row],[asofdate]]))</f>
        <v>39969</v>
      </c>
      <c r="E1612" s="50" t="s">
        <v>11</v>
      </c>
      <c r="F1612" s="57">
        <v>0.32063000000000003</v>
      </c>
    </row>
    <row r="1613" spans="2:6">
      <c r="B1613" s="50" t="s">
        <v>21</v>
      </c>
      <c r="C1613" s="50" t="s">
        <v>44</v>
      </c>
      <c r="D1613" s="50">
        <f>DATE(YEAR(OneWeekMtgRatesDataTable756[[#This Row],[asofdate]]),MONTH(OneWeekMtgRatesDataTable756[[#This Row],[asofdate]]),DAY(OneWeekMtgRatesDataTable756[[#This Row],[asofdate]]))</f>
        <v>39968</v>
      </c>
      <c r="E1613" s="50" t="s">
        <v>11</v>
      </c>
      <c r="F1613" s="57">
        <v>0.3175</v>
      </c>
    </row>
    <row r="1614" spans="2:6">
      <c r="B1614" s="50" t="s">
        <v>21</v>
      </c>
      <c r="C1614" s="50" t="s">
        <v>43</v>
      </c>
      <c r="D1614" s="50">
        <f>DATE(YEAR(OneWeekMtgRatesDataTable756[[#This Row],[asofdate]]),MONTH(OneWeekMtgRatesDataTable756[[#This Row],[asofdate]]),DAY(OneWeekMtgRatesDataTable756[[#This Row],[asofdate]]))</f>
        <v>39967</v>
      </c>
      <c r="E1614" s="50" t="s">
        <v>11</v>
      </c>
      <c r="F1614" s="57">
        <v>0.31874999999999998</v>
      </c>
    </row>
    <row r="1615" spans="2:6">
      <c r="B1615" s="50" t="s">
        <v>21</v>
      </c>
      <c r="C1615" s="50" t="s">
        <v>42</v>
      </c>
      <c r="D1615" s="50">
        <f>DATE(YEAR(OneWeekMtgRatesDataTable756[[#This Row],[asofdate]]),MONTH(OneWeekMtgRatesDataTable756[[#This Row],[asofdate]]),DAY(OneWeekMtgRatesDataTable756[[#This Row],[asofdate]]))</f>
        <v>39966</v>
      </c>
      <c r="E1615" s="50" t="s">
        <v>11</v>
      </c>
      <c r="F1615" s="57">
        <v>0.32</v>
      </c>
    </row>
    <row r="1616" spans="2:6">
      <c r="B1616" s="50" t="s">
        <v>21</v>
      </c>
      <c r="C1616" s="50" t="s">
        <v>41</v>
      </c>
      <c r="D1616" s="50">
        <f>DATE(YEAR(OneWeekMtgRatesDataTable756[[#This Row],[asofdate]]),MONTH(OneWeekMtgRatesDataTable756[[#This Row],[asofdate]]),DAY(OneWeekMtgRatesDataTable756[[#This Row],[asofdate]]))</f>
        <v>39965</v>
      </c>
      <c r="E1616" s="50" t="s">
        <v>11</v>
      </c>
      <c r="F1616" s="57">
        <v>0.32</v>
      </c>
    </row>
    <row r="1617" spans="2:6">
      <c r="B1617" s="50" t="s">
        <v>21</v>
      </c>
      <c r="C1617" s="50" t="s">
        <v>40</v>
      </c>
      <c r="D1617" s="50">
        <f>DATE(YEAR(OneWeekMtgRatesDataTable756[[#This Row],[asofdate]]),MONTH(OneWeekMtgRatesDataTable756[[#This Row],[asofdate]]),DAY(OneWeekMtgRatesDataTable756[[#This Row],[asofdate]]))</f>
        <v>39962</v>
      </c>
      <c r="E1617" s="50" t="s">
        <v>11</v>
      </c>
      <c r="F1617" s="57">
        <v>0.31624999999999998</v>
      </c>
    </row>
    <row r="1618" spans="2:6">
      <c r="B1618" s="50" t="s">
        <v>21</v>
      </c>
      <c r="C1618" s="50" t="s">
        <v>39</v>
      </c>
      <c r="D1618" s="50">
        <f>DATE(YEAR(OneWeekMtgRatesDataTable756[[#This Row],[asofdate]]),MONTH(OneWeekMtgRatesDataTable756[[#This Row],[asofdate]]),DAY(OneWeekMtgRatesDataTable756[[#This Row],[asofdate]]))</f>
        <v>39961</v>
      </c>
      <c r="E1618" s="50" t="s">
        <v>11</v>
      </c>
      <c r="F1618" s="57">
        <v>0.32</v>
      </c>
    </row>
    <row r="1619" spans="2:6">
      <c r="B1619" s="50" t="s">
        <v>21</v>
      </c>
      <c r="C1619" s="50" t="s">
        <v>38</v>
      </c>
      <c r="D1619" s="50">
        <f>DATE(YEAR(OneWeekMtgRatesDataTable756[[#This Row],[asofdate]]),MONTH(OneWeekMtgRatesDataTable756[[#This Row],[asofdate]]),DAY(OneWeekMtgRatesDataTable756[[#This Row],[asofdate]]))</f>
        <v>39960</v>
      </c>
      <c r="E1619" s="50" t="s">
        <v>11</v>
      </c>
      <c r="F1619" s="57">
        <v>0.31874999999999998</v>
      </c>
    </row>
    <row r="1620" spans="2:6">
      <c r="B1620" s="50" t="s">
        <v>21</v>
      </c>
      <c r="C1620" s="50" t="s">
        <v>37</v>
      </c>
      <c r="D1620" s="50">
        <f>DATE(YEAR(OneWeekMtgRatesDataTable756[[#This Row],[asofdate]]),MONTH(OneWeekMtgRatesDataTable756[[#This Row],[asofdate]]),DAY(OneWeekMtgRatesDataTable756[[#This Row],[asofdate]]))</f>
        <v>39959</v>
      </c>
      <c r="E1620" s="50" t="s">
        <v>11</v>
      </c>
      <c r="F1620" s="57">
        <v>0.31624999999999998</v>
      </c>
    </row>
    <row r="1621" spans="2:6">
      <c r="B1621" s="50" t="s">
        <v>21</v>
      </c>
      <c r="C1621" s="50" t="s">
        <v>36</v>
      </c>
      <c r="D1621" s="50">
        <f>DATE(YEAR(OneWeekMtgRatesDataTable756[[#This Row],[asofdate]]),MONTH(OneWeekMtgRatesDataTable756[[#This Row],[asofdate]]),DAY(OneWeekMtgRatesDataTable756[[#This Row],[asofdate]]))</f>
        <v>39955</v>
      </c>
      <c r="E1621" s="50" t="s">
        <v>11</v>
      </c>
      <c r="F1621" s="57">
        <v>0.31313000000000002</v>
      </c>
    </row>
    <row r="1622" spans="2:6">
      <c r="B1622" s="50" t="s">
        <v>21</v>
      </c>
      <c r="C1622" s="50" t="s">
        <v>35</v>
      </c>
      <c r="D1622" s="50">
        <f>DATE(YEAR(OneWeekMtgRatesDataTable756[[#This Row],[asofdate]]),MONTH(OneWeekMtgRatesDataTable756[[#This Row],[asofdate]]),DAY(OneWeekMtgRatesDataTable756[[#This Row],[asofdate]]))</f>
        <v>39954</v>
      </c>
      <c r="E1622" s="50" t="s">
        <v>11</v>
      </c>
      <c r="F1622" s="57">
        <v>0.30875000000000002</v>
      </c>
    </row>
    <row r="1623" spans="2:6">
      <c r="B1623" s="50" t="s">
        <v>21</v>
      </c>
      <c r="C1623" s="50" t="s">
        <v>34</v>
      </c>
      <c r="D1623" s="50">
        <f>DATE(YEAR(OneWeekMtgRatesDataTable756[[#This Row],[asofdate]]),MONTH(OneWeekMtgRatesDataTable756[[#This Row],[asofdate]]),DAY(OneWeekMtgRatesDataTable756[[#This Row],[asofdate]]))</f>
        <v>39953</v>
      </c>
      <c r="E1623" s="50" t="s">
        <v>11</v>
      </c>
      <c r="F1623" s="57">
        <v>0.30813000000000001</v>
      </c>
    </row>
    <row r="1624" spans="2:6">
      <c r="B1624" s="50" t="s">
        <v>21</v>
      </c>
      <c r="C1624" s="50" t="s">
        <v>33</v>
      </c>
      <c r="D1624" s="50">
        <f>DATE(YEAR(OneWeekMtgRatesDataTable756[[#This Row],[asofdate]]),MONTH(OneWeekMtgRatesDataTable756[[#This Row],[asofdate]]),DAY(OneWeekMtgRatesDataTable756[[#This Row],[asofdate]]))</f>
        <v>39952</v>
      </c>
      <c r="E1624" s="50" t="s">
        <v>11</v>
      </c>
      <c r="F1624" s="57">
        <v>0.30937999999999999</v>
      </c>
    </row>
    <row r="1625" spans="2:6">
      <c r="B1625" s="50" t="s">
        <v>21</v>
      </c>
      <c r="C1625" s="50" t="s">
        <v>32</v>
      </c>
      <c r="D1625" s="50">
        <f>DATE(YEAR(OneWeekMtgRatesDataTable756[[#This Row],[asofdate]]),MONTH(OneWeekMtgRatesDataTable756[[#This Row],[asofdate]]),DAY(OneWeekMtgRatesDataTable756[[#This Row],[asofdate]]))</f>
        <v>39951</v>
      </c>
      <c r="E1625" s="50" t="s">
        <v>11</v>
      </c>
      <c r="F1625" s="57">
        <v>0.31624999999999998</v>
      </c>
    </row>
    <row r="1626" spans="2:6">
      <c r="B1626" s="50" t="s">
        <v>21</v>
      </c>
      <c r="C1626" s="50" t="s">
        <v>31</v>
      </c>
      <c r="D1626" s="50">
        <f>DATE(YEAR(OneWeekMtgRatesDataTable756[[#This Row],[asofdate]]),MONTH(OneWeekMtgRatesDataTable756[[#This Row],[asofdate]]),DAY(OneWeekMtgRatesDataTable756[[#This Row],[asofdate]]))</f>
        <v>39948</v>
      </c>
      <c r="E1626" s="50" t="s">
        <v>11</v>
      </c>
      <c r="F1626" s="57">
        <v>0.32812999999999998</v>
      </c>
    </row>
    <row r="1627" spans="2:6">
      <c r="B1627" s="50" t="s">
        <v>21</v>
      </c>
      <c r="C1627" s="50" t="s">
        <v>30</v>
      </c>
      <c r="D1627" s="50">
        <f>DATE(YEAR(OneWeekMtgRatesDataTable756[[#This Row],[asofdate]]),MONTH(OneWeekMtgRatesDataTable756[[#This Row],[asofdate]]),DAY(OneWeekMtgRatesDataTable756[[#This Row],[asofdate]]))</f>
        <v>39947</v>
      </c>
      <c r="E1627" s="50" t="s">
        <v>11</v>
      </c>
      <c r="F1627" s="57">
        <v>0.33500000000000002</v>
      </c>
    </row>
    <row r="1628" spans="2:6">
      <c r="B1628" s="50" t="s">
        <v>21</v>
      </c>
      <c r="C1628" s="50" t="s">
        <v>29</v>
      </c>
      <c r="D1628" s="50">
        <f>DATE(YEAR(OneWeekMtgRatesDataTable756[[#This Row],[asofdate]]),MONTH(OneWeekMtgRatesDataTable756[[#This Row],[asofdate]]),DAY(OneWeekMtgRatesDataTable756[[#This Row],[asofdate]]))</f>
        <v>39946</v>
      </c>
      <c r="E1628" s="50" t="s">
        <v>11</v>
      </c>
      <c r="F1628" s="57">
        <v>0.34438000000000002</v>
      </c>
    </row>
    <row r="1629" spans="2:6">
      <c r="B1629" s="50" t="s">
        <v>21</v>
      </c>
      <c r="C1629" s="50" t="s">
        <v>28</v>
      </c>
      <c r="D1629" s="50">
        <f>DATE(YEAR(OneWeekMtgRatesDataTable756[[#This Row],[asofdate]]),MONTH(OneWeekMtgRatesDataTable756[[#This Row],[asofdate]]),DAY(OneWeekMtgRatesDataTable756[[#This Row],[asofdate]]))</f>
        <v>39945</v>
      </c>
      <c r="E1629" s="50" t="s">
        <v>11</v>
      </c>
      <c r="F1629" s="57">
        <v>0.34875</v>
      </c>
    </row>
    <row r="1630" spans="2:6">
      <c r="B1630" s="50" t="s">
        <v>21</v>
      </c>
      <c r="C1630" s="50" t="s">
        <v>27</v>
      </c>
      <c r="D1630" s="50">
        <f>DATE(YEAR(OneWeekMtgRatesDataTable756[[#This Row],[asofdate]]),MONTH(OneWeekMtgRatesDataTable756[[#This Row],[asofdate]]),DAY(OneWeekMtgRatesDataTable756[[#This Row],[asofdate]]))</f>
        <v>39944</v>
      </c>
      <c r="E1630" s="50" t="s">
        <v>11</v>
      </c>
      <c r="F1630" s="57">
        <v>0.35375000000000001</v>
      </c>
    </row>
    <row r="1631" spans="2:6">
      <c r="B1631" s="50" t="s">
        <v>21</v>
      </c>
      <c r="C1631" s="50" t="s">
        <v>26</v>
      </c>
      <c r="D1631" s="50">
        <f>DATE(YEAR(OneWeekMtgRatesDataTable756[[#This Row],[asofdate]]),MONTH(OneWeekMtgRatesDataTable756[[#This Row],[asofdate]]),DAY(OneWeekMtgRatesDataTable756[[#This Row],[asofdate]]))</f>
        <v>39941</v>
      </c>
      <c r="E1631" s="50" t="s">
        <v>11</v>
      </c>
      <c r="F1631" s="57">
        <v>0.36749999999999999</v>
      </c>
    </row>
    <row r="1632" spans="2:6">
      <c r="B1632" s="50" t="s">
        <v>21</v>
      </c>
      <c r="C1632" s="50" t="s">
        <v>25</v>
      </c>
      <c r="D1632" s="50">
        <f>DATE(YEAR(OneWeekMtgRatesDataTable756[[#This Row],[asofdate]]),MONTH(OneWeekMtgRatesDataTable756[[#This Row],[asofdate]]),DAY(OneWeekMtgRatesDataTable756[[#This Row],[asofdate]]))</f>
        <v>39940</v>
      </c>
      <c r="E1632" s="50" t="s">
        <v>11</v>
      </c>
      <c r="F1632" s="57">
        <v>0.38188</v>
      </c>
    </row>
    <row r="1633" spans="2:6">
      <c r="B1633" s="50" t="s">
        <v>21</v>
      </c>
      <c r="C1633" s="50" t="s">
        <v>1650</v>
      </c>
      <c r="D1633" s="50">
        <f>DATE(YEAR(OneWeekMtgRatesDataTable756[[#This Row],[asofdate]]),MONTH(OneWeekMtgRatesDataTable756[[#This Row],[asofdate]]),DAY(OneWeekMtgRatesDataTable756[[#This Row],[asofdate]]))</f>
        <v>39939</v>
      </c>
      <c r="E1633" s="50" t="s">
        <v>11</v>
      </c>
      <c r="F1633" s="57">
        <v>0.39500000000000002</v>
      </c>
    </row>
    <row r="1634" spans="2:6">
      <c r="B1634" s="50" t="s">
        <v>21</v>
      </c>
      <c r="C1634" s="50" t="s">
        <v>1651</v>
      </c>
      <c r="D1634" s="50">
        <f>DATE(YEAR(OneWeekMtgRatesDataTable756[[#This Row],[asofdate]]),MONTH(OneWeekMtgRatesDataTable756[[#This Row],[asofdate]]),DAY(OneWeekMtgRatesDataTable756[[#This Row],[asofdate]]))</f>
        <v>39938</v>
      </c>
      <c r="E1634" s="50" t="s">
        <v>11</v>
      </c>
      <c r="F1634" s="57">
        <v>0.40125</v>
      </c>
    </row>
    <row r="1635" spans="2:6">
      <c r="B1635" s="50" t="s">
        <v>21</v>
      </c>
      <c r="C1635" s="50" t="s">
        <v>1652</v>
      </c>
      <c r="D1635" s="50">
        <f>DATE(YEAR(OneWeekMtgRatesDataTable756[[#This Row],[asofdate]]),MONTH(OneWeekMtgRatesDataTable756[[#This Row],[asofdate]]),DAY(OneWeekMtgRatesDataTable756[[#This Row],[asofdate]]))</f>
        <v>39937</v>
      </c>
      <c r="E1635" s="50" t="s">
        <v>11</v>
      </c>
      <c r="F1635" s="57">
        <v>0.41438000000000003</v>
      </c>
    </row>
    <row r="1636" spans="2:6">
      <c r="B1636" s="50" t="s">
        <v>21</v>
      </c>
      <c r="C1636" s="50" t="s">
        <v>1653</v>
      </c>
      <c r="D1636" s="50">
        <f>DATE(YEAR(OneWeekMtgRatesDataTable756[[#This Row],[asofdate]]),MONTH(OneWeekMtgRatesDataTable756[[#This Row],[asofdate]]),DAY(OneWeekMtgRatesDataTable756[[#This Row],[asofdate]]))</f>
        <v>39934</v>
      </c>
      <c r="E1636" s="50" t="s">
        <v>11</v>
      </c>
      <c r="F1636" s="57">
        <v>0.41438000000000003</v>
      </c>
    </row>
    <row r="1637" spans="2:6">
      <c r="B1637" s="50" t="s">
        <v>21</v>
      </c>
      <c r="C1637" s="50" t="s">
        <v>1654</v>
      </c>
      <c r="D1637" s="50">
        <f>DATE(YEAR(OneWeekMtgRatesDataTable756[[#This Row],[asofdate]]),MONTH(OneWeekMtgRatesDataTable756[[#This Row],[asofdate]]),DAY(OneWeekMtgRatesDataTable756[[#This Row],[asofdate]]))</f>
        <v>39933</v>
      </c>
      <c r="E1637" s="50" t="s">
        <v>11</v>
      </c>
      <c r="F1637" s="57">
        <v>0.41125</v>
      </c>
    </row>
    <row r="1638" spans="2:6">
      <c r="B1638" s="50" t="s">
        <v>21</v>
      </c>
      <c r="C1638" s="50" t="s">
        <v>1655</v>
      </c>
      <c r="D1638" s="50">
        <f>DATE(YEAR(OneWeekMtgRatesDataTable756[[#This Row],[asofdate]]),MONTH(OneWeekMtgRatesDataTable756[[#This Row],[asofdate]]),DAY(OneWeekMtgRatesDataTable756[[#This Row],[asofdate]]))</f>
        <v>39932</v>
      </c>
      <c r="E1638" s="50" t="s">
        <v>11</v>
      </c>
      <c r="F1638" s="57">
        <v>0.41813</v>
      </c>
    </row>
    <row r="1639" spans="2:6">
      <c r="B1639" s="50" t="s">
        <v>21</v>
      </c>
      <c r="C1639" s="50" t="s">
        <v>1656</v>
      </c>
      <c r="D1639" s="50">
        <f>DATE(YEAR(OneWeekMtgRatesDataTable756[[#This Row],[asofdate]]),MONTH(OneWeekMtgRatesDataTable756[[#This Row],[asofdate]]),DAY(OneWeekMtgRatesDataTable756[[#This Row],[asofdate]]))</f>
        <v>39931</v>
      </c>
      <c r="E1639" s="50" t="s">
        <v>11</v>
      </c>
      <c r="F1639" s="57">
        <v>0.42749999999999999</v>
      </c>
    </row>
    <row r="1640" spans="2:6">
      <c r="B1640" s="50" t="s">
        <v>21</v>
      </c>
      <c r="C1640" s="50" t="s">
        <v>1657</v>
      </c>
      <c r="D1640" s="50">
        <f>DATE(YEAR(OneWeekMtgRatesDataTable756[[#This Row],[asofdate]]),MONTH(OneWeekMtgRatesDataTable756[[#This Row],[asofdate]]),DAY(OneWeekMtgRatesDataTable756[[#This Row],[asofdate]]))</f>
        <v>39930</v>
      </c>
      <c r="E1640" s="50" t="s">
        <v>11</v>
      </c>
      <c r="F1640" s="57">
        <v>0.4325</v>
      </c>
    </row>
    <row r="1641" spans="2:6">
      <c r="B1641" s="50" t="s">
        <v>21</v>
      </c>
      <c r="C1641" s="50" t="s">
        <v>1658</v>
      </c>
      <c r="D1641" s="50">
        <f>DATE(YEAR(OneWeekMtgRatesDataTable756[[#This Row],[asofdate]]),MONTH(OneWeekMtgRatesDataTable756[[#This Row],[asofdate]]),DAY(OneWeekMtgRatesDataTable756[[#This Row],[asofdate]]))</f>
        <v>39927</v>
      </c>
      <c r="E1641" s="50" t="s">
        <v>11</v>
      </c>
      <c r="F1641" s="57">
        <v>0.435</v>
      </c>
    </row>
    <row r="1642" spans="2:6">
      <c r="B1642" s="50" t="s">
        <v>21</v>
      </c>
      <c r="C1642" s="50" t="s">
        <v>1659</v>
      </c>
      <c r="D1642" s="50">
        <f>DATE(YEAR(OneWeekMtgRatesDataTable756[[#This Row],[asofdate]]),MONTH(OneWeekMtgRatesDataTable756[[#This Row],[asofdate]]),DAY(OneWeekMtgRatesDataTable756[[#This Row],[asofdate]]))</f>
        <v>39926</v>
      </c>
      <c r="E1642" s="50" t="s">
        <v>11</v>
      </c>
      <c r="F1642" s="57">
        <v>0.4375</v>
      </c>
    </row>
    <row r="1643" spans="2:6">
      <c r="B1643" s="50" t="s">
        <v>21</v>
      </c>
      <c r="C1643" s="50" t="s">
        <v>1660</v>
      </c>
      <c r="D1643" s="50">
        <f>DATE(YEAR(OneWeekMtgRatesDataTable756[[#This Row],[asofdate]]),MONTH(OneWeekMtgRatesDataTable756[[#This Row],[asofdate]]),DAY(OneWeekMtgRatesDataTable756[[#This Row],[asofdate]]))</f>
        <v>39925</v>
      </c>
      <c r="E1643" s="50" t="s">
        <v>11</v>
      </c>
      <c r="F1643" s="57">
        <v>0.44</v>
      </c>
    </row>
    <row r="1644" spans="2:6">
      <c r="B1644" s="50" t="s">
        <v>21</v>
      </c>
      <c r="C1644" s="50" t="s">
        <v>1661</v>
      </c>
      <c r="D1644" s="50">
        <f>DATE(YEAR(OneWeekMtgRatesDataTable756[[#This Row],[asofdate]]),MONTH(OneWeekMtgRatesDataTable756[[#This Row],[asofdate]]),DAY(OneWeekMtgRatesDataTable756[[#This Row],[asofdate]]))</f>
        <v>39924</v>
      </c>
      <c r="E1644" s="50" t="s">
        <v>11</v>
      </c>
      <c r="F1644" s="57">
        <v>0.44124999999999998</v>
      </c>
    </row>
    <row r="1645" spans="2:6">
      <c r="B1645" s="50" t="s">
        <v>21</v>
      </c>
      <c r="C1645" s="50" t="s">
        <v>1662</v>
      </c>
      <c r="D1645" s="50">
        <f>DATE(YEAR(OneWeekMtgRatesDataTable756[[#This Row],[asofdate]]),MONTH(OneWeekMtgRatesDataTable756[[#This Row],[asofdate]]),DAY(OneWeekMtgRatesDataTable756[[#This Row],[asofdate]]))</f>
        <v>39923</v>
      </c>
      <c r="E1645" s="50" t="s">
        <v>11</v>
      </c>
      <c r="F1645" s="57">
        <v>0.4425</v>
      </c>
    </row>
    <row r="1646" spans="2:6">
      <c r="B1646" s="50" t="s">
        <v>21</v>
      </c>
      <c r="C1646" s="50" t="s">
        <v>1663</v>
      </c>
      <c r="D1646" s="50">
        <f>DATE(YEAR(OneWeekMtgRatesDataTable756[[#This Row],[asofdate]]),MONTH(OneWeekMtgRatesDataTable756[[#This Row],[asofdate]]),DAY(OneWeekMtgRatesDataTable756[[#This Row],[asofdate]]))</f>
        <v>39920</v>
      </c>
      <c r="E1646" s="50" t="s">
        <v>11</v>
      </c>
      <c r="F1646" s="57">
        <v>0.44750000000000001</v>
      </c>
    </row>
    <row r="1647" spans="2:6">
      <c r="B1647" s="50" t="s">
        <v>21</v>
      </c>
      <c r="C1647" s="50" t="s">
        <v>1664</v>
      </c>
      <c r="D1647" s="50">
        <f>DATE(YEAR(OneWeekMtgRatesDataTable756[[#This Row],[asofdate]]),MONTH(OneWeekMtgRatesDataTable756[[#This Row],[asofdate]]),DAY(OneWeekMtgRatesDataTable756[[#This Row],[asofdate]]))</f>
        <v>39919</v>
      </c>
      <c r="E1647" s="50" t="s">
        <v>11</v>
      </c>
      <c r="F1647" s="57">
        <v>0.44688</v>
      </c>
    </row>
    <row r="1648" spans="2:6">
      <c r="B1648" s="50" t="s">
        <v>21</v>
      </c>
      <c r="C1648" s="50" t="s">
        <v>1665</v>
      </c>
      <c r="D1648" s="50">
        <f>DATE(YEAR(OneWeekMtgRatesDataTable756[[#This Row],[asofdate]]),MONTH(OneWeekMtgRatesDataTable756[[#This Row],[asofdate]]),DAY(OneWeekMtgRatesDataTable756[[#This Row],[asofdate]]))</f>
        <v>39918</v>
      </c>
      <c r="E1648" s="50" t="s">
        <v>11</v>
      </c>
      <c r="F1648" s="57">
        <v>0.44812999999999997</v>
      </c>
    </row>
    <row r="1649" spans="2:6">
      <c r="B1649" s="50" t="s">
        <v>21</v>
      </c>
      <c r="C1649" s="50" t="s">
        <v>1666</v>
      </c>
      <c r="D1649" s="50">
        <f>DATE(YEAR(OneWeekMtgRatesDataTable756[[#This Row],[asofdate]]),MONTH(OneWeekMtgRatesDataTable756[[#This Row],[asofdate]]),DAY(OneWeekMtgRatesDataTable756[[#This Row],[asofdate]]))</f>
        <v>39917</v>
      </c>
      <c r="E1649" s="50" t="s">
        <v>11</v>
      </c>
      <c r="F1649" s="57">
        <v>0.45250000000000001</v>
      </c>
    </row>
    <row r="1650" spans="2:6">
      <c r="B1650" s="50" t="s">
        <v>21</v>
      </c>
      <c r="C1650" s="50" t="s">
        <v>1667</v>
      </c>
      <c r="D1650" s="50">
        <f>DATE(YEAR(OneWeekMtgRatesDataTable756[[#This Row],[asofdate]]),MONTH(OneWeekMtgRatesDataTable756[[#This Row],[asofdate]]),DAY(OneWeekMtgRatesDataTable756[[#This Row],[asofdate]]))</f>
        <v>39916</v>
      </c>
      <c r="E1650" s="50" t="s">
        <v>11</v>
      </c>
      <c r="F1650" s="57">
        <v>0.45124999999999998</v>
      </c>
    </row>
    <row r="1651" spans="2:6">
      <c r="B1651" s="50" t="s">
        <v>21</v>
      </c>
      <c r="C1651" s="50" t="s">
        <v>1668</v>
      </c>
      <c r="D1651" s="50">
        <f>DATE(YEAR(OneWeekMtgRatesDataTable756[[#This Row],[asofdate]]),MONTH(OneWeekMtgRatesDataTable756[[#This Row],[asofdate]]),DAY(OneWeekMtgRatesDataTable756[[#This Row],[asofdate]]))</f>
        <v>39912</v>
      </c>
      <c r="E1651" s="50" t="s">
        <v>11</v>
      </c>
      <c r="F1651" s="57">
        <v>0.45124999999999998</v>
      </c>
    </row>
    <row r="1652" spans="2:6">
      <c r="B1652" s="50" t="s">
        <v>21</v>
      </c>
      <c r="C1652" s="50" t="s">
        <v>1669</v>
      </c>
      <c r="D1652" s="50">
        <f>DATE(YEAR(OneWeekMtgRatesDataTable756[[#This Row],[asofdate]]),MONTH(OneWeekMtgRatesDataTable756[[#This Row],[asofdate]]),DAY(OneWeekMtgRatesDataTable756[[#This Row],[asofdate]]))</f>
        <v>39911</v>
      </c>
      <c r="E1652" s="50" t="s">
        <v>11</v>
      </c>
      <c r="F1652" s="57">
        <v>0.46</v>
      </c>
    </row>
    <row r="1653" spans="2:6">
      <c r="B1653" s="50" t="s">
        <v>21</v>
      </c>
      <c r="C1653" s="50" t="s">
        <v>1670</v>
      </c>
      <c r="D1653" s="50">
        <f>DATE(YEAR(OneWeekMtgRatesDataTable756[[#This Row],[asofdate]]),MONTH(OneWeekMtgRatesDataTable756[[#This Row],[asofdate]]),DAY(OneWeekMtgRatesDataTable756[[#This Row],[asofdate]]))</f>
        <v>39910</v>
      </c>
      <c r="E1653" s="50" t="s">
        <v>11</v>
      </c>
      <c r="F1653" s="57">
        <v>0.46938000000000002</v>
      </c>
    </row>
    <row r="1654" spans="2:6">
      <c r="B1654" s="50" t="s">
        <v>21</v>
      </c>
      <c r="C1654" s="50" t="s">
        <v>1671</v>
      </c>
      <c r="D1654" s="50">
        <f>DATE(YEAR(OneWeekMtgRatesDataTable756[[#This Row],[asofdate]]),MONTH(OneWeekMtgRatesDataTable756[[#This Row],[asofdate]]),DAY(OneWeekMtgRatesDataTable756[[#This Row],[asofdate]]))</f>
        <v>39909</v>
      </c>
      <c r="E1654" s="50" t="s">
        <v>11</v>
      </c>
      <c r="F1654" s="57">
        <v>0.47563</v>
      </c>
    </row>
    <row r="1655" spans="2:6">
      <c r="B1655" s="50" t="s">
        <v>21</v>
      </c>
      <c r="C1655" s="50" t="s">
        <v>1672</v>
      </c>
      <c r="D1655" s="50">
        <f>DATE(YEAR(OneWeekMtgRatesDataTable756[[#This Row],[asofdate]]),MONTH(OneWeekMtgRatesDataTable756[[#This Row],[asofdate]]),DAY(OneWeekMtgRatesDataTable756[[#This Row],[asofdate]]))</f>
        <v>39906</v>
      </c>
      <c r="E1655" s="50" t="s">
        <v>11</v>
      </c>
      <c r="F1655" s="57">
        <v>0.47813</v>
      </c>
    </row>
    <row r="1656" spans="2:6">
      <c r="B1656" s="50" t="s">
        <v>21</v>
      </c>
      <c r="C1656" s="50" t="s">
        <v>1673</v>
      </c>
      <c r="D1656" s="50">
        <f>DATE(YEAR(OneWeekMtgRatesDataTable756[[#This Row],[asofdate]]),MONTH(OneWeekMtgRatesDataTable756[[#This Row],[asofdate]]),DAY(OneWeekMtgRatesDataTable756[[#This Row],[asofdate]]))</f>
        <v>39905</v>
      </c>
      <c r="E1656" s="50" t="s">
        <v>11</v>
      </c>
      <c r="F1656" s="57">
        <v>0.48937999999999998</v>
      </c>
    </row>
    <row r="1657" spans="2:6">
      <c r="B1657" s="50" t="s">
        <v>21</v>
      </c>
      <c r="C1657" s="50" t="s">
        <v>1674</v>
      </c>
      <c r="D1657" s="50">
        <f>DATE(YEAR(OneWeekMtgRatesDataTable756[[#This Row],[asofdate]]),MONTH(OneWeekMtgRatesDataTable756[[#This Row],[asofdate]]),DAY(OneWeekMtgRatesDataTable756[[#This Row],[asofdate]]))</f>
        <v>39904</v>
      </c>
      <c r="E1657" s="50" t="s">
        <v>11</v>
      </c>
      <c r="F1657" s="57">
        <v>0.495</v>
      </c>
    </row>
    <row r="1658" spans="2:6">
      <c r="B1658" s="50" t="s">
        <v>21</v>
      </c>
      <c r="C1658" s="50" t="s">
        <v>1675</v>
      </c>
      <c r="D1658" s="50">
        <f>DATE(YEAR(OneWeekMtgRatesDataTable756[[#This Row],[asofdate]]),MONTH(OneWeekMtgRatesDataTable756[[#This Row],[asofdate]]),DAY(OneWeekMtgRatesDataTable756[[#This Row],[asofdate]]))</f>
        <v>39903</v>
      </c>
      <c r="E1658" s="50" t="s">
        <v>11</v>
      </c>
      <c r="F1658" s="57">
        <v>0.50063000000000002</v>
      </c>
    </row>
    <row r="1659" spans="2:6">
      <c r="B1659" s="50" t="s">
        <v>21</v>
      </c>
      <c r="C1659" s="50" t="s">
        <v>1676</v>
      </c>
      <c r="D1659" s="50">
        <f>DATE(YEAR(OneWeekMtgRatesDataTable756[[#This Row],[asofdate]]),MONTH(OneWeekMtgRatesDataTable756[[#This Row],[asofdate]]),DAY(OneWeekMtgRatesDataTable756[[#This Row],[asofdate]]))</f>
        <v>39902</v>
      </c>
      <c r="E1659" s="50" t="s">
        <v>11</v>
      </c>
      <c r="F1659" s="57">
        <v>0.50875000000000004</v>
      </c>
    </row>
    <row r="1660" spans="2:6">
      <c r="B1660" s="50" t="s">
        <v>21</v>
      </c>
      <c r="C1660" s="50" t="s">
        <v>1677</v>
      </c>
      <c r="D1660" s="50">
        <f>DATE(YEAR(OneWeekMtgRatesDataTable756[[#This Row],[asofdate]]),MONTH(OneWeekMtgRatesDataTable756[[#This Row],[asofdate]]),DAY(OneWeekMtgRatesDataTable756[[#This Row],[asofdate]]))</f>
        <v>39899</v>
      </c>
      <c r="E1660" s="50" t="s">
        <v>11</v>
      </c>
      <c r="F1660" s="57">
        <v>0.51812999999999998</v>
      </c>
    </row>
    <row r="1661" spans="2:6">
      <c r="B1661" s="50" t="s">
        <v>21</v>
      </c>
      <c r="C1661" s="50" t="s">
        <v>1678</v>
      </c>
      <c r="D1661" s="50">
        <f>DATE(YEAR(OneWeekMtgRatesDataTable756[[#This Row],[asofdate]]),MONTH(OneWeekMtgRatesDataTable756[[#This Row],[asofdate]]),DAY(OneWeekMtgRatesDataTable756[[#This Row],[asofdate]]))</f>
        <v>39898</v>
      </c>
      <c r="E1661" s="50" t="s">
        <v>11</v>
      </c>
      <c r="F1661" s="57">
        <v>0.52249999999999996</v>
      </c>
    </row>
    <row r="1662" spans="2:6">
      <c r="B1662" s="50" t="s">
        <v>21</v>
      </c>
      <c r="C1662" s="50" t="s">
        <v>1679</v>
      </c>
      <c r="D1662" s="50">
        <f>DATE(YEAR(OneWeekMtgRatesDataTable756[[#This Row],[asofdate]]),MONTH(OneWeekMtgRatesDataTable756[[#This Row],[asofdate]]),DAY(OneWeekMtgRatesDataTable756[[#This Row],[asofdate]]))</f>
        <v>39897</v>
      </c>
      <c r="E1662" s="50" t="s">
        <v>11</v>
      </c>
      <c r="F1662" s="57">
        <v>0.52</v>
      </c>
    </row>
    <row r="1663" spans="2:6">
      <c r="B1663" s="50" t="s">
        <v>21</v>
      </c>
      <c r="C1663" s="50" t="s">
        <v>1680</v>
      </c>
      <c r="D1663" s="50">
        <f>DATE(YEAR(OneWeekMtgRatesDataTable756[[#This Row],[asofdate]]),MONTH(OneWeekMtgRatesDataTable756[[#This Row],[asofdate]]),DAY(OneWeekMtgRatesDataTable756[[#This Row],[asofdate]]))</f>
        <v>39896</v>
      </c>
      <c r="E1663" s="50" t="s">
        <v>11</v>
      </c>
      <c r="F1663" s="57">
        <v>0.52093999999999996</v>
      </c>
    </row>
    <row r="1664" spans="2:6">
      <c r="B1664" s="50" t="s">
        <v>21</v>
      </c>
      <c r="C1664" s="50" t="s">
        <v>1681</v>
      </c>
      <c r="D1664" s="50">
        <f>DATE(YEAR(OneWeekMtgRatesDataTable756[[#This Row],[asofdate]]),MONTH(OneWeekMtgRatesDataTable756[[#This Row],[asofdate]]),DAY(OneWeekMtgRatesDataTable756[[#This Row],[asofdate]]))</f>
        <v>39895</v>
      </c>
      <c r="E1664" s="50" t="s">
        <v>11</v>
      </c>
      <c r="F1664" s="57">
        <v>0.52188000000000001</v>
      </c>
    </row>
    <row r="1665" spans="2:6">
      <c r="B1665" s="50" t="s">
        <v>21</v>
      </c>
      <c r="C1665" s="50" t="s">
        <v>1682</v>
      </c>
      <c r="D1665" s="50">
        <f>DATE(YEAR(OneWeekMtgRatesDataTable756[[#This Row],[asofdate]]),MONTH(OneWeekMtgRatesDataTable756[[#This Row],[asofdate]]),DAY(OneWeekMtgRatesDataTable756[[#This Row],[asofdate]]))</f>
        <v>39892</v>
      </c>
      <c r="E1665" s="50" t="s">
        <v>11</v>
      </c>
      <c r="F1665" s="57">
        <v>0.52188000000000001</v>
      </c>
    </row>
    <row r="1666" spans="2:6">
      <c r="B1666" s="50" t="s">
        <v>21</v>
      </c>
      <c r="C1666" s="50" t="s">
        <v>1683</v>
      </c>
      <c r="D1666" s="50">
        <f>DATE(YEAR(OneWeekMtgRatesDataTable756[[#This Row],[asofdate]]),MONTH(OneWeekMtgRatesDataTable756[[#This Row],[asofdate]]),DAY(OneWeekMtgRatesDataTable756[[#This Row],[asofdate]]))</f>
        <v>39891</v>
      </c>
      <c r="E1666" s="50" t="s">
        <v>11</v>
      </c>
      <c r="F1666" s="57">
        <v>0.52312999999999998</v>
      </c>
    </row>
    <row r="1667" spans="2:6">
      <c r="B1667" s="50" t="s">
        <v>21</v>
      </c>
      <c r="C1667" s="50" t="s">
        <v>1684</v>
      </c>
      <c r="D1667" s="50">
        <f>DATE(YEAR(OneWeekMtgRatesDataTable756[[#This Row],[asofdate]]),MONTH(OneWeekMtgRatesDataTable756[[#This Row],[asofdate]]),DAY(OneWeekMtgRatesDataTable756[[#This Row],[asofdate]]))</f>
        <v>39890</v>
      </c>
      <c r="E1667" s="50" t="s">
        <v>11</v>
      </c>
      <c r="F1667" s="57">
        <v>0.54500000000000004</v>
      </c>
    </row>
    <row r="1668" spans="2:6">
      <c r="B1668" s="50" t="s">
        <v>21</v>
      </c>
      <c r="C1668" s="50" t="s">
        <v>1685</v>
      </c>
      <c r="D1668" s="50">
        <f>DATE(YEAR(OneWeekMtgRatesDataTable756[[#This Row],[asofdate]]),MONTH(OneWeekMtgRatesDataTable756[[#This Row],[asofdate]]),DAY(OneWeekMtgRatesDataTable756[[#This Row],[asofdate]]))</f>
        <v>39889</v>
      </c>
      <c r="E1668" s="50" t="s">
        <v>11</v>
      </c>
      <c r="F1668" s="57">
        <v>0.55625000000000002</v>
      </c>
    </row>
    <row r="1669" spans="2:6">
      <c r="B1669" s="50" t="s">
        <v>21</v>
      </c>
      <c r="C1669" s="50" t="s">
        <v>1686</v>
      </c>
      <c r="D1669" s="50">
        <f>DATE(YEAR(OneWeekMtgRatesDataTable756[[#This Row],[asofdate]]),MONTH(OneWeekMtgRatesDataTable756[[#This Row],[asofdate]]),DAY(OneWeekMtgRatesDataTable756[[#This Row],[asofdate]]))</f>
        <v>39888</v>
      </c>
      <c r="E1669" s="50" t="s">
        <v>11</v>
      </c>
      <c r="F1669" s="57">
        <v>0.55562999999999996</v>
      </c>
    </row>
    <row r="1670" spans="2:6">
      <c r="B1670" s="50" t="s">
        <v>21</v>
      </c>
      <c r="C1670" s="50" t="s">
        <v>1687</v>
      </c>
      <c r="D1670" s="50">
        <f>DATE(YEAR(OneWeekMtgRatesDataTable756[[#This Row],[asofdate]]),MONTH(OneWeekMtgRatesDataTable756[[#This Row],[asofdate]]),DAY(OneWeekMtgRatesDataTable756[[#This Row],[asofdate]]))</f>
        <v>39885</v>
      </c>
      <c r="E1670" s="50" t="s">
        <v>11</v>
      </c>
      <c r="F1670" s="57">
        <v>0.55562999999999996</v>
      </c>
    </row>
    <row r="1671" spans="2:6">
      <c r="B1671" s="50" t="s">
        <v>21</v>
      </c>
      <c r="C1671" s="50" t="s">
        <v>1688</v>
      </c>
      <c r="D1671" s="50">
        <f>DATE(YEAR(OneWeekMtgRatesDataTable756[[#This Row],[asofdate]]),MONTH(OneWeekMtgRatesDataTable756[[#This Row],[asofdate]]),DAY(OneWeekMtgRatesDataTable756[[#This Row],[asofdate]]))</f>
        <v>39884</v>
      </c>
      <c r="E1671" s="50" t="s">
        <v>11</v>
      </c>
      <c r="F1671" s="57">
        <v>0.55625000000000002</v>
      </c>
    </row>
    <row r="1672" spans="2:6">
      <c r="B1672" s="50" t="s">
        <v>21</v>
      </c>
      <c r="C1672" s="50" t="s">
        <v>1689</v>
      </c>
      <c r="D1672" s="50">
        <f>DATE(YEAR(OneWeekMtgRatesDataTable756[[#This Row],[asofdate]]),MONTH(OneWeekMtgRatesDataTable756[[#This Row],[asofdate]]),DAY(OneWeekMtgRatesDataTable756[[#This Row],[asofdate]]))</f>
        <v>39883</v>
      </c>
      <c r="E1672" s="50" t="s">
        <v>11</v>
      </c>
      <c r="F1672" s="57">
        <v>0.55688000000000004</v>
      </c>
    </row>
    <row r="1673" spans="2:6">
      <c r="B1673" s="50" t="s">
        <v>21</v>
      </c>
      <c r="C1673" s="50" t="s">
        <v>1690</v>
      </c>
      <c r="D1673" s="50">
        <f>DATE(YEAR(OneWeekMtgRatesDataTable756[[#This Row],[asofdate]]),MONTH(OneWeekMtgRatesDataTable756[[#This Row],[asofdate]]),DAY(OneWeekMtgRatesDataTable756[[#This Row],[asofdate]]))</f>
        <v>39882</v>
      </c>
      <c r="E1673" s="50" t="s">
        <v>11</v>
      </c>
      <c r="F1673" s="57">
        <v>0.56437999999999999</v>
      </c>
    </row>
    <row r="1674" spans="2:6">
      <c r="B1674" s="50" t="s">
        <v>21</v>
      </c>
      <c r="C1674" s="50" t="s">
        <v>1691</v>
      </c>
      <c r="D1674" s="50">
        <f>DATE(YEAR(OneWeekMtgRatesDataTable756[[#This Row],[asofdate]]),MONTH(OneWeekMtgRatesDataTable756[[#This Row],[asofdate]]),DAY(OneWeekMtgRatesDataTable756[[#This Row],[asofdate]]))</f>
        <v>39881</v>
      </c>
      <c r="E1674" s="50" t="s">
        <v>11</v>
      </c>
      <c r="F1674" s="57">
        <v>0.56437999999999999</v>
      </c>
    </row>
    <row r="1675" spans="2:6">
      <c r="B1675" s="50" t="s">
        <v>21</v>
      </c>
      <c r="C1675" s="50" t="s">
        <v>1692</v>
      </c>
      <c r="D1675" s="50">
        <f>DATE(YEAR(OneWeekMtgRatesDataTable756[[#This Row],[asofdate]]),MONTH(OneWeekMtgRatesDataTable756[[#This Row],[asofdate]]),DAY(OneWeekMtgRatesDataTable756[[#This Row],[asofdate]]))</f>
        <v>39878</v>
      </c>
      <c r="E1675" s="50" t="s">
        <v>11</v>
      </c>
      <c r="F1675" s="57">
        <v>0.54625000000000001</v>
      </c>
    </row>
    <row r="1676" spans="2:6">
      <c r="B1676" s="50" t="s">
        <v>21</v>
      </c>
      <c r="C1676" s="50" t="s">
        <v>1693</v>
      </c>
      <c r="D1676" s="50">
        <f>DATE(YEAR(OneWeekMtgRatesDataTable756[[#This Row],[asofdate]]),MONTH(OneWeekMtgRatesDataTable756[[#This Row],[asofdate]]),DAY(OneWeekMtgRatesDataTable756[[#This Row],[asofdate]]))</f>
        <v>39877</v>
      </c>
      <c r="E1676" s="50" t="s">
        <v>11</v>
      </c>
      <c r="F1676" s="57">
        <v>0.53312999999999999</v>
      </c>
    </row>
    <row r="1677" spans="2:6">
      <c r="B1677" s="50" t="s">
        <v>21</v>
      </c>
      <c r="C1677" s="50" t="s">
        <v>1694</v>
      </c>
      <c r="D1677" s="50">
        <f>DATE(YEAR(OneWeekMtgRatesDataTable756[[#This Row],[asofdate]]),MONTH(OneWeekMtgRatesDataTable756[[#This Row],[asofdate]]),DAY(OneWeekMtgRatesDataTable756[[#This Row],[asofdate]]))</f>
        <v>39876</v>
      </c>
      <c r="E1677" s="50" t="s">
        <v>11</v>
      </c>
      <c r="F1677" s="57">
        <v>0.51812999999999998</v>
      </c>
    </row>
    <row r="1678" spans="2:6">
      <c r="B1678" s="50" t="s">
        <v>21</v>
      </c>
      <c r="C1678" s="50" t="s">
        <v>1695</v>
      </c>
      <c r="D1678" s="50">
        <f>DATE(YEAR(OneWeekMtgRatesDataTable756[[#This Row],[asofdate]]),MONTH(OneWeekMtgRatesDataTable756[[#This Row],[asofdate]]),DAY(OneWeekMtgRatesDataTable756[[#This Row],[asofdate]]))</f>
        <v>39875</v>
      </c>
      <c r="E1678" s="50" t="s">
        <v>11</v>
      </c>
      <c r="F1678" s="57">
        <v>0.50749999999999995</v>
      </c>
    </row>
    <row r="1679" spans="2:6">
      <c r="B1679" s="50" t="s">
        <v>21</v>
      </c>
      <c r="C1679" s="50" t="s">
        <v>1696</v>
      </c>
      <c r="D1679" s="50">
        <f>DATE(YEAR(OneWeekMtgRatesDataTable756[[#This Row],[asofdate]]),MONTH(OneWeekMtgRatesDataTable756[[#This Row],[asofdate]]),DAY(OneWeekMtgRatesDataTable756[[#This Row],[asofdate]]))</f>
        <v>39874</v>
      </c>
      <c r="E1679" s="50" t="s">
        <v>11</v>
      </c>
      <c r="F1679" s="57">
        <v>0.4975</v>
      </c>
    </row>
    <row r="1680" spans="2:6">
      <c r="B1680" s="50" t="s">
        <v>21</v>
      </c>
      <c r="C1680" s="50" t="s">
        <v>1697</v>
      </c>
      <c r="D1680" s="50">
        <f>DATE(YEAR(OneWeekMtgRatesDataTable756[[#This Row],[asofdate]]),MONTH(OneWeekMtgRatesDataTable756[[#This Row],[asofdate]]),DAY(OneWeekMtgRatesDataTable756[[#This Row],[asofdate]]))</f>
        <v>39871</v>
      </c>
      <c r="E1680" s="50" t="s">
        <v>11</v>
      </c>
      <c r="F1680" s="57">
        <v>0.49625000000000002</v>
      </c>
    </row>
    <row r="1681" spans="2:6">
      <c r="B1681" s="50" t="s">
        <v>21</v>
      </c>
      <c r="C1681" s="50" t="s">
        <v>1698</v>
      </c>
      <c r="D1681" s="50">
        <f>DATE(YEAR(OneWeekMtgRatesDataTable756[[#This Row],[asofdate]]),MONTH(OneWeekMtgRatesDataTable756[[#This Row],[asofdate]]),DAY(OneWeekMtgRatesDataTable756[[#This Row],[asofdate]]))</f>
        <v>39870</v>
      </c>
      <c r="E1681" s="50" t="s">
        <v>11</v>
      </c>
      <c r="F1681" s="57">
        <v>0.49687999999999999</v>
      </c>
    </row>
    <row r="1682" spans="2:6">
      <c r="B1682" s="50" t="s">
        <v>21</v>
      </c>
      <c r="C1682" s="50" t="s">
        <v>1699</v>
      </c>
      <c r="D1682" s="50">
        <f>DATE(YEAR(OneWeekMtgRatesDataTable756[[#This Row],[asofdate]]),MONTH(OneWeekMtgRatesDataTable756[[#This Row],[asofdate]]),DAY(OneWeekMtgRatesDataTable756[[#This Row],[asofdate]]))</f>
        <v>39869</v>
      </c>
      <c r="E1682" s="50" t="s">
        <v>11</v>
      </c>
      <c r="F1682" s="57">
        <v>0.47875000000000001</v>
      </c>
    </row>
    <row r="1683" spans="2:6">
      <c r="B1683" s="50" t="s">
        <v>21</v>
      </c>
      <c r="C1683" s="50" t="s">
        <v>1700</v>
      </c>
      <c r="D1683" s="50">
        <f>DATE(YEAR(OneWeekMtgRatesDataTable756[[#This Row],[asofdate]]),MONTH(OneWeekMtgRatesDataTable756[[#This Row],[asofdate]]),DAY(OneWeekMtgRatesDataTable756[[#This Row],[asofdate]]))</f>
        <v>39868</v>
      </c>
      <c r="E1683" s="50" t="s">
        <v>11</v>
      </c>
      <c r="F1683" s="57">
        <v>0.47688000000000003</v>
      </c>
    </row>
    <row r="1684" spans="2:6">
      <c r="B1684" s="50" t="s">
        <v>21</v>
      </c>
      <c r="C1684" s="50" t="s">
        <v>1701</v>
      </c>
      <c r="D1684" s="50">
        <f>DATE(YEAR(OneWeekMtgRatesDataTable756[[#This Row],[asofdate]]),MONTH(OneWeekMtgRatesDataTable756[[#This Row],[asofdate]]),DAY(OneWeekMtgRatesDataTable756[[#This Row],[asofdate]]))</f>
        <v>39867</v>
      </c>
      <c r="E1684" s="50" t="s">
        <v>11</v>
      </c>
      <c r="F1684" s="57">
        <v>0.47375</v>
      </c>
    </row>
    <row r="1685" spans="2:6">
      <c r="B1685" s="50" t="s">
        <v>21</v>
      </c>
      <c r="C1685" s="50" t="s">
        <v>1702</v>
      </c>
      <c r="D1685" s="50">
        <f>DATE(YEAR(OneWeekMtgRatesDataTable756[[#This Row],[asofdate]]),MONTH(OneWeekMtgRatesDataTable756[[#This Row],[asofdate]]),DAY(OneWeekMtgRatesDataTable756[[#This Row],[asofdate]]))</f>
        <v>39864</v>
      </c>
      <c r="E1685" s="50" t="s">
        <v>11</v>
      </c>
      <c r="F1685" s="57">
        <v>0.47249999999999998</v>
      </c>
    </row>
    <row r="1686" spans="2:6">
      <c r="B1686" s="50" t="s">
        <v>21</v>
      </c>
      <c r="C1686" s="50" t="s">
        <v>1703</v>
      </c>
      <c r="D1686" s="50">
        <f>DATE(YEAR(OneWeekMtgRatesDataTable756[[#This Row],[asofdate]]),MONTH(OneWeekMtgRatesDataTable756[[#This Row],[asofdate]]),DAY(OneWeekMtgRatesDataTable756[[#This Row],[asofdate]]))</f>
        <v>39863</v>
      </c>
      <c r="E1686" s="50" t="s">
        <v>11</v>
      </c>
      <c r="F1686" s="57">
        <v>0.47313</v>
      </c>
    </row>
    <row r="1687" spans="2:6">
      <c r="B1687" s="50" t="s">
        <v>21</v>
      </c>
      <c r="C1687" s="50" t="s">
        <v>1704</v>
      </c>
      <c r="D1687" s="50">
        <f>DATE(YEAR(OneWeekMtgRatesDataTable756[[#This Row],[asofdate]]),MONTH(OneWeekMtgRatesDataTable756[[#This Row],[asofdate]]),DAY(OneWeekMtgRatesDataTable756[[#This Row],[asofdate]]))</f>
        <v>39862</v>
      </c>
      <c r="E1687" s="50" t="s">
        <v>11</v>
      </c>
      <c r="F1687" s="57">
        <v>0.47</v>
      </c>
    </row>
    <row r="1688" spans="2:6">
      <c r="B1688" s="50" t="s">
        <v>21</v>
      </c>
      <c r="C1688" s="50" t="s">
        <v>1705</v>
      </c>
      <c r="D1688" s="50">
        <f>DATE(YEAR(OneWeekMtgRatesDataTable756[[#This Row],[asofdate]]),MONTH(OneWeekMtgRatesDataTable756[[#This Row],[asofdate]]),DAY(OneWeekMtgRatesDataTable756[[#This Row],[asofdate]]))</f>
        <v>39861</v>
      </c>
      <c r="E1688" s="50" t="s">
        <v>11</v>
      </c>
      <c r="F1688" s="57">
        <v>0.46625</v>
      </c>
    </row>
    <row r="1689" spans="2:6">
      <c r="B1689" s="50" t="s">
        <v>21</v>
      </c>
      <c r="C1689" s="50" t="s">
        <v>1706</v>
      </c>
      <c r="D1689" s="50">
        <f>DATE(YEAR(OneWeekMtgRatesDataTable756[[#This Row],[asofdate]]),MONTH(OneWeekMtgRatesDataTable756[[#This Row],[asofdate]]),DAY(OneWeekMtgRatesDataTable756[[#This Row],[asofdate]]))</f>
        <v>39857</v>
      </c>
      <c r="E1689" s="50" t="s">
        <v>11</v>
      </c>
      <c r="F1689" s="57">
        <v>0.46124999999999999</v>
      </c>
    </row>
    <row r="1690" spans="2:6">
      <c r="B1690" s="50" t="s">
        <v>21</v>
      </c>
      <c r="C1690" s="50" t="s">
        <v>1707</v>
      </c>
      <c r="D1690" s="50">
        <f>DATE(YEAR(OneWeekMtgRatesDataTable756[[#This Row],[asofdate]]),MONTH(OneWeekMtgRatesDataTable756[[#This Row],[asofdate]]),DAY(OneWeekMtgRatesDataTable756[[#This Row],[asofdate]]))</f>
        <v>39856</v>
      </c>
      <c r="E1690" s="50" t="s">
        <v>11</v>
      </c>
      <c r="F1690" s="57">
        <v>0.45500000000000002</v>
      </c>
    </row>
    <row r="1691" spans="2:6">
      <c r="B1691" s="64" t="s">
        <v>21</v>
      </c>
      <c r="C1691" s="64" t="s">
        <v>1708</v>
      </c>
      <c r="D1691" s="64">
        <f>DATE(YEAR(OneWeekMtgRatesDataTable756[[#This Row],[asofdate]]),MONTH(OneWeekMtgRatesDataTable756[[#This Row],[asofdate]]),DAY(OneWeekMtgRatesDataTable756[[#This Row],[asofdate]]))</f>
        <v>39855</v>
      </c>
      <c r="E1691" s="64" t="s">
        <v>11</v>
      </c>
      <c r="F1691" s="67">
        <v>0.45250000000000001</v>
      </c>
    </row>
    <row r="1692" spans="2:6">
      <c r="B1692" s="64" t="s">
        <v>21</v>
      </c>
      <c r="C1692" s="64" t="s">
        <v>1709</v>
      </c>
      <c r="D1692" s="64">
        <f>DATE(YEAR(OneWeekMtgRatesDataTable756[[#This Row],[asofdate]]),MONTH(OneWeekMtgRatesDataTable756[[#This Row],[asofdate]]),DAY(OneWeekMtgRatesDataTable756[[#This Row],[asofdate]]))</f>
        <v>39854</v>
      </c>
      <c r="E1692" s="64" t="s">
        <v>11</v>
      </c>
      <c r="F1692" s="67">
        <v>0.44688</v>
      </c>
    </row>
    <row r="1693" spans="2:6">
      <c r="B1693" s="64" t="s">
        <v>21</v>
      </c>
      <c r="C1693" s="64" t="s">
        <v>1710</v>
      </c>
      <c r="D1693" s="64">
        <f>DATE(YEAR(OneWeekMtgRatesDataTable756[[#This Row],[asofdate]]),MONTH(OneWeekMtgRatesDataTable756[[#This Row],[asofdate]]),DAY(OneWeekMtgRatesDataTable756[[#This Row],[asofdate]]))</f>
        <v>39853</v>
      </c>
      <c r="E1693" s="64" t="s">
        <v>11</v>
      </c>
      <c r="F1693" s="67">
        <v>0.44688</v>
      </c>
    </row>
    <row r="1694" spans="2:6">
      <c r="B1694" s="64" t="s">
        <v>21</v>
      </c>
      <c r="C1694" s="64" t="s">
        <v>1711</v>
      </c>
      <c r="D1694" s="64">
        <f>DATE(YEAR(OneWeekMtgRatesDataTable756[[#This Row],[asofdate]]),MONTH(OneWeekMtgRatesDataTable756[[#This Row],[asofdate]]),DAY(OneWeekMtgRatesDataTable756[[#This Row],[asofdate]]))</f>
        <v>39850</v>
      </c>
      <c r="E1694" s="64" t="s">
        <v>11</v>
      </c>
      <c r="F1694" s="67">
        <v>0.44874999999999998</v>
      </c>
    </row>
    <row r="1695" spans="2:6">
      <c r="B1695" s="64" t="s">
        <v>21</v>
      </c>
      <c r="C1695" s="64" t="s">
        <v>1712</v>
      </c>
      <c r="D1695" s="64">
        <f>DATE(YEAR(OneWeekMtgRatesDataTable756[[#This Row],[asofdate]]),MONTH(OneWeekMtgRatesDataTable756[[#This Row],[asofdate]]),DAY(OneWeekMtgRatesDataTable756[[#This Row],[asofdate]]))</f>
        <v>39849</v>
      </c>
      <c r="E1695" s="64" t="s">
        <v>11</v>
      </c>
      <c r="F1695" s="67">
        <v>0.44750000000000001</v>
      </c>
    </row>
    <row r="1696" spans="2:6">
      <c r="B1696" s="64" t="s">
        <v>21</v>
      </c>
      <c r="C1696" s="64" t="s">
        <v>1713</v>
      </c>
      <c r="D1696" s="64">
        <f>DATE(YEAR(OneWeekMtgRatesDataTable756[[#This Row],[asofdate]]),MONTH(OneWeekMtgRatesDataTable756[[#This Row],[asofdate]]),DAY(OneWeekMtgRatesDataTable756[[#This Row],[asofdate]]))</f>
        <v>39848</v>
      </c>
      <c r="E1696" s="64" t="s">
        <v>11</v>
      </c>
      <c r="F1696" s="67">
        <v>0.44500000000000001</v>
      </c>
    </row>
    <row r="1697" spans="2:6">
      <c r="B1697" s="64" t="s">
        <v>21</v>
      </c>
      <c r="C1697" s="64" t="s">
        <v>1714</v>
      </c>
      <c r="D1697" s="64">
        <f>DATE(YEAR(OneWeekMtgRatesDataTable756[[#This Row],[asofdate]]),MONTH(OneWeekMtgRatesDataTable756[[#This Row],[asofdate]]),DAY(OneWeekMtgRatesDataTable756[[#This Row],[asofdate]]))</f>
        <v>39847</v>
      </c>
      <c r="E1697" s="64" t="s">
        <v>11</v>
      </c>
      <c r="F1697" s="67">
        <v>0.44500000000000001</v>
      </c>
    </row>
    <row r="1698" spans="2:6">
      <c r="B1698" s="64" t="s">
        <v>21</v>
      </c>
      <c r="C1698" s="64" t="s">
        <v>1715</v>
      </c>
      <c r="D1698" s="64">
        <f>DATE(YEAR(OneWeekMtgRatesDataTable756[[#This Row],[asofdate]]),MONTH(OneWeekMtgRatesDataTable756[[#This Row],[asofdate]]),DAY(OneWeekMtgRatesDataTable756[[#This Row],[asofdate]]))</f>
        <v>39846</v>
      </c>
      <c r="E1698" s="64" t="s">
        <v>11</v>
      </c>
      <c r="F1698" s="67">
        <v>0.4375</v>
      </c>
    </row>
    <row r="1699" spans="2:6">
      <c r="B1699" s="64" t="s">
        <v>21</v>
      </c>
      <c r="C1699" s="64" t="s">
        <v>1716</v>
      </c>
      <c r="D1699" s="64">
        <f>DATE(YEAR(OneWeekMtgRatesDataTable756[[#This Row],[asofdate]]),MONTH(OneWeekMtgRatesDataTable756[[#This Row],[asofdate]]),DAY(OneWeekMtgRatesDataTable756[[#This Row],[asofdate]]))</f>
        <v>39843</v>
      </c>
      <c r="E1699" s="64" t="s">
        <v>11</v>
      </c>
      <c r="F1699" s="67">
        <v>0.41937999999999998</v>
      </c>
    </row>
    <row r="1700" spans="2:6">
      <c r="B1700" s="64" t="s">
        <v>21</v>
      </c>
      <c r="C1700" s="64" t="s">
        <v>1717</v>
      </c>
      <c r="D1700" s="64">
        <f>DATE(YEAR(OneWeekMtgRatesDataTable756[[#This Row],[asofdate]]),MONTH(OneWeekMtgRatesDataTable756[[#This Row],[asofdate]]),DAY(OneWeekMtgRatesDataTable756[[#This Row],[asofdate]]))</f>
        <v>39842</v>
      </c>
      <c r="E1700" s="64" t="s">
        <v>11</v>
      </c>
      <c r="F1700" s="67">
        <v>0.41249999999999998</v>
      </c>
    </row>
    <row r="1701" spans="2:6">
      <c r="B1701" s="64" t="s">
        <v>21</v>
      </c>
      <c r="C1701" s="64" t="s">
        <v>1718</v>
      </c>
      <c r="D1701" s="64">
        <f>DATE(YEAR(OneWeekMtgRatesDataTable756[[#This Row],[asofdate]]),MONTH(OneWeekMtgRatesDataTable756[[#This Row],[asofdate]]),DAY(OneWeekMtgRatesDataTable756[[#This Row],[asofdate]]))</f>
        <v>39841</v>
      </c>
      <c r="E1701" s="64" t="s">
        <v>11</v>
      </c>
      <c r="F1701" s="67">
        <v>0.40938000000000002</v>
      </c>
    </row>
    <row r="1702" spans="2:6">
      <c r="B1702" s="64" t="s">
        <v>21</v>
      </c>
      <c r="C1702" s="64" t="s">
        <v>1719</v>
      </c>
      <c r="D1702" s="64">
        <f>DATE(YEAR(OneWeekMtgRatesDataTable756[[#This Row],[asofdate]]),MONTH(OneWeekMtgRatesDataTable756[[#This Row],[asofdate]]),DAY(OneWeekMtgRatesDataTable756[[#This Row],[asofdate]]))</f>
        <v>39840</v>
      </c>
      <c r="E1702" s="64" t="s">
        <v>11</v>
      </c>
      <c r="F1702" s="67">
        <v>0.41125</v>
      </c>
    </row>
    <row r="1703" spans="2:6">
      <c r="B1703" s="64" t="s">
        <v>21</v>
      </c>
      <c r="C1703" s="64" t="s">
        <v>1720</v>
      </c>
      <c r="D1703" s="64">
        <f>DATE(YEAR(OneWeekMtgRatesDataTable756[[#This Row],[asofdate]]),MONTH(OneWeekMtgRatesDataTable756[[#This Row],[asofdate]]),DAY(OneWeekMtgRatesDataTable756[[#This Row],[asofdate]]))</f>
        <v>39839</v>
      </c>
      <c r="E1703" s="64" t="s">
        <v>11</v>
      </c>
      <c r="F1703" s="67">
        <v>0.40875</v>
      </c>
    </row>
    <row r="1704" spans="2:6">
      <c r="B1704" s="64" t="s">
        <v>21</v>
      </c>
      <c r="C1704" s="64" t="s">
        <v>1721</v>
      </c>
      <c r="D1704" s="64">
        <f>DATE(YEAR(OneWeekMtgRatesDataTable756[[#This Row],[asofdate]]),MONTH(OneWeekMtgRatesDataTable756[[#This Row],[asofdate]]),DAY(OneWeekMtgRatesDataTable756[[#This Row],[asofdate]]))</f>
        <v>39836</v>
      </c>
      <c r="E1704" s="64" t="s">
        <v>11</v>
      </c>
      <c r="F1704" s="67">
        <v>0.40125</v>
      </c>
    </row>
    <row r="1705" spans="2:6">
      <c r="B1705" s="64" t="s">
        <v>21</v>
      </c>
      <c r="C1705" s="64" t="s">
        <v>1722</v>
      </c>
      <c r="D1705" s="64">
        <f>DATE(YEAR(OneWeekMtgRatesDataTable756[[#This Row],[asofdate]]),MONTH(OneWeekMtgRatesDataTable756[[#This Row],[asofdate]]),DAY(OneWeekMtgRatesDataTable756[[#This Row],[asofdate]]))</f>
        <v>39835</v>
      </c>
      <c r="E1705" s="64" t="s">
        <v>11</v>
      </c>
      <c r="F1705" s="67">
        <v>0.38938</v>
      </c>
    </row>
    <row r="1706" spans="2:6">
      <c r="B1706" s="64" t="s">
        <v>21</v>
      </c>
      <c r="C1706" s="64" t="s">
        <v>1723</v>
      </c>
      <c r="D1706" s="64">
        <f>DATE(YEAR(OneWeekMtgRatesDataTable756[[#This Row],[asofdate]]),MONTH(OneWeekMtgRatesDataTable756[[#This Row],[asofdate]]),DAY(OneWeekMtgRatesDataTable756[[#This Row],[asofdate]]))</f>
        <v>39834</v>
      </c>
      <c r="E1706" s="64" t="s">
        <v>11</v>
      </c>
      <c r="F1706" s="67">
        <v>0.35625000000000001</v>
      </c>
    </row>
    <row r="1707" spans="2:6">
      <c r="B1707" s="64" t="s">
        <v>21</v>
      </c>
      <c r="C1707" s="64" t="s">
        <v>1724</v>
      </c>
      <c r="D1707" s="64">
        <f>DATE(YEAR(OneWeekMtgRatesDataTable756[[#This Row],[asofdate]]),MONTH(OneWeekMtgRatesDataTable756[[#This Row],[asofdate]]),DAY(OneWeekMtgRatesDataTable756[[#This Row],[asofdate]]))</f>
        <v>39833</v>
      </c>
      <c r="E1707" s="64" t="s">
        <v>11</v>
      </c>
      <c r="F1707" s="67">
        <v>0.35249999999999998</v>
      </c>
    </row>
    <row r="1708" spans="2:6">
      <c r="B1708" s="64" t="s">
        <v>21</v>
      </c>
      <c r="C1708" s="64" t="s">
        <v>1725</v>
      </c>
      <c r="D1708" s="64">
        <f>DATE(YEAR(OneWeekMtgRatesDataTable756[[#This Row],[asofdate]]),MONTH(OneWeekMtgRatesDataTable756[[#This Row],[asofdate]]),DAY(OneWeekMtgRatesDataTable756[[#This Row],[asofdate]]))</f>
        <v>39829</v>
      </c>
      <c r="E1708" s="64" t="s">
        <v>11</v>
      </c>
      <c r="F1708" s="67">
        <v>0.35937999999999998</v>
      </c>
    </row>
    <row r="1709" spans="2:6">
      <c r="B1709" s="64" t="s">
        <v>21</v>
      </c>
      <c r="C1709" s="64" t="s">
        <v>1726</v>
      </c>
      <c r="D1709" s="64">
        <f>DATE(YEAR(OneWeekMtgRatesDataTable756[[#This Row],[asofdate]]),MONTH(OneWeekMtgRatesDataTable756[[#This Row],[asofdate]]),DAY(OneWeekMtgRatesDataTable756[[#This Row],[asofdate]]))</f>
        <v>39828</v>
      </c>
      <c r="E1709" s="64" t="s">
        <v>11</v>
      </c>
      <c r="F1709" s="67">
        <v>0.33374999999999999</v>
      </c>
    </row>
    <row r="1710" spans="2:6">
      <c r="B1710" s="64" t="s">
        <v>21</v>
      </c>
      <c r="C1710" s="64" t="s">
        <v>1727</v>
      </c>
      <c r="D1710" s="64">
        <f>DATE(YEAR(OneWeekMtgRatesDataTable756[[#This Row],[asofdate]]),MONTH(OneWeekMtgRatesDataTable756[[#This Row],[asofdate]]),DAY(OneWeekMtgRatesDataTable756[[#This Row],[asofdate]]))</f>
        <v>39827</v>
      </c>
      <c r="E1710" s="64" t="s">
        <v>11</v>
      </c>
      <c r="F1710" s="67">
        <v>0.32874999999999999</v>
      </c>
    </row>
    <row r="1711" spans="2:6">
      <c r="B1711" s="64" t="s">
        <v>21</v>
      </c>
      <c r="C1711" s="64" t="s">
        <v>1728</v>
      </c>
      <c r="D1711" s="64">
        <f>DATE(YEAR(OneWeekMtgRatesDataTable756[[#This Row],[asofdate]]),MONTH(OneWeekMtgRatesDataTable756[[#This Row],[asofdate]]),DAY(OneWeekMtgRatesDataTable756[[#This Row],[asofdate]]))</f>
        <v>39826</v>
      </c>
      <c r="E1711" s="64" t="s">
        <v>11</v>
      </c>
      <c r="F1711" s="67">
        <v>0.33312999999999998</v>
      </c>
    </row>
    <row r="1712" spans="2:6">
      <c r="B1712" s="64" t="s">
        <v>21</v>
      </c>
      <c r="C1712" s="64" t="s">
        <v>1729</v>
      </c>
      <c r="D1712" s="64">
        <f>DATE(YEAR(OneWeekMtgRatesDataTable756[[#This Row],[asofdate]]),MONTH(OneWeekMtgRatesDataTable756[[#This Row],[asofdate]]),DAY(OneWeekMtgRatesDataTable756[[#This Row],[asofdate]]))</f>
        <v>39825</v>
      </c>
      <c r="E1712" s="64" t="s">
        <v>11</v>
      </c>
      <c r="F1712" s="67">
        <v>0.34250000000000003</v>
      </c>
    </row>
    <row r="1713" spans="2:6">
      <c r="B1713" s="64" t="s">
        <v>21</v>
      </c>
      <c r="C1713" s="64" t="s">
        <v>1730</v>
      </c>
      <c r="D1713" s="64">
        <f>DATE(YEAR(OneWeekMtgRatesDataTable756[[#This Row],[asofdate]]),MONTH(OneWeekMtgRatesDataTable756[[#This Row],[asofdate]]),DAY(OneWeekMtgRatesDataTable756[[#This Row],[asofdate]]))</f>
        <v>39822</v>
      </c>
      <c r="E1713" s="64" t="s">
        <v>11</v>
      </c>
      <c r="F1713" s="67">
        <v>0.36625000000000002</v>
      </c>
    </row>
    <row r="1714" spans="2:6">
      <c r="B1714" s="64" t="s">
        <v>21</v>
      </c>
      <c r="C1714" s="64" t="s">
        <v>1731</v>
      </c>
      <c r="D1714" s="64">
        <f>DATE(YEAR(OneWeekMtgRatesDataTable756[[#This Row],[asofdate]]),MONTH(OneWeekMtgRatesDataTable756[[#This Row],[asofdate]]),DAY(OneWeekMtgRatesDataTable756[[#This Row],[asofdate]]))</f>
        <v>39821</v>
      </c>
      <c r="E1714" s="64" t="s">
        <v>11</v>
      </c>
      <c r="F1714" s="67">
        <v>0.38624999999999998</v>
      </c>
    </row>
    <row r="1715" spans="2:6">
      <c r="B1715" s="64" t="s">
        <v>21</v>
      </c>
      <c r="C1715" s="64" t="s">
        <v>1732</v>
      </c>
      <c r="D1715" s="64">
        <f>DATE(YEAR(OneWeekMtgRatesDataTable756[[#This Row],[asofdate]]),MONTH(OneWeekMtgRatesDataTable756[[#This Row],[asofdate]]),DAY(OneWeekMtgRatesDataTable756[[#This Row],[asofdate]]))</f>
        <v>39820</v>
      </c>
      <c r="E1715" s="64" t="s">
        <v>11</v>
      </c>
      <c r="F1715" s="67">
        <v>0.40625</v>
      </c>
    </row>
    <row r="1716" spans="2:6">
      <c r="B1716" s="64" t="s">
        <v>21</v>
      </c>
      <c r="C1716" s="64" t="s">
        <v>1733</v>
      </c>
      <c r="D1716" s="64">
        <f>DATE(YEAR(OneWeekMtgRatesDataTable756[[#This Row],[asofdate]]),MONTH(OneWeekMtgRatesDataTable756[[#This Row],[asofdate]]),DAY(OneWeekMtgRatesDataTable756[[#This Row],[asofdate]]))</f>
        <v>39819</v>
      </c>
      <c r="E1716" s="64" t="s">
        <v>11</v>
      </c>
      <c r="F1716" s="67">
        <v>0.42063</v>
      </c>
    </row>
    <row r="1717" spans="2:6">
      <c r="B1717" s="64" t="s">
        <v>21</v>
      </c>
      <c r="C1717" s="64" t="s">
        <v>1734</v>
      </c>
      <c r="D1717" s="64">
        <f>DATE(YEAR(OneWeekMtgRatesDataTable756[[#This Row],[asofdate]]),MONTH(OneWeekMtgRatesDataTable756[[#This Row],[asofdate]]),DAY(OneWeekMtgRatesDataTable756[[#This Row],[asofdate]]))</f>
        <v>39818</v>
      </c>
      <c r="E1717" s="64" t="s">
        <v>11</v>
      </c>
      <c r="F1717" s="67">
        <v>0.42875000000000002</v>
      </c>
    </row>
    <row r="1718" spans="2:6">
      <c r="B1718" s="64" t="s">
        <v>21</v>
      </c>
      <c r="C1718" s="64" t="s">
        <v>1735</v>
      </c>
      <c r="D1718" s="64">
        <f>DATE(YEAR(OneWeekMtgRatesDataTable756[[#This Row],[asofdate]]),MONTH(OneWeekMtgRatesDataTable756[[#This Row],[asofdate]]),DAY(OneWeekMtgRatesDataTable756[[#This Row],[asofdate]]))</f>
        <v>39815</v>
      </c>
      <c r="E1718" s="64" t="s">
        <v>11</v>
      </c>
      <c r="F1718" s="67">
        <v>0.43</v>
      </c>
    </row>
    <row r="1719" spans="2:6">
      <c r="C1719" s="10"/>
      <c r="D1719" s="25"/>
    </row>
    <row r="1720" spans="2:6">
      <c r="C1720" s="10"/>
      <c r="D1720" s="25"/>
    </row>
    <row r="1721" spans="2:6">
      <c r="C1721" s="10"/>
      <c r="D1721" s="25"/>
    </row>
    <row r="1722" spans="2:6">
      <c r="C1722" s="10"/>
      <c r="D1722" s="25"/>
    </row>
    <row r="1723" spans="2:6">
      <c r="C1723" s="10"/>
      <c r="D1723" s="25"/>
    </row>
    <row r="1724" spans="2:6">
      <c r="C1724" s="10"/>
      <c r="D1724" s="25"/>
    </row>
    <row r="1725" spans="2:6">
      <c r="C1725" s="10"/>
      <c r="D1725" s="25"/>
    </row>
    <row r="1726" spans="2:6">
      <c r="C1726" s="10"/>
      <c r="D1726" s="25"/>
    </row>
    <row r="1727" spans="2:6">
      <c r="C1727" s="10"/>
      <c r="D1727" s="25"/>
    </row>
    <row r="1728" spans="2:6">
      <c r="C1728" s="10"/>
      <c r="D1728" s="25"/>
    </row>
    <row r="1729" spans="3:4">
      <c r="C1729" s="10"/>
      <c r="D1729" s="25"/>
    </row>
    <row r="1730" spans="3:4">
      <c r="C1730" s="10"/>
      <c r="D1730" s="25"/>
    </row>
    <row r="1731" spans="3:4">
      <c r="C1731" s="10"/>
      <c r="D1731" s="25"/>
    </row>
    <row r="1732" spans="3:4">
      <c r="C1732" s="10"/>
      <c r="D1732" s="25"/>
    </row>
    <row r="1733" spans="3:4">
      <c r="C1733" s="10"/>
      <c r="D1733" s="25"/>
    </row>
    <row r="1734" spans="3:4">
      <c r="C1734" s="10"/>
      <c r="D1734" s="25"/>
    </row>
    <row r="1735" spans="3:4">
      <c r="C1735" s="10"/>
      <c r="D1735" s="25"/>
    </row>
    <row r="1736" spans="3:4">
      <c r="C1736" s="10"/>
      <c r="D1736" s="25"/>
    </row>
    <row r="1737" spans="3:4">
      <c r="C1737" s="10"/>
      <c r="D1737" s="25"/>
    </row>
    <row r="1738" spans="3:4">
      <c r="C1738" s="10"/>
      <c r="D1738" s="25"/>
    </row>
    <row r="1739" spans="3:4">
      <c r="C1739" s="10"/>
      <c r="D1739" s="25"/>
    </row>
    <row r="1740" spans="3:4">
      <c r="C1740" s="10"/>
      <c r="D1740" s="25"/>
    </row>
    <row r="1741" spans="3:4">
      <c r="C1741" s="10"/>
      <c r="D1741" s="25"/>
    </row>
    <row r="1742" spans="3:4">
      <c r="C1742" s="10"/>
      <c r="D1742" s="25"/>
    </row>
    <row r="1743" spans="3:4">
      <c r="C1743" s="10"/>
      <c r="D1743" s="25"/>
    </row>
    <row r="1744" spans="3:4">
      <c r="C1744" s="10"/>
      <c r="D1744" s="25"/>
    </row>
    <row r="1745" spans="3:4">
      <c r="C1745" s="10"/>
      <c r="D1745" s="25"/>
    </row>
    <row r="1746" spans="3:4">
      <c r="C1746" s="10"/>
      <c r="D1746" s="25"/>
    </row>
    <row r="1747" spans="3:4">
      <c r="C1747" s="10"/>
      <c r="D1747" s="25"/>
    </row>
    <row r="1748" spans="3:4">
      <c r="C1748" s="10"/>
      <c r="D1748" s="25"/>
    </row>
    <row r="1749" spans="3:4">
      <c r="C1749" s="10"/>
      <c r="D1749" s="25"/>
    </row>
    <row r="1750" spans="3:4">
      <c r="C1750" s="10"/>
      <c r="D1750" s="25"/>
    </row>
    <row r="1751" spans="3:4">
      <c r="C1751" s="10"/>
      <c r="D1751" s="25"/>
    </row>
    <row r="1752" spans="3:4">
      <c r="C1752" s="10"/>
      <c r="D1752" s="25"/>
    </row>
    <row r="1753" spans="3:4">
      <c r="C1753" s="10"/>
      <c r="D1753" s="25"/>
    </row>
    <row r="1754" spans="3:4">
      <c r="C1754" s="10"/>
      <c r="D1754" s="25"/>
    </row>
    <row r="1755" spans="3:4">
      <c r="C1755" s="10"/>
      <c r="D1755" s="25"/>
    </row>
    <row r="1756" spans="3:4">
      <c r="C1756" s="10"/>
      <c r="D1756" s="25"/>
    </row>
    <row r="1757" spans="3:4">
      <c r="C1757" s="10"/>
      <c r="D1757" s="25"/>
    </row>
    <row r="1758" spans="3:4">
      <c r="C1758" s="10"/>
      <c r="D1758" s="25"/>
    </row>
    <row r="1759" spans="3:4">
      <c r="C1759" s="10"/>
      <c r="D1759" s="25"/>
    </row>
    <row r="1760" spans="3:4">
      <c r="C1760" s="10"/>
      <c r="D1760" s="25"/>
    </row>
    <row r="1761" spans="3:4">
      <c r="C1761" s="10"/>
      <c r="D1761" s="25"/>
    </row>
    <row r="1762" spans="3:4">
      <c r="C1762" s="10"/>
      <c r="D1762" s="25"/>
    </row>
    <row r="1763" spans="3:4">
      <c r="C1763" s="10"/>
      <c r="D1763" s="25"/>
    </row>
    <row r="1764" spans="3:4">
      <c r="C1764" s="10"/>
      <c r="D1764" s="25"/>
    </row>
    <row r="1765" spans="3:4">
      <c r="C1765" s="10"/>
      <c r="D1765" s="25"/>
    </row>
    <row r="1766" spans="3:4">
      <c r="C1766" s="10"/>
      <c r="D1766" s="25"/>
    </row>
    <row r="1767" spans="3:4">
      <c r="C1767" s="10"/>
      <c r="D1767" s="25"/>
    </row>
    <row r="1768" spans="3:4">
      <c r="C1768" s="10"/>
      <c r="D1768" s="25"/>
    </row>
    <row r="1769" spans="3:4">
      <c r="C1769" s="10"/>
      <c r="D1769" s="25"/>
    </row>
    <row r="1770" spans="3:4">
      <c r="C1770" s="10"/>
      <c r="D1770" s="25"/>
    </row>
    <row r="1771" spans="3:4">
      <c r="C1771" s="10"/>
      <c r="D1771" s="25"/>
    </row>
    <row r="1772" spans="3:4">
      <c r="C1772" s="10"/>
      <c r="D1772" s="25"/>
    </row>
    <row r="1773" spans="3:4">
      <c r="C1773" s="10"/>
      <c r="D1773" s="25"/>
    </row>
    <row r="1774" spans="3:4">
      <c r="C1774" s="10"/>
      <c r="D1774" s="25"/>
    </row>
    <row r="1775" spans="3:4">
      <c r="C1775" s="10"/>
      <c r="D1775" s="25"/>
    </row>
    <row r="1776" spans="3:4">
      <c r="C1776" s="10"/>
      <c r="D1776" s="25"/>
    </row>
    <row r="1777" spans="3:4">
      <c r="C1777" s="10"/>
      <c r="D1777" s="25"/>
    </row>
    <row r="1778" spans="3:4">
      <c r="C1778" s="10"/>
      <c r="D1778" s="25"/>
    </row>
    <row r="1779" spans="3:4">
      <c r="C1779" s="10"/>
      <c r="D1779" s="25"/>
    </row>
    <row r="1780" spans="3:4">
      <c r="C1780" s="10"/>
      <c r="D1780" s="25"/>
    </row>
    <row r="1781" spans="3:4">
      <c r="C1781" s="10"/>
      <c r="D1781" s="25"/>
    </row>
    <row r="1782" spans="3:4">
      <c r="C1782" s="10"/>
      <c r="D1782" s="25"/>
    </row>
    <row r="1783" spans="3:4">
      <c r="C1783" s="10"/>
      <c r="D1783" s="25"/>
    </row>
    <row r="1784" spans="3:4">
      <c r="C1784" s="10"/>
      <c r="D1784" s="25"/>
    </row>
    <row r="1785" spans="3:4">
      <c r="C1785" s="10"/>
      <c r="D1785" s="25"/>
    </row>
    <row r="1786" spans="3:4">
      <c r="C1786" s="10"/>
      <c r="D1786" s="25"/>
    </row>
    <row r="1787" spans="3:4">
      <c r="C1787" s="10"/>
      <c r="D1787" s="25"/>
    </row>
    <row r="1788" spans="3:4">
      <c r="C1788" s="10"/>
      <c r="D1788" s="25"/>
    </row>
    <row r="1789" spans="3:4">
      <c r="C1789" s="10"/>
      <c r="D1789" s="25"/>
    </row>
    <row r="1790" spans="3:4">
      <c r="C1790" s="10"/>
      <c r="D1790" s="25"/>
    </row>
    <row r="1791" spans="3:4">
      <c r="C1791" s="10"/>
      <c r="D1791" s="25"/>
    </row>
    <row r="1792" spans="3:4">
      <c r="C1792" s="10"/>
      <c r="D1792" s="25"/>
    </row>
    <row r="1793" spans="3:4">
      <c r="C1793" s="10"/>
      <c r="D1793" s="25"/>
    </row>
    <row r="1794" spans="3:4">
      <c r="C1794" s="10"/>
      <c r="D1794" s="25"/>
    </row>
    <row r="1795" spans="3:4">
      <c r="C1795" s="10"/>
      <c r="D1795" s="25"/>
    </row>
    <row r="1796" spans="3:4">
      <c r="C1796" s="10"/>
      <c r="D1796" s="25"/>
    </row>
    <row r="1797" spans="3:4">
      <c r="C1797" s="10"/>
      <c r="D1797" s="25"/>
    </row>
    <row r="1798" spans="3:4">
      <c r="C1798" s="10"/>
      <c r="D1798" s="25"/>
    </row>
    <row r="1799" spans="3:4">
      <c r="C1799" s="10"/>
      <c r="D1799" s="25"/>
    </row>
    <row r="1800" spans="3:4">
      <c r="C1800" s="10"/>
      <c r="D1800" s="25"/>
    </row>
    <row r="1801" spans="3:4">
      <c r="C1801" s="10"/>
      <c r="D1801" s="25"/>
    </row>
    <row r="1802" spans="3:4">
      <c r="C1802" s="10"/>
      <c r="D1802" s="25"/>
    </row>
    <row r="1803" spans="3:4">
      <c r="C1803" s="10"/>
      <c r="D1803" s="25"/>
    </row>
    <row r="1804" spans="3:4">
      <c r="C1804" s="10"/>
      <c r="D1804" s="25"/>
    </row>
    <row r="1805" spans="3:4">
      <c r="C1805" s="10"/>
      <c r="D1805" s="25"/>
    </row>
    <row r="1806" spans="3:4">
      <c r="C1806" s="10"/>
      <c r="D1806" s="25"/>
    </row>
    <row r="1807" spans="3:4">
      <c r="C1807" s="10"/>
      <c r="D1807" s="25"/>
    </row>
    <row r="1808" spans="3:4">
      <c r="C1808" s="10"/>
      <c r="D1808" s="25"/>
    </row>
    <row r="1809" spans="3:4">
      <c r="C1809" s="10"/>
      <c r="D1809" s="25"/>
    </row>
    <row r="1810" spans="3:4">
      <c r="C1810" s="10"/>
      <c r="D1810" s="25"/>
    </row>
    <row r="1811" spans="3:4">
      <c r="C1811" s="10"/>
      <c r="D1811" s="25"/>
    </row>
    <row r="1812" spans="3:4">
      <c r="C1812" s="10"/>
      <c r="D1812" s="25"/>
    </row>
    <row r="1813" spans="3:4">
      <c r="C1813" s="10"/>
      <c r="D1813" s="25"/>
    </row>
    <row r="1814" spans="3:4">
      <c r="C1814" s="10"/>
      <c r="D1814" s="25"/>
    </row>
    <row r="1815" spans="3:4">
      <c r="C1815" s="10"/>
      <c r="D1815" s="25"/>
    </row>
    <row r="1816" spans="3:4">
      <c r="C1816" s="10"/>
      <c r="D1816" s="25"/>
    </row>
    <row r="1817" spans="3:4">
      <c r="C1817" s="10"/>
      <c r="D1817" s="25"/>
    </row>
    <row r="1818" spans="3:4">
      <c r="C1818" s="10"/>
      <c r="D1818" s="25"/>
    </row>
    <row r="1819" spans="3:4">
      <c r="C1819" s="10"/>
      <c r="D1819" s="25"/>
    </row>
    <row r="1820" spans="3:4">
      <c r="C1820" s="10"/>
      <c r="D1820" s="25"/>
    </row>
    <row r="1821" spans="3:4">
      <c r="C1821" s="10"/>
      <c r="D1821" s="25"/>
    </row>
    <row r="1822" spans="3:4">
      <c r="C1822" s="10"/>
      <c r="D1822" s="25"/>
    </row>
    <row r="1823" spans="3:4">
      <c r="C1823" s="10"/>
      <c r="D1823" s="25"/>
    </row>
    <row r="1824" spans="3:4">
      <c r="C1824" s="10"/>
      <c r="D1824" s="25"/>
    </row>
    <row r="1825" spans="3:4">
      <c r="C1825" s="10"/>
      <c r="D1825" s="25"/>
    </row>
    <row r="1826" spans="3:4">
      <c r="C1826" s="10"/>
      <c r="D1826" s="25"/>
    </row>
    <row r="1827" spans="3:4">
      <c r="C1827" s="10"/>
      <c r="D1827" s="25"/>
    </row>
    <row r="1828" spans="3:4">
      <c r="C1828" s="10"/>
      <c r="D1828" s="25"/>
    </row>
    <row r="1829" spans="3:4">
      <c r="C1829" s="10"/>
      <c r="D1829" s="25"/>
    </row>
    <row r="1830" spans="3:4">
      <c r="C1830" s="10"/>
      <c r="D1830" s="25"/>
    </row>
    <row r="1831" spans="3:4">
      <c r="C1831" s="10"/>
      <c r="D1831" s="25"/>
    </row>
    <row r="1832" spans="3:4">
      <c r="C1832" s="10"/>
      <c r="D1832" s="25"/>
    </row>
    <row r="1833" spans="3:4">
      <c r="C1833" s="10"/>
      <c r="D1833" s="25"/>
    </row>
    <row r="1834" spans="3:4">
      <c r="C1834" s="10"/>
      <c r="D1834" s="25"/>
    </row>
    <row r="1835" spans="3:4">
      <c r="C1835" s="10"/>
      <c r="D1835" s="25"/>
    </row>
    <row r="1836" spans="3:4">
      <c r="C1836" s="10"/>
      <c r="D1836" s="25"/>
    </row>
    <row r="1837" spans="3:4">
      <c r="C1837" s="10"/>
      <c r="D1837" s="25"/>
    </row>
    <row r="1838" spans="3:4">
      <c r="C1838" s="10"/>
      <c r="D1838" s="25"/>
    </row>
    <row r="1839" spans="3:4">
      <c r="C1839" s="10"/>
      <c r="D1839" s="25"/>
    </row>
    <row r="1840" spans="3:4">
      <c r="C1840" s="10"/>
      <c r="D1840" s="25"/>
    </row>
    <row r="1841" spans="3:4">
      <c r="C1841" s="10"/>
      <c r="D1841" s="25"/>
    </row>
    <row r="1842" spans="3:4">
      <c r="C1842" s="10"/>
      <c r="D1842" s="25"/>
    </row>
    <row r="1843" spans="3:4">
      <c r="C1843" s="10"/>
      <c r="D1843" s="25"/>
    </row>
    <row r="1844" spans="3:4">
      <c r="C1844" s="10"/>
      <c r="D1844" s="25"/>
    </row>
    <row r="1845" spans="3:4">
      <c r="C1845" s="10"/>
      <c r="D1845" s="25"/>
    </row>
    <row r="1846" spans="3:4">
      <c r="C1846" s="10"/>
      <c r="D1846" s="25"/>
    </row>
    <row r="1847" spans="3:4">
      <c r="C1847" s="10"/>
      <c r="D1847" s="25"/>
    </row>
    <row r="1848" spans="3:4">
      <c r="C1848" s="10"/>
      <c r="D1848" s="25"/>
    </row>
    <row r="1849" spans="3:4">
      <c r="C1849" s="10"/>
      <c r="D1849" s="25"/>
    </row>
    <row r="1850" spans="3:4">
      <c r="C1850" s="10"/>
      <c r="D1850" s="25"/>
    </row>
    <row r="1851" spans="3:4">
      <c r="C1851" s="10"/>
      <c r="D1851" s="25"/>
    </row>
    <row r="1852" spans="3:4">
      <c r="C1852" s="10"/>
      <c r="D1852" s="25"/>
    </row>
    <row r="1853" spans="3:4">
      <c r="C1853" s="10"/>
      <c r="D1853" s="25"/>
    </row>
    <row r="1854" spans="3:4">
      <c r="C1854" s="10"/>
      <c r="D1854" s="25"/>
    </row>
    <row r="1855" spans="3:4">
      <c r="C1855" s="10"/>
      <c r="D1855" s="25"/>
    </row>
    <row r="1856" spans="3:4">
      <c r="C1856" s="10"/>
      <c r="D1856" s="25"/>
    </row>
    <row r="1857" spans="3:4">
      <c r="C1857" s="10"/>
      <c r="D1857" s="25"/>
    </row>
    <row r="1858" spans="3:4">
      <c r="C1858" s="10"/>
      <c r="D1858" s="25"/>
    </row>
    <row r="1859" spans="3:4">
      <c r="C1859" s="10"/>
      <c r="D1859" s="25"/>
    </row>
    <row r="1860" spans="3:4">
      <c r="C1860" s="10"/>
      <c r="D1860" s="25"/>
    </row>
    <row r="1861" spans="3:4">
      <c r="C1861" s="10"/>
      <c r="D1861" s="25"/>
    </row>
    <row r="1862" spans="3:4">
      <c r="C1862" s="10"/>
      <c r="D1862" s="25"/>
    </row>
    <row r="1863" spans="3:4">
      <c r="C1863" s="10"/>
      <c r="D1863" s="25"/>
    </row>
    <row r="1864" spans="3:4">
      <c r="C1864" s="10"/>
      <c r="D1864" s="25"/>
    </row>
    <row r="1865" spans="3:4">
      <c r="C1865" s="10"/>
      <c r="D1865" s="25"/>
    </row>
    <row r="1866" spans="3:4">
      <c r="C1866" s="10"/>
      <c r="D1866" s="25"/>
    </row>
    <row r="1867" spans="3:4">
      <c r="C1867" s="10"/>
      <c r="D1867" s="25"/>
    </row>
    <row r="1868" spans="3:4">
      <c r="C1868" s="10"/>
      <c r="D1868" s="25"/>
    </row>
    <row r="1869" spans="3:4">
      <c r="C1869" s="10"/>
      <c r="D1869" s="25"/>
    </row>
    <row r="1870" spans="3:4">
      <c r="C1870" s="10"/>
      <c r="D1870" s="25"/>
    </row>
    <row r="1871" spans="3:4">
      <c r="C1871" s="10"/>
      <c r="D1871" s="25"/>
    </row>
    <row r="1872" spans="3:4">
      <c r="C1872" s="10"/>
      <c r="D1872" s="25"/>
    </row>
    <row r="1873" spans="3:4">
      <c r="C1873" s="10"/>
      <c r="D1873" s="25"/>
    </row>
    <row r="1874" spans="3:4">
      <c r="C1874" s="10"/>
      <c r="D1874" s="25"/>
    </row>
    <row r="1875" spans="3:4">
      <c r="C1875" s="10"/>
      <c r="D1875" s="25"/>
    </row>
    <row r="1876" spans="3:4">
      <c r="C1876" s="10"/>
      <c r="D1876" s="25"/>
    </row>
    <row r="1877" spans="3:4">
      <c r="C1877" s="10"/>
      <c r="D1877" s="25"/>
    </row>
    <row r="1878" spans="3:4">
      <c r="C1878" s="10"/>
      <c r="D1878" s="25"/>
    </row>
    <row r="1879" spans="3:4">
      <c r="C1879" s="10"/>
      <c r="D1879" s="25"/>
    </row>
    <row r="1880" spans="3:4">
      <c r="C1880" s="10"/>
      <c r="D1880" s="25"/>
    </row>
    <row r="1881" spans="3:4">
      <c r="C1881" s="10"/>
      <c r="D1881" s="25"/>
    </row>
    <row r="1882" spans="3:4">
      <c r="C1882" s="10"/>
      <c r="D1882" s="25"/>
    </row>
    <row r="1883" spans="3:4">
      <c r="C1883" s="10"/>
      <c r="D1883" s="25"/>
    </row>
    <row r="1884" spans="3:4">
      <c r="C1884" s="10"/>
      <c r="D1884" s="25"/>
    </row>
    <row r="1885" spans="3:4">
      <c r="C1885" s="10"/>
      <c r="D1885" s="25"/>
    </row>
    <row r="1886" spans="3:4">
      <c r="C1886" s="10"/>
      <c r="D1886" s="25"/>
    </row>
    <row r="1887" spans="3:4">
      <c r="C1887" s="10"/>
      <c r="D1887" s="25"/>
    </row>
    <row r="1888" spans="3:4">
      <c r="C1888" s="10"/>
      <c r="D1888" s="25"/>
    </row>
    <row r="1889" spans="3:4">
      <c r="C1889" s="10"/>
      <c r="D1889" s="25"/>
    </row>
    <row r="1890" spans="3:4">
      <c r="C1890" s="10"/>
      <c r="D1890" s="25"/>
    </row>
    <row r="1891" spans="3:4">
      <c r="C1891" s="10"/>
      <c r="D1891" s="25"/>
    </row>
    <row r="1892" spans="3:4">
      <c r="C1892" s="10"/>
      <c r="D1892" s="25"/>
    </row>
    <row r="1893" spans="3:4">
      <c r="C1893" s="10"/>
      <c r="D1893" s="25"/>
    </row>
    <row r="1894" spans="3:4">
      <c r="C1894" s="10"/>
      <c r="D1894" s="25"/>
    </row>
    <row r="1895" spans="3:4">
      <c r="C1895" s="10"/>
      <c r="D1895" s="25"/>
    </row>
    <row r="1896" spans="3:4">
      <c r="C1896" s="10"/>
      <c r="D1896" s="25"/>
    </row>
    <row r="1897" spans="3:4">
      <c r="C1897" s="10"/>
      <c r="D1897" s="25"/>
    </row>
    <row r="1898" spans="3:4">
      <c r="C1898" s="10"/>
      <c r="D1898" s="25"/>
    </row>
    <row r="1899" spans="3:4">
      <c r="C1899" s="10"/>
      <c r="D1899" s="25"/>
    </row>
    <row r="1900" spans="3:4">
      <c r="C1900" s="10"/>
      <c r="D1900" s="25"/>
    </row>
    <row r="1901" spans="3:4">
      <c r="C1901" s="10"/>
      <c r="D1901" s="25"/>
    </row>
    <row r="1902" spans="3:4">
      <c r="C1902" s="10"/>
      <c r="D1902" s="25"/>
    </row>
    <row r="1903" spans="3:4">
      <c r="C1903" s="10"/>
      <c r="D1903" s="25"/>
    </row>
    <row r="1904" spans="3:4">
      <c r="C1904" s="10"/>
      <c r="D1904" s="25"/>
    </row>
    <row r="1905" spans="3:4">
      <c r="C1905" s="10"/>
      <c r="D1905" s="25"/>
    </row>
    <row r="1906" spans="3:4">
      <c r="C1906" s="10"/>
      <c r="D1906" s="25"/>
    </row>
    <row r="1907" spans="3:4">
      <c r="C1907" s="10"/>
      <c r="D1907" s="25"/>
    </row>
    <row r="1908" spans="3:4">
      <c r="C1908" s="10"/>
      <c r="D1908" s="25"/>
    </row>
    <row r="1909" spans="3:4">
      <c r="C1909" s="10"/>
      <c r="D1909" s="25"/>
    </row>
    <row r="1910" spans="3:4">
      <c r="C1910" s="10"/>
      <c r="D1910" s="25"/>
    </row>
    <row r="1911" spans="3:4">
      <c r="C1911" s="10"/>
      <c r="D1911" s="25"/>
    </row>
    <row r="1912" spans="3:4">
      <c r="C1912" s="10"/>
      <c r="D1912" s="25"/>
    </row>
    <row r="1913" spans="3:4">
      <c r="C1913" s="10"/>
      <c r="D1913" s="25"/>
    </row>
    <row r="1914" spans="3:4">
      <c r="C1914" s="10"/>
      <c r="D1914" s="25"/>
    </row>
    <row r="1915" spans="3:4">
      <c r="C1915" s="10"/>
      <c r="D1915" s="25"/>
    </row>
    <row r="1916" spans="3:4">
      <c r="C1916" s="10"/>
      <c r="D1916" s="25"/>
    </row>
    <row r="1917" spans="3:4">
      <c r="C1917" s="10"/>
      <c r="D1917" s="25"/>
    </row>
    <row r="1918" spans="3:4">
      <c r="C1918" s="10"/>
      <c r="D1918" s="25"/>
    </row>
    <row r="1919" spans="3:4">
      <c r="C1919" s="10"/>
      <c r="D1919" s="25"/>
    </row>
    <row r="1920" spans="3:4">
      <c r="C1920" s="10"/>
      <c r="D1920" s="25"/>
    </row>
    <row r="1921" spans="3:4">
      <c r="C1921" s="10"/>
      <c r="D1921" s="25"/>
    </row>
    <row r="1922" spans="3:4">
      <c r="C1922" s="10"/>
      <c r="D1922" s="25"/>
    </row>
    <row r="1923" spans="3:4">
      <c r="C1923" s="10"/>
      <c r="D1923" s="25"/>
    </row>
    <row r="1924" spans="3:4">
      <c r="C1924" s="10"/>
      <c r="D1924" s="25"/>
    </row>
    <row r="1925" spans="3:4">
      <c r="C1925" s="10"/>
      <c r="D1925" s="25"/>
    </row>
    <row r="1926" spans="3:4">
      <c r="C1926" s="10"/>
      <c r="D1926" s="25"/>
    </row>
    <row r="1927" spans="3:4">
      <c r="C1927" s="10"/>
      <c r="D1927" s="25"/>
    </row>
    <row r="1928" spans="3:4">
      <c r="C1928" s="10"/>
      <c r="D1928" s="25"/>
    </row>
    <row r="1929" spans="3:4">
      <c r="C1929" s="10"/>
      <c r="D1929" s="25"/>
    </row>
    <row r="1930" spans="3:4">
      <c r="C1930" s="10"/>
      <c r="D1930" s="25"/>
    </row>
    <row r="1931" spans="3:4">
      <c r="C1931" s="10"/>
      <c r="D1931" s="25"/>
    </row>
    <row r="1932" spans="3:4">
      <c r="C1932" s="10"/>
      <c r="D1932" s="25"/>
    </row>
    <row r="1933" spans="3:4">
      <c r="C1933" s="10"/>
      <c r="D1933" s="25"/>
    </row>
    <row r="1934" spans="3:4">
      <c r="C1934" s="10"/>
      <c r="D1934" s="25"/>
    </row>
    <row r="1935" spans="3:4">
      <c r="C1935" s="10"/>
      <c r="D1935" s="25"/>
    </row>
    <row r="1936" spans="3:4">
      <c r="C1936" s="10"/>
      <c r="D1936" s="25"/>
    </row>
    <row r="1937" spans="3:4">
      <c r="C1937" s="10"/>
      <c r="D1937" s="25"/>
    </row>
    <row r="1938" spans="3:4">
      <c r="C1938" s="10"/>
      <c r="D1938" s="25"/>
    </row>
    <row r="1939" spans="3:4">
      <c r="C1939" s="10"/>
      <c r="D1939" s="25"/>
    </row>
    <row r="1940" spans="3:4">
      <c r="C1940" s="10"/>
      <c r="D1940" s="25"/>
    </row>
    <row r="1941" spans="3:4">
      <c r="C1941" s="10"/>
      <c r="D1941" s="25"/>
    </row>
    <row r="1942" spans="3:4">
      <c r="C1942" s="10"/>
      <c r="D1942" s="25"/>
    </row>
    <row r="1943" spans="3:4">
      <c r="C1943" s="10"/>
      <c r="D1943" s="25"/>
    </row>
    <row r="1944" spans="3:4">
      <c r="C1944" s="10"/>
      <c r="D1944" s="25"/>
    </row>
    <row r="1945" spans="3:4">
      <c r="C1945" s="10"/>
      <c r="D1945" s="25"/>
    </row>
    <row r="1946" spans="3:4">
      <c r="C1946" s="10"/>
      <c r="D1946" s="25"/>
    </row>
    <row r="1947" spans="3:4">
      <c r="C1947" s="10"/>
      <c r="D1947" s="25"/>
    </row>
    <row r="1948" spans="3:4">
      <c r="C1948" s="10"/>
      <c r="D1948" s="25"/>
    </row>
    <row r="1949" spans="3:4">
      <c r="C1949" s="10"/>
      <c r="D1949" s="25"/>
    </row>
    <row r="1950" spans="3:4">
      <c r="C1950" s="10"/>
      <c r="D1950" s="25"/>
    </row>
    <row r="1951" spans="3:4">
      <c r="C1951" s="10"/>
      <c r="D1951" s="25"/>
    </row>
    <row r="1952" spans="3:4">
      <c r="C1952" s="10"/>
      <c r="D1952" s="25"/>
    </row>
    <row r="1953" spans="3:4">
      <c r="C1953" s="10"/>
      <c r="D1953" s="25"/>
    </row>
    <row r="1954" spans="3:4">
      <c r="C1954" s="10"/>
      <c r="D1954" s="25"/>
    </row>
    <row r="1955" spans="3:4">
      <c r="C1955" s="10"/>
      <c r="D1955" s="25"/>
    </row>
    <row r="1956" spans="3:4">
      <c r="C1956" s="10"/>
      <c r="D1956" s="25"/>
    </row>
    <row r="1957" spans="3:4">
      <c r="C1957" s="10"/>
      <c r="D1957" s="25"/>
    </row>
    <row r="1958" spans="3:4">
      <c r="C1958" s="10"/>
      <c r="D1958" s="25"/>
    </row>
    <row r="1959" spans="3:4">
      <c r="C1959" s="10"/>
      <c r="D1959" s="25"/>
    </row>
    <row r="1960" spans="3:4">
      <c r="C1960" s="10"/>
      <c r="D1960" s="25"/>
    </row>
    <row r="1961" spans="3:4">
      <c r="C1961" s="10"/>
      <c r="D1961" s="25"/>
    </row>
    <row r="1962" spans="3:4">
      <c r="C1962" s="10"/>
      <c r="D1962" s="25"/>
    </row>
    <row r="1963" spans="3:4">
      <c r="C1963" s="10"/>
      <c r="D1963" s="25"/>
    </row>
    <row r="1964" spans="3:4">
      <c r="C1964" s="10"/>
      <c r="D1964" s="25"/>
    </row>
    <row r="1965" spans="3:4">
      <c r="C1965" s="10"/>
      <c r="D1965" s="25"/>
    </row>
    <row r="1966" spans="3:4">
      <c r="C1966" s="10"/>
      <c r="D1966" s="25"/>
    </row>
    <row r="1967" spans="3:4">
      <c r="C1967" s="10"/>
      <c r="D1967" s="25"/>
    </row>
    <row r="1968" spans="3:4">
      <c r="C1968" s="10"/>
      <c r="D1968" s="25"/>
    </row>
    <row r="1969" spans="3:4">
      <c r="C1969" s="10"/>
      <c r="D1969" s="25"/>
    </row>
    <row r="1970" spans="3:4">
      <c r="C1970" s="10"/>
      <c r="D1970" s="25"/>
    </row>
    <row r="1971" spans="3:4">
      <c r="C1971" s="10"/>
      <c r="D1971" s="25"/>
    </row>
    <row r="1972" spans="3:4">
      <c r="C1972" s="10"/>
      <c r="D1972" s="25"/>
    </row>
    <row r="1973" spans="3:4">
      <c r="C1973" s="10"/>
      <c r="D1973" s="25"/>
    </row>
    <row r="1974" spans="3:4">
      <c r="C1974" s="10"/>
      <c r="D1974" s="25"/>
    </row>
    <row r="1975" spans="3:4">
      <c r="C1975" s="10"/>
      <c r="D1975" s="25"/>
    </row>
    <row r="1976" spans="3:4">
      <c r="C1976" s="10"/>
      <c r="D1976" s="25"/>
    </row>
    <row r="1977" spans="3:4">
      <c r="C1977" s="10"/>
      <c r="D1977" s="25"/>
    </row>
    <row r="1978" spans="3:4">
      <c r="C1978" s="10"/>
      <c r="D1978" s="25"/>
    </row>
    <row r="1979" spans="3:4">
      <c r="C1979" s="10"/>
      <c r="D1979" s="25"/>
    </row>
    <row r="1980" spans="3:4">
      <c r="C1980" s="10"/>
      <c r="D1980" s="25"/>
    </row>
    <row r="1981" spans="3:4">
      <c r="C1981" s="10"/>
      <c r="D1981" s="25"/>
    </row>
    <row r="1982" spans="3:4">
      <c r="C1982" s="10"/>
      <c r="D1982" s="25"/>
    </row>
    <row r="1983" spans="3:4">
      <c r="C1983" s="10"/>
      <c r="D1983" s="25"/>
    </row>
    <row r="1984" spans="3:4">
      <c r="C1984" s="10"/>
      <c r="D1984" s="25"/>
    </row>
    <row r="1985" spans="3:4">
      <c r="C1985" s="10"/>
      <c r="D1985" s="25"/>
    </row>
    <row r="1986" spans="3:4">
      <c r="C1986" s="10"/>
      <c r="D1986" s="25"/>
    </row>
    <row r="1987" spans="3:4">
      <c r="C1987" s="10"/>
      <c r="D1987" s="25"/>
    </row>
    <row r="1988" spans="3:4">
      <c r="C1988" s="10"/>
      <c r="D1988" s="25"/>
    </row>
    <row r="1989" spans="3:4">
      <c r="C1989" s="10"/>
      <c r="D1989" s="25"/>
    </row>
    <row r="1990" spans="3:4">
      <c r="C1990" s="10"/>
      <c r="D1990" s="25"/>
    </row>
    <row r="1991" spans="3:4">
      <c r="C1991" s="10"/>
      <c r="D1991" s="25"/>
    </row>
    <row r="1992" spans="3:4">
      <c r="C1992" s="10"/>
      <c r="D1992" s="25"/>
    </row>
    <row r="1993" spans="3:4">
      <c r="C1993" s="10"/>
      <c r="D1993" s="25"/>
    </row>
    <row r="1994" spans="3:4">
      <c r="C1994" s="10"/>
      <c r="D1994" s="25"/>
    </row>
    <row r="1995" spans="3:4">
      <c r="C1995" s="10"/>
      <c r="D1995" s="25"/>
    </row>
    <row r="1996" spans="3:4">
      <c r="C1996" s="10"/>
      <c r="D1996" s="25"/>
    </row>
    <row r="1997" spans="3:4">
      <c r="C1997" s="10"/>
      <c r="D1997" s="25"/>
    </row>
    <row r="1998" spans="3:4">
      <c r="C1998" s="10"/>
      <c r="D1998" s="25"/>
    </row>
    <row r="1999" spans="3:4">
      <c r="C1999" s="10"/>
      <c r="D1999" s="25"/>
    </row>
    <row r="2000" spans="3:4">
      <c r="C2000" s="10"/>
      <c r="D2000" s="25"/>
    </row>
    <row r="2001" spans="3:4">
      <c r="C2001" s="10"/>
      <c r="D2001" s="25"/>
    </row>
    <row r="2002" spans="3:4">
      <c r="C2002" s="10"/>
      <c r="D2002" s="25"/>
    </row>
    <row r="2003" spans="3:4">
      <c r="C2003" s="10"/>
      <c r="D2003" s="25"/>
    </row>
    <row r="2004" spans="3:4">
      <c r="C2004" s="10"/>
      <c r="D2004" s="25"/>
    </row>
    <row r="2005" spans="3:4">
      <c r="C2005" s="10"/>
      <c r="D2005" s="25"/>
    </row>
    <row r="2006" spans="3:4">
      <c r="C2006" s="10"/>
      <c r="D2006" s="25"/>
    </row>
    <row r="2007" spans="3:4">
      <c r="C2007" s="10"/>
      <c r="D2007" s="25"/>
    </row>
    <row r="2008" spans="3:4">
      <c r="C2008" s="10"/>
      <c r="D2008" s="25"/>
    </row>
    <row r="2009" spans="3:4">
      <c r="C2009" s="10"/>
      <c r="D2009" s="25"/>
    </row>
    <row r="2010" spans="3:4">
      <c r="C2010" s="10"/>
      <c r="D2010" s="25"/>
    </row>
    <row r="2011" spans="3:4">
      <c r="C2011" s="10"/>
      <c r="D2011" s="25"/>
    </row>
    <row r="2012" spans="3:4">
      <c r="C2012" s="10"/>
      <c r="D2012" s="25"/>
    </row>
    <row r="2013" spans="3:4">
      <c r="C2013" s="10"/>
      <c r="D2013" s="25"/>
    </row>
    <row r="2014" spans="3:4">
      <c r="C2014" s="10"/>
      <c r="D2014" s="25"/>
    </row>
    <row r="2015" spans="3:4">
      <c r="C2015" s="10"/>
      <c r="D2015" s="25"/>
    </row>
    <row r="2016" spans="3:4">
      <c r="C2016" s="10"/>
      <c r="D2016" s="25"/>
    </row>
    <row r="2017" spans="3:4">
      <c r="C2017" s="10"/>
      <c r="D2017" s="25"/>
    </row>
    <row r="2018" spans="3:4">
      <c r="C2018" s="10"/>
      <c r="D2018" s="25"/>
    </row>
    <row r="2019" spans="3:4">
      <c r="C2019" s="10"/>
      <c r="D2019" s="25"/>
    </row>
    <row r="2020" spans="3:4">
      <c r="C2020" s="10"/>
      <c r="D2020" s="25"/>
    </row>
    <row r="2021" spans="3:4">
      <c r="C2021" s="10"/>
      <c r="D2021" s="25"/>
    </row>
    <row r="2022" spans="3:4">
      <c r="C2022" s="10"/>
      <c r="D2022" s="25"/>
    </row>
    <row r="2023" spans="3:4">
      <c r="C2023" s="10"/>
      <c r="D2023" s="25"/>
    </row>
    <row r="2024" spans="3:4">
      <c r="C2024" s="10"/>
      <c r="D2024" s="25"/>
    </row>
    <row r="2025" spans="3:4">
      <c r="C2025" s="10"/>
      <c r="D2025" s="25"/>
    </row>
    <row r="2026" spans="3:4">
      <c r="C2026" s="10"/>
      <c r="D2026" s="25"/>
    </row>
    <row r="2027" spans="3:4">
      <c r="C2027" s="10"/>
      <c r="D2027" s="25"/>
    </row>
    <row r="2028" spans="3:4">
      <c r="C2028" s="10"/>
      <c r="D2028" s="25"/>
    </row>
    <row r="2029" spans="3:4">
      <c r="C2029" s="10"/>
      <c r="D2029" s="25"/>
    </row>
    <row r="2030" spans="3:4">
      <c r="C2030" s="10"/>
      <c r="D2030" s="25"/>
    </row>
    <row r="2031" spans="3:4">
      <c r="C2031" s="10"/>
      <c r="D2031" s="25"/>
    </row>
    <row r="2032" spans="3:4">
      <c r="C2032" s="10"/>
      <c r="D2032" s="25"/>
    </row>
    <row r="2033" spans="3:4">
      <c r="C2033" s="10"/>
      <c r="D2033" s="25"/>
    </row>
    <row r="2034" spans="3:4">
      <c r="C2034" s="10"/>
      <c r="D2034" s="25"/>
    </row>
    <row r="2035" spans="3:4">
      <c r="C2035" s="10"/>
      <c r="D2035" s="25"/>
    </row>
    <row r="2036" spans="3:4">
      <c r="C2036" s="10"/>
      <c r="D2036" s="25"/>
    </row>
    <row r="2037" spans="3:4">
      <c r="C2037" s="10"/>
      <c r="D2037" s="25"/>
    </row>
    <row r="2038" spans="3:4">
      <c r="C2038" s="10"/>
      <c r="D2038" s="25"/>
    </row>
    <row r="2039" spans="3:4">
      <c r="C2039" s="10"/>
      <c r="D2039" s="25"/>
    </row>
    <row r="2040" spans="3:4">
      <c r="C2040" s="10"/>
      <c r="D2040" s="25"/>
    </row>
    <row r="2041" spans="3:4">
      <c r="C2041" s="10"/>
      <c r="D2041" s="25"/>
    </row>
    <row r="2042" spans="3:4">
      <c r="C2042" s="10"/>
      <c r="D2042" s="25"/>
    </row>
    <row r="2043" spans="3:4">
      <c r="C2043" s="10"/>
      <c r="D2043" s="25"/>
    </row>
    <row r="2044" spans="3:4">
      <c r="C2044" s="10"/>
      <c r="D2044" s="25"/>
    </row>
    <row r="2045" spans="3:4">
      <c r="C2045" s="10"/>
      <c r="D2045" s="25"/>
    </row>
    <row r="2046" spans="3:4">
      <c r="C2046" s="10"/>
      <c r="D2046" s="25"/>
    </row>
    <row r="2047" spans="3:4">
      <c r="C2047" s="10"/>
      <c r="D2047" s="25"/>
    </row>
    <row r="2048" spans="3:4">
      <c r="C2048" s="10"/>
      <c r="D2048" s="25"/>
    </row>
    <row r="2049" spans="3:4">
      <c r="C2049" s="10"/>
      <c r="D2049" s="25"/>
    </row>
    <row r="2050" spans="3:4">
      <c r="C2050" s="10"/>
      <c r="D2050" s="25"/>
    </row>
    <row r="2051" spans="3:4">
      <c r="C2051" s="10"/>
      <c r="D2051" s="25"/>
    </row>
    <row r="2052" spans="3:4">
      <c r="C2052" s="10"/>
      <c r="D2052" s="25"/>
    </row>
    <row r="2053" spans="3:4">
      <c r="C2053" s="10"/>
      <c r="D2053" s="25"/>
    </row>
    <row r="2054" spans="3:4">
      <c r="C2054" s="10"/>
      <c r="D2054" s="25"/>
    </row>
    <row r="2055" spans="3:4">
      <c r="C2055" s="10"/>
      <c r="D2055" s="25"/>
    </row>
    <row r="2056" spans="3:4">
      <c r="C2056" s="10"/>
      <c r="D2056" s="25"/>
    </row>
    <row r="2057" spans="3:4">
      <c r="C2057" s="10"/>
      <c r="D2057" s="25"/>
    </row>
    <row r="2058" spans="3:4">
      <c r="C2058" s="10"/>
      <c r="D2058" s="25"/>
    </row>
    <row r="2059" spans="3:4">
      <c r="C2059" s="10"/>
      <c r="D2059" s="25"/>
    </row>
    <row r="2060" spans="3:4">
      <c r="C2060" s="10"/>
      <c r="D2060" s="25"/>
    </row>
    <row r="2061" spans="3:4">
      <c r="C2061" s="10"/>
      <c r="D2061" s="25"/>
    </row>
    <row r="2062" spans="3:4">
      <c r="C2062" s="10"/>
      <c r="D2062" s="25"/>
    </row>
    <row r="2063" spans="3:4">
      <c r="C2063" s="10"/>
      <c r="D2063" s="25"/>
    </row>
    <row r="2064" spans="3:4">
      <c r="C2064" s="10"/>
      <c r="D2064" s="25"/>
    </row>
    <row r="2065" spans="3:4">
      <c r="C2065" s="10"/>
      <c r="D2065" s="25"/>
    </row>
    <row r="2066" spans="3:4">
      <c r="C2066" s="10"/>
      <c r="D2066" s="25"/>
    </row>
    <row r="2067" spans="3:4">
      <c r="C2067" s="10"/>
      <c r="D2067" s="25"/>
    </row>
    <row r="2068" spans="3:4">
      <c r="C2068" s="10"/>
      <c r="D2068" s="25"/>
    </row>
    <row r="2069" spans="3:4">
      <c r="C2069" s="10"/>
      <c r="D2069" s="25"/>
    </row>
    <row r="2070" spans="3:4">
      <c r="C2070" s="10"/>
      <c r="D2070" s="25"/>
    </row>
    <row r="2071" spans="3:4">
      <c r="C2071" s="10"/>
      <c r="D2071" s="25"/>
    </row>
    <row r="2072" spans="3:4">
      <c r="C2072" s="10"/>
      <c r="D2072" s="25"/>
    </row>
    <row r="2073" spans="3:4">
      <c r="C2073" s="10"/>
      <c r="D2073" s="25"/>
    </row>
    <row r="2074" spans="3:4">
      <c r="C2074" s="10"/>
      <c r="D2074" s="25"/>
    </row>
    <row r="2075" spans="3:4">
      <c r="C2075" s="10"/>
      <c r="D2075" s="25"/>
    </row>
    <row r="2076" spans="3:4">
      <c r="C2076" s="10"/>
      <c r="D2076" s="25"/>
    </row>
    <row r="2077" spans="3:4">
      <c r="C2077" s="10"/>
      <c r="D2077" s="25"/>
    </row>
    <row r="2078" spans="3:4">
      <c r="C2078" s="10"/>
      <c r="D2078" s="25"/>
    </row>
    <row r="2079" spans="3:4">
      <c r="C2079" s="10"/>
      <c r="D2079" s="25"/>
    </row>
    <row r="2080" spans="3:4">
      <c r="C2080" s="10"/>
      <c r="D2080" s="25"/>
    </row>
    <row r="2081" spans="3:4">
      <c r="C2081" s="10"/>
      <c r="D2081" s="25"/>
    </row>
    <row r="2082" spans="3:4">
      <c r="C2082" s="10"/>
      <c r="D2082" s="25"/>
    </row>
    <row r="2083" spans="3:4">
      <c r="C2083" s="10"/>
      <c r="D2083" s="25"/>
    </row>
    <row r="2084" spans="3:4">
      <c r="C2084" s="10"/>
      <c r="D2084" s="25"/>
    </row>
    <row r="2085" spans="3:4">
      <c r="C2085" s="10"/>
      <c r="D2085" s="25"/>
    </row>
    <row r="2086" spans="3:4">
      <c r="C2086" s="10"/>
      <c r="D2086" s="25"/>
    </row>
    <row r="2087" spans="3:4">
      <c r="C2087" s="10"/>
      <c r="D2087" s="25"/>
    </row>
    <row r="2088" spans="3:4">
      <c r="C2088" s="10"/>
      <c r="D2088" s="25"/>
    </row>
    <row r="2089" spans="3:4">
      <c r="C2089" s="10"/>
      <c r="D2089" s="25"/>
    </row>
    <row r="2090" spans="3:4">
      <c r="C2090" s="10"/>
      <c r="D2090" s="25"/>
    </row>
    <row r="2091" spans="3:4">
      <c r="C2091" s="10"/>
      <c r="D2091" s="25"/>
    </row>
    <row r="2092" spans="3:4">
      <c r="C2092" s="10"/>
      <c r="D2092" s="25"/>
    </row>
    <row r="2093" spans="3:4">
      <c r="C2093" s="10"/>
      <c r="D2093" s="25"/>
    </row>
    <row r="2094" spans="3:4">
      <c r="C2094" s="10"/>
      <c r="D2094" s="25"/>
    </row>
    <row r="2095" spans="3:4">
      <c r="C2095" s="10"/>
      <c r="D2095" s="25"/>
    </row>
    <row r="2096" spans="3:4">
      <c r="C2096" s="10"/>
      <c r="D2096" s="25"/>
    </row>
    <row r="2097" spans="3:4">
      <c r="C2097" s="10"/>
      <c r="D2097" s="25"/>
    </row>
    <row r="2098" spans="3:4">
      <c r="C2098" s="10"/>
      <c r="D2098" s="25"/>
    </row>
    <row r="2099" spans="3:4">
      <c r="C2099" s="10"/>
      <c r="D2099" s="25"/>
    </row>
    <row r="2100" spans="3:4">
      <c r="C2100" s="10"/>
      <c r="D2100" s="25"/>
    </row>
    <row r="2101" spans="3:4">
      <c r="C2101" s="10"/>
      <c r="D2101" s="25"/>
    </row>
    <row r="2102" spans="3:4">
      <c r="C2102" s="10"/>
      <c r="D2102" s="25"/>
    </row>
    <row r="2103" spans="3:4">
      <c r="C2103" s="10"/>
      <c r="D2103" s="25"/>
    </row>
    <row r="2104" spans="3:4">
      <c r="C2104" s="10"/>
      <c r="D2104" s="25"/>
    </row>
    <row r="2105" spans="3:4">
      <c r="C2105" s="10"/>
      <c r="D2105" s="25"/>
    </row>
    <row r="2106" spans="3:4">
      <c r="C2106" s="10"/>
      <c r="D2106" s="25"/>
    </row>
    <row r="2107" spans="3:4">
      <c r="C2107" s="10"/>
      <c r="D2107" s="25"/>
    </row>
    <row r="2108" spans="3:4">
      <c r="C2108" s="10"/>
      <c r="D2108" s="25"/>
    </row>
    <row r="2109" spans="3:4">
      <c r="C2109" s="10"/>
      <c r="D2109" s="25"/>
    </row>
    <row r="2110" spans="3:4">
      <c r="C2110" s="10"/>
      <c r="D2110" s="25"/>
    </row>
    <row r="2111" spans="3:4">
      <c r="C2111" s="10"/>
      <c r="D2111" s="25"/>
    </row>
    <row r="2112" spans="3:4">
      <c r="C2112" s="10"/>
      <c r="D2112" s="25"/>
    </row>
    <row r="2113" spans="3:4">
      <c r="C2113" s="10"/>
      <c r="D2113" s="25"/>
    </row>
    <row r="2114" spans="3:4">
      <c r="C2114" s="10"/>
      <c r="D2114" s="25"/>
    </row>
    <row r="2115" spans="3:4">
      <c r="C2115" s="10"/>
      <c r="D2115" s="25"/>
    </row>
    <row r="2116" spans="3:4">
      <c r="C2116" s="10"/>
      <c r="D2116" s="25"/>
    </row>
    <row r="2117" spans="3:4">
      <c r="C2117" s="10"/>
      <c r="D2117" s="25"/>
    </row>
    <row r="2118" spans="3:4">
      <c r="C2118" s="10"/>
      <c r="D2118" s="25"/>
    </row>
    <row r="2119" spans="3:4">
      <c r="C2119" s="10"/>
      <c r="D2119" s="25"/>
    </row>
    <row r="2120" spans="3:4">
      <c r="C2120" s="10"/>
      <c r="D2120" s="25"/>
    </row>
    <row r="2121" spans="3:4">
      <c r="C2121" s="10"/>
      <c r="D2121" s="25"/>
    </row>
    <row r="2122" spans="3:4">
      <c r="C2122" s="10"/>
      <c r="D2122" s="25"/>
    </row>
    <row r="2123" spans="3:4">
      <c r="C2123" s="10"/>
      <c r="D2123" s="25"/>
    </row>
    <row r="2124" spans="3:4">
      <c r="C2124" s="10"/>
      <c r="D2124" s="25"/>
    </row>
    <row r="2125" spans="3:4">
      <c r="C2125" s="10"/>
      <c r="D2125" s="25"/>
    </row>
    <row r="2126" spans="3:4">
      <c r="C2126" s="10"/>
      <c r="D2126" s="25"/>
    </row>
    <row r="2127" spans="3:4">
      <c r="C2127" s="10"/>
      <c r="D2127" s="25"/>
    </row>
    <row r="2128" spans="3:4">
      <c r="C2128" s="10"/>
      <c r="D2128" s="25"/>
    </row>
    <row r="2129" spans="3:4">
      <c r="C2129" s="10"/>
      <c r="D2129" s="25"/>
    </row>
    <row r="2130" spans="3:4">
      <c r="C2130" s="10"/>
      <c r="D2130" s="25"/>
    </row>
    <row r="2131" spans="3:4">
      <c r="C2131" s="10"/>
      <c r="D2131" s="25"/>
    </row>
    <row r="2132" spans="3:4">
      <c r="C2132" s="10"/>
      <c r="D2132" s="25"/>
    </row>
    <row r="2133" spans="3:4">
      <c r="C2133" s="10"/>
      <c r="D2133" s="25"/>
    </row>
    <row r="2134" spans="3:4">
      <c r="C2134" s="10"/>
      <c r="D2134" s="25"/>
    </row>
    <row r="2135" spans="3:4">
      <c r="C2135" s="10"/>
      <c r="D2135" s="25"/>
    </row>
    <row r="2136" spans="3:4">
      <c r="C2136" s="10"/>
      <c r="D2136" s="25"/>
    </row>
    <row r="2137" spans="3:4">
      <c r="C2137" s="10"/>
      <c r="D2137" s="25"/>
    </row>
    <row r="2138" spans="3:4">
      <c r="C2138" s="10"/>
      <c r="D2138" s="25"/>
    </row>
    <row r="2139" spans="3:4">
      <c r="C2139" s="10"/>
      <c r="D2139" s="25"/>
    </row>
    <row r="2140" spans="3:4">
      <c r="C2140" s="10"/>
      <c r="D2140" s="25"/>
    </row>
    <row r="2141" spans="3:4">
      <c r="C2141" s="10"/>
      <c r="D2141" s="25"/>
    </row>
    <row r="2142" spans="3:4">
      <c r="C2142" s="10"/>
      <c r="D2142" s="25"/>
    </row>
    <row r="2143" spans="3:4">
      <c r="C2143" s="10"/>
      <c r="D2143" s="25"/>
    </row>
    <row r="2144" spans="3:4">
      <c r="C2144" s="10"/>
      <c r="D2144" s="25"/>
    </row>
    <row r="2145" spans="3:4">
      <c r="C2145" s="10"/>
      <c r="D2145" s="25"/>
    </row>
    <row r="2146" spans="3:4">
      <c r="C2146" s="10"/>
      <c r="D2146" s="25"/>
    </row>
    <row r="2147" spans="3:4">
      <c r="C2147" s="10"/>
      <c r="D2147" s="25"/>
    </row>
    <row r="2148" spans="3:4">
      <c r="C2148" s="10"/>
      <c r="D2148" s="25"/>
    </row>
    <row r="2149" spans="3:4">
      <c r="C2149" s="10"/>
      <c r="D2149" s="25"/>
    </row>
    <row r="2150" spans="3:4">
      <c r="C2150" s="10"/>
      <c r="D2150" s="25"/>
    </row>
    <row r="2151" spans="3:4">
      <c r="C2151" s="10"/>
      <c r="D2151" s="25"/>
    </row>
    <row r="2152" spans="3:4">
      <c r="C2152" s="10"/>
      <c r="D2152" s="25"/>
    </row>
    <row r="2153" spans="3:4">
      <c r="C2153" s="10"/>
      <c r="D2153" s="25"/>
    </row>
    <row r="2154" spans="3:4">
      <c r="C2154" s="10"/>
      <c r="D2154" s="25"/>
    </row>
    <row r="2155" spans="3:4">
      <c r="C2155" s="10"/>
      <c r="D2155" s="25"/>
    </row>
    <row r="2156" spans="3:4">
      <c r="C2156" s="10"/>
      <c r="D2156" s="25"/>
    </row>
    <row r="2157" spans="3:4">
      <c r="C2157" s="10"/>
      <c r="D2157" s="25"/>
    </row>
    <row r="2158" spans="3:4">
      <c r="C2158" s="10"/>
      <c r="D2158" s="25"/>
    </row>
    <row r="2159" spans="3:4">
      <c r="C2159" s="10"/>
      <c r="D2159" s="25"/>
    </row>
    <row r="2160" spans="3:4">
      <c r="C2160" s="10"/>
      <c r="D2160" s="25"/>
    </row>
    <row r="2161" spans="3:4">
      <c r="C2161" s="10"/>
      <c r="D2161" s="25"/>
    </row>
    <row r="2162" spans="3:4">
      <c r="C2162" s="10"/>
      <c r="D2162" s="25"/>
    </row>
    <row r="2163" spans="3:4">
      <c r="C2163" s="10"/>
      <c r="D2163" s="25"/>
    </row>
    <row r="2164" spans="3:4">
      <c r="C2164" s="10"/>
      <c r="D2164" s="25"/>
    </row>
    <row r="2165" spans="3:4">
      <c r="C2165" s="10"/>
      <c r="D2165" s="25"/>
    </row>
    <row r="2166" spans="3:4">
      <c r="C2166" s="10"/>
      <c r="D2166" s="25"/>
    </row>
    <row r="2167" spans="3:4">
      <c r="C2167" s="10"/>
      <c r="D2167" s="25"/>
    </row>
    <row r="2168" spans="3:4">
      <c r="C2168" s="10"/>
      <c r="D2168" s="25"/>
    </row>
    <row r="2169" spans="3:4">
      <c r="C2169" s="10"/>
      <c r="D2169" s="25"/>
    </row>
    <row r="2170" spans="3:4">
      <c r="C2170" s="10"/>
      <c r="D2170" s="25"/>
    </row>
    <row r="2171" spans="3:4">
      <c r="C2171" s="10"/>
      <c r="D2171" s="25"/>
    </row>
    <row r="2172" spans="3:4">
      <c r="C2172" s="10"/>
      <c r="D2172" s="25"/>
    </row>
    <row r="2173" spans="3:4">
      <c r="C2173" s="10"/>
      <c r="D2173" s="25"/>
    </row>
    <row r="2174" spans="3:4">
      <c r="C2174" s="10"/>
      <c r="D2174" s="25"/>
    </row>
    <row r="2175" spans="3:4">
      <c r="C2175" s="10"/>
      <c r="D2175" s="25"/>
    </row>
    <row r="2176" spans="3:4">
      <c r="C2176" s="10"/>
      <c r="D2176" s="25"/>
    </row>
    <row r="2177" spans="3:4">
      <c r="C2177" s="10"/>
      <c r="D2177" s="25"/>
    </row>
    <row r="2178" spans="3:4">
      <c r="C2178" s="10"/>
      <c r="D2178" s="25"/>
    </row>
    <row r="2179" spans="3:4">
      <c r="C2179" s="10"/>
      <c r="D2179" s="25"/>
    </row>
    <row r="2180" spans="3:4">
      <c r="C2180" s="10"/>
      <c r="D2180" s="25"/>
    </row>
    <row r="2181" spans="3:4">
      <c r="C2181" s="10"/>
      <c r="D2181" s="25"/>
    </row>
    <row r="2182" spans="3:4">
      <c r="C2182" s="10"/>
      <c r="D2182" s="25"/>
    </row>
    <row r="2183" spans="3:4">
      <c r="C2183" s="10"/>
      <c r="D2183" s="25"/>
    </row>
    <row r="2184" spans="3:4">
      <c r="C2184" s="10"/>
      <c r="D2184" s="25"/>
    </row>
    <row r="2185" spans="3:4">
      <c r="C2185" s="10"/>
      <c r="D2185" s="25"/>
    </row>
    <row r="2186" spans="3:4">
      <c r="C2186" s="10"/>
      <c r="D2186" s="25"/>
    </row>
    <row r="2187" spans="3:4">
      <c r="C2187" s="10"/>
      <c r="D2187" s="25"/>
    </row>
    <row r="2188" spans="3:4">
      <c r="C2188" s="10"/>
      <c r="D2188" s="25"/>
    </row>
    <row r="2189" spans="3:4">
      <c r="C2189" s="10"/>
      <c r="D2189" s="25"/>
    </row>
    <row r="2190" spans="3:4">
      <c r="C2190" s="10"/>
      <c r="D2190" s="25"/>
    </row>
    <row r="2191" spans="3:4">
      <c r="C2191" s="10"/>
      <c r="D2191" s="25"/>
    </row>
    <row r="2192" spans="3:4">
      <c r="C2192" s="10"/>
      <c r="D2192" s="25"/>
    </row>
    <row r="2193" spans="3:4">
      <c r="C2193" s="10"/>
      <c r="D2193" s="25"/>
    </row>
    <row r="2194" spans="3:4">
      <c r="C2194" s="10"/>
      <c r="D2194" s="25"/>
    </row>
    <row r="2195" spans="3:4">
      <c r="C2195" s="10"/>
      <c r="D2195" s="25"/>
    </row>
    <row r="2196" spans="3:4">
      <c r="C2196" s="10"/>
      <c r="D2196" s="25"/>
    </row>
    <row r="2197" spans="3:4">
      <c r="C2197" s="10"/>
      <c r="D2197" s="25"/>
    </row>
    <row r="2198" spans="3:4">
      <c r="C2198" s="10"/>
      <c r="D2198" s="25"/>
    </row>
    <row r="2199" spans="3:4">
      <c r="C2199" s="10"/>
      <c r="D2199" s="25"/>
    </row>
    <row r="2200" spans="3:4">
      <c r="C2200" s="10"/>
      <c r="D2200" s="25"/>
    </row>
    <row r="2201" spans="3:4">
      <c r="C2201" s="10"/>
      <c r="D2201" s="25"/>
    </row>
    <row r="2202" spans="3:4">
      <c r="C2202" s="10"/>
      <c r="D2202" s="25"/>
    </row>
    <row r="2203" spans="3:4">
      <c r="C2203" s="10"/>
      <c r="D2203" s="25"/>
    </row>
    <row r="2204" spans="3:4">
      <c r="C2204" s="10"/>
      <c r="D2204" s="25"/>
    </row>
    <row r="2205" spans="3:4">
      <c r="C2205" s="10"/>
      <c r="D2205" s="25"/>
    </row>
    <row r="2206" spans="3:4">
      <c r="C2206" s="10"/>
      <c r="D2206" s="25"/>
    </row>
    <row r="2207" spans="3:4">
      <c r="C2207" s="10"/>
      <c r="D2207" s="25"/>
    </row>
    <row r="2208" spans="3:4">
      <c r="C2208" s="10"/>
      <c r="D2208" s="25"/>
    </row>
    <row r="2209" spans="3:4">
      <c r="C2209" s="10"/>
      <c r="D2209" s="25"/>
    </row>
    <row r="2210" spans="3:4">
      <c r="C2210" s="10"/>
      <c r="D2210" s="25"/>
    </row>
    <row r="2211" spans="3:4">
      <c r="C2211" s="10"/>
      <c r="D2211" s="25"/>
    </row>
    <row r="2212" spans="3:4">
      <c r="C2212" s="10"/>
      <c r="D2212" s="25"/>
    </row>
    <row r="2213" spans="3:4">
      <c r="C2213" s="10"/>
      <c r="D2213" s="25"/>
    </row>
    <row r="2214" spans="3:4">
      <c r="C2214" s="10"/>
      <c r="D2214" s="25"/>
    </row>
    <row r="2215" spans="3:4">
      <c r="C2215" s="10"/>
      <c r="D2215" s="25"/>
    </row>
    <row r="2216" spans="3:4">
      <c r="C2216" s="10"/>
      <c r="D2216" s="25"/>
    </row>
    <row r="2217" spans="3:4">
      <c r="C2217" s="10"/>
      <c r="D2217" s="25"/>
    </row>
    <row r="2218" spans="3:4">
      <c r="C2218" s="10"/>
      <c r="D2218" s="25"/>
    </row>
    <row r="2219" spans="3:4">
      <c r="C2219" s="10"/>
      <c r="D2219" s="25"/>
    </row>
    <row r="2220" spans="3:4">
      <c r="C2220" s="10"/>
      <c r="D2220" s="25"/>
    </row>
    <row r="2221" spans="3:4">
      <c r="C2221" s="10"/>
      <c r="D2221" s="25"/>
    </row>
    <row r="2222" spans="3:4">
      <c r="C2222" s="10"/>
      <c r="D2222" s="25"/>
    </row>
    <row r="2223" spans="3:4">
      <c r="C2223" s="10"/>
      <c r="D2223" s="25"/>
    </row>
    <row r="2224" spans="3:4">
      <c r="C2224" s="10"/>
      <c r="D2224" s="25"/>
    </row>
    <row r="2225" spans="3:4">
      <c r="C2225" s="10"/>
      <c r="D2225" s="25"/>
    </row>
    <row r="2226" spans="3:4">
      <c r="C2226" s="10"/>
      <c r="D2226" s="25"/>
    </row>
    <row r="2227" spans="3:4">
      <c r="C2227" s="10"/>
      <c r="D2227" s="25"/>
    </row>
    <row r="2228" spans="3:4">
      <c r="C2228" s="10"/>
      <c r="D2228" s="25"/>
    </row>
    <row r="2229" spans="3:4">
      <c r="C2229" s="10"/>
      <c r="D2229" s="25"/>
    </row>
    <row r="2230" spans="3:4">
      <c r="C2230" s="10"/>
      <c r="D2230" s="25"/>
    </row>
    <row r="2231" spans="3:4">
      <c r="C2231" s="10"/>
      <c r="D2231" s="25"/>
    </row>
    <row r="2232" spans="3:4">
      <c r="C2232" s="10"/>
      <c r="D2232" s="25"/>
    </row>
    <row r="2233" spans="3:4">
      <c r="C2233" s="10"/>
      <c r="D2233" s="25"/>
    </row>
    <row r="2234" spans="3:4">
      <c r="C2234" s="10"/>
      <c r="D2234" s="25"/>
    </row>
    <row r="2235" spans="3:4">
      <c r="C2235" s="10"/>
      <c r="D2235" s="25"/>
    </row>
    <row r="2236" spans="3:4">
      <c r="C2236" s="10"/>
      <c r="D2236" s="25"/>
    </row>
    <row r="2237" spans="3:4">
      <c r="C2237" s="10"/>
      <c r="D2237" s="25"/>
    </row>
    <row r="2238" spans="3:4">
      <c r="C2238" s="10"/>
      <c r="D2238" s="25"/>
    </row>
    <row r="2239" spans="3:4">
      <c r="C2239" s="10"/>
      <c r="D2239" s="25"/>
    </row>
    <row r="2240" spans="3:4">
      <c r="C2240" s="10"/>
      <c r="D2240" s="25"/>
    </row>
    <row r="2241" spans="3:4">
      <c r="C2241" s="10"/>
      <c r="D2241" s="25"/>
    </row>
    <row r="2242" spans="3:4">
      <c r="C2242" s="10"/>
      <c r="D2242" s="25"/>
    </row>
    <row r="2243" spans="3:4">
      <c r="C2243" s="10"/>
      <c r="D2243" s="25"/>
    </row>
    <row r="2244" spans="3:4">
      <c r="C2244" s="10"/>
      <c r="D2244" s="25"/>
    </row>
    <row r="2245" spans="3:4">
      <c r="C2245" s="10"/>
      <c r="D2245" s="25"/>
    </row>
    <row r="2246" spans="3:4">
      <c r="C2246" s="10"/>
      <c r="D2246" s="25"/>
    </row>
    <row r="2247" spans="3:4">
      <c r="C2247" s="10"/>
      <c r="D2247" s="25"/>
    </row>
    <row r="2248" spans="3:4">
      <c r="C2248" s="10"/>
      <c r="D2248" s="25"/>
    </row>
    <row r="2249" spans="3:4">
      <c r="C2249" s="10"/>
      <c r="D2249" s="25"/>
    </row>
    <row r="2250" spans="3:4">
      <c r="C2250" s="10"/>
      <c r="D2250" s="25"/>
    </row>
    <row r="2251" spans="3:4">
      <c r="C2251" s="10"/>
      <c r="D2251" s="25"/>
    </row>
    <row r="2252" spans="3:4">
      <c r="C2252" s="10"/>
      <c r="D2252" s="25"/>
    </row>
    <row r="2253" spans="3:4">
      <c r="C2253" s="10"/>
      <c r="D2253" s="25"/>
    </row>
    <row r="2254" spans="3:4">
      <c r="C2254" s="10"/>
      <c r="D2254" s="25"/>
    </row>
    <row r="2255" spans="3:4">
      <c r="C2255" s="10"/>
      <c r="D2255" s="25"/>
    </row>
    <row r="2256" spans="3:4">
      <c r="C2256" s="10"/>
      <c r="D2256" s="25"/>
    </row>
    <row r="2257" spans="3:4">
      <c r="C2257" s="10"/>
      <c r="D2257" s="25"/>
    </row>
    <row r="2258" spans="3:4">
      <c r="C2258" s="10"/>
      <c r="D2258" s="25"/>
    </row>
    <row r="2259" spans="3:4">
      <c r="C2259" s="10"/>
      <c r="D2259" s="25"/>
    </row>
    <row r="2260" spans="3:4">
      <c r="C2260" s="10"/>
      <c r="D2260" s="25"/>
    </row>
    <row r="2261" spans="3:4">
      <c r="C2261" s="10"/>
      <c r="D2261" s="25"/>
    </row>
    <row r="2262" spans="3:4">
      <c r="C2262" s="10"/>
      <c r="D2262" s="25"/>
    </row>
    <row r="2263" spans="3:4">
      <c r="C2263" s="10"/>
      <c r="D2263" s="25"/>
    </row>
    <row r="2264" spans="3:4">
      <c r="C2264" s="10"/>
      <c r="D2264" s="25"/>
    </row>
    <row r="2265" spans="3:4">
      <c r="C2265" s="10"/>
      <c r="D2265" s="25"/>
    </row>
    <row r="2266" spans="3:4">
      <c r="C2266" s="10"/>
      <c r="D2266" s="25"/>
    </row>
    <row r="2267" spans="3:4">
      <c r="C2267" s="10"/>
      <c r="D2267" s="25"/>
    </row>
    <row r="2268" spans="3:4">
      <c r="C2268" s="10"/>
      <c r="D2268" s="25"/>
    </row>
    <row r="2269" spans="3:4">
      <c r="C2269" s="10"/>
      <c r="D2269" s="25"/>
    </row>
    <row r="2270" spans="3:4">
      <c r="C2270" s="10"/>
      <c r="D2270" s="25"/>
    </row>
    <row r="2271" spans="3:4">
      <c r="C2271" s="10"/>
      <c r="D2271" s="25"/>
    </row>
    <row r="2272" spans="3:4">
      <c r="C2272" s="10"/>
      <c r="D2272" s="25"/>
    </row>
    <row r="2273" spans="3:4">
      <c r="C2273" s="10"/>
      <c r="D2273" s="25"/>
    </row>
    <row r="2274" spans="3:4">
      <c r="C2274" s="10"/>
      <c r="D2274" s="25"/>
    </row>
    <row r="2275" spans="3:4">
      <c r="C2275" s="10"/>
      <c r="D2275" s="25"/>
    </row>
    <row r="2276" spans="3:4">
      <c r="C2276" s="10"/>
      <c r="D2276" s="25"/>
    </row>
    <row r="2277" spans="3:4">
      <c r="C2277" s="10"/>
      <c r="D2277" s="25"/>
    </row>
    <row r="2278" spans="3:4">
      <c r="C2278" s="10"/>
      <c r="D2278" s="25"/>
    </row>
    <row r="2279" spans="3:4">
      <c r="C2279" s="10"/>
      <c r="D2279" s="25"/>
    </row>
    <row r="2280" spans="3:4">
      <c r="C2280" s="10"/>
      <c r="D2280" s="25"/>
    </row>
    <row r="2281" spans="3:4">
      <c r="C2281" s="10"/>
      <c r="D2281" s="25"/>
    </row>
    <row r="2282" spans="3:4">
      <c r="C2282" s="10"/>
      <c r="D2282" s="25"/>
    </row>
    <row r="2283" spans="3:4">
      <c r="C2283" s="10"/>
      <c r="D2283" s="25"/>
    </row>
    <row r="2284" spans="3:4">
      <c r="C2284" s="10"/>
      <c r="D2284" s="25"/>
    </row>
    <row r="2285" spans="3:4">
      <c r="C2285" s="10"/>
      <c r="D2285" s="25"/>
    </row>
    <row r="2286" spans="3:4">
      <c r="C2286" s="10"/>
      <c r="D2286" s="25"/>
    </row>
    <row r="2287" spans="3:4">
      <c r="C2287" s="10"/>
      <c r="D2287" s="25"/>
    </row>
    <row r="2288" spans="3:4">
      <c r="C2288" s="10"/>
      <c r="D2288" s="25"/>
    </row>
    <row r="2289" spans="3:4">
      <c r="C2289" s="10"/>
      <c r="D2289" s="25"/>
    </row>
    <row r="2290" spans="3:4">
      <c r="C2290" s="10"/>
      <c r="D2290" s="25"/>
    </row>
    <row r="2291" spans="3:4">
      <c r="C2291" s="10"/>
      <c r="D2291" s="25"/>
    </row>
    <row r="2292" spans="3:4">
      <c r="C2292" s="10"/>
      <c r="D2292" s="25"/>
    </row>
    <row r="2293" spans="3:4">
      <c r="C2293" s="10"/>
      <c r="D2293" s="25"/>
    </row>
    <row r="2294" spans="3:4">
      <c r="C2294" s="10"/>
      <c r="D2294" s="25"/>
    </row>
    <row r="2295" spans="3:4">
      <c r="C2295" s="10"/>
      <c r="D2295" s="25"/>
    </row>
    <row r="2296" spans="3:4">
      <c r="C2296" s="10"/>
      <c r="D2296" s="25"/>
    </row>
    <row r="2297" spans="3:4">
      <c r="C2297" s="10"/>
      <c r="D2297" s="25"/>
    </row>
    <row r="2298" spans="3:4">
      <c r="C2298" s="10"/>
      <c r="D2298" s="25"/>
    </row>
    <row r="2299" spans="3:4">
      <c r="C2299" s="10"/>
      <c r="D2299" s="25"/>
    </row>
    <row r="2300" spans="3:4">
      <c r="C2300" s="10"/>
      <c r="D2300" s="25"/>
    </row>
    <row r="2301" spans="3:4">
      <c r="C2301" s="10"/>
      <c r="D2301" s="25"/>
    </row>
    <row r="2302" spans="3:4">
      <c r="C2302" s="10"/>
      <c r="D2302" s="25"/>
    </row>
    <row r="2303" spans="3:4">
      <c r="C2303" s="10"/>
      <c r="D2303" s="25"/>
    </row>
    <row r="2304" spans="3:4">
      <c r="C2304" s="10"/>
      <c r="D2304" s="25"/>
    </row>
    <row r="2305" spans="3:4">
      <c r="C2305" s="10"/>
      <c r="D2305" s="25"/>
    </row>
    <row r="2306" spans="3:4">
      <c r="C2306" s="10"/>
      <c r="D2306" s="25"/>
    </row>
    <row r="2307" spans="3:4">
      <c r="C2307" s="10"/>
      <c r="D2307" s="25"/>
    </row>
    <row r="2308" spans="3:4">
      <c r="C2308" s="10"/>
      <c r="D2308" s="25"/>
    </row>
    <row r="2309" spans="3:4">
      <c r="C2309" s="10"/>
      <c r="D2309" s="25"/>
    </row>
    <row r="2310" spans="3:4">
      <c r="C2310" s="10"/>
      <c r="D2310" s="25"/>
    </row>
    <row r="2311" spans="3:4">
      <c r="C2311" s="10"/>
      <c r="D2311" s="25"/>
    </row>
    <row r="2312" spans="3:4">
      <c r="C2312" s="10"/>
      <c r="D2312" s="25"/>
    </row>
    <row r="2313" spans="3:4">
      <c r="C2313" s="10"/>
      <c r="D2313" s="25"/>
    </row>
    <row r="2314" spans="3:4">
      <c r="C2314" s="10"/>
      <c r="D2314" s="25"/>
    </row>
    <row r="2315" spans="3:4">
      <c r="C2315" s="10"/>
      <c r="D2315" s="25"/>
    </row>
    <row r="2316" spans="3:4">
      <c r="C2316" s="10"/>
      <c r="D2316" s="25"/>
    </row>
    <row r="2317" spans="3:4">
      <c r="C2317" s="10"/>
      <c r="D2317" s="25"/>
    </row>
    <row r="2318" spans="3:4">
      <c r="C2318" s="10"/>
      <c r="D2318" s="25"/>
    </row>
    <row r="2319" spans="3:4">
      <c r="C2319" s="10"/>
      <c r="D2319" s="25"/>
    </row>
    <row r="2320" spans="3:4">
      <c r="C2320" s="10"/>
      <c r="D2320" s="25"/>
    </row>
    <row r="2321" spans="3:4">
      <c r="C2321" s="10"/>
      <c r="D2321" s="25"/>
    </row>
    <row r="2322" spans="3:4">
      <c r="C2322" s="10"/>
      <c r="D2322" s="25"/>
    </row>
    <row r="2323" spans="3:4">
      <c r="C2323" s="10"/>
      <c r="D2323" s="25"/>
    </row>
    <row r="2324" spans="3:4">
      <c r="C2324" s="10"/>
      <c r="D2324" s="25"/>
    </row>
    <row r="2325" spans="3:4">
      <c r="C2325" s="10"/>
      <c r="D2325" s="25"/>
    </row>
    <row r="2326" spans="3:4">
      <c r="C2326" s="10"/>
      <c r="D2326" s="25"/>
    </row>
    <row r="2327" spans="3:4">
      <c r="C2327" s="10"/>
      <c r="D2327" s="25"/>
    </row>
    <row r="2328" spans="3:4">
      <c r="C2328" s="10"/>
      <c r="D2328" s="25"/>
    </row>
    <row r="2329" spans="3:4">
      <c r="C2329" s="10"/>
      <c r="D2329" s="25"/>
    </row>
    <row r="2330" spans="3:4">
      <c r="C2330" s="10"/>
      <c r="D2330" s="25"/>
    </row>
    <row r="2331" spans="3:4">
      <c r="C2331" s="10"/>
      <c r="D2331" s="25"/>
    </row>
    <row r="2332" spans="3:4">
      <c r="C2332" s="10"/>
      <c r="D2332" s="25"/>
    </row>
    <row r="2333" spans="3:4">
      <c r="C2333" s="10"/>
      <c r="D2333" s="25"/>
    </row>
    <row r="2334" spans="3:4">
      <c r="C2334" s="10"/>
      <c r="D2334" s="25"/>
    </row>
    <row r="2335" spans="3:4">
      <c r="C2335" s="10"/>
      <c r="D2335" s="25"/>
    </row>
    <row r="2336" spans="3:4">
      <c r="C2336" s="10"/>
      <c r="D2336" s="25"/>
    </row>
    <row r="2337" spans="3:4">
      <c r="C2337" s="10"/>
      <c r="D2337" s="25"/>
    </row>
    <row r="2338" spans="3:4">
      <c r="C2338" s="10"/>
      <c r="D2338" s="25"/>
    </row>
    <row r="2339" spans="3:4">
      <c r="C2339" s="10"/>
      <c r="D2339" s="25"/>
    </row>
    <row r="2340" spans="3:4">
      <c r="C2340" s="10"/>
      <c r="D2340" s="25"/>
    </row>
    <row r="2341" spans="3:4">
      <c r="C2341" s="10"/>
      <c r="D2341" s="25"/>
    </row>
    <row r="2342" spans="3:4">
      <c r="C2342" s="10"/>
      <c r="D2342" s="25"/>
    </row>
    <row r="2343" spans="3:4">
      <c r="C2343" s="10"/>
      <c r="D2343" s="25"/>
    </row>
    <row r="2344" spans="3:4">
      <c r="C2344" s="10"/>
      <c r="D2344" s="25"/>
    </row>
    <row r="2345" spans="3:4">
      <c r="C2345" s="10"/>
      <c r="D2345" s="25"/>
    </row>
    <row r="2346" spans="3:4">
      <c r="C2346" s="10"/>
      <c r="D2346" s="25"/>
    </row>
    <row r="2347" spans="3:4">
      <c r="C2347" s="10"/>
      <c r="D2347" s="25"/>
    </row>
    <row r="2348" spans="3:4">
      <c r="C2348" s="10"/>
      <c r="D2348" s="25"/>
    </row>
    <row r="2349" spans="3:4">
      <c r="C2349" s="10"/>
      <c r="D2349" s="25"/>
    </row>
    <row r="2350" spans="3:4">
      <c r="C2350" s="10"/>
      <c r="D2350" s="25"/>
    </row>
    <row r="2351" spans="3:4">
      <c r="C2351" s="10"/>
      <c r="D2351" s="25"/>
    </row>
    <row r="2352" spans="3:4">
      <c r="C2352" s="10"/>
      <c r="D2352" s="25"/>
    </row>
    <row r="2353" spans="3:4">
      <c r="C2353" s="10"/>
      <c r="D2353" s="25"/>
    </row>
    <row r="2354" spans="3:4">
      <c r="C2354" s="10"/>
      <c r="D2354" s="25"/>
    </row>
    <row r="2355" spans="3:4">
      <c r="C2355" s="10"/>
      <c r="D2355" s="25"/>
    </row>
    <row r="2356" spans="3:4">
      <c r="C2356" s="10"/>
      <c r="D2356" s="25"/>
    </row>
    <row r="2357" spans="3:4">
      <c r="C2357" s="10"/>
      <c r="D2357" s="25"/>
    </row>
    <row r="2358" spans="3:4">
      <c r="C2358" s="10"/>
      <c r="D2358" s="25"/>
    </row>
    <row r="2359" spans="3:4">
      <c r="C2359" s="10"/>
      <c r="D2359" s="25"/>
    </row>
    <row r="2360" spans="3:4">
      <c r="C2360" s="10"/>
      <c r="D2360" s="25"/>
    </row>
    <row r="2361" spans="3:4">
      <c r="C2361" s="10"/>
      <c r="D2361" s="25"/>
    </row>
    <row r="2362" spans="3:4">
      <c r="C2362" s="10"/>
      <c r="D2362" s="25"/>
    </row>
    <row r="2363" spans="3:4">
      <c r="C2363" s="10"/>
      <c r="D2363" s="25"/>
    </row>
    <row r="2364" spans="3:4">
      <c r="C2364" s="10"/>
      <c r="D2364" s="25"/>
    </row>
    <row r="2365" spans="3:4">
      <c r="C2365" s="10"/>
      <c r="D2365" s="25"/>
    </row>
    <row r="2366" spans="3:4">
      <c r="C2366" s="10"/>
      <c r="D2366" s="25"/>
    </row>
    <row r="2367" spans="3:4">
      <c r="C2367" s="10"/>
      <c r="D2367" s="25"/>
    </row>
    <row r="2368" spans="3:4">
      <c r="C2368" s="10"/>
      <c r="D2368" s="25"/>
    </row>
    <row r="2369" spans="3:4">
      <c r="C2369" s="10"/>
      <c r="D2369" s="25"/>
    </row>
    <row r="2370" spans="3:4">
      <c r="C2370" s="10"/>
      <c r="D2370" s="25"/>
    </row>
    <row r="2371" spans="3:4">
      <c r="C2371" s="10"/>
      <c r="D2371" s="25"/>
    </row>
    <row r="2372" spans="3:4">
      <c r="C2372" s="10"/>
      <c r="D2372" s="25"/>
    </row>
    <row r="2373" spans="3:4">
      <c r="C2373" s="10"/>
      <c r="D2373" s="25"/>
    </row>
    <row r="2374" spans="3:4">
      <c r="C2374" s="10"/>
      <c r="D2374" s="25"/>
    </row>
    <row r="2375" spans="3:4">
      <c r="C2375" s="10"/>
      <c r="D2375" s="25"/>
    </row>
    <row r="2376" spans="3:4">
      <c r="C2376" s="10"/>
      <c r="D2376" s="25"/>
    </row>
    <row r="2377" spans="3:4">
      <c r="C2377" s="10"/>
      <c r="D2377" s="25"/>
    </row>
    <row r="2378" spans="3:4">
      <c r="C2378" s="10"/>
      <c r="D2378" s="25"/>
    </row>
    <row r="2379" spans="3:4">
      <c r="C2379" s="10"/>
      <c r="D2379" s="25"/>
    </row>
    <row r="2380" spans="3:4">
      <c r="C2380" s="10"/>
      <c r="D2380" s="25"/>
    </row>
    <row r="2381" spans="3:4">
      <c r="C2381" s="10"/>
      <c r="D2381" s="25"/>
    </row>
    <row r="2382" spans="3:4">
      <c r="C2382" s="10"/>
      <c r="D2382" s="25"/>
    </row>
    <row r="2383" spans="3:4">
      <c r="C2383" s="10"/>
      <c r="D2383" s="25"/>
    </row>
    <row r="2384" spans="3:4">
      <c r="C2384" s="10"/>
      <c r="D2384" s="25"/>
    </row>
    <row r="2385" spans="3:4">
      <c r="C2385" s="10"/>
      <c r="D2385" s="25"/>
    </row>
    <row r="2386" spans="3:4">
      <c r="C2386" s="10"/>
      <c r="D2386" s="25"/>
    </row>
    <row r="2387" spans="3:4">
      <c r="C2387" s="10"/>
      <c r="D2387" s="25"/>
    </row>
    <row r="2388" spans="3:4">
      <c r="C2388" s="10"/>
      <c r="D2388" s="25"/>
    </row>
    <row r="2389" spans="3:4">
      <c r="C2389" s="10"/>
      <c r="D2389" s="25"/>
    </row>
    <row r="2390" spans="3:4">
      <c r="C2390" s="10"/>
      <c r="D2390" s="25"/>
    </row>
    <row r="2391" spans="3:4">
      <c r="C2391" s="10"/>
      <c r="D2391" s="25"/>
    </row>
    <row r="2392" spans="3:4">
      <c r="C2392" s="10"/>
      <c r="D2392" s="25"/>
    </row>
    <row r="2393" spans="3:4">
      <c r="C2393" s="10"/>
      <c r="D2393" s="25"/>
    </row>
    <row r="2394" spans="3:4">
      <c r="C2394" s="10"/>
      <c r="D2394" s="25"/>
    </row>
    <row r="2395" spans="3:4">
      <c r="C2395" s="10"/>
      <c r="D2395" s="25"/>
    </row>
    <row r="2396" spans="3:4">
      <c r="C2396" s="10"/>
      <c r="D2396" s="25"/>
    </row>
    <row r="2397" spans="3:4">
      <c r="C2397" s="10"/>
      <c r="D2397" s="25"/>
    </row>
    <row r="2398" spans="3:4">
      <c r="C2398" s="10"/>
      <c r="D2398" s="25"/>
    </row>
    <row r="2399" spans="3:4">
      <c r="C2399" s="10"/>
      <c r="D2399" s="25"/>
    </row>
    <row r="2400" spans="3:4">
      <c r="C2400" s="10"/>
      <c r="D2400" s="25"/>
    </row>
    <row r="2401" spans="3:4">
      <c r="C2401" s="10"/>
      <c r="D2401" s="25"/>
    </row>
    <row r="2402" spans="3:4">
      <c r="C2402" s="10"/>
      <c r="D2402" s="25"/>
    </row>
    <row r="2403" spans="3:4">
      <c r="C2403" s="10"/>
      <c r="D2403" s="25"/>
    </row>
    <row r="2404" spans="3:4">
      <c r="C2404" s="10"/>
      <c r="D2404" s="25"/>
    </row>
    <row r="2405" spans="3:4">
      <c r="C2405" s="10"/>
      <c r="D2405" s="25"/>
    </row>
    <row r="2406" spans="3:4">
      <c r="C2406" s="10"/>
      <c r="D2406" s="25"/>
    </row>
    <row r="2407" spans="3:4">
      <c r="C2407" s="10"/>
      <c r="D2407" s="25"/>
    </row>
    <row r="2408" spans="3:4">
      <c r="C2408" s="10"/>
      <c r="D2408" s="25"/>
    </row>
    <row r="2409" spans="3:4">
      <c r="C2409" s="10"/>
      <c r="D2409" s="25"/>
    </row>
    <row r="2410" spans="3:4">
      <c r="C2410" s="10"/>
      <c r="D2410" s="25"/>
    </row>
    <row r="2411" spans="3:4">
      <c r="C2411" s="10"/>
      <c r="D2411" s="25"/>
    </row>
    <row r="2412" spans="3:4">
      <c r="C2412" s="10"/>
      <c r="D2412" s="25"/>
    </row>
    <row r="2413" spans="3:4">
      <c r="C2413" s="10"/>
      <c r="D2413" s="25"/>
    </row>
    <row r="2414" spans="3:4">
      <c r="C2414" s="10"/>
      <c r="D2414" s="25"/>
    </row>
    <row r="2415" spans="3:4">
      <c r="C2415" s="10"/>
      <c r="D2415" s="25"/>
    </row>
    <row r="2416" spans="3:4">
      <c r="C2416" s="10"/>
      <c r="D2416" s="25"/>
    </row>
    <row r="2417" spans="3:4">
      <c r="C2417" s="10"/>
      <c r="D2417" s="25"/>
    </row>
    <row r="2418" spans="3:4">
      <c r="C2418" s="10"/>
      <c r="D2418" s="25"/>
    </row>
    <row r="2419" spans="3:4">
      <c r="C2419" s="10"/>
      <c r="D2419" s="25"/>
    </row>
    <row r="2420" spans="3:4">
      <c r="C2420" s="10"/>
      <c r="D2420" s="25"/>
    </row>
    <row r="2421" spans="3:4">
      <c r="C2421" s="10"/>
      <c r="D2421" s="25"/>
    </row>
    <row r="2422" spans="3:4">
      <c r="C2422" s="10"/>
      <c r="D2422" s="25"/>
    </row>
    <row r="2423" spans="3:4">
      <c r="C2423" s="10"/>
      <c r="D2423" s="25"/>
    </row>
    <row r="2424" spans="3:4">
      <c r="C2424" s="10"/>
      <c r="D2424" s="25"/>
    </row>
    <row r="2425" spans="3:4">
      <c r="C2425" s="10"/>
      <c r="D2425" s="25"/>
    </row>
    <row r="2426" spans="3:4">
      <c r="C2426" s="10"/>
      <c r="D2426" s="25"/>
    </row>
    <row r="2427" spans="3:4">
      <c r="C2427" s="10"/>
      <c r="D2427" s="25"/>
    </row>
    <row r="2428" spans="3:4">
      <c r="C2428" s="10"/>
      <c r="D2428" s="25"/>
    </row>
    <row r="2429" spans="3:4">
      <c r="C2429" s="10"/>
      <c r="D2429" s="25"/>
    </row>
    <row r="2430" spans="3:4">
      <c r="C2430" s="10"/>
      <c r="D2430" s="25"/>
    </row>
    <row r="2431" spans="3:4">
      <c r="C2431" s="10"/>
      <c r="D2431" s="25"/>
    </row>
    <row r="2432" spans="3:4">
      <c r="C2432" s="10"/>
      <c r="D2432" s="25"/>
    </row>
    <row r="2433" spans="3:4">
      <c r="C2433" s="10"/>
      <c r="D2433" s="25"/>
    </row>
    <row r="2434" spans="3:4">
      <c r="C2434" s="10"/>
      <c r="D2434" s="25"/>
    </row>
    <row r="2435" spans="3:4">
      <c r="C2435" s="10"/>
      <c r="D2435" s="25"/>
    </row>
    <row r="2436" spans="3:4">
      <c r="C2436" s="10"/>
      <c r="D2436" s="25"/>
    </row>
    <row r="2437" spans="3:4">
      <c r="C2437" s="10"/>
      <c r="D2437" s="25"/>
    </row>
    <row r="2438" spans="3:4">
      <c r="C2438" s="10"/>
      <c r="D2438" s="25"/>
    </row>
    <row r="2439" spans="3:4">
      <c r="C2439" s="10"/>
      <c r="D2439" s="25"/>
    </row>
    <row r="2440" spans="3:4">
      <c r="C2440" s="10"/>
      <c r="D2440" s="25"/>
    </row>
    <row r="2441" spans="3:4">
      <c r="C2441" s="10"/>
      <c r="D2441" s="25"/>
    </row>
    <row r="2442" spans="3:4">
      <c r="C2442" s="10"/>
      <c r="D2442" s="25"/>
    </row>
    <row r="2443" spans="3:4">
      <c r="C2443" s="10"/>
      <c r="D2443" s="25"/>
    </row>
    <row r="2444" spans="3:4">
      <c r="C2444" s="10"/>
      <c r="D2444" s="25"/>
    </row>
    <row r="2445" spans="3:4">
      <c r="C2445" s="10"/>
      <c r="D2445" s="25"/>
    </row>
    <row r="2446" spans="3:4">
      <c r="C2446" s="10"/>
      <c r="D2446" s="25"/>
    </row>
    <row r="2447" spans="3:4">
      <c r="C2447" s="10"/>
      <c r="D2447" s="25"/>
    </row>
    <row r="2448" spans="3:4">
      <c r="C2448" s="10"/>
      <c r="D2448" s="25"/>
    </row>
    <row r="2449" spans="3:4">
      <c r="C2449" s="10"/>
      <c r="D2449" s="25"/>
    </row>
    <row r="2450" spans="3:4">
      <c r="C2450" s="10"/>
      <c r="D2450" s="25"/>
    </row>
    <row r="2451" spans="3:4">
      <c r="C2451" s="10"/>
      <c r="D2451" s="25"/>
    </row>
    <row r="2452" spans="3:4">
      <c r="C2452" s="10"/>
      <c r="D2452" s="25"/>
    </row>
    <row r="2453" spans="3:4">
      <c r="C2453" s="10"/>
      <c r="D2453" s="25"/>
    </row>
    <row r="2454" spans="3:4">
      <c r="C2454" s="10"/>
      <c r="D2454" s="25"/>
    </row>
    <row r="2455" spans="3:4">
      <c r="C2455" s="10"/>
      <c r="D2455" s="25"/>
    </row>
    <row r="2456" spans="3:4">
      <c r="C2456" s="10"/>
      <c r="D2456" s="25"/>
    </row>
    <row r="2457" spans="3:4">
      <c r="C2457" s="10"/>
      <c r="D2457" s="25"/>
    </row>
    <row r="2458" spans="3:4">
      <c r="C2458" s="10"/>
      <c r="D2458" s="25"/>
    </row>
    <row r="2459" spans="3:4">
      <c r="C2459" s="10"/>
      <c r="D2459" s="25"/>
    </row>
    <row r="2460" spans="3:4">
      <c r="C2460" s="10"/>
      <c r="D2460" s="25"/>
    </row>
    <row r="2461" spans="3:4">
      <c r="C2461" s="10"/>
      <c r="D2461" s="25"/>
    </row>
    <row r="2462" spans="3:4">
      <c r="C2462" s="10"/>
      <c r="D2462" s="25"/>
    </row>
    <row r="2463" spans="3:4">
      <c r="C2463" s="10"/>
      <c r="D2463" s="25"/>
    </row>
    <row r="2464" spans="3:4">
      <c r="C2464" s="10"/>
      <c r="D2464" s="25"/>
    </row>
    <row r="2465" spans="3:4">
      <c r="C2465" s="10"/>
      <c r="D2465" s="25"/>
    </row>
    <row r="2466" spans="3:4">
      <c r="C2466" s="10"/>
      <c r="D2466" s="25"/>
    </row>
    <row r="2467" spans="3:4">
      <c r="C2467" s="10"/>
      <c r="D2467" s="25"/>
    </row>
    <row r="2468" spans="3:4">
      <c r="C2468" s="10"/>
      <c r="D2468" s="25"/>
    </row>
    <row r="2469" spans="3:4">
      <c r="C2469" s="10"/>
      <c r="D2469" s="25"/>
    </row>
    <row r="2470" spans="3:4">
      <c r="C2470" s="10"/>
      <c r="D2470" s="25"/>
    </row>
    <row r="2471" spans="3:4">
      <c r="C2471" s="10"/>
      <c r="D2471" s="25"/>
    </row>
    <row r="2472" spans="3:4">
      <c r="C2472" s="10"/>
      <c r="D2472" s="25"/>
    </row>
    <row r="2473" spans="3:4">
      <c r="C2473" s="10"/>
      <c r="D2473" s="25"/>
    </row>
    <row r="2474" spans="3:4">
      <c r="C2474" s="10"/>
      <c r="D2474" s="25"/>
    </row>
    <row r="2475" spans="3:4">
      <c r="C2475" s="10"/>
      <c r="D2475" s="25"/>
    </row>
    <row r="2476" spans="3:4">
      <c r="C2476" s="10"/>
      <c r="D2476" s="25"/>
    </row>
    <row r="2477" spans="3:4">
      <c r="C2477" s="10"/>
      <c r="D2477" s="25"/>
    </row>
    <row r="2478" spans="3:4">
      <c r="C2478" s="10"/>
      <c r="D2478" s="25"/>
    </row>
    <row r="2479" spans="3:4">
      <c r="C2479" s="10"/>
      <c r="D2479" s="25"/>
    </row>
    <row r="2480" spans="3:4">
      <c r="C2480" s="10"/>
      <c r="D2480" s="25"/>
    </row>
    <row r="2481" spans="3:4">
      <c r="C2481" s="10"/>
      <c r="D2481" s="25"/>
    </row>
    <row r="2482" spans="3:4">
      <c r="C2482" s="10"/>
      <c r="D2482" s="25"/>
    </row>
    <row r="2483" spans="3:4">
      <c r="C2483" s="10"/>
      <c r="D2483" s="25"/>
    </row>
    <row r="2484" spans="3:4">
      <c r="C2484" s="10"/>
      <c r="D2484" s="25"/>
    </row>
    <row r="2485" spans="3:4">
      <c r="C2485" s="10"/>
      <c r="D2485" s="25"/>
    </row>
    <row r="2486" spans="3:4">
      <c r="C2486" s="10"/>
      <c r="D2486" s="25"/>
    </row>
    <row r="2487" spans="3:4">
      <c r="C2487" s="10"/>
      <c r="D2487" s="25"/>
    </row>
    <row r="2488" spans="3:4">
      <c r="C2488" s="10"/>
      <c r="D2488" s="25"/>
    </row>
    <row r="2489" spans="3:4">
      <c r="C2489" s="10"/>
      <c r="D2489" s="25"/>
    </row>
    <row r="2490" spans="3:4">
      <c r="C2490" s="10"/>
      <c r="D2490" s="25"/>
    </row>
    <row r="2491" spans="3:4">
      <c r="C2491" s="10"/>
      <c r="D2491" s="25"/>
    </row>
    <row r="2492" spans="3:4">
      <c r="C2492" s="10"/>
      <c r="D2492" s="25"/>
    </row>
    <row r="2493" spans="3:4">
      <c r="C2493" s="10"/>
      <c r="D2493" s="25"/>
    </row>
    <row r="2494" spans="3:4">
      <c r="C2494" s="10"/>
      <c r="D2494" s="25"/>
    </row>
    <row r="2495" spans="3:4">
      <c r="C2495" s="10"/>
      <c r="D2495" s="25"/>
    </row>
    <row r="2496" spans="3:4">
      <c r="C2496" s="10"/>
      <c r="D2496" s="25"/>
    </row>
    <row r="2497" spans="3:4">
      <c r="C2497" s="10"/>
      <c r="D2497" s="25"/>
    </row>
    <row r="2498" spans="3:4">
      <c r="C2498" s="10"/>
      <c r="D2498" s="25"/>
    </row>
    <row r="2499" spans="3:4">
      <c r="C2499" s="10"/>
      <c r="D2499" s="25"/>
    </row>
    <row r="2500" spans="3:4">
      <c r="C2500" s="10"/>
      <c r="D2500" s="25"/>
    </row>
    <row r="2501" spans="3:4">
      <c r="C2501" s="10"/>
      <c r="D2501" s="25"/>
    </row>
    <row r="2502" spans="3:4">
      <c r="C2502" s="10"/>
      <c r="D2502" s="25"/>
    </row>
    <row r="2503" spans="3:4">
      <c r="C2503" s="10"/>
      <c r="D2503" s="25"/>
    </row>
    <row r="2504" spans="3:4">
      <c r="C2504" s="10"/>
      <c r="D2504" s="25"/>
    </row>
    <row r="2505" spans="3:4">
      <c r="C2505" s="10"/>
      <c r="D2505" s="25"/>
    </row>
    <row r="2506" spans="3:4">
      <c r="C2506" s="10"/>
      <c r="D2506" s="25"/>
    </row>
    <row r="2507" spans="3:4">
      <c r="C2507" s="10"/>
      <c r="D2507" s="25"/>
    </row>
    <row r="2508" spans="3:4">
      <c r="C2508" s="10"/>
      <c r="D2508" s="25"/>
    </row>
    <row r="2509" spans="3:4">
      <c r="C2509" s="10"/>
      <c r="D2509" s="25"/>
    </row>
    <row r="2510" spans="3:4">
      <c r="C2510" s="10"/>
      <c r="D2510" s="25"/>
    </row>
    <row r="2511" spans="3:4">
      <c r="C2511" s="10"/>
      <c r="D2511" s="25"/>
    </row>
    <row r="2512" spans="3:4">
      <c r="C2512" s="10"/>
      <c r="D2512" s="25"/>
    </row>
    <row r="2513" spans="3:4">
      <c r="C2513" s="10"/>
      <c r="D2513" s="25"/>
    </row>
    <row r="2514" spans="3:4">
      <c r="C2514" s="10"/>
      <c r="D2514" s="25"/>
    </row>
    <row r="2515" spans="3:4">
      <c r="C2515" s="10"/>
      <c r="D2515" s="25"/>
    </row>
    <row r="2516" spans="3:4">
      <c r="C2516" s="10"/>
      <c r="D2516" s="25"/>
    </row>
    <row r="2517" spans="3:4">
      <c r="C2517" s="10"/>
      <c r="D2517" s="25"/>
    </row>
    <row r="2518" spans="3:4">
      <c r="C2518" s="10"/>
      <c r="D2518" s="25"/>
    </row>
    <row r="2519" spans="3:4">
      <c r="C2519" s="10"/>
      <c r="D2519" s="25"/>
    </row>
    <row r="2520" spans="3:4">
      <c r="C2520" s="10"/>
      <c r="D2520" s="25"/>
    </row>
    <row r="2521" spans="3:4">
      <c r="C2521" s="10"/>
      <c r="D2521" s="25"/>
    </row>
    <row r="2522" spans="3:4">
      <c r="C2522" s="10"/>
      <c r="D2522" s="25"/>
    </row>
    <row r="2523" spans="3:4">
      <c r="C2523" s="10"/>
      <c r="D2523" s="25"/>
    </row>
    <row r="2524" spans="3:4">
      <c r="C2524" s="10"/>
      <c r="D2524" s="25"/>
    </row>
    <row r="2525" spans="3:4">
      <c r="C2525" s="10"/>
      <c r="D2525" s="25"/>
    </row>
    <row r="2526" spans="3:4">
      <c r="C2526" s="10"/>
      <c r="D2526" s="25"/>
    </row>
    <row r="2527" spans="3:4">
      <c r="C2527" s="10"/>
      <c r="D2527" s="25"/>
    </row>
    <row r="2528" spans="3:4">
      <c r="C2528" s="10"/>
      <c r="D2528" s="25"/>
    </row>
    <row r="2529" spans="3:4">
      <c r="C2529" s="10"/>
      <c r="D2529" s="25"/>
    </row>
    <row r="2530" spans="3:4">
      <c r="C2530" s="10"/>
      <c r="D2530" s="25"/>
    </row>
    <row r="2531" spans="3:4">
      <c r="C2531" s="10"/>
      <c r="D2531" s="25"/>
    </row>
    <row r="2532" spans="3:4">
      <c r="C2532" s="10"/>
      <c r="D2532" s="25"/>
    </row>
    <row r="2533" spans="3:4">
      <c r="C2533" s="10"/>
      <c r="D2533" s="25"/>
    </row>
    <row r="2534" spans="3:4">
      <c r="C2534" s="10"/>
      <c r="D2534" s="25"/>
    </row>
    <row r="2535" spans="3:4">
      <c r="C2535" s="10"/>
      <c r="D2535" s="25"/>
    </row>
    <row r="2536" spans="3:4">
      <c r="C2536" s="10"/>
      <c r="D2536" s="25"/>
    </row>
    <row r="2537" spans="3:4">
      <c r="C2537" s="10"/>
      <c r="D2537" s="25"/>
    </row>
    <row r="2538" spans="3:4">
      <c r="C2538" s="10"/>
      <c r="D2538" s="25"/>
    </row>
    <row r="2539" spans="3:4">
      <c r="C2539" s="10"/>
      <c r="D2539" s="25"/>
    </row>
    <row r="2540" spans="3:4">
      <c r="C2540" s="10"/>
      <c r="D2540" s="25"/>
    </row>
    <row r="2541" spans="3:4">
      <c r="C2541" s="10"/>
      <c r="D2541" s="25"/>
    </row>
    <row r="2542" spans="3:4">
      <c r="C2542" s="10"/>
      <c r="D2542" s="25"/>
    </row>
    <row r="2543" spans="3:4">
      <c r="C2543" s="10"/>
      <c r="D2543" s="25"/>
    </row>
    <row r="2544" spans="3:4">
      <c r="C2544" s="10"/>
      <c r="D2544" s="25"/>
    </row>
    <row r="2545" spans="3:4">
      <c r="C2545" s="10"/>
      <c r="D2545" s="25"/>
    </row>
    <row r="2546" spans="3:4">
      <c r="C2546" s="10"/>
      <c r="D2546" s="25"/>
    </row>
    <row r="2547" spans="3:4">
      <c r="C2547" s="10"/>
      <c r="D2547" s="25"/>
    </row>
    <row r="2548" spans="3:4">
      <c r="C2548" s="10"/>
      <c r="D2548" s="25"/>
    </row>
    <row r="2549" spans="3:4">
      <c r="C2549" s="10"/>
      <c r="D2549" s="25"/>
    </row>
    <row r="2550" spans="3:4">
      <c r="C2550" s="10"/>
      <c r="D2550" s="25"/>
    </row>
    <row r="2551" spans="3:4">
      <c r="C2551" s="10"/>
      <c r="D2551" s="25"/>
    </row>
    <row r="2552" spans="3:4">
      <c r="C2552" s="10"/>
      <c r="D2552" s="25"/>
    </row>
    <row r="2553" spans="3:4">
      <c r="C2553" s="10"/>
      <c r="D2553" s="25"/>
    </row>
    <row r="2554" spans="3:4">
      <c r="C2554" s="10"/>
      <c r="D2554" s="25"/>
    </row>
    <row r="2555" spans="3:4">
      <c r="C2555" s="10"/>
      <c r="D2555" s="25"/>
    </row>
    <row r="2556" spans="3:4">
      <c r="C2556" s="10"/>
      <c r="D2556" s="25"/>
    </row>
    <row r="2557" spans="3:4">
      <c r="C2557" s="10"/>
      <c r="D2557" s="25"/>
    </row>
    <row r="2558" spans="3:4">
      <c r="C2558" s="10"/>
      <c r="D2558" s="25"/>
    </row>
    <row r="2559" spans="3:4">
      <c r="C2559" s="10"/>
      <c r="D2559" s="25"/>
    </row>
    <row r="2560" spans="3:4">
      <c r="C2560" s="10"/>
      <c r="D2560" s="25"/>
    </row>
    <row r="2561" spans="3:4">
      <c r="C2561" s="10"/>
      <c r="D2561" s="25"/>
    </row>
    <row r="2562" spans="3:4">
      <c r="C2562" s="10"/>
      <c r="D2562" s="25"/>
    </row>
    <row r="2563" spans="3:4">
      <c r="C2563" s="10"/>
      <c r="D2563" s="25"/>
    </row>
    <row r="2564" spans="3:4">
      <c r="C2564" s="10"/>
      <c r="D2564" s="25"/>
    </row>
    <row r="2565" spans="3:4">
      <c r="C2565" s="10"/>
      <c r="D2565" s="25"/>
    </row>
    <row r="2566" spans="3:4">
      <c r="C2566" s="10"/>
      <c r="D2566" s="25"/>
    </row>
    <row r="2567" spans="3:4">
      <c r="C2567" s="10"/>
      <c r="D2567" s="25"/>
    </row>
    <row r="2568" spans="3:4">
      <c r="C2568" s="10"/>
      <c r="D2568" s="25"/>
    </row>
    <row r="2569" spans="3:4">
      <c r="C2569" s="10"/>
      <c r="D2569" s="25"/>
    </row>
    <row r="2570" spans="3:4">
      <c r="C2570" s="10"/>
      <c r="D2570" s="25"/>
    </row>
    <row r="2571" spans="3:4">
      <c r="C2571" s="10"/>
      <c r="D2571" s="25"/>
    </row>
    <row r="2572" spans="3:4">
      <c r="C2572" s="10"/>
      <c r="D2572" s="25"/>
    </row>
    <row r="2573" spans="3:4">
      <c r="C2573" s="10"/>
      <c r="D2573" s="25"/>
    </row>
    <row r="2574" spans="3:4">
      <c r="C2574" s="10"/>
      <c r="D2574" s="25"/>
    </row>
    <row r="2575" spans="3:4">
      <c r="C2575" s="10"/>
      <c r="D2575" s="25"/>
    </row>
    <row r="2576" spans="3:4">
      <c r="C2576" s="10"/>
      <c r="D2576" s="25"/>
    </row>
    <row r="2577" spans="3:4">
      <c r="C2577" s="10"/>
      <c r="D2577" s="25"/>
    </row>
    <row r="2578" spans="3:4">
      <c r="C2578" s="10"/>
      <c r="D2578" s="25"/>
    </row>
    <row r="2579" spans="3:4">
      <c r="C2579" s="10"/>
      <c r="D2579" s="25"/>
    </row>
    <row r="2580" spans="3:4">
      <c r="C2580" s="10"/>
      <c r="D2580" s="25"/>
    </row>
    <row r="2581" spans="3:4">
      <c r="C2581" s="10"/>
      <c r="D2581" s="25"/>
    </row>
    <row r="2582" spans="3:4">
      <c r="C2582" s="10"/>
      <c r="D2582" s="25"/>
    </row>
    <row r="2583" spans="3:4">
      <c r="C2583" s="10"/>
      <c r="D2583" s="25"/>
    </row>
    <row r="2584" spans="3:4">
      <c r="C2584" s="10"/>
      <c r="D2584" s="25"/>
    </row>
    <row r="2585" spans="3:4">
      <c r="C2585" s="10"/>
      <c r="D2585" s="25"/>
    </row>
    <row r="2586" spans="3:4">
      <c r="C2586" s="10"/>
      <c r="D2586" s="25"/>
    </row>
    <row r="2587" spans="3:4">
      <c r="C2587" s="10"/>
      <c r="D2587" s="25"/>
    </row>
    <row r="2588" spans="3:4">
      <c r="C2588" s="10"/>
      <c r="D2588" s="25"/>
    </row>
    <row r="2589" spans="3:4">
      <c r="C2589" s="10"/>
      <c r="D2589" s="25"/>
    </row>
    <row r="2590" spans="3:4">
      <c r="C2590" s="10"/>
      <c r="D2590" s="25"/>
    </row>
    <row r="2591" spans="3:4">
      <c r="C2591" s="10"/>
      <c r="D2591" s="25"/>
    </row>
    <row r="2592" spans="3:4">
      <c r="C2592" s="10"/>
      <c r="D2592" s="25"/>
    </row>
    <row r="2593" spans="3:4">
      <c r="C2593" s="10"/>
      <c r="D2593" s="25"/>
    </row>
    <row r="2594" spans="3:4">
      <c r="C2594" s="10"/>
      <c r="D2594" s="25"/>
    </row>
    <row r="2595" spans="3:4">
      <c r="C2595" s="10"/>
      <c r="D2595" s="25"/>
    </row>
    <row r="2596" spans="3:4">
      <c r="C2596" s="10"/>
      <c r="D2596" s="25"/>
    </row>
    <row r="2597" spans="3:4">
      <c r="C2597" s="10"/>
      <c r="D2597" s="25"/>
    </row>
    <row r="2598" spans="3:4">
      <c r="C2598" s="10"/>
      <c r="D2598" s="25"/>
    </row>
    <row r="2599" spans="3:4">
      <c r="C2599" s="10"/>
      <c r="D2599" s="25"/>
    </row>
    <row r="2600" spans="3:4">
      <c r="C2600" s="10"/>
      <c r="D2600" s="25"/>
    </row>
    <row r="2601" spans="3:4">
      <c r="C2601" s="10"/>
      <c r="D2601" s="25"/>
    </row>
    <row r="2602" spans="3:4">
      <c r="C2602" s="10"/>
      <c r="D2602" s="25"/>
    </row>
    <row r="2603" spans="3:4">
      <c r="C2603" s="10"/>
      <c r="D2603" s="25"/>
    </row>
    <row r="2604" spans="3:4">
      <c r="C2604" s="10"/>
      <c r="D2604" s="25"/>
    </row>
    <row r="2605" spans="3:4">
      <c r="C2605" s="10"/>
      <c r="D2605" s="25"/>
    </row>
    <row r="2606" spans="3:4">
      <c r="C2606" s="10"/>
      <c r="D2606" s="25"/>
    </row>
    <row r="2607" spans="3:4">
      <c r="C2607" s="10"/>
      <c r="D2607" s="25"/>
    </row>
    <row r="2608" spans="3:4">
      <c r="C2608" s="10"/>
      <c r="D2608" s="25"/>
    </row>
    <row r="2609" spans="3:4">
      <c r="C2609" s="10"/>
      <c r="D2609" s="25"/>
    </row>
    <row r="2610" spans="3:4">
      <c r="C2610" s="10"/>
      <c r="D2610" s="25"/>
    </row>
    <row r="2611" spans="3:4">
      <c r="C2611" s="10"/>
      <c r="D2611" s="25"/>
    </row>
    <row r="2612" spans="3:4">
      <c r="C2612" s="10"/>
      <c r="D2612" s="25"/>
    </row>
    <row r="2613" spans="3:4">
      <c r="C2613" s="10"/>
      <c r="D2613" s="25"/>
    </row>
    <row r="2614" spans="3:4">
      <c r="C2614" s="10"/>
      <c r="D2614" s="25"/>
    </row>
    <row r="2615" spans="3:4">
      <c r="C2615" s="10"/>
      <c r="D2615" s="25"/>
    </row>
    <row r="2616" spans="3:4">
      <c r="C2616" s="10"/>
      <c r="D2616" s="25"/>
    </row>
    <row r="2617" spans="3:4">
      <c r="C2617" s="10"/>
      <c r="D2617" s="25"/>
    </row>
    <row r="2618" spans="3:4">
      <c r="C2618" s="10"/>
      <c r="D2618" s="25"/>
    </row>
    <row r="2619" spans="3:4">
      <c r="C2619" s="10"/>
      <c r="D2619" s="25"/>
    </row>
    <row r="2620" spans="3:4">
      <c r="C2620" s="10"/>
      <c r="D2620" s="25"/>
    </row>
    <row r="2621" spans="3:4">
      <c r="C2621" s="10"/>
      <c r="D2621" s="25"/>
    </row>
    <row r="2622" spans="3:4">
      <c r="C2622" s="10"/>
      <c r="D2622" s="25"/>
    </row>
    <row r="2623" spans="3:4">
      <c r="C2623" s="10"/>
      <c r="D2623" s="25"/>
    </row>
    <row r="2624" spans="3:4">
      <c r="C2624" s="10"/>
      <c r="D2624" s="25"/>
    </row>
    <row r="2625" spans="3:4">
      <c r="C2625" s="10"/>
      <c r="D2625" s="25"/>
    </row>
    <row r="2626" spans="3:4">
      <c r="C2626" s="10"/>
      <c r="D2626" s="25"/>
    </row>
    <row r="2627" spans="3:4">
      <c r="C2627" s="10"/>
      <c r="D2627" s="25"/>
    </row>
    <row r="2628" spans="3:4">
      <c r="C2628" s="10"/>
      <c r="D2628" s="25"/>
    </row>
    <row r="2629" spans="3:4">
      <c r="C2629" s="10"/>
      <c r="D2629" s="25"/>
    </row>
    <row r="2630" spans="3:4">
      <c r="C2630" s="10"/>
      <c r="D2630" s="25"/>
    </row>
    <row r="2631" spans="3:4">
      <c r="C2631" s="10"/>
      <c r="D2631" s="25"/>
    </row>
    <row r="2632" spans="3:4">
      <c r="C2632" s="10"/>
      <c r="D2632" s="25"/>
    </row>
    <row r="2633" spans="3:4">
      <c r="C2633" s="10"/>
      <c r="D2633" s="25"/>
    </row>
    <row r="2634" spans="3:4">
      <c r="C2634" s="10"/>
      <c r="D2634" s="25"/>
    </row>
    <row r="2635" spans="3:4">
      <c r="C2635" s="10"/>
      <c r="D2635" s="25"/>
    </row>
    <row r="2636" spans="3:4">
      <c r="C2636" s="10"/>
      <c r="D2636" s="25"/>
    </row>
    <row r="2637" spans="3:4">
      <c r="C2637" s="10"/>
      <c r="D2637" s="25"/>
    </row>
    <row r="2638" spans="3:4">
      <c r="C2638" s="10"/>
      <c r="D2638" s="25"/>
    </row>
    <row r="2639" spans="3:4">
      <c r="C2639" s="10"/>
      <c r="D2639" s="25"/>
    </row>
    <row r="2640" spans="3:4">
      <c r="C2640" s="10"/>
      <c r="D2640" s="25"/>
    </row>
    <row r="2641" spans="3:4">
      <c r="C2641" s="10"/>
      <c r="D2641" s="25"/>
    </row>
    <row r="2642" spans="3:4">
      <c r="C2642" s="10"/>
      <c r="D2642" s="25"/>
    </row>
    <row r="2643" spans="3:4">
      <c r="C2643" s="10"/>
      <c r="D2643" s="25"/>
    </row>
    <row r="2644" spans="3:4">
      <c r="C2644" s="10"/>
      <c r="D2644" s="25"/>
    </row>
    <row r="2645" spans="3:4">
      <c r="C2645" s="10"/>
      <c r="D2645" s="25"/>
    </row>
    <row r="2646" spans="3:4">
      <c r="C2646" s="10"/>
      <c r="D2646" s="25"/>
    </row>
    <row r="2647" spans="3:4">
      <c r="C2647" s="10"/>
      <c r="D2647" s="25"/>
    </row>
    <row r="2648" spans="3:4">
      <c r="C2648" s="10"/>
      <c r="D2648" s="25"/>
    </row>
    <row r="2649" spans="3:4">
      <c r="C2649" s="10"/>
      <c r="D2649" s="25"/>
    </row>
    <row r="2650" spans="3:4">
      <c r="C2650" s="10"/>
      <c r="D2650" s="25"/>
    </row>
    <row r="2651" spans="3:4">
      <c r="C2651" s="10"/>
      <c r="D2651" s="25"/>
    </row>
    <row r="2652" spans="3:4">
      <c r="C2652" s="10"/>
      <c r="D2652" s="25"/>
    </row>
    <row r="2653" spans="3:4">
      <c r="C2653" s="10"/>
      <c r="D2653" s="25"/>
    </row>
    <row r="2654" spans="3:4">
      <c r="C2654" s="10"/>
      <c r="D2654" s="25"/>
    </row>
    <row r="2655" spans="3:4">
      <c r="C2655" s="10"/>
      <c r="D2655" s="25"/>
    </row>
    <row r="2656" spans="3:4">
      <c r="C2656" s="10"/>
      <c r="D2656" s="25"/>
    </row>
    <row r="2657" spans="3:4">
      <c r="C2657" s="10"/>
      <c r="D2657" s="25"/>
    </row>
    <row r="2658" spans="3:4">
      <c r="C2658" s="10"/>
      <c r="D2658" s="25"/>
    </row>
    <row r="2659" spans="3:4">
      <c r="C2659" s="10"/>
      <c r="D2659" s="25"/>
    </row>
    <row r="2660" spans="3:4">
      <c r="C2660" s="10"/>
      <c r="D2660" s="25"/>
    </row>
    <row r="2661" spans="3:4">
      <c r="C2661" s="10"/>
      <c r="D2661" s="25"/>
    </row>
    <row r="2662" spans="3:4">
      <c r="C2662" s="10"/>
      <c r="D2662" s="25"/>
    </row>
    <row r="2663" spans="3:4">
      <c r="C2663" s="10"/>
      <c r="D2663" s="25"/>
    </row>
    <row r="2664" spans="3:4">
      <c r="C2664" s="10"/>
      <c r="D2664" s="25"/>
    </row>
    <row r="2665" spans="3:4">
      <c r="C2665" s="10"/>
      <c r="D2665" s="25"/>
    </row>
    <row r="2666" spans="3:4">
      <c r="C2666" s="10"/>
      <c r="D2666" s="25"/>
    </row>
    <row r="2667" spans="3:4">
      <c r="C2667" s="10"/>
      <c r="D2667" s="25"/>
    </row>
    <row r="2668" spans="3:4">
      <c r="C2668" s="10"/>
      <c r="D2668" s="25"/>
    </row>
    <row r="2669" spans="3:4">
      <c r="C2669" s="10"/>
      <c r="D2669" s="25"/>
    </row>
    <row r="2670" spans="3:4">
      <c r="C2670" s="10"/>
      <c r="D2670" s="25"/>
    </row>
    <row r="2671" spans="3:4">
      <c r="C2671" s="10"/>
      <c r="D2671" s="25"/>
    </row>
    <row r="2672" spans="3:4">
      <c r="C2672" s="10"/>
      <c r="D2672" s="25"/>
    </row>
    <row r="2673" spans="3:4">
      <c r="C2673" s="10"/>
      <c r="D2673" s="25"/>
    </row>
    <row r="2674" spans="3:4">
      <c r="C2674" s="10"/>
      <c r="D2674" s="25"/>
    </row>
    <row r="2675" spans="3:4">
      <c r="C2675" s="10"/>
      <c r="D2675" s="25"/>
    </row>
    <row r="2676" spans="3:4">
      <c r="C2676" s="10"/>
      <c r="D2676" s="25"/>
    </row>
    <row r="2677" spans="3:4">
      <c r="C2677" s="10"/>
      <c r="D2677" s="25"/>
    </row>
    <row r="2678" spans="3:4">
      <c r="C2678" s="10"/>
      <c r="D2678" s="25"/>
    </row>
    <row r="2679" spans="3:4">
      <c r="C2679" s="10"/>
      <c r="D2679" s="25"/>
    </row>
    <row r="2680" spans="3:4">
      <c r="C2680" s="10"/>
      <c r="D2680" s="25"/>
    </row>
    <row r="2681" spans="3:4">
      <c r="C2681" s="10"/>
      <c r="D2681" s="25"/>
    </row>
    <row r="2682" spans="3:4">
      <c r="C2682" s="10"/>
      <c r="D2682" s="25"/>
    </row>
    <row r="2683" spans="3:4">
      <c r="C2683" s="10"/>
      <c r="D2683" s="25"/>
    </row>
    <row r="2684" spans="3:4">
      <c r="C2684" s="10"/>
      <c r="D2684" s="25"/>
    </row>
    <row r="2685" spans="3:4">
      <c r="C2685" s="10"/>
      <c r="D2685" s="25"/>
    </row>
    <row r="2686" spans="3:4">
      <c r="C2686" s="10"/>
      <c r="D2686" s="25"/>
    </row>
    <row r="2687" spans="3:4">
      <c r="C2687" s="10"/>
      <c r="D2687" s="25"/>
    </row>
    <row r="2688" spans="3:4">
      <c r="C2688" s="10"/>
      <c r="D2688" s="25"/>
    </row>
    <row r="2689" spans="3:4">
      <c r="C2689" s="10"/>
      <c r="D2689" s="25"/>
    </row>
    <row r="2690" spans="3:4">
      <c r="C2690" s="10"/>
      <c r="D2690" s="25"/>
    </row>
    <row r="2691" spans="3:4">
      <c r="C2691" s="10"/>
      <c r="D2691" s="25"/>
    </row>
    <row r="2692" spans="3:4">
      <c r="C2692" s="10"/>
      <c r="D2692" s="25"/>
    </row>
    <row r="2693" spans="3:4">
      <c r="C2693" s="10"/>
      <c r="D2693" s="25"/>
    </row>
    <row r="2694" spans="3:4">
      <c r="C2694" s="10"/>
      <c r="D2694" s="25"/>
    </row>
    <row r="2695" spans="3:4">
      <c r="C2695" s="10"/>
      <c r="D2695" s="25"/>
    </row>
    <row r="2696" spans="3:4">
      <c r="C2696" s="10"/>
      <c r="D2696" s="25"/>
    </row>
    <row r="2697" spans="3:4">
      <c r="C2697" s="10"/>
      <c r="D2697" s="25"/>
    </row>
    <row r="2698" spans="3:4">
      <c r="C2698" s="10"/>
      <c r="D2698" s="25"/>
    </row>
    <row r="2699" spans="3:4">
      <c r="C2699" s="10"/>
      <c r="D2699" s="25"/>
    </row>
    <row r="2700" spans="3:4">
      <c r="C2700" s="10"/>
      <c r="D2700" s="25"/>
    </row>
    <row r="2701" spans="3:4">
      <c r="C2701" s="10"/>
      <c r="D2701" s="25"/>
    </row>
    <row r="2702" spans="3:4">
      <c r="C2702" s="10"/>
      <c r="D2702" s="25"/>
    </row>
    <row r="2703" spans="3:4">
      <c r="C2703" s="10"/>
      <c r="D2703" s="25"/>
    </row>
    <row r="2704" spans="3:4">
      <c r="C2704" s="10"/>
      <c r="D2704" s="25"/>
    </row>
    <row r="2705" spans="3:4">
      <c r="C2705" s="10"/>
      <c r="D2705" s="25"/>
    </row>
    <row r="2706" spans="3:4">
      <c r="C2706" s="10"/>
      <c r="D2706" s="25"/>
    </row>
    <row r="2707" spans="3:4">
      <c r="C2707" s="10"/>
      <c r="D2707" s="25"/>
    </row>
    <row r="2708" spans="3:4">
      <c r="C2708" s="10"/>
      <c r="D2708" s="25"/>
    </row>
    <row r="2709" spans="3:4">
      <c r="C2709" s="10"/>
      <c r="D2709" s="25"/>
    </row>
    <row r="2710" spans="3:4">
      <c r="C2710" s="10"/>
      <c r="D2710" s="25"/>
    </row>
    <row r="2711" spans="3:4">
      <c r="C2711" s="10"/>
      <c r="D2711" s="25"/>
    </row>
    <row r="2712" spans="3:4">
      <c r="C2712" s="10"/>
      <c r="D2712" s="25"/>
    </row>
    <row r="2713" spans="3:4">
      <c r="C2713" s="10"/>
      <c r="D2713" s="25"/>
    </row>
    <row r="2714" spans="3:4">
      <c r="C2714" s="10"/>
      <c r="D2714" s="25"/>
    </row>
    <row r="2715" spans="3:4">
      <c r="C2715" s="10"/>
      <c r="D2715" s="25"/>
    </row>
    <row r="2716" spans="3:4">
      <c r="C2716" s="10"/>
      <c r="D2716" s="25"/>
    </row>
    <row r="2717" spans="3:4">
      <c r="C2717" s="10"/>
      <c r="D2717" s="25"/>
    </row>
    <row r="2718" spans="3:4">
      <c r="C2718" s="10"/>
      <c r="D2718" s="25"/>
    </row>
    <row r="2719" spans="3:4">
      <c r="C2719" s="10"/>
      <c r="D2719" s="25"/>
    </row>
    <row r="2720" spans="3:4">
      <c r="C2720" s="10"/>
      <c r="D2720" s="25"/>
    </row>
    <row r="2721" spans="3:4">
      <c r="C2721" s="10"/>
      <c r="D2721" s="25"/>
    </row>
    <row r="2722" spans="3:4">
      <c r="C2722" s="10"/>
      <c r="D2722" s="25"/>
    </row>
    <row r="2723" spans="3:4">
      <c r="C2723" s="10"/>
      <c r="D2723" s="25"/>
    </row>
    <row r="2724" spans="3:4">
      <c r="C2724" s="10"/>
      <c r="D2724" s="25"/>
    </row>
    <row r="2725" spans="3:4">
      <c r="C2725" s="10"/>
      <c r="D2725" s="25"/>
    </row>
    <row r="2726" spans="3:4">
      <c r="C2726" s="10"/>
      <c r="D2726" s="25"/>
    </row>
    <row r="2727" spans="3:4">
      <c r="C2727" s="10"/>
      <c r="D2727" s="25"/>
    </row>
    <row r="2728" spans="3:4">
      <c r="C2728" s="10"/>
      <c r="D2728" s="25"/>
    </row>
    <row r="2729" spans="3:4">
      <c r="C2729" s="10"/>
      <c r="D2729" s="25"/>
    </row>
    <row r="2730" spans="3:4">
      <c r="C2730" s="10"/>
      <c r="D2730" s="25"/>
    </row>
    <row r="2731" spans="3:4">
      <c r="C2731" s="10"/>
      <c r="D2731" s="25"/>
    </row>
    <row r="2732" spans="3:4">
      <c r="C2732" s="10"/>
      <c r="D2732" s="25"/>
    </row>
    <row r="2733" spans="3:4">
      <c r="C2733" s="10"/>
      <c r="D2733" s="25"/>
    </row>
    <row r="2734" spans="3:4">
      <c r="C2734" s="10"/>
      <c r="D2734" s="25"/>
    </row>
    <row r="2735" spans="3:4">
      <c r="C2735" s="10"/>
      <c r="D2735" s="25"/>
    </row>
    <row r="2736" spans="3:4">
      <c r="C2736" s="10"/>
      <c r="D2736" s="25"/>
    </row>
    <row r="2737" spans="3:4">
      <c r="C2737" s="10"/>
      <c r="D2737" s="25"/>
    </row>
    <row r="2738" spans="3:4">
      <c r="C2738" s="10"/>
      <c r="D2738" s="25"/>
    </row>
    <row r="2739" spans="3:4">
      <c r="C2739" s="10"/>
      <c r="D2739" s="25"/>
    </row>
    <row r="2740" spans="3:4">
      <c r="C2740" s="10"/>
      <c r="D2740" s="25"/>
    </row>
    <row r="2741" spans="3:4">
      <c r="C2741" s="10"/>
      <c r="D2741" s="25"/>
    </row>
    <row r="2742" spans="3:4">
      <c r="C2742" s="10"/>
      <c r="D2742" s="25"/>
    </row>
    <row r="2743" spans="3:4">
      <c r="C2743" s="10"/>
      <c r="D2743" s="25"/>
    </row>
    <row r="2744" spans="3:4">
      <c r="C2744" s="10"/>
      <c r="D2744" s="25"/>
    </row>
    <row r="2745" spans="3:4">
      <c r="C2745" s="10"/>
      <c r="D2745" s="25"/>
    </row>
    <row r="2746" spans="3:4">
      <c r="C2746" s="10"/>
      <c r="D2746" s="25"/>
    </row>
    <row r="2747" spans="3:4">
      <c r="C2747" s="10"/>
      <c r="D2747" s="25"/>
    </row>
    <row r="2748" spans="3:4">
      <c r="C2748" s="10"/>
      <c r="D2748" s="25"/>
    </row>
    <row r="2749" spans="3:4">
      <c r="C2749" s="10"/>
      <c r="D2749" s="25"/>
    </row>
    <row r="2750" spans="3:4">
      <c r="C2750" s="10"/>
      <c r="D2750" s="25"/>
    </row>
    <row r="2751" spans="3:4">
      <c r="C2751" s="10"/>
      <c r="D2751" s="25"/>
    </row>
    <row r="2752" spans="3:4">
      <c r="C2752" s="10"/>
      <c r="D2752" s="25"/>
    </row>
    <row r="2753" spans="3:4">
      <c r="C2753" s="10"/>
      <c r="D2753" s="25"/>
    </row>
    <row r="2754" spans="3:4">
      <c r="C2754" s="10"/>
      <c r="D2754" s="25"/>
    </row>
    <row r="2755" spans="3:4">
      <c r="C2755" s="10"/>
      <c r="D2755" s="25"/>
    </row>
    <row r="2756" spans="3:4">
      <c r="C2756" s="10"/>
      <c r="D2756" s="25"/>
    </row>
    <row r="2757" spans="3:4">
      <c r="C2757" s="10"/>
      <c r="D2757" s="25"/>
    </row>
    <row r="2758" spans="3:4">
      <c r="C2758" s="10"/>
      <c r="D2758" s="25"/>
    </row>
    <row r="2759" spans="3:4">
      <c r="C2759" s="10"/>
      <c r="D2759" s="25"/>
    </row>
    <row r="2760" spans="3:4">
      <c r="C2760" s="10"/>
      <c r="D2760" s="25"/>
    </row>
    <row r="2761" spans="3:4">
      <c r="C2761" s="10"/>
      <c r="D2761" s="25"/>
    </row>
    <row r="2762" spans="3:4">
      <c r="C2762" s="10"/>
      <c r="D2762" s="25"/>
    </row>
    <row r="2763" spans="3:4">
      <c r="C2763" s="10"/>
      <c r="D2763" s="25"/>
    </row>
    <row r="2764" spans="3:4">
      <c r="C2764" s="10"/>
      <c r="D2764" s="25"/>
    </row>
    <row r="2765" spans="3:4">
      <c r="C2765" s="10"/>
      <c r="D2765" s="25"/>
    </row>
    <row r="2766" spans="3:4">
      <c r="C2766" s="10"/>
      <c r="D2766" s="25"/>
    </row>
    <row r="2767" spans="3:4">
      <c r="C2767" s="10"/>
      <c r="D2767" s="25"/>
    </row>
    <row r="2768" spans="3:4">
      <c r="C2768" s="10"/>
      <c r="D2768" s="25"/>
    </row>
    <row r="2769" spans="3:4">
      <c r="C2769" s="10"/>
      <c r="D2769" s="25"/>
    </row>
    <row r="2770" spans="3:4">
      <c r="C2770" s="10"/>
      <c r="D2770" s="25"/>
    </row>
    <row r="2771" spans="3:4">
      <c r="C2771" s="10"/>
      <c r="D2771" s="25"/>
    </row>
    <row r="2772" spans="3:4">
      <c r="C2772" s="10"/>
      <c r="D2772" s="25"/>
    </row>
    <row r="2773" spans="3:4">
      <c r="C2773" s="10"/>
      <c r="D2773" s="25"/>
    </row>
    <row r="2774" spans="3:4">
      <c r="C2774" s="10"/>
      <c r="D2774" s="25"/>
    </row>
    <row r="2775" spans="3:4">
      <c r="C2775" s="10"/>
      <c r="D2775" s="25"/>
    </row>
    <row r="2776" spans="3:4">
      <c r="C2776" s="10"/>
      <c r="D2776" s="25"/>
    </row>
    <row r="2777" spans="3:4">
      <c r="C2777" s="10"/>
      <c r="D2777" s="25"/>
    </row>
    <row r="2778" spans="3:4">
      <c r="C2778" s="10"/>
      <c r="D2778" s="25"/>
    </row>
    <row r="2779" spans="3:4">
      <c r="C2779" s="10"/>
      <c r="D2779" s="25"/>
    </row>
    <row r="2780" spans="3:4">
      <c r="C2780" s="10"/>
      <c r="D2780" s="25"/>
    </row>
    <row r="2781" spans="3:4">
      <c r="C2781" s="10"/>
      <c r="D2781" s="25"/>
    </row>
    <row r="2782" spans="3:4">
      <c r="C2782" s="10"/>
      <c r="D2782" s="25"/>
    </row>
    <row r="2783" spans="3:4">
      <c r="C2783" s="10"/>
      <c r="D2783" s="25"/>
    </row>
    <row r="2784" spans="3:4">
      <c r="C2784" s="10"/>
      <c r="D2784" s="25"/>
    </row>
    <row r="2785" spans="3:4">
      <c r="C2785" s="10"/>
      <c r="D2785" s="25"/>
    </row>
    <row r="2786" spans="3:4">
      <c r="C2786" s="10"/>
      <c r="D2786" s="25"/>
    </row>
    <row r="2787" spans="3:4">
      <c r="C2787" s="10"/>
      <c r="D2787" s="25"/>
    </row>
    <row r="2788" spans="3:4">
      <c r="C2788" s="10"/>
      <c r="D2788" s="25"/>
    </row>
    <row r="2789" spans="3:4">
      <c r="C2789" s="10"/>
      <c r="D2789" s="25"/>
    </row>
    <row r="2790" spans="3:4">
      <c r="C2790" s="10"/>
      <c r="D2790" s="25"/>
    </row>
    <row r="2791" spans="3:4">
      <c r="C2791" s="10"/>
      <c r="D2791" s="25"/>
    </row>
    <row r="2792" spans="3:4">
      <c r="C2792" s="10"/>
      <c r="D2792" s="25"/>
    </row>
    <row r="2793" spans="3:4">
      <c r="C2793" s="10"/>
      <c r="D2793" s="25"/>
    </row>
    <row r="2794" spans="3:4">
      <c r="C2794" s="10"/>
      <c r="D2794" s="25"/>
    </row>
    <row r="2795" spans="3:4">
      <c r="C2795" s="10"/>
      <c r="D2795" s="25"/>
    </row>
    <row r="2796" spans="3:4">
      <c r="C2796" s="10"/>
      <c r="D2796" s="25"/>
    </row>
    <row r="2797" spans="3:4">
      <c r="C2797" s="10"/>
      <c r="D2797" s="25"/>
    </row>
    <row r="2798" spans="3:4">
      <c r="C2798" s="10"/>
      <c r="D2798" s="25"/>
    </row>
    <row r="2799" spans="3:4">
      <c r="C2799" s="10"/>
      <c r="D2799" s="25"/>
    </row>
    <row r="2800" spans="3:4">
      <c r="C2800" s="10"/>
      <c r="D2800" s="25"/>
    </row>
    <row r="2801" spans="3:4">
      <c r="C2801" s="10"/>
      <c r="D2801" s="25"/>
    </row>
    <row r="2802" spans="3:4">
      <c r="C2802" s="10"/>
      <c r="D2802" s="25"/>
    </row>
    <row r="2803" spans="3:4">
      <c r="C2803" s="10"/>
      <c r="D2803" s="25"/>
    </row>
    <row r="2804" spans="3:4">
      <c r="C2804" s="10"/>
      <c r="D2804" s="25"/>
    </row>
    <row r="2805" spans="3:4">
      <c r="C2805" s="10"/>
      <c r="D2805" s="25"/>
    </row>
    <row r="2806" spans="3:4">
      <c r="C2806" s="10"/>
      <c r="D2806" s="25"/>
    </row>
    <row r="2807" spans="3:4">
      <c r="C2807" s="10"/>
      <c r="D2807" s="25"/>
    </row>
    <row r="2808" spans="3:4">
      <c r="C2808" s="10"/>
      <c r="D2808" s="25"/>
    </row>
    <row r="2809" spans="3:4">
      <c r="C2809" s="10"/>
      <c r="D2809" s="25"/>
    </row>
    <row r="2810" spans="3:4">
      <c r="C2810" s="10"/>
      <c r="D2810" s="25"/>
    </row>
    <row r="2811" spans="3:4">
      <c r="C2811" s="10"/>
      <c r="D2811" s="25"/>
    </row>
    <row r="2812" spans="3:4">
      <c r="C2812" s="10"/>
      <c r="D2812" s="25"/>
    </row>
    <row r="2813" spans="3:4">
      <c r="C2813" s="10"/>
      <c r="D2813" s="25"/>
    </row>
    <row r="2814" spans="3:4">
      <c r="C2814" s="10"/>
      <c r="D2814" s="25"/>
    </row>
    <row r="2815" spans="3:4">
      <c r="C2815" s="10"/>
      <c r="D2815" s="25"/>
    </row>
    <row r="2816" spans="3:4">
      <c r="C2816" s="10"/>
      <c r="D2816" s="25"/>
    </row>
    <row r="2817" spans="3:4">
      <c r="C2817" s="10"/>
      <c r="D2817" s="25"/>
    </row>
    <row r="2818" spans="3:4">
      <c r="C2818" s="10"/>
      <c r="D2818" s="25"/>
    </row>
    <row r="2819" spans="3:4">
      <c r="C2819" s="10"/>
      <c r="D2819" s="25"/>
    </row>
    <row r="2820" spans="3:4">
      <c r="C2820" s="10"/>
      <c r="D2820" s="25"/>
    </row>
    <row r="2821" spans="3:4">
      <c r="C2821" s="10"/>
      <c r="D2821" s="25"/>
    </row>
    <row r="2822" spans="3:4">
      <c r="C2822" s="10"/>
      <c r="D2822" s="25"/>
    </row>
    <row r="2823" spans="3:4">
      <c r="C2823" s="10"/>
      <c r="D2823" s="25"/>
    </row>
    <row r="2824" spans="3:4">
      <c r="C2824" s="10"/>
      <c r="D2824" s="25"/>
    </row>
    <row r="2825" spans="3:4">
      <c r="C2825" s="10"/>
      <c r="D2825" s="25"/>
    </row>
    <row r="2826" spans="3:4">
      <c r="C2826" s="10"/>
      <c r="D2826" s="25"/>
    </row>
    <row r="2827" spans="3:4">
      <c r="C2827" s="10"/>
      <c r="D2827" s="25"/>
    </row>
    <row r="2828" spans="3:4">
      <c r="C2828" s="10"/>
      <c r="D2828" s="25"/>
    </row>
    <row r="2829" spans="3:4">
      <c r="C2829" s="10"/>
      <c r="D2829" s="25"/>
    </row>
    <row r="2830" spans="3:4">
      <c r="C2830" s="10"/>
      <c r="D2830" s="25"/>
    </row>
    <row r="2831" spans="3:4">
      <c r="C2831" s="10"/>
      <c r="D2831" s="25"/>
    </row>
    <row r="2832" spans="3:4">
      <c r="C2832" s="10"/>
      <c r="D2832" s="25"/>
    </row>
    <row r="2833" spans="3:4">
      <c r="C2833" s="10"/>
      <c r="D2833" s="25"/>
    </row>
    <row r="2834" spans="3:4">
      <c r="C2834" s="10"/>
      <c r="D2834" s="25"/>
    </row>
    <row r="2835" spans="3:4">
      <c r="C2835" s="10"/>
      <c r="D2835" s="25"/>
    </row>
    <row r="2836" spans="3:4">
      <c r="C2836" s="10"/>
      <c r="D2836" s="25"/>
    </row>
    <row r="2837" spans="3:4">
      <c r="C2837" s="10"/>
      <c r="D2837" s="25"/>
    </row>
    <row r="2838" spans="3:4">
      <c r="C2838" s="10"/>
      <c r="D2838" s="25"/>
    </row>
    <row r="2839" spans="3:4">
      <c r="C2839" s="10"/>
      <c r="D2839" s="25"/>
    </row>
    <row r="2840" spans="3:4">
      <c r="C2840" s="10"/>
      <c r="D2840" s="25"/>
    </row>
    <row r="2841" spans="3:4">
      <c r="C2841" s="10"/>
      <c r="D2841" s="25"/>
    </row>
    <row r="2842" spans="3:4">
      <c r="C2842" s="10"/>
      <c r="D2842" s="25"/>
    </row>
    <row r="2843" spans="3:4">
      <c r="C2843" s="10"/>
      <c r="D2843" s="25"/>
    </row>
    <row r="2844" spans="3:4">
      <c r="C2844" s="10"/>
      <c r="D2844" s="25"/>
    </row>
    <row r="2845" spans="3:4">
      <c r="C2845" s="10"/>
      <c r="D2845" s="25"/>
    </row>
    <row r="2846" spans="3:4">
      <c r="C2846" s="10"/>
      <c r="D2846" s="25"/>
    </row>
    <row r="2847" spans="3:4">
      <c r="C2847" s="10"/>
      <c r="D2847" s="25"/>
    </row>
    <row r="2848" spans="3:4">
      <c r="C2848" s="10"/>
      <c r="D2848" s="25"/>
    </row>
    <row r="2849" spans="3:4">
      <c r="C2849" s="10"/>
      <c r="D2849" s="25"/>
    </row>
    <row r="2850" spans="3:4">
      <c r="C2850" s="10"/>
      <c r="D2850" s="25"/>
    </row>
    <row r="2851" spans="3:4">
      <c r="C2851" s="10"/>
      <c r="D2851" s="25"/>
    </row>
    <row r="2852" spans="3:4">
      <c r="C2852" s="10"/>
      <c r="D2852" s="25"/>
    </row>
    <row r="2853" spans="3:4">
      <c r="C2853" s="10"/>
      <c r="D2853" s="25"/>
    </row>
    <row r="2854" spans="3:4">
      <c r="C2854" s="10"/>
      <c r="D2854" s="25"/>
    </row>
    <row r="2855" spans="3:4">
      <c r="C2855" s="10"/>
      <c r="D2855" s="25"/>
    </row>
    <row r="2856" spans="3:4">
      <c r="C2856" s="10"/>
      <c r="D2856" s="25"/>
    </row>
    <row r="2857" spans="3:4">
      <c r="C2857" s="10"/>
      <c r="D2857" s="25"/>
    </row>
    <row r="2858" spans="3:4">
      <c r="C2858" s="10"/>
      <c r="D2858" s="25"/>
    </row>
    <row r="2859" spans="3:4">
      <c r="C2859" s="10"/>
      <c r="D2859" s="25"/>
    </row>
    <row r="2860" spans="3:4">
      <c r="C2860" s="10"/>
      <c r="D2860" s="25"/>
    </row>
    <row r="2861" spans="3:4">
      <c r="C2861" s="10"/>
      <c r="D2861" s="25"/>
    </row>
    <row r="2862" spans="3:4">
      <c r="C2862" s="10"/>
      <c r="D2862" s="25"/>
    </row>
    <row r="2863" spans="3:4">
      <c r="C2863" s="10"/>
      <c r="D2863" s="25"/>
    </row>
    <row r="2864" spans="3:4">
      <c r="C2864" s="10"/>
      <c r="D2864" s="25"/>
    </row>
    <row r="2865" spans="3:4">
      <c r="C2865" s="10"/>
      <c r="D2865" s="25"/>
    </row>
    <row r="2866" spans="3:4">
      <c r="C2866" s="10"/>
      <c r="D2866" s="25"/>
    </row>
    <row r="2867" spans="3:4">
      <c r="C2867" s="10"/>
      <c r="D2867" s="25"/>
    </row>
    <row r="2868" spans="3:4">
      <c r="C2868" s="10"/>
      <c r="D2868" s="25"/>
    </row>
    <row r="2869" spans="3:4">
      <c r="C2869" s="10"/>
      <c r="D2869" s="25"/>
    </row>
    <row r="2870" spans="3:4">
      <c r="C2870" s="10"/>
      <c r="D2870" s="25"/>
    </row>
    <row r="2871" spans="3:4">
      <c r="C2871" s="10"/>
      <c r="D2871" s="25"/>
    </row>
    <row r="2872" spans="3:4">
      <c r="C2872" s="10"/>
      <c r="D2872" s="25"/>
    </row>
    <row r="2873" spans="3:4">
      <c r="C2873" s="10"/>
      <c r="D2873" s="25"/>
    </row>
    <row r="2874" spans="3:4">
      <c r="C2874" s="10"/>
      <c r="D2874" s="25"/>
    </row>
    <row r="2875" spans="3:4">
      <c r="C2875" s="10"/>
      <c r="D2875" s="25"/>
    </row>
    <row r="2876" spans="3:4">
      <c r="C2876" s="10"/>
      <c r="D2876" s="25"/>
    </row>
    <row r="2877" spans="3:4">
      <c r="C2877" s="10"/>
      <c r="D2877" s="25"/>
    </row>
    <row r="2878" spans="3:4">
      <c r="C2878" s="10"/>
      <c r="D2878" s="25"/>
    </row>
    <row r="2879" spans="3:4">
      <c r="C2879" s="10"/>
      <c r="D2879" s="25"/>
    </row>
    <row r="2880" spans="3:4">
      <c r="C2880" s="10"/>
      <c r="D2880" s="25"/>
    </row>
    <row r="2881" spans="3:4">
      <c r="C2881" s="10"/>
      <c r="D2881" s="25"/>
    </row>
    <row r="2882" spans="3:4">
      <c r="C2882" s="10"/>
      <c r="D2882" s="25"/>
    </row>
    <row r="2883" spans="3:4">
      <c r="C2883" s="10"/>
      <c r="D2883" s="25"/>
    </row>
    <row r="2884" spans="3:4">
      <c r="C2884" s="10"/>
      <c r="D2884" s="25"/>
    </row>
    <row r="2885" spans="3:4">
      <c r="C2885" s="10"/>
      <c r="D2885" s="25"/>
    </row>
    <row r="2886" spans="3:4">
      <c r="C2886" s="10"/>
      <c r="D2886" s="25"/>
    </row>
    <row r="2887" spans="3:4">
      <c r="C2887" s="10"/>
      <c r="D2887" s="25"/>
    </row>
    <row r="2888" spans="3:4">
      <c r="C2888" s="10"/>
      <c r="D2888" s="25"/>
    </row>
    <row r="2889" spans="3:4">
      <c r="C2889" s="10"/>
      <c r="D2889" s="25"/>
    </row>
    <row r="2890" spans="3:4">
      <c r="C2890" s="10"/>
      <c r="D2890" s="25"/>
    </row>
    <row r="2891" spans="3:4">
      <c r="C2891" s="10"/>
      <c r="D2891" s="25"/>
    </row>
    <row r="2892" spans="3:4">
      <c r="C2892" s="10"/>
      <c r="D2892" s="25"/>
    </row>
    <row r="2893" spans="3:4">
      <c r="C2893" s="10"/>
      <c r="D2893" s="25"/>
    </row>
    <row r="2894" spans="3:4">
      <c r="C2894" s="10"/>
      <c r="D2894" s="25"/>
    </row>
    <row r="2895" spans="3:4">
      <c r="C2895" s="10"/>
      <c r="D2895" s="25"/>
    </row>
    <row r="2896" spans="3:4">
      <c r="C2896" s="10"/>
      <c r="D2896" s="25"/>
    </row>
    <row r="2897" spans="3:4">
      <c r="C2897" s="10"/>
      <c r="D2897" s="25"/>
    </row>
    <row r="2898" spans="3:4">
      <c r="C2898" s="10"/>
      <c r="D2898" s="25"/>
    </row>
    <row r="2899" spans="3:4">
      <c r="C2899" s="10"/>
      <c r="D2899" s="25"/>
    </row>
    <row r="2900" spans="3:4">
      <c r="C2900" s="10"/>
      <c r="D2900" s="25"/>
    </row>
    <row r="2901" spans="3:4">
      <c r="C2901" s="10"/>
      <c r="D2901" s="25"/>
    </row>
    <row r="2902" spans="3:4">
      <c r="C2902" s="10"/>
      <c r="D2902" s="25"/>
    </row>
    <row r="2903" spans="3:4">
      <c r="C2903" s="10"/>
      <c r="D2903" s="25"/>
    </row>
    <row r="2904" spans="3:4">
      <c r="C2904" s="10"/>
      <c r="D2904" s="25"/>
    </row>
    <row r="2905" spans="3:4">
      <c r="C2905" s="10"/>
      <c r="D2905" s="25"/>
    </row>
    <row r="2906" spans="3:4">
      <c r="C2906" s="10"/>
      <c r="D2906" s="25"/>
    </row>
    <row r="2907" spans="3:4">
      <c r="C2907" s="10"/>
      <c r="D2907" s="25"/>
    </row>
    <row r="2908" spans="3:4">
      <c r="C2908" s="10"/>
      <c r="D2908" s="25"/>
    </row>
    <row r="2909" spans="3:4">
      <c r="C2909" s="10"/>
      <c r="D2909" s="25"/>
    </row>
    <row r="2910" spans="3:4">
      <c r="C2910" s="10"/>
      <c r="D2910" s="25"/>
    </row>
    <row r="2911" spans="3:4">
      <c r="C2911" s="10"/>
      <c r="D2911" s="25"/>
    </row>
    <row r="2912" spans="3:4">
      <c r="C2912" s="10"/>
      <c r="D2912" s="25"/>
    </row>
    <row r="2913" spans="3:4">
      <c r="C2913" s="10"/>
      <c r="D2913" s="25"/>
    </row>
    <row r="2914" spans="3:4">
      <c r="C2914" s="10"/>
      <c r="D2914" s="25"/>
    </row>
    <row r="2915" spans="3:4">
      <c r="C2915" s="10"/>
      <c r="D2915" s="25"/>
    </row>
    <row r="2916" spans="3:4">
      <c r="C2916" s="10"/>
      <c r="D2916" s="25"/>
    </row>
    <row r="2917" spans="3:4">
      <c r="C2917" s="10"/>
      <c r="D2917" s="25"/>
    </row>
    <row r="2918" spans="3:4">
      <c r="C2918" s="10"/>
      <c r="D2918" s="25"/>
    </row>
    <row r="2919" spans="3:4">
      <c r="C2919" s="10"/>
      <c r="D2919" s="25"/>
    </row>
    <row r="2920" spans="3:4">
      <c r="C2920" s="10"/>
      <c r="D2920" s="25"/>
    </row>
    <row r="2921" spans="3:4">
      <c r="C2921" s="10"/>
      <c r="D2921" s="25"/>
    </row>
    <row r="2922" spans="3:4">
      <c r="C2922" s="10"/>
      <c r="D2922" s="25"/>
    </row>
    <row r="2923" spans="3:4">
      <c r="C2923" s="10"/>
      <c r="D2923" s="25"/>
    </row>
    <row r="2924" spans="3:4">
      <c r="C2924" s="10"/>
      <c r="D2924" s="25"/>
    </row>
    <row r="2925" spans="3:4">
      <c r="C2925" s="10"/>
      <c r="D2925" s="25"/>
    </row>
    <row r="2926" spans="3:4">
      <c r="C2926" s="10"/>
      <c r="D2926" s="25"/>
    </row>
    <row r="2927" spans="3:4">
      <c r="C2927" s="10"/>
      <c r="D2927" s="25"/>
    </row>
    <row r="2928" spans="3:4">
      <c r="C2928" s="10"/>
      <c r="D2928" s="25"/>
    </row>
    <row r="2929" spans="3:4">
      <c r="C2929" s="10"/>
      <c r="D2929" s="25"/>
    </row>
    <row r="2930" spans="3:4">
      <c r="C2930" s="10"/>
      <c r="D2930" s="25"/>
    </row>
    <row r="2931" spans="3:4">
      <c r="C2931" s="10"/>
      <c r="D2931" s="25"/>
    </row>
    <row r="2932" spans="3:4">
      <c r="C2932" s="10"/>
      <c r="D2932" s="25"/>
    </row>
    <row r="2933" spans="3:4">
      <c r="C2933" s="10"/>
      <c r="D2933" s="25"/>
    </row>
    <row r="2934" spans="3:4">
      <c r="C2934" s="10"/>
      <c r="D2934" s="25"/>
    </row>
    <row r="2935" spans="3:4">
      <c r="C2935" s="10"/>
      <c r="D2935" s="25"/>
    </row>
    <row r="2936" spans="3:4">
      <c r="C2936" s="10"/>
      <c r="D2936" s="25"/>
    </row>
    <row r="2937" spans="3:4">
      <c r="C2937" s="10"/>
      <c r="D2937" s="25"/>
    </row>
    <row r="2938" spans="3:4">
      <c r="C2938" s="10"/>
      <c r="D2938" s="25"/>
    </row>
    <row r="2939" spans="3:4">
      <c r="C2939" s="10"/>
      <c r="D2939" s="25"/>
    </row>
    <row r="2940" spans="3:4">
      <c r="C2940" s="10"/>
      <c r="D2940" s="25"/>
    </row>
    <row r="2941" spans="3:4">
      <c r="C2941" s="10"/>
      <c r="D2941" s="25"/>
    </row>
    <row r="2942" spans="3:4">
      <c r="C2942" s="10"/>
      <c r="D2942" s="25"/>
    </row>
    <row r="2943" spans="3:4">
      <c r="C2943" s="10"/>
      <c r="D2943" s="25"/>
    </row>
    <row r="2944" spans="3:4">
      <c r="C2944" s="10"/>
      <c r="D2944" s="25"/>
    </row>
    <row r="2945" spans="3:4">
      <c r="C2945" s="10"/>
      <c r="D2945" s="25"/>
    </row>
    <row r="2946" spans="3:4">
      <c r="C2946" s="10"/>
      <c r="D2946" s="25"/>
    </row>
    <row r="2947" spans="3:4">
      <c r="C2947" s="10"/>
      <c r="D2947" s="25"/>
    </row>
    <row r="2948" spans="3:4">
      <c r="C2948" s="10"/>
      <c r="D2948" s="25"/>
    </row>
    <row r="2949" spans="3:4">
      <c r="C2949" s="10"/>
      <c r="D2949" s="25"/>
    </row>
    <row r="2950" spans="3:4">
      <c r="C2950" s="10"/>
      <c r="D2950" s="25"/>
    </row>
    <row r="2951" spans="3:4">
      <c r="C2951" s="10"/>
      <c r="D2951" s="25"/>
    </row>
    <row r="2952" spans="3:4">
      <c r="C2952" s="10"/>
      <c r="D2952" s="25"/>
    </row>
    <row r="2953" spans="3:4">
      <c r="C2953" s="10"/>
      <c r="D2953" s="25"/>
    </row>
    <row r="2954" spans="3:4">
      <c r="C2954" s="10"/>
      <c r="D2954" s="25"/>
    </row>
    <row r="2955" spans="3:4">
      <c r="C2955" s="10"/>
      <c r="D2955" s="25"/>
    </row>
    <row r="2956" spans="3:4">
      <c r="C2956" s="10"/>
      <c r="D2956" s="25"/>
    </row>
    <row r="2957" spans="3:4">
      <c r="C2957" s="10"/>
      <c r="D2957" s="25"/>
    </row>
    <row r="2958" spans="3:4">
      <c r="C2958" s="10"/>
      <c r="D2958" s="25"/>
    </row>
    <row r="2959" spans="3:4">
      <c r="C2959" s="10"/>
      <c r="D2959" s="25"/>
    </row>
    <row r="2960" spans="3:4">
      <c r="C2960" s="10"/>
      <c r="D2960" s="25"/>
    </row>
    <row r="2961" spans="3:4">
      <c r="C2961" s="10"/>
      <c r="D2961" s="25"/>
    </row>
    <row r="2962" spans="3:4">
      <c r="C2962" s="10"/>
      <c r="D2962" s="25"/>
    </row>
    <row r="2963" spans="3:4">
      <c r="C2963" s="10"/>
      <c r="D2963" s="25"/>
    </row>
    <row r="2964" spans="3:4">
      <c r="C2964" s="10"/>
      <c r="D2964" s="25"/>
    </row>
    <row r="2965" spans="3:4">
      <c r="C2965" s="10"/>
      <c r="D2965" s="25"/>
    </row>
    <row r="2966" spans="3:4">
      <c r="C2966" s="10"/>
      <c r="D2966" s="25"/>
    </row>
    <row r="2967" spans="3:4">
      <c r="C2967" s="10"/>
      <c r="D2967" s="25"/>
    </row>
    <row r="2968" spans="3:4">
      <c r="C2968" s="10"/>
      <c r="D2968" s="25"/>
    </row>
    <row r="2969" spans="3:4">
      <c r="C2969" s="10"/>
      <c r="D2969" s="25"/>
    </row>
    <row r="2970" spans="3:4">
      <c r="C2970" s="10"/>
      <c r="D2970" s="25"/>
    </row>
    <row r="2971" spans="3:4">
      <c r="C2971" s="10"/>
      <c r="D2971" s="25"/>
    </row>
    <row r="2972" spans="3:4">
      <c r="C2972" s="10"/>
      <c r="D2972" s="25"/>
    </row>
    <row r="2973" spans="3:4">
      <c r="C2973" s="10"/>
      <c r="D2973" s="25"/>
    </row>
    <row r="2974" spans="3:4">
      <c r="C2974" s="10"/>
      <c r="D2974" s="25"/>
    </row>
    <row r="2975" spans="3:4">
      <c r="C2975" s="10"/>
      <c r="D2975" s="25"/>
    </row>
    <row r="2976" spans="3:4">
      <c r="C2976" s="10"/>
      <c r="D2976" s="25"/>
    </row>
    <row r="2977" spans="3:4">
      <c r="C2977" s="10"/>
      <c r="D2977" s="25"/>
    </row>
    <row r="2978" spans="3:4">
      <c r="C2978" s="10"/>
      <c r="D2978" s="25"/>
    </row>
    <row r="2979" spans="3:4">
      <c r="C2979" s="10"/>
      <c r="D2979" s="25"/>
    </row>
    <row r="2980" spans="3:4">
      <c r="C2980" s="10"/>
      <c r="D2980" s="25"/>
    </row>
    <row r="2981" spans="3:4">
      <c r="C2981" s="10"/>
      <c r="D2981" s="25"/>
    </row>
    <row r="2982" spans="3:4">
      <c r="C2982" s="10"/>
      <c r="D2982" s="25"/>
    </row>
    <row r="2983" spans="3:4">
      <c r="C2983" s="10"/>
      <c r="D2983" s="25"/>
    </row>
    <row r="2984" spans="3:4">
      <c r="C2984" s="10"/>
      <c r="D2984" s="25"/>
    </row>
    <row r="2985" spans="3:4">
      <c r="C2985" s="10"/>
      <c r="D2985" s="25"/>
    </row>
    <row r="2986" spans="3:4">
      <c r="C2986" s="10"/>
      <c r="D2986" s="25"/>
    </row>
    <row r="2987" spans="3:4">
      <c r="C2987" s="10"/>
      <c r="D2987" s="25"/>
    </row>
    <row r="2988" spans="3:4">
      <c r="C2988" s="10"/>
      <c r="D2988" s="25"/>
    </row>
    <row r="2989" spans="3:4">
      <c r="C2989" s="10"/>
      <c r="D2989" s="25"/>
    </row>
    <row r="2990" spans="3:4">
      <c r="C2990" s="10"/>
      <c r="D2990" s="25"/>
    </row>
    <row r="2991" spans="3:4">
      <c r="C2991" s="10"/>
      <c r="D2991" s="25"/>
    </row>
    <row r="2992" spans="3:4">
      <c r="C2992" s="10"/>
      <c r="D2992" s="25"/>
    </row>
    <row r="2993" spans="3:4">
      <c r="C2993" s="10"/>
      <c r="D2993" s="25"/>
    </row>
    <row r="2994" spans="3:4">
      <c r="C2994" s="10"/>
      <c r="D2994" s="25"/>
    </row>
    <row r="2995" spans="3:4">
      <c r="C2995" s="10"/>
      <c r="D2995" s="25"/>
    </row>
    <row r="2996" spans="3:4">
      <c r="C2996" s="10"/>
      <c r="D2996" s="25"/>
    </row>
    <row r="2997" spans="3:4">
      <c r="C2997" s="10"/>
      <c r="D2997" s="25"/>
    </row>
    <row r="2998" spans="3:4">
      <c r="C2998" s="10"/>
      <c r="D2998" s="25"/>
    </row>
    <row r="2999" spans="3:4">
      <c r="C2999" s="10"/>
      <c r="D2999" s="25"/>
    </row>
    <row r="3000" spans="3:4">
      <c r="C3000" s="10"/>
      <c r="D3000" s="25"/>
    </row>
    <row r="3001" spans="3:4">
      <c r="C3001" s="10"/>
      <c r="D3001" s="25"/>
    </row>
    <row r="3002" spans="3:4">
      <c r="C3002" s="10"/>
      <c r="D3002" s="25"/>
    </row>
    <row r="3003" spans="3:4">
      <c r="C3003" s="10"/>
      <c r="D3003" s="25"/>
    </row>
    <row r="3004" spans="3:4">
      <c r="C3004" s="10"/>
      <c r="D3004" s="25"/>
    </row>
    <row r="3005" spans="3:4">
      <c r="C3005" s="10"/>
      <c r="D3005" s="25"/>
    </row>
    <row r="3006" spans="3:4">
      <c r="C3006" s="10"/>
      <c r="D3006" s="25"/>
    </row>
    <row r="3007" spans="3:4">
      <c r="C3007" s="10"/>
      <c r="D3007" s="25"/>
    </row>
    <row r="3008" spans="3:4">
      <c r="C3008" s="10"/>
      <c r="D3008" s="25"/>
    </row>
    <row r="3009" spans="3:4">
      <c r="C3009" s="10"/>
      <c r="D3009" s="25"/>
    </row>
    <row r="3010" spans="3:4">
      <c r="C3010" s="10"/>
      <c r="D3010" s="25"/>
    </row>
    <row r="3011" spans="3:4">
      <c r="C3011" s="10"/>
      <c r="D3011" s="25"/>
    </row>
    <row r="3012" spans="3:4">
      <c r="C3012" s="10"/>
      <c r="D3012" s="25"/>
    </row>
    <row r="3013" spans="3:4">
      <c r="C3013" s="10"/>
      <c r="D3013" s="25"/>
    </row>
    <row r="3014" spans="3:4">
      <c r="C3014" s="10"/>
      <c r="D3014" s="25"/>
    </row>
    <row r="3015" spans="3:4">
      <c r="C3015" s="10"/>
      <c r="D3015" s="25"/>
    </row>
    <row r="3016" spans="3:4">
      <c r="C3016" s="10"/>
      <c r="D3016" s="25"/>
    </row>
    <row r="3017" spans="3:4">
      <c r="C3017" s="10"/>
      <c r="D3017" s="25"/>
    </row>
    <row r="3018" spans="3:4">
      <c r="C3018" s="10"/>
      <c r="D3018" s="25"/>
    </row>
    <row r="3019" spans="3:4">
      <c r="C3019" s="10"/>
      <c r="D3019" s="25"/>
    </row>
    <row r="3020" spans="3:4">
      <c r="C3020" s="10"/>
      <c r="D3020" s="25"/>
    </row>
    <row r="3021" spans="3:4">
      <c r="C3021" s="10"/>
      <c r="D3021" s="25"/>
    </row>
    <row r="3022" spans="3:4">
      <c r="C3022" s="10"/>
      <c r="D3022" s="25"/>
    </row>
    <row r="3023" spans="3:4">
      <c r="C3023" s="10"/>
      <c r="D3023" s="25"/>
    </row>
    <row r="3024" spans="3:4">
      <c r="C3024" s="10"/>
      <c r="D3024" s="25"/>
    </row>
    <row r="3025" spans="3:4">
      <c r="C3025" s="10"/>
      <c r="D3025" s="25"/>
    </row>
    <row r="3026" spans="3:4">
      <c r="C3026" s="10"/>
      <c r="D3026" s="25"/>
    </row>
    <row r="3027" spans="3:4">
      <c r="C3027" s="10"/>
      <c r="D3027" s="25"/>
    </row>
    <row r="3028" spans="3:4">
      <c r="C3028" s="10"/>
      <c r="D3028" s="25"/>
    </row>
    <row r="3029" spans="3:4">
      <c r="C3029" s="10"/>
      <c r="D3029" s="25"/>
    </row>
    <row r="3030" spans="3:4">
      <c r="C3030" s="10"/>
      <c r="D3030" s="25"/>
    </row>
    <row r="3031" spans="3:4">
      <c r="C3031" s="10"/>
      <c r="D3031" s="25"/>
    </row>
    <row r="3032" spans="3:4">
      <c r="C3032" s="10"/>
      <c r="D3032" s="25"/>
    </row>
    <row r="3033" spans="3:4">
      <c r="C3033" s="10"/>
      <c r="D3033" s="25"/>
    </row>
    <row r="3034" spans="3:4">
      <c r="C3034" s="10"/>
      <c r="D3034" s="25"/>
    </row>
    <row r="3035" spans="3:4">
      <c r="C3035" s="10"/>
      <c r="D3035" s="25"/>
    </row>
    <row r="3036" spans="3:4">
      <c r="C3036" s="10"/>
      <c r="D3036" s="25"/>
    </row>
    <row r="3037" spans="3:4">
      <c r="C3037" s="10"/>
      <c r="D3037" s="25"/>
    </row>
    <row r="3038" spans="3:4">
      <c r="C3038" s="10"/>
      <c r="D3038" s="25"/>
    </row>
    <row r="3039" spans="3:4">
      <c r="C3039" s="10"/>
      <c r="D3039" s="25"/>
    </row>
    <row r="3040" spans="3:4">
      <c r="C3040" s="10"/>
      <c r="D3040" s="25"/>
    </row>
    <row r="3041" spans="3:4">
      <c r="C3041" s="10"/>
      <c r="D3041" s="25"/>
    </row>
    <row r="3042" spans="3:4">
      <c r="C3042" s="10"/>
      <c r="D3042" s="25"/>
    </row>
    <row r="3043" spans="3:4">
      <c r="C3043" s="10"/>
      <c r="D3043" s="25"/>
    </row>
    <row r="3044" spans="3:4">
      <c r="C3044" s="10"/>
      <c r="D3044" s="25"/>
    </row>
    <row r="3045" spans="3:4">
      <c r="C3045" s="10"/>
      <c r="D3045" s="25"/>
    </row>
    <row r="3046" spans="3:4">
      <c r="C3046" s="10"/>
      <c r="D3046" s="25"/>
    </row>
    <row r="3047" spans="3:4">
      <c r="C3047" s="10"/>
      <c r="D3047" s="25"/>
    </row>
    <row r="3048" spans="3:4">
      <c r="C3048" s="10"/>
      <c r="D3048" s="25"/>
    </row>
    <row r="3049" spans="3:4">
      <c r="C3049" s="10"/>
      <c r="D3049" s="25"/>
    </row>
    <row r="3050" spans="3:4">
      <c r="C3050" s="10"/>
      <c r="D3050" s="25"/>
    </row>
    <row r="3051" spans="3:4">
      <c r="C3051" s="10"/>
      <c r="D3051" s="25"/>
    </row>
    <row r="3052" spans="3:4">
      <c r="C3052" s="10"/>
      <c r="D3052" s="25"/>
    </row>
    <row r="3053" spans="3:4">
      <c r="C3053" s="10"/>
      <c r="D3053" s="25"/>
    </row>
    <row r="3054" spans="3:4">
      <c r="C3054" s="10"/>
      <c r="D3054" s="25"/>
    </row>
    <row r="3055" spans="3:4">
      <c r="C3055" s="10"/>
      <c r="D3055" s="25"/>
    </row>
    <row r="3056" spans="3:4">
      <c r="C3056" s="10"/>
      <c r="D3056" s="25"/>
    </row>
    <row r="3057" spans="3:4">
      <c r="C3057" s="10"/>
      <c r="D3057" s="25"/>
    </row>
    <row r="3058" spans="3:4">
      <c r="C3058" s="10"/>
      <c r="D3058" s="25"/>
    </row>
    <row r="3059" spans="3:4">
      <c r="C3059" s="10"/>
      <c r="D3059" s="25"/>
    </row>
    <row r="3060" spans="3:4">
      <c r="C3060" s="10"/>
      <c r="D3060" s="25"/>
    </row>
    <row r="3061" spans="3:4">
      <c r="C3061" s="10"/>
      <c r="D3061" s="25"/>
    </row>
    <row r="3062" spans="3:4">
      <c r="C3062" s="10"/>
      <c r="D3062" s="25"/>
    </row>
    <row r="3063" spans="3:4">
      <c r="C3063" s="10"/>
      <c r="D3063" s="25"/>
    </row>
    <row r="3064" spans="3:4">
      <c r="C3064" s="10"/>
      <c r="D3064" s="25"/>
    </row>
    <row r="3065" spans="3:4">
      <c r="C3065" s="10"/>
      <c r="D3065" s="25"/>
    </row>
    <row r="3066" spans="3:4">
      <c r="C3066" s="10"/>
      <c r="D3066" s="25"/>
    </row>
    <row r="3067" spans="3:4">
      <c r="C3067" s="10"/>
      <c r="D3067" s="25"/>
    </row>
    <row r="3068" spans="3:4">
      <c r="C3068" s="10"/>
      <c r="D3068" s="25"/>
    </row>
    <row r="3069" spans="3:4">
      <c r="C3069" s="10"/>
      <c r="D3069" s="25"/>
    </row>
    <row r="3070" spans="3:4">
      <c r="C3070" s="10"/>
      <c r="D3070" s="25"/>
    </row>
    <row r="3071" spans="3:4">
      <c r="C3071" s="10"/>
      <c r="D3071" s="25"/>
    </row>
    <row r="3072" spans="3:4">
      <c r="C3072" s="10"/>
      <c r="D3072" s="25"/>
    </row>
    <row r="3073" spans="3:4">
      <c r="C3073" s="10"/>
      <c r="D3073" s="25"/>
    </row>
    <row r="3074" spans="3:4">
      <c r="C3074" s="10"/>
      <c r="D3074" s="25"/>
    </row>
    <row r="3075" spans="3:4">
      <c r="C3075" s="10"/>
      <c r="D3075" s="25"/>
    </row>
    <row r="3076" spans="3:4">
      <c r="C3076" s="10"/>
      <c r="D3076" s="25"/>
    </row>
    <row r="3077" spans="3:4">
      <c r="C3077" s="10"/>
      <c r="D3077" s="25"/>
    </row>
    <row r="3078" spans="3:4">
      <c r="C3078" s="10"/>
      <c r="D3078" s="25"/>
    </row>
    <row r="3079" spans="3:4">
      <c r="C3079" s="10"/>
      <c r="D3079" s="25"/>
    </row>
    <row r="3080" spans="3:4">
      <c r="C3080" s="10"/>
      <c r="D3080" s="25"/>
    </row>
    <row r="3081" spans="3:4">
      <c r="C3081" s="10"/>
      <c r="D3081" s="25"/>
    </row>
    <row r="3082" spans="3:4">
      <c r="C3082" s="10"/>
      <c r="D3082" s="25"/>
    </row>
    <row r="3083" spans="3:4">
      <c r="C3083" s="10"/>
      <c r="D3083" s="25"/>
    </row>
    <row r="3084" spans="3:4">
      <c r="C3084" s="10"/>
      <c r="D3084" s="25"/>
    </row>
    <row r="3085" spans="3:4">
      <c r="C3085" s="10"/>
      <c r="D3085" s="25"/>
    </row>
    <row r="3086" spans="3:4">
      <c r="C3086" s="10"/>
      <c r="D3086" s="25"/>
    </row>
    <row r="3087" spans="3:4">
      <c r="C3087" s="10"/>
      <c r="D3087" s="25"/>
    </row>
    <row r="3088" spans="3:4">
      <c r="C3088" s="10"/>
      <c r="D3088" s="25"/>
    </row>
    <row r="3089" spans="3:4">
      <c r="C3089" s="10"/>
      <c r="D3089" s="25"/>
    </row>
    <row r="3090" spans="3:4">
      <c r="C3090" s="10"/>
      <c r="D3090" s="25"/>
    </row>
    <row r="3091" spans="3:4">
      <c r="C3091" s="10"/>
      <c r="D3091" s="25"/>
    </row>
    <row r="3092" spans="3:4">
      <c r="C3092" s="10"/>
      <c r="D3092" s="25"/>
    </row>
    <row r="3093" spans="3:4">
      <c r="C3093" s="10"/>
      <c r="D3093" s="25"/>
    </row>
    <row r="3094" spans="3:4">
      <c r="C3094" s="10"/>
      <c r="D3094" s="25"/>
    </row>
    <row r="3095" spans="3:4">
      <c r="C3095" s="10"/>
      <c r="D3095" s="25"/>
    </row>
    <row r="3096" spans="3:4">
      <c r="C3096" s="10"/>
      <c r="D3096" s="25"/>
    </row>
    <row r="3097" spans="3:4">
      <c r="C3097" s="10"/>
      <c r="D3097" s="25"/>
    </row>
    <row r="3098" spans="3:4">
      <c r="C3098" s="10"/>
      <c r="D3098" s="25"/>
    </row>
    <row r="3099" spans="3:4">
      <c r="C3099" s="10"/>
      <c r="D3099" s="25"/>
    </row>
    <row r="3100" spans="3:4">
      <c r="C3100" s="10"/>
      <c r="D3100" s="25"/>
    </row>
    <row r="3101" spans="3:4">
      <c r="C3101" s="10"/>
      <c r="D3101" s="25"/>
    </row>
    <row r="3102" spans="3:4">
      <c r="C3102" s="10"/>
      <c r="D3102" s="25"/>
    </row>
    <row r="3103" spans="3:4">
      <c r="C3103" s="10"/>
      <c r="D3103" s="25"/>
    </row>
    <row r="3104" spans="3:4">
      <c r="C3104" s="10"/>
      <c r="D3104" s="25"/>
    </row>
    <row r="3105" spans="3:4">
      <c r="C3105" s="10"/>
      <c r="D3105" s="25"/>
    </row>
    <row r="3106" spans="3:4">
      <c r="C3106" s="10"/>
      <c r="D3106" s="25"/>
    </row>
    <row r="3107" spans="3:4">
      <c r="C3107" s="10"/>
      <c r="D3107" s="25"/>
    </row>
    <row r="3108" spans="3:4">
      <c r="C3108" s="10"/>
      <c r="D3108" s="25"/>
    </row>
    <row r="3109" spans="3:4">
      <c r="C3109" s="10"/>
      <c r="D3109" s="25"/>
    </row>
    <row r="3110" spans="3:4">
      <c r="C3110" s="10"/>
      <c r="D3110" s="25"/>
    </row>
    <row r="3111" spans="3:4">
      <c r="C3111" s="10"/>
      <c r="D3111" s="25"/>
    </row>
    <row r="3112" spans="3:4">
      <c r="C3112" s="10"/>
      <c r="D3112" s="25"/>
    </row>
    <row r="3113" spans="3:4">
      <c r="C3113" s="10"/>
      <c r="D3113" s="25"/>
    </row>
    <row r="3114" spans="3:4">
      <c r="C3114" s="10"/>
      <c r="D3114" s="25"/>
    </row>
    <row r="3115" spans="3:4">
      <c r="C3115" s="10"/>
      <c r="D3115" s="25"/>
    </row>
    <row r="3116" spans="3:4">
      <c r="C3116" s="10"/>
      <c r="D3116" s="25"/>
    </row>
    <row r="3117" spans="3:4">
      <c r="C3117" s="10"/>
      <c r="D3117" s="25"/>
    </row>
    <row r="3118" spans="3:4">
      <c r="C3118" s="10"/>
      <c r="D3118" s="25"/>
    </row>
    <row r="3119" spans="3:4">
      <c r="C3119" s="10"/>
      <c r="D3119" s="25"/>
    </row>
    <row r="3120" spans="3:4">
      <c r="C3120" s="10"/>
      <c r="D3120" s="25"/>
    </row>
    <row r="3121" spans="3:4">
      <c r="C3121" s="10"/>
      <c r="D3121" s="25"/>
    </row>
    <row r="3122" spans="3:4">
      <c r="C3122" s="10"/>
      <c r="D3122" s="25"/>
    </row>
    <row r="3123" spans="3:4">
      <c r="C3123" s="10"/>
      <c r="D3123" s="25"/>
    </row>
    <row r="3124" spans="3:4">
      <c r="C3124" s="10"/>
      <c r="D3124" s="25"/>
    </row>
    <row r="3125" spans="3:4">
      <c r="C3125" s="10"/>
      <c r="D3125" s="25"/>
    </row>
    <row r="3126" spans="3:4">
      <c r="C3126" s="10"/>
      <c r="D3126" s="25"/>
    </row>
    <row r="3127" spans="3:4">
      <c r="C3127" s="10"/>
      <c r="D3127" s="25"/>
    </row>
    <row r="3128" spans="3:4">
      <c r="C3128" s="10"/>
      <c r="D3128" s="25"/>
    </row>
    <row r="3129" spans="3:4">
      <c r="C3129" s="10"/>
      <c r="D3129" s="25"/>
    </row>
    <row r="3130" spans="3:4">
      <c r="C3130" s="10"/>
      <c r="D3130" s="25"/>
    </row>
    <row r="3131" spans="3:4">
      <c r="C3131" s="10"/>
      <c r="D3131" s="25"/>
    </row>
    <row r="3132" spans="3:4">
      <c r="C3132" s="10"/>
      <c r="D3132" s="25"/>
    </row>
    <row r="3133" spans="3:4">
      <c r="C3133" s="10"/>
      <c r="D3133" s="25"/>
    </row>
    <row r="3134" spans="3:4">
      <c r="C3134" s="10"/>
      <c r="D3134" s="25"/>
    </row>
    <row r="3135" spans="3:4">
      <c r="C3135" s="10"/>
      <c r="D3135" s="25"/>
    </row>
    <row r="3136" spans="3:4">
      <c r="C3136" s="10"/>
      <c r="D3136" s="25"/>
    </row>
    <row r="3137" spans="3:4">
      <c r="C3137" s="10"/>
      <c r="D3137" s="25"/>
    </row>
    <row r="3138" spans="3:4">
      <c r="C3138" s="10"/>
      <c r="D3138" s="25"/>
    </row>
    <row r="3139" spans="3:4">
      <c r="C3139" s="10"/>
      <c r="D3139" s="25"/>
    </row>
    <row r="3140" spans="3:4">
      <c r="C3140" s="10"/>
      <c r="D3140" s="25"/>
    </row>
    <row r="3141" spans="3:4">
      <c r="C3141" s="10"/>
      <c r="D3141" s="25"/>
    </row>
    <row r="3142" spans="3:4">
      <c r="C3142" s="10"/>
      <c r="D3142" s="25"/>
    </row>
    <row r="3143" spans="3:4">
      <c r="C3143" s="10"/>
      <c r="D3143" s="25"/>
    </row>
    <row r="3144" spans="3:4">
      <c r="C3144" s="10"/>
      <c r="D3144" s="25"/>
    </row>
    <row r="3145" spans="3:4">
      <c r="C3145" s="10"/>
      <c r="D3145" s="25"/>
    </row>
    <row r="3146" spans="3:4">
      <c r="C3146" s="10"/>
      <c r="D3146" s="25"/>
    </row>
    <row r="3147" spans="3:4">
      <c r="C3147" s="10"/>
      <c r="D3147" s="25"/>
    </row>
    <row r="3148" spans="3:4">
      <c r="C3148" s="10"/>
      <c r="D3148" s="25"/>
    </row>
    <row r="3149" spans="3:4">
      <c r="C3149" s="10"/>
      <c r="D3149" s="25"/>
    </row>
    <row r="3150" spans="3:4">
      <c r="C3150" s="10"/>
      <c r="D3150" s="25"/>
    </row>
    <row r="3151" spans="3:4">
      <c r="C3151" s="10"/>
      <c r="D3151" s="25"/>
    </row>
    <row r="3152" spans="3:4">
      <c r="C3152" s="10"/>
      <c r="D3152" s="25"/>
    </row>
    <row r="3153" spans="3:4">
      <c r="C3153" s="10"/>
      <c r="D3153" s="25"/>
    </row>
    <row r="3154" spans="3:4">
      <c r="C3154" s="10"/>
      <c r="D3154" s="25"/>
    </row>
    <row r="3155" spans="3:4">
      <c r="C3155" s="10"/>
      <c r="D3155" s="25"/>
    </row>
    <row r="3156" spans="3:4">
      <c r="C3156" s="10"/>
      <c r="D3156" s="25"/>
    </row>
    <row r="3157" spans="3:4">
      <c r="C3157" s="10"/>
      <c r="D3157" s="25"/>
    </row>
    <row r="3158" spans="3:4">
      <c r="C3158" s="10"/>
      <c r="D3158" s="25"/>
    </row>
    <row r="3159" spans="3:4">
      <c r="C3159" s="10"/>
      <c r="D3159" s="25"/>
    </row>
    <row r="3160" spans="3:4">
      <c r="C3160" s="10"/>
      <c r="D3160" s="25"/>
    </row>
    <row r="3161" spans="3:4">
      <c r="C3161" s="10"/>
      <c r="D3161" s="25"/>
    </row>
    <row r="3162" spans="3:4">
      <c r="C3162" s="10"/>
      <c r="D3162" s="25"/>
    </row>
    <row r="3163" spans="3:4">
      <c r="C3163" s="10"/>
      <c r="D3163" s="25"/>
    </row>
    <row r="3164" spans="3:4">
      <c r="C3164" s="10"/>
      <c r="D3164" s="25"/>
    </row>
    <row r="3165" spans="3:4">
      <c r="C3165" s="10"/>
      <c r="D3165" s="25"/>
    </row>
    <row r="3166" spans="3:4">
      <c r="C3166" s="10"/>
      <c r="D3166" s="25"/>
    </row>
    <row r="3167" spans="3:4">
      <c r="C3167" s="10"/>
      <c r="D3167" s="25"/>
    </row>
    <row r="3168" spans="3:4">
      <c r="C3168" s="10"/>
      <c r="D3168" s="25"/>
    </row>
    <row r="3169" spans="3:4">
      <c r="C3169" s="10"/>
      <c r="D3169" s="25"/>
    </row>
    <row r="3170" spans="3:4">
      <c r="C3170" s="10"/>
      <c r="D3170" s="25"/>
    </row>
    <row r="3171" spans="3:4">
      <c r="C3171" s="10"/>
      <c r="D3171" s="25"/>
    </row>
    <row r="3172" spans="3:4">
      <c r="C3172" s="10"/>
      <c r="D3172" s="25"/>
    </row>
    <row r="3173" spans="3:4">
      <c r="C3173" s="10"/>
      <c r="D3173" s="25"/>
    </row>
    <row r="3174" spans="3:4">
      <c r="C3174" s="10"/>
      <c r="D3174" s="25"/>
    </row>
    <row r="3175" spans="3:4">
      <c r="C3175" s="10"/>
      <c r="D3175" s="25"/>
    </row>
    <row r="3176" spans="3:4">
      <c r="C3176" s="10"/>
      <c r="D3176" s="25"/>
    </row>
    <row r="3177" spans="3:4">
      <c r="C3177" s="10"/>
      <c r="D3177" s="25"/>
    </row>
    <row r="3178" spans="3:4">
      <c r="C3178" s="10"/>
      <c r="D3178" s="25"/>
    </row>
    <row r="3179" spans="3:4">
      <c r="C3179" s="10"/>
      <c r="D3179" s="25"/>
    </row>
    <row r="3180" spans="3:4">
      <c r="C3180" s="10"/>
      <c r="D3180" s="25"/>
    </row>
    <row r="3181" spans="3:4">
      <c r="C3181" s="10"/>
      <c r="D3181" s="25"/>
    </row>
    <row r="3182" spans="3:4">
      <c r="C3182" s="10"/>
      <c r="D3182" s="25"/>
    </row>
    <row r="3183" spans="3:4">
      <c r="C3183" s="10"/>
      <c r="D3183" s="25"/>
    </row>
    <row r="3184" spans="3:4">
      <c r="C3184" s="10"/>
      <c r="D3184" s="25"/>
    </row>
    <row r="3185" spans="3:4">
      <c r="C3185" s="10"/>
      <c r="D3185" s="25"/>
    </row>
    <row r="3186" spans="3:4">
      <c r="C3186" s="10"/>
      <c r="D3186" s="25"/>
    </row>
    <row r="3187" spans="3:4">
      <c r="C3187" s="10"/>
      <c r="D3187" s="25"/>
    </row>
    <row r="3188" spans="3:4">
      <c r="C3188" s="10"/>
      <c r="D3188" s="25"/>
    </row>
    <row r="3189" spans="3:4">
      <c r="C3189" s="10"/>
      <c r="D3189" s="25"/>
    </row>
    <row r="3190" spans="3:4">
      <c r="C3190" s="10"/>
      <c r="D3190" s="25"/>
    </row>
    <row r="3191" spans="3:4">
      <c r="C3191" s="10"/>
      <c r="D3191" s="25"/>
    </row>
    <row r="3192" spans="3:4">
      <c r="C3192" s="10"/>
      <c r="D3192" s="25"/>
    </row>
    <row r="3193" spans="3:4">
      <c r="C3193" s="10"/>
      <c r="D3193" s="25"/>
    </row>
    <row r="3194" spans="3:4">
      <c r="C3194" s="10"/>
      <c r="D3194" s="25"/>
    </row>
    <row r="3195" spans="3:4">
      <c r="C3195" s="10"/>
      <c r="D3195" s="25"/>
    </row>
    <row r="3196" spans="3:4">
      <c r="C3196" s="10"/>
      <c r="D3196" s="25"/>
    </row>
    <row r="3197" spans="3:4">
      <c r="C3197" s="10"/>
      <c r="D3197" s="25"/>
    </row>
    <row r="3198" spans="3:4">
      <c r="C3198" s="10"/>
      <c r="D3198" s="25"/>
    </row>
    <row r="3199" spans="3:4">
      <c r="C3199" s="10"/>
      <c r="D3199" s="25"/>
    </row>
    <row r="3200" spans="3:4">
      <c r="C3200" s="10"/>
      <c r="D3200" s="25"/>
    </row>
    <row r="3201" spans="3:4">
      <c r="C3201" s="10"/>
      <c r="D3201" s="25"/>
    </row>
    <row r="3202" spans="3:4">
      <c r="C3202" s="10"/>
      <c r="D3202" s="25"/>
    </row>
    <row r="3203" spans="3:4">
      <c r="C3203" s="10"/>
      <c r="D3203" s="25"/>
    </row>
    <row r="3204" spans="3:4">
      <c r="C3204" s="10"/>
      <c r="D3204" s="25"/>
    </row>
    <row r="3205" spans="3:4">
      <c r="C3205" s="10"/>
      <c r="D3205" s="25"/>
    </row>
    <row r="3206" spans="3:4">
      <c r="C3206" s="10"/>
      <c r="D3206" s="25"/>
    </row>
    <row r="3207" spans="3:4">
      <c r="C3207" s="10"/>
      <c r="D3207" s="25"/>
    </row>
    <row r="3208" spans="3:4">
      <c r="C3208" s="10"/>
      <c r="D3208" s="25"/>
    </row>
    <row r="3209" spans="3:4">
      <c r="C3209" s="10"/>
      <c r="D3209" s="25"/>
    </row>
    <row r="3210" spans="3:4">
      <c r="C3210" s="10"/>
      <c r="D3210" s="25"/>
    </row>
    <row r="3211" spans="3:4">
      <c r="C3211" s="10"/>
      <c r="D3211" s="25"/>
    </row>
    <row r="3212" spans="3:4">
      <c r="C3212" s="10"/>
      <c r="D3212" s="25"/>
    </row>
    <row r="3213" spans="3:4">
      <c r="C3213" s="10"/>
      <c r="D3213" s="25"/>
    </row>
    <row r="3214" spans="3:4">
      <c r="C3214" s="10"/>
      <c r="D3214" s="25"/>
    </row>
    <row r="3215" spans="3:4">
      <c r="C3215" s="10"/>
      <c r="D3215" s="25"/>
    </row>
    <row r="3216" spans="3:4">
      <c r="C3216" s="10"/>
      <c r="D3216" s="25"/>
    </row>
    <row r="3217" spans="3:4">
      <c r="C3217" s="10"/>
      <c r="D3217" s="25"/>
    </row>
    <row r="3218" spans="3:4">
      <c r="C3218" s="10"/>
      <c r="D3218" s="25"/>
    </row>
    <row r="3219" spans="3:4">
      <c r="C3219" s="10"/>
      <c r="D3219" s="25"/>
    </row>
    <row r="3220" spans="3:4">
      <c r="C3220" s="10"/>
      <c r="D3220" s="25"/>
    </row>
    <row r="3221" spans="3:4">
      <c r="C3221" s="10"/>
      <c r="D3221" s="25"/>
    </row>
    <row r="3222" spans="3:4">
      <c r="C3222" s="10"/>
      <c r="D3222" s="25"/>
    </row>
    <row r="3223" spans="3:4">
      <c r="C3223" s="10"/>
      <c r="D3223" s="25"/>
    </row>
    <row r="3224" spans="3:4">
      <c r="C3224" s="10"/>
      <c r="D3224" s="25"/>
    </row>
    <row r="3225" spans="3:4">
      <c r="C3225" s="10"/>
      <c r="D3225" s="25"/>
    </row>
    <row r="3226" spans="3:4">
      <c r="C3226" s="10"/>
      <c r="D3226" s="25"/>
    </row>
    <row r="3227" spans="3:4">
      <c r="C3227" s="10"/>
      <c r="D3227" s="25"/>
    </row>
    <row r="3228" spans="3:4">
      <c r="C3228" s="10"/>
      <c r="D3228" s="25"/>
    </row>
    <row r="3229" spans="3:4">
      <c r="C3229" s="10"/>
      <c r="D3229" s="25"/>
    </row>
    <row r="3230" spans="3:4">
      <c r="C3230" s="10"/>
      <c r="D3230" s="25"/>
    </row>
    <row r="3231" spans="3:4">
      <c r="C3231" s="10"/>
      <c r="D3231" s="25"/>
    </row>
    <row r="3232" spans="3:4">
      <c r="C3232" s="10"/>
      <c r="D3232" s="25"/>
    </row>
    <row r="3233" spans="3:4">
      <c r="C3233" s="10"/>
      <c r="D3233" s="25"/>
    </row>
    <row r="3234" spans="3:4">
      <c r="C3234" s="10"/>
      <c r="D3234" s="25"/>
    </row>
    <row r="3235" spans="3:4">
      <c r="C3235" s="10"/>
      <c r="D3235" s="25"/>
    </row>
    <row r="3236" spans="3:4">
      <c r="C3236" s="10"/>
      <c r="D3236" s="25"/>
    </row>
    <row r="3237" spans="3:4">
      <c r="C3237" s="10"/>
      <c r="D3237" s="25"/>
    </row>
    <row r="3238" spans="3:4">
      <c r="C3238" s="10"/>
      <c r="D3238" s="25"/>
    </row>
    <row r="3239" spans="3:4">
      <c r="C3239" s="10"/>
      <c r="D3239" s="25"/>
    </row>
    <row r="3240" spans="3:4">
      <c r="C3240" s="10"/>
      <c r="D3240" s="25"/>
    </row>
    <row r="3241" spans="3:4">
      <c r="C3241" s="10"/>
      <c r="D3241" s="25"/>
    </row>
    <row r="3242" spans="3:4">
      <c r="C3242" s="10"/>
      <c r="D3242" s="25"/>
    </row>
    <row r="3243" spans="3:4">
      <c r="C3243" s="10"/>
      <c r="D3243" s="25"/>
    </row>
    <row r="3244" spans="3:4">
      <c r="C3244" s="10"/>
      <c r="D3244" s="25"/>
    </row>
    <row r="3245" spans="3:4">
      <c r="C3245" s="10"/>
      <c r="D3245" s="25"/>
    </row>
    <row r="3246" spans="3:4">
      <c r="C3246" s="10"/>
      <c r="D3246" s="25"/>
    </row>
    <row r="3247" spans="3:4">
      <c r="C3247" s="10"/>
      <c r="D3247" s="25"/>
    </row>
    <row r="3248" spans="3:4">
      <c r="C3248" s="10"/>
      <c r="D3248" s="25"/>
    </row>
    <row r="3249" spans="3:4">
      <c r="C3249" s="10"/>
      <c r="D3249" s="25"/>
    </row>
    <row r="3250" spans="3:4">
      <c r="C3250" s="10"/>
      <c r="D3250" s="25"/>
    </row>
    <row r="3251" spans="3:4">
      <c r="C3251" s="10"/>
      <c r="D3251" s="25"/>
    </row>
    <row r="3252" spans="3:4">
      <c r="C3252" s="10"/>
      <c r="D3252" s="25"/>
    </row>
    <row r="3253" spans="3:4">
      <c r="C3253" s="10"/>
      <c r="D3253" s="25"/>
    </row>
    <row r="3254" spans="3:4">
      <c r="C3254" s="10"/>
      <c r="D3254" s="25"/>
    </row>
    <row r="3255" spans="3:4">
      <c r="C3255" s="10"/>
      <c r="D3255" s="25"/>
    </row>
    <row r="3256" spans="3:4">
      <c r="C3256" s="10"/>
      <c r="D3256" s="25"/>
    </row>
    <row r="3257" spans="3:4">
      <c r="C3257" s="10"/>
      <c r="D3257" s="25"/>
    </row>
    <row r="3258" spans="3:4">
      <c r="C3258" s="10"/>
      <c r="D3258" s="25"/>
    </row>
    <row r="3259" spans="3:4">
      <c r="C3259" s="10"/>
      <c r="D3259" s="25"/>
    </row>
    <row r="3260" spans="3:4">
      <c r="C3260" s="10"/>
      <c r="D3260" s="25"/>
    </row>
    <row r="3261" spans="3:4">
      <c r="C3261" s="10"/>
      <c r="D3261" s="25"/>
    </row>
    <row r="3262" spans="3:4">
      <c r="C3262" s="10"/>
      <c r="D3262" s="25"/>
    </row>
    <row r="3263" spans="3:4">
      <c r="C3263" s="10"/>
      <c r="D3263" s="25"/>
    </row>
    <row r="3264" spans="3:4">
      <c r="C3264" s="10"/>
      <c r="D3264" s="25"/>
    </row>
    <row r="3265" spans="3:4">
      <c r="C3265" s="10"/>
      <c r="D3265" s="25"/>
    </row>
    <row r="3266" spans="3:4">
      <c r="C3266" s="10"/>
      <c r="D3266" s="25"/>
    </row>
    <row r="3267" spans="3:4">
      <c r="C3267" s="10"/>
      <c r="D3267" s="25"/>
    </row>
    <row r="3268" spans="3:4">
      <c r="C3268" s="10"/>
      <c r="D3268" s="25"/>
    </row>
    <row r="3269" spans="3:4">
      <c r="C3269" s="10"/>
      <c r="D3269" s="25"/>
    </row>
    <row r="3270" spans="3:4">
      <c r="C3270" s="10"/>
      <c r="D3270" s="25"/>
    </row>
    <row r="3271" spans="3:4">
      <c r="C3271" s="10"/>
      <c r="D3271" s="25"/>
    </row>
    <row r="3272" spans="3:4">
      <c r="C3272" s="10"/>
      <c r="D3272" s="25"/>
    </row>
    <row r="3273" spans="3:4">
      <c r="C3273" s="10"/>
      <c r="D3273" s="25"/>
    </row>
    <row r="3274" spans="3:4">
      <c r="C3274" s="10"/>
      <c r="D3274" s="25"/>
    </row>
    <row r="3275" spans="3:4">
      <c r="C3275" s="10"/>
      <c r="D3275" s="25"/>
    </row>
    <row r="3276" spans="3:4">
      <c r="C3276" s="10"/>
      <c r="D3276" s="25"/>
    </row>
    <row r="3277" spans="3:4">
      <c r="C3277" s="10"/>
      <c r="D3277" s="25"/>
    </row>
    <row r="3278" spans="3:4">
      <c r="C3278" s="10"/>
      <c r="D3278" s="25"/>
    </row>
    <row r="3279" spans="3:4">
      <c r="C3279" s="10"/>
      <c r="D3279" s="25"/>
    </row>
    <row r="3280" spans="3:4">
      <c r="C3280" s="10"/>
      <c r="D3280" s="25"/>
    </row>
    <row r="3281" spans="3:4">
      <c r="C3281" s="10"/>
      <c r="D3281" s="25"/>
    </row>
    <row r="3282" spans="3:4">
      <c r="C3282" s="10"/>
      <c r="D3282" s="25"/>
    </row>
    <row r="3283" spans="3:4">
      <c r="C3283" s="10"/>
      <c r="D3283" s="25"/>
    </row>
    <row r="3284" spans="3:4">
      <c r="C3284" s="10"/>
      <c r="D3284" s="25"/>
    </row>
    <row r="3285" spans="3:4">
      <c r="C3285" s="10"/>
      <c r="D3285" s="25"/>
    </row>
    <row r="3286" spans="3:4">
      <c r="C3286" s="10"/>
      <c r="D3286" s="25"/>
    </row>
    <row r="3287" spans="3:4">
      <c r="C3287" s="10"/>
      <c r="D3287" s="25"/>
    </row>
    <row r="3288" spans="3:4">
      <c r="C3288" s="10"/>
      <c r="D3288" s="25"/>
    </row>
    <row r="3289" spans="3:4">
      <c r="C3289" s="10"/>
      <c r="D3289" s="25"/>
    </row>
    <row r="3290" spans="3:4">
      <c r="C3290" s="10"/>
      <c r="D3290" s="25"/>
    </row>
    <row r="3291" spans="3:4">
      <c r="C3291" s="10"/>
      <c r="D3291" s="25"/>
    </row>
    <row r="3292" spans="3:4">
      <c r="C3292" s="10"/>
      <c r="D3292" s="25"/>
    </row>
    <row r="3293" spans="3:4">
      <c r="C3293" s="10"/>
      <c r="D3293" s="25"/>
    </row>
    <row r="3294" spans="3:4">
      <c r="C3294" s="10"/>
      <c r="D3294" s="25"/>
    </row>
    <row r="3295" spans="3:4">
      <c r="C3295" s="10"/>
      <c r="D3295" s="25"/>
    </row>
    <row r="3296" spans="3:4">
      <c r="C3296" s="10"/>
      <c r="D3296" s="25"/>
    </row>
    <row r="3297" spans="3:4">
      <c r="C3297" s="10"/>
      <c r="D3297" s="25"/>
    </row>
    <row r="3298" spans="3:4">
      <c r="C3298" s="10"/>
      <c r="D3298" s="25"/>
    </row>
    <row r="3299" spans="3:4">
      <c r="C3299" s="10"/>
      <c r="D3299" s="25"/>
    </row>
    <row r="3300" spans="3:4">
      <c r="C3300" s="10"/>
      <c r="D3300" s="25"/>
    </row>
    <row r="3301" spans="3:4">
      <c r="C3301" s="10"/>
      <c r="D3301" s="25"/>
    </row>
    <row r="3302" spans="3:4">
      <c r="C3302" s="10"/>
      <c r="D3302" s="25"/>
    </row>
    <row r="3303" spans="3:4">
      <c r="C3303" s="10"/>
      <c r="D3303" s="25"/>
    </row>
    <row r="3304" spans="3:4">
      <c r="C3304" s="10"/>
      <c r="D3304" s="25"/>
    </row>
    <row r="3305" spans="3:4">
      <c r="C3305" s="10"/>
      <c r="D3305" s="25"/>
    </row>
    <row r="3306" spans="3:4">
      <c r="C3306" s="10"/>
      <c r="D3306" s="25"/>
    </row>
    <row r="3307" spans="3:4">
      <c r="C3307" s="10"/>
      <c r="D3307" s="25"/>
    </row>
    <row r="3308" spans="3:4">
      <c r="C3308" s="10"/>
      <c r="D3308" s="25"/>
    </row>
    <row r="3309" spans="3:4">
      <c r="C3309" s="10"/>
      <c r="D3309" s="25"/>
    </row>
    <row r="3310" spans="3:4">
      <c r="C3310" s="10"/>
      <c r="D3310" s="25"/>
    </row>
    <row r="3311" spans="3:4">
      <c r="C3311" s="10"/>
      <c r="D3311" s="25"/>
    </row>
    <row r="3312" spans="3:4">
      <c r="C3312" s="10"/>
      <c r="D3312" s="25"/>
    </row>
    <row r="3313" spans="3:4">
      <c r="C3313" s="10"/>
      <c r="D3313" s="25"/>
    </row>
    <row r="3314" spans="3:4">
      <c r="C3314" s="10"/>
      <c r="D3314" s="25"/>
    </row>
    <row r="3315" spans="3:4">
      <c r="C3315" s="10"/>
      <c r="D3315" s="25"/>
    </row>
    <row r="3316" spans="3:4">
      <c r="C3316" s="10"/>
      <c r="D3316" s="25"/>
    </row>
    <row r="3317" spans="3:4">
      <c r="C3317" s="10"/>
      <c r="D3317" s="25"/>
    </row>
    <row r="3318" spans="3:4">
      <c r="C3318" s="10"/>
      <c r="D3318" s="25"/>
    </row>
    <row r="3319" spans="3:4">
      <c r="C3319" s="10"/>
      <c r="D3319" s="25"/>
    </row>
    <row r="3320" spans="3:4">
      <c r="C3320" s="10"/>
      <c r="D3320" s="25"/>
    </row>
    <row r="3321" spans="3:4">
      <c r="C3321" s="10"/>
      <c r="D3321" s="25"/>
    </row>
    <row r="3322" spans="3:4">
      <c r="C3322" s="10"/>
      <c r="D3322" s="25"/>
    </row>
    <row r="3323" spans="3:4">
      <c r="C3323" s="10"/>
      <c r="D3323" s="25"/>
    </row>
    <row r="3324" spans="3:4">
      <c r="C3324" s="10"/>
      <c r="D3324" s="25"/>
    </row>
    <row r="3325" spans="3:4">
      <c r="C3325" s="10"/>
      <c r="D3325" s="25"/>
    </row>
    <row r="3326" spans="3:4">
      <c r="C3326" s="10"/>
      <c r="D3326" s="25"/>
    </row>
    <row r="3327" spans="3:4">
      <c r="C3327" s="10"/>
      <c r="D3327" s="25"/>
    </row>
    <row r="3328" spans="3:4">
      <c r="C3328" s="10"/>
      <c r="D3328" s="25"/>
    </row>
    <row r="3329" spans="3:4">
      <c r="C3329" s="10"/>
      <c r="D3329" s="25"/>
    </row>
    <row r="3330" spans="3:4">
      <c r="C3330" s="10"/>
      <c r="D3330" s="25"/>
    </row>
    <row r="3331" spans="3:4">
      <c r="C3331" s="10"/>
      <c r="D3331" s="25"/>
    </row>
    <row r="3332" spans="3:4">
      <c r="C3332" s="10"/>
      <c r="D3332" s="25"/>
    </row>
    <row r="3333" spans="3:4">
      <c r="C3333" s="10"/>
      <c r="D3333" s="25"/>
    </row>
    <row r="3334" spans="3:4">
      <c r="C3334" s="10"/>
      <c r="D3334" s="25"/>
    </row>
    <row r="3335" spans="3:4">
      <c r="C3335" s="10"/>
      <c r="D3335" s="25"/>
    </row>
    <row r="3336" spans="3:4">
      <c r="C3336" s="10"/>
      <c r="D3336" s="25"/>
    </row>
    <row r="3337" spans="3:4">
      <c r="C3337" s="10"/>
      <c r="D3337" s="25"/>
    </row>
    <row r="3338" spans="3:4">
      <c r="C3338" s="10"/>
      <c r="D3338" s="25"/>
    </row>
    <row r="3339" spans="3:4">
      <c r="C3339" s="10"/>
      <c r="D3339" s="25"/>
    </row>
    <row r="3340" spans="3:4">
      <c r="C3340" s="10"/>
      <c r="D3340" s="25"/>
    </row>
    <row r="3341" spans="3:4">
      <c r="C3341" s="10"/>
      <c r="D3341" s="25"/>
    </row>
    <row r="3342" spans="3:4">
      <c r="C3342" s="10"/>
      <c r="D3342" s="25"/>
    </row>
    <row r="3343" spans="3:4">
      <c r="C3343" s="10"/>
      <c r="D3343" s="25"/>
    </row>
    <row r="3344" spans="3:4">
      <c r="C3344" s="10"/>
      <c r="D3344" s="25"/>
    </row>
    <row r="3345" spans="3:4">
      <c r="C3345" s="10"/>
      <c r="D3345" s="25"/>
    </row>
    <row r="3346" spans="3:4">
      <c r="C3346" s="10"/>
      <c r="D3346" s="25"/>
    </row>
    <row r="3347" spans="3:4">
      <c r="C3347" s="10"/>
      <c r="D3347" s="25"/>
    </row>
    <row r="3348" spans="3:4">
      <c r="C3348" s="10"/>
      <c r="D3348" s="25"/>
    </row>
    <row r="3349" spans="3:4">
      <c r="C3349" s="10"/>
      <c r="D3349" s="25"/>
    </row>
    <row r="3350" spans="3:4">
      <c r="C3350" s="10"/>
      <c r="D3350" s="25"/>
    </row>
    <row r="3351" spans="3:4">
      <c r="C3351" s="10"/>
      <c r="D3351" s="25"/>
    </row>
    <row r="3352" spans="3:4">
      <c r="C3352" s="10"/>
      <c r="D3352" s="25"/>
    </row>
    <row r="3353" spans="3:4">
      <c r="C3353" s="10"/>
      <c r="D3353" s="25"/>
    </row>
    <row r="3354" spans="3:4">
      <c r="C3354" s="10"/>
      <c r="D3354" s="25"/>
    </row>
    <row r="3355" spans="3:4">
      <c r="C3355" s="10"/>
      <c r="D3355" s="25"/>
    </row>
    <row r="3356" spans="3:4">
      <c r="C3356" s="10"/>
      <c r="D3356" s="25"/>
    </row>
    <row r="3357" spans="3:4">
      <c r="C3357" s="10"/>
      <c r="D3357" s="25"/>
    </row>
    <row r="3358" spans="3:4">
      <c r="C3358" s="10"/>
      <c r="D3358" s="25"/>
    </row>
    <row r="3359" spans="3:4">
      <c r="C3359" s="10"/>
      <c r="D3359" s="25"/>
    </row>
    <row r="3360" spans="3:4">
      <c r="C3360" s="10"/>
      <c r="D3360" s="25"/>
    </row>
    <row r="3361" spans="3:4">
      <c r="C3361" s="10"/>
      <c r="D3361" s="25"/>
    </row>
    <row r="3362" spans="3:4">
      <c r="C3362" s="10"/>
      <c r="D3362" s="25"/>
    </row>
    <row r="3363" spans="3:4">
      <c r="C3363" s="10"/>
      <c r="D3363" s="25"/>
    </row>
    <row r="3364" spans="3:4">
      <c r="C3364" s="10"/>
      <c r="D3364" s="25"/>
    </row>
    <row r="3365" spans="3:4">
      <c r="C3365" s="10"/>
      <c r="D3365" s="25"/>
    </row>
    <row r="3366" spans="3:4">
      <c r="C3366" s="10"/>
      <c r="D3366" s="25"/>
    </row>
    <row r="3367" spans="3:4">
      <c r="C3367" s="10"/>
      <c r="D3367" s="25"/>
    </row>
    <row r="3368" spans="3:4">
      <c r="C3368" s="10"/>
      <c r="D3368" s="25"/>
    </row>
    <row r="3369" spans="3:4">
      <c r="C3369" s="10"/>
      <c r="D3369" s="25"/>
    </row>
    <row r="3370" spans="3:4">
      <c r="C3370" s="10"/>
      <c r="D3370" s="25"/>
    </row>
    <row r="3371" spans="3:4">
      <c r="C3371" s="10"/>
      <c r="D3371" s="25"/>
    </row>
    <row r="3372" spans="3:4">
      <c r="C3372" s="10"/>
      <c r="D3372" s="25"/>
    </row>
    <row r="3373" spans="3:4">
      <c r="C3373" s="10"/>
      <c r="D3373" s="25"/>
    </row>
    <row r="3374" spans="3:4">
      <c r="C3374" s="10"/>
      <c r="D3374" s="25"/>
    </row>
    <row r="3375" spans="3:4">
      <c r="C3375" s="10"/>
      <c r="D3375" s="25"/>
    </row>
    <row r="3376" spans="3:4">
      <c r="C3376" s="10"/>
      <c r="D3376" s="25"/>
    </row>
    <row r="3377" spans="3:4">
      <c r="C3377" s="10"/>
      <c r="D3377" s="25"/>
    </row>
    <row r="3378" spans="3:4">
      <c r="C3378" s="10"/>
      <c r="D3378" s="25"/>
    </row>
    <row r="3379" spans="3:4">
      <c r="C3379" s="10"/>
      <c r="D3379" s="25"/>
    </row>
    <row r="3380" spans="3:4">
      <c r="C3380" s="10"/>
      <c r="D3380" s="25"/>
    </row>
    <row r="3381" spans="3:4">
      <c r="C3381" s="10"/>
      <c r="D3381" s="25"/>
    </row>
    <row r="3382" spans="3:4">
      <c r="C3382" s="10"/>
      <c r="D3382" s="25"/>
    </row>
    <row r="3383" spans="3:4">
      <c r="C3383" s="10"/>
      <c r="D3383" s="25"/>
    </row>
    <row r="3384" spans="3:4">
      <c r="C3384" s="10"/>
      <c r="D3384" s="25"/>
    </row>
    <row r="3385" spans="3:4">
      <c r="C3385" s="10"/>
      <c r="D3385" s="25"/>
    </row>
    <row r="3386" spans="3:4">
      <c r="C3386" s="10"/>
      <c r="D3386" s="25"/>
    </row>
    <row r="3387" spans="3:4">
      <c r="C3387" s="10"/>
      <c r="D3387" s="25"/>
    </row>
    <row r="3388" spans="3:4">
      <c r="C3388" s="10"/>
      <c r="D3388" s="25"/>
    </row>
    <row r="3389" spans="3:4">
      <c r="C3389" s="10"/>
      <c r="D3389" s="25"/>
    </row>
    <row r="3390" spans="3:4">
      <c r="C3390" s="10"/>
      <c r="D3390" s="25"/>
    </row>
    <row r="3391" spans="3:4">
      <c r="C3391" s="10"/>
      <c r="D3391" s="25"/>
    </row>
    <row r="3392" spans="3:4">
      <c r="C3392" s="10"/>
      <c r="D3392" s="25"/>
    </row>
    <row r="3393" spans="3:4">
      <c r="C3393" s="10"/>
      <c r="D3393" s="25"/>
    </row>
    <row r="3394" spans="3:4">
      <c r="C3394" s="10"/>
      <c r="D3394" s="25"/>
    </row>
    <row r="3395" spans="3:4">
      <c r="C3395" s="10"/>
      <c r="D3395" s="25"/>
    </row>
    <row r="3396" spans="3:4">
      <c r="C3396" s="10"/>
      <c r="D3396" s="25"/>
    </row>
    <row r="3397" spans="3:4">
      <c r="C3397" s="10"/>
      <c r="D3397" s="25"/>
    </row>
    <row r="3398" spans="3:4">
      <c r="C3398" s="10"/>
      <c r="D3398" s="25"/>
    </row>
    <row r="3399" spans="3:4">
      <c r="C3399" s="10"/>
      <c r="D3399" s="25"/>
    </row>
    <row r="3400" spans="3:4">
      <c r="C3400" s="10"/>
      <c r="D3400" s="25"/>
    </row>
    <row r="3401" spans="3:4">
      <c r="C3401" s="10"/>
      <c r="D3401" s="25"/>
    </row>
    <row r="3402" spans="3:4">
      <c r="C3402" s="10"/>
      <c r="D3402" s="25"/>
    </row>
    <row r="3403" spans="3:4">
      <c r="C3403" s="10"/>
      <c r="D3403" s="25"/>
    </row>
    <row r="3404" spans="3:4">
      <c r="C3404" s="10"/>
      <c r="D3404" s="25"/>
    </row>
    <row r="3405" spans="3:4">
      <c r="C3405" s="10"/>
      <c r="D3405" s="25"/>
    </row>
    <row r="3406" spans="3:4">
      <c r="C3406" s="10"/>
      <c r="D3406" s="25"/>
    </row>
    <row r="3407" spans="3:4">
      <c r="C3407" s="10"/>
      <c r="D3407" s="25"/>
    </row>
    <row r="3408" spans="3:4">
      <c r="C3408" s="10"/>
      <c r="D3408" s="25"/>
    </row>
    <row r="3409" spans="3:4">
      <c r="C3409" s="10"/>
      <c r="D3409" s="25"/>
    </row>
    <row r="3410" spans="3:4">
      <c r="C3410" s="10"/>
      <c r="D3410" s="25"/>
    </row>
    <row r="3411" spans="3:4">
      <c r="C3411" s="10"/>
      <c r="D3411" s="25"/>
    </row>
    <row r="3412" spans="3:4">
      <c r="C3412" s="10"/>
      <c r="D3412" s="25"/>
    </row>
    <row r="3413" spans="3:4">
      <c r="C3413" s="10"/>
      <c r="D3413" s="25"/>
    </row>
    <row r="3414" spans="3:4">
      <c r="C3414" s="10"/>
      <c r="D3414" s="25"/>
    </row>
    <row r="3415" spans="3:4">
      <c r="C3415" s="10"/>
      <c r="D3415" s="25"/>
    </row>
    <row r="3416" spans="3:4">
      <c r="C3416" s="10"/>
      <c r="D3416" s="25"/>
    </row>
    <row r="3417" spans="3:4">
      <c r="C3417" s="10"/>
      <c r="D3417" s="25"/>
    </row>
    <row r="3418" spans="3:4">
      <c r="C3418" s="10"/>
      <c r="D3418" s="25"/>
    </row>
    <row r="3419" spans="3:4">
      <c r="C3419" s="10"/>
      <c r="D3419" s="25"/>
    </row>
    <row r="3420" spans="3:4">
      <c r="C3420" s="10"/>
      <c r="D3420" s="25"/>
    </row>
    <row r="3421" spans="3:4">
      <c r="C3421" s="10"/>
      <c r="D3421" s="25"/>
    </row>
    <row r="3422" spans="3:4">
      <c r="C3422" s="10"/>
      <c r="D3422" s="25"/>
    </row>
    <row r="3423" spans="3:4">
      <c r="C3423" s="10"/>
      <c r="D3423" s="25"/>
    </row>
    <row r="3424" spans="3:4">
      <c r="C3424" s="10"/>
      <c r="D3424" s="25"/>
    </row>
    <row r="3425" spans="3:4">
      <c r="C3425" s="10"/>
      <c r="D3425" s="25"/>
    </row>
    <row r="3426" spans="3:4">
      <c r="C3426" s="10"/>
      <c r="D3426" s="25"/>
    </row>
    <row r="3427" spans="3:4">
      <c r="C3427" s="10"/>
      <c r="D3427" s="25"/>
    </row>
    <row r="3428" spans="3:4">
      <c r="C3428" s="10"/>
      <c r="D3428" s="25"/>
    </row>
    <row r="3429" spans="3:4">
      <c r="C3429" s="10"/>
      <c r="D3429" s="25"/>
    </row>
    <row r="3430" spans="3:4">
      <c r="C3430" s="10"/>
      <c r="D3430" s="25"/>
    </row>
    <row r="3431" spans="3:4">
      <c r="C3431" s="10"/>
      <c r="D3431" s="25"/>
    </row>
    <row r="3432" spans="3:4">
      <c r="C3432" s="10"/>
      <c r="D3432" s="25"/>
    </row>
    <row r="3433" spans="3:4">
      <c r="C3433" s="10"/>
      <c r="D3433" s="25"/>
    </row>
    <row r="3434" spans="3:4">
      <c r="C3434" s="10"/>
      <c r="D3434" s="25"/>
    </row>
    <row r="3435" spans="3:4">
      <c r="C3435" s="10"/>
      <c r="D3435" s="25"/>
    </row>
    <row r="3436" spans="3:4">
      <c r="C3436" s="10"/>
      <c r="D3436" s="25"/>
    </row>
    <row r="3437" spans="3:4">
      <c r="C3437" s="10"/>
      <c r="D3437" s="25"/>
    </row>
    <row r="3438" spans="3:4">
      <c r="C3438" s="10"/>
      <c r="D3438" s="25"/>
    </row>
    <row r="3439" spans="3:4">
      <c r="C3439" s="10"/>
      <c r="D3439" s="25"/>
    </row>
    <row r="3440" spans="3:4">
      <c r="C3440" s="10"/>
      <c r="D3440" s="25"/>
    </row>
    <row r="3441" spans="3:4">
      <c r="C3441" s="10"/>
      <c r="D3441" s="25"/>
    </row>
    <row r="3442" spans="3:4">
      <c r="C3442" s="10"/>
      <c r="D3442" s="25"/>
    </row>
    <row r="3443" spans="3:4">
      <c r="C3443" s="10"/>
      <c r="D3443" s="25"/>
    </row>
    <row r="3444" spans="3:4">
      <c r="C3444" s="10"/>
      <c r="D3444" s="25"/>
    </row>
    <row r="3445" spans="3:4">
      <c r="C3445" s="10"/>
      <c r="D3445" s="25"/>
    </row>
    <row r="3446" spans="3:4">
      <c r="C3446" s="10"/>
      <c r="D3446" s="25"/>
    </row>
    <row r="3447" spans="3:4">
      <c r="C3447" s="10"/>
      <c r="D3447" s="25"/>
    </row>
    <row r="3448" spans="3:4">
      <c r="C3448" s="10"/>
      <c r="D3448" s="25"/>
    </row>
    <row r="3449" spans="3:4">
      <c r="C3449" s="10"/>
      <c r="D3449" s="25"/>
    </row>
    <row r="3450" spans="3:4">
      <c r="C3450" s="10"/>
      <c r="D3450" s="25"/>
    </row>
    <row r="3451" spans="3:4">
      <c r="C3451" s="10"/>
      <c r="D3451" s="25"/>
    </row>
    <row r="3452" spans="3:4">
      <c r="C3452" s="10"/>
      <c r="D3452" s="25"/>
    </row>
    <row r="3453" spans="3:4">
      <c r="C3453" s="10"/>
      <c r="D3453" s="25"/>
    </row>
    <row r="3454" spans="3:4">
      <c r="C3454" s="10"/>
      <c r="D3454" s="25"/>
    </row>
    <row r="3455" spans="3:4">
      <c r="C3455" s="10"/>
      <c r="D3455" s="25"/>
    </row>
    <row r="3456" spans="3:4">
      <c r="C3456" s="10"/>
      <c r="D3456" s="25"/>
    </row>
    <row r="3457" spans="3:4">
      <c r="C3457" s="10"/>
      <c r="D3457" s="25"/>
    </row>
    <row r="3458" spans="3:4">
      <c r="C3458" s="10"/>
      <c r="D3458" s="25"/>
    </row>
    <row r="3459" spans="3:4">
      <c r="C3459" s="10"/>
      <c r="D3459" s="25"/>
    </row>
    <row r="3460" spans="3:4">
      <c r="C3460" s="10"/>
      <c r="D3460" s="25"/>
    </row>
    <row r="3461" spans="3:4">
      <c r="C3461" s="10"/>
      <c r="D3461" s="25"/>
    </row>
    <row r="3462" spans="3:4">
      <c r="C3462" s="10"/>
      <c r="D3462" s="25"/>
    </row>
    <row r="3463" spans="3:4">
      <c r="C3463" s="10"/>
      <c r="D3463" s="25"/>
    </row>
    <row r="3464" spans="3:4">
      <c r="C3464" s="10"/>
      <c r="D3464" s="25"/>
    </row>
    <row r="3465" spans="3:4">
      <c r="C3465" s="10"/>
      <c r="D3465" s="25"/>
    </row>
    <row r="3466" spans="3:4">
      <c r="C3466" s="10"/>
      <c r="D3466" s="25"/>
    </row>
    <row r="3467" spans="3:4">
      <c r="C3467" s="10"/>
      <c r="D3467" s="25"/>
    </row>
    <row r="3468" spans="3:4">
      <c r="C3468" s="10"/>
      <c r="D3468" s="25"/>
    </row>
    <row r="3469" spans="3:4">
      <c r="C3469" s="10"/>
      <c r="D3469" s="25"/>
    </row>
    <row r="3470" spans="3:4">
      <c r="C3470" s="10"/>
      <c r="D3470" s="25"/>
    </row>
    <row r="3471" spans="3:4">
      <c r="C3471" s="10"/>
      <c r="D3471" s="25"/>
    </row>
    <row r="3472" spans="3:4">
      <c r="C3472" s="10"/>
      <c r="D3472" s="25"/>
    </row>
    <row r="3473" spans="3:4">
      <c r="C3473" s="10"/>
      <c r="D3473" s="25"/>
    </row>
    <row r="3474" spans="3:4">
      <c r="C3474" s="10"/>
      <c r="D3474" s="25"/>
    </row>
    <row r="3475" spans="3:4">
      <c r="C3475" s="10"/>
      <c r="D3475" s="25"/>
    </row>
    <row r="3476" spans="3:4">
      <c r="C3476" s="10"/>
      <c r="D3476" s="25"/>
    </row>
    <row r="3477" spans="3:4">
      <c r="C3477" s="10"/>
      <c r="D3477" s="25"/>
    </row>
    <row r="3478" spans="3:4">
      <c r="C3478" s="10"/>
      <c r="D3478" s="25"/>
    </row>
    <row r="3479" spans="3:4">
      <c r="C3479" s="10"/>
      <c r="D3479" s="25"/>
    </row>
    <row r="3480" spans="3:4">
      <c r="C3480" s="10"/>
      <c r="D3480" s="25"/>
    </row>
    <row r="3481" spans="3:4">
      <c r="C3481" s="10"/>
      <c r="D3481" s="25"/>
    </row>
    <row r="3482" spans="3:4">
      <c r="C3482" s="10"/>
      <c r="D3482" s="25"/>
    </row>
    <row r="3483" spans="3:4">
      <c r="C3483" s="10"/>
      <c r="D3483" s="25"/>
    </row>
    <row r="3484" spans="3:4">
      <c r="C3484" s="10"/>
      <c r="D3484" s="25"/>
    </row>
    <row r="3485" spans="3:4">
      <c r="C3485" s="10"/>
      <c r="D3485" s="25"/>
    </row>
    <row r="3486" spans="3:4">
      <c r="C3486" s="10"/>
      <c r="D3486" s="25"/>
    </row>
    <row r="3487" spans="3:4">
      <c r="C3487" s="10"/>
      <c r="D3487" s="25"/>
    </row>
    <row r="3488" spans="3:4">
      <c r="C3488" s="10"/>
      <c r="D3488" s="25"/>
    </row>
    <row r="3489" spans="3:4">
      <c r="C3489" s="10"/>
      <c r="D3489" s="25"/>
    </row>
    <row r="3490" spans="3:4">
      <c r="C3490" s="10"/>
      <c r="D3490" s="25"/>
    </row>
    <row r="3491" spans="3:4">
      <c r="C3491" s="10"/>
      <c r="D3491" s="25"/>
    </row>
    <row r="3492" spans="3:4">
      <c r="C3492" s="10"/>
      <c r="D3492" s="25"/>
    </row>
    <row r="3493" spans="3:4">
      <c r="C3493" s="10"/>
      <c r="D3493" s="25"/>
    </row>
    <row r="3494" spans="3:4">
      <c r="C3494" s="10"/>
      <c r="D3494" s="25"/>
    </row>
    <row r="3495" spans="3:4">
      <c r="C3495" s="10"/>
      <c r="D3495" s="25"/>
    </row>
    <row r="3496" spans="3:4">
      <c r="C3496" s="10"/>
      <c r="D3496" s="25"/>
    </row>
    <row r="3497" spans="3:4">
      <c r="C3497" s="10"/>
      <c r="D3497" s="25"/>
    </row>
    <row r="3498" spans="3:4">
      <c r="C3498" s="10"/>
      <c r="D3498" s="25"/>
    </row>
    <row r="3499" spans="3:4">
      <c r="C3499" s="10"/>
      <c r="D3499" s="25"/>
    </row>
    <row r="3500" spans="3:4">
      <c r="C3500" s="10"/>
      <c r="D3500" s="25"/>
    </row>
    <row r="3501" spans="3:4">
      <c r="C3501" s="10"/>
      <c r="D3501" s="25"/>
    </row>
    <row r="3502" spans="3:4">
      <c r="C3502" s="10"/>
      <c r="D3502" s="25"/>
    </row>
    <row r="3503" spans="3:4">
      <c r="C3503" s="10"/>
      <c r="D3503" s="25"/>
    </row>
    <row r="3504" spans="3:4">
      <c r="C3504" s="10"/>
      <c r="D3504" s="25"/>
    </row>
    <row r="3505" spans="3:4">
      <c r="C3505" s="10"/>
      <c r="D3505" s="25"/>
    </row>
    <row r="3506" spans="3:4">
      <c r="C3506" s="10"/>
      <c r="D3506" s="25"/>
    </row>
    <row r="3507" spans="3:4">
      <c r="C3507" s="10"/>
      <c r="D3507" s="25"/>
    </row>
    <row r="3508" spans="3:4">
      <c r="C3508" s="10"/>
      <c r="D3508" s="25"/>
    </row>
    <row r="3509" spans="3:4">
      <c r="C3509" s="10"/>
      <c r="D3509" s="25"/>
    </row>
    <row r="3510" spans="3:4">
      <c r="C3510" s="10"/>
      <c r="D3510" s="25"/>
    </row>
    <row r="3511" spans="3:4">
      <c r="C3511" s="10"/>
      <c r="D3511" s="25"/>
    </row>
    <row r="3512" spans="3:4">
      <c r="C3512" s="10"/>
      <c r="D3512" s="25"/>
    </row>
    <row r="3513" spans="3:4">
      <c r="C3513" s="10"/>
      <c r="D3513" s="25"/>
    </row>
    <row r="3514" spans="3:4">
      <c r="C3514" s="10"/>
      <c r="D3514" s="25"/>
    </row>
    <row r="3515" spans="3:4">
      <c r="C3515" s="10"/>
      <c r="D3515" s="25"/>
    </row>
    <row r="3516" spans="3:4">
      <c r="C3516" s="10"/>
      <c r="D3516" s="25"/>
    </row>
    <row r="3517" spans="3:4">
      <c r="C3517" s="10"/>
      <c r="D3517" s="25"/>
    </row>
    <row r="3518" spans="3:4">
      <c r="C3518" s="10"/>
      <c r="D3518" s="25"/>
    </row>
    <row r="3519" spans="3:4">
      <c r="C3519" s="10"/>
      <c r="D3519" s="25"/>
    </row>
    <row r="3520" spans="3:4">
      <c r="C3520" s="10"/>
      <c r="D3520" s="25"/>
    </row>
    <row r="3521" spans="3:4">
      <c r="C3521" s="10"/>
      <c r="D3521" s="25"/>
    </row>
    <row r="3522" spans="3:4">
      <c r="C3522" s="10"/>
      <c r="D3522" s="25"/>
    </row>
    <row r="3523" spans="3:4">
      <c r="C3523" s="10"/>
      <c r="D3523" s="25"/>
    </row>
    <row r="3524" spans="3:4">
      <c r="C3524" s="10"/>
      <c r="D3524" s="25"/>
    </row>
    <row r="3525" spans="3:4">
      <c r="C3525" s="10"/>
      <c r="D3525" s="25"/>
    </row>
    <row r="3526" spans="3:4">
      <c r="C3526" s="10"/>
      <c r="D3526" s="25"/>
    </row>
    <row r="3527" spans="3:4">
      <c r="C3527" s="10"/>
      <c r="D3527" s="25"/>
    </row>
    <row r="3528" spans="3:4">
      <c r="C3528" s="10"/>
      <c r="D3528" s="25"/>
    </row>
    <row r="3529" spans="3:4">
      <c r="C3529" s="10"/>
      <c r="D3529" s="25"/>
    </row>
    <row r="3530" spans="3:4">
      <c r="C3530" s="10"/>
      <c r="D3530" s="25"/>
    </row>
    <row r="3531" spans="3:4">
      <c r="C3531" s="10"/>
      <c r="D3531" s="25"/>
    </row>
    <row r="3532" spans="3:4">
      <c r="C3532" s="10"/>
      <c r="D3532" s="25"/>
    </row>
    <row r="3533" spans="3:4">
      <c r="C3533" s="10"/>
      <c r="D3533" s="25"/>
    </row>
    <row r="3534" spans="3:4">
      <c r="C3534" s="10"/>
      <c r="D3534" s="25"/>
    </row>
    <row r="3535" spans="3:4">
      <c r="C3535" s="10"/>
      <c r="D3535" s="25"/>
    </row>
    <row r="3536" spans="3:4">
      <c r="C3536" s="10"/>
      <c r="D3536" s="25"/>
    </row>
    <row r="3537" spans="3:4">
      <c r="C3537" s="10"/>
      <c r="D3537" s="25"/>
    </row>
    <row r="3538" spans="3:4">
      <c r="C3538" s="10"/>
      <c r="D3538" s="25"/>
    </row>
    <row r="3539" spans="3:4">
      <c r="C3539" s="10"/>
      <c r="D3539" s="25"/>
    </row>
    <row r="3540" spans="3:4">
      <c r="C3540" s="10"/>
      <c r="D3540" s="25"/>
    </row>
    <row r="3541" spans="3:4">
      <c r="C3541" s="10"/>
      <c r="D3541" s="25"/>
    </row>
    <row r="3542" spans="3:4">
      <c r="C3542" s="10"/>
      <c r="D3542" s="25"/>
    </row>
    <row r="3543" spans="3:4">
      <c r="C3543" s="10"/>
      <c r="D3543" s="25"/>
    </row>
    <row r="3544" spans="3:4">
      <c r="C3544" s="10"/>
      <c r="D3544" s="25"/>
    </row>
    <row r="3545" spans="3:4">
      <c r="C3545" s="10"/>
      <c r="D3545" s="25"/>
    </row>
    <row r="3546" spans="3:4">
      <c r="C3546" s="10"/>
      <c r="D3546" s="25"/>
    </row>
    <row r="3547" spans="3:4">
      <c r="C3547" s="10"/>
      <c r="D3547" s="25"/>
    </row>
    <row r="3548" spans="3:4">
      <c r="C3548" s="10"/>
      <c r="D3548" s="25"/>
    </row>
    <row r="3549" spans="3:4">
      <c r="C3549" s="10"/>
      <c r="D3549" s="25"/>
    </row>
    <row r="3550" spans="3:4">
      <c r="C3550" s="10"/>
      <c r="D3550" s="25"/>
    </row>
    <row r="3551" spans="3:4">
      <c r="C3551" s="10"/>
      <c r="D3551" s="25"/>
    </row>
    <row r="3552" spans="3:4">
      <c r="C3552" s="10"/>
      <c r="D3552" s="25"/>
    </row>
    <row r="3553" spans="3:4">
      <c r="C3553" s="10"/>
      <c r="D3553" s="25"/>
    </row>
    <row r="3554" spans="3:4">
      <c r="C3554" s="10"/>
      <c r="D3554" s="25"/>
    </row>
    <row r="3555" spans="3:4">
      <c r="C3555" s="10"/>
      <c r="D3555" s="25"/>
    </row>
    <row r="3556" spans="3:4">
      <c r="C3556" s="10"/>
      <c r="D3556" s="25"/>
    </row>
    <row r="3557" spans="3:4">
      <c r="C3557" s="10"/>
      <c r="D3557" s="25"/>
    </row>
    <row r="3558" spans="3:4">
      <c r="C3558" s="10"/>
      <c r="D3558" s="25"/>
    </row>
    <row r="3559" spans="3:4">
      <c r="C3559" s="10"/>
      <c r="D3559" s="25"/>
    </row>
    <row r="3560" spans="3:4">
      <c r="C3560" s="10"/>
      <c r="D3560" s="25"/>
    </row>
    <row r="3561" spans="3:4">
      <c r="C3561" s="10"/>
      <c r="D3561" s="25"/>
    </row>
    <row r="3562" spans="3:4">
      <c r="C3562" s="10"/>
      <c r="D3562" s="25"/>
    </row>
    <row r="3563" spans="3:4">
      <c r="C3563" s="10"/>
      <c r="D3563" s="25"/>
    </row>
    <row r="3564" spans="3:4">
      <c r="C3564" s="10"/>
      <c r="D3564" s="25"/>
    </row>
    <row r="3565" spans="3:4">
      <c r="C3565" s="10"/>
      <c r="D3565" s="25"/>
    </row>
    <row r="3566" spans="3:4">
      <c r="C3566" s="10"/>
      <c r="D3566" s="25"/>
    </row>
    <row r="3567" spans="3:4">
      <c r="C3567" s="10"/>
      <c r="D3567" s="25"/>
    </row>
    <row r="3568" spans="3:4">
      <c r="C3568" s="10"/>
      <c r="D3568" s="25"/>
    </row>
    <row r="3569" spans="3:4">
      <c r="C3569" s="10"/>
      <c r="D3569" s="25"/>
    </row>
    <row r="3570" spans="3:4">
      <c r="C3570" s="10"/>
      <c r="D3570" s="25"/>
    </row>
    <row r="3571" spans="3:4">
      <c r="C3571" s="10"/>
      <c r="D3571" s="25"/>
    </row>
    <row r="3572" spans="3:4">
      <c r="C3572" s="10"/>
      <c r="D3572" s="25"/>
    </row>
    <row r="3573" spans="3:4">
      <c r="C3573" s="10"/>
      <c r="D3573" s="25"/>
    </row>
    <row r="3574" spans="3:4">
      <c r="C3574" s="10"/>
      <c r="D3574" s="25"/>
    </row>
    <row r="3575" spans="3:4">
      <c r="C3575" s="10"/>
      <c r="D3575" s="25"/>
    </row>
    <row r="3576" spans="3:4">
      <c r="C3576" s="10"/>
      <c r="D3576" s="25"/>
    </row>
    <row r="3577" spans="3:4">
      <c r="C3577" s="10"/>
      <c r="D3577" s="25"/>
    </row>
    <row r="3578" spans="3:4">
      <c r="C3578" s="10"/>
      <c r="D3578" s="25"/>
    </row>
    <row r="3579" spans="3:4">
      <c r="C3579" s="10"/>
      <c r="D3579" s="25"/>
    </row>
    <row r="3580" spans="3:4">
      <c r="C3580" s="10"/>
      <c r="D3580" s="25"/>
    </row>
    <row r="3581" spans="3:4">
      <c r="C3581" s="10"/>
      <c r="D3581" s="25"/>
    </row>
    <row r="3582" spans="3:4">
      <c r="C3582" s="10"/>
      <c r="D3582" s="25"/>
    </row>
    <row r="3583" spans="3:4">
      <c r="C3583" s="10"/>
      <c r="D3583" s="25"/>
    </row>
    <row r="3584" spans="3:4">
      <c r="C3584" s="10"/>
      <c r="D3584" s="25"/>
    </row>
    <row r="3585" spans="3:4">
      <c r="C3585" s="10"/>
      <c r="D3585" s="25"/>
    </row>
    <row r="3586" spans="3:4">
      <c r="C3586" s="10"/>
      <c r="D3586" s="25"/>
    </row>
    <row r="3587" spans="3:4">
      <c r="C3587" s="10"/>
      <c r="D3587" s="25"/>
    </row>
    <row r="3588" spans="3:4">
      <c r="C3588" s="10"/>
      <c r="D3588" s="25"/>
    </row>
    <row r="3589" spans="3:4">
      <c r="C3589" s="10"/>
      <c r="D3589" s="25"/>
    </row>
    <row r="3590" spans="3:4">
      <c r="C3590" s="10"/>
      <c r="D3590" s="25"/>
    </row>
    <row r="3591" spans="3:4">
      <c r="C3591" s="10"/>
      <c r="D3591" s="25"/>
    </row>
    <row r="3592" spans="3:4">
      <c r="C3592" s="10"/>
      <c r="D3592" s="25"/>
    </row>
    <row r="3593" spans="3:4">
      <c r="C3593" s="10"/>
      <c r="D3593" s="25"/>
    </row>
    <row r="3594" spans="3:4">
      <c r="C3594" s="10"/>
      <c r="D3594" s="25"/>
    </row>
    <row r="3595" spans="3:4">
      <c r="C3595" s="10"/>
      <c r="D3595" s="25"/>
    </row>
    <row r="3596" spans="3:4">
      <c r="C3596" s="10"/>
      <c r="D3596" s="25"/>
    </row>
    <row r="3597" spans="3:4">
      <c r="C3597" s="10"/>
      <c r="D3597" s="25"/>
    </row>
    <row r="3598" spans="3:4">
      <c r="C3598" s="10"/>
      <c r="D3598" s="25"/>
    </row>
    <row r="3599" spans="3:4">
      <c r="C3599" s="10"/>
      <c r="D3599" s="25"/>
    </row>
    <row r="3600" spans="3:4">
      <c r="C3600" s="10"/>
      <c r="D3600" s="25"/>
    </row>
    <row r="3601" spans="3:4">
      <c r="C3601" s="10"/>
      <c r="D3601" s="25"/>
    </row>
    <row r="3602" spans="3:4">
      <c r="C3602" s="10"/>
      <c r="D3602" s="25"/>
    </row>
    <row r="3603" spans="3:4">
      <c r="C3603" s="10"/>
      <c r="D3603" s="25"/>
    </row>
    <row r="3604" spans="3:4">
      <c r="C3604" s="10"/>
      <c r="D3604" s="25"/>
    </row>
    <row r="3605" spans="3:4">
      <c r="C3605" s="10"/>
      <c r="D3605" s="25"/>
    </row>
    <row r="3606" spans="3:4">
      <c r="C3606" s="10"/>
      <c r="D3606" s="25"/>
    </row>
    <row r="3607" spans="3:4">
      <c r="C3607" s="10"/>
      <c r="D3607" s="25"/>
    </row>
    <row r="3608" spans="3:4">
      <c r="C3608" s="10"/>
      <c r="D3608" s="25"/>
    </row>
    <row r="3609" spans="3:4">
      <c r="C3609" s="10"/>
      <c r="D3609" s="25"/>
    </row>
    <row r="3610" spans="3:4">
      <c r="C3610" s="10"/>
      <c r="D3610" s="25"/>
    </row>
    <row r="3611" spans="3:4">
      <c r="C3611" s="10"/>
      <c r="D3611" s="25"/>
    </row>
    <row r="3612" spans="3:4">
      <c r="C3612" s="10"/>
      <c r="D3612" s="25"/>
    </row>
    <row r="3613" spans="3:4">
      <c r="C3613" s="10"/>
      <c r="D3613" s="25"/>
    </row>
    <row r="3614" spans="3:4">
      <c r="C3614" s="10"/>
      <c r="D3614" s="25"/>
    </row>
    <row r="3615" spans="3:4">
      <c r="C3615" s="10"/>
      <c r="D3615" s="25"/>
    </row>
    <row r="3616" spans="3:4">
      <c r="C3616" s="10"/>
      <c r="D3616" s="25"/>
    </row>
    <row r="3617" spans="3:4">
      <c r="C3617" s="10"/>
      <c r="D3617" s="25"/>
    </row>
    <row r="3618" spans="3:4">
      <c r="C3618" s="10"/>
      <c r="D3618" s="25"/>
    </row>
    <row r="3619" spans="3:4">
      <c r="C3619" s="10"/>
      <c r="D3619" s="25"/>
    </row>
    <row r="3620" spans="3:4">
      <c r="C3620" s="10"/>
      <c r="D3620" s="25"/>
    </row>
    <row r="3621" spans="3:4">
      <c r="C3621" s="10"/>
      <c r="D3621" s="25"/>
    </row>
    <row r="3622" spans="3:4">
      <c r="C3622" s="10"/>
      <c r="D3622" s="25"/>
    </row>
    <row r="3623" spans="3:4">
      <c r="C3623" s="10"/>
      <c r="D3623" s="25"/>
    </row>
    <row r="3624" spans="3:4">
      <c r="C3624" s="10"/>
      <c r="D3624" s="25"/>
    </row>
    <row r="3625" spans="3:4">
      <c r="C3625" s="10"/>
      <c r="D3625" s="25"/>
    </row>
    <row r="3626" spans="3:4">
      <c r="C3626" s="10"/>
      <c r="D3626" s="25"/>
    </row>
    <row r="3627" spans="3:4">
      <c r="C3627" s="10"/>
      <c r="D3627" s="25"/>
    </row>
    <row r="3628" spans="3:4">
      <c r="C3628" s="10"/>
      <c r="D3628" s="25"/>
    </row>
    <row r="3629" spans="3:4">
      <c r="C3629" s="10"/>
      <c r="D3629" s="25"/>
    </row>
    <row r="3630" spans="3:4">
      <c r="C3630" s="10"/>
      <c r="D3630" s="25"/>
    </row>
    <row r="3631" spans="3:4">
      <c r="C3631" s="10"/>
      <c r="D3631" s="25"/>
    </row>
    <row r="3632" spans="3:4">
      <c r="C3632" s="10"/>
      <c r="D3632" s="25"/>
    </row>
    <row r="3633" spans="3:4">
      <c r="C3633" s="10"/>
      <c r="D3633" s="25"/>
    </row>
    <row r="3634" spans="3:4">
      <c r="C3634" s="10"/>
      <c r="D3634" s="25"/>
    </row>
    <row r="3635" spans="3:4">
      <c r="C3635" s="10"/>
      <c r="D3635" s="25"/>
    </row>
    <row r="3636" spans="3:4">
      <c r="C3636" s="10"/>
      <c r="D3636" s="25"/>
    </row>
    <row r="3637" spans="3:4">
      <c r="C3637" s="10"/>
      <c r="D3637" s="25"/>
    </row>
    <row r="3638" spans="3:4">
      <c r="C3638" s="10"/>
      <c r="D3638" s="25"/>
    </row>
    <row r="3639" spans="3:4">
      <c r="C3639" s="10"/>
      <c r="D3639" s="25"/>
    </row>
    <row r="3640" spans="3:4">
      <c r="C3640" s="10"/>
      <c r="D3640" s="25"/>
    </row>
    <row r="3641" spans="3:4">
      <c r="C3641" s="10"/>
      <c r="D3641" s="25"/>
    </row>
    <row r="3642" spans="3:4">
      <c r="C3642" s="10"/>
      <c r="D3642" s="25"/>
    </row>
    <row r="3643" spans="3:4">
      <c r="C3643" s="10"/>
      <c r="D3643" s="25"/>
    </row>
    <row r="3644" spans="3:4">
      <c r="C3644" s="10"/>
      <c r="D3644" s="25"/>
    </row>
    <row r="3645" spans="3:4">
      <c r="C3645" s="10"/>
      <c r="D3645" s="25"/>
    </row>
    <row r="3646" spans="3:4">
      <c r="C3646" s="10"/>
      <c r="D3646" s="25"/>
    </row>
    <row r="3647" spans="3:4">
      <c r="C3647" s="10"/>
      <c r="D3647" s="25"/>
    </row>
    <row r="3648" spans="3:4">
      <c r="C3648" s="10"/>
      <c r="D3648" s="25"/>
    </row>
    <row r="3649" spans="3:4">
      <c r="C3649" s="10"/>
      <c r="D3649" s="25"/>
    </row>
    <row r="3650" spans="3:4">
      <c r="C3650" s="10"/>
      <c r="D3650" s="25"/>
    </row>
    <row r="3651" spans="3:4">
      <c r="C3651" s="10"/>
      <c r="D3651" s="25"/>
    </row>
    <row r="3652" spans="3:4">
      <c r="C3652" s="10"/>
      <c r="D3652" s="25"/>
    </row>
    <row r="3653" spans="3:4">
      <c r="C3653" s="10"/>
      <c r="D3653" s="25"/>
    </row>
    <row r="3654" spans="3:4">
      <c r="C3654" s="10"/>
      <c r="D3654" s="25"/>
    </row>
    <row r="3655" spans="3:4">
      <c r="C3655" s="10"/>
      <c r="D3655" s="25"/>
    </row>
    <row r="3656" spans="3:4">
      <c r="C3656" s="10"/>
      <c r="D3656" s="25"/>
    </row>
    <row r="3657" spans="3:4">
      <c r="C3657" s="10"/>
      <c r="D3657" s="25"/>
    </row>
    <row r="3658" spans="3:4">
      <c r="C3658" s="10"/>
      <c r="D3658" s="25"/>
    </row>
    <row r="3659" spans="3:4">
      <c r="C3659" s="10"/>
      <c r="D3659" s="25"/>
    </row>
    <row r="3660" spans="3:4">
      <c r="C3660" s="10"/>
      <c r="D3660" s="25"/>
    </row>
    <row r="3661" spans="3:4">
      <c r="C3661" s="10"/>
      <c r="D3661" s="25"/>
    </row>
    <row r="3662" spans="3:4">
      <c r="C3662" s="10"/>
      <c r="D3662" s="25"/>
    </row>
    <row r="3663" spans="3:4">
      <c r="C3663" s="10"/>
      <c r="D3663" s="25"/>
    </row>
    <row r="3664" spans="3:4">
      <c r="C3664" s="10"/>
      <c r="D3664" s="25"/>
    </row>
    <row r="3665" spans="3:4">
      <c r="C3665" s="10"/>
      <c r="D3665" s="25"/>
    </row>
    <row r="3666" spans="3:4">
      <c r="C3666" s="10"/>
      <c r="D3666" s="25"/>
    </row>
    <row r="3667" spans="3:4">
      <c r="C3667" s="10"/>
      <c r="D3667" s="25"/>
    </row>
    <row r="3668" spans="3:4">
      <c r="C3668" s="10"/>
      <c r="D3668" s="25"/>
    </row>
    <row r="3669" spans="3:4">
      <c r="C3669" s="10"/>
      <c r="D3669" s="25"/>
    </row>
    <row r="3670" spans="3:4">
      <c r="C3670" s="10"/>
      <c r="D3670" s="25"/>
    </row>
    <row r="3671" spans="3:4">
      <c r="C3671" s="10"/>
      <c r="D3671" s="25"/>
    </row>
    <row r="3672" spans="3:4">
      <c r="C3672" s="10"/>
      <c r="D3672" s="25"/>
    </row>
    <row r="3673" spans="3:4">
      <c r="C3673" s="10"/>
      <c r="D3673" s="25"/>
    </row>
    <row r="3674" spans="3:4">
      <c r="C3674" s="10"/>
      <c r="D3674" s="25"/>
    </row>
    <row r="3675" spans="3:4">
      <c r="C3675" s="10"/>
      <c r="D3675" s="25"/>
    </row>
    <row r="3676" spans="3:4">
      <c r="C3676" s="10"/>
      <c r="D3676" s="25"/>
    </row>
    <row r="3677" spans="3:4">
      <c r="C3677" s="10"/>
      <c r="D3677" s="25"/>
    </row>
    <row r="3678" spans="3:4">
      <c r="C3678" s="10"/>
      <c r="D3678" s="25"/>
    </row>
    <row r="3679" spans="3:4">
      <c r="C3679" s="10"/>
      <c r="D3679" s="25"/>
    </row>
    <row r="3680" spans="3:4">
      <c r="C3680" s="10"/>
      <c r="D3680" s="25"/>
    </row>
    <row r="3681" spans="3:4">
      <c r="C3681" s="10"/>
      <c r="D3681" s="25"/>
    </row>
    <row r="3682" spans="3:4">
      <c r="C3682" s="10"/>
      <c r="D3682" s="25"/>
    </row>
    <row r="3683" spans="3:4">
      <c r="C3683" s="10"/>
      <c r="D3683" s="25"/>
    </row>
    <row r="3684" spans="3:4">
      <c r="C3684" s="10"/>
      <c r="D3684" s="25"/>
    </row>
    <row r="3685" spans="3:4">
      <c r="C3685" s="10"/>
      <c r="D3685" s="25"/>
    </row>
    <row r="3686" spans="3:4">
      <c r="C3686" s="10"/>
      <c r="D3686" s="25"/>
    </row>
    <row r="3687" spans="3:4">
      <c r="C3687" s="10"/>
      <c r="D3687" s="25"/>
    </row>
    <row r="3688" spans="3:4">
      <c r="C3688" s="10"/>
      <c r="D3688" s="25"/>
    </row>
    <row r="3689" spans="3:4">
      <c r="C3689" s="10"/>
      <c r="D3689" s="25"/>
    </row>
    <row r="3690" spans="3:4">
      <c r="C3690" s="10"/>
      <c r="D3690" s="25"/>
    </row>
    <row r="3691" spans="3:4">
      <c r="C3691" s="10"/>
      <c r="D3691" s="25"/>
    </row>
    <row r="3692" spans="3:4">
      <c r="C3692" s="10"/>
      <c r="D3692" s="25"/>
    </row>
    <row r="3693" spans="3:4">
      <c r="C3693" s="10"/>
      <c r="D3693" s="25"/>
    </row>
    <row r="3694" spans="3:4">
      <c r="C3694" s="10"/>
      <c r="D3694" s="25"/>
    </row>
    <row r="3695" spans="3:4">
      <c r="C3695" s="10"/>
      <c r="D3695" s="25"/>
    </row>
    <row r="3696" spans="3:4">
      <c r="C3696" s="10"/>
      <c r="D3696" s="25"/>
    </row>
    <row r="3697" spans="3:4">
      <c r="C3697" s="10"/>
      <c r="D3697" s="25"/>
    </row>
    <row r="3698" spans="3:4">
      <c r="C3698" s="10"/>
      <c r="D3698" s="25"/>
    </row>
    <row r="3699" spans="3:4">
      <c r="C3699" s="10"/>
      <c r="D3699" s="25"/>
    </row>
    <row r="3700" spans="3:4">
      <c r="C3700" s="10"/>
      <c r="D3700" s="25"/>
    </row>
    <row r="3701" spans="3:4">
      <c r="C3701" s="10"/>
      <c r="D3701" s="25"/>
    </row>
    <row r="3702" spans="3:4">
      <c r="C3702" s="10"/>
      <c r="D3702" s="25"/>
    </row>
    <row r="3703" spans="3:4">
      <c r="C3703" s="10"/>
      <c r="D3703" s="25"/>
    </row>
    <row r="3704" spans="3:4">
      <c r="C3704" s="10"/>
      <c r="D3704" s="25"/>
    </row>
    <row r="3705" spans="3:4">
      <c r="C3705" s="10"/>
      <c r="D3705" s="25"/>
    </row>
    <row r="3706" spans="3:4">
      <c r="C3706" s="10"/>
      <c r="D3706" s="25"/>
    </row>
    <row r="3707" spans="3:4">
      <c r="C3707" s="10"/>
      <c r="D3707" s="25"/>
    </row>
    <row r="3708" spans="3:4">
      <c r="C3708" s="10"/>
      <c r="D3708" s="25"/>
    </row>
    <row r="3709" spans="3:4">
      <c r="C3709" s="10"/>
      <c r="D3709" s="25"/>
    </row>
    <row r="3710" spans="3:4">
      <c r="C3710" s="10"/>
      <c r="D3710" s="25"/>
    </row>
    <row r="3711" spans="3:4">
      <c r="C3711" s="10"/>
      <c r="D3711" s="25"/>
    </row>
    <row r="3712" spans="3:4">
      <c r="C3712" s="10"/>
      <c r="D3712" s="25"/>
    </row>
    <row r="3713" spans="3:4">
      <c r="C3713" s="10"/>
      <c r="D3713" s="25"/>
    </row>
    <row r="3714" spans="3:4">
      <c r="C3714" s="10"/>
      <c r="D3714" s="25"/>
    </row>
    <row r="3715" spans="3:4">
      <c r="C3715" s="10"/>
      <c r="D3715" s="25"/>
    </row>
    <row r="3716" spans="3:4">
      <c r="C3716" s="10"/>
      <c r="D3716" s="25"/>
    </row>
    <row r="3717" spans="3:4">
      <c r="C3717" s="10"/>
      <c r="D3717" s="25"/>
    </row>
    <row r="3718" spans="3:4">
      <c r="C3718" s="10"/>
      <c r="D3718" s="25"/>
    </row>
    <row r="3719" spans="3:4">
      <c r="C3719" s="10"/>
      <c r="D3719" s="25"/>
    </row>
    <row r="3720" spans="3:4">
      <c r="C3720" s="10"/>
      <c r="D3720" s="25"/>
    </row>
    <row r="3721" spans="3:4">
      <c r="C3721" s="10"/>
      <c r="D3721" s="25"/>
    </row>
    <row r="3722" spans="3:4">
      <c r="C3722" s="10"/>
      <c r="D3722" s="25"/>
    </row>
    <row r="3723" spans="3:4">
      <c r="C3723" s="10"/>
      <c r="D3723" s="25"/>
    </row>
    <row r="3724" spans="3:4">
      <c r="C3724" s="10"/>
      <c r="D3724" s="25"/>
    </row>
    <row r="3725" spans="3:4">
      <c r="C3725" s="10"/>
      <c r="D3725" s="25"/>
    </row>
    <row r="3726" spans="3:4">
      <c r="C3726" s="10"/>
      <c r="D3726" s="25"/>
    </row>
    <row r="3727" spans="3:4">
      <c r="C3727" s="10"/>
      <c r="D3727" s="25"/>
    </row>
    <row r="3728" spans="3:4">
      <c r="C3728" s="10"/>
      <c r="D3728" s="25"/>
    </row>
    <row r="3729" spans="3:4">
      <c r="C3729" s="10"/>
      <c r="D3729" s="25"/>
    </row>
    <row r="3730" spans="3:4">
      <c r="C3730" s="10"/>
      <c r="D3730" s="25"/>
    </row>
    <row r="3731" spans="3:4">
      <c r="C3731" s="10"/>
      <c r="D3731" s="25"/>
    </row>
    <row r="3732" spans="3:4">
      <c r="C3732" s="10"/>
      <c r="D3732" s="25"/>
    </row>
    <row r="3733" spans="3:4">
      <c r="C3733" s="10"/>
      <c r="D3733" s="25"/>
    </row>
    <row r="3734" spans="3:4">
      <c r="C3734" s="10"/>
      <c r="D3734" s="25"/>
    </row>
    <row r="3735" spans="3:4">
      <c r="C3735" s="10"/>
      <c r="D3735" s="25"/>
    </row>
    <row r="3736" spans="3:4">
      <c r="C3736" s="10"/>
      <c r="D3736" s="25"/>
    </row>
    <row r="3737" spans="3:4">
      <c r="C3737" s="10"/>
      <c r="D3737" s="25"/>
    </row>
    <row r="3738" spans="3:4">
      <c r="C3738" s="10"/>
      <c r="D3738" s="25"/>
    </row>
    <row r="3739" spans="3:4">
      <c r="C3739" s="10"/>
      <c r="D3739" s="25"/>
    </row>
    <row r="3740" spans="3:4">
      <c r="C3740" s="10"/>
      <c r="D3740" s="25"/>
    </row>
    <row r="3741" spans="3:4">
      <c r="C3741" s="10"/>
      <c r="D3741" s="25"/>
    </row>
    <row r="3742" spans="3:4">
      <c r="C3742" s="10"/>
      <c r="D3742" s="25"/>
    </row>
    <row r="3743" spans="3:4">
      <c r="C3743" s="10"/>
      <c r="D3743" s="25"/>
    </row>
    <row r="3744" spans="3:4">
      <c r="C3744" s="10"/>
      <c r="D3744" s="25"/>
    </row>
    <row r="3745" spans="3:4">
      <c r="C3745" s="10"/>
      <c r="D3745" s="25"/>
    </row>
    <row r="3746" spans="3:4">
      <c r="C3746" s="10"/>
      <c r="D3746" s="25"/>
    </row>
    <row r="3747" spans="3:4">
      <c r="C3747" s="10"/>
      <c r="D3747" s="25"/>
    </row>
    <row r="3748" spans="3:4">
      <c r="C3748" s="10"/>
      <c r="D3748" s="25"/>
    </row>
    <row r="3749" spans="3:4">
      <c r="C3749" s="10"/>
      <c r="D3749" s="25"/>
    </row>
    <row r="3750" spans="3:4">
      <c r="C3750" s="10"/>
      <c r="D3750" s="25"/>
    </row>
    <row r="3751" spans="3:4">
      <c r="C3751" s="10"/>
      <c r="D3751" s="25"/>
    </row>
    <row r="3752" spans="3:4">
      <c r="C3752" s="10"/>
      <c r="D3752" s="25"/>
    </row>
    <row r="3753" spans="3:4">
      <c r="C3753" s="10"/>
      <c r="D3753" s="25"/>
    </row>
    <row r="3754" spans="3:4">
      <c r="C3754" s="10"/>
      <c r="D3754" s="25"/>
    </row>
    <row r="3755" spans="3:4">
      <c r="C3755" s="10"/>
      <c r="D3755" s="25"/>
    </row>
    <row r="3756" spans="3:4">
      <c r="C3756" s="10"/>
      <c r="D3756" s="25"/>
    </row>
    <row r="3757" spans="3:4">
      <c r="C3757" s="10"/>
      <c r="D3757" s="25"/>
    </row>
    <row r="3758" spans="3:4">
      <c r="C3758" s="10"/>
      <c r="D3758" s="25"/>
    </row>
    <row r="3759" spans="3:4">
      <c r="C3759" s="10"/>
      <c r="D3759" s="25"/>
    </row>
    <row r="3760" spans="3:4">
      <c r="C3760" s="10"/>
      <c r="D3760" s="25"/>
    </row>
    <row r="3761" spans="3:4">
      <c r="C3761" s="10"/>
      <c r="D3761" s="25"/>
    </row>
    <row r="3762" spans="3:4">
      <c r="C3762" s="10"/>
      <c r="D3762" s="25"/>
    </row>
    <row r="3763" spans="3:4">
      <c r="C3763" s="10"/>
      <c r="D3763" s="25"/>
    </row>
    <row r="3764" spans="3:4">
      <c r="C3764" s="10"/>
      <c r="D3764" s="25"/>
    </row>
    <row r="3765" spans="3:4">
      <c r="C3765" s="10"/>
      <c r="D3765" s="25"/>
    </row>
    <row r="3766" spans="3:4">
      <c r="C3766" s="10"/>
      <c r="D3766" s="25"/>
    </row>
    <row r="3767" spans="3:4">
      <c r="C3767" s="10"/>
      <c r="D3767" s="25"/>
    </row>
    <row r="3768" spans="3:4">
      <c r="C3768" s="10"/>
      <c r="D3768" s="25"/>
    </row>
    <row r="3769" spans="3:4">
      <c r="C3769" s="10"/>
      <c r="D3769" s="25"/>
    </row>
    <row r="3770" spans="3:4">
      <c r="C3770" s="10"/>
      <c r="D3770" s="25"/>
    </row>
    <row r="3771" spans="3:4">
      <c r="C3771" s="10"/>
      <c r="D3771" s="25"/>
    </row>
    <row r="3772" spans="3:4">
      <c r="C3772" s="10"/>
      <c r="D3772" s="25"/>
    </row>
    <row r="3773" spans="3:4">
      <c r="C3773" s="10"/>
      <c r="D3773" s="25"/>
    </row>
    <row r="3774" spans="3:4">
      <c r="C3774" s="10"/>
      <c r="D3774" s="25"/>
    </row>
    <row r="3775" spans="3:4">
      <c r="C3775" s="10"/>
      <c r="D3775" s="25"/>
    </row>
    <row r="3776" spans="3:4">
      <c r="C3776" s="10"/>
      <c r="D3776" s="25"/>
    </row>
    <row r="3777" spans="3:4">
      <c r="C3777" s="10"/>
      <c r="D3777" s="25"/>
    </row>
    <row r="3778" spans="3:4">
      <c r="C3778" s="10"/>
      <c r="D3778" s="25"/>
    </row>
    <row r="3779" spans="3:4">
      <c r="C3779" s="10"/>
      <c r="D3779" s="25"/>
    </row>
    <row r="3780" spans="3:4">
      <c r="C3780" s="10"/>
      <c r="D3780" s="25"/>
    </row>
    <row r="3781" spans="3:4">
      <c r="C3781" s="10"/>
      <c r="D3781" s="25"/>
    </row>
    <row r="3782" spans="3:4">
      <c r="C3782" s="10"/>
      <c r="D3782" s="25"/>
    </row>
    <row r="3783" spans="3:4">
      <c r="C3783" s="10"/>
      <c r="D3783" s="25"/>
    </row>
    <row r="3784" spans="3:4">
      <c r="C3784" s="10"/>
      <c r="D3784" s="25"/>
    </row>
    <row r="3785" spans="3:4">
      <c r="C3785" s="10"/>
      <c r="D3785" s="25"/>
    </row>
    <row r="3786" spans="3:4">
      <c r="C3786" s="10"/>
      <c r="D3786" s="25"/>
    </row>
    <row r="3787" spans="3:4">
      <c r="C3787" s="10"/>
      <c r="D3787" s="25"/>
    </row>
    <row r="3788" spans="3:4">
      <c r="C3788" s="10"/>
      <c r="D3788" s="25"/>
    </row>
    <row r="3789" spans="3:4">
      <c r="C3789" s="10"/>
      <c r="D3789" s="25"/>
    </row>
    <row r="3790" spans="3:4">
      <c r="C3790" s="10"/>
      <c r="D3790" s="25"/>
    </row>
    <row r="3791" spans="3:4">
      <c r="C3791" s="10"/>
      <c r="D3791" s="25"/>
    </row>
    <row r="3792" spans="3:4">
      <c r="C3792" s="10"/>
      <c r="D3792" s="25"/>
    </row>
    <row r="3793" spans="3:4">
      <c r="C3793" s="10"/>
      <c r="D3793" s="25"/>
    </row>
    <row r="3794" spans="3:4">
      <c r="C3794" s="10"/>
      <c r="D3794" s="25"/>
    </row>
    <row r="3795" spans="3:4">
      <c r="C3795" s="10"/>
      <c r="D3795" s="25"/>
    </row>
    <row r="3796" spans="3:4">
      <c r="C3796" s="10"/>
      <c r="D3796" s="25"/>
    </row>
    <row r="3797" spans="3:4">
      <c r="C3797" s="10"/>
      <c r="D3797" s="25"/>
    </row>
    <row r="3798" spans="3:4">
      <c r="C3798" s="10"/>
      <c r="D3798" s="25"/>
    </row>
    <row r="3799" spans="3:4">
      <c r="C3799" s="10"/>
      <c r="D3799" s="25"/>
    </row>
    <row r="3800" spans="3:4">
      <c r="C3800" s="10"/>
      <c r="D3800" s="25"/>
    </row>
    <row r="3801" spans="3:4">
      <c r="C3801" s="10"/>
      <c r="D3801" s="25"/>
    </row>
    <row r="3802" spans="3:4">
      <c r="C3802" s="10"/>
      <c r="D3802" s="25"/>
    </row>
    <row r="3803" spans="3:4">
      <c r="C3803" s="10"/>
      <c r="D3803" s="25"/>
    </row>
    <row r="3804" spans="3:4">
      <c r="C3804" s="10"/>
      <c r="D3804" s="25"/>
    </row>
    <row r="3805" spans="3:4">
      <c r="C3805" s="10"/>
      <c r="D3805" s="25"/>
    </row>
    <row r="3806" spans="3:4">
      <c r="C3806" s="10"/>
      <c r="D3806" s="25"/>
    </row>
    <row r="3807" spans="3:4">
      <c r="C3807" s="10"/>
      <c r="D3807" s="25"/>
    </row>
    <row r="3808" spans="3:4">
      <c r="C3808" s="10"/>
      <c r="D3808" s="25"/>
    </row>
    <row r="3809" spans="3:4">
      <c r="C3809" s="10"/>
      <c r="D3809" s="25"/>
    </row>
    <row r="3810" spans="3:4">
      <c r="C3810" s="10"/>
      <c r="D3810" s="25"/>
    </row>
    <row r="3811" spans="3:4">
      <c r="C3811" s="10"/>
      <c r="D3811" s="25"/>
    </row>
    <row r="3812" spans="3:4">
      <c r="C3812" s="10"/>
      <c r="D3812" s="25"/>
    </row>
    <row r="3813" spans="3:4">
      <c r="C3813" s="10"/>
      <c r="D3813" s="25"/>
    </row>
    <row r="3814" spans="3:4">
      <c r="C3814" s="10"/>
      <c r="D3814" s="25"/>
    </row>
    <row r="3815" spans="3:4">
      <c r="C3815" s="10"/>
      <c r="D3815" s="25"/>
    </row>
    <row r="3816" spans="3:4">
      <c r="C3816" s="10"/>
      <c r="D3816" s="25"/>
    </row>
    <row r="3817" spans="3:4">
      <c r="C3817" s="10"/>
      <c r="D3817" s="25"/>
    </row>
    <row r="3818" spans="3:4">
      <c r="C3818" s="10"/>
      <c r="D3818" s="25"/>
    </row>
    <row r="3819" spans="3:4">
      <c r="C3819" s="10"/>
      <c r="D3819" s="25"/>
    </row>
    <row r="3820" spans="3:4">
      <c r="C3820" s="10"/>
      <c r="D3820" s="25"/>
    </row>
    <row r="3821" spans="3:4">
      <c r="C3821" s="10"/>
      <c r="D3821" s="25"/>
    </row>
    <row r="3822" spans="3:4">
      <c r="C3822" s="10"/>
      <c r="D3822" s="25"/>
    </row>
    <row r="3823" spans="3:4">
      <c r="C3823" s="10"/>
      <c r="D3823" s="25"/>
    </row>
    <row r="3824" spans="3:4">
      <c r="C3824" s="10"/>
      <c r="D3824" s="25"/>
    </row>
    <row r="3825" spans="3:4">
      <c r="C3825" s="10"/>
      <c r="D3825" s="25"/>
    </row>
    <row r="3826" spans="3:4">
      <c r="C3826" s="10"/>
      <c r="D3826" s="25"/>
    </row>
    <row r="3827" spans="3:4">
      <c r="C3827" s="10"/>
      <c r="D3827" s="25"/>
    </row>
    <row r="3828" spans="3:4">
      <c r="C3828" s="10"/>
      <c r="D3828" s="25"/>
    </row>
    <row r="3829" spans="3:4">
      <c r="C3829" s="10"/>
      <c r="D3829" s="25"/>
    </row>
    <row r="3830" spans="3:4">
      <c r="C3830" s="10"/>
      <c r="D3830" s="25"/>
    </row>
    <row r="3831" spans="3:4">
      <c r="C3831" s="10"/>
      <c r="D3831" s="25"/>
    </row>
    <row r="3832" spans="3:4">
      <c r="C3832" s="10"/>
      <c r="D3832" s="25"/>
    </row>
    <row r="3833" spans="3:4">
      <c r="C3833" s="10"/>
      <c r="D3833" s="25"/>
    </row>
    <row r="3834" spans="3:4">
      <c r="C3834" s="10"/>
      <c r="D3834" s="25"/>
    </row>
    <row r="3835" spans="3:4">
      <c r="C3835" s="10"/>
      <c r="D3835" s="25"/>
    </row>
    <row r="3836" spans="3:4">
      <c r="C3836" s="10"/>
      <c r="D3836" s="25"/>
    </row>
    <row r="3837" spans="3:4">
      <c r="C3837" s="10"/>
      <c r="D3837" s="25"/>
    </row>
    <row r="3838" spans="3:4">
      <c r="C3838" s="10"/>
      <c r="D3838" s="25"/>
    </row>
    <row r="3839" spans="3:4">
      <c r="C3839" s="10"/>
      <c r="D3839" s="25"/>
    </row>
    <row r="3840" spans="3:4">
      <c r="C3840" s="10"/>
      <c r="D3840" s="25"/>
    </row>
    <row r="3841" spans="3:4">
      <c r="C3841" s="10"/>
      <c r="D3841" s="25"/>
    </row>
    <row r="3842" spans="3:4">
      <c r="C3842" s="10"/>
      <c r="D3842" s="25"/>
    </row>
    <row r="3843" spans="3:4">
      <c r="C3843" s="10"/>
      <c r="D3843" s="25"/>
    </row>
    <row r="3844" spans="3:4">
      <c r="C3844" s="10"/>
      <c r="D3844" s="25"/>
    </row>
    <row r="3845" spans="3:4">
      <c r="C3845" s="10"/>
      <c r="D3845" s="25"/>
    </row>
    <row r="3846" spans="3:4">
      <c r="C3846" s="10"/>
      <c r="D3846" s="25"/>
    </row>
    <row r="3847" spans="3:4">
      <c r="C3847" s="10"/>
      <c r="D3847" s="25"/>
    </row>
    <row r="3848" spans="3:4">
      <c r="C3848" s="10"/>
      <c r="D3848" s="25"/>
    </row>
    <row r="3849" spans="3:4">
      <c r="C3849" s="10"/>
      <c r="D3849" s="25"/>
    </row>
    <row r="3850" spans="3:4">
      <c r="C3850" s="10"/>
      <c r="D3850" s="25"/>
    </row>
    <row r="3851" spans="3:4">
      <c r="C3851" s="10"/>
      <c r="D3851" s="25"/>
    </row>
    <row r="3852" spans="3:4">
      <c r="C3852" s="10"/>
      <c r="D3852" s="25"/>
    </row>
    <row r="3853" spans="3:4">
      <c r="C3853" s="10"/>
      <c r="D3853" s="25"/>
    </row>
    <row r="3854" spans="3:4">
      <c r="C3854" s="10"/>
      <c r="D3854" s="25"/>
    </row>
    <row r="3855" spans="3:4">
      <c r="C3855" s="10"/>
      <c r="D3855" s="25"/>
    </row>
    <row r="3856" spans="3:4">
      <c r="C3856" s="10"/>
      <c r="D3856" s="25"/>
    </row>
    <row r="3857" spans="3:4">
      <c r="C3857" s="10"/>
      <c r="D3857" s="25"/>
    </row>
    <row r="3858" spans="3:4">
      <c r="C3858" s="10"/>
      <c r="D3858" s="25"/>
    </row>
    <row r="3859" spans="3:4">
      <c r="C3859" s="10"/>
      <c r="D3859" s="25"/>
    </row>
    <row r="3860" spans="3:4">
      <c r="C3860" s="10"/>
      <c r="D3860" s="25"/>
    </row>
    <row r="3861" spans="3:4">
      <c r="C3861" s="10"/>
      <c r="D3861" s="25"/>
    </row>
    <row r="3862" spans="3:4">
      <c r="C3862" s="10"/>
      <c r="D3862" s="25"/>
    </row>
    <row r="3863" spans="3:4">
      <c r="C3863" s="10"/>
      <c r="D3863" s="25"/>
    </row>
    <row r="3864" spans="3:4">
      <c r="C3864" s="10"/>
      <c r="D3864" s="25"/>
    </row>
    <row r="3865" spans="3:4">
      <c r="C3865" s="10"/>
      <c r="D3865" s="25"/>
    </row>
    <row r="3866" spans="3:4">
      <c r="C3866" s="10"/>
      <c r="D3866" s="25"/>
    </row>
    <row r="3867" spans="3:4">
      <c r="C3867" s="10"/>
      <c r="D3867" s="25"/>
    </row>
    <row r="3868" spans="3:4">
      <c r="C3868" s="10"/>
      <c r="D3868" s="25"/>
    </row>
    <row r="3869" spans="3:4">
      <c r="C3869" s="10"/>
      <c r="D3869" s="25"/>
    </row>
    <row r="3870" spans="3:4">
      <c r="C3870" s="10"/>
      <c r="D3870" s="25"/>
    </row>
    <row r="3871" spans="3:4">
      <c r="C3871" s="10"/>
      <c r="D3871" s="25"/>
    </row>
    <row r="3872" spans="3:4">
      <c r="C3872" s="10"/>
      <c r="D3872" s="25"/>
    </row>
    <row r="3873" spans="3:4">
      <c r="C3873" s="10"/>
      <c r="D3873" s="25"/>
    </row>
    <row r="3874" spans="3:4">
      <c r="C3874" s="10"/>
      <c r="D3874" s="25"/>
    </row>
    <row r="3875" spans="3:4">
      <c r="C3875" s="10"/>
      <c r="D3875" s="25"/>
    </row>
    <row r="3876" spans="3:4">
      <c r="C3876" s="10"/>
      <c r="D3876" s="25"/>
    </row>
    <row r="3877" spans="3:4">
      <c r="C3877" s="10"/>
      <c r="D3877" s="25"/>
    </row>
    <row r="3878" spans="3:4">
      <c r="C3878" s="10"/>
      <c r="D3878" s="25"/>
    </row>
    <row r="3879" spans="3:4">
      <c r="C3879" s="10"/>
      <c r="D3879" s="25"/>
    </row>
    <row r="3880" spans="3:4">
      <c r="C3880" s="10"/>
      <c r="D3880" s="25"/>
    </row>
    <row r="3881" spans="3:4">
      <c r="C3881" s="10"/>
      <c r="D3881" s="25"/>
    </row>
    <row r="3882" spans="3:4">
      <c r="C3882" s="10"/>
      <c r="D3882" s="25"/>
    </row>
    <row r="3883" spans="3:4">
      <c r="C3883" s="10"/>
      <c r="D3883" s="25"/>
    </row>
    <row r="3884" spans="3:4">
      <c r="C3884" s="10"/>
      <c r="D3884" s="25"/>
    </row>
    <row r="3885" spans="3:4">
      <c r="C3885" s="10"/>
      <c r="D3885" s="25"/>
    </row>
    <row r="3886" spans="3:4">
      <c r="C3886" s="10"/>
      <c r="D3886" s="25"/>
    </row>
    <row r="3887" spans="3:4">
      <c r="C3887" s="10"/>
      <c r="D3887" s="25"/>
    </row>
    <row r="3888" spans="3:4">
      <c r="C3888" s="10"/>
      <c r="D3888" s="25"/>
    </row>
    <row r="3889" spans="3:4">
      <c r="C3889" s="10"/>
      <c r="D3889" s="25"/>
    </row>
    <row r="3890" spans="3:4">
      <c r="C3890" s="10"/>
      <c r="D3890" s="25"/>
    </row>
    <row r="3891" spans="3:4">
      <c r="C3891" s="10"/>
      <c r="D3891" s="25"/>
    </row>
    <row r="3892" spans="3:4">
      <c r="C3892" s="10"/>
      <c r="D3892" s="25"/>
    </row>
    <row r="3893" spans="3:4">
      <c r="C3893" s="10"/>
      <c r="D3893" s="25"/>
    </row>
    <row r="3894" spans="3:4">
      <c r="C3894" s="10"/>
      <c r="D3894" s="25"/>
    </row>
    <row r="3895" spans="3:4">
      <c r="C3895" s="10"/>
      <c r="D3895" s="25"/>
    </row>
    <row r="3896" spans="3:4">
      <c r="C3896" s="10"/>
      <c r="D3896" s="25"/>
    </row>
    <row r="3897" spans="3:4">
      <c r="C3897" s="10"/>
      <c r="D3897" s="25"/>
    </row>
    <row r="3898" spans="3:4">
      <c r="C3898" s="10"/>
      <c r="D3898" s="25"/>
    </row>
    <row r="3899" spans="3:4">
      <c r="C3899" s="10"/>
      <c r="D3899" s="25"/>
    </row>
    <row r="3900" spans="3:4">
      <c r="C3900" s="10"/>
      <c r="D3900" s="25"/>
    </row>
    <row r="3901" spans="3:4">
      <c r="C3901" s="10"/>
      <c r="D3901" s="25"/>
    </row>
    <row r="3902" spans="3:4">
      <c r="C3902" s="10"/>
      <c r="D3902" s="25"/>
    </row>
    <row r="3903" spans="3:4">
      <c r="C3903" s="10"/>
      <c r="D3903" s="25"/>
    </row>
    <row r="3904" spans="3:4">
      <c r="C3904" s="10"/>
      <c r="D3904" s="25"/>
    </row>
    <row r="3905" spans="3:4">
      <c r="C3905" s="10"/>
      <c r="D3905" s="25"/>
    </row>
    <row r="3906" spans="3:4">
      <c r="C3906" s="10"/>
      <c r="D3906" s="25"/>
    </row>
    <row r="3907" spans="3:4">
      <c r="C3907" s="10"/>
      <c r="D3907" s="25"/>
    </row>
    <row r="3908" spans="3:4">
      <c r="C3908" s="10"/>
      <c r="D3908" s="25"/>
    </row>
    <row r="3909" spans="3:4">
      <c r="C3909" s="10"/>
      <c r="D3909" s="25"/>
    </row>
    <row r="3910" spans="3:4">
      <c r="C3910" s="10"/>
      <c r="D3910" s="25"/>
    </row>
    <row r="3911" spans="3:4">
      <c r="C3911" s="10"/>
      <c r="D3911" s="25"/>
    </row>
    <row r="3912" spans="3:4">
      <c r="C3912" s="10"/>
      <c r="D3912" s="25"/>
    </row>
    <row r="3913" spans="3:4">
      <c r="C3913" s="10"/>
      <c r="D3913" s="25"/>
    </row>
    <row r="3914" spans="3:4">
      <c r="C3914" s="10"/>
      <c r="D3914" s="25"/>
    </row>
    <row r="3915" spans="3:4">
      <c r="C3915" s="10"/>
      <c r="D3915" s="25"/>
    </row>
    <row r="3916" spans="3:4">
      <c r="C3916" s="10"/>
      <c r="D3916" s="25"/>
    </row>
    <row r="3917" spans="3:4">
      <c r="C3917" s="10"/>
      <c r="D3917" s="25"/>
    </row>
    <row r="3918" spans="3:4">
      <c r="C3918" s="10"/>
      <c r="D3918" s="25"/>
    </row>
    <row r="3919" spans="3:4">
      <c r="C3919" s="10"/>
      <c r="D3919" s="25"/>
    </row>
    <row r="3920" spans="3:4">
      <c r="C3920" s="10"/>
      <c r="D3920" s="25"/>
    </row>
    <row r="3921" spans="3:4">
      <c r="C3921" s="10"/>
      <c r="D3921" s="25"/>
    </row>
    <row r="3922" spans="3:4">
      <c r="C3922" s="10"/>
      <c r="D3922" s="25"/>
    </row>
    <row r="3923" spans="3:4">
      <c r="C3923" s="10"/>
      <c r="D3923" s="25"/>
    </row>
    <row r="3924" spans="3:4">
      <c r="C3924" s="10"/>
      <c r="D3924" s="25"/>
    </row>
    <row r="3925" spans="3:4">
      <c r="C3925" s="10"/>
      <c r="D3925" s="25"/>
    </row>
    <row r="3926" spans="3:4">
      <c r="C3926" s="10"/>
      <c r="D3926" s="25"/>
    </row>
    <row r="3927" spans="3:4">
      <c r="C3927" s="10"/>
      <c r="D3927" s="25"/>
    </row>
    <row r="3928" spans="3:4">
      <c r="C3928" s="10"/>
      <c r="D3928" s="25"/>
    </row>
    <row r="3929" spans="3:4">
      <c r="C3929" s="10"/>
      <c r="D3929" s="25"/>
    </row>
    <row r="3930" spans="3:4">
      <c r="C3930" s="10"/>
      <c r="D3930" s="25"/>
    </row>
    <row r="3931" spans="3:4">
      <c r="C3931" s="10"/>
      <c r="D3931" s="25"/>
    </row>
    <row r="3932" spans="3:4">
      <c r="C3932" s="10"/>
      <c r="D3932" s="25"/>
    </row>
    <row r="3933" spans="3:4">
      <c r="C3933" s="10"/>
      <c r="D3933" s="25"/>
    </row>
    <row r="3934" spans="3:4">
      <c r="C3934" s="10"/>
      <c r="D3934" s="25"/>
    </row>
    <row r="3935" spans="3:4">
      <c r="C3935" s="10"/>
      <c r="D3935" s="25"/>
    </row>
    <row r="3936" spans="3:4">
      <c r="C3936" s="10"/>
      <c r="D3936" s="25"/>
    </row>
    <row r="3937" spans="3:4">
      <c r="C3937" s="10"/>
      <c r="D3937" s="25"/>
    </row>
    <row r="3938" spans="3:4">
      <c r="C3938" s="10"/>
      <c r="D3938" s="25"/>
    </row>
    <row r="3939" spans="3:4">
      <c r="C3939" s="10"/>
      <c r="D3939" s="25"/>
    </row>
    <row r="3940" spans="3:4">
      <c r="C3940" s="10"/>
      <c r="D3940" s="25"/>
    </row>
    <row r="3941" spans="3:4">
      <c r="C3941" s="10"/>
      <c r="D3941" s="25"/>
    </row>
    <row r="3942" spans="3:4">
      <c r="C3942" s="10"/>
      <c r="D3942" s="25"/>
    </row>
    <row r="3943" spans="3:4">
      <c r="C3943" s="10"/>
      <c r="D3943" s="25"/>
    </row>
    <row r="3944" spans="3:4">
      <c r="C3944" s="10"/>
      <c r="D3944" s="25"/>
    </row>
    <row r="3945" spans="3:4">
      <c r="C3945" s="10"/>
      <c r="D3945" s="25"/>
    </row>
    <row r="3946" spans="3:4">
      <c r="C3946" s="10"/>
      <c r="D3946" s="25"/>
    </row>
    <row r="3947" spans="3:4">
      <c r="C3947" s="10"/>
      <c r="D3947" s="25"/>
    </row>
    <row r="3948" spans="3:4">
      <c r="C3948" s="10"/>
      <c r="D3948" s="25"/>
    </row>
    <row r="3949" spans="3:4">
      <c r="C3949" s="10"/>
      <c r="D3949" s="25"/>
    </row>
    <row r="3950" spans="3:4">
      <c r="C3950" s="10"/>
      <c r="D3950" s="25"/>
    </row>
    <row r="3951" spans="3:4">
      <c r="C3951" s="10"/>
      <c r="D3951" s="25"/>
    </row>
    <row r="3952" spans="3:4">
      <c r="C3952" s="10"/>
      <c r="D3952" s="25"/>
    </row>
    <row r="3953" spans="3:4">
      <c r="C3953" s="10"/>
      <c r="D3953" s="25"/>
    </row>
    <row r="3954" spans="3:4">
      <c r="C3954" s="10"/>
      <c r="D3954" s="25"/>
    </row>
    <row r="3955" spans="3:4">
      <c r="C3955" s="10"/>
      <c r="D3955" s="25"/>
    </row>
    <row r="3956" spans="3:4">
      <c r="C3956" s="10"/>
      <c r="D3956" s="25"/>
    </row>
    <row r="3957" spans="3:4">
      <c r="C3957" s="10"/>
      <c r="D3957" s="25"/>
    </row>
    <row r="3958" spans="3:4">
      <c r="C3958" s="10"/>
      <c r="D3958" s="25"/>
    </row>
    <row r="3959" spans="3:4">
      <c r="C3959" s="10"/>
      <c r="D3959" s="25"/>
    </row>
    <row r="3960" spans="3:4">
      <c r="C3960" s="10"/>
      <c r="D3960" s="25"/>
    </row>
    <row r="3961" spans="3:4">
      <c r="C3961" s="10"/>
      <c r="D3961" s="25"/>
    </row>
    <row r="3962" spans="3:4">
      <c r="C3962" s="10"/>
      <c r="D3962" s="25"/>
    </row>
    <row r="3963" spans="3:4">
      <c r="C3963" s="10"/>
      <c r="D3963" s="25"/>
    </row>
    <row r="3964" spans="3:4">
      <c r="C3964" s="10"/>
      <c r="D3964" s="25"/>
    </row>
    <row r="3965" spans="3:4">
      <c r="C3965" s="10"/>
      <c r="D3965" s="25"/>
    </row>
    <row r="3966" spans="3:4">
      <c r="C3966" s="10"/>
      <c r="D3966" s="25"/>
    </row>
    <row r="3967" spans="3:4">
      <c r="C3967" s="10"/>
      <c r="D3967" s="25"/>
    </row>
    <row r="3968" spans="3:4">
      <c r="C3968" s="10"/>
      <c r="D3968" s="25"/>
    </row>
    <row r="3969" spans="3:4">
      <c r="C3969" s="10"/>
      <c r="D3969" s="25"/>
    </row>
    <row r="3970" spans="3:4">
      <c r="C3970" s="10"/>
      <c r="D3970" s="25"/>
    </row>
    <row r="3971" spans="3:4">
      <c r="C3971" s="10"/>
      <c r="D3971" s="25"/>
    </row>
    <row r="3972" spans="3:4">
      <c r="C3972" s="10"/>
      <c r="D3972" s="25"/>
    </row>
    <row r="3973" spans="3:4">
      <c r="C3973" s="10"/>
      <c r="D3973" s="25"/>
    </row>
    <row r="3974" spans="3:4">
      <c r="C3974" s="10"/>
      <c r="D3974" s="25"/>
    </row>
    <row r="3975" spans="3:4">
      <c r="C3975" s="10"/>
      <c r="D3975" s="25"/>
    </row>
    <row r="3976" spans="3:4">
      <c r="C3976" s="10"/>
      <c r="D3976" s="25"/>
    </row>
    <row r="3977" spans="3:4">
      <c r="C3977" s="10"/>
      <c r="D3977" s="25"/>
    </row>
    <row r="3978" spans="3:4">
      <c r="C3978" s="10"/>
      <c r="D3978" s="25"/>
    </row>
    <row r="3979" spans="3:4">
      <c r="C3979" s="10"/>
      <c r="D3979" s="25"/>
    </row>
    <row r="3980" spans="3:4">
      <c r="C3980" s="10"/>
      <c r="D3980" s="25"/>
    </row>
    <row r="3981" spans="3:4">
      <c r="C3981" s="10"/>
      <c r="D3981" s="25"/>
    </row>
    <row r="3982" spans="3:4">
      <c r="C3982" s="10"/>
      <c r="D3982" s="25"/>
    </row>
    <row r="3983" spans="3:4">
      <c r="C3983" s="10"/>
      <c r="D3983" s="25"/>
    </row>
    <row r="3984" spans="3:4">
      <c r="C3984" s="10"/>
      <c r="D3984" s="25"/>
    </row>
    <row r="3985" spans="3:4">
      <c r="C3985" s="10"/>
      <c r="D3985" s="25"/>
    </row>
    <row r="3986" spans="3:4">
      <c r="C3986" s="10"/>
      <c r="D3986" s="25"/>
    </row>
    <row r="3987" spans="3:4">
      <c r="C3987" s="10"/>
      <c r="D3987" s="25"/>
    </row>
    <row r="3988" spans="3:4">
      <c r="C3988" s="10"/>
      <c r="D3988" s="25"/>
    </row>
    <row r="3989" spans="3:4">
      <c r="C3989" s="10"/>
      <c r="D3989" s="25"/>
    </row>
    <row r="3990" spans="3:4">
      <c r="C3990" s="10"/>
      <c r="D3990" s="25"/>
    </row>
    <row r="3991" spans="3:4">
      <c r="C3991" s="10"/>
      <c r="D3991" s="25"/>
    </row>
    <row r="3992" spans="3:4">
      <c r="C3992" s="10"/>
      <c r="D3992" s="25"/>
    </row>
    <row r="3993" spans="3:4">
      <c r="C3993" s="10"/>
      <c r="D3993" s="25"/>
    </row>
    <row r="3994" spans="3:4">
      <c r="C3994" s="10"/>
      <c r="D3994" s="25"/>
    </row>
    <row r="3995" spans="3:4">
      <c r="C3995" s="10"/>
      <c r="D3995" s="25"/>
    </row>
    <row r="3996" spans="3:4">
      <c r="C3996" s="10"/>
      <c r="D3996" s="25"/>
    </row>
    <row r="3997" spans="3:4">
      <c r="C3997" s="10"/>
      <c r="D3997" s="25"/>
    </row>
    <row r="3998" spans="3:4">
      <c r="C3998" s="10"/>
      <c r="D3998" s="25"/>
    </row>
    <row r="3999" spans="3:4">
      <c r="C3999" s="10"/>
      <c r="D3999" s="25"/>
    </row>
    <row r="4000" spans="3:4">
      <c r="C4000" s="10"/>
      <c r="D4000" s="25"/>
    </row>
    <row r="4001" spans="3:4">
      <c r="C4001" s="10"/>
      <c r="D4001" s="25"/>
    </row>
    <row r="4002" spans="3:4">
      <c r="C4002" s="10"/>
      <c r="D4002" s="25"/>
    </row>
    <row r="4003" spans="3:4">
      <c r="C4003" s="10"/>
      <c r="D4003" s="25"/>
    </row>
    <row r="4004" spans="3:4">
      <c r="C4004" s="10"/>
      <c r="D4004" s="25"/>
    </row>
    <row r="4005" spans="3:4">
      <c r="C4005" s="10"/>
      <c r="D4005" s="25"/>
    </row>
    <row r="4006" spans="3:4">
      <c r="C4006" s="10"/>
      <c r="D4006" s="25"/>
    </row>
    <row r="4007" spans="3:4">
      <c r="C4007" s="10"/>
      <c r="D4007" s="25"/>
    </row>
    <row r="4008" spans="3:4">
      <c r="C4008" s="10"/>
      <c r="D4008" s="25"/>
    </row>
    <row r="4009" spans="3:4">
      <c r="C4009" s="10"/>
      <c r="D4009" s="25"/>
    </row>
    <row r="4010" spans="3:4">
      <c r="C4010" s="10"/>
      <c r="D4010" s="25"/>
    </row>
    <row r="4011" spans="3:4">
      <c r="C4011" s="10"/>
      <c r="D4011" s="25"/>
    </row>
    <row r="4012" spans="3:4">
      <c r="C4012" s="10"/>
      <c r="D4012" s="25"/>
    </row>
    <row r="4013" spans="3:4">
      <c r="C4013" s="10"/>
      <c r="D4013" s="25"/>
    </row>
    <row r="4014" spans="3:4">
      <c r="C4014" s="10"/>
      <c r="D4014" s="25"/>
    </row>
    <row r="4015" spans="3:4">
      <c r="C4015" s="10"/>
      <c r="D4015" s="25"/>
    </row>
    <row r="4016" spans="3:4">
      <c r="C4016" s="10"/>
      <c r="D4016" s="25"/>
    </row>
    <row r="4017" spans="3:4">
      <c r="C4017" s="10"/>
      <c r="D4017" s="25"/>
    </row>
    <row r="4018" spans="3:4">
      <c r="C4018" s="10"/>
      <c r="D4018" s="25"/>
    </row>
    <row r="4019" spans="3:4">
      <c r="C4019" s="10"/>
      <c r="D4019" s="25"/>
    </row>
    <row r="4020" spans="3:4">
      <c r="C4020" s="10"/>
      <c r="D4020" s="25"/>
    </row>
    <row r="4021" spans="3:4">
      <c r="C4021" s="10"/>
      <c r="D4021" s="25"/>
    </row>
    <row r="4022" spans="3:4">
      <c r="C4022" s="10"/>
      <c r="D4022" s="25"/>
    </row>
    <row r="4023" spans="3:4">
      <c r="C4023" s="10"/>
      <c r="D4023" s="25"/>
    </row>
    <row r="4024" spans="3:4">
      <c r="C4024" s="10"/>
      <c r="D4024" s="25"/>
    </row>
    <row r="4025" spans="3:4">
      <c r="C4025" s="10"/>
      <c r="D4025" s="25"/>
    </row>
    <row r="4026" spans="3:4">
      <c r="C4026" s="10"/>
      <c r="D4026" s="25"/>
    </row>
    <row r="4027" spans="3:4">
      <c r="C4027" s="10"/>
      <c r="D4027" s="25"/>
    </row>
    <row r="4028" spans="3:4">
      <c r="C4028" s="10"/>
      <c r="D4028" s="25"/>
    </row>
    <row r="4029" spans="3:4">
      <c r="C4029" s="10"/>
      <c r="D4029" s="25"/>
    </row>
    <row r="4030" spans="3:4">
      <c r="C4030" s="10"/>
      <c r="D4030" s="25"/>
    </row>
    <row r="4031" spans="3:4">
      <c r="C4031" s="10"/>
      <c r="D4031" s="25"/>
    </row>
    <row r="4032" spans="3:4">
      <c r="C4032" s="10"/>
      <c r="D4032" s="25"/>
    </row>
    <row r="4033" spans="3:4">
      <c r="C4033" s="10"/>
      <c r="D4033" s="25"/>
    </row>
    <row r="4034" spans="3:4">
      <c r="C4034" s="10"/>
      <c r="D4034" s="25"/>
    </row>
    <row r="4035" spans="3:4">
      <c r="C4035" s="10"/>
      <c r="D4035" s="25"/>
    </row>
    <row r="4036" spans="3:4">
      <c r="C4036" s="10"/>
      <c r="D4036" s="25"/>
    </row>
    <row r="4037" spans="3:4">
      <c r="C4037" s="10"/>
      <c r="D4037" s="25"/>
    </row>
    <row r="4038" spans="3:4">
      <c r="C4038" s="10"/>
      <c r="D4038" s="25"/>
    </row>
    <row r="4039" spans="3:4">
      <c r="C4039" s="10"/>
      <c r="D4039" s="25"/>
    </row>
    <row r="4040" spans="3:4">
      <c r="C4040" s="10"/>
      <c r="D4040" s="25"/>
    </row>
    <row r="4041" spans="3:4">
      <c r="C4041" s="10"/>
      <c r="D4041" s="25"/>
    </row>
    <row r="4042" spans="3:4">
      <c r="C4042" s="10"/>
      <c r="D4042" s="25"/>
    </row>
    <row r="4043" spans="3:4">
      <c r="C4043" s="10"/>
      <c r="D4043" s="25"/>
    </row>
    <row r="4044" spans="3:4">
      <c r="C4044" s="10"/>
      <c r="D4044" s="25"/>
    </row>
    <row r="4045" spans="3:4">
      <c r="C4045" s="10"/>
      <c r="D4045" s="25"/>
    </row>
    <row r="4046" spans="3:4">
      <c r="C4046" s="10"/>
      <c r="D4046" s="25"/>
    </row>
    <row r="4047" spans="3:4">
      <c r="C4047" s="10"/>
      <c r="D4047" s="25"/>
    </row>
    <row r="4048" spans="3:4">
      <c r="C4048" s="10"/>
      <c r="D4048" s="25"/>
    </row>
    <row r="4049" spans="3:4">
      <c r="C4049" s="10"/>
      <c r="D4049" s="25"/>
    </row>
    <row r="4050" spans="3:4">
      <c r="C4050" s="10"/>
      <c r="D4050" s="25"/>
    </row>
    <row r="4051" spans="3:4">
      <c r="C4051" s="10"/>
      <c r="D4051" s="25"/>
    </row>
    <row r="4052" spans="3:4">
      <c r="C4052" s="10"/>
      <c r="D4052" s="25"/>
    </row>
    <row r="4053" spans="3:4">
      <c r="C4053" s="10"/>
      <c r="D4053" s="25"/>
    </row>
    <row r="4054" spans="3:4">
      <c r="C4054" s="10"/>
      <c r="D4054" s="25"/>
    </row>
    <row r="4055" spans="3:4">
      <c r="C4055" s="10"/>
      <c r="D4055" s="25"/>
    </row>
    <row r="4056" spans="3:4">
      <c r="C4056" s="10"/>
      <c r="D4056" s="25"/>
    </row>
    <row r="4057" spans="3:4">
      <c r="C4057" s="10"/>
      <c r="D4057" s="25"/>
    </row>
    <row r="4058" spans="3:4">
      <c r="C4058" s="10"/>
      <c r="D4058" s="25"/>
    </row>
    <row r="4059" spans="3:4">
      <c r="C4059" s="10"/>
      <c r="D4059" s="25"/>
    </row>
    <row r="4060" spans="3:4">
      <c r="C4060" s="10"/>
      <c r="D4060" s="25"/>
    </row>
    <row r="4061" spans="3:4">
      <c r="C4061" s="10"/>
      <c r="D4061" s="25"/>
    </row>
    <row r="4062" spans="3:4">
      <c r="C4062" s="10"/>
      <c r="D4062" s="25"/>
    </row>
    <row r="4063" spans="3:4">
      <c r="C4063" s="10"/>
      <c r="D4063" s="25"/>
    </row>
    <row r="4064" spans="3:4">
      <c r="C4064" s="10"/>
      <c r="D4064" s="25"/>
    </row>
    <row r="4065" spans="3:4">
      <c r="C4065" s="10"/>
      <c r="D4065" s="25"/>
    </row>
    <row r="4066" spans="3:4">
      <c r="C4066" s="10"/>
      <c r="D4066" s="25"/>
    </row>
    <row r="4067" spans="3:4">
      <c r="C4067" s="10"/>
      <c r="D4067" s="25"/>
    </row>
    <row r="4068" spans="3:4">
      <c r="C4068" s="10"/>
      <c r="D4068" s="25"/>
    </row>
    <row r="4069" spans="3:4">
      <c r="C4069" s="10"/>
      <c r="D4069" s="25"/>
    </row>
    <row r="4070" spans="3:4">
      <c r="C4070" s="10"/>
      <c r="D4070" s="25"/>
    </row>
    <row r="4071" spans="3:4">
      <c r="C4071" s="10"/>
      <c r="D4071" s="25"/>
    </row>
    <row r="4072" spans="3:4">
      <c r="C4072" s="10"/>
      <c r="D4072" s="25"/>
    </row>
    <row r="4073" spans="3:4">
      <c r="C4073" s="10"/>
      <c r="D4073" s="25"/>
    </row>
    <row r="4074" spans="3:4">
      <c r="C4074" s="10"/>
      <c r="D4074" s="25"/>
    </row>
    <row r="4075" spans="3:4">
      <c r="C4075" s="10"/>
      <c r="D4075" s="25"/>
    </row>
    <row r="4076" spans="3:4">
      <c r="C4076" s="10"/>
      <c r="D4076" s="25"/>
    </row>
    <row r="4077" spans="3:4">
      <c r="C4077" s="10"/>
      <c r="D4077" s="25"/>
    </row>
    <row r="4078" spans="3:4">
      <c r="C4078" s="10"/>
      <c r="D4078" s="25"/>
    </row>
    <row r="4079" spans="3:4">
      <c r="C4079" s="10"/>
      <c r="D4079" s="25"/>
    </row>
    <row r="4080" spans="3:4">
      <c r="C4080" s="10"/>
      <c r="D4080" s="25"/>
    </row>
    <row r="4081" spans="3:4">
      <c r="C4081" s="10"/>
      <c r="D4081" s="25"/>
    </row>
    <row r="4082" spans="3:4">
      <c r="C4082" s="10"/>
      <c r="D4082" s="25"/>
    </row>
    <row r="4083" spans="3:4">
      <c r="C4083" s="10"/>
      <c r="D4083" s="25"/>
    </row>
    <row r="4084" spans="3:4">
      <c r="C4084" s="10"/>
      <c r="D4084" s="25"/>
    </row>
    <row r="4085" spans="3:4">
      <c r="C4085" s="10"/>
      <c r="D4085" s="25"/>
    </row>
    <row r="4086" spans="3:4">
      <c r="C4086" s="10"/>
      <c r="D4086" s="25"/>
    </row>
    <row r="4087" spans="3:4">
      <c r="C4087" s="10"/>
      <c r="D4087" s="25"/>
    </row>
    <row r="4088" spans="3:4">
      <c r="C4088" s="10"/>
      <c r="D4088" s="25"/>
    </row>
    <row r="4089" spans="3:4">
      <c r="C4089" s="10"/>
      <c r="D4089" s="25"/>
    </row>
    <row r="4090" spans="3:4">
      <c r="C4090" s="10"/>
      <c r="D4090" s="25"/>
    </row>
    <row r="4091" spans="3:4">
      <c r="C4091" s="10"/>
      <c r="D4091" s="25"/>
    </row>
    <row r="4092" spans="3:4">
      <c r="C4092" s="10"/>
      <c r="D4092" s="25"/>
    </row>
    <row r="4093" spans="3:4">
      <c r="C4093" s="10"/>
      <c r="D4093" s="25"/>
    </row>
    <row r="4094" spans="3:4">
      <c r="C4094" s="10"/>
      <c r="D4094" s="25"/>
    </row>
    <row r="4095" spans="3:4">
      <c r="C4095" s="10"/>
      <c r="D4095" s="25"/>
    </row>
    <row r="4096" spans="3:4">
      <c r="C4096" s="10"/>
      <c r="D4096" s="25"/>
    </row>
    <row r="4097" spans="3:4">
      <c r="C4097" s="10"/>
      <c r="D4097" s="25"/>
    </row>
    <row r="4098" spans="3:4">
      <c r="C4098" s="10"/>
      <c r="D4098" s="25"/>
    </row>
    <row r="4099" spans="3:4">
      <c r="C4099" s="10"/>
      <c r="D4099" s="25"/>
    </row>
    <row r="4100" spans="3:4">
      <c r="C4100" s="10"/>
      <c r="D4100" s="25"/>
    </row>
    <row r="4101" spans="3:4">
      <c r="C4101" s="10"/>
      <c r="D4101" s="25"/>
    </row>
    <row r="4102" spans="3:4">
      <c r="C4102" s="10"/>
      <c r="D4102" s="25"/>
    </row>
    <row r="4103" spans="3:4">
      <c r="C4103" s="10"/>
      <c r="D4103" s="25"/>
    </row>
    <row r="4104" spans="3:4">
      <c r="C4104" s="10"/>
      <c r="D4104" s="25"/>
    </row>
    <row r="4105" spans="3:4">
      <c r="C4105" s="10"/>
      <c r="D4105" s="25"/>
    </row>
    <row r="4106" spans="3:4">
      <c r="C4106" s="10"/>
      <c r="D4106" s="25"/>
    </row>
    <row r="4107" spans="3:4">
      <c r="C4107" s="10"/>
      <c r="D4107" s="25"/>
    </row>
    <row r="4108" spans="3:4">
      <c r="C4108" s="10"/>
      <c r="D4108" s="25"/>
    </row>
    <row r="4109" spans="3:4">
      <c r="C4109" s="10"/>
      <c r="D4109" s="25"/>
    </row>
    <row r="4110" spans="3:4">
      <c r="C4110" s="10"/>
      <c r="D4110" s="25"/>
    </row>
    <row r="4111" spans="3:4">
      <c r="C4111" s="10"/>
      <c r="D4111" s="25"/>
    </row>
    <row r="4112" spans="3:4">
      <c r="C4112" s="10"/>
      <c r="D4112" s="25"/>
    </row>
    <row r="4113" spans="3:4">
      <c r="C4113" s="10"/>
      <c r="D4113" s="25"/>
    </row>
    <row r="4114" spans="3:4">
      <c r="C4114" s="10"/>
      <c r="D4114" s="25"/>
    </row>
    <row r="4115" spans="3:4">
      <c r="C4115" s="10"/>
      <c r="D4115" s="25"/>
    </row>
    <row r="4116" spans="3:4">
      <c r="C4116" s="10"/>
      <c r="D4116" s="25"/>
    </row>
    <row r="4117" spans="3:4">
      <c r="C4117" s="10"/>
      <c r="D4117" s="25"/>
    </row>
    <row r="4118" spans="3:4">
      <c r="C4118" s="10"/>
      <c r="D4118" s="25"/>
    </row>
    <row r="4119" spans="3:4">
      <c r="C4119" s="10"/>
      <c r="D4119" s="25"/>
    </row>
    <row r="4120" spans="3:4">
      <c r="C4120" s="10"/>
      <c r="D4120" s="25"/>
    </row>
    <row r="4121" spans="3:4">
      <c r="C4121" s="10"/>
      <c r="D4121" s="25"/>
    </row>
    <row r="4122" spans="3:4">
      <c r="C4122" s="10"/>
      <c r="D4122" s="25"/>
    </row>
    <row r="4123" spans="3:4">
      <c r="C4123" s="10"/>
      <c r="D4123" s="25"/>
    </row>
    <row r="4124" spans="3:4">
      <c r="C4124" s="10"/>
      <c r="D4124" s="25"/>
    </row>
    <row r="4125" spans="3:4">
      <c r="C4125" s="10"/>
      <c r="D4125" s="25"/>
    </row>
    <row r="4126" spans="3:4">
      <c r="C4126" s="10"/>
      <c r="D4126" s="25"/>
    </row>
    <row r="4127" spans="3:4">
      <c r="C4127" s="10"/>
      <c r="D4127" s="25"/>
    </row>
    <row r="4128" spans="3:4">
      <c r="C4128" s="10"/>
      <c r="D4128" s="25"/>
    </row>
    <row r="4129" spans="3:4">
      <c r="C4129" s="10"/>
      <c r="D4129" s="25"/>
    </row>
    <row r="4130" spans="3:4">
      <c r="C4130" s="10"/>
      <c r="D4130" s="25"/>
    </row>
    <row r="4131" spans="3:4">
      <c r="C4131" s="10"/>
      <c r="D4131" s="25"/>
    </row>
    <row r="4132" spans="3:4">
      <c r="C4132" s="10"/>
      <c r="D4132" s="25"/>
    </row>
    <row r="4133" spans="3:4">
      <c r="C4133" s="10"/>
      <c r="D4133" s="25"/>
    </row>
    <row r="4134" spans="3:4">
      <c r="C4134" s="10"/>
      <c r="D4134" s="25"/>
    </row>
    <row r="4135" spans="3:4">
      <c r="C4135" s="10"/>
      <c r="D4135" s="25"/>
    </row>
    <row r="4136" spans="3:4">
      <c r="C4136" s="10"/>
      <c r="D4136" s="25"/>
    </row>
    <row r="4137" spans="3:4">
      <c r="C4137" s="10"/>
      <c r="D4137" s="25"/>
    </row>
    <row r="4138" spans="3:4">
      <c r="C4138" s="10"/>
      <c r="D4138" s="25"/>
    </row>
    <row r="4139" spans="3:4">
      <c r="C4139" s="10"/>
      <c r="D4139" s="25"/>
    </row>
    <row r="4140" spans="3:4">
      <c r="C4140" s="10"/>
      <c r="D4140" s="25"/>
    </row>
    <row r="4141" spans="3:4">
      <c r="C4141" s="10"/>
      <c r="D4141" s="25"/>
    </row>
    <row r="4142" spans="3:4">
      <c r="C4142" s="10"/>
      <c r="D4142" s="25"/>
    </row>
    <row r="4143" spans="3:4">
      <c r="C4143" s="10"/>
      <c r="D4143" s="25"/>
    </row>
    <row r="4144" spans="3:4">
      <c r="C4144" s="10"/>
      <c r="D4144" s="25"/>
    </row>
    <row r="4145" spans="3:4">
      <c r="C4145" s="10"/>
      <c r="D4145" s="25"/>
    </row>
    <row r="4146" spans="3:4">
      <c r="C4146" s="10"/>
      <c r="D4146" s="25"/>
    </row>
    <row r="4147" spans="3:4">
      <c r="C4147" s="10"/>
      <c r="D4147" s="25"/>
    </row>
    <row r="4148" spans="3:4">
      <c r="C4148" s="10"/>
      <c r="D4148" s="25"/>
    </row>
    <row r="4149" spans="3:4">
      <c r="C4149" s="10"/>
      <c r="D4149" s="25"/>
    </row>
    <row r="4150" spans="3:4">
      <c r="C4150" s="10"/>
      <c r="D4150" s="25"/>
    </row>
    <row r="4151" spans="3:4">
      <c r="C4151" s="10"/>
      <c r="D4151" s="25"/>
    </row>
    <row r="4152" spans="3:4">
      <c r="C4152" s="10"/>
      <c r="D4152" s="25"/>
    </row>
    <row r="4153" spans="3:4">
      <c r="C4153" s="10"/>
      <c r="D4153" s="25"/>
    </row>
    <row r="4154" spans="3:4">
      <c r="C4154" s="10"/>
      <c r="D4154" s="25"/>
    </row>
    <row r="4155" spans="3:4">
      <c r="C4155" s="10"/>
      <c r="D4155" s="25"/>
    </row>
    <row r="4156" spans="3:4">
      <c r="C4156" s="10"/>
      <c r="D4156" s="25"/>
    </row>
    <row r="4157" spans="3:4">
      <c r="C4157" s="10"/>
      <c r="D4157" s="25"/>
    </row>
    <row r="4158" spans="3:4">
      <c r="C4158" s="10"/>
      <c r="D4158" s="25"/>
    </row>
    <row r="4159" spans="3:4">
      <c r="C4159" s="10"/>
      <c r="D4159" s="25"/>
    </row>
    <row r="4160" spans="3:4">
      <c r="C4160" s="10"/>
      <c r="D4160" s="25"/>
    </row>
    <row r="4161" spans="3:4">
      <c r="C4161" s="10"/>
      <c r="D4161" s="25"/>
    </row>
    <row r="4162" spans="3:4">
      <c r="C4162" s="10"/>
      <c r="D4162" s="25"/>
    </row>
    <row r="4163" spans="3:4">
      <c r="C4163" s="10"/>
      <c r="D4163" s="25"/>
    </row>
    <row r="4164" spans="3:4">
      <c r="C4164" s="10"/>
      <c r="D4164" s="25"/>
    </row>
    <row r="4165" spans="3:4">
      <c r="C4165" s="10"/>
      <c r="D4165" s="25"/>
    </row>
    <row r="4166" spans="3:4">
      <c r="C4166" s="10"/>
      <c r="D4166" s="25"/>
    </row>
    <row r="4167" spans="3:4">
      <c r="C4167" s="10"/>
      <c r="D4167" s="25"/>
    </row>
    <row r="4168" spans="3:4">
      <c r="C4168" s="10"/>
      <c r="D4168" s="25"/>
    </row>
    <row r="4169" spans="3:4">
      <c r="C4169" s="10"/>
      <c r="D4169" s="25"/>
    </row>
    <row r="4170" spans="3:4">
      <c r="C4170" s="10"/>
      <c r="D4170" s="25"/>
    </row>
    <row r="4171" spans="3:4">
      <c r="C4171" s="10"/>
      <c r="D4171" s="25"/>
    </row>
    <row r="4172" spans="3:4">
      <c r="C4172" s="10"/>
      <c r="D4172" s="25"/>
    </row>
    <row r="4173" spans="3:4">
      <c r="C4173" s="10"/>
      <c r="D4173" s="25"/>
    </row>
    <row r="4174" spans="3:4">
      <c r="C4174" s="10"/>
      <c r="D4174" s="25"/>
    </row>
    <row r="4175" spans="3:4">
      <c r="C4175" s="10"/>
      <c r="D4175" s="25"/>
    </row>
    <row r="4176" spans="3:4">
      <c r="C4176" s="10"/>
      <c r="D4176" s="25"/>
    </row>
    <row r="4177" spans="3:4">
      <c r="C4177" s="10"/>
      <c r="D4177" s="25"/>
    </row>
    <row r="4178" spans="3:4">
      <c r="C4178" s="10"/>
      <c r="D4178" s="25"/>
    </row>
    <row r="4179" spans="3:4">
      <c r="C4179" s="10"/>
      <c r="D4179" s="25"/>
    </row>
    <row r="4180" spans="3:4">
      <c r="C4180" s="10"/>
      <c r="D4180" s="25"/>
    </row>
    <row r="4181" spans="3:4">
      <c r="C4181" s="10"/>
      <c r="D4181" s="25"/>
    </row>
    <row r="4182" spans="3:4">
      <c r="C4182" s="10"/>
      <c r="D4182" s="25"/>
    </row>
    <row r="4183" spans="3:4">
      <c r="C4183" s="10"/>
      <c r="D4183" s="25"/>
    </row>
    <row r="4184" spans="3:4">
      <c r="C4184" s="10"/>
      <c r="D4184" s="25"/>
    </row>
    <row r="4185" spans="3:4">
      <c r="C4185" s="10"/>
      <c r="D4185" s="25"/>
    </row>
    <row r="4186" spans="3:4">
      <c r="C4186" s="10"/>
      <c r="D4186" s="25"/>
    </row>
    <row r="4187" spans="3:4">
      <c r="C4187" s="10"/>
      <c r="D4187" s="25"/>
    </row>
    <row r="4188" spans="3:4">
      <c r="C4188" s="10"/>
      <c r="D4188" s="25"/>
    </row>
    <row r="4189" spans="3:4">
      <c r="C4189" s="10"/>
      <c r="D4189" s="25"/>
    </row>
    <row r="4190" spans="3:4">
      <c r="C4190" s="10"/>
      <c r="D4190" s="25"/>
    </row>
    <row r="4191" spans="3:4">
      <c r="C4191" s="10"/>
      <c r="D4191" s="25"/>
    </row>
    <row r="4192" spans="3:4">
      <c r="C4192" s="10"/>
      <c r="D4192" s="25"/>
    </row>
    <row r="4193" spans="3:4">
      <c r="C4193" s="10"/>
      <c r="D4193" s="25"/>
    </row>
    <row r="4194" spans="3:4">
      <c r="C4194" s="10"/>
      <c r="D4194" s="25"/>
    </row>
    <row r="4195" spans="3:4">
      <c r="C4195" s="10"/>
      <c r="D4195" s="25"/>
    </row>
    <row r="4196" spans="3:4">
      <c r="C4196" s="10"/>
      <c r="D4196" s="25"/>
    </row>
    <row r="4197" spans="3:4">
      <c r="C4197" s="10"/>
      <c r="D4197" s="25"/>
    </row>
    <row r="4198" spans="3:4">
      <c r="C4198" s="10"/>
      <c r="D4198" s="25"/>
    </row>
    <row r="4199" spans="3:4">
      <c r="C4199" s="10"/>
      <c r="D4199" s="25"/>
    </row>
    <row r="4200" spans="3:4">
      <c r="C4200" s="10"/>
      <c r="D4200" s="25"/>
    </row>
    <row r="4201" spans="3:4">
      <c r="C4201" s="10"/>
      <c r="D4201" s="25"/>
    </row>
    <row r="4202" spans="3:4">
      <c r="C4202" s="10"/>
      <c r="D4202" s="25"/>
    </row>
    <row r="4203" spans="3:4">
      <c r="C4203" s="10"/>
      <c r="D4203" s="25"/>
    </row>
    <row r="4204" spans="3:4">
      <c r="C4204" s="10"/>
      <c r="D4204" s="25"/>
    </row>
    <row r="4205" spans="3:4">
      <c r="C4205" s="10"/>
      <c r="D4205" s="25"/>
    </row>
    <row r="4206" spans="3:4">
      <c r="C4206" s="10"/>
      <c r="D4206" s="25"/>
    </row>
    <row r="4207" spans="3:4">
      <c r="C4207" s="10"/>
      <c r="D4207" s="25"/>
    </row>
    <row r="4208" spans="3:4">
      <c r="C4208" s="10"/>
      <c r="D4208" s="25"/>
    </row>
    <row r="4209" spans="3:4">
      <c r="C4209" s="10"/>
      <c r="D4209" s="25"/>
    </row>
    <row r="4210" spans="3:4">
      <c r="C4210" s="10"/>
      <c r="D4210" s="25"/>
    </row>
    <row r="4211" spans="3:4">
      <c r="C4211" s="10"/>
      <c r="D4211" s="25"/>
    </row>
    <row r="4212" spans="3:4">
      <c r="C4212" s="10"/>
      <c r="D4212" s="25"/>
    </row>
    <row r="4213" spans="3:4">
      <c r="C4213" s="10"/>
      <c r="D4213" s="25"/>
    </row>
    <row r="4214" spans="3:4">
      <c r="C4214" s="10"/>
      <c r="D4214" s="25"/>
    </row>
    <row r="4215" spans="3:4">
      <c r="C4215" s="10"/>
      <c r="D4215" s="25"/>
    </row>
    <row r="4216" spans="3:4">
      <c r="C4216" s="10"/>
      <c r="D4216" s="25"/>
    </row>
    <row r="4217" spans="3:4">
      <c r="C4217" s="10"/>
      <c r="D4217" s="25"/>
    </row>
    <row r="4218" spans="3:4">
      <c r="C4218" s="10"/>
      <c r="D4218" s="25"/>
    </row>
    <row r="4219" spans="3:4">
      <c r="C4219" s="10"/>
      <c r="D4219" s="25"/>
    </row>
    <row r="4220" spans="3:4">
      <c r="C4220" s="10"/>
      <c r="D4220" s="25"/>
    </row>
    <row r="4221" spans="3:4">
      <c r="C4221" s="10"/>
      <c r="D4221" s="25"/>
    </row>
    <row r="4222" spans="3:4">
      <c r="C4222" s="10"/>
      <c r="D4222" s="25"/>
    </row>
    <row r="4223" spans="3:4">
      <c r="C4223" s="10"/>
      <c r="D4223" s="25"/>
    </row>
    <row r="4224" spans="3:4">
      <c r="C4224" s="10"/>
      <c r="D4224" s="25"/>
    </row>
    <row r="4225" spans="3:4">
      <c r="C4225" s="10"/>
      <c r="D4225" s="25"/>
    </row>
    <row r="4226" spans="3:4">
      <c r="C4226" s="10"/>
      <c r="D4226" s="25"/>
    </row>
    <row r="4227" spans="3:4">
      <c r="C4227" s="10"/>
      <c r="D4227" s="25"/>
    </row>
    <row r="4228" spans="3:4">
      <c r="C4228" s="10"/>
      <c r="D4228" s="25"/>
    </row>
    <row r="4229" spans="3:4">
      <c r="C4229" s="10"/>
      <c r="D4229" s="25"/>
    </row>
    <row r="4230" spans="3:4">
      <c r="C4230" s="10"/>
      <c r="D4230" s="25"/>
    </row>
    <row r="4231" spans="3:4">
      <c r="C4231" s="10"/>
      <c r="D4231" s="25"/>
    </row>
    <row r="4232" spans="3:4">
      <c r="C4232" s="10"/>
      <c r="D4232" s="25"/>
    </row>
    <row r="4233" spans="3:4">
      <c r="C4233" s="10"/>
      <c r="D4233" s="25"/>
    </row>
    <row r="4234" spans="3:4">
      <c r="C4234" s="10"/>
      <c r="D4234" s="25"/>
    </row>
    <row r="4235" spans="3:4">
      <c r="C4235" s="10"/>
      <c r="D4235" s="25"/>
    </row>
    <row r="4236" spans="3:4">
      <c r="C4236" s="10"/>
      <c r="D4236" s="25"/>
    </row>
    <row r="4237" spans="3:4">
      <c r="C4237" s="10"/>
      <c r="D4237" s="25"/>
    </row>
    <row r="4238" spans="3:4">
      <c r="C4238" s="10"/>
      <c r="D4238" s="25"/>
    </row>
    <row r="4239" spans="3:4">
      <c r="C4239" s="10"/>
      <c r="D4239" s="25"/>
    </row>
    <row r="4240" spans="3:4">
      <c r="C4240" s="10"/>
      <c r="D4240" s="25"/>
    </row>
    <row r="4241" spans="3:4">
      <c r="C4241" s="10"/>
      <c r="D4241" s="25"/>
    </row>
    <row r="4242" spans="3:4">
      <c r="C4242" s="10"/>
      <c r="D4242" s="25"/>
    </row>
    <row r="4243" spans="3:4">
      <c r="C4243" s="10"/>
      <c r="D4243" s="25"/>
    </row>
    <row r="4244" spans="3:4">
      <c r="C4244" s="10"/>
      <c r="D4244" s="25"/>
    </row>
    <row r="4245" spans="3:4">
      <c r="C4245" s="10"/>
      <c r="D4245" s="25"/>
    </row>
    <row r="4246" spans="3:4">
      <c r="C4246" s="10"/>
      <c r="D4246" s="25"/>
    </row>
    <row r="4247" spans="3:4">
      <c r="C4247" s="10"/>
      <c r="D4247" s="25"/>
    </row>
    <row r="4248" spans="3:4">
      <c r="C4248" s="10"/>
      <c r="D4248" s="25"/>
    </row>
    <row r="4249" spans="3:4">
      <c r="C4249" s="10"/>
      <c r="D4249" s="25"/>
    </row>
    <row r="4250" spans="3:4">
      <c r="C4250" s="10"/>
      <c r="D4250" s="25"/>
    </row>
    <row r="4251" spans="3:4">
      <c r="C4251" s="10"/>
      <c r="D4251" s="25"/>
    </row>
    <row r="4252" spans="3:4">
      <c r="C4252" s="10"/>
      <c r="D4252" s="25"/>
    </row>
    <row r="4253" spans="3:4">
      <c r="C4253" s="10"/>
      <c r="D4253" s="25"/>
    </row>
    <row r="4254" spans="3:4">
      <c r="C4254" s="10"/>
      <c r="D4254" s="25"/>
    </row>
    <row r="4255" spans="3:4">
      <c r="C4255" s="10"/>
      <c r="D4255" s="25"/>
    </row>
    <row r="4256" spans="3:4">
      <c r="C4256" s="10"/>
      <c r="D4256" s="25"/>
    </row>
    <row r="4257" spans="3:4">
      <c r="C4257" s="10"/>
      <c r="D4257" s="25"/>
    </row>
    <row r="4258" spans="3:4">
      <c r="C4258" s="10"/>
      <c r="D4258" s="25"/>
    </row>
    <row r="4259" spans="3:4">
      <c r="C4259" s="10"/>
      <c r="D4259" s="25"/>
    </row>
    <row r="4260" spans="3:4">
      <c r="C4260" s="10"/>
      <c r="D4260" s="25"/>
    </row>
    <row r="4261" spans="3:4">
      <c r="C4261" s="10"/>
      <c r="D4261" s="25"/>
    </row>
    <row r="4262" spans="3:4">
      <c r="C4262" s="10"/>
      <c r="D4262" s="25"/>
    </row>
    <row r="4263" spans="3:4">
      <c r="C4263" s="10"/>
      <c r="D4263" s="25"/>
    </row>
    <row r="4264" spans="3:4">
      <c r="C4264" s="10"/>
      <c r="D4264" s="25"/>
    </row>
    <row r="4265" spans="3:4">
      <c r="C4265" s="10"/>
      <c r="D4265" s="25"/>
    </row>
    <row r="4266" spans="3:4">
      <c r="C4266" s="10"/>
      <c r="D4266" s="25"/>
    </row>
    <row r="4267" spans="3:4">
      <c r="C4267" s="10"/>
      <c r="D4267" s="25"/>
    </row>
    <row r="4268" spans="3:4">
      <c r="C4268" s="10"/>
      <c r="D4268" s="25"/>
    </row>
    <row r="4269" spans="3:4">
      <c r="C4269" s="10"/>
      <c r="D4269" s="25"/>
    </row>
    <row r="4270" spans="3:4">
      <c r="C4270" s="10"/>
      <c r="D4270" s="25"/>
    </row>
    <row r="4271" spans="3:4">
      <c r="C4271" s="10"/>
      <c r="D4271" s="25"/>
    </row>
    <row r="4272" spans="3:4">
      <c r="C4272" s="10"/>
      <c r="D4272" s="25"/>
    </row>
    <row r="4273" spans="3:4">
      <c r="C4273" s="10"/>
      <c r="D4273" s="25"/>
    </row>
    <row r="4274" spans="3:4">
      <c r="C4274" s="10"/>
      <c r="D4274" s="25"/>
    </row>
    <row r="4275" spans="3:4">
      <c r="C4275" s="10"/>
      <c r="D4275" s="25"/>
    </row>
    <row r="4276" spans="3:4">
      <c r="C4276" s="10"/>
      <c r="D4276" s="25"/>
    </row>
    <row r="4277" spans="3:4">
      <c r="C4277" s="10"/>
      <c r="D4277" s="25"/>
    </row>
    <row r="4278" spans="3:4">
      <c r="C4278" s="10"/>
      <c r="D4278" s="25"/>
    </row>
    <row r="4279" spans="3:4">
      <c r="C4279" s="10"/>
      <c r="D4279" s="25"/>
    </row>
    <row r="4280" spans="3:4">
      <c r="C4280" s="10"/>
      <c r="D4280" s="25"/>
    </row>
    <row r="4281" spans="3:4">
      <c r="C4281" s="10"/>
      <c r="D4281" s="25"/>
    </row>
    <row r="4282" spans="3:4">
      <c r="C4282" s="10"/>
      <c r="D4282" s="25"/>
    </row>
    <row r="4283" spans="3:4">
      <c r="C4283" s="10"/>
      <c r="D4283" s="25"/>
    </row>
    <row r="4284" spans="3:4">
      <c r="C4284" s="10"/>
      <c r="D4284" s="25"/>
    </row>
    <row r="4285" spans="3:4">
      <c r="C4285" s="10"/>
      <c r="D4285" s="25"/>
    </row>
    <row r="4286" spans="3:4">
      <c r="C4286" s="10"/>
      <c r="D4286" s="25"/>
    </row>
    <row r="4287" spans="3:4">
      <c r="C4287" s="10"/>
      <c r="D4287" s="25"/>
    </row>
    <row r="4288" spans="3:4">
      <c r="C4288" s="10"/>
      <c r="D4288" s="25"/>
    </row>
    <row r="4289" spans="3:4">
      <c r="C4289" s="10"/>
      <c r="D4289" s="25"/>
    </row>
    <row r="4290" spans="3:4">
      <c r="C4290" s="10"/>
      <c r="D4290" s="25"/>
    </row>
    <row r="4291" spans="3:4">
      <c r="C4291" s="10"/>
      <c r="D4291" s="25"/>
    </row>
    <row r="4292" spans="3:4">
      <c r="C4292" s="10"/>
      <c r="D4292" s="25"/>
    </row>
    <row r="4293" spans="3:4">
      <c r="C4293" s="10"/>
      <c r="D4293" s="25"/>
    </row>
    <row r="4294" spans="3:4">
      <c r="C4294" s="10"/>
      <c r="D4294" s="25"/>
    </row>
    <row r="4295" spans="3:4">
      <c r="C4295" s="10"/>
      <c r="D4295" s="25"/>
    </row>
    <row r="4296" spans="3:4">
      <c r="C4296" s="10"/>
      <c r="D4296" s="25"/>
    </row>
    <row r="4297" spans="3:4">
      <c r="C4297" s="10"/>
      <c r="D4297" s="25"/>
    </row>
    <row r="4298" spans="3:4">
      <c r="C4298" s="10"/>
      <c r="D4298" s="25"/>
    </row>
    <row r="4299" spans="3:4">
      <c r="C4299" s="10"/>
      <c r="D4299" s="25"/>
    </row>
    <row r="4300" spans="3:4">
      <c r="C4300" s="10"/>
      <c r="D4300" s="25"/>
    </row>
    <row r="4301" spans="3:4">
      <c r="C4301" s="10"/>
      <c r="D4301" s="25"/>
    </row>
    <row r="4302" spans="3:4">
      <c r="C4302" s="10"/>
      <c r="D4302" s="25"/>
    </row>
    <row r="4303" spans="3:4">
      <c r="C4303" s="10"/>
      <c r="D4303" s="25"/>
    </row>
    <row r="4304" spans="3:4">
      <c r="C4304" s="10"/>
      <c r="D4304" s="25"/>
    </row>
    <row r="4305" spans="3:4">
      <c r="C4305" s="10"/>
      <c r="D4305" s="25"/>
    </row>
    <row r="4306" spans="3:4">
      <c r="C4306" s="10"/>
      <c r="D4306" s="25"/>
    </row>
    <row r="4307" spans="3:4">
      <c r="C4307" s="10"/>
      <c r="D4307" s="25"/>
    </row>
    <row r="4308" spans="3:4">
      <c r="C4308" s="10"/>
      <c r="D4308" s="25"/>
    </row>
    <row r="4309" spans="3:4">
      <c r="C4309" s="10"/>
      <c r="D4309" s="25"/>
    </row>
    <row r="4310" spans="3:4">
      <c r="C4310" s="10"/>
      <c r="D4310" s="25"/>
    </row>
    <row r="4311" spans="3:4">
      <c r="C4311" s="10"/>
      <c r="D4311" s="25"/>
    </row>
    <row r="4312" spans="3:4">
      <c r="C4312" s="10"/>
      <c r="D4312" s="25"/>
    </row>
    <row r="4313" spans="3:4">
      <c r="C4313" s="10"/>
      <c r="D4313" s="25"/>
    </row>
    <row r="4314" spans="3:4">
      <c r="C4314" s="10"/>
      <c r="D4314" s="25"/>
    </row>
    <row r="4315" spans="3:4">
      <c r="C4315" s="10"/>
      <c r="D4315" s="25"/>
    </row>
    <row r="4316" spans="3:4">
      <c r="C4316" s="10"/>
      <c r="D4316" s="25"/>
    </row>
    <row r="4317" spans="3:4">
      <c r="C4317" s="10"/>
      <c r="D4317" s="25"/>
    </row>
    <row r="4318" spans="3:4">
      <c r="C4318" s="10"/>
      <c r="D4318" s="25"/>
    </row>
    <row r="4319" spans="3:4">
      <c r="C4319" s="10"/>
      <c r="D4319" s="25"/>
    </row>
    <row r="4320" spans="3:4">
      <c r="C4320" s="10"/>
      <c r="D4320" s="25"/>
    </row>
    <row r="4321" spans="3:4">
      <c r="C4321" s="10"/>
      <c r="D4321" s="25"/>
    </row>
    <row r="4322" spans="3:4">
      <c r="C4322" s="10"/>
      <c r="D4322" s="25"/>
    </row>
    <row r="4323" spans="3:4">
      <c r="C4323" s="10"/>
      <c r="D4323" s="25"/>
    </row>
    <row r="4324" spans="3:4">
      <c r="C4324" s="10"/>
      <c r="D4324" s="25"/>
    </row>
    <row r="4325" spans="3:4">
      <c r="C4325" s="10"/>
      <c r="D4325" s="25"/>
    </row>
    <row r="4326" spans="3:4">
      <c r="C4326" s="10"/>
      <c r="D4326" s="25"/>
    </row>
    <row r="4327" spans="3:4">
      <c r="C4327" s="10"/>
      <c r="D4327" s="25"/>
    </row>
    <row r="4328" spans="3:4">
      <c r="C4328" s="10"/>
      <c r="D4328" s="25"/>
    </row>
    <row r="4329" spans="3:4">
      <c r="C4329" s="10"/>
      <c r="D4329" s="25"/>
    </row>
    <row r="4330" spans="3:4">
      <c r="C4330" s="10"/>
      <c r="D4330" s="25"/>
    </row>
    <row r="4331" spans="3:4">
      <c r="C4331" s="10"/>
      <c r="D4331" s="25"/>
    </row>
    <row r="4332" spans="3:4">
      <c r="C4332" s="10"/>
      <c r="D4332" s="25"/>
    </row>
    <row r="4333" spans="3:4">
      <c r="C4333" s="10"/>
      <c r="D4333" s="25"/>
    </row>
    <row r="4334" spans="3:4">
      <c r="C4334" s="10"/>
      <c r="D4334" s="25"/>
    </row>
    <row r="4335" spans="3:4">
      <c r="C4335" s="10"/>
      <c r="D4335" s="25"/>
    </row>
    <row r="4336" spans="3:4">
      <c r="C4336" s="10"/>
      <c r="D4336" s="25"/>
    </row>
    <row r="4337" spans="3:4">
      <c r="C4337" s="10"/>
      <c r="D4337" s="25"/>
    </row>
    <row r="4338" spans="3:4">
      <c r="C4338" s="10"/>
      <c r="D4338" s="25"/>
    </row>
    <row r="4339" spans="3:4">
      <c r="C4339" s="10"/>
      <c r="D4339" s="25"/>
    </row>
    <row r="4340" spans="3:4">
      <c r="C4340" s="10"/>
      <c r="D4340" s="25"/>
    </row>
    <row r="4341" spans="3:4">
      <c r="C4341" s="10"/>
      <c r="D4341" s="25"/>
    </row>
    <row r="4342" spans="3:4">
      <c r="C4342" s="10"/>
      <c r="D4342" s="25"/>
    </row>
    <row r="4343" spans="3:4">
      <c r="C4343" s="10"/>
      <c r="D4343" s="25"/>
    </row>
    <row r="4344" spans="3:4">
      <c r="C4344" s="10"/>
      <c r="D4344" s="25"/>
    </row>
    <row r="4345" spans="3:4">
      <c r="C4345" s="10"/>
      <c r="D4345" s="25"/>
    </row>
    <row r="4346" spans="3:4">
      <c r="C4346" s="10"/>
      <c r="D4346" s="25"/>
    </row>
    <row r="4347" spans="3:4">
      <c r="C4347" s="10"/>
      <c r="D4347" s="25"/>
    </row>
    <row r="4348" spans="3:4">
      <c r="C4348" s="10"/>
      <c r="D4348" s="25"/>
    </row>
    <row r="4349" spans="3:4">
      <c r="C4349" s="10"/>
      <c r="D4349" s="25"/>
    </row>
    <row r="4350" spans="3:4">
      <c r="C4350" s="10"/>
      <c r="D4350" s="25"/>
    </row>
    <row r="4351" spans="3:4">
      <c r="C4351" s="10"/>
      <c r="D4351" s="25"/>
    </row>
    <row r="4352" spans="3:4">
      <c r="C4352" s="10"/>
      <c r="D4352" s="25"/>
    </row>
    <row r="4353" spans="3:4">
      <c r="C4353" s="10"/>
      <c r="D4353" s="25"/>
    </row>
    <row r="4354" spans="3:4">
      <c r="C4354" s="10"/>
      <c r="D4354" s="25"/>
    </row>
    <row r="4355" spans="3:4">
      <c r="C4355" s="10"/>
      <c r="D4355" s="25"/>
    </row>
    <row r="4356" spans="3:4">
      <c r="C4356" s="10"/>
      <c r="D4356" s="25"/>
    </row>
    <row r="4357" spans="3:4">
      <c r="C4357" s="10"/>
      <c r="D4357" s="25"/>
    </row>
    <row r="4358" spans="3:4">
      <c r="C4358" s="10"/>
      <c r="D4358" s="25"/>
    </row>
    <row r="4359" spans="3:4">
      <c r="C4359" s="10"/>
      <c r="D4359" s="25"/>
    </row>
    <row r="4360" spans="3:4">
      <c r="C4360" s="10"/>
      <c r="D4360" s="25"/>
    </row>
    <row r="4361" spans="3:4">
      <c r="C4361" s="10"/>
      <c r="D4361" s="25"/>
    </row>
    <row r="4362" spans="3:4">
      <c r="C4362" s="10"/>
      <c r="D4362" s="25"/>
    </row>
    <row r="4363" spans="3:4">
      <c r="C4363" s="10"/>
      <c r="D4363" s="25"/>
    </row>
    <row r="4364" spans="3:4">
      <c r="C4364" s="10"/>
      <c r="D4364" s="25"/>
    </row>
    <row r="4365" spans="3:4">
      <c r="C4365" s="10"/>
      <c r="D4365" s="25"/>
    </row>
    <row r="4366" spans="3:4">
      <c r="C4366" s="10"/>
      <c r="D4366" s="25"/>
    </row>
    <row r="4367" spans="3:4">
      <c r="C4367" s="10"/>
      <c r="D4367" s="25"/>
    </row>
    <row r="4368" spans="3:4">
      <c r="C4368" s="10"/>
      <c r="D4368" s="25"/>
    </row>
    <row r="4369" spans="3:4">
      <c r="C4369" s="10"/>
      <c r="D4369" s="25"/>
    </row>
    <row r="4370" spans="3:4">
      <c r="C4370" s="10"/>
      <c r="D4370" s="25"/>
    </row>
    <row r="4371" spans="3:4">
      <c r="C4371" s="10"/>
      <c r="D4371" s="25"/>
    </row>
    <row r="4372" spans="3:4">
      <c r="C4372" s="10"/>
      <c r="D4372" s="25"/>
    </row>
    <row r="4373" spans="3:4">
      <c r="C4373" s="10"/>
      <c r="D4373" s="25"/>
    </row>
    <row r="4374" spans="3:4">
      <c r="C4374" s="10"/>
      <c r="D4374" s="25"/>
    </row>
    <row r="4375" spans="3:4">
      <c r="C4375" s="10"/>
      <c r="D4375" s="25"/>
    </row>
    <row r="4376" spans="3:4">
      <c r="C4376" s="10"/>
      <c r="D4376" s="25"/>
    </row>
    <row r="4377" spans="3:4">
      <c r="C4377" s="10"/>
      <c r="D4377" s="25"/>
    </row>
    <row r="4378" spans="3:4">
      <c r="C4378" s="10"/>
      <c r="D4378" s="25"/>
    </row>
    <row r="4379" spans="3:4">
      <c r="C4379" s="10"/>
      <c r="D4379" s="25"/>
    </row>
    <row r="4380" spans="3:4">
      <c r="C4380" s="10"/>
      <c r="D4380" s="25"/>
    </row>
    <row r="4381" spans="3:4">
      <c r="C4381" s="10"/>
      <c r="D4381" s="25"/>
    </row>
    <row r="4382" spans="3:4">
      <c r="C4382" s="10"/>
      <c r="D4382" s="25"/>
    </row>
    <row r="4383" spans="3:4">
      <c r="C4383" s="10"/>
      <c r="D4383" s="25"/>
    </row>
    <row r="4384" spans="3:4">
      <c r="C4384" s="10"/>
      <c r="D4384" s="25"/>
    </row>
    <row r="4385" spans="3:4">
      <c r="C4385" s="10"/>
      <c r="D4385" s="25"/>
    </row>
    <row r="4386" spans="3:4">
      <c r="C4386" s="10"/>
      <c r="D4386" s="25"/>
    </row>
    <row r="4387" spans="3:4">
      <c r="C4387" s="10"/>
      <c r="D4387" s="25"/>
    </row>
    <row r="4388" spans="3:4">
      <c r="C4388" s="10"/>
      <c r="D4388" s="25"/>
    </row>
    <row r="4389" spans="3:4">
      <c r="C4389" s="10"/>
      <c r="D4389" s="25"/>
    </row>
    <row r="4390" spans="3:4">
      <c r="C4390" s="10"/>
      <c r="D4390" s="25"/>
    </row>
    <row r="4391" spans="3:4">
      <c r="C4391" s="10"/>
      <c r="D4391" s="25"/>
    </row>
    <row r="4392" spans="3:4">
      <c r="C4392" s="10"/>
      <c r="D4392" s="25"/>
    </row>
    <row r="4393" spans="3:4">
      <c r="C4393" s="10"/>
      <c r="D4393" s="25"/>
    </row>
    <row r="4394" spans="3:4">
      <c r="C4394" s="10"/>
      <c r="D4394" s="25"/>
    </row>
    <row r="4395" spans="3:4">
      <c r="C4395" s="10"/>
      <c r="D4395" s="25"/>
    </row>
    <row r="4396" spans="3:4">
      <c r="C4396" s="10"/>
      <c r="D4396" s="25"/>
    </row>
    <row r="4397" spans="3:4">
      <c r="C4397" s="10"/>
      <c r="D4397" s="25"/>
    </row>
    <row r="4398" spans="3:4">
      <c r="C4398" s="10"/>
      <c r="D4398" s="25"/>
    </row>
    <row r="4399" spans="3:4">
      <c r="C4399" s="10"/>
      <c r="D4399" s="25"/>
    </row>
    <row r="4400" spans="3:4">
      <c r="C4400" s="10"/>
      <c r="D4400" s="25"/>
    </row>
    <row r="4401" spans="3:4">
      <c r="C4401" s="10"/>
      <c r="D4401" s="25"/>
    </row>
    <row r="4402" spans="3:4">
      <c r="C4402" s="10"/>
      <c r="D4402" s="25"/>
    </row>
    <row r="4403" spans="3:4">
      <c r="C4403" s="10"/>
      <c r="D4403" s="25"/>
    </row>
    <row r="4404" spans="3:4">
      <c r="C4404" s="10"/>
      <c r="D4404" s="25"/>
    </row>
    <row r="4405" spans="3:4">
      <c r="C4405" s="10"/>
      <c r="D4405" s="25"/>
    </row>
    <row r="4406" spans="3:4">
      <c r="C4406" s="10"/>
      <c r="D4406" s="25"/>
    </row>
    <row r="4407" spans="3:4">
      <c r="C4407" s="10"/>
      <c r="D4407" s="25"/>
    </row>
    <row r="4408" spans="3:4">
      <c r="C4408" s="10"/>
      <c r="D4408" s="25"/>
    </row>
    <row r="4409" spans="3:4">
      <c r="C4409" s="10"/>
      <c r="D4409" s="25"/>
    </row>
    <row r="4410" spans="3:4">
      <c r="C4410" s="10"/>
      <c r="D4410" s="25"/>
    </row>
    <row r="4411" spans="3:4">
      <c r="C4411" s="10"/>
      <c r="D4411" s="25"/>
    </row>
    <row r="4412" spans="3:4">
      <c r="C4412" s="10"/>
      <c r="D4412" s="25"/>
    </row>
    <row r="4413" spans="3:4">
      <c r="C4413" s="10"/>
      <c r="D4413" s="25"/>
    </row>
    <row r="4414" spans="3:4">
      <c r="C4414" s="10"/>
      <c r="D4414" s="25"/>
    </row>
    <row r="4415" spans="3:4">
      <c r="C4415" s="10"/>
      <c r="D4415" s="25"/>
    </row>
    <row r="4416" spans="3:4">
      <c r="C4416" s="10"/>
      <c r="D4416" s="25"/>
    </row>
    <row r="4417" spans="3:4">
      <c r="C4417" s="10"/>
      <c r="D4417" s="25"/>
    </row>
    <row r="4418" spans="3:4">
      <c r="C4418" s="10"/>
      <c r="D4418" s="25"/>
    </row>
    <row r="4419" spans="3:4">
      <c r="C4419" s="10"/>
      <c r="D4419" s="25"/>
    </row>
    <row r="4420" spans="3:4">
      <c r="C4420" s="10"/>
      <c r="D4420" s="25"/>
    </row>
    <row r="4421" spans="3:4">
      <c r="C4421" s="10"/>
      <c r="D4421" s="25"/>
    </row>
    <row r="4422" spans="3:4">
      <c r="C4422" s="10"/>
      <c r="D4422" s="25"/>
    </row>
    <row r="4423" spans="3:4">
      <c r="C4423" s="10"/>
      <c r="D4423" s="25"/>
    </row>
    <row r="4424" spans="3:4">
      <c r="C4424" s="10"/>
      <c r="D4424" s="25"/>
    </row>
    <row r="4425" spans="3:4">
      <c r="C4425" s="10"/>
      <c r="D4425" s="25"/>
    </row>
    <row r="4426" spans="3:4">
      <c r="C4426" s="10"/>
      <c r="D4426" s="25"/>
    </row>
    <row r="4427" spans="3:4">
      <c r="C4427" s="10"/>
      <c r="D4427" s="25"/>
    </row>
    <row r="4428" spans="3:4">
      <c r="C4428" s="10"/>
      <c r="D4428" s="25"/>
    </row>
    <row r="4429" spans="3:4">
      <c r="C4429" s="10"/>
      <c r="D4429" s="25"/>
    </row>
    <row r="4430" spans="3:4">
      <c r="C4430" s="10"/>
      <c r="D4430" s="25"/>
    </row>
    <row r="4431" spans="3:4">
      <c r="C4431" s="10"/>
      <c r="D4431" s="25"/>
    </row>
    <row r="4432" spans="3:4">
      <c r="C4432" s="10"/>
      <c r="D4432" s="25"/>
    </row>
    <row r="4433" spans="3:4">
      <c r="C4433" s="10"/>
      <c r="D4433" s="25"/>
    </row>
    <row r="4434" spans="3:4">
      <c r="C4434" s="10"/>
      <c r="D4434" s="25"/>
    </row>
    <row r="4435" spans="3:4">
      <c r="C4435" s="10"/>
      <c r="D4435" s="25"/>
    </row>
    <row r="4436" spans="3:4">
      <c r="C4436" s="10"/>
      <c r="D4436" s="25"/>
    </row>
    <row r="4437" spans="3:4">
      <c r="C4437" s="10"/>
      <c r="D4437" s="25"/>
    </row>
    <row r="4438" spans="3:4">
      <c r="C4438" s="10"/>
      <c r="D4438" s="25"/>
    </row>
    <row r="4439" spans="3:4">
      <c r="C4439" s="10"/>
      <c r="D4439" s="25"/>
    </row>
    <row r="4440" spans="3:4">
      <c r="C4440" s="10"/>
      <c r="D4440" s="25"/>
    </row>
    <row r="4441" spans="3:4">
      <c r="C4441" s="10"/>
      <c r="D4441" s="25"/>
    </row>
    <row r="4442" spans="3:4">
      <c r="C4442" s="10"/>
      <c r="D4442" s="25"/>
    </row>
    <row r="4443" spans="3:4">
      <c r="C4443" s="10"/>
      <c r="D4443" s="25"/>
    </row>
    <row r="4444" spans="3:4">
      <c r="C4444" s="10"/>
      <c r="D4444" s="25"/>
    </row>
    <row r="4445" spans="3:4">
      <c r="C4445" s="10"/>
      <c r="D4445" s="25"/>
    </row>
    <row r="4446" spans="3:4">
      <c r="C4446" s="10"/>
      <c r="D4446" s="25"/>
    </row>
    <row r="4447" spans="3:4">
      <c r="C4447" s="10"/>
      <c r="D4447" s="25"/>
    </row>
    <row r="4448" spans="3:4">
      <c r="C4448" s="10"/>
      <c r="D4448" s="25"/>
    </row>
    <row r="4449" spans="3:4">
      <c r="C4449" s="10"/>
      <c r="D4449" s="25"/>
    </row>
    <row r="4450" spans="3:4">
      <c r="C4450" s="10"/>
      <c r="D4450" s="25"/>
    </row>
    <row r="4451" spans="3:4">
      <c r="C4451" s="10"/>
      <c r="D4451" s="25"/>
    </row>
    <row r="4452" spans="3:4">
      <c r="C4452" s="10"/>
      <c r="D4452" s="25"/>
    </row>
    <row r="4453" spans="3:4">
      <c r="C4453" s="10"/>
      <c r="D4453" s="25"/>
    </row>
    <row r="4454" spans="3:4">
      <c r="C4454" s="10"/>
      <c r="D4454" s="25"/>
    </row>
    <row r="4455" spans="3:4">
      <c r="C4455" s="10"/>
      <c r="D4455" s="25"/>
    </row>
    <row r="4456" spans="3:4">
      <c r="C4456" s="10"/>
      <c r="D4456" s="25"/>
    </row>
    <row r="4457" spans="3:4">
      <c r="C4457" s="10"/>
      <c r="D4457" s="25"/>
    </row>
    <row r="4458" spans="3:4">
      <c r="C4458" s="10"/>
      <c r="D4458" s="25"/>
    </row>
    <row r="4459" spans="3:4">
      <c r="C4459" s="10"/>
      <c r="D4459" s="25"/>
    </row>
    <row r="4460" spans="3:4">
      <c r="C4460" s="10"/>
      <c r="D4460" s="25"/>
    </row>
    <row r="4461" spans="3:4">
      <c r="C4461" s="10"/>
      <c r="D4461" s="25"/>
    </row>
    <row r="4462" spans="3:4">
      <c r="C4462" s="10"/>
      <c r="D4462" s="25"/>
    </row>
    <row r="4463" spans="3:4">
      <c r="C4463" s="10"/>
      <c r="D4463" s="25"/>
    </row>
    <row r="4464" spans="3:4">
      <c r="C4464" s="10"/>
      <c r="D4464" s="25"/>
    </row>
    <row r="4465" spans="3:4">
      <c r="C4465" s="10"/>
      <c r="D4465" s="25"/>
    </row>
    <row r="4466" spans="3:4">
      <c r="C4466" s="10"/>
      <c r="D4466" s="25"/>
    </row>
    <row r="4467" spans="3:4">
      <c r="C4467" s="10"/>
      <c r="D4467" s="25"/>
    </row>
    <row r="4468" spans="3:4">
      <c r="C4468" s="10"/>
      <c r="D4468" s="25"/>
    </row>
    <row r="4469" spans="3:4">
      <c r="C4469" s="10"/>
      <c r="D4469" s="25"/>
    </row>
    <row r="4470" spans="3:4">
      <c r="C4470" s="10"/>
      <c r="D4470" s="25"/>
    </row>
    <row r="4471" spans="3:4">
      <c r="C4471" s="10"/>
      <c r="D4471" s="25"/>
    </row>
    <row r="4472" spans="3:4">
      <c r="C4472" s="10"/>
      <c r="D4472" s="25"/>
    </row>
    <row r="4473" spans="3:4">
      <c r="C4473" s="10"/>
      <c r="D4473" s="25"/>
    </row>
    <row r="4474" spans="3:4">
      <c r="C4474" s="10"/>
      <c r="D4474" s="25"/>
    </row>
    <row r="4475" spans="3:4">
      <c r="C4475" s="10"/>
      <c r="D4475" s="25"/>
    </row>
    <row r="4476" spans="3:4">
      <c r="C4476" s="10"/>
      <c r="D4476" s="25"/>
    </row>
    <row r="4477" spans="3:4">
      <c r="C4477" s="10"/>
      <c r="D4477" s="25"/>
    </row>
    <row r="4478" spans="3:4">
      <c r="C4478" s="10"/>
      <c r="D4478" s="25"/>
    </row>
    <row r="4479" spans="3:4">
      <c r="C4479" s="10"/>
      <c r="D4479" s="25"/>
    </row>
    <row r="4480" spans="3:4">
      <c r="C4480" s="10"/>
      <c r="D4480" s="25"/>
    </row>
    <row r="4481" spans="3:4">
      <c r="C4481" s="10"/>
      <c r="D4481" s="25"/>
    </row>
    <row r="4482" spans="3:4">
      <c r="C4482" s="10"/>
      <c r="D4482" s="25"/>
    </row>
    <row r="4483" spans="3:4">
      <c r="C4483" s="10"/>
      <c r="D4483" s="25"/>
    </row>
    <row r="4484" spans="3:4">
      <c r="C4484" s="10"/>
      <c r="D4484" s="2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2:AC416"/>
  <sheetViews>
    <sheetView topLeftCell="B199" workbookViewId="0">
      <selection activeCell="D240" sqref="D240:F240"/>
    </sheetView>
  </sheetViews>
  <sheetFormatPr defaultRowHeight="15"/>
  <cols>
    <col min="3" max="3" width="10.7109375" bestFit="1" customWidth="1"/>
    <col min="6" max="6" width="11.140625" style="24" bestFit="1" customWidth="1"/>
    <col min="7" max="7" width="11.140625" style="24" customWidth="1"/>
    <col min="10" max="10" width="10.7109375" bestFit="1" customWidth="1"/>
    <col min="11" max="11" width="9.7109375" bestFit="1" customWidth="1"/>
    <col min="12" max="12" width="10.7109375" style="24" bestFit="1" customWidth="1"/>
    <col min="15" max="15" width="11.140625" style="30" bestFit="1" customWidth="1"/>
    <col min="23" max="23" width="10.7109375" bestFit="1" customWidth="1"/>
    <col min="27" max="27" width="10.7109375" bestFit="1" customWidth="1"/>
    <col min="28" max="28" width="12.85546875" bestFit="1" customWidth="1"/>
  </cols>
  <sheetData>
    <row r="2" spans="3:29">
      <c r="W2" t="s">
        <v>1549</v>
      </c>
      <c r="AA2" t="s">
        <v>1552</v>
      </c>
    </row>
    <row r="3" spans="3:29">
      <c r="C3" t="s">
        <v>1542</v>
      </c>
      <c r="D3" t="s">
        <v>1544</v>
      </c>
      <c r="E3" t="s">
        <v>1543</v>
      </c>
      <c r="F3" s="24" t="s">
        <v>1550</v>
      </c>
      <c r="G3" s="24" t="s">
        <v>1553</v>
      </c>
      <c r="J3" t="s">
        <v>1545</v>
      </c>
      <c r="K3" s="24" t="s">
        <v>1542</v>
      </c>
      <c r="M3" s="24" t="s">
        <v>1544</v>
      </c>
      <c r="N3" s="24" t="s">
        <v>1543</v>
      </c>
      <c r="U3" s="24"/>
      <c r="V3" s="24"/>
      <c r="W3" s="24"/>
      <c r="X3" s="24" t="s">
        <v>1548</v>
      </c>
      <c r="AA3" t="s">
        <v>1542</v>
      </c>
      <c r="AB3" t="s">
        <v>1551</v>
      </c>
      <c r="AC3" t="s">
        <v>1554</v>
      </c>
    </row>
    <row r="4" spans="3:29">
      <c r="C4" s="25">
        <v>40549</v>
      </c>
      <c r="D4" s="28">
        <v>0.62402170072443153</v>
      </c>
      <c r="E4" s="28">
        <v>0.477996028899563</v>
      </c>
      <c r="F4" s="29">
        <f ca="1">VLOOKUP(C4+1,W:X,2,0)</f>
        <v>2344.3000000000002</v>
      </c>
      <c r="G4" s="29">
        <f>VLOOKUP(C4,AA:AC,3,0)</f>
        <v>90.117384086832203</v>
      </c>
      <c r="H4">
        <f>MONTH(C4)</f>
        <v>1</v>
      </c>
      <c r="I4">
        <f>IF(H4=H3,0,1)</f>
        <v>1</v>
      </c>
      <c r="J4" s="24">
        <f t="shared" ref="J4:J67" si="0">I5</f>
        <v>0</v>
      </c>
      <c r="U4" s="25"/>
      <c r="V4" s="28"/>
      <c r="W4" s="25" t="e">
        <f ca="1">_xll.BDH("MBAVCMRS Index","PX LAST","8/10/07",TODAY(),"cols=2;rows=402")</f>
        <v>#NAME?</v>
      </c>
      <c r="X4" s="24">
        <v>2104.1</v>
      </c>
      <c r="AA4" s="25">
        <v>40549</v>
      </c>
      <c r="AB4">
        <v>0.90117384086832197</v>
      </c>
      <c r="AC4">
        <f>AB4*100</f>
        <v>90.117384086832203</v>
      </c>
    </row>
    <row r="5" spans="3:29">
      <c r="C5" s="25">
        <v>40556</v>
      </c>
      <c r="D5" s="28">
        <v>0.62817294477626939</v>
      </c>
      <c r="E5" s="28">
        <v>0.49650185657562101</v>
      </c>
      <c r="F5" s="29">
        <f t="shared" ref="F5:F68" ca="1" si="1">VLOOKUP(C5+1,W:X,2,0)</f>
        <v>2528.6999999999998</v>
      </c>
      <c r="G5" s="29">
        <f t="shared" ref="G5:G68" si="2">VLOOKUP(C5,AA:AC,3,0)</f>
        <v>95.957972818230701</v>
      </c>
      <c r="H5" s="24">
        <f t="shared" ref="H5:H68" si="3">MONTH(C5)</f>
        <v>1</v>
      </c>
      <c r="I5" s="24">
        <f t="shared" ref="I5:I68" si="4">IF(H5=H4,0,1)</f>
        <v>0</v>
      </c>
      <c r="J5" s="24">
        <f t="shared" si="0"/>
        <v>0</v>
      </c>
      <c r="U5" s="25"/>
      <c r="V5" s="28"/>
      <c r="W5" s="25">
        <v>39311</v>
      </c>
      <c r="X5" s="24">
        <v>1960.1</v>
      </c>
      <c r="AA5" s="25">
        <v>40556</v>
      </c>
      <c r="AB5">
        <v>0.95957972818230697</v>
      </c>
      <c r="AC5" s="24">
        <f t="shared" ref="AC5:AC68" si="5">AB5*100</f>
        <v>95.957972818230701</v>
      </c>
    </row>
    <row r="6" spans="3:29">
      <c r="C6" s="25">
        <v>40563</v>
      </c>
      <c r="D6" s="28">
        <v>0.62597730951219899</v>
      </c>
      <c r="E6" s="28">
        <v>0.48029569588235599</v>
      </c>
      <c r="F6" s="29">
        <f t="shared" ca="1" si="1"/>
        <v>2129.6999999999998</v>
      </c>
      <c r="G6" s="29">
        <f t="shared" si="2"/>
        <v>93.037678449092994</v>
      </c>
      <c r="H6" s="24">
        <f t="shared" si="3"/>
        <v>1</v>
      </c>
      <c r="I6" s="24">
        <f t="shared" si="4"/>
        <v>0</v>
      </c>
      <c r="J6" s="24">
        <f t="shared" si="0"/>
        <v>0</v>
      </c>
      <c r="U6" s="25"/>
      <c r="V6" s="28"/>
      <c r="W6" s="25">
        <v>39318</v>
      </c>
      <c r="X6" s="24">
        <v>1871.4</v>
      </c>
      <c r="AA6" s="25">
        <v>40563</v>
      </c>
      <c r="AB6">
        <v>0.93037678449092998</v>
      </c>
      <c r="AC6" s="24">
        <f t="shared" si="5"/>
        <v>93.037678449092994</v>
      </c>
    </row>
    <row r="7" spans="3:29">
      <c r="C7" s="25">
        <v>40570</v>
      </c>
      <c r="D7" s="28">
        <v>0.62392159162868732</v>
      </c>
      <c r="E7" s="28">
        <v>0.47679593730615699</v>
      </c>
      <c r="F7" s="29">
        <f t="shared" ca="1" si="1"/>
        <v>2371.1</v>
      </c>
      <c r="G7" s="29">
        <f t="shared" si="2"/>
        <v>89.630668341643002</v>
      </c>
      <c r="H7" s="24">
        <f t="shared" si="3"/>
        <v>1</v>
      </c>
      <c r="I7" s="24">
        <f t="shared" si="4"/>
        <v>0</v>
      </c>
      <c r="J7" s="24">
        <f t="shared" si="0"/>
        <v>1</v>
      </c>
      <c r="K7" s="25">
        <f>IF(J7=1,EOMONTH(C7,0),"")</f>
        <v>40574</v>
      </c>
      <c r="L7" s="25">
        <f>IF(WEEKDAY(K7,2)=6,K7-1,IF(WEEKDAY(K7,2)=7,K7-2,IF(J7=1,K7,"")))</f>
        <v>40574</v>
      </c>
      <c r="M7" s="28">
        <f>IF(J7=1,D7,"")</f>
        <v>0.62392159162868732</v>
      </c>
      <c r="N7" s="28">
        <f>IF($J7=1,E7,"")</f>
        <v>0.47679593730615699</v>
      </c>
      <c r="O7" s="31">
        <f ca="1">IF($J7=1,F7,"")</f>
        <v>2371.1</v>
      </c>
      <c r="P7" s="31">
        <f>IF($J7=1,G7,"")</f>
        <v>89.630668341643002</v>
      </c>
      <c r="U7" s="25"/>
      <c r="V7" s="28"/>
      <c r="W7" s="25">
        <v>39325</v>
      </c>
      <c r="X7" s="24">
        <v>1892.3</v>
      </c>
      <c r="AA7" s="25">
        <v>40570</v>
      </c>
      <c r="AB7">
        <v>0.89630668341643005</v>
      </c>
      <c r="AC7" s="24">
        <f t="shared" si="5"/>
        <v>89.630668341643002</v>
      </c>
    </row>
    <row r="8" spans="3:29">
      <c r="C8" s="25">
        <v>40577</v>
      </c>
      <c r="D8" s="28">
        <v>0.60653142223595213</v>
      </c>
      <c r="E8" s="28">
        <v>0.43462013043084002</v>
      </c>
      <c r="F8" s="29">
        <f t="shared" ca="1" si="1"/>
        <v>2190.4</v>
      </c>
      <c r="G8" s="29">
        <f t="shared" si="2"/>
        <v>80.302241922533</v>
      </c>
      <c r="H8" s="24">
        <f t="shared" si="3"/>
        <v>2</v>
      </c>
      <c r="I8" s="24">
        <f t="shared" si="4"/>
        <v>1</v>
      </c>
      <c r="J8" s="24">
        <f t="shared" si="0"/>
        <v>0</v>
      </c>
      <c r="K8" s="25" t="str">
        <f t="shared" ref="K8:K71" si="6">IF(J8=1,EOMONTH(C8,0),"")</f>
        <v/>
      </c>
      <c r="L8" s="25" t="e">
        <f t="shared" ref="L8:L71" si="7">IF(WEEKDAY(K8,2)=6,K8-1,IF(WEEKDAY(K8,2)=7,K8-2,IF(J8=1,K8,"")))</f>
        <v>#VALUE!</v>
      </c>
      <c r="M8" s="28" t="str">
        <f t="shared" ref="M8:M71" si="8">IF(J8=1,D8,"")</f>
        <v/>
      </c>
      <c r="N8" s="28" t="str">
        <f t="shared" ref="N8:N71" si="9">IF($J8=1,E8,"")</f>
        <v/>
      </c>
      <c r="O8" s="31" t="str">
        <f t="shared" ref="O8:O71" si="10">IF($J8=1,F8,"")</f>
        <v/>
      </c>
      <c r="P8" s="31" t="str">
        <f t="shared" ref="P8:P71" si="11">IF($J8=1,G8,"")</f>
        <v/>
      </c>
      <c r="U8" s="25"/>
      <c r="V8" s="28"/>
      <c r="W8" s="25">
        <v>39332</v>
      </c>
      <c r="X8" s="24">
        <v>2009.3</v>
      </c>
      <c r="AA8" s="25">
        <v>40577</v>
      </c>
      <c r="AB8">
        <v>0.80302241922533002</v>
      </c>
      <c r="AC8" s="24">
        <f t="shared" si="5"/>
        <v>80.302241922533</v>
      </c>
    </row>
    <row r="9" spans="3:29">
      <c r="C9" s="25">
        <v>40584</v>
      </c>
      <c r="D9" s="28">
        <v>0.50868797673712363</v>
      </c>
      <c r="E9" s="28">
        <v>0.35529176669040102</v>
      </c>
      <c r="F9" s="29">
        <f t="shared" ca="1" si="1"/>
        <v>1953.2</v>
      </c>
      <c r="G9" s="29">
        <f t="shared" si="2"/>
        <v>59.492977159320404</v>
      </c>
      <c r="H9" s="24">
        <f t="shared" si="3"/>
        <v>2</v>
      </c>
      <c r="I9" s="24">
        <f t="shared" si="4"/>
        <v>0</v>
      </c>
      <c r="J9" s="24">
        <f t="shared" si="0"/>
        <v>0</v>
      </c>
      <c r="K9" s="25" t="str">
        <f t="shared" si="6"/>
        <v/>
      </c>
      <c r="L9" s="25" t="e">
        <f t="shared" si="7"/>
        <v>#VALUE!</v>
      </c>
      <c r="M9" s="28" t="str">
        <f t="shared" si="8"/>
        <v/>
      </c>
      <c r="N9" s="28" t="str">
        <f t="shared" si="9"/>
        <v/>
      </c>
      <c r="O9" s="31" t="str">
        <f t="shared" si="10"/>
        <v/>
      </c>
      <c r="P9" s="31" t="str">
        <f t="shared" si="11"/>
        <v/>
      </c>
      <c r="U9" s="25"/>
      <c r="V9" s="28"/>
      <c r="W9" s="25">
        <v>39339</v>
      </c>
      <c r="X9" s="24">
        <v>2091.1</v>
      </c>
      <c r="AA9" s="25">
        <v>40584</v>
      </c>
      <c r="AB9">
        <v>0.59492977159320404</v>
      </c>
      <c r="AC9" s="24">
        <f t="shared" si="5"/>
        <v>59.492977159320404</v>
      </c>
    </row>
    <row r="10" spans="3:29">
      <c r="C10" s="25">
        <v>40591</v>
      </c>
      <c r="D10" s="28">
        <v>0.52965901814335548</v>
      </c>
      <c r="E10" s="28">
        <v>0.37678804128174298</v>
      </c>
      <c r="F10" s="29">
        <f t="shared" ca="1" si="1"/>
        <v>2325.3000000000002</v>
      </c>
      <c r="G10" s="29">
        <f t="shared" si="2"/>
        <v>64.3323411855784</v>
      </c>
      <c r="H10" s="24">
        <f t="shared" si="3"/>
        <v>2</v>
      </c>
      <c r="I10" s="24">
        <f t="shared" si="4"/>
        <v>0</v>
      </c>
      <c r="J10" s="24">
        <f t="shared" si="0"/>
        <v>0</v>
      </c>
      <c r="K10" s="25" t="str">
        <f t="shared" si="6"/>
        <v/>
      </c>
      <c r="L10" s="25" t="e">
        <f t="shared" si="7"/>
        <v>#VALUE!</v>
      </c>
      <c r="M10" s="28" t="str">
        <f t="shared" si="8"/>
        <v/>
      </c>
      <c r="N10" s="28" t="str">
        <f t="shared" si="9"/>
        <v/>
      </c>
      <c r="O10" s="31" t="str">
        <f t="shared" si="10"/>
        <v/>
      </c>
      <c r="P10" s="31" t="str">
        <f t="shared" si="11"/>
        <v/>
      </c>
      <c r="U10" s="25"/>
      <c r="V10" s="28"/>
      <c r="W10" s="25">
        <v>39346</v>
      </c>
      <c r="X10" s="24">
        <v>2172.5</v>
      </c>
      <c r="AA10" s="25">
        <v>40591</v>
      </c>
      <c r="AB10">
        <v>0.64332341185578401</v>
      </c>
      <c r="AC10" s="24">
        <f t="shared" si="5"/>
        <v>64.3323411855784</v>
      </c>
    </row>
    <row r="11" spans="3:29">
      <c r="C11" s="25">
        <v>40598</v>
      </c>
      <c r="D11" s="28">
        <v>0.57709503787578109</v>
      </c>
      <c r="E11" s="28">
        <v>0.41551493659156002</v>
      </c>
      <c r="F11" s="29">
        <f t="shared" ca="1" si="1"/>
        <v>2155.5</v>
      </c>
      <c r="G11" s="29">
        <f t="shared" si="2"/>
        <v>71.591387604084005</v>
      </c>
      <c r="H11" s="24">
        <f t="shared" si="3"/>
        <v>2</v>
      </c>
      <c r="I11" s="24">
        <f t="shared" si="4"/>
        <v>0</v>
      </c>
      <c r="J11" s="24">
        <f t="shared" si="0"/>
        <v>1</v>
      </c>
      <c r="K11" s="25">
        <f t="shared" si="6"/>
        <v>40602</v>
      </c>
      <c r="L11" s="25">
        <f t="shared" si="7"/>
        <v>40602</v>
      </c>
      <c r="M11" s="28">
        <f t="shared" si="8"/>
        <v>0.57709503787578109</v>
      </c>
      <c r="N11" s="28">
        <f t="shared" si="9"/>
        <v>0.41551493659156002</v>
      </c>
      <c r="O11" s="31">
        <f t="shared" ca="1" si="10"/>
        <v>2155.5</v>
      </c>
      <c r="P11" s="31">
        <f t="shared" si="11"/>
        <v>71.591387604084005</v>
      </c>
      <c r="U11" s="25"/>
      <c r="V11" s="28"/>
      <c r="W11" s="25">
        <v>39353</v>
      </c>
      <c r="X11" s="24">
        <v>2065.6999999999998</v>
      </c>
      <c r="AA11" s="25">
        <v>40598</v>
      </c>
      <c r="AB11">
        <v>0.71591387604084</v>
      </c>
      <c r="AC11" s="24">
        <f t="shared" si="5"/>
        <v>71.591387604084005</v>
      </c>
    </row>
    <row r="12" spans="3:29">
      <c r="C12" s="25">
        <v>40605</v>
      </c>
      <c r="D12" s="28">
        <v>0.59224775585706535</v>
      </c>
      <c r="E12" s="28">
        <v>0.42215163100202302</v>
      </c>
      <c r="F12" s="29">
        <f t="shared" ca="1" si="1"/>
        <v>2539.4</v>
      </c>
      <c r="G12" s="29">
        <f t="shared" si="2"/>
        <v>72.28730410833461</v>
      </c>
      <c r="H12" s="24">
        <f t="shared" si="3"/>
        <v>3</v>
      </c>
      <c r="I12" s="24">
        <f t="shared" si="4"/>
        <v>1</v>
      </c>
      <c r="J12" s="24">
        <f t="shared" si="0"/>
        <v>0</v>
      </c>
      <c r="K12" s="25" t="str">
        <f t="shared" si="6"/>
        <v/>
      </c>
      <c r="L12" s="25" t="e">
        <f t="shared" si="7"/>
        <v>#VALUE!</v>
      </c>
      <c r="M12" s="28" t="str">
        <f t="shared" si="8"/>
        <v/>
      </c>
      <c r="N12" s="28" t="str">
        <f t="shared" si="9"/>
        <v/>
      </c>
      <c r="O12" s="31" t="str">
        <f t="shared" si="10"/>
        <v/>
      </c>
      <c r="P12" s="31" t="str">
        <f t="shared" si="11"/>
        <v/>
      </c>
      <c r="U12" s="25"/>
      <c r="V12" s="28"/>
      <c r="W12" s="25">
        <v>39360</v>
      </c>
      <c r="X12" s="24">
        <v>2153.3000000000002</v>
      </c>
      <c r="AA12" s="25">
        <v>40605</v>
      </c>
      <c r="AB12">
        <v>0.72287304108334605</v>
      </c>
      <c r="AC12" s="24">
        <f t="shared" si="5"/>
        <v>72.28730410833461</v>
      </c>
    </row>
    <row r="13" spans="3:29">
      <c r="C13" s="25">
        <v>40612</v>
      </c>
      <c r="D13" s="28">
        <v>0.59090570789662444</v>
      </c>
      <c r="E13" s="28">
        <v>0.42124985629360401</v>
      </c>
      <c r="F13" s="29">
        <f t="shared" ca="1" si="1"/>
        <v>2563.6</v>
      </c>
      <c r="G13" s="29">
        <f t="shared" si="2"/>
        <v>71.325538337441301</v>
      </c>
      <c r="H13" s="24">
        <f t="shared" si="3"/>
        <v>3</v>
      </c>
      <c r="I13" s="24">
        <f t="shared" si="4"/>
        <v>0</v>
      </c>
      <c r="J13" s="24">
        <f t="shared" si="0"/>
        <v>0</v>
      </c>
      <c r="K13" s="25" t="str">
        <f t="shared" si="6"/>
        <v/>
      </c>
      <c r="L13" s="25" t="e">
        <f t="shared" si="7"/>
        <v>#VALUE!</v>
      </c>
      <c r="M13" s="28" t="str">
        <f t="shared" si="8"/>
        <v/>
      </c>
      <c r="N13" s="28" t="str">
        <f t="shared" si="9"/>
        <v/>
      </c>
      <c r="O13" s="31" t="str">
        <f t="shared" si="10"/>
        <v/>
      </c>
      <c r="P13" s="31" t="str">
        <f t="shared" si="11"/>
        <v/>
      </c>
      <c r="U13" s="25"/>
      <c r="V13" s="28"/>
      <c r="W13" s="25">
        <v>39367</v>
      </c>
      <c r="X13" s="24">
        <v>2116.6</v>
      </c>
      <c r="AA13" s="25">
        <v>40612</v>
      </c>
      <c r="AB13">
        <v>0.71325538337441297</v>
      </c>
      <c r="AC13" s="24">
        <f t="shared" si="5"/>
        <v>71.325538337441301</v>
      </c>
    </row>
    <row r="14" spans="3:29">
      <c r="C14" s="25">
        <v>40619</v>
      </c>
      <c r="D14" s="28">
        <v>0.60261779474869925</v>
      </c>
      <c r="E14" s="28">
        <v>0.46784663358763601</v>
      </c>
      <c r="F14" s="29">
        <f t="shared" ca="1" si="1"/>
        <v>2620.8000000000002</v>
      </c>
      <c r="G14" s="29">
        <f t="shared" si="2"/>
        <v>82.866727844681492</v>
      </c>
      <c r="H14" s="24">
        <f t="shared" si="3"/>
        <v>3</v>
      </c>
      <c r="I14" s="24">
        <f t="shared" si="4"/>
        <v>0</v>
      </c>
      <c r="J14" s="24">
        <f t="shared" si="0"/>
        <v>0</v>
      </c>
      <c r="K14" s="25" t="str">
        <f t="shared" si="6"/>
        <v/>
      </c>
      <c r="L14" s="25" t="e">
        <f t="shared" si="7"/>
        <v>#VALUE!</v>
      </c>
      <c r="M14" s="28" t="str">
        <f t="shared" si="8"/>
        <v/>
      </c>
      <c r="N14" s="28" t="str">
        <f t="shared" si="9"/>
        <v/>
      </c>
      <c r="O14" s="31" t="str">
        <f t="shared" si="10"/>
        <v/>
      </c>
      <c r="P14" s="31" t="str">
        <f t="shared" si="11"/>
        <v/>
      </c>
      <c r="W14" s="25">
        <v>39374</v>
      </c>
      <c r="X14" s="24">
        <v>2221.1</v>
      </c>
      <c r="AA14" s="25">
        <v>40619</v>
      </c>
      <c r="AB14">
        <v>0.82866727844681498</v>
      </c>
      <c r="AC14" s="24">
        <f t="shared" si="5"/>
        <v>82.866727844681492</v>
      </c>
    </row>
    <row r="15" spans="3:29">
      <c r="C15" s="25">
        <v>40626</v>
      </c>
      <c r="D15" s="28">
        <v>0.59950595681897523</v>
      </c>
      <c r="E15" s="28">
        <v>0.450158099668103</v>
      </c>
      <c r="F15" s="29">
        <f t="shared" ca="1" si="1"/>
        <v>2350.6999999999998</v>
      </c>
      <c r="G15" s="29">
        <f t="shared" si="2"/>
        <v>78.057899084298199</v>
      </c>
      <c r="H15" s="24">
        <f t="shared" si="3"/>
        <v>3</v>
      </c>
      <c r="I15" s="24">
        <f t="shared" si="4"/>
        <v>0</v>
      </c>
      <c r="J15" s="24">
        <f t="shared" si="0"/>
        <v>0</v>
      </c>
      <c r="K15" s="25" t="str">
        <f t="shared" si="6"/>
        <v/>
      </c>
      <c r="L15" s="25" t="e">
        <f t="shared" si="7"/>
        <v>#VALUE!</v>
      </c>
      <c r="M15" s="28" t="str">
        <f t="shared" si="8"/>
        <v/>
      </c>
      <c r="N15" s="28" t="str">
        <f t="shared" si="9"/>
        <v/>
      </c>
      <c r="O15" s="31" t="str">
        <f t="shared" si="10"/>
        <v/>
      </c>
      <c r="P15" s="31" t="str">
        <f t="shared" si="11"/>
        <v/>
      </c>
      <c r="W15" s="25">
        <v>39381</v>
      </c>
      <c r="X15" s="24">
        <v>2433.1999999999998</v>
      </c>
      <c r="AA15" s="25">
        <v>40626</v>
      </c>
      <c r="AB15">
        <v>0.78057899084298199</v>
      </c>
      <c r="AC15" s="24">
        <f t="shared" si="5"/>
        <v>78.057899084298199</v>
      </c>
    </row>
    <row r="16" spans="3:29">
      <c r="C16" s="25">
        <v>40633</v>
      </c>
      <c r="D16" s="28">
        <v>0.593225708201635</v>
      </c>
      <c r="E16" s="28">
        <v>0.42282958858632702</v>
      </c>
      <c r="F16" s="29">
        <f t="shared" ca="1" si="1"/>
        <v>2194.4</v>
      </c>
      <c r="G16" s="29">
        <f t="shared" si="2"/>
        <v>73.249069860176391</v>
      </c>
      <c r="H16" s="24">
        <f t="shared" si="3"/>
        <v>3</v>
      </c>
      <c r="I16" s="24">
        <f t="shared" si="4"/>
        <v>0</v>
      </c>
      <c r="J16" s="24">
        <f t="shared" si="0"/>
        <v>1</v>
      </c>
      <c r="K16" s="25">
        <f t="shared" si="6"/>
        <v>40633</v>
      </c>
      <c r="L16" s="25">
        <f t="shared" si="7"/>
        <v>40633</v>
      </c>
      <c r="M16" s="28">
        <f t="shared" si="8"/>
        <v>0.593225708201635</v>
      </c>
      <c r="N16" s="28">
        <f t="shared" si="9"/>
        <v>0.42282958858632702</v>
      </c>
      <c r="O16" s="31">
        <f t="shared" ca="1" si="10"/>
        <v>2194.4</v>
      </c>
      <c r="P16" s="31">
        <f t="shared" si="11"/>
        <v>73.249069860176391</v>
      </c>
      <c r="W16" s="25">
        <v>39388</v>
      </c>
      <c r="X16" s="24">
        <v>2336.1999999999998</v>
      </c>
      <c r="AA16" s="25">
        <v>40633</v>
      </c>
      <c r="AB16">
        <v>0.73249069860176397</v>
      </c>
      <c r="AC16" s="24">
        <f t="shared" si="5"/>
        <v>73.249069860176391</v>
      </c>
    </row>
    <row r="17" spans="3:29">
      <c r="C17" s="25">
        <v>40640</v>
      </c>
      <c r="D17" s="28">
        <v>0.58542144661011908</v>
      </c>
      <c r="E17" s="28">
        <v>0.414778538159287</v>
      </c>
      <c r="F17" s="29">
        <f t="shared" ca="1" si="1"/>
        <v>2010.6</v>
      </c>
      <c r="G17" s="29">
        <f t="shared" si="2"/>
        <v>71.425855975868899</v>
      </c>
      <c r="H17" s="24">
        <f t="shared" si="3"/>
        <v>4</v>
      </c>
      <c r="I17" s="24">
        <f t="shared" si="4"/>
        <v>1</v>
      </c>
      <c r="J17" s="24">
        <f t="shared" si="0"/>
        <v>0</v>
      </c>
      <c r="K17" s="25" t="str">
        <f t="shared" si="6"/>
        <v/>
      </c>
      <c r="L17" s="25" t="e">
        <f t="shared" si="7"/>
        <v>#VALUE!</v>
      </c>
      <c r="M17" s="28" t="str">
        <f t="shared" si="8"/>
        <v/>
      </c>
      <c r="N17" s="28" t="str">
        <f t="shared" si="9"/>
        <v/>
      </c>
      <c r="O17" s="31" t="str">
        <f t="shared" si="10"/>
        <v/>
      </c>
      <c r="P17" s="31" t="str">
        <f t="shared" si="11"/>
        <v/>
      </c>
      <c r="W17" s="25">
        <v>39395</v>
      </c>
      <c r="X17" s="24">
        <v>2503.6</v>
      </c>
      <c r="AA17" s="25">
        <v>40640</v>
      </c>
      <c r="AB17">
        <v>0.71425855975868902</v>
      </c>
      <c r="AC17" s="24">
        <f t="shared" si="5"/>
        <v>71.425855975868899</v>
      </c>
    </row>
    <row r="18" spans="3:29">
      <c r="C18" s="25">
        <v>40647</v>
      </c>
      <c r="D18" s="28">
        <v>0.58155199492979581</v>
      </c>
      <c r="E18" s="28">
        <v>0.41340612440810998</v>
      </c>
      <c r="F18" s="29">
        <f t="shared" ca="1" si="1"/>
        <v>2065.3000000000002</v>
      </c>
      <c r="G18" s="29">
        <f t="shared" si="2"/>
        <v>69.979164521998911</v>
      </c>
      <c r="H18" s="24">
        <f t="shared" si="3"/>
        <v>4</v>
      </c>
      <c r="I18" s="24">
        <f t="shared" si="4"/>
        <v>0</v>
      </c>
      <c r="J18" s="24">
        <f t="shared" si="0"/>
        <v>0</v>
      </c>
      <c r="K18" s="25" t="str">
        <f t="shared" si="6"/>
        <v/>
      </c>
      <c r="L18" s="25" t="e">
        <f t="shared" si="7"/>
        <v>#VALUE!</v>
      </c>
      <c r="M18" s="28" t="str">
        <f t="shared" si="8"/>
        <v/>
      </c>
      <c r="N18" s="28" t="str">
        <f t="shared" si="9"/>
        <v/>
      </c>
      <c r="O18" s="31" t="str">
        <f t="shared" si="10"/>
        <v/>
      </c>
      <c r="P18" s="31" t="str">
        <f t="shared" si="11"/>
        <v/>
      </c>
      <c r="W18" s="25">
        <v>39402</v>
      </c>
      <c r="X18" s="24">
        <v>2371.1</v>
      </c>
      <c r="AA18" s="25">
        <v>40647</v>
      </c>
      <c r="AB18">
        <v>0.69979164521998904</v>
      </c>
      <c r="AC18" s="24">
        <f t="shared" si="5"/>
        <v>69.979164521998911</v>
      </c>
    </row>
    <row r="19" spans="3:29">
      <c r="C19" s="25">
        <v>40654</v>
      </c>
      <c r="D19" s="28">
        <v>0.59356262313394537</v>
      </c>
      <c r="E19" s="28">
        <v>0.44381782258269298</v>
      </c>
      <c r="F19" s="29">
        <f t="shared" ca="1" si="1"/>
        <v>2091.4</v>
      </c>
      <c r="G19" s="29">
        <f t="shared" si="2"/>
        <v>78.177083109467702</v>
      </c>
      <c r="H19" s="24">
        <f t="shared" si="3"/>
        <v>4</v>
      </c>
      <c r="I19" s="24">
        <f t="shared" si="4"/>
        <v>0</v>
      </c>
      <c r="J19" s="24">
        <f t="shared" si="0"/>
        <v>0</v>
      </c>
      <c r="K19" s="25" t="str">
        <f t="shared" si="6"/>
        <v/>
      </c>
      <c r="L19" s="25" t="e">
        <f t="shared" si="7"/>
        <v>#VALUE!</v>
      </c>
      <c r="M19" s="28" t="str">
        <f t="shared" si="8"/>
        <v/>
      </c>
      <c r="N19" s="28" t="str">
        <f t="shared" si="9"/>
        <v/>
      </c>
      <c r="O19" s="31" t="str">
        <f t="shared" si="10"/>
        <v/>
      </c>
      <c r="P19" s="31" t="str">
        <f t="shared" si="11"/>
        <v/>
      </c>
      <c r="W19" s="25">
        <v>39409</v>
      </c>
      <c r="X19" s="24">
        <v>2283.3000000000002</v>
      </c>
      <c r="AA19" s="25">
        <v>40654</v>
      </c>
      <c r="AB19">
        <v>0.78177083109467704</v>
      </c>
      <c r="AC19" s="24">
        <f t="shared" si="5"/>
        <v>78.177083109467702</v>
      </c>
    </row>
    <row r="20" spans="3:29">
      <c r="C20" s="25">
        <v>40661</v>
      </c>
      <c r="D20" s="28">
        <v>0.59445921362542997</v>
      </c>
      <c r="E20" s="28">
        <v>0.44565511936132601</v>
      </c>
      <c r="F20" s="29">
        <f t="shared" ca="1" si="1"/>
        <v>2220.1</v>
      </c>
      <c r="G20" s="29">
        <f t="shared" si="2"/>
        <v>80.106005022859804</v>
      </c>
      <c r="H20" s="24">
        <f t="shared" si="3"/>
        <v>4</v>
      </c>
      <c r="I20" s="24">
        <f t="shared" si="4"/>
        <v>0</v>
      </c>
      <c r="J20" s="24">
        <f t="shared" si="0"/>
        <v>1</v>
      </c>
      <c r="K20" s="25">
        <f t="shared" si="6"/>
        <v>40663</v>
      </c>
      <c r="L20" s="25">
        <f t="shared" si="7"/>
        <v>40662</v>
      </c>
      <c r="M20" s="28">
        <f t="shared" si="8"/>
        <v>0.59445921362542997</v>
      </c>
      <c r="N20" s="28">
        <f t="shared" si="9"/>
        <v>0.44565511936132601</v>
      </c>
      <c r="O20" s="31">
        <f t="shared" ca="1" si="10"/>
        <v>2220.1</v>
      </c>
      <c r="P20" s="31">
        <f t="shared" si="11"/>
        <v>80.106005022859804</v>
      </c>
      <c r="W20" s="25">
        <v>39416</v>
      </c>
      <c r="X20" s="24">
        <v>3006.1</v>
      </c>
      <c r="AA20" s="25">
        <v>40661</v>
      </c>
      <c r="AB20">
        <v>0.80106005022859805</v>
      </c>
      <c r="AC20" s="24">
        <f t="shared" si="5"/>
        <v>80.106005022859804</v>
      </c>
    </row>
    <row r="21" spans="3:29">
      <c r="C21" s="25">
        <v>40668</v>
      </c>
      <c r="D21" s="28">
        <v>0.59391131067456038</v>
      </c>
      <c r="E21" s="28">
        <v>0.45891120103405703</v>
      </c>
      <c r="F21" s="29">
        <f t="shared" ca="1" si="1"/>
        <v>2414.9</v>
      </c>
      <c r="G21" s="29">
        <f t="shared" si="2"/>
        <v>86.276535765142199</v>
      </c>
      <c r="H21" s="24">
        <f t="shared" si="3"/>
        <v>5</v>
      </c>
      <c r="I21" s="24">
        <f t="shared" si="4"/>
        <v>1</v>
      </c>
      <c r="J21" s="24">
        <f t="shared" si="0"/>
        <v>0</v>
      </c>
      <c r="K21" s="25" t="str">
        <f t="shared" si="6"/>
        <v/>
      </c>
      <c r="L21" s="25" t="e">
        <f t="shared" si="7"/>
        <v>#VALUE!</v>
      </c>
      <c r="M21" s="28" t="str">
        <f t="shared" si="8"/>
        <v/>
      </c>
      <c r="N21" s="28" t="str">
        <f t="shared" si="9"/>
        <v/>
      </c>
      <c r="O21" s="31" t="str">
        <f t="shared" si="10"/>
        <v/>
      </c>
      <c r="P21" s="31" t="str">
        <f t="shared" si="11"/>
        <v/>
      </c>
      <c r="W21" s="25">
        <v>39423</v>
      </c>
      <c r="X21" s="24">
        <v>3158.8</v>
      </c>
      <c r="AA21" s="25">
        <v>40668</v>
      </c>
      <c r="AB21">
        <v>0.86276535765142204</v>
      </c>
      <c r="AC21" s="24">
        <f t="shared" si="5"/>
        <v>86.276535765142199</v>
      </c>
    </row>
    <row r="22" spans="3:29">
      <c r="C22" s="25">
        <v>40675</v>
      </c>
      <c r="D22" s="28">
        <v>0.60662155942020002</v>
      </c>
      <c r="E22" s="28">
        <v>0.50042582297659</v>
      </c>
      <c r="F22" s="29">
        <f t="shared" ca="1" si="1"/>
        <v>2742.2</v>
      </c>
      <c r="G22" s="29">
        <f t="shared" si="2"/>
        <v>94.006931190456697</v>
      </c>
      <c r="H22" s="24">
        <f t="shared" si="3"/>
        <v>5</v>
      </c>
      <c r="I22" s="24">
        <f t="shared" si="4"/>
        <v>0</v>
      </c>
      <c r="J22" s="24">
        <f t="shared" si="0"/>
        <v>0</v>
      </c>
      <c r="K22" s="25" t="str">
        <f t="shared" si="6"/>
        <v/>
      </c>
      <c r="L22" s="25" t="e">
        <f t="shared" si="7"/>
        <v>#VALUE!</v>
      </c>
      <c r="M22" s="28" t="str">
        <f t="shared" si="8"/>
        <v/>
      </c>
      <c r="N22" s="28" t="str">
        <f t="shared" si="9"/>
        <v/>
      </c>
      <c r="O22" s="31" t="str">
        <f t="shared" si="10"/>
        <v/>
      </c>
      <c r="P22" s="31" t="str">
        <f t="shared" si="11"/>
        <v/>
      </c>
      <c r="W22" s="25">
        <v>39430</v>
      </c>
      <c r="X22" s="24">
        <v>2253.1</v>
      </c>
      <c r="AA22" s="25">
        <v>40675</v>
      </c>
      <c r="AB22">
        <v>0.940069311904567</v>
      </c>
      <c r="AC22" s="24">
        <f t="shared" si="5"/>
        <v>94.006931190456697</v>
      </c>
    </row>
    <row r="23" spans="3:29">
      <c r="C23" s="25">
        <v>40682</v>
      </c>
      <c r="D23" s="28">
        <v>0.61264076908113763</v>
      </c>
      <c r="E23" s="28">
        <v>0.50447592982476996</v>
      </c>
      <c r="F23" s="29">
        <f t="shared" ca="1" si="1"/>
        <v>2764.6</v>
      </c>
      <c r="G23" s="29">
        <f t="shared" si="2"/>
        <v>95.939530123806207</v>
      </c>
      <c r="H23" s="24">
        <f t="shared" si="3"/>
        <v>5</v>
      </c>
      <c r="I23" s="24">
        <f t="shared" si="4"/>
        <v>0</v>
      </c>
      <c r="J23" s="24">
        <f t="shared" si="0"/>
        <v>0</v>
      </c>
      <c r="K23" s="25" t="str">
        <f t="shared" si="6"/>
        <v/>
      </c>
      <c r="L23" s="25" t="e">
        <f t="shared" si="7"/>
        <v>#VALUE!</v>
      </c>
      <c r="M23" s="28" t="str">
        <f t="shared" si="8"/>
        <v/>
      </c>
      <c r="N23" s="28" t="str">
        <f t="shared" si="9"/>
        <v/>
      </c>
      <c r="O23" s="31" t="str">
        <f t="shared" si="10"/>
        <v/>
      </c>
      <c r="P23" s="31" t="str">
        <f t="shared" si="11"/>
        <v/>
      </c>
      <c r="W23" s="25">
        <v>39437</v>
      </c>
      <c r="X23" s="24">
        <v>2066.3000000000002</v>
      </c>
      <c r="AA23" s="25">
        <v>40682</v>
      </c>
      <c r="AB23">
        <v>0.95939530123806205</v>
      </c>
      <c r="AC23" s="24">
        <f t="shared" si="5"/>
        <v>95.939530123806207</v>
      </c>
    </row>
    <row r="24" spans="3:29">
      <c r="C24" s="25">
        <v>40689</v>
      </c>
      <c r="D24" s="28">
        <v>0.61599363608099678</v>
      </c>
      <c r="E24" s="28">
        <v>0.50568534347274297</v>
      </c>
      <c r="F24" s="29">
        <f t="shared" ca="1" si="1"/>
        <v>2619.6999999999998</v>
      </c>
      <c r="G24" s="29">
        <f t="shared" si="2"/>
        <v>96.90582954189199</v>
      </c>
      <c r="H24" s="24">
        <f t="shared" si="3"/>
        <v>5</v>
      </c>
      <c r="I24" s="24">
        <f t="shared" si="4"/>
        <v>0</v>
      </c>
      <c r="J24" s="24">
        <f t="shared" si="0"/>
        <v>1</v>
      </c>
      <c r="K24" s="25">
        <f t="shared" si="6"/>
        <v>40694</v>
      </c>
      <c r="L24" s="25">
        <f t="shared" si="7"/>
        <v>40694</v>
      </c>
      <c r="M24" s="28">
        <f t="shared" si="8"/>
        <v>0.61599363608099678</v>
      </c>
      <c r="N24" s="28">
        <f t="shared" si="9"/>
        <v>0.50568534347274297</v>
      </c>
      <c r="O24" s="31">
        <f t="shared" ca="1" si="10"/>
        <v>2619.6999999999998</v>
      </c>
      <c r="P24" s="31">
        <f t="shared" si="11"/>
        <v>96.90582954189199</v>
      </c>
      <c r="W24" s="25">
        <v>39444</v>
      </c>
      <c r="X24" s="24">
        <v>1732.7</v>
      </c>
      <c r="AA24" s="25">
        <v>40689</v>
      </c>
      <c r="AB24">
        <v>0.96905829541891997</v>
      </c>
      <c r="AC24" s="24">
        <f t="shared" si="5"/>
        <v>96.90582954189199</v>
      </c>
    </row>
    <row r="25" spans="3:29">
      <c r="C25" s="25">
        <v>40696</v>
      </c>
      <c r="D25" s="28">
        <v>0.66311590107349083</v>
      </c>
      <c r="E25" s="28">
        <v>0.53450860338875705</v>
      </c>
      <c r="F25" s="29">
        <f t="shared" ca="1" si="1"/>
        <v>2648</v>
      </c>
      <c r="G25" s="29">
        <f t="shared" si="2"/>
        <v>103.61233558876899</v>
      </c>
      <c r="H25" s="24">
        <f t="shared" si="3"/>
        <v>6</v>
      </c>
      <c r="I25" s="24">
        <f t="shared" si="4"/>
        <v>1</v>
      </c>
      <c r="J25" s="24">
        <f t="shared" si="0"/>
        <v>0</v>
      </c>
      <c r="K25" s="25" t="str">
        <f t="shared" si="6"/>
        <v/>
      </c>
      <c r="L25" s="25" t="e">
        <f t="shared" si="7"/>
        <v>#VALUE!</v>
      </c>
      <c r="M25" s="28" t="str">
        <f t="shared" si="8"/>
        <v/>
      </c>
      <c r="N25" s="28" t="str">
        <f t="shared" si="9"/>
        <v/>
      </c>
      <c r="O25" s="31" t="str">
        <f t="shared" si="10"/>
        <v/>
      </c>
      <c r="P25" s="31" t="str">
        <f t="shared" si="11"/>
        <v/>
      </c>
      <c r="W25" s="25">
        <v>39451</v>
      </c>
      <c r="X25" s="24">
        <v>2729.3</v>
      </c>
      <c r="AA25" s="25">
        <v>40696</v>
      </c>
      <c r="AB25">
        <v>1.0361233558876899</v>
      </c>
      <c r="AC25" s="24">
        <f t="shared" si="5"/>
        <v>103.61233558876899</v>
      </c>
    </row>
    <row r="26" spans="3:29">
      <c r="C26" s="25">
        <v>40703</v>
      </c>
      <c r="D26" s="28">
        <v>0.74517189360077984</v>
      </c>
      <c r="E26" s="28">
        <v>0.55556126357331004</v>
      </c>
      <c r="F26" s="29">
        <f t="shared" ca="1" si="1"/>
        <v>3101.7</v>
      </c>
      <c r="G26" s="29">
        <f t="shared" si="2"/>
        <v>106.99989758582301</v>
      </c>
      <c r="H26" s="24">
        <f t="shared" si="3"/>
        <v>6</v>
      </c>
      <c r="I26" s="24">
        <f t="shared" si="4"/>
        <v>0</v>
      </c>
      <c r="J26" s="24">
        <f t="shared" si="0"/>
        <v>0</v>
      </c>
      <c r="K26" s="25" t="str">
        <f t="shared" si="6"/>
        <v/>
      </c>
      <c r="L26" s="25" t="e">
        <f t="shared" si="7"/>
        <v>#VALUE!</v>
      </c>
      <c r="M26" s="28" t="str">
        <f t="shared" si="8"/>
        <v/>
      </c>
      <c r="N26" s="28" t="str">
        <f t="shared" si="9"/>
        <v/>
      </c>
      <c r="O26" s="31" t="str">
        <f t="shared" si="10"/>
        <v/>
      </c>
      <c r="P26" s="31" t="str">
        <f t="shared" si="11"/>
        <v/>
      </c>
      <c r="W26" s="25">
        <v>39458</v>
      </c>
      <c r="X26" s="24">
        <v>3923.5</v>
      </c>
      <c r="AA26" s="25">
        <v>40703</v>
      </c>
      <c r="AB26">
        <v>1.06999897585823</v>
      </c>
      <c r="AC26" s="24">
        <f t="shared" si="5"/>
        <v>106.99989758582301</v>
      </c>
    </row>
    <row r="27" spans="3:29">
      <c r="C27" s="25">
        <v>40710</v>
      </c>
      <c r="D27" s="28">
        <v>0.72397022872334449</v>
      </c>
      <c r="E27" s="28">
        <v>0.55544034698333999</v>
      </c>
      <c r="F27" s="29">
        <f t="shared" ca="1" si="1"/>
        <v>2857.9</v>
      </c>
      <c r="G27" s="29">
        <f t="shared" si="2"/>
        <v>106.032022730647</v>
      </c>
      <c r="H27" s="24">
        <f t="shared" si="3"/>
        <v>6</v>
      </c>
      <c r="I27" s="24">
        <f t="shared" si="4"/>
        <v>0</v>
      </c>
      <c r="J27" s="24">
        <f t="shared" si="0"/>
        <v>0</v>
      </c>
      <c r="K27" s="25" t="str">
        <f t="shared" si="6"/>
        <v/>
      </c>
      <c r="L27" s="25" t="e">
        <f t="shared" si="7"/>
        <v>#VALUE!</v>
      </c>
      <c r="M27" s="28" t="str">
        <f t="shared" si="8"/>
        <v/>
      </c>
      <c r="N27" s="28" t="str">
        <f t="shared" si="9"/>
        <v/>
      </c>
      <c r="O27" s="31" t="str">
        <f t="shared" si="10"/>
        <v/>
      </c>
      <c r="P27" s="31" t="str">
        <f t="shared" si="11"/>
        <v/>
      </c>
      <c r="W27" s="25">
        <v>39465</v>
      </c>
      <c r="X27" s="24">
        <v>4588.3999999999996</v>
      </c>
      <c r="AA27" s="25">
        <v>40710</v>
      </c>
      <c r="AB27">
        <v>1.06032022730647</v>
      </c>
      <c r="AC27" s="24">
        <f t="shared" si="5"/>
        <v>106.032022730647</v>
      </c>
    </row>
    <row r="28" spans="3:29">
      <c r="C28" s="25">
        <v>40717</v>
      </c>
      <c r="D28" s="28">
        <v>0.66311590107349083</v>
      </c>
      <c r="E28" s="28">
        <v>0.53450860338875705</v>
      </c>
      <c r="F28" s="29">
        <f t="shared" ca="1" si="1"/>
        <v>2809.5</v>
      </c>
      <c r="G28" s="29">
        <f t="shared" si="2"/>
        <v>103.61233558876899</v>
      </c>
      <c r="H28" s="24">
        <f t="shared" si="3"/>
        <v>6</v>
      </c>
      <c r="I28" s="24">
        <f t="shared" si="4"/>
        <v>0</v>
      </c>
      <c r="J28" s="24">
        <f t="shared" si="0"/>
        <v>0</v>
      </c>
      <c r="K28" s="25" t="str">
        <f t="shared" si="6"/>
        <v/>
      </c>
      <c r="L28" s="25" t="e">
        <f t="shared" si="7"/>
        <v>#VALUE!</v>
      </c>
      <c r="M28" s="28" t="str">
        <f t="shared" si="8"/>
        <v/>
      </c>
      <c r="N28" s="28" t="str">
        <f t="shared" si="9"/>
        <v/>
      </c>
      <c r="O28" s="31" t="str">
        <f t="shared" si="10"/>
        <v/>
      </c>
      <c r="P28" s="31" t="str">
        <f t="shared" si="11"/>
        <v/>
      </c>
      <c r="W28" s="25">
        <v>39472</v>
      </c>
      <c r="X28" s="24">
        <v>5682.2</v>
      </c>
      <c r="AA28" s="25">
        <v>40717</v>
      </c>
      <c r="AB28">
        <v>1.0361233558876899</v>
      </c>
      <c r="AC28" s="24">
        <f t="shared" si="5"/>
        <v>103.61233558876899</v>
      </c>
    </row>
    <row r="29" spans="3:29">
      <c r="C29" s="25">
        <v>40724</v>
      </c>
      <c r="D29" s="28">
        <v>0.69050447134038251</v>
      </c>
      <c r="E29" s="28">
        <v>0.55445082777023702</v>
      </c>
      <c r="F29" s="29">
        <f t="shared" ca="1" si="1"/>
        <v>2527.5</v>
      </c>
      <c r="G29" s="29">
        <f t="shared" si="2"/>
        <v>105.06414787551299</v>
      </c>
      <c r="H29" s="24">
        <f t="shared" si="3"/>
        <v>6</v>
      </c>
      <c r="I29" s="24">
        <f t="shared" si="4"/>
        <v>0</v>
      </c>
      <c r="J29" s="24">
        <f t="shared" si="0"/>
        <v>1</v>
      </c>
      <c r="K29" s="25">
        <f t="shared" si="6"/>
        <v>40724</v>
      </c>
      <c r="L29" s="25">
        <f t="shared" si="7"/>
        <v>40724</v>
      </c>
      <c r="M29" s="28">
        <f t="shared" si="8"/>
        <v>0.69050447134038251</v>
      </c>
      <c r="N29" s="28">
        <f t="shared" si="9"/>
        <v>0.55445082777023702</v>
      </c>
      <c r="O29" s="31">
        <f t="shared" ca="1" si="10"/>
        <v>2527.5</v>
      </c>
      <c r="P29" s="31">
        <f t="shared" si="11"/>
        <v>105.06414787551299</v>
      </c>
      <c r="W29" s="25">
        <v>39479</v>
      </c>
      <c r="X29" s="24">
        <v>5523.9</v>
      </c>
      <c r="AA29" s="25">
        <v>40724</v>
      </c>
      <c r="AB29">
        <v>1.0506414787551299</v>
      </c>
      <c r="AC29" s="24">
        <f t="shared" si="5"/>
        <v>105.06414787551299</v>
      </c>
    </row>
    <row r="30" spans="3:29">
      <c r="C30" s="25">
        <v>40731</v>
      </c>
      <c r="D30" s="28">
        <v>0.60410549631050647</v>
      </c>
      <c r="E30" s="28">
        <v>0.49771283747510803</v>
      </c>
      <c r="F30" s="29">
        <f t="shared" ca="1" si="1"/>
        <v>2362.6999999999998</v>
      </c>
      <c r="G30" s="29">
        <f t="shared" si="2"/>
        <v>95.422075759795206</v>
      </c>
      <c r="H30" s="24">
        <f t="shared" si="3"/>
        <v>7</v>
      </c>
      <c r="I30" s="24">
        <f t="shared" si="4"/>
        <v>1</v>
      </c>
      <c r="J30" s="24">
        <f t="shared" si="0"/>
        <v>0</v>
      </c>
      <c r="K30" s="25" t="str">
        <f t="shared" si="6"/>
        <v/>
      </c>
      <c r="L30" s="25" t="e">
        <f t="shared" si="7"/>
        <v>#VALUE!</v>
      </c>
      <c r="M30" s="28" t="str">
        <f t="shared" si="8"/>
        <v/>
      </c>
      <c r="N30" s="28" t="str">
        <f t="shared" si="9"/>
        <v/>
      </c>
      <c r="O30" s="31" t="str">
        <f t="shared" si="10"/>
        <v/>
      </c>
      <c r="P30" s="31" t="str">
        <f t="shared" si="11"/>
        <v/>
      </c>
      <c r="W30" s="25">
        <v>39486</v>
      </c>
      <c r="X30" s="24">
        <v>5362.6</v>
      </c>
      <c r="AA30" s="25">
        <v>40731</v>
      </c>
      <c r="AB30">
        <v>0.954220757597952</v>
      </c>
      <c r="AC30" s="24">
        <f t="shared" si="5"/>
        <v>95.422075759795206</v>
      </c>
    </row>
    <row r="31" spans="3:29">
      <c r="C31" s="25">
        <v>40738</v>
      </c>
      <c r="D31" s="28">
        <v>0.684475421712615</v>
      </c>
      <c r="E31" s="28">
        <v>0.55014388201104203</v>
      </c>
      <c r="F31" s="29">
        <f t="shared" ca="1" si="1"/>
        <v>2923.8</v>
      </c>
      <c r="G31" s="29">
        <f t="shared" si="2"/>
        <v>104.143296652432</v>
      </c>
      <c r="H31" s="24">
        <f t="shared" si="3"/>
        <v>7</v>
      </c>
      <c r="I31" s="24">
        <f t="shared" si="4"/>
        <v>0</v>
      </c>
      <c r="J31" s="24">
        <f t="shared" si="0"/>
        <v>0</v>
      </c>
      <c r="K31" s="25" t="str">
        <f t="shared" si="6"/>
        <v/>
      </c>
      <c r="L31" s="25" t="e">
        <f t="shared" si="7"/>
        <v>#VALUE!</v>
      </c>
      <c r="M31" s="28" t="str">
        <f t="shared" si="8"/>
        <v/>
      </c>
      <c r="N31" s="28" t="str">
        <f t="shared" si="9"/>
        <v/>
      </c>
      <c r="O31" s="31" t="str">
        <f t="shared" si="10"/>
        <v/>
      </c>
      <c r="P31" s="31" t="str">
        <f t="shared" si="11"/>
        <v/>
      </c>
      <c r="W31" s="25">
        <v>39493</v>
      </c>
      <c r="X31" s="24">
        <v>3784.1</v>
      </c>
      <c r="AA31" s="25">
        <v>40738</v>
      </c>
      <c r="AB31">
        <v>1.04143296652432</v>
      </c>
      <c r="AC31" s="24">
        <f t="shared" si="5"/>
        <v>104.143296652432</v>
      </c>
    </row>
    <row r="32" spans="3:29">
      <c r="C32" s="25">
        <v>40745</v>
      </c>
      <c r="D32" s="28">
        <v>0.66675683999516944</v>
      </c>
      <c r="E32" s="28">
        <v>0.53018048409344898</v>
      </c>
      <c r="F32" s="29">
        <f t="shared" ca="1" si="1"/>
        <v>2769.6</v>
      </c>
      <c r="G32" s="29">
        <f t="shared" si="2"/>
        <v>103.17427212747099</v>
      </c>
      <c r="H32" s="24">
        <f t="shared" si="3"/>
        <v>7</v>
      </c>
      <c r="I32" s="24">
        <f t="shared" si="4"/>
        <v>0</v>
      </c>
      <c r="J32" s="24">
        <f t="shared" si="0"/>
        <v>0</v>
      </c>
      <c r="K32" s="25" t="str">
        <f t="shared" si="6"/>
        <v/>
      </c>
      <c r="L32" s="25" t="e">
        <f t="shared" si="7"/>
        <v>#VALUE!</v>
      </c>
      <c r="M32" s="28" t="str">
        <f t="shared" si="8"/>
        <v/>
      </c>
      <c r="N32" s="28" t="str">
        <f t="shared" si="9"/>
        <v/>
      </c>
      <c r="O32" s="31" t="str">
        <f t="shared" si="10"/>
        <v/>
      </c>
      <c r="P32" s="31" t="str">
        <f t="shared" si="11"/>
        <v/>
      </c>
      <c r="W32" s="25">
        <v>39500</v>
      </c>
      <c r="X32" s="24">
        <v>2571.6</v>
      </c>
      <c r="AA32" s="25">
        <v>40745</v>
      </c>
      <c r="AB32">
        <v>1.0317427212747099</v>
      </c>
      <c r="AC32" s="24">
        <f t="shared" si="5"/>
        <v>103.17427212747099</v>
      </c>
    </row>
    <row r="33" spans="3:29">
      <c r="C33" s="25">
        <v>40752</v>
      </c>
      <c r="D33" s="28">
        <v>0.61660059317974736</v>
      </c>
      <c r="E33" s="28">
        <v>0.52333294764067595</v>
      </c>
      <c r="F33" s="29">
        <f t="shared" ca="1" si="1"/>
        <v>2974.1</v>
      </c>
      <c r="G33" s="29">
        <f t="shared" si="2"/>
        <v>97.844637187538197</v>
      </c>
      <c r="H33" s="24">
        <f t="shared" si="3"/>
        <v>7</v>
      </c>
      <c r="I33" s="24">
        <f t="shared" si="4"/>
        <v>0</v>
      </c>
      <c r="J33" s="24">
        <f t="shared" si="0"/>
        <v>1</v>
      </c>
      <c r="K33" s="25">
        <f t="shared" si="6"/>
        <v>40755</v>
      </c>
      <c r="L33" s="25">
        <f t="shared" si="7"/>
        <v>40753</v>
      </c>
      <c r="M33" s="28">
        <f t="shared" si="8"/>
        <v>0.61660059317974736</v>
      </c>
      <c r="N33" s="28">
        <f t="shared" si="9"/>
        <v>0.52333294764067595</v>
      </c>
      <c r="O33" s="31">
        <f t="shared" ca="1" si="10"/>
        <v>2974.1</v>
      </c>
      <c r="P33" s="31">
        <f t="shared" si="11"/>
        <v>97.844637187538197</v>
      </c>
      <c r="W33" s="25">
        <v>39507</v>
      </c>
      <c r="X33" s="24">
        <v>2667.8</v>
      </c>
      <c r="AA33" s="25">
        <v>40752</v>
      </c>
      <c r="AB33">
        <v>0.97844637187538197</v>
      </c>
      <c r="AC33" s="24">
        <f t="shared" si="5"/>
        <v>97.844637187538197</v>
      </c>
    </row>
    <row r="34" spans="3:29">
      <c r="C34" s="25">
        <v>40759</v>
      </c>
      <c r="D34" s="28">
        <v>0.81803711941746404</v>
      </c>
      <c r="E34" s="28">
        <v>0.59636201439054404</v>
      </c>
      <c r="F34" s="29">
        <f t="shared" ca="1" si="1"/>
        <v>3880.9</v>
      </c>
      <c r="G34" s="29">
        <f t="shared" si="2"/>
        <v>112.12883380120699</v>
      </c>
      <c r="H34" s="24">
        <f t="shared" si="3"/>
        <v>8</v>
      </c>
      <c r="I34" s="24">
        <f t="shared" si="4"/>
        <v>1</v>
      </c>
      <c r="J34" s="24">
        <f t="shared" si="0"/>
        <v>0</v>
      </c>
      <c r="K34" s="25" t="str">
        <f t="shared" si="6"/>
        <v/>
      </c>
      <c r="L34" s="25" t="e">
        <f t="shared" si="7"/>
        <v>#VALUE!</v>
      </c>
      <c r="M34" s="28" t="str">
        <f t="shared" si="8"/>
        <v/>
      </c>
      <c r="N34" s="28" t="str">
        <f t="shared" si="9"/>
        <v/>
      </c>
      <c r="O34" s="31" t="str">
        <f t="shared" si="10"/>
        <v/>
      </c>
      <c r="P34" s="31" t="str">
        <f t="shared" si="11"/>
        <v/>
      </c>
      <c r="W34" s="25">
        <v>39514</v>
      </c>
      <c r="X34" s="24">
        <v>2519.4</v>
      </c>
      <c r="AA34" s="25">
        <v>40759</v>
      </c>
      <c r="AB34">
        <v>1.12128833801207</v>
      </c>
      <c r="AC34" s="24">
        <f t="shared" si="5"/>
        <v>112.12883380120699</v>
      </c>
    </row>
    <row r="35" spans="3:29">
      <c r="C35" s="25">
        <v>40766</v>
      </c>
      <c r="D35" s="28">
        <v>0.83404184296119399</v>
      </c>
      <c r="E35" s="28">
        <v>0.68796050816059295</v>
      </c>
      <c r="F35" s="29">
        <f t="shared" ca="1" si="1"/>
        <v>4184.3999999999996</v>
      </c>
      <c r="G35" s="29">
        <f t="shared" si="2"/>
        <v>121.34645437255701</v>
      </c>
      <c r="H35" s="24">
        <f t="shared" si="3"/>
        <v>8</v>
      </c>
      <c r="I35" s="24">
        <f t="shared" si="4"/>
        <v>0</v>
      </c>
      <c r="J35" s="24">
        <f t="shared" si="0"/>
        <v>0</v>
      </c>
      <c r="K35" s="25" t="str">
        <f t="shared" si="6"/>
        <v/>
      </c>
      <c r="L35" s="25" t="e">
        <f t="shared" si="7"/>
        <v>#VALUE!</v>
      </c>
      <c r="M35" s="28" t="str">
        <f t="shared" si="8"/>
        <v/>
      </c>
      <c r="N35" s="28" t="str">
        <f t="shared" si="9"/>
        <v/>
      </c>
      <c r="O35" s="31" t="str">
        <f t="shared" si="10"/>
        <v/>
      </c>
      <c r="P35" s="31" t="str">
        <f t="shared" si="11"/>
        <v/>
      </c>
      <c r="W35" s="25">
        <v>39521</v>
      </c>
      <c r="X35" s="24">
        <v>2338.8000000000002</v>
      </c>
      <c r="AA35" s="25">
        <v>40766</v>
      </c>
      <c r="AB35">
        <v>1.21346454372557</v>
      </c>
      <c r="AC35" s="24">
        <f t="shared" si="5"/>
        <v>121.34645437255701</v>
      </c>
    </row>
    <row r="36" spans="3:29">
      <c r="C36" s="25">
        <v>40773</v>
      </c>
      <c r="D36" s="28">
        <v>0.86117434904403212</v>
      </c>
      <c r="E36" s="28">
        <v>0.76968967049094095</v>
      </c>
      <c r="F36" s="29">
        <f t="shared" ca="1" si="1"/>
        <v>4110.8</v>
      </c>
      <c r="G36" s="29">
        <f t="shared" si="2"/>
        <v>137.84114375992201</v>
      </c>
      <c r="H36" s="24">
        <f t="shared" si="3"/>
        <v>8</v>
      </c>
      <c r="I36" s="24">
        <f t="shared" si="4"/>
        <v>0</v>
      </c>
      <c r="J36" s="24">
        <f t="shared" si="0"/>
        <v>0</v>
      </c>
      <c r="K36" s="25" t="str">
        <f t="shared" si="6"/>
        <v/>
      </c>
      <c r="L36" s="25" t="e">
        <f t="shared" si="7"/>
        <v>#VALUE!</v>
      </c>
      <c r="M36" s="28" t="str">
        <f t="shared" si="8"/>
        <v/>
      </c>
      <c r="N36" s="28" t="str">
        <f t="shared" si="9"/>
        <v/>
      </c>
      <c r="O36" s="31" t="str">
        <f t="shared" si="10"/>
        <v/>
      </c>
      <c r="P36" s="31" t="str">
        <f t="shared" si="11"/>
        <v/>
      </c>
      <c r="W36" s="25">
        <v>39528</v>
      </c>
      <c r="X36" s="24">
        <v>4468.3999999999996</v>
      </c>
      <c r="AA36" s="25">
        <v>40773</v>
      </c>
      <c r="AB36">
        <v>1.37841143759922</v>
      </c>
      <c r="AC36" s="24">
        <f t="shared" si="5"/>
        <v>137.84114375992201</v>
      </c>
    </row>
    <row r="37" spans="3:29">
      <c r="C37" s="25">
        <v>40780</v>
      </c>
      <c r="D37" s="28">
        <v>0.84714025108084823</v>
      </c>
      <c r="E37" s="28">
        <v>0.73013076231760698</v>
      </c>
      <c r="F37" s="29">
        <f t="shared" ca="1" si="1"/>
        <v>3601.3</v>
      </c>
      <c r="G37" s="29">
        <f t="shared" si="2"/>
        <v>131.04921283540801</v>
      </c>
      <c r="H37" s="24">
        <f t="shared" si="3"/>
        <v>8</v>
      </c>
      <c r="I37" s="24">
        <f t="shared" si="4"/>
        <v>0</v>
      </c>
      <c r="J37" s="24">
        <f t="shared" si="0"/>
        <v>1</v>
      </c>
      <c r="K37" s="25">
        <f t="shared" si="6"/>
        <v>40786</v>
      </c>
      <c r="L37" s="25">
        <f t="shared" si="7"/>
        <v>40786</v>
      </c>
      <c r="M37" s="28">
        <f t="shared" si="8"/>
        <v>0.84714025108084823</v>
      </c>
      <c r="N37" s="28">
        <f t="shared" si="9"/>
        <v>0.73013076231760698</v>
      </c>
      <c r="O37" s="31">
        <f t="shared" ca="1" si="10"/>
        <v>3601.3</v>
      </c>
      <c r="P37" s="31">
        <f t="shared" si="11"/>
        <v>131.04921283540801</v>
      </c>
      <c r="W37" s="25">
        <v>39535</v>
      </c>
      <c r="X37" s="24">
        <v>2653.2</v>
      </c>
      <c r="AA37" s="25">
        <v>40780</v>
      </c>
      <c r="AB37">
        <v>1.31049212835408</v>
      </c>
      <c r="AC37" s="24">
        <f t="shared" si="5"/>
        <v>131.04921283540801</v>
      </c>
    </row>
    <row r="38" spans="3:29">
      <c r="C38" s="25">
        <v>40787</v>
      </c>
      <c r="D38" s="28">
        <v>0.84129278814437181</v>
      </c>
      <c r="E38" s="28">
        <v>0.72518805605942505</v>
      </c>
      <c r="F38" s="29">
        <f t="shared" ca="1" si="1"/>
        <v>3372</v>
      </c>
      <c r="G38" s="29">
        <f t="shared" si="2"/>
        <v>129.59270090956201</v>
      </c>
      <c r="H38" s="24">
        <f t="shared" si="3"/>
        <v>9</v>
      </c>
      <c r="I38" s="24">
        <f t="shared" si="4"/>
        <v>1</v>
      </c>
      <c r="J38" s="24">
        <f t="shared" si="0"/>
        <v>0</v>
      </c>
      <c r="K38" s="25" t="str">
        <f t="shared" si="6"/>
        <v/>
      </c>
      <c r="L38" s="25" t="e">
        <f t="shared" si="7"/>
        <v>#VALUE!</v>
      </c>
      <c r="M38" s="28" t="str">
        <f t="shared" si="8"/>
        <v/>
      </c>
      <c r="N38" s="28" t="str">
        <f t="shared" si="9"/>
        <v/>
      </c>
      <c r="O38" s="31" t="str">
        <f t="shared" si="10"/>
        <v/>
      </c>
      <c r="P38" s="31" t="str">
        <f t="shared" si="11"/>
        <v/>
      </c>
      <c r="W38" s="25">
        <v>39542</v>
      </c>
      <c r="X38" s="24">
        <v>2709.1</v>
      </c>
      <c r="AA38" s="25">
        <v>40787</v>
      </c>
      <c r="AB38">
        <v>1.2959270090956201</v>
      </c>
      <c r="AC38" s="24">
        <f t="shared" si="5"/>
        <v>129.59270090956201</v>
      </c>
    </row>
    <row r="39" spans="3:29">
      <c r="C39" s="25">
        <v>40794</v>
      </c>
      <c r="D39" s="28">
        <v>0.87859103936280614</v>
      </c>
      <c r="E39" s="28">
        <v>0.78586619764471199</v>
      </c>
      <c r="F39" s="29">
        <f t="shared" ca="1" si="1"/>
        <v>3571.7</v>
      </c>
      <c r="G39" s="29">
        <f t="shared" si="2"/>
        <v>139.305607844017</v>
      </c>
      <c r="H39" s="24">
        <f t="shared" si="3"/>
        <v>9</v>
      </c>
      <c r="I39" s="24">
        <f t="shared" si="4"/>
        <v>0</v>
      </c>
      <c r="J39" s="24">
        <f t="shared" si="0"/>
        <v>0</v>
      </c>
      <c r="K39" s="25" t="str">
        <f t="shared" si="6"/>
        <v/>
      </c>
      <c r="L39" s="25" t="e">
        <f t="shared" si="7"/>
        <v>#VALUE!</v>
      </c>
      <c r="M39" s="28" t="str">
        <f t="shared" si="8"/>
        <v/>
      </c>
      <c r="N39" s="28" t="str">
        <f t="shared" si="9"/>
        <v/>
      </c>
      <c r="O39" s="31" t="str">
        <f t="shared" si="10"/>
        <v/>
      </c>
      <c r="P39" s="31" t="str">
        <f t="shared" si="11"/>
        <v/>
      </c>
      <c r="W39" s="25">
        <v>39549</v>
      </c>
      <c r="X39" s="24">
        <v>2880.7</v>
      </c>
      <c r="AA39" s="25">
        <v>40794</v>
      </c>
      <c r="AB39">
        <v>1.39305607844017</v>
      </c>
      <c r="AC39" s="24">
        <f t="shared" si="5"/>
        <v>139.305607844017</v>
      </c>
    </row>
    <row r="40" spans="3:29">
      <c r="C40" s="25">
        <v>40801</v>
      </c>
      <c r="D40" s="28">
        <v>0.90242289630359074</v>
      </c>
      <c r="E40" s="28">
        <v>0.78804143101353397</v>
      </c>
      <c r="F40" s="29">
        <f t="shared" ca="1" si="1"/>
        <v>4033.8</v>
      </c>
      <c r="G40" s="29">
        <f t="shared" si="2"/>
        <v>142.21947992470899</v>
      </c>
      <c r="H40" s="24">
        <f t="shared" si="3"/>
        <v>9</v>
      </c>
      <c r="I40" s="24">
        <f t="shared" si="4"/>
        <v>0</v>
      </c>
      <c r="J40" s="24">
        <f t="shared" si="0"/>
        <v>0</v>
      </c>
      <c r="K40" s="25" t="str">
        <f t="shared" si="6"/>
        <v/>
      </c>
      <c r="L40" s="25" t="e">
        <f t="shared" si="7"/>
        <v>#VALUE!</v>
      </c>
      <c r="M40" s="28" t="str">
        <f t="shared" si="8"/>
        <v/>
      </c>
      <c r="N40" s="28" t="str">
        <f t="shared" si="9"/>
        <v/>
      </c>
      <c r="O40" s="31" t="str">
        <f t="shared" si="10"/>
        <v/>
      </c>
      <c r="P40" s="31" t="str">
        <f t="shared" si="11"/>
        <v/>
      </c>
      <c r="W40" s="25">
        <v>39556</v>
      </c>
      <c r="X40" s="24">
        <v>2215.6999999999998</v>
      </c>
      <c r="AA40" s="25">
        <v>40801</v>
      </c>
      <c r="AB40">
        <v>1.42219479924709</v>
      </c>
      <c r="AC40" s="24">
        <f t="shared" si="5"/>
        <v>142.21947992470899</v>
      </c>
    </row>
    <row r="41" spans="3:29">
      <c r="C41" s="25">
        <v>40808</v>
      </c>
      <c r="D41" s="28">
        <v>0.90242289630359074</v>
      </c>
      <c r="E41" s="28">
        <v>0.78804143101353397</v>
      </c>
      <c r="F41" s="29">
        <f t="shared" ca="1" si="1"/>
        <v>4512.1000000000004</v>
      </c>
      <c r="G41" s="29">
        <f t="shared" si="2"/>
        <v>142.21947992470899</v>
      </c>
      <c r="H41" s="24">
        <f t="shared" si="3"/>
        <v>9</v>
      </c>
      <c r="I41" s="24">
        <f t="shared" si="4"/>
        <v>0</v>
      </c>
      <c r="J41" s="24">
        <f t="shared" si="0"/>
        <v>0</v>
      </c>
      <c r="K41" s="25" t="str">
        <f t="shared" si="6"/>
        <v/>
      </c>
      <c r="L41" s="25" t="e">
        <f t="shared" si="7"/>
        <v>#VALUE!</v>
      </c>
      <c r="M41" s="28" t="str">
        <f t="shared" si="8"/>
        <v/>
      </c>
      <c r="N41" s="28" t="str">
        <f t="shared" si="9"/>
        <v/>
      </c>
      <c r="O41" s="31" t="str">
        <f t="shared" si="10"/>
        <v/>
      </c>
      <c r="P41" s="31" t="str">
        <f t="shared" si="11"/>
        <v/>
      </c>
      <c r="W41" s="25">
        <v>39563</v>
      </c>
      <c r="X41" s="24">
        <v>1809.5</v>
      </c>
      <c r="AA41" s="25">
        <v>40808</v>
      </c>
      <c r="AB41">
        <v>1.42219479924709</v>
      </c>
      <c r="AC41" s="24">
        <f t="shared" si="5"/>
        <v>142.21947992470899</v>
      </c>
    </row>
    <row r="42" spans="3:29">
      <c r="C42" s="25">
        <v>40815</v>
      </c>
      <c r="D42" s="28">
        <v>0.94644262124543443</v>
      </c>
      <c r="E42" s="28">
        <v>0.83535228019697605</v>
      </c>
      <c r="F42" s="29">
        <f t="shared" ca="1" si="1"/>
        <v>4241.8</v>
      </c>
      <c r="G42" s="29">
        <f t="shared" si="2"/>
        <v>149.98980546937099</v>
      </c>
      <c r="H42" s="24">
        <f t="shared" si="3"/>
        <v>9</v>
      </c>
      <c r="I42" s="24">
        <f t="shared" si="4"/>
        <v>0</v>
      </c>
      <c r="J42" s="24">
        <f t="shared" si="0"/>
        <v>1</v>
      </c>
      <c r="K42" s="25">
        <f t="shared" si="6"/>
        <v>40816</v>
      </c>
      <c r="L42" s="25">
        <f t="shared" si="7"/>
        <v>40816</v>
      </c>
      <c r="M42" s="28">
        <f t="shared" si="8"/>
        <v>0.94644262124543443</v>
      </c>
      <c r="N42" s="28">
        <f t="shared" si="9"/>
        <v>0.83535228019697605</v>
      </c>
      <c r="O42" s="31">
        <f t="shared" ca="1" si="10"/>
        <v>4241.8</v>
      </c>
      <c r="P42" s="31">
        <f t="shared" si="11"/>
        <v>149.98980546937099</v>
      </c>
      <c r="W42" s="25">
        <v>39570</v>
      </c>
      <c r="X42" s="24">
        <v>2195</v>
      </c>
      <c r="AA42" s="25">
        <v>40815</v>
      </c>
      <c r="AB42">
        <v>1.49989805469371</v>
      </c>
      <c r="AC42" s="24">
        <f t="shared" si="5"/>
        <v>149.98980546937099</v>
      </c>
    </row>
    <row r="43" spans="3:29">
      <c r="C43" s="25">
        <v>40822</v>
      </c>
      <c r="D43" s="28">
        <v>0.96725200604215567</v>
      </c>
      <c r="E43" s="28">
        <v>0.82324225699227804</v>
      </c>
      <c r="F43" s="29">
        <f t="shared" ca="1" si="1"/>
        <v>4251.1000000000004</v>
      </c>
      <c r="G43" s="29">
        <f t="shared" si="2"/>
        <v>151.25993906542502</v>
      </c>
      <c r="H43" s="24">
        <f t="shared" si="3"/>
        <v>10</v>
      </c>
      <c r="I43" s="24">
        <f t="shared" si="4"/>
        <v>1</v>
      </c>
      <c r="J43" s="24">
        <f t="shared" si="0"/>
        <v>0</v>
      </c>
      <c r="K43" s="25" t="str">
        <f t="shared" si="6"/>
        <v/>
      </c>
      <c r="L43" s="25" t="e">
        <f t="shared" si="7"/>
        <v>#VALUE!</v>
      </c>
      <c r="M43" s="28" t="str">
        <f t="shared" si="8"/>
        <v/>
      </c>
      <c r="N43" s="28" t="str">
        <f t="shared" si="9"/>
        <v/>
      </c>
      <c r="O43" s="31" t="str">
        <f t="shared" si="10"/>
        <v/>
      </c>
      <c r="P43" s="31" t="str">
        <f t="shared" si="11"/>
        <v/>
      </c>
      <c r="W43" s="25">
        <v>39577</v>
      </c>
      <c r="X43" s="24">
        <v>2388.8000000000002</v>
      </c>
      <c r="AA43" s="25">
        <v>40822</v>
      </c>
      <c r="AB43">
        <v>1.5125993906542501</v>
      </c>
      <c r="AC43" s="24">
        <f t="shared" si="5"/>
        <v>151.25993906542502</v>
      </c>
    </row>
    <row r="44" spans="3:29">
      <c r="C44" s="25">
        <v>40829</v>
      </c>
      <c r="D44" s="28">
        <v>0.84917694017596268</v>
      </c>
      <c r="E44" s="28">
        <v>0.75043074974252599</v>
      </c>
      <c r="F44" s="29">
        <f t="shared" ca="1" si="1"/>
        <v>3553.2</v>
      </c>
      <c r="G44" s="29">
        <f t="shared" si="2"/>
        <v>133.80603198386501</v>
      </c>
      <c r="H44" s="24">
        <f t="shared" si="3"/>
        <v>10</v>
      </c>
      <c r="I44" s="24">
        <f t="shared" si="4"/>
        <v>0</v>
      </c>
      <c r="J44" s="24">
        <f t="shared" si="0"/>
        <v>0</v>
      </c>
      <c r="K44" s="25" t="str">
        <f t="shared" si="6"/>
        <v/>
      </c>
      <c r="L44" s="25" t="e">
        <f t="shared" si="7"/>
        <v>#VALUE!</v>
      </c>
      <c r="M44" s="28" t="str">
        <f t="shared" si="8"/>
        <v/>
      </c>
      <c r="N44" s="28" t="str">
        <f t="shared" si="9"/>
        <v/>
      </c>
      <c r="O44" s="31" t="str">
        <f t="shared" si="10"/>
        <v/>
      </c>
      <c r="P44" s="31" t="str">
        <f t="shared" si="11"/>
        <v/>
      </c>
      <c r="W44" s="25">
        <v>39584</v>
      </c>
      <c r="X44" s="24">
        <v>2135.8000000000002</v>
      </c>
      <c r="AA44" s="25">
        <v>40829</v>
      </c>
      <c r="AB44">
        <v>1.33806031983865</v>
      </c>
      <c r="AC44" s="24">
        <f t="shared" si="5"/>
        <v>133.80603198386501</v>
      </c>
    </row>
    <row r="45" spans="3:29">
      <c r="C45" s="25">
        <v>40836</v>
      </c>
      <c r="D45" s="28">
        <v>0.85635864773186432</v>
      </c>
      <c r="E45" s="28">
        <v>0.76889855223368597</v>
      </c>
      <c r="F45" s="29">
        <f t="shared" ca="1" si="1"/>
        <v>3719.3</v>
      </c>
      <c r="G45" s="29">
        <f t="shared" si="2"/>
        <v>134.775693490663</v>
      </c>
      <c r="H45" s="24">
        <f t="shared" si="3"/>
        <v>10</v>
      </c>
      <c r="I45" s="24">
        <f t="shared" si="4"/>
        <v>0</v>
      </c>
      <c r="J45" s="24">
        <f t="shared" si="0"/>
        <v>0</v>
      </c>
      <c r="K45" s="25" t="str">
        <f t="shared" si="6"/>
        <v/>
      </c>
      <c r="L45" s="25" t="e">
        <f t="shared" si="7"/>
        <v>#VALUE!</v>
      </c>
      <c r="M45" s="28" t="str">
        <f t="shared" si="8"/>
        <v/>
      </c>
      <c r="N45" s="28" t="str">
        <f t="shared" si="9"/>
        <v/>
      </c>
      <c r="O45" s="31" t="str">
        <f t="shared" si="10"/>
        <v/>
      </c>
      <c r="P45" s="31" t="str">
        <f t="shared" si="11"/>
        <v/>
      </c>
      <c r="W45" s="25">
        <v>39591</v>
      </c>
      <c r="X45" s="24">
        <v>1930.4</v>
      </c>
      <c r="AA45" s="25">
        <v>40836</v>
      </c>
      <c r="AB45">
        <v>1.3477569349066301</v>
      </c>
      <c r="AC45" s="24">
        <f t="shared" si="5"/>
        <v>134.775693490663</v>
      </c>
    </row>
    <row r="46" spans="3:29">
      <c r="C46" s="25">
        <v>40843</v>
      </c>
      <c r="D46" s="28">
        <v>0.86512672485653175</v>
      </c>
      <c r="E46" s="28">
        <v>0.77033919514702098</v>
      </c>
      <c r="F46" s="29">
        <f t="shared" ca="1" si="1"/>
        <v>3695</v>
      </c>
      <c r="G46" s="29">
        <f t="shared" si="2"/>
        <v>135.74535499682</v>
      </c>
      <c r="H46" s="24">
        <f t="shared" si="3"/>
        <v>10</v>
      </c>
      <c r="I46" s="24">
        <f t="shared" si="4"/>
        <v>0</v>
      </c>
      <c r="J46" s="24">
        <f t="shared" si="0"/>
        <v>1</v>
      </c>
      <c r="K46" s="25">
        <f t="shared" si="6"/>
        <v>40847</v>
      </c>
      <c r="L46" s="25">
        <f t="shared" si="7"/>
        <v>40847</v>
      </c>
      <c r="M46" s="28">
        <f t="shared" si="8"/>
        <v>0.86512672485653175</v>
      </c>
      <c r="N46" s="28">
        <f t="shared" si="9"/>
        <v>0.77033919514702098</v>
      </c>
      <c r="O46" s="31">
        <f t="shared" ca="1" si="10"/>
        <v>3695</v>
      </c>
      <c r="P46" s="31">
        <f t="shared" si="11"/>
        <v>135.74535499682</v>
      </c>
      <c r="W46" s="25">
        <v>39598</v>
      </c>
      <c r="X46" s="24">
        <v>1387.8</v>
      </c>
      <c r="AA46" s="25">
        <v>40843</v>
      </c>
      <c r="AB46">
        <v>1.3574535499681999</v>
      </c>
      <c r="AC46" s="24">
        <f t="shared" si="5"/>
        <v>135.74535499682</v>
      </c>
    </row>
    <row r="47" spans="3:29">
      <c r="C47" s="25">
        <v>40850</v>
      </c>
      <c r="D47" s="28">
        <v>0.93485323798856346</v>
      </c>
      <c r="E47" s="28">
        <v>0.80719780316763601</v>
      </c>
      <c r="F47" s="29">
        <f t="shared" ca="1" si="1"/>
        <v>4137.6000000000004</v>
      </c>
      <c r="G47" s="29">
        <f t="shared" si="2"/>
        <v>144.852446888999</v>
      </c>
      <c r="H47" s="24">
        <f t="shared" si="3"/>
        <v>11</v>
      </c>
      <c r="I47" s="24">
        <f t="shared" si="4"/>
        <v>1</v>
      </c>
      <c r="J47" s="24">
        <f t="shared" si="0"/>
        <v>0</v>
      </c>
      <c r="K47" s="25" t="str">
        <f t="shared" si="6"/>
        <v/>
      </c>
      <c r="L47" s="25" t="e">
        <f t="shared" si="7"/>
        <v>#VALUE!</v>
      </c>
      <c r="M47" s="28" t="str">
        <f t="shared" si="8"/>
        <v/>
      </c>
      <c r="N47" s="28" t="str">
        <f t="shared" si="9"/>
        <v/>
      </c>
      <c r="O47" s="31" t="str">
        <f t="shared" si="10"/>
        <v/>
      </c>
      <c r="P47" s="31" t="str">
        <f t="shared" si="11"/>
        <v/>
      </c>
      <c r="W47" s="25">
        <v>39605</v>
      </c>
      <c r="X47" s="24">
        <v>1477.5</v>
      </c>
      <c r="AA47" s="25">
        <v>40850</v>
      </c>
      <c r="AB47">
        <v>1.4485244688899901</v>
      </c>
      <c r="AC47" s="24">
        <f t="shared" si="5"/>
        <v>144.852446888999</v>
      </c>
    </row>
    <row r="48" spans="3:29">
      <c r="C48" s="25">
        <v>40857</v>
      </c>
      <c r="D48" s="28">
        <v>0.94404770550683115</v>
      </c>
      <c r="E48" s="28">
        <v>0.80724570771905702</v>
      </c>
      <c r="F48" s="29">
        <f t="shared" ca="1" si="1"/>
        <v>3664.5</v>
      </c>
      <c r="G48" s="29">
        <f t="shared" si="2"/>
        <v>145.82016360365199</v>
      </c>
      <c r="H48" s="24">
        <f t="shared" si="3"/>
        <v>11</v>
      </c>
      <c r="I48" s="24">
        <f t="shared" si="4"/>
        <v>0</v>
      </c>
      <c r="J48" s="24">
        <f t="shared" si="0"/>
        <v>0</v>
      </c>
      <c r="K48" s="25" t="str">
        <f t="shared" si="6"/>
        <v/>
      </c>
      <c r="L48" s="25" t="e">
        <f t="shared" si="7"/>
        <v>#VALUE!</v>
      </c>
      <c r="M48" s="28" t="str">
        <f t="shared" si="8"/>
        <v/>
      </c>
      <c r="N48" s="28" t="str">
        <f t="shared" si="9"/>
        <v/>
      </c>
      <c r="O48" s="31" t="str">
        <f t="shared" si="10"/>
        <v/>
      </c>
      <c r="P48" s="31" t="str">
        <f t="shared" si="11"/>
        <v/>
      </c>
      <c r="W48" s="25">
        <v>39612</v>
      </c>
      <c r="X48" s="24">
        <v>1219.7</v>
      </c>
      <c r="AA48" s="25">
        <v>40857</v>
      </c>
      <c r="AB48">
        <v>1.45820163603652</v>
      </c>
      <c r="AC48" s="24">
        <f t="shared" si="5"/>
        <v>145.82016360365199</v>
      </c>
    </row>
    <row r="49" spans="3:29">
      <c r="C49" s="25">
        <v>40864</v>
      </c>
      <c r="D49" s="28">
        <v>0.93485323798856346</v>
      </c>
      <c r="E49" s="28">
        <v>0.80719780316763601</v>
      </c>
      <c r="F49" s="29">
        <f t="shared" ca="1" si="1"/>
        <v>3466.8</v>
      </c>
      <c r="G49" s="29">
        <f t="shared" si="2"/>
        <v>144.852446888999</v>
      </c>
      <c r="H49" s="24">
        <f t="shared" si="3"/>
        <v>11</v>
      </c>
      <c r="I49" s="24">
        <f t="shared" si="4"/>
        <v>0</v>
      </c>
      <c r="J49" s="24">
        <f t="shared" si="0"/>
        <v>0</v>
      </c>
      <c r="K49" s="25" t="str">
        <f t="shared" si="6"/>
        <v/>
      </c>
      <c r="L49" s="25" t="e">
        <f t="shared" si="7"/>
        <v>#VALUE!</v>
      </c>
      <c r="M49" s="28" t="str">
        <f t="shared" si="8"/>
        <v/>
      </c>
      <c r="N49" s="28" t="str">
        <f t="shared" si="9"/>
        <v/>
      </c>
      <c r="O49" s="31" t="str">
        <f t="shared" si="10"/>
        <v/>
      </c>
      <c r="P49" s="31" t="str">
        <f t="shared" si="11"/>
        <v/>
      </c>
      <c r="W49" s="25">
        <v>39619</v>
      </c>
      <c r="X49" s="24">
        <v>1044.5999999999999</v>
      </c>
      <c r="AA49" s="25">
        <v>40864</v>
      </c>
      <c r="AB49">
        <v>1.4485244688899901</v>
      </c>
      <c r="AC49" s="24">
        <f t="shared" si="5"/>
        <v>144.852446888999</v>
      </c>
    </row>
    <row r="50" spans="3:29">
      <c r="C50" s="25">
        <v>40870</v>
      </c>
      <c r="D50" s="28">
        <v>0.94997170807452469</v>
      </c>
      <c r="E50" s="28">
        <v>0.80850149462655696</v>
      </c>
      <c r="F50" s="29">
        <f ca="1">VLOOKUP(C50+2,W:X,2,0)</f>
        <v>2941.3</v>
      </c>
      <c r="G50" s="29">
        <f t="shared" si="2"/>
        <v>146.78788031826301</v>
      </c>
      <c r="H50" s="24">
        <f t="shared" si="3"/>
        <v>11</v>
      </c>
      <c r="I50" s="24">
        <f t="shared" si="4"/>
        <v>0</v>
      </c>
      <c r="J50" s="24">
        <f t="shared" si="0"/>
        <v>1</v>
      </c>
      <c r="K50" s="25">
        <f t="shared" si="6"/>
        <v>40877</v>
      </c>
      <c r="L50" s="25">
        <f t="shared" si="7"/>
        <v>40877</v>
      </c>
      <c r="M50" s="28">
        <f t="shared" si="8"/>
        <v>0.94997170807452469</v>
      </c>
      <c r="N50" s="28">
        <f t="shared" si="9"/>
        <v>0.80850149462655696</v>
      </c>
      <c r="O50" s="31">
        <f t="shared" ca="1" si="10"/>
        <v>2941.3</v>
      </c>
      <c r="P50" s="31">
        <f t="shared" si="11"/>
        <v>146.78788031826301</v>
      </c>
      <c r="W50" s="25">
        <v>39626</v>
      </c>
      <c r="X50" s="24">
        <v>1111.3</v>
      </c>
      <c r="AA50" s="25">
        <v>40870</v>
      </c>
      <c r="AB50">
        <v>1.46787880318263</v>
      </c>
      <c r="AC50" s="24">
        <f t="shared" si="5"/>
        <v>146.78788031826301</v>
      </c>
    </row>
    <row r="51" spans="3:29">
      <c r="C51" s="25">
        <v>40878</v>
      </c>
      <c r="D51" s="28">
        <v>0.91542628506626045</v>
      </c>
      <c r="E51" s="28">
        <v>0.79441104681633201</v>
      </c>
      <c r="F51" s="29">
        <f t="shared" ca="1" si="1"/>
        <v>3394.7</v>
      </c>
      <c r="G51" s="29">
        <f t="shared" si="2"/>
        <v>142.18347207703999</v>
      </c>
      <c r="H51" s="24">
        <f t="shared" si="3"/>
        <v>12</v>
      </c>
      <c r="I51" s="24">
        <f t="shared" si="4"/>
        <v>1</v>
      </c>
      <c r="J51" s="24">
        <f t="shared" si="0"/>
        <v>0</v>
      </c>
      <c r="K51" s="25" t="str">
        <f t="shared" si="6"/>
        <v/>
      </c>
      <c r="L51" s="25" t="e">
        <f t="shared" si="7"/>
        <v>#VALUE!</v>
      </c>
      <c r="M51" s="28" t="str">
        <f t="shared" si="8"/>
        <v/>
      </c>
      <c r="N51" s="28" t="str">
        <f t="shared" si="9"/>
        <v/>
      </c>
      <c r="O51" s="31" t="str">
        <f t="shared" si="10"/>
        <v/>
      </c>
      <c r="P51" s="31" t="str">
        <f t="shared" si="11"/>
        <v/>
      </c>
      <c r="W51" s="25">
        <v>39633</v>
      </c>
      <c r="X51" s="24">
        <v>1166.5</v>
      </c>
      <c r="AA51" s="25">
        <v>40878</v>
      </c>
      <c r="AB51">
        <v>1.4218347207704001</v>
      </c>
      <c r="AC51" s="24">
        <f t="shared" si="5"/>
        <v>142.18347207703999</v>
      </c>
    </row>
    <row r="52" spans="3:29">
      <c r="C52" s="25">
        <v>40885</v>
      </c>
      <c r="D52" s="28">
        <v>0.9248746068169833</v>
      </c>
      <c r="E52" s="28">
        <v>0.79445840936885304</v>
      </c>
      <c r="F52" s="29">
        <f t="shared" ca="1" si="1"/>
        <v>3708.6</v>
      </c>
      <c r="G52" s="29">
        <f t="shared" si="2"/>
        <v>143.14910470636198</v>
      </c>
      <c r="H52" s="24">
        <f t="shared" si="3"/>
        <v>12</v>
      </c>
      <c r="I52" s="24">
        <f t="shared" si="4"/>
        <v>0</v>
      </c>
      <c r="J52" s="24">
        <f t="shared" si="0"/>
        <v>0</v>
      </c>
      <c r="K52" s="25" t="str">
        <f t="shared" si="6"/>
        <v/>
      </c>
      <c r="L52" s="25" t="e">
        <f t="shared" si="7"/>
        <v>#VALUE!</v>
      </c>
      <c r="M52" s="28" t="str">
        <f t="shared" si="8"/>
        <v/>
      </c>
      <c r="N52" s="28" t="str">
        <f t="shared" si="9"/>
        <v/>
      </c>
      <c r="O52" s="31" t="str">
        <f t="shared" si="10"/>
        <v/>
      </c>
      <c r="P52" s="31" t="str">
        <f t="shared" si="11"/>
        <v/>
      </c>
      <c r="W52" s="25">
        <v>39640</v>
      </c>
      <c r="X52" s="24">
        <v>1270.5999999999999</v>
      </c>
      <c r="AA52" s="25">
        <v>40885</v>
      </c>
      <c r="AB52">
        <v>1.43149104706362</v>
      </c>
      <c r="AC52" s="24">
        <f t="shared" si="5"/>
        <v>143.14910470636198</v>
      </c>
    </row>
    <row r="53" spans="3:29">
      <c r="C53" s="25">
        <v>40892</v>
      </c>
      <c r="D53" s="28">
        <v>0.93969161247928745</v>
      </c>
      <c r="E53" s="28">
        <v>0.79646175435893696</v>
      </c>
      <c r="F53" s="29">
        <f t="shared" ca="1" si="1"/>
        <v>3676.1</v>
      </c>
      <c r="G53" s="29">
        <f t="shared" si="2"/>
        <v>145.56318627956</v>
      </c>
      <c r="H53" s="24">
        <f t="shared" si="3"/>
        <v>12</v>
      </c>
      <c r="I53" s="24">
        <f t="shared" si="4"/>
        <v>0</v>
      </c>
      <c r="J53" s="24">
        <f t="shared" si="0"/>
        <v>0</v>
      </c>
      <c r="K53" s="25" t="str">
        <f t="shared" si="6"/>
        <v/>
      </c>
      <c r="L53" s="25" t="e">
        <f t="shared" si="7"/>
        <v>#VALUE!</v>
      </c>
      <c r="M53" s="28" t="str">
        <f t="shared" si="8"/>
        <v/>
      </c>
      <c r="N53" s="28" t="str">
        <f t="shared" si="9"/>
        <v/>
      </c>
      <c r="O53" s="31" t="str">
        <f t="shared" si="10"/>
        <v/>
      </c>
      <c r="P53" s="31" t="str">
        <f t="shared" si="11"/>
        <v/>
      </c>
      <c r="W53" s="25">
        <v>39647</v>
      </c>
      <c r="X53" s="24">
        <v>1213.9000000000001</v>
      </c>
      <c r="AA53" s="25">
        <v>40892</v>
      </c>
      <c r="AB53">
        <v>1.4556318627956</v>
      </c>
      <c r="AC53" s="24">
        <f t="shared" si="5"/>
        <v>145.56318627956</v>
      </c>
    </row>
    <row r="54" spans="3:29">
      <c r="C54" s="25">
        <v>40899</v>
      </c>
      <c r="D54" s="28">
        <v>0.9601958662364245</v>
      </c>
      <c r="E54" s="28">
        <v>0.82537040355923197</v>
      </c>
      <c r="F54" s="29">
        <f t="shared" ca="1" si="1"/>
        <v>3684.5</v>
      </c>
      <c r="G54" s="29">
        <f t="shared" si="2"/>
        <v>150.874165740596</v>
      </c>
      <c r="H54" s="24">
        <f t="shared" si="3"/>
        <v>12</v>
      </c>
      <c r="I54" s="24">
        <f t="shared" si="4"/>
        <v>0</v>
      </c>
      <c r="J54" s="24">
        <f t="shared" si="0"/>
        <v>0</v>
      </c>
      <c r="K54" s="25" t="str">
        <f t="shared" si="6"/>
        <v/>
      </c>
      <c r="L54" s="25" t="e">
        <f t="shared" si="7"/>
        <v>#VALUE!</v>
      </c>
      <c r="M54" s="28" t="str">
        <f t="shared" si="8"/>
        <v/>
      </c>
      <c r="N54" s="28" t="str">
        <f t="shared" si="9"/>
        <v/>
      </c>
      <c r="O54" s="31" t="str">
        <f t="shared" si="10"/>
        <v/>
      </c>
      <c r="P54" s="31" t="str">
        <f t="shared" si="11"/>
        <v/>
      </c>
      <c r="W54" s="25">
        <v>39654</v>
      </c>
      <c r="X54" s="24">
        <v>874.1</v>
      </c>
      <c r="AA54" s="25">
        <v>40899</v>
      </c>
      <c r="AB54">
        <v>1.50874165740596</v>
      </c>
      <c r="AC54" s="24">
        <f t="shared" si="5"/>
        <v>150.874165740596</v>
      </c>
    </row>
    <row r="55" spans="3:29">
      <c r="C55" s="25">
        <v>40906</v>
      </c>
      <c r="D55" s="28">
        <v>0.94762260030460288</v>
      </c>
      <c r="E55" s="28">
        <v>0.81734633197465201</v>
      </c>
      <c r="F55" s="29">
        <f t="shared" ca="1" si="1"/>
        <v>3608.1</v>
      </c>
      <c r="G55" s="29">
        <f t="shared" si="2"/>
        <v>147.011635223479</v>
      </c>
      <c r="H55" s="24">
        <f t="shared" si="3"/>
        <v>12</v>
      </c>
      <c r="I55" s="24">
        <f t="shared" si="4"/>
        <v>0</v>
      </c>
      <c r="J55" s="24">
        <f t="shared" si="0"/>
        <v>1</v>
      </c>
      <c r="K55" s="25">
        <f t="shared" si="6"/>
        <v>40908</v>
      </c>
      <c r="L55" s="25">
        <f t="shared" si="7"/>
        <v>40907</v>
      </c>
      <c r="M55" s="28">
        <f t="shared" si="8"/>
        <v>0.94762260030460288</v>
      </c>
      <c r="N55" s="28">
        <f t="shared" si="9"/>
        <v>0.81734633197465201</v>
      </c>
      <c r="O55" s="31">
        <f t="shared" ca="1" si="10"/>
        <v>3608.1</v>
      </c>
      <c r="P55" s="31">
        <f t="shared" si="11"/>
        <v>147.011635223479</v>
      </c>
      <c r="W55" s="25">
        <v>39661</v>
      </c>
      <c r="X55" s="24">
        <v>897.7</v>
      </c>
      <c r="AA55" s="25">
        <v>40906</v>
      </c>
      <c r="AB55">
        <v>1.47011635223479</v>
      </c>
      <c r="AC55" s="24">
        <f t="shared" si="5"/>
        <v>147.011635223479</v>
      </c>
    </row>
    <row r="56" spans="3:29">
      <c r="C56" s="25">
        <v>40913</v>
      </c>
      <c r="D56" s="28">
        <v>0.94481773750585774</v>
      </c>
      <c r="E56" s="28">
        <v>0.80629912189469399</v>
      </c>
      <c r="F56" s="29">
        <f t="shared" ca="1" si="1"/>
        <v>3668.3</v>
      </c>
      <c r="G56" s="29">
        <f t="shared" si="2"/>
        <v>145.544576955243</v>
      </c>
      <c r="H56" s="24">
        <f t="shared" si="3"/>
        <v>1</v>
      </c>
      <c r="I56" s="24">
        <f t="shared" si="4"/>
        <v>1</v>
      </c>
      <c r="J56" s="24">
        <f t="shared" si="0"/>
        <v>0</v>
      </c>
      <c r="K56" s="25" t="str">
        <f t="shared" si="6"/>
        <v/>
      </c>
      <c r="L56" s="25" t="e">
        <f t="shared" si="7"/>
        <v>#VALUE!</v>
      </c>
      <c r="M56" s="28" t="str">
        <f t="shared" si="8"/>
        <v/>
      </c>
      <c r="N56" s="28" t="str">
        <f t="shared" si="9"/>
        <v/>
      </c>
      <c r="O56" s="31" t="str">
        <f t="shared" si="10"/>
        <v/>
      </c>
      <c r="P56" s="31" t="str">
        <f t="shared" si="11"/>
        <v/>
      </c>
      <c r="W56" s="25">
        <v>39668</v>
      </c>
      <c r="X56" s="24">
        <v>853.1</v>
      </c>
      <c r="AA56" s="25">
        <v>40913</v>
      </c>
      <c r="AB56">
        <v>1.4554457695524301</v>
      </c>
      <c r="AC56" s="24">
        <f t="shared" si="5"/>
        <v>145.544576955243</v>
      </c>
    </row>
    <row r="57" spans="3:29">
      <c r="C57" s="25">
        <v>40920</v>
      </c>
      <c r="D57" s="28">
        <v>0.95320351892281485</v>
      </c>
      <c r="E57" s="28">
        <v>0.81626218699844599</v>
      </c>
      <c r="F57" s="29">
        <f t="shared" ca="1" si="1"/>
        <v>4626.5</v>
      </c>
      <c r="G57" s="29">
        <f t="shared" si="2"/>
        <v>149.88558913867101</v>
      </c>
      <c r="H57" s="24">
        <f t="shared" si="3"/>
        <v>1</v>
      </c>
      <c r="I57" s="24">
        <f t="shared" si="4"/>
        <v>0</v>
      </c>
      <c r="J57" s="24">
        <f t="shared" si="0"/>
        <v>0</v>
      </c>
      <c r="K57" s="25" t="str">
        <f t="shared" si="6"/>
        <v/>
      </c>
      <c r="L57" s="25" t="e">
        <f t="shared" si="7"/>
        <v>#VALUE!</v>
      </c>
      <c r="M57" s="28" t="str">
        <f t="shared" si="8"/>
        <v/>
      </c>
      <c r="N57" s="28" t="str">
        <f t="shared" si="9"/>
        <v/>
      </c>
      <c r="O57" s="31" t="str">
        <f t="shared" si="10"/>
        <v/>
      </c>
      <c r="P57" s="31" t="str">
        <f t="shared" si="11"/>
        <v/>
      </c>
      <c r="W57" s="25">
        <v>39675</v>
      </c>
      <c r="X57" s="24">
        <v>815.2</v>
      </c>
      <c r="AA57" s="25">
        <v>40920</v>
      </c>
      <c r="AB57">
        <v>1.49885589138671</v>
      </c>
      <c r="AC57" s="24">
        <f t="shared" si="5"/>
        <v>149.88558913867101</v>
      </c>
    </row>
    <row r="58" spans="3:29">
      <c r="C58" s="25">
        <v>40927</v>
      </c>
      <c r="D58" s="28">
        <v>0.95182771809710431</v>
      </c>
      <c r="E58" s="28">
        <v>0.81461584859780101</v>
      </c>
      <c r="F58" s="29">
        <f t="shared" ca="1" si="1"/>
        <v>4326.3999999999996</v>
      </c>
      <c r="G58" s="29">
        <f t="shared" si="2"/>
        <v>148.43858507752802</v>
      </c>
      <c r="H58" s="24">
        <f t="shared" si="3"/>
        <v>1</v>
      </c>
      <c r="I58" s="24">
        <f t="shared" si="4"/>
        <v>0</v>
      </c>
      <c r="J58" s="24">
        <f t="shared" si="0"/>
        <v>0</v>
      </c>
      <c r="K58" s="25" t="str">
        <f t="shared" si="6"/>
        <v/>
      </c>
      <c r="L58" s="25" t="e">
        <f t="shared" si="7"/>
        <v>#VALUE!</v>
      </c>
      <c r="M58" s="28" t="str">
        <f t="shared" si="8"/>
        <v/>
      </c>
      <c r="N58" s="28" t="str">
        <f t="shared" si="9"/>
        <v/>
      </c>
      <c r="O58" s="31" t="str">
        <f t="shared" si="10"/>
        <v/>
      </c>
      <c r="P58" s="31" t="str">
        <f t="shared" si="11"/>
        <v/>
      </c>
      <c r="W58" s="25">
        <v>39682</v>
      </c>
      <c r="X58" s="24">
        <v>793.9</v>
      </c>
      <c r="AA58" s="25">
        <v>40927</v>
      </c>
      <c r="AB58">
        <v>1.4843858507752801</v>
      </c>
      <c r="AC58" s="24">
        <f t="shared" si="5"/>
        <v>148.43858507752802</v>
      </c>
    </row>
    <row r="59" spans="3:29">
      <c r="C59" s="25">
        <v>40934</v>
      </c>
      <c r="D59" s="28">
        <v>0.91861521434498927</v>
      </c>
      <c r="E59" s="28">
        <v>0.78339393568549298</v>
      </c>
      <c r="F59" s="29">
        <f t="shared" ca="1" si="1"/>
        <v>4184.3</v>
      </c>
      <c r="G59" s="29">
        <f t="shared" si="2"/>
        <v>141.20356477181699</v>
      </c>
      <c r="H59" s="24">
        <f t="shared" si="3"/>
        <v>1</v>
      </c>
      <c r="I59" s="24">
        <f t="shared" si="4"/>
        <v>0</v>
      </c>
      <c r="J59" s="24">
        <f t="shared" si="0"/>
        <v>1</v>
      </c>
      <c r="K59" s="25">
        <f t="shared" si="6"/>
        <v>40939</v>
      </c>
      <c r="L59" s="25">
        <f t="shared" si="7"/>
        <v>40939</v>
      </c>
      <c r="M59" s="28">
        <f t="shared" si="8"/>
        <v>0.91861521434498927</v>
      </c>
      <c r="N59" s="28">
        <f t="shared" si="9"/>
        <v>0.78339393568549298</v>
      </c>
      <c r="O59" s="31">
        <f t="shared" ca="1" si="10"/>
        <v>4184.3</v>
      </c>
      <c r="P59" s="31">
        <f t="shared" si="11"/>
        <v>141.20356477181699</v>
      </c>
      <c r="W59" s="25">
        <v>39689</v>
      </c>
      <c r="X59" s="24">
        <v>825</v>
      </c>
      <c r="AA59" s="25">
        <v>40934</v>
      </c>
      <c r="AB59">
        <v>1.4120356477181699</v>
      </c>
      <c r="AC59" s="24">
        <f t="shared" si="5"/>
        <v>141.20356477181699</v>
      </c>
    </row>
    <row r="60" spans="3:29">
      <c r="C60" s="25">
        <v>40941</v>
      </c>
      <c r="D60" s="28">
        <v>0.94107838104995334</v>
      </c>
      <c r="E60" s="28">
        <v>0.79842547980239797</v>
      </c>
      <c r="F60" s="29">
        <f t="shared" ca="1" si="1"/>
        <v>4617.1000000000004</v>
      </c>
      <c r="G60" s="29">
        <f t="shared" si="2"/>
        <v>145.722625712195</v>
      </c>
      <c r="H60" s="24">
        <f t="shared" si="3"/>
        <v>2</v>
      </c>
      <c r="I60" s="24">
        <f t="shared" si="4"/>
        <v>1</v>
      </c>
      <c r="J60" s="24">
        <f t="shared" si="0"/>
        <v>0</v>
      </c>
      <c r="K60" s="25" t="str">
        <f t="shared" si="6"/>
        <v/>
      </c>
      <c r="L60" s="25" t="e">
        <f t="shared" si="7"/>
        <v>#VALUE!</v>
      </c>
      <c r="M60" s="28" t="str">
        <f t="shared" si="8"/>
        <v/>
      </c>
      <c r="N60" s="28" t="str">
        <f t="shared" si="9"/>
        <v/>
      </c>
      <c r="O60" s="31" t="str">
        <f t="shared" si="10"/>
        <v/>
      </c>
      <c r="P60" s="31" t="str">
        <f t="shared" si="11"/>
        <v/>
      </c>
      <c r="W60" s="25">
        <v>39696</v>
      </c>
      <c r="X60" s="24">
        <v>998.3</v>
      </c>
      <c r="AA60" s="25">
        <v>40941</v>
      </c>
      <c r="AB60">
        <v>1.4572262571219501</v>
      </c>
      <c r="AC60" s="24">
        <f t="shared" si="5"/>
        <v>145.722625712195</v>
      </c>
    </row>
    <row r="61" spans="3:29">
      <c r="C61" s="25">
        <v>40948</v>
      </c>
      <c r="D61" s="28">
        <v>0.94107838104995334</v>
      </c>
      <c r="E61" s="28">
        <v>0.79842547980239797</v>
      </c>
      <c r="F61" s="29">
        <f t="shared" ca="1" si="1"/>
        <v>4716.1000000000004</v>
      </c>
      <c r="G61" s="29">
        <f t="shared" si="2"/>
        <v>145.722625712195</v>
      </c>
      <c r="H61" s="24">
        <f t="shared" si="3"/>
        <v>2</v>
      </c>
      <c r="I61" s="24">
        <f t="shared" si="4"/>
        <v>0</v>
      </c>
      <c r="J61" s="24">
        <f t="shared" si="0"/>
        <v>0</v>
      </c>
      <c r="K61" s="25" t="str">
        <f t="shared" si="6"/>
        <v/>
      </c>
      <c r="L61" s="25" t="e">
        <f t="shared" si="7"/>
        <v>#VALUE!</v>
      </c>
      <c r="M61" s="28" t="str">
        <f t="shared" si="8"/>
        <v/>
      </c>
      <c r="N61" s="28" t="str">
        <f t="shared" si="9"/>
        <v/>
      </c>
      <c r="O61" s="31" t="str">
        <f t="shared" si="10"/>
        <v/>
      </c>
      <c r="P61" s="31" t="str">
        <f t="shared" si="11"/>
        <v/>
      </c>
      <c r="W61" s="25">
        <v>39703</v>
      </c>
      <c r="X61" s="24">
        <v>2068.5</v>
      </c>
      <c r="AA61" s="25">
        <v>40948</v>
      </c>
      <c r="AB61">
        <v>1.4572262571219501</v>
      </c>
      <c r="AC61" s="24">
        <f t="shared" si="5"/>
        <v>145.722625712195</v>
      </c>
    </row>
    <row r="62" spans="3:29">
      <c r="C62" s="25">
        <v>40955</v>
      </c>
      <c r="D62" s="28">
        <v>0.94107838104995334</v>
      </c>
      <c r="E62" s="28">
        <v>0.79842547980239797</v>
      </c>
      <c r="F62" s="29">
        <f t="shared" ca="1" si="1"/>
        <v>4466.8999999999996</v>
      </c>
      <c r="G62" s="29">
        <f t="shared" si="2"/>
        <v>145.722625712195</v>
      </c>
      <c r="H62" s="24">
        <f t="shared" si="3"/>
        <v>2</v>
      </c>
      <c r="I62" s="24">
        <f t="shared" si="4"/>
        <v>0</v>
      </c>
      <c r="J62" s="24">
        <f t="shared" si="0"/>
        <v>0</v>
      </c>
      <c r="K62" s="25" t="str">
        <f t="shared" si="6"/>
        <v/>
      </c>
      <c r="L62" s="25" t="e">
        <f t="shared" si="7"/>
        <v>#VALUE!</v>
      </c>
      <c r="M62" s="28" t="str">
        <f t="shared" si="8"/>
        <v/>
      </c>
      <c r="N62" s="28" t="str">
        <f t="shared" si="9"/>
        <v/>
      </c>
      <c r="O62" s="31" t="str">
        <f t="shared" si="10"/>
        <v/>
      </c>
      <c r="P62" s="31" t="str">
        <f t="shared" si="11"/>
        <v/>
      </c>
      <c r="W62" s="25">
        <v>39710</v>
      </c>
      <c r="X62" s="24">
        <v>1756.8</v>
      </c>
      <c r="AA62" s="25">
        <v>40955</v>
      </c>
      <c r="AB62">
        <v>1.4572262571219501</v>
      </c>
      <c r="AC62" s="24">
        <f t="shared" si="5"/>
        <v>145.722625712195</v>
      </c>
    </row>
    <row r="63" spans="3:29">
      <c r="C63" s="25">
        <v>40962</v>
      </c>
      <c r="D63" s="28">
        <v>0.90921329115869776</v>
      </c>
      <c r="E63" s="28">
        <v>0.76669716579457303</v>
      </c>
      <c r="F63" s="29">
        <f t="shared" ca="1" si="1"/>
        <v>4379.1000000000004</v>
      </c>
      <c r="G63" s="29">
        <f t="shared" si="2"/>
        <v>138.01155467372499</v>
      </c>
      <c r="H63" s="24">
        <f t="shared" si="3"/>
        <v>2</v>
      </c>
      <c r="I63" s="24">
        <f t="shared" si="4"/>
        <v>0</v>
      </c>
      <c r="J63" s="24">
        <f t="shared" si="0"/>
        <v>1</v>
      </c>
      <c r="K63" s="25">
        <f t="shared" si="6"/>
        <v>40968</v>
      </c>
      <c r="L63" s="25">
        <f t="shared" si="7"/>
        <v>40968</v>
      </c>
      <c r="M63" s="28">
        <f t="shared" si="8"/>
        <v>0.90921329115869776</v>
      </c>
      <c r="N63" s="28">
        <f t="shared" si="9"/>
        <v>0.76669716579457303</v>
      </c>
      <c r="O63" s="31">
        <f t="shared" ca="1" si="10"/>
        <v>4379.1000000000004</v>
      </c>
      <c r="P63" s="31">
        <f t="shared" si="11"/>
        <v>138.01155467372499</v>
      </c>
      <c r="W63" s="25">
        <v>39717</v>
      </c>
      <c r="X63" s="24">
        <v>1026</v>
      </c>
      <c r="AA63" s="25">
        <v>40962</v>
      </c>
      <c r="AB63">
        <v>1.3801155467372499</v>
      </c>
      <c r="AC63" s="24">
        <f t="shared" si="5"/>
        <v>138.01155467372499</v>
      </c>
    </row>
    <row r="64" spans="3:29">
      <c r="C64" s="25">
        <v>40969</v>
      </c>
      <c r="D64" s="28">
        <v>0.91584710240533518</v>
      </c>
      <c r="E64" s="28">
        <v>0.77480777056815697</v>
      </c>
      <c r="F64" s="29">
        <f t="shared" ca="1" si="1"/>
        <v>4277.6000000000004</v>
      </c>
      <c r="G64" s="29">
        <f t="shared" si="2"/>
        <v>138.89473785034102</v>
      </c>
      <c r="H64" s="24">
        <f t="shared" si="3"/>
        <v>3</v>
      </c>
      <c r="I64" s="24">
        <f t="shared" si="4"/>
        <v>1</v>
      </c>
      <c r="J64" s="24">
        <f t="shared" si="0"/>
        <v>0</v>
      </c>
      <c r="K64" s="25" t="str">
        <f t="shared" si="6"/>
        <v/>
      </c>
      <c r="L64" s="25" t="e">
        <f t="shared" si="7"/>
        <v>#VALUE!</v>
      </c>
      <c r="M64" s="28" t="str">
        <f t="shared" si="8"/>
        <v/>
      </c>
      <c r="N64" s="28" t="str">
        <f t="shared" si="9"/>
        <v/>
      </c>
      <c r="O64" s="31" t="str">
        <f t="shared" si="10"/>
        <v/>
      </c>
      <c r="P64" s="31" t="str">
        <f t="shared" si="11"/>
        <v/>
      </c>
      <c r="W64" s="25">
        <v>39724</v>
      </c>
      <c r="X64" s="24">
        <v>999.6</v>
      </c>
      <c r="AA64" s="25">
        <v>40969</v>
      </c>
      <c r="AB64">
        <v>1.3889473785034101</v>
      </c>
      <c r="AC64" s="24">
        <f t="shared" si="5"/>
        <v>138.89473785034102</v>
      </c>
    </row>
    <row r="65" spans="3:29">
      <c r="C65" s="25">
        <v>40976</v>
      </c>
      <c r="D65" s="28">
        <v>0.91902765125865959</v>
      </c>
      <c r="E65" s="28">
        <v>0.78283886771012201</v>
      </c>
      <c r="F65" s="29">
        <f t="shared" ca="1" si="1"/>
        <v>4063.4</v>
      </c>
      <c r="G65" s="29">
        <f t="shared" si="2"/>
        <v>140.81894628653299</v>
      </c>
      <c r="H65" s="24">
        <f t="shared" si="3"/>
        <v>3</v>
      </c>
      <c r="I65" s="24">
        <f t="shared" si="4"/>
        <v>0</v>
      </c>
      <c r="J65" s="24">
        <f t="shared" si="0"/>
        <v>0</v>
      </c>
      <c r="K65" s="25" t="str">
        <f t="shared" si="6"/>
        <v/>
      </c>
      <c r="L65" s="25" t="e">
        <f t="shared" si="7"/>
        <v>#VALUE!</v>
      </c>
      <c r="M65" s="28" t="str">
        <f t="shared" si="8"/>
        <v/>
      </c>
      <c r="N65" s="28" t="str">
        <f t="shared" si="9"/>
        <v/>
      </c>
      <c r="O65" s="31" t="str">
        <f t="shared" si="10"/>
        <v/>
      </c>
      <c r="P65" s="31" t="str">
        <f t="shared" si="11"/>
        <v/>
      </c>
      <c r="W65" s="25">
        <v>39731</v>
      </c>
      <c r="X65" s="24">
        <v>1190.8</v>
      </c>
      <c r="AA65" s="25">
        <v>40976</v>
      </c>
      <c r="AB65">
        <v>1.40818946286533</v>
      </c>
      <c r="AC65" s="24">
        <f t="shared" si="5"/>
        <v>140.81894628653299</v>
      </c>
    </row>
    <row r="66" spans="3:29">
      <c r="C66" s="25">
        <v>40983</v>
      </c>
      <c r="D66" s="28">
        <v>0.90514599034862198</v>
      </c>
      <c r="E66" s="28">
        <v>0.77421402081353796</v>
      </c>
      <c r="F66" s="29">
        <f t="shared" ca="1" si="1"/>
        <v>3715.2</v>
      </c>
      <c r="G66" s="29">
        <f t="shared" si="2"/>
        <v>136.97052941414901</v>
      </c>
      <c r="H66" s="24">
        <f t="shared" si="3"/>
        <v>3</v>
      </c>
      <c r="I66" s="24">
        <f t="shared" si="4"/>
        <v>0</v>
      </c>
      <c r="J66" s="24">
        <f t="shared" si="0"/>
        <v>0</v>
      </c>
      <c r="K66" s="25" t="str">
        <f t="shared" si="6"/>
        <v/>
      </c>
      <c r="L66" s="25" t="e">
        <f t="shared" si="7"/>
        <v>#VALUE!</v>
      </c>
      <c r="M66" s="28" t="str">
        <f t="shared" si="8"/>
        <v/>
      </c>
      <c r="N66" s="28" t="str">
        <f t="shared" si="9"/>
        <v/>
      </c>
      <c r="O66" s="31" t="str">
        <f t="shared" si="10"/>
        <v/>
      </c>
      <c r="P66" s="31" t="str">
        <f t="shared" si="11"/>
        <v/>
      </c>
      <c r="W66" s="25">
        <v>39738</v>
      </c>
      <c r="X66" s="24">
        <v>798</v>
      </c>
      <c r="AA66" s="25">
        <v>40983</v>
      </c>
      <c r="AB66">
        <v>1.36970529414149</v>
      </c>
      <c r="AC66" s="24">
        <f t="shared" si="5"/>
        <v>136.97052941414901</v>
      </c>
    </row>
    <row r="67" spans="3:29">
      <c r="C67" s="25">
        <v>40990</v>
      </c>
      <c r="D67" s="28">
        <v>0.78959380464288376</v>
      </c>
      <c r="E67" s="28">
        <v>0.69937061468571404</v>
      </c>
      <c r="F67" s="29">
        <f t="shared" ca="1" si="1"/>
        <v>3588.4</v>
      </c>
      <c r="G67" s="29">
        <f t="shared" si="2"/>
        <v>121.57686192039101</v>
      </c>
      <c r="H67" s="24">
        <f t="shared" si="3"/>
        <v>3</v>
      </c>
      <c r="I67" s="24">
        <f t="shared" si="4"/>
        <v>0</v>
      </c>
      <c r="J67" s="24">
        <f t="shared" si="0"/>
        <v>0</v>
      </c>
      <c r="K67" s="25" t="str">
        <f t="shared" si="6"/>
        <v/>
      </c>
      <c r="L67" s="25" t="e">
        <f t="shared" si="7"/>
        <v>#VALUE!</v>
      </c>
      <c r="M67" s="28" t="str">
        <f t="shared" si="8"/>
        <v/>
      </c>
      <c r="N67" s="28" t="str">
        <f t="shared" si="9"/>
        <v/>
      </c>
      <c r="O67" s="31" t="str">
        <f t="shared" si="10"/>
        <v/>
      </c>
      <c r="P67" s="31" t="str">
        <f t="shared" si="11"/>
        <v/>
      </c>
      <c r="W67" s="25">
        <v>39745</v>
      </c>
      <c r="X67" s="24">
        <v>1135.5999999999999</v>
      </c>
      <c r="AA67" s="25">
        <v>40990</v>
      </c>
      <c r="AB67">
        <v>1.2157686192039101</v>
      </c>
      <c r="AC67" s="24">
        <f t="shared" si="5"/>
        <v>121.57686192039101</v>
      </c>
    </row>
    <row r="68" spans="3:29">
      <c r="C68" s="25">
        <v>40997</v>
      </c>
      <c r="D68" s="28">
        <v>0.87490910290764468</v>
      </c>
      <c r="E68" s="28">
        <v>0.749723434167341</v>
      </c>
      <c r="F68" s="29">
        <f t="shared" ca="1" si="1"/>
        <v>3699.5</v>
      </c>
      <c r="G68" s="29">
        <f t="shared" si="2"/>
        <v>132.64106043271801</v>
      </c>
      <c r="H68" s="24">
        <f t="shared" si="3"/>
        <v>3</v>
      </c>
      <c r="I68" s="24">
        <f t="shared" si="4"/>
        <v>0</v>
      </c>
      <c r="J68" s="24">
        <f t="shared" ref="J68:J131" si="12">I69</f>
        <v>1</v>
      </c>
      <c r="K68" s="25">
        <f t="shared" si="6"/>
        <v>40999</v>
      </c>
      <c r="L68" s="25">
        <f t="shared" si="7"/>
        <v>40998</v>
      </c>
      <c r="M68" s="28">
        <f t="shared" si="8"/>
        <v>0.87490910290764468</v>
      </c>
      <c r="N68" s="28">
        <f t="shared" si="9"/>
        <v>0.749723434167341</v>
      </c>
      <c r="O68" s="31">
        <f t="shared" ca="1" si="10"/>
        <v>3699.5</v>
      </c>
      <c r="P68" s="31">
        <f t="shared" si="11"/>
        <v>132.64106043271801</v>
      </c>
      <c r="W68" s="25">
        <v>39752</v>
      </c>
      <c r="X68" s="24">
        <v>688.8</v>
      </c>
      <c r="AA68" s="25">
        <v>40997</v>
      </c>
      <c r="AB68">
        <v>1.3264106043271799</v>
      </c>
      <c r="AC68" s="24">
        <f t="shared" si="5"/>
        <v>132.64106043271801</v>
      </c>
    </row>
    <row r="69" spans="3:29">
      <c r="C69" s="25">
        <v>41004</v>
      </c>
      <c r="D69" s="28">
        <v>0.86928745494692716</v>
      </c>
      <c r="E69" s="28">
        <v>0.75253147533014197</v>
      </c>
      <c r="F69" s="29">
        <f t="shared" ref="F69:F132" ca="1" si="13">VLOOKUP(C69+1,W:X,2,0)</f>
        <v>3549.3</v>
      </c>
      <c r="G69" s="29">
        <f t="shared" ref="G69:G132" si="14">VLOOKUP(C69,AA:AC,3,0)</f>
        <v>134.17167072991001</v>
      </c>
      <c r="H69" s="24">
        <f t="shared" ref="H69:H132" si="15">MONTH(C69)</f>
        <v>4</v>
      </c>
      <c r="I69" s="24">
        <f t="shared" ref="I69:I132" si="16">IF(H69=H68,0,1)</f>
        <v>1</v>
      </c>
      <c r="J69" s="24">
        <f t="shared" si="12"/>
        <v>0</v>
      </c>
      <c r="K69" s="25" t="str">
        <f t="shared" si="6"/>
        <v/>
      </c>
      <c r="L69" s="25" t="e">
        <f t="shared" si="7"/>
        <v>#VALUE!</v>
      </c>
      <c r="M69" s="28" t="str">
        <f t="shared" si="8"/>
        <v/>
      </c>
      <c r="N69" s="28" t="str">
        <f t="shared" si="9"/>
        <v/>
      </c>
      <c r="O69" s="31" t="str">
        <f t="shared" si="10"/>
        <v/>
      </c>
      <c r="P69" s="31" t="str">
        <f t="shared" si="11"/>
        <v/>
      </c>
      <c r="W69" s="25">
        <v>39759</v>
      </c>
      <c r="X69" s="24">
        <v>907.7</v>
      </c>
      <c r="AA69" s="25">
        <v>41004</v>
      </c>
      <c r="AB69">
        <v>1.3417167072991001</v>
      </c>
      <c r="AC69" s="24">
        <f t="shared" ref="AC69:AC132" si="17">AB69*100</f>
        <v>134.17167072991001</v>
      </c>
    </row>
    <row r="70" spans="3:29">
      <c r="C70" s="25">
        <v>41011</v>
      </c>
      <c r="D70" s="28">
        <v>0.90849340717481886</v>
      </c>
      <c r="E70" s="28">
        <v>0.80193881910043296</v>
      </c>
      <c r="F70" s="29">
        <f t="shared" ca="1" si="13"/>
        <v>4144.3</v>
      </c>
      <c r="G70" s="29">
        <f t="shared" si="14"/>
        <v>143.85435275781299</v>
      </c>
      <c r="H70" s="24">
        <f t="shared" si="15"/>
        <v>4</v>
      </c>
      <c r="I70" s="24">
        <f t="shared" si="16"/>
        <v>0</v>
      </c>
      <c r="J70" s="24">
        <f t="shared" si="12"/>
        <v>0</v>
      </c>
      <c r="K70" s="25" t="str">
        <f t="shared" si="6"/>
        <v/>
      </c>
      <c r="L70" s="25" t="e">
        <f t="shared" si="7"/>
        <v>#VALUE!</v>
      </c>
      <c r="M70" s="28" t="str">
        <f t="shared" si="8"/>
        <v/>
      </c>
      <c r="N70" s="28" t="str">
        <f t="shared" si="9"/>
        <v/>
      </c>
      <c r="O70" s="31" t="str">
        <f t="shared" si="10"/>
        <v/>
      </c>
      <c r="P70" s="31" t="str">
        <f t="shared" si="11"/>
        <v/>
      </c>
      <c r="W70" s="25">
        <v>39766</v>
      </c>
      <c r="X70" s="24">
        <v>927.3</v>
      </c>
      <c r="AA70" s="25">
        <v>41011</v>
      </c>
      <c r="AB70">
        <v>1.43854352757813</v>
      </c>
      <c r="AC70" s="24">
        <f t="shared" si="17"/>
        <v>143.85435275781299</v>
      </c>
    </row>
    <row r="71" spans="3:29">
      <c r="C71" s="25">
        <v>41018</v>
      </c>
      <c r="D71" s="28">
        <v>0.9034983903169389</v>
      </c>
      <c r="E71" s="28">
        <v>0.77781138796328697</v>
      </c>
      <c r="F71" s="29">
        <f t="shared" ca="1" si="13"/>
        <v>3892.2</v>
      </c>
      <c r="G71" s="29">
        <f t="shared" si="14"/>
        <v>139.49714584525501</v>
      </c>
      <c r="H71" s="24">
        <f t="shared" si="15"/>
        <v>4</v>
      </c>
      <c r="I71" s="24">
        <f t="shared" si="16"/>
        <v>0</v>
      </c>
      <c r="J71" s="24">
        <f t="shared" si="12"/>
        <v>0</v>
      </c>
      <c r="K71" s="25" t="str">
        <f t="shared" si="6"/>
        <v/>
      </c>
      <c r="L71" s="25" t="e">
        <f t="shared" si="7"/>
        <v>#VALUE!</v>
      </c>
      <c r="M71" s="28" t="str">
        <f t="shared" si="8"/>
        <v/>
      </c>
      <c r="N71" s="28" t="str">
        <f t="shared" si="9"/>
        <v/>
      </c>
      <c r="O71" s="31" t="str">
        <f t="shared" si="10"/>
        <v/>
      </c>
      <c r="P71" s="31" t="str">
        <f t="shared" si="11"/>
        <v/>
      </c>
      <c r="W71" s="25">
        <v>39773</v>
      </c>
      <c r="X71" s="24">
        <v>896.8</v>
      </c>
      <c r="AA71" s="25">
        <v>41018</v>
      </c>
      <c r="AB71">
        <v>1.3949714584525501</v>
      </c>
      <c r="AC71" s="24">
        <f t="shared" si="17"/>
        <v>139.49714584525501</v>
      </c>
    </row>
    <row r="72" spans="3:29">
      <c r="C72" s="25">
        <v>41025</v>
      </c>
      <c r="D72" s="28">
        <v>0.90849340717481886</v>
      </c>
      <c r="E72" s="28">
        <v>0.80193881910043296</v>
      </c>
      <c r="F72" s="29">
        <f t="shared" ca="1" si="13"/>
        <v>3856</v>
      </c>
      <c r="G72" s="29">
        <f t="shared" si="14"/>
        <v>143.85435275781299</v>
      </c>
      <c r="H72" s="24">
        <f t="shared" si="15"/>
        <v>4</v>
      </c>
      <c r="I72" s="24">
        <f t="shared" si="16"/>
        <v>0</v>
      </c>
      <c r="J72" s="24">
        <f t="shared" si="12"/>
        <v>1</v>
      </c>
      <c r="K72" s="25">
        <f t="shared" ref="K72:K135" si="18">IF(J72=1,EOMONTH(C72,0),"")</f>
        <v>41029</v>
      </c>
      <c r="L72" s="25">
        <f t="shared" ref="L72:L135" si="19">IF(WEEKDAY(K72,2)=6,K72-1,IF(WEEKDAY(K72,2)=7,K72-2,IF(J72=1,K72,"")))</f>
        <v>41029</v>
      </c>
      <c r="M72" s="28">
        <f t="shared" ref="M72:M135" si="20">IF(J72=1,D72,"")</f>
        <v>0.90849340717481886</v>
      </c>
      <c r="N72" s="28">
        <f t="shared" ref="N72:N135" si="21">IF($J72=1,E72,"")</f>
        <v>0.80193881910043296</v>
      </c>
      <c r="O72" s="31">
        <f t="shared" ref="O72:O135" ca="1" si="22">IF($J72=1,F72,"")</f>
        <v>3856</v>
      </c>
      <c r="P72" s="31">
        <f t="shared" ref="P72:P135" si="23">IF($J72=1,G72,"")</f>
        <v>143.85435275781299</v>
      </c>
      <c r="W72" s="25">
        <v>39780</v>
      </c>
      <c r="X72" s="24">
        <v>3552.9</v>
      </c>
      <c r="AA72" s="25">
        <v>41025</v>
      </c>
      <c r="AB72">
        <v>1.43854352757813</v>
      </c>
      <c r="AC72" s="24">
        <f t="shared" si="17"/>
        <v>143.85435275781299</v>
      </c>
    </row>
    <row r="73" spans="3:29">
      <c r="C73" s="25">
        <v>41032</v>
      </c>
      <c r="D73" s="28">
        <v>0.89225108632442729</v>
      </c>
      <c r="E73" s="28">
        <v>0.80437080516661097</v>
      </c>
      <c r="F73" s="29">
        <f t="shared" ca="1" si="13"/>
        <v>3924.4</v>
      </c>
      <c r="G73" s="29">
        <f t="shared" si="14"/>
        <v>145.97077164452702</v>
      </c>
      <c r="H73" s="24">
        <f t="shared" si="15"/>
        <v>5</v>
      </c>
      <c r="I73" s="24">
        <f t="shared" si="16"/>
        <v>1</v>
      </c>
      <c r="J73" s="24">
        <f t="shared" si="12"/>
        <v>0</v>
      </c>
      <c r="K73" s="25" t="str">
        <f t="shared" si="18"/>
        <v/>
      </c>
      <c r="L73" s="25" t="e">
        <f t="shared" si="19"/>
        <v>#VALUE!</v>
      </c>
      <c r="M73" s="28" t="str">
        <f t="shared" si="20"/>
        <v/>
      </c>
      <c r="N73" s="28" t="str">
        <f t="shared" si="21"/>
        <v/>
      </c>
      <c r="O73" s="31" t="str">
        <f t="shared" si="22"/>
        <v/>
      </c>
      <c r="P73" s="31" t="str">
        <f t="shared" si="23"/>
        <v/>
      </c>
      <c r="W73" s="25">
        <v>39787</v>
      </c>
      <c r="X73" s="24">
        <v>3746.9</v>
      </c>
      <c r="AA73" s="25">
        <v>41032</v>
      </c>
      <c r="AB73">
        <v>1.4597077164452701</v>
      </c>
      <c r="AC73" s="24">
        <f t="shared" si="17"/>
        <v>145.97077164452702</v>
      </c>
    </row>
    <row r="74" spans="3:29">
      <c r="C74" s="25">
        <v>41039</v>
      </c>
      <c r="D74" s="28">
        <v>0.89337268606647302</v>
      </c>
      <c r="E74" s="28">
        <v>0.807152941952609</v>
      </c>
      <c r="F74" s="29">
        <f t="shared" ca="1" si="13"/>
        <v>4482</v>
      </c>
      <c r="G74" s="29">
        <f t="shared" si="14"/>
        <v>149.378045260004</v>
      </c>
      <c r="H74" s="24">
        <f t="shared" si="15"/>
        <v>5</v>
      </c>
      <c r="I74" s="24">
        <f t="shared" si="16"/>
        <v>0</v>
      </c>
      <c r="J74" s="24">
        <f t="shared" si="12"/>
        <v>0</v>
      </c>
      <c r="K74" s="25" t="str">
        <f t="shared" si="18"/>
        <v/>
      </c>
      <c r="L74" s="25" t="e">
        <f t="shared" si="19"/>
        <v>#VALUE!</v>
      </c>
      <c r="M74" s="28" t="str">
        <f t="shared" si="20"/>
        <v/>
      </c>
      <c r="N74" s="28" t="str">
        <f t="shared" si="21"/>
        <v/>
      </c>
      <c r="O74" s="31" t="str">
        <f t="shared" si="22"/>
        <v/>
      </c>
      <c r="P74" s="31" t="str">
        <f t="shared" si="23"/>
        <v/>
      </c>
      <c r="W74" s="25">
        <v>39794</v>
      </c>
      <c r="X74" s="24">
        <v>4013.2</v>
      </c>
      <c r="AA74" s="25">
        <v>41039</v>
      </c>
      <c r="AB74">
        <v>1.49378045260004</v>
      </c>
      <c r="AC74" s="24">
        <f t="shared" si="17"/>
        <v>149.378045260004</v>
      </c>
    </row>
    <row r="75" spans="3:29">
      <c r="C75" s="25">
        <v>41046</v>
      </c>
      <c r="D75" s="28">
        <v>0.8948997967143093</v>
      </c>
      <c r="E75" s="28">
        <v>0.83152220645888697</v>
      </c>
      <c r="F75" s="29">
        <f t="shared" ca="1" si="13"/>
        <v>4732</v>
      </c>
      <c r="G75" s="29">
        <f t="shared" si="14"/>
        <v>153.27207224912399</v>
      </c>
      <c r="H75" s="24">
        <f t="shared" si="15"/>
        <v>5</v>
      </c>
      <c r="I75" s="24">
        <f t="shared" si="16"/>
        <v>0</v>
      </c>
      <c r="J75" s="24">
        <f t="shared" si="12"/>
        <v>0</v>
      </c>
      <c r="K75" s="25" t="str">
        <f t="shared" si="18"/>
        <v/>
      </c>
      <c r="L75" s="25" t="e">
        <f t="shared" si="19"/>
        <v>#VALUE!</v>
      </c>
      <c r="M75" s="28" t="str">
        <f t="shared" si="20"/>
        <v/>
      </c>
      <c r="N75" s="28" t="str">
        <f t="shared" si="21"/>
        <v/>
      </c>
      <c r="O75" s="31" t="str">
        <f t="shared" si="22"/>
        <v/>
      </c>
      <c r="P75" s="31" t="str">
        <f t="shared" si="23"/>
        <v/>
      </c>
      <c r="W75" s="25">
        <v>39801</v>
      </c>
      <c r="X75" s="24">
        <v>7098.9</v>
      </c>
      <c r="AA75" s="25">
        <v>41046</v>
      </c>
      <c r="AB75">
        <v>1.53272072249124</v>
      </c>
      <c r="AC75" s="24">
        <f t="shared" si="17"/>
        <v>153.27207224912399</v>
      </c>
    </row>
    <row r="76" spans="3:29">
      <c r="C76" s="25">
        <v>41053</v>
      </c>
      <c r="D76" s="28">
        <v>0.89443957907281746</v>
      </c>
      <c r="E76" s="28">
        <v>0.82948257912141399</v>
      </c>
      <c r="F76" s="29">
        <f t="shared" ca="1" si="13"/>
        <v>4675.8999999999996</v>
      </c>
      <c r="G76" s="29">
        <f t="shared" si="14"/>
        <v>151.81181212820499</v>
      </c>
      <c r="H76" s="24">
        <f t="shared" si="15"/>
        <v>5</v>
      </c>
      <c r="I76" s="24">
        <f t="shared" si="16"/>
        <v>0</v>
      </c>
      <c r="J76" s="24">
        <f t="shared" si="12"/>
        <v>0</v>
      </c>
      <c r="K76" s="25" t="str">
        <f t="shared" si="18"/>
        <v/>
      </c>
      <c r="L76" s="25" t="e">
        <f t="shared" si="19"/>
        <v>#VALUE!</v>
      </c>
      <c r="M76" s="28" t="str">
        <f t="shared" si="20"/>
        <v/>
      </c>
      <c r="N76" s="28" t="str">
        <f t="shared" si="21"/>
        <v/>
      </c>
      <c r="O76" s="31" t="str">
        <f t="shared" si="22"/>
        <v/>
      </c>
      <c r="P76" s="31" t="str">
        <f t="shared" si="23"/>
        <v/>
      </c>
      <c r="W76" s="25">
        <v>39808</v>
      </c>
      <c r="X76" s="24">
        <v>7132.7</v>
      </c>
      <c r="AA76" s="25">
        <v>41053</v>
      </c>
      <c r="AB76">
        <v>1.51811812128205</v>
      </c>
      <c r="AC76" s="24">
        <f t="shared" si="17"/>
        <v>151.81181212820499</v>
      </c>
    </row>
    <row r="77" spans="3:29">
      <c r="C77" s="25">
        <v>41060</v>
      </c>
      <c r="D77" s="28">
        <v>0.89512122084695944</v>
      </c>
      <c r="E77" s="28">
        <v>0.83268888035603505</v>
      </c>
      <c r="F77" s="29">
        <f t="shared" ca="1" si="13"/>
        <v>4736</v>
      </c>
      <c r="G77" s="29">
        <f t="shared" si="14"/>
        <v>154.73233237004399</v>
      </c>
      <c r="H77" s="24">
        <f t="shared" si="15"/>
        <v>5</v>
      </c>
      <c r="I77" s="24">
        <f t="shared" si="16"/>
        <v>0</v>
      </c>
      <c r="J77" s="24">
        <f t="shared" si="12"/>
        <v>1</v>
      </c>
      <c r="K77" s="25">
        <f t="shared" si="18"/>
        <v>41060</v>
      </c>
      <c r="L77" s="25">
        <f t="shared" si="19"/>
        <v>41060</v>
      </c>
      <c r="M77" s="28">
        <f t="shared" si="20"/>
        <v>0.89512122084695944</v>
      </c>
      <c r="N77" s="28">
        <f t="shared" si="21"/>
        <v>0.83268888035603505</v>
      </c>
      <c r="O77" s="31">
        <f t="shared" ca="1" si="22"/>
        <v>4736</v>
      </c>
      <c r="P77" s="31">
        <f t="shared" si="23"/>
        <v>154.73233237004399</v>
      </c>
      <c r="W77" s="25">
        <v>39815</v>
      </c>
      <c r="X77" s="24">
        <v>6060.5</v>
      </c>
      <c r="AA77" s="25">
        <v>41060</v>
      </c>
      <c r="AB77">
        <v>1.54732332370044</v>
      </c>
      <c r="AC77" s="24">
        <f t="shared" si="17"/>
        <v>154.73233237004399</v>
      </c>
    </row>
    <row r="78" spans="3:29">
      <c r="C78" s="25">
        <v>41067</v>
      </c>
      <c r="D78" s="28">
        <v>0.8920195449585564</v>
      </c>
      <c r="E78" s="28">
        <v>0.86243439572202496</v>
      </c>
      <c r="F78" s="29">
        <f t="shared" ca="1" si="13"/>
        <v>5590</v>
      </c>
      <c r="G78" s="29">
        <f t="shared" si="14"/>
        <v>163.99648045627799</v>
      </c>
      <c r="H78" s="24">
        <f t="shared" si="15"/>
        <v>6</v>
      </c>
      <c r="I78" s="24">
        <f t="shared" si="16"/>
        <v>1</v>
      </c>
      <c r="J78" s="24">
        <f t="shared" si="12"/>
        <v>0</v>
      </c>
      <c r="K78" s="25" t="str">
        <f t="shared" si="18"/>
        <v/>
      </c>
      <c r="L78" s="25" t="e">
        <f t="shared" si="19"/>
        <v>#VALUE!</v>
      </c>
      <c r="M78" s="28" t="str">
        <f t="shared" si="20"/>
        <v/>
      </c>
      <c r="N78" s="28" t="str">
        <f t="shared" si="21"/>
        <v/>
      </c>
      <c r="O78" s="31" t="str">
        <f t="shared" si="22"/>
        <v/>
      </c>
      <c r="P78" s="31" t="str">
        <f t="shared" si="23"/>
        <v/>
      </c>
      <c r="W78" s="25">
        <v>39822</v>
      </c>
      <c r="X78" s="24">
        <v>7842.7</v>
      </c>
      <c r="AA78" s="25">
        <v>41067</v>
      </c>
      <c r="AB78">
        <v>1.6399648045627799</v>
      </c>
      <c r="AC78" s="24">
        <f t="shared" si="17"/>
        <v>163.99648045627799</v>
      </c>
    </row>
    <row r="79" spans="3:29">
      <c r="C79" s="25">
        <v>41074</v>
      </c>
      <c r="D79" s="28">
        <v>0.88667449797815956</v>
      </c>
      <c r="E79" s="28">
        <v>0.84549296973434196</v>
      </c>
      <c r="F79" s="29">
        <f t="shared" ca="1" si="13"/>
        <v>4719.6000000000004</v>
      </c>
      <c r="G79" s="29">
        <f t="shared" si="14"/>
        <v>160.08530854628799</v>
      </c>
      <c r="H79" s="24">
        <f t="shared" si="15"/>
        <v>6</v>
      </c>
      <c r="I79" s="24">
        <f t="shared" si="16"/>
        <v>0</v>
      </c>
      <c r="J79" s="24">
        <f t="shared" si="12"/>
        <v>0</v>
      </c>
      <c r="K79" s="25" t="str">
        <f t="shared" si="18"/>
        <v/>
      </c>
      <c r="L79" s="25" t="e">
        <f t="shared" si="19"/>
        <v>#VALUE!</v>
      </c>
      <c r="M79" s="28" t="str">
        <f t="shared" si="20"/>
        <v/>
      </c>
      <c r="N79" s="28" t="str">
        <f t="shared" si="21"/>
        <v/>
      </c>
      <c r="O79" s="31" t="str">
        <f t="shared" si="22"/>
        <v/>
      </c>
      <c r="P79" s="31" t="str">
        <f t="shared" si="23"/>
        <v/>
      </c>
      <c r="W79" s="25">
        <v>39829</v>
      </c>
      <c r="X79" s="24">
        <v>6768.6</v>
      </c>
      <c r="AA79" s="25">
        <v>41074</v>
      </c>
      <c r="AB79">
        <v>1.60085308546288</v>
      </c>
      <c r="AC79" s="24">
        <f t="shared" si="17"/>
        <v>160.08530854628799</v>
      </c>
    </row>
    <row r="80" spans="3:29">
      <c r="C80" s="25">
        <v>41081</v>
      </c>
      <c r="D80" s="28">
        <v>0.89407594990163874</v>
      </c>
      <c r="E80" s="28">
        <v>0.86306170802286497</v>
      </c>
      <c r="F80" s="29">
        <f t="shared" ca="1" si="13"/>
        <v>4585.8</v>
      </c>
      <c r="G80" s="29">
        <f t="shared" si="14"/>
        <v>164.97427343377601</v>
      </c>
      <c r="H80" s="24">
        <f t="shared" si="15"/>
        <v>6</v>
      </c>
      <c r="I80" s="24">
        <f t="shared" si="16"/>
        <v>0</v>
      </c>
      <c r="J80" s="24">
        <f t="shared" si="12"/>
        <v>0</v>
      </c>
      <c r="K80" s="25" t="str">
        <f t="shared" si="18"/>
        <v/>
      </c>
      <c r="L80" s="25" t="e">
        <f t="shared" si="19"/>
        <v>#VALUE!</v>
      </c>
      <c r="M80" s="28" t="str">
        <f t="shared" si="20"/>
        <v/>
      </c>
      <c r="N80" s="28" t="str">
        <f t="shared" si="21"/>
        <v/>
      </c>
      <c r="O80" s="31" t="str">
        <f t="shared" si="22"/>
        <v/>
      </c>
      <c r="P80" s="31" t="str">
        <f t="shared" si="23"/>
        <v/>
      </c>
      <c r="W80" s="25">
        <v>39836</v>
      </c>
      <c r="X80" s="24">
        <v>3300.6</v>
      </c>
      <c r="AA80" s="25">
        <v>41081</v>
      </c>
      <c r="AB80">
        <v>1.64974273433776</v>
      </c>
      <c r="AC80" s="24">
        <f t="shared" si="17"/>
        <v>164.97427343377601</v>
      </c>
    </row>
    <row r="81" spans="3:29">
      <c r="C81" s="25">
        <v>41088</v>
      </c>
      <c r="D81" s="28">
        <v>0.89407594990163874</v>
      </c>
      <c r="E81" s="28">
        <v>0.86306170802286497</v>
      </c>
      <c r="F81" s="29">
        <f t="shared" ca="1" si="13"/>
        <v>4372.2</v>
      </c>
      <c r="G81" s="29">
        <f t="shared" si="14"/>
        <v>164.97427343377601</v>
      </c>
      <c r="H81" s="24">
        <f t="shared" si="15"/>
        <v>6</v>
      </c>
      <c r="I81" s="24">
        <f t="shared" si="16"/>
        <v>0</v>
      </c>
      <c r="J81" s="24">
        <f t="shared" si="12"/>
        <v>1</v>
      </c>
      <c r="K81" s="25">
        <f t="shared" si="18"/>
        <v>41090</v>
      </c>
      <c r="L81" s="25">
        <f t="shared" si="19"/>
        <v>41089</v>
      </c>
      <c r="M81" s="28">
        <f t="shared" si="20"/>
        <v>0.89407594990163874</v>
      </c>
      <c r="N81" s="28">
        <f t="shared" si="21"/>
        <v>0.86306170802286497</v>
      </c>
      <c r="O81" s="31">
        <f t="shared" ca="1" si="22"/>
        <v>4372.2</v>
      </c>
      <c r="P81" s="31">
        <f t="shared" si="23"/>
        <v>164.97427343377601</v>
      </c>
      <c r="W81" s="25">
        <v>39843</v>
      </c>
      <c r="X81" s="24">
        <v>3871.3</v>
      </c>
      <c r="AA81" s="25">
        <v>41088</v>
      </c>
      <c r="AB81">
        <v>1.64974273433776</v>
      </c>
      <c r="AC81" s="24">
        <f t="shared" si="17"/>
        <v>164.97427343377601</v>
      </c>
    </row>
    <row r="82" spans="3:29">
      <c r="C82" s="25">
        <v>41095</v>
      </c>
      <c r="D82" s="28">
        <v>0.8819114104860859</v>
      </c>
      <c r="E82" s="28">
        <v>0.85531584833132801</v>
      </c>
      <c r="F82" s="29">
        <f t="shared" ca="1" si="13"/>
        <v>4267.8999999999996</v>
      </c>
      <c r="G82" s="29">
        <f t="shared" si="14"/>
        <v>163.99865674158701</v>
      </c>
      <c r="H82" s="24">
        <f t="shared" si="15"/>
        <v>7</v>
      </c>
      <c r="I82" s="24">
        <f t="shared" si="16"/>
        <v>1</v>
      </c>
      <c r="J82" s="24">
        <f t="shared" si="12"/>
        <v>0</v>
      </c>
      <c r="K82" s="25" t="str">
        <f t="shared" si="18"/>
        <v/>
      </c>
      <c r="L82" s="25" t="e">
        <f t="shared" si="19"/>
        <v>#VALUE!</v>
      </c>
      <c r="M82" s="28" t="str">
        <f t="shared" si="20"/>
        <v/>
      </c>
      <c r="N82" s="28" t="str">
        <f t="shared" si="21"/>
        <v/>
      </c>
      <c r="O82" s="31" t="str">
        <f t="shared" si="22"/>
        <v/>
      </c>
      <c r="P82" s="31" t="str">
        <f t="shared" si="23"/>
        <v/>
      </c>
      <c r="W82" s="25">
        <v>39850</v>
      </c>
      <c r="X82" s="24">
        <v>2611.1</v>
      </c>
      <c r="AA82" s="25">
        <v>41095</v>
      </c>
      <c r="AB82">
        <v>1.63998656741587</v>
      </c>
      <c r="AC82" s="24">
        <f t="shared" si="17"/>
        <v>163.99865674158701</v>
      </c>
    </row>
    <row r="83" spans="3:29">
      <c r="C83" s="25">
        <v>41102</v>
      </c>
      <c r="D83" s="28">
        <v>0.94551237246929465</v>
      </c>
      <c r="E83" s="28">
        <v>0.88265848165302496</v>
      </c>
      <c r="F83" s="29">
        <f t="shared" ca="1" si="13"/>
        <v>5246.8</v>
      </c>
      <c r="G83" s="29">
        <f t="shared" si="14"/>
        <v>172.31645364114701</v>
      </c>
      <c r="H83" s="24">
        <f t="shared" si="15"/>
        <v>7</v>
      </c>
      <c r="I83" s="24">
        <f t="shared" si="16"/>
        <v>0</v>
      </c>
      <c r="J83" s="24">
        <f t="shared" si="12"/>
        <v>0</v>
      </c>
      <c r="K83" s="25" t="str">
        <f t="shared" si="18"/>
        <v/>
      </c>
      <c r="L83" s="25" t="e">
        <f t="shared" si="19"/>
        <v>#VALUE!</v>
      </c>
      <c r="M83" s="28" t="str">
        <f t="shared" si="20"/>
        <v/>
      </c>
      <c r="N83" s="28" t="str">
        <f t="shared" si="21"/>
        <v/>
      </c>
      <c r="O83" s="31" t="str">
        <f t="shared" si="22"/>
        <v/>
      </c>
      <c r="P83" s="31" t="str">
        <f t="shared" si="23"/>
        <v/>
      </c>
      <c r="W83" s="25">
        <v>39857</v>
      </c>
      <c r="X83" s="24">
        <v>4564.5</v>
      </c>
      <c r="AA83" s="25">
        <v>41102</v>
      </c>
      <c r="AB83">
        <v>1.72316453641147</v>
      </c>
      <c r="AC83" s="24">
        <f t="shared" si="17"/>
        <v>172.31645364114701</v>
      </c>
    </row>
    <row r="84" spans="3:29">
      <c r="C84" s="25">
        <v>41109</v>
      </c>
      <c r="D84" s="28">
        <v>0.97186924857158052</v>
      </c>
      <c r="E84" s="28">
        <v>0.88516739973977598</v>
      </c>
      <c r="F84" s="29">
        <f t="shared" ca="1" si="13"/>
        <v>5383.1</v>
      </c>
      <c r="G84" s="29">
        <f t="shared" si="14"/>
        <v>175.252146664495</v>
      </c>
      <c r="H84" s="24">
        <f t="shared" si="15"/>
        <v>7</v>
      </c>
      <c r="I84" s="24">
        <f t="shared" si="16"/>
        <v>0</v>
      </c>
      <c r="J84" s="24">
        <f t="shared" si="12"/>
        <v>0</v>
      </c>
      <c r="K84" s="25" t="str">
        <f t="shared" si="18"/>
        <v/>
      </c>
      <c r="L84" s="25" t="e">
        <f t="shared" si="19"/>
        <v>#VALUE!</v>
      </c>
      <c r="M84" s="28" t="str">
        <f t="shared" si="20"/>
        <v/>
      </c>
      <c r="N84" s="28" t="str">
        <f t="shared" si="21"/>
        <v/>
      </c>
      <c r="O84" s="31" t="str">
        <f t="shared" si="22"/>
        <v/>
      </c>
      <c r="P84" s="31" t="str">
        <f t="shared" si="23"/>
        <v/>
      </c>
      <c r="W84" s="25">
        <v>39864</v>
      </c>
      <c r="X84" s="24">
        <v>3531.5</v>
      </c>
      <c r="AA84" s="25">
        <v>41109</v>
      </c>
      <c r="AB84">
        <v>1.75252146664495</v>
      </c>
      <c r="AC84" s="24">
        <f t="shared" si="17"/>
        <v>175.252146664495</v>
      </c>
    </row>
    <row r="85" spans="3:29">
      <c r="C85" s="25">
        <v>41116</v>
      </c>
      <c r="D85" s="28">
        <v>0.98451993370244106</v>
      </c>
      <c r="E85" s="28">
        <v>0.89814744996460805</v>
      </c>
      <c r="F85" s="29">
        <f t="shared" ca="1" si="13"/>
        <v>5492.1</v>
      </c>
      <c r="G85" s="29">
        <f t="shared" si="14"/>
        <v>179.16640403002799</v>
      </c>
      <c r="H85" s="24">
        <f t="shared" si="15"/>
        <v>7</v>
      </c>
      <c r="I85" s="24">
        <f t="shared" si="16"/>
        <v>0</v>
      </c>
      <c r="J85" s="24">
        <f t="shared" si="12"/>
        <v>1</v>
      </c>
      <c r="K85" s="25">
        <f t="shared" si="18"/>
        <v>41121</v>
      </c>
      <c r="L85" s="25">
        <f t="shared" si="19"/>
        <v>41121</v>
      </c>
      <c r="M85" s="28">
        <f t="shared" si="20"/>
        <v>0.98451993370244106</v>
      </c>
      <c r="N85" s="28">
        <f t="shared" si="21"/>
        <v>0.89814744996460805</v>
      </c>
      <c r="O85" s="31">
        <f t="shared" ca="1" si="22"/>
        <v>5492.1</v>
      </c>
      <c r="P85" s="31">
        <f t="shared" si="23"/>
        <v>179.16640403002799</v>
      </c>
      <c r="W85" s="25">
        <v>39871</v>
      </c>
      <c r="X85" s="24">
        <v>2945.5</v>
      </c>
      <c r="AA85" s="25">
        <v>41116</v>
      </c>
      <c r="AB85">
        <v>1.7916640403002799</v>
      </c>
      <c r="AC85" s="24">
        <f t="shared" si="17"/>
        <v>179.16640403002799</v>
      </c>
    </row>
    <row r="86" spans="3:29">
      <c r="C86" s="25">
        <v>41123</v>
      </c>
      <c r="D86" s="28">
        <v>0.9385222539497815</v>
      </c>
      <c r="E86" s="28">
        <v>0.86768818253450297</v>
      </c>
      <c r="F86" s="29">
        <f t="shared" ca="1" si="13"/>
        <v>5444.3</v>
      </c>
      <c r="G86" s="29">
        <f t="shared" si="14"/>
        <v>169.67528171184</v>
      </c>
      <c r="H86" s="24">
        <f t="shared" si="15"/>
        <v>8</v>
      </c>
      <c r="I86" s="24">
        <f t="shared" si="16"/>
        <v>1</v>
      </c>
      <c r="J86" s="24">
        <f t="shared" si="12"/>
        <v>0</v>
      </c>
      <c r="K86" s="25" t="str">
        <f t="shared" si="18"/>
        <v/>
      </c>
      <c r="L86" s="25" t="e">
        <f t="shared" si="19"/>
        <v>#VALUE!</v>
      </c>
      <c r="M86" s="28" t="str">
        <f t="shared" si="20"/>
        <v/>
      </c>
      <c r="N86" s="28" t="str">
        <f t="shared" si="21"/>
        <v/>
      </c>
      <c r="O86" s="31" t="str">
        <f t="shared" si="22"/>
        <v/>
      </c>
      <c r="P86" s="31" t="str">
        <f t="shared" si="23"/>
        <v/>
      </c>
      <c r="W86" s="25">
        <v>39878</v>
      </c>
      <c r="X86" s="24">
        <v>3352.8</v>
      </c>
      <c r="AA86" s="25">
        <v>41123</v>
      </c>
      <c r="AB86">
        <v>1.6967528171184001</v>
      </c>
      <c r="AC86" s="24">
        <f t="shared" si="17"/>
        <v>169.67528171184</v>
      </c>
    </row>
    <row r="87" spans="3:29">
      <c r="C87" s="25">
        <v>41130</v>
      </c>
      <c r="D87" s="28">
        <v>0.92408794393225557</v>
      </c>
      <c r="E87" s="28">
        <v>0.86745968477328095</v>
      </c>
      <c r="F87" s="29">
        <f t="shared" ca="1" si="13"/>
        <v>5172.2</v>
      </c>
      <c r="G87" s="29">
        <f t="shared" si="14"/>
        <v>168.20614369673601</v>
      </c>
      <c r="H87" s="24">
        <f t="shared" si="15"/>
        <v>8</v>
      </c>
      <c r="I87" s="24">
        <f t="shared" si="16"/>
        <v>0</v>
      </c>
      <c r="J87" s="24">
        <f t="shared" si="12"/>
        <v>0</v>
      </c>
      <c r="K87" s="25" t="str">
        <f t="shared" si="18"/>
        <v/>
      </c>
      <c r="L87" s="25" t="e">
        <f t="shared" si="19"/>
        <v>#VALUE!</v>
      </c>
      <c r="M87" s="28" t="str">
        <f t="shared" si="20"/>
        <v/>
      </c>
      <c r="N87" s="28" t="str">
        <f t="shared" si="21"/>
        <v/>
      </c>
      <c r="O87" s="31" t="str">
        <f t="shared" si="22"/>
        <v/>
      </c>
      <c r="P87" s="31" t="str">
        <f t="shared" si="23"/>
        <v/>
      </c>
      <c r="W87" s="25">
        <v>39885</v>
      </c>
      <c r="X87" s="24">
        <v>4428.1000000000004</v>
      </c>
      <c r="AA87" s="25">
        <v>41130</v>
      </c>
      <c r="AB87">
        <v>1.6820614369673601</v>
      </c>
      <c r="AC87" s="24">
        <f t="shared" si="17"/>
        <v>168.20614369673601</v>
      </c>
    </row>
    <row r="88" spans="3:29">
      <c r="C88" s="25">
        <v>41137</v>
      </c>
      <c r="D88" s="28">
        <v>0.88445471641937157</v>
      </c>
      <c r="E88" s="28">
        <v>0.85198632502448901</v>
      </c>
      <c r="F88" s="29">
        <f t="shared" ca="1" si="13"/>
        <v>4671.1000000000004</v>
      </c>
      <c r="G88" s="29">
        <f t="shared" si="14"/>
        <v>165.26786766652199</v>
      </c>
      <c r="H88" s="24">
        <f t="shared" si="15"/>
        <v>8</v>
      </c>
      <c r="I88" s="24">
        <f t="shared" si="16"/>
        <v>0</v>
      </c>
      <c r="J88" s="24">
        <f t="shared" si="12"/>
        <v>0</v>
      </c>
      <c r="K88" s="25" t="str">
        <f t="shared" si="18"/>
        <v/>
      </c>
      <c r="L88" s="25" t="e">
        <f t="shared" si="19"/>
        <v>#VALUE!</v>
      </c>
      <c r="M88" s="28" t="str">
        <f t="shared" si="20"/>
        <v/>
      </c>
      <c r="N88" s="28" t="str">
        <f t="shared" si="21"/>
        <v/>
      </c>
      <c r="O88" s="31" t="str">
        <f t="shared" si="22"/>
        <v/>
      </c>
      <c r="P88" s="31" t="str">
        <f t="shared" si="23"/>
        <v/>
      </c>
      <c r="W88" s="25">
        <v>39892</v>
      </c>
      <c r="X88" s="24">
        <v>6374.7</v>
      </c>
      <c r="AA88" s="25">
        <v>41137</v>
      </c>
      <c r="AB88">
        <v>1.6526786766652199</v>
      </c>
      <c r="AC88" s="24">
        <f t="shared" si="17"/>
        <v>165.26786766652199</v>
      </c>
    </row>
    <row r="89" spans="3:29">
      <c r="C89" s="25">
        <v>41144</v>
      </c>
      <c r="D89" s="28">
        <v>0.85694996797233836</v>
      </c>
      <c r="E89" s="28">
        <v>0.83819941388679298</v>
      </c>
      <c r="F89" s="29">
        <f t="shared" ca="1" si="13"/>
        <v>4414.6000000000004</v>
      </c>
      <c r="G89" s="29">
        <f t="shared" si="14"/>
        <v>158.90160293432001</v>
      </c>
      <c r="H89" s="24">
        <f t="shared" si="15"/>
        <v>8</v>
      </c>
      <c r="I89" s="24">
        <f t="shared" si="16"/>
        <v>0</v>
      </c>
      <c r="J89" s="24">
        <f t="shared" si="12"/>
        <v>0</v>
      </c>
      <c r="K89" s="25" t="str">
        <f t="shared" si="18"/>
        <v/>
      </c>
      <c r="L89" s="25" t="e">
        <f t="shared" si="19"/>
        <v>#VALUE!</v>
      </c>
      <c r="M89" s="28" t="str">
        <f t="shared" si="20"/>
        <v/>
      </c>
      <c r="N89" s="28" t="str">
        <f t="shared" si="21"/>
        <v/>
      </c>
      <c r="O89" s="31" t="str">
        <f t="shared" si="22"/>
        <v/>
      </c>
      <c r="P89" s="31" t="str">
        <f t="shared" si="23"/>
        <v/>
      </c>
      <c r="W89" s="25">
        <v>39899</v>
      </c>
      <c r="X89" s="24">
        <v>6522</v>
      </c>
      <c r="AA89" s="25">
        <v>41144</v>
      </c>
      <c r="AB89">
        <v>1.5890160293432001</v>
      </c>
      <c r="AC89" s="24">
        <f t="shared" si="17"/>
        <v>158.90160293432001</v>
      </c>
    </row>
    <row r="90" spans="3:29">
      <c r="C90" s="25">
        <v>41151</v>
      </c>
      <c r="D90" s="28">
        <v>0.92408794393225557</v>
      </c>
      <c r="E90" s="28">
        <v>0.86745968477328095</v>
      </c>
      <c r="F90" s="29">
        <f t="shared" ca="1" si="13"/>
        <v>4274.8</v>
      </c>
      <c r="G90" s="29">
        <f t="shared" si="14"/>
        <v>168.20614369673601</v>
      </c>
      <c r="H90" s="24">
        <f t="shared" si="15"/>
        <v>8</v>
      </c>
      <c r="I90" s="24">
        <f t="shared" si="16"/>
        <v>0</v>
      </c>
      <c r="J90" s="24">
        <f t="shared" si="12"/>
        <v>1</v>
      </c>
      <c r="K90" s="25">
        <f t="shared" si="18"/>
        <v>41152</v>
      </c>
      <c r="L90" s="25">
        <f t="shared" si="19"/>
        <v>41152</v>
      </c>
      <c r="M90" s="28">
        <f t="shared" si="20"/>
        <v>0.92408794393225557</v>
      </c>
      <c r="N90" s="28">
        <f t="shared" si="21"/>
        <v>0.86745968477328095</v>
      </c>
      <c r="O90" s="31">
        <f t="shared" ca="1" si="22"/>
        <v>4274.8</v>
      </c>
      <c r="P90" s="31">
        <f t="shared" si="23"/>
        <v>168.20614369673601</v>
      </c>
      <c r="W90" s="25">
        <v>39906</v>
      </c>
      <c r="X90" s="24">
        <v>6734.2</v>
      </c>
      <c r="AA90" s="25">
        <v>41151</v>
      </c>
      <c r="AB90">
        <v>1.6820614369673601</v>
      </c>
      <c r="AC90" s="24">
        <f t="shared" si="17"/>
        <v>168.20614369673601</v>
      </c>
    </row>
    <row r="91" spans="3:29">
      <c r="C91" s="25">
        <v>41158</v>
      </c>
      <c r="D91" s="28">
        <v>0.91761037893987563</v>
      </c>
      <c r="E91" s="28">
        <v>0.854493626143913</v>
      </c>
      <c r="F91" s="29">
        <f t="shared" ca="1" si="13"/>
        <v>4779.1000000000004</v>
      </c>
      <c r="G91" s="29">
        <f t="shared" si="14"/>
        <v>166.861468537397</v>
      </c>
      <c r="H91" s="24">
        <f t="shared" si="15"/>
        <v>9</v>
      </c>
      <c r="I91" s="24">
        <f t="shared" si="16"/>
        <v>1</v>
      </c>
      <c r="J91" s="24">
        <f t="shared" si="12"/>
        <v>0</v>
      </c>
      <c r="K91" s="25" t="str">
        <f t="shared" si="18"/>
        <v/>
      </c>
      <c r="L91" s="25" t="e">
        <f t="shared" si="19"/>
        <v>#VALUE!</v>
      </c>
      <c r="M91" s="28" t="str">
        <f t="shared" si="20"/>
        <v/>
      </c>
      <c r="N91" s="28" t="str">
        <f t="shared" si="21"/>
        <v/>
      </c>
      <c r="O91" s="31" t="str">
        <f t="shared" si="22"/>
        <v/>
      </c>
      <c r="P91" s="31" t="str">
        <f t="shared" si="23"/>
        <v/>
      </c>
      <c r="W91" s="25">
        <v>39913</v>
      </c>
      <c r="X91" s="24">
        <v>6127.3</v>
      </c>
      <c r="AA91" s="25">
        <v>41158</v>
      </c>
      <c r="AB91">
        <v>1.6686146853739701</v>
      </c>
      <c r="AC91" s="24">
        <f t="shared" si="17"/>
        <v>166.861468537397</v>
      </c>
    </row>
    <row r="92" spans="3:29">
      <c r="C92" s="25">
        <v>41165</v>
      </c>
      <c r="D92" s="28">
        <v>0.94047646256577366</v>
      </c>
      <c r="E92" s="28">
        <v>0.85731125996939705</v>
      </c>
      <c r="F92" s="29">
        <f t="shared" ca="1" si="13"/>
        <v>4823.3</v>
      </c>
      <c r="G92" s="29">
        <f t="shared" si="14"/>
        <v>169.31236660678599</v>
      </c>
      <c r="H92" s="24">
        <f t="shared" si="15"/>
        <v>9</v>
      </c>
      <c r="I92" s="24">
        <f t="shared" si="16"/>
        <v>0</v>
      </c>
      <c r="J92" s="24">
        <f t="shared" si="12"/>
        <v>0</v>
      </c>
      <c r="K92" s="25" t="str">
        <f t="shared" si="18"/>
        <v/>
      </c>
      <c r="L92" s="25" t="e">
        <f t="shared" si="19"/>
        <v>#VALUE!</v>
      </c>
      <c r="M92" s="28" t="str">
        <f t="shared" si="20"/>
        <v/>
      </c>
      <c r="N92" s="28" t="str">
        <f t="shared" si="21"/>
        <v/>
      </c>
      <c r="O92" s="31" t="str">
        <f t="shared" si="22"/>
        <v/>
      </c>
      <c r="P92" s="31" t="str">
        <f t="shared" si="23"/>
        <v/>
      </c>
      <c r="W92" s="25">
        <v>39920</v>
      </c>
      <c r="X92" s="24">
        <v>6547.2</v>
      </c>
      <c r="AA92" s="25">
        <v>41165</v>
      </c>
      <c r="AB92">
        <v>1.6931236660678599</v>
      </c>
      <c r="AC92" s="24">
        <f t="shared" si="17"/>
        <v>169.31236660678599</v>
      </c>
    </row>
    <row r="93" spans="3:29">
      <c r="C93" s="25">
        <v>41172</v>
      </c>
      <c r="D93" s="28">
        <v>0.95891425076544745</v>
      </c>
      <c r="E93" s="28">
        <v>0.87344930653794395</v>
      </c>
      <c r="F93" s="29">
        <f t="shared" ca="1" si="13"/>
        <v>4979</v>
      </c>
      <c r="G93" s="29">
        <f t="shared" si="14"/>
        <v>175.194521974525</v>
      </c>
      <c r="H93" s="24">
        <f t="shared" si="15"/>
        <v>9</v>
      </c>
      <c r="I93" s="24">
        <f t="shared" si="16"/>
        <v>0</v>
      </c>
      <c r="J93" s="24">
        <f t="shared" si="12"/>
        <v>0</v>
      </c>
      <c r="K93" s="25" t="str">
        <f t="shared" si="18"/>
        <v/>
      </c>
      <c r="L93" s="25" t="e">
        <f t="shared" si="19"/>
        <v>#VALUE!</v>
      </c>
      <c r="M93" s="28" t="str">
        <f t="shared" si="20"/>
        <v/>
      </c>
      <c r="N93" s="28" t="str">
        <f t="shared" si="21"/>
        <v/>
      </c>
      <c r="O93" s="31" t="str">
        <f t="shared" si="22"/>
        <v/>
      </c>
      <c r="P93" s="31" t="str">
        <f t="shared" si="23"/>
        <v/>
      </c>
      <c r="W93" s="25">
        <v>39927</v>
      </c>
      <c r="X93" s="24">
        <v>4957.8999999999996</v>
      </c>
      <c r="AA93" s="25">
        <v>41172</v>
      </c>
      <c r="AB93">
        <v>1.7519452197452501</v>
      </c>
      <c r="AC93" s="24">
        <f t="shared" si="17"/>
        <v>175.194521974525</v>
      </c>
    </row>
    <row r="94" spans="3:29">
      <c r="C94" s="25">
        <v>41179</v>
      </c>
      <c r="D94" s="28">
        <v>0.96459917415866681</v>
      </c>
      <c r="E94" s="28">
        <v>0.91259028169208301</v>
      </c>
      <c r="F94" s="29">
        <f t="shared" ca="1" si="13"/>
        <v>5965.5</v>
      </c>
      <c r="G94" s="29">
        <f t="shared" si="14"/>
        <v>184.01775502432599</v>
      </c>
      <c r="H94" s="24">
        <f t="shared" si="15"/>
        <v>9</v>
      </c>
      <c r="I94" s="24">
        <f t="shared" si="16"/>
        <v>0</v>
      </c>
      <c r="J94" s="24">
        <f t="shared" si="12"/>
        <v>1</v>
      </c>
      <c r="K94" s="25">
        <f t="shared" si="18"/>
        <v>41182</v>
      </c>
      <c r="L94" s="25">
        <f t="shared" si="19"/>
        <v>41180</v>
      </c>
      <c r="M94" s="28">
        <f t="shared" si="20"/>
        <v>0.96459917415866681</v>
      </c>
      <c r="N94" s="28">
        <f t="shared" si="21"/>
        <v>0.91259028169208301</v>
      </c>
      <c r="O94" s="31">
        <f t="shared" ca="1" si="22"/>
        <v>5965.5</v>
      </c>
      <c r="P94" s="31">
        <f t="shared" si="23"/>
        <v>184.01775502432599</v>
      </c>
      <c r="W94" s="25">
        <v>39934</v>
      </c>
      <c r="X94" s="24">
        <v>5084.2</v>
      </c>
      <c r="AA94" s="25">
        <v>41179</v>
      </c>
      <c r="AB94">
        <v>1.84017755024326</v>
      </c>
      <c r="AC94" s="24">
        <f t="shared" si="17"/>
        <v>184.01775502432599</v>
      </c>
    </row>
    <row r="95" spans="3:29">
      <c r="C95" s="25">
        <v>41186</v>
      </c>
      <c r="D95" s="28">
        <v>0.95362908529618629</v>
      </c>
      <c r="E95" s="28">
        <v>0.89522709255279198</v>
      </c>
      <c r="F95" s="29">
        <f t="shared" ca="1" si="13"/>
        <v>5892.5</v>
      </c>
      <c r="G95" s="29">
        <f t="shared" si="14"/>
        <v>182.81105134104502</v>
      </c>
      <c r="H95" s="24">
        <f t="shared" si="15"/>
        <v>10</v>
      </c>
      <c r="I95" s="24">
        <f t="shared" si="16"/>
        <v>1</v>
      </c>
      <c r="J95" s="24">
        <f t="shared" si="12"/>
        <v>0</v>
      </c>
      <c r="K95" s="25" t="str">
        <f t="shared" si="18"/>
        <v/>
      </c>
      <c r="L95" s="25" t="e">
        <f t="shared" si="19"/>
        <v>#VALUE!</v>
      </c>
      <c r="M95" s="28" t="str">
        <f t="shared" si="20"/>
        <v/>
      </c>
      <c r="N95" s="28" t="str">
        <f t="shared" si="21"/>
        <v/>
      </c>
      <c r="O95" s="31" t="str">
        <f t="shared" si="22"/>
        <v/>
      </c>
      <c r="P95" s="31" t="str">
        <f t="shared" si="23"/>
        <v/>
      </c>
      <c r="W95" s="25">
        <v>39941</v>
      </c>
      <c r="X95" s="24">
        <v>4353.1000000000004</v>
      </c>
      <c r="AA95" s="25">
        <v>41186</v>
      </c>
      <c r="AB95">
        <v>1.8281105134104501</v>
      </c>
      <c r="AC95" s="24">
        <f t="shared" si="17"/>
        <v>182.81105134104502</v>
      </c>
    </row>
    <row r="96" spans="3:29">
      <c r="C96" s="25">
        <v>41193</v>
      </c>
      <c r="D96" s="28">
        <v>0.95159604304738465</v>
      </c>
      <c r="E96" s="28">
        <v>0.87811016351224602</v>
      </c>
      <c r="F96" s="29">
        <f t="shared" ca="1" si="13"/>
        <v>5572.2</v>
      </c>
      <c r="G96" s="29">
        <f t="shared" si="14"/>
        <v>177.42201565064499</v>
      </c>
      <c r="H96" s="24">
        <f t="shared" si="15"/>
        <v>10</v>
      </c>
      <c r="I96" s="24">
        <f t="shared" si="16"/>
        <v>0</v>
      </c>
      <c r="J96" s="24">
        <f t="shared" si="12"/>
        <v>0</v>
      </c>
      <c r="K96" s="25" t="str">
        <f t="shared" si="18"/>
        <v/>
      </c>
      <c r="L96" s="25" t="e">
        <f t="shared" si="19"/>
        <v>#VALUE!</v>
      </c>
      <c r="M96" s="28" t="str">
        <f t="shared" si="20"/>
        <v/>
      </c>
      <c r="N96" s="28" t="str">
        <f t="shared" si="21"/>
        <v/>
      </c>
      <c r="O96" s="31" t="str">
        <f t="shared" si="22"/>
        <v/>
      </c>
      <c r="P96" s="31" t="str">
        <f t="shared" si="23"/>
        <v/>
      </c>
      <c r="W96" s="25">
        <v>39948</v>
      </c>
      <c r="X96" s="24">
        <v>4586.2</v>
      </c>
      <c r="AA96" s="25">
        <v>41193</v>
      </c>
      <c r="AB96">
        <v>1.7742201565064499</v>
      </c>
      <c r="AC96" s="24">
        <f t="shared" si="17"/>
        <v>177.42201565064499</v>
      </c>
    </row>
    <row r="97" spans="3:29">
      <c r="C97" s="25">
        <v>41200</v>
      </c>
      <c r="D97" s="28">
        <v>0.95277295236812309</v>
      </c>
      <c r="E97" s="28">
        <v>0.89368551357821302</v>
      </c>
      <c r="F97" s="29">
        <f t="shared" ca="1" si="13"/>
        <v>4847.2</v>
      </c>
      <c r="G97" s="29">
        <f t="shared" si="14"/>
        <v>179.38166499260601</v>
      </c>
      <c r="H97" s="24">
        <f t="shared" si="15"/>
        <v>10</v>
      </c>
      <c r="I97" s="24">
        <f t="shared" si="16"/>
        <v>0</v>
      </c>
      <c r="J97" s="24">
        <f t="shared" si="12"/>
        <v>0</v>
      </c>
      <c r="K97" s="25" t="str">
        <f t="shared" si="18"/>
        <v/>
      </c>
      <c r="L97" s="25" t="e">
        <f t="shared" si="19"/>
        <v>#VALUE!</v>
      </c>
      <c r="M97" s="28" t="str">
        <f t="shared" si="20"/>
        <v/>
      </c>
      <c r="N97" s="28" t="str">
        <f t="shared" si="21"/>
        <v/>
      </c>
      <c r="O97" s="31" t="str">
        <f t="shared" si="22"/>
        <v/>
      </c>
      <c r="P97" s="31" t="str">
        <f t="shared" si="23"/>
        <v/>
      </c>
      <c r="W97" s="25">
        <v>39955</v>
      </c>
      <c r="X97" s="24">
        <v>3590.1</v>
      </c>
      <c r="AA97" s="25">
        <v>41200</v>
      </c>
      <c r="AB97">
        <v>1.7938166499260599</v>
      </c>
      <c r="AC97" s="24">
        <f t="shared" si="17"/>
        <v>179.38166499260601</v>
      </c>
    </row>
    <row r="98" spans="3:29">
      <c r="C98" s="25">
        <v>41207</v>
      </c>
      <c r="D98" s="28">
        <v>0.95079229345734595</v>
      </c>
      <c r="E98" s="28">
        <v>0.87683234085301398</v>
      </c>
      <c r="F98" s="29">
        <f t="shared" ca="1" si="13"/>
        <v>4550.7</v>
      </c>
      <c r="G98" s="29">
        <f t="shared" si="14"/>
        <v>175.46236630868199</v>
      </c>
      <c r="H98" s="24">
        <f t="shared" si="15"/>
        <v>10</v>
      </c>
      <c r="I98" s="24">
        <f t="shared" si="16"/>
        <v>0</v>
      </c>
      <c r="J98" s="24">
        <f t="shared" si="12"/>
        <v>1</v>
      </c>
      <c r="K98" s="25">
        <f t="shared" si="18"/>
        <v>41213</v>
      </c>
      <c r="L98" s="25">
        <f t="shared" si="19"/>
        <v>41213</v>
      </c>
      <c r="M98" s="28">
        <f t="shared" si="20"/>
        <v>0.95079229345734595</v>
      </c>
      <c r="N98" s="28">
        <f t="shared" si="21"/>
        <v>0.87683234085301398</v>
      </c>
      <c r="O98" s="31">
        <f t="shared" ca="1" si="22"/>
        <v>4550.7</v>
      </c>
      <c r="P98" s="31">
        <f t="shared" si="23"/>
        <v>175.46236630868199</v>
      </c>
      <c r="W98" s="25">
        <v>39962</v>
      </c>
      <c r="X98" s="24">
        <v>2583</v>
      </c>
      <c r="AA98" s="25">
        <v>41207</v>
      </c>
      <c r="AB98">
        <v>1.7546236630868199</v>
      </c>
      <c r="AC98" s="24">
        <f t="shared" si="17"/>
        <v>175.46236630868199</v>
      </c>
    </row>
    <row r="99" spans="3:29">
      <c r="C99" s="25">
        <v>41214</v>
      </c>
      <c r="D99" s="28">
        <v>0.92571311512973709</v>
      </c>
      <c r="E99" s="28">
        <v>0.85225052894835196</v>
      </c>
      <c r="F99" s="29">
        <f t="shared" ca="1" si="13"/>
        <v>4297.7</v>
      </c>
      <c r="G99" s="29">
        <f t="shared" si="14"/>
        <v>170.73037917914399</v>
      </c>
      <c r="H99" s="24">
        <f t="shared" si="15"/>
        <v>11</v>
      </c>
      <c r="I99" s="24">
        <f t="shared" si="16"/>
        <v>1</v>
      </c>
      <c r="J99" s="24">
        <f t="shared" si="12"/>
        <v>0</v>
      </c>
      <c r="K99" s="25" t="str">
        <f t="shared" si="18"/>
        <v/>
      </c>
      <c r="L99" s="25" t="e">
        <f t="shared" si="19"/>
        <v>#VALUE!</v>
      </c>
      <c r="M99" s="28" t="str">
        <f t="shared" si="20"/>
        <v/>
      </c>
      <c r="N99" s="28" t="str">
        <f t="shared" si="21"/>
        <v/>
      </c>
      <c r="O99" s="31" t="str">
        <f t="shared" si="22"/>
        <v/>
      </c>
      <c r="P99" s="31" t="str">
        <f t="shared" si="23"/>
        <v/>
      </c>
      <c r="W99" s="25">
        <v>39969</v>
      </c>
      <c r="X99" s="24">
        <v>2156.5</v>
      </c>
      <c r="AA99" s="25">
        <v>41214</v>
      </c>
      <c r="AB99">
        <v>1.70730379179144</v>
      </c>
      <c r="AC99" s="24">
        <f t="shared" si="17"/>
        <v>170.73037917914399</v>
      </c>
    </row>
    <row r="100" spans="3:29">
      <c r="C100" s="25">
        <v>41221</v>
      </c>
      <c r="D100" s="28">
        <v>0.9252942527060104</v>
      </c>
      <c r="E100" s="28">
        <v>0.85194480836680198</v>
      </c>
      <c r="F100" s="29">
        <f t="shared" ca="1" si="13"/>
        <v>4856.1000000000004</v>
      </c>
      <c r="G100" s="29">
        <f t="shared" si="14"/>
        <v>169.75178341522999</v>
      </c>
      <c r="H100" s="24">
        <f t="shared" si="15"/>
        <v>11</v>
      </c>
      <c r="I100" s="24">
        <f t="shared" si="16"/>
        <v>0</v>
      </c>
      <c r="J100" s="24">
        <f t="shared" si="12"/>
        <v>0</v>
      </c>
      <c r="K100" s="25" t="str">
        <f t="shared" si="18"/>
        <v/>
      </c>
      <c r="L100" s="25" t="e">
        <f t="shared" si="19"/>
        <v>#VALUE!</v>
      </c>
      <c r="M100" s="28" t="str">
        <f t="shared" si="20"/>
        <v/>
      </c>
      <c r="N100" s="28" t="str">
        <f t="shared" si="21"/>
        <v/>
      </c>
      <c r="O100" s="31" t="str">
        <f t="shared" si="22"/>
        <v/>
      </c>
      <c r="P100" s="31" t="str">
        <f t="shared" si="23"/>
        <v/>
      </c>
      <c r="W100" s="25">
        <v>39976</v>
      </c>
      <c r="X100" s="24">
        <v>1482.7</v>
      </c>
      <c r="AA100" s="25">
        <v>41221</v>
      </c>
      <c r="AB100">
        <v>1.6975178341523001</v>
      </c>
      <c r="AC100" s="24">
        <f t="shared" si="17"/>
        <v>169.75178341522999</v>
      </c>
    </row>
    <row r="101" spans="3:29">
      <c r="C101" s="25">
        <v>41228</v>
      </c>
      <c r="D101" s="28">
        <v>0.92772026190850965</v>
      </c>
      <c r="E101" s="28">
        <v>0.86999483052125803</v>
      </c>
      <c r="F101" s="29">
        <f t="shared" ca="1" si="13"/>
        <v>4702.3999999999996</v>
      </c>
      <c r="G101" s="29">
        <f t="shared" si="14"/>
        <v>175.623357998724</v>
      </c>
      <c r="H101" s="24">
        <f t="shared" si="15"/>
        <v>11</v>
      </c>
      <c r="I101" s="24">
        <f t="shared" si="16"/>
        <v>0</v>
      </c>
      <c r="J101" s="24">
        <f t="shared" si="12"/>
        <v>0</v>
      </c>
      <c r="K101" s="25" t="str">
        <f t="shared" si="18"/>
        <v/>
      </c>
      <c r="L101" s="25" t="e">
        <f t="shared" si="19"/>
        <v>#VALUE!</v>
      </c>
      <c r="M101" s="28" t="str">
        <f t="shared" si="20"/>
        <v/>
      </c>
      <c r="N101" s="28" t="str">
        <f t="shared" si="21"/>
        <v/>
      </c>
      <c r="O101" s="31" t="str">
        <f t="shared" si="22"/>
        <v/>
      </c>
      <c r="P101" s="31" t="str">
        <f t="shared" si="23"/>
        <v/>
      </c>
      <c r="W101" s="25">
        <v>39983</v>
      </c>
      <c r="X101" s="24">
        <v>1504.6</v>
      </c>
      <c r="AA101" s="25">
        <v>41228</v>
      </c>
      <c r="AB101">
        <v>1.7562335799872399</v>
      </c>
      <c r="AC101" s="24">
        <f t="shared" si="17"/>
        <v>175.623357998724</v>
      </c>
    </row>
    <row r="102" spans="3:29">
      <c r="C102" s="25">
        <v>41234</v>
      </c>
      <c r="D102" s="28">
        <v>0.9299301195282087</v>
      </c>
      <c r="E102" s="28">
        <v>0.88773399472374204</v>
      </c>
      <c r="F102" s="29" t="e">
        <f t="shared" ca="1" si="13"/>
        <v>#N/A</v>
      </c>
      <c r="G102" s="29">
        <f t="shared" si="14"/>
        <v>178.55914529047402</v>
      </c>
      <c r="H102" s="24">
        <f t="shared" si="15"/>
        <v>11</v>
      </c>
      <c r="I102" s="24">
        <f t="shared" si="16"/>
        <v>0</v>
      </c>
      <c r="J102" s="24">
        <f t="shared" si="12"/>
        <v>0</v>
      </c>
      <c r="K102" s="25" t="str">
        <f t="shared" si="18"/>
        <v/>
      </c>
      <c r="L102" s="25" t="e">
        <f t="shared" si="19"/>
        <v>#VALUE!</v>
      </c>
      <c r="M102" s="28" t="str">
        <f t="shared" si="20"/>
        <v/>
      </c>
      <c r="N102" s="28" t="str">
        <f t="shared" si="21"/>
        <v/>
      </c>
      <c r="O102" s="31" t="str">
        <f t="shared" si="22"/>
        <v/>
      </c>
      <c r="P102" s="31" t="str">
        <f t="shared" si="23"/>
        <v/>
      </c>
      <c r="W102" s="25">
        <v>39990</v>
      </c>
      <c r="X102" s="24">
        <v>1328.1</v>
      </c>
      <c r="AA102" s="25">
        <v>41234</v>
      </c>
      <c r="AB102">
        <v>1.7855914529047401</v>
      </c>
      <c r="AC102" s="24">
        <f t="shared" si="17"/>
        <v>178.55914529047402</v>
      </c>
    </row>
    <row r="103" spans="3:29">
      <c r="C103" s="25">
        <v>41242</v>
      </c>
      <c r="D103" s="28">
        <v>0.92756020040727527</v>
      </c>
      <c r="E103" s="28">
        <v>0.86996445945149903</v>
      </c>
      <c r="F103" s="29">
        <f t="shared" ca="1" si="13"/>
        <v>4943</v>
      </c>
      <c r="G103" s="29">
        <f t="shared" si="14"/>
        <v>175.13406011676599</v>
      </c>
      <c r="H103" s="24">
        <f t="shared" si="15"/>
        <v>11</v>
      </c>
      <c r="I103" s="24">
        <f t="shared" si="16"/>
        <v>0</v>
      </c>
      <c r="J103" s="24">
        <f t="shared" si="12"/>
        <v>1</v>
      </c>
      <c r="K103" s="25">
        <f t="shared" si="18"/>
        <v>41243</v>
      </c>
      <c r="L103" s="25">
        <f t="shared" si="19"/>
        <v>41243</v>
      </c>
      <c r="M103" s="28">
        <f t="shared" si="20"/>
        <v>0.92756020040727527</v>
      </c>
      <c r="N103" s="28">
        <f t="shared" si="21"/>
        <v>0.86996445945149903</v>
      </c>
      <c r="O103" s="31">
        <f t="shared" ca="1" si="22"/>
        <v>4943</v>
      </c>
      <c r="P103" s="31">
        <f t="shared" si="23"/>
        <v>175.13406011676599</v>
      </c>
      <c r="W103" s="25">
        <v>39997</v>
      </c>
      <c r="X103" s="24">
        <v>1583.5</v>
      </c>
      <c r="AA103" s="25">
        <v>41242</v>
      </c>
      <c r="AB103">
        <v>1.75134060116766</v>
      </c>
      <c r="AC103" s="24">
        <f t="shared" si="17"/>
        <v>175.13406011676599</v>
      </c>
    </row>
    <row r="104" spans="3:29">
      <c r="C104" s="25">
        <v>41249</v>
      </c>
      <c r="D104" s="28">
        <v>0.9105479087849232</v>
      </c>
      <c r="E104" s="28">
        <v>0.85662578219432695</v>
      </c>
      <c r="F104" s="29">
        <f t="shared" ca="1" si="13"/>
        <v>5368.1</v>
      </c>
      <c r="G104" s="29">
        <f t="shared" si="14"/>
        <v>171.98225237472801</v>
      </c>
      <c r="H104" s="24">
        <f t="shared" si="15"/>
        <v>12</v>
      </c>
      <c r="I104" s="24">
        <f t="shared" si="16"/>
        <v>1</v>
      </c>
      <c r="J104" s="24">
        <f t="shared" si="12"/>
        <v>0</v>
      </c>
      <c r="K104" s="25" t="str">
        <f t="shared" si="18"/>
        <v/>
      </c>
      <c r="L104" s="25" t="e">
        <f t="shared" si="19"/>
        <v>#VALUE!</v>
      </c>
      <c r="M104" s="28" t="str">
        <f t="shared" si="20"/>
        <v/>
      </c>
      <c r="N104" s="28" t="str">
        <f t="shared" si="21"/>
        <v/>
      </c>
      <c r="O104" s="31" t="str">
        <f t="shared" si="22"/>
        <v/>
      </c>
      <c r="P104" s="31" t="str">
        <f t="shared" si="23"/>
        <v/>
      </c>
      <c r="W104" s="25">
        <v>40004</v>
      </c>
      <c r="X104" s="24">
        <v>1915.5</v>
      </c>
      <c r="AA104" s="25">
        <v>41249</v>
      </c>
      <c r="AB104">
        <v>1.71982252374728</v>
      </c>
      <c r="AC104" s="24">
        <f t="shared" si="17"/>
        <v>171.98225237472801</v>
      </c>
    </row>
    <row r="105" spans="3:29">
      <c r="C105" s="25">
        <v>41256</v>
      </c>
      <c r="D105" s="28">
        <v>0.9126136851792267</v>
      </c>
      <c r="E105" s="28">
        <v>0.87412257034895602</v>
      </c>
      <c r="F105" s="29">
        <f t="shared" ca="1" si="13"/>
        <v>4564.3999999999996</v>
      </c>
      <c r="G105" s="29">
        <f t="shared" si="14"/>
        <v>173.93785441833302</v>
      </c>
      <c r="H105" s="24">
        <f t="shared" si="15"/>
        <v>12</v>
      </c>
      <c r="I105" s="24">
        <f t="shared" si="16"/>
        <v>0</v>
      </c>
      <c r="J105" s="24">
        <f t="shared" si="12"/>
        <v>0</v>
      </c>
      <c r="K105" s="25" t="str">
        <f t="shared" si="18"/>
        <v/>
      </c>
      <c r="L105" s="25" t="e">
        <f t="shared" si="19"/>
        <v>#VALUE!</v>
      </c>
      <c r="M105" s="28" t="str">
        <f t="shared" si="20"/>
        <v/>
      </c>
      <c r="N105" s="28" t="str">
        <f t="shared" si="21"/>
        <v/>
      </c>
      <c r="O105" s="31" t="str">
        <f t="shared" si="22"/>
        <v/>
      </c>
      <c r="P105" s="31" t="str">
        <f t="shared" si="23"/>
        <v/>
      </c>
      <c r="W105" s="25">
        <v>40011</v>
      </c>
      <c r="X105" s="24">
        <v>1982.8</v>
      </c>
      <c r="AA105" s="25">
        <v>41256</v>
      </c>
      <c r="AB105">
        <v>1.73937854418333</v>
      </c>
      <c r="AC105" s="24">
        <f t="shared" si="17"/>
        <v>173.93785441833302</v>
      </c>
    </row>
    <row r="106" spans="3:29">
      <c r="C106" s="25">
        <v>41263</v>
      </c>
      <c r="D106" s="28">
        <v>0.90965157918840345</v>
      </c>
      <c r="E106" s="28">
        <v>0.85522983991809798</v>
      </c>
      <c r="F106" s="29">
        <f t="shared" ca="1" si="13"/>
        <v>3983.2</v>
      </c>
      <c r="G106" s="29">
        <f t="shared" si="14"/>
        <v>169.048849309318</v>
      </c>
      <c r="H106" s="24">
        <f t="shared" si="15"/>
        <v>12</v>
      </c>
      <c r="I106" s="24">
        <f t="shared" si="16"/>
        <v>0</v>
      </c>
      <c r="J106" s="24">
        <f t="shared" si="12"/>
        <v>0</v>
      </c>
      <c r="K106" s="25" t="str">
        <f t="shared" si="18"/>
        <v/>
      </c>
      <c r="L106" s="25" t="e">
        <f t="shared" si="19"/>
        <v>#VALUE!</v>
      </c>
      <c r="M106" s="28" t="str">
        <f t="shared" si="20"/>
        <v/>
      </c>
      <c r="N106" s="28" t="str">
        <f t="shared" si="21"/>
        <v/>
      </c>
      <c r="O106" s="31" t="str">
        <f t="shared" si="22"/>
        <v/>
      </c>
      <c r="P106" s="31" t="str">
        <f t="shared" si="23"/>
        <v/>
      </c>
      <c r="W106" s="25">
        <v>40018</v>
      </c>
      <c r="X106" s="24">
        <v>1702.7</v>
      </c>
      <c r="AA106" s="25">
        <v>41263</v>
      </c>
      <c r="AB106">
        <v>1.6904884930931801</v>
      </c>
      <c r="AC106" s="24">
        <f t="shared" si="17"/>
        <v>169.048849309318</v>
      </c>
    </row>
    <row r="107" spans="3:29">
      <c r="C107" s="25">
        <v>41270</v>
      </c>
      <c r="D107" s="28">
        <v>0.91018597538933266</v>
      </c>
      <c r="E107" s="28">
        <v>0.85626060279274896</v>
      </c>
      <c r="F107" s="29">
        <f t="shared" ca="1" si="13"/>
        <v>3488.9</v>
      </c>
      <c r="G107" s="29">
        <f t="shared" si="14"/>
        <v>171.004451352925</v>
      </c>
      <c r="H107" s="24">
        <f t="shared" si="15"/>
        <v>12</v>
      </c>
      <c r="I107" s="24">
        <f t="shared" si="16"/>
        <v>0</v>
      </c>
      <c r="J107" s="24">
        <f t="shared" si="12"/>
        <v>1</v>
      </c>
      <c r="K107" s="25">
        <f t="shared" si="18"/>
        <v>41274</v>
      </c>
      <c r="L107" s="25">
        <f t="shared" si="19"/>
        <v>41274</v>
      </c>
      <c r="M107" s="28">
        <f t="shared" si="20"/>
        <v>0.91018597538933266</v>
      </c>
      <c r="N107" s="28">
        <f t="shared" si="21"/>
        <v>0.85626060279274896</v>
      </c>
      <c r="O107" s="31">
        <f t="shared" ca="1" si="22"/>
        <v>3488.9</v>
      </c>
      <c r="P107" s="31">
        <f t="shared" si="23"/>
        <v>171.004451352925</v>
      </c>
      <c r="W107" s="25">
        <v>40025</v>
      </c>
      <c r="X107" s="24">
        <v>1826</v>
      </c>
      <c r="AA107" s="25">
        <v>41270</v>
      </c>
      <c r="AB107">
        <v>1.7100445135292499</v>
      </c>
      <c r="AC107" s="24">
        <f t="shared" si="17"/>
        <v>171.004451352925</v>
      </c>
    </row>
    <row r="108" spans="3:29">
      <c r="C108" s="25">
        <v>41277</v>
      </c>
      <c r="D108" s="28">
        <v>0.88829814088555981</v>
      </c>
      <c r="E108" s="28">
        <v>0.83696581575361895</v>
      </c>
      <c r="F108" s="29">
        <f t="shared" ca="1" si="13"/>
        <v>3896.4</v>
      </c>
      <c r="G108" s="29">
        <f t="shared" si="14"/>
        <v>167.25416382274801</v>
      </c>
      <c r="H108" s="24">
        <f t="shared" si="15"/>
        <v>1</v>
      </c>
      <c r="I108" s="24">
        <f t="shared" si="16"/>
        <v>1</v>
      </c>
      <c r="J108" s="24">
        <f t="shared" si="12"/>
        <v>0</v>
      </c>
      <c r="K108" s="25" t="str">
        <f t="shared" si="18"/>
        <v/>
      </c>
      <c r="L108" s="25" t="e">
        <f t="shared" si="19"/>
        <v>#VALUE!</v>
      </c>
      <c r="M108" s="28" t="str">
        <f t="shared" si="20"/>
        <v/>
      </c>
      <c r="N108" s="28" t="str">
        <f t="shared" si="21"/>
        <v/>
      </c>
      <c r="O108" s="31" t="str">
        <f t="shared" si="22"/>
        <v/>
      </c>
      <c r="P108" s="31" t="str">
        <f t="shared" si="23"/>
        <v/>
      </c>
      <c r="W108" s="25">
        <v>40032</v>
      </c>
      <c r="X108" s="24">
        <v>1659.1</v>
      </c>
      <c r="AA108" s="25">
        <v>41277</v>
      </c>
      <c r="AB108">
        <v>1.67254163822748</v>
      </c>
      <c r="AC108" s="24">
        <f t="shared" si="17"/>
        <v>167.25416382274801</v>
      </c>
    </row>
    <row r="109" spans="3:29">
      <c r="C109" s="25">
        <v>41284</v>
      </c>
      <c r="D109" s="28">
        <v>0.88507237465236011</v>
      </c>
      <c r="E109" s="28">
        <v>0.81798384699460103</v>
      </c>
      <c r="F109" s="29">
        <f t="shared" ca="1" si="13"/>
        <v>4554.3999999999996</v>
      </c>
      <c r="G109" s="29">
        <f t="shared" si="14"/>
        <v>161.385096843453</v>
      </c>
      <c r="H109" s="24">
        <f t="shared" si="15"/>
        <v>1</v>
      </c>
      <c r="I109" s="24">
        <f t="shared" si="16"/>
        <v>0</v>
      </c>
      <c r="J109" s="24">
        <f t="shared" si="12"/>
        <v>0</v>
      </c>
      <c r="K109" s="25" t="str">
        <f t="shared" si="18"/>
        <v/>
      </c>
      <c r="L109" s="25" t="e">
        <f t="shared" si="19"/>
        <v>#VALUE!</v>
      </c>
      <c r="M109" s="28" t="str">
        <f t="shared" si="20"/>
        <v/>
      </c>
      <c r="N109" s="28" t="str">
        <f t="shared" si="21"/>
        <v/>
      </c>
      <c r="O109" s="31" t="str">
        <f t="shared" si="22"/>
        <v/>
      </c>
      <c r="P109" s="31" t="str">
        <f t="shared" si="23"/>
        <v/>
      </c>
      <c r="W109" s="25">
        <v>40039</v>
      </c>
      <c r="X109" s="24">
        <v>1782.2</v>
      </c>
      <c r="AA109" s="25">
        <v>41284</v>
      </c>
      <c r="AB109">
        <v>1.6138509684345299</v>
      </c>
      <c r="AC109" s="24">
        <f t="shared" si="17"/>
        <v>161.385096843453</v>
      </c>
    </row>
    <row r="110" spans="3:29">
      <c r="C110" s="25">
        <v>41291</v>
      </c>
      <c r="D110" s="28">
        <v>0.88631407683414742</v>
      </c>
      <c r="E110" s="28">
        <v>0.83503612629874802</v>
      </c>
      <c r="F110" s="29">
        <f t="shared" ca="1" si="13"/>
        <v>4937.3999999999996</v>
      </c>
      <c r="G110" s="29">
        <f t="shared" si="14"/>
        <v>163.34145250321802</v>
      </c>
      <c r="H110" s="24">
        <f t="shared" si="15"/>
        <v>1</v>
      </c>
      <c r="I110" s="24">
        <f t="shared" si="16"/>
        <v>0</v>
      </c>
      <c r="J110" s="24">
        <f t="shared" si="12"/>
        <v>0</v>
      </c>
      <c r="K110" s="25" t="str">
        <f t="shared" si="18"/>
        <v/>
      </c>
      <c r="L110" s="25" t="e">
        <f t="shared" si="19"/>
        <v>#VALUE!</v>
      </c>
      <c r="M110" s="28" t="str">
        <f t="shared" si="20"/>
        <v/>
      </c>
      <c r="N110" s="28" t="str">
        <f t="shared" si="21"/>
        <v/>
      </c>
      <c r="O110" s="31" t="str">
        <f t="shared" si="22"/>
        <v/>
      </c>
      <c r="P110" s="31" t="str">
        <f t="shared" si="23"/>
        <v/>
      </c>
      <c r="W110" s="25">
        <v>40046</v>
      </c>
      <c r="X110" s="24">
        <v>1983.2</v>
      </c>
      <c r="AA110" s="25">
        <v>41291</v>
      </c>
      <c r="AB110">
        <v>1.6334145250321801</v>
      </c>
      <c r="AC110" s="24">
        <f t="shared" si="17"/>
        <v>163.34145250321802</v>
      </c>
    </row>
    <row r="111" spans="3:29">
      <c r="C111" s="25">
        <v>41298</v>
      </c>
      <c r="D111" s="28">
        <v>0.88379536104531342</v>
      </c>
      <c r="E111" s="28">
        <v>0.81634992305868503</v>
      </c>
      <c r="F111" s="29">
        <f t="shared" ca="1" si="13"/>
        <v>4433.6000000000004</v>
      </c>
      <c r="G111" s="29">
        <f t="shared" si="14"/>
        <v>159.428741183689</v>
      </c>
      <c r="H111" s="24">
        <f t="shared" si="15"/>
        <v>1</v>
      </c>
      <c r="I111" s="24">
        <f t="shared" si="16"/>
        <v>0</v>
      </c>
      <c r="J111" s="24">
        <f t="shared" si="12"/>
        <v>0</v>
      </c>
      <c r="K111" s="25" t="str">
        <f t="shared" si="18"/>
        <v/>
      </c>
      <c r="L111" s="25" t="e">
        <f t="shared" si="19"/>
        <v>#VALUE!</v>
      </c>
      <c r="M111" s="28" t="str">
        <f t="shared" si="20"/>
        <v/>
      </c>
      <c r="N111" s="28" t="str">
        <f t="shared" si="21"/>
        <v/>
      </c>
      <c r="O111" s="31" t="str">
        <f t="shared" si="22"/>
        <v/>
      </c>
      <c r="P111" s="31" t="str">
        <f t="shared" si="23"/>
        <v/>
      </c>
      <c r="W111" s="25">
        <v>40053</v>
      </c>
      <c r="X111" s="24">
        <v>1955.9</v>
      </c>
      <c r="AA111" s="25">
        <v>41298</v>
      </c>
      <c r="AB111">
        <v>1.5942874118368899</v>
      </c>
      <c r="AC111" s="24">
        <f t="shared" si="17"/>
        <v>159.428741183689</v>
      </c>
    </row>
    <row r="112" spans="3:29">
      <c r="C112" s="25">
        <v>41305</v>
      </c>
      <c r="D112" s="28">
        <v>0.84748759806752005</v>
      </c>
      <c r="E112" s="28">
        <v>0.77322369572310801</v>
      </c>
      <c r="F112" s="29">
        <f t="shared" ca="1" si="13"/>
        <v>4579</v>
      </c>
      <c r="G112" s="29">
        <f t="shared" si="14"/>
        <v>148.6687850534</v>
      </c>
      <c r="H112" s="24">
        <f t="shared" si="15"/>
        <v>1</v>
      </c>
      <c r="I112" s="24">
        <f t="shared" si="16"/>
        <v>0</v>
      </c>
      <c r="J112" s="24">
        <f t="shared" si="12"/>
        <v>1</v>
      </c>
      <c r="K112" s="25">
        <f t="shared" si="18"/>
        <v>41305</v>
      </c>
      <c r="L112" s="25">
        <f t="shared" si="19"/>
        <v>41305</v>
      </c>
      <c r="M112" s="28">
        <f t="shared" si="20"/>
        <v>0.84748759806752005</v>
      </c>
      <c r="N112" s="28">
        <f t="shared" si="21"/>
        <v>0.77322369572310801</v>
      </c>
      <c r="O112" s="31">
        <f t="shared" ca="1" si="22"/>
        <v>4579</v>
      </c>
      <c r="P112" s="31">
        <f t="shared" si="23"/>
        <v>148.6687850534</v>
      </c>
      <c r="W112" s="25">
        <v>40060</v>
      </c>
      <c r="X112" s="24">
        <v>2383.6999999999998</v>
      </c>
      <c r="AA112" s="25">
        <v>41305</v>
      </c>
      <c r="AB112">
        <v>1.486687850534</v>
      </c>
      <c r="AC112" s="24">
        <f t="shared" si="17"/>
        <v>148.6687850534</v>
      </c>
    </row>
    <row r="113" spans="3:29">
      <c r="C113" s="25">
        <v>41312</v>
      </c>
      <c r="D113" s="28">
        <v>0.79744674672768578</v>
      </c>
      <c r="E113" s="28">
        <v>0.75155379277106704</v>
      </c>
      <c r="F113" s="29">
        <f t="shared" ca="1" si="13"/>
        <v>4284.3</v>
      </c>
      <c r="G113" s="29">
        <f t="shared" si="14"/>
        <v>141.48436142470999</v>
      </c>
      <c r="H113" s="24">
        <f t="shared" si="15"/>
        <v>2</v>
      </c>
      <c r="I113" s="24">
        <f t="shared" si="16"/>
        <v>1</v>
      </c>
      <c r="J113" s="24">
        <f t="shared" si="12"/>
        <v>0</v>
      </c>
      <c r="K113" s="25" t="str">
        <f t="shared" si="18"/>
        <v/>
      </c>
      <c r="L113" s="25" t="e">
        <f t="shared" si="19"/>
        <v>#VALUE!</v>
      </c>
      <c r="M113" s="28" t="str">
        <f t="shared" si="20"/>
        <v/>
      </c>
      <c r="N113" s="28" t="str">
        <f t="shared" si="21"/>
        <v/>
      </c>
      <c r="O113" s="31" t="str">
        <f t="shared" si="22"/>
        <v/>
      </c>
      <c r="P113" s="31" t="str">
        <f t="shared" si="23"/>
        <v/>
      </c>
      <c r="W113" s="25">
        <v>40067</v>
      </c>
      <c r="X113" s="24">
        <v>2216.3000000000002</v>
      </c>
      <c r="AA113" s="25">
        <v>41312</v>
      </c>
      <c r="AB113">
        <v>1.4148436142470999</v>
      </c>
      <c r="AC113" s="24">
        <f t="shared" si="17"/>
        <v>141.48436142470999</v>
      </c>
    </row>
    <row r="114" spans="3:29">
      <c r="C114" s="25">
        <v>41319</v>
      </c>
      <c r="D114" s="28">
        <v>0.79744674672768578</v>
      </c>
      <c r="E114" s="28">
        <v>0.75155379277106704</v>
      </c>
      <c r="F114" s="29">
        <f t="shared" ca="1" si="13"/>
        <v>4261.8</v>
      </c>
      <c r="G114" s="29">
        <f t="shared" si="14"/>
        <v>141.48436142470999</v>
      </c>
      <c r="H114" s="24">
        <f t="shared" si="15"/>
        <v>2</v>
      </c>
      <c r="I114" s="24">
        <f t="shared" si="16"/>
        <v>0</v>
      </c>
      <c r="J114" s="24">
        <f t="shared" si="12"/>
        <v>0</v>
      </c>
      <c r="K114" s="25" t="str">
        <f t="shared" si="18"/>
        <v/>
      </c>
      <c r="L114" s="25" t="e">
        <f t="shared" si="19"/>
        <v>#VALUE!</v>
      </c>
      <c r="M114" s="28" t="str">
        <f t="shared" si="20"/>
        <v/>
      </c>
      <c r="N114" s="28" t="str">
        <f t="shared" si="21"/>
        <v/>
      </c>
      <c r="O114" s="31" t="str">
        <f t="shared" si="22"/>
        <v/>
      </c>
      <c r="P114" s="31" t="str">
        <f t="shared" si="23"/>
        <v/>
      </c>
      <c r="W114" s="25">
        <v>40074</v>
      </c>
      <c r="X114" s="24">
        <v>2632.2</v>
      </c>
      <c r="AA114" s="25">
        <v>41319</v>
      </c>
      <c r="AB114">
        <v>1.4148436142470999</v>
      </c>
      <c r="AC114" s="24">
        <f t="shared" si="17"/>
        <v>141.48436142470999</v>
      </c>
    </row>
    <row r="115" spans="3:29">
      <c r="C115" s="25">
        <v>41326</v>
      </c>
      <c r="D115" s="28">
        <v>0.75767121274967097</v>
      </c>
      <c r="E115" s="28">
        <v>0.73462902469773095</v>
      </c>
      <c r="F115" s="29">
        <f t="shared" ca="1" si="13"/>
        <v>4136.3</v>
      </c>
      <c r="G115" s="29">
        <f t="shared" si="14"/>
        <v>138.54969148069</v>
      </c>
      <c r="H115" s="24">
        <f t="shared" si="15"/>
        <v>2</v>
      </c>
      <c r="I115" s="24">
        <f t="shared" si="16"/>
        <v>0</v>
      </c>
      <c r="J115" s="24">
        <f t="shared" si="12"/>
        <v>0</v>
      </c>
      <c r="K115" s="25" t="str">
        <f t="shared" si="18"/>
        <v/>
      </c>
      <c r="L115" s="25" t="e">
        <f t="shared" si="19"/>
        <v>#VALUE!</v>
      </c>
      <c r="M115" s="28" t="str">
        <f t="shared" si="20"/>
        <v/>
      </c>
      <c r="N115" s="28" t="str">
        <f t="shared" si="21"/>
        <v/>
      </c>
      <c r="O115" s="31" t="str">
        <f t="shared" si="22"/>
        <v/>
      </c>
      <c r="P115" s="31" t="str">
        <f t="shared" si="23"/>
        <v/>
      </c>
      <c r="W115" s="25">
        <v>40081</v>
      </c>
      <c r="X115" s="24">
        <v>2655.8</v>
      </c>
      <c r="AA115" s="25">
        <v>41326</v>
      </c>
      <c r="AB115">
        <v>1.3854969148069001</v>
      </c>
      <c r="AC115" s="24">
        <f t="shared" si="17"/>
        <v>138.54969148069</v>
      </c>
    </row>
    <row r="116" spans="3:29">
      <c r="C116" s="25">
        <v>41333</v>
      </c>
      <c r="D116" s="28">
        <v>0.81599621049204552</v>
      </c>
      <c r="E116" s="28">
        <v>0.75332777657917305</v>
      </c>
      <c r="F116" s="29">
        <f t="shared" ca="1" si="13"/>
        <v>4724.8999999999996</v>
      </c>
      <c r="G116" s="29">
        <f t="shared" si="14"/>
        <v>143.440808054059</v>
      </c>
      <c r="H116" s="24">
        <f t="shared" si="15"/>
        <v>2</v>
      </c>
      <c r="I116" s="24">
        <f t="shared" si="16"/>
        <v>0</v>
      </c>
      <c r="J116" s="24">
        <f t="shared" si="12"/>
        <v>1</v>
      </c>
      <c r="K116" s="25">
        <f t="shared" si="18"/>
        <v>41333</v>
      </c>
      <c r="L116" s="25">
        <f t="shared" si="19"/>
        <v>41333</v>
      </c>
      <c r="M116" s="28">
        <f t="shared" si="20"/>
        <v>0.81599621049204552</v>
      </c>
      <c r="N116" s="28">
        <f t="shared" si="21"/>
        <v>0.75332777657917305</v>
      </c>
      <c r="O116" s="31">
        <f t="shared" ca="1" si="22"/>
        <v>4724.8999999999996</v>
      </c>
      <c r="P116" s="31">
        <f t="shared" si="23"/>
        <v>143.440808054059</v>
      </c>
      <c r="W116" s="25">
        <v>40088</v>
      </c>
      <c r="X116" s="24">
        <v>3230.9</v>
      </c>
      <c r="AA116" s="25">
        <v>41333</v>
      </c>
      <c r="AB116">
        <v>1.4344080805405901</v>
      </c>
      <c r="AC116" s="24">
        <f t="shared" si="17"/>
        <v>143.440808054059</v>
      </c>
    </row>
    <row r="117" spans="3:29">
      <c r="C117" s="25">
        <v>41340</v>
      </c>
      <c r="D117" s="28">
        <v>0.81254588826988361</v>
      </c>
      <c r="E117" s="28">
        <v>0.731898053840778</v>
      </c>
      <c r="F117" s="29">
        <f t="shared" ca="1" si="13"/>
        <v>4485.2</v>
      </c>
      <c r="G117" s="29">
        <f t="shared" si="14"/>
        <v>139.260265477237</v>
      </c>
      <c r="H117" s="24">
        <f t="shared" si="15"/>
        <v>3</v>
      </c>
      <c r="I117" s="24">
        <f t="shared" si="16"/>
        <v>1</v>
      </c>
      <c r="J117" s="24">
        <f t="shared" si="12"/>
        <v>0</v>
      </c>
      <c r="K117" s="25" t="str">
        <f t="shared" si="18"/>
        <v/>
      </c>
      <c r="L117" s="25" t="e">
        <f t="shared" si="19"/>
        <v>#VALUE!</v>
      </c>
      <c r="M117" s="28" t="str">
        <f t="shared" si="20"/>
        <v/>
      </c>
      <c r="N117" s="28" t="str">
        <f t="shared" si="21"/>
        <v/>
      </c>
      <c r="O117" s="31" t="str">
        <f t="shared" si="22"/>
        <v/>
      </c>
      <c r="P117" s="31" t="str">
        <f t="shared" si="23"/>
        <v/>
      </c>
      <c r="W117" s="25">
        <v>40095</v>
      </c>
      <c r="X117" s="24">
        <v>3280.3</v>
      </c>
      <c r="AA117" s="25">
        <v>41340</v>
      </c>
      <c r="AB117">
        <v>1.39260265477237</v>
      </c>
      <c r="AC117" s="24">
        <f t="shared" si="17"/>
        <v>139.260265477237</v>
      </c>
    </row>
    <row r="118" spans="3:29">
      <c r="C118" s="25">
        <v>41347</v>
      </c>
      <c r="D118" s="28">
        <v>0.70260073761186825</v>
      </c>
      <c r="E118" s="28">
        <v>0.69793386100167498</v>
      </c>
      <c r="F118" s="29">
        <f t="shared" ca="1" si="13"/>
        <v>4111.3</v>
      </c>
      <c r="G118" s="29">
        <f t="shared" si="14"/>
        <v>126.054045590222</v>
      </c>
      <c r="H118" s="24">
        <f t="shared" si="15"/>
        <v>3</v>
      </c>
      <c r="I118" s="24">
        <f t="shared" si="16"/>
        <v>0</v>
      </c>
      <c r="J118" s="24">
        <f t="shared" si="12"/>
        <v>0</v>
      </c>
      <c r="K118" s="25" t="str">
        <f t="shared" si="18"/>
        <v/>
      </c>
      <c r="L118" s="25" t="e">
        <f t="shared" si="19"/>
        <v>#VALUE!</v>
      </c>
      <c r="M118" s="28" t="str">
        <f t="shared" si="20"/>
        <v/>
      </c>
      <c r="N118" s="28" t="str">
        <f t="shared" si="21"/>
        <v/>
      </c>
      <c r="O118" s="31" t="str">
        <f t="shared" si="22"/>
        <v/>
      </c>
      <c r="P118" s="31" t="str">
        <f t="shared" si="23"/>
        <v/>
      </c>
      <c r="W118" s="25">
        <v>40102</v>
      </c>
      <c r="X118" s="24">
        <v>2774.7</v>
      </c>
      <c r="AA118" s="25">
        <v>41347</v>
      </c>
      <c r="AB118">
        <v>1.26054045590222</v>
      </c>
      <c r="AC118" s="24">
        <f t="shared" si="17"/>
        <v>126.054045590222</v>
      </c>
    </row>
    <row r="119" spans="3:29">
      <c r="C119" s="25">
        <v>41354</v>
      </c>
      <c r="D119" s="28">
        <v>0.76832708554350626</v>
      </c>
      <c r="E119" s="28">
        <v>0.72870485724391698</v>
      </c>
      <c r="F119" s="29">
        <f t="shared" ca="1" si="13"/>
        <v>4412.8999999999996</v>
      </c>
      <c r="G119" s="29">
        <f t="shared" si="14"/>
        <v>134.85819218159699</v>
      </c>
      <c r="H119" s="24">
        <f t="shared" si="15"/>
        <v>3</v>
      </c>
      <c r="I119" s="24">
        <f t="shared" si="16"/>
        <v>0</v>
      </c>
      <c r="J119" s="24">
        <f t="shared" si="12"/>
        <v>0</v>
      </c>
      <c r="K119" s="25" t="str">
        <f t="shared" si="18"/>
        <v/>
      </c>
      <c r="L119" s="25" t="e">
        <f t="shared" si="19"/>
        <v>#VALUE!</v>
      </c>
      <c r="M119" s="28" t="str">
        <f t="shared" si="20"/>
        <v/>
      </c>
      <c r="N119" s="28" t="str">
        <f t="shared" si="21"/>
        <v/>
      </c>
      <c r="O119" s="31" t="str">
        <f t="shared" si="22"/>
        <v/>
      </c>
      <c r="P119" s="31" t="str">
        <f t="shared" si="23"/>
        <v/>
      </c>
      <c r="W119" s="25">
        <v>40109</v>
      </c>
      <c r="X119" s="24">
        <v>2304</v>
      </c>
      <c r="AA119" s="25">
        <v>41354</v>
      </c>
      <c r="AB119">
        <v>1.34858192181597</v>
      </c>
      <c r="AC119" s="24">
        <f t="shared" si="17"/>
        <v>134.85819218159699</v>
      </c>
    </row>
    <row r="120" spans="3:29">
      <c r="C120" s="25">
        <v>41361</v>
      </c>
      <c r="D120" s="28">
        <v>0.73085022058809757</v>
      </c>
      <c r="E120" s="28">
        <v>0.712062870316722</v>
      </c>
      <c r="F120" s="29">
        <f t="shared" ca="1" si="13"/>
        <v>4119.2</v>
      </c>
      <c r="G120" s="29">
        <f t="shared" si="14"/>
        <v>131.92347665116998</v>
      </c>
      <c r="H120" s="24">
        <f t="shared" si="15"/>
        <v>3</v>
      </c>
      <c r="I120" s="24">
        <f t="shared" si="16"/>
        <v>0</v>
      </c>
      <c r="J120" s="24">
        <f t="shared" si="12"/>
        <v>1</v>
      </c>
      <c r="K120" s="25">
        <f t="shared" si="18"/>
        <v>41364</v>
      </c>
      <c r="L120" s="25">
        <f>IF(WEEKDAY(K120,2)=6,K120-1,IF(WEEKDAY(K120,2)=7,K120-2,IF(J120=1,K120,"")))-1</f>
        <v>41361</v>
      </c>
      <c r="M120" s="28">
        <f t="shared" si="20"/>
        <v>0.73085022058809757</v>
      </c>
      <c r="N120" s="28">
        <f t="shared" si="21"/>
        <v>0.712062870316722</v>
      </c>
      <c r="O120" s="31">
        <f t="shared" ca="1" si="22"/>
        <v>4119.2</v>
      </c>
      <c r="P120" s="31">
        <f t="shared" si="23"/>
        <v>131.92347665116998</v>
      </c>
      <c r="W120" s="25">
        <v>40116</v>
      </c>
      <c r="X120" s="24">
        <v>2715.2</v>
      </c>
      <c r="AA120" s="25">
        <v>41361</v>
      </c>
      <c r="AB120">
        <v>1.3192347665116999</v>
      </c>
      <c r="AC120" s="24">
        <f t="shared" si="17"/>
        <v>131.92347665116998</v>
      </c>
    </row>
    <row r="121" spans="3:29">
      <c r="C121" s="25">
        <v>41368</v>
      </c>
      <c r="D121" s="28">
        <v>0.74812714109915845</v>
      </c>
      <c r="E121" s="28">
        <v>0.71361316522728502</v>
      </c>
      <c r="F121" s="29">
        <f t="shared" ca="1" si="13"/>
        <v>4528.8999999999996</v>
      </c>
      <c r="G121" s="29">
        <f t="shared" si="14"/>
        <v>132.40000733236099</v>
      </c>
      <c r="H121" s="24">
        <f t="shared" si="15"/>
        <v>4</v>
      </c>
      <c r="I121" s="24">
        <f t="shared" si="16"/>
        <v>1</v>
      </c>
      <c r="J121" s="24">
        <f t="shared" si="12"/>
        <v>0</v>
      </c>
      <c r="K121" s="25" t="str">
        <f t="shared" si="18"/>
        <v/>
      </c>
      <c r="L121" s="25" t="e">
        <f t="shared" si="19"/>
        <v>#VALUE!</v>
      </c>
      <c r="M121" s="28" t="str">
        <f t="shared" si="20"/>
        <v/>
      </c>
      <c r="N121" s="28" t="str">
        <f t="shared" si="21"/>
        <v/>
      </c>
      <c r="O121" s="31" t="str">
        <f t="shared" si="22"/>
        <v/>
      </c>
      <c r="P121" s="31" t="str">
        <f t="shared" si="23"/>
        <v/>
      </c>
      <c r="W121" s="25">
        <v>40123</v>
      </c>
      <c r="X121" s="24">
        <v>2996</v>
      </c>
      <c r="AA121" s="25">
        <v>41368</v>
      </c>
      <c r="AB121">
        <v>1.3240000733236099</v>
      </c>
      <c r="AC121" s="24">
        <f t="shared" si="17"/>
        <v>132.40000733236099</v>
      </c>
    </row>
    <row r="122" spans="3:29">
      <c r="C122" s="25">
        <v>41375</v>
      </c>
      <c r="D122" s="28">
        <v>0.81951890925716175</v>
      </c>
      <c r="E122" s="28">
        <v>0.73719138808657003</v>
      </c>
      <c r="F122" s="29">
        <f t="shared" ca="1" si="13"/>
        <v>4726.8999999999996</v>
      </c>
      <c r="G122" s="29">
        <f t="shared" si="14"/>
        <v>143.203434341476</v>
      </c>
      <c r="H122" s="24">
        <f t="shared" si="15"/>
        <v>4</v>
      </c>
      <c r="I122" s="24">
        <f t="shared" si="16"/>
        <v>0</v>
      </c>
      <c r="J122" s="24">
        <f t="shared" si="12"/>
        <v>0</v>
      </c>
      <c r="K122" s="25" t="str">
        <f t="shared" si="18"/>
        <v/>
      </c>
      <c r="L122" s="25" t="e">
        <f t="shared" si="19"/>
        <v>#VALUE!</v>
      </c>
      <c r="M122" s="28" t="str">
        <f t="shared" si="20"/>
        <v/>
      </c>
      <c r="N122" s="28" t="str">
        <f t="shared" si="21"/>
        <v/>
      </c>
      <c r="O122" s="31" t="str">
        <f t="shared" si="22"/>
        <v/>
      </c>
      <c r="P122" s="31" t="str">
        <f t="shared" si="23"/>
        <v/>
      </c>
      <c r="W122" s="25">
        <v>40130</v>
      </c>
      <c r="X122" s="24">
        <v>3117</v>
      </c>
      <c r="AA122" s="25">
        <v>41375</v>
      </c>
      <c r="AB122">
        <v>1.43203434341476</v>
      </c>
      <c r="AC122" s="24">
        <f t="shared" si="17"/>
        <v>143.203434341476</v>
      </c>
    </row>
    <row r="123" spans="3:29">
      <c r="C123" s="25">
        <v>41382</v>
      </c>
      <c r="D123" s="28">
        <v>0.8263799320049966</v>
      </c>
      <c r="E123" s="28">
        <v>0.76108985756873504</v>
      </c>
      <c r="F123" s="29">
        <f t="shared" ca="1" si="13"/>
        <v>4672.1000000000004</v>
      </c>
      <c r="G123" s="29">
        <f t="shared" si="14"/>
        <v>147.623018117144</v>
      </c>
      <c r="H123" s="24">
        <f t="shared" si="15"/>
        <v>4</v>
      </c>
      <c r="I123" s="24">
        <f t="shared" si="16"/>
        <v>0</v>
      </c>
      <c r="J123" s="24">
        <f t="shared" si="12"/>
        <v>0</v>
      </c>
      <c r="K123" s="25" t="str">
        <f t="shared" si="18"/>
        <v/>
      </c>
      <c r="L123" s="25" t="e">
        <f t="shared" si="19"/>
        <v>#VALUE!</v>
      </c>
      <c r="M123" s="28" t="str">
        <f t="shared" si="20"/>
        <v/>
      </c>
      <c r="N123" s="28" t="str">
        <f t="shared" si="21"/>
        <v/>
      </c>
      <c r="O123" s="31" t="str">
        <f t="shared" si="22"/>
        <v/>
      </c>
      <c r="P123" s="31" t="str">
        <f t="shared" si="23"/>
        <v/>
      </c>
      <c r="W123" s="25">
        <v>40137</v>
      </c>
      <c r="X123" s="24">
        <v>2815.1</v>
      </c>
      <c r="AA123" s="25">
        <v>41382</v>
      </c>
      <c r="AB123">
        <v>1.47623018117144</v>
      </c>
      <c r="AC123" s="24">
        <f t="shared" si="17"/>
        <v>147.623018117144</v>
      </c>
    </row>
    <row r="124" spans="3:29">
      <c r="C124" s="25">
        <v>41389</v>
      </c>
      <c r="D124" s="28">
        <v>0.82478602429419701</v>
      </c>
      <c r="E124" s="28">
        <v>0.759939269856726</v>
      </c>
      <c r="F124" s="29">
        <f t="shared" ca="1" si="13"/>
        <v>4854.1000000000004</v>
      </c>
      <c r="G124" s="29">
        <f t="shared" si="14"/>
        <v>146.14982352525701</v>
      </c>
      <c r="H124" s="24">
        <f t="shared" si="15"/>
        <v>4</v>
      </c>
      <c r="I124" s="24">
        <f t="shared" si="16"/>
        <v>0</v>
      </c>
      <c r="J124" s="24">
        <f t="shared" si="12"/>
        <v>1</v>
      </c>
      <c r="K124" s="25">
        <f t="shared" si="18"/>
        <v>41394</v>
      </c>
      <c r="L124" s="25">
        <f t="shared" si="19"/>
        <v>41394</v>
      </c>
      <c r="M124" s="28">
        <f t="shared" si="20"/>
        <v>0.82478602429419701</v>
      </c>
      <c r="N124" s="28">
        <f t="shared" si="21"/>
        <v>0.759939269856726</v>
      </c>
      <c r="O124" s="31">
        <f t="shared" ca="1" si="22"/>
        <v>4854.1000000000004</v>
      </c>
      <c r="P124" s="31">
        <f t="shared" si="23"/>
        <v>146.14982352525701</v>
      </c>
      <c r="W124" s="25">
        <v>40144</v>
      </c>
      <c r="X124" s="24">
        <v>2958.4</v>
      </c>
      <c r="AA124" s="25">
        <v>41389</v>
      </c>
      <c r="AB124">
        <v>1.4614982352525701</v>
      </c>
      <c r="AC124" s="24">
        <f t="shared" si="17"/>
        <v>146.14982352525701</v>
      </c>
    </row>
    <row r="125" spans="3:29">
      <c r="C125" s="25">
        <v>41396</v>
      </c>
      <c r="D125" s="28">
        <v>0.81686282095814366</v>
      </c>
      <c r="E125" s="28">
        <v>0.77520531199879605</v>
      </c>
      <c r="F125" s="29">
        <f t="shared" ca="1" si="13"/>
        <v>5279.9</v>
      </c>
      <c r="G125" s="29">
        <f t="shared" si="14"/>
        <v>151.668654922348</v>
      </c>
      <c r="H125" s="24">
        <f t="shared" si="15"/>
        <v>5</v>
      </c>
      <c r="I125" s="24">
        <f t="shared" si="16"/>
        <v>1</v>
      </c>
      <c r="J125" s="24">
        <f t="shared" si="12"/>
        <v>0</v>
      </c>
      <c r="K125" s="25" t="str">
        <f t="shared" si="18"/>
        <v/>
      </c>
      <c r="L125" s="25" t="e">
        <f t="shared" si="19"/>
        <v>#VALUE!</v>
      </c>
      <c r="M125" s="28" t="str">
        <f t="shared" si="20"/>
        <v/>
      </c>
      <c r="N125" s="28" t="str">
        <f t="shared" si="21"/>
        <v/>
      </c>
      <c r="O125" s="31" t="str">
        <f t="shared" si="22"/>
        <v/>
      </c>
      <c r="P125" s="31" t="str">
        <f t="shared" si="23"/>
        <v/>
      </c>
      <c r="W125" s="25">
        <v>40151</v>
      </c>
      <c r="X125" s="24">
        <v>3312.7</v>
      </c>
      <c r="AA125" s="25">
        <v>41396</v>
      </c>
      <c r="AB125">
        <v>1.51668654922348</v>
      </c>
      <c r="AC125" s="24">
        <f t="shared" si="17"/>
        <v>151.668654922348</v>
      </c>
    </row>
    <row r="126" spans="3:29">
      <c r="C126" s="25">
        <v>41403</v>
      </c>
      <c r="D126" s="28">
        <v>0.80807149473903783</v>
      </c>
      <c r="E126" s="28">
        <v>0.75094523370436095</v>
      </c>
      <c r="F126" s="29">
        <f t="shared" ca="1" si="13"/>
        <v>4797.2</v>
      </c>
      <c r="G126" s="29">
        <f t="shared" si="14"/>
        <v>144.77129623610102</v>
      </c>
      <c r="H126" s="24">
        <f t="shared" si="15"/>
        <v>5</v>
      </c>
      <c r="I126" s="24">
        <f t="shared" si="16"/>
        <v>0</v>
      </c>
      <c r="J126" s="24">
        <f t="shared" si="12"/>
        <v>0</v>
      </c>
      <c r="K126" s="25" t="str">
        <f t="shared" si="18"/>
        <v/>
      </c>
      <c r="L126" s="25" t="e">
        <f t="shared" si="19"/>
        <v>#VALUE!</v>
      </c>
      <c r="M126" s="28" t="str">
        <f t="shared" si="20"/>
        <v/>
      </c>
      <c r="N126" s="28" t="str">
        <f t="shared" si="21"/>
        <v/>
      </c>
      <c r="O126" s="31" t="str">
        <f t="shared" si="22"/>
        <v/>
      </c>
      <c r="P126" s="31" t="str">
        <f t="shared" si="23"/>
        <v/>
      </c>
      <c r="W126" s="25">
        <v>40158</v>
      </c>
      <c r="X126" s="24">
        <v>3354</v>
      </c>
      <c r="AA126" s="25">
        <v>41403</v>
      </c>
      <c r="AB126">
        <v>1.4477129623610101</v>
      </c>
      <c r="AC126" s="24">
        <f t="shared" si="17"/>
        <v>144.77129623610102</v>
      </c>
    </row>
    <row r="127" spans="3:29">
      <c r="C127" s="25">
        <v>41410</v>
      </c>
      <c r="D127" s="28">
        <v>0.77783403735744605</v>
      </c>
      <c r="E127" s="28">
        <v>0.72159050384319001</v>
      </c>
      <c r="F127" s="29">
        <f t="shared" ca="1" si="13"/>
        <v>4241.5</v>
      </c>
      <c r="G127" s="29">
        <f t="shared" si="14"/>
        <v>135.90326363747101</v>
      </c>
      <c r="H127" s="24">
        <f t="shared" si="15"/>
        <v>5</v>
      </c>
      <c r="I127" s="24">
        <f t="shared" si="16"/>
        <v>0</v>
      </c>
      <c r="J127" s="24">
        <f t="shared" si="12"/>
        <v>0</v>
      </c>
      <c r="K127" s="25" t="str">
        <f t="shared" si="18"/>
        <v/>
      </c>
      <c r="L127" s="25" t="e">
        <f t="shared" si="19"/>
        <v>#VALUE!</v>
      </c>
      <c r="M127" s="28" t="str">
        <f t="shared" si="20"/>
        <v/>
      </c>
      <c r="N127" s="28" t="str">
        <f t="shared" si="21"/>
        <v/>
      </c>
      <c r="O127" s="31" t="str">
        <f t="shared" si="22"/>
        <v/>
      </c>
      <c r="P127" s="31" t="str">
        <f t="shared" si="23"/>
        <v/>
      </c>
      <c r="W127" s="25">
        <v>40165</v>
      </c>
      <c r="X127" s="24">
        <v>2988.7</v>
      </c>
      <c r="AA127" s="25">
        <v>41410</v>
      </c>
      <c r="AB127">
        <v>1.3590326363747101</v>
      </c>
      <c r="AC127" s="24">
        <f t="shared" si="17"/>
        <v>135.90326363747101</v>
      </c>
    </row>
    <row r="128" spans="3:29">
      <c r="C128" s="25">
        <v>41417</v>
      </c>
      <c r="D128" s="28">
        <v>0.69528028144531095</v>
      </c>
      <c r="E128" s="28">
        <v>0.68530860108825797</v>
      </c>
      <c r="F128" s="29">
        <f t="shared" ca="1" si="13"/>
        <v>3709.4</v>
      </c>
      <c r="G128" s="29">
        <f t="shared" si="14"/>
        <v>128.020567996046</v>
      </c>
      <c r="H128" s="24">
        <f t="shared" si="15"/>
        <v>5</v>
      </c>
      <c r="I128" s="24">
        <f t="shared" si="16"/>
        <v>0</v>
      </c>
      <c r="J128" s="24">
        <f t="shared" si="12"/>
        <v>0</v>
      </c>
      <c r="K128" s="25" t="str">
        <f t="shared" si="18"/>
        <v/>
      </c>
      <c r="L128" s="25" t="e">
        <f t="shared" si="19"/>
        <v>#VALUE!</v>
      </c>
      <c r="M128" s="28" t="str">
        <f t="shared" si="20"/>
        <v/>
      </c>
      <c r="N128" s="28" t="str">
        <f t="shared" si="21"/>
        <v/>
      </c>
      <c r="O128" s="31" t="str">
        <f t="shared" si="22"/>
        <v/>
      </c>
      <c r="P128" s="31" t="str">
        <f t="shared" si="23"/>
        <v/>
      </c>
      <c r="W128" s="25">
        <v>40172</v>
      </c>
      <c r="X128" s="24">
        <v>2038.4</v>
      </c>
      <c r="AA128" s="25">
        <v>41417</v>
      </c>
      <c r="AB128">
        <v>1.28020567996046</v>
      </c>
      <c r="AC128" s="24">
        <f t="shared" si="17"/>
        <v>128.020567996046</v>
      </c>
    </row>
    <row r="129" spans="3:29">
      <c r="C129" s="25">
        <v>41424</v>
      </c>
      <c r="D129" s="28">
        <v>0.63267241864898449</v>
      </c>
      <c r="E129" s="28">
        <v>0.61546645850988302</v>
      </c>
      <c r="F129" s="29">
        <f t="shared" ca="1" si="13"/>
        <v>3163.6</v>
      </c>
      <c r="G129" s="29">
        <f t="shared" si="14"/>
        <v>103.87981259407699</v>
      </c>
      <c r="H129" s="24">
        <f t="shared" si="15"/>
        <v>5</v>
      </c>
      <c r="I129" s="24">
        <f t="shared" si="16"/>
        <v>0</v>
      </c>
      <c r="J129" s="24">
        <f t="shared" si="12"/>
        <v>1</v>
      </c>
      <c r="K129" s="25">
        <f t="shared" si="18"/>
        <v>41425</v>
      </c>
      <c r="L129" s="25">
        <f t="shared" si="19"/>
        <v>41425</v>
      </c>
      <c r="M129" s="28">
        <f t="shared" si="20"/>
        <v>0.63267241864898449</v>
      </c>
      <c r="N129" s="28">
        <f t="shared" si="21"/>
        <v>0.61546645850988302</v>
      </c>
      <c r="O129" s="31">
        <f t="shared" ca="1" si="22"/>
        <v>3163.6</v>
      </c>
      <c r="P129" s="31">
        <f t="shared" si="23"/>
        <v>103.87981259407699</v>
      </c>
      <c r="W129" s="25">
        <v>40179</v>
      </c>
      <c r="X129" s="24">
        <v>2021.1</v>
      </c>
      <c r="AA129" s="25">
        <v>41424</v>
      </c>
      <c r="AB129">
        <v>1.0387981259407699</v>
      </c>
      <c r="AC129" s="24">
        <f t="shared" si="17"/>
        <v>103.87981259407699</v>
      </c>
    </row>
    <row r="130" spans="3:29">
      <c r="C130" s="25">
        <v>41431</v>
      </c>
      <c r="D130" s="28">
        <v>0.60569175356282723</v>
      </c>
      <c r="E130" s="28">
        <v>0.57861777554698002</v>
      </c>
      <c r="F130" s="29">
        <f t="shared" ca="1" si="13"/>
        <v>3339.8</v>
      </c>
      <c r="G130" s="29">
        <f t="shared" si="14"/>
        <v>93.659915423211402</v>
      </c>
      <c r="H130" s="24">
        <f t="shared" si="15"/>
        <v>6</v>
      </c>
      <c r="I130" s="24">
        <f t="shared" si="16"/>
        <v>1</v>
      </c>
      <c r="J130" s="24">
        <f t="shared" si="12"/>
        <v>0</v>
      </c>
      <c r="K130" s="25" t="str">
        <f t="shared" si="18"/>
        <v/>
      </c>
      <c r="L130" s="25" t="e">
        <f t="shared" si="19"/>
        <v>#VALUE!</v>
      </c>
      <c r="M130" s="28" t="str">
        <f t="shared" si="20"/>
        <v/>
      </c>
      <c r="N130" s="28" t="str">
        <f t="shared" si="21"/>
        <v/>
      </c>
      <c r="O130" s="31" t="str">
        <f t="shared" si="22"/>
        <v/>
      </c>
      <c r="P130" s="31" t="str">
        <f t="shared" si="23"/>
        <v/>
      </c>
      <c r="W130" s="25">
        <v>40186</v>
      </c>
      <c r="X130" s="24">
        <v>2430</v>
      </c>
      <c r="AA130" s="25">
        <v>41431</v>
      </c>
      <c r="AB130">
        <v>0.93659915423211404</v>
      </c>
      <c r="AC130" s="24">
        <f t="shared" si="17"/>
        <v>93.659915423211402</v>
      </c>
    </row>
    <row r="131" spans="3:29">
      <c r="C131" s="25">
        <v>41438</v>
      </c>
      <c r="D131" s="28">
        <v>0.57343184072471942</v>
      </c>
      <c r="E131" s="28">
        <v>0.55842108987699401</v>
      </c>
      <c r="F131" s="29">
        <f t="shared" ca="1" si="13"/>
        <v>3214.4</v>
      </c>
      <c r="G131" s="29">
        <f t="shared" si="14"/>
        <v>86.743605583089504</v>
      </c>
      <c r="H131" s="24">
        <f t="shared" si="15"/>
        <v>6</v>
      </c>
      <c r="I131" s="24">
        <f t="shared" si="16"/>
        <v>0</v>
      </c>
      <c r="J131" s="24">
        <f t="shared" si="12"/>
        <v>0</v>
      </c>
      <c r="K131" s="25" t="str">
        <f t="shared" si="18"/>
        <v/>
      </c>
      <c r="L131" s="25" t="e">
        <f t="shared" si="19"/>
        <v>#VALUE!</v>
      </c>
      <c r="M131" s="28" t="str">
        <f t="shared" si="20"/>
        <v/>
      </c>
      <c r="N131" s="28" t="str">
        <f t="shared" si="21"/>
        <v/>
      </c>
      <c r="O131" s="31" t="str">
        <f t="shared" si="22"/>
        <v/>
      </c>
      <c r="P131" s="31" t="str">
        <f t="shared" si="23"/>
        <v/>
      </c>
      <c r="W131" s="25">
        <v>40193</v>
      </c>
      <c r="X131" s="24">
        <v>2638.2</v>
      </c>
      <c r="AA131" s="25">
        <v>41438</v>
      </c>
      <c r="AB131">
        <v>0.867436055830895</v>
      </c>
      <c r="AC131" s="24">
        <f t="shared" si="17"/>
        <v>86.743605583089504</v>
      </c>
    </row>
    <row r="132" spans="3:29">
      <c r="C132" s="25">
        <v>41445</v>
      </c>
      <c r="D132" s="28">
        <v>0.58795254732817659</v>
      </c>
      <c r="E132" s="28">
        <v>0.55919632116239604</v>
      </c>
      <c r="F132" s="29">
        <f t="shared" ca="1" si="13"/>
        <v>3040.1</v>
      </c>
      <c r="G132" s="29">
        <f t="shared" si="14"/>
        <v>89.213716240274891</v>
      </c>
      <c r="H132" s="24">
        <f t="shared" si="15"/>
        <v>6</v>
      </c>
      <c r="I132" s="24">
        <f t="shared" si="16"/>
        <v>0</v>
      </c>
      <c r="J132" s="24">
        <f t="shared" ref="J132:J195" si="24">I133</f>
        <v>0</v>
      </c>
      <c r="K132" s="25" t="str">
        <f t="shared" si="18"/>
        <v/>
      </c>
      <c r="L132" s="25" t="e">
        <f t="shared" si="19"/>
        <v>#VALUE!</v>
      </c>
      <c r="M132" s="28" t="str">
        <f t="shared" si="20"/>
        <v/>
      </c>
      <c r="N132" s="28" t="str">
        <f t="shared" si="21"/>
        <v/>
      </c>
      <c r="O132" s="31" t="str">
        <f t="shared" si="22"/>
        <v/>
      </c>
      <c r="P132" s="31" t="str">
        <f t="shared" si="23"/>
        <v/>
      </c>
      <c r="W132" s="25">
        <v>40200</v>
      </c>
      <c r="X132" s="24">
        <v>2192.1</v>
      </c>
      <c r="AA132" s="25">
        <v>41445</v>
      </c>
      <c r="AB132">
        <v>0.89213716240274898</v>
      </c>
      <c r="AC132" s="24">
        <f t="shared" si="17"/>
        <v>89.213716240274891</v>
      </c>
    </row>
    <row r="133" spans="3:29">
      <c r="C133" s="25">
        <v>41452</v>
      </c>
      <c r="D133" s="28">
        <v>0.39082116641682313</v>
      </c>
      <c r="E133" s="28">
        <v>0.35042164075900101</v>
      </c>
      <c r="F133" s="29">
        <f t="shared" ref="F133:F196" ca="1" si="25">VLOOKUP(C133+1,W:X,2,0)</f>
        <v>2573.4</v>
      </c>
      <c r="G133" s="29">
        <f t="shared" ref="G133:G196" si="26">VLOOKUP(C133,AA:AC,3,0)</f>
        <v>36.847370124273198</v>
      </c>
      <c r="H133" s="24">
        <f t="shared" ref="H133:H196" si="27">MONTH(C133)</f>
        <v>6</v>
      </c>
      <c r="I133" s="24">
        <f t="shared" ref="I133:I196" si="28">IF(H133=H132,0,1)</f>
        <v>0</v>
      </c>
      <c r="J133" s="24">
        <f t="shared" si="24"/>
        <v>1</v>
      </c>
      <c r="K133" s="25">
        <f t="shared" si="18"/>
        <v>41455</v>
      </c>
      <c r="L133" s="25">
        <f t="shared" si="19"/>
        <v>41453</v>
      </c>
      <c r="M133" s="28">
        <f t="shared" si="20"/>
        <v>0.39082116641682313</v>
      </c>
      <c r="N133" s="28">
        <f t="shared" si="21"/>
        <v>0.35042164075900101</v>
      </c>
      <c r="O133" s="31">
        <f t="shared" ca="1" si="22"/>
        <v>2573.4</v>
      </c>
      <c r="P133" s="31">
        <f t="shared" si="23"/>
        <v>36.847370124273198</v>
      </c>
      <c r="W133" s="25">
        <v>40207</v>
      </c>
      <c r="X133" s="24">
        <v>2763.6</v>
      </c>
      <c r="AA133" s="25">
        <v>41452</v>
      </c>
      <c r="AB133">
        <v>0.36847370124273199</v>
      </c>
      <c r="AC133" s="24">
        <f t="shared" ref="AC133:AC196" si="29">AB133*100</f>
        <v>36.847370124273198</v>
      </c>
    </row>
    <row r="134" spans="3:29">
      <c r="C134" s="25">
        <v>41458</v>
      </c>
      <c r="D134" s="28">
        <v>0.4330864642120939</v>
      </c>
      <c r="E134" s="28">
        <v>0.439218479739446</v>
      </c>
      <c r="F134" s="29" t="e">
        <f t="shared" ca="1" si="25"/>
        <v>#N/A</v>
      </c>
      <c r="G134" s="29">
        <f t="shared" si="26"/>
        <v>52.540531453161201</v>
      </c>
      <c r="H134" s="24">
        <f t="shared" si="27"/>
        <v>7</v>
      </c>
      <c r="I134" s="24">
        <f t="shared" si="28"/>
        <v>1</v>
      </c>
      <c r="J134" s="24">
        <f t="shared" si="24"/>
        <v>0</v>
      </c>
      <c r="K134" s="25" t="str">
        <f t="shared" si="18"/>
        <v/>
      </c>
      <c r="L134" s="25" t="e">
        <f t="shared" si="19"/>
        <v>#VALUE!</v>
      </c>
      <c r="M134" s="28" t="str">
        <f t="shared" si="20"/>
        <v/>
      </c>
      <c r="N134" s="28" t="str">
        <f t="shared" si="21"/>
        <v/>
      </c>
      <c r="O134" s="31" t="str">
        <f t="shared" si="22"/>
        <v/>
      </c>
      <c r="P134" s="31" t="str">
        <f t="shared" si="23"/>
        <v/>
      </c>
      <c r="W134" s="25">
        <v>40214</v>
      </c>
      <c r="X134" s="24">
        <v>2807.8</v>
      </c>
      <c r="AA134" s="25">
        <v>41458</v>
      </c>
      <c r="AB134">
        <v>0.52540531453161199</v>
      </c>
      <c r="AC134" s="24">
        <f t="shared" si="29"/>
        <v>52.540531453161201</v>
      </c>
    </row>
    <row r="135" spans="3:29">
      <c r="C135" s="25">
        <v>41466</v>
      </c>
      <c r="D135" s="28">
        <v>0.31856955774356621</v>
      </c>
      <c r="E135" s="28">
        <v>0.32003461094412999</v>
      </c>
      <c r="F135" s="29">
        <f t="shared" ca="1" si="25"/>
        <v>2242.1999999999998</v>
      </c>
      <c r="G135" s="29">
        <f t="shared" si="26"/>
        <v>28.318343627386099</v>
      </c>
      <c r="H135" s="24">
        <f t="shared" si="27"/>
        <v>7</v>
      </c>
      <c r="I135" s="24">
        <f t="shared" si="28"/>
        <v>0</v>
      </c>
      <c r="J135" s="24">
        <f t="shared" si="24"/>
        <v>0</v>
      </c>
      <c r="K135" s="25" t="str">
        <f t="shared" si="18"/>
        <v/>
      </c>
      <c r="L135" s="25" t="e">
        <f t="shared" si="19"/>
        <v>#VALUE!</v>
      </c>
      <c r="M135" s="28" t="str">
        <f t="shared" si="20"/>
        <v/>
      </c>
      <c r="N135" s="28" t="str">
        <f t="shared" si="21"/>
        <v/>
      </c>
      <c r="O135" s="31" t="str">
        <f t="shared" si="22"/>
        <v/>
      </c>
      <c r="P135" s="31" t="str">
        <f t="shared" si="23"/>
        <v/>
      </c>
      <c r="W135" s="25">
        <v>40221</v>
      </c>
      <c r="X135" s="24">
        <v>2781.2</v>
      </c>
      <c r="AA135" s="25">
        <v>41466</v>
      </c>
      <c r="AB135">
        <v>0.283183436273861</v>
      </c>
      <c r="AC135" s="24">
        <f t="shared" si="29"/>
        <v>28.318343627386099</v>
      </c>
    </row>
    <row r="136" spans="3:29">
      <c r="C136" s="25">
        <v>41473</v>
      </c>
      <c r="D136" s="28">
        <v>0.42624975952077765</v>
      </c>
      <c r="E136" s="28">
        <v>0.407195502334876</v>
      </c>
      <c r="F136" s="29">
        <f t="shared" ca="1" si="25"/>
        <v>2288</v>
      </c>
      <c r="G136" s="29">
        <f t="shared" si="26"/>
        <v>44.6312456565433</v>
      </c>
      <c r="H136" s="24">
        <f t="shared" si="27"/>
        <v>7</v>
      </c>
      <c r="I136" s="24">
        <f t="shared" si="28"/>
        <v>0</v>
      </c>
      <c r="J136" s="24">
        <f t="shared" si="24"/>
        <v>0</v>
      </c>
      <c r="K136" s="25" t="str">
        <f t="shared" ref="K136:K199" si="30">IF(J136=1,EOMONTH(C136,0),"")</f>
        <v/>
      </c>
      <c r="L136" s="25" t="e">
        <f t="shared" ref="L136:L199" si="31">IF(WEEKDAY(K136,2)=6,K136-1,IF(WEEKDAY(K136,2)=7,K136-2,IF(J136=1,K136,"")))</f>
        <v>#VALUE!</v>
      </c>
      <c r="M136" s="28" t="str">
        <f t="shared" ref="M136:M199" si="32">IF(J136=1,D136,"")</f>
        <v/>
      </c>
      <c r="N136" s="28" t="str">
        <f t="shared" ref="N136:N199" si="33">IF($J136=1,E136,"")</f>
        <v/>
      </c>
      <c r="O136" s="31" t="str">
        <f t="shared" ref="O136:O199" si="34">IF($J136=1,F136,"")</f>
        <v/>
      </c>
      <c r="P136" s="31" t="str">
        <f t="shared" ref="P136:P199" si="35">IF($J136=1,G136,"")</f>
        <v/>
      </c>
      <c r="W136" s="25">
        <v>40228</v>
      </c>
      <c r="X136" s="24">
        <v>2474.9</v>
      </c>
      <c r="AA136" s="25">
        <v>41473</v>
      </c>
      <c r="AB136">
        <v>0.446312456565433</v>
      </c>
      <c r="AC136" s="24">
        <f t="shared" si="29"/>
        <v>44.6312456565433</v>
      </c>
    </row>
    <row r="137" spans="3:29">
      <c r="C137" s="25">
        <v>41480</v>
      </c>
      <c r="D137" s="28">
        <v>0.42922629610906576</v>
      </c>
      <c r="E137" s="28">
        <v>0.40895553727695599</v>
      </c>
      <c r="F137" s="29">
        <f t="shared" ca="1" si="25"/>
        <v>2218.3000000000002</v>
      </c>
      <c r="G137" s="29">
        <f t="shared" si="26"/>
        <v>48.091558176638202</v>
      </c>
      <c r="H137" s="24">
        <f t="shared" si="27"/>
        <v>7</v>
      </c>
      <c r="I137" s="24">
        <f t="shared" si="28"/>
        <v>0</v>
      </c>
      <c r="J137" s="24">
        <f t="shared" si="24"/>
        <v>1</v>
      </c>
      <c r="K137" s="25">
        <f t="shared" si="30"/>
        <v>41486</v>
      </c>
      <c r="L137" s="25">
        <f t="shared" si="31"/>
        <v>41486</v>
      </c>
      <c r="M137" s="28">
        <f t="shared" si="32"/>
        <v>0.42922629610906576</v>
      </c>
      <c r="N137" s="28">
        <f t="shared" si="33"/>
        <v>0.40895553727695599</v>
      </c>
      <c r="O137" s="31">
        <f t="shared" ca="1" si="34"/>
        <v>2218.3000000000002</v>
      </c>
      <c r="P137" s="31">
        <f t="shared" si="35"/>
        <v>48.091558176638202</v>
      </c>
      <c r="W137" s="25">
        <v>40235</v>
      </c>
      <c r="X137" s="24">
        <v>2971.5</v>
      </c>
      <c r="AA137" s="25">
        <v>41480</v>
      </c>
      <c r="AB137">
        <v>0.48091558176638199</v>
      </c>
      <c r="AC137" s="24">
        <f t="shared" si="29"/>
        <v>48.091558176638202</v>
      </c>
    </row>
    <row r="138" spans="3:29">
      <c r="C138" s="25">
        <v>41487</v>
      </c>
      <c r="D138" s="28">
        <v>0.40917398895537016</v>
      </c>
      <c r="E138" s="28">
        <v>0.36357930006355599</v>
      </c>
      <c r="F138" s="29">
        <f t="shared" ca="1" si="25"/>
        <v>2228.9</v>
      </c>
      <c r="G138" s="29">
        <f t="shared" si="26"/>
        <v>39.4657503006312</v>
      </c>
      <c r="H138" s="24">
        <f t="shared" si="27"/>
        <v>8</v>
      </c>
      <c r="I138" s="24">
        <f t="shared" si="28"/>
        <v>1</v>
      </c>
      <c r="J138" s="24">
        <f t="shared" si="24"/>
        <v>0</v>
      </c>
      <c r="K138" s="25" t="str">
        <f t="shared" si="30"/>
        <v/>
      </c>
      <c r="L138" s="25" t="e">
        <f t="shared" si="31"/>
        <v>#VALUE!</v>
      </c>
      <c r="M138" s="28" t="str">
        <f t="shared" si="32"/>
        <v/>
      </c>
      <c r="N138" s="28" t="str">
        <f t="shared" si="33"/>
        <v/>
      </c>
      <c r="O138" s="31" t="str">
        <f t="shared" si="34"/>
        <v/>
      </c>
      <c r="P138" s="31" t="str">
        <f t="shared" si="35"/>
        <v/>
      </c>
      <c r="W138" s="25">
        <v>40242</v>
      </c>
      <c r="X138" s="24">
        <v>2937.6</v>
      </c>
      <c r="AA138" s="25">
        <v>41487</v>
      </c>
      <c r="AB138">
        <v>0.39465750300631203</v>
      </c>
      <c r="AC138" s="24">
        <f t="shared" si="29"/>
        <v>39.4657503006312</v>
      </c>
    </row>
    <row r="139" spans="3:29">
      <c r="C139" s="25">
        <v>41494</v>
      </c>
      <c r="D139" s="28">
        <v>0.40797811985401045</v>
      </c>
      <c r="E139" s="28">
        <v>0.36292296585782302</v>
      </c>
      <c r="F139" s="29">
        <f t="shared" ca="1" si="25"/>
        <v>2110.6</v>
      </c>
      <c r="G139" s="29">
        <f t="shared" si="26"/>
        <v>38.476385556169404</v>
      </c>
      <c r="H139" s="24">
        <f t="shared" si="27"/>
        <v>8</v>
      </c>
      <c r="I139" s="24">
        <f t="shared" si="28"/>
        <v>0</v>
      </c>
      <c r="J139" s="24">
        <f t="shared" si="24"/>
        <v>0</v>
      </c>
      <c r="K139" s="25" t="str">
        <f t="shared" si="30"/>
        <v/>
      </c>
      <c r="L139" s="25" t="e">
        <f t="shared" si="31"/>
        <v>#VALUE!</v>
      </c>
      <c r="M139" s="28" t="str">
        <f t="shared" si="32"/>
        <v/>
      </c>
      <c r="N139" s="28" t="str">
        <f t="shared" si="33"/>
        <v/>
      </c>
      <c r="O139" s="31" t="str">
        <f t="shared" si="34"/>
        <v/>
      </c>
      <c r="P139" s="31" t="str">
        <f t="shared" si="35"/>
        <v/>
      </c>
      <c r="W139" s="25">
        <v>40249</v>
      </c>
      <c r="X139" s="24">
        <v>2847.2</v>
      </c>
      <c r="AA139" s="25">
        <v>41494</v>
      </c>
      <c r="AB139">
        <v>0.38476385556169401</v>
      </c>
      <c r="AC139" s="24">
        <f t="shared" si="29"/>
        <v>38.476385556169404</v>
      </c>
    </row>
    <row r="140" spans="3:29">
      <c r="C140" s="25">
        <v>41501</v>
      </c>
      <c r="D140" s="28">
        <v>0.40797811985401045</v>
      </c>
      <c r="E140" s="28">
        <v>0.36292296585782302</v>
      </c>
      <c r="F140" s="29">
        <f t="shared" ca="1" si="25"/>
        <v>1935.1</v>
      </c>
      <c r="G140" s="29">
        <f t="shared" si="26"/>
        <v>38.476385556169404</v>
      </c>
      <c r="H140" s="24">
        <f t="shared" si="27"/>
        <v>8</v>
      </c>
      <c r="I140" s="24">
        <f t="shared" si="28"/>
        <v>0</v>
      </c>
      <c r="J140" s="24">
        <f t="shared" si="24"/>
        <v>0</v>
      </c>
      <c r="K140" s="25" t="str">
        <f t="shared" si="30"/>
        <v/>
      </c>
      <c r="L140" s="25" t="e">
        <f t="shared" si="31"/>
        <v>#VALUE!</v>
      </c>
      <c r="M140" s="28" t="str">
        <f t="shared" si="32"/>
        <v/>
      </c>
      <c r="N140" s="28" t="str">
        <f t="shared" si="33"/>
        <v/>
      </c>
      <c r="O140" s="31" t="str">
        <f t="shared" si="34"/>
        <v/>
      </c>
      <c r="P140" s="31" t="str">
        <f t="shared" si="35"/>
        <v/>
      </c>
      <c r="W140" s="25">
        <v>40256</v>
      </c>
      <c r="X140" s="24">
        <v>2617.6999999999998</v>
      </c>
      <c r="AA140" s="25">
        <v>41501</v>
      </c>
      <c r="AB140">
        <v>0.38476385556169401</v>
      </c>
      <c r="AC140" s="24">
        <f t="shared" si="29"/>
        <v>38.476385556169404</v>
      </c>
    </row>
    <row r="141" spans="3:29">
      <c r="C141" s="25">
        <v>41508</v>
      </c>
      <c r="D141" s="28">
        <v>0.28211495793674252</v>
      </c>
      <c r="E141" s="28">
        <v>0.28848466841060699</v>
      </c>
      <c r="F141" s="29">
        <f t="shared" ca="1" si="25"/>
        <v>1842.6</v>
      </c>
      <c r="G141" s="29">
        <f t="shared" si="26"/>
        <v>18.194407871698999</v>
      </c>
      <c r="H141" s="24">
        <f t="shared" si="27"/>
        <v>8</v>
      </c>
      <c r="I141" s="24">
        <f t="shared" si="28"/>
        <v>0</v>
      </c>
      <c r="J141" s="24">
        <f t="shared" si="24"/>
        <v>0</v>
      </c>
      <c r="K141" s="25" t="str">
        <f t="shared" si="30"/>
        <v/>
      </c>
      <c r="L141" s="25" t="e">
        <f t="shared" si="31"/>
        <v>#VALUE!</v>
      </c>
      <c r="M141" s="28" t="str">
        <f t="shared" si="32"/>
        <v/>
      </c>
      <c r="N141" s="28" t="str">
        <f t="shared" si="33"/>
        <v/>
      </c>
      <c r="O141" s="31" t="str">
        <f t="shared" si="34"/>
        <v/>
      </c>
      <c r="P141" s="31" t="str">
        <f t="shared" si="35"/>
        <v/>
      </c>
      <c r="W141" s="25">
        <v>40263</v>
      </c>
      <c r="X141" s="24">
        <v>2577.1999999999998</v>
      </c>
      <c r="AA141" s="25">
        <v>41508</v>
      </c>
      <c r="AB141">
        <v>0.18194407871699</v>
      </c>
      <c r="AC141" s="24">
        <f t="shared" si="29"/>
        <v>18.194407871698999</v>
      </c>
    </row>
    <row r="142" spans="3:29">
      <c r="C142" s="25">
        <v>41515</v>
      </c>
      <c r="D142" s="28">
        <v>0.32707732602530493</v>
      </c>
      <c r="E142" s="28">
        <v>0.32738957382411199</v>
      </c>
      <c r="F142" s="29">
        <f t="shared" ca="1" si="25"/>
        <v>1909</v>
      </c>
      <c r="G142" s="29">
        <f t="shared" si="26"/>
        <v>27.593373344471399</v>
      </c>
      <c r="H142" s="24">
        <f t="shared" si="27"/>
        <v>8</v>
      </c>
      <c r="I142" s="24">
        <f t="shared" si="28"/>
        <v>0</v>
      </c>
      <c r="J142" s="24">
        <f t="shared" si="24"/>
        <v>1</v>
      </c>
      <c r="K142" s="25">
        <f t="shared" si="30"/>
        <v>41517</v>
      </c>
      <c r="L142" s="25">
        <f t="shared" si="31"/>
        <v>41516</v>
      </c>
      <c r="M142" s="28">
        <f t="shared" si="32"/>
        <v>0.32707732602530493</v>
      </c>
      <c r="N142" s="28">
        <f t="shared" si="33"/>
        <v>0.32738957382411199</v>
      </c>
      <c r="O142" s="31">
        <f t="shared" ca="1" si="34"/>
        <v>1909</v>
      </c>
      <c r="P142" s="31">
        <f t="shared" si="35"/>
        <v>27.593373344471399</v>
      </c>
      <c r="W142" s="25">
        <v>40270</v>
      </c>
      <c r="X142" s="24">
        <v>2051.3000000000002</v>
      </c>
      <c r="AA142" s="25">
        <v>41515</v>
      </c>
      <c r="AB142">
        <v>0.275933733444714</v>
      </c>
      <c r="AC142" s="24">
        <f t="shared" si="29"/>
        <v>27.593373344471399</v>
      </c>
    </row>
    <row r="143" spans="3:29">
      <c r="C143" s="25">
        <v>41522</v>
      </c>
      <c r="D143" s="28">
        <v>0.2818649256036454</v>
      </c>
      <c r="E143" s="28">
        <v>0.29894428975906101</v>
      </c>
      <c r="F143" s="29">
        <f t="shared" ca="1" si="25"/>
        <v>1512.9</v>
      </c>
      <c r="G143" s="29">
        <f t="shared" si="26"/>
        <v>19.7293831993825</v>
      </c>
      <c r="H143" s="24">
        <f t="shared" si="27"/>
        <v>9</v>
      </c>
      <c r="I143" s="24">
        <f t="shared" si="28"/>
        <v>1</v>
      </c>
      <c r="J143" s="24">
        <f t="shared" si="24"/>
        <v>0</v>
      </c>
      <c r="K143" s="25" t="str">
        <f t="shared" si="30"/>
        <v/>
      </c>
      <c r="L143" s="25" t="e">
        <f t="shared" si="31"/>
        <v>#VALUE!</v>
      </c>
      <c r="M143" s="28" t="str">
        <f t="shared" si="32"/>
        <v/>
      </c>
      <c r="N143" s="28" t="str">
        <f t="shared" si="33"/>
        <v/>
      </c>
      <c r="O143" s="31" t="str">
        <f t="shared" si="34"/>
        <v/>
      </c>
      <c r="P143" s="31" t="str">
        <f t="shared" si="35"/>
        <v/>
      </c>
      <c r="W143" s="25">
        <v>40277</v>
      </c>
      <c r="X143" s="24">
        <v>1892.5</v>
      </c>
      <c r="AA143" s="25">
        <v>41522</v>
      </c>
      <c r="AB143">
        <v>0.197293831993825</v>
      </c>
      <c r="AC143" s="24">
        <f t="shared" si="29"/>
        <v>19.7293831993825</v>
      </c>
    </row>
    <row r="144" spans="3:29">
      <c r="C144" s="25">
        <v>41529</v>
      </c>
      <c r="D144" s="28">
        <v>0.27463010199382165</v>
      </c>
      <c r="E144" s="28">
        <v>0.28251411119681702</v>
      </c>
      <c r="F144" s="29">
        <f t="shared" ca="1" si="25"/>
        <v>1814</v>
      </c>
      <c r="G144" s="29">
        <f t="shared" si="26"/>
        <v>17.2545162320692</v>
      </c>
      <c r="H144" s="24">
        <f t="shared" si="27"/>
        <v>9</v>
      </c>
      <c r="I144" s="24">
        <f t="shared" si="28"/>
        <v>0</v>
      </c>
      <c r="J144" s="24">
        <f t="shared" si="24"/>
        <v>0</v>
      </c>
      <c r="K144" s="25" t="str">
        <f t="shared" si="30"/>
        <v/>
      </c>
      <c r="L144" s="25" t="e">
        <f t="shared" si="31"/>
        <v>#VALUE!</v>
      </c>
      <c r="M144" s="28" t="str">
        <f t="shared" si="32"/>
        <v/>
      </c>
      <c r="N144" s="28" t="str">
        <f t="shared" si="33"/>
        <v/>
      </c>
      <c r="O144" s="31" t="str">
        <f t="shared" si="34"/>
        <v/>
      </c>
      <c r="P144" s="31" t="str">
        <f t="shared" si="35"/>
        <v/>
      </c>
      <c r="W144" s="25">
        <v>40284</v>
      </c>
      <c r="X144" s="24">
        <v>2217</v>
      </c>
      <c r="AA144" s="25">
        <v>41529</v>
      </c>
      <c r="AB144">
        <v>0.172545162320692</v>
      </c>
      <c r="AC144" s="24">
        <f t="shared" si="29"/>
        <v>17.2545162320692</v>
      </c>
    </row>
    <row r="145" spans="3:29">
      <c r="C145" s="25">
        <v>41536</v>
      </c>
      <c r="D145" s="28">
        <v>0.33277831045649614</v>
      </c>
      <c r="E145" s="28">
        <v>0.32091811677951898</v>
      </c>
      <c r="F145" s="29">
        <f t="shared" ca="1" si="25"/>
        <v>1922.9</v>
      </c>
      <c r="G145" s="29">
        <f t="shared" si="26"/>
        <v>26.659010192225502</v>
      </c>
      <c r="H145" s="24">
        <f t="shared" si="27"/>
        <v>9</v>
      </c>
      <c r="I145" s="24">
        <f t="shared" si="28"/>
        <v>0</v>
      </c>
      <c r="J145" s="24">
        <f t="shared" si="24"/>
        <v>0</v>
      </c>
      <c r="K145" s="25" t="str">
        <f t="shared" si="30"/>
        <v/>
      </c>
      <c r="L145" s="25" t="e">
        <f t="shared" si="31"/>
        <v>#VALUE!</v>
      </c>
      <c r="M145" s="28" t="str">
        <f t="shared" si="32"/>
        <v/>
      </c>
      <c r="N145" s="28" t="str">
        <f t="shared" si="33"/>
        <v/>
      </c>
      <c r="O145" s="31" t="str">
        <f t="shared" si="34"/>
        <v/>
      </c>
      <c r="P145" s="31" t="str">
        <f t="shared" si="35"/>
        <v/>
      </c>
      <c r="W145" s="25">
        <v>40291</v>
      </c>
      <c r="X145" s="24">
        <v>1984.5</v>
      </c>
      <c r="AA145" s="25">
        <v>41536</v>
      </c>
      <c r="AB145">
        <v>0.26659010192225502</v>
      </c>
      <c r="AC145" s="24">
        <f t="shared" si="29"/>
        <v>26.659010192225502</v>
      </c>
    </row>
    <row r="146" spans="3:29">
      <c r="C146" s="25">
        <v>41543</v>
      </c>
      <c r="D146" s="28">
        <v>0.40445747526612724</v>
      </c>
      <c r="E146" s="28">
        <v>0.41607421536967498</v>
      </c>
      <c r="F146" s="29">
        <f t="shared" ca="1" si="25"/>
        <v>1956.6</v>
      </c>
      <c r="G146" s="29">
        <f t="shared" si="26"/>
        <v>44.478050912900102</v>
      </c>
      <c r="H146" s="24">
        <f t="shared" si="27"/>
        <v>9</v>
      </c>
      <c r="I146" s="24">
        <f t="shared" si="28"/>
        <v>0</v>
      </c>
      <c r="J146" s="24">
        <f t="shared" si="24"/>
        <v>1</v>
      </c>
      <c r="K146" s="25">
        <f t="shared" si="30"/>
        <v>41547</v>
      </c>
      <c r="L146" s="25">
        <f t="shared" si="31"/>
        <v>41547</v>
      </c>
      <c r="M146" s="28">
        <f t="shared" si="32"/>
        <v>0.40445747526612724</v>
      </c>
      <c r="N146" s="28">
        <f t="shared" si="33"/>
        <v>0.41607421536967498</v>
      </c>
      <c r="O146" s="31">
        <f t="shared" ca="1" si="34"/>
        <v>1956.6</v>
      </c>
      <c r="P146" s="31">
        <f t="shared" si="35"/>
        <v>44.478050912900102</v>
      </c>
      <c r="W146" s="25">
        <v>40298</v>
      </c>
      <c r="X146" s="24">
        <v>1953.3</v>
      </c>
      <c r="AA146" s="25">
        <v>41543</v>
      </c>
      <c r="AB146">
        <v>0.44478050912900102</v>
      </c>
      <c r="AC146" s="24">
        <f t="shared" si="29"/>
        <v>44.478050912900102</v>
      </c>
    </row>
    <row r="147" spans="3:29">
      <c r="C147" s="25">
        <v>41550</v>
      </c>
      <c r="D147" s="28">
        <v>0.41528178559290679</v>
      </c>
      <c r="E147" s="28">
        <v>0.43751781158176101</v>
      </c>
      <c r="F147" s="29">
        <f t="shared" ca="1" si="25"/>
        <v>2025.3</v>
      </c>
      <c r="G147" s="29">
        <f t="shared" si="26"/>
        <v>51.784798354652096</v>
      </c>
      <c r="H147" s="24">
        <f t="shared" si="27"/>
        <v>10</v>
      </c>
      <c r="I147" s="24">
        <f t="shared" si="28"/>
        <v>1</v>
      </c>
      <c r="J147" s="24">
        <f t="shared" si="24"/>
        <v>0</v>
      </c>
      <c r="K147" s="25" t="str">
        <f t="shared" si="30"/>
        <v/>
      </c>
      <c r="L147" s="25" t="e">
        <f t="shared" si="31"/>
        <v>#VALUE!</v>
      </c>
      <c r="M147" s="28" t="str">
        <f t="shared" si="32"/>
        <v/>
      </c>
      <c r="N147" s="28" t="str">
        <f t="shared" si="33"/>
        <v/>
      </c>
      <c r="O147" s="31" t="str">
        <f t="shared" si="34"/>
        <v/>
      </c>
      <c r="P147" s="31" t="str">
        <f t="shared" si="35"/>
        <v/>
      </c>
      <c r="W147" s="25">
        <v>40305</v>
      </c>
      <c r="X147" s="24">
        <v>2303.6</v>
      </c>
      <c r="AA147" s="25">
        <v>41550</v>
      </c>
      <c r="AB147">
        <v>0.51784798354652095</v>
      </c>
      <c r="AC147" s="24">
        <f t="shared" si="29"/>
        <v>51.784798354652096</v>
      </c>
    </row>
    <row r="148" spans="3:29">
      <c r="C148" s="25">
        <v>41557</v>
      </c>
      <c r="D148" s="28">
        <v>0.41314719259777027</v>
      </c>
      <c r="E148" s="28">
        <v>0.43701315967767701</v>
      </c>
      <c r="F148" s="29">
        <f t="shared" ca="1" si="25"/>
        <v>2102.6999999999998</v>
      </c>
      <c r="G148" s="29">
        <f t="shared" si="26"/>
        <v>50.795807248576494</v>
      </c>
      <c r="H148" s="24">
        <f t="shared" si="27"/>
        <v>10</v>
      </c>
      <c r="I148" s="24">
        <f t="shared" si="28"/>
        <v>0</v>
      </c>
      <c r="J148" s="24">
        <f t="shared" si="24"/>
        <v>0</v>
      </c>
      <c r="K148" s="25" t="str">
        <f t="shared" si="30"/>
        <v/>
      </c>
      <c r="L148" s="25" t="e">
        <f t="shared" si="31"/>
        <v>#VALUE!</v>
      </c>
      <c r="M148" s="28" t="str">
        <f t="shared" si="32"/>
        <v/>
      </c>
      <c r="N148" s="28" t="str">
        <f t="shared" si="33"/>
        <v/>
      </c>
      <c r="O148" s="31" t="str">
        <f t="shared" si="34"/>
        <v/>
      </c>
      <c r="P148" s="31" t="str">
        <f t="shared" si="35"/>
        <v/>
      </c>
      <c r="W148" s="25">
        <v>40312</v>
      </c>
      <c r="X148" s="24">
        <v>2668.6</v>
      </c>
      <c r="AA148" s="25">
        <v>41557</v>
      </c>
      <c r="AB148">
        <v>0.50795807248576497</v>
      </c>
      <c r="AC148" s="24">
        <f t="shared" si="29"/>
        <v>50.795807248576494</v>
      </c>
    </row>
    <row r="149" spans="3:29">
      <c r="C149" s="25">
        <v>41564</v>
      </c>
      <c r="D149" s="28">
        <v>0.40232481590336117</v>
      </c>
      <c r="E149" s="28">
        <v>0.40902347477168999</v>
      </c>
      <c r="F149" s="29">
        <f t="shared" ca="1" si="25"/>
        <v>2033.7</v>
      </c>
      <c r="G149" s="29">
        <f t="shared" si="26"/>
        <v>45.850851716700404</v>
      </c>
      <c r="H149" s="24">
        <f t="shared" si="27"/>
        <v>10</v>
      </c>
      <c r="I149" s="24">
        <f t="shared" si="28"/>
        <v>0</v>
      </c>
      <c r="J149" s="24">
        <f t="shared" si="24"/>
        <v>0</v>
      </c>
      <c r="K149" s="25" t="str">
        <f t="shared" si="30"/>
        <v/>
      </c>
      <c r="L149" s="25" t="e">
        <f t="shared" si="31"/>
        <v>#VALUE!</v>
      </c>
      <c r="M149" s="28" t="str">
        <f t="shared" si="32"/>
        <v/>
      </c>
      <c r="N149" s="28" t="str">
        <f t="shared" si="33"/>
        <v/>
      </c>
      <c r="O149" s="31" t="str">
        <f t="shared" si="34"/>
        <v/>
      </c>
      <c r="P149" s="31" t="str">
        <f t="shared" si="35"/>
        <v/>
      </c>
      <c r="W149" s="25">
        <v>40319</v>
      </c>
      <c r="X149" s="24">
        <v>3154.9</v>
      </c>
      <c r="AA149" s="25">
        <v>41564</v>
      </c>
      <c r="AB149">
        <v>0.45850851716700403</v>
      </c>
      <c r="AC149" s="24">
        <f t="shared" si="29"/>
        <v>45.850851716700404</v>
      </c>
    </row>
    <row r="150" spans="3:29">
      <c r="C150" s="25">
        <v>41571</v>
      </c>
      <c r="D150" s="28">
        <v>0.43156912924668556</v>
      </c>
      <c r="E150" s="28">
        <v>0.45648777309490202</v>
      </c>
      <c r="F150" s="29">
        <f t="shared" ca="1" si="25"/>
        <v>2211.8000000000002</v>
      </c>
      <c r="G150" s="29">
        <f t="shared" si="26"/>
        <v>58.213240547590807</v>
      </c>
      <c r="H150" s="24">
        <f t="shared" si="27"/>
        <v>10</v>
      </c>
      <c r="I150" s="24">
        <f t="shared" si="28"/>
        <v>0</v>
      </c>
      <c r="J150" s="24">
        <f t="shared" si="24"/>
        <v>0</v>
      </c>
      <c r="K150" s="25" t="str">
        <f t="shared" si="30"/>
        <v/>
      </c>
      <c r="L150" s="25" t="e">
        <f t="shared" si="31"/>
        <v>#VALUE!</v>
      </c>
      <c r="M150" s="28" t="str">
        <f t="shared" si="32"/>
        <v/>
      </c>
      <c r="N150" s="28" t="str">
        <f t="shared" si="33"/>
        <v/>
      </c>
      <c r="O150" s="31" t="str">
        <f t="shared" si="34"/>
        <v/>
      </c>
      <c r="P150" s="31" t="str">
        <f t="shared" si="35"/>
        <v/>
      </c>
      <c r="W150" s="25">
        <v>40326</v>
      </c>
      <c r="X150" s="24">
        <v>3239.2</v>
      </c>
      <c r="AA150" s="25">
        <v>41571</v>
      </c>
      <c r="AB150">
        <v>0.58213240547590805</v>
      </c>
      <c r="AC150" s="24">
        <f t="shared" si="29"/>
        <v>58.213240547590807</v>
      </c>
    </row>
    <row r="151" spans="3:29">
      <c r="C151" s="25">
        <v>41578</v>
      </c>
      <c r="D151" s="28">
        <v>0.4605405147219428</v>
      </c>
      <c r="E151" s="28">
        <v>0.47501022290439499</v>
      </c>
      <c r="F151" s="29">
        <f t="shared" ca="1" si="25"/>
        <v>2105.6</v>
      </c>
      <c r="G151" s="29">
        <f t="shared" si="26"/>
        <v>63.652691646932205</v>
      </c>
      <c r="H151" s="24">
        <f t="shared" si="27"/>
        <v>10</v>
      </c>
      <c r="I151" s="24">
        <f t="shared" si="28"/>
        <v>0</v>
      </c>
      <c r="J151" s="24">
        <f t="shared" si="24"/>
        <v>1</v>
      </c>
      <c r="K151" s="25">
        <f t="shared" si="30"/>
        <v>41578</v>
      </c>
      <c r="L151" s="25">
        <f t="shared" si="31"/>
        <v>41578</v>
      </c>
      <c r="M151" s="28">
        <f t="shared" si="32"/>
        <v>0.4605405147219428</v>
      </c>
      <c r="N151" s="28">
        <f t="shared" si="33"/>
        <v>0.47501022290439499</v>
      </c>
      <c r="O151" s="31">
        <f t="shared" ca="1" si="34"/>
        <v>2105.6</v>
      </c>
      <c r="P151" s="31">
        <f t="shared" si="35"/>
        <v>63.652691646932205</v>
      </c>
      <c r="W151" s="25">
        <v>40333</v>
      </c>
      <c r="X151" s="24">
        <v>2781.6</v>
      </c>
      <c r="AA151" s="25">
        <v>41578</v>
      </c>
      <c r="AB151">
        <v>0.63652691646932202</v>
      </c>
      <c r="AC151" s="24">
        <f t="shared" si="29"/>
        <v>63.652691646932205</v>
      </c>
    </row>
    <row r="152" spans="3:29">
      <c r="C152" s="25">
        <v>41585</v>
      </c>
      <c r="D152" s="28">
        <v>0.42159370418067171</v>
      </c>
      <c r="E152" s="28">
        <v>0.44788779304034998</v>
      </c>
      <c r="F152" s="29">
        <f t="shared" ca="1" si="25"/>
        <v>2056.9</v>
      </c>
      <c r="G152" s="29">
        <f t="shared" si="26"/>
        <v>53.124921581454302</v>
      </c>
      <c r="H152" s="24">
        <f t="shared" si="27"/>
        <v>11</v>
      </c>
      <c r="I152" s="24">
        <f t="shared" si="28"/>
        <v>1</v>
      </c>
      <c r="J152" s="24">
        <f t="shared" si="24"/>
        <v>0</v>
      </c>
      <c r="K152" s="25" t="str">
        <f t="shared" si="30"/>
        <v/>
      </c>
      <c r="L152" s="25" t="e">
        <f t="shared" si="31"/>
        <v>#VALUE!</v>
      </c>
      <c r="M152" s="28" t="str">
        <f t="shared" si="32"/>
        <v/>
      </c>
      <c r="N152" s="28" t="str">
        <f t="shared" si="33"/>
        <v/>
      </c>
      <c r="O152" s="31" t="str">
        <f t="shared" si="34"/>
        <v/>
      </c>
      <c r="P152" s="31" t="str">
        <f t="shared" si="35"/>
        <v/>
      </c>
      <c r="W152" s="25">
        <v>40340</v>
      </c>
      <c r="X152" s="24">
        <v>3387.8</v>
      </c>
      <c r="AA152" s="25">
        <v>41585</v>
      </c>
      <c r="AB152">
        <v>0.53124921581454299</v>
      </c>
      <c r="AC152" s="24">
        <f t="shared" si="29"/>
        <v>53.124921581454302</v>
      </c>
    </row>
    <row r="153" spans="3:29">
      <c r="C153" s="25">
        <v>41592</v>
      </c>
      <c r="D153" s="28">
        <v>0.38756459325455095</v>
      </c>
      <c r="E153" s="28">
        <v>0.37120289750535601</v>
      </c>
      <c r="F153" s="29">
        <f t="shared" ca="1" si="25"/>
        <v>1903.5</v>
      </c>
      <c r="G153" s="29">
        <f t="shared" si="26"/>
        <v>36.819170131285198</v>
      </c>
      <c r="H153" s="24">
        <f t="shared" si="27"/>
        <v>11</v>
      </c>
      <c r="I153" s="24">
        <f t="shared" si="28"/>
        <v>0</v>
      </c>
      <c r="J153" s="24">
        <f t="shared" si="24"/>
        <v>0</v>
      </c>
      <c r="K153" s="25" t="str">
        <f t="shared" si="30"/>
        <v/>
      </c>
      <c r="L153" s="25" t="e">
        <f t="shared" si="31"/>
        <v>#VALUE!</v>
      </c>
      <c r="M153" s="28" t="str">
        <f t="shared" si="32"/>
        <v/>
      </c>
      <c r="N153" s="28" t="str">
        <f t="shared" si="33"/>
        <v/>
      </c>
      <c r="O153" s="31" t="str">
        <f t="shared" si="34"/>
        <v/>
      </c>
      <c r="P153" s="31" t="str">
        <f t="shared" si="35"/>
        <v/>
      </c>
      <c r="W153" s="25">
        <v>40347</v>
      </c>
      <c r="X153" s="24">
        <v>3107.1</v>
      </c>
      <c r="AA153" s="25">
        <v>41592</v>
      </c>
      <c r="AB153">
        <v>0.368191701312852</v>
      </c>
      <c r="AC153" s="24">
        <f t="shared" si="29"/>
        <v>36.819170131285198</v>
      </c>
    </row>
    <row r="154" spans="3:29">
      <c r="C154" s="25">
        <v>41599</v>
      </c>
      <c r="D154" s="28">
        <v>0.41410653536495057</v>
      </c>
      <c r="E154" s="28">
        <v>0.42989701258795199</v>
      </c>
      <c r="F154" s="29">
        <f t="shared" ca="1" si="25"/>
        <v>1917.2</v>
      </c>
      <c r="G154" s="29">
        <f t="shared" si="26"/>
        <v>49.666125827927999</v>
      </c>
      <c r="H154" s="24">
        <f t="shared" si="27"/>
        <v>11</v>
      </c>
      <c r="I154" s="24">
        <f t="shared" si="28"/>
        <v>0</v>
      </c>
      <c r="J154" s="24">
        <f t="shared" si="24"/>
        <v>0</v>
      </c>
      <c r="K154" s="25" t="str">
        <f t="shared" si="30"/>
        <v/>
      </c>
      <c r="L154" s="25" t="e">
        <f t="shared" si="31"/>
        <v>#VALUE!</v>
      </c>
      <c r="M154" s="28" t="str">
        <f t="shared" si="32"/>
        <v/>
      </c>
      <c r="N154" s="28" t="str">
        <f t="shared" si="33"/>
        <v/>
      </c>
      <c r="O154" s="31" t="str">
        <f t="shared" si="34"/>
        <v/>
      </c>
      <c r="P154" s="31" t="str">
        <f t="shared" si="35"/>
        <v/>
      </c>
      <c r="W154" s="25">
        <v>40354</v>
      </c>
      <c r="X154" s="24">
        <v>3546.2</v>
      </c>
      <c r="AA154" s="25">
        <v>41599</v>
      </c>
      <c r="AB154">
        <v>0.49666125827927998</v>
      </c>
      <c r="AC154" s="24">
        <f t="shared" si="29"/>
        <v>49.666125827927999</v>
      </c>
    </row>
    <row r="155" spans="3:29">
      <c r="C155" s="25">
        <v>41605</v>
      </c>
      <c r="D155" s="28">
        <v>0.3969981593322805</v>
      </c>
      <c r="E155" s="28">
        <v>0.401262959025458</v>
      </c>
      <c r="F155" s="29">
        <f ca="1">VLOOKUP(C155+2,W:X,2,0)</f>
        <v>1561.6</v>
      </c>
      <c r="G155" s="29">
        <f t="shared" si="26"/>
        <v>42.748534320790398</v>
      </c>
      <c r="H155" s="24">
        <f t="shared" si="27"/>
        <v>11</v>
      </c>
      <c r="I155" s="24">
        <f t="shared" si="28"/>
        <v>0</v>
      </c>
      <c r="J155" s="24">
        <f t="shared" si="24"/>
        <v>1</v>
      </c>
      <c r="K155" s="25">
        <f t="shared" si="30"/>
        <v>41608</v>
      </c>
      <c r="L155" s="25">
        <f t="shared" si="31"/>
        <v>41607</v>
      </c>
      <c r="M155" s="28">
        <f t="shared" si="32"/>
        <v>0.3969981593322805</v>
      </c>
      <c r="N155" s="28">
        <f t="shared" si="33"/>
        <v>0.401262959025458</v>
      </c>
      <c r="O155" s="31">
        <f t="shared" ca="1" si="34"/>
        <v>1561.6</v>
      </c>
      <c r="P155" s="31">
        <f t="shared" si="35"/>
        <v>42.748534320790398</v>
      </c>
      <c r="W155" s="25">
        <v>40361</v>
      </c>
      <c r="X155" s="24">
        <v>3925.9</v>
      </c>
      <c r="AA155" s="25">
        <v>41605</v>
      </c>
      <c r="AB155">
        <v>0.42748534320790399</v>
      </c>
      <c r="AC155" s="24">
        <f t="shared" si="29"/>
        <v>42.748534320790398</v>
      </c>
    </row>
    <row r="156" spans="3:29">
      <c r="C156" s="25">
        <v>41613</v>
      </c>
      <c r="D156" s="28">
        <v>0.37338021104571051</v>
      </c>
      <c r="E156" s="28">
        <v>0.331227934580689</v>
      </c>
      <c r="F156" s="29">
        <f t="shared" ca="1" si="25"/>
        <v>1599.4</v>
      </c>
      <c r="G156" s="29">
        <f t="shared" si="26"/>
        <v>28.854052683558599</v>
      </c>
      <c r="H156" s="24">
        <f t="shared" si="27"/>
        <v>12</v>
      </c>
      <c r="I156" s="24">
        <f t="shared" si="28"/>
        <v>1</v>
      </c>
      <c r="J156" s="24">
        <f t="shared" si="24"/>
        <v>0</v>
      </c>
      <c r="K156" s="25" t="str">
        <f t="shared" si="30"/>
        <v/>
      </c>
      <c r="L156" s="25" t="e">
        <f t="shared" si="31"/>
        <v>#VALUE!</v>
      </c>
      <c r="M156" s="28" t="str">
        <f t="shared" si="32"/>
        <v/>
      </c>
      <c r="N156" s="28" t="str">
        <f t="shared" si="33"/>
        <v/>
      </c>
      <c r="O156" s="31" t="str">
        <f t="shared" si="34"/>
        <v/>
      </c>
      <c r="P156" s="31" t="str">
        <f t="shared" si="35"/>
        <v/>
      </c>
      <c r="W156" s="25">
        <v>40368</v>
      </c>
      <c r="X156" s="24">
        <v>3925.8</v>
      </c>
      <c r="AA156" s="25">
        <v>41613</v>
      </c>
      <c r="AB156">
        <v>0.28854052683558601</v>
      </c>
      <c r="AC156" s="24">
        <f t="shared" si="29"/>
        <v>28.854052683558599</v>
      </c>
    </row>
    <row r="157" spans="3:29">
      <c r="C157" s="25">
        <v>41620</v>
      </c>
      <c r="D157" s="28">
        <v>0.3707206267478419</v>
      </c>
      <c r="E157" s="28">
        <v>0.33082970500556302</v>
      </c>
      <c r="F157" s="29">
        <f t="shared" ca="1" si="25"/>
        <v>1529.8</v>
      </c>
      <c r="G157" s="29">
        <f t="shared" si="26"/>
        <v>27.866511796568698</v>
      </c>
      <c r="H157" s="24">
        <f t="shared" si="27"/>
        <v>12</v>
      </c>
      <c r="I157" s="24">
        <f t="shared" si="28"/>
        <v>0</v>
      </c>
      <c r="J157" s="24">
        <f t="shared" si="24"/>
        <v>0</v>
      </c>
      <c r="K157" s="25" t="str">
        <f t="shared" si="30"/>
        <v/>
      </c>
      <c r="L157" s="25" t="e">
        <f t="shared" si="31"/>
        <v>#VALUE!</v>
      </c>
      <c r="M157" s="28" t="str">
        <f t="shared" si="32"/>
        <v/>
      </c>
      <c r="N157" s="28" t="str">
        <f t="shared" si="33"/>
        <v/>
      </c>
      <c r="O157" s="31" t="str">
        <f t="shared" si="34"/>
        <v/>
      </c>
      <c r="P157" s="31" t="str">
        <f t="shared" si="35"/>
        <v/>
      </c>
      <c r="W157" s="25">
        <v>40375</v>
      </c>
      <c r="X157" s="24">
        <v>4345.3999999999996</v>
      </c>
      <c r="AA157" s="25">
        <v>41620</v>
      </c>
      <c r="AB157">
        <v>0.27866511796568699</v>
      </c>
      <c r="AC157" s="24">
        <f t="shared" si="29"/>
        <v>27.866511796568698</v>
      </c>
    </row>
    <row r="158" spans="3:29">
      <c r="C158" s="25">
        <v>41627</v>
      </c>
      <c r="D158" s="28">
        <v>0.33974567777608206</v>
      </c>
      <c r="E158" s="28">
        <v>0.29198850689481598</v>
      </c>
      <c r="F158" s="29">
        <f t="shared" ca="1" si="25"/>
        <v>1426.7</v>
      </c>
      <c r="G158" s="29">
        <f t="shared" si="26"/>
        <v>19.7003990424538</v>
      </c>
      <c r="H158" s="24">
        <f t="shared" si="27"/>
        <v>12</v>
      </c>
      <c r="I158" s="24">
        <f t="shared" si="28"/>
        <v>0</v>
      </c>
      <c r="J158" s="24">
        <f t="shared" si="24"/>
        <v>0</v>
      </c>
      <c r="K158" s="25" t="str">
        <f t="shared" si="30"/>
        <v/>
      </c>
      <c r="L158" s="25" t="e">
        <f t="shared" si="31"/>
        <v>#VALUE!</v>
      </c>
      <c r="M158" s="28" t="str">
        <f t="shared" si="32"/>
        <v/>
      </c>
      <c r="N158" s="28" t="str">
        <f t="shared" si="33"/>
        <v/>
      </c>
      <c r="O158" s="31" t="str">
        <f t="shared" si="34"/>
        <v/>
      </c>
      <c r="P158" s="31" t="str">
        <f t="shared" si="35"/>
        <v/>
      </c>
      <c r="W158" s="25">
        <v>40382</v>
      </c>
      <c r="X158" s="24">
        <v>4097.3</v>
      </c>
      <c r="AA158" s="25">
        <v>41627</v>
      </c>
      <c r="AB158">
        <v>0.19700399042453801</v>
      </c>
      <c r="AC158" s="24">
        <f t="shared" si="29"/>
        <v>19.7003990424538</v>
      </c>
    </row>
    <row r="159" spans="3:29">
      <c r="C159" s="25">
        <v>41634</v>
      </c>
      <c r="D159" s="28">
        <v>0.33029809597210952</v>
      </c>
      <c r="E159" s="28">
        <v>0.29162362501885603</v>
      </c>
      <c r="F159" s="29">
        <f t="shared" ca="1" si="25"/>
        <v>1277.8</v>
      </c>
      <c r="G159" s="29">
        <f t="shared" si="26"/>
        <v>18.712858153072801</v>
      </c>
      <c r="H159" s="24">
        <f t="shared" si="27"/>
        <v>12</v>
      </c>
      <c r="I159" s="24">
        <f t="shared" si="28"/>
        <v>0</v>
      </c>
      <c r="J159" s="24">
        <f t="shared" si="24"/>
        <v>1</v>
      </c>
      <c r="K159" s="25">
        <f t="shared" si="30"/>
        <v>41639</v>
      </c>
      <c r="L159" s="25">
        <f t="shared" si="31"/>
        <v>41639</v>
      </c>
      <c r="M159" s="28">
        <f t="shared" si="32"/>
        <v>0.33029809597210952</v>
      </c>
      <c r="N159" s="28">
        <f t="shared" si="33"/>
        <v>0.29162362501885603</v>
      </c>
      <c r="O159" s="31">
        <f t="shared" ca="1" si="34"/>
        <v>1277.8</v>
      </c>
      <c r="P159" s="31">
        <f t="shared" si="35"/>
        <v>18.712858153072801</v>
      </c>
      <c r="W159" s="25">
        <v>40389</v>
      </c>
      <c r="X159" s="24">
        <v>4155.5</v>
      </c>
      <c r="AA159" s="25">
        <v>41634</v>
      </c>
      <c r="AB159">
        <v>0.18712858153072801</v>
      </c>
      <c r="AC159" s="24">
        <f t="shared" si="29"/>
        <v>18.712858153072801</v>
      </c>
    </row>
    <row r="160" spans="3:29">
      <c r="C160" s="25">
        <v>41641</v>
      </c>
      <c r="D160" s="28">
        <v>0.26212623729092371</v>
      </c>
      <c r="E160" s="28">
        <v>0.265306805945277</v>
      </c>
      <c r="F160" s="29">
        <f t="shared" ca="1" si="25"/>
        <v>1352.7</v>
      </c>
      <c r="G160" s="29">
        <f t="shared" si="26"/>
        <v>9.6900653717160203</v>
      </c>
      <c r="H160" s="24">
        <f t="shared" si="27"/>
        <v>1</v>
      </c>
      <c r="I160" s="24">
        <f t="shared" si="28"/>
        <v>1</v>
      </c>
      <c r="J160" s="24">
        <f t="shared" si="24"/>
        <v>0</v>
      </c>
      <c r="K160" s="25" t="str">
        <f t="shared" si="30"/>
        <v/>
      </c>
      <c r="L160" s="25" t="e">
        <f t="shared" si="31"/>
        <v>#VALUE!</v>
      </c>
      <c r="M160" s="28" t="str">
        <f t="shared" si="32"/>
        <v/>
      </c>
      <c r="N160" s="28" t="str">
        <f t="shared" si="33"/>
        <v/>
      </c>
      <c r="O160" s="31" t="str">
        <f t="shared" si="34"/>
        <v/>
      </c>
      <c r="P160" s="31" t="str">
        <f t="shared" si="35"/>
        <v/>
      </c>
      <c r="W160" s="25">
        <v>40396</v>
      </c>
      <c r="X160" s="24">
        <v>4147.1000000000004</v>
      </c>
      <c r="AA160" s="25">
        <v>41641</v>
      </c>
      <c r="AB160">
        <v>9.6900653717160196E-2</v>
      </c>
      <c r="AC160" s="24">
        <f t="shared" si="29"/>
        <v>9.6900653717160203</v>
      </c>
    </row>
    <row r="161" spans="3:29">
      <c r="C161" s="25">
        <v>41648</v>
      </c>
      <c r="D161" s="28">
        <v>0.2902260049252946</v>
      </c>
      <c r="E161" s="28">
        <v>0.29015447722721099</v>
      </c>
      <c r="F161" s="29">
        <f t="shared" ca="1" si="25"/>
        <v>1507</v>
      </c>
      <c r="G161" s="29">
        <f t="shared" si="26"/>
        <v>20.2791582453705</v>
      </c>
      <c r="H161" s="24">
        <f t="shared" si="27"/>
        <v>1</v>
      </c>
      <c r="I161" s="24">
        <f t="shared" si="28"/>
        <v>0</v>
      </c>
      <c r="J161" s="24">
        <f t="shared" si="24"/>
        <v>0</v>
      </c>
      <c r="K161" s="25" t="str">
        <f t="shared" si="30"/>
        <v/>
      </c>
      <c r="L161" s="25" t="e">
        <f t="shared" si="31"/>
        <v>#VALUE!</v>
      </c>
      <c r="M161" s="28" t="str">
        <f t="shared" si="32"/>
        <v/>
      </c>
      <c r="N161" s="28" t="str">
        <f t="shared" si="33"/>
        <v/>
      </c>
      <c r="O161" s="31" t="str">
        <f t="shared" si="34"/>
        <v/>
      </c>
      <c r="P161" s="31" t="str">
        <f t="shared" si="35"/>
        <v/>
      </c>
      <c r="W161" s="25">
        <v>40403</v>
      </c>
      <c r="X161" s="24">
        <v>4940.8999999999996</v>
      </c>
      <c r="AA161" s="25">
        <v>41648</v>
      </c>
      <c r="AB161">
        <v>0.20279158245370499</v>
      </c>
      <c r="AC161" s="24">
        <f t="shared" si="29"/>
        <v>20.2791582453705</v>
      </c>
    </row>
    <row r="162" spans="3:29">
      <c r="C162" s="25">
        <v>41655</v>
      </c>
      <c r="D162" s="28">
        <v>0.36774882579493112</v>
      </c>
      <c r="E162" s="28">
        <v>0.32467403778332998</v>
      </c>
      <c r="F162" s="29">
        <f t="shared" ca="1" si="25"/>
        <v>1675.8</v>
      </c>
      <c r="G162" s="29">
        <f t="shared" si="26"/>
        <v>29.9821795062227</v>
      </c>
      <c r="H162" s="24">
        <f t="shared" si="27"/>
        <v>1</v>
      </c>
      <c r="I162" s="24">
        <f t="shared" si="28"/>
        <v>0</v>
      </c>
      <c r="J162" s="24">
        <f t="shared" si="24"/>
        <v>0</v>
      </c>
      <c r="K162" s="25" t="str">
        <f t="shared" si="30"/>
        <v/>
      </c>
      <c r="L162" s="25" t="e">
        <f t="shared" si="31"/>
        <v>#VALUE!</v>
      </c>
      <c r="M162" s="28" t="str">
        <f t="shared" si="32"/>
        <v/>
      </c>
      <c r="N162" s="28" t="str">
        <f t="shared" si="33"/>
        <v/>
      </c>
      <c r="O162" s="31" t="str">
        <f t="shared" si="34"/>
        <v/>
      </c>
      <c r="P162" s="31" t="str">
        <f t="shared" si="35"/>
        <v/>
      </c>
      <c r="W162" s="25">
        <v>40410</v>
      </c>
      <c r="X162" s="24">
        <v>5260.7</v>
      </c>
      <c r="AA162" s="25">
        <v>41655</v>
      </c>
      <c r="AB162">
        <v>0.299821795062227</v>
      </c>
      <c r="AC162" s="24">
        <f t="shared" si="29"/>
        <v>29.9821795062227</v>
      </c>
    </row>
    <row r="163" spans="3:29">
      <c r="C163" s="25">
        <v>41662</v>
      </c>
      <c r="D163" s="28">
        <v>0.37084428304329614</v>
      </c>
      <c r="E163" s="28">
        <v>0.32547727058860199</v>
      </c>
      <c r="F163" s="29">
        <f t="shared" ca="1" si="25"/>
        <v>1601.2</v>
      </c>
      <c r="G163" s="29">
        <f t="shared" si="26"/>
        <v>31.922783744698503</v>
      </c>
      <c r="H163" s="24">
        <f t="shared" si="27"/>
        <v>1</v>
      </c>
      <c r="I163" s="24">
        <f t="shared" si="28"/>
        <v>0</v>
      </c>
      <c r="J163" s="24">
        <f t="shared" si="24"/>
        <v>0</v>
      </c>
      <c r="K163" s="25" t="str">
        <f t="shared" si="30"/>
        <v/>
      </c>
      <c r="L163" s="25" t="e">
        <f t="shared" si="31"/>
        <v>#VALUE!</v>
      </c>
      <c r="M163" s="28" t="str">
        <f t="shared" si="32"/>
        <v/>
      </c>
      <c r="N163" s="28" t="str">
        <f t="shared" si="33"/>
        <v/>
      </c>
      <c r="O163" s="31" t="str">
        <f t="shared" si="34"/>
        <v/>
      </c>
      <c r="P163" s="31" t="str">
        <f t="shared" si="35"/>
        <v/>
      </c>
      <c r="W163" s="25">
        <v>40417</v>
      </c>
      <c r="X163" s="24">
        <v>5431.5</v>
      </c>
      <c r="AA163" s="25">
        <v>41662</v>
      </c>
      <c r="AB163">
        <v>0.31922783744698502</v>
      </c>
      <c r="AC163" s="24">
        <f t="shared" si="29"/>
        <v>31.922783744698503</v>
      </c>
    </row>
    <row r="164" spans="3:29">
      <c r="C164" s="25">
        <v>41669</v>
      </c>
      <c r="D164" s="28">
        <v>0.38160196936392621</v>
      </c>
      <c r="E164" s="28">
        <v>0.38449844249950499</v>
      </c>
      <c r="F164" s="29">
        <f t="shared" ca="1" si="25"/>
        <v>1667.5</v>
      </c>
      <c r="G164" s="29">
        <f t="shared" si="26"/>
        <v>38.714898607996702</v>
      </c>
      <c r="H164" s="24">
        <f t="shared" si="27"/>
        <v>1</v>
      </c>
      <c r="I164" s="24">
        <f t="shared" si="28"/>
        <v>0</v>
      </c>
      <c r="J164" s="24">
        <f t="shared" si="24"/>
        <v>1</v>
      </c>
      <c r="K164" s="25">
        <f t="shared" si="30"/>
        <v>41670</v>
      </c>
      <c r="L164" s="25">
        <f t="shared" si="31"/>
        <v>41670</v>
      </c>
      <c r="M164" s="28">
        <f t="shared" si="32"/>
        <v>0.38160196936392621</v>
      </c>
      <c r="N164" s="28">
        <f t="shared" si="33"/>
        <v>0.38449844249950499</v>
      </c>
      <c r="O164" s="31">
        <f t="shared" ca="1" si="34"/>
        <v>1667.5</v>
      </c>
      <c r="P164" s="31">
        <f t="shared" si="35"/>
        <v>38.714898607996702</v>
      </c>
      <c r="W164" s="25">
        <v>40424</v>
      </c>
      <c r="X164" s="24">
        <v>5214.6000000000004</v>
      </c>
      <c r="AA164" s="25">
        <v>41669</v>
      </c>
      <c r="AB164">
        <v>0.38714898607996701</v>
      </c>
      <c r="AC164" s="24">
        <f t="shared" si="29"/>
        <v>38.714898607996702</v>
      </c>
    </row>
    <row r="165" spans="3:29">
      <c r="C165" s="25">
        <v>41676</v>
      </c>
      <c r="D165" s="28">
        <v>0.40068103493110224</v>
      </c>
      <c r="E165" s="28">
        <v>0.407383000493176</v>
      </c>
      <c r="F165" s="29">
        <f t="shared" ca="1" si="25"/>
        <v>1674.2</v>
      </c>
      <c r="G165" s="29">
        <f t="shared" si="26"/>
        <v>46.209511979448699</v>
      </c>
      <c r="H165" s="24">
        <f t="shared" si="27"/>
        <v>2</v>
      </c>
      <c r="I165" s="24">
        <f t="shared" si="28"/>
        <v>1</v>
      </c>
      <c r="J165" s="24">
        <f t="shared" si="24"/>
        <v>0</v>
      </c>
      <c r="K165" s="25" t="str">
        <f t="shared" si="30"/>
        <v/>
      </c>
      <c r="L165" s="25" t="e">
        <f t="shared" si="31"/>
        <v>#VALUE!</v>
      </c>
      <c r="M165" s="28" t="str">
        <f t="shared" si="32"/>
        <v/>
      </c>
      <c r="N165" s="28" t="str">
        <f t="shared" si="33"/>
        <v/>
      </c>
      <c r="O165" s="31" t="str">
        <f t="shared" si="34"/>
        <v/>
      </c>
      <c r="P165" s="31" t="str">
        <f t="shared" si="35"/>
        <v/>
      </c>
      <c r="W165" s="25">
        <v>40431</v>
      </c>
      <c r="X165" s="24">
        <v>4663.8</v>
      </c>
      <c r="AA165" s="25">
        <v>41676</v>
      </c>
      <c r="AB165">
        <v>0.46209511979448697</v>
      </c>
      <c r="AC165" s="24">
        <f t="shared" si="29"/>
        <v>46.209511979448699</v>
      </c>
    </row>
    <row r="166" spans="3:29">
      <c r="C166" s="25">
        <v>41683</v>
      </c>
      <c r="D166" s="28">
        <v>0.38532630107916044</v>
      </c>
      <c r="E166" s="28">
        <v>0.380280894786581</v>
      </c>
      <c r="F166" s="29">
        <f t="shared" ca="1" si="25"/>
        <v>1650.6</v>
      </c>
      <c r="G166" s="29">
        <f t="shared" si="26"/>
        <v>41.359954893457704</v>
      </c>
      <c r="H166" s="24">
        <f t="shared" si="27"/>
        <v>2</v>
      </c>
      <c r="I166" s="24">
        <f t="shared" si="28"/>
        <v>0</v>
      </c>
      <c r="J166" s="24">
        <f t="shared" si="24"/>
        <v>0</v>
      </c>
      <c r="K166" s="25" t="str">
        <f t="shared" si="30"/>
        <v/>
      </c>
      <c r="L166" s="25" t="e">
        <f t="shared" si="31"/>
        <v>#VALUE!</v>
      </c>
      <c r="M166" s="28" t="str">
        <f t="shared" si="32"/>
        <v/>
      </c>
      <c r="N166" s="28" t="str">
        <f t="shared" si="33"/>
        <v/>
      </c>
      <c r="O166" s="31" t="str">
        <f t="shared" si="34"/>
        <v/>
      </c>
      <c r="P166" s="31" t="str">
        <f t="shared" si="35"/>
        <v/>
      </c>
      <c r="W166" s="25">
        <v>40438</v>
      </c>
      <c r="X166" s="24">
        <v>4624.6000000000004</v>
      </c>
      <c r="AA166" s="25">
        <v>41683</v>
      </c>
      <c r="AB166">
        <v>0.41359954893457701</v>
      </c>
      <c r="AC166" s="24">
        <f t="shared" si="29"/>
        <v>41.359954893457704</v>
      </c>
    </row>
    <row r="167" spans="3:29">
      <c r="C167" s="25">
        <v>41690</v>
      </c>
      <c r="D167" s="28">
        <v>0.3755719775185945</v>
      </c>
      <c r="E167" s="28">
        <v>0.35043602810261099</v>
      </c>
      <c r="F167" s="29">
        <f t="shared" ca="1" si="25"/>
        <v>1442.3</v>
      </c>
      <c r="G167" s="29">
        <f t="shared" si="26"/>
        <v>36.510397763529397</v>
      </c>
      <c r="H167" s="24">
        <f t="shared" si="27"/>
        <v>2</v>
      </c>
      <c r="I167" s="24">
        <f t="shared" si="28"/>
        <v>0</v>
      </c>
      <c r="J167" s="24">
        <f t="shared" si="24"/>
        <v>0</v>
      </c>
      <c r="K167" s="25" t="str">
        <f t="shared" si="30"/>
        <v/>
      </c>
      <c r="L167" s="25" t="e">
        <f t="shared" si="31"/>
        <v>#VALUE!</v>
      </c>
      <c r="M167" s="28" t="str">
        <f t="shared" si="32"/>
        <v/>
      </c>
      <c r="N167" s="28" t="str">
        <f t="shared" si="33"/>
        <v/>
      </c>
      <c r="O167" s="31" t="str">
        <f t="shared" si="34"/>
        <v/>
      </c>
      <c r="P167" s="31" t="str">
        <f t="shared" si="35"/>
        <v/>
      </c>
      <c r="W167" s="25">
        <v>40445</v>
      </c>
      <c r="X167" s="24">
        <v>4549.3</v>
      </c>
      <c r="AA167" s="25">
        <v>41690</v>
      </c>
      <c r="AB167">
        <v>0.36510397763529401</v>
      </c>
      <c r="AC167" s="24">
        <f t="shared" si="29"/>
        <v>36.510397763529397</v>
      </c>
    </row>
    <row r="168" spans="3:29">
      <c r="C168" s="25">
        <v>41697</v>
      </c>
      <c r="D168" s="28">
        <v>0.36967404481869215</v>
      </c>
      <c r="E168" s="28">
        <v>0.34853875137296803</v>
      </c>
      <c r="F168" s="29">
        <f t="shared" ca="1" si="25"/>
        <v>1600.6</v>
      </c>
      <c r="G168" s="29">
        <f t="shared" si="26"/>
        <v>32.630752095315898</v>
      </c>
      <c r="H168" s="24">
        <f t="shared" si="27"/>
        <v>2</v>
      </c>
      <c r="I168" s="24">
        <f t="shared" si="28"/>
        <v>0</v>
      </c>
      <c r="J168" s="24">
        <f t="shared" si="24"/>
        <v>1</v>
      </c>
      <c r="K168" s="25">
        <f t="shared" si="30"/>
        <v>41698</v>
      </c>
      <c r="L168" s="25">
        <f t="shared" si="31"/>
        <v>41698</v>
      </c>
      <c r="M168" s="28">
        <f t="shared" si="32"/>
        <v>0.36967404481869215</v>
      </c>
      <c r="N168" s="28">
        <f t="shared" si="33"/>
        <v>0.34853875137296803</v>
      </c>
      <c r="O168" s="31">
        <f t="shared" ca="1" si="34"/>
        <v>1600.6</v>
      </c>
      <c r="P168" s="31">
        <f t="shared" si="35"/>
        <v>32.630752095315898</v>
      </c>
      <c r="W168" s="25">
        <v>40452</v>
      </c>
      <c r="X168" s="24">
        <v>4395.5</v>
      </c>
      <c r="AA168" s="25">
        <v>41697</v>
      </c>
      <c r="AB168">
        <v>0.32630752095315901</v>
      </c>
      <c r="AC168" s="24">
        <f t="shared" si="29"/>
        <v>32.630752095315898</v>
      </c>
    </row>
    <row r="169" spans="3:29">
      <c r="C169" s="25">
        <v>41704</v>
      </c>
      <c r="D169" s="28">
        <v>0.38316963725836589</v>
      </c>
      <c r="E169" s="28">
        <v>0.37584545219724702</v>
      </c>
      <c r="F169" s="29">
        <f t="shared" ca="1" si="25"/>
        <v>1528</v>
      </c>
      <c r="G169" s="29">
        <f t="shared" si="26"/>
        <v>40.341059189190396</v>
      </c>
      <c r="H169" s="24">
        <f t="shared" si="27"/>
        <v>3</v>
      </c>
      <c r="I169" s="24">
        <f t="shared" si="28"/>
        <v>1</v>
      </c>
      <c r="J169" s="24">
        <f t="shared" si="24"/>
        <v>0</v>
      </c>
      <c r="K169" s="25" t="str">
        <f t="shared" si="30"/>
        <v/>
      </c>
      <c r="L169" s="25" t="e">
        <f t="shared" si="31"/>
        <v>#VALUE!</v>
      </c>
      <c r="M169" s="28" t="str">
        <f t="shared" si="32"/>
        <v/>
      </c>
      <c r="N169" s="28" t="str">
        <f t="shared" si="33"/>
        <v/>
      </c>
      <c r="O169" s="31" t="str">
        <f t="shared" si="34"/>
        <v/>
      </c>
      <c r="P169" s="31" t="str">
        <f t="shared" si="35"/>
        <v/>
      </c>
      <c r="W169" s="25">
        <v>40459</v>
      </c>
      <c r="X169" s="24">
        <v>5455.4</v>
      </c>
      <c r="AA169" s="25">
        <v>41704</v>
      </c>
      <c r="AB169">
        <v>0.40341059189190398</v>
      </c>
      <c r="AC169" s="24">
        <f t="shared" si="29"/>
        <v>40.341059189190396</v>
      </c>
    </row>
    <row r="170" spans="3:29">
      <c r="C170" s="25">
        <v>41711</v>
      </c>
      <c r="D170" s="28">
        <v>0.36933430427665681</v>
      </c>
      <c r="E170" s="28">
        <v>0.34537825411835699</v>
      </c>
      <c r="F170" s="29">
        <f t="shared" ca="1" si="25"/>
        <v>1552.1</v>
      </c>
      <c r="G170" s="29">
        <f t="shared" si="26"/>
        <v>34.0404321378617</v>
      </c>
      <c r="H170" s="24">
        <f t="shared" si="27"/>
        <v>3</v>
      </c>
      <c r="I170" s="24">
        <f t="shared" si="28"/>
        <v>0</v>
      </c>
      <c r="J170" s="24">
        <f t="shared" si="24"/>
        <v>0</v>
      </c>
      <c r="K170" s="25" t="str">
        <f t="shared" si="30"/>
        <v/>
      </c>
      <c r="L170" s="25" t="e">
        <f t="shared" si="31"/>
        <v>#VALUE!</v>
      </c>
      <c r="M170" s="28" t="str">
        <f t="shared" si="32"/>
        <v/>
      </c>
      <c r="N170" s="28" t="str">
        <f t="shared" si="33"/>
        <v/>
      </c>
      <c r="O170" s="31" t="str">
        <f t="shared" si="34"/>
        <v/>
      </c>
      <c r="P170" s="31" t="str">
        <f t="shared" si="35"/>
        <v/>
      </c>
      <c r="W170" s="25">
        <v>40466</v>
      </c>
      <c r="X170" s="24">
        <v>4768.6000000000004</v>
      </c>
      <c r="AA170" s="25">
        <v>41711</v>
      </c>
      <c r="AB170">
        <v>0.34040432137861698</v>
      </c>
      <c r="AC170" s="24">
        <f t="shared" si="29"/>
        <v>34.0404321378617</v>
      </c>
    </row>
    <row r="171" spans="3:29">
      <c r="C171" s="25">
        <v>41718</v>
      </c>
      <c r="D171" s="28">
        <v>0.38030249532079374</v>
      </c>
      <c r="E171" s="28">
        <v>0.37475184713589199</v>
      </c>
      <c r="F171" s="29">
        <f t="shared" ca="1" si="25"/>
        <v>1426.3</v>
      </c>
      <c r="G171" s="29">
        <f t="shared" si="26"/>
        <v>38.887068341638695</v>
      </c>
      <c r="H171" s="24">
        <f t="shared" si="27"/>
        <v>3</v>
      </c>
      <c r="I171" s="24">
        <f t="shared" si="28"/>
        <v>0</v>
      </c>
      <c r="J171" s="24">
        <f t="shared" si="24"/>
        <v>0</v>
      </c>
      <c r="K171" s="25" t="str">
        <f t="shared" si="30"/>
        <v/>
      </c>
      <c r="L171" s="25" t="e">
        <f t="shared" si="31"/>
        <v>#VALUE!</v>
      </c>
      <c r="M171" s="28" t="str">
        <f t="shared" si="32"/>
        <v/>
      </c>
      <c r="N171" s="28" t="str">
        <f t="shared" si="33"/>
        <v/>
      </c>
      <c r="O171" s="31" t="str">
        <f t="shared" si="34"/>
        <v/>
      </c>
      <c r="P171" s="31" t="str">
        <f t="shared" si="35"/>
        <v/>
      </c>
      <c r="W171" s="25">
        <v>40473</v>
      </c>
      <c r="X171" s="24">
        <v>4904.2</v>
      </c>
      <c r="AA171" s="25">
        <v>41718</v>
      </c>
      <c r="AB171">
        <v>0.38887068341638698</v>
      </c>
      <c r="AC171" s="24">
        <f t="shared" si="29"/>
        <v>38.887068341638695</v>
      </c>
    </row>
    <row r="172" spans="3:29">
      <c r="C172" s="25">
        <v>41725</v>
      </c>
      <c r="D172" s="28">
        <v>0.36565400061256043</v>
      </c>
      <c r="E172" s="28">
        <v>0.34373332978073601</v>
      </c>
      <c r="F172" s="29">
        <f t="shared" ca="1" si="25"/>
        <v>1383.5</v>
      </c>
      <c r="G172" s="29">
        <f t="shared" si="26"/>
        <v>31.132450440538502</v>
      </c>
      <c r="H172" s="24">
        <f t="shared" si="27"/>
        <v>3</v>
      </c>
      <c r="I172" s="24">
        <f t="shared" si="28"/>
        <v>0</v>
      </c>
      <c r="J172" s="24">
        <f t="shared" si="24"/>
        <v>1</v>
      </c>
      <c r="K172" s="25">
        <f t="shared" si="30"/>
        <v>41729</v>
      </c>
      <c r="L172" s="25">
        <f t="shared" si="31"/>
        <v>41729</v>
      </c>
      <c r="M172" s="28">
        <f t="shared" si="32"/>
        <v>0.36565400061256043</v>
      </c>
      <c r="N172" s="28">
        <f t="shared" si="33"/>
        <v>0.34373332978073601</v>
      </c>
      <c r="O172" s="31">
        <f t="shared" ca="1" si="34"/>
        <v>1383.5</v>
      </c>
      <c r="P172" s="31">
        <f t="shared" si="35"/>
        <v>31.132450440538502</v>
      </c>
      <c r="W172" s="25">
        <v>40480</v>
      </c>
      <c r="X172" s="24">
        <v>4568.1000000000004</v>
      </c>
      <c r="AA172" s="25">
        <v>41725</v>
      </c>
      <c r="AB172">
        <v>0.31132450440538501</v>
      </c>
      <c r="AC172" s="24">
        <f t="shared" si="29"/>
        <v>31.132450440538502</v>
      </c>
    </row>
    <row r="173" spans="3:29">
      <c r="C173" s="25">
        <v>41732</v>
      </c>
      <c r="D173" s="28">
        <v>0.35521926568999218</v>
      </c>
      <c r="E173" s="28">
        <v>0.31383635422742501</v>
      </c>
      <c r="F173" s="29">
        <f t="shared" ca="1" si="25"/>
        <v>1324.7</v>
      </c>
      <c r="G173" s="29">
        <f t="shared" si="26"/>
        <v>30.744398077890999</v>
      </c>
      <c r="H173" s="24">
        <f t="shared" si="27"/>
        <v>4</v>
      </c>
      <c r="I173" s="24">
        <f t="shared" si="28"/>
        <v>1</v>
      </c>
      <c r="J173" s="24">
        <f t="shared" si="24"/>
        <v>0</v>
      </c>
      <c r="K173" s="25" t="str">
        <f t="shared" si="30"/>
        <v/>
      </c>
      <c r="L173" s="25" t="e">
        <f t="shared" si="31"/>
        <v>#VALUE!</v>
      </c>
      <c r="M173" s="28" t="str">
        <f t="shared" si="32"/>
        <v/>
      </c>
      <c r="N173" s="28" t="str">
        <f t="shared" si="33"/>
        <v/>
      </c>
      <c r="O173" s="31" t="str">
        <f t="shared" si="34"/>
        <v/>
      </c>
      <c r="P173" s="31" t="str">
        <f t="shared" si="35"/>
        <v/>
      </c>
      <c r="W173" s="25">
        <v>40487</v>
      </c>
      <c r="X173" s="24">
        <v>4836.3999999999996</v>
      </c>
      <c r="AA173" s="25">
        <v>41732</v>
      </c>
      <c r="AB173">
        <v>0.30744398077891</v>
      </c>
      <c r="AC173" s="24">
        <f t="shared" si="29"/>
        <v>30.744398077890999</v>
      </c>
    </row>
    <row r="174" spans="3:29">
      <c r="C174" s="25">
        <v>41739</v>
      </c>
      <c r="D174" s="28">
        <v>0.36683376695248865</v>
      </c>
      <c r="E174" s="28">
        <v>0.34451093908200903</v>
      </c>
      <c r="F174" s="29">
        <f t="shared" ca="1" si="25"/>
        <v>1429.9</v>
      </c>
      <c r="G174" s="29">
        <f t="shared" si="26"/>
        <v>37.586881933033503</v>
      </c>
      <c r="H174" s="24">
        <f t="shared" si="27"/>
        <v>4</v>
      </c>
      <c r="I174" s="24">
        <f t="shared" si="28"/>
        <v>0</v>
      </c>
      <c r="J174" s="24">
        <f t="shared" si="24"/>
        <v>0</v>
      </c>
      <c r="K174" s="25" t="str">
        <f t="shared" si="30"/>
        <v/>
      </c>
      <c r="L174" s="25" t="e">
        <f t="shared" si="31"/>
        <v>#VALUE!</v>
      </c>
      <c r="M174" s="28" t="str">
        <f t="shared" si="32"/>
        <v/>
      </c>
      <c r="N174" s="28" t="str">
        <f t="shared" si="33"/>
        <v/>
      </c>
      <c r="O174" s="31" t="str">
        <f t="shared" si="34"/>
        <v/>
      </c>
      <c r="P174" s="31" t="str">
        <f t="shared" si="35"/>
        <v/>
      </c>
      <c r="W174" s="25">
        <v>40494</v>
      </c>
      <c r="X174" s="24">
        <v>4015.2</v>
      </c>
      <c r="AA174" s="25">
        <v>41739</v>
      </c>
      <c r="AB174">
        <v>0.375868819330335</v>
      </c>
      <c r="AC174" s="24">
        <f t="shared" si="29"/>
        <v>37.586881933033503</v>
      </c>
    </row>
    <row r="175" spans="3:29">
      <c r="C175" s="25">
        <v>41746</v>
      </c>
      <c r="D175" s="28">
        <v>0.38166972699665563</v>
      </c>
      <c r="E175" s="28">
        <v>0.37550642358643799</v>
      </c>
      <c r="F175" s="29">
        <f t="shared" ca="1" si="25"/>
        <v>1370.9</v>
      </c>
      <c r="G175" s="29">
        <f t="shared" si="26"/>
        <v>44.429365801905604</v>
      </c>
      <c r="H175" s="24">
        <f t="shared" si="27"/>
        <v>4</v>
      </c>
      <c r="I175" s="24">
        <f t="shared" si="28"/>
        <v>0</v>
      </c>
      <c r="J175" s="24">
        <f t="shared" si="24"/>
        <v>0</v>
      </c>
      <c r="K175" s="25" t="str">
        <f t="shared" si="30"/>
        <v/>
      </c>
      <c r="L175" s="25" t="e">
        <f t="shared" si="31"/>
        <v>#VALUE!</v>
      </c>
      <c r="M175" s="28" t="str">
        <f t="shared" si="32"/>
        <v/>
      </c>
      <c r="N175" s="28" t="str">
        <f t="shared" si="33"/>
        <v/>
      </c>
      <c r="O175" s="31" t="str">
        <f t="shared" si="34"/>
        <v/>
      </c>
      <c r="P175" s="31" t="str">
        <f t="shared" si="35"/>
        <v/>
      </c>
      <c r="W175" s="25">
        <v>40501</v>
      </c>
      <c r="X175" s="24">
        <v>4009.2</v>
      </c>
      <c r="AA175" s="25">
        <v>41746</v>
      </c>
      <c r="AB175">
        <v>0.44429365801905601</v>
      </c>
      <c r="AC175" s="24">
        <f t="shared" si="29"/>
        <v>44.429365801905604</v>
      </c>
    </row>
    <row r="176" spans="3:29">
      <c r="C176" s="25">
        <v>41753</v>
      </c>
      <c r="D176" s="28">
        <v>0.37393962817107157</v>
      </c>
      <c r="E176" s="28">
        <v>0.37394334466633</v>
      </c>
      <c r="F176" s="29">
        <f t="shared" ca="1" si="25"/>
        <v>1298.0999999999999</v>
      </c>
      <c r="G176" s="29">
        <f t="shared" si="26"/>
        <v>41.008123890030099</v>
      </c>
      <c r="H176" s="24">
        <f t="shared" si="27"/>
        <v>4</v>
      </c>
      <c r="I176" s="24">
        <f t="shared" si="28"/>
        <v>0</v>
      </c>
      <c r="J176" s="24">
        <f t="shared" si="24"/>
        <v>1</v>
      </c>
      <c r="K176" s="25">
        <f t="shared" si="30"/>
        <v>41759</v>
      </c>
      <c r="L176" s="25">
        <f t="shared" si="31"/>
        <v>41759</v>
      </c>
      <c r="M176" s="28">
        <f t="shared" si="32"/>
        <v>0.37393962817107157</v>
      </c>
      <c r="N176" s="28">
        <f t="shared" si="33"/>
        <v>0.37394334466633</v>
      </c>
      <c r="O176" s="31">
        <f t="shared" ca="1" si="34"/>
        <v>1298.0999999999999</v>
      </c>
      <c r="P176" s="31">
        <f t="shared" si="35"/>
        <v>41.008123890030099</v>
      </c>
      <c r="W176" s="25">
        <v>40508</v>
      </c>
      <c r="X176" s="24">
        <v>3151.8</v>
      </c>
      <c r="AA176" s="25">
        <v>41753</v>
      </c>
      <c r="AB176">
        <v>0.41008123890030101</v>
      </c>
      <c r="AC176" s="24">
        <f t="shared" si="29"/>
        <v>41.008123890030099</v>
      </c>
    </row>
    <row r="177" spans="3:29">
      <c r="C177" s="25">
        <v>41760</v>
      </c>
      <c r="D177" s="28">
        <v>0.37360583835556432</v>
      </c>
      <c r="E177" s="28">
        <v>0.37348002875422498</v>
      </c>
      <c r="F177" s="29">
        <f t="shared" ca="1" si="25"/>
        <v>1323.9</v>
      </c>
      <c r="G177" s="29">
        <f t="shared" si="26"/>
        <v>43.479216356337005</v>
      </c>
      <c r="H177" s="24">
        <f t="shared" si="27"/>
        <v>5</v>
      </c>
      <c r="I177" s="24">
        <f t="shared" si="28"/>
        <v>1</v>
      </c>
      <c r="J177" s="24">
        <f t="shared" si="24"/>
        <v>0</v>
      </c>
      <c r="K177" s="25" t="str">
        <f t="shared" si="30"/>
        <v/>
      </c>
      <c r="L177" s="25" t="e">
        <f t="shared" si="31"/>
        <v>#VALUE!</v>
      </c>
      <c r="M177" s="28" t="str">
        <f t="shared" si="32"/>
        <v/>
      </c>
      <c r="N177" s="28" t="str">
        <f t="shared" si="33"/>
        <v/>
      </c>
      <c r="O177" s="31" t="str">
        <f t="shared" si="34"/>
        <v/>
      </c>
      <c r="P177" s="31" t="str">
        <f t="shared" si="35"/>
        <v/>
      </c>
      <c r="W177" s="25">
        <v>40515</v>
      </c>
      <c r="X177" s="24">
        <v>3066.2</v>
      </c>
      <c r="AA177" s="25">
        <v>41760</v>
      </c>
      <c r="AB177">
        <v>0.43479216356337003</v>
      </c>
      <c r="AC177" s="24">
        <f t="shared" si="29"/>
        <v>43.479216356337005</v>
      </c>
    </row>
    <row r="178" spans="3:29">
      <c r="C178" s="25">
        <v>41767</v>
      </c>
      <c r="D178" s="28">
        <v>0.40975674753773905</v>
      </c>
      <c r="E178" s="28">
        <v>0.42315654967107302</v>
      </c>
      <c r="F178" s="29">
        <f t="shared" ca="1" si="25"/>
        <v>1400.9</v>
      </c>
      <c r="G178" s="29">
        <f t="shared" si="26"/>
        <v>53.770935794158106</v>
      </c>
      <c r="H178" s="24">
        <f t="shared" si="27"/>
        <v>5</v>
      </c>
      <c r="I178" s="24">
        <f t="shared" si="28"/>
        <v>0</v>
      </c>
      <c r="J178" s="24">
        <f t="shared" si="24"/>
        <v>0</v>
      </c>
      <c r="K178" s="25" t="str">
        <f t="shared" si="30"/>
        <v/>
      </c>
      <c r="L178" s="25" t="e">
        <f t="shared" si="31"/>
        <v>#VALUE!</v>
      </c>
      <c r="M178" s="28" t="str">
        <f t="shared" si="32"/>
        <v/>
      </c>
      <c r="N178" s="28" t="str">
        <f t="shared" si="33"/>
        <v/>
      </c>
      <c r="O178" s="31" t="str">
        <f t="shared" si="34"/>
        <v/>
      </c>
      <c r="P178" s="31" t="str">
        <f t="shared" si="35"/>
        <v/>
      </c>
      <c r="W178" s="25">
        <v>40522</v>
      </c>
      <c r="X178" s="24">
        <v>3067.3</v>
      </c>
      <c r="AA178" s="25">
        <v>41767</v>
      </c>
      <c r="AB178">
        <v>0.53770935794158103</v>
      </c>
      <c r="AC178" s="24">
        <f t="shared" si="29"/>
        <v>53.770935794158106</v>
      </c>
    </row>
    <row r="179" spans="3:29">
      <c r="C179" s="25">
        <v>41774</v>
      </c>
      <c r="D179" s="28">
        <v>0.4132153406951769</v>
      </c>
      <c r="E179" s="28">
        <v>0.42349289634896597</v>
      </c>
      <c r="F179" s="29">
        <f t="shared" ca="1" si="25"/>
        <v>1460.6</v>
      </c>
      <c r="G179" s="29">
        <f t="shared" si="26"/>
        <v>54.751099550169201</v>
      </c>
      <c r="H179" s="24">
        <f t="shared" si="27"/>
        <v>5</v>
      </c>
      <c r="I179" s="24">
        <f t="shared" si="28"/>
        <v>0</v>
      </c>
      <c r="J179" s="24">
        <f t="shared" si="24"/>
        <v>0</v>
      </c>
      <c r="K179" s="25" t="str">
        <f t="shared" si="30"/>
        <v/>
      </c>
      <c r="L179" s="25" t="e">
        <f t="shared" si="31"/>
        <v>#VALUE!</v>
      </c>
      <c r="M179" s="28" t="str">
        <f t="shared" si="32"/>
        <v/>
      </c>
      <c r="N179" s="28" t="str">
        <f t="shared" si="33"/>
        <v/>
      </c>
      <c r="O179" s="31" t="str">
        <f t="shared" si="34"/>
        <v/>
      </c>
      <c r="P179" s="31" t="str">
        <f t="shared" si="35"/>
        <v/>
      </c>
      <c r="W179" s="25">
        <v>40529</v>
      </c>
      <c r="X179" s="24">
        <v>2319.9</v>
      </c>
      <c r="AA179" s="25">
        <v>41774</v>
      </c>
      <c r="AB179">
        <v>0.54751099550169202</v>
      </c>
      <c r="AC179" s="24">
        <f t="shared" si="29"/>
        <v>54.751099550169201</v>
      </c>
    </row>
    <row r="180" spans="3:29">
      <c r="C180" s="25">
        <v>41781</v>
      </c>
      <c r="D180" s="28">
        <v>0.44799454346559853</v>
      </c>
      <c r="E180" s="28">
        <v>0.44562837110466802</v>
      </c>
      <c r="F180" s="29">
        <f t="shared" ca="1" si="25"/>
        <v>1453.4</v>
      </c>
      <c r="G180" s="29">
        <f t="shared" si="26"/>
        <v>60.632082100249399</v>
      </c>
      <c r="H180" s="24">
        <f t="shared" si="27"/>
        <v>5</v>
      </c>
      <c r="I180" s="24">
        <f t="shared" si="28"/>
        <v>0</v>
      </c>
      <c r="J180" s="24">
        <f t="shared" si="24"/>
        <v>0</v>
      </c>
      <c r="K180" s="25" t="str">
        <f t="shared" si="30"/>
        <v/>
      </c>
      <c r="L180" s="25" t="e">
        <f t="shared" si="31"/>
        <v>#VALUE!</v>
      </c>
      <c r="M180" s="28" t="str">
        <f t="shared" si="32"/>
        <v/>
      </c>
      <c r="N180" s="28" t="str">
        <f t="shared" si="33"/>
        <v/>
      </c>
      <c r="O180" s="31" t="str">
        <f t="shared" si="34"/>
        <v/>
      </c>
      <c r="P180" s="31" t="str">
        <f t="shared" si="35"/>
        <v/>
      </c>
      <c r="W180" s="25">
        <v>40536</v>
      </c>
      <c r="X180" s="24">
        <v>2185.5</v>
      </c>
      <c r="AA180" s="25">
        <v>41781</v>
      </c>
      <c r="AB180">
        <v>0.60632082100249396</v>
      </c>
      <c r="AC180" s="24">
        <f t="shared" si="29"/>
        <v>60.632082100249399</v>
      </c>
    </row>
    <row r="181" spans="3:29">
      <c r="C181" s="25">
        <v>41788</v>
      </c>
      <c r="D181" s="28">
        <v>0.46362020494951672</v>
      </c>
      <c r="E181" s="28">
        <v>0.44740081291084099</v>
      </c>
      <c r="F181" s="29">
        <f t="shared" ca="1" si="25"/>
        <v>1382.6</v>
      </c>
      <c r="G181" s="29">
        <f t="shared" si="26"/>
        <v>62.592409617617697</v>
      </c>
      <c r="H181" s="24">
        <f t="shared" si="27"/>
        <v>5</v>
      </c>
      <c r="I181" s="24">
        <f t="shared" si="28"/>
        <v>0</v>
      </c>
      <c r="J181" s="24">
        <f t="shared" si="24"/>
        <v>1</v>
      </c>
      <c r="K181" s="25">
        <f t="shared" si="30"/>
        <v>41790</v>
      </c>
      <c r="L181" s="25">
        <f t="shared" si="31"/>
        <v>41789</v>
      </c>
      <c r="M181" s="28">
        <f t="shared" si="32"/>
        <v>0.46362020494951672</v>
      </c>
      <c r="N181" s="28">
        <f t="shared" si="33"/>
        <v>0.44740081291084099</v>
      </c>
      <c r="O181" s="31">
        <f t="shared" ca="1" si="34"/>
        <v>1382.6</v>
      </c>
      <c r="P181" s="31">
        <f t="shared" si="35"/>
        <v>62.592409617617697</v>
      </c>
      <c r="W181" s="25">
        <v>40543</v>
      </c>
      <c r="X181" s="24">
        <v>2249.6</v>
      </c>
      <c r="AA181" s="25">
        <v>41788</v>
      </c>
      <c r="AB181">
        <v>0.62592409617617695</v>
      </c>
      <c r="AC181" s="24">
        <f t="shared" si="29"/>
        <v>62.592409617617697</v>
      </c>
    </row>
    <row r="182" spans="3:29">
      <c r="C182" s="25">
        <v>41795</v>
      </c>
      <c r="D182" s="28">
        <v>0.46847875373528863</v>
      </c>
      <c r="E182" s="28">
        <v>0.447997908024105</v>
      </c>
      <c r="F182" s="29">
        <f t="shared" ca="1" si="25"/>
        <v>1516.9</v>
      </c>
      <c r="G182" s="29">
        <f t="shared" si="26"/>
        <v>63.896853562838899</v>
      </c>
      <c r="H182" s="24">
        <f t="shared" si="27"/>
        <v>6</v>
      </c>
      <c r="I182" s="24">
        <f t="shared" si="28"/>
        <v>1</v>
      </c>
      <c r="J182" s="24">
        <f t="shared" si="24"/>
        <v>0</v>
      </c>
      <c r="K182" s="25" t="str">
        <f t="shared" si="30"/>
        <v/>
      </c>
      <c r="L182" s="25" t="e">
        <f t="shared" si="31"/>
        <v>#VALUE!</v>
      </c>
      <c r="M182" s="28" t="str">
        <f t="shared" si="32"/>
        <v/>
      </c>
      <c r="N182" s="28" t="str">
        <f t="shared" si="33"/>
        <v/>
      </c>
      <c r="O182" s="31" t="str">
        <f t="shared" si="34"/>
        <v/>
      </c>
      <c r="P182" s="31" t="str">
        <f t="shared" si="35"/>
        <v/>
      </c>
      <c r="W182" s="25">
        <v>40550</v>
      </c>
      <c r="X182" s="24">
        <v>2344.3000000000002</v>
      </c>
      <c r="AA182" s="25">
        <v>41795</v>
      </c>
      <c r="AB182">
        <v>0.63896853562838896</v>
      </c>
      <c r="AC182" s="24">
        <f t="shared" si="29"/>
        <v>63.896853562838899</v>
      </c>
    </row>
    <row r="183" spans="3:29">
      <c r="C183" s="25">
        <v>41802</v>
      </c>
      <c r="D183" s="28">
        <v>0.41096738430920449</v>
      </c>
      <c r="E183" s="28">
        <v>0.42258598579352902</v>
      </c>
      <c r="F183" s="29">
        <f t="shared" ca="1" si="25"/>
        <v>1321.3</v>
      </c>
      <c r="G183" s="29">
        <f t="shared" si="26"/>
        <v>55.549210362357506</v>
      </c>
      <c r="H183" s="24">
        <f t="shared" si="27"/>
        <v>6</v>
      </c>
      <c r="I183" s="24">
        <f t="shared" si="28"/>
        <v>0</v>
      </c>
      <c r="J183" s="24">
        <f t="shared" si="24"/>
        <v>0</v>
      </c>
      <c r="K183" s="25" t="str">
        <f t="shared" si="30"/>
        <v/>
      </c>
      <c r="L183" s="25" t="e">
        <f t="shared" si="31"/>
        <v>#VALUE!</v>
      </c>
      <c r="M183" s="28" t="str">
        <f t="shared" si="32"/>
        <v/>
      </c>
      <c r="N183" s="28" t="str">
        <f t="shared" si="33"/>
        <v/>
      </c>
      <c r="O183" s="31" t="str">
        <f t="shared" si="34"/>
        <v/>
      </c>
      <c r="P183" s="31" t="str">
        <f t="shared" si="35"/>
        <v/>
      </c>
      <c r="W183" s="25">
        <v>40557</v>
      </c>
      <c r="X183" s="24">
        <v>2528.6999999999998</v>
      </c>
      <c r="AA183" s="25">
        <v>41802</v>
      </c>
      <c r="AB183">
        <v>0.55549210362357504</v>
      </c>
      <c r="AC183" s="24">
        <f t="shared" si="29"/>
        <v>55.549210362357506</v>
      </c>
    </row>
    <row r="184" spans="3:29">
      <c r="C184" s="25">
        <v>41809</v>
      </c>
      <c r="D184" s="28">
        <v>0.42635938692148717</v>
      </c>
      <c r="E184" s="28">
        <v>0.42434402519227898</v>
      </c>
      <c r="F184" s="29">
        <f t="shared" ca="1" si="25"/>
        <v>1333.5</v>
      </c>
      <c r="G184" s="29">
        <f t="shared" si="26"/>
        <v>58.495437370634896</v>
      </c>
      <c r="H184" s="24">
        <f t="shared" si="27"/>
        <v>6</v>
      </c>
      <c r="I184" s="24">
        <f t="shared" si="28"/>
        <v>0</v>
      </c>
      <c r="J184" s="24">
        <f t="shared" si="24"/>
        <v>0</v>
      </c>
      <c r="K184" s="25" t="str">
        <f t="shared" si="30"/>
        <v/>
      </c>
      <c r="L184" s="25" t="e">
        <f t="shared" si="31"/>
        <v>#VALUE!</v>
      </c>
      <c r="M184" s="28" t="str">
        <f t="shared" si="32"/>
        <v/>
      </c>
      <c r="N184" s="28" t="str">
        <f t="shared" si="33"/>
        <v/>
      </c>
      <c r="O184" s="31" t="str">
        <f t="shared" si="34"/>
        <v/>
      </c>
      <c r="P184" s="31" t="str">
        <f t="shared" si="35"/>
        <v/>
      </c>
      <c r="W184" s="25">
        <v>40564</v>
      </c>
      <c r="X184" s="24">
        <v>2129.6999999999998</v>
      </c>
      <c r="AA184" s="25">
        <v>41809</v>
      </c>
      <c r="AB184">
        <v>0.58495437370634895</v>
      </c>
      <c r="AC184" s="24">
        <f t="shared" si="29"/>
        <v>58.495437370634896</v>
      </c>
    </row>
    <row r="185" spans="3:29">
      <c r="C185" s="25">
        <v>41816</v>
      </c>
      <c r="D185" s="28">
        <v>0.46847875373528863</v>
      </c>
      <c r="E185" s="28">
        <v>0.447997908024105</v>
      </c>
      <c r="F185" s="29">
        <f t="shared" ca="1" si="25"/>
        <v>1341.8</v>
      </c>
      <c r="G185" s="29">
        <f t="shared" si="26"/>
        <v>63.896853562838899</v>
      </c>
      <c r="H185" s="24">
        <f t="shared" si="27"/>
        <v>6</v>
      </c>
      <c r="I185" s="24">
        <f t="shared" si="28"/>
        <v>0</v>
      </c>
      <c r="J185" s="24">
        <f t="shared" si="24"/>
        <v>1</v>
      </c>
      <c r="K185" s="25">
        <f t="shared" si="30"/>
        <v>41820</v>
      </c>
      <c r="L185" s="25">
        <f t="shared" si="31"/>
        <v>41820</v>
      </c>
      <c r="M185" s="28">
        <f t="shared" si="32"/>
        <v>0.46847875373528863</v>
      </c>
      <c r="N185" s="28">
        <f t="shared" si="33"/>
        <v>0.447997908024105</v>
      </c>
      <c r="O185" s="31">
        <f t="shared" ca="1" si="34"/>
        <v>1341.8</v>
      </c>
      <c r="P185" s="31">
        <f t="shared" si="35"/>
        <v>63.896853562838899</v>
      </c>
      <c r="W185" s="25">
        <v>40571</v>
      </c>
      <c r="X185" s="24">
        <v>2371.1</v>
      </c>
      <c r="AA185" s="25">
        <v>41816</v>
      </c>
      <c r="AB185">
        <v>0.63896853562838896</v>
      </c>
      <c r="AC185" s="24">
        <f t="shared" si="29"/>
        <v>63.896853562838899</v>
      </c>
    </row>
    <row r="186" spans="3:29">
      <c r="C186" s="25">
        <v>41823</v>
      </c>
      <c r="D186" s="28">
        <v>0.48178321750260522</v>
      </c>
      <c r="E186" s="28">
        <v>0.47241973099249801</v>
      </c>
      <c r="F186" s="29">
        <f t="shared" ca="1" si="25"/>
        <v>1346.8</v>
      </c>
      <c r="G186" s="29">
        <f t="shared" si="26"/>
        <v>65.179036375877402</v>
      </c>
      <c r="H186" s="24">
        <f t="shared" si="27"/>
        <v>7</v>
      </c>
      <c r="I186" s="24">
        <f t="shared" si="28"/>
        <v>1</v>
      </c>
      <c r="J186" s="24">
        <f t="shared" si="24"/>
        <v>0</v>
      </c>
      <c r="K186" s="25" t="str">
        <f t="shared" si="30"/>
        <v/>
      </c>
      <c r="L186" s="25" t="e">
        <f t="shared" si="31"/>
        <v>#VALUE!</v>
      </c>
      <c r="M186" s="28" t="str">
        <f t="shared" si="32"/>
        <v/>
      </c>
      <c r="N186" s="28" t="str">
        <f t="shared" si="33"/>
        <v/>
      </c>
      <c r="O186" s="31" t="str">
        <f t="shared" si="34"/>
        <v/>
      </c>
      <c r="P186" s="31" t="str">
        <f t="shared" si="35"/>
        <v/>
      </c>
      <c r="W186" s="25">
        <v>40578</v>
      </c>
      <c r="X186" s="24">
        <v>2190.4</v>
      </c>
      <c r="AA186" s="25">
        <v>41823</v>
      </c>
      <c r="AB186">
        <v>0.65179036375877397</v>
      </c>
      <c r="AC186" s="24">
        <f t="shared" si="29"/>
        <v>65.179036375877402</v>
      </c>
    </row>
    <row r="187" spans="3:29">
      <c r="C187" s="25">
        <v>41830</v>
      </c>
      <c r="D187" s="28">
        <v>0.42147742037560049</v>
      </c>
      <c r="E187" s="28">
        <v>0.41926854513922601</v>
      </c>
      <c r="F187" s="29">
        <f t="shared" ca="1" si="25"/>
        <v>1329.7</v>
      </c>
      <c r="G187" s="29">
        <f t="shared" si="26"/>
        <v>57.320355096680501</v>
      </c>
      <c r="H187" s="24">
        <f t="shared" si="27"/>
        <v>7</v>
      </c>
      <c r="I187" s="24">
        <f t="shared" si="28"/>
        <v>0</v>
      </c>
      <c r="J187" s="24">
        <f t="shared" si="24"/>
        <v>0</v>
      </c>
      <c r="K187" s="25" t="str">
        <f t="shared" si="30"/>
        <v/>
      </c>
      <c r="L187" s="25" t="e">
        <f t="shared" si="31"/>
        <v>#VALUE!</v>
      </c>
      <c r="M187" s="28" t="str">
        <f t="shared" si="32"/>
        <v/>
      </c>
      <c r="N187" s="28" t="str">
        <f t="shared" si="33"/>
        <v/>
      </c>
      <c r="O187" s="31" t="str">
        <f t="shared" si="34"/>
        <v/>
      </c>
      <c r="P187" s="31" t="str">
        <f t="shared" si="35"/>
        <v/>
      </c>
      <c r="W187" s="25">
        <v>40585</v>
      </c>
      <c r="X187" s="24">
        <v>1953.2</v>
      </c>
      <c r="AA187" s="25">
        <v>41830</v>
      </c>
      <c r="AB187">
        <v>0.57320355096680498</v>
      </c>
      <c r="AC187" s="24">
        <f t="shared" si="29"/>
        <v>57.320355096680501</v>
      </c>
    </row>
    <row r="188" spans="3:29">
      <c r="C188" s="25">
        <v>41837</v>
      </c>
      <c r="D188" s="28">
        <v>0.45155296827836544</v>
      </c>
      <c r="E188" s="28">
        <v>0.44241787954298001</v>
      </c>
      <c r="F188" s="29">
        <f t="shared" ca="1" si="25"/>
        <v>1400.7</v>
      </c>
      <c r="G188" s="29">
        <f t="shared" si="26"/>
        <v>61.7408633182961</v>
      </c>
      <c r="H188" s="24">
        <f t="shared" si="27"/>
        <v>7</v>
      </c>
      <c r="I188" s="24">
        <f t="shared" si="28"/>
        <v>0</v>
      </c>
      <c r="J188" s="24">
        <f t="shared" si="24"/>
        <v>0</v>
      </c>
      <c r="K188" s="25" t="str">
        <f t="shared" si="30"/>
        <v/>
      </c>
      <c r="L188" s="25" t="e">
        <f t="shared" si="31"/>
        <v>#VALUE!</v>
      </c>
      <c r="M188" s="28" t="str">
        <f t="shared" si="32"/>
        <v/>
      </c>
      <c r="N188" s="28" t="str">
        <f t="shared" si="33"/>
        <v/>
      </c>
      <c r="O188" s="31" t="str">
        <f t="shared" si="34"/>
        <v/>
      </c>
      <c r="P188" s="31" t="str">
        <f t="shared" si="35"/>
        <v/>
      </c>
      <c r="W188" s="25">
        <v>40592</v>
      </c>
      <c r="X188" s="24">
        <v>2325.3000000000002</v>
      </c>
      <c r="AA188" s="25">
        <v>41837</v>
      </c>
      <c r="AB188">
        <v>0.61740863318296102</v>
      </c>
      <c r="AC188" s="24">
        <f t="shared" si="29"/>
        <v>61.7408633182961</v>
      </c>
    </row>
    <row r="189" spans="3:29">
      <c r="C189" s="25">
        <v>41844</v>
      </c>
      <c r="D189" s="28">
        <v>0.45155296827836544</v>
      </c>
      <c r="E189" s="28">
        <v>0.44241787954298001</v>
      </c>
      <c r="F189" s="29">
        <f t="shared" ca="1" si="25"/>
        <v>1327.5</v>
      </c>
      <c r="G189" s="29">
        <f t="shared" si="26"/>
        <v>61.7408633182961</v>
      </c>
      <c r="H189" s="24">
        <f t="shared" si="27"/>
        <v>7</v>
      </c>
      <c r="I189" s="24">
        <f t="shared" si="28"/>
        <v>0</v>
      </c>
      <c r="J189" s="24">
        <f t="shared" si="24"/>
        <v>0</v>
      </c>
      <c r="K189" s="25" t="str">
        <f t="shared" si="30"/>
        <v/>
      </c>
      <c r="L189" s="25" t="e">
        <f t="shared" si="31"/>
        <v>#VALUE!</v>
      </c>
      <c r="M189" s="28" t="str">
        <f t="shared" si="32"/>
        <v/>
      </c>
      <c r="N189" s="28" t="str">
        <f t="shared" si="33"/>
        <v/>
      </c>
      <c r="O189" s="31" t="str">
        <f t="shared" si="34"/>
        <v/>
      </c>
      <c r="P189" s="31" t="str">
        <f t="shared" si="35"/>
        <v/>
      </c>
      <c r="W189" s="25">
        <v>40599</v>
      </c>
      <c r="X189" s="24">
        <v>2155.5</v>
      </c>
      <c r="AA189" s="25">
        <v>41844</v>
      </c>
      <c r="AB189">
        <v>0.61740863318296102</v>
      </c>
      <c r="AC189" s="24">
        <f t="shared" si="29"/>
        <v>61.7408633182961</v>
      </c>
    </row>
    <row r="190" spans="3:29">
      <c r="C190" s="25">
        <v>41851</v>
      </c>
      <c r="D190" s="28">
        <v>0.45923072088835232</v>
      </c>
      <c r="E190" s="28">
        <v>0.44366576481104603</v>
      </c>
      <c r="F190" s="29">
        <f t="shared" ca="1" si="25"/>
        <v>1373.9</v>
      </c>
      <c r="G190" s="29">
        <f t="shared" si="26"/>
        <v>62.7231984794726</v>
      </c>
      <c r="H190" s="24">
        <f t="shared" si="27"/>
        <v>7</v>
      </c>
      <c r="I190" s="24">
        <f t="shared" si="28"/>
        <v>0</v>
      </c>
      <c r="J190" s="24">
        <f t="shared" si="24"/>
        <v>1</v>
      </c>
      <c r="K190" s="25">
        <f t="shared" si="30"/>
        <v>41851</v>
      </c>
      <c r="L190" s="25">
        <f t="shared" si="31"/>
        <v>41851</v>
      </c>
      <c r="M190" s="28">
        <f t="shared" si="32"/>
        <v>0.45923072088835232</v>
      </c>
      <c r="N190" s="28">
        <f t="shared" si="33"/>
        <v>0.44366576481104603</v>
      </c>
      <c r="O190" s="31">
        <f t="shared" ca="1" si="34"/>
        <v>1373.9</v>
      </c>
      <c r="P190" s="31">
        <f t="shared" si="35"/>
        <v>62.7231984794726</v>
      </c>
      <c r="W190" s="25">
        <v>40606</v>
      </c>
      <c r="X190" s="24">
        <v>2539.4</v>
      </c>
      <c r="AA190" s="25">
        <v>41851</v>
      </c>
      <c r="AB190">
        <v>0.62723198479472597</v>
      </c>
      <c r="AC190" s="24">
        <f t="shared" si="29"/>
        <v>62.7231984794726</v>
      </c>
    </row>
    <row r="191" spans="3:29">
      <c r="C191" s="25">
        <v>41858</v>
      </c>
      <c r="D191" s="28">
        <v>0.42413376349642812</v>
      </c>
      <c r="E191" s="28">
        <v>0.41284557270170602</v>
      </c>
      <c r="F191" s="29">
        <f t="shared" ca="1" si="25"/>
        <v>1342.6</v>
      </c>
      <c r="G191" s="29">
        <f t="shared" si="26"/>
        <v>57.190132816728898</v>
      </c>
      <c r="H191" s="24">
        <f t="shared" si="27"/>
        <v>8</v>
      </c>
      <c r="I191" s="24">
        <f t="shared" si="28"/>
        <v>1</v>
      </c>
      <c r="J191" s="24">
        <f t="shared" si="24"/>
        <v>0</v>
      </c>
      <c r="K191" s="25" t="str">
        <f t="shared" si="30"/>
        <v/>
      </c>
      <c r="L191" s="25" t="e">
        <f t="shared" si="31"/>
        <v>#VALUE!</v>
      </c>
      <c r="M191" s="28" t="str">
        <f t="shared" si="32"/>
        <v/>
      </c>
      <c r="N191" s="28" t="str">
        <f t="shared" si="33"/>
        <v/>
      </c>
      <c r="O191" s="31" t="str">
        <f t="shared" si="34"/>
        <v/>
      </c>
      <c r="P191" s="31" t="str">
        <f t="shared" si="35"/>
        <v/>
      </c>
      <c r="W191" s="25">
        <v>40613</v>
      </c>
      <c r="X191" s="24">
        <v>2563.6</v>
      </c>
      <c r="AA191" s="25">
        <v>41858</v>
      </c>
      <c r="AB191">
        <v>0.571901328167289</v>
      </c>
      <c r="AC191" s="24">
        <f t="shared" si="29"/>
        <v>57.190132816728898</v>
      </c>
    </row>
    <row r="192" spans="3:29">
      <c r="C192" s="25">
        <v>41865</v>
      </c>
      <c r="D192" s="28">
        <v>0.45575254137027688</v>
      </c>
      <c r="E192" s="28">
        <v>0.437009219217877</v>
      </c>
      <c r="F192" s="29">
        <f t="shared" ca="1" si="25"/>
        <v>1404.9</v>
      </c>
      <c r="G192" s="29">
        <f t="shared" si="26"/>
        <v>61.611429578310798</v>
      </c>
      <c r="H192" s="24">
        <f t="shared" si="27"/>
        <v>8</v>
      </c>
      <c r="I192" s="24">
        <f t="shared" si="28"/>
        <v>0</v>
      </c>
      <c r="J192" s="24">
        <f t="shared" si="24"/>
        <v>0</v>
      </c>
      <c r="K192" s="25" t="str">
        <f t="shared" si="30"/>
        <v/>
      </c>
      <c r="L192" s="25" t="e">
        <f t="shared" si="31"/>
        <v>#VALUE!</v>
      </c>
      <c r="M192" s="28" t="str">
        <f t="shared" si="32"/>
        <v/>
      </c>
      <c r="N192" s="28" t="str">
        <f t="shared" si="33"/>
        <v/>
      </c>
      <c r="O192" s="31" t="str">
        <f t="shared" si="34"/>
        <v/>
      </c>
      <c r="P192" s="31" t="str">
        <f t="shared" si="35"/>
        <v/>
      </c>
      <c r="W192" s="25">
        <v>40620</v>
      </c>
      <c r="X192" s="24">
        <v>2620.8000000000002</v>
      </c>
      <c r="AA192" s="25">
        <v>41865</v>
      </c>
      <c r="AB192">
        <v>0.61611429578310795</v>
      </c>
      <c r="AC192" s="24">
        <f t="shared" si="29"/>
        <v>61.611429578310798</v>
      </c>
    </row>
    <row r="193" spans="3:29">
      <c r="C193" s="25">
        <v>41872</v>
      </c>
      <c r="D193" s="28">
        <v>0.49084413664233395</v>
      </c>
      <c r="E193" s="28">
        <v>0.46725416935729103</v>
      </c>
      <c r="F193" s="29">
        <f t="shared" ca="1" si="25"/>
        <v>1439.4</v>
      </c>
      <c r="G193" s="29">
        <f t="shared" si="26"/>
        <v>66.032726328260807</v>
      </c>
      <c r="H193" s="24">
        <f t="shared" si="27"/>
        <v>8</v>
      </c>
      <c r="I193" s="24">
        <f t="shared" si="28"/>
        <v>0</v>
      </c>
      <c r="J193" s="24">
        <f t="shared" si="24"/>
        <v>0</v>
      </c>
      <c r="K193" s="25" t="str">
        <f t="shared" si="30"/>
        <v/>
      </c>
      <c r="L193" s="25" t="e">
        <f t="shared" si="31"/>
        <v>#VALUE!</v>
      </c>
      <c r="M193" s="28" t="str">
        <f t="shared" si="32"/>
        <v/>
      </c>
      <c r="N193" s="28" t="str">
        <f t="shared" si="33"/>
        <v/>
      </c>
      <c r="O193" s="31" t="str">
        <f t="shared" si="34"/>
        <v/>
      </c>
      <c r="P193" s="31" t="str">
        <f t="shared" si="35"/>
        <v/>
      </c>
      <c r="W193" s="25">
        <v>40627</v>
      </c>
      <c r="X193" s="24">
        <v>2350.6999999999998</v>
      </c>
      <c r="AA193" s="25">
        <v>41872</v>
      </c>
      <c r="AB193">
        <v>0.66032726328260805</v>
      </c>
      <c r="AC193" s="24">
        <f t="shared" si="29"/>
        <v>66.032726328260807</v>
      </c>
    </row>
    <row r="194" spans="3:29">
      <c r="C194" s="25">
        <v>41879</v>
      </c>
      <c r="D194" s="28">
        <v>0.49084413664233395</v>
      </c>
      <c r="E194" s="28">
        <v>0.46725416935729103</v>
      </c>
      <c r="F194" s="29">
        <f t="shared" ca="1" si="25"/>
        <v>1436</v>
      </c>
      <c r="G194" s="29">
        <f t="shared" si="26"/>
        <v>66.032726328260807</v>
      </c>
      <c r="H194" s="24">
        <f t="shared" si="27"/>
        <v>8</v>
      </c>
      <c r="I194" s="24">
        <f t="shared" si="28"/>
        <v>0</v>
      </c>
      <c r="J194" s="24">
        <f t="shared" si="24"/>
        <v>1</v>
      </c>
      <c r="K194" s="25">
        <f t="shared" si="30"/>
        <v>41882</v>
      </c>
      <c r="L194" s="25">
        <f t="shared" si="31"/>
        <v>41880</v>
      </c>
      <c r="M194" s="28">
        <f t="shared" si="32"/>
        <v>0.49084413664233395</v>
      </c>
      <c r="N194" s="28">
        <f t="shared" si="33"/>
        <v>0.46725416935729103</v>
      </c>
      <c r="O194" s="31">
        <f t="shared" ca="1" si="34"/>
        <v>1436</v>
      </c>
      <c r="P194" s="31">
        <f t="shared" si="35"/>
        <v>66.032726328260807</v>
      </c>
      <c r="W194" s="25">
        <v>40634</v>
      </c>
      <c r="X194" s="24">
        <v>2194.4</v>
      </c>
      <c r="AA194" s="25">
        <v>41879</v>
      </c>
      <c r="AB194">
        <v>0.66032726328260805</v>
      </c>
      <c r="AC194" s="24">
        <f t="shared" si="29"/>
        <v>66.032726328260807</v>
      </c>
    </row>
    <row r="195" spans="3:29">
      <c r="C195" s="25">
        <v>41886</v>
      </c>
      <c r="D195" s="28">
        <v>0.4873264191007175</v>
      </c>
      <c r="E195" s="28">
        <v>0.46145357757128402</v>
      </c>
      <c r="F195" s="29">
        <f t="shared" ca="1" si="25"/>
        <v>1275.8</v>
      </c>
      <c r="G195" s="29">
        <f t="shared" si="26"/>
        <v>65.039169208701992</v>
      </c>
      <c r="H195" s="24">
        <f t="shared" si="27"/>
        <v>9</v>
      </c>
      <c r="I195" s="24">
        <f t="shared" si="28"/>
        <v>1</v>
      </c>
      <c r="J195" s="24">
        <f t="shared" si="24"/>
        <v>0</v>
      </c>
      <c r="K195" s="25" t="str">
        <f t="shared" si="30"/>
        <v/>
      </c>
      <c r="L195" s="25" t="e">
        <f t="shared" si="31"/>
        <v>#VALUE!</v>
      </c>
      <c r="M195" s="28" t="str">
        <f t="shared" si="32"/>
        <v/>
      </c>
      <c r="N195" s="28" t="str">
        <f t="shared" si="33"/>
        <v/>
      </c>
      <c r="O195" s="31" t="str">
        <f t="shared" si="34"/>
        <v/>
      </c>
      <c r="P195" s="31" t="str">
        <f t="shared" si="35"/>
        <v/>
      </c>
      <c r="W195" s="25">
        <v>40641</v>
      </c>
      <c r="X195" s="24">
        <v>2010.6</v>
      </c>
      <c r="AA195" s="25">
        <v>41886</v>
      </c>
      <c r="AB195">
        <v>0.65039169208701997</v>
      </c>
      <c r="AC195" s="24">
        <f t="shared" si="29"/>
        <v>65.039169208701992</v>
      </c>
    </row>
    <row r="196" spans="3:29">
      <c r="C196" s="25">
        <v>41893</v>
      </c>
      <c r="D196" s="28">
        <v>0.4741591952243816</v>
      </c>
      <c r="E196" s="28">
        <v>0.45995272695767497</v>
      </c>
      <c r="F196" s="29">
        <f t="shared" ca="1" si="25"/>
        <v>1398.4</v>
      </c>
      <c r="G196" s="29">
        <f t="shared" si="26"/>
        <v>63.073939601436798</v>
      </c>
      <c r="H196" s="24">
        <f t="shared" si="27"/>
        <v>9</v>
      </c>
      <c r="I196" s="24">
        <f t="shared" si="28"/>
        <v>0</v>
      </c>
      <c r="J196" s="24">
        <f t="shared" ref="J196:J236" si="36">I197</f>
        <v>0</v>
      </c>
      <c r="K196" s="25" t="str">
        <f t="shared" si="30"/>
        <v/>
      </c>
      <c r="L196" s="25" t="e">
        <f t="shared" si="31"/>
        <v>#VALUE!</v>
      </c>
      <c r="M196" s="28" t="str">
        <f t="shared" si="32"/>
        <v/>
      </c>
      <c r="N196" s="28" t="str">
        <f t="shared" si="33"/>
        <v/>
      </c>
      <c r="O196" s="31" t="str">
        <f t="shared" si="34"/>
        <v/>
      </c>
      <c r="P196" s="31" t="str">
        <f t="shared" si="35"/>
        <v/>
      </c>
      <c r="W196" s="25">
        <v>40648</v>
      </c>
      <c r="X196" s="24">
        <v>2065.3000000000002</v>
      </c>
      <c r="AA196" s="25">
        <v>41893</v>
      </c>
      <c r="AB196">
        <v>0.63073939601436801</v>
      </c>
      <c r="AC196" s="24">
        <f t="shared" si="29"/>
        <v>63.073939601436798</v>
      </c>
    </row>
    <row r="197" spans="3:29">
      <c r="C197" s="25">
        <v>41900</v>
      </c>
      <c r="D197" s="28">
        <v>0.3981672862675662</v>
      </c>
      <c r="E197" s="28">
        <v>0.403775681059653</v>
      </c>
      <c r="F197" s="29">
        <f t="shared" ref="F197:F235" ca="1" si="37">VLOOKUP(C197+1,W:X,2,0)</f>
        <v>1335.1</v>
      </c>
      <c r="G197" s="29">
        <f t="shared" ref="G197:G236" si="38">VLOOKUP(C197,AA:AC,3,0)</f>
        <v>52.265176738349098</v>
      </c>
      <c r="H197" s="24">
        <f t="shared" ref="H197:H236" si="39">MONTH(C197)</f>
        <v>9</v>
      </c>
      <c r="I197" s="24">
        <f t="shared" ref="I197:I236" si="40">IF(H197=H196,0,1)</f>
        <v>0</v>
      </c>
      <c r="J197" s="24">
        <f t="shared" si="36"/>
        <v>0</v>
      </c>
      <c r="K197" s="25" t="str">
        <f t="shared" si="30"/>
        <v/>
      </c>
      <c r="L197" s="25" t="e">
        <f t="shared" si="31"/>
        <v>#VALUE!</v>
      </c>
      <c r="M197" s="28" t="str">
        <f t="shared" si="32"/>
        <v/>
      </c>
      <c r="N197" s="28" t="str">
        <f t="shared" si="33"/>
        <v/>
      </c>
      <c r="O197" s="31" t="str">
        <f t="shared" si="34"/>
        <v/>
      </c>
      <c r="P197" s="31" t="str">
        <f t="shared" si="35"/>
        <v/>
      </c>
      <c r="W197" s="25">
        <v>40655</v>
      </c>
      <c r="X197" s="24">
        <v>2091.4</v>
      </c>
      <c r="AA197" s="25">
        <v>41900</v>
      </c>
      <c r="AB197">
        <v>0.52265176738349095</v>
      </c>
      <c r="AC197" s="24">
        <f t="shared" ref="AC197:AC237" si="41">AB197*100</f>
        <v>52.265176738349098</v>
      </c>
    </row>
    <row r="198" spans="3:29">
      <c r="C198" s="25">
        <v>41907</v>
      </c>
      <c r="D198" s="28">
        <v>0.41373230170663788</v>
      </c>
      <c r="E198" s="28">
        <v>0.40569534905697002</v>
      </c>
      <c r="F198" s="29">
        <f t="shared" ca="1" si="37"/>
        <v>1326.2</v>
      </c>
      <c r="G198" s="29">
        <f t="shared" si="38"/>
        <v>55.213021151995001</v>
      </c>
      <c r="H198" s="24">
        <f t="shared" si="39"/>
        <v>9</v>
      </c>
      <c r="I198" s="24">
        <f t="shared" si="40"/>
        <v>0</v>
      </c>
      <c r="J198" s="24">
        <f t="shared" si="36"/>
        <v>1</v>
      </c>
      <c r="K198" s="25">
        <f t="shared" si="30"/>
        <v>41912</v>
      </c>
      <c r="L198" s="25">
        <f t="shared" si="31"/>
        <v>41912</v>
      </c>
      <c r="M198" s="28">
        <f t="shared" si="32"/>
        <v>0.41373230170663788</v>
      </c>
      <c r="N198" s="28">
        <f t="shared" si="33"/>
        <v>0.40569534905697002</v>
      </c>
      <c r="O198" s="31">
        <f t="shared" ca="1" si="34"/>
        <v>1326.2</v>
      </c>
      <c r="P198" s="31">
        <f t="shared" si="35"/>
        <v>55.213021151995001</v>
      </c>
      <c r="W198" s="25">
        <v>40662</v>
      </c>
      <c r="X198" s="24">
        <v>2220.1</v>
      </c>
      <c r="AA198" s="25">
        <v>41907</v>
      </c>
      <c r="AB198">
        <v>0.55213021151995001</v>
      </c>
      <c r="AC198" s="24">
        <f t="shared" si="41"/>
        <v>55.213021151995001</v>
      </c>
    </row>
    <row r="199" spans="3:29">
      <c r="C199" s="25">
        <v>41914</v>
      </c>
      <c r="D199" s="28">
        <v>0.43232059685066798</v>
      </c>
      <c r="E199" s="28">
        <v>0.419925946793896</v>
      </c>
      <c r="F199" s="29">
        <f t="shared" ca="1" si="37"/>
        <v>1387.1</v>
      </c>
      <c r="G199" s="29">
        <f t="shared" si="38"/>
        <v>56.710197052314705</v>
      </c>
      <c r="H199" s="24">
        <f t="shared" si="39"/>
        <v>10</v>
      </c>
      <c r="I199" s="24">
        <f t="shared" si="40"/>
        <v>1</v>
      </c>
      <c r="J199" s="24">
        <f t="shared" si="36"/>
        <v>0</v>
      </c>
      <c r="K199" s="25" t="str">
        <f t="shared" si="30"/>
        <v/>
      </c>
      <c r="L199" s="25" t="e">
        <f t="shared" si="31"/>
        <v>#VALUE!</v>
      </c>
      <c r="M199" s="28" t="str">
        <f t="shared" si="32"/>
        <v/>
      </c>
      <c r="N199" s="28" t="str">
        <f t="shared" si="33"/>
        <v/>
      </c>
      <c r="O199" s="31" t="str">
        <f t="shared" si="34"/>
        <v/>
      </c>
      <c r="P199" s="31" t="str">
        <f t="shared" si="35"/>
        <v/>
      </c>
      <c r="W199" s="25">
        <v>40669</v>
      </c>
      <c r="X199" s="24">
        <v>2414.9</v>
      </c>
      <c r="AA199" s="25">
        <v>41914</v>
      </c>
      <c r="AB199">
        <v>0.56710197052314704</v>
      </c>
      <c r="AC199" s="24">
        <f t="shared" si="41"/>
        <v>56.710197052314705</v>
      </c>
    </row>
    <row r="200" spans="3:29">
      <c r="C200" s="25">
        <v>41921</v>
      </c>
      <c r="D200" s="28">
        <v>0.47165449273347226</v>
      </c>
      <c r="E200" s="28">
        <v>0.45168042618119703</v>
      </c>
      <c r="F200" s="29">
        <f t="shared" ca="1" si="37"/>
        <v>1560.6</v>
      </c>
      <c r="G200" s="29">
        <f t="shared" si="38"/>
        <v>61.125547549566804</v>
      </c>
      <c r="H200" s="24">
        <f t="shared" si="39"/>
        <v>10</v>
      </c>
      <c r="I200" s="24">
        <f t="shared" si="40"/>
        <v>0</v>
      </c>
      <c r="J200" s="24">
        <f t="shared" si="36"/>
        <v>0</v>
      </c>
      <c r="K200" s="25" t="str">
        <f t="shared" ref="K200:K236" si="42">IF(J200=1,EOMONTH(C200,0),"")</f>
        <v/>
      </c>
      <c r="L200" s="25" t="e">
        <f t="shared" ref="L200:L236" si="43">IF(WEEKDAY(K200,2)=6,K200-1,IF(WEEKDAY(K200,2)=7,K200-2,IF(J200=1,K200,"")))</f>
        <v>#VALUE!</v>
      </c>
      <c r="M200" s="28" t="str">
        <f t="shared" ref="M200:M236" si="44">IF(J200=1,D200,"")</f>
        <v/>
      </c>
      <c r="N200" s="28" t="str">
        <f t="shared" ref="N200:N236" si="45">IF($J200=1,E200,"")</f>
        <v/>
      </c>
      <c r="O200" s="31" t="str">
        <f t="shared" ref="O200:O236" si="46">IF($J200=1,F200,"")</f>
        <v/>
      </c>
      <c r="P200" s="31" t="str">
        <f t="shared" ref="P200:P236" si="47">IF($J200=1,G200,"")</f>
        <v/>
      </c>
      <c r="W200" s="25">
        <v>40676</v>
      </c>
      <c r="X200" s="24">
        <v>2742.2</v>
      </c>
      <c r="AA200" s="25">
        <v>41921</v>
      </c>
      <c r="AB200">
        <v>0.61125547549566805</v>
      </c>
      <c r="AC200" s="24">
        <f t="shared" si="41"/>
        <v>61.125547549566804</v>
      </c>
    </row>
    <row r="201" spans="3:29">
      <c r="C201" s="25">
        <v>41928</v>
      </c>
      <c r="D201" s="28">
        <v>0.57517284737260799</v>
      </c>
      <c r="E201" s="28">
        <v>0.51982909302980596</v>
      </c>
      <c r="F201" s="29">
        <f t="shared" ca="1" si="37"/>
        <v>1898.2</v>
      </c>
      <c r="G201" s="29">
        <f t="shared" si="38"/>
        <v>75.843382517093403</v>
      </c>
      <c r="H201" s="24">
        <f t="shared" si="39"/>
        <v>10</v>
      </c>
      <c r="I201" s="24">
        <f t="shared" si="40"/>
        <v>0</v>
      </c>
      <c r="J201" s="24">
        <f t="shared" si="36"/>
        <v>0</v>
      </c>
      <c r="K201" s="25" t="str">
        <f t="shared" si="42"/>
        <v/>
      </c>
      <c r="L201" s="25" t="e">
        <f t="shared" si="43"/>
        <v>#VALUE!</v>
      </c>
      <c r="M201" s="28" t="str">
        <f t="shared" si="44"/>
        <v/>
      </c>
      <c r="N201" s="28" t="str">
        <f t="shared" si="45"/>
        <v/>
      </c>
      <c r="O201" s="31" t="str">
        <f t="shared" si="46"/>
        <v/>
      </c>
      <c r="P201" s="31" t="str">
        <f t="shared" si="47"/>
        <v/>
      </c>
      <c r="W201" s="25">
        <v>40683</v>
      </c>
      <c r="X201" s="24">
        <v>2764.6</v>
      </c>
      <c r="AA201" s="25">
        <v>41928</v>
      </c>
      <c r="AB201">
        <v>0.75843382517093405</v>
      </c>
      <c r="AC201" s="24">
        <f t="shared" si="41"/>
        <v>75.843382517093403</v>
      </c>
    </row>
    <row r="202" spans="3:29">
      <c r="C202" s="25">
        <v>41935</v>
      </c>
      <c r="D202" s="28">
        <v>0.58745733896979668</v>
      </c>
      <c r="E202" s="28">
        <v>0.54838604953283498</v>
      </c>
      <c r="F202" s="29">
        <f t="shared" ca="1" si="37"/>
        <v>1713.6</v>
      </c>
      <c r="G202" s="29">
        <f t="shared" si="38"/>
        <v>80.749327503673598</v>
      </c>
      <c r="H202" s="24">
        <f t="shared" si="39"/>
        <v>10</v>
      </c>
      <c r="I202" s="24">
        <f t="shared" si="40"/>
        <v>0</v>
      </c>
      <c r="J202" s="24">
        <f t="shared" si="36"/>
        <v>0</v>
      </c>
      <c r="K202" s="25" t="str">
        <f t="shared" si="42"/>
        <v/>
      </c>
      <c r="L202" s="25" t="e">
        <f t="shared" si="43"/>
        <v>#VALUE!</v>
      </c>
      <c r="M202" s="28" t="str">
        <f t="shared" si="44"/>
        <v/>
      </c>
      <c r="N202" s="28" t="str">
        <f t="shared" si="45"/>
        <v/>
      </c>
      <c r="O202" s="31" t="str">
        <f t="shared" si="46"/>
        <v/>
      </c>
      <c r="P202" s="31" t="str">
        <f t="shared" si="47"/>
        <v/>
      </c>
      <c r="W202" s="25">
        <v>40690</v>
      </c>
      <c r="X202" s="24">
        <v>2619.6999999999998</v>
      </c>
      <c r="AA202" s="25">
        <v>41935</v>
      </c>
      <c r="AB202">
        <v>0.80749327503673596</v>
      </c>
      <c r="AC202" s="24">
        <f t="shared" si="41"/>
        <v>80.749327503673598</v>
      </c>
    </row>
    <row r="203" spans="3:29">
      <c r="C203" s="25">
        <v>41942</v>
      </c>
      <c r="D203" s="28">
        <v>0.57181297396619646</v>
      </c>
      <c r="E203" s="28">
        <v>0.519221652370358</v>
      </c>
      <c r="F203" s="29">
        <f t="shared" ca="1" si="37"/>
        <v>1604.8</v>
      </c>
      <c r="G203" s="29">
        <f t="shared" si="38"/>
        <v>74.862193519776895</v>
      </c>
      <c r="H203" s="24">
        <f t="shared" si="39"/>
        <v>10</v>
      </c>
      <c r="I203" s="24">
        <f t="shared" si="40"/>
        <v>0</v>
      </c>
      <c r="J203" s="24">
        <f t="shared" si="36"/>
        <v>1</v>
      </c>
      <c r="K203" s="25">
        <f t="shared" si="42"/>
        <v>41943</v>
      </c>
      <c r="L203" s="25">
        <f t="shared" si="43"/>
        <v>41943</v>
      </c>
      <c r="M203" s="28">
        <f t="shared" si="44"/>
        <v>0.57181297396619646</v>
      </c>
      <c r="N203" s="28">
        <f t="shared" si="45"/>
        <v>0.519221652370358</v>
      </c>
      <c r="O203" s="31">
        <f t="shared" ca="1" si="46"/>
        <v>1604.8</v>
      </c>
      <c r="P203" s="31">
        <f t="shared" si="47"/>
        <v>74.862193519776895</v>
      </c>
      <c r="W203" s="25">
        <v>40697</v>
      </c>
      <c r="X203" s="24">
        <v>2648</v>
      </c>
      <c r="AA203" s="25">
        <v>41942</v>
      </c>
      <c r="AB203">
        <v>0.74862193519776898</v>
      </c>
      <c r="AC203" s="24">
        <f t="shared" si="41"/>
        <v>74.862193519776895</v>
      </c>
    </row>
    <row r="204" spans="3:29">
      <c r="C204" s="25">
        <v>41949</v>
      </c>
      <c r="D204" s="28">
        <v>0.54857982917990311</v>
      </c>
      <c r="E204" s="28">
        <v>0.47679161148246502</v>
      </c>
      <c r="F204" s="29">
        <f t="shared" ca="1" si="37"/>
        <v>1565.3</v>
      </c>
      <c r="G204" s="29">
        <f t="shared" si="38"/>
        <v>68.940327367812301</v>
      </c>
      <c r="H204" s="24">
        <f t="shared" si="39"/>
        <v>11</v>
      </c>
      <c r="I204" s="24">
        <f t="shared" si="40"/>
        <v>1</v>
      </c>
      <c r="J204" s="24">
        <f t="shared" si="36"/>
        <v>0</v>
      </c>
      <c r="K204" s="25" t="str">
        <f t="shared" si="42"/>
        <v/>
      </c>
      <c r="L204" s="25" t="e">
        <f t="shared" si="43"/>
        <v>#VALUE!</v>
      </c>
      <c r="M204" s="28" t="str">
        <f t="shared" si="44"/>
        <v/>
      </c>
      <c r="N204" s="28" t="str">
        <f t="shared" si="45"/>
        <v/>
      </c>
      <c r="O204" s="31" t="str">
        <f t="shared" si="46"/>
        <v/>
      </c>
      <c r="P204" s="31" t="str">
        <f t="shared" si="47"/>
        <v/>
      </c>
      <c r="W204" s="25">
        <v>40704</v>
      </c>
      <c r="X204" s="24">
        <v>3101.7</v>
      </c>
      <c r="AA204" s="25">
        <v>41949</v>
      </c>
      <c r="AB204">
        <v>0.68940327367812304</v>
      </c>
      <c r="AC204" s="24">
        <f t="shared" si="41"/>
        <v>68.940327367812301</v>
      </c>
    </row>
    <row r="205" spans="3:29">
      <c r="C205" s="25">
        <v>41956</v>
      </c>
      <c r="D205" s="28">
        <v>0.55497671209744126</v>
      </c>
      <c r="E205" s="28">
        <v>0.47696082053878203</v>
      </c>
      <c r="F205" s="29">
        <f t="shared" ca="1" si="37"/>
        <v>1563.2</v>
      </c>
      <c r="G205" s="29">
        <f t="shared" si="38"/>
        <v>69.9197647457122</v>
      </c>
      <c r="H205" s="24">
        <f t="shared" si="39"/>
        <v>11</v>
      </c>
      <c r="I205" s="24">
        <f t="shared" si="40"/>
        <v>0</v>
      </c>
      <c r="J205" s="24">
        <f t="shared" si="36"/>
        <v>0</v>
      </c>
      <c r="K205" s="25" t="str">
        <f t="shared" si="42"/>
        <v/>
      </c>
      <c r="L205" s="25" t="e">
        <f t="shared" si="43"/>
        <v>#VALUE!</v>
      </c>
      <c r="M205" s="28" t="str">
        <f t="shared" si="44"/>
        <v/>
      </c>
      <c r="N205" s="28" t="str">
        <f t="shared" si="45"/>
        <v/>
      </c>
      <c r="O205" s="31" t="str">
        <f t="shared" si="46"/>
        <v/>
      </c>
      <c r="P205" s="31" t="str">
        <f t="shared" si="47"/>
        <v/>
      </c>
      <c r="W205" s="25">
        <v>40711</v>
      </c>
      <c r="X205" s="24">
        <v>2857.9</v>
      </c>
      <c r="AA205" s="25">
        <v>41956</v>
      </c>
      <c r="AB205">
        <v>0.69919764745712198</v>
      </c>
      <c r="AC205" s="24">
        <f t="shared" si="41"/>
        <v>69.9197647457122</v>
      </c>
    </row>
    <row r="206" spans="3:29">
      <c r="C206" s="25">
        <v>41963</v>
      </c>
      <c r="D206" s="28">
        <v>0.56606721089043732</v>
      </c>
      <c r="E206" s="28">
        <v>0.51126312077979097</v>
      </c>
      <c r="F206" s="29">
        <f t="shared" ca="1" si="37"/>
        <v>1547.9</v>
      </c>
      <c r="G206" s="29">
        <f t="shared" si="38"/>
        <v>71.878639501515991</v>
      </c>
      <c r="H206" s="24">
        <f t="shared" si="39"/>
        <v>11</v>
      </c>
      <c r="I206" s="24">
        <f t="shared" si="40"/>
        <v>0</v>
      </c>
      <c r="J206" s="24">
        <f t="shared" si="36"/>
        <v>0</v>
      </c>
      <c r="K206" s="25" t="str">
        <f t="shared" si="42"/>
        <v/>
      </c>
      <c r="L206" s="25" t="e">
        <f t="shared" si="43"/>
        <v>#VALUE!</v>
      </c>
      <c r="M206" s="28" t="str">
        <f t="shared" si="44"/>
        <v/>
      </c>
      <c r="N206" s="28" t="str">
        <f t="shared" si="45"/>
        <v/>
      </c>
      <c r="O206" s="31" t="str">
        <f t="shared" si="46"/>
        <v/>
      </c>
      <c r="P206" s="31" t="str">
        <f t="shared" si="47"/>
        <v/>
      </c>
      <c r="W206" s="25">
        <v>40718</v>
      </c>
      <c r="X206" s="24">
        <v>2809.5</v>
      </c>
      <c r="AA206" s="25">
        <v>41963</v>
      </c>
      <c r="AB206">
        <v>0.71878639501515995</v>
      </c>
      <c r="AC206" s="24">
        <f t="shared" si="41"/>
        <v>71.878639501515991</v>
      </c>
    </row>
    <row r="207" spans="3:29">
      <c r="C207" s="25">
        <v>41969</v>
      </c>
      <c r="D207" s="28">
        <v>0.57290983086857539</v>
      </c>
      <c r="E207" s="28">
        <v>0.51222876537846296</v>
      </c>
      <c r="F207" s="29">
        <f ca="1">VLOOKUP(C207+2,W:X,2,0)</f>
        <v>1366.6</v>
      </c>
      <c r="G207" s="29">
        <f t="shared" si="38"/>
        <v>73.837514257320407</v>
      </c>
      <c r="H207" s="24">
        <f t="shared" si="39"/>
        <v>11</v>
      </c>
      <c r="I207" s="24">
        <f t="shared" si="40"/>
        <v>0</v>
      </c>
      <c r="J207" s="24">
        <f t="shared" si="36"/>
        <v>1</v>
      </c>
      <c r="K207" s="25">
        <f t="shared" si="42"/>
        <v>41973</v>
      </c>
      <c r="L207" s="25">
        <f t="shared" si="43"/>
        <v>41971</v>
      </c>
      <c r="M207" s="28">
        <f t="shared" si="44"/>
        <v>0.57290983086857539</v>
      </c>
      <c r="N207" s="28">
        <f t="shared" si="45"/>
        <v>0.51222876537846296</v>
      </c>
      <c r="O207" s="31">
        <f t="shared" ca="1" si="46"/>
        <v>1366.6</v>
      </c>
      <c r="P207" s="31">
        <f t="shared" si="47"/>
        <v>73.837514257320407</v>
      </c>
      <c r="W207" s="25">
        <v>40725</v>
      </c>
      <c r="X207" s="24">
        <v>2527.5</v>
      </c>
      <c r="AA207" s="25">
        <v>41969</v>
      </c>
      <c r="AB207">
        <v>0.73837514257320402</v>
      </c>
      <c r="AC207" s="24">
        <f t="shared" si="41"/>
        <v>73.837514257320407</v>
      </c>
    </row>
    <row r="208" spans="3:29">
      <c r="C208" s="25">
        <v>41977</v>
      </c>
      <c r="D208" s="28">
        <v>0.59279776197128353</v>
      </c>
      <c r="E208" s="28">
        <v>0.53685925114667898</v>
      </c>
      <c r="F208" s="29">
        <f t="shared" ca="1" si="37"/>
        <v>1548.6</v>
      </c>
      <c r="G208" s="29">
        <f t="shared" si="38"/>
        <v>79.936605938018303</v>
      </c>
      <c r="H208" s="24">
        <f t="shared" si="39"/>
        <v>12</v>
      </c>
      <c r="I208" s="24">
        <f t="shared" si="40"/>
        <v>1</v>
      </c>
      <c r="J208" s="24">
        <f t="shared" si="36"/>
        <v>0</v>
      </c>
      <c r="K208" s="25" t="str">
        <f t="shared" si="42"/>
        <v/>
      </c>
      <c r="L208" s="25" t="e">
        <f t="shared" si="43"/>
        <v>#VALUE!</v>
      </c>
      <c r="M208" s="28" t="str">
        <f t="shared" si="44"/>
        <v/>
      </c>
      <c r="N208" s="28" t="str">
        <f t="shared" si="45"/>
        <v/>
      </c>
      <c r="O208" s="31" t="str">
        <f t="shared" si="46"/>
        <v/>
      </c>
      <c r="P208" s="31" t="str">
        <f t="shared" si="47"/>
        <v/>
      </c>
      <c r="W208" s="25">
        <v>40732</v>
      </c>
      <c r="X208" s="24">
        <v>2362.6999999999998</v>
      </c>
      <c r="AA208" s="25">
        <v>41977</v>
      </c>
      <c r="AB208">
        <v>0.79936605938018301</v>
      </c>
      <c r="AC208" s="24">
        <f t="shared" si="41"/>
        <v>79.936605938018303</v>
      </c>
    </row>
    <row r="209" spans="3:29">
      <c r="C209" s="25">
        <v>41984</v>
      </c>
      <c r="D209" s="28">
        <v>0.5786710507683992</v>
      </c>
      <c r="E209" s="28">
        <v>0.53353274326337596</v>
      </c>
      <c r="F209" s="29">
        <f t="shared" ca="1" si="37"/>
        <v>1518.8</v>
      </c>
      <c r="G209" s="29">
        <f t="shared" si="38"/>
        <v>76.024613604356489</v>
      </c>
      <c r="H209" s="24">
        <f t="shared" si="39"/>
        <v>12</v>
      </c>
      <c r="I209" s="24">
        <f t="shared" si="40"/>
        <v>0</v>
      </c>
      <c r="J209" s="24">
        <f t="shared" si="36"/>
        <v>0</v>
      </c>
      <c r="K209" s="25" t="str">
        <f t="shared" si="42"/>
        <v/>
      </c>
      <c r="L209" s="25" t="e">
        <f t="shared" si="43"/>
        <v>#VALUE!</v>
      </c>
      <c r="M209" s="28" t="str">
        <f t="shared" si="44"/>
        <v/>
      </c>
      <c r="N209" s="28" t="str">
        <f t="shared" si="45"/>
        <v/>
      </c>
      <c r="O209" s="31" t="str">
        <f t="shared" si="46"/>
        <v/>
      </c>
      <c r="P209" s="31" t="str">
        <f t="shared" si="47"/>
        <v/>
      </c>
      <c r="W209" s="25">
        <v>40739</v>
      </c>
      <c r="X209" s="24">
        <v>2923.8</v>
      </c>
      <c r="AA209" s="25">
        <v>41984</v>
      </c>
      <c r="AB209">
        <v>0.76024613604356495</v>
      </c>
      <c r="AC209" s="24">
        <f t="shared" si="41"/>
        <v>76.024613604356489</v>
      </c>
    </row>
    <row r="210" spans="3:29">
      <c r="C210" s="25">
        <v>41991</v>
      </c>
      <c r="D210" s="28">
        <v>0.6155496963810797</v>
      </c>
      <c r="E210" s="28">
        <v>0.57447022909045797</v>
      </c>
      <c r="F210" s="29">
        <f t="shared" ca="1" si="37"/>
        <v>1538.7</v>
      </c>
      <c r="G210" s="29">
        <f t="shared" si="38"/>
        <v>86.293593480220892</v>
      </c>
      <c r="H210" s="24">
        <f t="shared" si="39"/>
        <v>12</v>
      </c>
      <c r="I210" s="24">
        <f t="shared" si="40"/>
        <v>0</v>
      </c>
      <c r="J210" s="24">
        <f t="shared" si="36"/>
        <v>0</v>
      </c>
      <c r="K210" s="25" t="str">
        <f t="shared" si="42"/>
        <v/>
      </c>
      <c r="L210" s="25" t="e">
        <f t="shared" si="43"/>
        <v>#VALUE!</v>
      </c>
      <c r="M210" s="28" t="str">
        <f t="shared" si="44"/>
        <v/>
      </c>
      <c r="N210" s="28" t="str">
        <f t="shared" si="45"/>
        <v/>
      </c>
      <c r="O210" s="31" t="str">
        <f t="shared" si="46"/>
        <v/>
      </c>
      <c r="P210" s="31" t="str">
        <f t="shared" si="47"/>
        <v/>
      </c>
      <c r="W210" s="25">
        <v>40746</v>
      </c>
      <c r="X210" s="24">
        <v>2769.6</v>
      </c>
      <c r="AA210" s="25">
        <v>41991</v>
      </c>
      <c r="AB210">
        <v>0.86293593480220898</v>
      </c>
      <c r="AC210" s="24">
        <f t="shared" si="41"/>
        <v>86.293593480220892</v>
      </c>
    </row>
    <row r="211" spans="3:29">
      <c r="C211" s="25">
        <v>41997</v>
      </c>
      <c r="D211" s="28">
        <v>0.60574636223541978</v>
      </c>
      <c r="E211" s="28">
        <v>0.57166642614489205</v>
      </c>
      <c r="F211" s="29">
        <f t="shared" ca="1" si="37"/>
        <v>1164.2</v>
      </c>
      <c r="G211" s="29">
        <f t="shared" si="38"/>
        <v>83.359599229973895</v>
      </c>
      <c r="H211" s="24">
        <f t="shared" si="39"/>
        <v>12</v>
      </c>
      <c r="I211" s="24">
        <f t="shared" si="40"/>
        <v>0</v>
      </c>
      <c r="J211" s="24">
        <f t="shared" si="36"/>
        <v>0</v>
      </c>
      <c r="K211" s="25" t="str">
        <f t="shared" si="42"/>
        <v/>
      </c>
      <c r="L211" s="25" t="e">
        <f t="shared" si="43"/>
        <v>#VALUE!</v>
      </c>
      <c r="M211" s="28" t="str">
        <f t="shared" si="44"/>
        <v/>
      </c>
      <c r="N211" s="28" t="str">
        <f t="shared" si="45"/>
        <v/>
      </c>
      <c r="O211" s="31" t="str">
        <f t="shared" si="46"/>
        <v/>
      </c>
      <c r="P211" s="31" t="str">
        <f t="shared" si="47"/>
        <v/>
      </c>
      <c r="W211" s="25">
        <v>40753</v>
      </c>
      <c r="X211" s="24">
        <v>2974.1</v>
      </c>
      <c r="AA211" s="25">
        <v>41997</v>
      </c>
      <c r="AB211">
        <v>0.83359599229973902</v>
      </c>
      <c r="AC211" s="24">
        <f t="shared" si="41"/>
        <v>83.359599229973895</v>
      </c>
    </row>
    <row r="212" spans="3:29">
      <c r="C212" s="25">
        <v>42004</v>
      </c>
      <c r="D212" s="28">
        <v>0.59072795930158906</v>
      </c>
      <c r="E212" s="28">
        <v>0.53680415412734395</v>
      </c>
      <c r="F212" s="29">
        <f t="shared" ca="1" si="37"/>
        <v>1347.6</v>
      </c>
      <c r="G212" s="29">
        <f t="shared" si="38"/>
        <v>79.447606896310504</v>
      </c>
      <c r="H212" s="24">
        <f t="shared" si="39"/>
        <v>12</v>
      </c>
      <c r="I212" s="24">
        <f t="shared" si="40"/>
        <v>0</v>
      </c>
      <c r="J212" s="24">
        <f t="shared" si="36"/>
        <v>1</v>
      </c>
      <c r="K212" s="25">
        <f t="shared" si="42"/>
        <v>42004</v>
      </c>
      <c r="L212" s="25">
        <f t="shared" si="43"/>
        <v>42004</v>
      </c>
      <c r="M212" s="28">
        <f t="shared" si="44"/>
        <v>0.59072795930158906</v>
      </c>
      <c r="N212" s="28">
        <f t="shared" si="45"/>
        <v>0.53680415412734395</v>
      </c>
      <c r="O212" s="31">
        <f t="shared" ca="1" si="46"/>
        <v>1347.6</v>
      </c>
      <c r="P212" s="31">
        <f t="shared" si="47"/>
        <v>79.447606896310504</v>
      </c>
      <c r="W212" s="25">
        <v>40760</v>
      </c>
      <c r="X212" s="24">
        <v>3880.9</v>
      </c>
      <c r="AA212" s="25">
        <v>42004</v>
      </c>
      <c r="AB212">
        <v>0.79447606896310496</v>
      </c>
      <c r="AC212" s="24">
        <f t="shared" si="41"/>
        <v>79.447606896310504</v>
      </c>
    </row>
    <row r="213" spans="3:29">
      <c r="C213" s="25">
        <v>42012</v>
      </c>
      <c r="D213" s="28">
        <v>0.63580141506138355</v>
      </c>
      <c r="E213" s="28">
        <v>0.59931706558407905</v>
      </c>
      <c r="F213" s="29">
        <f t="shared" ca="1" si="37"/>
        <v>2271.5</v>
      </c>
      <c r="G213" s="29">
        <f t="shared" si="38"/>
        <v>87.478302869632103</v>
      </c>
      <c r="H213" s="24">
        <f t="shared" si="39"/>
        <v>1</v>
      </c>
      <c r="I213" s="24">
        <f t="shared" si="40"/>
        <v>1</v>
      </c>
      <c r="J213" s="24">
        <f t="shared" si="36"/>
        <v>0</v>
      </c>
      <c r="K213" s="25" t="str">
        <f t="shared" si="42"/>
        <v/>
      </c>
      <c r="L213" s="25" t="e">
        <f t="shared" si="43"/>
        <v>#VALUE!</v>
      </c>
      <c r="M213" s="28" t="str">
        <f t="shared" si="44"/>
        <v/>
      </c>
      <c r="N213" s="28" t="str">
        <f t="shared" si="45"/>
        <v/>
      </c>
      <c r="O213" s="31" t="str">
        <f t="shared" si="46"/>
        <v/>
      </c>
      <c r="P213" s="31" t="str">
        <f t="shared" si="47"/>
        <v/>
      </c>
      <c r="W213" s="25">
        <v>40767</v>
      </c>
      <c r="X213" s="24">
        <v>4184.3999999999996</v>
      </c>
      <c r="AA213" s="25">
        <v>42012</v>
      </c>
      <c r="AB213">
        <v>0.87478302869632096</v>
      </c>
      <c r="AC213" s="24">
        <f t="shared" si="41"/>
        <v>87.478302869632103</v>
      </c>
    </row>
    <row r="214" spans="3:29">
      <c r="C214" s="25">
        <v>42019</v>
      </c>
      <c r="D214" s="28">
        <v>0.66264885680249008</v>
      </c>
      <c r="E214" s="28">
        <v>0.65582330233583797</v>
      </c>
      <c r="F214" s="29">
        <f t="shared" ca="1" si="37"/>
        <v>2799.3</v>
      </c>
      <c r="G214" s="29">
        <f t="shared" si="38"/>
        <v>94.432097566956102</v>
      </c>
      <c r="H214" s="24">
        <f t="shared" si="39"/>
        <v>1</v>
      </c>
      <c r="I214" s="24">
        <f t="shared" si="40"/>
        <v>0</v>
      </c>
      <c r="J214" s="24">
        <f t="shared" si="36"/>
        <v>0</v>
      </c>
      <c r="K214" s="25" t="str">
        <f t="shared" si="42"/>
        <v/>
      </c>
      <c r="L214" s="25" t="e">
        <f t="shared" si="43"/>
        <v>#VALUE!</v>
      </c>
      <c r="M214" s="28" t="str">
        <f t="shared" si="44"/>
        <v/>
      </c>
      <c r="N214" s="28" t="str">
        <f t="shared" si="45"/>
        <v/>
      </c>
      <c r="O214" s="31" t="str">
        <f t="shared" si="46"/>
        <v/>
      </c>
      <c r="P214" s="31" t="str">
        <f t="shared" si="47"/>
        <v/>
      </c>
      <c r="W214" s="25">
        <v>40774</v>
      </c>
      <c r="X214" s="24">
        <v>4110.8</v>
      </c>
      <c r="AA214" s="25">
        <v>42019</v>
      </c>
      <c r="AB214">
        <v>0.94432097566956097</v>
      </c>
      <c r="AC214" s="24">
        <f t="shared" si="41"/>
        <v>94.432097566956102</v>
      </c>
    </row>
    <row r="215" spans="3:29">
      <c r="C215" s="25">
        <v>42026</v>
      </c>
      <c r="D215" s="28">
        <v>0.66474126748702123</v>
      </c>
      <c r="E215" s="28">
        <v>0.65720471867066899</v>
      </c>
      <c r="F215" s="29">
        <f t="shared" ca="1" si="37"/>
        <v>2572.3000000000002</v>
      </c>
      <c r="G215" s="29">
        <f t="shared" si="38"/>
        <v>94.928797188192206</v>
      </c>
      <c r="H215" s="24">
        <f t="shared" si="39"/>
        <v>1</v>
      </c>
      <c r="I215" s="24">
        <f t="shared" si="40"/>
        <v>0</v>
      </c>
      <c r="J215" s="24">
        <f t="shared" si="36"/>
        <v>0</v>
      </c>
      <c r="K215" s="25" t="str">
        <f t="shared" si="42"/>
        <v/>
      </c>
      <c r="L215" s="25" t="e">
        <f t="shared" si="43"/>
        <v>#VALUE!</v>
      </c>
      <c r="M215" s="28" t="str">
        <f t="shared" si="44"/>
        <v/>
      </c>
      <c r="N215" s="28" t="str">
        <f t="shared" si="45"/>
        <v/>
      </c>
      <c r="O215" s="31" t="str">
        <f t="shared" si="46"/>
        <v/>
      </c>
      <c r="P215" s="31" t="str">
        <f t="shared" si="47"/>
        <v/>
      </c>
      <c r="W215" s="25">
        <v>40781</v>
      </c>
      <c r="X215" s="24">
        <v>3601.3</v>
      </c>
      <c r="AA215" s="25">
        <v>42026</v>
      </c>
      <c r="AB215">
        <v>0.94928797188192204</v>
      </c>
      <c r="AC215" s="24">
        <f t="shared" si="41"/>
        <v>94.928797188192206</v>
      </c>
    </row>
    <row r="216" spans="3:29">
      <c r="C216" s="25">
        <v>42033</v>
      </c>
      <c r="D216" s="28">
        <v>0.66264885680249008</v>
      </c>
      <c r="E216" s="28">
        <v>0.65582330233583797</v>
      </c>
      <c r="F216" s="29">
        <f t="shared" ca="1" si="37"/>
        <v>2584.8000000000002</v>
      </c>
      <c r="G216" s="29">
        <f t="shared" si="38"/>
        <v>94.432097566956102</v>
      </c>
      <c r="H216" s="24">
        <f t="shared" si="39"/>
        <v>1</v>
      </c>
      <c r="I216" s="24">
        <f t="shared" si="40"/>
        <v>0</v>
      </c>
      <c r="J216" s="24">
        <f t="shared" si="36"/>
        <v>1</v>
      </c>
      <c r="K216" s="25">
        <f t="shared" si="42"/>
        <v>42035</v>
      </c>
      <c r="L216" s="25">
        <f t="shared" si="43"/>
        <v>42034</v>
      </c>
      <c r="M216" s="28">
        <f t="shared" si="44"/>
        <v>0.66264885680249008</v>
      </c>
      <c r="N216" s="28">
        <f t="shared" si="45"/>
        <v>0.65582330233583797</v>
      </c>
      <c r="O216" s="31">
        <f t="shared" ca="1" si="46"/>
        <v>2584.8000000000002</v>
      </c>
      <c r="P216" s="31">
        <f t="shared" si="47"/>
        <v>94.432097566956102</v>
      </c>
      <c r="W216" s="25">
        <v>40788</v>
      </c>
      <c r="X216" s="24">
        <v>3372</v>
      </c>
      <c r="AA216" s="25">
        <v>42033</v>
      </c>
      <c r="AB216">
        <v>0.94432097566956097</v>
      </c>
      <c r="AC216" s="24">
        <f t="shared" si="41"/>
        <v>94.432097566956102</v>
      </c>
    </row>
    <row r="217" spans="3:29">
      <c r="C217" s="25">
        <v>42040</v>
      </c>
      <c r="D217" s="28">
        <v>0.68438167594716182</v>
      </c>
      <c r="E217" s="28">
        <v>0.65455905311871299</v>
      </c>
      <c r="F217" s="29">
        <f t="shared" ca="1" si="37"/>
        <v>2291.3000000000002</v>
      </c>
      <c r="G217" s="29">
        <f t="shared" si="38"/>
        <v>97.467479151222705</v>
      </c>
      <c r="H217" s="24">
        <f t="shared" si="39"/>
        <v>2</v>
      </c>
      <c r="I217" s="24">
        <f t="shared" si="40"/>
        <v>1</v>
      </c>
      <c r="J217" s="24">
        <f t="shared" si="36"/>
        <v>0</v>
      </c>
      <c r="K217" s="25" t="str">
        <f t="shared" si="42"/>
        <v/>
      </c>
      <c r="L217" s="25" t="e">
        <f t="shared" si="43"/>
        <v>#VALUE!</v>
      </c>
      <c r="M217" s="28" t="str">
        <f t="shared" si="44"/>
        <v/>
      </c>
      <c r="N217" s="28" t="str">
        <f t="shared" si="45"/>
        <v/>
      </c>
      <c r="O217" s="31" t="str">
        <f t="shared" si="46"/>
        <v/>
      </c>
      <c r="P217" s="31" t="str">
        <f t="shared" si="47"/>
        <v/>
      </c>
      <c r="W217" s="25">
        <v>40795</v>
      </c>
      <c r="X217" s="24">
        <v>3571.7</v>
      </c>
      <c r="AA217" s="25">
        <v>42040</v>
      </c>
      <c r="AB217">
        <v>0.97467479151222702</v>
      </c>
      <c r="AC217" s="24">
        <f t="shared" si="41"/>
        <v>97.467479151222705</v>
      </c>
    </row>
    <row r="218" spans="3:29">
      <c r="C218" s="25">
        <v>42047</v>
      </c>
      <c r="D218" s="28">
        <v>0.64890841265420796</v>
      </c>
      <c r="E218" s="28">
        <v>0.62719075850631201</v>
      </c>
      <c r="F218" s="29">
        <f t="shared" ca="1" si="37"/>
        <v>1904.2</v>
      </c>
      <c r="G218" s="29">
        <f t="shared" si="38"/>
        <v>90.017238089305991</v>
      </c>
      <c r="H218" s="24">
        <f t="shared" si="39"/>
        <v>2</v>
      </c>
      <c r="I218" s="24">
        <f t="shared" si="40"/>
        <v>0</v>
      </c>
      <c r="J218" s="24">
        <f t="shared" si="36"/>
        <v>0</v>
      </c>
      <c r="K218" s="25" t="str">
        <f t="shared" si="42"/>
        <v/>
      </c>
      <c r="L218" s="25" t="e">
        <f t="shared" si="43"/>
        <v>#VALUE!</v>
      </c>
      <c r="M218" s="28" t="str">
        <f t="shared" si="44"/>
        <v/>
      </c>
      <c r="N218" s="28" t="str">
        <f t="shared" si="45"/>
        <v/>
      </c>
      <c r="O218" s="31" t="str">
        <f t="shared" si="46"/>
        <v/>
      </c>
      <c r="P218" s="31" t="str">
        <f t="shared" si="47"/>
        <v/>
      </c>
      <c r="W218" s="25">
        <v>40802</v>
      </c>
      <c r="X218" s="24">
        <v>4033.8</v>
      </c>
      <c r="AA218" s="25">
        <v>42047</v>
      </c>
      <c r="AB218">
        <v>0.90017238089305995</v>
      </c>
      <c r="AC218" s="24">
        <f t="shared" si="41"/>
        <v>90.017238089305991</v>
      </c>
    </row>
    <row r="219" spans="3:29">
      <c r="C219" s="25">
        <v>42054</v>
      </c>
      <c r="D219" s="28">
        <v>0.62651628119673453</v>
      </c>
      <c r="E219" s="28">
        <v>0.59003468905342005</v>
      </c>
      <c r="F219" s="29">
        <f t="shared" ca="1" si="37"/>
        <v>1703.1</v>
      </c>
      <c r="G219" s="29">
        <f t="shared" si="38"/>
        <v>83.063679765036795</v>
      </c>
      <c r="H219" s="24">
        <f t="shared" si="39"/>
        <v>2</v>
      </c>
      <c r="I219" s="24">
        <f t="shared" si="40"/>
        <v>0</v>
      </c>
      <c r="J219" s="24">
        <f t="shared" si="36"/>
        <v>0</v>
      </c>
      <c r="K219" s="25" t="str">
        <f t="shared" si="42"/>
        <v/>
      </c>
      <c r="L219" s="25" t="e">
        <f t="shared" si="43"/>
        <v>#VALUE!</v>
      </c>
      <c r="M219" s="28" t="str">
        <f t="shared" si="44"/>
        <v/>
      </c>
      <c r="N219" s="28" t="str">
        <f t="shared" si="45"/>
        <v/>
      </c>
      <c r="O219" s="31" t="str">
        <f t="shared" si="46"/>
        <v/>
      </c>
      <c r="P219" s="31" t="str">
        <f t="shared" si="47"/>
        <v/>
      </c>
      <c r="W219" s="25">
        <v>40809</v>
      </c>
      <c r="X219" s="24">
        <v>4512.1000000000004</v>
      </c>
      <c r="AA219" s="25">
        <v>42054</v>
      </c>
      <c r="AB219">
        <v>0.83063679765036802</v>
      </c>
      <c r="AC219" s="24">
        <f t="shared" si="41"/>
        <v>83.063679765036795</v>
      </c>
    </row>
    <row r="220" spans="3:29">
      <c r="C220" s="25">
        <v>42061</v>
      </c>
      <c r="D220" s="28">
        <v>0.61098575112407738</v>
      </c>
      <c r="E220" s="28">
        <v>0.56144623129586702</v>
      </c>
      <c r="F220" s="29">
        <f t="shared" ca="1" si="37"/>
        <v>1740.3</v>
      </c>
      <c r="G220" s="29">
        <f t="shared" si="38"/>
        <v>79.0902178654556</v>
      </c>
      <c r="H220" s="24">
        <f t="shared" si="39"/>
        <v>2</v>
      </c>
      <c r="I220" s="24">
        <f t="shared" si="40"/>
        <v>0</v>
      </c>
      <c r="J220" s="24">
        <f t="shared" si="36"/>
        <v>1</v>
      </c>
      <c r="K220" s="25">
        <f t="shared" si="42"/>
        <v>42063</v>
      </c>
      <c r="L220" s="25">
        <f t="shared" si="43"/>
        <v>42062</v>
      </c>
      <c r="M220" s="28">
        <f t="shared" si="44"/>
        <v>0.61098575112407738</v>
      </c>
      <c r="N220" s="28">
        <f t="shared" si="45"/>
        <v>0.56144623129586702</v>
      </c>
      <c r="O220" s="31">
        <f t="shared" ca="1" si="46"/>
        <v>1740.3</v>
      </c>
      <c r="P220" s="31">
        <f t="shared" si="47"/>
        <v>79.0902178654556</v>
      </c>
      <c r="W220" s="25">
        <v>40816</v>
      </c>
      <c r="X220" s="24">
        <v>4241.8</v>
      </c>
      <c r="AA220" s="25">
        <v>42061</v>
      </c>
      <c r="AB220">
        <v>0.79090217865455603</v>
      </c>
      <c r="AC220" s="24">
        <f t="shared" si="41"/>
        <v>79.0902178654556</v>
      </c>
    </row>
    <row r="221" spans="3:29">
      <c r="C221" s="25">
        <v>42068</v>
      </c>
      <c r="D221" s="28">
        <v>0.61966926616186646</v>
      </c>
      <c r="E221" s="28">
        <v>0.58384753948448997</v>
      </c>
      <c r="F221" s="29">
        <f t="shared" ca="1" si="37"/>
        <v>1685.7</v>
      </c>
      <c r="G221" s="29">
        <f t="shared" si="38"/>
        <v>82.755620316660711</v>
      </c>
      <c r="H221" s="24">
        <f t="shared" si="39"/>
        <v>3</v>
      </c>
      <c r="I221" s="24">
        <f t="shared" si="40"/>
        <v>1</v>
      </c>
      <c r="J221" s="24">
        <f t="shared" si="36"/>
        <v>0</v>
      </c>
      <c r="K221" s="25" t="str">
        <f t="shared" si="42"/>
        <v/>
      </c>
      <c r="L221" s="25" t="e">
        <f t="shared" si="43"/>
        <v>#VALUE!</v>
      </c>
      <c r="M221" s="28" t="str">
        <f t="shared" si="44"/>
        <v/>
      </c>
      <c r="N221" s="28" t="str">
        <f t="shared" si="45"/>
        <v/>
      </c>
      <c r="O221" s="31" t="str">
        <f t="shared" si="46"/>
        <v/>
      </c>
      <c r="P221" s="31" t="str">
        <f t="shared" si="47"/>
        <v/>
      </c>
      <c r="W221" s="25">
        <v>40823</v>
      </c>
      <c r="X221" s="24">
        <v>4251.1000000000004</v>
      </c>
      <c r="AA221" s="25">
        <v>42068</v>
      </c>
      <c r="AB221">
        <v>0.82755620316660705</v>
      </c>
      <c r="AC221" s="24">
        <f t="shared" si="41"/>
        <v>82.755620316660711</v>
      </c>
    </row>
    <row r="222" spans="3:29">
      <c r="C222" s="25">
        <v>42075</v>
      </c>
      <c r="D222" s="28">
        <v>0.57559445438514367</v>
      </c>
      <c r="E222" s="28">
        <v>0.51703371456013503</v>
      </c>
      <c r="F222" s="29">
        <f t="shared" ca="1" si="37"/>
        <v>1623.6</v>
      </c>
      <c r="G222" s="29">
        <f t="shared" si="38"/>
        <v>71.830748350652499</v>
      </c>
      <c r="H222" s="24">
        <f t="shared" si="39"/>
        <v>3</v>
      </c>
      <c r="I222" s="24">
        <f t="shared" si="40"/>
        <v>0</v>
      </c>
      <c r="J222" s="24">
        <f t="shared" si="36"/>
        <v>0</v>
      </c>
      <c r="K222" s="25" t="str">
        <f t="shared" si="42"/>
        <v/>
      </c>
      <c r="L222" s="25" t="e">
        <f t="shared" si="43"/>
        <v>#VALUE!</v>
      </c>
      <c r="M222" s="28" t="str">
        <f t="shared" si="44"/>
        <v/>
      </c>
      <c r="N222" s="28" t="str">
        <f t="shared" si="45"/>
        <v/>
      </c>
      <c r="O222" s="31" t="str">
        <f t="shared" si="46"/>
        <v/>
      </c>
      <c r="P222" s="31" t="str">
        <f t="shared" si="47"/>
        <v/>
      </c>
      <c r="W222" s="25">
        <v>40830</v>
      </c>
      <c r="X222" s="24">
        <v>3553.2</v>
      </c>
      <c r="AA222" s="25">
        <v>42075</v>
      </c>
      <c r="AB222">
        <v>0.71830748350652496</v>
      </c>
      <c r="AC222" s="24">
        <f t="shared" si="41"/>
        <v>71.830748350652499</v>
      </c>
    </row>
    <row r="223" spans="3:29">
      <c r="C223" s="25">
        <v>42082</v>
      </c>
      <c r="D223" s="28">
        <v>0.60937196228640689</v>
      </c>
      <c r="E223" s="28">
        <v>0.58146564562660097</v>
      </c>
      <c r="F223" s="29">
        <f t="shared" ca="1" si="37"/>
        <v>1860.8</v>
      </c>
      <c r="G223" s="29">
        <f t="shared" si="38"/>
        <v>79.776109780477697</v>
      </c>
      <c r="H223" s="24">
        <f t="shared" si="39"/>
        <v>3</v>
      </c>
      <c r="I223" s="24">
        <f t="shared" si="40"/>
        <v>0</v>
      </c>
      <c r="J223" s="24">
        <f t="shared" si="36"/>
        <v>0</v>
      </c>
      <c r="K223" s="25" t="str">
        <f t="shared" si="42"/>
        <v/>
      </c>
      <c r="L223" s="25" t="e">
        <f t="shared" si="43"/>
        <v>#VALUE!</v>
      </c>
      <c r="M223" s="28" t="str">
        <f t="shared" si="44"/>
        <v/>
      </c>
      <c r="N223" s="28" t="str">
        <f t="shared" si="45"/>
        <v/>
      </c>
      <c r="O223" s="31" t="str">
        <f t="shared" si="46"/>
        <v/>
      </c>
      <c r="P223" s="31" t="str">
        <f t="shared" si="47"/>
        <v/>
      </c>
      <c r="W223" s="25">
        <v>40837</v>
      </c>
      <c r="X223" s="24">
        <v>3719.3</v>
      </c>
      <c r="AA223" s="25">
        <v>42082</v>
      </c>
      <c r="AB223">
        <v>0.797761097804777</v>
      </c>
      <c r="AC223" s="24">
        <f t="shared" si="41"/>
        <v>79.776109780477697</v>
      </c>
    </row>
    <row r="224" spans="3:29">
      <c r="C224" s="25">
        <v>42089</v>
      </c>
      <c r="D224" s="28">
        <v>0.64195316325793905</v>
      </c>
      <c r="E224" s="28">
        <v>0.61985540937113104</v>
      </c>
      <c r="F224" s="29">
        <f t="shared" ca="1" si="37"/>
        <v>1941.6</v>
      </c>
      <c r="G224" s="29">
        <f t="shared" si="38"/>
        <v>88.714641389029609</v>
      </c>
      <c r="H224" s="24">
        <f t="shared" si="39"/>
        <v>3</v>
      </c>
      <c r="I224" s="24">
        <f t="shared" si="40"/>
        <v>0</v>
      </c>
      <c r="J224" s="24">
        <f t="shared" si="36"/>
        <v>1</v>
      </c>
      <c r="K224" s="25">
        <f t="shared" si="42"/>
        <v>42094</v>
      </c>
      <c r="L224" s="25">
        <f t="shared" si="43"/>
        <v>42094</v>
      </c>
      <c r="M224" s="28">
        <f t="shared" si="44"/>
        <v>0.64195316325793905</v>
      </c>
      <c r="N224" s="28">
        <f t="shared" si="45"/>
        <v>0.61985540937113104</v>
      </c>
      <c r="O224" s="31">
        <f t="shared" ca="1" si="46"/>
        <v>1941.6</v>
      </c>
      <c r="P224" s="31">
        <f t="shared" si="47"/>
        <v>88.714641389029609</v>
      </c>
      <c r="W224" s="25">
        <v>40844</v>
      </c>
      <c r="X224" s="24">
        <v>3695</v>
      </c>
      <c r="AA224" s="25">
        <v>42089</v>
      </c>
      <c r="AB224">
        <v>0.88714641389029603</v>
      </c>
      <c r="AC224" s="24">
        <f t="shared" si="41"/>
        <v>88.714641389029609</v>
      </c>
    </row>
    <row r="225" spans="3:29">
      <c r="C225" s="25">
        <v>42096</v>
      </c>
      <c r="D225" s="28">
        <v>0.62778439660000751</v>
      </c>
      <c r="E225" s="28">
        <v>0.60618674833379105</v>
      </c>
      <c r="F225" s="29">
        <f t="shared" ca="1" si="37"/>
        <v>1854.7</v>
      </c>
      <c r="G225" s="29">
        <f t="shared" si="38"/>
        <v>85.8850107430235</v>
      </c>
      <c r="H225" s="24">
        <f t="shared" si="39"/>
        <v>4</v>
      </c>
      <c r="I225" s="24">
        <f t="shared" si="40"/>
        <v>1</v>
      </c>
      <c r="J225" s="24">
        <f t="shared" si="36"/>
        <v>0</v>
      </c>
      <c r="K225" s="25" t="str">
        <f t="shared" si="42"/>
        <v/>
      </c>
      <c r="L225" s="25" t="e">
        <f t="shared" si="43"/>
        <v>#VALUE!</v>
      </c>
      <c r="M225" s="28" t="str">
        <f t="shared" si="44"/>
        <v/>
      </c>
      <c r="N225" s="28" t="str">
        <f t="shared" si="45"/>
        <v/>
      </c>
      <c r="O225" s="31" t="str">
        <f t="shared" si="46"/>
        <v/>
      </c>
      <c r="P225" s="31" t="str">
        <f t="shared" si="47"/>
        <v/>
      </c>
      <c r="W225" s="25">
        <v>40851</v>
      </c>
      <c r="X225" s="24">
        <v>4137.6000000000004</v>
      </c>
      <c r="AA225" s="25">
        <v>42096</v>
      </c>
      <c r="AB225">
        <v>0.85885010743023504</v>
      </c>
      <c r="AC225" s="24">
        <f t="shared" si="41"/>
        <v>85.8850107430235</v>
      </c>
    </row>
    <row r="226" spans="3:29">
      <c r="C226" s="25">
        <v>42103</v>
      </c>
      <c r="D226" s="28">
        <v>0.64459292642165245</v>
      </c>
      <c r="E226" s="28">
        <v>0.63179874985391804</v>
      </c>
      <c r="F226" s="29">
        <f t="shared" ca="1" si="37"/>
        <v>1804.6</v>
      </c>
      <c r="G226" s="29">
        <f t="shared" si="38"/>
        <v>89.858087645701801</v>
      </c>
      <c r="H226" s="24">
        <f t="shared" si="39"/>
        <v>4</v>
      </c>
      <c r="I226" s="24">
        <f t="shared" si="40"/>
        <v>0</v>
      </c>
      <c r="J226" s="24">
        <f t="shared" si="36"/>
        <v>0</v>
      </c>
      <c r="K226" s="25" t="str">
        <f t="shared" si="42"/>
        <v/>
      </c>
      <c r="L226" s="25" t="e">
        <f t="shared" si="43"/>
        <v>#VALUE!</v>
      </c>
      <c r="M226" s="28" t="str">
        <f t="shared" si="44"/>
        <v/>
      </c>
      <c r="N226" s="28" t="str">
        <f t="shared" si="45"/>
        <v/>
      </c>
      <c r="O226" s="31" t="str">
        <f t="shared" si="46"/>
        <v/>
      </c>
      <c r="P226" s="31" t="str">
        <f t="shared" si="47"/>
        <v/>
      </c>
      <c r="W226" s="25">
        <v>40858</v>
      </c>
      <c r="X226" s="24">
        <v>3664.5</v>
      </c>
      <c r="AA226" s="25">
        <v>42103</v>
      </c>
      <c r="AB226">
        <v>0.89858087645701801</v>
      </c>
      <c r="AC226" s="24">
        <f t="shared" si="41"/>
        <v>89.858087645701801</v>
      </c>
    </row>
    <row r="227" spans="3:29">
      <c r="C227" s="25">
        <v>42110</v>
      </c>
      <c r="D227" s="28">
        <v>0.63055503904182508</v>
      </c>
      <c r="E227" s="28">
        <v>0.60745911385405604</v>
      </c>
      <c r="F227" s="29">
        <f t="shared" ca="1" si="37"/>
        <v>1817</v>
      </c>
      <c r="G227" s="29">
        <f t="shared" si="38"/>
        <v>86.381645355860002</v>
      </c>
      <c r="H227" s="24">
        <f t="shared" si="39"/>
        <v>4</v>
      </c>
      <c r="I227" s="24">
        <f t="shared" si="40"/>
        <v>0</v>
      </c>
      <c r="J227" s="24">
        <f t="shared" si="36"/>
        <v>0</v>
      </c>
      <c r="K227" s="25" t="str">
        <f t="shared" si="42"/>
        <v/>
      </c>
      <c r="L227" s="25" t="e">
        <f t="shared" si="43"/>
        <v>#VALUE!</v>
      </c>
      <c r="M227" s="28" t="str">
        <f t="shared" si="44"/>
        <v/>
      </c>
      <c r="N227" s="28" t="str">
        <f t="shared" si="45"/>
        <v/>
      </c>
      <c r="O227" s="31" t="str">
        <f t="shared" si="46"/>
        <v/>
      </c>
      <c r="P227" s="31" t="str">
        <f t="shared" si="47"/>
        <v/>
      </c>
      <c r="W227" s="25">
        <v>40865</v>
      </c>
      <c r="X227" s="24">
        <v>3466.8</v>
      </c>
      <c r="AA227" s="25">
        <v>42110</v>
      </c>
      <c r="AB227">
        <v>0.86381645355860004</v>
      </c>
      <c r="AC227" s="24">
        <f t="shared" si="41"/>
        <v>86.381645355860002</v>
      </c>
    </row>
    <row r="228" spans="3:29">
      <c r="C228" s="25">
        <v>42117</v>
      </c>
      <c r="D228" s="28">
        <v>0.64951370522505292</v>
      </c>
      <c r="E228" s="28">
        <v>0.63350921207897204</v>
      </c>
      <c r="F228" s="29">
        <f t="shared" ca="1" si="37"/>
        <v>1723</v>
      </c>
      <c r="G228" s="29">
        <f t="shared" si="38"/>
        <v>90.851356871370498</v>
      </c>
      <c r="H228" s="24">
        <f t="shared" si="39"/>
        <v>4</v>
      </c>
      <c r="I228" s="24">
        <f t="shared" si="40"/>
        <v>0</v>
      </c>
      <c r="J228" s="24">
        <f t="shared" si="36"/>
        <v>0</v>
      </c>
      <c r="K228" s="25" t="str">
        <f t="shared" si="42"/>
        <v/>
      </c>
      <c r="L228" s="25" t="e">
        <f t="shared" si="43"/>
        <v>#VALUE!</v>
      </c>
      <c r="M228" s="28" t="str">
        <f t="shared" si="44"/>
        <v/>
      </c>
      <c r="N228" s="28" t="str">
        <f t="shared" si="45"/>
        <v/>
      </c>
      <c r="O228" s="31" t="str">
        <f t="shared" si="46"/>
        <v/>
      </c>
      <c r="P228" s="31" t="str">
        <f t="shared" si="47"/>
        <v/>
      </c>
      <c r="W228" s="25">
        <v>40872</v>
      </c>
      <c r="X228" s="24">
        <v>2941.3</v>
      </c>
      <c r="AA228" s="25">
        <v>42117</v>
      </c>
      <c r="AB228">
        <v>0.90851356871370503</v>
      </c>
      <c r="AC228" s="24">
        <f t="shared" si="41"/>
        <v>90.851356871370498</v>
      </c>
    </row>
    <row r="229" spans="3:29">
      <c r="C229" s="25">
        <v>42124</v>
      </c>
      <c r="D229" s="28">
        <v>0.63639402671923606</v>
      </c>
      <c r="E229" s="28">
        <v>0.608876308109219</v>
      </c>
      <c r="F229" s="29">
        <f t="shared" ca="1" si="37"/>
        <v>1559.4</v>
      </c>
      <c r="G229" s="29">
        <f t="shared" si="38"/>
        <v>87.871549194363794</v>
      </c>
      <c r="H229" s="24">
        <f t="shared" si="39"/>
        <v>4</v>
      </c>
      <c r="I229" s="24">
        <f t="shared" si="40"/>
        <v>0</v>
      </c>
      <c r="J229" s="24">
        <f t="shared" si="36"/>
        <v>1</v>
      </c>
      <c r="K229" s="25">
        <f t="shared" si="42"/>
        <v>42124</v>
      </c>
      <c r="L229" s="25">
        <f t="shared" si="43"/>
        <v>42124</v>
      </c>
      <c r="M229" s="28">
        <f t="shared" si="44"/>
        <v>0.63639402671923606</v>
      </c>
      <c r="N229" s="28">
        <f t="shared" si="45"/>
        <v>0.608876308109219</v>
      </c>
      <c r="O229" s="31">
        <f t="shared" ca="1" si="46"/>
        <v>1559.4</v>
      </c>
      <c r="P229" s="31">
        <f t="shared" si="47"/>
        <v>87.871549194363794</v>
      </c>
      <c r="W229" s="25">
        <v>40879</v>
      </c>
      <c r="X229" s="24">
        <v>3394.7</v>
      </c>
      <c r="AA229" s="25">
        <v>42124</v>
      </c>
      <c r="AB229">
        <v>0.87871549194363796</v>
      </c>
      <c r="AC229" s="24">
        <f t="shared" si="41"/>
        <v>87.871549194363794</v>
      </c>
    </row>
    <row r="230" spans="3:29">
      <c r="C230" s="25">
        <v>42131</v>
      </c>
      <c r="D230" s="28">
        <v>0.58097914250817684</v>
      </c>
      <c r="E230" s="28">
        <v>0.53238458781035902</v>
      </c>
      <c r="F230" s="29">
        <f t="shared" ca="1" si="37"/>
        <v>1477.8</v>
      </c>
      <c r="G230" s="29">
        <f t="shared" si="38"/>
        <v>74.272056396924398</v>
      </c>
      <c r="H230" s="24">
        <f t="shared" si="39"/>
        <v>5</v>
      </c>
      <c r="I230" s="24">
        <f t="shared" si="40"/>
        <v>1</v>
      </c>
      <c r="J230" s="24">
        <f t="shared" si="36"/>
        <v>0</v>
      </c>
      <c r="K230" s="25" t="str">
        <f t="shared" si="42"/>
        <v/>
      </c>
      <c r="L230" s="25" t="e">
        <f t="shared" si="43"/>
        <v>#VALUE!</v>
      </c>
      <c r="M230" s="28" t="str">
        <f t="shared" si="44"/>
        <v/>
      </c>
      <c r="N230" s="28" t="str">
        <f t="shared" si="45"/>
        <v/>
      </c>
      <c r="O230" s="31" t="str">
        <f t="shared" si="46"/>
        <v/>
      </c>
      <c r="P230" s="31" t="str">
        <f t="shared" si="47"/>
        <v/>
      </c>
      <c r="W230" s="25">
        <v>40886</v>
      </c>
      <c r="X230" s="24">
        <v>3708.6</v>
      </c>
      <c r="AA230" s="25">
        <v>42131</v>
      </c>
      <c r="AB230">
        <v>0.74272056396924402</v>
      </c>
      <c r="AC230" s="24">
        <f t="shared" si="41"/>
        <v>74.272056396924398</v>
      </c>
    </row>
    <row r="231" spans="3:29">
      <c r="C231" s="25">
        <v>42138</v>
      </c>
      <c r="D231" s="28">
        <v>0.56120232410101856</v>
      </c>
      <c r="E231" s="28">
        <v>0.52626041924754496</v>
      </c>
      <c r="F231" s="29">
        <f t="shared" ca="1" si="37"/>
        <v>1448.8</v>
      </c>
      <c r="G231" s="29">
        <f t="shared" si="38"/>
        <v>69.304945765777205</v>
      </c>
      <c r="H231" s="24">
        <f t="shared" si="39"/>
        <v>5</v>
      </c>
      <c r="I231" s="24">
        <f t="shared" si="40"/>
        <v>0</v>
      </c>
      <c r="J231" s="24">
        <f t="shared" si="36"/>
        <v>0</v>
      </c>
      <c r="K231" s="25" t="str">
        <f t="shared" si="42"/>
        <v/>
      </c>
      <c r="L231" s="25" t="e">
        <f t="shared" si="43"/>
        <v>#VALUE!</v>
      </c>
      <c r="M231" s="28" t="str">
        <f t="shared" si="44"/>
        <v/>
      </c>
      <c r="N231" s="28" t="str">
        <f t="shared" si="45"/>
        <v/>
      </c>
      <c r="O231" s="31" t="str">
        <f t="shared" si="46"/>
        <v/>
      </c>
      <c r="P231" s="31" t="str">
        <f t="shared" si="47"/>
        <v/>
      </c>
      <c r="W231" s="25">
        <v>40893</v>
      </c>
      <c r="X231" s="24">
        <v>3676.1</v>
      </c>
      <c r="AA231" s="25">
        <v>42138</v>
      </c>
      <c r="AB231">
        <v>0.69304945765777204</v>
      </c>
      <c r="AC231" s="24">
        <f t="shared" si="41"/>
        <v>69.304945765777205</v>
      </c>
    </row>
    <row r="232" spans="3:29">
      <c r="C232" s="25">
        <v>42145</v>
      </c>
      <c r="D232" s="28">
        <v>0.55264936292906153</v>
      </c>
      <c r="E232" s="28">
        <v>0.49530657385961702</v>
      </c>
      <c r="F232" s="29">
        <f t="shared" ca="1" si="37"/>
        <v>1408.1</v>
      </c>
      <c r="G232" s="29">
        <f t="shared" si="38"/>
        <v>67.81481257643361</v>
      </c>
      <c r="H232" s="24">
        <f t="shared" si="39"/>
        <v>5</v>
      </c>
      <c r="I232" s="24">
        <f t="shared" si="40"/>
        <v>0</v>
      </c>
      <c r="J232" s="24">
        <f t="shared" si="36"/>
        <v>0</v>
      </c>
      <c r="K232" s="25" t="str">
        <f t="shared" si="42"/>
        <v/>
      </c>
      <c r="L232" s="25" t="e">
        <f t="shared" si="43"/>
        <v>#VALUE!</v>
      </c>
      <c r="M232" s="28" t="str">
        <f t="shared" si="44"/>
        <v/>
      </c>
      <c r="N232" s="28" t="str">
        <f t="shared" si="45"/>
        <v/>
      </c>
      <c r="O232" s="31" t="str">
        <f t="shared" si="46"/>
        <v/>
      </c>
      <c r="P232" s="31" t="str">
        <f t="shared" si="47"/>
        <v/>
      </c>
      <c r="W232" s="25">
        <v>40900</v>
      </c>
      <c r="X232" s="24">
        <v>3684.5</v>
      </c>
      <c r="AA232" s="25">
        <v>42145</v>
      </c>
      <c r="AB232">
        <v>0.67814812576433603</v>
      </c>
      <c r="AC232" s="24">
        <f t="shared" si="41"/>
        <v>67.81481257643361</v>
      </c>
    </row>
    <row r="233" spans="3:29">
      <c r="C233" s="25">
        <v>42152</v>
      </c>
      <c r="D233" s="28">
        <v>0.54951676769042945</v>
      </c>
      <c r="E233" s="28">
        <v>0.49518214427458052</v>
      </c>
      <c r="F233" s="29">
        <f t="shared" ca="1" si="37"/>
        <v>1233.9000000000001</v>
      </c>
      <c r="G233" s="29">
        <f t="shared" si="38"/>
        <v>67.318101513318496</v>
      </c>
      <c r="H233" s="24">
        <f t="shared" si="39"/>
        <v>5</v>
      </c>
      <c r="I233" s="24">
        <f t="shared" si="40"/>
        <v>0</v>
      </c>
      <c r="J233" s="24">
        <f t="shared" si="36"/>
        <v>1</v>
      </c>
      <c r="K233" s="25">
        <f t="shared" si="42"/>
        <v>42155</v>
      </c>
      <c r="L233" s="25">
        <f t="shared" si="43"/>
        <v>42153</v>
      </c>
      <c r="M233" s="28">
        <f t="shared" si="44"/>
        <v>0.54951676769042945</v>
      </c>
      <c r="N233" s="28">
        <f t="shared" si="45"/>
        <v>0.49518214427458052</v>
      </c>
      <c r="O233" s="31">
        <f t="shared" ca="1" si="46"/>
        <v>1233.9000000000001</v>
      </c>
      <c r="P233" s="31">
        <f t="shared" si="47"/>
        <v>67.318101513318496</v>
      </c>
      <c r="W233" s="25">
        <v>40907</v>
      </c>
      <c r="X233" s="24">
        <v>3608.1</v>
      </c>
      <c r="AA233" s="25">
        <v>42152</v>
      </c>
      <c r="AB233">
        <v>0.67318101513318496</v>
      </c>
      <c r="AC233" s="24">
        <f t="shared" si="41"/>
        <v>67.318101513318496</v>
      </c>
    </row>
    <row r="234" spans="3:29">
      <c r="C234" s="25">
        <v>42159</v>
      </c>
      <c r="D234" s="28">
        <v>0.54239887899197503</v>
      </c>
      <c r="E234" s="28">
        <v>0.49151040605794738</v>
      </c>
      <c r="F234" s="29">
        <f t="shared" ca="1" si="37"/>
        <v>1342.4</v>
      </c>
      <c r="G234" s="29">
        <f t="shared" si="38"/>
        <v>66.0024229614055</v>
      </c>
      <c r="H234" s="24">
        <f t="shared" si="39"/>
        <v>6</v>
      </c>
      <c r="I234" s="24">
        <f t="shared" si="40"/>
        <v>1</v>
      </c>
      <c r="J234" s="24">
        <f t="shared" si="36"/>
        <v>0</v>
      </c>
      <c r="K234" s="25" t="str">
        <f t="shared" si="42"/>
        <v/>
      </c>
      <c r="L234" s="25" t="e">
        <f t="shared" si="43"/>
        <v>#VALUE!</v>
      </c>
      <c r="M234" s="28" t="str">
        <f t="shared" si="44"/>
        <v/>
      </c>
      <c r="N234" s="28" t="str">
        <f t="shared" si="45"/>
        <v/>
      </c>
      <c r="O234" s="31" t="str">
        <f t="shared" si="46"/>
        <v/>
      </c>
      <c r="P234" s="31" t="str">
        <f t="shared" si="47"/>
        <v/>
      </c>
      <c r="W234" s="25">
        <v>40914</v>
      </c>
      <c r="X234" s="24">
        <v>3668.3</v>
      </c>
      <c r="AA234" s="25">
        <v>42159</v>
      </c>
      <c r="AB234">
        <v>0.66002422961405505</v>
      </c>
      <c r="AC234" s="24">
        <f t="shared" si="41"/>
        <v>66.0024229614055</v>
      </c>
    </row>
    <row r="235" spans="3:29">
      <c r="C235" s="25">
        <v>42166</v>
      </c>
      <c r="D235" s="28">
        <v>0.45533070729547037</v>
      </c>
      <c r="E235" s="28">
        <v>0.39779633268543002</v>
      </c>
      <c r="F235" s="29">
        <f t="shared" ca="1" si="37"/>
        <v>1273.4000000000001</v>
      </c>
      <c r="G235" s="29">
        <f t="shared" si="38"/>
        <v>49.112478797614997</v>
      </c>
      <c r="H235" s="24">
        <f t="shared" si="39"/>
        <v>6</v>
      </c>
      <c r="I235" s="24">
        <f t="shared" si="40"/>
        <v>0</v>
      </c>
      <c r="J235" s="24">
        <f t="shared" si="36"/>
        <v>0</v>
      </c>
      <c r="K235" s="25" t="str">
        <f t="shared" si="42"/>
        <v/>
      </c>
      <c r="L235" s="25" t="e">
        <f t="shared" si="43"/>
        <v>#VALUE!</v>
      </c>
      <c r="M235" s="28" t="str">
        <f t="shared" si="44"/>
        <v/>
      </c>
      <c r="N235" s="28" t="str">
        <f t="shared" si="45"/>
        <v/>
      </c>
      <c r="O235" s="31" t="str">
        <f t="shared" si="46"/>
        <v/>
      </c>
      <c r="P235" s="31" t="str">
        <f t="shared" si="47"/>
        <v/>
      </c>
      <c r="W235" s="25">
        <v>40921</v>
      </c>
      <c r="X235" s="24">
        <v>4626.5</v>
      </c>
      <c r="AA235" s="25">
        <v>42166</v>
      </c>
      <c r="AB235">
        <v>0.49112478797615</v>
      </c>
      <c r="AC235" s="24">
        <f t="shared" si="41"/>
        <v>49.112478797614997</v>
      </c>
    </row>
    <row r="236" spans="3:29">
      <c r="C236" s="25">
        <v>42173</v>
      </c>
      <c r="D236" s="28">
        <v>0.4684884497398818</v>
      </c>
      <c r="E236" s="28">
        <v>0.42202391195455535</v>
      </c>
      <c r="F236" s="24">
        <v>1318.3</v>
      </c>
      <c r="G236" s="29">
        <f t="shared" si="38"/>
        <v>50.602767988488296</v>
      </c>
      <c r="H236" s="24">
        <f t="shared" si="39"/>
        <v>6</v>
      </c>
      <c r="I236" s="24">
        <f t="shared" si="40"/>
        <v>0</v>
      </c>
      <c r="J236" s="24">
        <f t="shared" si="36"/>
        <v>0</v>
      </c>
      <c r="K236" s="25" t="str">
        <f t="shared" si="42"/>
        <v/>
      </c>
      <c r="L236" s="25" t="e">
        <f t="shared" si="43"/>
        <v>#VALUE!</v>
      </c>
      <c r="M236" s="28" t="str">
        <f t="shared" si="44"/>
        <v/>
      </c>
      <c r="N236" s="28" t="str">
        <f t="shared" si="45"/>
        <v/>
      </c>
      <c r="O236" s="31" t="str">
        <f t="shared" si="46"/>
        <v/>
      </c>
      <c r="P236" s="31" t="str">
        <f t="shared" si="47"/>
        <v/>
      </c>
      <c r="W236" s="25">
        <v>40928</v>
      </c>
      <c r="X236" s="24">
        <v>4326.3999999999996</v>
      </c>
      <c r="AA236" s="25">
        <v>42173</v>
      </c>
      <c r="AB236">
        <v>0.50602767988488295</v>
      </c>
      <c r="AC236" s="24">
        <f t="shared" si="41"/>
        <v>50.602767988488296</v>
      </c>
    </row>
    <row r="237" spans="3:29">
      <c r="C237" s="25">
        <v>42180</v>
      </c>
      <c r="D237" s="24">
        <v>0.44996575693530583</v>
      </c>
      <c r="E237" s="24">
        <v>0.39696021691334338</v>
      </c>
      <c r="F237" s="24">
        <v>1246.0999999999999</v>
      </c>
      <c r="G237" s="29">
        <f t="shared" ref="G237" si="48">VLOOKUP(C237,AA:AC,3,0)</f>
        <v>48.197694589921198</v>
      </c>
      <c r="H237" s="24">
        <f t="shared" ref="H237" si="49">MONTH(C237)</f>
        <v>6</v>
      </c>
      <c r="I237" s="24">
        <f t="shared" ref="I237" si="50">IF(H237=H236,0,1)</f>
        <v>0</v>
      </c>
      <c r="J237" s="24">
        <f>I239</f>
        <v>1</v>
      </c>
      <c r="K237" s="25">
        <f t="shared" ref="K237" si="51">IF(J237=1,EOMONTH(C237,0),"")</f>
        <v>42185</v>
      </c>
      <c r="L237" s="25">
        <f t="shared" ref="L237" si="52">IF(WEEKDAY(K237,2)=6,K237-1,IF(WEEKDAY(K237,2)=7,K237-2,IF(J237=1,K237,"")))</f>
        <v>42185</v>
      </c>
      <c r="M237" s="28">
        <f t="shared" ref="M237" si="53">IF(J237=1,D237,"")</f>
        <v>0.44996575693530583</v>
      </c>
      <c r="N237" s="28">
        <f t="shared" ref="N237" si="54">IF($J237=1,E237,"")</f>
        <v>0.39696021691334338</v>
      </c>
      <c r="O237" s="31">
        <f t="shared" ref="O237" si="55">IF($J237=1,F237,"")</f>
        <v>1246.0999999999999</v>
      </c>
      <c r="P237" s="31">
        <f t="shared" ref="P237" si="56">IF($J237=1,G237,"")</f>
        <v>48.197694589921198</v>
      </c>
      <c r="W237" s="25">
        <v>40935</v>
      </c>
      <c r="X237" s="24">
        <v>4184.3</v>
      </c>
      <c r="AA237" s="25">
        <v>42180</v>
      </c>
      <c r="AB237" s="24">
        <v>0.48197694589921197</v>
      </c>
      <c r="AC237" s="24">
        <f t="shared" si="41"/>
        <v>48.197694589921198</v>
      </c>
    </row>
    <row r="238" spans="3:29">
      <c r="C238" s="25">
        <v>42215</v>
      </c>
      <c r="D238" s="24">
        <v>0.49912270122048025</v>
      </c>
      <c r="E238" s="24">
        <v>0.42269076065729377</v>
      </c>
      <c r="F238" s="24">
        <v>1.9969014490481407E-4</v>
      </c>
      <c r="G238" s="29">
        <v>1418</v>
      </c>
      <c r="H238" s="24"/>
      <c r="I238" s="24"/>
      <c r="J238" s="24"/>
      <c r="K238" s="25"/>
      <c r="L238" s="25"/>
      <c r="M238" s="28"/>
      <c r="N238" s="28"/>
      <c r="O238" s="31"/>
      <c r="P238" s="31"/>
      <c r="W238" s="25">
        <v>40942</v>
      </c>
      <c r="X238" s="24">
        <v>4617.1000000000004</v>
      </c>
    </row>
    <row r="239" spans="3:29">
      <c r="C239" s="25">
        <v>42243</v>
      </c>
      <c r="D239" s="24">
        <v>0.54776588117858471</v>
      </c>
      <c r="E239" s="24">
        <v>0.53237291122190666</v>
      </c>
      <c r="F239" s="24">
        <v>1545.5</v>
      </c>
      <c r="G239" s="29" t="e">
        <f>VLOOKUP(C239,AA:AC,3,0)</f>
        <v>#N/A</v>
      </c>
      <c r="H239" s="24">
        <f t="shared" ref="H239" si="57">MONTH(C239)</f>
        <v>8</v>
      </c>
      <c r="I239" s="24">
        <f>IF(H239=H237,0,1)</f>
        <v>1</v>
      </c>
      <c r="J239" s="24">
        <f>I238</f>
        <v>0</v>
      </c>
      <c r="K239" s="25" t="str">
        <f t="shared" ref="K239" si="58">IF(J239=1,EOMONTH(C239,0),"")</f>
        <v/>
      </c>
      <c r="L239" s="25" t="e">
        <f t="shared" ref="L239" si="59">IF(WEEKDAY(K239,2)=6,K239-1,IF(WEEKDAY(K239,2)=7,K239-2,IF(J239=1,K239,"")))</f>
        <v>#VALUE!</v>
      </c>
      <c r="M239" s="28" t="str">
        <f t="shared" ref="M239" si="60">IF(J239=1,D239,"")</f>
        <v/>
      </c>
      <c r="N239" s="28" t="str">
        <f>IF($J239=1,E239,"")</f>
        <v/>
      </c>
      <c r="O239" s="31" t="str">
        <f>IF($J239=1,F239,"")</f>
        <v/>
      </c>
      <c r="P239" s="31" t="str">
        <f>IF($J239=1,G239,"")</f>
        <v/>
      </c>
      <c r="W239" s="25">
        <v>40949</v>
      </c>
      <c r="X239" s="24">
        <v>4716.1000000000004</v>
      </c>
    </row>
    <row r="240" spans="3:29">
      <c r="C240">
        <v>42306</v>
      </c>
      <c r="D240">
        <v>0.57894029457192531</v>
      </c>
      <c r="E240">
        <v>0.55255659565598092</v>
      </c>
      <c r="F240" s="24">
        <v>1534.5</v>
      </c>
      <c r="W240" s="25">
        <v>40956</v>
      </c>
      <c r="X240" s="24">
        <v>4466.8999999999996</v>
      </c>
    </row>
    <row r="241" spans="23:27">
      <c r="W241" s="25">
        <v>40963</v>
      </c>
      <c r="X241" s="24">
        <v>4379.1000000000004</v>
      </c>
      <c r="AA241" s="25"/>
    </row>
    <row r="242" spans="23:27">
      <c r="W242" s="25">
        <v>40970</v>
      </c>
      <c r="X242" s="24">
        <v>4277.6000000000004</v>
      </c>
      <c r="AA242" s="25"/>
    </row>
    <row r="243" spans="23:27">
      <c r="W243" s="25">
        <v>40977</v>
      </c>
      <c r="X243" s="24">
        <v>4063.4</v>
      </c>
      <c r="AA243" s="25"/>
    </row>
    <row r="244" spans="23:27">
      <c r="W244" s="25">
        <v>40984</v>
      </c>
      <c r="X244" s="24">
        <v>3715.2</v>
      </c>
      <c r="AA244" s="25"/>
    </row>
    <row r="245" spans="23:27">
      <c r="W245" s="25">
        <v>40991</v>
      </c>
      <c r="X245" s="24">
        <v>3588.4</v>
      </c>
    </row>
    <row r="246" spans="23:27">
      <c r="W246" s="25">
        <v>40998</v>
      </c>
      <c r="X246" s="24">
        <v>3699.5</v>
      </c>
    </row>
    <row r="247" spans="23:27">
      <c r="W247" s="25">
        <v>41005</v>
      </c>
      <c r="X247" s="24">
        <v>3549.3</v>
      </c>
    </row>
    <row r="248" spans="23:27">
      <c r="W248" s="25">
        <v>41012</v>
      </c>
      <c r="X248" s="24">
        <v>4144.3</v>
      </c>
    </row>
    <row r="249" spans="23:27">
      <c r="W249" s="25">
        <v>41019</v>
      </c>
      <c r="X249" s="24">
        <v>3892.2</v>
      </c>
    </row>
    <row r="250" spans="23:27">
      <c r="W250" s="25">
        <v>41026</v>
      </c>
      <c r="X250" s="24">
        <v>3856</v>
      </c>
    </row>
    <row r="251" spans="23:27">
      <c r="W251" s="25">
        <v>41033</v>
      </c>
      <c r="X251" s="24">
        <v>3924.4</v>
      </c>
    </row>
    <row r="252" spans="23:27">
      <c r="W252" s="25">
        <v>41040</v>
      </c>
      <c r="X252" s="24">
        <v>4482</v>
      </c>
    </row>
    <row r="253" spans="23:27">
      <c r="W253" s="25">
        <v>41047</v>
      </c>
      <c r="X253" s="24">
        <v>4732</v>
      </c>
    </row>
    <row r="254" spans="23:27">
      <c r="W254" s="25">
        <v>41054</v>
      </c>
      <c r="X254" s="24">
        <v>4675.8999999999996</v>
      </c>
    </row>
    <row r="255" spans="23:27">
      <c r="W255" s="25">
        <v>41061</v>
      </c>
      <c r="X255" s="24">
        <v>4736</v>
      </c>
    </row>
    <row r="256" spans="23:27">
      <c r="W256" s="25">
        <v>41068</v>
      </c>
      <c r="X256" s="24">
        <v>5590</v>
      </c>
    </row>
    <row r="257" spans="23:24">
      <c r="W257" s="25">
        <v>41075</v>
      </c>
      <c r="X257" s="24">
        <v>4719.6000000000004</v>
      </c>
    </row>
    <row r="258" spans="23:24">
      <c r="W258" s="25">
        <v>41082</v>
      </c>
      <c r="X258" s="24">
        <v>4585.8</v>
      </c>
    </row>
    <row r="259" spans="23:24">
      <c r="W259" s="25">
        <v>41089</v>
      </c>
      <c r="X259" s="24">
        <v>4372.2</v>
      </c>
    </row>
    <row r="260" spans="23:24">
      <c r="W260" s="25">
        <v>41096</v>
      </c>
      <c r="X260" s="24">
        <v>4267.8999999999996</v>
      </c>
    </row>
    <row r="261" spans="23:24">
      <c r="W261" s="25">
        <v>41103</v>
      </c>
      <c r="X261" s="24">
        <v>5246.8</v>
      </c>
    </row>
    <row r="262" spans="23:24">
      <c r="W262" s="25">
        <v>41110</v>
      </c>
      <c r="X262" s="24">
        <v>5383.1</v>
      </c>
    </row>
    <row r="263" spans="23:24">
      <c r="W263" s="25">
        <v>41117</v>
      </c>
      <c r="X263" s="24">
        <v>5492.1</v>
      </c>
    </row>
    <row r="264" spans="23:24">
      <c r="W264" s="25">
        <v>41124</v>
      </c>
      <c r="X264" s="24">
        <v>5444.3</v>
      </c>
    </row>
    <row r="265" spans="23:24">
      <c r="W265" s="25">
        <v>41131</v>
      </c>
      <c r="X265" s="24">
        <v>5172.2</v>
      </c>
    </row>
    <row r="266" spans="23:24">
      <c r="W266" s="25">
        <v>41138</v>
      </c>
      <c r="X266" s="24">
        <v>4671.1000000000004</v>
      </c>
    </row>
    <row r="267" spans="23:24">
      <c r="W267" s="25">
        <v>41145</v>
      </c>
      <c r="X267" s="24">
        <v>4414.6000000000004</v>
      </c>
    </row>
    <row r="268" spans="23:24">
      <c r="W268" s="25">
        <v>41152</v>
      </c>
      <c r="X268" s="24">
        <v>4274.8</v>
      </c>
    </row>
    <row r="269" spans="23:24">
      <c r="W269" s="25">
        <v>41159</v>
      </c>
      <c r="X269" s="24">
        <v>4779.1000000000004</v>
      </c>
    </row>
    <row r="270" spans="23:24">
      <c r="W270" s="25">
        <v>41166</v>
      </c>
      <c r="X270" s="24">
        <v>4823.3</v>
      </c>
    </row>
    <row r="271" spans="23:24">
      <c r="W271" s="25">
        <v>41173</v>
      </c>
      <c r="X271" s="24">
        <v>4979</v>
      </c>
    </row>
    <row r="272" spans="23:24">
      <c r="W272" s="25">
        <v>41180</v>
      </c>
      <c r="X272" s="24">
        <v>5965.5</v>
      </c>
    </row>
    <row r="273" spans="23:24">
      <c r="W273" s="25">
        <v>41187</v>
      </c>
      <c r="X273" s="24">
        <v>5892.5</v>
      </c>
    </row>
    <row r="274" spans="23:24">
      <c r="W274" s="25">
        <v>41194</v>
      </c>
      <c r="X274" s="24">
        <v>5572.2</v>
      </c>
    </row>
    <row r="275" spans="23:24">
      <c r="W275" s="25">
        <v>41201</v>
      </c>
      <c r="X275" s="24">
        <v>4847.2</v>
      </c>
    </row>
    <row r="276" spans="23:24">
      <c r="W276" s="25">
        <v>41208</v>
      </c>
      <c r="X276" s="24">
        <v>4550.7</v>
      </c>
    </row>
    <row r="277" spans="23:24">
      <c r="W277" s="25">
        <v>41215</v>
      </c>
      <c r="X277" s="24">
        <v>4297.7</v>
      </c>
    </row>
    <row r="278" spans="23:24">
      <c r="W278" s="25">
        <v>41222</v>
      </c>
      <c r="X278" s="24">
        <v>4856.1000000000004</v>
      </c>
    </row>
    <row r="279" spans="23:24">
      <c r="W279" s="25">
        <v>41229</v>
      </c>
      <c r="X279" s="24">
        <v>4702.3999999999996</v>
      </c>
    </row>
    <row r="280" spans="23:24">
      <c r="W280" s="25">
        <v>41236</v>
      </c>
      <c r="X280" s="24">
        <v>4666.8</v>
      </c>
    </row>
    <row r="281" spans="23:24">
      <c r="W281" s="25">
        <v>41243</v>
      </c>
      <c r="X281" s="24">
        <v>4943</v>
      </c>
    </row>
    <row r="282" spans="23:24">
      <c r="W282" s="25">
        <v>41250</v>
      </c>
      <c r="X282" s="24">
        <v>5368.1</v>
      </c>
    </row>
    <row r="283" spans="23:24">
      <c r="W283" s="25">
        <v>41257</v>
      </c>
      <c r="X283" s="24">
        <v>4564.3999999999996</v>
      </c>
    </row>
    <row r="284" spans="23:24">
      <c r="W284" s="25">
        <v>41264</v>
      </c>
      <c r="X284" s="24">
        <v>3983.2</v>
      </c>
    </row>
    <row r="285" spans="23:24">
      <c r="W285" s="25">
        <v>41271</v>
      </c>
      <c r="X285" s="24">
        <v>3488.9</v>
      </c>
    </row>
    <row r="286" spans="23:24">
      <c r="W286" s="25">
        <v>41278</v>
      </c>
      <c r="X286" s="24">
        <v>3896.4</v>
      </c>
    </row>
    <row r="287" spans="23:24">
      <c r="W287" s="25">
        <v>41285</v>
      </c>
      <c r="X287" s="24">
        <v>4554.3999999999996</v>
      </c>
    </row>
    <row r="288" spans="23:24">
      <c r="W288" s="25">
        <v>41292</v>
      </c>
      <c r="X288" s="24">
        <v>4937.3999999999996</v>
      </c>
    </row>
    <row r="289" spans="23:24">
      <c r="W289" s="25">
        <v>41299</v>
      </c>
      <c r="X289" s="24">
        <v>4433.6000000000004</v>
      </c>
    </row>
    <row r="290" spans="23:24">
      <c r="W290" s="25">
        <v>41306</v>
      </c>
      <c r="X290" s="24">
        <v>4579</v>
      </c>
    </row>
    <row r="291" spans="23:24">
      <c r="W291" s="25">
        <v>41313</v>
      </c>
      <c r="X291" s="24">
        <v>4284.3</v>
      </c>
    </row>
    <row r="292" spans="23:24">
      <c r="W292" s="25">
        <v>41320</v>
      </c>
      <c r="X292" s="24">
        <v>4261.8</v>
      </c>
    </row>
    <row r="293" spans="23:24">
      <c r="W293" s="25">
        <v>41327</v>
      </c>
      <c r="X293" s="24">
        <v>4136.3</v>
      </c>
    </row>
    <row r="294" spans="23:24">
      <c r="W294" s="25">
        <v>41334</v>
      </c>
      <c r="X294" s="24">
        <v>4724.8999999999996</v>
      </c>
    </row>
    <row r="295" spans="23:24">
      <c r="W295" s="25">
        <v>41341</v>
      </c>
      <c r="X295" s="24">
        <v>4485.2</v>
      </c>
    </row>
    <row r="296" spans="23:24">
      <c r="W296" s="25">
        <v>41348</v>
      </c>
      <c r="X296" s="24">
        <v>4111.3</v>
      </c>
    </row>
    <row r="297" spans="23:24">
      <c r="W297" s="25">
        <v>41355</v>
      </c>
      <c r="X297" s="24">
        <v>4412.8999999999996</v>
      </c>
    </row>
    <row r="298" spans="23:24">
      <c r="W298" s="25">
        <v>41362</v>
      </c>
      <c r="X298" s="24">
        <v>4119.2</v>
      </c>
    </row>
    <row r="299" spans="23:24">
      <c r="W299" s="25">
        <v>41369</v>
      </c>
      <c r="X299" s="24">
        <v>4528.8999999999996</v>
      </c>
    </row>
    <row r="300" spans="23:24">
      <c r="W300" s="25">
        <v>41376</v>
      </c>
      <c r="X300" s="24">
        <v>4726.8999999999996</v>
      </c>
    </row>
    <row r="301" spans="23:24">
      <c r="W301" s="25">
        <v>41383</v>
      </c>
      <c r="X301" s="24">
        <v>4672.1000000000004</v>
      </c>
    </row>
    <row r="302" spans="23:24">
      <c r="W302" s="25">
        <v>41390</v>
      </c>
      <c r="X302" s="24">
        <v>4854.1000000000004</v>
      </c>
    </row>
    <row r="303" spans="23:24">
      <c r="W303" s="25">
        <v>41397</v>
      </c>
      <c r="X303" s="24">
        <v>5279.9</v>
      </c>
    </row>
    <row r="304" spans="23:24">
      <c r="W304" s="25">
        <v>41404</v>
      </c>
      <c r="X304" s="24">
        <v>4797.2</v>
      </c>
    </row>
    <row r="305" spans="23:24">
      <c r="W305" s="25">
        <v>41411</v>
      </c>
      <c r="X305" s="24">
        <v>4241.5</v>
      </c>
    </row>
    <row r="306" spans="23:24">
      <c r="W306" s="25">
        <v>41418</v>
      </c>
      <c r="X306" s="24">
        <v>3709.4</v>
      </c>
    </row>
    <row r="307" spans="23:24">
      <c r="W307" s="25">
        <v>41425</v>
      </c>
      <c r="X307" s="24">
        <v>3163.6</v>
      </c>
    </row>
    <row r="308" spans="23:24">
      <c r="W308" s="25">
        <v>41432</v>
      </c>
      <c r="X308" s="24">
        <v>3339.8</v>
      </c>
    </row>
    <row r="309" spans="23:24">
      <c r="W309" s="25">
        <v>41439</v>
      </c>
      <c r="X309" s="24">
        <v>3214.4</v>
      </c>
    </row>
    <row r="310" spans="23:24">
      <c r="W310" s="25">
        <v>41446</v>
      </c>
      <c r="X310" s="24">
        <v>3040.1</v>
      </c>
    </row>
    <row r="311" spans="23:24">
      <c r="W311" s="25">
        <v>41453</v>
      </c>
      <c r="X311" s="24">
        <v>2573.4</v>
      </c>
    </row>
    <row r="312" spans="23:24">
      <c r="W312" s="25">
        <v>41460</v>
      </c>
      <c r="X312" s="24">
        <v>2417.8000000000002</v>
      </c>
    </row>
    <row r="313" spans="23:24">
      <c r="W313" s="25">
        <v>41467</v>
      </c>
      <c r="X313" s="24">
        <v>2242.1999999999998</v>
      </c>
    </row>
    <row r="314" spans="23:24">
      <c r="W314" s="25">
        <v>41474</v>
      </c>
      <c r="X314" s="24">
        <v>2288</v>
      </c>
    </row>
    <row r="315" spans="23:24">
      <c r="W315" s="25">
        <v>41481</v>
      </c>
      <c r="X315" s="24">
        <v>2218.3000000000002</v>
      </c>
    </row>
    <row r="316" spans="23:24">
      <c r="W316" s="25">
        <v>41488</v>
      </c>
      <c r="X316" s="24">
        <v>2228.9</v>
      </c>
    </row>
    <row r="317" spans="23:24">
      <c r="W317" s="25">
        <v>41495</v>
      </c>
      <c r="X317" s="24">
        <v>2110.6</v>
      </c>
    </row>
    <row r="318" spans="23:24">
      <c r="W318" s="25">
        <v>41502</v>
      </c>
      <c r="X318" s="24">
        <v>1935.1</v>
      </c>
    </row>
    <row r="319" spans="23:24">
      <c r="W319" s="25">
        <v>41509</v>
      </c>
      <c r="X319" s="24">
        <v>1842.6</v>
      </c>
    </row>
    <row r="320" spans="23:24">
      <c r="W320" s="25">
        <v>41516</v>
      </c>
      <c r="X320" s="24">
        <v>1909</v>
      </c>
    </row>
    <row r="321" spans="23:24">
      <c r="W321" s="25">
        <v>41523</v>
      </c>
      <c r="X321" s="24">
        <v>1512.9</v>
      </c>
    </row>
    <row r="322" spans="23:24">
      <c r="W322" s="25">
        <v>41530</v>
      </c>
      <c r="X322" s="24">
        <v>1814</v>
      </c>
    </row>
    <row r="323" spans="23:24">
      <c r="W323" s="25">
        <v>41537</v>
      </c>
      <c r="X323" s="24">
        <v>1922.9</v>
      </c>
    </row>
    <row r="324" spans="23:24">
      <c r="W324" s="25">
        <v>41544</v>
      </c>
      <c r="X324" s="24">
        <v>1956.6</v>
      </c>
    </row>
    <row r="325" spans="23:24">
      <c r="W325" s="25">
        <v>41551</v>
      </c>
      <c r="X325" s="24">
        <v>2025.3</v>
      </c>
    </row>
    <row r="326" spans="23:24">
      <c r="W326" s="25">
        <v>41558</v>
      </c>
      <c r="X326" s="24">
        <v>2102.6999999999998</v>
      </c>
    </row>
    <row r="327" spans="23:24">
      <c r="W327" s="25">
        <v>41565</v>
      </c>
      <c r="X327" s="24">
        <v>2033.7</v>
      </c>
    </row>
    <row r="328" spans="23:24">
      <c r="W328" s="25">
        <v>41572</v>
      </c>
      <c r="X328" s="24">
        <v>2211.8000000000002</v>
      </c>
    </row>
    <row r="329" spans="23:24">
      <c r="W329" s="25">
        <v>41579</v>
      </c>
      <c r="X329" s="24">
        <v>2105.6</v>
      </c>
    </row>
    <row r="330" spans="23:24">
      <c r="W330" s="25">
        <v>41586</v>
      </c>
      <c r="X330" s="24">
        <v>2056.9</v>
      </c>
    </row>
    <row r="331" spans="23:24">
      <c r="W331" s="25">
        <v>41593</v>
      </c>
      <c r="X331" s="24">
        <v>1903.5</v>
      </c>
    </row>
    <row r="332" spans="23:24">
      <c r="W332" s="25">
        <v>41600</v>
      </c>
      <c r="X332" s="24">
        <v>1917.2</v>
      </c>
    </row>
    <row r="333" spans="23:24">
      <c r="W333" s="25">
        <v>41607</v>
      </c>
      <c r="X333" s="24">
        <v>1561.6</v>
      </c>
    </row>
    <row r="334" spans="23:24">
      <c r="W334" s="25">
        <v>41614</v>
      </c>
      <c r="X334" s="24">
        <v>1599.4</v>
      </c>
    </row>
    <row r="335" spans="23:24">
      <c r="W335" s="25">
        <v>41621</v>
      </c>
      <c r="X335" s="24">
        <v>1529.8</v>
      </c>
    </row>
    <row r="336" spans="23:24">
      <c r="W336" s="25">
        <v>41628</v>
      </c>
      <c r="X336" s="24">
        <v>1426.7</v>
      </c>
    </row>
    <row r="337" spans="23:24">
      <c r="W337" s="25">
        <v>41635</v>
      </c>
      <c r="X337" s="24">
        <v>1277.8</v>
      </c>
    </row>
    <row r="338" spans="23:24">
      <c r="W338" s="25">
        <v>41642</v>
      </c>
      <c r="X338" s="24">
        <v>1352.7</v>
      </c>
    </row>
    <row r="339" spans="23:24">
      <c r="W339" s="25">
        <v>41649</v>
      </c>
      <c r="X339" s="24">
        <v>1507</v>
      </c>
    </row>
    <row r="340" spans="23:24">
      <c r="W340" s="25">
        <v>41656</v>
      </c>
      <c r="X340" s="24">
        <v>1675.8</v>
      </c>
    </row>
    <row r="341" spans="23:24">
      <c r="W341" s="25">
        <v>41663</v>
      </c>
      <c r="X341" s="24">
        <v>1601.2</v>
      </c>
    </row>
    <row r="342" spans="23:24">
      <c r="W342" s="25">
        <v>41670</v>
      </c>
      <c r="X342" s="24">
        <v>1667.5</v>
      </c>
    </row>
    <row r="343" spans="23:24">
      <c r="W343" s="25">
        <v>41677</v>
      </c>
      <c r="X343" s="24">
        <v>1674.2</v>
      </c>
    </row>
    <row r="344" spans="23:24">
      <c r="W344" s="25">
        <v>41684</v>
      </c>
      <c r="X344" s="24">
        <v>1650.6</v>
      </c>
    </row>
    <row r="345" spans="23:24">
      <c r="W345" s="25">
        <v>41691</v>
      </c>
      <c r="X345" s="24">
        <v>1442.3</v>
      </c>
    </row>
    <row r="346" spans="23:24">
      <c r="W346" s="25">
        <v>41698</v>
      </c>
      <c r="X346" s="24">
        <v>1600.6</v>
      </c>
    </row>
    <row r="347" spans="23:24">
      <c r="W347" s="25">
        <v>41705</v>
      </c>
      <c r="X347" s="24">
        <v>1528</v>
      </c>
    </row>
    <row r="348" spans="23:24">
      <c r="W348" s="25">
        <v>41712</v>
      </c>
      <c r="X348" s="24">
        <v>1552.1</v>
      </c>
    </row>
    <row r="349" spans="23:24">
      <c r="W349" s="25">
        <v>41719</v>
      </c>
      <c r="X349" s="24">
        <v>1426.3</v>
      </c>
    </row>
    <row r="350" spans="23:24">
      <c r="W350" s="25">
        <v>41726</v>
      </c>
      <c r="X350" s="24">
        <v>1383.5</v>
      </c>
    </row>
    <row r="351" spans="23:24">
      <c r="W351" s="25">
        <v>41733</v>
      </c>
      <c r="X351" s="24">
        <v>1324.7</v>
      </c>
    </row>
    <row r="352" spans="23:24">
      <c r="W352" s="25">
        <v>41740</v>
      </c>
      <c r="X352" s="24">
        <v>1429.9</v>
      </c>
    </row>
    <row r="353" spans="23:24">
      <c r="W353" s="25">
        <v>41747</v>
      </c>
      <c r="X353" s="24">
        <v>1370.9</v>
      </c>
    </row>
    <row r="354" spans="23:24">
      <c r="W354" s="25">
        <v>41754</v>
      </c>
      <c r="X354" s="24">
        <v>1298.0999999999999</v>
      </c>
    </row>
    <row r="355" spans="23:24">
      <c r="W355" s="25">
        <v>41761</v>
      </c>
      <c r="X355" s="24">
        <v>1323.9</v>
      </c>
    </row>
    <row r="356" spans="23:24">
      <c r="W356" s="25">
        <v>41768</v>
      </c>
      <c r="X356" s="24">
        <v>1400.9</v>
      </c>
    </row>
    <row r="357" spans="23:24">
      <c r="W357" s="25">
        <v>41775</v>
      </c>
      <c r="X357" s="24">
        <v>1460.6</v>
      </c>
    </row>
    <row r="358" spans="23:24">
      <c r="W358" s="25">
        <v>41782</v>
      </c>
      <c r="X358" s="24">
        <v>1453.4</v>
      </c>
    </row>
    <row r="359" spans="23:24">
      <c r="W359" s="25">
        <v>41789</v>
      </c>
      <c r="X359" s="24">
        <v>1382.6</v>
      </c>
    </row>
    <row r="360" spans="23:24">
      <c r="W360" s="25">
        <v>41796</v>
      </c>
      <c r="X360" s="24">
        <v>1516.9</v>
      </c>
    </row>
    <row r="361" spans="23:24">
      <c r="W361" s="25">
        <v>41803</v>
      </c>
      <c r="X361" s="24">
        <v>1321.3</v>
      </c>
    </row>
    <row r="362" spans="23:24">
      <c r="W362" s="25">
        <v>41810</v>
      </c>
      <c r="X362" s="24">
        <v>1333.5</v>
      </c>
    </row>
    <row r="363" spans="23:24">
      <c r="W363" s="25">
        <v>41817</v>
      </c>
      <c r="X363" s="24">
        <v>1341.8</v>
      </c>
    </row>
    <row r="364" spans="23:24">
      <c r="W364" s="25">
        <v>41824</v>
      </c>
      <c r="X364" s="24">
        <v>1346.8</v>
      </c>
    </row>
    <row r="365" spans="23:24">
      <c r="W365" s="25">
        <v>41831</v>
      </c>
      <c r="X365" s="24">
        <v>1329.7</v>
      </c>
    </row>
    <row r="366" spans="23:24">
      <c r="W366" s="25">
        <v>41838</v>
      </c>
      <c r="X366" s="24">
        <v>1400.7</v>
      </c>
    </row>
    <row r="367" spans="23:24">
      <c r="W367" s="25">
        <v>41845</v>
      </c>
      <c r="X367" s="24">
        <v>1327.5</v>
      </c>
    </row>
    <row r="368" spans="23:24">
      <c r="W368" s="25">
        <v>41852</v>
      </c>
      <c r="X368" s="24">
        <v>1373.9</v>
      </c>
    </row>
    <row r="369" spans="23:24">
      <c r="W369" s="25">
        <v>41859</v>
      </c>
      <c r="X369" s="24">
        <v>1342.6</v>
      </c>
    </row>
    <row r="370" spans="23:24">
      <c r="W370" s="25">
        <v>41866</v>
      </c>
      <c r="X370" s="24">
        <v>1404.9</v>
      </c>
    </row>
    <row r="371" spans="23:24">
      <c r="W371" s="25">
        <v>41873</v>
      </c>
      <c r="X371" s="24">
        <v>1439.4</v>
      </c>
    </row>
    <row r="372" spans="23:24">
      <c r="W372" s="25">
        <v>41880</v>
      </c>
      <c r="X372" s="24">
        <v>1436</v>
      </c>
    </row>
    <row r="373" spans="23:24">
      <c r="W373" s="25">
        <v>41887</v>
      </c>
      <c r="X373" s="24">
        <v>1275.8</v>
      </c>
    </row>
    <row r="374" spans="23:24">
      <c r="W374" s="25">
        <v>41894</v>
      </c>
      <c r="X374" s="24">
        <v>1398.4</v>
      </c>
    </row>
    <row r="375" spans="23:24">
      <c r="W375" s="25">
        <v>41901</v>
      </c>
      <c r="X375" s="24">
        <v>1335.1</v>
      </c>
    </row>
    <row r="376" spans="23:24">
      <c r="W376" s="25">
        <v>41908</v>
      </c>
      <c r="X376" s="24">
        <v>1326.2</v>
      </c>
    </row>
    <row r="377" spans="23:24">
      <c r="W377" s="25">
        <v>41915</v>
      </c>
      <c r="X377" s="24">
        <v>1387.1</v>
      </c>
    </row>
    <row r="378" spans="23:24">
      <c r="W378" s="25">
        <v>41922</v>
      </c>
      <c r="X378" s="24">
        <v>1560.6</v>
      </c>
    </row>
    <row r="379" spans="23:24">
      <c r="W379" s="25">
        <v>41929</v>
      </c>
      <c r="X379" s="24">
        <v>1898.2</v>
      </c>
    </row>
    <row r="380" spans="23:24">
      <c r="W380" s="25">
        <v>41936</v>
      </c>
      <c r="X380" s="24">
        <v>1713.6</v>
      </c>
    </row>
    <row r="381" spans="23:24">
      <c r="W381" s="25">
        <v>41943</v>
      </c>
      <c r="X381" s="24">
        <v>1604.8</v>
      </c>
    </row>
    <row r="382" spans="23:24">
      <c r="W382" s="25">
        <v>41950</v>
      </c>
      <c r="X382" s="24">
        <v>1565.3</v>
      </c>
    </row>
    <row r="383" spans="23:24">
      <c r="W383" s="25">
        <v>41957</v>
      </c>
      <c r="X383" s="24">
        <v>1563.2</v>
      </c>
    </row>
    <row r="384" spans="23:24">
      <c r="W384" s="25">
        <v>41964</v>
      </c>
      <c r="X384" s="24">
        <v>1547.9</v>
      </c>
    </row>
    <row r="385" spans="23:24">
      <c r="W385" s="25">
        <v>41971</v>
      </c>
      <c r="X385" s="24">
        <v>1366.6</v>
      </c>
    </row>
    <row r="386" spans="23:24">
      <c r="W386" s="25">
        <v>41978</v>
      </c>
      <c r="X386" s="24">
        <v>1548.6</v>
      </c>
    </row>
    <row r="387" spans="23:24">
      <c r="W387" s="25">
        <v>41985</v>
      </c>
      <c r="X387" s="24">
        <v>1518.8</v>
      </c>
    </row>
    <row r="388" spans="23:24">
      <c r="W388" s="25">
        <v>41992</v>
      </c>
      <c r="X388" s="24">
        <v>1538.7</v>
      </c>
    </row>
    <row r="389" spans="23:24">
      <c r="W389" s="25">
        <v>41998</v>
      </c>
      <c r="X389" s="24">
        <v>1164.2</v>
      </c>
    </row>
    <row r="390" spans="23:24">
      <c r="W390" s="25">
        <v>42005</v>
      </c>
      <c r="X390" s="24">
        <v>1347.6</v>
      </c>
    </row>
    <row r="391" spans="23:24">
      <c r="W391" s="25">
        <v>42013</v>
      </c>
      <c r="X391" s="24">
        <v>2271.5</v>
      </c>
    </row>
    <row r="392" spans="23:24">
      <c r="W392" s="25">
        <v>42020</v>
      </c>
      <c r="X392" s="24">
        <v>2799.3</v>
      </c>
    </row>
    <row r="393" spans="23:24">
      <c r="W393" s="25">
        <v>42027</v>
      </c>
      <c r="X393" s="24">
        <v>2572.3000000000002</v>
      </c>
    </row>
    <row r="394" spans="23:24">
      <c r="W394" s="25">
        <v>42034</v>
      </c>
      <c r="X394" s="24">
        <v>2584.8000000000002</v>
      </c>
    </row>
    <row r="395" spans="23:24">
      <c r="W395" s="25">
        <v>42041</v>
      </c>
      <c r="X395" s="24">
        <v>2291.3000000000002</v>
      </c>
    </row>
    <row r="396" spans="23:24">
      <c r="W396" s="25">
        <v>42048</v>
      </c>
      <c r="X396" s="24">
        <v>1904.2</v>
      </c>
    </row>
    <row r="397" spans="23:24">
      <c r="W397" s="25">
        <v>42055</v>
      </c>
      <c r="X397" s="24">
        <v>1703.1</v>
      </c>
    </row>
    <row r="398" spans="23:24">
      <c r="W398" s="25">
        <v>42062</v>
      </c>
      <c r="X398" s="24">
        <v>1740.3</v>
      </c>
    </row>
    <row r="399" spans="23:24">
      <c r="W399" s="25">
        <v>42069</v>
      </c>
      <c r="X399" s="24">
        <v>1685.7</v>
      </c>
    </row>
    <row r="400" spans="23:24">
      <c r="W400" s="25">
        <v>42076</v>
      </c>
      <c r="X400" s="24">
        <v>1623.6</v>
      </c>
    </row>
    <row r="401" spans="23:24">
      <c r="W401" s="25">
        <v>42083</v>
      </c>
      <c r="X401" s="24">
        <v>1860.8</v>
      </c>
    </row>
    <row r="402" spans="23:24">
      <c r="W402" s="25">
        <v>42090</v>
      </c>
      <c r="X402" s="24">
        <v>1941.6</v>
      </c>
    </row>
    <row r="403" spans="23:24">
      <c r="W403" s="25">
        <v>42097</v>
      </c>
      <c r="X403" s="24">
        <v>1854.7</v>
      </c>
    </row>
    <row r="404" spans="23:24">
      <c r="W404" s="25">
        <v>42104</v>
      </c>
      <c r="X404" s="24">
        <v>1804.6</v>
      </c>
    </row>
    <row r="405" spans="23:24">
      <c r="W405" s="25">
        <v>42111</v>
      </c>
      <c r="X405" s="24">
        <v>1817</v>
      </c>
    </row>
    <row r="406" spans="23:24">
      <c r="W406" s="25">
        <v>42118</v>
      </c>
      <c r="X406" s="24">
        <v>1723</v>
      </c>
    </row>
    <row r="407" spans="23:24">
      <c r="W407" s="25">
        <v>42125</v>
      </c>
      <c r="X407" s="24">
        <v>1559.4</v>
      </c>
    </row>
    <row r="408" spans="23:24">
      <c r="W408" s="25">
        <v>42132</v>
      </c>
      <c r="X408" s="24">
        <v>1477.8</v>
      </c>
    </row>
    <row r="409" spans="23:24">
      <c r="W409" s="25">
        <v>42139</v>
      </c>
      <c r="X409" s="24">
        <v>1448.8</v>
      </c>
    </row>
    <row r="410" spans="23:24">
      <c r="W410" s="25">
        <v>42146</v>
      </c>
      <c r="X410" s="24">
        <v>1408.1</v>
      </c>
    </row>
    <row r="411" spans="23:24">
      <c r="W411" s="25">
        <v>42153</v>
      </c>
      <c r="X411" s="24">
        <v>1233.9000000000001</v>
      </c>
    </row>
    <row r="412" spans="23:24">
      <c r="W412" s="25">
        <v>42160</v>
      </c>
      <c r="X412" s="24">
        <v>1342.4</v>
      </c>
    </row>
    <row r="413" spans="23:24">
      <c r="W413" s="25">
        <v>42167</v>
      </c>
      <c r="X413" s="24">
        <v>1273.4000000000001</v>
      </c>
    </row>
    <row r="414" spans="23:24">
      <c r="W414" s="25">
        <v>42174</v>
      </c>
      <c r="X414" s="24">
        <v>1318.3</v>
      </c>
    </row>
    <row r="415" spans="23:24">
      <c r="W415" s="25">
        <v>42181</v>
      </c>
      <c r="X415" s="24">
        <v>1246.0999999999999</v>
      </c>
    </row>
    <row r="416" spans="23:24">
      <c r="W416" s="25">
        <v>42215</v>
      </c>
      <c r="X416" s="24">
        <v>1339.9</v>
      </c>
    </row>
  </sheetData>
  <sortState ref="C4:E236">
    <sortCondition ref="C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6"/>
  <sheetViews>
    <sheetView topLeftCell="A70" workbookViewId="0">
      <selection activeCell="I13" sqref="I13"/>
    </sheetView>
  </sheetViews>
  <sheetFormatPr defaultRowHeight="15"/>
  <cols>
    <col min="2" max="2" width="10.7109375" bestFit="1" customWidth="1"/>
  </cols>
  <sheetData>
    <row r="2" spans="2:5">
      <c r="B2" t="s">
        <v>1542</v>
      </c>
      <c r="C2" t="s">
        <v>1576</v>
      </c>
      <c r="D2" t="s">
        <v>1543</v>
      </c>
      <c r="E2" t="s">
        <v>1550</v>
      </c>
    </row>
    <row r="3" spans="2:5">
      <c r="B3" s="25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5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5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5">
        <v>40570</v>
      </c>
      <c r="C6">
        <v>0.62392159162868732</v>
      </c>
      <c r="D6">
        <v>0.47679593730615699</v>
      </c>
      <c r="E6">
        <v>2371.1</v>
      </c>
    </row>
    <row r="7" spans="2:5">
      <c r="B7" s="25">
        <v>40577</v>
      </c>
      <c r="C7">
        <v>0.60653142223595213</v>
      </c>
      <c r="D7">
        <v>0.43462013043084002</v>
      </c>
      <c r="E7">
        <v>2190.4</v>
      </c>
    </row>
    <row r="8" spans="2:5">
      <c r="B8" s="25">
        <v>40584</v>
      </c>
      <c r="C8">
        <v>0.50868797673712363</v>
      </c>
      <c r="D8">
        <v>0.35529176669040102</v>
      </c>
      <c r="E8">
        <v>1953.2</v>
      </c>
    </row>
    <row r="9" spans="2:5">
      <c r="B9" s="25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5">
        <v>40598</v>
      </c>
      <c r="C10">
        <v>0.57709503787578109</v>
      </c>
      <c r="D10">
        <v>0.41551493659156002</v>
      </c>
      <c r="E10">
        <v>2155.5</v>
      </c>
    </row>
    <row r="11" spans="2:5">
      <c r="B11" s="25">
        <v>40605</v>
      </c>
      <c r="C11">
        <v>0.59224775585706535</v>
      </c>
      <c r="D11">
        <v>0.42215163100202302</v>
      </c>
      <c r="E11">
        <v>2539.4</v>
      </c>
    </row>
    <row r="12" spans="2:5">
      <c r="B12" s="25">
        <v>40612</v>
      </c>
      <c r="C12">
        <v>0.59090570789662444</v>
      </c>
      <c r="D12">
        <v>0.42124985629360401</v>
      </c>
      <c r="E12">
        <v>2563.6</v>
      </c>
    </row>
    <row r="13" spans="2:5">
      <c r="B13" s="25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5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5">
        <v>40633</v>
      </c>
      <c r="C15">
        <v>0.593225708201635</v>
      </c>
      <c r="D15">
        <v>0.42282958858632702</v>
      </c>
      <c r="E15">
        <v>2194.4</v>
      </c>
    </row>
    <row r="16" spans="2:5">
      <c r="B16" s="25">
        <v>40640</v>
      </c>
      <c r="C16">
        <v>0.58542144661011908</v>
      </c>
      <c r="D16">
        <v>0.414778538159287</v>
      </c>
      <c r="E16">
        <v>2010.6</v>
      </c>
    </row>
    <row r="17" spans="2:5">
      <c r="B17" s="25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5">
        <v>40654</v>
      </c>
      <c r="C18">
        <v>0.59356262313394537</v>
      </c>
      <c r="D18">
        <v>0.44381782258269298</v>
      </c>
      <c r="E18">
        <v>2091.4</v>
      </c>
    </row>
    <row r="19" spans="2:5">
      <c r="B19" s="25">
        <v>40661</v>
      </c>
      <c r="C19">
        <v>0.59445921362542997</v>
      </c>
      <c r="D19">
        <v>0.44565511936132601</v>
      </c>
      <c r="E19">
        <v>2220.1</v>
      </c>
    </row>
    <row r="20" spans="2:5">
      <c r="B20" s="25">
        <v>40668</v>
      </c>
      <c r="C20">
        <v>0.59391131067456038</v>
      </c>
      <c r="D20">
        <v>0.45891120103405703</v>
      </c>
      <c r="E20">
        <v>2414.9</v>
      </c>
    </row>
    <row r="21" spans="2:5">
      <c r="B21" s="25">
        <v>40675</v>
      </c>
      <c r="C21">
        <v>0.60662155942020002</v>
      </c>
      <c r="D21">
        <v>0.50042582297659</v>
      </c>
      <c r="E21">
        <v>2742.2</v>
      </c>
    </row>
    <row r="22" spans="2:5">
      <c r="B22" s="25">
        <v>40682</v>
      </c>
      <c r="C22">
        <v>0.61264076908113763</v>
      </c>
      <c r="D22">
        <v>0.50447592982476996</v>
      </c>
      <c r="E22">
        <v>2764.6</v>
      </c>
    </row>
    <row r="23" spans="2:5">
      <c r="B23" s="25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5">
        <v>40696</v>
      </c>
      <c r="C24">
        <v>0.66311590107349083</v>
      </c>
      <c r="D24">
        <v>0.53450860338875705</v>
      </c>
      <c r="E24">
        <v>2648</v>
      </c>
    </row>
    <row r="25" spans="2:5">
      <c r="B25" s="25">
        <v>40703</v>
      </c>
      <c r="C25">
        <v>0.74517189360077984</v>
      </c>
      <c r="D25">
        <v>0.55556126357331004</v>
      </c>
      <c r="E25">
        <v>3101.7</v>
      </c>
    </row>
    <row r="26" spans="2:5">
      <c r="B26" s="25">
        <v>40710</v>
      </c>
      <c r="C26">
        <v>0.72397022872334449</v>
      </c>
      <c r="D26">
        <v>0.55544034698333999</v>
      </c>
      <c r="E26">
        <v>2857.9</v>
      </c>
    </row>
    <row r="27" spans="2:5">
      <c r="B27" s="25">
        <v>40717</v>
      </c>
      <c r="C27">
        <v>0.66311590107349083</v>
      </c>
      <c r="D27">
        <v>0.53450860338875705</v>
      </c>
      <c r="E27">
        <v>2809.5</v>
      </c>
    </row>
    <row r="28" spans="2:5">
      <c r="B28" s="25">
        <v>40724</v>
      </c>
      <c r="C28">
        <v>0.69050447134038251</v>
      </c>
      <c r="D28">
        <v>0.55445082777023702</v>
      </c>
      <c r="E28">
        <v>2527.5</v>
      </c>
    </row>
    <row r="29" spans="2:5">
      <c r="B29" s="25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5">
        <v>40738</v>
      </c>
      <c r="C30">
        <v>0.684475421712615</v>
      </c>
      <c r="D30">
        <v>0.55014388201104203</v>
      </c>
      <c r="E30">
        <v>2923.8</v>
      </c>
    </row>
    <row r="31" spans="2:5">
      <c r="B31" s="25">
        <v>40745</v>
      </c>
      <c r="C31">
        <v>0.66675683999516944</v>
      </c>
      <c r="D31">
        <v>0.53018048409344898</v>
      </c>
      <c r="E31">
        <v>2769.6</v>
      </c>
    </row>
    <row r="32" spans="2:5">
      <c r="B32" s="25">
        <v>40752</v>
      </c>
      <c r="C32">
        <v>0.61660059317974736</v>
      </c>
      <c r="D32">
        <v>0.52333294764067595</v>
      </c>
      <c r="E32">
        <v>2974.1</v>
      </c>
    </row>
    <row r="33" spans="2:5">
      <c r="B33" s="25">
        <v>40759</v>
      </c>
      <c r="C33">
        <v>0.81803711941746404</v>
      </c>
      <c r="D33">
        <v>0.59636201439054404</v>
      </c>
      <c r="E33">
        <v>3880.9</v>
      </c>
    </row>
    <row r="34" spans="2:5">
      <c r="B34" s="25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5">
        <v>40773</v>
      </c>
      <c r="C35">
        <v>0.86117434904403212</v>
      </c>
      <c r="D35">
        <v>0.76968967049094095</v>
      </c>
      <c r="E35">
        <v>4110.8</v>
      </c>
    </row>
    <row r="36" spans="2:5">
      <c r="B36" s="25">
        <v>40780</v>
      </c>
      <c r="C36">
        <v>0.84714025108084823</v>
      </c>
      <c r="D36">
        <v>0.73013076231760698</v>
      </c>
      <c r="E36">
        <v>3601.3</v>
      </c>
    </row>
    <row r="37" spans="2:5">
      <c r="B37" s="25">
        <v>40787</v>
      </c>
      <c r="C37">
        <v>0.84129278814437181</v>
      </c>
      <c r="D37">
        <v>0.72518805605942505</v>
      </c>
      <c r="E37">
        <v>3372</v>
      </c>
    </row>
    <row r="38" spans="2:5">
      <c r="B38" s="25">
        <v>40794</v>
      </c>
      <c r="C38">
        <v>0.87859103936280614</v>
      </c>
      <c r="D38">
        <v>0.78586619764471199</v>
      </c>
      <c r="E38">
        <v>3571.7</v>
      </c>
    </row>
    <row r="39" spans="2:5">
      <c r="B39" s="25">
        <v>40801</v>
      </c>
      <c r="C39">
        <v>0.90242289630359074</v>
      </c>
      <c r="D39">
        <v>0.78804143101353397</v>
      </c>
      <c r="E39">
        <v>4033.8</v>
      </c>
    </row>
    <row r="40" spans="2:5">
      <c r="B40" s="25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5">
        <v>40815</v>
      </c>
      <c r="C41">
        <v>0.94644262124543443</v>
      </c>
      <c r="D41">
        <v>0.83535228019697605</v>
      </c>
      <c r="E41">
        <v>4241.8</v>
      </c>
    </row>
    <row r="42" spans="2:5">
      <c r="B42" s="25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5">
        <v>40829</v>
      </c>
      <c r="C43">
        <v>0.84917694017596268</v>
      </c>
      <c r="D43">
        <v>0.75043074974252599</v>
      </c>
      <c r="E43">
        <v>3553.2</v>
      </c>
    </row>
    <row r="44" spans="2:5">
      <c r="B44" s="25">
        <v>40836</v>
      </c>
      <c r="C44">
        <v>0.85635864773186432</v>
      </c>
      <c r="D44">
        <v>0.76889855223368597</v>
      </c>
      <c r="E44">
        <v>3719.3</v>
      </c>
    </row>
    <row r="45" spans="2:5">
      <c r="B45" s="25">
        <v>40843</v>
      </c>
      <c r="C45">
        <v>0.86512672485653175</v>
      </c>
      <c r="D45">
        <v>0.77033919514702098</v>
      </c>
      <c r="E45">
        <v>3695</v>
      </c>
    </row>
    <row r="46" spans="2:5">
      <c r="B46" s="25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5">
        <v>40857</v>
      </c>
      <c r="C47">
        <v>0.94404770550683115</v>
      </c>
      <c r="D47">
        <v>0.80724570771905702</v>
      </c>
      <c r="E47">
        <v>3664.5</v>
      </c>
    </row>
    <row r="48" spans="2:5">
      <c r="B48" s="25">
        <v>40864</v>
      </c>
      <c r="C48">
        <v>0.93485323798856346</v>
      </c>
      <c r="D48">
        <v>0.80719780316763601</v>
      </c>
      <c r="E48">
        <v>3466.8</v>
      </c>
    </row>
    <row r="49" spans="2:5">
      <c r="B49" s="25">
        <v>40870</v>
      </c>
      <c r="C49">
        <v>0.94997170807452469</v>
      </c>
      <c r="D49">
        <v>0.80850149462655696</v>
      </c>
      <c r="E49" t="e">
        <v>#N/A</v>
      </c>
    </row>
    <row r="50" spans="2:5">
      <c r="B50" s="25">
        <v>40878</v>
      </c>
      <c r="C50">
        <v>0.91542628506626045</v>
      </c>
      <c r="D50">
        <v>0.79441104681633201</v>
      </c>
      <c r="E50">
        <v>3394.7</v>
      </c>
    </row>
    <row r="51" spans="2:5">
      <c r="B51" s="25">
        <v>40885</v>
      </c>
      <c r="C51">
        <v>0.9248746068169833</v>
      </c>
      <c r="D51">
        <v>0.79445840936885304</v>
      </c>
      <c r="E51">
        <v>3708.6</v>
      </c>
    </row>
    <row r="52" spans="2:5">
      <c r="B52" s="25">
        <v>40892</v>
      </c>
      <c r="C52">
        <v>0.93969161247928745</v>
      </c>
      <c r="D52">
        <v>0.79646175435893696</v>
      </c>
      <c r="E52">
        <v>3676.1</v>
      </c>
    </row>
    <row r="53" spans="2:5">
      <c r="B53" s="25">
        <v>40899</v>
      </c>
      <c r="C53">
        <v>0.9601958662364245</v>
      </c>
      <c r="D53">
        <v>0.82537040355923197</v>
      </c>
      <c r="E53">
        <v>3684.5</v>
      </c>
    </row>
    <row r="54" spans="2:5">
      <c r="B54" s="25">
        <v>40906</v>
      </c>
      <c r="C54">
        <v>0.94762260030460288</v>
      </c>
      <c r="D54">
        <v>0.81734633197465201</v>
      </c>
      <c r="E54">
        <v>3608.1</v>
      </c>
    </row>
    <row r="55" spans="2:5">
      <c r="B55" s="25">
        <v>40913</v>
      </c>
      <c r="C55">
        <v>0.94481773750585774</v>
      </c>
      <c r="D55">
        <v>0.80629912189469399</v>
      </c>
      <c r="E55">
        <v>3668.3</v>
      </c>
    </row>
    <row r="56" spans="2:5">
      <c r="B56" s="25">
        <v>40920</v>
      </c>
      <c r="C56">
        <v>0.95320351892281485</v>
      </c>
      <c r="D56">
        <v>0.81626218699844599</v>
      </c>
      <c r="E56">
        <v>4626.5</v>
      </c>
    </row>
    <row r="57" spans="2:5">
      <c r="B57" s="25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5">
        <v>40934</v>
      </c>
      <c r="C58">
        <v>0.91861521434498927</v>
      </c>
      <c r="D58">
        <v>0.78339393568549298</v>
      </c>
      <c r="E58">
        <v>4184.3</v>
      </c>
    </row>
    <row r="59" spans="2:5">
      <c r="B59" s="25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5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5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5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5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5">
        <v>40976</v>
      </c>
      <c r="C64">
        <v>0.91902765125865959</v>
      </c>
      <c r="D64">
        <v>0.78283886771012201</v>
      </c>
      <c r="E64">
        <v>4063.4</v>
      </c>
    </row>
    <row r="65" spans="2:5">
      <c r="B65" s="25">
        <v>40983</v>
      </c>
      <c r="C65">
        <v>0.90514599034862198</v>
      </c>
      <c r="D65">
        <v>0.77421402081353796</v>
      </c>
      <c r="E65">
        <v>3715.2</v>
      </c>
    </row>
    <row r="66" spans="2:5">
      <c r="B66" s="25">
        <v>40990</v>
      </c>
      <c r="C66">
        <v>0.78959380464288376</v>
      </c>
      <c r="D66">
        <v>0.69937061468571404</v>
      </c>
      <c r="E66">
        <v>3588.4</v>
      </c>
    </row>
    <row r="67" spans="2:5">
      <c r="B67" s="25">
        <v>40997</v>
      </c>
      <c r="C67">
        <v>0.87490910290764468</v>
      </c>
      <c r="D67">
        <v>0.749723434167341</v>
      </c>
      <c r="E67">
        <v>3699.5</v>
      </c>
    </row>
    <row r="68" spans="2:5">
      <c r="B68" s="25">
        <v>41004</v>
      </c>
      <c r="C68">
        <v>0.86928745494692716</v>
      </c>
      <c r="D68">
        <v>0.75253147533014197</v>
      </c>
      <c r="E68">
        <v>3549.3</v>
      </c>
    </row>
    <row r="69" spans="2:5">
      <c r="B69" s="25">
        <v>41011</v>
      </c>
      <c r="C69">
        <v>0.90849340717481886</v>
      </c>
      <c r="D69">
        <v>0.80193881910043296</v>
      </c>
      <c r="E69">
        <v>4144.3</v>
      </c>
    </row>
    <row r="70" spans="2:5">
      <c r="B70" s="25">
        <v>41018</v>
      </c>
      <c r="C70">
        <v>0.9034983903169389</v>
      </c>
      <c r="D70">
        <v>0.77781138796328697</v>
      </c>
      <c r="E70">
        <v>3892.2</v>
      </c>
    </row>
    <row r="71" spans="2:5">
      <c r="B71" s="25">
        <v>41025</v>
      </c>
      <c r="C71">
        <v>0.90849340717481886</v>
      </c>
      <c r="D71">
        <v>0.80193881910043296</v>
      </c>
      <c r="E71">
        <v>3856</v>
      </c>
    </row>
    <row r="72" spans="2:5">
      <c r="B72" s="25">
        <v>41032</v>
      </c>
      <c r="C72">
        <v>0.89225108632442729</v>
      </c>
      <c r="D72">
        <v>0.80437080516661097</v>
      </c>
      <c r="E72">
        <v>3924.4</v>
      </c>
    </row>
    <row r="73" spans="2:5">
      <c r="B73" s="25">
        <v>41039</v>
      </c>
      <c r="C73">
        <v>0.89337268606647302</v>
      </c>
      <c r="D73">
        <v>0.807152941952609</v>
      </c>
      <c r="E73">
        <v>4482</v>
      </c>
    </row>
    <row r="74" spans="2:5">
      <c r="B74" s="25">
        <v>41046</v>
      </c>
      <c r="C74">
        <v>0.8948997967143093</v>
      </c>
      <c r="D74">
        <v>0.83152220645888697</v>
      </c>
      <c r="E74">
        <v>4732</v>
      </c>
    </row>
    <row r="75" spans="2:5">
      <c r="B75" s="25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5">
        <v>41060</v>
      </c>
      <c r="C76">
        <v>0.89512122084695944</v>
      </c>
      <c r="D76">
        <v>0.83268888035603505</v>
      </c>
      <c r="E76">
        <v>4736</v>
      </c>
    </row>
    <row r="77" spans="2:5">
      <c r="B77" s="25">
        <v>41067</v>
      </c>
      <c r="C77">
        <v>0.8920195449585564</v>
      </c>
      <c r="D77">
        <v>0.86243439572202496</v>
      </c>
      <c r="E77">
        <v>5590</v>
      </c>
    </row>
    <row r="78" spans="2:5">
      <c r="B78" s="25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5">
        <v>41081</v>
      </c>
      <c r="C79">
        <v>0.89407594990163874</v>
      </c>
      <c r="D79">
        <v>0.86306170802286497</v>
      </c>
      <c r="E79">
        <v>4585.8</v>
      </c>
    </row>
    <row r="80" spans="2:5">
      <c r="B80" s="25">
        <v>41088</v>
      </c>
      <c r="C80">
        <v>0.89407594990163874</v>
      </c>
      <c r="D80">
        <v>0.86306170802286497</v>
      </c>
      <c r="E80">
        <v>4372.2</v>
      </c>
    </row>
    <row r="81" spans="2:5">
      <c r="B81" s="25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5">
        <v>41102</v>
      </c>
      <c r="C82">
        <v>0.94551237246929465</v>
      </c>
      <c r="D82">
        <v>0.88265848165302496</v>
      </c>
      <c r="E82">
        <v>5246.8</v>
      </c>
    </row>
    <row r="83" spans="2:5">
      <c r="B83" s="25">
        <v>41109</v>
      </c>
      <c r="C83">
        <v>0.97186924857158052</v>
      </c>
      <c r="D83">
        <v>0.88516739973977598</v>
      </c>
      <c r="E83">
        <v>5383.1</v>
      </c>
    </row>
    <row r="84" spans="2:5">
      <c r="B84" s="25">
        <v>41116</v>
      </c>
      <c r="C84">
        <v>0.98451993370244106</v>
      </c>
      <c r="D84">
        <v>0.89814744996460805</v>
      </c>
      <c r="E84">
        <v>5492.1</v>
      </c>
    </row>
    <row r="85" spans="2:5">
      <c r="B85" s="25">
        <v>41123</v>
      </c>
      <c r="C85">
        <v>0.9385222539497815</v>
      </c>
      <c r="D85">
        <v>0.86768818253450297</v>
      </c>
      <c r="E85">
        <v>5444.3</v>
      </c>
    </row>
    <row r="86" spans="2:5">
      <c r="B86" s="25">
        <v>41130</v>
      </c>
      <c r="C86">
        <v>0.92408794393225557</v>
      </c>
      <c r="D86">
        <v>0.86745968477328095</v>
      </c>
      <c r="E86">
        <v>5172.2</v>
      </c>
    </row>
    <row r="87" spans="2:5">
      <c r="B87" s="25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5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5">
        <v>41151</v>
      </c>
      <c r="C89">
        <v>0.92408794393225557</v>
      </c>
      <c r="D89">
        <v>0.86745968477328095</v>
      </c>
      <c r="E89">
        <v>4274.8</v>
      </c>
    </row>
    <row r="90" spans="2:5">
      <c r="B90" s="25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5">
        <v>41165</v>
      </c>
      <c r="C91">
        <v>0.94047646256577366</v>
      </c>
      <c r="D91">
        <v>0.85731125996939705</v>
      </c>
      <c r="E91">
        <v>4823.3</v>
      </c>
    </row>
    <row r="92" spans="2:5">
      <c r="B92" s="25">
        <v>41172</v>
      </c>
      <c r="C92">
        <v>0.95891425076544745</v>
      </c>
      <c r="D92">
        <v>0.87344930653794395</v>
      </c>
      <c r="E92">
        <v>4979</v>
      </c>
    </row>
    <row r="93" spans="2:5">
      <c r="B93" s="25">
        <v>41179</v>
      </c>
      <c r="C93">
        <v>0.96459917415866681</v>
      </c>
      <c r="D93">
        <v>0.91259028169208301</v>
      </c>
      <c r="E93">
        <v>5965.5</v>
      </c>
    </row>
    <row r="94" spans="2:5">
      <c r="B94" s="25">
        <v>41186</v>
      </c>
      <c r="C94">
        <v>0.95362908529618629</v>
      </c>
      <c r="D94">
        <v>0.89522709255279198</v>
      </c>
      <c r="E94">
        <v>5892.5</v>
      </c>
    </row>
    <row r="95" spans="2:5">
      <c r="B95" s="25">
        <v>41193</v>
      </c>
      <c r="C95">
        <v>0.95159604304738465</v>
      </c>
      <c r="D95">
        <v>0.87811016351224602</v>
      </c>
      <c r="E95">
        <v>5572.2</v>
      </c>
    </row>
    <row r="96" spans="2:5">
      <c r="B96" s="25">
        <v>41200</v>
      </c>
      <c r="C96">
        <v>0.95277295236812309</v>
      </c>
      <c r="D96">
        <v>0.89368551357821302</v>
      </c>
      <c r="E96">
        <v>4847.2</v>
      </c>
    </row>
    <row r="97" spans="2:5">
      <c r="B97" s="25">
        <v>41207</v>
      </c>
      <c r="C97">
        <v>0.95079229345734595</v>
      </c>
      <c r="D97">
        <v>0.87683234085301398</v>
      </c>
      <c r="E97">
        <v>4550.7</v>
      </c>
    </row>
    <row r="98" spans="2:5">
      <c r="B98" s="25">
        <v>41214</v>
      </c>
      <c r="C98">
        <v>0.92571311512973709</v>
      </c>
      <c r="D98">
        <v>0.85225052894835196</v>
      </c>
      <c r="E98">
        <v>4297.7</v>
      </c>
    </row>
    <row r="99" spans="2:5">
      <c r="B99" s="25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5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5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5">
        <v>41242</v>
      </c>
      <c r="C102">
        <v>0.92756020040727527</v>
      </c>
      <c r="D102">
        <v>0.86996445945149903</v>
      </c>
      <c r="E102">
        <v>4943</v>
      </c>
    </row>
    <row r="103" spans="2:5">
      <c r="B103" s="25">
        <v>41249</v>
      </c>
      <c r="C103">
        <v>0.9105479087849232</v>
      </c>
      <c r="D103">
        <v>0.85662578219432695</v>
      </c>
      <c r="E103">
        <v>5368.1</v>
      </c>
    </row>
    <row r="104" spans="2:5">
      <c r="B104" s="25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5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5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5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5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5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5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5">
        <v>41305</v>
      </c>
      <c r="C111">
        <v>0.84748759806752005</v>
      </c>
      <c r="D111">
        <v>0.77322369572310801</v>
      </c>
      <c r="E111">
        <v>4579</v>
      </c>
    </row>
    <row r="112" spans="2:5">
      <c r="B112" s="25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5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5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5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5">
        <v>41340</v>
      </c>
      <c r="C116">
        <v>0.81254588826988361</v>
      </c>
      <c r="D116">
        <v>0.731898053840778</v>
      </c>
      <c r="E116">
        <v>4485.2</v>
      </c>
    </row>
    <row r="117" spans="2:5">
      <c r="B117" s="25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5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5">
        <v>41361</v>
      </c>
      <c r="C119">
        <v>0.73085022058809757</v>
      </c>
      <c r="D119">
        <v>0.712062870316722</v>
      </c>
      <c r="E119">
        <v>4119.2</v>
      </c>
    </row>
    <row r="120" spans="2:5">
      <c r="B120" s="25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5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5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5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5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5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5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5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5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5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5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5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5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5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5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5">
        <v>41473</v>
      </c>
      <c r="C135">
        <v>0.42624975952077765</v>
      </c>
      <c r="D135">
        <v>0.407195502334876</v>
      </c>
      <c r="E135">
        <v>2288</v>
      </c>
    </row>
    <row r="136" spans="2:5">
      <c r="B136" s="25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5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5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5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5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5">
        <v>41515</v>
      </c>
      <c r="C141">
        <v>0.32707732602530493</v>
      </c>
      <c r="D141">
        <v>0.32738957382411199</v>
      </c>
      <c r="E141">
        <v>1909</v>
      </c>
    </row>
    <row r="142" spans="2:5">
      <c r="B142" s="25">
        <v>41522</v>
      </c>
      <c r="C142">
        <v>0.2818649256036454</v>
      </c>
      <c r="D142">
        <v>0.29894428975906101</v>
      </c>
      <c r="E142">
        <v>1512.9</v>
      </c>
    </row>
    <row r="143" spans="2:5">
      <c r="B143" s="25">
        <v>41529</v>
      </c>
      <c r="C143">
        <v>0.27463010199382165</v>
      </c>
      <c r="D143">
        <v>0.28251411119681702</v>
      </c>
      <c r="E143">
        <v>1814</v>
      </c>
    </row>
    <row r="144" spans="2:5">
      <c r="B144" s="25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5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5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5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5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5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5">
        <v>41578</v>
      </c>
      <c r="C150">
        <v>0.4605405147219428</v>
      </c>
      <c r="D150">
        <v>0.47501022290439499</v>
      </c>
      <c r="E150">
        <v>2105.6</v>
      </c>
    </row>
    <row r="151" spans="2:5">
      <c r="B151" s="25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5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5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5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5">
        <v>41613</v>
      </c>
      <c r="C155">
        <v>0.37338021104571051</v>
      </c>
      <c r="D155">
        <v>0.331227934580689</v>
      </c>
      <c r="E155">
        <v>1599.4</v>
      </c>
    </row>
    <row r="156" spans="2:5">
      <c r="B156" s="25">
        <v>41620</v>
      </c>
      <c r="C156">
        <v>0.3707206267478419</v>
      </c>
      <c r="D156">
        <v>0.33082970500556302</v>
      </c>
      <c r="E156">
        <v>1529.8</v>
      </c>
    </row>
    <row r="157" spans="2:5">
      <c r="B157" s="25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5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5">
        <v>41641</v>
      </c>
      <c r="C159">
        <v>0.26212623729092371</v>
      </c>
      <c r="D159">
        <v>0.265306805945277</v>
      </c>
      <c r="E159">
        <v>1352.7</v>
      </c>
    </row>
    <row r="160" spans="2:5">
      <c r="B160" s="25">
        <v>41648</v>
      </c>
      <c r="C160">
        <v>0.2902260049252946</v>
      </c>
      <c r="D160">
        <v>0.29015447722721099</v>
      </c>
      <c r="E160">
        <v>1507</v>
      </c>
    </row>
    <row r="161" spans="2:5">
      <c r="B161" s="25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5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5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5">
        <v>41676</v>
      </c>
      <c r="C164">
        <v>0.40068103493110224</v>
      </c>
      <c r="D164">
        <v>0.407383000493176</v>
      </c>
      <c r="E164">
        <v>1674.2</v>
      </c>
    </row>
    <row r="165" spans="2:5">
      <c r="B165" s="25">
        <v>41683</v>
      </c>
      <c r="C165">
        <v>0.38532630107916044</v>
      </c>
      <c r="D165">
        <v>0.380280894786581</v>
      </c>
      <c r="E165">
        <v>1650.6</v>
      </c>
    </row>
    <row r="166" spans="2:5">
      <c r="B166" s="25">
        <v>41690</v>
      </c>
      <c r="C166">
        <v>0.3755719775185945</v>
      </c>
      <c r="D166">
        <v>0.35043602810261099</v>
      </c>
      <c r="E166">
        <v>1442.3</v>
      </c>
    </row>
    <row r="167" spans="2:5">
      <c r="B167" s="25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5">
        <v>41704</v>
      </c>
      <c r="C168">
        <v>0.38316963725836589</v>
      </c>
      <c r="D168">
        <v>0.37584545219724702</v>
      </c>
      <c r="E168">
        <v>1528</v>
      </c>
    </row>
    <row r="169" spans="2:5">
      <c r="B169" s="25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5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5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5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5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5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5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5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5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5">
        <v>41774</v>
      </c>
      <c r="C178">
        <v>0.4132153406951769</v>
      </c>
      <c r="D178">
        <v>0.42349289634896597</v>
      </c>
      <c r="E178">
        <v>1460.6</v>
      </c>
    </row>
    <row r="179" spans="2:5">
      <c r="B179" s="25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5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5">
        <v>41795</v>
      </c>
      <c r="C181">
        <v>0.46847875373528863</v>
      </c>
      <c r="D181">
        <v>0.447997908024105</v>
      </c>
      <c r="E181">
        <v>1516.9</v>
      </c>
    </row>
    <row r="182" spans="2:5">
      <c r="B182" s="25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5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5">
        <v>41816</v>
      </c>
      <c r="C184">
        <v>0.46847875373528863</v>
      </c>
      <c r="D184">
        <v>0.447997908024105</v>
      </c>
      <c r="E184">
        <v>1341.8</v>
      </c>
    </row>
    <row r="185" spans="2:5">
      <c r="B185" s="25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5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5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5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5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5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5">
        <v>41865</v>
      </c>
      <c r="C191">
        <v>0.45575254137027688</v>
      </c>
      <c r="D191">
        <v>0.437009219217877</v>
      </c>
      <c r="E191">
        <v>1404.9</v>
      </c>
    </row>
    <row r="192" spans="2:5">
      <c r="B192" s="25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5">
        <v>41879</v>
      </c>
      <c r="C193">
        <v>0.49084413664233395</v>
      </c>
      <c r="D193">
        <v>0.46725416935729103</v>
      </c>
      <c r="E193">
        <v>1436</v>
      </c>
    </row>
    <row r="194" spans="2:5">
      <c r="B194" s="25">
        <v>41886</v>
      </c>
      <c r="C194">
        <v>0.4873264191007175</v>
      </c>
      <c r="D194">
        <v>0.46145357757128402</v>
      </c>
      <c r="E194">
        <v>1275.8</v>
      </c>
    </row>
    <row r="195" spans="2:5">
      <c r="B195" s="25">
        <v>41893</v>
      </c>
      <c r="C195">
        <v>0.4741591952243816</v>
      </c>
      <c r="D195">
        <v>0.45995272695767497</v>
      </c>
      <c r="E195">
        <v>1398.4</v>
      </c>
    </row>
    <row r="196" spans="2:5">
      <c r="B196" s="25">
        <v>41900</v>
      </c>
      <c r="C196">
        <v>0.3981672862675662</v>
      </c>
      <c r="D196">
        <v>0.403775681059653</v>
      </c>
      <c r="E196">
        <v>1335.1</v>
      </c>
    </row>
    <row r="197" spans="2:5">
      <c r="B197" s="25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5">
        <v>41914</v>
      </c>
      <c r="C198">
        <v>0.43232059685066798</v>
      </c>
      <c r="D198">
        <v>0.419925946793896</v>
      </c>
      <c r="E198">
        <v>1387.1</v>
      </c>
    </row>
    <row r="199" spans="2:5">
      <c r="B199" s="25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5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5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5">
        <v>41942</v>
      </c>
      <c r="C202">
        <v>0.57181297396619646</v>
      </c>
      <c r="D202">
        <v>0.519221652370358</v>
      </c>
      <c r="E202">
        <v>1604.8</v>
      </c>
    </row>
    <row r="203" spans="2:5">
      <c r="B203" s="25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5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5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5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5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5">
        <v>41984</v>
      </c>
      <c r="C208">
        <v>0.5786710507683992</v>
      </c>
      <c r="D208">
        <v>0.53353274326337596</v>
      </c>
      <c r="E208">
        <v>1518.8</v>
      </c>
    </row>
    <row r="209" spans="2:5">
      <c r="B209" s="25">
        <v>41991</v>
      </c>
      <c r="C209">
        <v>0.6155496963810797</v>
      </c>
      <c r="D209">
        <v>0.57447022909045797</v>
      </c>
      <c r="E209">
        <v>1538.7</v>
      </c>
    </row>
    <row r="210" spans="2:5">
      <c r="B210" s="25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5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5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5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5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5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5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5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5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5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5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5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5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5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5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5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5">
        <v>42110</v>
      </c>
      <c r="C226">
        <v>0.63055503904182508</v>
      </c>
      <c r="D226">
        <v>0.60745911385405604</v>
      </c>
      <c r="E226">
        <v>1817</v>
      </c>
    </row>
    <row r="227" spans="2:5">
      <c r="B227" s="25">
        <v>42117</v>
      </c>
      <c r="C227">
        <v>0.64951370522505292</v>
      </c>
      <c r="D227">
        <v>0.63350921207897204</v>
      </c>
      <c r="E227">
        <v>1723</v>
      </c>
    </row>
    <row r="228" spans="2:5">
      <c r="B228" s="25">
        <v>42124</v>
      </c>
      <c r="C228">
        <v>0.63639402671923606</v>
      </c>
      <c r="D228">
        <v>0.608876308109219</v>
      </c>
      <c r="E228">
        <v>1559.4</v>
      </c>
    </row>
    <row r="229" spans="2:5">
      <c r="B229" s="25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5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5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5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5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5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5">
        <v>42173</v>
      </c>
      <c r="C235">
        <v>0.4660872174903114</v>
      </c>
      <c r="D235">
        <v>0.42202391195455535</v>
      </c>
      <c r="E235">
        <v>1318.3</v>
      </c>
    </row>
    <row r="236" spans="2:5">
      <c r="B236" s="25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2015-11-13T15:48:25Z</dcterms:modified>
</cp:coreProperties>
</file>