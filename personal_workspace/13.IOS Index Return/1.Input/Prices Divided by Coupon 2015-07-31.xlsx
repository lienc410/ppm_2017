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/>
  <bookViews>
    <workbookView xWindow="0" yWindow="0" windowWidth="31170" windowHeight="15795"/>
  </bookViews>
  <sheets>
    <sheet name="Price D Coupon" sheetId="1" r:id="rId1"/>
    <sheet name="Price" sheetId="2" r:id="rId2"/>
    <sheet name="CurrentCoupon" sheetId="3" r:id="rId3"/>
  </sheets>
  <definedNames>
    <definedName name="temp" localSheetId="2">CurrentCoupon!$B$3:$D$1080</definedName>
  </definedNames>
  <calcPr calcId="145621"/>
</workbook>
</file>

<file path=xl/calcChain.xml><?xml version="1.0" encoding="utf-8"?>
<calcChain xmlns="http://schemas.openxmlformats.org/spreadsheetml/2006/main">
  <c r="AI117" i="1" l="1"/>
  <c r="AJ117" i="1"/>
  <c r="AK117" i="1"/>
  <c r="AL117" i="1"/>
  <c r="AM117" i="1"/>
  <c r="AN117" i="1"/>
  <c r="AO117" i="1"/>
  <c r="AP117" i="1"/>
  <c r="AQ117" i="1"/>
  <c r="AR117" i="1"/>
  <c r="AS117" i="1"/>
  <c r="AT117" i="1"/>
  <c r="AU117" i="1"/>
  <c r="AV117" i="1"/>
  <c r="AW117" i="1"/>
  <c r="AX117" i="1"/>
  <c r="AY117" i="1"/>
  <c r="AZ117" i="1"/>
  <c r="BA117" i="1"/>
  <c r="BB117" i="1"/>
  <c r="BC117" i="1"/>
  <c r="BC60" i="1"/>
  <c r="G60" i="1"/>
  <c r="H60" i="1"/>
  <c r="I60" i="1"/>
  <c r="J60" i="1"/>
  <c r="K60" i="1"/>
  <c r="L60" i="1"/>
  <c r="M60" i="1"/>
  <c r="N60" i="1"/>
  <c r="O60" i="1"/>
  <c r="P60" i="1"/>
  <c r="Q60" i="1"/>
  <c r="R60" i="1"/>
  <c r="S60" i="1"/>
  <c r="T60" i="1"/>
  <c r="U60" i="1"/>
  <c r="V60" i="1"/>
  <c r="W60" i="1"/>
  <c r="X60" i="1"/>
  <c r="Y60" i="1"/>
  <c r="AF60" i="1"/>
  <c r="BC116" i="1" l="1"/>
  <c r="AJ116" i="1"/>
  <c r="AK116" i="1"/>
  <c r="AL116" i="1"/>
  <c r="AM116" i="1"/>
  <c r="AN116" i="1"/>
  <c r="AO116" i="1"/>
  <c r="AP116" i="1"/>
  <c r="AQ116" i="1"/>
  <c r="AR116" i="1"/>
  <c r="AS116" i="1"/>
  <c r="AT116" i="1"/>
  <c r="AU116" i="1"/>
  <c r="AV116" i="1"/>
  <c r="AW116" i="1"/>
  <c r="AX116" i="1"/>
  <c r="AY116" i="1"/>
  <c r="AZ116" i="1"/>
  <c r="BA116" i="1"/>
  <c r="BB116" i="1"/>
  <c r="BC59" i="1"/>
  <c r="AF59" i="1"/>
  <c r="G59" i="1"/>
  <c r="H59" i="1"/>
  <c r="I59" i="1"/>
  <c r="J59" i="1"/>
  <c r="K59" i="1"/>
  <c r="L59" i="1"/>
  <c r="M59" i="1"/>
  <c r="N59" i="1"/>
  <c r="O59" i="1"/>
  <c r="P59" i="1"/>
  <c r="Q59" i="1"/>
  <c r="R59" i="1"/>
  <c r="S59" i="1"/>
  <c r="T59" i="1"/>
  <c r="U59" i="1"/>
  <c r="V59" i="1"/>
  <c r="W59" i="1"/>
  <c r="X59" i="1"/>
  <c r="Y59" i="1"/>
  <c r="BC58" i="1"/>
  <c r="Y58" i="1"/>
  <c r="BB115" i="1"/>
  <c r="X58" i="1"/>
  <c r="BA115" i="1"/>
  <c r="W58" i="1"/>
  <c r="AZ115" i="1"/>
  <c r="V58" i="1"/>
  <c r="AY115" i="1"/>
  <c r="U58" i="1"/>
  <c r="AX115" i="1"/>
  <c r="T58" i="1"/>
  <c r="AW115" i="1"/>
  <c r="S58" i="1"/>
  <c r="AV115" i="1"/>
  <c r="R58" i="1"/>
  <c r="AU115" i="1"/>
  <c r="Q58" i="1"/>
  <c r="AT115" i="1"/>
  <c r="P58" i="1"/>
  <c r="AS115" i="1"/>
  <c r="O58" i="1"/>
  <c r="AR115" i="1"/>
  <c r="N58" i="1"/>
  <c r="AQ115" i="1"/>
  <c r="M58" i="1"/>
  <c r="AP115" i="1"/>
  <c r="L58" i="1"/>
  <c r="AO115" i="1"/>
  <c r="K58" i="1"/>
  <c r="AN115" i="1"/>
  <c r="J58" i="1"/>
  <c r="AM115" i="1"/>
  <c r="I58" i="1"/>
  <c r="AL115" i="1"/>
  <c r="H58" i="1"/>
  <c r="AK115" i="1"/>
  <c r="G58" i="1"/>
  <c r="AJ115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G44" i="1" s="1"/>
  <c r="AF45" i="1"/>
  <c r="AF46" i="1"/>
  <c r="AG46" i="1" s="1"/>
  <c r="AF47" i="1"/>
  <c r="AG47" i="1" s="1"/>
  <c r="AF48" i="1"/>
  <c r="AF49" i="1"/>
  <c r="AG49" i="1" s="1"/>
  <c r="AF50" i="1"/>
  <c r="AF51" i="1"/>
  <c r="AF52" i="1"/>
  <c r="AG52" i="1" s="1"/>
  <c r="AF53" i="1"/>
  <c r="AF54" i="1"/>
  <c r="AG54" i="1" s="1"/>
  <c r="AF55" i="1"/>
  <c r="AG55" i="1" s="1"/>
  <c r="AF56" i="1"/>
  <c r="AF57" i="1"/>
  <c r="AG57" i="1" s="1"/>
  <c r="AF58" i="1"/>
  <c r="AF8" i="1"/>
  <c r="BC115" i="1"/>
  <c r="G9" i="1"/>
  <c r="AJ66" i="1"/>
  <c r="H9" i="1"/>
  <c r="AK66" i="1"/>
  <c r="I9" i="1"/>
  <c r="AL66" i="1"/>
  <c r="J9" i="1"/>
  <c r="AM66" i="1"/>
  <c r="K9" i="1"/>
  <c r="AN66" i="1"/>
  <c r="L9" i="1"/>
  <c r="AO66" i="1"/>
  <c r="M9" i="1"/>
  <c r="AP66" i="1"/>
  <c r="N9" i="1"/>
  <c r="O9" i="1"/>
  <c r="AR66" i="1"/>
  <c r="P9" i="1"/>
  <c r="AS66" i="1"/>
  <c r="Q9" i="1"/>
  <c r="AT66" i="1"/>
  <c r="R9" i="1"/>
  <c r="AU66" i="1"/>
  <c r="S9" i="1"/>
  <c r="AV66" i="1"/>
  <c r="T9" i="1"/>
  <c r="AW66" i="1"/>
  <c r="U9" i="1"/>
  <c r="AX66" i="1"/>
  <c r="V9" i="1"/>
  <c r="W9" i="1"/>
  <c r="AZ66" i="1"/>
  <c r="X9" i="1"/>
  <c r="BA66" i="1"/>
  <c r="Y9" i="1"/>
  <c r="BB66" i="1"/>
  <c r="G10" i="1"/>
  <c r="AJ67" i="1"/>
  <c r="H10" i="1"/>
  <c r="AK67" i="1"/>
  <c r="I10" i="1"/>
  <c r="AL67" i="1"/>
  <c r="J10" i="1"/>
  <c r="AM67" i="1"/>
  <c r="K10" i="1"/>
  <c r="L10" i="1"/>
  <c r="AO67" i="1"/>
  <c r="M10" i="1"/>
  <c r="AP67" i="1"/>
  <c r="N10" i="1"/>
  <c r="AQ67" i="1"/>
  <c r="O10" i="1"/>
  <c r="AR67" i="1"/>
  <c r="P10" i="1"/>
  <c r="AS67" i="1"/>
  <c r="Q10" i="1"/>
  <c r="AT67" i="1"/>
  <c r="R10" i="1"/>
  <c r="AU67" i="1"/>
  <c r="S10" i="1"/>
  <c r="T10" i="1"/>
  <c r="AW67" i="1"/>
  <c r="U10" i="1"/>
  <c r="AX67" i="1"/>
  <c r="V10" i="1"/>
  <c r="AY67" i="1"/>
  <c r="W10" i="1"/>
  <c r="AZ67" i="1"/>
  <c r="X10" i="1"/>
  <c r="BA67" i="1"/>
  <c r="Y10" i="1"/>
  <c r="BB67" i="1"/>
  <c r="G11" i="1"/>
  <c r="AJ68" i="1"/>
  <c r="H11" i="1"/>
  <c r="I11" i="1"/>
  <c r="AL68" i="1"/>
  <c r="J11" i="1"/>
  <c r="AM68" i="1"/>
  <c r="K11" i="1"/>
  <c r="AN68" i="1"/>
  <c r="L11" i="1"/>
  <c r="AO68" i="1"/>
  <c r="M11" i="1"/>
  <c r="AP68" i="1"/>
  <c r="N11" i="1"/>
  <c r="AQ68" i="1"/>
  <c r="O11" i="1"/>
  <c r="AR68" i="1"/>
  <c r="P11" i="1"/>
  <c r="Q11" i="1"/>
  <c r="AT68" i="1"/>
  <c r="R11" i="1"/>
  <c r="AU68" i="1"/>
  <c r="S11" i="1"/>
  <c r="AV68" i="1"/>
  <c r="T11" i="1"/>
  <c r="AW68" i="1"/>
  <c r="U11" i="1"/>
  <c r="AX68" i="1"/>
  <c r="V11" i="1"/>
  <c r="AY68" i="1"/>
  <c r="W11" i="1"/>
  <c r="AZ68" i="1"/>
  <c r="X11" i="1"/>
  <c r="Y11" i="1"/>
  <c r="BB68" i="1"/>
  <c r="G12" i="1"/>
  <c r="AJ69" i="1"/>
  <c r="H12" i="1"/>
  <c r="AK69" i="1"/>
  <c r="I12" i="1"/>
  <c r="AL69" i="1"/>
  <c r="J12" i="1"/>
  <c r="AM69" i="1"/>
  <c r="K12" i="1"/>
  <c r="AN69" i="1"/>
  <c r="L12" i="1"/>
  <c r="AO69" i="1"/>
  <c r="M12" i="1"/>
  <c r="N12" i="1"/>
  <c r="AQ69" i="1"/>
  <c r="O12" i="1"/>
  <c r="AR69" i="1"/>
  <c r="P12" i="1"/>
  <c r="AS69" i="1"/>
  <c r="Q12" i="1"/>
  <c r="AT69" i="1"/>
  <c r="R12" i="1"/>
  <c r="AU69" i="1"/>
  <c r="S12" i="1"/>
  <c r="AV69" i="1"/>
  <c r="T12" i="1"/>
  <c r="AW69" i="1"/>
  <c r="U12" i="1"/>
  <c r="V12" i="1"/>
  <c r="AY69" i="1"/>
  <c r="W12" i="1"/>
  <c r="AZ69" i="1"/>
  <c r="X12" i="1"/>
  <c r="BA69" i="1"/>
  <c r="Y12" i="1"/>
  <c r="BB69" i="1"/>
  <c r="G13" i="1"/>
  <c r="AJ70" i="1"/>
  <c r="H13" i="1"/>
  <c r="AK70" i="1"/>
  <c r="I13" i="1"/>
  <c r="AL70" i="1"/>
  <c r="J13" i="1"/>
  <c r="K13" i="1"/>
  <c r="AN70" i="1"/>
  <c r="L13" i="1"/>
  <c r="AO70" i="1"/>
  <c r="M13" i="1"/>
  <c r="AP70" i="1"/>
  <c r="N13" i="1"/>
  <c r="AQ70" i="1"/>
  <c r="O13" i="1"/>
  <c r="AR70" i="1"/>
  <c r="P13" i="1"/>
  <c r="AS70" i="1"/>
  <c r="Q13" i="1"/>
  <c r="AT70" i="1"/>
  <c r="R13" i="1"/>
  <c r="S13" i="1"/>
  <c r="AV70" i="1"/>
  <c r="T13" i="1"/>
  <c r="AW70" i="1"/>
  <c r="U13" i="1"/>
  <c r="AX70" i="1"/>
  <c r="V13" i="1"/>
  <c r="AY70" i="1"/>
  <c r="W13" i="1"/>
  <c r="AZ70" i="1"/>
  <c r="X13" i="1"/>
  <c r="BA70" i="1"/>
  <c r="Y13" i="1"/>
  <c r="BB70" i="1"/>
  <c r="G14" i="1"/>
  <c r="H14" i="1"/>
  <c r="AK71" i="1"/>
  <c r="I14" i="1"/>
  <c r="AL71" i="1"/>
  <c r="J14" i="1"/>
  <c r="AM71" i="1"/>
  <c r="K14" i="1"/>
  <c r="AN71" i="1"/>
  <c r="L14" i="1"/>
  <c r="AO71" i="1"/>
  <c r="M14" i="1"/>
  <c r="AP71" i="1"/>
  <c r="N14" i="1"/>
  <c r="AQ71" i="1"/>
  <c r="O14" i="1"/>
  <c r="P14" i="1"/>
  <c r="AS71" i="1"/>
  <c r="Q14" i="1"/>
  <c r="AT71" i="1"/>
  <c r="R14" i="1"/>
  <c r="AU71" i="1"/>
  <c r="S14" i="1"/>
  <c r="AV71" i="1"/>
  <c r="T14" i="1"/>
  <c r="AW71" i="1"/>
  <c r="U14" i="1"/>
  <c r="AX71" i="1"/>
  <c r="V14" i="1"/>
  <c r="AY71" i="1"/>
  <c r="W14" i="1"/>
  <c r="X14" i="1"/>
  <c r="BA71" i="1"/>
  <c r="Y14" i="1"/>
  <c r="BB71" i="1"/>
  <c r="G15" i="1"/>
  <c r="AJ72" i="1"/>
  <c r="H15" i="1"/>
  <c r="AK72" i="1"/>
  <c r="I15" i="1"/>
  <c r="AL72" i="1"/>
  <c r="J15" i="1"/>
  <c r="AM72" i="1"/>
  <c r="K15" i="1"/>
  <c r="AN72" i="1"/>
  <c r="L15" i="1"/>
  <c r="M15" i="1"/>
  <c r="AP72" i="1"/>
  <c r="N15" i="1"/>
  <c r="AQ72" i="1"/>
  <c r="O15" i="1"/>
  <c r="AR72" i="1"/>
  <c r="P15" i="1"/>
  <c r="AS72" i="1"/>
  <c r="Q15" i="1"/>
  <c r="AT72" i="1"/>
  <c r="R15" i="1"/>
  <c r="AU72" i="1"/>
  <c r="S15" i="1"/>
  <c r="AV72" i="1"/>
  <c r="T15" i="1"/>
  <c r="U15" i="1"/>
  <c r="AX72" i="1"/>
  <c r="V15" i="1"/>
  <c r="AY72" i="1"/>
  <c r="W15" i="1"/>
  <c r="AZ72" i="1"/>
  <c r="X15" i="1"/>
  <c r="BA72" i="1"/>
  <c r="Y15" i="1"/>
  <c r="BB72" i="1"/>
  <c r="G16" i="1"/>
  <c r="AJ73" i="1"/>
  <c r="H16" i="1"/>
  <c r="AK73" i="1"/>
  <c r="I16" i="1"/>
  <c r="J16" i="1"/>
  <c r="AM73" i="1"/>
  <c r="K16" i="1"/>
  <c r="AN73" i="1"/>
  <c r="L16" i="1"/>
  <c r="AO73" i="1"/>
  <c r="M16" i="1"/>
  <c r="AP73" i="1"/>
  <c r="N16" i="1"/>
  <c r="AQ73" i="1"/>
  <c r="O16" i="1"/>
  <c r="AR73" i="1"/>
  <c r="P16" i="1"/>
  <c r="AS73" i="1"/>
  <c r="Q16" i="1"/>
  <c r="R16" i="1"/>
  <c r="AU73" i="1"/>
  <c r="S16" i="1"/>
  <c r="AV73" i="1"/>
  <c r="T16" i="1"/>
  <c r="AW73" i="1"/>
  <c r="U16" i="1"/>
  <c r="AX73" i="1"/>
  <c r="V16" i="1"/>
  <c r="AY73" i="1"/>
  <c r="W16" i="1"/>
  <c r="AZ73" i="1"/>
  <c r="X16" i="1"/>
  <c r="BA73" i="1"/>
  <c r="Y16" i="1"/>
  <c r="G17" i="1"/>
  <c r="AJ74" i="1"/>
  <c r="H17" i="1"/>
  <c r="AK74" i="1"/>
  <c r="I17" i="1"/>
  <c r="AL74" i="1"/>
  <c r="J17" i="1"/>
  <c r="AM74" i="1"/>
  <c r="K17" i="1"/>
  <c r="AN74" i="1"/>
  <c r="L17" i="1"/>
  <c r="AO74" i="1"/>
  <c r="M17" i="1"/>
  <c r="AP74" i="1"/>
  <c r="N17" i="1"/>
  <c r="O17" i="1"/>
  <c r="AR74" i="1"/>
  <c r="P17" i="1"/>
  <c r="AS74" i="1"/>
  <c r="Q17" i="1"/>
  <c r="AT74" i="1"/>
  <c r="R17" i="1"/>
  <c r="AU74" i="1"/>
  <c r="S17" i="1"/>
  <c r="AV74" i="1"/>
  <c r="T17" i="1"/>
  <c r="AW74" i="1"/>
  <c r="U17" i="1"/>
  <c r="AX74" i="1"/>
  <c r="V17" i="1"/>
  <c r="W17" i="1"/>
  <c r="AZ74" i="1"/>
  <c r="X17" i="1"/>
  <c r="BA74" i="1"/>
  <c r="Y17" i="1"/>
  <c r="BB74" i="1"/>
  <c r="G18" i="1"/>
  <c r="AJ75" i="1"/>
  <c r="H18" i="1"/>
  <c r="AK75" i="1"/>
  <c r="I18" i="1"/>
  <c r="AL75" i="1"/>
  <c r="J18" i="1"/>
  <c r="AM75" i="1"/>
  <c r="K18" i="1"/>
  <c r="L18" i="1"/>
  <c r="AO75" i="1"/>
  <c r="M18" i="1"/>
  <c r="AP75" i="1"/>
  <c r="N18" i="1"/>
  <c r="AQ75" i="1"/>
  <c r="O18" i="1"/>
  <c r="AR75" i="1"/>
  <c r="P18" i="1"/>
  <c r="AS75" i="1"/>
  <c r="Q18" i="1"/>
  <c r="AT75" i="1"/>
  <c r="R18" i="1"/>
  <c r="AU75" i="1"/>
  <c r="S18" i="1"/>
  <c r="T18" i="1"/>
  <c r="AW75" i="1"/>
  <c r="U18" i="1"/>
  <c r="AX75" i="1"/>
  <c r="V18" i="1"/>
  <c r="AY75" i="1"/>
  <c r="W18" i="1"/>
  <c r="AZ75" i="1"/>
  <c r="X18" i="1"/>
  <c r="BA75" i="1"/>
  <c r="Y18" i="1"/>
  <c r="BB75" i="1"/>
  <c r="G19" i="1"/>
  <c r="AJ76" i="1"/>
  <c r="H19" i="1"/>
  <c r="I19" i="1"/>
  <c r="AL76" i="1"/>
  <c r="J19" i="1"/>
  <c r="AM76" i="1"/>
  <c r="K19" i="1"/>
  <c r="AN76" i="1"/>
  <c r="L19" i="1"/>
  <c r="AO76" i="1"/>
  <c r="M19" i="1"/>
  <c r="AP76" i="1"/>
  <c r="N19" i="1"/>
  <c r="AQ76" i="1"/>
  <c r="O19" i="1"/>
  <c r="AR76" i="1"/>
  <c r="P19" i="1"/>
  <c r="Q19" i="1"/>
  <c r="AT76" i="1"/>
  <c r="R19" i="1"/>
  <c r="AU76" i="1"/>
  <c r="S19" i="1"/>
  <c r="AV76" i="1"/>
  <c r="T19" i="1"/>
  <c r="AW76" i="1"/>
  <c r="U19" i="1"/>
  <c r="AX76" i="1"/>
  <c r="V19" i="1"/>
  <c r="AY76" i="1"/>
  <c r="W19" i="1"/>
  <c r="AZ76" i="1"/>
  <c r="X19" i="1"/>
  <c r="Y19" i="1"/>
  <c r="BB76" i="1"/>
  <c r="G20" i="1"/>
  <c r="AJ77" i="1"/>
  <c r="H20" i="1"/>
  <c r="AK77" i="1"/>
  <c r="I20" i="1"/>
  <c r="AL77" i="1"/>
  <c r="J20" i="1"/>
  <c r="AM77" i="1"/>
  <c r="K20" i="1"/>
  <c r="AN77" i="1"/>
  <c r="L20" i="1"/>
  <c r="AO77" i="1"/>
  <c r="M20" i="1"/>
  <c r="N20" i="1"/>
  <c r="AQ77" i="1"/>
  <c r="O20" i="1"/>
  <c r="AR77" i="1"/>
  <c r="P20" i="1"/>
  <c r="AS77" i="1"/>
  <c r="Q20" i="1"/>
  <c r="AT77" i="1"/>
  <c r="R20" i="1"/>
  <c r="AU77" i="1"/>
  <c r="S20" i="1"/>
  <c r="AV77" i="1"/>
  <c r="T20" i="1"/>
  <c r="AW77" i="1"/>
  <c r="U20" i="1"/>
  <c r="V20" i="1"/>
  <c r="AY77" i="1"/>
  <c r="W20" i="1"/>
  <c r="AZ77" i="1"/>
  <c r="X20" i="1"/>
  <c r="BA77" i="1"/>
  <c r="Y20" i="1"/>
  <c r="BB77" i="1"/>
  <c r="G21" i="1"/>
  <c r="AJ78" i="1"/>
  <c r="H21" i="1"/>
  <c r="AK78" i="1"/>
  <c r="I21" i="1"/>
  <c r="AL78" i="1"/>
  <c r="J21" i="1"/>
  <c r="K21" i="1"/>
  <c r="AN78" i="1"/>
  <c r="L21" i="1"/>
  <c r="AO78" i="1"/>
  <c r="M21" i="1"/>
  <c r="AP78" i="1"/>
  <c r="N21" i="1"/>
  <c r="AQ78" i="1"/>
  <c r="O21" i="1"/>
  <c r="AR78" i="1"/>
  <c r="P21" i="1"/>
  <c r="AS78" i="1"/>
  <c r="Q21" i="1"/>
  <c r="AT78" i="1"/>
  <c r="R21" i="1"/>
  <c r="S21" i="1"/>
  <c r="AV78" i="1"/>
  <c r="T21" i="1"/>
  <c r="AW78" i="1"/>
  <c r="U21" i="1"/>
  <c r="AX78" i="1"/>
  <c r="V21" i="1"/>
  <c r="AY78" i="1"/>
  <c r="W21" i="1"/>
  <c r="AZ78" i="1"/>
  <c r="X21" i="1"/>
  <c r="BA78" i="1"/>
  <c r="Y21" i="1"/>
  <c r="BB78" i="1"/>
  <c r="G22" i="1"/>
  <c r="H22" i="1"/>
  <c r="AK79" i="1"/>
  <c r="I22" i="1"/>
  <c r="AL79" i="1"/>
  <c r="J22" i="1"/>
  <c r="AM79" i="1"/>
  <c r="K22" i="1"/>
  <c r="AN79" i="1"/>
  <c r="L22" i="1"/>
  <c r="AO79" i="1"/>
  <c r="M22" i="1"/>
  <c r="AP79" i="1"/>
  <c r="N22" i="1"/>
  <c r="AQ79" i="1"/>
  <c r="O22" i="1"/>
  <c r="P22" i="1"/>
  <c r="AS79" i="1"/>
  <c r="Q22" i="1"/>
  <c r="AT79" i="1"/>
  <c r="R22" i="1"/>
  <c r="AU79" i="1"/>
  <c r="S22" i="1"/>
  <c r="AV79" i="1"/>
  <c r="T22" i="1"/>
  <c r="AW79" i="1"/>
  <c r="U22" i="1"/>
  <c r="AX79" i="1"/>
  <c r="V22" i="1"/>
  <c r="AY79" i="1"/>
  <c r="W22" i="1"/>
  <c r="X22" i="1"/>
  <c r="BA79" i="1"/>
  <c r="Y22" i="1"/>
  <c r="BB79" i="1"/>
  <c r="G23" i="1"/>
  <c r="AJ80" i="1"/>
  <c r="H23" i="1"/>
  <c r="AK80" i="1"/>
  <c r="I23" i="1"/>
  <c r="AL80" i="1"/>
  <c r="J23" i="1"/>
  <c r="AM80" i="1"/>
  <c r="K23" i="1"/>
  <c r="AN80" i="1"/>
  <c r="L23" i="1"/>
  <c r="M23" i="1"/>
  <c r="AP80" i="1"/>
  <c r="N23" i="1"/>
  <c r="AQ80" i="1"/>
  <c r="O23" i="1"/>
  <c r="AR80" i="1"/>
  <c r="P23" i="1"/>
  <c r="AS80" i="1"/>
  <c r="Q23" i="1"/>
  <c r="AT80" i="1"/>
  <c r="R23" i="1"/>
  <c r="AU80" i="1"/>
  <c r="S23" i="1"/>
  <c r="AV80" i="1"/>
  <c r="T23" i="1"/>
  <c r="U23" i="1"/>
  <c r="AX80" i="1"/>
  <c r="V23" i="1"/>
  <c r="AY80" i="1"/>
  <c r="W23" i="1"/>
  <c r="AZ80" i="1"/>
  <c r="X23" i="1"/>
  <c r="BA80" i="1"/>
  <c r="Y23" i="1"/>
  <c r="BB80" i="1"/>
  <c r="G24" i="1"/>
  <c r="AJ81" i="1"/>
  <c r="H24" i="1"/>
  <c r="AK81" i="1"/>
  <c r="I24" i="1"/>
  <c r="J24" i="1"/>
  <c r="AM81" i="1"/>
  <c r="K24" i="1"/>
  <c r="AN81" i="1"/>
  <c r="L24" i="1"/>
  <c r="AO81" i="1"/>
  <c r="M24" i="1"/>
  <c r="AP81" i="1"/>
  <c r="N24" i="1"/>
  <c r="AQ81" i="1"/>
  <c r="O24" i="1"/>
  <c r="AR81" i="1"/>
  <c r="P24" i="1"/>
  <c r="AS81" i="1"/>
  <c r="Q24" i="1"/>
  <c r="R24" i="1"/>
  <c r="AU81" i="1"/>
  <c r="S24" i="1"/>
  <c r="AV81" i="1"/>
  <c r="T24" i="1"/>
  <c r="AW81" i="1"/>
  <c r="U24" i="1"/>
  <c r="AX81" i="1"/>
  <c r="V24" i="1"/>
  <c r="AY81" i="1"/>
  <c r="W24" i="1"/>
  <c r="AZ81" i="1"/>
  <c r="X24" i="1"/>
  <c r="BA81" i="1"/>
  <c r="Y24" i="1"/>
  <c r="G25" i="1"/>
  <c r="AJ82" i="1"/>
  <c r="H25" i="1"/>
  <c r="AK82" i="1"/>
  <c r="I25" i="1"/>
  <c r="AL82" i="1"/>
  <c r="J25" i="1"/>
  <c r="AM82" i="1"/>
  <c r="K25" i="1"/>
  <c r="AN82" i="1"/>
  <c r="L25" i="1"/>
  <c r="AO82" i="1"/>
  <c r="M25" i="1"/>
  <c r="AP82" i="1"/>
  <c r="N25" i="1"/>
  <c r="O25" i="1"/>
  <c r="AR82" i="1"/>
  <c r="P25" i="1"/>
  <c r="AS82" i="1"/>
  <c r="Q25" i="1"/>
  <c r="AT82" i="1"/>
  <c r="R25" i="1"/>
  <c r="AU82" i="1"/>
  <c r="S25" i="1"/>
  <c r="AV82" i="1"/>
  <c r="T25" i="1"/>
  <c r="AW82" i="1"/>
  <c r="U25" i="1"/>
  <c r="AX82" i="1"/>
  <c r="V25" i="1"/>
  <c r="W25" i="1"/>
  <c r="AZ82" i="1"/>
  <c r="X25" i="1"/>
  <c r="BA82" i="1"/>
  <c r="Y25" i="1"/>
  <c r="BB82" i="1"/>
  <c r="G26" i="1"/>
  <c r="AJ83" i="1"/>
  <c r="H26" i="1"/>
  <c r="AK83" i="1"/>
  <c r="I26" i="1"/>
  <c r="AL83" i="1"/>
  <c r="J26" i="1"/>
  <c r="AM83" i="1"/>
  <c r="K26" i="1"/>
  <c r="L26" i="1"/>
  <c r="AO83" i="1"/>
  <c r="M26" i="1"/>
  <c r="AP83" i="1"/>
  <c r="N26" i="1"/>
  <c r="AQ83" i="1"/>
  <c r="O26" i="1"/>
  <c r="AR83" i="1"/>
  <c r="P26" i="1"/>
  <c r="AS83" i="1"/>
  <c r="Q26" i="1"/>
  <c r="AT83" i="1"/>
  <c r="R26" i="1"/>
  <c r="AU83" i="1"/>
  <c r="S26" i="1"/>
  <c r="T26" i="1"/>
  <c r="AW83" i="1"/>
  <c r="U26" i="1"/>
  <c r="AX83" i="1"/>
  <c r="V26" i="1"/>
  <c r="AY83" i="1"/>
  <c r="W26" i="1"/>
  <c r="AZ83" i="1"/>
  <c r="X26" i="1"/>
  <c r="BA83" i="1"/>
  <c r="Y26" i="1"/>
  <c r="BB83" i="1"/>
  <c r="G27" i="1"/>
  <c r="AJ84" i="1"/>
  <c r="H27" i="1"/>
  <c r="I27" i="1"/>
  <c r="AL84" i="1"/>
  <c r="J27" i="1"/>
  <c r="AM84" i="1"/>
  <c r="K27" i="1"/>
  <c r="AN84" i="1"/>
  <c r="L27" i="1"/>
  <c r="AO84" i="1"/>
  <c r="M27" i="1"/>
  <c r="AP84" i="1"/>
  <c r="N27" i="1"/>
  <c r="AQ84" i="1"/>
  <c r="O27" i="1"/>
  <c r="AR84" i="1"/>
  <c r="P27" i="1"/>
  <c r="Q27" i="1"/>
  <c r="AT84" i="1"/>
  <c r="R27" i="1"/>
  <c r="AU84" i="1"/>
  <c r="S27" i="1"/>
  <c r="AV84" i="1"/>
  <c r="T27" i="1"/>
  <c r="AW84" i="1"/>
  <c r="U27" i="1"/>
  <c r="AX84" i="1"/>
  <c r="V27" i="1"/>
  <c r="AY84" i="1"/>
  <c r="W27" i="1"/>
  <c r="AZ84" i="1"/>
  <c r="X27" i="1"/>
  <c r="Y27" i="1"/>
  <c r="BB84" i="1"/>
  <c r="G28" i="1"/>
  <c r="AJ85" i="1"/>
  <c r="H28" i="1"/>
  <c r="AK85" i="1"/>
  <c r="I28" i="1"/>
  <c r="AL85" i="1"/>
  <c r="J28" i="1"/>
  <c r="AM85" i="1"/>
  <c r="K28" i="1"/>
  <c r="AN85" i="1"/>
  <c r="L28" i="1"/>
  <c r="AO85" i="1"/>
  <c r="M28" i="1"/>
  <c r="N28" i="1"/>
  <c r="AQ85" i="1"/>
  <c r="O28" i="1"/>
  <c r="AR85" i="1"/>
  <c r="P28" i="1"/>
  <c r="AS85" i="1"/>
  <c r="Q28" i="1"/>
  <c r="AT85" i="1"/>
  <c r="R28" i="1"/>
  <c r="AU85" i="1"/>
  <c r="S28" i="1"/>
  <c r="AV85" i="1"/>
  <c r="T28" i="1"/>
  <c r="AW85" i="1"/>
  <c r="U28" i="1"/>
  <c r="AX85" i="1"/>
  <c r="V28" i="1"/>
  <c r="AY85" i="1"/>
  <c r="W28" i="1"/>
  <c r="AZ85" i="1"/>
  <c r="X28" i="1"/>
  <c r="BA85" i="1"/>
  <c r="Y28" i="1"/>
  <c r="BB85" i="1"/>
  <c r="G29" i="1"/>
  <c r="AJ86" i="1"/>
  <c r="H29" i="1"/>
  <c r="AK86" i="1"/>
  <c r="I29" i="1"/>
  <c r="AL86" i="1"/>
  <c r="J29" i="1"/>
  <c r="AM86" i="1"/>
  <c r="K29" i="1"/>
  <c r="AN86" i="1"/>
  <c r="L29" i="1"/>
  <c r="AO86" i="1"/>
  <c r="M29" i="1"/>
  <c r="AP86" i="1"/>
  <c r="N29" i="1"/>
  <c r="AQ86" i="1"/>
  <c r="O29" i="1"/>
  <c r="AR86" i="1"/>
  <c r="P29" i="1"/>
  <c r="AS86" i="1"/>
  <c r="Q29" i="1"/>
  <c r="AT86" i="1"/>
  <c r="R29" i="1"/>
  <c r="AU86" i="1"/>
  <c r="S29" i="1"/>
  <c r="AV86" i="1"/>
  <c r="T29" i="1"/>
  <c r="AW86" i="1"/>
  <c r="U29" i="1"/>
  <c r="AX86" i="1"/>
  <c r="V29" i="1"/>
  <c r="AY86" i="1"/>
  <c r="W29" i="1"/>
  <c r="AZ86" i="1"/>
  <c r="X29" i="1"/>
  <c r="BA86" i="1"/>
  <c r="Y29" i="1"/>
  <c r="BB86" i="1"/>
  <c r="G30" i="1"/>
  <c r="AJ87" i="1"/>
  <c r="H30" i="1"/>
  <c r="AK87" i="1"/>
  <c r="I30" i="1"/>
  <c r="AL87" i="1"/>
  <c r="J30" i="1"/>
  <c r="AM87" i="1"/>
  <c r="K30" i="1"/>
  <c r="AN87" i="1"/>
  <c r="L30" i="1"/>
  <c r="AO87" i="1"/>
  <c r="M30" i="1"/>
  <c r="AP87" i="1"/>
  <c r="N30" i="1"/>
  <c r="AQ87" i="1"/>
  <c r="O30" i="1"/>
  <c r="AR87" i="1"/>
  <c r="P30" i="1"/>
  <c r="AS87" i="1"/>
  <c r="Q30" i="1"/>
  <c r="AT87" i="1"/>
  <c r="R30" i="1"/>
  <c r="AU87" i="1"/>
  <c r="S30" i="1"/>
  <c r="AV87" i="1"/>
  <c r="T30" i="1"/>
  <c r="AW87" i="1"/>
  <c r="U30" i="1"/>
  <c r="AX87" i="1"/>
  <c r="V30" i="1"/>
  <c r="AY87" i="1"/>
  <c r="W30" i="1"/>
  <c r="X30" i="1"/>
  <c r="BA87" i="1"/>
  <c r="Y30" i="1"/>
  <c r="BB87" i="1"/>
  <c r="G31" i="1"/>
  <c r="AJ88" i="1"/>
  <c r="H31" i="1"/>
  <c r="AK88" i="1"/>
  <c r="I31" i="1"/>
  <c r="AL88" i="1"/>
  <c r="J31" i="1"/>
  <c r="AM88" i="1"/>
  <c r="K31" i="1"/>
  <c r="AN88" i="1"/>
  <c r="L31" i="1"/>
  <c r="AO88" i="1"/>
  <c r="M31" i="1"/>
  <c r="AP88" i="1"/>
  <c r="N31" i="1"/>
  <c r="AQ88" i="1"/>
  <c r="O31" i="1"/>
  <c r="AR88" i="1"/>
  <c r="P31" i="1"/>
  <c r="AS88" i="1"/>
  <c r="Q31" i="1"/>
  <c r="AT88" i="1"/>
  <c r="R31" i="1"/>
  <c r="AU88" i="1"/>
  <c r="S31" i="1"/>
  <c r="AV88" i="1"/>
  <c r="T31" i="1"/>
  <c r="AW88" i="1"/>
  <c r="U31" i="1"/>
  <c r="AX88" i="1"/>
  <c r="V31" i="1"/>
  <c r="AY88" i="1"/>
  <c r="W31" i="1"/>
  <c r="AZ88" i="1"/>
  <c r="X31" i="1"/>
  <c r="BA88" i="1"/>
  <c r="Y31" i="1"/>
  <c r="BB88" i="1"/>
  <c r="G32" i="1"/>
  <c r="AJ89" i="1"/>
  <c r="H32" i="1"/>
  <c r="AK89" i="1"/>
  <c r="I32" i="1"/>
  <c r="AL89" i="1"/>
  <c r="J32" i="1"/>
  <c r="AM89" i="1"/>
  <c r="K32" i="1"/>
  <c r="AN89" i="1"/>
  <c r="L32" i="1"/>
  <c r="AO89" i="1"/>
  <c r="M32" i="1"/>
  <c r="AP89" i="1"/>
  <c r="N32" i="1"/>
  <c r="AQ89" i="1"/>
  <c r="O32" i="1"/>
  <c r="AR89" i="1"/>
  <c r="P32" i="1"/>
  <c r="AS89" i="1"/>
  <c r="Q32" i="1"/>
  <c r="AT89" i="1"/>
  <c r="R32" i="1"/>
  <c r="AU89" i="1"/>
  <c r="S32" i="1"/>
  <c r="AV89" i="1"/>
  <c r="T32" i="1"/>
  <c r="AW89" i="1"/>
  <c r="U32" i="1"/>
  <c r="AX89" i="1"/>
  <c r="V32" i="1"/>
  <c r="AY89" i="1"/>
  <c r="W32" i="1"/>
  <c r="AZ89" i="1"/>
  <c r="X32" i="1"/>
  <c r="BA89" i="1"/>
  <c r="Y32" i="1"/>
  <c r="BB89" i="1"/>
  <c r="G33" i="1"/>
  <c r="AJ90" i="1"/>
  <c r="H33" i="1"/>
  <c r="AK90" i="1"/>
  <c r="I33" i="1"/>
  <c r="AL90" i="1"/>
  <c r="J33" i="1"/>
  <c r="AM90" i="1"/>
  <c r="K33" i="1"/>
  <c r="AN90" i="1"/>
  <c r="L33" i="1"/>
  <c r="AO90" i="1"/>
  <c r="M33" i="1"/>
  <c r="AP90" i="1"/>
  <c r="N33" i="1"/>
  <c r="AQ90" i="1"/>
  <c r="O33" i="1"/>
  <c r="AR90" i="1"/>
  <c r="P33" i="1"/>
  <c r="AS90" i="1"/>
  <c r="Q33" i="1"/>
  <c r="AT90" i="1"/>
  <c r="R33" i="1"/>
  <c r="AU90" i="1"/>
  <c r="S33" i="1"/>
  <c r="AV90" i="1"/>
  <c r="T33" i="1"/>
  <c r="AW90" i="1"/>
  <c r="U33" i="1"/>
  <c r="AX90" i="1"/>
  <c r="V33" i="1"/>
  <c r="W33" i="1"/>
  <c r="AZ90" i="1"/>
  <c r="X33" i="1"/>
  <c r="BA90" i="1"/>
  <c r="Y33" i="1"/>
  <c r="BB90" i="1"/>
  <c r="G34" i="1"/>
  <c r="AJ91" i="1"/>
  <c r="H34" i="1"/>
  <c r="AK91" i="1"/>
  <c r="I34" i="1"/>
  <c r="AL91" i="1"/>
  <c r="J34" i="1"/>
  <c r="AM91" i="1"/>
  <c r="K34" i="1"/>
  <c r="AN91" i="1"/>
  <c r="L34" i="1"/>
  <c r="AO91" i="1"/>
  <c r="M34" i="1"/>
  <c r="AP91" i="1"/>
  <c r="N34" i="1"/>
  <c r="AQ91" i="1"/>
  <c r="O34" i="1"/>
  <c r="AR91" i="1"/>
  <c r="P34" i="1"/>
  <c r="AS91" i="1"/>
  <c r="Q34" i="1"/>
  <c r="AT91" i="1"/>
  <c r="R34" i="1"/>
  <c r="AU91" i="1"/>
  <c r="S34" i="1"/>
  <c r="AV91" i="1"/>
  <c r="T34" i="1"/>
  <c r="AW91" i="1"/>
  <c r="U34" i="1"/>
  <c r="AX91" i="1"/>
  <c r="V34" i="1"/>
  <c r="AY91" i="1"/>
  <c r="W34" i="1"/>
  <c r="AZ91" i="1"/>
  <c r="X34" i="1"/>
  <c r="BA91" i="1"/>
  <c r="Y34" i="1"/>
  <c r="BB91" i="1"/>
  <c r="G35" i="1"/>
  <c r="AJ92" i="1"/>
  <c r="H35" i="1"/>
  <c r="AK92" i="1"/>
  <c r="I35" i="1"/>
  <c r="AL92" i="1"/>
  <c r="J35" i="1"/>
  <c r="AM92" i="1"/>
  <c r="K35" i="1"/>
  <c r="AN92" i="1"/>
  <c r="L35" i="1"/>
  <c r="AO92" i="1"/>
  <c r="M35" i="1"/>
  <c r="AP92" i="1"/>
  <c r="N35" i="1"/>
  <c r="AQ92" i="1"/>
  <c r="O35" i="1"/>
  <c r="AR92" i="1"/>
  <c r="P35" i="1"/>
  <c r="AS92" i="1"/>
  <c r="Q35" i="1"/>
  <c r="AT92" i="1"/>
  <c r="R35" i="1"/>
  <c r="AU92" i="1"/>
  <c r="S35" i="1"/>
  <c r="AV92" i="1"/>
  <c r="T35" i="1"/>
  <c r="AW92" i="1"/>
  <c r="U35" i="1"/>
  <c r="AX92" i="1"/>
  <c r="V35" i="1"/>
  <c r="AY92" i="1"/>
  <c r="W35" i="1"/>
  <c r="AZ92" i="1"/>
  <c r="X35" i="1"/>
  <c r="BA92" i="1"/>
  <c r="Y35" i="1"/>
  <c r="BB92" i="1"/>
  <c r="G36" i="1"/>
  <c r="AJ93" i="1"/>
  <c r="H36" i="1"/>
  <c r="AK93" i="1"/>
  <c r="I36" i="1"/>
  <c r="AL93" i="1"/>
  <c r="J36" i="1"/>
  <c r="AM93" i="1"/>
  <c r="K36" i="1"/>
  <c r="AN93" i="1"/>
  <c r="L36" i="1"/>
  <c r="AO93" i="1"/>
  <c r="M36" i="1"/>
  <c r="AP93" i="1"/>
  <c r="N36" i="1"/>
  <c r="AQ93" i="1"/>
  <c r="O36" i="1"/>
  <c r="AR93" i="1"/>
  <c r="P36" i="1"/>
  <c r="AS93" i="1"/>
  <c r="Q36" i="1"/>
  <c r="AT93" i="1"/>
  <c r="R36" i="1"/>
  <c r="AU93" i="1"/>
  <c r="S36" i="1"/>
  <c r="AV93" i="1"/>
  <c r="T36" i="1"/>
  <c r="AW93" i="1"/>
  <c r="U36" i="1"/>
  <c r="AX93" i="1"/>
  <c r="V36" i="1"/>
  <c r="AY93" i="1"/>
  <c r="W36" i="1"/>
  <c r="AZ93" i="1"/>
  <c r="X36" i="1"/>
  <c r="BA93" i="1"/>
  <c r="Y36" i="1"/>
  <c r="BB93" i="1"/>
  <c r="G37" i="1"/>
  <c r="AJ94" i="1"/>
  <c r="H37" i="1"/>
  <c r="AK94" i="1"/>
  <c r="I37" i="1"/>
  <c r="AL94" i="1"/>
  <c r="J37" i="1"/>
  <c r="AM94" i="1"/>
  <c r="K37" i="1"/>
  <c r="AN94" i="1"/>
  <c r="L37" i="1"/>
  <c r="AO94" i="1"/>
  <c r="M37" i="1"/>
  <c r="AP94" i="1"/>
  <c r="N37" i="1"/>
  <c r="AQ94" i="1"/>
  <c r="O37" i="1"/>
  <c r="AR94" i="1"/>
  <c r="P37" i="1"/>
  <c r="AS94" i="1"/>
  <c r="Q37" i="1"/>
  <c r="AT94" i="1"/>
  <c r="R37" i="1"/>
  <c r="S37" i="1"/>
  <c r="AV94" i="1"/>
  <c r="T37" i="1"/>
  <c r="AW94" i="1"/>
  <c r="U37" i="1"/>
  <c r="AX94" i="1"/>
  <c r="V37" i="1"/>
  <c r="AY94" i="1"/>
  <c r="W37" i="1"/>
  <c r="AZ94" i="1"/>
  <c r="X37" i="1"/>
  <c r="BA94" i="1"/>
  <c r="Y37" i="1"/>
  <c r="BB94" i="1"/>
  <c r="G38" i="1"/>
  <c r="H38" i="1"/>
  <c r="AK95" i="1"/>
  <c r="I38" i="1"/>
  <c r="AL95" i="1"/>
  <c r="J38" i="1"/>
  <c r="AM95" i="1"/>
  <c r="K38" i="1"/>
  <c r="AN95" i="1"/>
  <c r="L38" i="1"/>
  <c r="AO95" i="1"/>
  <c r="M38" i="1"/>
  <c r="AP95" i="1"/>
  <c r="N38" i="1"/>
  <c r="AQ95" i="1"/>
  <c r="O38" i="1"/>
  <c r="AR95" i="1"/>
  <c r="P38" i="1"/>
  <c r="AS95" i="1"/>
  <c r="Q38" i="1"/>
  <c r="AT95" i="1"/>
  <c r="R38" i="1"/>
  <c r="AU95" i="1"/>
  <c r="S38" i="1"/>
  <c r="AV95" i="1"/>
  <c r="T38" i="1"/>
  <c r="AW95" i="1"/>
  <c r="U38" i="1"/>
  <c r="AX95" i="1"/>
  <c r="V38" i="1"/>
  <c r="AY95" i="1"/>
  <c r="W38" i="1"/>
  <c r="AZ95" i="1"/>
  <c r="X38" i="1"/>
  <c r="BA95" i="1"/>
  <c r="Y38" i="1"/>
  <c r="BB95" i="1"/>
  <c r="G39" i="1"/>
  <c r="AJ96" i="1"/>
  <c r="H39" i="1"/>
  <c r="AK96" i="1"/>
  <c r="I39" i="1"/>
  <c r="AL96" i="1"/>
  <c r="J39" i="1"/>
  <c r="AM96" i="1"/>
  <c r="K39" i="1"/>
  <c r="AN96" i="1"/>
  <c r="L39" i="1"/>
  <c r="AO96" i="1"/>
  <c r="M39" i="1"/>
  <c r="AP96" i="1"/>
  <c r="N39" i="1"/>
  <c r="AQ96" i="1"/>
  <c r="O39" i="1"/>
  <c r="AR96" i="1"/>
  <c r="P39" i="1"/>
  <c r="AS96" i="1"/>
  <c r="Q39" i="1"/>
  <c r="AT96" i="1"/>
  <c r="R39" i="1"/>
  <c r="AU96" i="1"/>
  <c r="S39" i="1"/>
  <c r="AV96" i="1"/>
  <c r="T39" i="1"/>
  <c r="AW96" i="1"/>
  <c r="U39" i="1"/>
  <c r="AX96" i="1"/>
  <c r="V39" i="1"/>
  <c r="AY96" i="1"/>
  <c r="W39" i="1"/>
  <c r="AZ96" i="1"/>
  <c r="X39" i="1"/>
  <c r="BA96" i="1"/>
  <c r="Y39" i="1"/>
  <c r="BB96" i="1"/>
  <c r="G40" i="1"/>
  <c r="AJ97" i="1"/>
  <c r="H40" i="1"/>
  <c r="AK97" i="1"/>
  <c r="I40" i="1"/>
  <c r="AL97" i="1"/>
  <c r="J40" i="1"/>
  <c r="AM97" i="1"/>
  <c r="K40" i="1"/>
  <c r="AN97" i="1"/>
  <c r="L40" i="1"/>
  <c r="AO97" i="1"/>
  <c r="M40" i="1"/>
  <c r="AP97" i="1"/>
  <c r="N40" i="1"/>
  <c r="AQ97" i="1"/>
  <c r="O40" i="1"/>
  <c r="AR97" i="1"/>
  <c r="P40" i="1"/>
  <c r="AS97" i="1"/>
  <c r="Q40" i="1"/>
  <c r="AT97" i="1"/>
  <c r="R40" i="1"/>
  <c r="AU97" i="1"/>
  <c r="S40" i="1"/>
  <c r="AV97" i="1"/>
  <c r="T40" i="1"/>
  <c r="AW97" i="1"/>
  <c r="U40" i="1"/>
  <c r="AX97" i="1"/>
  <c r="V40" i="1"/>
  <c r="AY97" i="1"/>
  <c r="W40" i="1"/>
  <c r="AZ97" i="1"/>
  <c r="X40" i="1"/>
  <c r="BA97" i="1"/>
  <c r="Y40" i="1"/>
  <c r="BB97" i="1"/>
  <c r="G41" i="1"/>
  <c r="AJ98" i="1"/>
  <c r="H41" i="1"/>
  <c r="AK98" i="1"/>
  <c r="I41" i="1"/>
  <c r="AL98" i="1"/>
  <c r="J41" i="1"/>
  <c r="AM98" i="1"/>
  <c r="K41" i="1"/>
  <c r="AN98" i="1"/>
  <c r="L41" i="1"/>
  <c r="AO98" i="1"/>
  <c r="M41" i="1"/>
  <c r="AP98" i="1"/>
  <c r="N41" i="1"/>
  <c r="AQ98" i="1"/>
  <c r="O41" i="1"/>
  <c r="AR98" i="1"/>
  <c r="P41" i="1"/>
  <c r="AS98" i="1"/>
  <c r="Q41" i="1"/>
  <c r="AT98" i="1"/>
  <c r="R41" i="1"/>
  <c r="AU98" i="1"/>
  <c r="S41" i="1"/>
  <c r="AV98" i="1"/>
  <c r="T41" i="1"/>
  <c r="AW98" i="1"/>
  <c r="U41" i="1"/>
  <c r="AX98" i="1"/>
  <c r="V41" i="1"/>
  <c r="AY98" i="1"/>
  <c r="W41" i="1"/>
  <c r="AZ98" i="1"/>
  <c r="X41" i="1"/>
  <c r="BA98" i="1"/>
  <c r="Y41" i="1"/>
  <c r="BB98" i="1"/>
  <c r="G42" i="1"/>
  <c r="AJ99" i="1"/>
  <c r="H42" i="1"/>
  <c r="AK99" i="1"/>
  <c r="I42" i="1"/>
  <c r="AL99" i="1"/>
  <c r="J42" i="1"/>
  <c r="AM99" i="1"/>
  <c r="K42" i="1"/>
  <c r="AN99" i="1"/>
  <c r="L42" i="1"/>
  <c r="AO99" i="1"/>
  <c r="M42" i="1"/>
  <c r="AP99" i="1"/>
  <c r="N42" i="1"/>
  <c r="AQ99" i="1"/>
  <c r="O42" i="1"/>
  <c r="AR99" i="1"/>
  <c r="P42" i="1"/>
  <c r="AS99" i="1"/>
  <c r="Q42" i="1"/>
  <c r="AT99" i="1"/>
  <c r="R42" i="1"/>
  <c r="AU99" i="1"/>
  <c r="S42" i="1"/>
  <c r="AV99" i="1"/>
  <c r="T42" i="1"/>
  <c r="AW99" i="1"/>
  <c r="U42" i="1"/>
  <c r="AX99" i="1"/>
  <c r="V42" i="1"/>
  <c r="AY99" i="1"/>
  <c r="W42" i="1"/>
  <c r="AZ99" i="1"/>
  <c r="X42" i="1"/>
  <c r="BA99" i="1"/>
  <c r="Y42" i="1"/>
  <c r="BB99" i="1"/>
  <c r="G43" i="1"/>
  <c r="AJ100" i="1"/>
  <c r="H43" i="1"/>
  <c r="AK100" i="1"/>
  <c r="I43" i="1"/>
  <c r="AL100" i="1"/>
  <c r="J43" i="1"/>
  <c r="AM100" i="1"/>
  <c r="K43" i="1"/>
  <c r="AN100" i="1"/>
  <c r="L43" i="1"/>
  <c r="AO100" i="1"/>
  <c r="M43" i="1"/>
  <c r="AP100" i="1"/>
  <c r="N43" i="1"/>
  <c r="AQ100" i="1"/>
  <c r="O43" i="1"/>
  <c r="AR100" i="1"/>
  <c r="P43" i="1"/>
  <c r="AS100" i="1"/>
  <c r="Q43" i="1"/>
  <c r="AT100" i="1"/>
  <c r="R43" i="1"/>
  <c r="AU100" i="1"/>
  <c r="S43" i="1"/>
  <c r="AV100" i="1"/>
  <c r="T43" i="1"/>
  <c r="AW100" i="1"/>
  <c r="U43" i="1"/>
  <c r="AX100" i="1"/>
  <c r="V43" i="1"/>
  <c r="AY100" i="1"/>
  <c r="W43" i="1"/>
  <c r="AZ100" i="1"/>
  <c r="X43" i="1"/>
  <c r="BA100" i="1"/>
  <c r="Y43" i="1"/>
  <c r="BB100" i="1"/>
  <c r="G44" i="1"/>
  <c r="AJ101" i="1"/>
  <c r="H44" i="1"/>
  <c r="AK101" i="1"/>
  <c r="I44" i="1"/>
  <c r="AL101" i="1"/>
  <c r="J44" i="1"/>
  <c r="AM101" i="1"/>
  <c r="K44" i="1"/>
  <c r="AN101" i="1"/>
  <c r="L44" i="1"/>
  <c r="AO101" i="1"/>
  <c r="M44" i="1"/>
  <c r="AP101" i="1"/>
  <c r="N44" i="1"/>
  <c r="AQ101" i="1"/>
  <c r="O44" i="1"/>
  <c r="AR101" i="1"/>
  <c r="P44" i="1"/>
  <c r="AS101" i="1"/>
  <c r="Q44" i="1"/>
  <c r="AT101" i="1"/>
  <c r="R44" i="1"/>
  <c r="AU101" i="1"/>
  <c r="S44" i="1"/>
  <c r="AV101" i="1"/>
  <c r="T44" i="1"/>
  <c r="AW101" i="1"/>
  <c r="U44" i="1"/>
  <c r="AX101" i="1"/>
  <c r="V44" i="1"/>
  <c r="AY101" i="1"/>
  <c r="W44" i="1"/>
  <c r="AZ101" i="1"/>
  <c r="X44" i="1"/>
  <c r="BA101" i="1"/>
  <c r="Y44" i="1"/>
  <c r="BB101" i="1"/>
  <c r="G45" i="1"/>
  <c r="H45" i="1"/>
  <c r="AK102" i="1"/>
  <c r="I45" i="1"/>
  <c r="AL102" i="1"/>
  <c r="J45" i="1"/>
  <c r="AM102" i="1"/>
  <c r="K45" i="1"/>
  <c r="AN102" i="1"/>
  <c r="L45" i="1"/>
  <c r="AO102" i="1"/>
  <c r="M45" i="1"/>
  <c r="AP102" i="1"/>
  <c r="N45" i="1"/>
  <c r="AQ102" i="1"/>
  <c r="O45" i="1"/>
  <c r="AR102" i="1"/>
  <c r="P45" i="1"/>
  <c r="AS102" i="1"/>
  <c r="Q45" i="1"/>
  <c r="AT102" i="1"/>
  <c r="R45" i="1"/>
  <c r="AU102" i="1"/>
  <c r="S45" i="1"/>
  <c r="AV102" i="1"/>
  <c r="T45" i="1"/>
  <c r="AW102" i="1"/>
  <c r="U45" i="1"/>
  <c r="AX102" i="1"/>
  <c r="V45" i="1"/>
  <c r="AY102" i="1"/>
  <c r="W45" i="1"/>
  <c r="AZ102" i="1"/>
  <c r="X45" i="1"/>
  <c r="BA102" i="1"/>
  <c r="Y45" i="1"/>
  <c r="BB102" i="1"/>
  <c r="G46" i="1"/>
  <c r="AJ103" i="1"/>
  <c r="H46" i="1"/>
  <c r="I46" i="1"/>
  <c r="AL103" i="1"/>
  <c r="J46" i="1"/>
  <c r="AM103" i="1"/>
  <c r="K46" i="1"/>
  <c r="AN103" i="1"/>
  <c r="L46" i="1"/>
  <c r="AO103" i="1"/>
  <c r="M46" i="1"/>
  <c r="AP103" i="1"/>
  <c r="N46" i="1"/>
  <c r="AQ103" i="1"/>
  <c r="O46" i="1"/>
  <c r="AR103" i="1"/>
  <c r="P46" i="1"/>
  <c r="AS103" i="1"/>
  <c r="Q46" i="1"/>
  <c r="AT103" i="1"/>
  <c r="R46" i="1"/>
  <c r="AU103" i="1"/>
  <c r="S46" i="1"/>
  <c r="AV103" i="1"/>
  <c r="T46" i="1"/>
  <c r="AW103" i="1"/>
  <c r="U46" i="1"/>
  <c r="AX103" i="1"/>
  <c r="V46" i="1"/>
  <c r="AY103" i="1"/>
  <c r="W46" i="1"/>
  <c r="AZ103" i="1"/>
  <c r="X46" i="1"/>
  <c r="BA103" i="1"/>
  <c r="Y46" i="1"/>
  <c r="BB103" i="1"/>
  <c r="G47" i="1"/>
  <c r="AJ104" i="1"/>
  <c r="H47" i="1"/>
  <c r="AK104" i="1"/>
  <c r="I47" i="1"/>
  <c r="AL104" i="1"/>
  <c r="J47" i="1"/>
  <c r="AM104" i="1"/>
  <c r="K47" i="1"/>
  <c r="AN104" i="1"/>
  <c r="L47" i="1"/>
  <c r="AO104" i="1"/>
  <c r="M47" i="1"/>
  <c r="AP104" i="1"/>
  <c r="N47" i="1"/>
  <c r="AQ104" i="1"/>
  <c r="O47" i="1"/>
  <c r="AR104" i="1"/>
  <c r="P47" i="1"/>
  <c r="AS104" i="1"/>
  <c r="Q47" i="1"/>
  <c r="AT104" i="1"/>
  <c r="R47" i="1"/>
  <c r="AU104" i="1"/>
  <c r="S47" i="1"/>
  <c r="AV104" i="1"/>
  <c r="T47" i="1"/>
  <c r="AW104" i="1"/>
  <c r="U47" i="1"/>
  <c r="AX104" i="1"/>
  <c r="V47" i="1"/>
  <c r="AY104" i="1"/>
  <c r="W47" i="1"/>
  <c r="AZ104" i="1"/>
  <c r="X47" i="1"/>
  <c r="BA104" i="1"/>
  <c r="Y47" i="1"/>
  <c r="BB104" i="1"/>
  <c r="G48" i="1"/>
  <c r="AJ105" i="1"/>
  <c r="H48" i="1"/>
  <c r="I48" i="1"/>
  <c r="AL105" i="1"/>
  <c r="J48" i="1"/>
  <c r="AM105" i="1"/>
  <c r="K48" i="1"/>
  <c r="AN105" i="1"/>
  <c r="L48" i="1"/>
  <c r="AO105" i="1"/>
  <c r="M48" i="1"/>
  <c r="AP105" i="1"/>
  <c r="N48" i="1"/>
  <c r="AQ105" i="1"/>
  <c r="O48" i="1"/>
  <c r="AR105" i="1"/>
  <c r="P48" i="1"/>
  <c r="AS105" i="1"/>
  <c r="Q48" i="1"/>
  <c r="AT105" i="1"/>
  <c r="R48" i="1"/>
  <c r="AU105" i="1"/>
  <c r="S48" i="1"/>
  <c r="AV105" i="1"/>
  <c r="T48" i="1"/>
  <c r="AW105" i="1"/>
  <c r="U48" i="1"/>
  <c r="AX105" i="1"/>
  <c r="V48" i="1"/>
  <c r="AY105" i="1"/>
  <c r="W48" i="1"/>
  <c r="AZ105" i="1"/>
  <c r="X48" i="1"/>
  <c r="BA105" i="1"/>
  <c r="Y48" i="1"/>
  <c r="BB105" i="1"/>
  <c r="G49" i="1"/>
  <c r="AJ106" i="1"/>
  <c r="H49" i="1"/>
  <c r="AK106" i="1"/>
  <c r="I49" i="1"/>
  <c r="AL106" i="1"/>
  <c r="J49" i="1"/>
  <c r="AM106" i="1"/>
  <c r="K49" i="1"/>
  <c r="AN106" i="1"/>
  <c r="L49" i="1"/>
  <c r="AO106" i="1"/>
  <c r="M49" i="1"/>
  <c r="AP106" i="1"/>
  <c r="N49" i="1"/>
  <c r="AQ106" i="1"/>
  <c r="O49" i="1"/>
  <c r="AR106" i="1"/>
  <c r="P49" i="1"/>
  <c r="AS106" i="1"/>
  <c r="Q49" i="1"/>
  <c r="AT106" i="1"/>
  <c r="R49" i="1"/>
  <c r="AU106" i="1"/>
  <c r="S49" i="1"/>
  <c r="AV106" i="1"/>
  <c r="T49" i="1"/>
  <c r="AW106" i="1"/>
  <c r="U49" i="1"/>
  <c r="AX106" i="1"/>
  <c r="V49" i="1"/>
  <c r="AY106" i="1"/>
  <c r="W49" i="1"/>
  <c r="AZ106" i="1"/>
  <c r="X49" i="1"/>
  <c r="BA106" i="1"/>
  <c r="Y49" i="1"/>
  <c r="BB106" i="1"/>
  <c r="G50" i="1"/>
  <c r="H50" i="1"/>
  <c r="AK107" i="1"/>
  <c r="I50" i="1"/>
  <c r="AL107" i="1"/>
  <c r="J50" i="1"/>
  <c r="AM107" i="1"/>
  <c r="K50" i="1"/>
  <c r="AN107" i="1"/>
  <c r="L50" i="1"/>
  <c r="AO107" i="1"/>
  <c r="M50" i="1"/>
  <c r="AP107" i="1"/>
  <c r="N50" i="1"/>
  <c r="AQ107" i="1"/>
  <c r="O50" i="1"/>
  <c r="AR107" i="1"/>
  <c r="P50" i="1"/>
  <c r="AS107" i="1"/>
  <c r="Q50" i="1"/>
  <c r="AT107" i="1"/>
  <c r="R50" i="1"/>
  <c r="AU107" i="1"/>
  <c r="S50" i="1"/>
  <c r="AV107" i="1"/>
  <c r="T50" i="1"/>
  <c r="AW107" i="1"/>
  <c r="U50" i="1"/>
  <c r="AX107" i="1"/>
  <c r="V50" i="1"/>
  <c r="AY107" i="1"/>
  <c r="W50" i="1"/>
  <c r="AZ107" i="1"/>
  <c r="X50" i="1"/>
  <c r="BA107" i="1"/>
  <c r="Y50" i="1"/>
  <c r="BB107" i="1"/>
  <c r="G51" i="1"/>
  <c r="AJ108" i="1"/>
  <c r="H51" i="1"/>
  <c r="AK108" i="1"/>
  <c r="I51" i="1"/>
  <c r="AL108" i="1"/>
  <c r="J51" i="1"/>
  <c r="AM108" i="1"/>
  <c r="K51" i="1"/>
  <c r="AN108" i="1"/>
  <c r="L51" i="1"/>
  <c r="AO108" i="1"/>
  <c r="M51" i="1"/>
  <c r="AP108" i="1"/>
  <c r="N51" i="1"/>
  <c r="AQ108" i="1"/>
  <c r="O51" i="1"/>
  <c r="AR108" i="1"/>
  <c r="P51" i="1"/>
  <c r="AS108" i="1"/>
  <c r="Q51" i="1"/>
  <c r="AT108" i="1"/>
  <c r="R51" i="1"/>
  <c r="AU108" i="1"/>
  <c r="S51" i="1"/>
  <c r="AV108" i="1"/>
  <c r="T51" i="1"/>
  <c r="AW108" i="1"/>
  <c r="U51" i="1"/>
  <c r="AX108" i="1"/>
  <c r="V51" i="1"/>
  <c r="AY108" i="1"/>
  <c r="W51" i="1"/>
  <c r="AZ108" i="1"/>
  <c r="X51" i="1"/>
  <c r="BA108" i="1"/>
  <c r="Y51" i="1"/>
  <c r="BB108" i="1"/>
  <c r="G52" i="1"/>
  <c r="H52" i="1"/>
  <c r="AK109" i="1"/>
  <c r="I52" i="1"/>
  <c r="AL109" i="1"/>
  <c r="J52" i="1"/>
  <c r="AM109" i="1"/>
  <c r="K52" i="1"/>
  <c r="AN109" i="1"/>
  <c r="L52" i="1"/>
  <c r="AO109" i="1"/>
  <c r="M52" i="1"/>
  <c r="AP109" i="1"/>
  <c r="N52" i="1"/>
  <c r="AQ109" i="1"/>
  <c r="O52" i="1"/>
  <c r="AR109" i="1"/>
  <c r="P52" i="1"/>
  <c r="AS109" i="1"/>
  <c r="Q52" i="1"/>
  <c r="AT109" i="1"/>
  <c r="R52" i="1"/>
  <c r="AU109" i="1"/>
  <c r="S52" i="1"/>
  <c r="AV109" i="1"/>
  <c r="T52" i="1"/>
  <c r="AW109" i="1"/>
  <c r="U52" i="1"/>
  <c r="AX109" i="1"/>
  <c r="V52" i="1"/>
  <c r="AY109" i="1"/>
  <c r="W52" i="1"/>
  <c r="AZ109" i="1"/>
  <c r="X52" i="1"/>
  <c r="BA109" i="1"/>
  <c r="Y52" i="1"/>
  <c r="BB109" i="1"/>
  <c r="G53" i="1"/>
  <c r="AG53" i="1"/>
  <c r="H53" i="1"/>
  <c r="AK110" i="1"/>
  <c r="I53" i="1"/>
  <c r="AL110" i="1"/>
  <c r="J53" i="1"/>
  <c r="AM110" i="1"/>
  <c r="K53" i="1"/>
  <c r="AN110" i="1"/>
  <c r="L53" i="1"/>
  <c r="AO110" i="1"/>
  <c r="M53" i="1"/>
  <c r="AP110" i="1"/>
  <c r="N53" i="1"/>
  <c r="AQ110" i="1"/>
  <c r="O53" i="1"/>
  <c r="AR110" i="1"/>
  <c r="P53" i="1"/>
  <c r="AS110" i="1"/>
  <c r="Q53" i="1"/>
  <c r="AT110" i="1"/>
  <c r="R53" i="1"/>
  <c r="AU110" i="1"/>
  <c r="S53" i="1"/>
  <c r="AV110" i="1"/>
  <c r="T53" i="1"/>
  <c r="AW110" i="1"/>
  <c r="U53" i="1"/>
  <c r="AX110" i="1"/>
  <c r="V53" i="1"/>
  <c r="AY110" i="1"/>
  <c r="W53" i="1"/>
  <c r="AZ110" i="1"/>
  <c r="X53" i="1"/>
  <c r="BA110" i="1"/>
  <c r="Y53" i="1"/>
  <c r="BB110" i="1"/>
  <c r="G54" i="1"/>
  <c r="AJ111" i="1"/>
  <c r="H54" i="1"/>
  <c r="AK111" i="1"/>
  <c r="I54" i="1"/>
  <c r="AL111" i="1"/>
  <c r="J54" i="1"/>
  <c r="AM111" i="1"/>
  <c r="K54" i="1"/>
  <c r="AN111" i="1"/>
  <c r="L54" i="1"/>
  <c r="AO111" i="1"/>
  <c r="M54" i="1"/>
  <c r="AP111" i="1"/>
  <c r="N54" i="1"/>
  <c r="AQ111" i="1"/>
  <c r="O54" i="1"/>
  <c r="AR111" i="1"/>
  <c r="P54" i="1"/>
  <c r="AS111" i="1"/>
  <c r="Q54" i="1"/>
  <c r="AT111" i="1"/>
  <c r="R54" i="1"/>
  <c r="AU111" i="1"/>
  <c r="S54" i="1"/>
  <c r="AV111" i="1"/>
  <c r="T54" i="1"/>
  <c r="AW111" i="1"/>
  <c r="U54" i="1"/>
  <c r="AX111" i="1"/>
  <c r="V54" i="1"/>
  <c r="AY111" i="1"/>
  <c r="W54" i="1"/>
  <c r="AZ111" i="1"/>
  <c r="X54" i="1"/>
  <c r="BA111" i="1"/>
  <c r="Y54" i="1"/>
  <c r="BB111" i="1"/>
  <c r="G55" i="1"/>
  <c r="AJ112" i="1"/>
  <c r="H55" i="1"/>
  <c r="AK112" i="1"/>
  <c r="I55" i="1"/>
  <c r="AL112" i="1"/>
  <c r="J55" i="1"/>
  <c r="AM112" i="1"/>
  <c r="K55" i="1"/>
  <c r="AN112" i="1"/>
  <c r="L55" i="1"/>
  <c r="AO112" i="1"/>
  <c r="M55" i="1"/>
  <c r="AP112" i="1"/>
  <c r="N55" i="1"/>
  <c r="AQ112" i="1"/>
  <c r="O55" i="1"/>
  <c r="AR112" i="1"/>
  <c r="P55" i="1"/>
  <c r="AS112" i="1"/>
  <c r="Q55" i="1"/>
  <c r="AT112" i="1"/>
  <c r="R55" i="1"/>
  <c r="AU112" i="1"/>
  <c r="S55" i="1"/>
  <c r="AV112" i="1"/>
  <c r="T55" i="1"/>
  <c r="AW112" i="1"/>
  <c r="U55" i="1"/>
  <c r="AX112" i="1"/>
  <c r="V55" i="1"/>
  <c r="AY112" i="1"/>
  <c r="W55" i="1"/>
  <c r="AZ112" i="1"/>
  <c r="X55" i="1"/>
  <c r="BA112" i="1"/>
  <c r="Y55" i="1"/>
  <c r="BB112" i="1"/>
  <c r="G56" i="1"/>
  <c r="AG56" i="1"/>
  <c r="H56" i="1"/>
  <c r="AK113" i="1"/>
  <c r="I56" i="1"/>
  <c r="AL113" i="1"/>
  <c r="J56" i="1"/>
  <c r="AM113" i="1"/>
  <c r="K56" i="1"/>
  <c r="AN113" i="1"/>
  <c r="L56" i="1"/>
  <c r="AO113" i="1"/>
  <c r="M56" i="1"/>
  <c r="AP113" i="1"/>
  <c r="N56" i="1"/>
  <c r="AQ113" i="1"/>
  <c r="O56" i="1"/>
  <c r="AR113" i="1"/>
  <c r="P56" i="1"/>
  <c r="AS113" i="1"/>
  <c r="Q56" i="1"/>
  <c r="AT113" i="1"/>
  <c r="R56" i="1"/>
  <c r="AU113" i="1"/>
  <c r="S56" i="1"/>
  <c r="AV113" i="1"/>
  <c r="T56" i="1"/>
  <c r="AW113" i="1"/>
  <c r="U56" i="1"/>
  <c r="AX113" i="1"/>
  <c r="V56" i="1"/>
  <c r="AY113" i="1"/>
  <c r="W56" i="1"/>
  <c r="AZ113" i="1"/>
  <c r="X56" i="1"/>
  <c r="BA113" i="1"/>
  <c r="Y56" i="1"/>
  <c r="BB113" i="1"/>
  <c r="G57" i="1"/>
  <c r="AJ114" i="1"/>
  <c r="H57" i="1"/>
  <c r="AK114" i="1"/>
  <c r="I57" i="1"/>
  <c r="AL114" i="1"/>
  <c r="J57" i="1"/>
  <c r="AM114" i="1"/>
  <c r="K57" i="1"/>
  <c r="AN114" i="1"/>
  <c r="L57" i="1"/>
  <c r="AO114" i="1"/>
  <c r="M57" i="1"/>
  <c r="AP114" i="1"/>
  <c r="N57" i="1"/>
  <c r="AQ114" i="1"/>
  <c r="O57" i="1"/>
  <c r="AR114" i="1"/>
  <c r="P57" i="1"/>
  <c r="AS114" i="1"/>
  <c r="Q57" i="1"/>
  <c r="AT114" i="1"/>
  <c r="R57" i="1"/>
  <c r="AU114" i="1"/>
  <c r="S57" i="1"/>
  <c r="AV114" i="1"/>
  <c r="T57" i="1"/>
  <c r="AW114" i="1"/>
  <c r="U57" i="1"/>
  <c r="AX114" i="1"/>
  <c r="V57" i="1"/>
  <c r="AY114" i="1"/>
  <c r="W57" i="1"/>
  <c r="AZ114" i="1"/>
  <c r="X57" i="1"/>
  <c r="BA114" i="1"/>
  <c r="Y57" i="1"/>
  <c r="BB114" i="1"/>
  <c r="H8" i="1"/>
  <c r="AK65" i="1"/>
  <c r="I8" i="1"/>
  <c r="AL65" i="1"/>
  <c r="J8" i="1"/>
  <c r="AM65" i="1"/>
  <c r="K8" i="1"/>
  <c r="AN65" i="1"/>
  <c r="L8" i="1"/>
  <c r="AO65" i="1"/>
  <c r="M8" i="1"/>
  <c r="AP65" i="1"/>
  <c r="N8" i="1"/>
  <c r="AQ65" i="1"/>
  <c r="O8" i="1"/>
  <c r="AR65" i="1"/>
  <c r="P8" i="1"/>
  <c r="AS65" i="1"/>
  <c r="Q8" i="1"/>
  <c r="AT65" i="1"/>
  <c r="R8" i="1"/>
  <c r="AU65" i="1"/>
  <c r="S8" i="1"/>
  <c r="AV65" i="1"/>
  <c r="T8" i="1"/>
  <c r="AW65" i="1"/>
  <c r="U8" i="1"/>
  <c r="AX65" i="1"/>
  <c r="V8" i="1"/>
  <c r="AY65" i="1"/>
  <c r="W8" i="1"/>
  <c r="AZ65" i="1"/>
  <c r="X8" i="1"/>
  <c r="BA65" i="1"/>
  <c r="Y8" i="1"/>
  <c r="BB65" i="1"/>
  <c r="G8" i="1"/>
  <c r="AJ65" i="1"/>
  <c r="BC9" i="1"/>
  <c r="BC10" i="1"/>
  <c r="BC11" i="1"/>
  <c r="BC12" i="1"/>
  <c r="BC13" i="1"/>
  <c r="BC14" i="1"/>
  <c r="BC15" i="1"/>
  <c r="BC16" i="1"/>
  <c r="BC17" i="1"/>
  <c r="BC18" i="1"/>
  <c r="BC19" i="1"/>
  <c r="BC20" i="1"/>
  <c r="BC21" i="1"/>
  <c r="BC22" i="1"/>
  <c r="BC23" i="1"/>
  <c r="BC24" i="1"/>
  <c r="BC25" i="1"/>
  <c r="BC26" i="1"/>
  <c r="BC27" i="1"/>
  <c r="BC28" i="1"/>
  <c r="BC29" i="1"/>
  <c r="BC30" i="1"/>
  <c r="BC31" i="1"/>
  <c r="BC32" i="1"/>
  <c r="BC33" i="1"/>
  <c r="BC34" i="1"/>
  <c r="BC35" i="1"/>
  <c r="BC36" i="1"/>
  <c r="BC37" i="1"/>
  <c r="BC38" i="1"/>
  <c r="BC39" i="1"/>
  <c r="BC40" i="1"/>
  <c r="BC41" i="1"/>
  <c r="BC42" i="1"/>
  <c r="BC43" i="1"/>
  <c r="BC44" i="1"/>
  <c r="BC45" i="1"/>
  <c r="BC46" i="1"/>
  <c r="BC47" i="1"/>
  <c r="BC48" i="1"/>
  <c r="BC49" i="1"/>
  <c r="BC50" i="1"/>
  <c r="BC51" i="1"/>
  <c r="BC52" i="1"/>
  <c r="BC53" i="1"/>
  <c r="BC54" i="1"/>
  <c r="BC55" i="1"/>
  <c r="BC56" i="1"/>
  <c r="BC57" i="1"/>
  <c r="BC8" i="1"/>
  <c r="AQ66" i="1"/>
  <c r="AY66" i="1"/>
  <c r="AN67" i="1"/>
  <c r="AV67" i="1"/>
  <c r="AK68" i="1"/>
  <c r="AS68" i="1"/>
  <c r="BA68" i="1"/>
  <c r="AP69" i="1"/>
  <c r="AX69" i="1"/>
  <c r="AM70" i="1"/>
  <c r="AU70" i="1"/>
  <c r="AJ71" i="1"/>
  <c r="AR71" i="1"/>
  <c r="AZ71" i="1"/>
  <c r="AO72" i="1"/>
  <c r="AW72" i="1"/>
  <c r="AL73" i="1"/>
  <c r="AT73" i="1"/>
  <c r="BB73" i="1"/>
  <c r="AQ74" i="1"/>
  <c r="AY74" i="1"/>
  <c r="AN75" i="1"/>
  <c r="AV75" i="1"/>
  <c r="AK76" i="1"/>
  <c r="AS76" i="1"/>
  <c r="BA76" i="1"/>
  <c r="AP77" i="1"/>
  <c r="AX77" i="1"/>
  <c r="AM78" i="1"/>
  <c r="AU78" i="1"/>
  <c r="AJ79" i="1"/>
  <c r="AR79" i="1"/>
  <c r="AZ79" i="1"/>
  <c r="AO80" i="1"/>
  <c r="AW80" i="1"/>
  <c r="AL81" i="1"/>
  <c r="AT81" i="1"/>
  <c r="BB81" i="1"/>
  <c r="AQ82" i="1"/>
  <c r="AY82" i="1"/>
  <c r="AN83" i="1"/>
  <c r="AV83" i="1"/>
  <c r="AK84" i="1"/>
  <c r="AS84" i="1"/>
  <c r="BA84" i="1"/>
  <c r="AP85" i="1"/>
  <c r="AZ87" i="1"/>
  <c r="AY90" i="1"/>
  <c r="AU94" i="1"/>
  <c r="AJ95" i="1"/>
  <c r="BC104" i="1"/>
  <c r="BF9" i="1"/>
  <c r="AJ109" i="1"/>
  <c r="BC109" i="1"/>
  <c r="AG48" i="1"/>
  <c r="AJ110" i="1"/>
  <c r="BC110" i="1"/>
  <c r="AJ113" i="1"/>
  <c r="BC113" i="1"/>
  <c r="AG45" i="1"/>
  <c r="BC65" i="1"/>
  <c r="AK105" i="1"/>
  <c r="BC105" i="1"/>
  <c r="AG50" i="1"/>
  <c r="BC99" i="1"/>
  <c r="BC97" i="1"/>
  <c r="AJ107" i="1"/>
  <c r="BC107" i="1"/>
  <c r="BC72" i="1"/>
  <c r="BC69" i="1"/>
  <c r="AJ102" i="1"/>
  <c r="BC102" i="1"/>
  <c r="AK103" i="1"/>
  <c r="BC103" i="1"/>
  <c r="BC85" i="1"/>
  <c r="BC114" i="1"/>
  <c r="BC81" i="1"/>
  <c r="BC73" i="1"/>
  <c r="BC100" i="1"/>
  <c r="BC95" i="1"/>
  <c r="BC89" i="1"/>
  <c r="BC78" i="1"/>
  <c r="BC70" i="1"/>
  <c r="BC67" i="1"/>
  <c r="BC108" i="1"/>
  <c r="BC75" i="1"/>
  <c r="BC68" i="1"/>
  <c r="BC101" i="1"/>
  <c r="BC83" i="1"/>
  <c r="BC71" i="1"/>
  <c r="BC94" i="1"/>
  <c r="BC86" i="1"/>
  <c r="BC77" i="1"/>
  <c r="BC96" i="1"/>
  <c r="BC93" i="1"/>
  <c r="BC91" i="1"/>
  <c r="BC111" i="1"/>
  <c r="BC98" i="1"/>
  <c r="BC90" i="1"/>
  <c r="BC87" i="1"/>
  <c r="BC84" i="1"/>
  <c r="BC82" i="1"/>
  <c r="BC79" i="1"/>
  <c r="BC112" i="1"/>
  <c r="BC106" i="1"/>
  <c r="BC88" i="1"/>
  <c r="BC74" i="1"/>
  <c r="BC80" i="1"/>
  <c r="BC76" i="1"/>
  <c r="BC66" i="1"/>
  <c r="BC92" i="1"/>
  <c r="AG51" i="1"/>
</calcChain>
</file>

<file path=xl/connections.xml><?xml version="1.0" encoding="utf-8"?>
<connections xmlns="http://schemas.openxmlformats.org/spreadsheetml/2006/main">
  <connection id="1" name="temp" type="6" refreshedVersion="4" background="1" saveData="1">
    <textPr codePage="65001" sourceFile="C:\Users\lien.chen\Desktop\temp.csv" space="1" comma="1" consecutive="1" qualifier="singleQuote">
      <textFields count="3"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<sst xmlns="http://schemas.openxmlformats.org/spreadsheetml/2006/main" count="1198" uniqueCount="32">
  <si>
    <t>Date</t>
  </si>
  <si>
    <t>FN30.
300.
13</t>
  </si>
  <si>
    <t>FN30.
350.
13</t>
  </si>
  <si>
    <t>FN30.
400.
13</t>
  </si>
  <si>
    <t>FN30.
300.
12</t>
  </si>
  <si>
    <t>FN30.
350.
12</t>
  </si>
  <si>
    <t>FN30.
400.
11</t>
  </si>
  <si>
    <t>FN30.
450.
11</t>
  </si>
  <si>
    <t>FN30.
350.
10</t>
  </si>
  <si>
    <t>FN30.
400.
10</t>
  </si>
  <si>
    <t>FN30.
450.
10</t>
  </si>
  <si>
    <t>FN30.
500.
10</t>
  </si>
  <si>
    <t>FN30.
400.
09</t>
  </si>
  <si>
    <t>FN30.
450.
09</t>
  </si>
  <si>
    <t>FN30.
500.
09</t>
  </si>
  <si>
    <t>FN30.
550.
08</t>
  </si>
  <si>
    <t>FN30.
600.
08</t>
  </si>
  <si>
    <t>FN30.
650.
67</t>
  </si>
  <si>
    <t>GII30.
400.
10</t>
  </si>
  <si>
    <t>GII30.
450.
10</t>
  </si>
  <si>
    <t>GII30.
500.
10</t>
  </si>
  <si>
    <t>Avg</t>
  </si>
  <si>
    <t>Current Coupon</t>
  </si>
  <si>
    <t>Weight</t>
  </si>
  <si>
    <t>Total</t>
  </si>
  <si>
    <t>Monthly Return (%)</t>
  </si>
  <si>
    <t>Px/coupon</t>
  </si>
  <si>
    <t>IOS Price (%)</t>
  </si>
  <si>
    <t>FN30.
350.
14</t>
  </si>
  <si>
    <t>FN30.
400.
14</t>
  </si>
  <si>
    <t>Weighted Average Px</t>
  </si>
  <si>
    <t>FN_CMM_30Yr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</si>
</sst>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;@"/>
    <numFmt numFmtId="165" formatCode="0.0%;[Red]\-0.0%"/>
  </numFmts>
  <fonts count="4" x14ac:knownFonts="1"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EFEBE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thin">
        <color rgb="FF2E398A"/>
      </left>
      <right/>
      <top style="thin">
        <color rgb="FF2E398A"/>
      </top>
      <bottom style="thin">
        <color rgb="FF2E398A"/>
      </bottom>
      <diagonal/>
    </border>
    <border>
      <left/>
      <right/>
      <top style="thin">
        <color rgb="FF2E398A"/>
      </top>
      <bottom style="thin">
        <color rgb="FF2E398A"/>
      </bottom>
      <diagonal/>
    </border>
    <border>
      <left/>
      <right style="thin">
        <color rgb="FF2E398A"/>
      </right>
      <top style="thin">
        <color rgb="FF2E398A"/>
      </top>
      <bottom style="thin">
        <color rgb="FF2E398A"/>
      </bottom>
      <diagonal/>
    </border>
    <border>
      <left style="thin">
        <color rgb="FF2E398A"/>
      </left>
      <right style="thin">
        <color rgb="FF2E398A"/>
      </right>
      <top style="thin">
        <color rgb="FF2E398A"/>
      </top>
      <bottom style="thin">
        <color rgb="FF2E398A"/>
      </bottom>
      <diagonal/>
    </border>
    <border>
      <left style="thin">
        <color rgb="FF2E398A"/>
      </left>
      <right/>
      <top/>
      <bottom/>
      <diagonal/>
    </border>
    <border>
      <left style="thin">
        <color rgb="FF2E398A"/>
      </left>
      <right style="hair">
        <color indexed="64"/>
      </right>
      <top style="thin">
        <color rgb="FF2E398A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2E398A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2E398A"/>
      </left>
      <right style="thin">
        <color rgb="FF2E398A"/>
      </right>
      <top style="hair">
        <color indexed="64"/>
      </top>
      <bottom style="hair">
        <color indexed="64"/>
      </bottom>
      <diagonal/>
    </border>
    <border>
      <left style="thin">
        <color rgb="FF2E398A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rgb="FF2E398A"/>
      </left>
      <right style="thin">
        <color rgb="FF2E398A"/>
      </right>
      <top/>
      <bottom/>
      <diagonal/>
    </border>
    <border>
      <left style="thin">
        <color rgb="FF2E398A"/>
      </left>
      <right/>
      <top/>
      <bottom style="thin">
        <color rgb="FF2E398A"/>
      </bottom>
      <diagonal/>
    </border>
    <border>
      <left style="thin">
        <color rgb="FF2E398A"/>
      </left>
      <right style="thin">
        <color rgb="FF2E398A"/>
      </right>
      <top/>
      <bottom style="thin">
        <color rgb="FF2E398A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2E398A"/>
      </left>
      <right style="thin">
        <color rgb="FF2E398A"/>
      </right>
      <top style="thin">
        <color rgb="FF2E398A"/>
      </top>
      <bottom style="hair">
        <color indexed="64"/>
      </bottom>
      <diagonal/>
    </border>
    <border>
      <left/>
      <right/>
      <top/>
      <bottom style="thin">
        <color rgb="FF2E398A"/>
      </bottom>
      <diagonal/>
    </border>
    <border>
      <left style="hair">
        <color indexed="64"/>
      </left>
      <right style="thin">
        <color rgb="FF2E398A"/>
      </right>
      <top style="hair">
        <color indexed="64"/>
      </top>
      <bottom style="hair">
        <color indexed="64"/>
      </bottom>
      <diagonal/>
    </border>
    <border>
      <left style="thin">
        <color rgb="FF2E398A"/>
      </left>
      <right/>
      <top style="thin">
        <color rgb="FF2E398A"/>
      </top>
      <bottom/>
      <diagonal/>
    </border>
    <border>
      <left/>
      <right/>
      <top style="thin">
        <color rgb="FF2E398A"/>
      </top>
      <bottom/>
      <diagonal/>
    </border>
    <border>
      <left/>
      <right style="thin">
        <color rgb="FF2E398A"/>
      </right>
      <top style="thin">
        <color rgb="FF2E398A"/>
      </top>
      <bottom/>
      <diagonal/>
    </border>
    <border>
      <left/>
      <right style="thin">
        <color rgb="FF2E398A"/>
      </right>
      <top/>
      <bottom/>
      <diagonal/>
    </border>
    <border>
      <left style="thin">
        <color rgb="FF2E398A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rgb="FF2E398A"/>
      </right>
      <top/>
      <bottom style="thin">
        <color rgb="FF2E398A"/>
      </bottom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0" fontId="3" fillId="8" borderId="0"/>
  </cellStyleXfs>
  <cellXfs count="59">
    <xf numFmtId="0" fontId="0" fillId="0" borderId="0" xfId="0"/>
    <xf numFmtId="0" fontId="0" fillId="2" borderId="1" xfId="0" applyFont="1" applyFill="1" applyBorder="1" applyAlignment="1">
      <alignment horizontal="center" wrapText="1"/>
    </xf>
    <xf numFmtId="0" fontId="0" fillId="2" borderId="2" xfId="0" applyFont="1" applyFill="1" applyBorder="1" applyAlignment="1">
      <alignment horizontal="center" wrapText="1"/>
    </xf>
    <xf numFmtId="0" fontId="0" fillId="2" borderId="4" xfId="0" applyFont="1" applyFill="1" applyBorder="1" applyAlignment="1">
      <alignment horizontal="center" wrapText="1"/>
    </xf>
    <xf numFmtId="164" fontId="0" fillId="2" borderId="5" xfId="0" applyNumberFormat="1" applyFont="1" applyFill="1" applyBorder="1"/>
    <xf numFmtId="164" fontId="0" fillId="2" borderId="13" xfId="0" applyNumberFormat="1" applyFont="1" applyFill="1" applyBorder="1"/>
    <xf numFmtId="14" fontId="0" fillId="0" borderId="0" xfId="0" applyNumberFormat="1"/>
    <xf numFmtId="0" fontId="0" fillId="2" borderId="15" xfId="0" applyFont="1" applyFill="1" applyBorder="1" applyAlignment="1">
      <alignment horizontal="center" wrapText="1"/>
    </xf>
    <xf numFmtId="164" fontId="0" fillId="6" borderId="15" xfId="0" applyNumberFormat="1" applyFont="1" applyFill="1" applyBorder="1"/>
    <xf numFmtId="0" fontId="0" fillId="0" borderId="15" xfId="0" applyBorder="1"/>
    <xf numFmtId="164" fontId="0" fillId="5" borderId="15" xfId="0" applyNumberFormat="1" applyFont="1" applyFill="1" applyBorder="1"/>
    <xf numFmtId="164" fontId="0" fillId="3" borderId="15" xfId="0" applyNumberFormat="1" applyFont="1" applyFill="1" applyBorder="1"/>
    <xf numFmtId="164" fontId="0" fillId="4" borderId="15" xfId="0" applyNumberFormat="1" applyFont="1" applyFill="1" applyBorder="1"/>
    <xf numFmtId="0" fontId="0" fillId="7" borderId="1" xfId="0" applyFont="1" applyFill="1" applyBorder="1" applyAlignment="1">
      <alignment horizontal="center" wrapText="1"/>
    </xf>
    <xf numFmtId="0" fontId="0" fillId="7" borderId="2" xfId="0" applyFont="1" applyFill="1" applyBorder="1" applyAlignment="1">
      <alignment horizontal="center" wrapText="1"/>
    </xf>
    <xf numFmtId="9" fontId="0" fillId="0" borderId="6" xfId="1" applyFont="1" applyBorder="1"/>
    <xf numFmtId="9" fontId="0" fillId="0" borderId="7" xfId="1" applyFont="1" applyBorder="1"/>
    <xf numFmtId="9" fontId="0" fillId="0" borderId="8" xfId="1" applyFont="1" applyBorder="1"/>
    <xf numFmtId="9" fontId="0" fillId="0" borderId="10" xfId="1" applyFont="1" applyBorder="1"/>
    <xf numFmtId="9" fontId="0" fillId="0" borderId="11" xfId="1" applyFont="1" applyBorder="1"/>
    <xf numFmtId="165" fontId="0" fillId="0" borderId="16" xfId="0" applyNumberFormat="1" applyFont="1" applyBorder="1"/>
    <xf numFmtId="165" fontId="0" fillId="0" borderId="9" xfId="0" applyNumberFormat="1" applyFont="1" applyBorder="1"/>
    <xf numFmtId="165" fontId="0" fillId="0" borderId="12" xfId="0" applyNumberFormat="1" applyFont="1" applyBorder="1"/>
    <xf numFmtId="165" fontId="0" fillId="0" borderId="14" xfId="0" applyNumberFormat="1" applyFont="1" applyBorder="1"/>
    <xf numFmtId="2" fontId="0" fillId="0" borderId="6" xfId="1" applyNumberFormat="1" applyFont="1" applyBorder="1"/>
    <xf numFmtId="0" fontId="1" fillId="7" borderId="1" xfId="0" applyFont="1" applyFill="1" applyBorder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1" fillId="7" borderId="2" xfId="0" applyFont="1" applyFill="1" applyBorder="1" applyAlignment="1">
      <alignment horizontal="center"/>
    </xf>
    <xf numFmtId="2" fontId="0" fillId="0" borderId="8" xfId="0" applyNumberFormat="1" applyFont="1" applyBorder="1"/>
    <xf numFmtId="2" fontId="0" fillId="0" borderId="7" xfId="0" applyNumberFormat="1" applyFont="1" applyBorder="1"/>
    <xf numFmtId="2" fontId="0" fillId="0" borderId="14" xfId="0" applyNumberFormat="1" applyFont="1" applyBorder="1"/>
    <xf numFmtId="164" fontId="0" fillId="2" borderId="0" xfId="0" applyNumberFormat="1" applyFont="1" applyFill="1" applyBorder="1"/>
    <xf numFmtId="0" fontId="0" fillId="0" borderId="0" xfId="0" applyBorder="1"/>
    <xf numFmtId="0" fontId="0" fillId="2" borderId="3" xfId="0" applyFont="1" applyFill="1" applyBorder="1" applyAlignment="1">
      <alignment horizontal="center" wrapText="1"/>
    </xf>
    <xf numFmtId="2" fontId="0" fillId="0" borderId="6" xfId="0" applyNumberFormat="1" applyFont="1" applyBorder="1"/>
    <xf numFmtId="2" fontId="0" fillId="0" borderId="18" xfId="0" applyNumberFormat="1" applyFont="1" applyBorder="1"/>
    <xf numFmtId="2" fontId="0" fillId="0" borderId="9" xfId="0" applyNumberFormat="1" applyFont="1" applyBorder="1"/>
    <xf numFmtId="2" fontId="0" fillId="0" borderId="19" xfId="0" applyNumberFormat="1" applyFont="1" applyBorder="1"/>
    <xf numFmtId="0" fontId="2" fillId="0" borderId="20" xfId="0" applyFont="1" applyBorder="1"/>
    <xf numFmtId="0" fontId="2" fillId="0" borderId="21" xfId="0" applyFont="1" applyBorder="1"/>
    <xf numFmtId="2" fontId="0" fillId="0" borderId="5" xfId="0" applyNumberFormat="1" applyFont="1" applyBorder="1"/>
    <xf numFmtId="0" fontId="2" fillId="0" borderId="0" xfId="0" applyFont="1" applyBorder="1"/>
    <xf numFmtId="0" fontId="2" fillId="0" borderId="22" xfId="0" applyFont="1" applyBorder="1"/>
    <xf numFmtId="2" fontId="0" fillId="0" borderId="23" xfId="0" applyNumberFormat="1" applyFont="1" applyBorder="1"/>
    <xf numFmtId="2" fontId="0" fillId="0" borderId="24" xfId="0" applyNumberFormat="1" applyFont="1" applyBorder="1"/>
    <xf numFmtId="2" fontId="0" fillId="0" borderId="13" xfId="0" applyNumberFormat="1" applyFont="1" applyBorder="1"/>
    <xf numFmtId="0" fontId="2" fillId="0" borderId="17" xfId="0" applyFont="1" applyBorder="1"/>
    <xf numFmtId="0" fontId="2" fillId="0" borderId="25" xfId="0" applyFont="1" applyBorder="1"/>
    <xf numFmtId="0" fontId="1" fillId="7" borderId="0" xfId="0" applyFont="1" applyFill="1" applyBorder="1" applyAlignment="1">
      <alignment horizontal="center"/>
    </xf>
    <xf numFmtId="0" fontId="1" fillId="7" borderId="0" xfId="0" applyFont="1" applyFill="1" applyBorder="1" applyAlignment="1">
      <alignment horizontal="center" wrapText="1"/>
    </xf>
    <xf numFmtId="9" fontId="0" fillId="0" borderId="0" xfId="1" applyFont="1" applyBorder="1"/>
    <xf numFmtId="2" fontId="0" fillId="0" borderId="0" xfId="1" applyNumberFormat="1" applyFont="1" applyBorder="1"/>
    <xf numFmtId="2" fontId="0" fillId="0" borderId="0" xfId="0" applyNumberFormat="1" applyFont="1" applyBorder="1"/>
    <xf numFmtId="0" fontId="1" fillId="2" borderId="13" xfId="0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</cellXfs>
  <cellStyles count="3">
    <cellStyle name="Normal" xfId="0" builtinId="0"/>
    <cellStyle name="Normal 2 7" xfId="2"/>
    <cellStyle name="Percent" xfId="1" builtinId="5"/>
  </cellStyles>
  <dxfs count="7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temp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F5:BF117"/>
  <sheetViews>
    <sheetView tabSelected="1" topLeftCell="W59" workbookViewId="0">
      <selection activeCell="BC117" sqref="BC117"/>
    </sheetView>
  </sheetViews>
  <sheetFormatPr defaultRowHeight="12.75" x14ac:dyDescent="0.2"/>
  <sheetData>
    <row r="5" spans="6:58" x14ac:dyDescent="0.2">
      <c r="G5">
        <v>3</v>
      </c>
      <c r="H5">
        <v>3</v>
      </c>
      <c r="I5">
        <v>3.5</v>
      </c>
      <c r="J5">
        <v>3.5</v>
      </c>
      <c r="K5">
        <v>3.5</v>
      </c>
      <c r="L5">
        <v>3.5</v>
      </c>
      <c r="M5">
        <v>4</v>
      </c>
      <c r="N5">
        <v>4</v>
      </c>
      <c r="O5">
        <v>4</v>
      </c>
      <c r="P5">
        <v>4</v>
      </c>
      <c r="Q5">
        <v>4</v>
      </c>
      <c r="R5">
        <v>4.5</v>
      </c>
      <c r="S5">
        <v>4.5</v>
      </c>
      <c r="T5">
        <v>4.5</v>
      </c>
      <c r="U5">
        <v>5</v>
      </c>
      <c r="V5">
        <v>5</v>
      </c>
      <c r="W5">
        <v>5.5</v>
      </c>
      <c r="X5">
        <v>6</v>
      </c>
      <c r="Y5">
        <v>6.5</v>
      </c>
    </row>
    <row r="6" spans="6:58" ht="15" x14ac:dyDescent="0.25">
      <c r="F6" s="54" t="s">
        <v>26</v>
      </c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  <c r="AA6" s="55"/>
      <c r="AB6" s="55"/>
      <c r="AC6" s="55"/>
      <c r="AI6" s="25" t="s">
        <v>23</v>
      </c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49"/>
    </row>
    <row r="7" spans="6:58" ht="39" x14ac:dyDescent="0.25">
      <c r="F7" s="1" t="s">
        <v>0</v>
      </c>
      <c r="G7" s="1" t="s">
        <v>1</v>
      </c>
      <c r="H7" s="2" t="s">
        <v>4</v>
      </c>
      <c r="I7" s="1" t="s">
        <v>28</v>
      </c>
      <c r="J7" s="2" t="s">
        <v>2</v>
      </c>
      <c r="K7" s="2" t="s">
        <v>5</v>
      </c>
      <c r="L7" s="34" t="s">
        <v>8</v>
      </c>
      <c r="M7" s="1" t="s">
        <v>29</v>
      </c>
      <c r="N7" s="2" t="s">
        <v>3</v>
      </c>
      <c r="O7" s="2" t="s">
        <v>6</v>
      </c>
      <c r="P7" s="2" t="s">
        <v>9</v>
      </c>
      <c r="Q7" s="34" t="s">
        <v>12</v>
      </c>
      <c r="R7" s="1" t="s">
        <v>7</v>
      </c>
      <c r="S7" s="2" t="s">
        <v>10</v>
      </c>
      <c r="T7" s="34" t="s">
        <v>13</v>
      </c>
      <c r="U7" s="1" t="s">
        <v>11</v>
      </c>
      <c r="V7" s="34" t="s">
        <v>14</v>
      </c>
      <c r="W7" s="3" t="s">
        <v>15</v>
      </c>
      <c r="X7" s="3" t="s">
        <v>16</v>
      </c>
      <c r="Y7" s="3" t="s">
        <v>17</v>
      </c>
      <c r="Z7" s="2" t="s">
        <v>18</v>
      </c>
      <c r="AA7" s="2" t="s">
        <v>19</v>
      </c>
      <c r="AB7" s="2" t="s">
        <v>20</v>
      </c>
      <c r="AC7" s="3" t="s">
        <v>21</v>
      </c>
      <c r="AE7" s="7" t="s">
        <v>0</v>
      </c>
      <c r="AF7" s="7" t="s">
        <v>22</v>
      </c>
      <c r="AI7" s="13" t="s">
        <v>0</v>
      </c>
      <c r="AJ7" s="13" t="s">
        <v>1</v>
      </c>
      <c r="AK7" s="14" t="s">
        <v>4</v>
      </c>
      <c r="AL7" s="14" t="s">
        <v>28</v>
      </c>
      <c r="AM7" s="14" t="s">
        <v>2</v>
      </c>
      <c r="AN7" s="14" t="s">
        <v>5</v>
      </c>
      <c r="AO7" s="14" t="s">
        <v>8</v>
      </c>
      <c r="AP7" s="14" t="s">
        <v>29</v>
      </c>
      <c r="AQ7" s="14" t="s">
        <v>3</v>
      </c>
      <c r="AR7" s="14" t="s">
        <v>6</v>
      </c>
      <c r="AS7" s="14" t="s">
        <v>9</v>
      </c>
      <c r="AT7" s="14" t="s">
        <v>12</v>
      </c>
      <c r="AU7" s="14" t="s">
        <v>7</v>
      </c>
      <c r="AV7" s="14" t="s">
        <v>10</v>
      </c>
      <c r="AW7" s="14" t="s">
        <v>13</v>
      </c>
      <c r="AX7" s="14" t="s">
        <v>11</v>
      </c>
      <c r="AY7" s="14" t="s">
        <v>14</v>
      </c>
      <c r="AZ7" s="14" t="s">
        <v>15</v>
      </c>
      <c r="BA7" s="13" t="s">
        <v>16</v>
      </c>
      <c r="BB7" s="14" t="s">
        <v>17</v>
      </c>
      <c r="BC7" s="50" t="s">
        <v>24</v>
      </c>
    </row>
    <row r="8" spans="6:58" ht="25.5" x14ac:dyDescent="0.2">
      <c r="F8" s="4">
        <v>40633</v>
      </c>
      <c r="G8" s="35">
        <f>Price!G8/'Price D Coupon'!G$5</f>
        <v>0</v>
      </c>
      <c r="H8" s="35">
        <f>Price!H8/'Price D Coupon'!H$5</f>
        <v>0</v>
      </c>
      <c r="I8" s="35">
        <f>Price!I8/'Price D Coupon'!I$5</f>
        <v>0</v>
      </c>
      <c r="J8" s="35">
        <f>Price!J8/'Price D Coupon'!J$5</f>
        <v>0</v>
      </c>
      <c r="K8" s="35">
        <f>Price!K8/'Price D Coupon'!K$5</f>
        <v>0</v>
      </c>
      <c r="L8" s="35">
        <f>Price!L8/'Price D Coupon'!L$5</f>
        <v>7.0884920628571431</v>
      </c>
      <c r="M8" s="35">
        <f>Price!M8/'Price D Coupon'!M$5</f>
        <v>0</v>
      </c>
      <c r="N8" s="35">
        <f>Price!N8/'Price D Coupon'!N$5</f>
        <v>0</v>
      </c>
      <c r="O8" s="35">
        <f>Price!O8/'Price D Coupon'!O$5</f>
        <v>0</v>
      </c>
      <c r="P8" s="35">
        <f>Price!P8/'Price D Coupon'!P$5</f>
        <v>6.4990277775000003</v>
      </c>
      <c r="Q8" s="35">
        <f>Price!Q8/'Price D Coupon'!Q$5</f>
        <v>6.0477777775000003</v>
      </c>
      <c r="R8" s="35">
        <f>Price!R8/'Price D Coupon'!R$5</f>
        <v>0</v>
      </c>
      <c r="S8" s="35">
        <f>Price!S8/'Price D Coupon'!S$5</f>
        <v>5.8183333333333334</v>
      </c>
      <c r="T8" s="35">
        <f>Price!T8/'Price D Coupon'!T$5</f>
        <v>5.4329999999999998</v>
      </c>
      <c r="U8" s="35">
        <f>Price!U8/'Price D Coupon'!U$5</f>
        <v>5.1941779780000008</v>
      </c>
      <c r="V8" s="35">
        <f>Price!V8/'Price D Coupon'!V$5</f>
        <v>4.8323779780000002</v>
      </c>
      <c r="W8" s="35">
        <f>Price!W8/'Price D Coupon'!W$5</f>
        <v>3.736050323636364</v>
      </c>
      <c r="X8" s="35">
        <f>Price!X8/'Price D Coupon'!X$5</f>
        <v>3.3697777783333334</v>
      </c>
      <c r="Y8" s="35">
        <f>Price!Y8/'Price D Coupon'!Y$5</f>
        <v>3.2810853169230771</v>
      </c>
      <c r="Z8" s="35"/>
      <c r="AA8" s="35"/>
      <c r="AB8" s="35"/>
      <c r="AC8" s="31">
        <v>23.785472222999999</v>
      </c>
      <c r="AE8" s="8">
        <v>40633</v>
      </c>
      <c r="AF8" s="9" t="e">
        <f>VLOOKUP(AE8,CurrentCoupon!temp,3,0)</f>
        <v>#N/A</v>
      </c>
      <c r="AI8" s="4">
        <v>40633</v>
      </c>
      <c r="AJ8" s="15">
        <v>0</v>
      </c>
      <c r="AK8" s="15">
        <v>0</v>
      </c>
      <c r="AL8" s="15">
        <v>0</v>
      </c>
      <c r="AM8" s="15">
        <v>0</v>
      </c>
      <c r="AN8" s="15">
        <v>0</v>
      </c>
      <c r="AO8" s="15">
        <v>2.7406309509684916E-2</v>
      </c>
      <c r="AP8" s="15">
        <v>0</v>
      </c>
      <c r="AQ8" s="15">
        <v>0</v>
      </c>
      <c r="AR8" s="15">
        <v>0</v>
      </c>
      <c r="AS8" s="15">
        <v>0.14046648601037554</v>
      </c>
      <c r="AT8" s="15">
        <v>0.1294842408581158</v>
      </c>
      <c r="AU8" s="15">
        <v>0</v>
      </c>
      <c r="AV8" s="15">
        <v>0.12975199274639487</v>
      </c>
      <c r="AW8" s="15">
        <v>0.28829270139547647</v>
      </c>
      <c r="AX8" s="15">
        <v>6.2968110776433703E-2</v>
      </c>
      <c r="AY8" s="15">
        <v>6.6411433101945902E-2</v>
      </c>
      <c r="AZ8" s="15">
        <v>7.027950143222679E-2</v>
      </c>
      <c r="BA8" s="17">
        <v>3.6736392567162462E-2</v>
      </c>
      <c r="BB8" s="16">
        <v>4.8202831602183825E-2</v>
      </c>
      <c r="BC8" s="51">
        <f>SUM(AJ8:BB8)</f>
        <v>1.0000000000000002</v>
      </c>
      <c r="BE8" s="1" t="s">
        <v>0</v>
      </c>
      <c r="BF8" s="3" t="s">
        <v>25</v>
      </c>
    </row>
    <row r="9" spans="6:58" x14ac:dyDescent="0.2">
      <c r="F9" s="4">
        <v>40662</v>
      </c>
      <c r="G9" s="35">
        <f>Price!G9/'Price D Coupon'!G$5</f>
        <v>0</v>
      </c>
      <c r="H9" s="35">
        <f>Price!H9/'Price D Coupon'!H$5</f>
        <v>0</v>
      </c>
      <c r="I9" s="35">
        <f>Price!I9/'Price D Coupon'!I$5</f>
        <v>0</v>
      </c>
      <c r="J9" s="35">
        <f>Price!J9/'Price D Coupon'!J$5</f>
        <v>0</v>
      </c>
      <c r="K9" s="35">
        <f>Price!K9/'Price D Coupon'!K$5</f>
        <v>0</v>
      </c>
      <c r="L9" s="35">
        <f>Price!L9/'Price D Coupon'!L$5</f>
        <v>7.1224124114285718</v>
      </c>
      <c r="M9" s="35">
        <f>Price!M9/'Price D Coupon'!M$5</f>
        <v>0</v>
      </c>
      <c r="N9" s="35">
        <f>Price!N9/'Price D Coupon'!N$5</f>
        <v>0</v>
      </c>
      <c r="O9" s="35">
        <f>Price!O9/'Price D Coupon'!O$5</f>
        <v>0</v>
      </c>
      <c r="P9" s="35">
        <f>Price!P9/'Price D Coupon'!P$5</f>
        <v>6.5653055550000001</v>
      </c>
      <c r="Q9" s="35">
        <f>Price!Q9/'Price D Coupon'!Q$5</f>
        <v>6.0878055550000001</v>
      </c>
      <c r="R9" s="35">
        <f>Price!R9/'Price D Coupon'!R$5</f>
        <v>0</v>
      </c>
      <c r="S9" s="35">
        <f>Price!S9/'Price D Coupon'!S$5</f>
        <v>5.8551111111111105</v>
      </c>
      <c r="T9" s="35">
        <f>Price!T9/'Price D Coupon'!T$5</f>
        <v>5.4904446666666669</v>
      </c>
      <c r="U9" s="35">
        <f>Price!U9/'Price D Coupon'!U$5</f>
        <v>5.3055555559999998</v>
      </c>
      <c r="V9" s="35">
        <f>Price!V9/'Price D Coupon'!V$5</f>
        <v>4.996155356</v>
      </c>
      <c r="W9" s="35">
        <f>Price!W9/'Price D Coupon'!W$5</f>
        <v>3.7941010109090909</v>
      </c>
      <c r="X9" s="35">
        <f>Price!X9/'Price D Coupon'!X$5</f>
        <v>3.3973890549999997</v>
      </c>
      <c r="Y9" s="35">
        <f>Price!Y9/'Price D Coupon'!Y$5</f>
        <v>3.3001709400000001</v>
      </c>
      <c r="Z9" s="41"/>
      <c r="AA9" s="42"/>
      <c r="AB9" s="43"/>
      <c r="AC9" s="31">
        <v>24.080744444</v>
      </c>
      <c r="AE9" s="8">
        <v>40662</v>
      </c>
      <c r="AF9" s="9">
        <f>VLOOKUP(AE9,CurrentCoupon!temp,3,0)</f>
        <v>4.0911415079480502</v>
      </c>
      <c r="AI9" s="4">
        <v>40662</v>
      </c>
      <c r="AJ9" s="15">
        <v>0</v>
      </c>
      <c r="AK9" s="15">
        <v>0</v>
      </c>
      <c r="AL9" s="15">
        <v>0</v>
      </c>
      <c r="AM9" s="15">
        <v>0</v>
      </c>
      <c r="AN9" s="15">
        <v>0</v>
      </c>
      <c r="AO9" s="15">
        <v>2.7596453691316442E-2</v>
      </c>
      <c r="AP9" s="15">
        <v>0</v>
      </c>
      <c r="AQ9" s="15">
        <v>0</v>
      </c>
      <c r="AR9" s="15">
        <v>0</v>
      </c>
      <c r="AS9" s="15">
        <v>0.14136961211083349</v>
      </c>
      <c r="AT9" s="15">
        <v>0.12997806399135686</v>
      </c>
      <c r="AU9" s="15">
        <v>0</v>
      </c>
      <c r="AV9" s="15">
        <v>0.13033035628645867</v>
      </c>
      <c r="AW9" s="15">
        <v>0.28862027926551687</v>
      </c>
      <c r="AX9" s="15">
        <v>6.3100658741694182E-2</v>
      </c>
      <c r="AY9" s="15">
        <v>6.6274005737986405E-2</v>
      </c>
      <c r="AZ9" s="15">
        <v>6.9072966482252238E-2</v>
      </c>
      <c r="BA9" s="17">
        <v>3.6075726499917041E-2</v>
      </c>
      <c r="BB9" s="16">
        <v>4.7581877192667821E-2</v>
      </c>
      <c r="BC9" s="51">
        <f t="shared" ref="BC9:BC60" si="0">SUM(AJ9:BB9)</f>
        <v>1</v>
      </c>
      <c r="BE9" s="4">
        <v>40633</v>
      </c>
      <c r="BF9" s="20">
        <f>G8*AJ8</f>
        <v>0</v>
      </c>
    </row>
    <row r="10" spans="6:58" x14ac:dyDescent="0.2">
      <c r="F10" s="4">
        <v>40694</v>
      </c>
      <c r="G10" s="35">
        <f>Price!G10/'Price D Coupon'!G$5</f>
        <v>0</v>
      </c>
      <c r="H10" s="35">
        <f>Price!H10/'Price D Coupon'!H$5</f>
        <v>0</v>
      </c>
      <c r="I10" s="35">
        <f>Price!I10/'Price D Coupon'!I$5</f>
        <v>0</v>
      </c>
      <c r="J10" s="35">
        <f>Price!J10/'Price D Coupon'!J$5</f>
        <v>0</v>
      </c>
      <c r="K10" s="35">
        <f>Price!K10/'Price D Coupon'!K$5</f>
        <v>0</v>
      </c>
      <c r="L10" s="35">
        <f>Price!L10/'Price D Coupon'!L$5</f>
        <v>7.2636352057142863</v>
      </c>
      <c r="M10" s="35">
        <f>Price!M10/'Price D Coupon'!M$5</f>
        <v>0</v>
      </c>
      <c r="N10" s="35">
        <f>Price!N10/'Price D Coupon'!N$5</f>
        <v>0</v>
      </c>
      <c r="O10" s="35">
        <f>Price!O10/'Price D Coupon'!O$5</f>
        <v>0</v>
      </c>
      <c r="P10" s="35">
        <f>Price!P10/'Price D Coupon'!P$5</f>
        <v>6.6542777774999999</v>
      </c>
      <c r="Q10" s="35">
        <f>Price!Q10/'Price D Coupon'!Q$5</f>
        <v>6.1670280275000007</v>
      </c>
      <c r="R10" s="35">
        <f>Price!R10/'Price D Coupon'!R$5</f>
        <v>0</v>
      </c>
      <c r="S10" s="35">
        <f>Price!S10/'Price D Coupon'!S$5</f>
        <v>5.8974446666666669</v>
      </c>
      <c r="T10" s="35">
        <f>Price!T10/'Price D Coupon'!T$5</f>
        <v>5.4607777777777775</v>
      </c>
      <c r="U10" s="35">
        <f>Price!U10/'Price D Coupon'!U$5</f>
        <v>5.3237777780000002</v>
      </c>
      <c r="V10" s="35">
        <f>Price!V10/'Price D Coupon'!V$5</f>
        <v>4.9191779780000005</v>
      </c>
      <c r="W10" s="35">
        <f>Price!W10/'Price D Coupon'!W$5</f>
        <v>3.6756870509090906</v>
      </c>
      <c r="X10" s="35">
        <f>Price!X10/'Price D Coupon'!X$5</f>
        <v>3.4141109449999996</v>
      </c>
      <c r="Y10" s="35">
        <f>Price!Y10/'Price D Coupon'!Y$5</f>
        <v>3.40431624</v>
      </c>
      <c r="Z10" s="41"/>
      <c r="AA10" s="42"/>
      <c r="AB10" s="43"/>
      <c r="AC10" s="31">
        <v>24.186372623</v>
      </c>
      <c r="AE10" s="8">
        <v>40694</v>
      </c>
      <c r="AF10" s="9">
        <f>VLOOKUP(AE10,CurrentCoupon!temp,3,0)</f>
        <v>3.93235427092598</v>
      </c>
      <c r="AI10" s="4">
        <v>40694</v>
      </c>
      <c r="AJ10" s="15">
        <v>0</v>
      </c>
      <c r="AK10" s="15">
        <v>0</v>
      </c>
      <c r="AL10" s="15">
        <v>0</v>
      </c>
      <c r="AM10" s="15">
        <v>0</v>
      </c>
      <c r="AN10" s="15">
        <v>0</v>
      </c>
      <c r="AO10" s="15">
        <v>2.7772655228012245E-2</v>
      </c>
      <c r="AP10" s="15">
        <v>0</v>
      </c>
      <c r="AQ10" s="15">
        <v>0</v>
      </c>
      <c r="AR10" s="15">
        <v>0</v>
      </c>
      <c r="AS10" s="15">
        <v>0.14222877374359705</v>
      </c>
      <c r="AT10" s="15">
        <v>0.13043913725004624</v>
      </c>
      <c r="AU10" s="15">
        <v>0</v>
      </c>
      <c r="AV10" s="15">
        <v>0.1308921871647982</v>
      </c>
      <c r="AW10" s="15">
        <v>0.28907309805873088</v>
      </c>
      <c r="AX10" s="15">
        <v>6.3273705468396738E-2</v>
      </c>
      <c r="AY10" s="15">
        <v>6.6206834900558509E-2</v>
      </c>
      <c r="AZ10" s="15">
        <v>6.7961285557668963E-2</v>
      </c>
      <c r="BA10" s="17">
        <v>3.5405404756512771E-2</v>
      </c>
      <c r="BB10" s="16">
        <v>4.6746917871678603E-2</v>
      </c>
      <c r="BC10" s="51">
        <f t="shared" si="0"/>
        <v>1</v>
      </c>
      <c r="BE10" s="4">
        <v>40662</v>
      </c>
      <c r="BF10" s="21">
        <v>1.824176957431662E-2</v>
      </c>
    </row>
    <row r="11" spans="6:58" x14ac:dyDescent="0.2">
      <c r="F11" s="4">
        <v>40724</v>
      </c>
      <c r="G11" s="35">
        <f>Price!G11/'Price D Coupon'!G$5</f>
        <v>0</v>
      </c>
      <c r="H11" s="35">
        <f>Price!H11/'Price D Coupon'!H$5</f>
        <v>0</v>
      </c>
      <c r="I11" s="35">
        <f>Price!I11/'Price D Coupon'!I$5</f>
        <v>0</v>
      </c>
      <c r="J11" s="35">
        <f>Price!J11/'Price D Coupon'!J$5</f>
        <v>0</v>
      </c>
      <c r="K11" s="35">
        <f>Price!K11/'Price D Coupon'!K$5</f>
        <v>0</v>
      </c>
      <c r="L11" s="35">
        <f>Price!L11/'Price D Coupon'!L$5</f>
        <v>7.3284920628571433</v>
      </c>
      <c r="M11" s="35">
        <f>Price!M11/'Price D Coupon'!M$5</f>
        <v>0</v>
      </c>
      <c r="N11" s="35">
        <f>Price!N11/'Price D Coupon'!N$5</f>
        <v>0</v>
      </c>
      <c r="O11" s="35">
        <f>Price!O11/'Price D Coupon'!O$5</f>
        <v>0</v>
      </c>
      <c r="P11" s="35">
        <f>Price!P11/'Price D Coupon'!P$5</f>
        <v>6.7217780275000001</v>
      </c>
      <c r="Q11" s="35">
        <f>Price!Q11/'Price D Coupon'!Q$5</f>
        <v>6.1532777775000005</v>
      </c>
      <c r="R11" s="35">
        <f>Price!R11/'Price D Coupon'!R$5</f>
        <v>0</v>
      </c>
      <c r="S11" s="35">
        <f>Price!S11/'Price D Coupon'!S$5</f>
        <v>5.9816666666666665</v>
      </c>
      <c r="T11" s="35">
        <f>Price!T11/'Price D Coupon'!T$5</f>
        <v>5.4625555555555563</v>
      </c>
      <c r="U11" s="35">
        <f>Price!U11/'Price D Coupon'!U$5</f>
        <v>5.466777778</v>
      </c>
      <c r="V11" s="35">
        <f>Price!V11/'Price D Coupon'!V$5</f>
        <v>4.9863775779999999</v>
      </c>
      <c r="W11" s="35">
        <f>Price!W11/'Price D Coupon'!W$5</f>
        <v>3.6891414145454546</v>
      </c>
      <c r="X11" s="35">
        <f>Price!X11/'Price D Coupon'!X$5</f>
        <v>3.4727777783333331</v>
      </c>
      <c r="Y11" s="35">
        <f>Price!Y11/'Price D Coupon'!Y$5</f>
        <v>3.4553933169230766</v>
      </c>
      <c r="Z11" s="41"/>
      <c r="AA11" s="42"/>
      <c r="AB11" s="43"/>
      <c r="AC11" s="31">
        <v>24.450172322999997</v>
      </c>
      <c r="AE11" s="8">
        <v>40724</v>
      </c>
      <c r="AF11" s="9">
        <f>VLOOKUP(AE11,CurrentCoupon!temp,3,0)</f>
        <v>4.0210177977435997</v>
      </c>
      <c r="AI11" s="4">
        <v>40724</v>
      </c>
      <c r="AJ11" s="15">
        <v>0</v>
      </c>
      <c r="AK11" s="15">
        <v>0</v>
      </c>
      <c r="AL11" s="15">
        <v>0</v>
      </c>
      <c r="AM11" s="15">
        <v>0</v>
      </c>
      <c r="AN11" s="15">
        <v>0</v>
      </c>
      <c r="AO11" s="15">
        <v>2.7926501957768753E-2</v>
      </c>
      <c r="AP11" s="15">
        <v>0</v>
      </c>
      <c r="AQ11" s="15">
        <v>0</v>
      </c>
      <c r="AR11" s="15">
        <v>0</v>
      </c>
      <c r="AS11" s="15">
        <v>0.14295239492599032</v>
      </c>
      <c r="AT11" s="15">
        <v>0.13080464567183972</v>
      </c>
      <c r="AU11" s="15">
        <v>0</v>
      </c>
      <c r="AV11" s="15">
        <v>0.13137857716900042</v>
      </c>
      <c r="AW11" s="15">
        <v>0.28954874201329145</v>
      </c>
      <c r="AX11" s="15">
        <v>6.3413192505560836E-2</v>
      </c>
      <c r="AY11" s="15">
        <v>6.6167140076564837E-2</v>
      </c>
      <c r="AZ11" s="15">
        <v>6.6975610249229073E-2</v>
      </c>
      <c r="BA11" s="17">
        <v>3.4766828812003103E-2</v>
      </c>
      <c r="BB11" s="16">
        <v>4.6066366618751513E-2</v>
      </c>
      <c r="BC11" s="51">
        <f t="shared" si="0"/>
        <v>1</v>
      </c>
      <c r="BE11" s="4">
        <v>40694</v>
      </c>
      <c r="BF11" s="21">
        <v>9.513688870633372E-3</v>
      </c>
    </row>
    <row r="12" spans="6:58" x14ac:dyDescent="0.2">
      <c r="F12" s="4">
        <v>40753</v>
      </c>
      <c r="G12" s="35">
        <f>Price!G12/'Price D Coupon'!G$5</f>
        <v>0</v>
      </c>
      <c r="H12" s="35">
        <f>Price!H12/'Price D Coupon'!H$5</f>
        <v>0</v>
      </c>
      <c r="I12" s="35">
        <f>Price!I12/'Price D Coupon'!I$5</f>
        <v>0</v>
      </c>
      <c r="J12" s="35">
        <f>Price!J12/'Price D Coupon'!J$5</f>
        <v>0</v>
      </c>
      <c r="K12" s="35">
        <f>Price!K12/'Price D Coupon'!K$5</f>
        <v>0</v>
      </c>
      <c r="L12" s="35">
        <f>Price!L12/'Price D Coupon'!L$5</f>
        <v>7.1242063485714286</v>
      </c>
      <c r="M12" s="35">
        <f>Price!M12/'Price D Coupon'!M$5</f>
        <v>0</v>
      </c>
      <c r="N12" s="35">
        <f>Price!N12/'Price D Coupon'!N$5</f>
        <v>0</v>
      </c>
      <c r="O12" s="35">
        <f>Price!O12/'Price D Coupon'!O$5</f>
        <v>0</v>
      </c>
      <c r="P12" s="35">
        <f>Price!P12/'Price D Coupon'!P$5</f>
        <v>6.4317780275000001</v>
      </c>
      <c r="Q12" s="35">
        <f>Price!Q12/'Price D Coupon'!Q$5</f>
        <v>5.8300275275000004</v>
      </c>
      <c r="R12" s="35">
        <f>Price!R12/'Price D Coupon'!R$5</f>
        <v>0</v>
      </c>
      <c r="S12" s="35">
        <f>Price!S12/'Price D Coupon'!S$5</f>
        <v>5.5701108888888884</v>
      </c>
      <c r="T12" s="35">
        <f>Price!T12/'Price D Coupon'!T$5</f>
        <v>5.0389999999999997</v>
      </c>
      <c r="U12" s="35">
        <f>Price!U12/'Price D Coupon'!U$5</f>
        <v>5.0777777779999997</v>
      </c>
      <c r="V12" s="35">
        <f>Price!V12/'Price D Coupon'!V$5</f>
        <v>4.571577778</v>
      </c>
      <c r="W12" s="35">
        <f>Price!W12/'Price D Coupon'!W$5</f>
        <v>3.5185959600000003</v>
      </c>
      <c r="X12" s="35">
        <f>Price!X12/'Price D Coupon'!X$5</f>
        <v>3.3341111116666666</v>
      </c>
      <c r="Y12" s="35">
        <f>Price!Y12/'Price D Coupon'!Y$5</f>
        <v>3.3604700861538461</v>
      </c>
      <c r="Z12" s="41"/>
      <c r="AA12" s="42"/>
      <c r="AB12" s="43"/>
      <c r="AC12" s="31">
        <v>23.116972123000004</v>
      </c>
      <c r="AE12" s="8">
        <v>40753</v>
      </c>
      <c r="AF12" s="9">
        <f>VLOOKUP(AE12,CurrentCoupon!temp,3,0)</f>
        <v>3.8088238659156599</v>
      </c>
      <c r="AI12" s="4">
        <v>40753</v>
      </c>
      <c r="AJ12" s="15">
        <v>0</v>
      </c>
      <c r="AK12" s="15">
        <v>0</v>
      </c>
      <c r="AL12" s="15">
        <v>0</v>
      </c>
      <c r="AM12" s="15">
        <v>0</v>
      </c>
      <c r="AN12" s="15">
        <v>0</v>
      </c>
      <c r="AO12" s="15">
        <v>2.8075951703501682E-2</v>
      </c>
      <c r="AP12" s="15">
        <v>0</v>
      </c>
      <c r="AQ12" s="15">
        <v>0</v>
      </c>
      <c r="AR12" s="15">
        <v>0</v>
      </c>
      <c r="AS12" s="15">
        <v>0.14365704106582969</v>
      </c>
      <c r="AT12" s="15">
        <v>0.13116041309480575</v>
      </c>
      <c r="AU12" s="15">
        <v>0</v>
      </c>
      <c r="AV12" s="15">
        <v>0.13186398842783459</v>
      </c>
      <c r="AW12" s="15">
        <v>0.28990556795270689</v>
      </c>
      <c r="AX12" s="15">
        <v>6.3549087397626311E-2</v>
      </c>
      <c r="AY12" s="15">
        <v>6.6127745795580617E-2</v>
      </c>
      <c r="AZ12" s="15">
        <v>6.6052679711001178E-2</v>
      </c>
      <c r="BA12" s="17">
        <v>3.4214858305890203E-2</v>
      </c>
      <c r="BB12" s="16">
        <v>4.5392666545222969E-2</v>
      </c>
      <c r="BC12" s="51">
        <f t="shared" si="0"/>
        <v>0.99999999999999989</v>
      </c>
      <c r="BE12" s="4">
        <v>40724</v>
      </c>
      <c r="BF12" s="21">
        <v>1.4594354068344891E-2</v>
      </c>
    </row>
    <row r="13" spans="6:58" x14ac:dyDescent="0.2">
      <c r="F13" s="4">
        <v>40786</v>
      </c>
      <c r="G13" s="35">
        <f>Price!G13/'Price D Coupon'!G$5</f>
        <v>0</v>
      </c>
      <c r="H13" s="35">
        <f>Price!H13/'Price D Coupon'!H$5</f>
        <v>0</v>
      </c>
      <c r="I13" s="35">
        <f>Price!I13/'Price D Coupon'!I$5</f>
        <v>0</v>
      </c>
      <c r="J13" s="35">
        <f>Price!J13/'Price D Coupon'!J$5</f>
        <v>0</v>
      </c>
      <c r="K13" s="35">
        <f>Price!K13/'Price D Coupon'!K$5</f>
        <v>0</v>
      </c>
      <c r="L13" s="35">
        <f>Price!L13/'Price D Coupon'!L$5</f>
        <v>6.3027777771428575</v>
      </c>
      <c r="M13" s="35">
        <f>Price!M13/'Price D Coupon'!M$5</f>
        <v>0</v>
      </c>
      <c r="N13" s="35">
        <f>Price!N13/'Price D Coupon'!N$5</f>
        <v>0</v>
      </c>
      <c r="O13" s="35">
        <f>Price!O13/'Price D Coupon'!O$5</f>
        <v>0</v>
      </c>
      <c r="P13" s="35">
        <f>Price!P13/'Price D Coupon'!P$5</f>
        <v>5.3182777775000005</v>
      </c>
      <c r="Q13" s="35">
        <f>Price!Q13/'Price D Coupon'!Q$5</f>
        <v>4.8340277775000002</v>
      </c>
      <c r="R13" s="35">
        <f>Price!R13/'Price D Coupon'!R$5</f>
        <v>0</v>
      </c>
      <c r="S13" s="35">
        <f>Price!S13/'Price D Coupon'!S$5</f>
        <v>4.1221111111111117</v>
      </c>
      <c r="T13" s="35">
        <f>Price!T13/'Price D Coupon'!T$5</f>
        <v>3.7472222222222222</v>
      </c>
      <c r="U13" s="35">
        <f>Price!U13/'Price D Coupon'!U$5</f>
        <v>3.9151777780000003</v>
      </c>
      <c r="V13" s="35">
        <f>Price!V13/'Price D Coupon'!V$5</f>
        <v>3.4839777779999999</v>
      </c>
      <c r="W13" s="35">
        <f>Price!W13/'Price D Coupon'!W$5</f>
        <v>2.9220505054545454</v>
      </c>
      <c r="X13" s="35">
        <f>Price!X13/'Price D Coupon'!X$5</f>
        <v>2.9069444450000002</v>
      </c>
      <c r="Y13" s="35">
        <f>Price!Y13/'Price D Coupon'!Y$5</f>
        <v>3.0720085476923078</v>
      </c>
      <c r="Z13" s="41"/>
      <c r="AA13" s="42"/>
      <c r="AB13" s="43"/>
      <c r="AC13" s="31">
        <v>18.855772223000002</v>
      </c>
      <c r="AE13" s="8">
        <v>40786</v>
      </c>
      <c r="AF13" s="9">
        <f>VLOOKUP(AE13,CurrentCoupon!temp,3,0)</f>
        <v>3.4273948025536498</v>
      </c>
      <c r="AI13" s="4">
        <v>40786</v>
      </c>
      <c r="AJ13" s="15">
        <v>0</v>
      </c>
      <c r="AK13" s="15">
        <v>0</v>
      </c>
      <c r="AL13" s="15">
        <v>0</v>
      </c>
      <c r="AM13" s="15">
        <v>0</v>
      </c>
      <c r="AN13" s="15">
        <v>0</v>
      </c>
      <c r="AO13" s="15">
        <v>2.8268827828187799E-2</v>
      </c>
      <c r="AP13" s="15">
        <v>0</v>
      </c>
      <c r="AQ13" s="15">
        <v>0</v>
      </c>
      <c r="AR13" s="15">
        <v>0</v>
      </c>
      <c r="AS13" s="15">
        <v>0.14449103457182499</v>
      </c>
      <c r="AT13" s="15">
        <v>0.13161044149590559</v>
      </c>
      <c r="AU13" s="15">
        <v>0</v>
      </c>
      <c r="AV13" s="15">
        <v>0.13233923955363772</v>
      </c>
      <c r="AW13" s="15">
        <v>0.28981899813415352</v>
      </c>
      <c r="AX13" s="15">
        <v>6.3677521840788273E-2</v>
      </c>
      <c r="AY13" s="15">
        <v>6.5940193661404842E-2</v>
      </c>
      <c r="AZ13" s="15">
        <v>6.5193393785316064E-2</v>
      </c>
      <c r="BA13" s="17">
        <v>3.3758086353651073E-2</v>
      </c>
      <c r="BB13" s="16">
        <v>4.4902262775129903E-2</v>
      </c>
      <c r="BC13" s="51">
        <f t="shared" si="0"/>
        <v>0.99999999999999956</v>
      </c>
      <c r="BE13" s="4">
        <v>40753</v>
      </c>
      <c r="BF13" s="21">
        <v>-5.6499117749605927E-2</v>
      </c>
    </row>
    <row r="14" spans="6:58" x14ac:dyDescent="0.2">
      <c r="F14" s="4">
        <v>40816</v>
      </c>
      <c r="G14" s="35">
        <f>Price!G14/'Price D Coupon'!G$5</f>
        <v>0</v>
      </c>
      <c r="H14" s="35">
        <f>Price!H14/'Price D Coupon'!H$5</f>
        <v>0</v>
      </c>
      <c r="I14" s="35">
        <f>Price!I14/'Price D Coupon'!I$5</f>
        <v>0</v>
      </c>
      <c r="J14" s="35">
        <f>Price!J14/'Price D Coupon'!J$5</f>
        <v>0</v>
      </c>
      <c r="K14" s="35">
        <f>Price!K14/'Price D Coupon'!K$5</f>
        <v>0</v>
      </c>
      <c r="L14" s="35">
        <f>Price!L14/'Price D Coupon'!L$5</f>
        <v>5.2637619057142855</v>
      </c>
      <c r="M14" s="35">
        <f>Price!M14/'Price D Coupon'!M$5</f>
        <v>0</v>
      </c>
      <c r="N14" s="35">
        <f>Price!N14/'Price D Coupon'!N$5</f>
        <v>0</v>
      </c>
      <c r="O14" s="35">
        <f>Price!O14/'Price D Coupon'!O$5</f>
        <v>0</v>
      </c>
      <c r="P14" s="35">
        <f>Price!P14/'Price D Coupon'!P$5</f>
        <v>4.2303333324999999</v>
      </c>
      <c r="Q14" s="35">
        <f>Price!Q14/'Price D Coupon'!Q$5</f>
        <v>3.7340833325</v>
      </c>
      <c r="R14" s="35">
        <f>Price!R14/'Price D Coupon'!R$5</f>
        <v>0</v>
      </c>
      <c r="S14" s="35">
        <f>Price!S14/'Price D Coupon'!S$5</f>
        <v>3.3707777777777777</v>
      </c>
      <c r="T14" s="35">
        <f>Price!T14/'Price D Coupon'!T$5</f>
        <v>2.9576666666666664</v>
      </c>
      <c r="U14" s="35">
        <f>Price!U14/'Price D Coupon'!U$5</f>
        <v>3.336533534</v>
      </c>
      <c r="V14" s="35">
        <f>Price!V14/'Price D Coupon'!V$5</f>
        <v>2.867733334</v>
      </c>
      <c r="W14" s="35">
        <f>Price!W14/'Price D Coupon'!W$5</f>
        <v>2.3765151509090909</v>
      </c>
      <c r="X14" s="35">
        <f>Price!X14/'Price D Coupon'!X$5</f>
        <v>2.4489999999999998</v>
      </c>
      <c r="Y14" s="35">
        <f>Price!Y14/'Price D Coupon'!Y$5</f>
        <v>2.6832564107692312</v>
      </c>
      <c r="Z14" s="41"/>
      <c r="AA14" s="42"/>
      <c r="AB14" s="43"/>
      <c r="AC14" s="31">
        <v>15.498616766999998</v>
      </c>
      <c r="AE14" s="8">
        <v>40816</v>
      </c>
      <c r="AF14" s="9">
        <f>VLOOKUP(AE14,CurrentCoupon!temp,3,0)</f>
        <v>3.0385261527896099</v>
      </c>
      <c r="AI14" s="4">
        <v>40816</v>
      </c>
      <c r="AJ14" s="15">
        <v>0</v>
      </c>
      <c r="AK14" s="15">
        <v>0</v>
      </c>
      <c r="AL14" s="15">
        <v>0</v>
      </c>
      <c r="AM14" s="15">
        <v>0</v>
      </c>
      <c r="AN14" s="15">
        <v>0</v>
      </c>
      <c r="AO14" s="15">
        <v>2.8492304081305004E-2</v>
      </c>
      <c r="AP14" s="15">
        <v>0</v>
      </c>
      <c r="AQ14" s="15">
        <v>0</v>
      </c>
      <c r="AR14" s="15">
        <v>0</v>
      </c>
      <c r="AS14" s="15">
        <v>0.14538343618521979</v>
      </c>
      <c r="AT14" s="15">
        <v>0.13200485539254486</v>
      </c>
      <c r="AU14" s="15">
        <v>0</v>
      </c>
      <c r="AV14" s="15">
        <v>0.13281236368722435</v>
      </c>
      <c r="AW14" s="15">
        <v>0.28945243564304352</v>
      </c>
      <c r="AX14" s="15">
        <v>6.3769571285318669E-2</v>
      </c>
      <c r="AY14" s="15">
        <v>6.5782076713566465E-2</v>
      </c>
      <c r="AZ14" s="15">
        <v>6.44223983810258E-2</v>
      </c>
      <c r="BA14" s="17">
        <v>3.3367228721352594E-2</v>
      </c>
      <c r="BB14" s="16">
        <v>4.4513329909399039E-2</v>
      </c>
      <c r="BC14" s="51">
        <f t="shared" si="0"/>
        <v>1</v>
      </c>
      <c r="BE14" s="4">
        <v>40786</v>
      </c>
      <c r="BF14" s="21">
        <v>-0.20415554691478444</v>
      </c>
    </row>
    <row r="15" spans="6:58" x14ac:dyDescent="0.2">
      <c r="F15" s="4">
        <v>40847</v>
      </c>
      <c r="G15" s="35">
        <f>Price!G15/'Price D Coupon'!G$5</f>
        <v>0</v>
      </c>
      <c r="H15" s="35">
        <f>Price!H15/'Price D Coupon'!H$5</f>
        <v>0</v>
      </c>
      <c r="I15" s="35">
        <f>Price!I15/'Price D Coupon'!I$5</f>
        <v>0</v>
      </c>
      <c r="J15" s="35">
        <f>Price!J15/'Price D Coupon'!J$5</f>
        <v>0</v>
      </c>
      <c r="K15" s="35">
        <f>Price!K15/'Price D Coupon'!K$5</f>
        <v>0</v>
      </c>
      <c r="L15" s="35">
        <f>Price!L15/'Price D Coupon'!L$5</f>
        <v>5.1733494914285725</v>
      </c>
      <c r="M15" s="35">
        <f>Price!M15/'Price D Coupon'!M$5</f>
        <v>0</v>
      </c>
      <c r="N15" s="35">
        <f>Price!N15/'Price D Coupon'!N$5</f>
        <v>0</v>
      </c>
      <c r="O15" s="35">
        <f>Price!O15/'Price D Coupon'!O$5</f>
        <v>0</v>
      </c>
      <c r="P15" s="35">
        <f>Price!P15/'Price D Coupon'!P$5</f>
        <v>4.1737775275000004</v>
      </c>
      <c r="Q15" s="35">
        <f>Price!Q15/'Price D Coupon'!Q$5</f>
        <v>3.8182777774999996</v>
      </c>
      <c r="R15" s="35">
        <f>Price!R15/'Price D Coupon'!R$5</f>
        <v>0</v>
      </c>
      <c r="S15" s="35">
        <f>Price!S15/'Price D Coupon'!S$5</f>
        <v>3.6361111111111111</v>
      </c>
      <c r="T15" s="35">
        <f>Price!T15/'Price D Coupon'!T$5</f>
        <v>3.1430000000000002</v>
      </c>
      <c r="U15" s="35">
        <f>Price!U15/'Price D Coupon'!U$5</f>
        <v>3.8527777780000001</v>
      </c>
      <c r="V15" s="35">
        <f>Price!V15/'Price D Coupon'!V$5</f>
        <v>3.4089777779999997</v>
      </c>
      <c r="W15" s="35">
        <f>Price!W15/'Price D Coupon'!W$5</f>
        <v>2.3624141418181819</v>
      </c>
      <c r="X15" s="35">
        <f>Price!X15/'Price D Coupon'!X$5</f>
        <v>2.4069444450000002</v>
      </c>
      <c r="Y15" s="35">
        <f>Price!Y15/'Price D Coupon'!Y$5</f>
        <v>2.5960085476923074</v>
      </c>
      <c r="Z15" s="41"/>
      <c r="AA15" s="42"/>
      <c r="AB15" s="43"/>
      <c r="AC15" s="31">
        <v>16.119872222999998</v>
      </c>
      <c r="AE15" s="8">
        <v>40847</v>
      </c>
      <c r="AF15" s="9">
        <f>VLOOKUP(AE15,CurrentCoupon!temp,3,0)</f>
        <v>3.2515769978966</v>
      </c>
      <c r="AI15" s="4">
        <v>40847</v>
      </c>
      <c r="AJ15" s="15">
        <v>0</v>
      </c>
      <c r="AK15" s="15">
        <v>0</v>
      </c>
      <c r="AL15" s="15">
        <v>0</v>
      </c>
      <c r="AM15" s="15">
        <v>0</v>
      </c>
      <c r="AN15" s="15">
        <v>0</v>
      </c>
      <c r="AO15" s="15">
        <v>2.8725425227181536E-2</v>
      </c>
      <c r="AP15" s="15">
        <v>0</v>
      </c>
      <c r="AQ15" s="15">
        <v>0</v>
      </c>
      <c r="AR15" s="15">
        <v>0</v>
      </c>
      <c r="AS15" s="15">
        <v>0.14628267509421089</v>
      </c>
      <c r="AT15" s="15">
        <v>0.1324436330012049</v>
      </c>
      <c r="AU15" s="15">
        <v>0</v>
      </c>
      <c r="AV15" s="15">
        <v>0.133265058314437</v>
      </c>
      <c r="AW15" s="15">
        <v>0.2890669398377671</v>
      </c>
      <c r="AX15" s="15">
        <v>6.3944654252541921E-2</v>
      </c>
      <c r="AY15" s="15">
        <v>6.5618839285404601E-2</v>
      </c>
      <c r="AZ15" s="15">
        <v>6.3584558487808154E-2</v>
      </c>
      <c r="BA15" s="17">
        <v>3.2958172448596543E-2</v>
      </c>
      <c r="BB15" s="16">
        <v>4.411004405084732E-2</v>
      </c>
      <c r="BC15" s="51">
        <f t="shared" si="0"/>
        <v>1</v>
      </c>
      <c r="BE15" s="4">
        <v>40816</v>
      </c>
      <c r="BF15" s="21">
        <v>-0.18608869129036568</v>
      </c>
    </row>
    <row r="16" spans="6:58" x14ac:dyDescent="0.2">
      <c r="F16" s="4">
        <v>40877</v>
      </c>
      <c r="G16" s="35">
        <f>Price!G16/'Price D Coupon'!G$5</f>
        <v>0</v>
      </c>
      <c r="H16" s="35">
        <f>Price!H16/'Price D Coupon'!H$5</f>
        <v>0</v>
      </c>
      <c r="I16" s="35">
        <f>Price!I16/'Price D Coupon'!I$5</f>
        <v>0</v>
      </c>
      <c r="J16" s="35">
        <f>Price!J16/'Price D Coupon'!J$5</f>
        <v>0</v>
      </c>
      <c r="K16" s="35">
        <f>Price!K16/'Price D Coupon'!K$5</f>
        <v>0</v>
      </c>
      <c r="L16" s="35">
        <f>Price!L16/'Price D Coupon'!L$5</f>
        <v>5.0527777771428575</v>
      </c>
      <c r="M16" s="35">
        <f>Price!M16/'Price D Coupon'!M$5</f>
        <v>0</v>
      </c>
      <c r="N16" s="35">
        <f>Price!N16/'Price D Coupon'!N$5</f>
        <v>0</v>
      </c>
      <c r="O16" s="35">
        <f>Price!O16/'Price D Coupon'!O$5</f>
        <v>0</v>
      </c>
      <c r="P16" s="35">
        <f>Price!P16/'Price D Coupon'!P$5</f>
        <v>4.0567780275000001</v>
      </c>
      <c r="Q16" s="35">
        <f>Price!Q16/'Price D Coupon'!Q$5</f>
        <v>3.5800277774999998</v>
      </c>
      <c r="R16" s="35">
        <f>Price!R16/'Price D Coupon'!R$5</f>
        <v>0</v>
      </c>
      <c r="S16" s="35">
        <f>Price!S16/'Price D Coupon'!S$5</f>
        <v>3.7194444444444446</v>
      </c>
      <c r="T16" s="35">
        <f>Price!T16/'Price D Coupon'!T$5</f>
        <v>3.0736666666666665</v>
      </c>
      <c r="U16" s="35">
        <f>Price!U16/'Price D Coupon'!U$5</f>
        <v>3.9839777779999999</v>
      </c>
      <c r="V16" s="35">
        <f>Price!V16/'Price D Coupon'!V$5</f>
        <v>3.4745775780000003</v>
      </c>
      <c r="W16" s="35">
        <f>Price!W16/'Price D Coupon'!W$5</f>
        <v>2.4789595963636364</v>
      </c>
      <c r="X16" s="35">
        <f>Price!X16/'Price D Coupon'!X$5</f>
        <v>2.5787777783333334</v>
      </c>
      <c r="Y16" s="35">
        <f>Price!Y16/'Price D Coupon'!Y$5</f>
        <v>2.730623932307692</v>
      </c>
      <c r="Z16" s="41"/>
      <c r="AA16" s="42"/>
      <c r="AB16" s="43"/>
      <c r="AC16" s="31">
        <v>16.294972222999998</v>
      </c>
      <c r="AE16" s="8">
        <v>40877</v>
      </c>
      <c r="AF16" s="9">
        <f>VLOOKUP(AE16,CurrentCoupon!temp,3,0)</f>
        <v>3.1770193190764999</v>
      </c>
      <c r="AI16" s="4">
        <v>40877</v>
      </c>
      <c r="AJ16" s="15">
        <v>0</v>
      </c>
      <c r="AK16" s="15">
        <v>0</v>
      </c>
      <c r="AL16" s="15">
        <v>0</v>
      </c>
      <c r="AM16" s="15">
        <v>0</v>
      </c>
      <c r="AN16" s="15">
        <v>0</v>
      </c>
      <c r="AO16" s="15">
        <v>2.911347609502667E-2</v>
      </c>
      <c r="AP16" s="15">
        <v>0</v>
      </c>
      <c r="AQ16" s="15">
        <v>0</v>
      </c>
      <c r="AR16" s="15">
        <v>0</v>
      </c>
      <c r="AS16" s="15">
        <v>0.14674367093890997</v>
      </c>
      <c r="AT16" s="15">
        <v>0.13246170514808966</v>
      </c>
      <c r="AU16" s="15">
        <v>0</v>
      </c>
      <c r="AV16" s="15">
        <v>0.13350213051287418</v>
      </c>
      <c r="AW16" s="15">
        <v>0.28777045809815949</v>
      </c>
      <c r="AX16" s="15">
        <v>6.4358005314483435E-2</v>
      </c>
      <c r="AY16" s="15">
        <v>6.5689719914105105E-2</v>
      </c>
      <c r="AZ16" s="15">
        <v>6.3254791366422272E-2</v>
      </c>
      <c r="BA16" s="17">
        <v>3.2898513985434419E-2</v>
      </c>
      <c r="BB16" s="16">
        <v>4.4207528626494734E-2</v>
      </c>
      <c r="BC16" s="51">
        <f t="shared" si="0"/>
        <v>0.99999999999999989</v>
      </c>
      <c r="BE16" s="4">
        <v>40847</v>
      </c>
      <c r="BF16" s="21">
        <v>5.2849339196914737E-2</v>
      </c>
    </row>
    <row r="17" spans="6:58" x14ac:dyDescent="0.2">
      <c r="F17" s="4">
        <v>40907</v>
      </c>
      <c r="G17" s="35">
        <f>Price!G17/'Price D Coupon'!G$5</f>
        <v>0</v>
      </c>
      <c r="H17" s="35">
        <f>Price!H17/'Price D Coupon'!H$5</f>
        <v>0</v>
      </c>
      <c r="I17" s="35">
        <f>Price!I17/'Price D Coupon'!I$5</f>
        <v>0</v>
      </c>
      <c r="J17" s="35">
        <f>Price!J17/'Price D Coupon'!J$5</f>
        <v>0</v>
      </c>
      <c r="K17" s="35">
        <f>Price!K17/'Price D Coupon'!K$5</f>
        <v>0</v>
      </c>
      <c r="L17" s="35">
        <f>Price!L17/'Price D Coupon'!L$5</f>
        <v>4.9109044771428572</v>
      </c>
      <c r="M17" s="35">
        <f>Price!M17/'Price D Coupon'!M$5</f>
        <v>0</v>
      </c>
      <c r="N17" s="35">
        <f>Price!N17/'Price D Coupon'!N$5</f>
        <v>0</v>
      </c>
      <c r="O17" s="35">
        <f>Price!O17/'Price D Coupon'!O$5</f>
        <v>0</v>
      </c>
      <c r="P17" s="35">
        <f>Price!P17/'Price D Coupon'!P$5</f>
        <v>3.9605833325000002</v>
      </c>
      <c r="Q17" s="35">
        <f>Price!Q17/'Price D Coupon'!Q$5</f>
        <v>3.4098333325000003</v>
      </c>
      <c r="R17" s="35">
        <f>Price!R17/'Price D Coupon'!R$5</f>
        <v>0</v>
      </c>
      <c r="S17" s="35">
        <f>Price!S17/'Price D Coupon'!S$5</f>
        <v>3.7181111111111114</v>
      </c>
      <c r="T17" s="35">
        <f>Price!T17/'Price D Coupon'!T$5</f>
        <v>3.0063333333333331</v>
      </c>
      <c r="U17" s="35">
        <f>Price!U17/'Price D Coupon'!U$5</f>
        <v>3.9707333340000006</v>
      </c>
      <c r="V17" s="35">
        <f>Price!V17/'Price D Coupon'!V$5</f>
        <v>3.3865335340000002</v>
      </c>
      <c r="W17" s="35">
        <f>Price!W17/'Price D Coupon'!W$5</f>
        <v>2.3423333327272724</v>
      </c>
      <c r="X17" s="35">
        <f>Price!X17/'Price D Coupon'!X$5</f>
        <v>2.5009999999999999</v>
      </c>
      <c r="Y17" s="35">
        <f>Price!Y17/'Price D Coupon'!Y$5</f>
        <v>2.6712562569230771</v>
      </c>
      <c r="Z17" s="41"/>
      <c r="AA17" s="42"/>
      <c r="AB17" s="43"/>
      <c r="AC17" s="31">
        <v>15.896816567000002</v>
      </c>
      <c r="AE17" s="8">
        <v>40907</v>
      </c>
      <c r="AF17" s="9">
        <f>VLOOKUP(AE17,CurrentCoupon!temp,3,0)</f>
        <v>3.0169008574553802</v>
      </c>
      <c r="AI17" s="4">
        <v>40907</v>
      </c>
      <c r="AJ17" s="15">
        <v>0</v>
      </c>
      <c r="AK17" s="15">
        <v>0</v>
      </c>
      <c r="AL17" s="15">
        <v>0</v>
      </c>
      <c r="AM17" s="15">
        <v>0</v>
      </c>
      <c r="AN17" s="15">
        <v>0</v>
      </c>
      <c r="AO17" s="15">
        <v>2.9527009196278538E-2</v>
      </c>
      <c r="AP17" s="15">
        <v>0</v>
      </c>
      <c r="AQ17" s="15">
        <v>0</v>
      </c>
      <c r="AR17" s="15">
        <v>0</v>
      </c>
      <c r="AS17" s="15">
        <v>0.14725219337367662</v>
      </c>
      <c r="AT17" s="15">
        <v>0.13222634902056923</v>
      </c>
      <c r="AU17" s="15">
        <v>0</v>
      </c>
      <c r="AV17" s="15">
        <v>0.13390235182950719</v>
      </c>
      <c r="AW17" s="15">
        <v>0.28593973889171309</v>
      </c>
      <c r="AX17" s="15">
        <v>6.4909728799399977E-2</v>
      </c>
      <c r="AY17" s="15">
        <v>6.5805923533826791E-2</v>
      </c>
      <c r="AZ17" s="15">
        <v>6.3058815022318082E-2</v>
      </c>
      <c r="BA17" s="17">
        <v>3.2938145764076103E-2</v>
      </c>
      <c r="BB17" s="16">
        <v>4.4439744568634303E-2</v>
      </c>
      <c r="BC17" s="51">
        <f t="shared" si="0"/>
        <v>0.99999999999999989</v>
      </c>
      <c r="BE17" s="4">
        <v>40877</v>
      </c>
      <c r="BF17" s="21">
        <v>-7.0201412794057283E-3</v>
      </c>
    </row>
    <row r="18" spans="6:58" x14ac:dyDescent="0.2">
      <c r="F18" s="4">
        <v>40939</v>
      </c>
      <c r="G18" s="35">
        <f>Price!G18/'Price D Coupon'!G$5</f>
        <v>0</v>
      </c>
      <c r="H18" s="35">
        <f>Price!H18/'Price D Coupon'!H$5</f>
        <v>0</v>
      </c>
      <c r="I18" s="35">
        <f>Price!I18/'Price D Coupon'!I$5</f>
        <v>0</v>
      </c>
      <c r="J18" s="35">
        <f>Price!J18/'Price D Coupon'!J$5</f>
        <v>0</v>
      </c>
      <c r="K18" s="35">
        <f>Price!K18/'Price D Coupon'!K$5</f>
        <v>0</v>
      </c>
      <c r="L18" s="35">
        <f>Price!L18/'Price D Coupon'!L$5</f>
        <v>4.5884920628571431</v>
      </c>
      <c r="M18" s="35">
        <f>Price!M18/'Price D Coupon'!M$5</f>
        <v>0</v>
      </c>
      <c r="N18" s="35">
        <f>Price!N18/'Price D Coupon'!N$5</f>
        <v>0</v>
      </c>
      <c r="O18" s="35">
        <f>Price!O18/'Price D Coupon'!O$5</f>
        <v>0</v>
      </c>
      <c r="P18" s="35">
        <f>Price!P18/'Price D Coupon'!P$5</f>
        <v>3.6347777774999996</v>
      </c>
      <c r="Q18" s="35">
        <f>Price!Q18/'Price D Coupon'!Q$5</f>
        <v>3.0057777774999996</v>
      </c>
      <c r="R18" s="35">
        <f>Price!R18/'Price D Coupon'!R$5</f>
        <v>0</v>
      </c>
      <c r="S18" s="35">
        <f>Price!S18/'Price D Coupon'!S$5</f>
        <v>3.3861111111111111</v>
      </c>
      <c r="T18" s="35">
        <f>Price!T18/'Price D Coupon'!T$5</f>
        <v>2.7021111111111114</v>
      </c>
      <c r="U18" s="35">
        <f>Price!U18/'Price D Coupon'!U$5</f>
        <v>3.5903777779999997</v>
      </c>
      <c r="V18" s="35">
        <f>Price!V18/'Price D Coupon'!V$5</f>
        <v>3.0215777780000002</v>
      </c>
      <c r="W18" s="35">
        <f>Price!W18/'Price D Coupon'!W$5</f>
        <v>2.2744141418181818</v>
      </c>
      <c r="X18" s="35">
        <f>Price!X18/'Price D Coupon'!X$5</f>
        <v>2.3834444449999999</v>
      </c>
      <c r="Y18" s="35">
        <f>Price!Y18/'Price D Coupon'!Y$5</f>
        <v>2.591239316923077</v>
      </c>
      <c r="Z18" s="41"/>
      <c r="AA18" s="42"/>
      <c r="AB18" s="43"/>
      <c r="AC18" s="31">
        <v>14.673172223</v>
      </c>
      <c r="AE18" s="8">
        <v>40939</v>
      </c>
      <c r="AF18" s="9">
        <f>VLOOKUP(AE18,CurrentCoupon!temp,3,0)</f>
        <v>2.7762952709571298</v>
      </c>
      <c r="AI18" s="4">
        <v>40939</v>
      </c>
      <c r="AJ18" s="15">
        <v>0</v>
      </c>
      <c r="AK18" s="15">
        <v>0</v>
      </c>
      <c r="AL18" s="15">
        <v>0</v>
      </c>
      <c r="AM18" s="15">
        <v>0</v>
      </c>
      <c r="AN18" s="15">
        <v>0</v>
      </c>
      <c r="AO18" s="15">
        <v>2.9942397842585823E-2</v>
      </c>
      <c r="AP18" s="15">
        <v>0</v>
      </c>
      <c r="AQ18" s="15">
        <v>0</v>
      </c>
      <c r="AR18" s="15">
        <v>0</v>
      </c>
      <c r="AS18" s="15">
        <v>0.14782150847049236</v>
      </c>
      <c r="AT18" s="15">
        <v>0.13183303065494731</v>
      </c>
      <c r="AU18" s="15">
        <v>0</v>
      </c>
      <c r="AV18" s="15">
        <v>0.13443017383464312</v>
      </c>
      <c r="AW18" s="15">
        <v>0.28368873380833071</v>
      </c>
      <c r="AX18" s="15">
        <v>6.5593518216600144E-2</v>
      </c>
      <c r="AY18" s="15">
        <v>6.5946485876103009E-2</v>
      </c>
      <c r="AZ18" s="15">
        <v>6.2894336170129822E-2</v>
      </c>
      <c r="BA18" s="17">
        <v>3.304018315359384E-2</v>
      </c>
      <c r="BB18" s="16">
        <v>4.4809631972573691E-2</v>
      </c>
      <c r="BC18" s="51">
        <f t="shared" si="0"/>
        <v>0.99999999999999967</v>
      </c>
      <c r="BE18" s="4">
        <v>40907</v>
      </c>
      <c r="BF18" s="21">
        <v>-2.7877513927723988E-2</v>
      </c>
    </row>
    <row r="19" spans="6:58" x14ac:dyDescent="0.2">
      <c r="F19" s="4">
        <v>40968</v>
      </c>
      <c r="G19" s="35">
        <f>Price!G19/'Price D Coupon'!G$5</f>
        <v>0</v>
      </c>
      <c r="H19" s="35">
        <f>Price!H19/'Price D Coupon'!H$5</f>
        <v>0</v>
      </c>
      <c r="I19" s="35">
        <f>Price!I19/'Price D Coupon'!I$5</f>
        <v>0</v>
      </c>
      <c r="J19" s="35">
        <f>Price!J19/'Price D Coupon'!J$5</f>
        <v>0</v>
      </c>
      <c r="K19" s="35">
        <f>Price!K19/'Price D Coupon'!K$5</f>
        <v>0</v>
      </c>
      <c r="L19" s="35">
        <f>Price!L19/'Price D Coupon'!L$5</f>
        <v>5.1153492057142866</v>
      </c>
      <c r="M19" s="35">
        <f>Price!M19/'Price D Coupon'!M$5</f>
        <v>0</v>
      </c>
      <c r="N19" s="35">
        <f>Price!N19/'Price D Coupon'!N$5</f>
        <v>0</v>
      </c>
      <c r="O19" s="35">
        <f>Price!O19/'Price D Coupon'!O$5</f>
        <v>0</v>
      </c>
      <c r="P19" s="35">
        <f>Price!P19/'Price D Coupon'!P$5</f>
        <v>4.2090277775000002</v>
      </c>
      <c r="Q19" s="35">
        <f>Price!Q19/'Price D Coupon'!Q$5</f>
        <v>3.4082777774999999</v>
      </c>
      <c r="R19" s="35">
        <f>Price!R19/'Price D Coupon'!R$5</f>
        <v>0</v>
      </c>
      <c r="S19" s="35">
        <f>Price!S19/'Price D Coupon'!S$5</f>
        <v>3.823666666666667</v>
      </c>
      <c r="T19" s="35">
        <f>Price!T19/'Price D Coupon'!T$5</f>
        <v>3.0563333333333333</v>
      </c>
      <c r="U19" s="35">
        <f>Price!U19/'Price D Coupon'!U$5</f>
        <v>3.955977978</v>
      </c>
      <c r="V19" s="35">
        <f>Price!V19/'Price D Coupon'!V$5</f>
        <v>3.330977978</v>
      </c>
      <c r="W19" s="35">
        <f>Price!W19/'Price D Coupon'!W$5</f>
        <v>2.4391414145454546</v>
      </c>
      <c r="X19" s="35">
        <f>Price!X19/'Price D Coupon'!X$5</f>
        <v>2.5762777783333335</v>
      </c>
      <c r="Y19" s="35">
        <f>Price!Y19/'Price D Coupon'!Y$5</f>
        <v>2.7330856246153847</v>
      </c>
      <c r="Z19" s="41"/>
      <c r="AA19" s="42"/>
      <c r="AB19" s="43"/>
      <c r="AC19" s="31">
        <v>16.240572523000001</v>
      </c>
      <c r="AE19" s="8">
        <v>40968</v>
      </c>
      <c r="AF19" s="9">
        <f>VLOOKUP(AE19,CurrentCoupon!temp,3,0)</f>
        <v>2.8817315463419</v>
      </c>
      <c r="AI19" s="4">
        <v>40968</v>
      </c>
      <c r="AJ19" s="15">
        <v>0</v>
      </c>
      <c r="AK19" s="15">
        <v>0</v>
      </c>
      <c r="AL19" s="15">
        <v>0</v>
      </c>
      <c r="AM19" s="15">
        <v>0</v>
      </c>
      <c r="AN19" s="15">
        <v>0</v>
      </c>
      <c r="AO19" s="15">
        <v>3.039264409545471E-2</v>
      </c>
      <c r="AP19" s="15">
        <v>0</v>
      </c>
      <c r="AQ19" s="15">
        <v>0</v>
      </c>
      <c r="AR19" s="15">
        <v>0</v>
      </c>
      <c r="AS19" s="15">
        <v>0.14898141086213873</v>
      </c>
      <c r="AT19" s="15">
        <v>0.13169000520041443</v>
      </c>
      <c r="AU19" s="15">
        <v>0</v>
      </c>
      <c r="AV19" s="15">
        <v>0.13497453192735523</v>
      </c>
      <c r="AW19" s="15">
        <v>0.28152185475946595</v>
      </c>
      <c r="AX19" s="15">
        <v>6.6073219389912216E-2</v>
      </c>
      <c r="AY19" s="15">
        <v>6.5906230973044183E-2</v>
      </c>
      <c r="AZ19" s="15">
        <v>6.2505840971548474E-2</v>
      </c>
      <c r="BA19" s="17">
        <v>3.2979696345169951E-2</v>
      </c>
      <c r="BB19" s="16">
        <v>4.4974565475496144E-2</v>
      </c>
      <c r="BC19" s="51">
        <f t="shared" si="0"/>
        <v>1</v>
      </c>
      <c r="BE19" s="4">
        <v>40939</v>
      </c>
      <c r="BF19" s="21">
        <v>-8.8730633004441312E-2</v>
      </c>
    </row>
    <row r="20" spans="6:58" x14ac:dyDescent="0.2">
      <c r="F20" s="4">
        <v>40998</v>
      </c>
      <c r="G20" s="35">
        <f>Price!G20/'Price D Coupon'!G$5</f>
        <v>0</v>
      </c>
      <c r="H20" s="35">
        <f>Price!H20/'Price D Coupon'!H$5</f>
        <v>0</v>
      </c>
      <c r="I20" s="35">
        <f>Price!I20/'Price D Coupon'!I$5</f>
        <v>0</v>
      </c>
      <c r="J20" s="35">
        <f>Price!J20/'Price D Coupon'!J$5</f>
        <v>0</v>
      </c>
      <c r="K20" s="35">
        <f>Price!K20/'Price D Coupon'!K$5</f>
        <v>0</v>
      </c>
      <c r="L20" s="35">
        <f>Price!L20/'Price D Coupon'!L$5</f>
        <v>5.6181269828571434</v>
      </c>
      <c r="M20" s="35">
        <f>Price!M20/'Price D Coupon'!M$5</f>
        <v>0</v>
      </c>
      <c r="N20" s="35">
        <f>Price!N20/'Price D Coupon'!N$5</f>
        <v>0</v>
      </c>
      <c r="O20" s="35">
        <f>Price!O20/'Price D Coupon'!O$5</f>
        <v>5.0945555549999995</v>
      </c>
      <c r="P20" s="35">
        <f>Price!P20/'Price D Coupon'!P$5</f>
        <v>4.7078053049999999</v>
      </c>
      <c r="Q20" s="35">
        <f>Price!Q20/'Price D Coupon'!Q$5</f>
        <v>3.9305555550000002</v>
      </c>
      <c r="R20" s="35">
        <f>Price!R20/'Price D Coupon'!R$5</f>
        <v>4.6075553333333339</v>
      </c>
      <c r="S20" s="35">
        <f>Price!S20/'Price D Coupon'!S$5</f>
        <v>4.1804444444444444</v>
      </c>
      <c r="T20" s="35">
        <f>Price!T20/'Price D Coupon'!T$5</f>
        <v>3.406222222222222</v>
      </c>
      <c r="U20" s="35">
        <f>Price!U20/'Price D Coupon'!U$5</f>
        <v>4.2837557559999997</v>
      </c>
      <c r="V20" s="35">
        <f>Price!V20/'Price D Coupon'!V$5</f>
        <v>3.7023553560000004</v>
      </c>
      <c r="W20" s="35">
        <f>Price!W20/'Price D Coupon'!W$5</f>
        <v>2.5668282836363634</v>
      </c>
      <c r="X20" s="35">
        <f>Price!X20/'Price D Coupon'!X$5</f>
        <v>2.717055555</v>
      </c>
      <c r="Y20" s="35">
        <f>Price!Y20/'Price D Coupon'!Y$5</f>
        <v>2.8584786323076923</v>
      </c>
      <c r="Z20" s="41"/>
      <c r="AA20" s="42"/>
      <c r="AB20" s="43"/>
      <c r="AC20" s="31">
        <v>18.199972055</v>
      </c>
      <c r="AE20" s="10">
        <v>40998</v>
      </c>
      <c r="AF20" s="9">
        <f>VLOOKUP(AE20,CurrentCoupon!temp,3,0)</f>
        <v>3.0669215754139501</v>
      </c>
      <c r="AI20" s="4">
        <v>40998</v>
      </c>
      <c r="AJ20" s="15">
        <v>0</v>
      </c>
      <c r="AK20" s="15">
        <v>0</v>
      </c>
      <c r="AL20" s="15">
        <v>0</v>
      </c>
      <c r="AM20" s="15">
        <v>0</v>
      </c>
      <c r="AN20" s="15">
        <v>0</v>
      </c>
      <c r="AO20" s="15">
        <v>2.4725973348430852E-2</v>
      </c>
      <c r="AP20" s="15">
        <v>0</v>
      </c>
      <c r="AQ20" s="15">
        <v>0</v>
      </c>
      <c r="AR20" s="15">
        <v>9.5316182503683802E-2</v>
      </c>
      <c r="AS20" s="15">
        <v>0.12045299246074211</v>
      </c>
      <c r="AT20" s="15">
        <v>0.10575842305842935</v>
      </c>
      <c r="AU20" s="15">
        <v>0.10063007444435763</v>
      </c>
      <c r="AV20" s="15">
        <v>0.10895322816788819</v>
      </c>
      <c r="AW20" s="15">
        <v>0.2249887327527845</v>
      </c>
      <c r="AX20" s="15">
        <v>5.350765990687352E-2</v>
      </c>
      <c r="AY20" s="15">
        <v>5.3039099932202148E-2</v>
      </c>
      <c r="AZ20" s="15">
        <v>4.9932228104106274E-2</v>
      </c>
      <c r="BA20" s="17">
        <v>2.643289975315179E-2</v>
      </c>
      <c r="BB20" s="16">
        <v>3.6262505567349675E-2</v>
      </c>
      <c r="BC20" s="51">
        <f t="shared" si="0"/>
        <v>0.99999999999999978</v>
      </c>
      <c r="BE20" s="4">
        <v>40968</v>
      </c>
      <c r="BF20" s="21">
        <v>0.12672609655781239</v>
      </c>
    </row>
    <row r="21" spans="6:58" x14ac:dyDescent="0.2">
      <c r="F21" s="4">
        <v>41029</v>
      </c>
      <c r="G21" s="35">
        <f>Price!G21/'Price D Coupon'!G$5</f>
        <v>0</v>
      </c>
      <c r="H21" s="35">
        <f>Price!H21/'Price D Coupon'!H$5</f>
        <v>0</v>
      </c>
      <c r="I21" s="35">
        <f>Price!I21/'Price D Coupon'!I$5</f>
        <v>0</v>
      </c>
      <c r="J21" s="35">
        <f>Price!J21/'Price D Coupon'!J$5</f>
        <v>0</v>
      </c>
      <c r="K21" s="35">
        <f>Price!K21/'Price D Coupon'!K$5</f>
        <v>0</v>
      </c>
      <c r="L21" s="35">
        <f>Price!L21/'Price D Coupon'!L$5</f>
        <v>5.2313492057142863</v>
      </c>
      <c r="M21" s="35">
        <f>Price!M21/'Price D Coupon'!M$5</f>
        <v>0</v>
      </c>
      <c r="N21" s="35">
        <f>Price!N21/'Price D Coupon'!N$5</f>
        <v>0</v>
      </c>
      <c r="O21" s="35">
        <f>Price!O21/'Price D Coupon'!O$5</f>
        <v>4.7675275275000004</v>
      </c>
      <c r="P21" s="35">
        <f>Price!P21/'Price D Coupon'!P$5</f>
        <v>4.3847775274999998</v>
      </c>
      <c r="Q21" s="35">
        <f>Price!Q21/'Price D Coupon'!Q$5</f>
        <v>3.6270277774999999</v>
      </c>
      <c r="R21" s="35">
        <f>Price!R21/'Price D Coupon'!R$5</f>
        <v>4.3096666666666668</v>
      </c>
      <c r="S21" s="35">
        <f>Price!S21/'Price D Coupon'!S$5</f>
        <v>3.8756664444444442</v>
      </c>
      <c r="T21" s="35">
        <f>Price!T21/'Price D Coupon'!T$5</f>
        <v>3.1292222222222223</v>
      </c>
      <c r="U21" s="35">
        <f>Price!U21/'Price D Coupon'!U$5</f>
        <v>4.143377578</v>
      </c>
      <c r="V21" s="35">
        <f>Price!V21/'Price D Coupon'!V$5</f>
        <v>3.5715777780000004</v>
      </c>
      <c r="W21" s="35">
        <f>Price!W21/'Price D Coupon'!W$5</f>
        <v>2.4618686872727271</v>
      </c>
      <c r="X21" s="35">
        <f>Price!X21/'Price D Coupon'!X$5</f>
        <v>2.6047777783333332</v>
      </c>
      <c r="Y21" s="35">
        <f>Price!Y21/'Price D Coupon'!Y$5</f>
        <v>2.9398548553846151</v>
      </c>
      <c r="Z21" s="41"/>
      <c r="AA21" s="42"/>
      <c r="AB21" s="43"/>
      <c r="AC21" s="31">
        <v>17.266277528333333</v>
      </c>
      <c r="AE21" s="10">
        <v>41029</v>
      </c>
      <c r="AF21" s="9">
        <f>VLOOKUP(AE21,CurrentCoupon!temp,3,0)</f>
        <v>2.8585941716778001</v>
      </c>
      <c r="AI21" s="4">
        <v>41029</v>
      </c>
      <c r="AJ21" s="15">
        <v>0</v>
      </c>
      <c r="AK21" s="15">
        <v>0</v>
      </c>
      <c r="AL21" s="15">
        <v>0</v>
      </c>
      <c r="AM21" s="15">
        <v>0</v>
      </c>
      <c r="AN21" s="15">
        <v>0</v>
      </c>
      <c r="AO21" s="15">
        <v>2.4989519906409807E-2</v>
      </c>
      <c r="AP21" s="15">
        <v>0</v>
      </c>
      <c r="AQ21" s="15">
        <v>0</v>
      </c>
      <c r="AR21" s="15">
        <v>9.6252093806867903E-2</v>
      </c>
      <c r="AS21" s="15">
        <v>0.1209608804006122</v>
      </c>
      <c r="AT21" s="15">
        <v>0.10525103759665572</v>
      </c>
      <c r="AU21" s="15">
        <v>0.10142705762994778</v>
      </c>
      <c r="AV21" s="15">
        <v>0.10910633025651488</v>
      </c>
      <c r="AW21" s="15">
        <v>0.22285725208701104</v>
      </c>
      <c r="AX21" s="15">
        <v>5.3922533157309584E-2</v>
      </c>
      <c r="AY21" s="15">
        <v>5.30785087249405E-2</v>
      </c>
      <c r="AZ21" s="15">
        <v>4.9455515959395228E-2</v>
      </c>
      <c r="BA21" s="17">
        <v>2.633756495294249E-2</v>
      </c>
      <c r="BB21" s="16">
        <v>3.6361705521392972E-2</v>
      </c>
      <c r="BC21" s="51">
        <f t="shared" si="0"/>
        <v>0.99999999999999989</v>
      </c>
      <c r="BE21" s="4">
        <v>40998</v>
      </c>
      <c r="BF21" s="21">
        <v>0.1005025355831364</v>
      </c>
    </row>
    <row r="22" spans="6:58" x14ac:dyDescent="0.2">
      <c r="F22" s="4">
        <v>41060</v>
      </c>
      <c r="G22" s="35">
        <f>Price!G22/'Price D Coupon'!G$5</f>
        <v>0</v>
      </c>
      <c r="H22" s="35">
        <f>Price!H22/'Price D Coupon'!H$5</f>
        <v>0</v>
      </c>
      <c r="I22" s="35">
        <f>Price!I22/'Price D Coupon'!I$5</f>
        <v>0</v>
      </c>
      <c r="J22" s="35">
        <f>Price!J22/'Price D Coupon'!J$5</f>
        <v>0</v>
      </c>
      <c r="K22" s="35">
        <f>Price!K22/'Price D Coupon'!K$5</f>
        <v>0</v>
      </c>
      <c r="L22" s="35">
        <f>Price!L22/'Price D Coupon'!L$5</f>
        <v>4.4053492057142858</v>
      </c>
      <c r="M22" s="35">
        <f>Price!M22/'Price D Coupon'!M$5</f>
        <v>0</v>
      </c>
      <c r="N22" s="35">
        <f>Price!N22/'Price D Coupon'!N$5</f>
        <v>0</v>
      </c>
      <c r="O22" s="35">
        <f>Price!O22/'Price D Coupon'!O$5</f>
        <v>4.1777777775000002</v>
      </c>
      <c r="P22" s="35">
        <f>Price!P22/'Price D Coupon'!P$5</f>
        <v>3.7557777774999996</v>
      </c>
      <c r="Q22" s="35">
        <f>Price!Q22/'Price D Coupon'!Q$5</f>
        <v>2.9747777774999999</v>
      </c>
      <c r="R22" s="35">
        <f>Price!R22/'Price D Coupon'!R$5</f>
        <v>3.8305555555555557</v>
      </c>
      <c r="S22" s="35">
        <f>Price!S22/'Price D Coupon'!S$5</f>
        <v>3.3930000000000002</v>
      </c>
      <c r="T22" s="35">
        <f>Price!T22/'Price D Coupon'!T$5</f>
        <v>2.6952222222222222</v>
      </c>
      <c r="U22" s="35">
        <f>Price!U22/'Price D Coupon'!U$5</f>
        <v>3.7495775780000002</v>
      </c>
      <c r="V22" s="35">
        <f>Price!V22/'Price D Coupon'!V$5</f>
        <v>3.196577778</v>
      </c>
      <c r="W22" s="35">
        <f>Price!W22/'Price D Coupon'!W$5</f>
        <v>2.2147777781818183</v>
      </c>
      <c r="X22" s="35">
        <f>Price!X22/'Price D Coupon'!X$5</f>
        <v>2.3652777783333332</v>
      </c>
      <c r="Y22" s="35">
        <f>Price!Y22/'Price D Coupon'!Y$5</f>
        <v>2.8172393169230769</v>
      </c>
      <c r="Z22" s="41"/>
      <c r="AA22" s="42"/>
      <c r="AB22" s="43"/>
      <c r="AC22" s="31">
        <v>15.258527695</v>
      </c>
      <c r="AE22" s="10">
        <v>41060</v>
      </c>
      <c r="AF22" s="9">
        <f>VLOOKUP(AE22,CurrentCoupon!temp,3,0)</f>
        <v>2.6463905286345102</v>
      </c>
      <c r="AI22" s="4">
        <v>41060</v>
      </c>
      <c r="AJ22" s="15">
        <v>0</v>
      </c>
      <c r="AK22" s="15">
        <v>0</v>
      </c>
      <c r="AL22" s="15">
        <v>0</v>
      </c>
      <c r="AM22" s="15">
        <v>0</v>
      </c>
      <c r="AN22" s="15">
        <v>0</v>
      </c>
      <c r="AO22" s="15">
        <v>2.5273417945366916E-2</v>
      </c>
      <c r="AP22" s="15">
        <v>0</v>
      </c>
      <c r="AQ22" s="15">
        <v>0</v>
      </c>
      <c r="AR22" s="15">
        <v>9.7261378605002932E-2</v>
      </c>
      <c r="AS22" s="15">
        <v>0.12154213802419776</v>
      </c>
      <c r="AT22" s="15">
        <v>0.10443634682247542</v>
      </c>
      <c r="AU22" s="15">
        <v>0.10240089996049047</v>
      </c>
      <c r="AV22" s="15">
        <v>0.10936992582968105</v>
      </c>
      <c r="AW22" s="15">
        <v>0.22056301427692432</v>
      </c>
      <c r="AX22" s="15">
        <v>5.4391717695613316E-2</v>
      </c>
      <c r="AY22" s="15">
        <v>5.3144716473151256E-2</v>
      </c>
      <c r="AZ22" s="15">
        <v>4.8971817953961501E-2</v>
      </c>
      <c r="BA22" s="17">
        <v>2.6211471010650605E-2</v>
      </c>
      <c r="BB22" s="16">
        <v>3.6433155402484173E-2</v>
      </c>
      <c r="BC22" s="51">
        <f t="shared" si="0"/>
        <v>0.99999999999999967</v>
      </c>
      <c r="BE22" s="4">
        <v>41029</v>
      </c>
      <c r="BF22" s="21">
        <v>-6.9145834011835092E-2</v>
      </c>
    </row>
    <row r="23" spans="6:58" x14ac:dyDescent="0.2">
      <c r="F23" s="4">
        <v>41089</v>
      </c>
      <c r="G23" s="35">
        <f>Price!G23/'Price D Coupon'!G$5</f>
        <v>0</v>
      </c>
      <c r="H23" s="35">
        <f>Price!H23/'Price D Coupon'!H$5</f>
        <v>0</v>
      </c>
      <c r="I23" s="35">
        <f>Price!I23/'Price D Coupon'!I$5</f>
        <v>0</v>
      </c>
      <c r="J23" s="35">
        <f>Price!J23/'Price D Coupon'!J$5</f>
        <v>0</v>
      </c>
      <c r="K23" s="35">
        <f>Price!K23/'Price D Coupon'!K$5</f>
        <v>0</v>
      </c>
      <c r="L23" s="35">
        <f>Price!L23/'Price D Coupon'!L$5</f>
        <v>4.5244126971428571</v>
      </c>
      <c r="M23" s="35">
        <f>Price!M23/'Price D Coupon'!M$5</f>
        <v>0</v>
      </c>
      <c r="N23" s="35">
        <f>Price!N23/'Price D Coupon'!N$5</f>
        <v>0</v>
      </c>
      <c r="O23" s="35">
        <f>Price!O23/'Price D Coupon'!O$5</f>
        <v>4.1025555549999995</v>
      </c>
      <c r="P23" s="35">
        <f>Price!P23/'Price D Coupon'!P$5</f>
        <v>3.8563055550000001</v>
      </c>
      <c r="Q23" s="35">
        <f>Price!Q23/'Price D Coupon'!Q$5</f>
        <v>3.1298055550000003</v>
      </c>
      <c r="R23" s="35">
        <f>Price!R23/'Price D Coupon'!R$5</f>
        <v>3.8506664444444443</v>
      </c>
      <c r="S23" s="35">
        <f>Price!S23/'Price D Coupon'!S$5</f>
        <v>3.5035555555555558</v>
      </c>
      <c r="T23" s="35">
        <f>Price!T23/'Price D Coupon'!T$5</f>
        <v>2.8819999999999997</v>
      </c>
      <c r="U23" s="35">
        <f>Price!U23/'Price D Coupon'!U$5</f>
        <v>3.808755756</v>
      </c>
      <c r="V23" s="35">
        <f>Price!V23/'Price D Coupon'!V$5</f>
        <v>3.2773553560000002</v>
      </c>
      <c r="W23" s="35">
        <f>Price!W23/'Price D Coupon'!W$5</f>
        <v>2.2373737381818182</v>
      </c>
      <c r="X23" s="35">
        <f>Price!X23/'Price D Coupon'!X$5</f>
        <v>2.3445555549999999</v>
      </c>
      <c r="Y23" s="35">
        <f>Price!Y23/'Price D Coupon'!Y$5</f>
        <v>2.7454015553846154</v>
      </c>
      <c r="Z23" s="41"/>
      <c r="AA23" s="42"/>
      <c r="AB23" s="43"/>
      <c r="AC23" s="31">
        <v>15.491805388333333</v>
      </c>
      <c r="AE23" s="10">
        <v>41089</v>
      </c>
      <c r="AF23" s="9">
        <f>VLOOKUP(AE23,CurrentCoupon!temp,3,0)</f>
        <v>2.6237188553228199</v>
      </c>
      <c r="AI23" s="4">
        <v>41089</v>
      </c>
      <c r="AJ23" s="15">
        <v>0</v>
      </c>
      <c r="AK23" s="15">
        <v>0</v>
      </c>
      <c r="AL23" s="15">
        <v>0</v>
      </c>
      <c r="AM23" s="15">
        <v>0</v>
      </c>
      <c r="AN23" s="15">
        <v>0</v>
      </c>
      <c r="AO23" s="15">
        <v>2.5582193372854754E-2</v>
      </c>
      <c r="AP23" s="15">
        <v>0</v>
      </c>
      <c r="AQ23" s="15">
        <v>0</v>
      </c>
      <c r="AR23" s="15">
        <v>9.8458113394134752E-2</v>
      </c>
      <c r="AS23" s="15">
        <v>0.12237017718873609</v>
      </c>
      <c r="AT23" s="15">
        <v>0.10392568171839089</v>
      </c>
      <c r="AU23" s="15">
        <v>0.10332960916750446</v>
      </c>
      <c r="AV23" s="15">
        <v>0.10964712149002488</v>
      </c>
      <c r="AW23" s="15">
        <v>0.21860485843572208</v>
      </c>
      <c r="AX23" s="15">
        <v>5.4715148525778613E-2</v>
      </c>
      <c r="AY23" s="15">
        <v>5.309175817261344E-2</v>
      </c>
      <c r="AZ23" s="15">
        <v>4.8121344238039723E-2</v>
      </c>
      <c r="BA23" s="17">
        <v>2.5866524389252969E-2</v>
      </c>
      <c r="BB23" s="16">
        <v>3.6287469906947596E-2</v>
      </c>
      <c r="BC23" s="51">
        <f t="shared" si="0"/>
        <v>1.0000000000000002</v>
      </c>
      <c r="BE23" s="4">
        <v>41060</v>
      </c>
      <c r="BF23" s="21">
        <v>-0.12851627707292326</v>
      </c>
    </row>
    <row r="24" spans="6:58" x14ac:dyDescent="0.2">
      <c r="F24" s="4">
        <v>41121</v>
      </c>
      <c r="G24" s="35">
        <f>Price!G24/'Price D Coupon'!G$5</f>
        <v>0</v>
      </c>
      <c r="H24" s="35">
        <f>Price!H24/'Price D Coupon'!H$5</f>
        <v>0</v>
      </c>
      <c r="I24" s="35">
        <f>Price!I24/'Price D Coupon'!I$5</f>
        <v>0</v>
      </c>
      <c r="J24" s="35">
        <f>Price!J24/'Price D Coupon'!J$5</f>
        <v>0</v>
      </c>
      <c r="K24" s="35">
        <f>Price!K24/'Price D Coupon'!K$5</f>
        <v>0</v>
      </c>
      <c r="L24" s="35">
        <f>Price!L24/'Price D Coupon'!L$5</f>
        <v>3.9502063485714283</v>
      </c>
      <c r="M24" s="35">
        <f>Price!M24/'Price D Coupon'!M$5</f>
        <v>0</v>
      </c>
      <c r="N24" s="35">
        <f>Price!N24/'Price D Coupon'!N$5</f>
        <v>0</v>
      </c>
      <c r="O24" s="35">
        <f>Price!O24/'Price D Coupon'!O$5</f>
        <v>3.8067777774999998</v>
      </c>
      <c r="P24" s="35">
        <f>Price!P24/'Price D Coupon'!P$5</f>
        <v>3.6777777774999998</v>
      </c>
      <c r="Q24" s="35">
        <f>Price!Q24/'Price D Coupon'!Q$5</f>
        <v>3.0527777774999998</v>
      </c>
      <c r="R24" s="35">
        <f>Price!R24/'Price D Coupon'!R$5</f>
        <v>3.9138888888888892</v>
      </c>
      <c r="S24" s="35">
        <f>Price!S24/'Price D Coupon'!S$5</f>
        <v>3.5145555555555554</v>
      </c>
      <c r="T24" s="35">
        <f>Price!T24/'Price D Coupon'!T$5</f>
        <v>2.9174444444444445</v>
      </c>
      <c r="U24" s="35">
        <f>Price!U24/'Price D Coupon'!U$5</f>
        <v>3.7871779780000003</v>
      </c>
      <c r="V24" s="35">
        <f>Price!V24/'Price D Coupon'!V$5</f>
        <v>3.2495777779999999</v>
      </c>
      <c r="W24" s="35">
        <f>Price!W24/'Price D Coupon'!W$5</f>
        <v>2.2316868690909093</v>
      </c>
      <c r="X24" s="35">
        <f>Price!X24/'Price D Coupon'!X$5</f>
        <v>2.3157777783333331</v>
      </c>
      <c r="Y24" s="35">
        <f>Price!Y24/'Price D Coupon'!Y$5</f>
        <v>2.7860087015384614</v>
      </c>
      <c r="Z24" s="41"/>
      <c r="AA24" s="42"/>
      <c r="AB24" s="43"/>
      <c r="AC24" s="31">
        <v>15.166111278333332</v>
      </c>
      <c r="AE24" s="10">
        <v>41121</v>
      </c>
      <c r="AF24" s="9">
        <f>VLOOKUP(AE24,CurrentCoupon!temp,3,0)</f>
        <v>2.3145960727619199</v>
      </c>
      <c r="AI24" s="4">
        <v>41121</v>
      </c>
      <c r="AJ24" s="15">
        <v>0</v>
      </c>
      <c r="AK24" s="15">
        <v>0</v>
      </c>
      <c r="AL24" s="15">
        <v>0</v>
      </c>
      <c r="AM24" s="15">
        <v>0</v>
      </c>
      <c r="AN24" s="15">
        <v>0</v>
      </c>
      <c r="AO24" s="15">
        <v>2.5886760634665922E-2</v>
      </c>
      <c r="AP24" s="15">
        <v>0</v>
      </c>
      <c r="AQ24" s="15">
        <v>0</v>
      </c>
      <c r="AR24" s="15">
        <v>9.9603457866682246E-2</v>
      </c>
      <c r="AS24" s="15">
        <v>0.12331534863967128</v>
      </c>
      <c r="AT24" s="15">
        <v>0.10357598027908375</v>
      </c>
      <c r="AU24" s="15">
        <v>0.10429068606443416</v>
      </c>
      <c r="AV24" s="15">
        <v>0.10995066047693079</v>
      </c>
      <c r="AW24" s="15">
        <v>0.21699627385081144</v>
      </c>
      <c r="AX24" s="15">
        <v>5.5058689716491853E-2</v>
      </c>
      <c r="AY24" s="15">
        <v>5.3009843516330438E-2</v>
      </c>
      <c r="AZ24" s="15">
        <v>4.6982444404938137E-2</v>
      </c>
      <c r="BA24" s="17">
        <v>2.5380165256900462E-2</v>
      </c>
      <c r="BB24" s="16">
        <v>3.5949689293059903E-2</v>
      </c>
      <c r="BC24" s="51">
        <f t="shared" si="0"/>
        <v>1.0000000000000004</v>
      </c>
      <c r="BE24" s="4">
        <v>41089</v>
      </c>
      <c r="BF24" s="21">
        <v>3.0132718760613676E-2</v>
      </c>
    </row>
    <row r="25" spans="6:58" x14ac:dyDescent="0.2">
      <c r="F25" s="4">
        <v>41152</v>
      </c>
      <c r="G25" s="35">
        <f>Price!G25/'Price D Coupon'!G$5</f>
        <v>0</v>
      </c>
      <c r="H25" s="35">
        <f>Price!H25/'Price D Coupon'!H$5</f>
        <v>0</v>
      </c>
      <c r="I25" s="35">
        <f>Price!I25/'Price D Coupon'!I$5</f>
        <v>0</v>
      </c>
      <c r="J25" s="35">
        <f>Price!J25/'Price D Coupon'!J$5</f>
        <v>0</v>
      </c>
      <c r="K25" s="35">
        <f>Price!K25/'Price D Coupon'!K$5</f>
        <v>0</v>
      </c>
      <c r="L25" s="35">
        <f>Price!L25/'Price D Coupon'!L$5</f>
        <v>4.2708253971428567</v>
      </c>
      <c r="M25" s="35">
        <f>Price!M25/'Price D Coupon'!M$5</f>
        <v>0</v>
      </c>
      <c r="N25" s="35">
        <f>Price!N25/'Price D Coupon'!N$5</f>
        <v>0</v>
      </c>
      <c r="O25" s="35">
        <f>Price!O25/'Price D Coupon'!O$5</f>
        <v>4.1276113599999995</v>
      </c>
      <c r="P25" s="35">
        <f>Price!P25/'Price D Coupon'!P$5</f>
        <v>3.95161111</v>
      </c>
      <c r="Q25" s="35">
        <f>Price!Q25/'Price D Coupon'!Q$5</f>
        <v>3.3111111100000001</v>
      </c>
      <c r="R25" s="35">
        <f>Price!R25/'Price D Coupon'!R$5</f>
        <v>4.120222444444444</v>
      </c>
      <c r="S25" s="35">
        <f>Price!S25/'Price D Coupon'!S$5</f>
        <v>3.6722222222222221</v>
      </c>
      <c r="T25" s="35">
        <f>Price!T25/'Price D Coupon'!T$5</f>
        <v>3.1235555555555559</v>
      </c>
      <c r="U25" s="35">
        <f>Price!U25/'Price D Coupon'!U$5</f>
        <v>3.9673111119999995</v>
      </c>
      <c r="V25" s="35">
        <f>Price!V25/'Price D Coupon'!V$5</f>
        <v>3.5017109119999992</v>
      </c>
      <c r="W25" s="35">
        <f>Price!W25/'Price D Coupon'!W$5</f>
        <v>2.3196565654545456</v>
      </c>
      <c r="X25" s="35">
        <f>Price!X25/'Price D Coupon'!X$5</f>
        <v>2.4101111116666667</v>
      </c>
      <c r="Y25" s="35">
        <f>Price!Y25/'Price D Coupon'!Y$5</f>
        <v>2.8158803415384615</v>
      </c>
      <c r="Z25" s="41"/>
      <c r="AA25" s="42"/>
      <c r="AB25" s="43"/>
      <c r="AC25" s="31">
        <v>16.04152786083333</v>
      </c>
      <c r="AE25" s="10">
        <v>41152</v>
      </c>
      <c r="AF25" s="9">
        <f>VLOOKUP(AE25,CurrentCoupon!temp,3,0)</f>
        <v>2.3689486742097801</v>
      </c>
      <c r="AI25" s="4">
        <v>41152</v>
      </c>
      <c r="AJ25" s="15">
        <v>0</v>
      </c>
      <c r="AK25" s="15">
        <v>0</v>
      </c>
      <c r="AL25" s="15">
        <v>0</v>
      </c>
      <c r="AM25" s="15">
        <v>0</v>
      </c>
      <c r="AN25" s="15">
        <v>0</v>
      </c>
      <c r="AO25" s="15">
        <v>2.6102645132748587E-2</v>
      </c>
      <c r="AP25" s="15">
        <v>0</v>
      </c>
      <c r="AQ25" s="15">
        <v>0</v>
      </c>
      <c r="AR25" s="15">
        <v>0.10039783150735723</v>
      </c>
      <c r="AS25" s="15">
        <v>0.12399000793978042</v>
      </c>
      <c r="AT25" s="15">
        <v>0.1031058940877545</v>
      </c>
      <c r="AU25" s="15">
        <v>0.10530732990769927</v>
      </c>
      <c r="AV25" s="15">
        <v>0.11040535406603688</v>
      </c>
      <c r="AW25" s="15">
        <v>0.21553213145486913</v>
      </c>
      <c r="AX25" s="15">
        <v>5.5519629368271282E-2</v>
      </c>
      <c r="AY25" s="15">
        <v>5.3098612147675833E-2</v>
      </c>
      <c r="AZ25" s="15">
        <v>4.5936291740535928E-2</v>
      </c>
      <c r="BA25" s="17">
        <v>2.4957884579101461E-2</v>
      </c>
      <c r="BB25" s="16">
        <v>3.5646388068169492E-2</v>
      </c>
      <c r="BC25" s="51">
        <f t="shared" si="0"/>
        <v>1</v>
      </c>
      <c r="BE25" s="4">
        <v>41121</v>
      </c>
      <c r="BF25" s="21">
        <v>-1.5907642368620453E-2</v>
      </c>
    </row>
    <row r="26" spans="6:58" x14ac:dyDescent="0.2">
      <c r="F26" s="4">
        <v>41180</v>
      </c>
      <c r="G26" s="35">
        <f>Price!G26/'Price D Coupon'!G$5</f>
        <v>0</v>
      </c>
      <c r="H26" s="35">
        <f>Price!H26/'Price D Coupon'!H$5</f>
        <v>0</v>
      </c>
      <c r="I26" s="35">
        <f>Price!I26/'Price D Coupon'!I$5</f>
        <v>0</v>
      </c>
      <c r="J26" s="35">
        <f>Price!J26/'Price D Coupon'!J$5</f>
        <v>0</v>
      </c>
      <c r="K26" s="35">
        <f>Price!K26/'Price D Coupon'!K$5</f>
        <v>0</v>
      </c>
      <c r="L26" s="35">
        <f>Price!L26/'Price D Coupon'!L$5</f>
        <v>3.3519206342857144</v>
      </c>
      <c r="M26" s="35">
        <f>Price!M26/'Price D Coupon'!M$5</f>
        <v>0</v>
      </c>
      <c r="N26" s="35">
        <f>Price!N26/'Price D Coupon'!N$5</f>
        <v>0</v>
      </c>
      <c r="O26" s="35">
        <f>Price!O26/'Price D Coupon'!O$5</f>
        <v>3.4432777774999996</v>
      </c>
      <c r="P26" s="35">
        <f>Price!P26/'Price D Coupon'!P$5</f>
        <v>3.2872777774999999</v>
      </c>
      <c r="Q26" s="35">
        <f>Price!Q26/'Price D Coupon'!Q$5</f>
        <v>2.8067777774999998</v>
      </c>
      <c r="R26" s="35">
        <f>Price!R26/'Price D Coupon'!R$5</f>
        <v>3.5596666666666668</v>
      </c>
      <c r="S26" s="35">
        <f>Price!S26/'Price D Coupon'!S$5</f>
        <v>3.198555555555556</v>
      </c>
      <c r="T26" s="35">
        <f>Price!T26/'Price D Coupon'!T$5</f>
        <v>2.7612222222222225</v>
      </c>
      <c r="U26" s="35">
        <f>Price!U26/'Price D Coupon'!U$5</f>
        <v>3.7745775780000002</v>
      </c>
      <c r="V26" s="35">
        <f>Price!V26/'Price D Coupon'!V$5</f>
        <v>3.3403777779999997</v>
      </c>
      <c r="W26" s="35">
        <f>Price!W26/'Price D Coupon'!W$5</f>
        <v>2.1351414145454544</v>
      </c>
      <c r="X26" s="35">
        <f>Price!X26/'Price D Coupon'!X$5</f>
        <v>2.3184444449999999</v>
      </c>
      <c r="Y26" s="35">
        <f>Price!Y26/'Price D Coupon'!Y$5</f>
        <v>2.7161623938461541</v>
      </c>
      <c r="Z26" s="41"/>
      <c r="AA26" s="42"/>
      <c r="AB26" s="43"/>
      <c r="AC26" s="31">
        <v>14.300194361666668</v>
      </c>
      <c r="AE26" s="10">
        <v>41180</v>
      </c>
      <c r="AF26" s="9">
        <f>VLOOKUP(AE26,CurrentCoupon!temp,3,0)</f>
        <v>2.0399140401394802</v>
      </c>
      <c r="AI26" s="4">
        <v>41180</v>
      </c>
      <c r="AJ26" s="15">
        <v>0</v>
      </c>
      <c r="AK26" s="15">
        <v>0</v>
      </c>
      <c r="AL26" s="15">
        <v>0</v>
      </c>
      <c r="AM26" s="15">
        <v>0</v>
      </c>
      <c r="AN26" s="15">
        <v>0</v>
      </c>
      <c r="AO26" s="15">
        <v>2.6213032121486637E-2</v>
      </c>
      <c r="AP26" s="15">
        <v>0</v>
      </c>
      <c r="AQ26" s="15">
        <v>0</v>
      </c>
      <c r="AR26" s="15">
        <v>0.10090619809534129</v>
      </c>
      <c r="AS26" s="15">
        <v>0.12437717934484596</v>
      </c>
      <c r="AT26" s="15">
        <v>0.10237862187397354</v>
      </c>
      <c r="AU26" s="15">
        <v>0.10644846578133313</v>
      </c>
      <c r="AV26" s="15">
        <v>0.11092926874059172</v>
      </c>
      <c r="AW26" s="15">
        <v>0.21400730117211553</v>
      </c>
      <c r="AX26" s="15">
        <v>5.6204447162430234E-2</v>
      </c>
      <c r="AY26" s="15">
        <v>5.3378468067671415E-2</v>
      </c>
      <c r="AZ26" s="15">
        <v>4.5083771241500342E-2</v>
      </c>
      <c r="BA26" s="17">
        <v>2.4636362975564034E-2</v>
      </c>
      <c r="BB26" s="16">
        <v>3.5436883423146097E-2</v>
      </c>
      <c r="BC26" s="51">
        <f t="shared" si="0"/>
        <v>0.99999999999999989</v>
      </c>
      <c r="BE26" s="4">
        <v>41152</v>
      </c>
      <c r="BF26" s="21">
        <v>5.8693092581460653E-2</v>
      </c>
    </row>
    <row r="27" spans="6:58" x14ac:dyDescent="0.2">
      <c r="F27" s="4">
        <v>41213</v>
      </c>
      <c r="G27" s="35">
        <f>Price!G27/'Price D Coupon'!G$5</f>
        <v>0</v>
      </c>
      <c r="H27" s="35">
        <f>Price!H27/'Price D Coupon'!H$5</f>
        <v>0</v>
      </c>
      <c r="I27" s="35">
        <f>Price!I27/'Price D Coupon'!I$5</f>
        <v>0</v>
      </c>
      <c r="J27" s="35">
        <f>Price!J27/'Price D Coupon'!J$5</f>
        <v>0</v>
      </c>
      <c r="K27" s="35">
        <f>Price!K27/'Price D Coupon'!K$5</f>
        <v>0</v>
      </c>
      <c r="L27" s="35">
        <f>Price!L27/'Price D Coupon'!L$5</f>
        <v>3.38763492</v>
      </c>
      <c r="M27" s="35">
        <f>Price!M27/'Price D Coupon'!M$5</f>
        <v>0</v>
      </c>
      <c r="N27" s="35">
        <f>Price!N27/'Price D Coupon'!N$5</f>
        <v>0</v>
      </c>
      <c r="O27" s="35">
        <f>Price!O27/'Price D Coupon'!O$5</f>
        <v>3.4747777774999999</v>
      </c>
      <c r="P27" s="35">
        <f>Price!P27/'Price D Coupon'!P$5</f>
        <v>3.3497777774999999</v>
      </c>
      <c r="Q27" s="35">
        <f>Price!Q27/'Price D Coupon'!Q$5</f>
        <v>2.8105277774999999</v>
      </c>
      <c r="R27" s="35">
        <f>Price!R27/'Price D Coupon'!R$5</f>
        <v>3.6881108888888892</v>
      </c>
      <c r="S27" s="35">
        <f>Price!S27/'Price D Coupon'!S$5</f>
        <v>3.3514444444444447</v>
      </c>
      <c r="T27" s="35">
        <f>Price!T27/'Price D Coupon'!T$5</f>
        <v>2.8514444444444447</v>
      </c>
      <c r="U27" s="35">
        <f>Price!U27/'Price D Coupon'!U$5</f>
        <v>3.7433775779999996</v>
      </c>
      <c r="V27" s="35">
        <f>Price!V27/'Price D Coupon'!V$5</f>
        <v>3.3495775780000003</v>
      </c>
      <c r="W27" s="35">
        <f>Price!W27/'Price D Coupon'!W$5</f>
        <v>2.2460505054545457</v>
      </c>
      <c r="X27" s="35">
        <f>Price!X27/'Price D Coupon'!X$5</f>
        <v>2.430444445</v>
      </c>
      <c r="Y27" s="35">
        <f>Price!Y27/'Price D Coupon'!Y$5</f>
        <v>2.7547777784615382</v>
      </c>
      <c r="Z27" s="41"/>
      <c r="AA27" s="42"/>
      <c r="AB27" s="43"/>
      <c r="AC27" s="31">
        <v>14.601110861666669</v>
      </c>
      <c r="AE27" s="10">
        <v>41213</v>
      </c>
      <c r="AF27" s="9">
        <f>VLOOKUP(AE27,CurrentCoupon!temp,3,0)</f>
        <v>2.1423497452898399</v>
      </c>
      <c r="AI27" s="4">
        <v>41213</v>
      </c>
      <c r="AJ27" s="15">
        <v>0</v>
      </c>
      <c r="AK27" s="15">
        <v>0</v>
      </c>
      <c r="AL27" s="15">
        <v>0</v>
      </c>
      <c r="AM27" s="15">
        <v>0</v>
      </c>
      <c r="AN27" s="15">
        <v>0</v>
      </c>
      <c r="AO27" s="15">
        <v>2.6236522845732035E-2</v>
      </c>
      <c r="AP27" s="15">
        <v>0</v>
      </c>
      <c r="AQ27" s="15">
        <v>0</v>
      </c>
      <c r="AR27" s="15">
        <v>0.10142001507660525</v>
      </c>
      <c r="AS27" s="15">
        <v>0.12436852369451007</v>
      </c>
      <c r="AT27" s="15">
        <v>0.10132120694794139</v>
      </c>
      <c r="AU27" s="15">
        <v>0.10775211628591418</v>
      </c>
      <c r="AV27" s="15">
        <v>0.11152706954887</v>
      </c>
      <c r="AW27" s="15">
        <v>0.21244409075356782</v>
      </c>
      <c r="AX27" s="15">
        <v>5.7028121449514947E-2</v>
      </c>
      <c r="AY27" s="15">
        <v>5.3730314944683208E-2</v>
      </c>
      <c r="AZ27" s="15">
        <v>4.4318381584613362E-2</v>
      </c>
      <c r="BA27" s="17">
        <v>2.4416895843014347E-2</v>
      </c>
      <c r="BB27" s="16">
        <v>3.5436741025033296E-2</v>
      </c>
      <c r="BC27" s="51">
        <f t="shared" si="0"/>
        <v>0.99999999999999978</v>
      </c>
      <c r="BE27" s="4">
        <v>41180</v>
      </c>
      <c r="BF27" s="21">
        <v>-0.13606250669448994</v>
      </c>
    </row>
    <row r="28" spans="6:58" x14ac:dyDescent="0.2">
      <c r="F28" s="4">
        <v>41243</v>
      </c>
      <c r="G28" s="35">
        <f>Price!G28/'Price D Coupon'!G$5</f>
        <v>0</v>
      </c>
      <c r="H28" s="35">
        <f>Price!H28/'Price D Coupon'!H$5</f>
        <v>0</v>
      </c>
      <c r="I28" s="35">
        <f>Price!I28/'Price D Coupon'!I$5</f>
        <v>0</v>
      </c>
      <c r="J28" s="35">
        <f>Price!J28/'Price D Coupon'!J$5</f>
        <v>0</v>
      </c>
      <c r="K28" s="35">
        <f>Price!K28/'Price D Coupon'!K$5</f>
        <v>0</v>
      </c>
      <c r="L28" s="35">
        <f>Price!L28/'Price D Coupon'!L$5</f>
        <v>3.4377619057142854</v>
      </c>
      <c r="M28" s="35">
        <f>Price!M28/'Price D Coupon'!M$5</f>
        <v>0</v>
      </c>
      <c r="N28" s="35">
        <f>Price!N28/'Price D Coupon'!N$5</f>
        <v>0</v>
      </c>
      <c r="O28" s="35">
        <f>Price!O28/'Price D Coupon'!O$5</f>
        <v>3.4645833325000002</v>
      </c>
      <c r="P28" s="35">
        <f>Price!P28/'Price D Coupon'!P$5</f>
        <v>3.2810833325000002</v>
      </c>
      <c r="Q28" s="35">
        <f>Price!Q28/'Price D Coupon'!Q$5</f>
        <v>2.7105833325000002</v>
      </c>
      <c r="R28" s="35">
        <f>Price!R28/'Price D Coupon'!R$5</f>
        <v>3.4334444444444445</v>
      </c>
      <c r="S28" s="35">
        <f>Price!S28/'Price D Coupon'!S$5</f>
        <v>3.2076666666666664</v>
      </c>
      <c r="T28" s="35">
        <f>Price!T28/'Price D Coupon'!T$5</f>
        <v>2.6798888888888888</v>
      </c>
      <c r="U28" s="35">
        <f>Price!U28/'Price D Coupon'!U$5</f>
        <v>3.4895333339999999</v>
      </c>
      <c r="V28" s="35">
        <f>Price!V28/'Price D Coupon'!V$5</f>
        <v>3.0645333340000001</v>
      </c>
      <c r="W28" s="35">
        <f>Price!W28/'Price D Coupon'!W$5</f>
        <v>2.0554242418181818</v>
      </c>
      <c r="X28" s="35">
        <f>Price!X28/'Price D Coupon'!X$5</f>
        <v>2.2718333333333334</v>
      </c>
      <c r="Y28" s="35">
        <f>Price!Y28/'Price D Coupon'!Y$5</f>
        <v>2.5872564107692306</v>
      </c>
      <c r="Z28" s="41"/>
      <c r="AA28" s="42"/>
      <c r="AB28" s="43"/>
      <c r="AC28" s="31">
        <v>13.860416666666667</v>
      </c>
      <c r="AE28" s="10">
        <v>41243</v>
      </c>
      <c r="AF28" s="9">
        <f>VLOOKUP(AE28,CurrentCoupon!temp,3,0)</f>
        <v>2.0725335490580301</v>
      </c>
      <c r="AI28" s="4">
        <v>41243</v>
      </c>
      <c r="AJ28" s="15">
        <v>0</v>
      </c>
      <c r="AK28" s="15">
        <v>0</v>
      </c>
      <c r="AL28" s="15">
        <v>0</v>
      </c>
      <c r="AM28" s="15">
        <v>0</v>
      </c>
      <c r="AN28" s="15">
        <v>0</v>
      </c>
      <c r="AO28" s="15">
        <v>2.628355476798596E-2</v>
      </c>
      <c r="AP28" s="15">
        <v>0</v>
      </c>
      <c r="AQ28" s="15">
        <v>0</v>
      </c>
      <c r="AR28" s="15">
        <v>0.10195791523189537</v>
      </c>
      <c r="AS28" s="15">
        <v>0.12437817423131435</v>
      </c>
      <c r="AT28" s="15">
        <v>0.10021321204314776</v>
      </c>
      <c r="AU28" s="15">
        <v>0.1089120350233222</v>
      </c>
      <c r="AV28" s="15">
        <v>0.11202675513212679</v>
      </c>
      <c r="AW28" s="15">
        <v>0.2109874999702257</v>
      </c>
      <c r="AX28" s="15">
        <v>5.7752958539402363E-2</v>
      </c>
      <c r="AY28" s="15">
        <v>5.4007603964625443E-2</v>
      </c>
      <c r="AZ28" s="15">
        <v>4.3738435133927188E-2</v>
      </c>
      <c r="BA28" s="17">
        <v>2.4255209200999654E-2</v>
      </c>
      <c r="BB28" s="16">
        <v>3.5486646761027196E-2</v>
      </c>
      <c r="BC28" s="51">
        <f t="shared" si="0"/>
        <v>0.99999999999999989</v>
      </c>
      <c r="BE28" s="4">
        <v>41213</v>
      </c>
      <c r="BF28" s="21">
        <v>1.7655999043972182E-2</v>
      </c>
    </row>
    <row r="29" spans="6:58" x14ac:dyDescent="0.2">
      <c r="F29" s="4">
        <v>41274</v>
      </c>
      <c r="G29" s="35">
        <f>Price!G29/'Price D Coupon'!G$5</f>
        <v>0</v>
      </c>
      <c r="H29" s="35">
        <f>Price!H29/'Price D Coupon'!H$5</f>
        <v>0</v>
      </c>
      <c r="I29" s="35">
        <f>Price!I29/'Price D Coupon'!I$5</f>
        <v>0</v>
      </c>
      <c r="J29" s="35">
        <f>Price!J29/'Price D Coupon'!J$5</f>
        <v>0</v>
      </c>
      <c r="K29" s="35">
        <f>Price!K29/'Price D Coupon'!K$5</f>
        <v>0</v>
      </c>
      <c r="L29" s="35">
        <f>Price!L29/'Price D Coupon'!L$5</f>
        <v>3.4975555542857144</v>
      </c>
      <c r="M29" s="35">
        <f>Price!M29/'Price D Coupon'!M$5</f>
        <v>0</v>
      </c>
      <c r="N29" s="35">
        <f>Price!N29/'Price D Coupon'!N$5</f>
        <v>0</v>
      </c>
      <c r="O29" s="35">
        <f>Price!O29/'Price D Coupon'!O$5</f>
        <v>3.5595555550000002</v>
      </c>
      <c r="P29" s="35">
        <f>Price!P29/'Price D Coupon'!P$5</f>
        <v>3.3250555550000001</v>
      </c>
      <c r="Q29" s="35">
        <f>Price!Q29/'Price D Coupon'!Q$5</f>
        <v>2.8290555550000001</v>
      </c>
      <c r="R29" s="35">
        <f>Price!R29/'Price D Coupon'!R$5</f>
        <v>3.5764444444444448</v>
      </c>
      <c r="S29" s="35">
        <f>Price!S29/'Price D Coupon'!S$5</f>
        <v>3.3160000000000003</v>
      </c>
      <c r="T29" s="35">
        <f>Price!T29/'Price D Coupon'!T$5</f>
        <v>2.854222222222222</v>
      </c>
      <c r="U29" s="35">
        <f>Price!U29/'Price D Coupon'!U$5</f>
        <v>3.5649557560000007</v>
      </c>
      <c r="V29" s="35">
        <f>Price!V29/'Price D Coupon'!V$5</f>
        <v>3.130555556</v>
      </c>
      <c r="W29" s="35">
        <f>Price!W29/'Price D Coupon'!W$5</f>
        <v>2.1806464654545454</v>
      </c>
      <c r="X29" s="35">
        <f>Price!X29/'Price D Coupon'!X$5</f>
        <v>2.3837222216666665</v>
      </c>
      <c r="Y29" s="35">
        <f>Price!Y29/'Price D Coupon'!Y$5</f>
        <v>2.6661709400000002</v>
      </c>
      <c r="Z29" s="41"/>
      <c r="AA29" s="42"/>
      <c r="AB29" s="43"/>
      <c r="AC29" s="31">
        <v>14.338305638333333</v>
      </c>
      <c r="AE29" s="10">
        <v>41274</v>
      </c>
      <c r="AF29" s="9">
        <f>VLOOKUP(AE29,CurrentCoupon!temp,3,0)</f>
        <v>2.1517307112587098</v>
      </c>
      <c r="AI29" s="4">
        <v>41274</v>
      </c>
      <c r="AJ29" s="15">
        <v>0</v>
      </c>
      <c r="AK29" s="15">
        <v>0</v>
      </c>
      <c r="AL29" s="15">
        <v>0</v>
      </c>
      <c r="AM29" s="15">
        <v>0</v>
      </c>
      <c r="AN29" s="15">
        <v>0</v>
      </c>
      <c r="AO29" s="15">
        <v>2.6384948673661656E-2</v>
      </c>
      <c r="AP29" s="15">
        <v>0</v>
      </c>
      <c r="AQ29" s="15">
        <v>0</v>
      </c>
      <c r="AR29" s="15">
        <v>0.10267328680014741</v>
      </c>
      <c r="AS29" s="15">
        <v>0.1245374210740027</v>
      </c>
      <c r="AT29" s="15">
        <v>9.9182410686268957E-2</v>
      </c>
      <c r="AU29" s="15">
        <v>0.11024715138738569</v>
      </c>
      <c r="AV29" s="15">
        <v>0.11260529605846885</v>
      </c>
      <c r="AW29" s="15">
        <v>0.20923826924815797</v>
      </c>
      <c r="AX29" s="15">
        <v>5.8549754472590192E-2</v>
      </c>
      <c r="AY29" s="15">
        <v>5.4289093932870215E-2</v>
      </c>
      <c r="AZ29" s="15">
        <v>4.294827444456125E-2</v>
      </c>
      <c r="BA29" s="17">
        <v>2.3945590270659033E-2</v>
      </c>
      <c r="BB29" s="16">
        <v>3.5398502951226027E-2</v>
      </c>
      <c r="BC29" s="51">
        <f t="shared" si="0"/>
        <v>0.99999999999999989</v>
      </c>
      <c r="BE29" s="4">
        <v>41243</v>
      </c>
      <c r="BF29" s="21">
        <v>-5.8156333129240345E-2</v>
      </c>
    </row>
    <row r="30" spans="6:58" x14ac:dyDescent="0.2">
      <c r="F30" s="4">
        <v>41305</v>
      </c>
      <c r="G30" s="35">
        <f>Price!G30/'Price D Coupon'!G$5</f>
        <v>0</v>
      </c>
      <c r="H30" s="35">
        <f>Price!H30/'Price D Coupon'!H$5</f>
        <v>0</v>
      </c>
      <c r="I30" s="35">
        <f>Price!I30/'Price D Coupon'!I$5</f>
        <v>0</v>
      </c>
      <c r="J30" s="35">
        <f>Price!J30/'Price D Coupon'!J$5</f>
        <v>0</v>
      </c>
      <c r="K30" s="35">
        <f>Price!K30/'Price D Coupon'!K$5</f>
        <v>0</v>
      </c>
      <c r="L30" s="35">
        <f>Price!L30/'Price D Coupon'!L$5</f>
        <v>4.2313492057142854</v>
      </c>
      <c r="M30" s="35">
        <f>Price!M30/'Price D Coupon'!M$5</f>
        <v>0</v>
      </c>
      <c r="N30" s="35">
        <f>Price!N30/'Price D Coupon'!N$5</f>
        <v>0</v>
      </c>
      <c r="O30" s="35">
        <f>Price!O30/'Price D Coupon'!O$5</f>
        <v>4.0957780275000006</v>
      </c>
      <c r="P30" s="35">
        <f>Price!P30/'Price D Coupon'!P$5</f>
        <v>3.8417777774999999</v>
      </c>
      <c r="Q30" s="35">
        <f>Price!Q30/'Price D Coupon'!Q$5</f>
        <v>3.2675277774999998</v>
      </c>
      <c r="R30" s="35">
        <f>Price!R30/'Price D Coupon'!R$5</f>
        <v>3.8825553333333338</v>
      </c>
      <c r="S30" s="35">
        <f>Price!S30/'Price D Coupon'!S$5</f>
        <v>3.5978888888888889</v>
      </c>
      <c r="T30" s="35">
        <f>Price!T30/'Price D Coupon'!T$5</f>
        <v>3.0318888888888891</v>
      </c>
      <c r="U30" s="35">
        <f>Price!U30/'Price D Coupon'!U$5</f>
        <v>3.6245775780000002</v>
      </c>
      <c r="V30" s="35">
        <f>Price!V30/'Price D Coupon'!V$5</f>
        <v>3.183977778</v>
      </c>
      <c r="W30" s="35">
        <f>Price!W30/'Price D Coupon'!W$5</f>
        <v>2.197686869090909</v>
      </c>
      <c r="X30" s="35">
        <f>Price!X30/'Price D Coupon'!X$5</f>
        <v>2.3157777783333331</v>
      </c>
      <c r="Y30" s="35">
        <f>Price!Y30/'Price D Coupon'!Y$5</f>
        <v>2.5672393169230769</v>
      </c>
      <c r="Z30" s="41"/>
      <c r="AA30" s="42"/>
      <c r="AB30" s="43"/>
      <c r="AC30" s="31">
        <v>15.303944361666666</v>
      </c>
      <c r="AE30" s="10">
        <v>41305</v>
      </c>
      <c r="AF30" s="9">
        <f>VLOOKUP(AE30,CurrentCoupon!temp,3,0)</f>
        <v>2.57376759097352</v>
      </c>
      <c r="AI30" s="4">
        <v>41305</v>
      </c>
      <c r="AJ30" s="15">
        <v>0</v>
      </c>
      <c r="AK30" s="15">
        <v>0</v>
      </c>
      <c r="AL30" s="15">
        <v>0</v>
      </c>
      <c r="AM30" s="15">
        <v>0</v>
      </c>
      <c r="AN30" s="15">
        <v>0</v>
      </c>
      <c r="AO30" s="15">
        <v>2.6345179467815352E-2</v>
      </c>
      <c r="AP30" s="15">
        <v>0</v>
      </c>
      <c r="AQ30" s="15">
        <v>0</v>
      </c>
      <c r="AR30" s="15">
        <v>0.10309605695896507</v>
      </c>
      <c r="AS30" s="15">
        <v>0.12439664956049377</v>
      </c>
      <c r="AT30" s="15">
        <v>9.8149848824455016E-2</v>
      </c>
      <c r="AU30" s="15">
        <v>0.11150933728211818</v>
      </c>
      <c r="AV30" s="15">
        <v>0.113228327623536</v>
      </c>
      <c r="AW30" s="15">
        <v>0.20795690524341723</v>
      </c>
      <c r="AX30" s="15">
        <v>5.937214678340573E-2</v>
      </c>
      <c r="AY30" s="15">
        <v>5.4660001522464211E-2</v>
      </c>
      <c r="AZ30" s="15">
        <v>4.2237801498082227E-2</v>
      </c>
      <c r="BA30" s="17">
        <v>2.3720951371056561E-2</v>
      </c>
      <c r="BB30" s="16">
        <v>3.5326793864190513E-2</v>
      </c>
      <c r="BC30" s="51">
        <f t="shared" si="0"/>
        <v>0.99999999999999978</v>
      </c>
      <c r="BE30" s="4">
        <v>41274</v>
      </c>
      <c r="BF30" s="21">
        <v>3.1244329246387089E-2</v>
      </c>
    </row>
    <row r="31" spans="6:58" x14ac:dyDescent="0.2">
      <c r="F31" s="4">
        <v>41333</v>
      </c>
      <c r="G31" s="35">
        <f>Price!G31/'Price D Coupon'!G$5</f>
        <v>0</v>
      </c>
      <c r="H31" s="35">
        <f>Price!H31/'Price D Coupon'!H$5</f>
        <v>0</v>
      </c>
      <c r="I31" s="35">
        <f>Price!I31/'Price D Coupon'!I$5</f>
        <v>0</v>
      </c>
      <c r="J31" s="35">
        <f>Price!J31/'Price D Coupon'!J$5</f>
        <v>0</v>
      </c>
      <c r="K31" s="35">
        <f>Price!K31/'Price D Coupon'!K$5</f>
        <v>0</v>
      </c>
      <c r="L31" s="35">
        <f>Price!L31/'Price D Coupon'!L$5</f>
        <v>4.3207777771428573</v>
      </c>
      <c r="M31" s="35">
        <f>Price!M31/'Price D Coupon'!M$5</f>
        <v>0</v>
      </c>
      <c r="N31" s="35">
        <f>Price!N31/'Price D Coupon'!N$5</f>
        <v>0</v>
      </c>
      <c r="O31" s="35">
        <f>Price!O31/'Price D Coupon'!O$5</f>
        <v>4.0175277774999998</v>
      </c>
      <c r="P31" s="35">
        <f>Price!P31/'Price D Coupon'!P$5</f>
        <v>3.7987777774999998</v>
      </c>
      <c r="Q31" s="35">
        <f>Price!Q31/'Price D Coupon'!Q$5</f>
        <v>3.2675277774999998</v>
      </c>
      <c r="R31" s="35">
        <f>Price!R31/'Price D Coupon'!R$5</f>
        <v>3.8478886666666665</v>
      </c>
      <c r="S31" s="35">
        <f>Price!S31/'Price D Coupon'!S$5</f>
        <v>3.577</v>
      </c>
      <c r="T31" s="35">
        <f>Price!T31/'Price D Coupon'!T$5</f>
        <v>3.0285555555555557</v>
      </c>
      <c r="U31" s="35">
        <f>Price!U31/'Price D Coupon'!U$5</f>
        <v>3.580977978</v>
      </c>
      <c r="V31" s="35">
        <f>Price!V31/'Price D Coupon'!V$5</f>
        <v>3.212177778</v>
      </c>
      <c r="W31" s="35">
        <f>Price!W31/'Price D Coupon'!W$5</f>
        <v>2.2431414145454549</v>
      </c>
      <c r="X31" s="35">
        <f>Price!X31/'Price D Coupon'!X$5</f>
        <v>2.3157777783333331</v>
      </c>
      <c r="Y31" s="35">
        <f>Price!Y31/'Price D Coupon'!Y$5</f>
        <v>2.5118547015384616</v>
      </c>
      <c r="Z31" s="41"/>
      <c r="AA31" s="42"/>
      <c r="AB31" s="43"/>
      <c r="AC31" s="31">
        <v>15.251944444999998</v>
      </c>
      <c r="AE31" s="10">
        <v>41333</v>
      </c>
      <c r="AF31" s="9">
        <f>VLOOKUP(AE31,CurrentCoupon!temp,3,0)</f>
        <v>2.5448374323223399</v>
      </c>
      <c r="AI31" s="4">
        <v>41333</v>
      </c>
      <c r="AJ31" s="15">
        <v>0</v>
      </c>
      <c r="AK31" s="15">
        <v>0</v>
      </c>
      <c r="AL31" s="15">
        <v>0</v>
      </c>
      <c r="AM31" s="15">
        <v>0</v>
      </c>
      <c r="AN31" s="15">
        <v>0</v>
      </c>
      <c r="AO31" s="15">
        <v>2.6323406892106233E-2</v>
      </c>
      <c r="AP31" s="15">
        <v>0</v>
      </c>
      <c r="AQ31" s="15">
        <v>0</v>
      </c>
      <c r="AR31" s="15">
        <v>0.1035984512333054</v>
      </c>
      <c r="AS31" s="15">
        <v>0.12436519588397528</v>
      </c>
      <c r="AT31" s="15">
        <v>9.7013240570438197E-2</v>
      </c>
      <c r="AU31" s="15">
        <v>0.11286648370232993</v>
      </c>
      <c r="AV31" s="15">
        <v>0.11383352923542668</v>
      </c>
      <c r="AW31" s="15">
        <v>0.20638403997266586</v>
      </c>
      <c r="AX31" s="15">
        <v>6.0217342469495741E-2</v>
      </c>
      <c r="AY31" s="15">
        <v>5.5050391001409356E-2</v>
      </c>
      <c r="AZ31" s="15">
        <v>4.1550454155116184E-2</v>
      </c>
      <c r="BA31" s="17">
        <v>2.3532717225607964E-2</v>
      </c>
      <c r="BB31" s="16">
        <v>3.5264747658123173E-2</v>
      </c>
      <c r="BC31" s="51">
        <f t="shared" si="0"/>
        <v>1</v>
      </c>
      <c r="BE31" s="4">
        <v>41305</v>
      </c>
      <c r="BF31" s="21">
        <v>7.6720092823496691E-2</v>
      </c>
    </row>
    <row r="32" spans="6:58" x14ac:dyDescent="0.2">
      <c r="F32" s="4">
        <v>41361</v>
      </c>
      <c r="G32" s="35">
        <f>Price!G32/'Price D Coupon'!G$5</f>
        <v>0</v>
      </c>
      <c r="H32" s="35">
        <f>Price!H32/'Price D Coupon'!H$5</f>
        <v>6.3444444433333338</v>
      </c>
      <c r="I32" s="35">
        <f>Price!I32/'Price D Coupon'!I$5</f>
        <v>0</v>
      </c>
      <c r="J32" s="35">
        <f>Price!J32/'Price D Coupon'!J$5</f>
        <v>0</v>
      </c>
      <c r="K32" s="35">
        <f>Price!K32/'Price D Coupon'!K$5</f>
        <v>5.5036346342857145</v>
      </c>
      <c r="L32" s="35">
        <f>Price!L32/'Price D Coupon'!L$5</f>
        <v>4.7044920628571427</v>
      </c>
      <c r="M32" s="35">
        <f>Price!M32/'Price D Coupon'!M$5</f>
        <v>0</v>
      </c>
      <c r="N32" s="35">
        <f>Price!N32/'Price D Coupon'!N$5</f>
        <v>0</v>
      </c>
      <c r="O32" s="35">
        <f>Price!O32/'Price D Coupon'!O$5</f>
        <v>4.2872777774999999</v>
      </c>
      <c r="P32" s="35">
        <f>Price!P32/'Price D Coupon'!P$5</f>
        <v>4.0567780275000001</v>
      </c>
      <c r="Q32" s="35">
        <f>Price!Q32/'Price D Coupon'!Q$5</f>
        <v>3.5057777774999996</v>
      </c>
      <c r="R32" s="35">
        <f>Price!R32/'Price D Coupon'!R$5</f>
        <v>3.9694444444444446</v>
      </c>
      <c r="S32" s="35">
        <f>Price!S32/'Price D Coupon'!S$5</f>
        <v>3.7332222222222224</v>
      </c>
      <c r="T32" s="35">
        <f>Price!T32/'Price D Coupon'!T$5</f>
        <v>3.1916666666666669</v>
      </c>
      <c r="U32" s="35">
        <f>Price!U32/'Price D Coupon'!U$5</f>
        <v>3.6651777780000003</v>
      </c>
      <c r="V32" s="35">
        <f>Price!V32/'Price D Coupon'!V$5</f>
        <v>3.3277777780000002</v>
      </c>
      <c r="W32" s="35">
        <f>Price!W32/'Price D Coupon'!W$5</f>
        <v>2.3027777781818184</v>
      </c>
      <c r="X32" s="35">
        <f>Price!X32/'Price D Coupon'!X$5</f>
        <v>2.3757777783333336</v>
      </c>
      <c r="Y32" s="35">
        <f>Price!Y32/'Price D Coupon'!Y$5</f>
        <v>2.4733931630769233</v>
      </c>
      <c r="Z32" s="41"/>
      <c r="AA32" s="42"/>
      <c r="AB32" s="43"/>
      <c r="AC32" s="31">
        <v>16.367670635</v>
      </c>
      <c r="AE32" s="11">
        <v>41361</v>
      </c>
      <c r="AF32" s="9">
        <f>VLOOKUP(AE32,CurrentCoupon!temp,3,0)</f>
        <v>2.6143335780898398</v>
      </c>
      <c r="AI32" s="4">
        <v>41361</v>
      </c>
      <c r="AJ32" s="15">
        <v>0</v>
      </c>
      <c r="AK32" s="15">
        <v>0.16604545387295105</v>
      </c>
      <c r="AL32" s="15">
        <v>0</v>
      </c>
      <c r="AM32" s="15">
        <v>0</v>
      </c>
      <c r="AN32" s="15">
        <v>0.21519206722702106</v>
      </c>
      <c r="AO32" s="15">
        <v>1.635276283402097E-2</v>
      </c>
      <c r="AP32" s="15">
        <v>0</v>
      </c>
      <c r="AQ32" s="15">
        <v>0</v>
      </c>
      <c r="AR32" s="15">
        <v>6.440881656543028E-2</v>
      </c>
      <c r="AS32" s="15">
        <v>7.7062796212745602E-2</v>
      </c>
      <c r="AT32" s="15">
        <v>5.9393319317402944E-2</v>
      </c>
      <c r="AU32" s="15">
        <v>7.0585714262057106E-2</v>
      </c>
      <c r="AV32" s="15">
        <v>7.0770295762404734E-2</v>
      </c>
      <c r="AW32" s="15">
        <v>0.12675823402652306</v>
      </c>
      <c r="AX32" s="15">
        <v>3.773353520010711E-2</v>
      </c>
      <c r="AY32" s="15">
        <v>3.4312793763058715E-2</v>
      </c>
      <c r="AZ32" s="15">
        <v>2.5291294687803799E-2</v>
      </c>
      <c r="BA32" s="17">
        <v>1.4405995184042945E-2</v>
      </c>
      <c r="BB32" s="16">
        <v>2.1686921084430624E-2</v>
      </c>
      <c r="BC32" s="51">
        <f t="shared" si="0"/>
        <v>1</v>
      </c>
      <c r="BE32" s="4">
        <v>41333</v>
      </c>
      <c r="BF32" s="21">
        <v>-1.7108062596615532E-2</v>
      </c>
    </row>
    <row r="33" spans="6:58" x14ac:dyDescent="0.2">
      <c r="F33" s="4">
        <v>41394</v>
      </c>
      <c r="G33" s="35">
        <f>Price!G33/'Price D Coupon'!G$5</f>
        <v>0</v>
      </c>
      <c r="H33" s="35">
        <f>Price!H33/'Price D Coupon'!H$5</f>
        <v>5.8601114433333343</v>
      </c>
      <c r="I33" s="35">
        <f>Price!I33/'Price D Coupon'!I$5</f>
        <v>0</v>
      </c>
      <c r="J33" s="35">
        <f>Price!J33/'Price D Coupon'!J$5</f>
        <v>0</v>
      </c>
      <c r="K33" s="35">
        <f>Price!K33/'Price D Coupon'!K$5</f>
        <v>4.798206062857143</v>
      </c>
      <c r="L33" s="35">
        <f>Price!L33/'Price D Coupon'!L$5</f>
        <v>3.9187777771428571</v>
      </c>
      <c r="M33" s="35">
        <f>Price!M33/'Price D Coupon'!M$5</f>
        <v>0</v>
      </c>
      <c r="N33" s="35">
        <f>Price!N33/'Price D Coupon'!N$5</f>
        <v>0</v>
      </c>
      <c r="O33" s="35">
        <f>Price!O33/'Price D Coupon'!O$5</f>
        <v>3.7755277774999998</v>
      </c>
      <c r="P33" s="35">
        <f>Price!P33/'Price D Coupon'!P$5</f>
        <v>3.4667777774999999</v>
      </c>
      <c r="Q33" s="35">
        <f>Price!Q33/'Price D Coupon'!Q$5</f>
        <v>2.8145277774999999</v>
      </c>
      <c r="R33" s="35">
        <f>Price!R33/'Price D Coupon'!R$5</f>
        <v>3.4763333333333337</v>
      </c>
      <c r="S33" s="35">
        <f>Price!S33/'Price D Coupon'!S$5</f>
        <v>3.1152222222222226</v>
      </c>
      <c r="T33" s="35">
        <f>Price!T33/'Price D Coupon'!T$5</f>
        <v>2.6118888888888891</v>
      </c>
      <c r="U33" s="35">
        <f>Price!U33/'Price D Coupon'!U$5</f>
        <v>3.1903777780000002</v>
      </c>
      <c r="V33" s="35">
        <f>Price!V33/'Price D Coupon'!V$5</f>
        <v>2.9309777779999999</v>
      </c>
      <c r="W33" s="35">
        <f>Price!W33/'Price D Coupon'!W$5</f>
        <v>2.007323232727273</v>
      </c>
      <c r="X33" s="35">
        <f>Price!X33/'Price D Coupon'!X$5</f>
        <v>2.1101111116666664</v>
      </c>
      <c r="Y33" s="35">
        <f>Price!Y33/'Price D Coupon'!Y$5</f>
        <v>2.2233931630769233</v>
      </c>
      <c r="Z33" s="41"/>
      <c r="AA33" s="42"/>
      <c r="AB33" s="43"/>
      <c r="AC33" s="31">
        <v>14.178027777857142</v>
      </c>
      <c r="AE33" s="11">
        <v>41394</v>
      </c>
      <c r="AF33" s="9">
        <f>VLOOKUP(AE33,CurrentCoupon!temp,3,0)</f>
        <v>2.3535373905486399</v>
      </c>
      <c r="AI33" s="4">
        <v>41394</v>
      </c>
      <c r="AJ33" s="15">
        <v>0</v>
      </c>
      <c r="AK33" s="15">
        <v>0.16923057771147348</v>
      </c>
      <c r="AL33" s="15">
        <v>0</v>
      </c>
      <c r="AM33" s="15">
        <v>0</v>
      </c>
      <c r="AN33" s="15">
        <v>0.21766117829433518</v>
      </c>
      <c r="AO33" s="15">
        <v>1.6296094784065185E-2</v>
      </c>
      <c r="AP33" s="15">
        <v>0</v>
      </c>
      <c r="AQ33" s="15">
        <v>0</v>
      </c>
      <c r="AR33" s="15">
        <v>6.4311837963362095E-2</v>
      </c>
      <c r="AS33" s="15">
        <v>7.6526100162507424E-2</v>
      </c>
      <c r="AT33" s="15">
        <v>5.8183302565491465E-2</v>
      </c>
      <c r="AU33" s="15">
        <v>7.0636887554089284E-2</v>
      </c>
      <c r="AV33" s="15">
        <v>7.0361684621639956E-2</v>
      </c>
      <c r="AW33" s="15">
        <v>0.12472884370117576</v>
      </c>
      <c r="AX33" s="15">
        <v>3.7783806993814416E-2</v>
      </c>
      <c r="AY33" s="15">
        <v>3.4183924580162679E-2</v>
      </c>
      <c r="AZ33" s="15">
        <v>2.4634716831360304E-2</v>
      </c>
      <c r="BA33" s="17">
        <v>1.4100709482951838E-2</v>
      </c>
      <c r="BB33" s="16">
        <v>2.136033475357095E-2</v>
      </c>
      <c r="BC33" s="51">
        <f t="shared" si="0"/>
        <v>1</v>
      </c>
      <c r="BE33" s="4">
        <v>41361</v>
      </c>
      <c r="BF33" s="21">
        <v>4.7163211473699472E-2</v>
      </c>
    </row>
    <row r="34" spans="6:58" x14ac:dyDescent="0.2">
      <c r="F34" s="4">
        <v>41425</v>
      </c>
      <c r="G34" s="35">
        <f>Price!G34/'Price D Coupon'!G$5</f>
        <v>0</v>
      </c>
      <c r="H34" s="35">
        <f>Price!H34/'Price D Coupon'!H$5</f>
        <v>6.7823336666666671</v>
      </c>
      <c r="I34" s="35">
        <f>Price!I34/'Price D Coupon'!I$5</f>
        <v>0</v>
      </c>
      <c r="J34" s="35">
        <f>Price!J34/'Price D Coupon'!J$5</f>
        <v>0</v>
      </c>
      <c r="K34" s="35">
        <f>Price!K34/'Price D Coupon'!K$5</f>
        <v>5.8263333342857138</v>
      </c>
      <c r="L34" s="35">
        <f>Price!L34/'Price D Coupon'!L$5</f>
        <v>5.1966187628571427</v>
      </c>
      <c r="M34" s="35">
        <f>Price!M34/'Price D Coupon'!M$5</f>
        <v>0</v>
      </c>
      <c r="N34" s="35">
        <f>Price!N34/'Price D Coupon'!N$5</f>
        <v>0</v>
      </c>
      <c r="O34" s="35">
        <f>Price!O34/'Price D Coupon'!O$5</f>
        <v>4.7848333324999999</v>
      </c>
      <c r="P34" s="35">
        <f>Price!P34/'Price D Coupon'!P$5</f>
        <v>4.4255833325000005</v>
      </c>
      <c r="Q34" s="35">
        <f>Price!Q34/'Price D Coupon'!Q$5</f>
        <v>3.9605833325000002</v>
      </c>
      <c r="R34" s="35">
        <f>Price!R34/'Price D Coupon'!R$5</f>
        <v>4.1103331111111112</v>
      </c>
      <c r="S34" s="35">
        <f>Price!S34/'Price D Coupon'!S$5</f>
        <v>3.7041111111111107</v>
      </c>
      <c r="T34" s="35">
        <f>Price!T34/'Price D Coupon'!T$5</f>
        <v>3.3361111111111108</v>
      </c>
      <c r="U34" s="35">
        <f>Price!U34/'Price D Coupon'!U$5</f>
        <v>3.2333333340000001</v>
      </c>
      <c r="V34" s="35">
        <f>Price!V34/'Price D Coupon'!V$5</f>
        <v>2.964533334</v>
      </c>
      <c r="W34" s="35">
        <f>Price!W34/'Price D Coupon'!W$5</f>
        <v>2.1265151509090909</v>
      </c>
      <c r="X34" s="35">
        <f>Price!X34/'Price D Coupon'!X$5</f>
        <v>2.0245000000000002</v>
      </c>
      <c r="Y34" s="35">
        <f>Price!Y34/'Price D Coupon'!Y$5</f>
        <v>2.149717949230769</v>
      </c>
      <c r="Z34" s="41"/>
      <c r="AA34" s="42"/>
      <c r="AB34" s="43"/>
      <c r="AC34" s="31">
        <v>16.471011833571428</v>
      </c>
      <c r="AE34" s="11">
        <v>41425</v>
      </c>
      <c r="AF34" s="9">
        <f>VLOOKUP(AE34,CurrentCoupon!temp,3,0)</f>
        <v>2.95731349620652</v>
      </c>
      <c r="AI34" s="4">
        <v>41425</v>
      </c>
      <c r="AJ34" s="15">
        <v>0</v>
      </c>
      <c r="AK34" s="15">
        <v>0.17255010681714236</v>
      </c>
      <c r="AL34" s="15">
        <v>0</v>
      </c>
      <c r="AM34" s="15">
        <v>0</v>
      </c>
      <c r="AN34" s="15">
        <v>0.22058881039382058</v>
      </c>
      <c r="AO34" s="15">
        <v>1.6288673793540726E-2</v>
      </c>
      <c r="AP34" s="15">
        <v>0</v>
      </c>
      <c r="AQ34" s="15">
        <v>0</v>
      </c>
      <c r="AR34" s="15">
        <v>6.4259229836297935E-2</v>
      </c>
      <c r="AS34" s="15">
        <v>7.6085759500041844E-2</v>
      </c>
      <c r="AT34" s="15">
        <v>5.7132256465516909E-2</v>
      </c>
      <c r="AU34" s="15">
        <v>7.0491603796593402E-2</v>
      </c>
      <c r="AV34" s="15">
        <v>6.9807328015773065E-2</v>
      </c>
      <c r="AW34" s="15">
        <v>0.12249105932672152</v>
      </c>
      <c r="AX34" s="15">
        <v>3.7774895660135518E-2</v>
      </c>
      <c r="AY34" s="15">
        <v>3.3936742823214849E-2</v>
      </c>
      <c r="AZ34" s="15">
        <v>2.3866232780925416E-2</v>
      </c>
      <c r="BA34" s="17">
        <v>1.3725027785880599E-2</v>
      </c>
      <c r="BB34" s="16">
        <v>2.1002273004395246E-2</v>
      </c>
      <c r="BC34" s="51">
        <f t="shared" si="0"/>
        <v>0.99999999999999989</v>
      </c>
      <c r="BE34" s="4">
        <v>41394</v>
      </c>
      <c r="BF34" s="21">
        <v>-0.1375545320631599</v>
      </c>
    </row>
    <row r="35" spans="6:58" x14ac:dyDescent="0.2">
      <c r="F35" s="4">
        <v>41453</v>
      </c>
      <c r="G35" s="35">
        <f>Price!G35/'Price D Coupon'!G$5</f>
        <v>0</v>
      </c>
      <c r="H35" s="35">
        <f>Price!H35/'Price D Coupon'!H$5</f>
        <v>6.9434447766666674</v>
      </c>
      <c r="I35" s="35">
        <f>Price!I35/'Price D Coupon'!I$5</f>
        <v>0</v>
      </c>
      <c r="J35" s="35">
        <f>Price!J35/'Price D Coupon'!J$5</f>
        <v>0</v>
      </c>
      <c r="K35" s="35">
        <f>Price!K35/'Price D Coupon'!K$5</f>
        <v>6.0527777771428575</v>
      </c>
      <c r="L35" s="35">
        <f>Price!L35/'Price D Coupon'!L$5</f>
        <v>5.6107774914285713</v>
      </c>
      <c r="M35" s="35">
        <f>Price!M35/'Price D Coupon'!M$5</f>
        <v>0</v>
      </c>
      <c r="N35" s="35">
        <f>Price!N35/'Price D Coupon'!N$5</f>
        <v>0</v>
      </c>
      <c r="O35" s="35">
        <f>Price!O35/'Price D Coupon'!O$5</f>
        <v>5.2520280275000006</v>
      </c>
      <c r="P35" s="35">
        <f>Price!P35/'Price D Coupon'!P$5</f>
        <v>5.0057777775000005</v>
      </c>
      <c r="Q35" s="35">
        <f>Price!Q35/'Price D Coupon'!Q$5</f>
        <v>4.6542777774999999</v>
      </c>
      <c r="R35" s="35">
        <f>Price!R35/'Price D Coupon'!R$5</f>
        <v>4.6152222222222221</v>
      </c>
      <c r="S35" s="35">
        <f>Price!S35/'Price D Coupon'!S$5</f>
        <v>4.3756664444444446</v>
      </c>
      <c r="T35" s="35">
        <f>Price!T35/'Price D Coupon'!T$5</f>
        <v>4.052777777777778</v>
      </c>
      <c r="U35" s="35">
        <f>Price!U35/'Price D Coupon'!U$5</f>
        <v>3.7371779780000005</v>
      </c>
      <c r="V35" s="35">
        <f>Price!V35/'Price D Coupon'!V$5</f>
        <v>3.4777777780000001</v>
      </c>
      <c r="W35" s="35">
        <f>Price!W35/'Price D Coupon'!W$5</f>
        <v>2.413505050909091</v>
      </c>
      <c r="X35" s="35">
        <f>Price!X35/'Price D Coupon'!X$5</f>
        <v>2.2689444450000003</v>
      </c>
      <c r="Y35" s="35">
        <f>Price!Y35/'Price D Coupon'!Y$5</f>
        <v>2.2883162399999999</v>
      </c>
      <c r="Z35" s="41"/>
      <c r="AA35" s="42"/>
      <c r="AB35" s="43"/>
      <c r="AC35" s="31">
        <v>18.416742135</v>
      </c>
      <c r="AE35" s="11">
        <v>41453</v>
      </c>
      <c r="AF35" s="9">
        <f>VLOOKUP(AE35,CurrentCoupon!temp,3,0)</f>
        <v>3.3094496735702101</v>
      </c>
      <c r="AI35" s="4">
        <v>41453</v>
      </c>
      <c r="AJ35" s="15">
        <v>0</v>
      </c>
      <c r="AK35" s="15">
        <v>0.17582777113389236</v>
      </c>
      <c r="AL35" s="15">
        <v>0</v>
      </c>
      <c r="AM35" s="15">
        <v>0</v>
      </c>
      <c r="AN35" s="15">
        <v>0.22364140588617387</v>
      </c>
      <c r="AO35" s="15">
        <v>1.6318467197016479E-2</v>
      </c>
      <c r="AP35" s="15">
        <v>0</v>
      </c>
      <c r="AQ35" s="15">
        <v>0</v>
      </c>
      <c r="AR35" s="15">
        <v>6.426023779580245E-2</v>
      </c>
      <c r="AS35" s="15">
        <v>7.5791982568689423E-2</v>
      </c>
      <c r="AT35" s="15">
        <v>5.6216146510529967E-2</v>
      </c>
      <c r="AU35" s="15">
        <v>7.0297475667280063E-2</v>
      </c>
      <c r="AV35" s="15">
        <v>6.9195597104197482E-2</v>
      </c>
      <c r="AW35" s="15">
        <v>0.12029056607774874</v>
      </c>
      <c r="AX35" s="15">
        <v>3.7661433145187939E-2</v>
      </c>
      <c r="AY35" s="15">
        <v>3.3634498170535453E-2</v>
      </c>
      <c r="AZ35" s="15">
        <v>2.3015806069513207E-2</v>
      </c>
      <c r="BA35" s="17">
        <v>1.3294553264223796E-2</v>
      </c>
      <c r="BB35" s="16">
        <v>2.0554059409208673E-2</v>
      </c>
      <c r="BC35" s="51">
        <f t="shared" si="0"/>
        <v>0.99999999999999978</v>
      </c>
      <c r="BE35" s="4">
        <v>41425</v>
      </c>
      <c r="BF35" s="21">
        <v>0.20085392209736164</v>
      </c>
    </row>
    <row r="36" spans="6:58" x14ac:dyDescent="0.2">
      <c r="F36" s="4">
        <v>41486</v>
      </c>
      <c r="G36" s="35">
        <f>Price!G36/'Price D Coupon'!G$5</f>
        <v>0</v>
      </c>
      <c r="H36" s="35">
        <f>Price!H36/'Price D Coupon'!H$5</f>
        <v>7.2037774433333333</v>
      </c>
      <c r="I36" s="35">
        <f>Price!I36/'Price D Coupon'!I$5</f>
        <v>0</v>
      </c>
      <c r="J36" s="35">
        <f>Price!J36/'Price D Coupon'!J$5</f>
        <v>0</v>
      </c>
      <c r="K36" s="35">
        <f>Price!K36/'Price D Coupon'!K$5</f>
        <v>6.4859209199999999</v>
      </c>
      <c r="L36" s="35">
        <f>Price!L36/'Price D Coupon'!L$5</f>
        <v>6.1107774914285713</v>
      </c>
      <c r="M36" s="35">
        <f>Price!M36/'Price D Coupon'!M$5</f>
        <v>0</v>
      </c>
      <c r="N36" s="35">
        <f>Price!N36/'Price D Coupon'!N$5</f>
        <v>0</v>
      </c>
      <c r="O36" s="35">
        <f>Price!O36/'Price D Coupon'!O$5</f>
        <v>5.7130280275000001</v>
      </c>
      <c r="P36" s="35">
        <f>Price!P36/'Price D Coupon'!P$5</f>
        <v>5.4005280275000001</v>
      </c>
      <c r="Q36" s="35">
        <f>Price!Q36/'Price D Coupon'!Q$5</f>
        <v>5.0997777774999999</v>
      </c>
      <c r="R36" s="35">
        <f>Price!R36/'Price D Coupon'!R$5</f>
        <v>4.8478886666666661</v>
      </c>
      <c r="S36" s="35">
        <f>Price!S36/'Price D Coupon'!S$5</f>
        <v>4.5458888888888893</v>
      </c>
      <c r="T36" s="35">
        <f>Price!T36/'Price D Coupon'!T$5</f>
        <v>4.2230002222222218</v>
      </c>
      <c r="U36" s="35">
        <f>Price!U36/'Price D Coupon'!U$5</f>
        <v>3.9183775779999999</v>
      </c>
      <c r="V36" s="35">
        <f>Price!V36/'Price D Coupon'!V$5</f>
        <v>3.640377778</v>
      </c>
      <c r="W36" s="35">
        <f>Price!W36/'Price D Coupon'!W$5</f>
        <v>2.6862323236363639</v>
      </c>
      <c r="X36" s="35">
        <f>Price!X36/'Price D Coupon'!X$5</f>
        <v>2.4616111116666666</v>
      </c>
      <c r="Y36" s="35">
        <f>Price!Y36/'Price D Coupon'!Y$5</f>
        <v>2.4421623938461541</v>
      </c>
      <c r="Z36" s="41"/>
      <c r="AA36" s="42"/>
      <c r="AB36" s="43"/>
      <c r="AC36" s="31">
        <v>19.645742063571429</v>
      </c>
      <c r="AE36" s="11">
        <v>41486</v>
      </c>
      <c r="AF36" s="9">
        <f>VLOOKUP(AE36,CurrentCoupon!temp,3,0)</f>
        <v>3.4095392657433901</v>
      </c>
      <c r="AI36" s="4">
        <v>41486</v>
      </c>
      <c r="AJ36" s="15">
        <v>0</v>
      </c>
      <c r="AK36" s="15">
        <v>0.17912528860509896</v>
      </c>
      <c r="AL36" s="15">
        <v>0</v>
      </c>
      <c r="AM36" s="15">
        <v>0</v>
      </c>
      <c r="AN36" s="15">
        <v>0.22634272236975295</v>
      </c>
      <c r="AO36" s="15">
        <v>1.6314421186506771E-2</v>
      </c>
      <c r="AP36" s="15">
        <v>0</v>
      </c>
      <c r="AQ36" s="15">
        <v>0</v>
      </c>
      <c r="AR36" s="15">
        <v>6.4250589799217758E-2</v>
      </c>
      <c r="AS36" s="15">
        <v>7.543427487298271E-2</v>
      </c>
      <c r="AT36" s="15">
        <v>5.5336566219979975E-2</v>
      </c>
      <c r="AU36" s="15">
        <v>7.0204599412611687E-2</v>
      </c>
      <c r="AV36" s="15">
        <v>6.871969385958028E-2</v>
      </c>
      <c r="AW36" s="15">
        <v>0.11825930782781736</v>
      </c>
      <c r="AX36" s="15">
        <v>3.7573646524501236E-2</v>
      </c>
      <c r="AY36" s="15">
        <v>3.3349519716132883E-2</v>
      </c>
      <c r="AZ36" s="15">
        <v>2.2145683800703014E-2</v>
      </c>
      <c r="BA36" s="17">
        <v>1.2850082179408053E-2</v>
      </c>
      <c r="BB36" s="16">
        <v>2.0093603625706218E-2</v>
      </c>
      <c r="BC36" s="51">
        <f t="shared" si="0"/>
        <v>1</v>
      </c>
      <c r="BE36" s="4">
        <v>41453</v>
      </c>
      <c r="BF36" s="21">
        <v>9.7209580368906881E-2</v>
      </c>
    </row>
    <row r="37" spans="6:58" x14ac:dyDescent="0.2">
      <c r="F37" s="4">
        <v>41516</v>
      </c>
      <c r="G37" s="35">
        <f>Price!G37/'Price D Coupon'!G$5</f>
        <v>0</v>
      </c>
      <c r="H37" s="35">
        <f>Price!H37/'Price D Coupon'!H$5</f>
        <v>7.256333333333334</v>
      </c>
      <c r="I37" s="35">
        <f>Price!I37/'Price D Coupon'!I$5</f>
        <v>0</v>
      </c>
      <c r="J37" s="35">
        <f>Price!J37/'Price D Coupon'!J$5</f>
        <v>0</v>
      </c>
      <c r="K37" s="35">
        <f>Price!K37/'Price D Coupon'!K$5</f>
        <v>6.5314761914285713</v>
      </c>
      <c r="L37" s="35">
        <f>Price!L37/'Price D Coupon'!L$5</f>
        <v>6.1566190485714287</v>
      </c>
      <c r="M37" s="35">
        <f>Price!M37/'Price D Coupon'!M$5</f>
        <v>0</v>
      </c>
      <c r="N37" s="35">
        <f>Price!N37/'Price D Coupon'!N$5</f>
        <v>0</v>
      </c>
      <c r="O37" s="35">
        <f>Price!O37/'Price D Coupon'!O$5</f>
        <v>5.8863333325000005</v>
      </c>
      <c r="P37" s="35">
        <f>Price!P37/'Price D Coupon'!P$5</f>
        <v>5.6168330825000004</v>
      </c>
      <c r="Q37" s="35">
        <f>Price!Q37/'Price D Coupon'!Q$5</f>
        <v>5.3200835825000006</v>
      </c>
      <c r="R37" s="35">
        <f>Price!R37/'Price D Coupon'!R$5</f>
        <v>5.1832222222222226</v>
      </c>
      <c r="S37" s="35">
        <f>Price!S37/'Price D Coupon'!S$5</f>
        <v>4.8465557777777777</v>
      </c>
      <c r="T37" s="35">
        <f>Price!T37/'Price D Coupon'!T$5</f>
        <v>4.5341113333333327</v>
      </c>
      <c r="U37" s="35">
        <f>Price!U37/'Price D Coupon'!U$5</f>
        <v>4.2989331340000003</v>
      </c>
      <c r="V37" s="35">
        <f>Price!V37/'Price D Coupon'!V$5</f>
        <v>3.961533534</v>
      </c>
      <c r="W37" s="35">
        <f>Price!W37/'Price D Coupon'!W$5</f>
        <v>2.9332424236363637</v>
      </c>
      <c r="X37" s="35">
        <f>Price!X37/'Price D Coupon'!X$5</f>
        <v>2.6676666666666669</v>
      </c>
      <c r="Y37" s="35">
        <f>Price!Y37/'Price D Coupon'!Y$5</f>
        <v>2.6040257953846155</v>
      </c>
      <c r="Z37" s="41"/>
      <c r="AA37" s="42"/>
      <c r="AB37" s="43"/>
      <c r="AC37" s="31">
        <v>20.669654976428575</v>
      </c>
      <c r="AE37" s="11">
        <v>41516</v>
      </c>
      <c r="AF37" s="9">
        <f>VLOOKUP(AE37,CurrentCoupon!temp,3,0)</f>
        <v>3.5181082868119602</v>
      </c>
      <c r="AI37" s="4">
        <v>41516</v>
      </c>
      <c r="AJ37" s="15">
        <v>0</v>
      </c>
      <c r="AK37" s="15">
        <v>0.18224419776525008</v>
      </c>
      <c r="AL37" s="15">
        <v>0</v>
      </c>
      <c r="AM37" s="15">
        <v>0</v>
      </c>
      <c r="AN37" s="15">
        <v>0.22894663991373995</v>
      </c>
      <c r="AO37" s="15">
        <v>1.6331317151931674E-2</v>
      </c>
      <c r="AP37" s="15">
        <v>0</v>
      </c>
      <c r="AQ37" s="15">
        <v>0</v>
      </c>
      <c r="AR37" s="15">
        <v>6.423180616878206E-2</v>
      </c>
      <c r="AS37" s="15">
        <v>7.5062054472512157E-2</v>
      </c>
      <c r="AT37" s="15">
        <v>5.4534255794378116E-2</v>
      </c>
      <c r="AU37" s="15">
        <v>7.0080784438280128E-2</v>
      </c>
      <c r="AV37" s="15">
        <v>6.8270317491310295E-2</v>
      </c>
      <c r="AW37" s="15">
        <v>0.11630450772699083</v>
      </c>
      <c r="AX37" s="15">
        <v>3.7485554356120013E-2</v>
      </c>
      <c r="AY37" s="15">
        <v>3.3074401415550264E-2</v>
      </c>
      <c r="AZ37" s="15">
        <v>2.1306852542925397E-2</v>
      </c>
      <c r="BA37" s="17">
        <v>1.2448574255088029E-2</v>
      </c>
      <c r="BB37" s="16">
        <v>1.9678736507140988E-2</v>
      </c>
      <c r="BC37" s="51">
        <f t="shared" si="0"/>
        <v>1</v>
      </c>
      <c r="BE37" s="4">
        <v>41486</v>
      </c>
      <c r="BF37" s="21">
        <v>5.3115329310679596E-2</v>
      </c>
    </row>
    <row r="38" spans="6:58" x14ac:dyDescent="0.2">
      <c r="F38" s="4">
        <v>41547</v>
      </c>
      <c r="G38" s="35">
        <f>Price!G38/'Price D Coupon'!G$5</f>
        <v>0</v>
      </c>
      <c r="H38" s="35">
        <f>Price!H38/'Price D Coupon'!H$5</f>
        <v>7.3757777766666672</v>
      </c>
      <c r="I38" s="35">
        <f>Price!I38/'Price D Coupon'!I$5</f>
        <v>0</v>
      </c>
      <c r="J38" s="35">
        <f>Price!J38/'Price D Coupon'!J$5</f>
        <v>0</v>
      </c>
      <c r="K38" s="35">
        <f>Price!K38/'Price D Coupon'!K$5</f>
        <v>6.6733494914285725</v>
      </c>
      <c r="L38" s="35">
        <f>Price!L38/'Price D Coupon'!L$5</f>
        <v>6.2002066342857143</v>
      </c>
      <c r="M38" s="35">
        <f>Price!M38/'Price D Coupon'!M$5</f>
        <v>0</v>
      </c>
      <c r="N38" s="35">
        <f>Price!N38/'Price D Coupon'!N$5</f>
        <v>0</v>
      </c>
      <c r="O38" s="35">
        <f>Price!O38/'Price D Coupon'!O$5</f>
        <v>5.7872777774999999</v>
      </c>
      <c r="P38" s="35">
        <f>Price!P38/'Price D Coupon'!P$5</f>
        <v>5.5292777774999999</v>
      </c>
      <c r="Q38" s="35">
        <f>Price!Q38/'Price D Coupon'!Q$5</f>
        <v>5.1737775275000004</v>
      </c>
      <c r="R38" s="35">
        <f>Price!R38/'Price D Coupon'!R$5</f>
        <v>5.1361111111111111</v>
      </c>
      <c r="S38" s="35">
        <f>Price!S38/'Price D Coupon'!S$5</f>
        <v>4.7714442222222226</v>
      </c>
      <c r="T38" s="35">
        <f>Price!T38/'Price D Coupon'!T$5</f>
        <v>4.4174446666666665</v>
      </c>
      <c r="U38" s="35">
        <f>Price!U38/'Price D Coupon'!U$5</f>
        <v>4.2027777779999997</v>
      </c>
      <c r="V38" s="35">
        <f>Price!V38/'Price D Coupon'!V$5</f>
        <v>3.8403777779999997</v>
      </c>
      <c r="W38" s="35">
        <f>Price!W38/'Price D Coupon'!W$5</f>
        <v>2.8255050509090909</v>
      </c>
      <c r="X38" s="35">
        <f>Price!X38/'Price D Coupon'!X$5</f>
        <v>2.6387777783333335</v>
      </c>
      <c r="Y38" s="35">
        <f>Price!Y38/'Price D Coupon'!Y$5</f>
        <v>2.6681623938461536</v>
      </c>
      <c r="Z38" s="41"/>
      <c r="AA38" s="42"/>
      <c r="AB38" s="43"/>
      <c r="AC38" s="31">
        <v>20.467170706428568</v>
      </c>
      <c r="AE38" s="11">
        <v>41547</v>
      </c>
      <c r="AF38" s="9">
        <f>VLOOKUP(AE38,CurrentCoupon!temp,3,0)</f>
        <v>3.2952489842634298</v>
      </c>
      <c r="AI38" s="4">
        <v>41547</v>
      </c>
      <c r="AJ38" s="15">
        <v>0</v>
      </c>
      <c r="AK38" s="15">
        <v>0.18506918735941266</v>
      </c>
      <c r="AL38" s="15">
        <v>0</v>
      </c>
      <c r="AM38" s="15">
        <v>0</v>
      </c>
      <c r="AN38" s="15">
        <v>0.231630840773001</v>
      </c>
      <c r="AO38" s="15">
        <v>1.6377822201630962E-2</v>
      </c>
      <c r="AP38" s="15">
        <v>0</v>
      </c>
      <c r="AQ38" s="15">
        <v>0</v>
      </c>
      <c r="AR38" s="15">
        <v>6.4342442553811899E-2</v>
      </c>
      <c r="AS38" s="15">
        <v>7.4900098299530607E-2</v>
      </c>
      <c r="AT38" s="15">
        <v>5.3980736392641518E-2</v>
      </c>
      <c r="AU38" s="15">
        <v>6.991343359830389E-2</v>
      </c>
      <c r="AV38" s="15">
        <v>6.776110096129688E-2</v>
      </c>
      <c r="AW38" s="15">
        <v>0.11454511929567815</v>
      </c>
      <c r="AX38" s="15">
        <v>3.7222322459377517E-2</v>
      </c>
      <c r="AY38" s="15">
        <v>3.2694140849394912E-2</v>
      </c>
      <c r="AZ38" s="15">
        <v>2.0438680449223992E-2</v>
      </c>
      <c r="BA38" s="17">
        <v>1.1991344992740436E-2</v>
      </c>
      <c r="BB38" s="16">
        <v>1.9132729813955734E-2</v>
      </c>
      <c r="BC38" s="51">
        <f t="shared" si="0"/>
        <v>1.0000000000000002</v>
      </c>
      <c r="BE38" s="4">
        <v>41516</v>
      </c>
      <c r="BF38" s="21">
        <v>3.3668875494796441E-2</v>
      </c>
    </row>
    <row r="39" spans="6:58" x14ac:dyDescent="0.2">
      <c r="F39" s="4">
        <v>41578</v>
      </c>
      <c r="G39" s="35">
        <f>Price!G39/'Price D Coupon'!G$5</f>
        <v>0</v>
      </c>
      <c r="H39" s="35">
        <f>Price!H39/'Price D Coupon'!H$5</f>
        <v>7.2715277766666668</v>
      </c>
      <c r="I39" s="35">
        <f>Price!I39/'Price D Coupon'!I$5</f>
        <v>0</v>
      </c>
      <c r="J39" s="35">
        <f>Price!J39/'Price D Coupon'!J$5</f>
        <v>0</v>
      </c>
      <c r="K39" s="35">
        <f>Price!K39/'Price D Coupon'!K$5</f>
        <v>6.5259920628571431</v>
      </c>
      <c r="L39" s="35">
        <f>Price!L39/'Price D Coupon'!L$5</f>
        <v>6.0438492057142863</v>
      </c>
      <c r="M39" s="35">
        <f>Price!M39/'Price D Coupon'!M$5</f>
        <v>0</v>
      </c>
      <c r="N39" s="35">
        <f>Price!N39/'Price D Coupon'!N$5</f>
        <v>0</v>
      </c>
      <c r="O39" s="35">
        <f>Price!O39/'Price D Coupon'!O$5</f>
        <v>5.6348105275</v>
      </c>
      <c r="P39" s="35">
        <f>Price!P39/'Price D Coupon'!P$5</f>
        <v>5.3848105275</v>
      </c>
      <c r="Q39" s="35">
        <f>Price!Q39/'Price D Coupon'!Q$5</f>
        <v>4.9082480275</v>
      </c>
      <c r="R39" s="35">
        <f>Price!R39/'Price D Coupon'!R$5</f>
        <v>5.0493068888888892</v>
      </c>
      <c r="S39" s="35">
        <f>Price!S39/'Price D Coupon'!S$5</f>
        <v>4.6256957777777776</v>
      </c>
      <c r="T39" s="35">
        <f>Price!T39/'Price D Coupon'!T$5</f>
        <v>4.1847222222222227</v>
      </c>
      <c r="U39" s="35">
        <f>Price!U39/'Price D Coupon'!U$5</f>
        <v>4.0559039779999999</v>
      </c>
      <c r="V39" s="35">
        <f>Price!V39/'Price D Coupon'!V$5</f>
        <v>3.6309039780000001</v>
      </c>
      <c r="W39" s="35">
        <f>Price!W39/'Price D Coupon'!W$5</f>
        <v>2.7686868690909092</v>
      </c>
      <c r="X39" s="35">
        <f>Price!X39/'Price D Coupon'!X$5</f>
        <v>2.6256944450000002</v>
      </c>
      <c r="Y39" s="35">
        <f>Price!Y39/'Price D Coupon'!Y$5</f>
        <v>2.7450854707692307</v>
      </c>
      <c r="Z39" s="41"/>
      <c r="AA39" s="42"/>
      <c r="AB39" s="43"/>
      <c r="AC39" s="31">
        <v>19.939164706428567</v>
      </c>
      <c r="AE39" s="11">
        <v>41578</v>
      </c>
      <c r="AF39" s="9">
        <f>VLOOKUP(AE39,CurrentCoupon!temp,3,0)</f>
        <v>3.1803565883984102</v>
      </c>
      <c r="AI39" s="4">
        <v>41578</v>
      </c>
      <c r="AJ39" s="15">
        <v>0</v>
      </c>
      <c r="AK39" s="15">
        <v>0.18703307756569745</v>
      </c>
      <c r="AL39" s="15">
        <v>0</v>
      </c>
      <c r="AM39" s="15">
        <v>0</v>
      </c>
      <c r="AN39" s="15">
        <v>0.23360404926103909</v>
      </c>
      <c r="AO39" s="15">
        <v>1.6442350280285598E-2</v>
      </c>
      <c r="AP39" s="15">
        <v>0</v>
      </c>
      <c r="AQ39" s="15">
        <v>0</v>
      </c>
      <c r="AR39" s="15">
        <v>6.4511675849610831E-2</v>
      </c>
      <c r="AS39" s="15">
        <v>7.4888248588752024E-2</v>
      </c>
      <c r="AT39" s="15">
        <v>5.3744660744723879E-2</v>
      </c>
      <c r="AU39" s="15">
        <v>6.9829712083748718E-2</v>
      </c>
      <c r="AV39" s="15">
        <v>6.7417344798239409E-2</v>
      </c>
      <c r="AW39" s="15">
        <v>0.11348603439373549</v>
      </c>
      <c r="AX39" s="15">
        <v>3.6985266018069833E-2</v>
      </c>
      <c r="AY39" s="15">
        <v>3.2313570015502807E-2</v>
      </c>
      <c r="AZ39" s="15">
        <v>1.9690632486229629E-2</v>
      </c>
      <c r="BA39" s="17">
        <v>1.1538434982662478E-2</v>
      </c>
      <c r="BB39" s="16">
        <v>1.8514942931702919E-2</v>
      </c>
      <c r="BC39" s="51">
        <f t="shared" si="0"/>
        <v>1</v>
      </c>
      <c r="BE39" s="4">
        <v>41547</v>
      </c>
      <c r="BF39" s="21">
        <v>-3.2124263956386616E-3</v>
      </c>
    </row>
    <row r="40" spans="6:58" x14ac:dyDescent="0.2">
      <c r="F40" s="4">
        <v>41607</v>
      </c>
      <c r="G40" s="35">
        <f>Price!G40/'Price D Coupon'!G$5</f>
        <v>0</v>
      </c>
      <c r="H40" s="35">
        <f>Price!H40/'Price D Coupon'!H$5</f>
        <v>7.5399325566666668</v>
      </c>
      <c r="I40" s="35">
        <f>Price!I40/'Price D Coupon'!I$5</f>
        <v>0</v>
      </c>
      <c r="J40" s="35">
        <f>Price!J40/'Price D Coupon'!J$5</f>
        <v>0</v>
      </c>
      <c r="K40" s="35">
        <f>Price!K40/'Price D Coupon'!K$5</f>
        <v>6.9439501257142862</v>
      </c>
      <c r="L40" s="35">
        <f>Price!L40/'Price D Coupon'!L$5</f>
        <v>6.5510929828571429</v>
      </c>
      <c r="M40" s="35">
        <f>Price!M40/'Price D Coupon'!M$5</f>
        <v>0</v>
      </c>
      <c r="N40" s="35">
        <f>Price!N40/'Price D Coupon'!N$5</f>
        <v>0</v>
      </c>
      <c r="O40" s="35">
        <f>Price!O40/'Price D Coupon'!O$5</f>
        <v>6.1375883049999995</v>
      </c>
      <c r="P40" s="35">
        <f>Price!P40/'Price D Coupon'!P$5</f>
        <v>5.8836805549999998</v>
      </c>
      <c r="Q40" s="35">
        <f>Price!Q40/'Price D Coupon'!Q$5</f>
        <v>5.4383680549999998</v>
      </c>
      <c r="R40" s="35">
        <f>Price!R40/'Price D Coupon'!R$5</f>
        <v>5.4826402222222219</v>
      </c>
      <c r="S40" s="35">
        <f>Price!S40/'Price D Coupon'!S$5</f>
        <v>5.0243068888888889</v>
      </c>
      <c r="T40" s="35">
        <f>Price!T40/'Price D Coupon'!T$5</f>
        <v>4.5972222222222223</v>
      </c>
      <c r="U40" s="35">
        <f>Price!U40/'Price D Coupon'!U$5</f>
        <v>4.3211817559999997</v>
      </c>
      <c r="V40" s="35">
        <f>Price!V40/'Price D Coupon'!V$5</f>
        <v>3.9211817560000002</v>
      </c>
      <c r="W40" s="35">
        <f>Price!W40/'Price D Coupon'!W$5</f>
        <v>3.0896464654545452</v>
      </c>
      <c r="X40" s="35">
        <f>Price!X40/'Price D Coupon'!X$5</f>
        <v>2.8967023883333329</v>
      </c>
      <c r="Y40" s="35">
        <f>Price!Y40/'Price D Coupon'!Y$5</f>
        <v>2.9666141707692306</v>
      </c>
      <c r="Z40" s="41"/>
      <c r="AA40" s="42"/>
      <c r="AB40" s="43"/>
      <c r="AC40" s="31">
        <v>21.609131269285712</v>
      </c>
      <c r="AE40" s="11">
        <v>41607</v>
      </c>
      <c r="AF40" s="9">
        <f>VLOOKUP(AE40,CurrentCoupon!temp,3,0)</f>
        <v>3.4152065149267101</v>
      </c>
      <c r="AI40" s="4">
        <v>41607</v>
      </c>
      <c r="AJ40" s="15">
        <v>0</v>
      </c>
      <c r="AK40" s="15">
        <v>0.18834939413067064</v>
      </c>
      <c r="AL40" s="15">
        <v>0</v>
      </c>
      <c r="AM40" s="15">
        <v>0</v>
      </c>
      <c r="AN40" s="15">
        <v>0.23491986121269348</v>
      </c>
      <c r="AO40" s="15">
        <v>1.6492489535574948E-2</v>
      </c>
      <c r="AP40" s="15">
        <v>0</v>
      </c>
      <c r="AQ40" s="15">
        <v>0</v>
      </c>
      <c r="AR40" s="15">
        <v>6.4676948229086831E-2</v>
      </c>
      <c r="AS40" s="15">
        <v>7.4936016747250339E-2</v>
      </c>
      <c r="AT40" s="15">
        <v>5.3658563319351191E-2</v>
      </c>
      <c r="AU40" s="15">
        <v>6.977033805440111E-2</v>
      </c>
      <c r="AV40" s="15">
        <v>6.722718478488024E-2</v>
      </c>
      <c r="AW40" s="15">
        <v>0.11290252539733682</v>
      </c>
      <c r="AX40" s="15">
        <v>3.6770044276689264E-2</v>
      </c>
      <c r="AY40" s="15">
        <v>3.2020591738542922E-2</v>
      </c>
      <c r="AZ40" s="15">
        <v>1.9118094372848695E-2</v>
      </c>
      <c r="BA40" s="17">
        <v>1.1165845696153996E-2</v>
      </c>
      <c r="BB40" s="16">
        <v>1.799210250451961E-2</v>
      </c>
      <c r="BC40" s="51">
        <f t="shared" si="0"/>
        <v>1</v>
      </c>
      <c r="BE40" s="4">
        <v>41578</v>
      </c>
      <c r="BF40" s="21">
        <v>-2.3217150723686644E-2</v>
      </c>
    </row>
    <row r="41" spans="6:58" x14ac:dyDescent="0.2">
      <c r="F41" s="4">
        <v>41639</v>
      </c>
      <c r="G41" s="35">
        <f>Price!G41/'Price D Coupon'!G$5</f>
        <v>0</v>
      </c>
      <c r="H41" s="35">
        <f>Price!H41/'Price D Coupon'!H$5</f>
        <v>7.6284722233333335</v>
      </c>
      <c r="I41" s="35">
        <f>Price!I41/'Price D Coupon'!I$5</f>
        <v>0</v>
      </c>
      <c r="J41" s="35">
        <f>Price!J41/'Price D Coupon'!J$5</f>
        <v>0</v>
      </c>
      <c r="K41" s="35">
        <f>Price!K41/'Price D Coupon'!K$5</f>
        <v>7.1135929828571429</v>
      </c>
      <c r="L41" s="35">
        <f>Price!L41/'Price D Coupon'!L$5</f>
        <v>6.7162698400000007</v>
      </c>
      <c r="M41" s="35">
        <f>Price!M41/'Price D Coupon'!M$5</f>
        <v>0</v>
      </c>
      <c r="N41" s="35">
        <f>Price!N41/'Price D Coupon'!N$5</f>
        <v>0</v>
      </c>
      <c r="O41" s="35">
        <f>Price!O41/'Price D Coupon'!O$5</f>
        <v>6.4500883049999995</v>
      </c>
      <c r="P41" s="35">
        <f>Price!P41/'Price D Coupon'!P$5</f>
        <v>6.2352430549999998</v>
      </c>
      <c r="Q41" s="35">
        <f>Price!Q41/'Price D Coupon'!Q$5</f>
        <v>5.8563383049999995</v>
      </c>
      <c r="R41" s="35">
        <f>Price!R41/'Price D Coupon'!R$5</f>
        <v>5.8437513333333335</v>
      </c>
      <c r="S41" s="35">
        <f>Price!S41/'Price D Coupon'!S$5</f>
        <v>5.4965291111111112</v>
      </c>
      <c r="T41" s="35">
        <f>Price!T41/'Price D Coupon'!T$5</f>
        <v>5.229166666666667</v>
      </c>
      <c r="U41" s="35">
        <f>Price!U41/'Price D Coupon'!U$5</f>
        <v>4.7961817560000002</v>
      </c>
      <c r="V41" s="35">
        <f>Price!V41/'Price D Coupon'!V$5</f>
        <v>4.4274317559999998</v>
      </c>
      <c r="W41" s="35">
        <f>Price!W41/'Price D Coupon'!W$5</f>
        <v>3.4447611927272721</v>
      </c>
      <c r="X41" s="35">
        <f>Price!X41/'Price D Coupon'!X$5</f>
        <v>3.2326388883333332</v>
      </c>
      <c r="Y41" s="35">
        <f>Price!Y41/'Price D Coupon'!Y$5</f>
        <v>3.2382478630769231</v>
      </c>
      <c r="Z41" s="41"/>
      <c r="AA41" s="42"/>
      <c r="AB41" s="43"/>
      <c r="AC41" s="31">
        <v>23.251987554999999</v>
      </c>
      <c r="AE41" s="11">
        <v>41639</v>
      </c>
      <c r="AF41" s="9">
        <f>VLOOKUP(AE41,CurrentCoupon!temp,3,0)</f>
        <v>3.5930254960618</v>
      </c>
      <c r="AI41" s="4">
        <v>41639</v>
      </c>
      <c r="AJ41" s="15">
        <v>0</v>
      </c>
      <c r="AK41" s="15">
        <v>0.18952357905566788</v>
      </c>
      <c r="AL41" s="15">
        <v>0</v>
      </c>
      <c r="AM41" s="15">
        <v>0</v>
      </c>
      <c r="AN41" s="15">
        <v>0.23606415536004363</v>
      </c>
      <c r="AO41" s="15">
        <v>1.6531799027959676E-2</v>
      </c>
      <c r="AP41" s="15">
        <v>0</v>
      </c>
      <c r="AQ41" s="15">
        <v>0</v>
      </c>
      <c r="AR41" s="15">
        <v>6.4764171616659191E-2</v>
      </c>
      <c r="AS41" s="15">
        <v>7.5011337028629735E-2</v>
      </c>
      <c r="AT41" s="15">
        <v>5.3637346199287728E-2</v>
      </c>
      <c r="AU41" s="15">
        <v>6.9715961465943735E-2</v>
      </c>
      <c r="AV41" s="15">
        <v>6.706243260356165E-2</v>
      </c>
      <c r="AW41" s="15">
        <v>0.11243820073607415</v>
      </c>
      <c r="AX41" s="15">
        <v>3.6582756641284617E-2</v>
      </c>
      <c r="AY41" s="15">
        <v>3.1763102546844023E-2</v>
      </c>
      <c r="AZ41" s="15">
        <v>1.8600086699480593E-2</v>
      </c>
      <c r="BA41" s="17">
        <v>1.0842263813307756E-2</v>
      </c>
      <c r="BB41" s="16">
        <v>1.7462807205255712E-2</v>
      </c>
      <c r="BC41" s="51">
        <f t="shared" si="0"/>
        <v>0.99999999999999989</v>
      </c>
      <c r="BE41" s="4">
        <v>41607</v>
      </c>
      <c r="BF41" s="21">
        <v>7.9306297728596223E-2</v>
      </c>
    </row>
    <row r="42" spans="6:58" x14ac:dyDescent="0.2">
      <c r="F42" s="4">
        <v>41670</v>
      </c>
      <c r="G42" s="35">
        <f>Price!G42/'Price D Coupon'!G$5</f>
        <v>0</v>
      </c>
      <c r="H42" s="35">
        <f>Price!H42/'Price D Coupon'!H$5</f>
        <v>7.5062500000000005</v>
      </c>
      <c r="I42" s="35">
        <f>Price!I42/'Price D Coupon'!I$5</f>
        <v>0</v>
      </c>
      <c r="J42" s="35">
        <f>Price!J42/'Price D Coupon'!J$5</f>
        <v>0</v>
      </c>
      <c r="K42" s="35">
        <f>Price!K42/'Price D Coupon'!K$5</f>
        <v>6.9690476199999996</v>
      </c>
      <c r="L42" s="35">
        <f>Price!L42/'Price D Coupon'!L$5</f>
        <v>6.5002993342857138</v>
      </c>
      <c r="M42" s="35">
        <f>Price!M42/'Price D Coupon'!M$5</f>
        <v>0</v>
      </c>
      <c r="N42" s="35">
        <f>Price!N42/'Price D Coupon'!N$5</f>
        <v>0</v>
      </c>
      <c r="O42" s="35">
        <f>Price!O42/'Price D Coupon'!O$5</f>
        <v>6.1794285824999999</v>
      </c>
      <c r="P42" s="35">
        <f>Price!P42/'Price D Coupon'!P$5</f>
        <v>5.9372410824999999</v>
      </c>
      <c r="Q42" s="35">
        <f>Price!Q42/'Price D Coupon'!Q$5</f>
        <v>5.5934910824999999</v>
      </c>
      <c r="R42" s="35">
        <f>Price!R42/'Price D Coupon'!R$5</f>
        <v>5.5409735555555555</v>
      </c>
      <c r="S42" s="35">
        <f>Price!S42/'Price D Coupon'!S$5</f>
        <v>5.2145846666666662</v>
      </c>
      <c r="T42" s="35">
        <f>Price!T42/'Price D Coupon'!T$5</f>
        <v>4.8951402222222216</v>
      </c>
      <c r="U42" s="35">
        <f>Price!U42/'Price D Coupon'!U$5</f>
        <v>4.5645833339999999</v>
      </c>
      <c r="V42" s="35">
        <f>Price!V42/'Price D Coupon'!V$5</f>
        <v>4.2677095339999997</v>
      </c>
      <c r="W42" s="35">
        <f>Price!W42/'Price D Coupon'!W$5</f>
        <v>3.5128787872727272</v>
      </c>
      <c r="X42" s="35">
        <f>Price!X42/'Price D Coupon'!X$5</f>
        <v>3.2406250000000001</v>
      </c>
      <c r="Y42" s="35">
        <f>Price!Y42/'Price D Coupon'!Y$5</f>
        <v>3.2241996415384615</v>
      </c>
      <c r="Z42" s="41"/>
      <c r="AA42" s="42"/>
      <c r="AB42" s="43"/>
      <c r="AC42" s="31">
        <v>22.486685405000003</v>
      </c>
      <c r="AE42" s="11">
        <v>41670</v>
      </c>
      <c r="AF42" s="9">
        <f>VLOOKUP(AE42,CurrentCoupon!temp,3,0)</f>
        <v>3.3406752567006799</v>
      </c>
      <c r="AI42" s="4">
        <v>41670</v>
      </c>
      <c r="AJ42" s="15">
        <v>0</v>
      </c>
      <c r="AK42" s="15">
        <v>0.19063830399273007</v>
      </c>
      <c r="AL42" s="15">
        <v>0</v>
      </c>
      <c r="AM42" s="15">
        <v>0</v>
      </c>
      <c r="AN42" s="15">
        <v>0.23710770805555675</v>
      </c>
      <c r="AO42" s="15">
        <v>1.6569116099068831E-2</v>
      </c>
      <c r="AP42" s="15">
        <v>0</v>
      </c>
      <c r="AQ42" s="15">
        <v>0</v>
      </c>
      <c r="AR42" s="15">
        <v>6.4865953023695355E-2</v>
      </c>
      <c r="AS42" s="15">
        <v>7.5077155298433437E-2</v>
      </c>
      <c r="AT42" s="15">
        <v>5.3615224117839477E-2</v>
      </c>
      <c r="AU42" s="15">
        <v>6.9639478035235042E-2</v>
      </c>
      <c r="AV42" s="15">
        <v>6.687346279070823E-2</v>
      </c>
      <c r="AW42" s="15">
        <v>0.11194379394131536</v>
      </c>
      <c r="AX42" s="15">
        <v>3.6395512057578738E-2</v>
      </c>
      <c r="AY42" s="15">
        <v>3.1538420975217203E-2</v>
      </c>
      <c r="AZ42" s="15">
        <v>1.8167378855021187E-2</v>
      </c>
      <c r="BA42" s="17">
        <v>1.0545060223755929E-2</v>
      </c>
      <c r="BB42" s="16">
        <v>1.7023432533844533E-2</v>
      </c>
      <c r="BC42" s="51">
        <f t="shared" si="0"/>
        <v>1.0000000000000002</v>
      </c>
      <c r="BE42" s="4">
        <v>41639</v>
      </c>
      <c r="BF42" s="21">
        <v>6.3918956307837907E-2</v>
      </c>
    </row>
    <row r="43" spans="6:58" x14ac:dyDescent="0.2">
      <c r="F43" s="4">
        <v>41698</v>
      </c>
      <c r="G43" s="35">
        <f>Price!G43/'Price D Coupon'!G$5</f>
        <v>0</v>
      </c>
      <c r="H43" s="35">
        <f>Price!H43/'Price D Coupon'!H$5</f>
        <v>7.5218769999999999</v>
      </c>
      <c r="I43" s="35">
        <f>Price!I43/'Price D Coupon'!I$5</f>
        <v>0</v>
      </c>
      <c r="J43" s="35">
        <f>Price!J43/'Price D Coupon'!J$5</f>
        <v>0</v>
      </c>
      <c r="K43" s="35">
        <f>Price!K43/'Price D Coupon'!K$5</f>
        <v>7.0226190485714284</v>
      </c>
      <c r="L43" s="35">
        <f>Price!L43/'Price D Coupon'!L$5</f>
        <v>6.5761904771428572</v>
      </c>
      <c r="M43" s="35">
        <f>Price!M43/'Price D Coupon'!M$5</f>
        <v>0</v>
      </c>
      <c r="N43" s="35">
        <f>Price!N43/'Price D Coupon'!N$5</f>
        <v>0</v>
      </c>
      <c r="O43" s="35">
        <f>Price!O43/'Price D Coupon'!O$5</f>
        <v>6.2809910824999999</v>
      </c>
      <c r="P43" s="35">
        <f>Price!P43/'Price D Coupon'!P$5</f>
        <v>6.0427083325000002</v>
      </c>
      <c r="Q43" s="35">
        <f>Price!Q43/'Price D Coupon'!Q$5</f>
        <v>5.7106785824999999</v>
      </c>
      <c r="R43" s="35">
        <f>Price!R43/'Price D Coupon'!R$5</f>
        <v>5.6104179999999992</v>
      </c>
      <c r="S43" s="35">
        <f>Price!S43/'Price D Coupon'!S$5</f>
        <v>5.3187513333333332</v>
      </c>
      <c r="T43" s="35">
        <f>Price!T43/'Price D Coupon'!T$5</f>
        <v>5.0236111111111112</v>
      </c>
      <c r="U43" s="35">
        <f>Price!U43/'Price D Coupon'!U$5</f>
        <v>4.8052095340000003</v>
      </c>
      <c r="V43" s="35">
        <f>Price!V43/'Price D Coupon'!V$5</f>
        <v>4.4989595339999999</v>
      </c>
      <c r="W43" s="35">
        <f>Price!W43/'Price D Coupon'!W$5</f>
        <v>3.6378787872727272</v>
      </c>
      <c r="X43" s="35">
        <f>Price!X43/'Price D Coupon'!X$5</f>
        <v>3.3734385000000002</v>
      </c>
      <c r="Y43" s="35">
        <f>Price!Y43/'Price D Coupon'!Y$5</f>
        <v>3.3467948723076923</v>
      </c>
      <c r="Z43" s="41"/>
      <c r="AA43" s="42"/>
      <c r="AB43" s="43"/>
      <c r="AC43" s="31">
        <v>23.04360461928572</v>
      </c>
      <c r="AE43" s="11">
        <v>41698</v>
      </c>
      <c r="AF43" s="9">
        <f>VLOOKUP(AE43,CurrentCoupon!temp,3,0)</f>
        <v>3.3514861848067001</v>
      </c>
      <c r="AI43" s="4">
        <v>41698</v>
      </c>
      <c r="AJ43" s="15">
        <v>0</v>
      </c>
      <c r="AK43" s="15">
        <v>0.19184365325804115</v>
      </c>
      <c r="AL43" s="15">
        <v>0</v>
      </c>
      <c r="AM43" s="15">
        <v>0</v>
      </c>
      <c r="AN43" s="15">
        <v>0.238258859438331</v>
      </c>
      <c r="AO43" s="15">
        <v>1.6614290680099862E-2</v>
      </c>
      <c r="AP43" s="15">
        <v>0</v>
      </c>
      <c r="AQ43" s="15">
        <v>0</v>
      </c>
      <c r="AR43" s="15">
        <v>6.4985621629748982E-2</v>
      </c>
      <c r="AS43" s="15">
        <v>7.5145460261030028E-2</v>
      </c>
      <c r="AT43" s="15">
        <v>5.3572741080301266E-2</v>
      </c>
      <c r="AU43" s="15">
        <v>6.9537900758378429E-2</v>
      </c>
      <c r="AV43" s="15">
        <v>6.6686120695973058E-2</v>
      </c>
      <c r="AW43" s="15">
        <v>0.11131173720405121</v>
      </c>
      <c r="AX43" s="15">
        <v>3.6160573792996448E-2</v>
      </c>
      <c r="AY43" s="15">
        <v>3.1281395097581093E-2</v>
      </c>
      <c r="AZ43" s="15">
        <v>1.7731279169920396E-2</v>
      </c>
      <c r="BA43" s="18">
        <v>1.0264368632072493E-2</v>
      </c>
      <c r="BB43" s="19">
        <v>1.6605998301474786E-2</v>
      </c>
      <c r="BC43" s="51">
        <f t="shared" si="0"/>
        <v>1</v>
      </c>
      <c r="BE43" s="4">
        <v>41670</v>
      </c>
      <c r="BF43" s="21">
        <v>-3.1266771542105026E-2</v>
      </c>
    </row>
    <row r="44" spans="6:58" x14ac:dyDescent="0.2">
      <c r="F44" s="4">
        <v>41729</v>
      </c>
      <c r="G44" s="35">
        <f>Price!G44/'Price D Coupon'!G$5</f>
        <v>7.7871547766666671</v>
      </c>
      <c r="H44" s="35">
        <f>Price!H44/'Price D Coupon'!H$5</f>
        <v>7.5631944433333338</v>
      </c>
      <c r="I44" s="35">
        <f>Price!I44/'Price D Coupon'!I$5</f>
        <v>0</v>
      </c>
      <c r="J44" s="35">
        <f>Price!J44/'Price D Coupon'!J$5</f>
        <v>7.3340294914285717</v>
      </c>
      <c r="K44" s="35">
        <f>Price!K44/'Price D Coupon'!K$5</f>
        <v>7.0929580628571429</v>
      </c>
      <c r="L44" s="35">
        <f>Price!L44/'Price D Coupon'!L$5</f>
        <v>6.6867063485714286</v>
      </c>
      <c r="M44" s="35">
        <f>Price!M44/'Price D Coupon'!M$5</f>
        <v>0</v>
      </c>
      <c r="N44" s="35">
        <f>Price!N44/'Price D Coupon'!N$5</f>
        <v>6.4172758050000001</v>
      </c>
      <c r="O44" s="35">
        <f>Price!O44/'Price D Coupon'!O$5</f>
        <v>6.3769980275</v>
      </c>
      <c r="P44" s="35">
        <f>Price!P44/'Price D Coupon'!P$5</f>
        <v>6.1543402775000002</v>
      </c>
      <c r="Q44" s="35">
        <f>Price!Q44/'Price D Coupon'!Q$5</f>
        <v>5.8652777775000002</v>
      </c>
      <c r="R44" s="35">
        <f>Price!R44/'Price D Coupon'!R$5</f>
        <v>5.743751333333333</v>
      </c>
      <c r="S44" s="35">
        <f>Price!S44/'Price D Coupon'!S$5</f>
        <v>5.5145846666666669</v>
      </c>
      <c r="T44" s="35">
        <f>Price!T44/'Price D Coupon'!T$5</f>
        <v>5.2125000000000004</v>
      </c>
      <c r="U44" s="35">
        <f>Price!U44/'Price D Coupon'!U$5</f>
        <v>4.9715277780000005</v>
      </c>
      <c r="V44" s="35">
        <f>Price!V44/'Price D Coupon'!V$5</f>
        <v>4.6871539779999996</v>
      </c>
      <c r="W44" s="35">
        <f>Price!W44/'Price D Coupon'!W$5</f>
        <v>3.7800505054545455</v>
      </c>
      <c r="X44" s="35">
        <f>Price!X44/'Price D Coupon'!X$5</f>
        <v>3.4616329449999999</v>
      </c>
      <c r="Y44" s="35">
        <f>Price!Y44/'Price D Coupon'!Y$5</f>
        <v>3.3532594707692307</v>
      </c>
      <c r="Z44" s="41"/>
      <c r="AA44" s="42"/>
      <c r="AB44" s="43"/>
      <c r="AC44" s="31">
        <v>23.821939803529414</v>
      </c>
      <c r="AE44" s="12">
        <v>41729</v>
      </c>
      <c r="AF44" s="9">
        <f>VLOOKUP(AE44,CurrentCoupon!temp,3,0)</f>
        <v>3.44685935064701</v>
      </c>
      <c r="AG44">
        <f t="shared" ref="AG44:AG54" si="1">IF(AF44&lt;$G$5,G44,(H44-G44)/0.5*(AF44-$G$5)+G44)</f>
        <v>7.5869972384186246</v>
      </c>
      <c r="AI44" s="4">
        <v>41729</v>
      </c>
      <c r="AJ44" s="15">
        <v>0.14015953093374786</v>
      </c>
      <c r="AK44" s="15">
        <v>0.1287711789269903</v>
      </c>
      <c r="AL44" s="15">
        <v>0</v>
      </c>
      <c r="AM44" s="15">
        <v>9.8356249747597629E-2</v>
      </c>
      <c r="AN44" s="15">
        <v>0.15976314460190055</v>
      </c>
      <c r="AO44" s="15">
        <v>1.1122974229679462E-2</v>
      </c>
      <c r="AP44" s="15">
        <v>0</v>
      </c>
      <c r="AQ44" s="15">
        <v>9.331608177341448E-2</v>
      </c>
      <c r="AR44" s="15">
        <v>4.347176047883218E-2</v>
      </c>
      <c r="AS44" s="15">
        <v>5.0247243259476888E-2</v>
      </c>
      <c r="AT44" s="15">
        <v>3.5773150695473446E-2</v>
      </c>
      <c r="AU44" s="15">
        <v>4.6432933408001094E-2</v>
      </c>
      <c r="AV44" s="15">
        <v>4.4467649833736279E-2</v>
      </c>
      <c r="AW44" s="15">
        <v>7.4114285984418091E-2</v>
      </c>
      <c r="AX44" s="15">
        <v>2.4082135131825586E-2</v>
      </c>
      <c r="AY44" s="15">
        <v>2.0774719803309839E-2</v>
      </c>
      <c r="AZ44" s="15">
        <v>1.1604631097133201E-2</v>
      </c>
      <c r="BA44" s="17">
        <v>6.7031661249304141E-3</v>
      </c>
      <c r="BB44" s="16">
        <v>1.0839163969532675E-2</v>
      </c>
      <c r="BC44" s="51">
        <f t="shared" si="0"/>
        <v>0.99999999999999989</v>
      </c>
      <c r="BE44" s="4">
        <v>41698</v>
      </c>
      <c r="BF44" s="22">
        <v>2.1801735188962241E-2</v>
      </c>
    </row>
    <row r="45" spans="6:58" x14ac:dyDescent="0.2">
      <c r="F45" s="4">
        <v>41759</v>
      </c>
      <c r="G45" s="35">
        <f>Price!G45/'Price D Coupon'!G$5</f>
        <v>7.7767381100000001</v>
      </c>
      <c r="H45" s="35">
        <f>Price!H45/'Price D Coupon'!H$5</f>
        <v>7.5684047766666671</v>
      </c>
      <c r="I45" s="35">
        <f>Price!I45/'Price D Coupon'!I$5</f>
        <v>0</v>
      </c>
      <c r="J45" s="35">
        <f>Price!J45/'Price D Coupon'!J$5</f>
        <v>7.2715294914285717</v>
      </c>
      <c r="K45" s="35">
        <f>Price!K45/'Price D Coupon'!K$5</f>
        <v>7.0081349200000007</v>
      </c>
      <c r="L45" s="35">
        <f>Price!L45/'Price D Coupon'!L$5</f>
        <v>6.5840294914285717</v>
      </c>
      <c r="M45" s="35">
        <f>Price!M45/'Price D Coupon'!M$5</f>
        <v>0</v>
      </c>
      <c r="N45" s="35">
        <f>Price!N45/'Price D Coupon'!N$5</f>
        <v>6.3625883050000001</v>
      </c>
      <c r="O45" s="35">
        <f>Price!O45/'Price D Coupon'!O$5</f>
        <v>6.2988730275</v>
      </c>
      <c r="P45" s="35">
        <f>Price!P45/'Price D Coupon'!P$5</f>
        <v>6.0684027775000002</v>
      </c>
      <c r="Q45" s="35">
        <f>Price!Q45/'Price D Coupon'!Q$5</f>
        <v>5.7832480275</v>
      </c>
      <c r="R45" s="35">
        <f>Price!R45/'Price D Coupon'!R$5</f>
        <v>5.615277777777778</v>
      </c>
      <c r="S45" s="35">
        <f>Price!S45/'Price D Coupon'!S$5</f>
        <v>5.3965291111111107</v>
      </c>
      <c r="T45" s="35">
        <f>Price!T45/'Price D Coupon'!T$5</f>
        <v>5.0805555555555557</v>
      </c>
      <c r="U45" s="35">
        <f>Price!U45/'Price D Coupon'!U$5</f>
        <v>4.8715277779999999</v>
      </c>
      <c r="V45" s="35">
        <f>Price!V45/'Price D Coupon'!V$5</f>
        <v>4.5871539779999999</v>
      </c>
      <c r="W45" s="35">
        <f>Price!W45/'Price D Coupon'!W$5</f>
        <v>3.7260743236363636</v>
      </c>
      <c r="X45" s="35">
        <f>Price!X45/'Price D Coupon'!X$5</f>
        <v>3.4538194450000002</v>
      </c>
      <c r="Y45" s="35">
        <f>Price!Y45/'Price D Coupon'!Y$5</f>
        <v>3.3989316246153845</v>
      </c>
      <c r="Z45" s="41"/>
      <c r="AA45" s="42"/>
      <c r="AB45" s="43"/>
      <c r="AC45" s="31">
        <v>23.537013332941179</v>
      </c>
      <c r="AE45" s="12">
        <v>41759</v>
      </c>
      <c r="AF45" s="9">
        <f>VLOOKUP(AE45,CurrentCoupon!temp,3,0)</f>
        <v>3.3274269650204</v>
      </c>
      <c r="AG45">
        <f t="shared" si="1"/>
        <v>7.6403102079081666</v>
      </c>
      <c r="AI45" s="4">
        <v>41759</v>
      </c>
      <c r="AJ45" s="15">
        <v>0.14062117027224802</v>
      </c>
      <c r="AK45" s="15">
        <v>0.12911479427762651</v>
      </c>
      <c r="AL45" s="15">
        <v>0</v>
      </c>
      <c r="AM45" s="15">
        <v>9.864385043984461E-2</v>
      </c>
      <c r="AN45" s="15">
        <v>0.16001338934451934</v>
      </c>
      <c r="AO45" s="15">
        <v>1.1122388491239208E-2</v>
      </c>
      <c r="AP45" s="15">
        <v>0</v>
      </c>
      <c r="AQ45" s="15">
        <v>9.3523479965613249E-2</v>
      </c>
      <c r="AR45" s="15">
        <v>4.3464161418833823E-2</v>
      </c>
      <c r="AS45" s="15">
        <v>5.0217910054826731E-2</v>
      </c>
      <c r="AT45" s="15">
        <v>3.5710081818540511E-2</v>
      </c>
      <c r="AU45" s="15">
        <v>4.6333065926640458E-2</v>
      </c>
      <c r="AV45" s="15">
        <v>4.4342721708187587E-2</v>
      </c>
      <c r="AW45" s="15">
        <v>7.3778212846611957E-2</v>
      </c>
      <c r="AX45" s="15">
        <v>2.3949658127960072E-2</v>
      </c>
      <c r="AY45" s="15">
        <v>2.0624509264772644E-2</v>
      </c>
      <c r="AZ45" s="15">
        <v>1.1370894879343247E-2</v>
      </c>
      <c r="BA45" s="17">
        <v>6.5605566125740396E-3</v>
      </c>
      <c r="BB45" s="16">
        <v>1.0609154550618168E-2</v>
      </c>
      <c r="BC45" s="51">
        <f t="shared" si="0"/>
        <v>1.0000000000000002</v>
      </c>
      <c r="BE45" s="4">
        <v>41729</v>
      </c>
      <c r="BF45" s="21">
        <v>2.1192306923944068E-2</v>
      </c>
    </row>
    <row r="46" spans="6:58" x14ac:dyDescent="0.2">
      <c r="F46" s="4">
        <v>41789</v>
      </c>
      <c r="G46" s="35">
        <f>Price!G46/'Price D Coupon'!G$5</f>
        <v>7.6753492233333338</v>
      </c>
      <c r="H46" s="35">
        <f>Price!H46/'Price D Coupon'!H$5</f>
        <v>7.4930555566666674</v>
      </c>
      <c r="I46" s="35">
        <f>Price!I46/'Price D Coupon'!I$5</f>
        <v>0</v>
      </c>
      <c r="J46" s="35">
        <f>Price!J46/'Price D Coupon'!J$5</f>
        <v>7.0734126971428575</v>
      </c>
      <c r="K46" s="35">
        <f>Price!K46/'Price D Coupon'!K$5</f>
        <v>6.8412698400000007</v>
      </c>
      <c r="L46" s="35">
        <f>Price!L46/'Price D Coupon'!L$5</f>
        <v>6.3859126971428575</v>
      </c>
      <c r="M46" s="35">
        <f>Price!M46/'Price D Coupon'!M$5</f>
        <v>0</v>
      </c>
      <c r="N46" s="35">
        <f>Price!N46/'Price D Coupon'!N$5</f>
        <v>6.1892361100000004</v>
      </c>
      <c r="O46" s="35">
        <f>Price!O46/'Price D Coupon'!O$5</f>
        <v>6.0789930549999998</v>
      </c>
      <c r="P46" s="35">
        <f>Price!P46/'Price D Coupon'!P$5</f>
        <v>5.8368055549999998</v>
      </c>
      <c r="Q46" s="35">
        <f>Price!Q46/'Price D Coupon'!Q$5</f>
        <v>5.5125883049999995</v>
      </c>
      <c r="R46" s="35">
        <f>Price!R46/'Price D Coupon'!R$5</f>
        <v>5.3402777777777777</v>
      </c>
      <c r="S46" s="35">
        <f>Price!S46/'Price D Coupon'!S$5</f>
        <v>5.083333333333333</v>
      </c>
      <c r="T46" s="35">
        <f>Price!T46/'Price D Coupon'!T$5</f>
        <v>4.7187513333333335</v>
      </c>
      <c r="U46" s="35">
        <f>Price!U46/'Price D Coupon'!U$5</f>
        <v>4.5461817560000002</v>
      </c>
      <c r="V46" s="35">
        <f>Price!V46/'Price D Coupon'!V$5</f>
        <v>4.2649317560000002</v>
      </c>
      <c r="W46" s="35">
        <f>Price!W46/'Price D Coupon'!W$5</f>
        <v>3.5612373745454544</v>
      </c>
      <c r="X46" s="35">
        <f>Price!X46/'Price D Coupon'!X$5</f>
        <v>3.4175357216666664</v>
      </c>
      <c r="Y46" s="35">
        <f>Price!Y46/'Price D Coupon'!Y$5</f>
        <v>3.4017094015384615</v>
      </c>
      <c r="Z46" s="41"/>
      <c r="AA46" s="42"/>
      <c r="AB46" s="43"/>
      <c r="AC46" s="31">
        <v>22.672183489411765</v>
      </c>
      <c r="AE46" s="12">
        <v>41789</v>
      </c>
      <c r="AF46" s="9">
        <f>VLOOKUP(AE46,CurrentCoupon!temp,3,0)</f>
        <v>3.1327170492887499</v>
      </c>
      <c r="AG46">
        <f t="shared" si="1"/>
        <v>7.62696226824528</v>
      </c>
      <c r="AI46" s="4">
        <v>41789</v>
      </c>
      <c r="AJ46" s="15">
        <v>0.14116669145847172</v>
      </c>
      <c r="AK46" s="15">
        <v>0.12953462916540104</v>
      </c>
      <c r="AL46" s="15">
        <v>0</v>
      </c>
      <c r="AM46" s="15">
        <v>9.8992167197241285E-2</v>
      </c>
      <c r="AN46" s="15">
        <v>0.16034508429386782</v>
      </c>
      <c r="AO46" s="15">
        <v>1.1125464674546304E-2</v>
      </c>
      <c r="AP46" s="15">
        <v>0</v>
      </c>
      <c r="AQ46" s="15">
        <v>9.3649007897313521E-2</v>
      </c>
      <c r="AR46" s="15">
        <v>4.3463751316360634E-2</v>
      </c>
      <c r="AS46" s="15">
        <v>5.0174574930556992E-2</v>
      </c>
      <c r="AT46" s="15">
        <v>3.5619429542758596E-2</v>
      </c>
      <c r="AU46" s="15">
        <v>4.6201625217440555E-2</v>
      </c>
      <c r="AV46" s="15">
        <v>4.4177837620818131E-2</v>
      </c>
      <c r="AW46" s="15">
        <v>7.3323978100511666E-2</v>
      </c>
      <c r="AX46" s="15">
        <v>2.3813256310663732E-2</v>
      </c>
      <c r="AY46" s="15">
        <v>2.045655844019981E-2</v>
      </c>
      <c r="AZ46" s="15">
        <v>1.1149762167102921E-2</v>
      </c>
      <c r="BA46" s="17">
        <v>6.4080308921628283E-3</v>
      </c>
      <c r="BB46" s="16">
        <v>1.0398150774582485E-2</v>
      </c>
      <c r="BC46" s="51">
        <f t="shared" si="0"/>
        <v>1</v>
      </c>
      <c r="BE46" s="4">
        <v>41759</v>
      </c>
      <c r="BF46" s="21">
        <v>-7.8448556933493809E-3</v>
      </c>
    </row>
    <row r="47" spans="6:58" x14ac:dyDescent="0.2">
      <c r="F47" s="4">
        <v>41820</v>
      </c>
      <c r="G47" s="35">
        <f>Price!G47/'Price D Coupon'!G$5</f>
        <v>7.7038214433333332</v>
      </c>
      <c r="H47" s="35">
        <f>Price!H47/'Price D Coupon'!H$5</f>
        <v>7.5059047766666671</v>
      </c>
      <c r="I47" s="35">
        <f>Price!I47/'Price D Coupon'!I$5</f>
        <v>0</v>
      </c>
      <c r="J47" s="35">
        <f>Price!J47/'Price D Coupon'!J$5</f>
        <v>7.1643866342857141</v>
      </c>
      <c r="K47" s="35">
        <f>Price!K47/'Price D Coupon'!K$5</f>
        <v>6.9367063485714286</v>
      </c>
      <c r="L47" s="35">
        <f>Price!L47/'Price D Coupon'!L$5</f>
        <v>6.4858152057142862</v>
      </c>
      <c r="M47" s="35">
        <f>Price!M47/'Price D Coupon'!M$5</f>
        <v>0</v>
      </c>
      <c r="N47" s="35">
        <f>Price!N47/'Price D Coupon'!N$5</f>
        <v>6.2688383050000001</v>
      </c>
      <c r="O47" s="35">
        <f>Price!O47/'Price D Coupon'!O$5</f>
        <v>6.2285605275</v>
      </c>
      <c r="P47" s="35">
        <f>Price!P47/'Price D Coupon'!P$5</f>
        <v>6.0566855275</v>
      </c>
      <c r="Q47" s="35">
        <f>Price!Q47/'Price D Coupon'!Q$5</f>
        <v>5.7012152775000002</v>
      </c>
      <c r="R47" s="35">
        <f>Price!R47/'Price D Coupon'!R$5</f>
        <v>5.5770846666666669</v>
      </c>
      <c r="S47" s="35">
        <f>Price!S47/'Price D Coupon'!S$5</f>
        <v>5.365277777777778</v>
      </c>
      <c r="T47" s="35">
        <f>Price!T47/'Price D Coupon'!T$5</f>
        <v>4.9798624444444446</v>
      </c>
      <c r="U47" s="35">
        <f>Price!U47/'Price D Coupon'!U$5</f>
        <v>4.8621539780000003</v>
      </c>
      <c r="V47" s="35">
        <f>Price!V47/'Price D Coupon'!V$5</f>
        <v>4.5715277780000001</v>
      </c>
      <c r="W47" s="35">
        <f>Price!W47/'Price D Coupon'!W$5</f>
        <v>3.6380050509090909</v>
      </c>
      <c r="X47" s="35">
        <f>Price!X47/'Price D Coupon'!X$5</f>
        <v>3.5397579449999999</v>
      </c>
      <c r="Y47" s="35">
        <f>Price!Y47/'Price D Coupon'!Y$5</f>
        <v>3.4854700861538461</v>
      </c>
      <c r="Z47" s="41"/>
      <c r="AA47" s="42"/>
      <c r="AB47" s="43"/>
      <c r="AC47" s="31">
        <v>23.378006332941172</v>
      </c>
      <c r="AE47" s="12">
        <v>41820</v>
      </c>
      <c r="AF47" s="9">
        <f>VLOOKUP(AE47,CurrentCoupon!temp,3,0)</f>
        <v>3.16005861973392</v>
      </c>
      <c r="AG47">
        <f t="shared" si="1"/>
        <v>7.6404649063553229</v>
      </c>
      <c r="AI47" s="4">
        <v>41820</v>
      </c>
      <c r="AJ47" s="15">
        <v>0.14171812753777763</v>
      </c>
      <c r="AK47" s="15">
        <v>0.12997409671647195</v>
      </c>
      <c r="AL47" s="15">
        <v>0</v>
      </c>
      <c r="AM47" s="15">
        <v>9.9321695621371192E-2</v>
      </c>
      <c r="AN47" s="15">
        <v>0.16063178619817239</v>
      </c>
      <c r="AO47" s="15">
        <v>1.1132258881690288E-2</v>
      </c>
      <c r="AP47" s="15">
        <v>0</v>
      </c>
      <c r="AQ47" s="15">
        <v>9.3842230722355979E-2</v>
      </c>
      <c r="AR47" s="15">
        <v>4.3447040182385051E-2</v>
      </c>
      <c r="AS47" s="15">
        <v>5.0119114980403799E-2</v>
      </c>
      <c r="AT47" s="15">
        <v>3.5517132991963712E-2</v>
      </c>
      <c r="AU47" s="15">
        <v>4.6090471504489638E-2</v>
      </c>
      <c r="AV47" s="15">
        <v>4.4007694477765827E-2</v>
      </c>
      <c r="AW47" s="15">
        <v>7.283798965494967E-2</v>
      </c>
      <c r="AX47" s="15">
        <v>2.368764704665318E-2</v>
      </c>
      <c r="AY47" s="15">
        <v>2.0276544256312291E-2</v>
      </c>
      <c r="AZ47" s="15">
        <v>1.0928789625449974E-2</v>
      </c>
      <c r="BA47" s="17">
        <v>6.2779744887071628E-3</v>
      </c>
      <c r="BB47" s="16">
        <v>1.0189405113080263E-2</v>
      </c>
      <c r="BC47" s="51">
        <f t="shared" si="0"/>
        <v>1</v>
      </c>
      <c r="BE47" s="4">
        <v>41789</v>
      </c>
      <c r="BF47" s="21">
        <v>-2.9344377458100548E-2</v>
      </c>
    </row>
    <row r="48" spans="6:58" x14ac:dyDescent="0.2">
      <c r="F48" s="4">
        <v>41851</v>
      </c>
      <c r="G48" s="35">
        <f>Price!G48/'Price D Coupon'!G$5</f>
        <v>7.6829881100000001</v>
      </c>
      <c r="H48" s="35">
        <f>Price!H48/'Price D Coupon'!H$5</f>
        <v>7.4746547766666671</v>
      </c>
      <c r="I48" s="35">
        <f>Price!I48/'Price D Coupon'!I$5</f>
        <v>0</v>
      </c>
      <c r="J48" s="35">
        <f>Price!J48/'Price D Coupon'!J$5</f>
        <v>7.1197437771428573</v>
      </c>
      <c r="K48" s="35">
        <f>Price!K48/'Price D Coupon'!K$5</f>
        <v>6.9143866342857141</v>
      </c>
      <c r="L48" s="35">
        <f>Price!L48/'Price D Coupon'!L$5</f>
        <v>6.5215294914285717</v>
      </c>
      <c r="M48" s="35">
        <f>Price!M48/'Price D Coupon'!M$5</f>
        <v>0</v>
      </c>
      <c r="N48" s="35">
        <f>Price!N48/'Price D Coupon'!N$5</f>
        <v>6.2297758050000001</v>
      </c>
      <c r="O48" s="35">
        <f>Price!O48/'Price D Coupon'!O$5</f>
        <v>6.2519980275</v>
      </c>
      <c r="P48" s="35">
        <f>Price!P48/'Price D Coupon'!P$5</f>
        <v>6.0957480275</v>
      </c>
      <c r="Q48" s="35">
        <f>Price!Q48/'Price D Coupon'!Q$5</f>
        <v>5.7559027775000002</v>
      </c>
      <c r="R48" s="35">
        <f>Price!R48/'Price D Coupon'!R$5</f>
        <v>5.656944444444445</v>
      </c>
      <c r="S48" s="35">
        <f>Price!S48/'Price D Coupon'!S$5</f>
        <v>5.4729179999999999</v>
      </c>
      <c r="T48" s="35">
        <f>Price!T48/'Price D Coupon'!T$5</f>
        <v>5.1361111111111111</v>
      </c>
      <c r="U48" s="35">
        <f>Price!U48/'Price D Coupon'!U$5</f>
        <v>5.0184039780000003</v>
      </c>
      <c r="V48" s="35">
        <f>Price!V48/'Price D Coupon'!V$5</f>
        <v>4.7684039780000003</v>
      </c>
      <c r="W48" s="35">
        <f>Price!W48/'Price D Coupon'!W$5</f>
        <v>3.8283470509090907</v>
      </c>
      <c r="X48" s="35">
        <f>Price!X48/'Price D Coupon'!X$5</f>
        <v>3.6986111116666667</v>
      </c>
      <c r="Y48" s="35">
        <f>Price!Y48/'Price D Coupon'!Y$5</f>
        <v>3.6224902399999999</v>
      </c>
      <c r="Z48" s="41"/>
      <c r="AA48" s="42"/>
      <c r="AB48" s="43"/>
      <c r="AC48" s="31">
        <v>23.745654097647066</v>
      </c>
      <c r="AE48" s="12">
        <v>41851</v>
      </c>
      <c r="AF48" s="9">
        <f>VLOOKUP(AE48,CurrentCoupon!temp,3,0)</f>
        <v>3.2761065930147799</v>
      </c>
      <c r="AG48">
        <f t="shared" si="1"/>
        <v>7.5679436962438418</v>
      </c>
      <c r="AI48" s="4">
        <v>41851</v>
      </c>
      <c r="AJ48" s="15">
        <v>0.14230565455841804</v>
      </c>
      <c r="AK48" s="15">
        <v>0.13040735262808623</v>
      </c>
      <c r="AL48" s="15">
        <v>0</v>
      </c>
      <c r="AM48" s="15">
        <v>9.965465456666267E-2</v>
      </c>
      <c r="AN48" s="15">
        <v>0.16091602822343137</v>
      </c>
      <c r="AO48" s="15">
        <v>1.1133828595392579E-2</v>
      </c>
      <c r="AP48" s="15">
        <v>0</v>
      </c>
      <c r="AQ48" s="15">
        <v>9.4021309427989239E-2</v>
      </c>
      <c r="AR48" s="15">
        <v>4.3411461237148119E-2</v>
      </c>
      <c r="AS48" s="15">
        <v>5.0066548245849059E-2</v>
      </c>
      <c r="AT48" s="15">
        <v>3.5409749104588585E-2</v>
      </c>
      <c r="AU48" s="15">
        <v>4.5938061893242156E-2</v>
      </c>
      <c r="AV48" s="15">
        <v>4.3832974849110966E-2</v>
      </c>
      <c r="AW48" s="15">
        <v>7.2357056815583673E-2</v>
      </c>
      <c r="AX48" s="15">
        <v>2.3567106657747458E-2</v>
      </c>
      <c r="AY48" s="15">
        <v>2.0100479785391912E-2</v>
      </c>
      <c r="AZ48" s="15">
        <v>1.0733533438865869E-2</v>
      </c>
      <c r="BA48" s="17">
        <v>6.1568119634147177E-3</v>
      </c>
      <c r="BB48" s="16">
        <v>9.9873880090775354E-3</v>
      </c>
      <c r="BC48" s="51">
        <f t="shared" si="0"/>
        <v>1</v>
      </c>
      <c r="BE48" s="4">
        <v>41820</v>
      </c>
      <c r="BF48" s="21">
        <v>2.7757434832433588E-2</v>
      </c>
    </row>
    <row r="49" spans="6:58" x14ac:dyDescent="0.2">
      <c r="F49" s="4">
        <v>41880</v>
      </c>
      <c r="G49" s="35">
        <f>Price!G49/'Price D Coupon'!G$5</f>
        <v>7.4774325566666668</v>
      </c>
      <c r="H49" s="35">
        <f>Price!H49/'Price D Coupon'!H$5</f>
        <v>7.2899325566666668</v>
      </c>
      <c r="I49" s="35">
        <f>Price!I49/'Price D Coupon'!I$5</f>
        <v>0</v>
      </c>
      <c r="J49" s="35">
        <f>Price!J49/'Price D Coupon'!J$5</f>
        <v>6.8234126971428575</v>
      </c>
      <c r="K49" s="35">
        <f>Price!K49/'Price D Coupon'!K$5</f>
        <v>6.6314501257142862</v>
      </c>
      <c r="L49" s="35">
        <f>Price!L49/'Price D Coupon'!L$5</f>
        <v>6.1894841257142863</v>
      </c>
      <c r="M49" s="35">
        <f>Price!M49/'Price D Coupon'!M$5</f>
        <v>0</v>
      </c>
      <c r="N49" s="35">
        <f>Price!N49/'Price D Coupon'!N$5</f>
        <v>5.9704861100000004</v>
      </c>
      <c r="O49" s="35">
        <f>Price!O49/'Price D Coupon'!O$5</f>
        <v>5.8563383049999995</v>
      </c>
      <c r="P49" s="35">
        <f>Price!P49/'Price D Coupon'!P$5</f>
        <v>5.7586805549999998</v>
      </c>
      <c r="Q49" s="35">
        <f>Price!Q49/'Price D Coupon'!Q$5</f>
        <v>5.3954008049999995</v>
      </c>
      <c r="R49" s="35">
        <f>Price!R49/'Price D Coupon'!R$5</f>
        <v>5.291666666666667</v>
      </c>
      <c r="S49" s="35">
        <f>Price!S49/'Price D Coupon'!S$5</f>
        <v>5.0763888888888893</v>
      </c>
      <c r="T49" s="35">
        <f>Price!T49/'Price D Coupon'!T$5</f>
        <v>4.7256957777777773</v>
      </c>
      <c r="U49" s="35">
        <f>Price!U49/'Price D Coupon'!U$5</f>
        <v>4.7055555560000002</v>
      </c>
      <c r="V49" s="35">
        <f>Price!V49/'Price D Coupon'!V$5</f>
        <v>4.4649317560000004</v>
      </c>
      <c r="W49" s="35">
        <f>Price!W49/'Price D Coupon'!W$5</f>
        <v>3.6862373745454544</v>
      </c>
      <c r="X49" s="35">
        <f>Price!X49/'Price D Coupon'!X$5</f>
        <v>3.5894107216666664</v>
      </c>
      <c r="Y49" s="35">
        <f>Price!Y49/'Price D Coupon'!Y$5</f>
        <v>3.5868064784615381</v>
      </c>
      <c r="Z49" s="41"/>
      <c r="AA49" s="42"/>
      <c r="AB49" s="43"/>
      <c r="AC49" s="31">
        <v>22.581191901176474</v>
      </c>
      <c r="AE49" s="12">
        <v>41880</v>
      </c>
      <c r="AF49" s="9">
        <f>VLOOKUP(AE49,CurrentCoupon!temp,3,0)</f>
        <v>3.0803371977218901</v>
      </c>
      <c r="AG49">
        <f t="shared" si="1"/>
        <v>7.4473061075209577</v>
      </c>
      <c r="AI49" s="4">
        <v>41880</v>
      </c>
      <c r="AJ49" s="15">
        <v>0.14298975391682778</v>
      </c>
      <c r="AK49" s="15">
        <v>0.13095538863026743</v>
      </c>
      <c r="AL49" s="15">
        <v>0</v>
      </c>
      <c r="AM49" s="15">
        <v>0.10006002359186844</v>
      </c>
      <c r="AN49" s="15">
        <v>0.16127148505097719</v>
      </c>
      <c r="AO49" s="15">
        <v>1.1131858994468271E-2</v>
      </c>
      <c r="AP49" s="15">
        <v>0</v>
      </c>
      <c r="AQ49" s="15">
        <v>9.3952744711538597E-2</v>
      </c>
      <c r="AR49" s="15">
        <v>4.3372777219908523E-2</v>
      </c>
      <c r="AS49" s="15">
        <v>4.9983063757340157E-2</v>
      </c>
      <c r="AT49" s="15">
        <v>3.5284096679786624E-2</v>
      </c>
      <c r="AU49" s="15">
        <v>4.5780559908168823E-2</v>
      </c>
      <c r="AV49" s="15">
        <v>4.3647075069460937E-2</v>
      </c>
      <c r="AW49" s="15">
        <v>7.1834870586667376E-2</v>
      </c>
      <c r="AX49" s="15">
        <v>2.3428339227857017E-2</v>
      </c>
      <c r="AY49" s="15">
        <v>1.9930637659027629E-2</v>
      </c>
      <c r="AZ49" s="15">
        <v>1.0528337381292449E-2</v>
      </c>
      <c r="BA49" s="17">
        <v>6.0439661539254813E-3</v>
      </c>
      <c r="BB49" s="16">
        <v>9.8050214606174926E-3</v>
      </c>
      <c r="BC49" s="51">
        <f t="shared" si="0"/>
        <v>1.0000000000000002</v>
      </c>
      <c r="BE49" s="4">
        <v>41851</v>
      </c>
      <c r="BF49" s="21">
        <v>7.4645314168620231E-3</v>
      </c>
    </row>
    <row r="50" spans="6:58" x14ac:dyDescent="0.2">
      <c r="F50" s="4">
        <v>41912</v>
      </c>
      <c r="G50" s="35">
        <f>Price!G50/'Price D Coupon'!G$5</f>
        <v>7.6100714433333332</v>
      </c>
      <c r="H50" s="35">
        <f>Price!H50/'Price D Coupon'!H$5</f>
        <v>7.4381944433333338</v>
      </c>
      <c r="I50" s="35">
        <f>Price!I50/'Price D Coupon'!I$5</f>
        <v>0</v>
      </c>
      <c r="J50" s="35">
        <f>Price!J50/'Price D Coupon'!J$5</f>
        <v>6.9947437771428573</v>
      </c>
      <c r="K50" s="35">
        <f>Price!K50/'Price D Coupon'!K$5</f>
        <v>6.8429580628571429</v>
      </c>
      <c r="L50" s="35">
        <f>Price!L50/'Price D Coupon'!L$5</f>
        <v>6.4277777771428575</v>
      </c>
      <c r="M50" s="35">
        <f>Price!M50/'Price D Coupon'!M$5</f>
        <v>0</v>
      </c>
      <c r="N50" s="35">
        <f>Price!N50/'Price D Coupon'!N$5</f>
        <v>6.1204008050000001</v>
      </c>
      <c r="O50" s="35">
        <f>Price!O50/'Price D Coupon'!O$5</f>
        <v>6.1035605275</v>
      </c>
      <c r="P50" s="35">
        <f>Price!P50/'Price D Coupon'!P$5</f>
        <v>5.9746527775000002</v>
      </c>
      <c r="Q50" s="35">
        <f>Price!Q50/'Price D Coupon'!Q$5</f>
        <v>5.6582480275</v>
      </c>
      <c r="R50" s="35">
        <f>Price!R50/'Price D Coupon'!R$5</f>
        <v>5.656944444444445</v>
      </c>
      <c r="S50" s="35">
        <f>Price!S50/'Price D Coupon'!S$5</f>
        <v>5.4451402222222223</v>
      </c>
      <c r="T50" s="35">
        <f>Price!T50/'Price D Coupon'!T$5</f>
        <v>5.1256957777777776</v>
      </c>
      <c r="U50" s="35">
        <f>Price!U50/'Price D Coupon'!U$5</f>
        <v>5.0715277780000001</v>
      </c>
      <c r="V50" s="35">
        <f>Price!V50/'Price D Coupon'!V$5</f>
        <v>4.8277777779999997</v>
      </c>
      <c r="W50" s="35">
        <f>Price!W50/'Price D Coupon'!W$5</f>
        <v>3.8567561418181815</v>
      </c>
      <c r="X50" s="35">
        <f>Price!X50/'Price D Coupon'!X$5</f>
        <v>3.7376746116666664</v>
      </c>
      <c r="Y50" s="35">
        <f>Price!Y50/'Price D Coupon'!Y$5</f>
        <v>3.7018162399999999</v>
      </c>
      <c r="Z50" s="41"/>
      <c r="AA50" s="42"/>
      <c r="AB50" s="43"/>
      <c r="AC50" s="31">
        <v>23.630763332941171</v>
      </c>
      <c r="AE50" s="12">
        <v>41912</v>
      </c>
      <c r="AF50" s="9">
        <f>VLOOKUP(AE50,CurrentCoupon!temp,3,0)</f>
        <v>3.2078957125058598</v>
      </c>
      <c r="AG50">
        <f t="shared" si="1"/>
        <v>7.5386064605765943</v>
      </c>
      <c r="AI50" s="4">
        <v>41912</v>
      </c>
      <c r="AJ50" s="15">
        <v>0.14373459481821066</v>
      </c>
      <c r="AK50" s="15">
        <v>0.13153505652330588</v>
      </c>
      <c r="AL50" s="15">
        <v>0</v>
      </c>
      <c r="AM50" s="15">
        <v>0.10044565289270864</v>
      </c>
      <c r="AN50" s="15">
        <v>0.1616941419773823</v>
      </c>
      <c r="AO50" s="15">
        <v>1.1141526724012174E-2</v>
      </c>
      <c r="AP50" s="15">
        <v>0</v>
      </c>
      <c r="AQ50" s="15">
        <v>9.3821049314702101E-2</v>
      </c>
      <c r="AR50" s="15">
        <v>4.3300391697723151E-2</v>
      </c>
      <c r="AS50" s="15">
        <v>4.9898276974013306E-2</v>
      </c>
      <c r="AT50" s="15">
        <v>3.5135694813915194E-2</v>
      </c>
      <c r="AU50" s="15">
        <v>4.5626975986501554E-2</v>
      </c>
      <c r="AV50" s="15">
        <v>4.3434666598872629E-2</v>
      </c>
      <c r="AW50" s="15">
        <v>7.1247425213316909E-2</v>
      </c>
      <c r="AX50" s="15">
        <v>2.3275456324405253E-2</v>
      </c>
      <c r="AY50" s="15">
        <v>1.9753501590960679E-2</v>
      </c>
      <c r="AZ50" s="15">
        <v>1.0365520550161093E-2</v>
      </c>
      <c r="BA50" s="17">
        <v>5.9488495359690599E-3</v>
      </c>
      <c r="BB50" s="16">
        <v>9.6412184638394963E-3</v>
      </c>
      <c r="BC50" s="51">
        <f t="shared" si="0"/>
        <v>1</v>
      </c>
      <c r="BE50" s="4">
        <v>41880</v>
      </c>
      <c r="BF50" s="21">
        <v>-4.7313023299059113E-2</v>
      </c>
    </row>
    <row r="51" spans="6:58" x14ac:dyDescent="0.2">
      <c r="F51" s="4">
        <v>41943</v>
      </c>
      <c r="G51" s="35">
        <f>Price!G51/'Price D Coupon'!G$5</f>
        <v>7.4854166666666666</v>
      </c>
      <c r="H51" s="35">
        <f>Price!H51/'Price D Coupon'!H$5</f>
        <v>7.2979166666666666</v>
      </c>
      <c r="I51" s="35">
        <f>Price!I51/'Price D Coupon'!I$5</f>
        <v>0</v>
      </c>
      <c r="J51" s="35">
        <f>Price!J51/'Price D Coupon'!J$5</f>
        <v>6.7502993342857138</v>
      </c>
      <c r="K51" s="35">
        <f>Price!K51/'Price D Coupon'!K$5</f>
        <v>6.6074421914285706</v>
      </c>
      <c r="L51" s="35">
        <f>Price!L51/'Price D Coupon'!L$5</f>
        <v>6.1565476199999996</v>
      </c>
      <c r="M51" s="35">
        <f>Price!M51/'Price D Coupon'!M$5</f>
        <v>0</v>
      </c>
      <c r="N51" s="35">
        <f>Price!N51/'Price D Coupon'!N$5</f>
        <v>5.9065119174999996</v>
      </c>
      <c r="O51" s="35">
        <f>Price!O51/'Price D Coupon'!O$5</f>
        <v>5.8083333325000002</v>
      </c>
      <c r="P51" s="35">
        <f>Price!P51/'Price D Coupon'!P$5</f>
        <v>5.6872410824999999</v>
      </c>
      <c r="Q51" s="35">
        <f>Price!Q51/'Price D Coupon'!Q$5</f>
        <v>5.2888035824999999</v>
      </c>
      <c r="R51" s="35">
        <f>Price!R51/'Price D Coupon'!R$5</f>
        <v>5.3534735555555555</v>
      </c>
      <c r="S51" s="35">
        <f>Price!S51/'Price D Coupon'!S$5</f>
        <v>5.1243068888888885</v>
      </c>
      <c r="T51" s="35">
        <f>Price!T51/'Price D Coupon'!T$5</f>
        <v>4.7840291111111108</v>
      </c>
      <c r="U51" s="35">
        <f>Price!U51/'Price D Coupon'!U$5</f>
        <v>4.7114595340000003</v>
      </c>
      <c r="V51" s="35">
        <f>Price!V51/'Price D Coupon'!V$5</f>
        <v>4.4802095340000001</v>
      </c>
      <c r="W51" s="35">
        <f>Price!W51/'Price D Coupon'!W$5</f>
        <v>3.6577662418181816</v>
      </c>
      <c r="X51" s="35">
        <f>Price!X51/'Price D Coupon'!X$5</f>
        <v>3.5739583333333336</v>
      </c>
      <c r="Y51" s="35">
        <f>Price!Y51/'Price D Coupon'!Y$5</f>
        <v>3.6040073338461536</v>
      </c>
      <c r="Z51" s="41"/>
      <c r="AA51" s="42"/>
      <c r="AB51" s="43"/>
      <c r="AC51" s="31">
        <v>22.531621882941181</v>
      </c>
      <c r="AE51" s="12">
        <v>41943</v>
      </c>
      <c r="AF51" s="9">
        <f>VLOOKUP(AE51,CurrentCoupon!temp,3,0)</f>
        <v>3.0097405474457601</v>
      </c>
      <c r="AG51">
        <f t="shared" si="1"/>
        <v>7.4817639613745062</v>
      </c>
      <c r="AI51" s="4">
        <v>41943</v>
      </c>
      <c r="AJ51" s="15">
        <v>0.14443816426622416</v>
      </c>
      <c r="AK51" s="15">
        <v>0.13206838030589066</v>
      </c>
      <c r="AL51" s="15">
        <v>0</v>
      </c>
      <c r="AM51" s="15">
        <v>0.10079490926435079</v>
      </c>
      <c r="AN51" s="15">
        <v>0.16203743859544614</v>
      </c>
      <c r="AO51" s="15">
        <v>1.113524731555658E-2</v>
      </c>
      <c r="AP51" s="15">
        <v>0</v>
      </c>
      <c r="AQ51" s="15">
        <v>9.3803748654107219E-2</v>
      </c>
      <c r="AR51" s="15">
        <v>4.3269446795767566E-2</v>
      </c>
      <c r="AS51" s="15">
        <v>4.9812967575776745E-2</v>
      </c>
      <c r="AT51" s="15">
        <v>3.5004964152705806E-2</v>
      </c>
      <c r="AU51" s="15">
        <v>4.5468911689795152E-2</v>
      </c>
      <c r="AV51" s="15">
        <v>4.3218243269622959E-2</v>
      </c>
      <c r="AW51" s="15">
        <v>7.0717130330189462E-2</v>
      </c>
      <c r="AX51" s="15">
        <v>2.3134329116114665E-2</v>
      </c>
      <c r="AY51" s="15">
        <v>1.9568962138031307E-2</v>
      </c>
      <c r="AZ51" s="15">
        <v>1.0184489769396734E-2</v>
      </c>
      <c r="BA51" s="17">
        <v>5.8467278659562758E-3</v>
      </c>
      <c r="BB51" s="16">
        <v>9.4959388950680308E-3</v>
      </c>
      <c r="BC51" s="51">
        <f t="shared" si="0"/>
        <v>1.0000000000000004</v>
      </c>
      <c r="BE51" s="4">
        <v>41912</v>
      </c>
      <c r="BF51" s="21">
        <v>4.3121934944080051E-2</v>
      </c>
    </row>
    <row r="52" spans="6:58" x14ac:dyDescent="0.2">
      <c r="F52" s="4">
        <v>41971</v>
      </c>
      <c r="G52" s="35">
        <f>Price!G52/'Price D Coupon'!G$5</f>
        <v>7.3392381100000001</v>
      </c>
      <c r="H52" s="35">
        <f>Price!H52/'Price D Coupon'!H$5</f>
        <v>7.1621547766666671</v>
      </c>
      <c r="I52" s="35">
        <f>Price!I52/'Price D Coupon'!I$5</f>
        <v>0</v>
      </c>
      <c r="J52" s="35">
        <f>Price!J52/'Price D Coupon'!J$5</f>
        <v>6.5215294914285717</v>
      </c>
      <c r="K52" s="35">
        <f>Price!K52/'Price D Coupon'!K$5</f>
        <v>6.3920634914285719</v>
      </c>
      <c r="L52" s="35">
        <f>Price!L52/'Price D Coupon'!L$5</f>
        <v>5.8965294914285717</v>
      </c>
      <c r="M52" s="35">
        <f>Price!M52/'Price D Coupon'!M$5</f>
        <v>0</v>
      </c>
      <c r="N52" s="35">
        <f>Price!N52/'Price D Coupon'!N$5</f>
        <v>5.7063383050000001</v>
      </c>
      <c r="O52" s="35">
        <f>Price!O52/'Price D Coupon'!O$5</f>
        <v>5.5371527775000002</v>
      </c>
      <c r="P52" s="35">
        <f>Price!P52/'Price D Coupon'!P$5</f>
        <v>5.4199652775000002</v>
      </c>
      <c r="Q52" s="35">
        <f>Price!Q52/'Price D Coupon'!Q$5</f>
        <v>4.9707480275</v>
      </c>
      <c r="R52" s="35">
        <f>Price!R52/'Price D Coupon'!R$5</f>
        <v>5.1326402222222223</v>
      </c>
      <c r="S52" s="35">
        <f>Price!S52/'Price D Coupon'!S$5</f>
        <v>4.9034735555555553</v>
      </c>
      <c r="T52" s="35">
        <f>Price!T52/'Price D Coupon'!T$5</f>
        <v>4.5284735555555553</v>
      </c>
      <c r="U52" s="35">
        <f>Price!U52/'Price D Coupon'!U$5</f>
        <v>4.5496539780000003</v>
      </c>
      <c r="V52" s="35">
        <f>Price!V52/'Price D Coupon'!V$5</f>
        <v>4.3090277779999999</v>
      </c>
      <c r="W52" s="35">
        <f>Price!W52/'Price D Coupon'!W$5</f>
        <v>3.5527777781818184</v>
      </c>
      <c r="X52" s="35">
        <f>Price!X52/'Price D Coupon'!X$5</f>
        <v>3.5032996116666664</v>
      </c>
      <c r="Y52" s="35">
        <f>Price!Y52/'Price D Coupon'!Y$5</f>
        <v>3.5599902399999999</v>
      </c>
      <c r="Z52" s="41"/>
      <c r="AA52" s="42"/>
      <c r="AB52" s="43"/>
      <c r="AC52" s="31">
        <v>21.730028744705884</v>
      </c>
      <c r="AE52" s="12">
        <v>41971</v>
      </c>
      <c r="AF52" s="9">
        <f>VLOOKUP(AE52,CurrentCoupon!temp,3,0)</f>
        <v>2.84568526355815</v>
      </c>
      <c r="AG52">
        <f t="shared" si="1"/>
        <v>7.3392381100000001</v>
      </c>
      <c r="AI52" s="4">
        <v>41971</v>
      </c>
      <c r="AJ52" s="15">
        <v>0.14515802896313931</v>
      </c>
      <c r="AK52" s="15">
        <v>0.13265043516113506</v>
      </c>
      <c r="AL52" s="15">
        <v>0</v>
      </c>
      <c r="AM52" s="15">
        <v>0.10116957644755255</v>
      </c>
      <c r="AN52" s="15">
        <v>0.16244464401363545</v>
      </c>
      <c r="AO52" s="15">
        <v>1.1141750385699386E-2</v>
      </c>
      <c r="AP52" s="15">
        <v>0</v>
      </c>
      <c r="AQ52" s="15">
        <v>9.3660937985077991E-2</v>
      </c>
      <c r="AR52" s="15">
        <v>4.3218250887420248E-2</v>
      </c>
      <c r="AS52" s="15">
        <v>4.9725370465076787E-2</v>
      </c>
      <c r="AT52" s="15">
        <v>3.4883357617876511E-2</v>
      </c>
      <c r="AU52" s="15">
        <v>4.5310100728303639E-2</v>
      </c>
      <c r="AV52" s="15">
        <v>4.2999052791296365E-2</v>
      </c>
      <c r="AW52" s="15">
        <v>7.0176318312634697E-2</v>
      </c>
      <c r="AX52" s="15">
        <v>2.2957062511345636E-2</v>
      </c>
      <c r="AY52" s="15">
        <v>1.9385706451805363E-2</v>
      </c>
      <c r="AZ52" s="15">
        <v>1.0016056369676053E-2</v>
      </c>
      <c r="BA52" s="17">
        <v>5.7485049008420578E-3</v>
      </c>
      <c r="BB52" s="16">
        <v>9.354846007482976E-3</v>
      </c>
      <c r="BC52" s="51">
        <f t="shared" si="0"/>
        <v>1.0000000000000002</v>
      </c>
      <c r="BE52" s="4">
        <v>41943</v>
      </c>
      <c r="BF52" s="21">
        <v>-3.9672604856606668E-2</v>
      </c>
    </row>
    <row r="53" spans="6:58" x14ac:dyDescent="0.2">
      <c r="F53" s="4">
        <v>42004</v>
      </c>
      <c r="G53" s="35">
        <f>Price!G53/'Price D Coupon'!G$5</f>
        <v>7.0138888900000005</v>
      </c>
      <c r="H53" s="35">
        <f>Price!H53/'Price D Coupon'!H$5</f>
        <v>6.9513888900000005</v>
      </c>
      <c r="I53" s="35">
        <f>Price!I53/'Price D Coupon'!I$5</f>
        <v>0</v>
      </c>
      <c r="J53" s="35">
        <f>Price!J53/'Price D Coupon'!J$5</f>
        <v>6.1894841257142863</v>
      </c>
      <c r="K53" s="35">
        <f>Price!K53/'Price D Coupon'!K$5</f>
        <v>6.2921644114285717</v>
      </c>
      <c r="L53" s="35">
        <f>Price!L53/'Price D Coupon'!L$5</f>
        <v>5.7519841257142863</v>
      </c>
      <c r="M53" s="35">
        <f>Price!M53/'Price D Coupon'!M$5</f>
        <v>0</v>
      </c>
      <c r="N53" s="35">
        <f>Price!N53/'Price D Coupon'!N$5</f>
        <v>5.4157986100000004</v>
      </c>
      <c r="O53" s="35">
        <f>Price!O53/'Price D Coupon'!O$5</f>
        <v>5.4383680549999998</v>
      </c>
      <c r="P53" s="35">
        <f>Price!P53/'Price D Coupon'!P$5</f>
        <v>5.3172758049999995</v>
      </c>
      <c r="Q53" s="35">
        <f>Price!Q53/'Price D Coupon'!Q$5</f>
        <v>4.8563383049999995</v>
      </c>
      <c r="R53" s="35">
        <f>Price!R53/'Price D Coupon'!R$5</f>
        <v>5.065973555555555</v>
      </c>
      <c r="S53" s="35">
        <f>Price!S53/'Price D Coupon'!S$5</f>
        <v>4.854166666666667</v>
      </c>
      <c r="T53" s="35">
        <f>Price!T53/'Price D Coupon'!T$5</f>
        <v>4.4687513333333335</v>
      </c>
      <c r="U53" s="35">
        <f>Price!U53/'Price D Coupon'!U$5</f>
        <v>4.5086817559999997</v>
      </c>
      <c r="V53" s="35">
        <f>Price!V53/'Price D Coupon'!V$5</f>
        <v>4.2586817559999997</v>
      </c>
      <c r="W53" s="35">
        <f>Price!W53/'Price D Coupon'!W$5</f>
        <v>3.5385101018181815</v>
      </c>
      <c r="X53" s="35">
        <f>Price!X53/'Price D Coupon'!X$5</f>
        <v>3.4956607216666664</v>
      </c>
      <c r="Y53" s="35">
        <f>Price!Y53/'Price D Coupon'!Y$5</f>
        <v>3.5603632476923077</v>
      </c>
      <c r="Z53" s="41"/>
      <c r="AA53" s="42"/>
      <c r="AB53" s="43"/>
      <c r="AC53" s="31">
        <v>21.293507724705883</v>
      </c>
      <c r="AE53" s="12">
        <v>42004</v>
      </c>
      <c r="AF53" s="9">
        <f>VLOOKUP(AE53,CurrentCoupon!temp,3,0)</f>
        <v>2.8338661414623698</v>
      </c>
      <c r="AG53">
        <f t="shared" si="1"/>
        <v>7.0138888900000005</v>
      </c>
      <c r="AI53" s="4">
        <v>42004</v>
      </c>
      <c r="AJ53" s="15">
        <v>0.14591157763564755</v>
      </c>
      <c r="AK53" s="15">
        <v>0.133228835513614</v>
      </c>
      <c r="AL53" s="15">
        <v>0</v>
      </c>
      <c r="AM53" s="15">
        <v>0.10151671719644649</v>
      </c>
      <c r="AN53" s="15">
        <v>0.16283379021528802</v>
      </c>
      <c r="AO53" s="15">
        <v>1.1139471452501241E-2</v>
      </c>
      <c r="AP53" s="15">
        <v>0</v>
      </c>
      <c r="AQ53" s="15">
        <v>9.3517443771406389E-2</v>
      </c>
      <c r="AR53" s="15">
        <v>4.3181261003838373E-2</v>
      </c>
      <c r="AS53" s="15">
        <v>4.9636891598394239E-2</v>
      </c>
      <c r="AT53" s="15">
        <v>3.4774424278852273E-2</v>
      </c>
      <c r="AU53" s="15">
        <v>4.5154192097387413E-2</v>
      </c>
      <c r="AV53" s="15">
        <v>4.2787228663136834E-2</v>
      </c>
      <c r="AW53" s="15">
        <v>6.9639651213128664E-2</v>
      </c>
      <c r="AX53" s="15">
        <v>2.2783040652295125E-2</v>
      </c>
      <c r="AY53" s="15">
        <v>1.9192669641278384E-2</v>
      </c>
      <c r="AZ53" s="15">
        <v>9.8399952968074803E-3</v>
      </c>
      <c r="BA53" s="17">
        <v>5.6382196541865459E-3</v>
      </c>
      <c r="BB53" s="16">
        <v>9.2245901157909649E-3</v>
      </c>
      <c r="BC53" s="51">
        <f t="shared" si="0"/>
        <v>0.99999999999999978</v>
      </c>
      <c r="BE53" s="4">
        <v>41971</v>
      </c>
      <c r="BF53" s="21">
        <v>-3.3127566680121533E-2</v>
      </c>
    </row>
    <row r="54" spans="6:58" x14ac:dyDescent="0.2">
      <c r="F54" s="4">
        <v>42034</v>
      </c>
      <c r="G54" s="35">
        <f>Price!G54/'Price D Coupon'!G$5</f>
        <v>5.8940992233333338</v>
      </c>
      <c r="H54" s="35">
        <f>Price!H54/'Price D Coupon'!H$5</f>
        <v>5.8524325566666668</v>
      </c>
      <c r="I54" s="35">
        <f>Price!I54/'Price D Coupon'!I$5</f>
        <v>0</v>
      </c>
      <c r="J54" s="35">
        <f>Price!J54/'Price D Coupon'!J$5</f>
        <v>4.8948412685714286</v>
      </c>
      <c r="K54" s="35">
        <f>Price!K54/'Price D Coupon'!K$5</f>
        <v>5.0734126971428575</v>
      </c>
      <c r="L54" s="35">
        <f>Price!L54/'Price D Coupon'!L$5</f>
        <v>4.5466269828571431</v>
      </c>
      <c r="M54" s="35">
        <f>Price!M54/'Price D Coupon'!M$5</f>
        <v>0</v>
      </c>
      <c r="N54" s="35">
        <f>Price!N54/'Price D Coupon'!N$5</f>
        <v>4.2829861100000004</v>
      </c>
      <c r="O54" s="35">
        <f>Price!O54/'Price D Coupon'!O$5</f>
        <v>4.2899305549999998</v>
      </c>
      <c r="P54" s="35">
        <f>Price!P54/'Price D Coupon'!P$5</f>
        <v>4.2000883049999995</v>
      </c>
      <c r="Q54" s="35">
        <f>Price!Q54/'Price D Coupon'!Q$5</f>
        <v>3.7821180550000002</v>
      </c>
      <c r="R54" s="35">
        <f>Price!R54/'Price D Coupon'!R$5</f>
        <v>4.128473555555555</v>
      </c>
      <c r="S54" s="35">
        <f>Price!S54/'Price D Coupon'!S$5</f>
        <v>3.9027777777777777</v>
      </c>
      <c r="T54" s="35">
        <f>Price!T54/'Price D Coupon'!T$5</f>
        <v>3.5694444444444446</v>
      </c>
      <c r="U54" s="35">
        <f>Price!U54/'Price D Coupon'!U$5</f>
        <v>3.7618055560000001</v>
      </c>
      <c r="V54" s="35">
        <f>Price!V54/'Price D Coupon'!V$5</f>
        <v>3.5461817560000002</v>
      </c>
      <c r="W54" s="35">
        <f>Price!W54/'Price D Coupon'!W$5</f>
        <v>3.3083975563636359</v>
      </c>
      <c r="X54" s="35">
        <f>Price!X54/'Price D Coupon'!X$5</f>
        <v>3.3237857216666664</v>
      </c>
      <c r="Y54" s="35">
        <f>Price!Y54/'Price D Coupon'!Y$5</f>
        <v>3.459401709230769</v>
      </c>
      <c r="Z54" s="41"/>
      <c r="AA54" s="42"/>
      <c r="AB54" s="43"/>
      <c r="AC54" s="31">
        <v>17.742955901176472</v>
      </c>
      <c r="AE54" s="12">
        <v>42034</v>
      </c>
      <c r="AF54" s="9">
        <f>VLOOKUP(AE54,CurrentCoupon!temp,3,0)</f>
        <v>2.4526687901347302</v>
      </c>
      <c r="AG54">
        <f t="shared" si="1"/>
        <v>5.8940992233333338</v>
      </c>
      <c r="AI54" s="4">
        <v>42034</v>
      </c>
      <c r="AJ54" s="15">
        <v>0.14670890164535905</v>
      </c>
      <c r="AK54" s="15">
        <v>0.13387539860904382</v>
      </c>
      <c r="AL54" s="15">
        <v>0</v>
      </c>
      <c r="AM54" s="15">
        <v>0.10176796643121881</v>
      </c>
      <c r="AN54" s="15">
        <v>0.16331359549886548</v>
      </c>
      <c r="AO54" s="15">
        <v>1.1157227557422704E-2</v>
      </c>
      <c r="AP54" s="15">
        <v>0</v>
      </c>
      <c r="AQ54" s="15">
        <v>9.2870263381153256E-2</v>
      </c>
      <c r="AR54" s="15">
        <v>4.3174953724827013E-2</v>
      </c>
      <c r="AS54" s="15">
        <v>4.9576037868087675E-2</v>
      </c>
      <c r="AT54" s="15">
        <v>3.4657797005626385E-2</v>
      </c>
      <c r="AU54" s="15">
        <v>4.5038885640718972E-2</v>
      </c>
      <c r="AV54" s="15">
        <v>4.2605814316459399E-2</v>
      </c>
      <c r="AW54" s="15">
        <v>6.9138470547379705E-2</v>
      </c>
      <c r="AX54" s="15">
        <v>2.2670741957401142E-2</v>
      </c>
      <c r="AY54" s="15">
        <v>1.904207162440219E-2</v>
      </c>
      <c r="AZ54" s="15">
        <v>9.7161723794014082E-3</v>
      </c>
      <c r="BA54" s="17">
        <v>5.5692771113515132E-3</v>
      </c>
      <c r="BB54" s="16">
        <v>9.1164247012814493E-3</v>
      </c>
      <c r="BC54" s="51">
        <f t="shared" si="0"/>
        <v>1</v>
      </c>
      <c r="BE54" s="4">
        <v>42004</v>
      </c>
      <c r="BF54" s="21">
        <v>-2.6017101954365164E-2</v>
      </c>
    </row>
    <row r="55" spans="6:58" x14ac:dyDescent="0.2">
      <c r="F55" s="4">
        <v>42062</v>
      </c>
      <c r="G55" s="35">
        <f>Price!G55/'Price D Coupon'!G$5</f>
        <v>6.5815992233333338</v>
      </c>
      <c r="H55" s="35">
        <f>Price!H55/'Price D Coupon'!H$5</f>
        <v>6.5243055566666674</v>
      </c>
      <c r="I55" s="35">
        <f>Price!I55/'Price D Coupon'!I$5</f>
        <v>0</v>
      </c>
      <c r="J55" s="35">
        <f>Price!J55/'Price D Coupon'!J$5</f>
        <v>5.7296644114285717</v>
      </c>
      <c r="K55" s="35">
        <f>Price!K55/'Price D Coupon'!K$5</f>
        <v>5.8323412685714286</v>
      </c>
      <c r="L55" s="35">
        <f>Price!L55/'Price D Coupon'!L$5</f>
        <v>5.3635929828571429</v>
      </c>
      <c r="M55" s="35">
        <f>Price!M55/'Price D Coupon'!M$5</f>
        <v>0</v>
      </c>
      <c r="N55" s="35">
        <f>Price!N55/'Price D Coupon'!N$5</f>
        <v>5.0134563600000002</v>
      </c>
      <c r="O55" s="35">
        <f>Price!O55/'Price D Coupon'!O$5</f>
        <v>5.0907133049999995</v>
      </c>
      <c r="P55" s="35">
        <f>Price!P55/'Price D Coupon'!P$5</f>
        <v>4.9735258049999995</v>
      </c>
      <c r="Q55" s="35">
        <f>Price!Q55/'Price D Coupon'!Q$5</f>
        <v>4.5946180549999998</v>
      </c>
      <c r="R55" s="35">
        <f>Price!R55/'Price D Coupon'!R$5</f>
        <v>4.791666666666667</v>
      </c>
      <c r="S55" s="35">
        <f>Price!S55/'Price D Coupon'!S$5</f>
        <v>4.6006957777777773</v>
      </c>
      <c r="T55" s="35">
        <f>Price!T55/'Price D Coupon'!T$5</f>
        <v>4.2743068888888889</v>
      </c>
      <c r="U55" s="35">
        <f>Price!U55/'Price D Coupon'!U$5</f>
        <v>4.3399317560000004</v>
      </c>
      <c r="V55" s="35">
        <f>Price!V55/'Price D Coupon'!V$5</f>
        <v>4.1336817559999997</v>
      </c>
      <c r="W55" s="35">
        <f>Price!W55/'Price D Coupon'!W$5</f>
        <v>3.7714646472727269</v>
      </c>
      <c r="X55" s="35">
        <f>Price!X55/'Price D Coupon'!X$5</f>
        <v>3.7508690549999995</v>
      </c>
      <c r="Y55" s="35">
        <f>Price!Y55/'Price D Coupon'!Y$5</f>
        <v>3.7935372476923073</v>
      </c>
      <c r="Z55" s="41"/>
      <c r="AA55" s="42"/>
      <c r="AB55" s="43"/>
      <c r="AC55" s="31">
        <v>20.530641489411764</v>
      </c>
      <c r="AE55" s="12">
        <v>42062</v>
      </c>
      <c r="AF55" s="9">
        <f>VLOOKUP(AE55,CurrentCoupon!temp,3,0)</f>
        <v>2.7365985708724101</v>
      </c>
      <c r="AG55">
        <f>IF(AF55&lt;$G$5,G55,(H55-G55)/0.5*(AF55-$G$5)+G55)</f>
        <v>6.5815992233333338</v>
      </c>
      <c r="AI55" s="4">
        <v>42062</v>
      </c>
      <c r="AJ55" s="15">
        <v>0.14765300138789611</v>
      </c>
      <c r="AK55" s="15">
        <v>0.13465479303821315</v>
      </c>
      <c r="AL55" s="15">
        <v>0</v>
      </c>
      <c r="AM55" s="15">
        <v>0.10210331227661668</v>
      </c>
      <c r="AN55" s="15">
        <v>0.16389333124786321</v>
      </c>
      <c r="AO55" s="15">
        <v>1.1178398674028554E-2</v>
      </c>
      <c r="AP55" s="15">
        <v>0</v>
      </c>
      <c r="AQ55" s="15">
        <v>9.2170980954587881E-2</v>
      </c>
      <c r="AR55" s="15">
        <v>4.3127725167335165E-2</v>
      </c>
      <c r="AS55" s="15">
        <v>4.9492497071774243E-2</v>
      </c>
      <c r="AT55" s="15">
        <v>3.4505449139575317E-2</v>
      </c>
      <c r="AU55" s="15">
        <v>4.4865756501597839E-2</v>
      </c>
      <c r="AV55" s="15">
        <v>4.2362048893898059E-2</v>
      </c>
      <c r="AW55" s="15">
        <v>6.8507644664020623E-2</v>
      </c>
      <c r="AX55" s="15">
        <v>2.2522097806140357E-2</v>
      </c>
      <c r="AY55" s="15">
        <v>1.8883043028851645E-2</v>
      </c>
      <c r="AZ55" s="15">
        <v>9.5794762307597307E-3</v>
      </c>
      <c r="BA55" s="17">
        <v>5.4880753604206883E-3</v>
      </c>
      <c r="BB55" s="16">
        <v>9.0123685564205257E-3</v>
      </c>
      <c r="BC55" s="51">
        <f t="shared" si="0"/>
        <v>0.99999999999999989</v>
      </c>
      <c r="BE55" s="4">
        <v>42034</v>
      </c>
      <c r="BF55" s="21">
        <v>-0.18730149031261209</v>
      </c>
    </row>
    <row r="56" spans="6:58" x14ac:dyDescent="0.2">
      <c r="F56" s="4">
        <v>42094</v>
      </c>
      <c r="G56" s="35">
        <f>Price!G56/'Price D Coupon'!G$5</f>
        <v>6.4225714433333332</v>
      </c>
      <c r="H56" s="35">
        <f>Price!H56/'Price D Coupon'!H$5</f>
        <v>6.3756944433333338</v>
      </c>
      <c r="I56" s="35">
        <f>Price!I56/'Price D Coupon'!I$5</f>
        <v>4.7536723485714285</v>
      </c>
      <c r="J56" s="35">
        <f>Price!J56/'Price D Coupon'!J$5</f>
        <v>5.5483152057142862</v>
      </c>
      <c r="K56" s="35">
        <f>Price!K56/'Price D Coupon'!K$5</f>
        <v>5.6777777771428575</v>
      </c>
      <c r="L56" s="35">
        <f>Price!L56/'Price D Coupon'!L$5</f>
        <v>5.2313492057142863</v>
      </c>
      <c r="M56" s="35">
        <f>Price!M56/'Price D Coupon'!M$5</f>
        <v>4.4824652775000002</v>
      </c>
      <c r="N56" s="35">
        <f>Price!N56/'Price D Coupon'!N$5</f>
        <v>4.8547758050000001</v>
      </c>
      <c r="O56" s="35">
        <f>Price!O56/'Price D Coupon'!O$5</f>
        <v>4.9277777775000002</v>
      </c>
      <c r="P56" s="35">
        <f>Price!P56/'Price D Coupon'!P$5</f>
        <v>4.8066855275</v>
      </c>
      <c r="Q56" s="35">
        <f>Price!Q56/'Price D Coupon'!Q$5</f>
        <v>4.4316855275</v>
      </c>
      <c r="R56" s="35">
        <f>Price!R56/'Price D Coupon'!R$5</f>
        <v>4.6951402222222223</v>
      </c>
      <c r="S56" s="35">
        <f>Price!S56/'Price D Coupon'!S$5</f>
        <v>4.4659735555555553</v>
      </c>
      <c r="T56" s="35">
        <f>Price!T56/'Price D Coupon'!T$5</f>
        <v>4.1500000000000004</v>
      </c>
      <c r="U56" s="35">
        <f>Price!U56/'Price D Coupon'!U$5</f>
        <v>4.2434039779999999</v>
      </c>
      <c r="V56" s="35">
        <f>Price!V56/'Price D Coupon'!V$5</f>
        <v>4.0527777780000003</v>
      </c>
      <c r="W56" s="35">
        <f>Price!W56/'Price D Coupon'!W$5</f>
        <v>3.9306197781818182</v>
      </c>
      <c r="X56" s="35">
        <f>Price!X56/'Price D Coupon'!X$5</f>
        <v>3.9772579449999999</v>
      </c>
      <c r="Y56" s="35">
        <f>Price!Y56/'Price D Coupon'!Y$5</f>
        <v>3.9854700861538461</v>
      </c>
      <c r="Z56" s="41"/>
      <c r="AA56" s="42"/>
      <c r="AB56" s="43"/>
      <c r="AC56" s="31">
        <v>19.969246894210524</v>
      </c>
      <c r="AE56" s="5">
        <v>42094</v>
      </c>
      <c r="AF56" s="9">
        <f>VLOOKUP(AE56,CurrentCoupon!temp,3,0)</f>
        <v>2.66103516127894</v>
      </c>
      <c r="AG56">
        <f t="shared" ref="AG56:AG57" si="2">IF(AF56&lt;$G$5,G56,(H56-G56)/0.5*(AF56-$G$5)+G56)</f>
        <v>6.4225714433333332</v>
      </c>
      <c r="AI56" s="4">
        <v>42094</v>
      </c>
      <c r="AJ56" s="15">
        <v>0.14849147719438979</v>
      </c>
      <c r="AK56" s="15">
        <v>0.13534429867598252</v>
      </c>
      <c r="AL56" s="15">
        <v>0</v>
      </c>
      <c r="AM56" s="15">
        <v>0.10231680856778139</v>
      </c>
      <c r="AN56" s="15">
        <v>0.16435025148929802</v>
      </c>
      <c r="AO56" s="15">
        <v>1.1190123896183631E-2</v>
      </c>
      <c r="AP56" s="15">
        <v>0</v>
      </c>
      <c r="AQ56" s="15">
        <v>9.1594999004167704E-2</v>
      </c>
      <c r="AR56" s="15">
        <v>4.3110237378890574E-2</v>
      </c>
      <c r="AS56" s="15">
        <v>4.941511705460231E-2</v>
      </c>
      <c r="AT56" s="15">
        <v>3.4341268049355403E-2</v>
      </c>
      <c r="AU56" s="15">
        <v>4.471408094724743E-2</v>
      </c>
      <c r="AV56" s="15">
        <v>4.2190047704452734E-2</v>
      </c>
      <c r="AW56" s="15">
        <v>6.7955840712340135E-2</v>
      </c>
      <c r="AX56" s="15">
        <v>2.2388693851551959E-2</v>
      </c>
      <c r="AY56" s="15">
        <v>1.8764085212724445E-2</v>
      </c>
      <c r="AZ56" s="15">
        <v>9.4829008574130527E-3</v>
      </c>
      <c r="BA56" s="17">
        <v>5.4262526405433192E-3</v>
      </c>
      <c r="BB56" s="16">
        <v>8.9235167630754685E-3</v>
      </c>
      <c r="BC56" s="51">
        <f t="shared" si="0"/>
        <v>1</v>
      </c>
      <c r="BE56" s="5">
        <v>42062</v>
      </c>
      <c r="BF56" s="23">
        <v>0.16728926046005554</v>
      </c>
    </row>
    <row r="57" spans="6:58" x14ac:dyDescent="0.2">
      <c r="F57" s="4">
        <v>42124</v>
      </c>
      <c r="G57" s="35">
        <f>Price!G57/'Price D Coupon'!G$5</f>
        <v>6.7090277766666668</v>
      </c>
      <c r="H57" s="35">
        <f>Price!H57/'Price D Coupon'!H$5</f>
        <v>6.6413214433333332</v>
      </c>
      <c r="I57" s="35">
        <f>Price!I57/'Price D Coupon'!I$5</f>
        <v>5.3027777771428575</v>
      </c>
      <c r="J57" s="35">
        <f>Price!J57/'Price D Coupon'!J$5</f>
        <v>5.9009920628571431</v>
      </c>
      <c r="K57" s="35">
        <f>Price!K57/'Price D Coupon'!K$5</f>
        <v>5.9947437771428573</v>
      </c>
      <c r="L57" s="35">
        <f>Price!L57/'Price D Coupon'!L$5</f>
        <v>5.5527777771428575</v>
      </c>
      <c r="M57" s="35">
        <f>Price!M57/'Price D Coupon'!M$5</f>
        <v>4.8613730275</v>
      </c>
      <c r="N57" s="35">
        <f>Price!N57/'Price D Coupon'!N$5</f>
        <v>5.1633680550000003</v>
      </c>
      <c r="O57" s="35">
        <f>Price!O57/'Price D Coupon'!O$5</f>
        <v>5.2090277775000002</v>
      </c>
      <c r="P57" s="35">
        <f>Price!P57/'Price D Coupon'!P$5</f>
        <v>5.0801230275</v>
      </c>
      <c r="Q57" s="35">
        <f>Price!Q57/'Price D Coupon'!Q$5</f>
        <v>4.7051230275</v>
      </c>
      <c r="R57" s="35">
        <f>Price!R57/'Price D Coupon'!R$5</f>
        <v>4.9138888888888888</v>
      </c>
      <c r="S57" s="35">
        <f>Price!S57/'Price D Coupon'!S$5</f>
        <v>4.6847222222222227</v>
      </c>
      <c r="T57" s="35">
        <f>Price!T57/'Price D Coupon'!T$5</f>
        <v>4.3826402222222223</v>
      </c>
      <c r="U57" s="35">
        <f>Price!U57/'Price D Coupon'!U$5</f>
        <v>4.4465277780000001</v>
      </c>
      <c r="V57" s="35">
        <f>Price!V57/'Price D Coupon'!V$5</f>
        <v>4.2652777779999997</v>
      </c>
      <c r="W57" s="35">
        <f>Price!W57/'Price D Coupon'!W$5</f>
        <v>4.1209595963636367</v>
      </c>
      <c r="X57" s="35">
        <f>Price!X57/'Price D Coupon'!X$5</f>
        <v>4.1439246116666668</v>
      </c>
      <c r="Y57" s="35">
        <f>Price!Y57/'Price D Coupon'!Y$5</f>
        <v>4.1176825476923078</v>
      </c>
      <c r="Z57" s="46"/>
      <c r="AA57" s="47"/>
      <c r="AB57" s="48"/>
      <c r="AC57" s="31">
        <v>21.080265683684207</v>
      </c>
      <c r="AE57" s="5">
        <v>42124</v>
      </c>
      <c r="AF57" s="9">
        <f>VLOOKUP(AE57,CurrentCoupon!temp,3,0)</f>
        <v>2.7480147229669498</v>
      </c>
      <c r="AG57">
        <f t="shared" si="2"/>
        <v>6.7090277766666668</v>
      </c>
      <c r="AI57" s="4">
        <v>42124</v>
      </c>
      <c r="AJ57" s="15">
        <v>0.12423967004372546</v>
      </c>
      <c r="AK57" s="15">
        <v>0.11316001630691598</v>
      </c>
      <c r="AL57" s="15">
        <v>6.5143517209148599E-2</v>
      </c>
      <c r="AM57" s="15">
        <v>8.4910022679681563E-2</v>
      </c>
      <c r="AN57" s="15">
        <v>0.13692327077991975</v>
      </c>
      <c r="AO57" s="15">
        <v>9.2723001209775915E-3</v>
      </c>
      <c r="AP57" s="15">
        <v>0.10517164724884258</v>
      </c>
      <c r="AQ57" s="15">
        <v>7.4925705602512882E-2</v>
      </c>
      <c r="AR57" s="15">
        <v>3.5687713735777303E-2</v>
      </c>
      <c r="AS57" s="15">
        <v>4.0903895204925315E-2</v>
      </c>
      <c r="AT57" s="15">
        <v>2.8249892975335929E-2</v>
      </c>
      <c r="AU57" s="15">
        <v>3.7025462425879743E-2</v>
      </c>
      <c r="AV57" s="15">
        <v>3.4861126044954685E-2</v>
      </c>
      <c r="AW57" s="15">
        <v>5.5879071435835884E-2</v>
      </c>
      <c r="AX57" s="15">
        <v>1.8510317224239486E-2</v>
      </c>
      <c r="AY57" s="15">
        <v>1.5493010645864627E-2</v>
      </c>
      <c r="AZ57" s="15">
        <v>7.8094838058474668E-3</v>
      </c>
      <c r="BA57" s="17">
        <v>4.4720981386912016E-3</v>
      </c>
      <c r="BB57" s="16">
        <v>7.3617783709241146E-3</v>
      </c>
      <c r="BC57" s="51">
        <f t="shared" si="0"/>
        <v>1.0000000000000002</v>
      </c>
    </row>
    <row r="58" spans="6:58" x14ac:dyDescent="0.2">
      <c r="F58" s="4">
        <v>42153</v>
      </c>
      <c r="G58" s="35">
        <f>Price!G58/'Price D Coupon'!G$5</f>
        <v>6.7298611100000008</v>
      </c>
      <c r="H58" s="35">
        <f>Price!H58/'Price D Coupon'!H$5</f>
        <v>6.6048611100000008</v>
      </c>
      <c r="I58" s="35">
        <f>Price!I58/'Price D Coupon'!I$5</f>
        <v>5.5617063485714286</v>
      </c>
      <c r="J58" s="35">
        <f>Price!J58/'Price D Coupon'!J$5</f>
        <v>6.0527777771428575</v>
      </c>
      <c r="K58" s="35">
        <f>Price!K58/'Price D Coupon'!K$5</f>
        <v>6.0259920628571431</v>
      </c>
      <c r="L58" s="35">
        <f>Price!L58/'Price D Coupon'!L$5</f>
        <v>5.6063492057142863</v>
      </c>
      <c r="M58" s="35">
        <f>Price!M58/'Price D Coupon'!M$5</f>
        <v>5.1309027775000002</v>
      </c>
      <c r="N58" s="35">
        <f>Price!N58/'Price D Coupon'!N$5</f>
        <v>5.2961805550000003</v>
      </c>
      <c r="O58" s="35">
        <f>Price!O58/'Price D Coupon'!O$5</f>
        <v>5.3301230275</v>
      </c>
      <c r="P58" s="35">
        <f>Price!P58/'Price D Coupon'!P$5</f>
        <v>5.1973105275</v>
      </c>
      <c r="Q58" s="35">
        <f>Price!Q58/'Price D Coupon'!Q$5</f>
        <v>4.8223105275</v>
      </c>
      <c r="R58" s="35">
        <f>Price!R58/'Price D Coupon'!R$5</f>
        <v>4.9590291111111107</v>
      </c>
      <c r="S58" s="35">
        <f>Price!S58/'Price D Coupon'!S$5</f>
        <v>4.7229179999999999</v>
      </c>
      <c r="T58" s="35">
        <f>Price!T58/'Price D Coupon'!T$5</f>
        <v>4.4381957777777776</v>
      </c>
      <c r="U58" s="35">
        <f>Price!U58/'Price D Coupon'!U$5</f>
        <v>4.5027777780000005</v>
      </c>
      <c r="V58" s="35">
        <f>Price!V58/'Price D Coupon'!V$5</f>
        <v>4.3246539779999997</v>
      </c>
      <c r="W58" s="35">
        <f>Price!W58/'Price D Coupon'!W$5</f>
        <v>3.959028869090909</v>
      </c>
      <c r="X58" s="35">
        <f>Price!X58/'Price D Coupon'!X$5</f>
        <v>4.0475694449999997</v>
      </c>
      <c r="Y58" s="35">
        <f>Price!Y58/'Price D Coupon'!Y$5</f>
        <v>4.0575854707692312</v>
      </c>
      <c r="Z58" s="46"/>
      <c r="AA58" s="47"/>
      <c r="AB58" s="48"/>
      <c r="AC58" s="31">
        <v>22.0802656836842</v>
      </c>
      <c r="AE58" s="5">
        <v>42153</v>
      </c>
      <c r="AF58" s="9">
        <f>VLOOKUP(AE58,CurrentCoupon!temp,3,0)</f>
        <v>2.8125589424365498</v>
      </c>
      <c r="AI58" s="4">
        <v>42153</v>
      </c>
      <c r="AJ58" s="15">
        <v>0.12572491183004667</v>
      </c>
      <c r="AK58" s="15">
        <v>0.11440386919361005</v>
      </c>
      <c r="AL58" s="15">
        <v>6.4891298339873657E-2</v>
      </c>
      <c r="AM58" s="15">
        <v>8.5184799173795886E-2</v>
      </c>
      <c r="AN58" s="15">
        <v>0.1377283178106411</v>
      </c>
      <c r="AO58" s="15">
        <v>9.272641462637397E-3</v>
      </c>
      <c r="AP58" s="15">
        <v>0.10452850728536318</v>
      </c>
      <c r="AQ58" s="15">
        <v>7.3838406706078413E-2</v>
      </c>
      <c r="AR58" s="15">
        <v>3.5574653632068846E-2</v>
      </c>
      <c r="AS58" s="15">
        <v>4.0704535641732431E-2</v>
      </c>
      <c r="AT58" s="15">
        <v>2.7979729790905572E-2</v>
      </c>
      <c r="AU58" s="15">
        <v>3.6917105301770357E-2</v>
      </c>
      <c r="AV58" s="15">
        <v>3.4665703769060301E-2</v>
      </c>
      <c r="AW58" s="15">
        <v>5.524185389508484E-2</v>
      </c>
      <c r="AX58" s="15">
        <v>1.8443405119516837E-2</v>
      </c>
      <c r="AY58" s="15">
        <v>1.5403646528916876E-2</v>
      </c>
      <c r="AZ58" s="15">
        <v>7.7284876599839685E-3</v>
      </c>
      <c r="BA58" s="17">
        <v>4.4400971422172723E-3</v>
      </c>
      <c r="BB58" s="16">
        <v>7.3280297166961007E-3</v>
      </c>
      <c r="BC58" s="51">
        <f t="shared" si="0"/>
        <v>1</v>
      </c>
    </row>
    <row r="59" spans="6:58" x14ac:dyDescent="0.2">
      <c r="F59" s="4">
        <v>42185</v>
      </c>
      <c r="G59" s="35">
        <f>Price!G59/'Price D Coupon'!G$5</f>
        <v>7.0944444433333338</v>
      </c>
      <c r="H59" s="35">
        <f>Price!H59/'Price D Coupon'!H$5</f>
        <v>6.9486111100000008</v>
      </c>
      <c r="I59" s="35">
        <f>Price!I59/'Price D Coupon'!I$5</f>
        <v>6.3251009199999997</v>
      </c>
      <c r="J59" s="35">
        <f>Price!J59/'Price D Coupon'!J$5</f>
        <v>6.6376009199999997</v>
      </c>
      <c r="K59" s="35">
        <f>Price!K59/'Price D Coupon'!K$5</f>
        <v>6.5126009199999997</v>
      </c>
      <c r="L59" s="35">
        <f>Price!L59/'Price D Coupon'!L$5</f>
        <v>6.1331349200000007</v>
      </c>
      <c r="M59" s="35">
        <f>Price!M59/'Price D Coupon'!M$5</f>
        <v>5.8769980275</v>
      </c>
      <c r="N59" s="35">
        <f>Price!N59/'Price D Coupon'!N$5</f>
        <v>5.8079008050000001</v>
      </c>
      <c r="O59" s="35">
        <f>Price!O59/'Price D Coupon'!O$5</f>
        <v>5.8301230275</v>
      </c>
      <c r="P59" s="35">
        <f>Price!P59/'Price D Coupon'!P$5</f>
        <v>5.6894980275</v>
      </c>
      <c r="Q59" s="35">
        <f>Price!Q59/'Price D Coupon'!Q$5</f>
        <v>5.3223105275</v>
      </c>
      <c r="R59" s="35">
        <f>Price!R59/'Price D Coupon'!R$5</f>
        <v>5.3583333333333334</v>
      </c>
      <c r="S59" s="35">
        <f>Price!S59/'Price D Coupon'!S$5</f>
        <v>5.1326402222222223</v>
      </c>
      <c r="T59" s="35">
        <f>Price!T59/'Price D Coupon'!T$5</f>
        <v>4.8548624444444446</v>
      </c>
      <c r="U59" s="35">
        <f>Price!U59/'Price D Coupon'!U$5</f>
        <v>4.8246539779999997</v>
      </c>
      <c r="V59" s="35">
        <f>Price!V59/'Price D Coupon'!V$5</f>
        <v>4.6715277779999997</v>
      </c>
      <c r="W59" s="35">
        <f>Price!W59/'Price D Coupon'!W$5</f>
        <v>4.1209595963636367</v>
      </c>
      <c r="X59" s="35">
        <f>Price!X59/'Price D Coupon'!X$5</f>
        <v>4.2116329449999999</v>
      </c>
      <c r="Y59" s="35">
        <f>Price!Y59/'Price D Coupon'!Y$5</f>
        <v>4.1873931630769228</v>
      </c>
      <c r="Z59" s="46"/>
      <c r="AA59" s="47"/>
      <c r="AB59" s="48"/>
      <c r="AC59" s="31">
        <v>23.0802656836842</v>
      </c>
      <c r="AE59" s="5">
        <v>42185</v>
      </c>
      <c r="AF59" s="9">
        <f>VLOOKUP(AE59,CurrentCoupon!temp,3,0)</f>
        <v>3.0732804432921599</v>
      </c>
      <c r="AI59" s="4">
        <v>42185</v>
      </c>
      <c r="AJ59" s="15">
        <v>0.12678694847507815</v>
      </c>
      <c r="AK59" s="15">
        <v>0.11532293978569148</v>
      </c>
      <c r="AL59" s="15">
        <v>6.4927038325208838E-2</v>
      </c>
      <c r="AM59" s="15">
        <v>8.549981114277419E-2</v>
      </c>
      <c r="AN59" s="15">
        <v>0.13825038667561199</v>
      </c>
      <c r="AO59" s="15">
        <v>9.2660239226226102E-3</v>
      </c>
      <c r="AP59" s="15">
        <v>0.10430482105236114</v>
      </c>
      <c r="AQ59" s="15">
        <v>7.3277878791164847E-2</v>
      </c>
      <c r="AR59" s="15">
        <v>3.5456812858727919E-2</v>
      </c>
      <c r="AS59" s="15">
        <v>4.0529201240159372E-2</v>
      </c>
      <c r="AT59" s="15">
        <v>2.7703885387778432E-2</v>
      </c>
      <c r="AU59" s="15">
        <v>3.6717725722253042E-2</v>
      </c>
      <c r="AV59" s="15">
        <v>3.4408628300698435E-2</v>
      </c>
      <c r="AW59" s="15">
        <v>5.461821239919272E-2</v>
      </c>
      <c r="AX59" s="15">
        <v>1.8320710047900882E-2</v>
      </c>
      <c r="AY59" s="15">
        <v>1.5284584940538429E-2</v>
      </c>
      <c r="AZ59" s="15">
        <v>7.6473587796823065E-3</v>
      </c>
      <c r="BA59" s="17">
        <v>4.3982431571721534E-3</v>
      </c>
      <c r="BB59" s="16">
        <v>7.2787889953831687E-3</v>
      </c>
      <c r="BC59" s="51">
        <f t="shared" si="0"/>
        <v>1.0000000000000002</v>
      </c>
    </row>
    <row r="60" spans="6:58" x14ac:dyDescent="0.2">
      <c r="F60" s="32">
        <v>42216</v>
      </c>
      <c r="G60" s="35">
        <f>Price!G60/'Price D Coupon'!G$5</f>
        <v>6.9072936666666669</v>
      </c>
      <c r="H60" s="35">
        <f>Price!H60/'Price D Coupon'!H$5</f>
        <v>6.7354166666666666</v>
      </c>
      <c r="I60" s="35">
        <f>Price!I60/'Price D Coupon'!I$5</f>
        <v>6.3345238085714284</v>
      </c>
      <c r="J60" s="35">
        <f>Price!J60/'Price D Coupon'!J$5</f>
        <v>6.3886904771428572</v>
      </c>
      <c r="K60" s="35">
        <f>Price!K60/'Price D Coupon'!K$5</f>
        <v>6.2636904771428572</v>
      </c>
      <c r="L60" s="35">
        <f>Price!L60/'Price D Coupon'!L$5</f>
        <v>5.8574421914285706</v>
      </c>
      <c r="M60" s="35">
        <f>Price!M60/'Price D Coupon'!M$5</f>
        <v>5.5427083325000002</v>
      </c>
      <c r="N60" s="35">
        <f>Price!N60/'Price D Coupon'!N$5</f>
        <v>5.5901041674999998</v>
      </c>
      <c r="O60" s="35">
        <f>Price!O60/'Price D Coupon'!O$5</f>
        <v>5.5817708325000002</v>
      </c>
      <c r="P60" s="35">
        <f>Price!P60/'Price D Coupon'!P$5</f>
        <v>5.4489583325000002</v>
      </c>
      <c r="Q60" s="35">
        <f>Price!Q60/'Price D Coupon'!Q$5</f>
        <v>5.0778660824999999</v>
      </c>
      <c r="R60" s="35">
        <f>Price!R60/'Price D Coupon'!R$5</f>
        <v>5.1833333333333336</v>
      </c>
      <c r="S60" s="35">
        <f>Price!S60/'Price D Coupon'!S$5</f>
        <v>4.9437513333333332</v>
      </c>
      <c r="T60" s="35">
        <f>Price!T60/'Price D Coupon'!T$5</f>
        <v>4.6520846666666662</v>
      </c>
      <c r="U60" s="35">
        <f>Price!U60/'Price D Coupon'!U$5</f>
        <v>4.6708333340000001</v>
      </c>
      <c r="V60" s="35">
        <f>Price!V60/'Price D Coupon'!V$5</f>
        <v>4.5020833339999999</v>
      </c>
      <c r="W60" s="35">
        <f>Price!W60/'Price D Coupon'!W$5</f>
        <v>3.9901515145454542</v>
      </c>
      <c r="X60" s="35">
        <f>Price!X60/'Price D Coupon'!X$5</f>
        <v>4.1651051666666667</v>
      </c>
      <c r="Y60" s="35">
        <f>Price!Y60/'Price D Coupon'!Y$5</f>
        <v>4.1713150261538461</v>
      </c>
      <c r="Z60" s="46"/>
      <c r="AA60" s="47"/>
      <c r="AB60" s="48"/>
      <c r="AC60" s="31">
        <v>24.0802656836842</v>
      </c>
      <c r="AE60" s="32">
        <v>42216</v>
      </c>
      <c r="AF60" s="9">
        <f>VLOOKUP(AE60,CurrentCoupon!temp,3,0)</f>
        <v>2.9155081259623699</v>
      </c>
      <c r="AI60" s="4">
        <v>42216</v>
      </c>
      <c r="AJ60" s="15">
        <v>0.12772296355411036</v>
      </c>
      <c r="AK60" s="15">
        <v>0.11613134004372618</v>
      </c>
      <c r="AL60" s="15">
        <v>6.4959657991938938E-2</v>
      </c>
      <c r="AM60" s="15">
        <v>8.5765655829751875E-2</v>
      </c>
      <c r="AN60" s="15">
        <v>0.13866824491695928</v>
      </c>
      <c r="AO60" s="15">
        <v>9.260606867002032E-3</v>
      </c>
      <c r="AP60" s="15">
        <v>0.10418187790996211</v>
      </c>
      <c r="AQ60" s="15">
        <v>7.2856604903382763E-2</v>
      </c>
      <c r="AR60" s="15">
        <v>3.5344315500946751E-2</v>
      </c>
      <c r="AS60" s="15">
        <v>4.0369113159587099E-2</v>
      </c>
      <c r="AT60" s="15">
        <v>2.7459823549445976E-2</v>
      </c>
      <c r="AU60" s="15">
        <v>3.6558359144112991E-2</v>
      </c>
      <c r="AV60" s="15">
        <v>3.4177568846607546E-2</v>
      </c>
      <c r="AW60" s="15">
        <v>5.4036209391434206E-2</v>
      </c>
      <c r="AX60" s="15">
        <v>1.8193764857429778E-2</v>
      </c>
      <c r="AY60" s="15">
        <v>1.5148786629767949E-2</v>
      </c>
      <c r="AZ60" s="15">
        <v>7.5678070704385484E-3</v>
      </c>
      <c r="BA60" s="17">
        <v>4.3576778169520554E-3</v>
      </c>
      <c r="BB60" s="16">
        <v>7.2396220164435811E-3</v>
      </c>
      <c r="BC60" s="51">
        <f t="shared" si="0"/>
        <v>1</v>
      </c>
    </row>
    <row r="61" spans="6:58" x14ac:dyDescent="0.2">
      <c r="F61" s="32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  <c r="AA61" s="42"/>
      <c r="AB61" s="42"/>
      <c r="AC61" s="53"/>
      <c r="AE61" s="32"/>
      <c r="AF61" s="33"/>
    </row>
    <row r="63" spans="6:58" ht="15" x14ac:dyDescent="0.25">
      <c r="AI63" s="27" t="s">
        <v>30</v>
      </c>
      <c r="AJ63" s="28"/>
      <c r="AK63" s="28"/>
      <c r="AL63" s="28"/>
      <c r="AM63" s="28"/>
      <c r="AN63" s="28"/>
      <c r="AO63" s="28"/>
      <c r="AP63" s="28"/>
      <c r="AQ63" s="28"/>
      <c r="AR63" s="28"/>
      <c r="AS63" s="28"/>
      <c r="AT63" s="28"/>
      <c r="AU63" s="28"/>
      <c r="AV63" s="28"/>
      <c r="AW63" s="28"/>
      <c r="AX63" s="28"/>
      <c r="AY63" s="28"/>
      <c r="AZ63" s="28"/>
      <c r="BA63" s="28"/>
      <c r="BB63" s="28"/>
      <c r="BC63" s="49"/>
    </row>
    <row r="64" spans="6:58" ht="39" x14ac:dyDescent="0.25">
      <c r="AI64" s="13" t="s">
        <v>0</v>
      </c>
      <c r="AJ64" s="13" t="s">
        <v>1</v>
      </c>
      <c r="AK64" s="14" t="s">
        <v>4</v>
      </c>
      <c r="AL64" s="14" t="s">
        <v>28</v>
      </c>
      <c r="AM64" s="14" t="s">
        <v>2</v>
      </c>
      <c r="AN64" s="14" t="s">
        <v>5</v>
      </c>
      <c r="AO64" s="14" t="s">
        <v>8</v>
      </c>
      <c r="AP64" s="14" t="s">
        <v>29</v>
      </c>
      <c r="AQ64" s="14" t="s">
        <v>3</v>
      </c>
      <c r="AR64" s="14" t="s">
        <v>6</v>
      </c>
      <c r="AS64" s="14" t="s">
        <v>9</v>
      </c>
      <c r="AT64" s="14" t="s">
        <v>12</v>
      </c>
      <c r="AU64" s="14" t="s">
        <v>7</v>
      </c>
      <c r="AV64" s="14" t="s">
        <v>10</v>
      </c>
      <c r="AW64" s="14" t="s">
        <v>13</v>
      </c>
      <c r="AX64" s="14" t="s">
        <v>11</v>
      </c>
      <c r="AY64" s="14" t="s">
        <v>14</v>
      </c>
      <c r="AZ64" s="14" t="s">
        <v>15</v>
      </c>
      <c r="BA64" s="13" t="s">
        <v>16</v>
      </c>
      <c r="BB64" s="14" t="s">
        <v>17</v>
      </c>
      <c r="BC64" s="50" t="s">
        <v>24</v>
      </c>
    </row>
    <row r="65" spans="35:55" x14ac:dyDescent="0.2">
      <c r="AI65" s="4">
        <v>40633</v>
      </c>
      <c r="AJ65" s="24">
        <f t="shared" ref="AJ65:AJ96" si="3">G8*AJ8</f>
        <v>0</v>
      </c>
      <c r="AK65" s="24">
        <f t="shared" ref="AK65:BB65" si="4">H8*AK8</f>
        <v>0</v>
      </c>
      <c r="AL65" s="24">
        <f t="shared" si="4"/>
        <v>0</v>
      </c>
      <c r="AM65" s="24">
        <f t="shared" si="4"/>
        <v>0</v>
      </c>
      <c r="AN65" s="24">
        <f t="shared" si="4"/>
        <v>0</v>
      </c>
      <c r="AO65" s="24">
        <f t="shared" si="4"/>
        <v>0.19426940743160775</v>
      </c>
      <c r="AP65" s="24">
        <f t="shared" si="4"/>
        <v>0</v>
      </c>
      <c r="AQ65" s="24">
        <f t="shared" si="4"/>
        <v>0</v>
      </c>
      <c r="AR65" s="24">
        <f t="shared" si="4"/>
        <v>0</v>
      </c>
      <c r="AS65" s="24">
        <f t="shared" si="4"/>
        <v>0.91289559438924583</v>
      </c>
      <c r="AT65" s="24">
        <f t="shared" si="4"/>
        <v>0.78309191439817027</v>
      </c>
      <c r="AU65" s="24">
        <f t="shared" si="4"/>
        <v>0</v>
      </c>
      <c r="AV65" s="24">
        <f t="shared" si="4"/>
        <v>0.75494034446277414</v>
      </c>
      <c r="AW65" s="24">
        <f t="shared" si="4"/>
        <v>1.5662942466816236</v>
      </c>
      <c r="AX65" s="24">
        <f t="shared" si="4"/>
        <v>0.32706757431121647</v>
      </c>
      <c r="AY65" s="24">
        <f t="shared" si="4"/>
        <v>0.3209251468092636</v>
      </c>
      <c r="AZ65" s="24">
        <f t="shared" si="4"/>
        <v>0.26256775407087318</v>
      </c>
      <c r="BA65" s="24">
        <f t="shared" si="4"/>
        <v>0.1237934793289539</v>
      </c>
      <c r="BB65" s="24">
        <f t="shared" si="4"/>
        <v>0.15815760300404103</v>
      </c>
      <c r="BC65" s="52">
        <f>SUM(AJ65:BB65)</f>
        <v>5.4040030648877693</v>
      </c>
    </row>
    <row r="66" spans="35:55" x14ac:dyDescent="0.2">
      <c r="AI66" s="4">
        <v>40662</v>
      </c>
      <c r="AJ66" s="24">
        <f t="shared" si="3"/>
        <v>0</v>
      </c>
      <c r="AK66" s="24">
        <f t="shared" ref="AK66:AK97" si="5">H9*AK9</f>
        <v>0</v>
      </c>
      <c r="AL66" s="24">
        <f t="shared" ref="AL66:AL97" si="6">I9*AL9</f>
        <v>0</v>
      </c>
      <c r="AM66" s="24">
        <f t="shared" ref="AM66:AM97" si="7">J9*AM9</f>
        <v>0</v>
      </c>
      <c r="AN66" s="24">
        <f t="shared" ref="AN66:AN97" si="8">K9*AN9</f>
        <v>0</v>
      </c>
      <c r="AO66" s="24">
        <f t="shared" ref="AO66:AO97" si="9">L9*AO9</f>
        <v>0.19655332428244604</v>
      </c>
      <c r="AP66" s="24">
        <f t="shared" ref="AP66:AP97" si="10">M9*AP9</f>
        <v>0</v>
      </c>
      <c r="AQ66" s="24">
        <f t="shared" ref="AQ66:AQ97" si="11">N9*AQ9</f>
        <v>0</v>
      </c>
      <c r="AR66" s="24">
        <f t="shared" ref="AR66:AR97" si="12">O9*AR9</f>
        <v>0</v>
      </c>
      <c r="AS66" s="24">
        <f t="shared" ref="AS66:AS97" si="13">P9*AS9</f>
        <v>0.92813469969945039</v>
      </c>
      <c r="AT66" s="24">
        <f t="shared" ref="AT66:AT97" si="14">Q9*AT9</f>
        <v>0.7912811799947278</v>
      </c>
      <c r="AU66" s="24">
        <f t="shared" ref="AU66:AU97" si="15">R9*AU9</f>
        <v>0</v>
      </c>
      <c r="AV66" s="24">
        <f t="shared" ref="AV66:AV97" si="16">S9*AV9</f>
        <v>0.76309871720791389</v>
      </c>
      <c r="AW66" s="24">
        <f t="shared" ref="AW66:AW97" si="17">T9*AW9</f>
        <v>1.584653672985201</v>
      </c>
      <c r="AX66" s="24">
        <f t="shared" ref="AX66:AX97" si="18">U9*AX9</f>
        <v>0.33478405057425553</v>
      </c>
      <c r="AY66" s="24">
        <f t="shared" ref="AY66:AY97" si="19">V9*AY9</f>
        <v>0.33111522873141552</v>
      </c>
      <c r="AZ66" s="24">
        <f t="shared" ref="AZ66:AZ97" si="20">W9*AZ9</f>
        <v>0.26206981195680296</v>
      </c>
      <c r="BA66" s="24">
        <f t="shared" ref="BA66:BA97" si="21">X9*BA9</f>
        <v>0.1225632783619916</v>
      </c>
      <c r="BB66" s="24">
        <f t="shared" ref="BB66:BB97" si="22">Y9*BB9</f>
        <v>0.15702832838189112</v>
      </c>
      <c r="BC66" s="52">
        <f t="shared" ref="BC66:BC114" si="23">SUM(AJ66:BB66)</f>
        <v>5.4712822921760953</v>
      </c>
    </row>
    <row r="67" spans="35:55" x14ac:dyDescent="0.2">
      <c r="AI67" s="4">
        <v>40694</v>
      </c>
      <c r="AJ67" s="24">
        <f t="shared" si="3"/>
        <v>0</v>
      </c>
      <c r="AK67" s="24">
        <f t="shared" si="5"/>
        <v>0</v>
      </c>
      <c r="AL67" s="24">
        <f t="shared" si="6"/>
        <v>0</v>
      </c>
      <c r="AM67" s="24">
        <f t="shared" si="7"/>
        <v>0</v>
      </c>
      <c r="AN67" s="24">
        <f t="shared" si="8"/>
        <v>0</v>
      </c>
      <c r="AO67" s="24">
        <f t="shared" si="9"/>
        <v>0.20173043627035467</v>
      </c>
      <c r="AP67" s="24">
        <f t="shared" si="10"/>
        <v>0</v>
      </c>
      <c r="AQ67" s="24">
        <f t="shared" si="11"/>
        <v>0</v>
      </c>
      <c r="AR67" s="24">
        <f t="shared" si="12"/>
        <v>0</v>
      </c>
      <c r="AS67" s="24">
        <f t="shared" si="13"/>
        <v>0.94642976844309334</v>
      </c>
      <c r="AT67" s="24">
        <f t="shared" si="14"/>
        <v>0.80442181530395451</v>
      </c>
      <c r="AU67" s="24">
        <f t="shared" si="15"/>
        <v>0</v>
      </c>
      <c r="AV67" s="24">
        <f t="shared" si="16"/>
        <v>0.77192943110337431</v>
      </c>
      <c r="AW67" s="24">
        <f t="shared" si="17"/>
        <v>1.5785639500324939</v>
      </c>
      <c r="AX67" s="24">
        <f t="shared" si="18"/>
        <v>0.33685514710436765</v>
      </c>
      <c r="AY67" s="24">
        <f t="shared" si="19"/>
        <v>0.32568320423590924</v>
      </c>
      <c r="AZ67" s="24">
        <f t="shared" si="20"/>
        <v>0.24980441728745881</v>
      </c>
      <c r="BA67" s="24">
        <f t="shared" si="21"/>
        <v>0.1208779798913653</v>
      </c>
      <c r="BB67" s="24">
        <f t="shared" si="22"/>
        <v>0.1591412916805017</v>
      </c>
      <c r="BC67" s="52">
        <f t="shared" si="23"/>
        <v>5.4954374413528742</v>
      </c>
    </row>
    <row r="68" spans="35:55" x14ac:dyDescent="0.2">
      <c r="AI68" s="4">
        <v>40724</v>
      </c>
      <c r="AJ68" s="24">
        <f t="shared" si="3"/>
        <v>0</v>
      </c>
      <c r="AK68" s="24">
        <f t="shared" si="5"/>
        <v>0</v>
      </c>
      <c r="AL68" s="24">
        <f t="shared" si="6"/>
        <v>0</v>
      </c>
      <c r="AM68" s="24">
        <f t="shared" si="7"/>
        <v>0</v>
      </c>
      <c r="AN68" s="24">
        <f t="shared" si="8"/>
        <v>0</v>
      </c>
      <c r="AO68" s="24">
        <f t="shared" si="9"/>
        <v>0.20465914794087278</v>
      </c>
      <c r="AP68" s="24">
        <f t="shared" si="10"/>
        <v>0</v>
      </c>
      <c r="AQ68" s="24">
        <f t="shared" si="11"/>
        <v>0</v>
      </c>
      <c r="AR68" s="24">
        <f t="shared" si="12"/>
        <v>0</v>
      </c>
      <c r="AS68" s="24">
        <f t="shared" si="13"/>
        <v>0.9608942671920242</v>
      </c>
      <c r="AT68" s="24">
        <f t="shared" si="14"/>
        <v>0.80487731940629292</v>
      </c>
      <c r="AU68" s="24">
        <f t="shared" si="15"/>
        <v>0</v>
      </c>
      <c r="AV68" s="24">
        <f t="shared" si="16"/>
        <v>0.7858628557659042</v>
      </c>
      <c r="AW68" s="24">
        <f t="shared" si="17"/>
        <v>1.5816760892888277</v>
      </c>
      <c r="AX68" s="24">
        <f t="shared" si="18"/>
        <v>0.3466658316214361</v>
      </c>
      <c r="AY68" s="24">
        <f t="shared" si="19"/>
        <v>0.3299343436781681</v>
      </c>
      <c r="AZ68" s="24">
        <f t="shared" si="20"/>
        <v>0.24708249753488598</v>
      </c>
      <c r="BA68" s="24">
        <f t="shared" si="21"/>
        <v>0.12073747052144346</v>
      </c>
      <c r="BB68" s="24">
        <f t="shared" si="22"/>
        <v>0.15917741534936228</v>
      </c>
      <c r="BC68" s="52">
        <f t="shared" si="23"/>
        <v>5.5415672382992183</v>
      </c>
    </row>
    <row r="69" spans="35:55" x14ac:dyDescent="0.2">
      <c r="AI69" s="4">
        <v>40753</v>
      </c>
      <c r="AJ69" s="24">
        <f t="shared" si="3"/>
        <v>0</v>
      </c>
      <c r="AK69" s="24">
        <f t="shared" si="5"/>
        <v>0</v>
      </c>
      <c r="AL69" s="24">
        <f t="shared" si="6"/>
        <v>0</v>
      </c>
      <c r="AM69" s="24">
        <f t="shared" si="7"/>
        <v>0</v>
      </c>
      <c r="AN69" s="24">
        <f t="shared" si="8"/>
        <v>0</v>
      </c>
      <c r="AO69" s="24">
        <f t="shared" si="9"/>
        <v>0.20001887336827151</v>
      </c>
      <c r="AP69" s="24">
        <f t="shared" si="10"/>
        <v>0</v>
      </c>
      <c r="AQ69" s="24">
        <f t="shared" si="11"/>
        <v>0</v>
      </c>
      <c r="AR69" s="24">
        <f t="shared" si="12"/>
        <v>0</v>
      </c>
      <c r="AS69" s="24">
        <f t="shared" si="13"/>
        <v>0.92397020022286858</v>
      </c>
      <c r="AT69" s="24">
        <f t="shared" si="14"/>
        <v>0.76466881886098903</v>
      </c>
      <c r="AU69" s="24">
        <f t="shared" si="15"/>
        <v>0</v>
      </c>
      <c r="AV69" s="24">
        <f t="shared" si="16"/>
        <v>0.73449703779419984</v>
      </c>
      <c r="AW69" s="24">
        <f t="shared" si="17"/>
        <v>1.46083415691369</v>
      </c>
      <c r="AX69" s="24">
        <f t="shared" si="18"/>
        <v>0.32268814379984673</v>
      </c>
      <c r="AY69" s="24">
        <f t="shared" si="19"/>
        <v>0.30230813318830929</v>
      </c>
      <c r="AZ69" s="24">
        <f t="shared" si="20"/>
        <v>0.23241269197830272</v>
      </c>
      <c r="BA69" s="24">
        <f t="shared" si="21"/>
        <v>0.11407613926176907</v>
      </c>
      <c r="BB69" s="24">
        <f t="shared" si="22"/>
        <v>0.15254069805597825</v>
      </c>
      <c r="BC69" s="52">
        <f t="shared" si="23"/>
        <v>5.2080148934442265</v>
      </c>
    </row>
    <row r="70" spans="35:55" x14ac:dyDescent="0.2">
      <c r="AI70" s="4">
        <v>40786</v>
      </c>
      <c r="AJ70" s="24">
        <f t="shared" si="3"/>
        <v>0</v>
      </c>
      <c r="AK70" s="24">
        <f t="shared" si="5"/>
        <v>0</v>
      </c>
      <c r="AL70" s="24">
        <f t="shared" si="6"/>
        <v>0</v>
      </c>
      <c r="AM70" s="24">
        <f t="shared" si="7"/>
        <v>0</v>
      </c>
      <c r="AN70" s="24">
        <f t="shared" si="8"/>
        <v>0</v>
      </c>
      <c r="AO70" s="24">
        <f t="shared" si="9"/>
        <v>0.17817213982137964</v>
      </c>
      <c r="AP70" s="24">
        <f t="shared" si="10"/>
        <v>0</v>
      </c>
      <c r="AQ70" s="24">
        <f t="shared" si="11"/>
        <v>0</v>
      </c>
      <c r="AR70" s="24">
        <f t="shared" si="12"/>
        <v>0</v>
      </c>
      <c r="AS70" s="24">
        <f t="shared" si="13"/>
        <v>0.76844345821132121</v>
      </c>
      <c r="AT70" s="24">
        <f t="shared" si="14"/>
        <v>0.63620853000024635</v>
      </c>
      <c r="AU70" s="24">
        <f t="shared" si="15"/>
        <v>0</v>
      </c>
      <c r="AV70" s="24">
        <f t="shared" si="16"/>
        <v>0.54551704980004512</v>
      </c>
      <c r="AW70" s="24">
        <f t="shared" si="17"/>
        <v>1.0860161902304808</v>
      </c>
      <c r="AX70" s="24">
        <f t="shared" si="18"/>
        <v>0.24930881846916392</v>
      </c>
      <c r="AY70" s="24">
        <f t="shared" si="19"/>
        <v>0.22973416939335092</v>
      </c>
      <c r="AZ70" s="24">
        <f t="shared" si="20"/>
        <v>0.19049838926268003</v>
      </c>
      <c r="BA70" s="24">
        <f t="shared" si="21"/>
        <v>9.8132881599576297E-2</v>
      </c>
      <c r="BB70" s="24">
        <f t="shared" si="22"/>
        <v>0.1379401350559252</v>
      </c>
      <c r="BC70" s="52">
        <f t="shared" si="23"/>
        <v>4.1199717618441705</v>
      </c>
    </row>
    <row r="71" spans="35:55" x14ac:dyDescent="0.2">
      <c r="AI71" s="4">
        <v>40816</v>
      </c>
      <c r="AJ71" s="24">
        <f t="shared" si="3"/>
        <v>0</v>
      </c>
      <c r="AK71" s="24">
        <f t="shared" si="5"/>
        <v>0</v>
      </c>
      <c r="AL71" s="24">
        <f t="shared" si="6"/>
        <v>0</v>
      </c>
      <c r="AM71" s="24">
        <f t="shared" si="7"/>
        <v>0</v>
      </c>
      <c r="AN71" s="24">
        <f t="shared" si="8"/>
        <v>0</v>
      </c>
      <c r="AO71" s="24">
        <f t="shared" si="9"/>
        <v>0.14997670482920095</v>
      </c>
      <c r="AP71" s="24">
        <f t="shared" si="10"/>
        <v>0</v>
      </c>
      <c r="AQ71" s="24">
        <f t="shared" si="11"/>
        <v>0</v>
      </c>
      <c r="AR71" s="24">
        <f t="shared" si="12"/>
        <v>0</v>
      </c>
      <c r="AS71" s="24">
        <f t="shared" si="13"/>
        <v>0.61502039608772185</v>
      </c>
      <c r="AT71" s="24">
        <f t="shared" si="14"/>
        <v>0.49291713033037454</v>
      </c>
      <c r="AU71" s="24">
        <f t="shared" si="15"/>
        <v>0</v>
      </c>
      <c r="AV71" s="24">
        <f t="shared" si="16"/>
        <v>0.44768096413103609</v>
      </c>
      <c r="AW71" s="24">
        <f t="shared" si="17"/>
        <v>0.85610382048690825</v>
      </c>
      <c r="AX71" s="24">
        <f t="shared" si="18"/>
        <v>0.21276931304226923</v>
      </c>
      <c r="AY71" s="24">
        <f t="shared" si="19"/>
        <v>0.18864545417123971</v>
      </c>
      <c r="AZ71" s="24">
        <f t="shared" si="20"/>
        <v>0.15310080581040911</v>
      </c>
      <c r="BA71" s="24">
        <f t="shared" si="21"/>
        <v>8.1716343138592495E-2</v>
      </c>
      <c r="BB71" s="24">
        <f t="shared" si="22"/>
        <v>0.11944067784408073</v>
      </c>
      <c r="BC71" s="52">
        <f t="shared" si="23"/>
        <v>3.3173716098718331</v>
      </c>
    </row>
    <row r="72" spans="35:55" x14ac:dyDescent="0.2">
      <c r="AI72" s="4">
        <v>40847</v>
      </c>
      <c r="AJ72" s="24">
        <f t="shared" si="3"/>
        <v>0</v>
      </c>
      <c r="AK72" s="24">
        <f t="shared" si="5"/>
        <v>0</v>
      </c>
      <c r="AL72" s="24">
        <f t="shared" si="6"/>
        <v>0</v>
      </c>
      <c r="AM72" s="24">
        <f t="shared" si="7"/>
        <v>0</v>
      </c>
      <c r="AN72" s="24">
        <f t="shared" si="8"/>
        <v>0</v>
      </c>
      <c r="AO72" s="24">
        <f t="shared" si="9"/>
        <v>0.14860666399010908</v>
      </c>
      <c r="AP72" s="24">
        <f t="shared" si="10"/>
        <v>0</v>
      </c>
      <c r="AQ72" s="24">
        <f t="shared" si="11"/>
        <v>0</v>
      </c>
      <c r="AR72" s="24">
        <f t="shared" si="12"/>
        <v>0</v>
      </c>
      <c r="AS72" s="24">
        <f t="shared" si="13"/>
        <v>0.61055134197080141</v>
      </c>
      <c r="AT72" s="24">
        <f t="shared" si="14"/>
        <v>0.50570658065986629</v>
      </c>
      <c r="AU72" s="24">
        <f t="shared" si="15"/>
        <v>0</v>
      </c>
      <c r="AV72" s="24">
        <f t="shared" si="16"/>
        <v>0.48456655925999453</v>
      </c>
      <c r="AW72" s="24">
        <f t="shared" si="17"/>
        <v>0.90853739191010208</v>
      </c>
      <c r="AX72" s="24">
        <f t="shared" si="18"/>
        <v>0.24636454292608673</v>
      </c>
      <c r="AY72" s="24">
        <f t="shared" si="19"/>
        <v>0.22369316494209765</v>
      </c>
      <c r="AZ72" s="24">
        <f t="shared" si="20"/>
        <v>0.15021306017286329</v>
      </c>
      <c r="BA72" s="24">
        <f t="shared" si="21"/>
        <v>7.9328490092501508E-2</v>
      </c>
      <c r="BB72" s="24">
        <f t="shared" si="22"/>
        <v>0.11451005139508386</v>
      </c>
      <c r="BC72" s="52">
        <f t="shared" si="23"/>
        <v>3.4720778473195062</v>
      </c>
    </row>
    <row r="73" spans="35:55" x14ac:dyDescent="0.2">
      <c r="AI73" s="4">
        <v>40877</v>
      </c>
      <c r="AJ73" s="24">
        <f t="shared" si="3"/>
        <v>0</v>
      </c>
      <c r="AK73" s="24">
        <f t="shared" si="5"/>
        <v>0</v>
      </c>
      <c r="AL73" s="24">
        <f t="shared" si="6"/>
        <v>0</v>
      </c>
      <c r="AM73" s="24">
        <f t="shared" si="7"/>
        <v>0</v>
      </c>
      <c r="AN73" s="24">
        <f t="shared" si="8"/>
        <v>0</v>
      </c>
      <c r="AO73" s="24">
        <f t="shared" si="9"/>
        <v>0.14710392502833058</v>
      </c>
      <c r="AP73" s="24">
        <f t="shared" si="10"/>
        <v>0</v>
      </c>
      <c r="AQ73" s="24">
        <f t="shared" si="11"/>
        <v>0</v>
      </c>
      <c r="AR73" s="24">
        <f t="shared" si="12"/>
        <v>0</v>
      </c>
      <c r="AS73" s="24">
        <f t="shared" si="13"/>
        <v>0.59530649993966023</v>
      </c>
      <c r="AT73" s="24">
        <f t="shared" si="14"/>
        <v>0.47421658388517574</v>
      </c>
      <c r="AU73" s="24">
        <f t="shared" si="15"/>
        <v>0</v>
      </c>
      <c r="AV73" s="24">
        <f t="shared" si="16"/>
        <v>0.49655375765760706</v>
      </c>
      <c r="AW73" s="24">
        <f t="shared" si="17"/>
        <v>0.88451046470770955</v>
      </c>
      <c r="AX73" s="24">
        <f t="shared" si="18"/>
        <v>0.25640086300930792</v>
      </c>
      <c r="AY73" s="24">
        <f t="shared" si="19"/>
        <v>0.2282440279186497</v>
      </c>
      <c r="AZ73" s="24">
        <f t="shared" si="20"/>
        <v>0.1568060720737722</v>
      </c>
      <c r="BA73" s="24">
        <f t="shared" si="21"/>
        <v>8.4837956805826675E-2</v>
      </c>
      <c r="BB73" s="24">
        <f t="shared" si="22"/>
        <v>0.12071413565568391</v>
      </c>
      <c r="BC73" s="52">
        <f t="shared" si="23"/>
        <v>3.4446942866817238</v>
      </c>
    </row>
    <row r="74" spans="35:55" x14ac:dyDescent="0.2">
      <c r="AI74" s="4">
        <v>40907</v>
      </c>
      <c r="AJ74" s="24">
        <f t="shared" si="3"/>
        <v>0</v>
      </c>
      <c r="AK74" s="24">
        <f t="shared" si="5"/>
        <v>0</v>
      </c>
      <c r="AL74" s="24">
        <f t="shared" si="6"/>
        <v>0</v>
      </c>
      <c r="AM74" s="24">
        <f t="shared" si="7"/>
        <v>0</v>
      </c>
      <c r="AN74" s="24">
        <f t="shared" si="8"/>
        <v>0</v>
      </c>
      <c r="AO74" s="24">
        <f t="shared" si="9"/>
        <v>0.1450043216586426</v>
      </c>
      <c r="AP74" s="24">
        <f t="shared" si="10"/>
        <v>0</v>
      </c>
      <c r="AQ74" s="24">
        <f t="shared" si="11"/>
        <v>0</v>
      </c>
      <c r="AR74" s="24">
        <f t="shared" si="12"/>
        <v>0</v>
      </c>
      <c r="AS74" s="24">
        <f t="shared" si="13"/>
        <v>0.58320458274985054</v>
      </c>
      <c r="AT74" s="24">
        <f t="shared" si="14"/>
        <v>0.45086981232511575</v>
      </c>
      <c r="AU74" s="24">
        <f t="shared" si="15"/>
        <v>0</v>
      </c>
      <c r="AV74" s="24">
        <f t="shared" si="16"/>
        <v>0.49786382214119995</v>
      </c>
      <c r="AW74" s="24">
        <f t="shared" si="17"/>
        <v>0.85963016835478667</v>
      </c>
      <c r="AX74" s="24">
        <f t="shared" si="18"/>
        <v>0.25773922384467735</v>
      </c>
      <c r="AY74" s="24">
        <f t="shared" si="19"/>
        <v>0.22285396678314423</v>
      </c>
      <c r="AZ74" s="24">
        <f t="shared" si="20"/>
        <v>0.14770476434905891</v>
      </c>
      <c r="BA74" s="24">
        <f t="shared" si="21"/>
        <v>8.2378302555954325E-2</v>
      </c>
      <c r="BB74" s="24">
        <f t="shared" si="22"/>
        <v>0.11870994573502772</v>
      </c>
      <c r="BC74" s="52">
        <f t="shared" si="23"/>
        <v>3.3659589104974579</v>
      </c>
    </row>
    <row r="75" spans="35:55" x14ac:dyDescent="0.2">
      <c r="AI75" s="4">
        <v>40939</v>
      </c>
      <c r="AJ75" s="24">
        <f t="shared" si="3"/>
        <v>0</v>
      </c>
      <c r="AK75" s="24">
        <f t="shared" si="5"/>
        <v>0</v>
      </c>
      <c r="AL75" s="24">
        <f t="shared" si="6"/>
        <v>0</v>
      </c>
      <c r="AM75" s="24">
        <f t="shared" si="7"/>
        <v>0</v>
      </c>
      <c r="AN75" s="24">
        <f t="shared" si="8"/>
        <v>0</v>
      </c>
      <c r="AO75" s="24">
        <f t="shared" si="9"/>
        <v>0.13739045484361589</v>
      </c>
      <c r="AP75" s="24">
        <f t="shared" si="10"/>
        <v>0</v>
      </c>
      <c r="AQ75" s="24">
        <f t="shared" si="11"/>
        <v>0</v>
      </c>
      <c r="AR75" s="24">
        <f t="shared" si="12"/>
        <v>0</v>
      </c>
      <c r="AS75" s="24">
        <f t="shared" si="13"/>
        <v>0.53729833402507354</v>
      </c>
      <c r="AT75" s="24">
        <f t="shared" si="14"/>
        <v>0.39626079388311686</v>
      </c>
      <c r="AU75" s="24">
        <f t="shared" si="15"/>
        <v>0</v>
      </c>
      <c r="AV75" s="24">
        <f t="shared" si="16"/>
        <v>0.45519550529008324</v>
      </c>
      <c r="AW75" s="24">
        <f t="shared" si="17"/>
        <v>0.76655847972053281</v>
      </c>
      <c r="AX75" s="24">
        <f t="shared" si="18"/>
        <v>0.23550551018571933</v>
      </c>
      <c r="AY75" s="24">
        <f t="shared" si="19"/>
        <v>0.19926243626042373</v>
      </c>
      <c r="AZ75" s="24">
        <f t="shared" si="20"/>
        <v>0.14304776762561006</v>
      </c>
      <c r="BA75" s="24">
        <f t="shared" si="21"/>
        <v>7.8749440999215811E-2</v>
      </c>
      <c r="BB75" s="24">
        <f t="shared" si="22"/>
        <v>0.11611248014418632</v>
      </c>
      <c r="BC75" s="52">
        <f t="shared" si="23"/>
        <v>3.0653812029775778</v>
      </c>
    </row>
    <row r="76" spans="35:55" x14ac:dyDescent="0.2">
      <c r="AI76" s="4">
        <v>40968</v>
      </c>
      <c r="AJ76" s="24">
        <f t="shared" si="3"/>
        <v>0</v>
      </c>
      <c r="AK76" s="24">
        <f t="shared" si="5"/>
        <v>0</v>
      </c>
      <c r="AL76" s="24">
        <f t="shared" si="6"/>
        <v>0</v>
      </c>
      <c r="AM76" s="24">
        <f t="shared" si="7"/>
        <v>0</v>
      </c>
      <c r="AN76" s="24">
        <f t="shared" si="8"/>
        <v>0</v>
      </c>
      <c r="AO76" s="24">
        <f t="shared" si="9"/>
        <v>0.15546898783324126</v>
      </c>
      <c r="AP76" s="24">
        <f t="shared" si="10"/>
        <v>0</v>
      </c>
      <c r="AQ76" s="24">
        <f t="shared" si="11"/>
        <v>0</v>
      </c>
      <c r="AR76" s="24">
        <f t="shared" si="12"/>
        <v>0</v>
      </c>
      <c r="AS76" s="24">
        <f t="shared" si="13"/>
        <v>0.62706689664988213</v>
      </c>
      <c r="AT76" s="24">
        <f t="shared" si="14"/>
        <v>0.44883611824343195</v>
      </c>
      <c r="AU76" s="24">
        <f t="shared" si="15"/>
        <v>0</v>
      </c>
      <c r="AV76" s="24">
        <f t="shared" si="16"/>
        <v>0.51609761857956393</v>
      </c>
      <c r="AW76" s="24">
        <f t="shared" si="17"/>
        <v>0.86042462876318115</v>
      </c>
      <c r="AX76" s="24">
        <f t="shared" si="18"/>
        <v>0.26138420084205533</v>
      </c>
      <c r="AY76" s="24">
        <f t="shared" si="19"/>
        <v>0.21953220398419168</v>
      </c>
      <c r="AZ76" s="24">
        <f t="shared" si="20"/>
        <v>0.15246058536469598</v>
      </c>
      <c r="BA76" s="24">
        <f t="shared" si="21"/>
        <v>8.4964858830242393E-2</v>
      </c>
      <c r="BB76" s="24">
        <f t="shared" si="22"/>
        <v>0.1229193383744019</v>
      </c>
      <c r="BC76" s="52">
        <f t="shared" si="23"/>
        <v>3.4491554374648876</v>
      </c>
    </row>
    <row r="77" spans="35:55" x14ac:dyDescent="0.2">
      <c r="AI77" s="4">
        <v>40998</v>
      </c>
      <c r="AJ77" s="24">
        <f t="shared" si="3"/>
        <v>0</v>
      </c>
      <c r="AK77" s="24">
        <f t="shared" si="5"/>
        <v>0</v>
      </c>
      <c r="AL77" s="24">
        <f t="shared" si="6"/>
        <v>0</v>
      </c>
      <c r="AM77" s="24">
        <f t="shared" si="7"/>
        <v>0</v>
      </c>
      <c r="AN77" s="24">
        <f t="shared" si="8"/>
        <v>0</v>
      </c>
      <c r="AO77" s="24">
        <f t="shared" si="9"/>
        <v>0.13891365804622596</v>
      </c>
      <c r="AP77" s="24">
        <f t="shared" si="10"/>
        <v>0</v>
      </c>
      <c r="AQ77" s="24">
        <f t="shared" si="11"/>
        <v>0</v>
      </c>
      <c r="AR77" s="24">
        <f t="shared" si="12"/>
        <v>0.48559358705553607</v>
      </c>
      <c r="AS77" s="24">
        <f t="shared" si="13"/>
        <v>0.56706923690980671</v>
      </c>
      <c r="AT77" s="24">
        <f t="shared" si="14"/>
        <v>0.41568935724034961</v>
      </c>
      <c r="AU77" s="24">
        <f t="shared" si="15"/>
        <v>0.46365863619983044</v>
      </c>
      <c r="AV77" s="24">
        <f t="shared" si="16"/>
        <v>0.45547291739873613</v>
      </c>
      <c r="AW77" s="24">
        <f t="shared" si="17"/>
        <v>0.76636162125215124</v>
      </c>
      <c r="AX77" s="24">
        <f t="shared" si="18"/>
        <v>0.22921374611615986</v>
      </c>
      <c r="AY77" s="24">
        <f t="shared" si="19"/>
        <v>0.19636959571140788</v>
      </c>
      <c r="AZ77" s="24">
        <f t="shared" si="20"/>
        <v>0.12816745536260249</v>
      </c>
      <c r="BA77" s="24">
        <f t="shared" si="21"/>
        <v>7.1819657109059201E-2</v>
      </c>
      <c r="BB77" s="24">
        <f t="shared" si="22"/>
        <v>0.10365559731820778</v>
      </c>
      <c r="BC77" s="52">
        <f t="shared" si="23"/>
        <v>4.0219850657200737</v>
      </c>
    </row>
    <row r="78" spans="35:55" x14ac:dyDescent="0.2">
      <c r="AI78" s="4">
        <v>41029</v>
      </c>
      <c r="AJ78" s="24">
        <f t="shared" si="3"/>
        <v>0</v>
      </c>
      <c r="AK78" s="24">
        <f t="shared" si="5"/>
        <v>0</v>
      </c>
      <c r="AL78" s="24">
        <f t="shared" si="6"/>
        <v>0</v>
      </c>
      <c r="AM78" s="24">
        <f t="shared" si="7"/>
        <v>0</v>
      </c>
      <c r="AN78" s="24">
        <f t="shared" si="8"/>
        <v>0</v>
      </c>
      <c r="AO78" s="24">
        <f t="shared" si="9"/>
        <v>0.13072890511357829</v>
      </c>
      <c r="AP78" s="24">
        <f t="shared" si="10"/>
        <v>0</v>
      </c>
      <c r="AQ78" s="24">
        <f t="shared" si="11"/>
        <v>0</v>
      </c>
      <c r="AR78" s="24">
        <f t="shared" si="12"/>
        <v>0.45888450680375503</v>
      </c>
      <c r="AS78" s="24">
        <f t="shared" si="13"/>
        <v>0.53038655008721958</v>
      </c>
      <c r="AT78" s="24">
        <f t="shared" si="14"/>
        <v>0.38174843697376709</v>
      </c>
      <c r="AU78" s="24">
        <f t="shared" si="15"/>
        <v>0.43711680936586494</v>
      </c>
      <c r="AV78" s="24">
        <f t="shared" si="16"/>
        <v>0.42285974305164831</v>
      </c>
      <c r="AW78" s="24">
        <f t="shared" si="17"/>
        <v>0.69736986561405467</v>
      </c>
      <c r="AX78" s="24">
        <f t="shared" si="18"/>
        <v>0.22342141483295808</v>
      </c>
      <c r="AY78" s="24">
        <f t="shared" si="19"/>
        <v>0.18957402225137662</v>
      </c>
      <c r="AZ78" s="24">
        <f t="shared" si="20"/>
        <v>0.12175298615335174</v>
      </c>
      <c r="BA78" s="24">
        <f t="shared" si="21"/>
        <v>6.8603503924835399E-2</v>
      </c>
      <c r="BB78" s="24">
        <f t="shared" si="22"/>
        <v>0.10689813652713269</v>
      </c>
      <c r="BC78" s="52">
        <f t="shared" si="23"/>
        <v>3.7693448806995424</v>
      </c>
    </row>
    <row r="79" spans="35:55" x14ac:dyDescent="0.2">
      <c r="AI79" s="4">
        <v>41060</v>
      </c>
      <c r="AJ79" s="24">
        <f t="shared" si="3"/>
        <v>0</v>
      </c>
      <c r="AK79" s="24">
        <f t="shared" si="5"/>
        <v>0</v>
      </c>
      <c r="AL79" s="24">
        <f t="shared" si="6"/>
        <v>0</v>
      </c>
      <c r="AM79" s="24">
        <f t="shared" si="7"/>
        <v>0</v>
      </c>
      <c r="AN79" s="24">
        <f t="shared" si="8"/>
        <v>0</v>
      </c>
      <c r="AO79" s="24">
        <f t="shared" si="9"/>
        <v>0.11133823167130733</v>
      </c>
      <c r="AP79" s="24">
        <f t="shared" si="10"/>
        <v>0</v>
      </c>
      <c r="AQ79" s="24">
        <f t="shared" si="11"/>
        <v>0</v>
      </c>
      <c r="AR79" s="24">
        <f t="shared" si="12"/>
        <v>0.40633642614499521</v>
      </c>
      <c r="AS79" s="24">
        <f t="shared" si="13"/>
        <v>0.45648526102111969</v>
      </c>
      <c r="AT79" s="24">
        <f t="shared" si="14"/>
        <v>0.31067492369078259</v>
      </c>
      <c r="AU79" s="24">
        <f t="shared" si="15"/>
        <v>0.39225233623754546</v>
      </c>
      <c r="AV79" s="24">
        <f t="shared" si="16"/>
        <v>0.37109215834010784</v>
      </c>
      <c r="AW79" s="24">
        <f t="shared" si="17"/>
        <v>0.59446633747948363</v>
      </c>
      <c r="AX79" s="24">
        <f t="shared" si="18"/>
        <v>0.20394596510037752</v>
      </c>
      <c r="AY79" s="24">
        <f t="shared" si="19"/>
        <v>0.16988121969618583</v>
      </c>
      <c r="AZ79" s="24">
        <f t="shared" si="20"/>
        <v>0.10846169416159933</v>
      </c>
      <c r="BA79" s="24">
        <f t="shared" si="21"/>
        <v>6.1997409918920235E-2</v>
      </c>
      <c r="BB79" s="24">
        <f t="shared" si="22"/>
        <v>0.10264091783944682</v>
      </c>
      <c r="BC79" s="52">
        <f t="shared" si="23"/>
        <v>3.2895728813018716</v>
      </c>
    </row>
    <row r="80" spans="35:55" x14ac:dyDescent="0.2">
      <c r="AI80" s="4">
        <v>41089</v>
      </c>
      <c r="AJ80" s="24">
        <f t="shared" si="3"/>
        <v>0</v>
      </c>
      <c r="AK80" s="24">
        <f t="shared" si="5"/>
        <v>0</v>
      </c>
      <c r="AL80" s="24">
        <f t="shared" si="6"/>
        <v>0</v>
      </c>
      <c r="AM80" s="24">
        <f t="shared" si="7"/>
        <v>0</v>
      </c>
      <c r="AN80" s="24">
        <f t="shared" si="8"/>
        <v>0</v>
      </c>
      <c r="AO80" s="24">
        <f t="shared" si="9"/>
        <v>0.1157444005169079</v>
      </c>
      <c r="AP80" s="24">
        <f t="shared" si="10"/>
        <v>0</v>
      </c>
      <c r="AQ80" s="24">
        <f t="shared" si="11"/>
        <v>0</v>
      </c>
      <c r="AR80" s="24">
        <f t="shared" si="12"/>
        <v>0.40392988003992736</v>
      </c>
      <c r="AS80" s="24">
        <f t="shared" si="13"/>
        <v>0.47189679405925727</v>
      </c>
      <c r="AT80" s="24">
        <f t="shared" si="14"/>
        <v>0.32526717594938181</v>
      </c>
      <c r="AU80" s="24">
        <f t="shared" si="15"/>
        <v>0.39788785873886845</v>
      </c>
      <c r="AV80" s="24">
        <f t="shared" si="16"/>
        <v>0.38415478164705164</v>
      </c>
      <c r="AW80" s="24">
        <f t="shared" si="17"/>
        <v>0.63001920201175099</v>
      </c>
      <c r="AX80" s="24">
        <f t="shared" si="18"/>
        <v>0.20839663688795421</v>
      </c>
      <c r="AY80" s="24">
        <f t="shared" si="19"/>
        <v>0.17400055800647143</v>
      </c>
      <c r="AZ80" s="24">
        <f t="shared" si="20"/>
        <v>0.10766543184419704</v>
      </c>
      <c r="BA80" s="24">
        <f t="shared" si="21"/>
        <v>6.0645503445366025E-2</v>
      </c>
      <c r="BB80" s="24">
        <f t="shared" si="22"/>
        <v>9.9623676323506355E-2</v>
      </c>
      <c r="BC80" s="52">
        <f t="shared" si="23"/>
        <v>3.3792318994706405</v>
      </c>
    </row>
    <row r="81" spans="35:55" x14ac:dyDescent="0.2">
      <c r="AI81" s="4">
        <v>41121</v>
      </c>
      <c r="AJ81" s="24">
        <f t="shared" si="3"/>
        <v>0</v>
      </c>
      <c r="AK81" s="24">
        <f t="shared" si="5"/>
        <v>0</v>
      </c>
      <c r="AL81" s="24">
        <f t="shared" si="6"/>
        <v>0</v>
      </c>
      <c r="AM81" s="24">
        <f t="shared" si="7"/>
        <v>0</v>
      </c>
      <c r="AN81" s="24">
        <f t="shared" si="8"/>
        <v>0</v>
      </c>
      <c r="AO81" s="24">
        <f t="shared" si="9"/>
        <v>0.10225804620300626</v>
      </c>
      <c r="AP81" s="24">
        <f t="shared" si="10"/>
        <v>0</v>
      </c>
      <c r="AQ81" s="24">
        <f t="shared" si="11"/>
        <v>0</v>
      </c>
      <c r="AR81" s="24">
        <f t="shared" si="12"/>
        <v>0.37916822996904354</v>
      </c>
      <c r="AS81" s="24">
        <f t="shared" si="13"/>
        <v>0.45352644885164783</v>
      </c>
      <c r="AT81" s="24">
        <f t="shared" si="14"/>
        <v>0.31619445087876513</v>
      </c>
      <c r="AU81" s="24">
        <f t="shared" si="15"/>
        <v>0.40818215740218816</v>
      </c>
      <c r="AV81" s="24">
        <f t="shared" si="16"/>
        <v>0.38642770461619974</v>
      </c>
      <c r="AW81" s="24">
        <f t="shared" si="17"/>
        <v>0.63307457361119512</v>
      </c>
      <c r="AX81" s="24">
        <f t="shared" si="18"/>
        <v>0.20851705719183303</v>
      </c>
      <c r="AY81" s="24">
        <f t="shared" si="19"/>
        <v>0.17225960950592475</v>
      </c>
      <c r="AZ81" s="24">
        <f t="shared" si="20"/>
        <v>0.1048501042562941</v>
      </c>
      <c r="BA81" s="24">
        <f t="shared" si="21"/>
        <v>5.8774822712357802E-2</v>
      </c>
      <c r="BB81" s="24">
        <f t="shared" si="22"/>
        <v>0.10015614718806895</v>
      </c>
      <c r="BC81" s="52">
        <f t="shared" si="23"/>
        <v>3.323389352386525</v>
      </c>
    </row>
    <row r="82" spans="35:55" x14ac:dyDescent="0.2">
      <c r="AI82" s="4">
        <v>41152</v>
      </c>
      <c r="AJ82" s="24">
        <f t="shared" si="3"/>
        <v>0</v>
      </c>
      <c r="AK82" s="24">
        <f t="shared" si="5"/>
        <v>0</v>
      </c>
      <c r="AL82" s="24">
        <f t="shared" si="6"/>
        <v>0</v>
      </c>
      <c r="AM82" s="24">
        <f t="shared" si="7"/>
        <v>0</v>
      </c>
      <c r="AN82" s="24">
        <f t="shared" si="8"/>
        <v>0</v>
      </c>
      <c r="AO82" s="24">
        <f t="shared" si="9"/>
        <v>0.11147983976555004</v>
      </c>
      <c r="AP82" s="24">
        <f t="shared" si="10"/>
        <v>0</v>
      </c>
      <c r="AQ82" s="24">
        <f t="shared" si="11"/>
        <v>0</v>
      </c>
      <c r="AR82" s="24">
        <f t="shared" si="12"/>
        <v>0.41440322984913358</v>
      </c>
      <c r="AS82" s="24">
        <f t="shared" si="13"/>
        <v>0.48996029290382453</v>
      </c>
      <c r="AT82" s="24">
        <f t="shared" si="14"/>
        <v>0.34139507142044728</v>
      </c>
      <c r="AU82" s="24">
        <f t="shared" si="15"/>
        <v>0.43388962425021815</v>
      </c>
      <c r="AV82" s="24">
        <f t="shared" si="16"/>
        <v>0.40543299465361321</v>
      </c>
      <c r="AW82" s="24">
        <f t="shared" si="17"/>
        <v>0.67322658660658685</v>
      </c>
      <c r="AX82" s="24">
        <f t="shared" si="18"/>
        <v>0.22026364252686417</v>
      </c>
      <c r="AY82" s="24">
        <f t="shared" si="19"/>
        <v>0.18593598956957216</v>
      </c>
      <c r="AZ82" s="24">
        <f t="shared" si="20"/>
        <v>0.10655642072856958</v>
      </c>
      <c r="BA82" s="24">
        <f t="shared" si="21"/>
        <v>6.0151274947786583E-2</v>
      </c>
      <c r="BB82" s="24">
        <f t="shared" si="22"/>
        <v>0.10037596340800965</v>
      </c>
      <c r="BC82" s="52">
        <f t="shared" si="23"/>
        <v>3.5430709306301758</v>
      </c>
    </row>
    <row r="83" spans="35:55" x14ac:dyDescent="0.2">
      <c r="AI83" s="4">
        <v>41180</v>
      </c>
      <c r="AJ83" s="24">
        <f t="shared" si="3"/>
        <v>0</v>
      </c>
      <c r="AK83" s="24">
        <f t="shared" si="5"/>
        <v>0</v>
      </c>
      <c r="AL83" s="24">
        <f t="shared" si="6"/>
        <v>0</v>
      </c>
      <c r="AM83" s="24">
        <f t="shared" si="7"/>
        <v>0</v>
      </c>
      <c r="AN83" s="24">
        <f t="shared" si="8"/>
        <v>0</v>
      </c>
      <c r="AO83" s="24">
        <f t="shared" si="9"/>
        <v>8.7864003255205297E-2</v>
      </c>
      <c r="AP83" s="24">
        <f t="shared" si="10"/>
        <v>0</v>
      </c>
      <c r="AQ83" s="24">
        <f t="shared" si="11"/>
        <v>0</v>
      </c>
      <c r="AR83" s="24">
        <f t="shared" si="12"/>
        <v>0.34744806951370144</v>
      </c>
      <c r="AS83" s="24">
        <f t="shared" si="13"/>
        <v>0.40886233768844416</v>
      </c>
      <c r="AT83" s="24">
        <f t="shared" si="14"/>
        <v>0.28735404076694432</v>
      </c>
      <c r="AU83" s="24">
        <f t="shared" si="15"/>
        <v>0.37892105535961884</v>
      </c>
      <c r="AV83" s="24">
        <f t="shared" si="16"/>
        <v>0.35481342880393496</v>
      </c>
      <c r="AW83" s="24">
        <f t="shared" si="17"/>
        <v>0.59092171571424923</v>
      </c>
      <c r="AX83" s="24">
        <f t="shared" si="18"/>
        <v>0.2121480460431949</v>
      </c>
      <c r="AY83" s="24">
        <f t="shared" si="19"/>
        <v>0.17830424855693219</v>
      </c>
      <c r="AZ83" s="24">
        <f t="shared" si="20"/>
        <v>9.6260227101620716E-2</v>
      </c>
      <c r="BA83" s="24">
        <f t="shared" si="21"/>
        <v>5.7118038885700106E-2</v>
      </c>
      <c r="BB83" s="24">
        <f t="shared" si="22"/>
        <v>9.6252330109059592E-2</v>
      </c>
      <c r="BC83" s="52">
        <f t="shared" si="23"/>
        <v>3.0962675417986052</v>
      </c>
    </row>
    <row r="84" spans="35:55" x14ac:dyDescent="0.2">
      <c r="AI84" s="4">
        <v>41213</v>
      </c>
      <c r="AJ84" s="24">
        <f t="shared" si="3"/>
        <v>0</v>
      </c>
      <c r="AK84" s="24">
        <f t="shared" si="5"/>
        <v>0</v>
      </c>
      <c r="AL84" s="24">
        <f t="shared" si="6"/>
        <v>0</v>
      </c>
      <c r="AM84" s="24">
        <f t="shared" si="7"/>
        <v>0</v>
      </c>
      <c r="AN84" s="24">
        <f t="shared" si="8"/>
        <v>0</v>
      </c>
      <c r="AO84" s="24">
        <f t="shared" si="9"/>
        <v>8.8879760971579611E-2</v>
      </c>
      <c r="AP84" s="24">
        <f t="shared" si="10"/>
        <v>0</v>
      </c>
      <c r="AQ84" s="24">
        <f t="shared" si="11"/>
        <v>0</v>
      </c>
      <c r="AR84" s="24">
        <f t="shared" si="12"/>
        <v>0.35241201458190291</v>
      </c>
      <c r="AS84" s="24">
        <f t="shared" si="13"/>
        <v>0.41660691689235202</v>
      </c>
      <c r="AT84" s="24">
        <f t="shared" si="14"/>
        <v>0.28476606657701525</v>
      </c>
      <c r="AU84" s="24">
        <f t="shared" si="15"/>
        <v>0.39740175337490186</v>
      </c>
      <c r="AV84" s="24">
        <f t="shared" si="16"/>
        <v>0.37377677764472955</v>
      </c>
      <c r="AW84" s="24">
        <f t="shared" si="17"/>
        <v>0.60577252233431234</v>
      </c>
      <c r="AX84" s="24">
        <f t="shared" si="18"/>
        <v>0.2134777911495751</v>
      </c>
      <c r="AY84" s="24">
        <f t="shared" si="19"/>
        <v>0.17997385819758921</v>
      </c>
      <c r="AZ84" s="24">
        <f t="shared" si="20"/>
        <v>9.9541323359048264E-2</v>
      </c>
      <c r="BA84" s="24">
        <f t="shared" si="21"/>
        <v>5.9343908865797809E-2</v>
      </c>
      <c r="BB84" s="24">
        <f t="shared" si="22"/>
        <v>9.762034671685807E-2</v>
      </c>
      <c r="BC84" s="52">
        <f t="shared" si="23"/>
        <v>3.1695730406656621</v>
      </c>
    </row>
    <row r="85" spans="35:55" x14ac:dyDescent="0.2">
      <c r="AI85" s="4">
        <v>41243</v>
      </c>
      <c r="AJ85" s="24">
        <f t="shared" si="3"/>
        <v>0</v>
      </c>
      <c r="AK85" s="24">
        <f t="shared" si="5"/>
        <v>0</v>
      </c>
      <c r="AL85" s="24">
        <f t="shared" si="6"/>
        <v>0</v>
      </c>
      <c r="AM85" s="24">
        <f t="shared" si="7"/>
        <v>0</v>
      </c>
      <c r="AN85" s="24">
        <f t="shared" si="8"/>
        <v>0</v>
      </c>
      <c r="AO85" s="24">
        <f t="shared" si="9"/>
        <v>9.0356603328137206E-2</v>
      </c>
      <c r="AP85" s="24">
        <f t="shared" si="10"/>
        <v>0</v>
      </c>
      <c r="AQ85" s="24">
        <f t="shared" si="11"/>
        <v>0</v>
      </c>
      <c r="AR85" s="24">
        <f t="shared" si="12"/>
        <v>0.3532416937288726</v>
      </c>
      <c r="AS85" s="24">
        <f t="shared" si="13"/>
        <v>0.40809515439714655</v>
      </c>
      <c r="AT85" s="24">
        <f t="shared" si="14"/>
        <v>0.27163626226044463</v>
      </c>
      <c r="AU85" s="24">
        <f t="shared" si="15"/>
        <v>0.37394342158396437</v>
      </c>
      <c r="AV85" s="24">
        <f t="shared" si="16"/>
        <v>0.35934448821215198</v>
      </c>
      <c r="AW85" s="24">
        <f t="shared" si="17"/>
        <v>0.56542305686465255</v>
      </c>
      <c r="AX85" s="24">
        <f t="shared" si="18"/>
        <v>0.20153087396036448</v>
      </c>
      <c r="AY85" s="24">
        <f t="shared" si="19"/>
        <v>0.16550810263906524</v>
      </c>
      <c r="AZ85" s="24">
        <f t="shared" si="20"/>
        <v>8.9901039873466024E-2</v>
      </c>
      <c r="BA85" s="24">
        <f t="shared" si="21"/>
        <v>5.5103792769804379E-2</v>
      </c>
      <c r="BB85" s="24">
        <f t="shared" si="22"/>
        <v>9.1813054329170765E-2</v>
      </c>
      <c r="BC85" s="52">
        <f t="shared" si="23"/>
        <v>3.0258975439472406</v>
      </c>
    </row>
    <row r="86" spans="35:55" x14ac:dyDescent="0.2">
      <c r="AI86" s="4">
        <v>41274</v>
      </c>
      <c r="AJ86" s="24">
        <f t="shared" si="3"/>
        <v>0</v>
      </c>
      <c r="AK86" s="24">
        <f t="shared" si="5"/>
        <v>0</v>
      </c>
      <c r="AL86" s="24">
        <f t="shared" si="6"/>
        <v>0</v>
      </c>
      <c r="AM86" s="24">
        <f t="shared" si="7"/>
        <v>0</v>
      </c>
      <c r="AN86" s="24">
        <f t="shared" si="8"/>
        <v>0</v>
      </c>
      <c r="AO86" s="24">
        <f t="shared" si="9"/>
        <v>9.2282823783108814E-2</v>
      </c>
      <c r="AP86" s="24">
        <f t="shared" si="10"/>
        <v>0</v>
      </c>
      <c r="AQ86" s="24">
        <f t="shared" si="11"/>
        <v>0</v>
      </c>
      <c r="AR86" s="24">
        <f t="shared" si="12"/>
        <v>0.36547126837957289</v>
      </c>
      <c r="AS86" s="24">
        <f t="shared" si="13"/>
        <v>0.41409384374748676</v>
      </c>
      <c r="AT86" s="24">
        <f t="shared" si="14"/>
        <v>0.28059254991028054</v>
      </c>
      <c r="AU86" s="24">
        <f t="shared" si="15"/>
        <v>0.39429281209524125</v>
      </c>
      <c r="AV86" s="24">
        <f t="shared" si="16"/>
        <v>0.37339916172988274</v>
      </c>
      <c r="AW86" s="24">
        <f t="shared" si="17"/>
        <v>0.59721251782740903</v>
      </c>
      <c r="AX86" s="24">
        <f t="shared" si="18"/>
        <v>0.2087272842194472</v>
      </c>
      <c r="AY86" s="24">
        <f t="shared" si="19"/>
        <v>0.16995502464175274</v>
      </c>
      <c r="AZ86" s="24">
        <f t="shared" si="20"/>
        <v>9.3655002864904274E-2</v>
      </c>
      <c r="BA86" s="24">
        <f t="shared" si="21"/>
        <v>5.7079635639095065E-2</v>
      </c>
      <c r="BB86" s="24">
        <f t="shared" si="22"/>
        <v>9.4378459888063079E-2</v>
      </c>
      <c r="BC86" s="52">
        <f t="shared" si="23"/>
        <v>3.1411403847262447</v>
      </c>
    </row>
    <row r="87" spans="35:55" x14ac:dyDescent="0.2">
      <c r="AI87" s="4">
        <v>41305</v>
      </c>
      <c r="AJ87" s="24">
        <f t="shared" si="3"/>
        <v>0</v>
      </c>
      <c r="AK87" s="24">
        <f t="shared" si="5"/>
        <v>0</v>
      </c>
      <c r="AL87" s="24">
        <f t="shared" si="6"/>
        <v>0</v>
      </c>
      <c r="AM87" s="24">
        <f t="shared" si="7"/>
        <v>0</v>
      </c>
      <c r="AN87" s="24">
        <f t="shared" si="8"/>
        <v>0</v>
      </c>
      <c r="AO87" s="24">
        <f t="shared" si="9"/>
        <v>0.11147565421554079</v>
      </c>
      <c r="AP87" s="24">
        <f t="shared" si="10"/>
        <v>0</v>
      </c>
      <c r="AQ87" s="24">
        <f t="shared" si="11"/>
        <v>0</v>
      </c>
      <c r="AR87" s="24">
        <f t="shared" si="12"/>
        <v>0.42225856481441765</v>
      </c>
      <c r="AS87" s="24">
        <f t="shared" si="13"/>
        <v>0.4779042838769601</v>
      </c>
      <c r="AT87" s="24">
        <f t="shared" si="14"/>
        <v>0.32070735739133249</v>
      </c>
      <c r="AU87" s="24">
        <f t="shared" si="15"/>
        <v>0.43294117218115347</v>
      </c>
      <c r="AV87" s="24">
        <f t="shared" si="16"/>
        <v>0.40738294186419105</v>
      </c>
      <c r="AW87" s="24">
        <f t="shared" si="17"/>
        <v>0.63050223037523623</v>
      </c>
      <c r="AX87" s="24">
        <f t="shared" si="18"/>
        <v>0.21519895198885725</v>
      </c>
      <c r="AY87" s="24">
        <f t="shared" si="19"/>
        <v>0.17403623019297221</v>
      </c>
      <c r="AZ87" s="24">
        <f t="shared" si="20"/>
        <v>9.2825461731603637E-2</v>
      </c>
      <c r="BA87" s="24">
        <f t="shared" si="21"/>
        <v>5.4932452066018392E-2</v>
      </c>
      <c r="BB87" s="24">
        <f t="shared" si="22"/>
        <v>9.0692334148986795E-2</v>
      </c>
      <c r="BC87" s="52">
        <f t="shared" si="23"/>
        <v>3.4308576348472699</v>
      </c>
    </row>
    <row r="88" spans="35:55" x14ac:dyDescent="0.2">
      <c r="AI88" s="4">
        <v>41333</v>
      </c>
      <c r="AJ88" s="24">
        <f t="shared" si="3"/>
        <v>0</v>
      </c>
      <c r="AK88" s="24">
        <f t="shared" si="5"/>
        <v>0</v>
      </c>
      <c r="AL88" s="24">
        <f t="shared" si="6"/>
        <v>0</v>
      </c>
      <c r="AM88" s="24">
        <f t="shared" si="7"/>
        <v>0</v>
      </c>
      <c r="AN88" s="24">
        <f t="shared" si="8"/>
        <v>0</v>
      </c>
      <c r="AO88" s="24">
        <f t="shared" si="9"/>
        <v>0.11373759151810174</v>
      </c>
      <c r="AP88" s="24">
        <f t="shared" si="10"/>
        <v>0</v>
      </c>
      <c r="AQ88" s="24">
        <f t="shared" si="11"/>
        <v>0</v>
      </c>
      <c r="AR88" s="24">
        <f t="shared" si="12"/>
        <v>0.41620965553578354</v>
      </c>
      <c r="AS88" s="24">
        <f t="shared" si="13"/>
        <v>0.47243574241847974</v>
      </c>
      <c r="AT88" s="24">
        <f t="shared" si="14"/>
        <v>0.31699345834919673</v>
      </c>
      <c r="AU88" s="24">
        <f t="shared" si="15"/>
        <v>0.43429766348471338</v>
      </c>
      <c r="AV88" s="24">
        <f t="shared" si="16"/>
        <v>0.40718253407512123</v>
      </c>
      <c r="AW88" s="24">
        <f t="shared" si="17"/>
        <v>0.62504553083721703</v>
      </c>
      <c r="AX88" s="24">
        <f t="shared" si="18"/>
        <v>0.21563697727694839</v>
      </c>
      <c r="AY88" s="24">
        <f t="shared" si="19"/>
        <v>0.17683164264493831</v>
      </c>
      <c r="AZ88" s="24">
        <f t="shared" si="20"/>
        <v>9.3203544508513397E-2</v>
      </c>
      <c r="BA88" s="24">
        <f t="shared" si="21"/>
        <v>5.4496543614864973E-2</v>
      </c>
      <c r="BB88" s="24">
        <f t="shared" si="22"/>
        <v>8.8579922203624151E-2</v>
      </c>
      <c r="BC88" s="52">
        <f t="shared" si="23"/>
        <v>3.4146508064675021</v>
      </c>
    </row>
    <row r="89" spans="35:55" x14ac:dyDescent="0.2">
      <c r="AI89" s="4">
        <v>41361</v>
      </c>
      <c r="AJ89" s="24">
        <f t="shared" si="3"/>
        <v>0</v>
      </c>
      <c r="AK89" s="24">
        <f t="shared" si="5"/>
        <v>1.0534661571650057</v>
      </c>
      <c r="AL89" s="24">
        <f t="shared" si="6"/>
        <v>0</v>
      </c>
      <c r="AM89" s="24">
        <f t="shared" si="7"/>
        <v>0</v>
      </c>
      <c r="AN89" s="24">
        <f t="shared" si="8"/>
        <v>1.1843385142141729</v>
      </c>
      <c r="AO89" s="24">
        <f t="shared" si="9"/>
        <v>7.693144295843693E-2</v>
      </c>
      <c r="AP89" s="24">
        <f t="shared" si="10"/>
        <v>0</v>
      </c>
      <c r="AQ89" s="24">
        <f t="shared" si="11"/>
        <v>0</v>
      </c>
      <c r="AR89" s="24">
        <f t="shared" si="12"/>
        <v>0.27613848793604312</v>
      </c>
      <c r="AS89" s="24">
        <f t="shared" si="13"/>
        <v>0.31262665841357656</v>
      </c>
      <c r="AT89" s="24">
        <f t="shared" si="14"/>
        <v>0.2082197789949127</v>
      </c>
      <c r="AU89" s="24">
        <f t="shared" si="15"/>
        <v>0.28018607133466555</v>
      </c>
      <c r="AV89" s="24">
        <f t="shared" si="16"/>
        <v>0.26420124081344853</v>
      </c>
      <c r="AW89" s="24">
        <f t="shared" si="17"/>
        <v>0.4045700302679861</v>
      </c>
      <c r="AX89" s="24">
        <f t="shared" si="18"/>
        <v>0.13830011470081338</v>
      </c>
      <c r="AY89" s="24">
        <f t="shared" si="19"/>
        <v>0.1141853525858038</v>
      </c>
      <c r="AZ89" s="24">
        <f t="shared" si="20"/>
        <v>5.8240231388522461E-2</v>
      </c>
      <c r="BA89" s="24">
        <f t="shared" si="21"/>
        <v>3.4225443233026252E-2</v>
      </c>
      <c r="BB89" s="24">
        <f t="shared" si="22"/>
        <v>5.3640282338419477E-2</v>
      </c>
      <c r="BC89" s="52">
        <f t="shared" si="23"/>
        <v>4.4592698063448344</v>
      </c>
    </row>
    <row r="90" spans="35:55" x14ac:dyDescent="0.2">
      <c r="AI90" s="4">
        <v>41394</v>
      </c>
      <c r="AJ90" s="24">
        <f t="shared" si="3"/>
        <v>0</v>
      </c>
      <c r="AK90" s="24">
        <f t="shared" si="5"/>
        <v>0.99171004500891691</v>
      </c>
      <c r="AL90" s="24">
        <f t="shared" si="6"/>
        <v>0</v>
      </c>
      <c r="AM90" s="24">
        <f t="shared" si="7"/>
        <v>0</v>
      </c>
      <c r="AN90" s="24">
        <f t="shared" si="8"/>
        <v>1.0443831853405086</v>
      </c>
      <c r="AO90" s="24">
        <f t="shared" si="9"/>
        <v>6.3860774094008269E-2</v>
      </c>
      <c r="AP90" s="24">
        <f t="shared" si="10"/>
        <v>0</v>
      </c>
      <c r="AQ90" s="24">
        <f t="shared" si="11"/>
        <v>0</v>
      </c>
      <c r="AR90" s="24">
        <f t="shared" si="12"/>
        <v>0.24281113065275262</v>
      </c>
      <c r="AS90" s="24">
        <f t="shared" si="13"/>
        <v>0.26529898344211988</v>
      </c>
      <c r="AT90" s="24">
        <f t="shared" si="14"/>
        <v>0.16375852125726273</v>
      </c>
      <c r="AU90" s="24">
        <f t="shared" si="15"/>
        <v>0.24555736676719908</v>
      </c>
      <c r="AV90" s="24">
        <f t="shared" si="16"/>
        <v>0.21919228352632442</v>
      </c>
      <c r="AW90" s="24">
        <f t="shared" si="17"/>
        <v>0.3257778809870599</v>
      </c>
      <c r="AX90" s="24">
        <f t="shared" si="18"/>
        <v>0.12054461820130651</v>
      </c>
      <c r="AY90" s="24">
        <f t="shared" si="19"/>
        <v>0.10019232330928479</v>
      </c>
      <c r="AZ90" s="24">
        <f t="shared" si="20"/>
        <v>4.9449839427247129E-2</v>
      </c>
      <c r="BA90" s="24">
        <f t="shared" si="21"/>
        <v>2.9754063762360207E-2</v>
      </c>
      <c r="BB90" s="24">
        <f t="shared" si="22"/>
        <v>4.749242225212405E-2</v>
      </c>
      <c r="BC90" s="52">
        <f t="shared" si="23"/>
        <v>3.9097834380284753</v>
      </c>
    </row>
    <row r="91" spans="35:55" x14ac:dyDescent="0.2">
      <c r="AI91" s="4">
        <v>41425</v>
      </c>
      <c r="AJ91" s="24">
        <f t="shared" si="3"/>
        <v>0</v>
      </c>
      <c r="AK91" s="24">
        <f t="shared" si="5"/>
        <v>1.1702923986528342</v>
      </c>
      <c r="AL91" s="24">
        <f t="shared" si="6"/>
        <v>0</v>
      </c>
      <c r="AM91" s="24">
        <f t="shared" si="7"/>
        <v>0</v>
      </c>
      <c r="AN91" s="24">
        <f t="shared" si="8"/>
        <v>1.2852239391679479</v>
      </c>
      <c r="AO91" s="24">
        <f t="shared" si="9"/>
        <v>8.4646027857573178E-2</v>
      </c>
      <c r="AP91" s="24">
        <f t="shared" si="10"/>
        <v>0</v>
      </c>
      <c r="AQ91" s="24">
        <f t="shared" si="11"/>
        <v>0</v>
      </c>
      <c r="AR91" s="24">
        <f t="shared" si="12"/>
        <v>0.30746970484149688</v>
      </c>
      <c r="AS91" s="24">
        <f t="shared" si="13"/>
        <v>0.33672386908398877</v>
      </c>
      <c r="AT91" s="24">
        <f t="shared" si="14"/>
        <v>0.22627706270544165</v>
      </c>
      <c r="AU91" s="24">
        <f t="shared" si="15"/>
        <v>0.28974397314046357</v>
      </c>
      <c r="AV91" s="24">
        <f t="shared" si="16"/>
        <v>0.25857409934020292</v>
      </c>
      <c r="AW91" s="24">
        <f t="shared" si="17"/>
        <v>0.40864378403164592</v>
      </c>
      <c r="AX91" s="24">
        <f t="shared" si="18"/>
        <v>0.12213882932628811</v>
      </c>
      <c r="AY91" s="24">
        <f t="shared" si="19"/>
        <v>0.10060660534680568</v>
      </c>
      <c r="AZ91" s="24">
        <f t="shared" si="20"/>
        <v>5.0751905603761104E-2</v>
      </c>
      <c r="BA91" s="24">
        <f t="shared" si="21"/>
        <v>2.7786318752515277E-2</v>
      </c>
      <c r="BB91" s="24">
        <f t="shared" si="22"/>
        <v>4.5148963252193287E-2</v>
      </c>
      <c r="BC91" s="52">
        <f t="shared" si="23"/>
        <v>4.7140274811031579</v>
      </c>
    </row>
    <row r="92" spans="35:55" x14ac:dyDescent="0.2">
      <c r="AI92" s="4">
        <v>41453</v>
      </c>
      <c r="AJ92" s="24">
        <f t="shared" si="3"/>
        <v>0</v>
      </c>
      <c r="AK92" s="24">
        <f t="shared" si="5"/>
        <v>1.2208504190725671</v>
      </c>
      <c r="AL92" s="24">
        <f t="shared" si="6"/>
        <v>0</v>
      </c>
      <c r="AM92" s="24">
        <f t="shared" si="7"/>
        <v>0</v>
      </c>
      <c r="AN92" s="24">
        <f t="shared" si="8"/>
        <v>1.3536517315968191</v>
      </c>
      <c r="AO92" s="24">
        <f t="shared" si="9"/>
        <v>9.1559288443635548E-2</v>
      </c>
      <c r="AP92" s="24">
        <f t="shared" si="10"/>
        <v>0</v>
      </c>
      <c r="AQ92" s="24">
        <f t="shared" si="11"/>
        <v>0</v>
      </c>
      <c r="AR92" s="24">
        <f t="shared" si="12"/>
        <v>0.33749656995736932</v>
      </c>
      <c r="AS92" s="24">
        <f t="shared" si="13"/>
        <v>0.37939782205501293</v>
      </c>
      <c r="AT92" s="24">
        <f t="shared" si="14"/>
        <v>0.26164556144064377</v>
      </c>
      <c r="AU92" s="24">
        <f t="shared" si="15"/>
        <v>0.32443847186575686</v>
      </c>
      <c r="AV92" s="24">
        <f t="shared" si="16"/>
        <v>0.30277685235213408</v>
      </c>
      <c r="AW92" s="24">
        <f t="shared" si="17"/>
        <v>0.48751093307620952</v>
      </c>
      <c r="AX92" s="24">
        <f t="shared" si="18"/>
        <v>0.14074747857011566</v>
      </c>
      <c r="AY92" s="24">
        <f t="shared" si="19"/>
        <v>0.11697331031166985</v>
      </c>
      <c r="AZ92" s="24">
        <f t="shared" si="20"/>
        <v>5.5548764199514239E-2</v>
      </c>
      <c r="BA92" s="24">
        <f t="shared" si="21"/>
        <v>3.0164602777617202E-2</v>
      </c>
      <c r="BB92" s="24">
        <f t="shared" si="22"/>
        <v>4.7034187944017009E-2</v>
      </c>
      <c r="BC92" s="52">
        <f t="shared" si="23"/>
        <v>5.1497959936630808</v>
      </c>
    </row>
    <row r="93" spans="35:55" x14ac:dyDescent="0.2">
      <c r="AI93" s="4">
        <v>41486</v>
      </c>
      <c r="AJ93" s="24">
        <f t="shared" si="3"/>
        <v>0</v>
      </c>
      <c r="AK93" s="24">
        <f t="shared" si="5"/>
        <v>1.2903787135839853</v>
      </c>
      <c r="AL93" s="24">
        <f t="shared" si="6"/>
        <v>0</v>
      </c>
      <c r="AM93" s="24">
        <f t="shared" si="7"/>
        <v>0</v>
      </c>
      <c r="AN93" s="24">
        <f t="shared" si="8"/>
        <v>1.4680409981077325</v>
      </c>
      <c r="AO93" s="24">
        <f t="shared" si="9"/>
        <v>9.9693797772190978E-2</v>
      </c>
      <c r="AP93" s="24">
        <f t="shared" si="10"/>
        <v>0</v>
      </c>
      <c r="AQ93" s="24">
        <f t="shared" si="11"/>
        <v>0</v>
      </c>
      <c r="AR93" s="24">
        <f t="shared" si="12"/>
        <v>0.36706542030633665</v>
      </c>
      <c r="AS93" s="24">
        <f t="shared" si="13"/>
        <v>0.40738491568568214</v>
      </c>
      <c r="AT93" s="24">
        <f t="shared" si="14"/>
        <v>0.28220419069181107</v>
      </c>
      <c r="AU93" s="24">
        <f t="shared" si="15"/>
        <v>0.34034408184027348</v>
      </c>
      <c r="AV93" s="24">
        <f t="shared" si="16"/>
        <v>0.31239209276411201</v>
      </c>
      <c r="AW93" s="24">
        <f t="shared" si="17"/>
        <v>0.49940908323671884</v>
      </c>
      <c r="AX93" s="24">
        <f t="shared" si="18"/>
        <v>0.14722773406530326</v>
      </c>
      <c r="AY93" s="24">
        <f t="shared" si="19"/>
        <v>0.12140485048158302</v>
      </c>
      <c r="AZ93" s="24">
        <f t="shared" si="20"/>
        <v>5.9488451654478636E-2</v>
      </c>
      <c r="BA93" s="24">
        <f t="shared" si="21"/>
        <v>3.1631905078660677E-2</v>
      </c>
      <c r="BB93" s="24">
        <f t="shared" si="22"/>
        <v>4.9071843131550455E-2</v>
      </c>
      <c r="BC93" s="52">
        <f t="shared" si="23"/>
        <v>5.4757380784004193</v>
      </c>
    </row>
    <row r="94" spans="35:55" x14ac:dyDescent="0.2">
      <c r="AI94" s="4">
        <v>41516</v>
      </c>
      <c r="AJ94" s="24">
        <f t="shared" si="3"/>
        <v>0</v>
      </c>
      <c r="AK94" s="24">
        <f t="shared" si="5"/>
        <v>1.3224246470505765</v>
      </c>
      <c r="AL94" s="24">
        <f t="shared" si="6"/>
        <v>0</v>
      </c>
      <c r="AM94" s="24">
        <f t="shared" si="7"/>
        <v>0</v>
      </c>
      <c r="AN94" s="24">
        <f t="shared" si="8"/>
        <v>1.4953595277041627</v>
      </c>
      <c r="AO94" s="24">
        <f t="shared" si="9"/>
        <v>0.10054569826584384</v>
      </c>
      <c r="AP94" s="24">
        <f t="shared" si="10"/>
        <v>0</v>
      </c>
      <c r="AQ94" s="24">
        <f t="shared" si="11"/>
        <v>0</v>
      </c>
      <c r="AR94" s="24">
        <f t="shared" si="12"/>
        <v>0.378089821657981</v>
      </c>
      <c r="AS94" s="24">
        <f t="shared" si="13"/>
        <v>0.42161103080162338</v>
      </c>
      <c r="AT94" s="24">
        <f t="shared" si="14"/>
        <v>0.29012679893552656</v>
      </c>
      <c r="AU94" s="24">
        <f t="shared" si="15"/>
        <v>0.36324427925125891</v>
      </c>
      <c r="AV94" s="24">
        <f t="shared" si="16"/>
        <v>0.33087590168823316</v>
      </c>
      <c r="AW94" s="24">
        <f t="shared" si="17"/>
        <v>0.52733758660270325</v>
      </c>
      <c r="AX94" s="24">
        <f t="shared" si="18"/>
        <v>0.16114789166788238</v>
      </c>
      <c r="AY94" s="24">
        <f t="shared" si="19"/>
        <v>0.13102535032467943</v>
      </c>
      <c r="AZ94" s="24">
        <f t="shared" si="20"/>
        <v>6.249816379307311E-2</v>
      </c>
      <c r="BA94" s="24">
        <f t="shared" si="21"/>
        <v>3.3208646587823167E-2</v>
      </c>
      <c r="BB94" s="24">
        <f t="shared" si="22"/>
        <v>5.1243937485172079E-2</v>
      </c>
      <c r="BC94" s="52">
        <f t="shared" si="23"/>
        <v>5.6687392818165403</v>
      </c>
    </row>
    <row r="95" spans="35:55" x14ac:dyDescent="0.2">
      <c r="AI95" s="4">
        <v>41547</v>
      </c>
      <c r="AJ95" s="24">
        <f t="shared" si="3"/>
        <v>0</v>
      </c>
      <c r="AK95" s="24">
        <f t="shared" si="5"/>
        <v>1.3650291992713155</v>
      </c>
      <c r="AL95" s="24">
        <f t="shared" si="6"/>
        <v>0</v>
      </c>
      <c r="AM95" s="24">
        <f t="shared" si="7"/>
        <v>0</v>
      </c>
      <c r="AN95" s="24">
        <f t="shared" si="8"/>
        <v>1.5457535534716789</v>
      </c>
      <c r="AO95" s="24">
        <f t="shared" si="9"/>
        <v>0.10154588186970416</v>
      </c>
      <c r="AP95" s="24">
        <f t="shared" si="10"/>
        <v>0</v>
      </c>
      <c r="AQ95" s="24">
        <f t="shared" si="11"/>
        <v>0</v>
      </c>
      <c r="AR95" s="24">
        <f t="shared" si="12"/>
        <v>0.37236758794174596</v>
      </c>
      <c r="AS95" s="24">
        <f t="shared" si="13"/>
        <v>0.4141434490601601</v>
      </c>
      <c r="AT95" s="24">
        <f t="shared" si="14"/>
        <v>0.27928432086615013</v>
      </c>
      <c r="AU95" s="24">
        <f t="shared" si="15"/>
        <v>0.35908316312017746</v>
      </c>
      <c r="AV95" s="24">
        <f t="shared" si="16"/>
        <v>0.32331831367319669</v>
      </c>
      <c r="AW95" s="24">
        <f t="shared" si="17"/>
        <v>0.5059967263253905</v>
      </c>
      <c r="AX95" s="24">
        <f t="shared" si="18"/>
        <v>0.15643714967782213</v>
      </c>
      <c r="AY95" s="24">
        <f t="shared" si="19"/>
        <v>0.12555785198881825</v>
      </c>
      <c r="AZ95" s="24">
        <f t="shared" si="20"/>
        <v>5.7749594843199276E-2</v>
      </c>
      <c r="BA95" s="24">
        <f t="shared" si="21"/>
        <v>3.1642494699172151E-2</v>
      </c>
      <c r="BB95" s="24">
        <f t="shared" si="22"/>
        <v>5.1049230181215807E-2</v>
      </c>
      <c r="BC95" s="52">
        <f t="shared" si="23"/>
        <v>5.6889585169897474</v>
      </c>
    </row>
    <row r="96" spans="35:55" x14ac:dyDescent="0.2">
      <c r="AI96" s="4">
        <v>41578</v>
      </c>
      <c r="AJ96" s="24">
        <f t="shared" si="3"/>
        <v>0</v>
      </c>
      <c r="AK96" s="24">
        <f t="shared" si="5"/>
        <v>1.3600162186744202</v>
      </c>
      <c r="AL96" s="24">
        <f t="shared" si="6"/>
        <v>0</v>
      </c>
      <c r="AM96" s="24">
        <f t="shared" si="7"/>
        <v>0</v>
      </c>
      <c r="AN96" s="24">
        <f t="shared" si="8"/>
        <v>1.5244981713288301</v>
      </c>
      <c r="AO96" s="24">
        <f t="shared" si="9"/>
        <v>9.9375085681580183E-2</v>
      </c>
      <c r="AP96" s="24">
        <f t="shared" si="10"/>
        <v>0</v>
      </c>
      <c r="AQ96" s="24">
        <f t="shared" si="11"/>
        <v>0</v>
      </c>
      <c r="AR96" s="24">
        <f t="shared" si="12"/>
        <v>0.3635110702240546</v>
      </c>
      <c r="AS96" s="24">
        <f t="shared" si="13"/>
        <v>0.4032590293867489</v>
      </c>
      <c r="AT96" s="24">
        <f t="shared" si="14"/>
        <v>0.26379212508894767</v>
      </c>
      <c r="AU96" s="24">
        <f t="shared" si="15"/>
        <v>0.35259164627360012</v>
      </c>
      <c r="AV96" s="24">
        <f t="shared" si="16"/>
        <v>0.31185212718220467</v>
      </c>
      <c r="AW96" s="24">
        <f t="shared" si="17"/>
        <v>0.47490753003934039</v>
      </c>
      <c r="AX96" s="24">
        <f t="shared" si="18"/>
        <v>0.15000868757007765</v>
      </c>
      <c r="AY96" s="24">
        <f t="shared" si="19"/>
        <v>0.11732746991267066</v>
      </c>
      <c r="AZ96" s="24">
        <f t="shared" si="20"/>
        <v>5.4517195608718858E-2</v>
      </c>
      <c r="BA96" s="24">
        <f t="shared" si="21"/>
        <v>3.029640463797054E-2</v>
      </c>
      <c r="BB96" s="24">
        <f t="shared" si="22"/>
        <v>5.0825100833939152E-2</v>
      </c>
      <c r="BC96" s="52">
        <f t="shared" si="23"/>
        <v>5.5567778624431039</v>
      </c>
    </row>
    <row r="97" spans="35:55" x14ac:dyDescent="0.2">
      <c r="AI97" s="4">
        <v>41607</v>
      </c>
      <c r="AJ97" s="24">
        <f t="shared" ref="AJ97:AJ128" si="24">G40*AJ40</f>
        <v>0</v>
      </c>
      <c r="AK97" s="24">
        <f t="shared" si="5"/>
        <v>1.4201417288342852</v>
      </c>
      <c r="AL97" s="24">
        <f t="shared" si="6"/>
        <v>0</v>
      </c>
      <c r="AM97" s="24">
        <f t="shared" si="7"/>
        <v>0</v>
      </c>
      <c r="AN97" s="24">
        <f t="shared" si="8"/>
        <v>1.6312717998006656</v>
      </c>
      <c r="AO97" s="24">
        <f t="shared" si="9"/>
        <v>0.1080438324663499</v>
      </c>
      <c r="AP97" s="24">
        <f t="shared" si="10"/>
        <v>0</v>
      </c>
      <c r="AQ97" s="24">
        <f t="shared" si="11"/>
        <v>0</v>
      </c>
      <c r="AR97" s="24">
        <f t="shared" si="12"/>
        <v>0.39696048105393378</v>
      </c>
      <c r="AS97" s="24">
        <f t="shared" si="13"/>
        <v>0.44089958460495116</v>
      </c>
      <c r="AT97" s="24">
        <f t="shared" si="14"/>
        <v>0.29181501663315429</v>
      </c>
      <c r="AU97" s="24">
        <f t="shared" si="15"/>
        <v>0.38252566173510127</v>
      </c>
      <c r="AV97" s="24">
        <f t="shared" si="16"/>
        <v>0.33777000763528009</v>
      </c>
      <c r="AW97" s="24">
        <f t="shared" si="17"/>
        <v>0.51903799870164569</v>
      </c>
      <c r="AX97" s="24">
        <f t="shared" si="18"/>
        <v>0.15889004449574184</v>
      </c>
      <c r="AY97" s="24">
        <f t="shared" si="19"/>
        <v>0.12555856014149883</v>
      </c>
      <c r="AZ97" s="24">
        <f t="shared" si="20"/>
        <v>5.9068152705298402E-2</v>
      </c>
      <c r="BA97" s="24">
        <f t="shared" si="21"/>
        <v>3.234413189581075E-2</v>
      </c>
      <c r="BB97" s="24">
        <f t="shared" si="22"/>
        <v>5.337562625184044E-2</v>
      </c>
      <c r="BC97" s="52">
        <f t="shared" si="23"/>
        <v>5.957702626955558</v>
      </c>
    </row>
    <row r="98" spans="35:55" x14ac:dyDescent="0.2">
      <c r="AI98" s="4">
        <v>41639</v>
      </c>
      <c r="AJ98" s="24">
        <f t="shared" si="24"/>
        <v>0</v>
      </c>
      <c r="AK98" s="24">
        <f t="shared" ref="AK98:AK129" si="25">H41*AK41</f>
        <v>1.4457753584928816</v>
      </c>
      <c r="AL98" s="24">
        <f t="shared" ref="AL98:AL129" si="26">I41*AL41</f>
        <v>0</v>
      </c>
      <c r="AM98" s="24">
        <f t="shared" ref="AM98:AM129" si="27">J41*AM41</f>
        <v>0</v>
      </c>
      <c r="AN98" s="24">
        <f t="shared" ref="AN98:AN129" si="28">K41*AN41</f>
        <v>1.6792643190733048</v>
      </c>
      <c r="AO98" s="24">
        <f t="shared" ref="AO98:AO129" si="29">L41*AO41</f>
        <v>0.1110320232124269</v>
      </c>
      <c r="AP98" s="24">
        <f t="shared" ref="AP98:AP129" si="30">M41*AP41</f>
        <v>0</v>
      </c>
      <c r="AQ98" s="24">
        <f t="shared" ref="AQ98:AQ129" si="31">N41*AQ41</f>
        <v>0</v>
      </c>
      <c r="AR98" s="24">
        <f t="shared" ref="AR98:AR129" si="32">O41*AR41</f>
        <v>0.41773462592762634</v>
      </c>
      <c r="AS98" s="24">
        <f t="shared" ref="AS98:AS129" si="33">P41*AS41</f>
        <v>0.46771391825402786</v>
      </c>
      <c r="AT98" s="24">
        <f t="shared" ref="AT98:AT129" si="34">Q41*AT41</f>
        <v>0.31411844512543485</v>
      </c>
      <c r="AU98" s="24">
        <f t="shared" ref="AU98:AU129" si="35">R41*AU41</f>
        <v>0.40740274277122401</v>
      </c>
      <c r="AV98" s="24">
        <f t="shared" ref="AV98:AV129" si="36">S41*AV41</f>
        <v>0.3686106130674035</v>
      </c>
      <c r="AW98" s="24">
        <f t="shared" ref="AW98:AW129" si="37">T41*AW41</f>
        <v>0.58795809134905441</v>
      </c>
      <c r="AX98" s="24">
        <f t="shared" ref="AX98:AX129" si="38">U41*AX41</f>
        <v>0.17545754998711713</v>
      </c>
      <c r="AY98" s="24">
        <f t="shared" ref="AY98:AY129" si="39">V41*AY41</f>
        <v>0.14062896888498169</v>
      </c>
      <c r="AZ98" s="24">
        <f t="shared" ref="AZ98:AZ129" si="40">W41*AZ41</f>
        <v>6.4072856843733442E-2</v>
      </c>
      <c r="BA98" s="24">
        <f t="shared" ref="BA98:BA129" si="41">X41*BA41</f>
        <v>3.5049123640467909E-2</v>
      </c>
      <c r="BB98" s="24">
        <f t="shared" ref="BB98:BB129" si="42">Y41*BB41</f>
        <v>5.6548898115743609E-2</v>
      </c>
      <c r="BC98" s="52">
        <f t="shared" si="23"/>
        <v>6.2713675347454272</v>
      </c>
    </row>
    <row r="99" spans="35:55" x14ac:dyDescent="0.2">
      <c r="AI99" s="4">
        <v>41670</v>
      </c>
      <c r="AJ99" s="24">
        <f t="shared" si="24"/>
        <v>0</v>
      </c>
      <c r="AK99" s="24">
        <f t="shared" si="25"/>
        <v>1.4309787693454301</v>
      </c>
      <c r="AL99" s="24">
        <f t="shared" si="26"/>
        <v>0</v>
      </c>
      <c r="AM99" s="24">
        <f t="shared" si="27"/>
        <v>0</v>
      </c>
      <c r="AN99" s="24">
        <f t="shared" si="28"/>
        <v>1.6524149085082325</v>
      </c>
      <c r="AO99" s="24">
        <f t="shared" si="29"/>
        <v>0.10770421434847982</v>
      </c>
      <c r="AP99" s="24">
        <f t="shared" si="30"/>
        <v>0</v>
      </c>
      <c r="AQ99" s="24">
        <f t="shared" si="31"/>
        <v>0</v>
      </c>
      <c r="AR99" s="24">
        <f t="shared" si="32"/>
        <v>0.40083452414572535</v>
      </c>
      <c r="AS99" s="24">
        <f t="shared" si="33"/>
        <v>0.44575117079509152</v>
      </c>
      <c r="AT99" s="24">
        <f t="shared" si="34"/>
        <v>0.29989627798937402</v>
      </c>
      <c r="AU99" s="24">
        <f t="shared" si="35"/>
        <v>0.38587050621592933</v>
      </c>
      <c r="AV99" s="24">
        <f t="shared" si="36"/>
        <v>0.34871733367533098</v>
      </c>
      <c r="AW99" s="24">
        <f t="shared" si="37"/>
        <v>0.54798056835028908</v>
      </c>
      <c r="AX99" s="24">
        <f t="shared" si="38"/>
        <v>0.16613034777041996</v>
      </c>
      <c r="AY99" s="24">
        <f t="shared" si="39"/>
        <v>0.13459681988324002</v>
      </c>
      <c r="AZ99" s="24">
        <f t="shared" si="40"/>
        <v>6.3819799800151011E-2</v>
      </c>
      <c r="BA99" s="24">
        <f t="shared" si="41"/>
        <v>3.417258578760906E-2</v>
      </c>
      <c r="BB99" s="24">
        <f t="shared" si="42"/>
        <v>5.4886945073375729E-2</v>
      </c>
      <c r="BC99" s="52">
        <f t="shared" si="23"/>
        <v>6.0737547716886793</v>
      </c>
    </row>
    <row r="100" spans="35:55" x14ac:dyDescent="0.2">
      <c r="AI100" s="4">
        <v>41698</v>
      </c>
      <c r="AJ100" s="24">
        <f t="shared" si="24"/>
        <v>0</v>
      </c>
      <c r="AK100" s="24">
        <f t="shared" si="25"/>
        <v>1.4430243630376347</v>
      </c>
      <c r="AL100" s="24">
        <f t="shared" si="26"/>
        <v>0</v>
      </c>
      <c r="AM100" s="24">
        <f t="shared" si="27"/>
        <v>0</v>
      </c>
      <c r="AN100" s="24">
        <f t="shared" si="28"/>
        <v>1.6732012047825258</v>
      </c>
      <c r="AO100" s="24">
        <f t="shared" si="29"/>
        <v>0.10925874015495604</v>
      </c>
      <c r="AP100" s="24">
        <f t="shared" si="30"/>
        <v>0</v>
      </c>
      <c r="AQ100" s="24">
        <f t="shared" si="31"/>
        <v>0</v>
      </c>
      <c r="AR100" s="24">
        <f t="shared" si="32"/>
        <v>0.40817410994717246</v>
      </c>
      <c r="AS100" s="24">
        <f t="shared" si="33"/>
        <v>0.4540820988688738</v>
      </c>
      <c r="AT100" s="24">
        <f t="shared" si="34"/>
        <v>0.30593670509309434</v>
      </c>
      <c r="AU100" s="24">
        <f t="shared" si="35"/>
        <v>0.39013669009701996</v>
      </c>
      <c r="AV100" s="24">
        <f t="shared" si="36"/>
        <v>0.35468689336653431</v>
      </c>
      <c r="AW100" s="24">
        <f t="shared" si="37"/>
        <v>0.55918687981535176</v>
      </c>
      <c r="AX100" s="24">
        <f t="shared" si="38"/>
        <v>0.17375913394501707</v>
      </c>
      <c r="AY100" s="24">
        <f t="shared" si="39"/>
        <v>0.1407337307110833</v>
      </c>
      <c r="AZ100" s="24">
        <f t="shared" si="40"/>
        <v>6.4504244363464178E-2</v>
      </c>
      <c r="BA100" s="24">
        <f t="shared" si="41"/>
        <v>3.4626216321625686E-2</v>
      </c>
      <c r="BB100" s="24">
        <f t="shared" si="42"/>
        <v>5.5576869964926064E-2</v>
      </c>
      <c r="BC100" s="52">
        <f t="shared" si="23"/>
        <v>6.1668878804692797</v>
      </c>
    </row>
    <row r="101" spans="35:55" x14ac:dyDescent="0.2">
      <c r="AI101" s="4">
        <v>41729</v>
      </c>
      <c r="AJ101" s="24">
        <f t="shared" si="24"/>
        <v>1.0914439608060942</v>
      </c>
      <c r="AK101" s="24">
        <f t="shared" si="25"/>
        <v>0.97392146492209553</v>
      </c>
      <c r="AL101" s="24">
        <f t="shared" si="26"/>
        <v>0</v>
      </c>
      <c r="AM101" s="24">
        <f t="shared" si="27"/>
        <v>0.72134763631519505</v>
      </c>
      <c r="AN101" s="24">
        <f t="shared" si="28"/>
        <v>1.1331932846514621</v>
      </c>
      <c r="AO101" s="24">
        <f t="shared" si="29"/>
        <v>7.4376062396594056E-2</v>
      </c>
      <c r="AP101" s="24">
        <f t="shared" si="30"/>
        <v>0</v>
      </c>
      <c r="AQ101" s="24">
        <f t="shared" si="31"/>
        <v>0.59883503378193426</v>
      </c>
      <c r="AR101" s="24">
        <f t="shared" si="32"/>
        <v>0.27721933082546529</v>
      </c>
      <c r="AS101" s="24">
        <f t="shared" si="33"/>
        <v>0.30923863302513899</v>
      </c>
      <c r="AT101" s="24">
        <f t="shared" si="34"/>
        <v>0.20981946580531907</v>
      </c>
      <c r="AU101" s="24">
        <f t="shared" si="35"/>
        <v>0.26669922317278416</v>
      </c>
      <c r="AV101" s="24">
        <f t="shared" si="36"/>
        <v>0.24522061993582464</v>
      </c>
      <c r="AW101" s="24">
        <f t="shared" si="37"/>
        <v>0.38632071569377935</v>
      </c>
      <c r="AX101" s="24">
        <f t="shared" si="38"/>
        <v>0.1197250037614206</v>
      </c>
      <c r="AY101" s="24">
        <f t="shared" si="39"/>
        <v>9.7374310567919078E-2</v>
      </c>
      <c r="AZ101" s="24">
        <f t="shared" si="40"/>
        <v>4.3866091644331896E-2</v>
      </c>
      <c r="BA101" s="24">
        <f t="shared" si="41"/>
        <v>2.3203900693867106E-2</v>
      </c>
      <c r="BB101" s="24">
        <f t="shared" si="42"/>
        <v>3.6346529236056052E-2</v>
      </c>
      <c r="BC101" s="52">
        <f t="shared" si="23"/>
        <v>6.6081512672352796</v>
      </c>
    </row>
    <row r="102" spans="35:55" x14ac:dyDescent="0.2">
      <c r="AI102" s="4">
        <v>41759</v>
      </c>
      <c r="AJ102" s="24">
        <f t="shared" si="24"/>
        <v>1.0935740139289902</v>
      </c>
      <c r="AK102" s="24">
        <f t="shared" si="25"/>
        <v>0.97719302574912259</v>
      </c>
      <c r="AL102" s="24">
        <f t="shared" si="26"/>
        <v>0</v>
      </c>
      <c r="AM102" s="24">
        <f t="shared" si="27"/>
        <v>0.7172916676213994</v>
      </c>
      <c r="AN102" s="24">
        <f t="shared" si="28"/>
        <v>1.1213954215328821</v>
      </c>
      <c r="AO102" s="24">
        <f t="shared" si="29"/>
        <v>7.3230133841444681E-2</v>
      </c>
      <c r="AP102" s="24">
        <f t="shared" si="30"/>
        <v>0</v>
      </c>
      <c r="AQ102" s="24">
        <f t="shared" si="31"/>
        <v>0.59505139987211264</v>
      </c>
      <c r="AR102" s="24">
        <f t="shared" si="32"/>
        <v>0.2737752340239985</v>
      </c>
      <c r="AS102" s="24">
        <f t="shared" si="33"/>
        <v>0.3047425048569557</v>
      </c>
      <c r="AT102" s="24">
        <f t="shared" si="34"/>
        <v>0.20652026023893802</v>
      </c>
      <c r="AU102" s="24">
        <f t="shared" si="35"/>
        <v>0.26017303547417692</v>
      </c>
      <c r="AV102" s="24">
        <f t="shared" si="36"/>
        <v>0.23929678856413292</v>
      </c>
      <c r="AW102" s="24">
        <f t="shared" si="37"/>
        <v>0.37483430915681465</v>
      </c>
      <c r="AX102" s="24">
        <f t="shared" si="38"/>
        <v>0.11667142484396097</v>
      </c>
      <c r="AY102" s="24">
        <f t="shared" si="39"/>
        <v>9.4607799718199687E-2</v>
      </c>
      <c r="AZ102" s="24">
        <f t="shared" si="40"/>
        <v>4.236879944668908E-2</v>
      </c>
      <c r="BA102" s="24">
        <f t="shared" si="41"/>
        <v>2.2658977998531549E-2</v>
      </c>
      <c r="BB102" s="24">
        <f t="shared" si="42"/>
        <v>3.6059790912528311E-2</v>
      </c>
      <c r="BC102" s="52">
        <f t="shared" si="23"/>
        <v>6.5494445877808785</v>
      </c>
    </row>
    <row r="103" spans="35:55" x14ac:dyDescent="0.2">
      <c r="AI103" s="4">
        <v>41789</v>
      </c>
      <c r="AJ103" s="24">
        <f t="shared" si="24"/>
        <v>1.0835036556463173</v>
      </c>
      <c r="AK103" s="24">
        <f t="shared" si="25"/>
        <v>0.97061017284856443</v>
      </c>
      <c r="AL103" s="24">
        <f t="shared" si="26"/>
        <v>0</v>
      </c>
      <c r="AM103" s="24">
        <f t="shared" si="27"/>
        <v>0.70021245237065521</v>
      </c>
      <c r="AN103" s="24">
        <f t="shared" si="28"/>
        <v>1.0969639891718956</v>
      </c>
      <c r="AO103" s="24">
        <f t="shared" si="29"/>
        <v>7.1046246126799578E-2</v>
      </c>
      <c r="AP103" s="24">
        <f t="shared" si="30"/>
        <v>0</v>
      </c>
      <c r="AQ103" s="24">
        <f t="shared" si="31"/>
        <v>0.57961582134372802</v>
      </c>
      <c r="AR103" s="24">
        <f t="shared" si="32"/>
        <v>0.26421584239640339</v>
      </c>
      <c r="AS103" s="24">
        <f t="shared" si="33"/>
        <v>0.29285923767443878</v>
      </c>
      <c r="AT103" s="24">
        <f t="shared" si="34"/>
        <v>0.19635525072818252</v>
      </c>
      <c r="AU103" s="24">
        <f t="shared" si="35"/>
        <v>0.24672951244591518</v>
      </c>
      <c r="AV103" s="24">
        <f t="shared" si="36"/>
        <v>0.22457067457249216</v>
      </c>
      <c r="AW103" s="24">
        <f t="shared" si="37"/>
        <v>0.34599761942709356</v>
      </c>
      <c r="AX103" s="24">
        <f t="shared" si="38"/>
        <v>0.10825939139049133</v>
      </c>
      <c r="AY103" s="24">
        <f t="shared" si="39"/>
        <v>8.7245825710077995E-2</v>
      </c>
      <c r="AZ103" s="24">
        <f t="shared" si="40"/>
        <v>3.9706949746779845E-2</v>
      </c>
      <c r="BA103" s="24">
        <f t="shared" si="41"/>
        <v>2.1899674479509985E-2</v>
      </c>
      <c r="BB103" s="24">
        <f t="shared" si="42"/>
        <v>3.5371487248511677E-2</v>
      </c>
      <c r="BC103" s="52">
        <f t="shared" si="23"/>
        <v>6.3651638033278557</v>
      </c>
    </row>
    <row r="104" spans="35:55" x14ac:dyDescent="0.2">
      <c r="AI104" s="4">
        <v>41820</v>
      </c>
      <c r="AJ104" s="24">
        <f t="shared" si="24"/>
        <v>1.0917711498345795</v>
      </c>
      <c r="AK104" s="24">
        <f t="shared" si="25"/>
        <v>0.97557319338710213</v>
      </c>
      <c r="AL104" s="24">
        <f t="shared" si="26"/>
        <v>0</v>
      </c>
      <c r="AM104" s="24">
        <f t="shared" si="27"/>
        <v>0.71157902860434574</v>
      </c>
      <c r="AN104" s="24">
        <f t="shared" si="28"/>
        <v>1.1142555311032309</v>
      </c>
      <c r="AO104" s="24">
        <f t="shared" si="29"/>
        <v>7.2201773928814786E-2</v>
      </c>
      <c r="AP104" s="24">
        <f t="shared" si="30"/>
        <v>0</v>
      </c>
      <c r="AQ104" s="24">
        <f t="shared" si="31"/>
        <v>0.58828177057895303</v>
      </c>
      <c r="AR104" s="24">
        <f t="shared" si="32"/>
        <v>0.27061251951670995</v>
      </c>
      <c r="AS104" s="24">
        <f t="shared" si="33"/>
        <v>0.30355571835292011</v>
      </c>
      <c r="AT104" s="24">
        <f t="shared" si="34"/>
        <v>0.2024908212267828</v>
      </c>
      <c r="AU104" s="24">
        <f t="shared" si="35"/>
        <v>0.2570504619071261</v>
      </c>
      <c r="AV104" s="24">
        <f t="shared" si="36"/>
        <v>0.23611350523279084</v>
      </c>
      <c r="AW104" s="24">
        <f t="shared" si="37"/>
        <v>0.36272316921151682</v>
      </c>
      <c r="AX104" s="24">
        <f t="shared" si="38"/>
        <v>0.11517298731734472</v>
      </c>
      <c r="AY104" s="24">
        <f t="shared" si="39"/>
        <v>9.269478530957799E-2</v>
      </c>
      <c r="AZ104" s="24">
        <f t="shared" si="40"/>
        <v>3.9758991857709876E-2</v>
      </c>
      <c r="BA104" s="24">
        <f t="shared" si="41"/>
        <v>2.222251007490849E-2</v>
      </c>
      <c r="BB104" s="24">
        <f t="shared" si="42"/>
        <v>3.5514866717344301E-2</v>
      </c>
      <c r="BC104" s="52">
        <f t="shared" si="23"/>
        <v>6.4915727841617583</v>
      </c>
    </row>
    <row r="105" spans="35:55" x14ac:dyDescent="0.2">
      <c r="AI105" s="4">
        <v>41851</v>
      </c>
      <c r="AJ105" s="24">
        <f t="shared" si="24"/>
        <v>1.093332651958093</v>
      </c>
      <c r="AK105" s="24">
        <f t="shared" si="25"/>
        <v>0.97474994123397918</v>
      </c>
      <c r="AL105" s="24">
        <f t="shared" si="26"/>
        <v>0</v>
      </c>
      <c r="AM105" s="24">
        <f t="shared" si="27"/>
        <v>0.70951560671431757</v>
      </c>
      <c r="AN105" s="24">
        <f t="shared" si="28"/>
        <v>1.1126356347904367</v>
      </c>
      <c r="AO105" s="24">
        <f t="shared" si="29"/>
        <v>7.260959153736346E-2</v>
      </c>
      <c r="AP105" s="24">
        <f t="shared" si="30"/>
        <v>0</v>
      </c>
      <c r="AQ105" s="24">
        <f t="shared" si="31"/>
        <v>0.58573167862890574</v>
      </c>
      <c r="AR105" s="24">
        <f t="shared" si="32"/>
        <v>0.27140837002554274</v>
      </c>
      <c r="AS105" s="24">
        <f t="shared" si="33"/>
        <v>0.30519306271336799</v>
      </c>
      <c r="AT105" s="24">
        <f t="shared" si="34"/>
        <v>0.20381507322167958</v>
      </c>
      <c r="AU105" s="24">
        <f t="shared" si="35"/>
        <v>0.25986906401552129</v>
      </c>
      <c r="AV105" s="24">
        <f t="shared" si="36"/>
        <v>0.23989427704524668</v>
      </c>
      <c r="AW105" s="24">
        <f t="shared" si="37"/>
        <v>0.37163388347781723</v>
      </c>
      <c r="AX105" s="24">
        <f t="shared" si="38"/>
        <v>0.11826926180119013</v>
      </c>
      <c r="AY105" s="24">
        <f t="shared" si="39"/>
        <v>9.5847207768371384E-2</v>
      </c>
      <c r="AZ105" s="24">
        <f t="shared" si="40"/>
        <v>4.1091691086516259E-2</v>
      </c>
      <c r="BA105" s="24">
        <f t="shared" si="41"/>
        <v>2.2771653140327943E-2</v>
      </c>
      <c r="BB105" s="24">
        <f t="shared" si="42"/>
        <v>3.61792155859764E-2</v>
      </c>
      <c r="BC105" s="52">
        <f t="shared" si="23"/>
        <v>6.514547864744654</v>
      </c>
    </row>
    <row r="106" spans="35:55" x14ac:dyDescent="0.2">
      <c r="AI106" s="4">
        <v>41880</v>
      </c>
      <c r="AJ106" s="24">
        <f t="shared" si="24"/>
        <v>1.0691962412074432</v>
      </c>
      <c r="AK106" s="24">
        <f t="shared" si="25"/>
        <v>0.95465595104672241</v>
      </c>
      <c r="AL106" s="24">
        <f t="shared" si="26"/>
        <v>0</v>
      </c>
      <c r="AM106" s="24">
        <f t="shared" si="27"/>
        <v>0.68275083545316895</v>
      </c>
      <c r="AN106" s="24">
        <f t="shared" si="28"/>
        <v>1.0694638098154323</v>
      </c>
      <c r="AO106" s="24">
        <f t="shared" si="29"/>
        <v>6.8900464535951167E-2</v>
      </c>
      <c r="AP106" s="24">
        <f t="shared" si="30"/>
        <v>0</v>
      </c>
      <c r="AQ106" s="24">
        <f t="shared" si="31"/>
        <v>0.56094355729661716</v>
      </c>
      <c r="AR106" s="24">
        <f t="shared" si="32"/>
        <v>0.25400565662718166</v>
      </c>
      <c r="AS106" s="24">
        <f t="shared" si="33"/>
        <v>0.28783649733871997</v>
      </c>
      <c r="AT106" s="24">
        <f t="shared" si="34"/>
        <v>0.19037184362981857</v>
      </c>
      <c r="AU106" s="24">
        <f t="shared" si="35"/>
        <v>0.24225546284739338</v>
      </c>
      <c r="AV106" s="24">
        <f t="shared" si="36"/>
        <v>0.22156952691511075</v>
      </c>
      <c r="AW106" s="24">
        <f t="shared" si="37"/>
        <v>0.33946974462862706</v>
      </c>
      <c r="AX106" s="24">
        <f t="shared" si="38"/>
        <v>0.11024335182149535</v>
      </c>
      <c r="AY106" s="24">
        <f t="shared" si="39"/>
        <v>8.8988937001121968E-2</v>
      </c>
      <c r="AZ106" s="24">
        <f t="shared" si="40"/>
        <v>3.8809950746744246E-2</v>
      </c>
      <c r="BA106" s="24">
        <f t="shared" si="41"/>
        <v>2.1694276914290569E-2</v>
      </c>
      <c r="BB106" s="24">
        <f t="shared" si="42"/>
        <v>3.5168714496397233E-2</v>
      </c>
      <c r="BC106" s="52">
        <f t="shared" si="23"/>
        <v>6.2363248223222341</v>
      </c>
    </row>
    <row r="107" spans="35:55" x14ac:dyDescent="0.2">
      <c r="AI107" s="4">
        <v>41912</v>
      </c>
      <c r="AJ107" s="24">
        <f t="shared" si="24"/>
        <v>1.0938305354451523</v>
      </c>
      <c r="AK107" s="24">
        <f t="shared" si="25"/>
        <v>0.97838332653518978</v>
      </c>
      <c r="AL107" s="24">
        <f t="shared" si="26"/>
        <v>0</v>
      </c>
      <c r="AM107" s="24">
        <f t="shared" si="27"/>
        <v>0.70259160551232525</v>
      </c>
      <c r="AN107" s="24">
        <f t="shared" si="28"/>
        <v>1.1064662325608958</v>
      </c>
      <c r="AO107" s="24">
        <f t="shared" si="29"/>
        <v>7.1615257880048716E-2</v>
      </c>
      <c r="AP107" s="24">
        <f t="shared" si="30"/>
        <v>0</v>
      </c>
      <c r="AQ107" s="24">
        <f t="shared" si="31"/>
        <v>0.57422242575164739</v>
      </c>
      <c r="AR107" s="24">
        <f t="shared" si="32"/>
        <v>0.26428656159151176</v>
      </c>
      <c r="AS107" s="24">
        <f t="shared" si="33"/>
        <v>0.29812487911525293</v>
      </c>
      <c r="AT107" s="24">
        <f t="shared" si="34"/>
        <v>0.19880647587567762</v>
      </c>
      <c r="AU107" s="24">
        <f t="shared" si="35"/>
        <v>0.25810926832364006</v>
      </c>
      <c r="AV107" s="24">
        <f t="shared" si="36"/>
        <v>0.23650785013633344</v>
      </c>
      <c r="AW107" s="24">
        <f t="shared" si="37"/>
        <v>0.36519262659343643</v>
      </c>
      <c r="AX107" s="24">
        <f t="shared" si="38"/>
        <v>0.11804212329484702</v>
      </c>
      <c r="AY107" s="24">
        <f t="shared" si="39"/>
        <v>9.5365516018527607E-2</v>
      </c>
      <c r="AZ107" s="24">
        <f t="shared" si="40"/>
        <v>3.9977285044976371E-2</v>
      </c>
      <c r="BA107" s="24">
        <f t="shared" si="41"/>
        <v>2.2234863879216585E-2</v>
      </c>
      <c r="BB107" s="24">
        <f t="shared" si="42"/>
        <v>3.56900190828289E-2</v>
      </c>
      <c r="BC107" s="52">
        <f t="shared" si="23"/>
        <v>6.4594468526415074</v>
      </c>
    </row>
    <row r="108" spans="35:55" x14ac:dyDescent="0.2">
      <c r="AI108" s="4">
        <v>41943</v>
      </c>
      <c r="AJ108" s="24">
        <f t="shared" si="24"/>
        <v>1.081179842101132</v>
      </c>
      <c r="AK108" s="24">
        <f t="shared" si="25"/>
        <v>0.96382403377403125</v>
      </c>
      <c r="AL108" s="24">
        <f t="shared" si="26"/>
        <v>0</v>
      </c>
      <c r="AM108" s="24">
        <f t="shared" si="27"/>
        <v>0.68039580890653606</v>
      </c>
      <c r="AN108" s="24">
        <f t="shared" si="28"/>
        <v>1.0706530083665671</v>
      </c>
      <c r="AO108" s="24">
        <f t="shared" si="29"/>
        <v>6.8554680358701242E-2</v>
      </c>
      <c r="AP108" s="24">
        <f t="shared" si="30"/>
        <v>0</v>
      </c>
      <c r="AQ108" s="24">
        <f t="shared" si="31"/>
        <v>0.55405295933165888</v>
      </c>
      <c r="AR108" s="24">
        <f t="shared" si="32"/>
        <v>0.25132337010269207</v>
      </c>
      <c r="AS108" s="24">
        <f t="shared" si="33"/>
        <v>0.28329835563819794</v>
      </c>
      <c r="AT108" s="24">
        <f t="shared" si="34"/>
        <v>0.18513437981611455</v>
      </c>
      <c r="AU108" s="24">
        <f t="shared" si="35"/>
        <v>0.2434166163312092</v>
      </c>
      <c r="AV108" s="24">
        <f t="shared" si="36"/>
        <v>0.22146354171220478</v>
      </c>
      <c r="AW108" s="24">
        <f t="shared" si="37"/>
        <v>0.33831281015386488</v>
      </c>
      <c r="AX108" s="24">
        <f t="shared" si="38"/>
        <v>0.10899645547681223</v>
      </c>
      <c r="AY108" s="24">
        <f t="shared" si="39"/>
        <v>8.7673050741292891E-2</v>
      </c>
      <c r="AZ108" s="24">
        <f t="shared" si="40"/>
        <v>3.7252482868642009E-2</v>
      </c>
      <c r="BA108" s="24">
        <f t="shared" si="41"/>
        <v>2.0895961779266649E-2</v>
      </c>
      <c r="BB108" s="24">
        <f t="shared" si="42"/>
        <v>3.4223433419580125E-2</v>
      </c>
      <c r="BC108" s="52">
        <f t="shared" si="23"/>
        <v>6.230650790878502</v>
      </c>
    </row>
    <row r="109" spans="35:55" x14ac:dyDescent="0.2">
      <c r="AI109" s="4">
        <v>41971</v>
      </c>
      <c r="AJ109" s="24">
        <f t="shared" si="24"/>
        <v>1.0653493381387558</v>
      </c>
      <c r="AK109" s="24">
        <f t="shared" si="25"/>
        <v>0.95006294781623546</v>
      </c>
      <c r="AL109" s="24">
        <f t="shared" si="26"/>
        <v>0</v>
      </c>
      <c r="AM109" s="24">
        <f t="shared" si="27"/>
        <v>0.65978037643805143</v>
      </c>
      <c r="AN109" s="24">
        <f t="shared" si="28"/>
        <v>1.0383564783776702</v>
      </c>
      <c r="AO109" s="24">
        <f t="shared" si="29"/>
        <v>6.5697659735412098E-2</v>
      </c>
      <c r="AP109" s="24">
        <f t="shared" si="30"/>
        <v>0</v>
      </c>
      <c r="AQ109" s="24">
        <f t="shared" si="31"/>
        <v>0.53446099810648007</v>
      </c>
      <c r="AR109" s="24">
        <f t="shared" si="32"/>
        <v>0.23930605793997087</v>
      </c>
      <c r="AS109" s="24">
        <f t="shared" si="33"/>
        <v>0.26950978133154024</v>
      </c>
      <c r="AT109" s="24">
        <f t="shared" si="34"/>
        <v>0.17339638107163677</v>
      </c>
      <c r="AU109" s="24">
        <f t="shared" si="35"/>
        <v>0.23256044547103166</v>
      </c>
      <c r="AV109" s="24">
        <f t="shared" si="36"/>
        <v>0.21084471827605902</v>
      </c>
      <c r="AW109" s="24">
        <f t="shared" si="37"/>
        <v>0.3177916017050153</v>
      </c>
      <c r="AX109" s="24">
        <f t="shared" si="38"/>
        <v>0.10444669077793835</v>
      </c>
      <c r="AY109" s="24">
        <f t="shared" si="39"/>
        <v>8.3533547596983129E-2</v>
      </c>
      <c r="AZ109" s="24">
        <f t="shared" si="40"/>
        <v>3.5584822495201535E-2</v>
      </c>
      <c r="BA109" s="24">
        <f t="shared" si="41"/>
        <v>2.013873498678391E-2</v>
      </c>
      <c r="BB109" s="24">
        <f t="shared" si="42"/>
        <v>3.3303160483342358E-2</v>
      </c>
      <c r="BC109" s="52">
        <f t="shared" si="23"/>
        <v>6.0341237407481083</v>
      </c>
    </row>
    <row r="110" spans="35:55" x14ac:dyDescent="0.2">
      <c r="AI110" s="4">
        <v>42004</v>
      </c>
      <c r="AJ110" s="24">
        <f t="shared" si="24"/>
        <v>1.0234075933010409</v>
      </c>
      <c r="AK110" s="24">
        <f t="shared" si="25"/>
        <v>0.92612544701697386</v>
      </c>
      <c r="AL110" s="24">
        <f t="shared" si="26"/>
        <v>0</v>
      </c>
      <c r="AM110" s="24">
        <f t="shared" si="27"/>
        <v>0.62833610958203201</v>
      </c>
      <c r="AN110" s="24">
        <f t="shared" si="28"/>
        <v>1.0245769797706612</v>
      </c>
      <c r="AO110" s="24">
        <f t="shared" si="29"/>
        <v>6.4074062963634604E-2</v>
      </c>
      <c r="AP110" s="24">
        <f t="shared" si="30"/>
        <v>0</v>
      </c>
      <c r="AQ110" s="24">
        <f t="shared" si="31"/>
        <v>0.50647164198793593</v>
      </c>
      <c r="AR110" s="24">
        <f t="shared" si="32"/>
        <v>0.23483559041789182</v>
      </c>
      <c r="AS110" s="24">
        <f t="shared" si="33"/>
        <v>0.26393304273154944</v>
      </c>
      <c r="AT110" s="24">
        <f t="shared" si="34"/>
        <v>0.16887636865971228</v>
      </c>
      <c r="AU110" s="24">
        <f t="shared" si="35"/>
        <v>0.22874994308784025</v>
      </c>
      <c r="AV110" s="24">
        <f t="shared" si="36"/>
        <v>0.20769633913564339</v>
      </c>
      <c r="AW110" s="24">
        <f t="shared" si="37"/>
        <v>0.31120228421153701</v>
      </c>
      <c r="AX110" s="24">
        <f t="shared" si="38"/>
        <v>0.10272147973520936</v>
      </c>
      <c r="AY110" s="24">
        <f t="shared" si="39"/>
        <v>8.173547205024731E-2</v>
      </c>
      <c r="AZ110" s="24">
        <f t="shared" si="40"/>
        <v>3.4818922759596665E-2</v>
      </c>
      <c r="BA110" s="24">
        <f t="shared" si="41"/>
        <v>1.9709302985268923E-2</v>
      </c>
      <c r="BB110" s="24">
        <f t="shared" si="42"/>
        <v>3.2842891623287879E-2</v>
      </c>
      <c r="BC110" s="52">
        <f t="shared" si="23"/>
        <v>5.8601134720200623</v>
      </c>
    </row>
    <row r="111" spans="35:55" x14ac:dyDescent="0.2">
      <c r="AI111" s="4">
        <v>42034</v>
      </c>
      <c r="AJ111" s="24">
        <f t="shared" si="24"/>
        <v>0.86471682324399723</v>
      </c>
      <c r="AK111" s="24">
        <f t="shared" si="25"/>
        <v>0.78349674135629543</v>
      </c>
      <c r="AL111" s="24">
        <f t="shared" si="26"/>
        <v>0</v>
      </c>
      <c r="AM111" s="24">
        <f t="shared" si="27"/>
        <v>0.49813804190612165</v>
      </c>
      <c r="AN111" s="24">
        <f t="shared" si="28"/>
        <v>0.82855726901999671</v>
      </c>
      <c r="AO111" s="24">
        <f t="shared" si="29"/>
        <v>5.072775186645536E-2</v>
      </c>
      <c r="AP111" s="24">
        <f t="shared" si="30"/>
        <v>0</v>
      </c>
      <c r="AQ111" s="24">
        <f t="shared" si="31"/>
        <v>0.39776204809352106</v>
      </c>
      <c r="AR111" s="24">
        <f t="shared" si="32"/>
        <v>0.18521755319484645</v>
      </c>
      <c r="AS111" s="24">
        <f t="shared" si="33"/>
        <v>0.20822373685799214</v>
      </c>
      <c r="AT111" s="24">
        <f t="shared" si="34"/>
        <v>0.13107987980150448</v>
      </c>
      <c r="AU111" s="24">
        <f t="shared" si="35"/>
        <v>0.18594184833939909</v>
      </c>
      <c r="AV111" s="24">
        <f t="shared" si="36"/>
        <v>0.16628102531840405</v>
      </c>
      <c r="AW111" s="24">
        <f t="shared" si="37"/>
        <v>0.24678592959273035</v>
      </c>
      <c r="AX111" s="24">
        <f t="shared" si="38"/>
        <v>8.5282923053993931E-2</v>
      </c>
      <c r="AY111" s="24">
        <f t="shared" si="39"/>
        <v>6.752664699090033E-2</v>
      </c>
      <c r="AZ111" s="24">
        <f t="shared" si="40"/>
        <v>3.2144960957219471E-2</v>
      </c>
      <c r="BA111" s="24">
        <f t="shared" si="41"/>
        <v>1.8511083742715137E-2</v>
      </c>
      <c r="BB111" s="24">
        <f t="shared" si="42"/>
        <v>3.1537375193686649E-2</v>
      </c>
      <c r="BC111" s="52">
        <f t="shared" si="23"/>
        <v>4.7819316385297785</v>
      </c>
    </row>
    <row r="112" spans="35:55" x14ac:dyDescent="0.2">
      <c r="AI112" s="5">
        <v>42062</v>
      </c>
      <c r="AJ112" s="24">
        <f t="shared" si="24"/>
        <v>0.97179287925741265</v>
      </c>
      <c r="AK112" s="24">
        <f t="shared" si="25"/>
        <v>0.87852901445101417</v>
      </c>
      <c r="AL112" s="24">
        <f t="shared" si="26"/>
        <v>0</v>
      </c>
      <c r="AM112" s="24">
        <f t="shared" si="27"/>
        <v>0.58501771464030849</v>
      </c>
      <c r="AN112" s="24">
        <f t="shared" si="28"/>
        <v>0.95588183948055983</v>
      </c>
      <c r="AO112" s="24">
        <f t="shared" si="29"/>
        <v>5.9956380687599148E-2</v>
      </c>
      <c r="AP112" s="24">
        <f t="shared" si="30"/>
        <v>0</v>
      </c>
      <c r="AQ112" s="24">
        <f t="shared" si="31"/>
        <v>0.4620951906742175</v>
      </c>
      <c r="AR112" s="24">
        <f t="shared" si="32"/>
        <v>0.21955088432373646</v>
      </c>
      <c r="AS112" s="24">
        <f t="shared" si="33"/>
        <v>0.24615221134035611</v>
      </c>
      <c r="AT112" s="24">
        <f t="shared" si="34"/>
        <v>0.15853935961257695</v>
      </c>
      <c r="AU112" s="24">
        <f t="shared" si="35"/>
        <v>0.21498174990348967</v>
      </c>
      <c r="AV112" s="24">
        <f t="shared" si="36"/>
        <v>0.19489489948417257</v>
      </c>
      <c r="AW112" s="24">
        <f t="shared" si="37"/>
        <v>0.2928226975289755</v>
      </c>
      <c r="AX112" s="24">
        <f t="shared" si="38"/>
        <v>9.774436748060647E-2</v>
      </c>
      <c r="AY112" s="24">
        <f t="shared" si="39"/>
        <v>7.8056490466127018E-2</v>
      </c>
      <c r="AZ112" s="24">
        <f t="shared" si="40"/>
        <v>3.6128655943699718E-2</v>
      </c>
      <c r="BA112" s="24">
        <f t="shared" si="41"/>
        <v>2.0585052040909928E-2</v>
      </c>
      <c r="BB112" s="24">
        <f t="shared" si="42"/>
        <v>3.4188755808712216E-2</v>
      </c>
      <c r="BC112" s="52">
        <f t="shared" si="23"/>
        <v>5.5069181431244747</v>
      </c>
    </row>
    <row r="113" spans="35:55" x14ac:dyDescent="0.2">
      <c r="AI113" s="5">
        <v>42094</v>
      </c>
      <c r="AJ113" s="24">
        <f t="shared" si="24"/>
        <v>0.95369712100707082</v>
      </c>
      <c r="AK113" s="24">
        <f t="shared" si="25"/>
        <v>0.86291389300530885</v>
      </c>
      <c r="AL113" s="24">
        <f t="shared" si="26"/>
        <v>0</v>
      </c>
      <c r="AM113" s="24">
        <f t="shared" si="27"/>
        <v>0.56768590477677927</v>
      </c>
      <c r="AN113" s="24">
        <f t="shared" si="28"/>
        <v>0.93314420557377609</v>
      </c>
      <c r="AO113" s="24">
        <f t="shared" si="29"/>
        <v>5.8539445756144691E-2</v>
      </c>
      <c r="AP113" s="24">
        <f t="shared" si="30"/>
        <v>0</v>
      </c>
      <c r="AQ113" s="24">
        <f t="shared" si="31"/>
        <v>0.44467318502443248</v>
      </c>
      <c r="AR113" s="24">
        <f t="shared" si="32"/>
        <v>0.21243766973844683</v>
      </c>
      <c r="AS113" s="24">
        <f t="shared" si="33"/>
        <v>0.23752292798607536</v>
      </c>
      <c r="AT113" s="24">
        <f t="shared" si="34"/>
        <v>0.15218970061032649</v>
      </c>
      <c r="AU113" s="24">
        <f t="shared" si="35"/>
        <v>0.20993887995512173</v>
      </c>
      <c r="AV113" s="24">
        <f t="shared" si="36"/>
        <v>0.18841963735571327</v>
      </c>
      <c r="AW113" s="24">
        <f t="shared" si="37"/>
        <v>0.2820167389562116</v>
      </c>
      <c r="AX113" s="24">
        <f t="shared" si="38"/>
        <v>9.5004272551899721E-2</v>
      </c>
      <c r="AY113" s="24">
        <f t="shared" si="39"/>
        <v>7.6046667574628038E-2</v>
      </c>
      <c r="AZ113" s="24">
        <f t="shared" si="40"/>
        <v>3.7273677664685069E-2</v>
      </c>
      <c r="BA113" s="24">
        <f t="shared" si="41"/>
        <v>2.1581606426178145E-2</v>
      </c>
      <c r="BB113" s="24">
        <f t="shared" si="42"/>
        <v>3.5564409122529679E-2</v>
      </c>
      <c r="BC113" s="52">
        <f t="shared" si="23"/>
        <v>5.3686499430853276</v>
      </c>
    </row>
    <row r="114" spans="35:55" x14ac:dyDescent="0.2">
      <c r="AI114" s="5">
        <v>42124</v>
      </c>
      <c r="AJ114" s="24">
        <f t="shared" si="24"/>
        <v>0.83352739728725578</v>
      </c>
      <c r="AK114" s="24">
        <f t="shared" si="25"/>
        <v>0.75153204282707076</v>
      </c>
      <c r="AL114" s="24">
        <f t="shared" si="26"/>
        <v>0.34544159538159647</v>
      </c>
      <c r="AM114" s="24">
        <f t="shared" si="27"/>
        <v>0.50105336988982085</v>
      </c>
      <c r="AN114" s="24">
        <f t="shared" si="28"/>
        <v>0.82081992545397042</v>
      </c>
      <c r="AO114" s="24">
        <f t="shared" si="29"/>
        <v>5.1487022054763396E-2</v>
      </c>
      <c r="AP114" s="24">
        <f t="shared" si="30"/>
        <v>0.51127860919326784</v>
      </c>
      <c r="AQ114" s="24">
        <f t="shared" si="31"/>
        <v>0.38686899480634956</v>
      </c>
      <c r="AR114" s="24">
        <f t="shared" si="32"/>
        <v>0.18589829216513226</v>
      </c>
      <c r="AS114" s="24">
        <f t="shared" si="33"/>
        <v>0.20779681994498791</v>
      </c>
      <c r="AT114" s="24">
        <f t="shared" si="34"/>
        <v>0.13291922196266356</v>
      </c>
      <c r="AU114" s="24">
        <f t="shared" si="35"/>
        <v>0.18193900842050351</v>
      </c>
      <c r="AV114" s="24">
        <f t="shared" si="36"/>
        <v>0.1633146918744891</v>
      </c>
      <c r="AW114" s="24">
        <f t="shared" si="37"/>
        <v>0.2448978660551232</v>
      </c>
      <c r="AX114" s="24">
        <f t="shared" si="38"/>
        <v>8.2306639717172739E-2</v>
      </c>
      <c r="AY114" s="24">
        <f t="shared" si="39"/>
        <v>6.6081994022123822E-2</v>
      </c>
      <c r="AZ114" s="24">
        <f t="shared" si="40"/>
        <v>3.2182567232353534E-2</v>
      </c>
      <c r="BA114" s="24">
        <f t="shared" si="41"/>
        <v>1.8532037542711162E-2</v>
      </c>
      <c r="BB114" s="24">
        <f t="shared" si="42"/>
        <v>3.0313466317932934E-2</v>
      </c>
      <c r="BC114" s="52">
        <f t="shared" si="23"/>
        <v>5.5481915621492881</v>
      </c>
    </row>
    <row r="115" spans="35:55" x14ac:dyDescent="0.2">
      <c r="AI115" s="5">
        <v>42153</v>
      </c>
      <c r="AJ115" s="24">
        <f t="shared" ref="AJ115" si="43">G58*AJ58</f>
        <v>0.84611119468321005</v>
      </c>
      <c r="AK115" s="24">
        <f t="shared" ref="AK115" si="44">H58*AK58</f>
        <v>0.75562166647040219</v>
      </c>
      <c r="AL115" s="24">
        <f t="shared" ref="AL115" si="45">I58*AL58</f>
        <v>0.36090634594391791</v>
      </c>
      <c r="AM115" s="24">
        <f t="shared" ref="AM115" si="46">J58*AM58</f>
        <v>0.51560465938952893</v>
      </c>
      <c r="AN115" s="24">
        <f t="shared" ref="AN115" si="47">K58*AN58</f>
        <v>0.8299497499575893</v>
      </c>
      <c r="AO115" s="24">
        <f t="shared" ref="AO115" si="48">L58*AO58</f>
        <v>5.198566609893053E-2</v>
      </c>
      <c r="AP115" s="24">
        <f t="shared" ref="AP115" si="49">M58*AP58</f>
        <v>0.53632560835839893</v>
      </c>
      <c r="AQ115" s="24">
        <f t="shared" ref="AQ115" si="50">N58*AQ58</f>
        <v>0.39106153380891412</v>
      </c>
      <c r="AR115" s="24">
        <f t="shared" ref="AR115" si="51">O58*AR58</f>
        <v>0.18961728051962667</v>
      </c>
      <c r="AS115" s="24">
        <f t="shared" ref="AS115" si="52">P58*AS58</f>
        <v>0.21155411160777493</v>
      </c>
      <c r="AT115" s="24">
        <f t="shared" ref="AT115" si="53">Q58*AT58</f>
        <v>0.13492694552728932</v>
      </c>
      <c r="AU115" s="24">
        <f t="shared" ref="AU115" si="54">R58*AU58</f>
        <v>0.18307299988943351</v>
      </c>
      <c r="AV115" s="24">
        <f t="shared" ref="AV115" si="55">S58*AV58</f>
        <v>0.16372327631356273</v>
      </c>
      <c r="AW115" s="24">
        <f t="shared" ref="AW115" si="56">T58*AW58</f>
        <v>0.24517416271378242</v>
      </c>
      <c r="AX115" s="24">
        <f t="shared" ref="AX115" si="57">U58*AX58</f>
        <v>8.3046554722811861E-2</v>
      </c>
      <c r="AY115" s="24">
        <f t="shared" ref="AY115" si="58">V58*AY58</f>
        <v>6.6615441236986248E-2</v>
      </c>
      <c r="AZ115" s="24">
        <f t="shared" ref="AZ115" si="59">W58*AZ58</f>
        <v>3.0597305760289378E-2</v>
      </c>
      <c r="BA115" s="24">
        <f t="shared" ref="BA115" si="60">X58*BA58</f>
        <v>1.7971601525670448E-2</v>
      </c>
      <c r="BB115" s="24">
        <f t="shared" ref="BB115" si="61">Y58*BB58</f>
        <v>2.9734106907831265E-2</v>
      </c>
      <c r="BC115" s="52">
        <f t="shared" ref="BC115" si="62">SUM(AJ115:BB115)</f>
        <v>5.6436002114359507</v>
      </c>
    </row>
    <row r="116" spans="35:55" x14ac:dyDescent="0.2">
      <c r="AI116" s="5">
        <v>42185</v>
      </c>
      <c r="AJ116" s="24">
        <f t="shared" ref="AJ116" si="63">G59*AJ59</f>
        <v>0.89948296209620793</v>
      </c>
      <c r="AK116" s="24">
        <f t="shared" ref="AK116" si="64">H59*AK59</f>
        <v>0.80133426063271695</v>
      </c>
      <c r="AL116" s="24">
        <f t="shared" ref="AL116" si="65">I59*AL59</f>
        <v>0.41067006984365367</v>
      </c>
      <c r="AM116" s="24">
        <f t="shared" ref="AM116" si="66">J59*AM59</f>
        <v>0.56751362510110415</v>
      </c>
      <c r="AN116" s="24">
        <f t="shared" ref="AN116" si="67">K59*AN59</f>
        <v>0.90036959545394635</v>
      </c>
      <c r="AO116" s="24">
        <f t="shared" ref="AO116" si="68">L59*AO59</f>
        <v>5.6829774889392115E-2</v>
      </c>
      <c r="AP116" s="24">
        <f t="shared" ref="AP116" si="69">M59*AP59</f>
        <v>0.61299922758346681</v>
      </c>
      <c r="AQ116" s="24">
        <f t="shared" ref="AQ116" si="70">N59*AQ59</f>
        <v>0.42559065121989875</v>
      </c>
      <c r="AR116" s="24">
        <f t="shared" ref="AR116" si="71">O59*AR59</f>
        <v>0.20671758112942776</v>
      </c>
      <c r="AS116" s="24">
        <f t="shared" ref="AS116" si="72">P59*AS59</f>
        <v>0.23059081051203731</v>
      </c>
      <c r="AT116" s="24">
        <f t="shared" ref="AT116" si="73">Q59*AT59</f>
        <v>0.14744868085202656</v>
      </c>
      <c r="AU116" s="24">
        <f t="shared" ref="AU116" si="74">R59*AU59</f>
        <v>0.19674581366173921</v>
      </c>
      <c r="AV116" s="24">
        <f t="shared" ref="AV116" si="75">S59*AV59</f>
        <v>0.17660710960765866</v>
      </c>
      <c r="AW116" s="24">
        <f t="shared" ref="AW116" si="76">T59*AW59</f>
        <v>0.26516390815953061</v>
      </c>
      <c r="AX116" s="24">
        <f t="shared" ref="AX116" si="77">U59*AX59</f>
        <v>8.8391086612389549E-2</v>
      </c>
      <c r="AY116" s="24">
        <f t="shared" ref="AY116" si="78">V59*AY59</f>
        <v>7.1402363124925747E-2</v>
      </c>
      <c r="AZ116" s="24">
        <f t="shared" ref="AZ116" si="79">W59*AZ59</f>
        <v>3.1514456549967512E-2</v>
      </c>
      <c r="BA116" s="24">
        <f t="shared" ref="BA116" si="80">X59*BA59</f>
        <v>1.8523785780867053E-2</v>
      </c>
      <c r="BB116" s="24">
        <f t="shared" ref="BB116" si="81">Y59*BB59</f>
        <v>3.0479151274747023E-2</v>
      </c>
      <c r="BC116" s="52">
        <f>SUM(AJ116:BB116)</f>
        <v>6.1383749140857038</v>
      </c>
    </row>
    <row r="117" spans="35:55" x14ac:dyDescent="0.2">
      <c r="AI117" s="5">
        <f>AI60</f>
        <v>42216</v>
      </c>
      <c r="AJ117" s="24">
        <f t="shared" ref="AJ117" si="82">G60*AJ60</f>
        <v>0.88222001724520405</v>
      </c>
      <c r="AK117" s="24">
        <f t="shared" ref="AK117" si="83">H60*AK60</f>
        <v>0.78219296325284737</v>
      </c>
      <c r="AL117" s="24">
        <f t="shared" ref="AL117" si="84">I60*AL60</f>
        <v>0.41148850014659444</v>
      </c>
      <c r="AM117" s="24">
        <f t="shared" ref="AM117" si="85">J60*AM60</f>
        <v>0.54793022866544761</v>
      </c>
      <c r="AN117" s="24">
        <f t="shared" ref="AN117" si="86">K60*AN60</f>
        <v>0.86857496516847132</v>
      </c>
      <c r="AO117" s="24">
        <f t="shared" ref="AO117" si="87">L60*AO60</f>
        <v>5.424346938101085E-2</v>
      </c>
      <c r="AP117" s="24">
        <f t="shared" ref="AP117" si="88">M60*AP60</f>
        <v>0.57744976278704474</v>
      </c>
      <c r="AQ117" s="24">
        <f t="shared" ref="AQ117" si="89">N60*AQ60</f>
        <v>0.40727601070030089</v>
      </c>
      <c r="AR117" s="24">
        <f t="shared" ref="AR117" si="90">O60*AR60</f>
        <v>0.19728386935786221</v>
      </c>
      <c r="AS117" s="24">
        <f t="shared" ref="AS117" si="91">P60*AS60</f>
        <v>0.21996961552656752</v>
      </c>
      <c r="AT117" s="24">
        <f t="shared" ref="AT117" si="92">Q60*AT60</f>
        <v>0.13943730663316647</v>
      </c>
      <c r="AU117" s="24">
        <f t="shared" ref="AU117" si="93">R60*AU60</f>
        <v>0.18949416156365234</v>
      </c>
      <c r="AV117" s="24">
        <f t="shared" ref="AV117" si="94">S60*AV60</f>
        <v>0.16896540155550785</v>
      </c>
      <c r="AW117" s="24">
        <f t="shared" ref="AW117" si="95">T60*AW60</f>
        <v>0.25138102115468036</v>
      </c>
      <c r="AX117" s="24">
        <f t="shared" ref="AX117" si="96">U60*AX60</f>
        <v>8.4980043367040764E-2</v>
      </c>
      <c r="AY117" s="24">
        <f t="shared" ref="AY117" si="97">V60*AY60</f>
        <v>6.8201099816200303E-2</v>
      </c>
      <c r="AZ117" s="24">
        <f t="shared" ref="AZ117" si="98">W60*AZ60</f>
        <v>3.0196696843898172E-2</v>
      </c>
      <c r="BA117" s="24">
        <f t="shared" ref="BA117" si="99">X60*BA60</f>
        <v>1.8150186390055726E-2</v>
      </c>
      <c r="BB117" s="24">
        <f t="shared" ref="BB117" si="100">Y60*BB60</f>
        <v>3.0198744100865316E-2</v>
      </c>
      <c r="BC117" s="52">
        <f>SUM(AJ117:BB117)</f>
        <v>5.9296340636564171</v>
      </c>
    </row>
  </sheetData>
  <mergeCells count="1">
    <mergeCell ref="F6:AC6"/>
  </mergeCells>
  <conditionalFormatting sqref="G8:AB8 G9:Z61">
    <cfRule type="cellIs" dxfId="6" priority="5" operator="equal">
      <formula>0</formula>
    </cfRule>
  </conditionalFormatting>
  <conditionalFormatting sqref="AJ8:BC54">
    <cfRule type="cellIs" dxfId="5" priority="4" operator="equal">
      <formula>0</formula>
    </cfRule>
  </conditionalFormatting>
  <conditionalFormatting sqref="AJ65:BC117">
    <cfRule type="cellIs" dxfId="4" priority="3" operator="equal">
      <formula>0</formula>
    </cfRule>
  </conditionalFormatting>
  <conditionalFormatting sqref="AJ55:BC60">
    <cfRule type="cellIs" dxfId="3" priority="1" operator="equal">
      <formula>0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F5:AC60"/>
  <sheetViews>
    <sheetView workbookViewId="0">
      <selection activeCell="H62" sqref="H62"/>
    </sheetView>
  </sheetViews>
  <sheetFormatPr defaultRowHeight="12.75" x14ac:dyDescent="0.2"/>
  <sheetData>
    <row r="5" spans="6:29" x14ac:dyDescent="0.2">
      <c r="G5">
        <v>3</v>
      </c>
      <c r="H5">
        <v>3.5</v>
      </c>
      <c r="I5">
        <v>4</v>
      </c>
      <c r="J5">
        <v>3</v>
      </c>
      <c r="K5">
        <v>3.5</v>
      </c>
      <c r="L5">
        <v>4</v>
      </c>
      <c r="M5">
        <v>4.5</v>
      </c>
      <c r="N5">
        <v>3.5</v>
      </c>
      <c r="O5">
        <v>4</v>
      </c>
      <c r="P5">
        <v>4.5</v>
      </c>
      <c r="Q5">
        <v>5</v>
      </c>
      <c r="R5">
        <v>4</v>
      </c>
      <c r="S5">
        <v>4.5</v>
      </c>
      <c r="T5">
        <v>5</v>
      </c>
      <c r="U5">
        <v>5.5</v>
      </c>
      <c r="V5">
        <v>6</v>
      </c>
      <c r="W5">
        <v>6.5</v>
      </c>
      <c r="X5">
        <v>4</v>
      </c>
      <c r="Y5">
        <v>4.5</v>
      </c>
      <c r="Z5">
        <v>5</v>
      </c>
    </row>
    <row r="6" spans="6:29" ht="15" x14ac:dyDescent="0.25">
      <c r="F6" s="56" t="s">
        <v>27</v>
      </c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7"/>
      <c r="AB6" s="57"/>
      <c r="AC6" s="58"/>
    </row>
    <row r="7" spans="6:29" ht="38.25" x14ac:dyDescent="0.2">
      <c r="F7" s="1" t="s">
        <v>0</v>
      </c>
      <c r="G7" s="1" t="s">
        <v>1</v>
      </c>
      <c r="H7" s="2" t="s">
        <v>4</v>
      </c>
      <c r="I7" s="1" t="s">
        <v>28</v>
      </c>
      <c r="J7" s="2" t="s">
        <v>2</v>
      </c>
      <c r="K7" s="2" t="s">
        <v>5</v>
      </c>
      <c r="L7" s="34" t="s">
        <v>8</v>
      </c>
      <c r="M7" s="1" t="s">
        <v>29</v>
      </c>
      <c r="N7" s="2" t="s">
        <v>3</v>
      </c>
      <c r="O7" s="2" t="s">
        <v>6</v>
      </c>
      <c r="P7" s="2" t="s">
        <v>9</v>
      </c>
      <c r="Q7" s="34" t="s">
        <v>12</v>
      </c>
      <c r="R7" s="1" t="s">
        <v>7</v>
      </c>
      <c r="S7" s="2" t="s">
        <v>10</v>
      </c>
      <c r="T7" s="34" t="s">
        <v>13</v>
      </c>
      <c r="U7" s="1" t="s">
        <v>11</v>
      </c>
      <c r="V7" s="34" t="s">
        <v>14</v>
      </c>
      <c r="W7" s="3" t="s">
        <v>15</v>
      </c>
      <c r="X7" s="3" t="s">
        <v>16</v>
      </c>
      <c r="Y7" s="3" t="s">
        <v>17</v>
      </c>
      <c r="Z7" s="2" t="s">
        <v>18</v>
      </c>
      <c r="AA7" s="2" t="s">
        <v>19</v>
      </c>
      <c r="AB7" s="2" t="s">
        <v>20</v>
      </c>
      <c r="AC7" s="3" t="s">
        <v>21</v>
      </c>
    </row>
    <row r="8" spans="6:29" x14ac:dyDescent="0.2">
      <c r="F8" s="4">
        <v>40633</v>
      </c>
      <c r="G8" s="35"/>
      <c r="H8" s="36"/>
      <c r="I8" s="29"/>
      <c r="J8" s="30"/>
      <c r="K8" s="30"/>
      <c r="L8" s="36">
        <v>24.809722220000001</v>
      </c>
      <c r="M8" s="29"/>
      <c r="N8" s="30"/>
      <c r="O8" s="30"/>
      <c r="P8" s="30">
        <v>25.996111110000001</v>
      </c>
      <c r="Q8" s="36">
        <v>24.191111110000001</v>
      </c>
      <c r="R8" s="29"/>
      <c r="S8" s="30">
        <v>26.182500000000001</v>
      </c>
      <c r="T8" s="36">
        <v>24.448499999999999</v>
      </c>
      <c r="U8" s="29">
        <v>25.970889890000002</v>
      </c>
      <c r="V8" s="36">
        <v>24.161889890000001</v>
      </c>
      <c r="W8" s="37">
        <v>20.548276780000002</v>
      </c>
      <c r="X8" s="37">
        <v>20.218666670000001</v>
      </c>
      <c r="Y8" s="37">
        <v>21.327054560000001</v>
      </c>
      <c r="Z8" s="38"/>
      <c r="AA8" s="39"/>
      <c r="AB8" s="40"/>
      <c r="AC8" s="31">
        <v>23.785472222999999</v>
      </c>
    </row>
    <row r="9" spans="6:29" x14ac:dyDescent="0.2">
      <c r="F9" s="4">
        <v>40662</v>
      </c>
      <c r="G9" s="29"/>
      <c r="H9" s="36"/>
      <c r="I9" s="29"/>
      <c r="J9" s="30"/>
      <c r="K9" s="30"/>
      <c r="L9" s="36">
        <v>24.928443440000002</v>
      </c>
      <c r="M9" s="29"/>
      <c r="N9" s="30"/>
      <c r="O9" s="30"/>
      <c r="P9" s="30">
        <v>26.261222220000001</v>
      </c>
      <c r="Q9" s="36">
        <v>24.35122222</v>
      </c>
      <c r="R9" s="29"/>
      <c r="S9" s="30">
        <v>26.347999999999999</v>
      </c>
      <c r="T9" s="36">
        <v>24.707001000000002</v>
      </c>
      <c r="U9" s="29">
        <v>26.527777780000001</v>
      </c>
      <c r="V9" s="36">
        <v>24.980776779999999</v>
      </c>
      <c r="W9" s="37">
        <v>20.86755556</v>
      </c>
      <c r="X9" s="37">
        <v>20.384334329999998</v>
      </c>
      <c r="Y9" s="37">
        <v>21.451111109999999</v>
      </c>
      <c r="Z9" s="41"/>
      <c r="AA9" s="42"/>
      <c r="AB9" s="43"/>
      <c r="AC9" s="31">
        <v>24.080744444</v>
      </c>
    </row>
    <row r="10" spans="6:29" x14ac:dyDescent="0.2">
      <c r="F10" s="4">
        <v>40694</v>
      </c>
      <c r="G10" s="29"/>
      <c r="H10" s="36"/>
      <c r="I10" s="29"/>
      <c r="J10" s="30"/>
      <c r="K10" s="30"/>
      <c r="L10" s="36">
        <v>25.422723220000002</v>
      </c>
      <c r="M10" s="29"/>
      <c r="N10" s="30"/>
      <c r="O10" s="30"/>
      <c r="P10" s="30">
        <v>26.61711111</v>
      </c>
      <c r="Q10" s="36">
        <v>24.668112110000003</v>
      </c>
      <c r="R10" s="29"/>
      <c r="S10" s="30">
        <v>26.538501</v>
      </c>
      <c r="T10" s="36">
        <v>24.573499999999999</v>
      </c>
      <c r="U10" s="29">
        <v>26.618888890000001</v>
      </c>
      <c r="V10" s="36">
        <v>24.595889890000002</v>
      </c>
      <c r="W10" s="37">
        <v>20.21627878</v>
      </c>
      <c r="X10" s="37">
        <v>20.484665669999998</v>
      </c>
      <c r="Y10" s="37">
        <v>22.12805556</v>
      </c>
      <c r="Z10" s="41"/>
      <c r="AA10" s="42"/>
      <c r="AB10" s="43"/>
      <c r="AC10" s="31">
        <v>24.186372623</v>
      </c>
    </row>
    <row r="11" spans="6:29" x14ac:dyDescent="0.2">
      <c r="F11" s="4">
        <v>40724</v>
      </c>
      <c r="G11" s="29"/>
      <c r="H11" s="36"/>
      <c r="I11" s="29"/>
      <c r="J11" s="30"/>
      <c r="K11" s="30"/>
      <c r="L11" s="36">
        <v>25.649722220000001</v>
      </c>
      <c r="M11" s="29"/>
      <c r="N11" s="30"/>
      <c r="O11" s="30"/>
      <c r="P11" s="30">
        <v>26.88711211</v>
      </c>
      <c r="Q11" s="36">
        <v>24.613111110000002</v>
      </c>
      <c r="R11" s="29"/>
      <c r="S11" s="30">
        <v>26.9175</v>
      </c>
      <c r="T11" s="36">
        <v>24.581500000000002</v>
      </c>
      <c r="U11" s="29">
        <v>27.333888890000001</v>
      </c>
      <c r="V11" s="36">
        <v>24.931887889999999</v>
      </c>
      <c r="W11" s="37">
        <v>20.29027778</v>
      </c>
      <c r="X11" s="37">
        <v>20.83666667</v>
      </c>
      <c r="Y11" s="37">
        <v>22.460056559999998</v>
      </c>
      <c r="Z11" s="41"/>
      <c r="AA11" s="42"/>
      <c r="AB11" s="43"/>
      <c r="AC11" s="31">
        <v>24.450172322999997</v>
      </c>
    </row>
    <row r="12" spans="6:29" x14ac:dyDescent="0.2">
      <c r="F12" s="4">
        <v>40753</v>
      </c>
      <c r="G12" s="29"/>
      <c r="H12" s="36"/>
      <c r="I12" s="29"/>
      <c r="J12" s="30"/>
      <c r="K12" s="30"/>
      <c r="L12" s="36">
        <v>24.934722220000001</v>
      </c>
      <c r="M12" s="29"/>
      <c r="N12" s="30"/>
      <c r="O12" s="30"/>
      <c r="P12" s="30">
        <v>25.72711211</v>
      </c>
      <c r="Q12" s="36">
        <v>23.320110110000002</v>
      </c>
      <c r="R12" s="29"/>
      <c r="S12" s="30">
        <v>25.065498999999999</v>
      </c>
      <c r="T12" s="36">
        <v>22.6755</v>
      </c>
      <c r="U12" s="29">
        <v>25.38888889</v>
      </c>
      <c r="V12" s="36">
        <v>22.857888890000002</v>
      </c>
      <c r="W12" s="37">
        <v>19.352277780000001</v>
      </c>
      <c r="X12" s="37">
        <v>20.004666669999999</v>
      </c>
      <c r="Y12" s="37">
        <v>21.84305556</v>
      </c>
      <c r="Z12" s="41"/>
      <c r="AA12" s="42"/>
      <c r="AB12" s="43"/>
      <c r="AC12" s="31">
        <v>23.116972123000004</v>
      </c>
    </row>
    <row r="13" spans="6:29" x14ac:dyDescent="0.2">
      <c r="F13" s="4">
        <v>40786</v>
      </c>
      <c r="G13" s="29"/>
      <c r="H13" s="36"/>
      <c r="I13" s="29"/>
      <c r="J13" s="30"/>
      <c r="K13" s="30"/>
      <c r="L13" s="36">
        <v>22.059722220000001</v>
      </c>
      <c r="M13" s="29"/>
      <c r="N13" s="30"/>
      <c r="O13" s="30"/>
      <c r="P13" s="30">
        <v>21.273111110000002</v>
      </c>
      <c r="Q13" s="36">
        <v>19.336111110000001</v>
      </c>
      <c r="R13" s="29"/>
      <c r="S13" s="30">
        <v>18.549500000000002</v>
      </c>
      <c r="T13" s="36">
        <v>16.862500000000001</v>
      </c>
      <c r="U13" s="29">
        <v>19.575888890000002</v>
      </c>
      <c r="V13" s="36">
        <v>17.419888889999999</v>
      </c>
      <c r="W13" s="37">
        <v>16.071277779999999</v>
      </c>
      <c r="X13" s="37">
        <v>17.44166667</v>
      </c>
      <c r="Y13" s="37">
        <v>19.96805556</v>
      </c>
      <c r="Z13" s="41"/>
      <c r="AA13" s="42"/>
      <c r="AB13" s="43"/>
      <c r="AC13" s="31">
        <v>18.855772223000002</v>
      </c>
    </row>
    <row r="14" spans="6:29" x14ac:dyDescent="0.2">
      <c r="F14" s="4">
        <v>40816</v>
      </c>
      <c r="G14" s="29"/>
      <c r="H14" s="36"/>
      <c r="I14" s="29"/>
      <c r="J14" s="30"/>
      <c r="K14" s="30"/>
      <c r="L14" s="36">
        <v>18.423166670000001</v>
      </c>
      <c r="M14" s="29"/>
      <c r="N14" s="30"/>
      <c r="O14" s="30"/>
      <c r="P14" s="30">
        <v>16.92133333</v>
      </c>
      <c r="Q14" s="36">
        <v>14.93633333</v>
      </c>
      <c r="R14" s="29"/>
      <c r="S14" s="30">
        <v>15.1685</v>
      </c>
      <c r="T14" s="36">
        <v>13.3095</v>
      </c>
      <c r="U14" s="29">
        <v>16.682667670000001</v>
      </c>
      <c r="V14" s="36">
        <v>14.33866667</v>
      </c>
      <c r="W14" s="37">
        <v>13.070833329999999</v>
      </c>
      <c r="X14" s="37">
        <v>14.693999999999999</v>
      </c>
      <c r="Y14" s="37">
        <v>17.441166670000001</v>
      </c>
      <c r="Z14" s="41"/>
      <c r="AA14" s="42"/>
      <c r="AB14" s="43"/>
      <c r="AC14" s="31">
        <v>15.498616766999998</v>
      </c>
    </row>
    <row r="15" spans="6:29" x14ac:dyDescent="0.2">
      <c r="F15" s="4">
        <v>40847</v>
      </c>
      <c r="G15" s="29"/>
      <c r="H15" s="36"/>
      <c r="I15" s="29"/>
      <c r="J15" s="30"/>
      <c r="K15" s="30"/>
      <c r="L15" s="36">
        <v>18.106723220000003</v>
      </c>
      <c r="M15" s="29"/>
      <c r="N15" s="30"/>
      <c r="O15" s="30"/>
      <c r="P15" s="30">
        <v>16.695110110000002</v>
      </c>
      <c r="Q15" s="36">
        <v>15.273111109999999</v>
      </c>
      <c r="R15" s="29"/>
      <c r="S15" s="30">
        <v>16.362500000000001</v>
      </c>
      <c r="T15" s="36">
        <v>14.143500000000001</v>
      </c>
      <c r="U15" s="29">
        <v>19.26388889</v>
      </c>
      <c r="V15" s="36">
        <v>17.044888889999999</v>
      </c>
      <c r="W15" s="37">
        <v>12.99327778</v>
      </c>
      <c r="X15" s="37">
        <v>14.44166667</v>
      </c>
      <c r="Y15" s="37">
        <v>16.874055559999999</v>
      </c>
      <c r="Z15" s="41"/>
      <c r="AA15" s="42"/>
      <c r="AB15" s="43"/>
      <c r="AC15" s="31">
        <v>16.119872222999998</v>
      </c>
    </row>
    <row r="16" spans="6:29" x14ac:dyDescent="0.2">
      <c r="F16" s="4">
        <v>40877</v>
      </c>
      <c r="G16" s="29"/>
      <c r="H16" s="36"/>
      <c r="I16" s="29"/>
      <c r="J16" s="30"/>
      <c r="K16" s="30"/>
      <c r="L16" s="36">
        <v>17.684722220000001</v>
      </c>
      <c r="M16" s="29"/>
      <c r="N16" s="30"/>
      <c r="O16" s="30"/>
      <c r="P16" s="30">
        <v>16.22711211</v>
      </c>
      <c r="Q16" s="36">
        <v>14.320111109999999</v>
      </c>
      <c r="R16" s="29"/>
      <c r="S16" s="30">
        <v>16.737500000000001</v>
      </c>
      <c r="T16" s="36">
        <v>13.8315</v>
      </c>
      <c r="U16" s="29">
        <v>19.919888889999999</v>
      </c>
      <c r="V16" s="36">
        <v>17.372887890000001</v>
      </c>
      <c r="W16" s="37">
        <v>13.63427778</v>
      </c>
      <c r="X16" s="37">
        <v>15.472666670000001</v>
      </c>
      <c r="Y16" s="37">
        <v>17.749055559999999</v>
      </c>
      <c r="Z16" s="41"/>
      <c r="AA16" s="42"/>
      <c r="AB16" s="43"/>
      <c r="AC16" s="31">
        <v>16.294972222999998</v>
      </c>
    </row>
    <row r="17" spans="6:29" x14ac:dyDescent="0.2">
      <c r="F17" s="4">
        <v>40907</v>
      </c>
      <c r="G17" s="29"/>
      <c r="H17" s="36"/>
      <c r="I17" s="29"/>
      <c r="J17" s="30"/>
      <c r="K17" s="30"/>
      <c r="L17" s="36">
        <v>17.18816567</v>
      </c>
      <c r="M17" s="29"/>
      <c r="N17" s="30"/>
      <c r="O17" s="30"/>
      <c r="P17" s="30">
        <v>15.842333330000001</v>
      </c>
      <c r="Q17" s="36">
        <v>13.639333330000001</v>
      </c>
      <c r="R17" s="29"/>
      <c r="S17" s="30">
        <v>16.7315</v>
      </c>
      <c r="T17" s="36">
        <v>13.528499999999999</v>
      </c>
      <c r="U17" s="29">
        <v>19.853666670000003</v>
      </c>
      <c r="V17" s="36">
        <v>16.932667670000001</v>
      </c>
      <c r="W17" s="37">
        <v>12.882833329999999</v>
      </c>
      <c r="X17" s="37">
        <v>15.006</v>
      </c>
      <c r="Y17" s="37">
        <v>17.363165670000001</v>
      </c>
      <c r="Z17" s="41"/>
      <c r="AA17" s="42"/>
      <c r="AB17" s="43"/>
      <c r="AC17" s="31">
        <v>15.896816567000002</v>
      </c>
    </row>
    <row r="18" spans="6:29" x14ac:dyDescent="0.2">
      <c r="F18" s="4">
        <v>40939</v>
      </c>
      <c r="G18" s="29"/>
      <c r="H18" s="36"/>
      <c r="I18" s="29"/>
      <c r="J18" s="30"/>
      <c r="K18" s="30"/>
      <c r="L18" s="36">
        <v>16.059722220000001</v>
      </c>
      <c r="M18" s="29"/>
      <c r="N18" s="30"/>
      <c r="O18" s="30"/>
      <c r="P18" s="30">
        <v>14.539111109999999</v>
      </c>
      <c r="Q18" s="36">
        <v>12.023111109999999</v>
      </c>
      <c r="R18" s="29"/>
      <c r="S18" s="30">
        <v>15.237500000000001</v>
      </c>
      <c r="T18" s="36">
        <v>12.159500000000001</v>
      </c>
      <c r="U18" s="29">
        <v>17.951888889999999</v>
      </c>
      <c r="V18" s="36">
        <v>15.10788889</v>
      </c>
      <c r="W18" s="37">
        <v>12.50927778</v>
      </c>
      <c r="X18" s="37">
        <v>14.30066667</v>
      </c>
      <c r="Y18" s="37">
        <v>16.84305556</v>
      </c>
      <c r="Z18" s="41"/>
      <c r="AA18" s="42"/>
      <c r="AB18" s="43"/>
      <c r="AC18" s="31">
        <v>14.673172223</v>
      </c>
    </row>
    <row r="19" spans="6:29" x14ac:dyDescent="0.2">
      <c r="F19" s="4">
        <v>40968</v>
      </c>
      <c r="G19" s="29"/>
      <c r="H19" s="36"/>
      <c r="I19" s="29"/>
      <c r="J19" s="30"/>
      <c r="K19" s="30"/>
      <c r="L19" s="36">
        <v>17.903722220000002</v>
      </c>
      <c r="M19" s="29"/>
      <c r="N19" s="30"/>
      <c r="O19" s="30"/>
      <c r="P19" s="30">
        <v>16.836111110000001</v>
      </c>
      <c r="Q19" s="36">
        <v>13.63311111</v>
      </c>
      <c r="R19" s="29"/>
      <c r="S19" s="30">
        <v>17.206500000000002</v>
      </c>
      <c r="T19" s="36">
        <v>13.753500000000001</v>
      </c>
      <c r="U19" s="29">
        <v>19.77988989</v>
      </c>
      <c r="V19" s="36">
        <v>16.65488989</v>
      </c>
      <c r="W19" s="37">
        <v>13.41527778</v>
      </c>
      <c r="X19" s="37">
        <v>15.45766667</v>
      </c>
      <c r="Y19" s="37">
        <v>17.765056560000001</v>
      </c>
      <c r="Z19" s="41"/>
      <c r="AA19" s="42"/>
      <c r="AB19" s="43"/>
      <c r="AC19" s="31">
        <v>16.240572523000001</v>
      </c>
    </row>
    <row r="20" spans="6:29" x14ac:dyDescent="0.2">
      <c r="F20" s="4">
        <v>40998</v>
      </c>
      <c r="G20" s="29"/>
      <c r="H20" s="36"/>
      <c r="I20" s="29"/>
      <c r="J20" s="30"/>
      <c r="K20" s="30"/>
      <c r="L20" s="36">
        <v>19.663444440000003</v>
      </c>
      <c r="M20" s="29"/>
      <c r="N20" s="30"/>
      <c r="O20" s="30">
        <v>20.378222219999998</v>
      </c>
      <c r="P20" s="30">
        <v>18.83122122</v>
      </c>
      <c r="Q20" s="36">
        <v>15.722222220000001</v>
      </c>
      <c r="R20" s="29">
        <v>20.733999000000001</v>
      </c>
      <c r="S20" s="30">
        <v>18.812000000000001</v>
      </c>
      <c r="T20" s="36">
        <v>15.327999999999999</v>
      </c>
      <c r="U20" s="29">
        <v>21.41877878</v>
      </c>
      <c r="V20" s="36">
        <v>18.511776780000002</v>
      </c>
      <c r="W20" s="37">
        <v>14.11755556</v>
      </c>
      <c r="X20" s="37">
        <v>16.30233333</v>
      </c>
      <c r="Y20" s="37">
        <v>18.580111110000001</v>
      </c>
      <c r="Z20" s="41"/>
      <c r="AA20" s="42"/>
      <c r="AB20" s="43"/>
      <c r="AC20" s="31">
        <v>18.199972055</v>
      </c>
    </row>
    <row r="21" spans="6:29" x14ac:dyDescent="0.2">
      <c r="F21" s="4">
        <v>41029</v>
      </c>
      <c r="G21" s="29"/>
      <c r="H21" s="36"/>
      <c r="I21" s="29"/>
      <c r="J21" s="30"/>
      <c r="K21" s="30"/>
      <c r="L21" s="36">
        <v>18.309722220000001</v>
      </c>
      <c r="M21" s="29"/>
      <c r="N21" s="30"/>
      <c r="O21" s="30">
        <v>19.070110110000002</v>
      </c>
      <c r="P21" s="30">
        <v>17.539110109999999</v>
      </c>
      <c r="Q21" s="36">
        <v>14.50811111</v>
      </c>
      <c r="R21" s="29">
        <v>19.3935</v>
      </c>
      <c r="S21" s="30">
        <v>17.440498999999999</v>
      </c>
      <c r="T21" s="36">
        <v>14.0815</v>
      </c>
      <c r="U21" s="29">
        <v>20.716887889999999</v>
      </c>
      <c r="V21" s="36">
        <v>17.857888890000002</v>
      </c>
      <c r="W21" s="37">
        <v>13.54027778</v>
      </c>
      <c r="X21" s="37">
        <v>15.628666669999999</v>
      </c>
      <c r="Y21" s="37">
        <v>19.109056559999999</v>
      </c>
      <c r="Z21" s="41"/>
      <c r="AA21" s="42"/>
      <c r="AB21" s="43"/>
      <c r="AC21" s="31">
        <v>17.266277528333333</v>
      </c>
    </row>
    <row r="22" spans="6:29" x14ac:dyDescent="0.2">
      <c r="F22" s="4">
        <v>41060</v>
      </c>
      <c r="G22" s="29"/>
      <c r="H22" s="36"/>
      <c r="I22" s="29"/>
      <c r="J22" s="30"/>
      <c r="K22" s="30"/>
      <c r="L22" s="36">
        <v>15.418722219999999</v>
      </c>
      <c r="M22" s="29"/>
      <c r="N22" s="30"/>
      <c r="O22" s="30">
        <v>16.711111110000001</v>
      </c>
      <c r="P22" s="30">
        <v>15.023111109999999</v>
      </c>
      <c r="Q22" s="36">
        <v>11.89911111</v>
      </c>
      <c r="R22" s="29">
        <v>17.237500000000001</v>
      </c>
      <c r="S22" s="30">
        <v>15.268500000000001</v>
      </c>
      <c r="T22" s="36">
        <v>12.128500000000001</v>
      </c>
      <c r="U22" s="29">
        <v>18.747887890000001</v>
      </c>
      <c r="V22" s="36">
        <v>15.98288889</v>
      </c>
      <c r="W22" s="37">
        <v>12.18127778</v>
      </c>
      <c r="X22" s="37">
        <v>14.19166667</v>
      </c>
      <c r="Y22" s="37">
        <v>18.312055560000001</v>
      </c>
      <c r="Z22" s="41"/>
      <c r="AA22" s="42"/>
      <c r="AB22" s="43"/>
      <c r="AC22" s="31">
        <v>15.258527695</v>
      </c>
    </row>
    <row r="23" spans="6:29" x14ac:dyDescent="0.2">
      <c r="F23" s="4">
        <v>41089</v>
      </c>
      <c r="G23" s="29"/>
      <c r="H23" s="36"/>
      <c r="I23" s="29"/>
      <c r="J23" s="30"/>
      <c r="K23" s="30"/>
      <c r="L23" s="36">
        <v>15.83544444</v>
      </c>
      <c r="M23" s="29"/>
      <c r="N23" s="30"/>
      <c r="O23" s="30">
        <v>16.410222219999998</v>
      </c>
      <c r="P23" s="30">
        <v>15.42522222</v>
      </c>
      <c r="Q23" s="36">
        <v>12.519222220000001</v>
      </c>
      <c r="R23" s="29">
        <v>17.327998999999998</v>
      </c>
      <c r="S23" s="30">
        <v>15.766</v>
      </c>
      <c r="T23" s="36">
        <v>12.968999999999999</v>
      </c>
      <c r="U23" s="29">
        <v>19.04377878</v>
      </c>
      <c r="V23" s="36">
        <v>16.386776780000002</v>
      </c>
      <c r="W23" s="37">
        <v>12.30555556</v>
      </c>
      <c r="X23" s="37">
        <v>14.06733333</v>
      </c>
      <c r="Y23" s="37">
        <v>17.84511011</v>
      </c>
      <c r="Z23" s="41"/>
      <c r="AA23" s="42"/>
      <c r="AB23" s="43"/>
      <c r="AC23" s="31">
        <v>15.491805388333333</v>
      </c>
    </row>
    <row r="24" spans="6:29" x14ac:dyDescent="0.2">
      <c r="F24" s="4">
        <v>41121</v>
      </c>
      <c r="G24" s="29"/>
      <c r="H24" s="36"/>
      <c r="I24" s="29"/>
      <c r="J24" s="30"/>
      <c r="K24" s="30"/>
      <c r="L24" s="36">
        <v>13.825722219999999</v>
      </c>
      <c r="M24" s="29"/>
      <c r="N24" s="30"/>
      <c r="O24" s="30">
        <v>15.227111109999999</v>
      </c>
      <c r="P24" s="30">
        <v>14.711111109999999</v>
      </c>
      <c r="Q24" s="36">
        <v>12.211111109999999</v>
      </c>
      <c r="R24" s="29">
        <v>17.612500000000001</v>
      </c>
      <c r="S24" s="30">
        <v>15.8155</v>
      </c>
      <c r="T24" s="36">
        <v>13.128500000000001</v>
      </c>
      <c r="U24" s="29">
        <v>18.935889890000002</v>
      </c>
      <c r="V24" s="36">
        <v>16.247888889999999</v>
      </c>
      <c r="W24" s="37">
        <v>12.27427778</v>
      </c>
      <c r="X24" s="37">
        <v>13.894666669999999</v>
      </c>
      <c r="Y24" s="37">
        <v>18.109056559999999</v>
      </c>
      <c r="Z24" s="41"/>
      <c r="AA24" s="42"/>
      <c r="AB24" s="43"/>
      <c r="AC24" s="31">
        <v>15.166111278333332</v>
      </c>
    </row>
    <row r="25" spans="6:29" x14ac:dyDescent="0.2">
      <c r="F25" s="4">
        <v>41152</v>
      </c>
      <c r="G25" s="29"/>
      <c r="H25" s="36"/>
      <c r="I25" s="29"/>
      <c r="J25" s="30"/>
      <c r="K25" s="30"/>
      <c r="L25" s="36">
        <v>14.94788889</v>
      </c>
      <c r="M25" s="29"/>
      <c r="N25" s="30"/>
      <c r="O25" s="30">
        <v>16.510445439999998</v>
      </c>
      <c r="P25" s="30">
        <v>15.80644444</v>
      </c>
      <c r="Q25" s="36">
        <v>13.244444440000001</v>
      </c>
      <c r="R25" s="29">
        <v>18.541000999999998</v>
      </c>
      <c r="S25" s="30">
        <v>16.524999999999999</v>
      </c>
      <c r="T25" s="36">
        <v>14.056000000000001</v>
      </c>
      <c r="U25" s="29">
        <v>19.836555559999997</v>
      </c>
      <c r="V25" s="36">
        <v>17.508554559999997</v>
      </c>
      <c r="W25" s="37">
        <v>12.75811111</v>
      </c>
      <c r="X25" s="37">
        <v>14.46066667</v>
      </c>
      <c r="Y25" s="37">
        <v>18.303222219999999</v>
      </c>
      <c r="Z25" s="41"/>
      <c r="AA25" s="42"/>
      <c r="AB25" s="43"/>
      <c r="AC25" s="31">
        <v>16.04152786083333</v>
      </c>
    </row>
    <row r="26" spans="6:29" x14ac:dyDescent="0.2">
      <c r="F26" s="4">
        <v>41180</v>
      </c>
      <c r="G26" s="29"/>
      <c r="H26" s="36"/>
      <c r="I26" s="29"/>
      <c r="J26" s="30"/>
      <c r="K26" s="30"/>
      <c r="L26" s="36">
        <v>11.73172222</v>
      </c>
      <c r="M26" s="29"/>
      <c r="N26" s="30"/>
      <c r="O26" s="30">
        <v>13.773111109999999</v>
      </c>
      <c r="P26" s="30">
        <v>13.14911111</v>
      </c>
      <c r="Q26" s="36">
        <v>11.227111109999999</v>
      </c>
      <c r="R26" s="29">
        <v>16.0185</v>
      </c>
      <c r="S26" s="30">
        <v>14.393500000000001</v>
      </c>
      <c r="T26" s="36">
        <v>12.425500000000001</v>
      </c>
      <c r="U26" s="29">
        <v>18.872887890000001</v>
      </c>
      <c r="V26" s="36">
        <v>16.701888889999999</v>
      </c>
      <c r="W26" s="37">
        <v>11.74327778</v>
      </c>
      <c r="X26" s="37">
        <v>13.910666669999999</v>
      </c>
      <c r="Y26" s="37">
        <v>17.655055560000001</v>
      </c>
      <c r="Z26" s="41"/>
      <c r="AA26" s="42"/>
      <c r="AB26" s="43"/>
      <c r="AC26" s="31">
        <v>14.300194361666668</v>
      </c>
    </row>
    <row r="27" spans="6:29" x14ac:dyDescent="0.2">
      <c r="F27" s="4">
        <v>41213</v>
      </c>
      <c r="G27" s="29"/>
      <c r="H27" s="36"/>
      <c r="I27" s="29"/>
      <c r="J27" s="30"/>
      <c r="K27" s="30"/>
      <c r="L27" s="36">
        <v>11.85672222</v>
      </c>
      <c r="M27" s="29"/>
      <c r="N27" s="30"/>
      <c r="O27" s="30">
        <v>13.89911111</v>
      </c>
      <c r="P27" s="30">
        <v>13.39911111</v>
      </c>
      <c r="Q27" s="36">
        <v>11.24211111</v>
      </c>
      <c r="R27" s="29">
        <v>16.596499000000001</v>
      </c>
      <c r="S27" s="30">
        <v>15.0815</v>
      </c>
      <c r="T27" s="36">
        <v>12.8315</v>
      </c>
      <c r="U27" s="29">
        <v>18.716887889999999</v>
      </c>
      <c r="V27" s="36">
        <v>16.747887890000001</v>
      </c>
      <c r="W27" s="37">
        <v>12.353277780000001</v>
      </c>
      <c r="X27" s="37">
        <v>14.58266667</v>
      </c>
      <c r="Y27" s="37">
        <v>17.906055559999999</v>
      </c>
      <c r="Z27" s="41"/>
      <c r="AA27" s="42"/>
      <c r="AB27" s="43"/>
      <c r="AC27" s="31">
        <v>14.601110861666669</v>
      </c>
    </row>
    <row r="28" spans="6:29" x14ac:dyDescent="0.2">
      <c r="F28" s="4">
        <v>41243</v>
      </c>
      <c r="G28" s="29"/>
      <c r="H28" s="36"/>
      <c r="I28" s="29"/>
      <c r="J28" s="30"/>
      <c r="K28" s="30"/>
      <c r="L28" s="36">
        <v>12.032166669999999</v>
      </c>
      <c r="M28" s="29"/>
      <c r="N28" s="30"/>
      <c r="O28" s="30">
        <v>13.858333330000001</v>
      </c>
      <c r="P28" s="30">
        <v>13.124333330000001</v>
      </c>
      <c r="Q28" s="36">
        <v>10.842333330000001</v>
      </c>
      <c r="R28" s="29">
        <v>15.4505</v>
      </c>
      <c r="S28" s="30">
        <v>14.4345</v>
      </c>
      <c r="T28" s="36">
        <v>12.0595</v>
      </c>
      <c r="U28" s="29">
        <v>17.44766667</v>
      </c>
      <c r="V28" s="36">
        <v>15.32266667</v>
      </c>
      <c r="W28" s="37">
        <v>11.304833329999999</v>
      </c>
      <c r="X28" s="37">
        <v>13.631</v>
      </c>
      <c r="Y28" s="37">
        <v>16.817166669999999</v>
      </c>
      <c r="Z28" s="41"/>
      <c r="AA28" s="42"/>
      <c r="AB28" s="43"/>
      <c r="AC28" s="31">
        <v>13.860416666666667</v>
      </c>
    </row>
    <row r="29" spans="6:29" x14ac:dyDescent="0.2">
      <c r="F29" s="4">
        <v>41274</v>
      </c>
      <c r="G29" s="29"/>
      <c r="H29" s="36"/>
      <c r="I29" s="29"/>
      <c r="J29" s="30"/>
      <c r="K29" s="30"/>
      <c r="L29" s="36">
        <v>12.24144444</v>
      </c>
      <c r="M29" s="29"/>
      <c r="N29" s="30"/>
      <c r="O29" s="30">
        <v>14.238222220000001</v>
      </c>
      <c r="P29" s="30">
        <v>13.30022222</v>
      </c>
      <c r="Q29" s="36">
        <v>11.31622222</v>
      </c>
      <c r="R29" s="29">
        <v>16.094000000000001</v>
      </c>
      <c r="S29" s="30">
        <v>14.922000000000001</v>
      </c>
      <c r="T29" s="36">
        <v>12.843999999999999</v>
      </c>
      <c r="U29" s="29">
        <v>17.824778780000003</v>
      </c>
      <c r="V29" s="36">
        <v>15.652777779999999</v>
      </c>
      <c r="W29" s="37">
        <v>11.993555560000001</v>
      </c>
      <c r="X29" s="37">
        <v>14.30233333</v>
      </c>
      <c r="Y29" s="37">
        <v>17.330111110000001</v>
      </c>
      <c r="Z29" s="41"/>
      <c r="AA29" s="42"/>
      <c r="AB29" s="43"/>
      <c r="AC29" s="31">
        <v>14.338305638333333</v>
      </c>
    </row>
    <row r="30" spans="6:29" x14ac:dyDescent="0.2">
      <c r="F30" s="4">
        <v>41305</v>
      </c>
      <c r="G30" s="29"/>
      <c r="H30" s="36"/>
      <c r="I30" s="29"/>
      <c r="J30" s="30"/>
      <c r="K30" s="30"/>
      <c r="L30" s="36">
        <v>14.809722219999999</v>
      </c>
      <c r="M30" s="29"/>
      <c r="N30" s="30"/>
      <c r="O30" s="30">
        <v>16.383112110000003</v>
      </c>
      <c r="P30" s="30">
        <v>15.36711111</v>
      </c>
      <c r="Q30" s="36">
        <v>13.070111109999999</v>
      </c>
      <c r="R30" s="29">
        <v>17.471499000000001</v>
      </c>
      <c r="S30" s="30">
        <v>16.1905</v>
      </c>
      <c r="T30" s="36">
        <v>13.643500000000001</v>
      </c>
      <c r="U30" s="29">
        <v>18.122887890000001</v>
      </c>
      <c r="V30" s="36">
        <v>15.919888890000001</v>
      </c>
      <c r="W30" s="37">
        <v>12.087277780000001</v>
      </c>
      <c r="X30" s="37">
        <v>13.894666669999999</v>
      </c>
      <c r="Y30" s="37">
        <v>16.687055560000001</v>
      </c>
      <c r="Z30" s="41"/>
      <c r="AA30" s="42"/>
      <c r="AB30" s="43"/>
      <c r="AC30" s="31">
        <v>15.303944361666666</v>
      </c>
    </row>
    <row r="31" spans="6:29" x14ac:dyDescent="0.2">
      <c r="F31" s="4">
        <v>41333</v>
      </c>
      <c r="G31" s="29"/>
      <c r="H31" s="36"/>
      <c r="I31" s="29"/>
      <c r="J31" s="30"/>
      <c r="K31" s="30"/>
      <c r="L31" s="36">
        <v>15.12272222</v>
      </c>
      <c r="M31" s="29"/>
      <c r="N31" s="30"/>
      <c r="O31" s="30">
        <v>16.070111109999999</v>
      </c>
      <c r="P31" s="30">
        <v>15.195111109999999</v>
      </c>
      <c r="Q31" s="36">
        <v>13.070111109999999</v>
      </c>
      <c r="R31" s="29">
        <v>17.315498999999999</v>
      </c>
      <c r="S31" s="30">
        <v>16.096499999999999</v>
      </c>
      <c r="T31" s="36">
        <v>13.628500000000001</v>
      </c>
      <c r="U31" s="29">
        <v>17.90488989</v>
      </c>
      <c r="V31" s="36">
        <v>16.060888890000001</v>
      </c>
      <c r="W31" s="37">
        <v>12.337277780000001</v>
      </c>
      <c r="X31" s="37">
        <v>13.894666669999999</v>
      </c>
      <c r="Y31" s="37">
        <v>16.327055560000002</v>
      </c>
      <c r="Z31" s="41"/>
      <c r="AA31" s="42"/>
      <c r="AB31" s="43"/>
      <c r="AC31" s="31">
        <v>15.251944444999998</v>
      </c>
    </row>
    <row r="32" spans="6:29" x14ac:dyDescent="0.2">
      <c r="F32" s="4">
        <v>41361</v>
      </c>
      <c r="G32" s="29"/>
      <c r="H32" s="36">
        <v>19.033333330000001</v>
      </c>
      <c r="I32" s="44"/>
      <c r="J32" s="45"/>
      <c r="K32" s="30">
        <v>19.26272122</v>
      </c>
      <c r="L32" s="36">
        <v>16.46572222</v>
      </c>
      <c r="M32" s="44"/>
      <c r="N32" s="45"/>
      <c r="O32" s="30">
        <v>17.14911111</v>
      </c>
      <c r="P32" s="30">
        <v>16.22711211</v>
      </c>
      <c r="Q32" s="36">
        <v>14.023111109999999</v>
      </c>
      <c r="R32" s="29">
        <v>17.862500000000001</v>
      </c>
      <c r="S32" s="30">
        <v>16.799500000000002</v>
      </c>
      <c r="T32" s="36">
        <v>14.362500000000001</v>
      </c>
      <c r="U32" s="29">
        <v>18.325888890000002</v>
      </c>
      <c r="V32" s="36">
        <v>16.63888889</v>
      </c>
      <c r="W32" s="37">
        <v>12.66527778</v>
      </c>
      <c r="X32" s="37">
        <v>14.254666670000001</v>
      </c>
      <c r="Y32" s="37">
        <v>16.077055560000002</v>
      </c>
      <c r="Z32" s="41"/>
      <c r="AA32" s="42"/>
      <c r="AB32" s="43"/>
      <c r="AC32" s="31">
        <v>16.367670635</v>
      </c>
    </row>
    <row r="33" spans="6:29" x14ac:dyDescent="0.2">
      <c r="F33" s="4">
        <v>41394</v>
      </c>
      <c r="G33" s="29"/>
      <c r="H33" s="36">
        <v>17.580334330000003</v>
      </c>
      <c r="I33" s="44"/>
      <c r="J33" s="45"/>
      <c r="K33" s="30">
        <v>16.793721220000002</v>
      </c>
      <c r="L33" s="36">
        <v>13.71572222</v>
      </c>
      <c r="M33" s="44"/>
      <c r="N33" s="45"/>
      <c r="O33" s="30">
        <v>15.102111109999999</v>
      </c>
      <c r="P33" s="30">
        <v>13.86711111</v>
      </c>
      <c r="Q33" s="36">
        <v>11.25811111</v>
      </c>
      <c r="R33" s="29">
        <v>15.643500000000001</v>
      </c>
      <c r="S33" s="30">
        <v>14.018500000000001</v>
      </c>
      <c r="T33" s="36">
        <v>11.753500000000001</v>
      </c>
      <c r="U33" s="29">
        <v>15.951888890000001</v>
      </c>
      <c r="V33" s="36">
        <v>14.654888890000001</v>
      </c>
      <c r="W33" s="37">
        <v>11.04027778</v>
      </c>
      <c r="X33" s="37">
        <v>12.660666669999999</v>
      </c>
      <c r="Y33" s="37">
        <v>14.45205556</v>
      </c>
      <c r="Z33" s="41"/>
      <c r="AA33" s="42"/>
      <c r="AB33" s="43"/>
      <c r="AC33" s="31">
        <v>14.178027777857142</v>
      </c>
    </row>
    <row r="34" spans="6:29" x14ac:dyDescent="0.2">
      <c r="F34" s="4">
        <v>41425</v>
      </c>
      <c r="G34" s="29"/>
      <c r="H34" s="36">
        <v>20.347001000000002</v>
      </c>
      <c r="I34" s="44"/>
      <c r="J34" s="45"/>
      <c r="K34" s="30">
        <v>20.392166669999998</v>
      </c>
      <c r="L34" s="36">
        <v>18.18816567</v>
      </c>
      <c r="M34" s="44"/>
      <c r="N34" s="45"/>
      <c r="O34" s="30">
        <v>19.139333329999999</v>
      </c>
      <c r="P34" s="30">
        <v>17.702333330000002</v>
      </c>
      <c r="Q34" s="36">
        <v>15.842333330000001</v>
      </c>
      <c r="R34" s="29">
        <v>18.496499</v>
      </c>
      <c r="S34" s="30">
        <v>16.668499999999998</v>
      </c>
      <c r="T34" s="36">
        <v>15.012499999999999</v>
      </c>
      <c r="U34" s="29">
        <v>16.166666670000001</v>
      </c>
      <c r="V34" s="36">
        <v>14.82266667</v>
      </c>
      <c r="W34" s="37">
        <v>11.695833329999999</v>
      </c>
      <c r="X34" s="37">
        <v>12.147</v>
      </c>
      <c r="Y34" s="37">
        <v>13.973166669999999</v>
      </c>
      <c r="Z34" s="41"/>
      <c r="AA34" s="42"/>
      <c r="AB34" s="43"/>
      <c r="AC34" s="31">
        <v>16.471011833571428</v>
      </c>
    </row>
    <row r="35" spans="6:29" x14ac:dyDescent="0.2">
      <c r="F35" s="4">
        <v>41453</v>
      </c>
      <c r="G35" s="29"/>
      <c r="H35" s="36">
        <v>20.830334330000003</v>
      </c>
      <c r="I35" s="44"/>
      <c r="J35" s="45"/>
      <c r="K35" s="30">
        <v>21.184722220000001</v>
      </c>
      <c r="L35" s="36">
        <v>19.63772122</v>
      </c>
      <c r="M35" s="44"/>
      <c r="N35" s="45"/>
      <c r="O35" s="30">
        <v>21.008112110000003</v>
      </c>
      <c r="P35" s="30">
        <v>20.023111110000002</v>
      </c>
      <c r="Q35" s="36">
        <v>18.61711111</v>
      </c>
      <c r="R35" s="29">
        <v>20.7685</v>
      </c>
      <c r="S35" s="30">
        <v>19.690498999999999</v>
      </c>
      <c r="T35" s="36">
        <v>18.237500000000001</v>
      </c>
      <c r="U35" s="29">
        <v>18.685889890000002</v>
      </c>
      <c r="V35" s="36">
        <v>17.38888889</v>
      </c>
      <c r="W35" s="37">
        <v>13.27427778</v>
      </c>
      <c r="X35" s="37">
        <v>13.613666670000001</v>
      </c>
      <c r="Y35" s="37">
        <v>14.87405556</v>
      </c>
      <c r="Z35" s="41"/>
      <c r="AA35" s="42"/>
      <c r="AB35" s="43"/>
      <c r="AC35" s="31">
        <v>18.416742135</v>
      </c>
    </row>
    <row r="36" spans="6:29" x14ac:dyDescent="0.2">
      <c r="F36" s="4">
        <v>41486</v>
      </c>
      <c r="G36" s="29"/>
      <c r="H36" s="36">
        <v>21.61133233</v>
      </c>
      <c r="I36" s="44"/>
      <c r="J36" s="45"/>
      <c r="K36" s="30">
        <v>22.70072322</v>
      </c>
      <c r="L36" s="36">
        <v>21.38772122</v>
      </c>
      <c r="M36" s="44"/>
      <c r="N36" s="45"/>
      <c r="O36" s="30">
        <v>22.85211211</v>
      </c>
      <c r="P36" s="30">
        <v>21.60211211</v>
      </c>
      <c r="Q36" s="36">
        <v>20.39911111</v>
      </c>
      <c r="R36" s="29">
        <v>21.815498999999999</v>
      </c>
      <c r="S36" s="30">
        <v>20.456500000000002</v>
      </c>
      <c r="T36" s="36">
        <v>19.003501</v>
      </c>
      <c r="U36" s="29">
        <v>19.591887889999999</v>
      </c>
      <c r="V36" s="36">
        <v>18.201888889999999</v>
      </c>
      <c r="W36" s="37">
        <v>14.77427778</v>
      </c>
      <c r="X36" s="37">
        <v>14.769666669999999</v>
      </c>
      <c r="Y36" s="37">
        <v>15.87405556</v>
      </c>
      <c r="Z36" s="41"/>
      <c r="AA36" s="42"/>
      <c r="AB36" s="43"/>
      <c r="AC36" s="31">
        <v>19.645742063571429</v>
      </c>
    </row>
    <row r="37" spans="6:29" x14ac:dyDescent="0.2">
      <c r="F37" s="4">
        <v>41516</v>
      </c>
      <c r="G37" s="29"/>
      <c r="H37" s="36">
        <v>21.769000000000002</v>
      </c>
      <c r="I37" s="44"/>
      <c r="J37" s="45"/>
      <c r="K37" s="30">
        <v>22.860166669999998</v>
      </c>
      <c r="L37" s="36">
        <v>21.548166670000001</v>
      </c>
      <c r="M37" s="44"/>
      <c r="N37" s="45"/>
      <c r="O37" s="30">
        <v>23.545333330000002</v>
      </c>
      <c r="P37" s="30">
        <v>22.467332330000001</v>
      </c>
      <c r="Q37" s="36">
        <v>21.280334330000002</v>
      </c>
      <c r="R37" s="29">
        <v>23.3245</v>
      </c>
      <c r="S37" s="30">
        <v>21.809501000000001</v>
      </c>
      <c r="T37" s="36">
        <v>20.403500999999999</v>
      </c>
      <c r="U37" s="29">
        <v>21.49466567</v>
      </c>
      <c r="V37" s="36">
        <v>19.807667670000001</v>
      </c>
      <c r="W37" s="37">
        <v>16.13283333</v>
      </c>
      <c r="X37" s="37">
        <v>16.006</v>
      </c>
      <c r="Y37" s="37">
        <v>16.926167670000002</v>
      </c>
      <c r="Z37" s="41"/>
      <c r="AA37" s="42"/>
      <c r="AB37" s="43"/>
      <c r="AC37" s="31">
        <v>20.669654976428575</v>
      </c>
    </row>
    <row r="38" spans="6:29" x14ac:dyDescent="0.2">
      <c r="F38" s="4">
        <v>41547</v>
      </c>
      <c r="G38" s="29"/>
      <c r="H38" s="36">
        <v>22.127333330000003</v>
      </c>
      <c r="I38" s="44"/>
      <c r="J38" s="45"/>
      <c r="K38" s="30">
        <v>23.356723220000003</v>
      </c>
      <c r="L38" s="36">
        <v>21.70072322</v>
      </c>
      <c r="M38" s="44"/>
      <c r="N38" s="45"/>
      <c r="O38" s="30">
        <v>23.14911111</v>
      </c>
      <c r="P38" s="30">
        <v>22.11711111</v>
      </c>
      <c r="Q38" s="36">
        <v>20.695110110000002</v>
      </c>
      <c r="R38" s="29">
        <v>23.112500000000001</v>
      </c>
      <c r="S38" s="30">
        <v>21.471499000000001</v>
      </c>
      <c r="T38" s="36">
        <v>19.878501</v>
      </c>
      <c r="U38" s="29">
        <v>21.01388889</v>
      </c>
      <c r="V38" s="36">
        <v>19.201888889999999</v>
      </c>
      <c r="W38" s="37">
        <v>15.54027778</v>
      </c>
      <c r="X38" s="37">
        <v>15.83266667</v>
      </c>
      <c r="Y38" s="37">
        <v>17.34305556</v>
      </c>
      <c r="Z38" s="41"/>
      <c r="AA38" s="42"/>
      <c r="AB38" s="43"/>
      <c r="AC38" s="31">
        <v>20.467170706428568</v>
      </c>
    </row>
    <row r="39" spans="6:29" x14ac:dyDescent="0.2">
      <c r="F39" s="4">
        <v>41578</v>
      </c>
      <c r="G39" s="29"/>
      <c r="H39" s="36">
        <v>21.814583330000001</v>
      </c>
      <c r="I39" s="44"/>
      <c r="J39" s="45"/>
      <c r="K39" s="30">
        <v>22.840972220000001</v>
      </c>
      <c r="L39" s="36">
        <v>21.153472220000001</v>
      </c>
      <c r="M39" s="44"/>
      <c r="N39" s="45"/>
      <c r="O39" s="30">
        <v>22.53924211</v>
      </c>
      <c r="P39" s="30">
        <v>21.53924211</v>
      </c>
      <c r="Q39" s="36">
        <v>19.63299211</v>
      </c>
      <c r="R39" s="29">
        <v>22.721881</v>
      </c>
      <c r="S39" s="30">
        <v>20.815631</v>
      </c>
      <c r="T39" s="36">
        <v>18.831250000000001</v>
      </c>
      <c r="U39" s="29">
        <v>20.27951989</v>
      </c>
      <c r="V39" s="36">
        <v>18.15451989</v>
      </c>
      <c r="W39" s="37">
        <v>15.22777778</v>
      </c>
      <c r="X39" s="37">
        <v>15.75416667</v>
      </c>
      <c r="Y39" s="37">
        <v>17.84305556</v>
      </c>
      <c r="Z39" s="41"/>
      <c r="AA39" s="42"/>
      <c r="AB39" s="43"/>
      <c r="AC39" s="31">
        <v>19.939164706428567</v>
      </c>
    </row>
    <row r="40" spans="6:29" x14ac:dyDescent="0.2">
      <c r="F40" s="4">
        <v>41607</v>
      </c>
      <c r="G40" s="29"/>
      <c r="H40" s="36">
        <v>22.619797670000001</v>
      </c>
      <c r="I40" s="44"/>
      <c r="J40" s="45"/>
      <c r="K40" s="30">
        <v>24.303825440000001</v>
      </c>
      <c r="L40" s="36">
        <v>22.928825440000001</v>
      </c>
      <c r="M40" s="44"/>
      <c r="N40" s="45"/>
      <c r="O40" s="30">
        <v>24.550353219999998</v>
      </c>
      <c r="P40" s="30">
        <v>23.534722219999999</v>
      </c>
      <c r="Q40" s="36">
        <v>21.753472219999999</v>
      </c>
      <c r="R40" s="29">
        <v>24.671880999999999</v>
      </c>
      <c r="S40" s="30">
        <v>22.609380999999999</v>
      </c>
      <c r="T40" s="36">
        <v>20.6875</v>
      </c>
      <c r="U40" s="29">
        <v>21.60590878</v>
      </c>
      <c r="V40" s="36">
        <v>19.60590878</v>
      </c>
      <c r="W40" s="37">
        <v>16.993055559999998</v>
      </c>
      <c r="X40" s="37">
        <v>17.380214329999998</v>
      </c>
      <c r="Y40" s="37">
        <v>19.282992109999999</v>
      </c>
      <c r="Z40" s="41"/>
      <c r="AA40" s="42"/>
      <c r="AB40" s="43"/>
      <c r="AC40" s="31">
        <v>21.609131269285712</v>
      </c>
    </row>
    <row r="41" spans="6:29" x14ac:dyDescent="0.2">
      <c r="F41" s="4">
        <v>41639</v>
      </c>
      <c r="G41" s="29"/>
      <c r="H41" s="36">
        <v>22.885416670000001</v>
      </c>
      <c r="I41" s="44"/>
      <c r="J41" s="45"/>
      <c r="K41" s="30">
        <v>24.897575440000001</v>
      </c>
      <c r="L41" s="36">
        <v>23.506944440000002</v>
      </c>
      <c r="M41" s="44"/>
      <c r="N41" s="45"/>
      <c r="O41" s="30">
        <v>25.800353219999998</v>
      </c>
      <c r="P41" s="30">
        <v>24.940972219999999</v>
      </c>
      <c r="Q41" s="36">
        <v>23.425353219999998</v>
      </c>
      <c r="R41" s="29">
        <v>26.296880999999999</v>
      </c>
      <c r="S41" s="30">
        <v>24.734380999999999</v>
      </c>
      <c r="T41" s="36">
        <v>23.53125</v>
      </c>
      <c r="U41" s="29">
        <v>23.98090878</v>
      </c>
      <c r="V41" s="36">
        <v>22.13715878</v>
      </c>
      <c r="W41" s="37">
        <v>18.946186559999997</v>
      </c>
      <c r="X41" s="37">
        <v>19.395833329999999</v>
      </c>
      <c r="Y41" s="37">
        <v>21.04861111</v>
      </c>
      <c r="Z41" s="41"/>
      <c r="AA41" s="42"/>
      <c r="AB41" s="43"/>
      <c r="AC41" s="31">
        <v>23.251987554999999</v>
      </c>
    </row>
    <row r="42" spans="6:29" x14ac:dyDescent="0.2">
      <c r="F42" s="4">
        <v>41670</v>
      </c>
      <c r="G42" s="29"/>
      <c r="H42" s="36">
        <v>22.518750000000001</v>
      </c>
      <c r="I42" s="44"/>
      <c r="J42" s="45"/>
      <c r="K42" s="30">
        <v>24.391666669999999</v>
      </c>
      <c r="L42" s="36">
        <v>22.751047669999998</v>
      </c>
      <c r="M42" s="44"/>
      <c r="N42" s="45"/>
      <c r="O42" s="30">
        <v>24.71771433</v>
      </c>
      <c r="P42" s="30">
        <v>23.74896433</v>
      </c>
      <c r="Q42" s="36">
        <v>22.37396433</v>
      </c>
      <c r="R42" s="29">
        <v>24.934380999999998</v>
      </c>
      <c r="S42" s="30">
        <v>23.465630999999998</v>
      </c>
      <c r="T42" s="36">
        <v>22.028130999999998</v>
      </c>
      <c r="U42" s="29">
        <v>22.822916670000001</v>
      </c>
      <c r="V42" s="36">
        <v>21.338547670000001</v>
      </c>
      <c r="W42" s="37">
        <v>19.320833329999999</v>
      </c>
      <c r="X42" s="37">
        <v>19.443750000000001</v>
      </c>
      <c r="Y42" s="37">
        <v>20.957297669999999</v>
      </c>
      <c r="Z42" s="41"/>
      <c r="AA42" s="42"/>
      <c r="AB42" s="43"/>
      <c r="AC42" s="31">
        <v>22.486685405000003</v>
      </c>
    </row>
    <row r="43" spans="6:29" x14ac:dyDescent="0.2">
      <c r="F43" s="4">
        <v>41698</v>
      </c>
      <c r="G43" s="29"/>
      <c r="H43" s="36">
        <v>22.565631</v>
      </c>
      <c r="I43" s="41"/>
      <c r="J43" s="45"/>
      <c r="K43" s="30">
        <v>24.579166669999999</v>
      </c>
      <c r="L43" s="36">
        <v>23.016666669999999</v>
      </c>
      <c r="M43" s="41"/>
      <c r="N43" s="45"/>
      <c r="O43" s="30">
        <v>25.12396433</v>
      </c>
      <c r="P43" s="30">
        <v>24.170833330000001</v>
      </c>
      <c r="Q43" s="36">
        <v>22.84271433</v>
      </c>
      <c r="R43" s="29">
        <v>25.246880999999998</v>
      </c>
      <c r="S43" s="30">
        <v>23.934380999999998</v>
      </c>
      <c r="T43" s="36">
        <v>22.606249999999999</v>
      </c>
      <c r="U43" s="29">
        <v>24.026047670000001</v>
      </c>
      <c r="V43" s="36">
        <v>22.494797670000001</v>
      </c>
      <c r="W43" s="37">
        <v>20.008333329999999</v>
      </c>
      <c r="X43" s="37">
        <v>20.240631</v>
      </c>
      <c r="Y43" s="37">
        <v>21.75416667</v>
      </c>
      <c r="Z43" s="41"/>
      <c r="AA43" s="42"/>
      <c r="AB43" s="43"/>
      <c r="AC43" s="31">
        <v>23.04360461928572</v>
      </c>
    </row>
    <row r="44" spans="6:29" x14ac:dyDescent="0.2">
      <c r="F44" s="4">
        <v>41729</v>
      </c>
      <c r="G44" s="29">
        <v>23.36146433</v>
      </c>
      <c r="H44" s="36">
        <v>22.689583330000001</v>
      </c>
      <c r="I44" s="44"/>
      <c r="J44" s="45">
        <v>25.66910322</v>
      </c>
      <c r="K44" s="30">
        <v>24.82535322</v>
      </c>
      <c r="L44" s="36">
        <v>23.403472220000001</v>
      </c>
      <c r="M44" s="44"/>
      <c r="N44" s="45">
        <v>25.66910322</v>
      </c>
      <c r="O44" s="30">
        <v>25.50799211</v>
      </c>
      <c r="P44" s="30">
        <v>24.617361110000001</v>
      </c>
      <c r="Q44" s="36">
        <v>23.461111110000001</v>
      </c>
      <c r="R44" s="29">
        <v>25.846881</v>
      </c>
      <c r="S44" s="30">
        <v>24.815631</v>
      </c>
      <c r="T44" s="36">
        <v>23.456250000000001</v>
      </c>
      <c r="U44" s="29">
        <v>24.85763889</v>
      </c>
      <c r="V44" s="36">
        <v>23.43576989</v>
      </c>
      <c r="W44" s="37">
        <v>20.79027778</v>
      </c>
      <c r="X44" s="37">
        <v>20.769797669999999</v>
      </c>
      <c r="Y44" s="37">
        <v>21.796186559999999</v>
      </c>
      <c r="Z44" s="41"/>
      <c r="AA44" s="42"/>
      <c r="AB44" s="43"/>
      <c r="AC44" s="31">
        <v>23.821939803529414</v>
      </c>
    </row>
    <row r="45" spans="6:29" x14ac:dyDescent="0.2">
      <c r="F45" s="4">
        <v>41759</v>
      </c>
      <c r="G45" s="29">
        <v>23.33021433</v>
      </c>
      <c r="H45" s="36">
        <v>22.70521433</v>
      </c>
      <c r="I45" s="44"/>
      <c r="J45" s="45">
        <v>25.45035322</v>
      </c>
      <c r="K45" s="30">
        <v>24.528472220000001</v>
      </c>
      <c r="L45" s="36">
        <v>23.04410322</v>
      </c>
      <c r="M45" s="44"/>
      <c r="N45" s="45">
        <v>25.45035322</v>
      </c>
      <c r="O45" s="30">
        <v>25.19549211</v>
      </c>
      <c r="P45" s="30">
        <v>24.273611110000001</v>
      </c>
      <c r="Q45" s="36">
        <v>23.13299211</v>
      </c>
      <c r="R45" s="29">
        <v>25.268750000000001</v>
      </c>
      <c r="S45" s="30">
        <v>24.284381</v>
      </c>
      <c r="T45" s="36">
        <v>22.862500000000001</v>
      </c>
      <c r="U45" s="29">
        <v>24.35763889</v>
      </c>
      <c r="V45" s="36">
        <v>22.93576989</v>
      </c>
      <c r="W45" s="37">
        <v>20.493408779999999</v>
      </c>
      <c r="X45" s="37">
        <v>20.72291667</v>
      </c>
      <c r="Y45" s="37">
        <v>22.09305556</v>
      </c>
      <c r="Z45" s="41"/>
      <c r="AA45" s="42"/>
      <c r="AB45" s="43"/>
      <c r="AC45" s="31">
        <v>23.537013332941179</v>
      </c>
    </row>
    <row r="46" spans="6:29" x14ac:dyDescent="0.2">
      <c r="F46" s="4">
        <v>41789</v>
      </c>
      <c r="G46" s="29">
        <v>23.026047670000001</v>
      </c>
      <c r="H46" s="36">
        <v>22.479166670000001</v>
      </c>
      <c r="I46" s="44"/>
      <c r="J46" s="45">
        <v>24.756944440000002</v>
      </c>
      <c r="K46" s="30">
        <v>23.944444440000002</v>
      </c>
      <c r="L46" s="36">
        <v>22.350694440000002</v>
      </c>
      <c r="M46" s="44"/>
      <c r="N46" s="45">
        <v>24.756944440000002</v>
      </c>
      <c r="O46" s="30">
        <v>24.315972219999999</v>
      </c>
      <c r="P46" s="30">
        <v>23.347222219999999</v>
      </c>
      <c r="Q46" s="36">
        <v>22.050353219999998</v>
      </c>
      <c r="R46" s="29">
        <v>24.03125</v>
      </c>
      <c r="S46" s="30">
        <v>22.875</v>
      </c>
      <c r="T46" s="36">
        <v>21.234380999999999</v>
      </c>
      <c r="U46" s="29">
        <v>22.73090878</v>
      </c>
      <c r="V46" s="36">
        <v>21.32465878</v>
      </c>
      <c r="W46" s="37">
        <v>19.586805559999998</v>
      </c>
      <c r="X46" s="37">
        <v>20.505214329999998</v>
      </c>
      <c r="Y46" s="37">
        <v>22.11111111</v>
      </c>
      <c r="Z46" s="41"/>
      <c r="AA46" s="42"/>
      <c r="AB46" s="43"/>
      <c r="AC46" s="31">
        <v>22.672183489411765</v>
      </c>
    </row>
    <row r="47" spans="6:29" x14ac:dyDescent="0.2">
      <c r="F47" s="4">
        <v>41820</v>
      </c>
      <c r="G47" s="29">
        <v>23.11146433</v>
      </c>
      <c r="H47" s="36">
        <v>22.51771433</v>
      </c>
      <c r="I47" s="44"/>
      <c r="J47" s="45">
        <v>25.07535322</v>
      </c>
      <c r="K47" s="30">
        <v>24.278472220000001</v>
      </c>
      <c r="L47" s="36">
        <v>22.70035322</v>
      </c>
      <c r="M47" s="44"/>
      <c r="N47" s="45">
        <v>25.07535322</v>
      </c>
      <c r="O47" s="30">
        <v>24.91424211</v>
      </c>
      <c r="P47" s="30">
        <v>24.22674211</v>
      </c>
      <c r="Q47" s="36">
        <v>22.804861110000001</v>
      </c>
      <c r="R47" s="29">
        <v>25.096881</v>
      </c>
      <c r="S47" s="30">
        <v>24.143750000000001</v>
      </c>
      <c r="T47" s="36">
        <v>22.409381</v>
      </c>
      <c r="U47" s="29">
        <v>24.31076989</v>
      </c>
      <c r="V47" s="36">
        <v>22.85763889</v>
      </c>
      <c r="W47" s="37">
        <v>20.00902778</v>
      </c>
      <c r="X47" s="37">
        <v>21.238547669999999</v>
      </c>
      <c r="Y47" s="37">
        <v>22.65555556</v>
      </c>
      <c r="Z47" s="41"/>
      <c r="AA47" s="42"/>
      <c r="AB47" s="43"/>
      <c r="AC47" s="31">
        <v>23.378006332941172</v>
      </c>
    </row>
    <row r="48" spans="6:29" x14ac:dyDescent="0.2">
      <c r="F48" s="4">
        <v>41851</v>
      </c>
      <c r="G48" s="29">
        <v>23.04896433</v>
      </c>
      <c r="H48" s="36">
        <v>22.42396433</v>
      </c>
      <c r="I48" s="44"/>
      <c r="J48" s="45">
        <v>24.91910322</v>
      </c>
      <c r="K48" s="30">
        <v>24.20035322</v>
      </c>
      <c r="L48" s="36">
        <v>22.82535322</v>
      </c>
      <c r="M48" s="44"/>
      <c r="N48" s="45">
        <v>24.91910322</v>
      </c>
      <c r="O48" s="30">
        <v>25.00799211</v>
      </c>
      <c r="P48" s="30">
        <v>24.38299211</v>
      </c>
      <c r="Q48" s="36">
        <v>23.023611110000001</v>
      </c>
      <c r="R48" s="29">
        <v>25.456250000000001</v>
      </c>
      <c r="S48" s="30">
        <v>24.628131</v>
      </c>
      <c r="T48" s="36">
        <v>23.112500000000001</v>
      </c>
      <c r="U48" s="29">
        <v>25.09201989</v>
      </c>
      <c r="V48" s="36">
        <v>23.84201989</v>
      </c>
      <c r="W48" s="37">
        <v>21.055908779999999</v>
      </c>
      <c r="X48" s="37">
        <v>22.19166667</v>
      </c>
      <c r="Y48" s="37">
        <v>23.546186559999999</v>
      </c>
      <c r="Z48" s="41"/>
      <c r="AA48" s="42"/>
      <c r="AB48" s="43"/>
      <c r="AC48" s="31">
        <v>23.745654097647066</v>
      </c>
    </row>
    <row r="49" spans="6:29" x14ac:dyDescent="0.2">
      <c r="F49" s="4">
        <v>41880</v>
      </c>
      <c r="G49" s="29">
        <v>22.432297670000001</v>
      </c>
      <c r="H49" s="36">
        <v>21.869797670000001</v>
      </c>
      <c r="I49" s="44"/>
      <c r="J49" s="45">
        <v>23.881944440000002</v>
      </c>
      <c r="K49" s="30">
        <v>23.210075440000001</v>
      </c>
      <c r="L49" s="36">
        <v>21.663194440000002</v>
      </c>
      <c r="M49" s="44"/>
      <c r="N49" s="45">
        <v>23.881944440000002</v>
      </c>
      <c r="O49" s="30">
        <v>23.425353219999998</v>
      </c>
      <c r="P49" s="30">
        <v>23.034722219999999</v>
      </c>
      <c r="Q49" s="36">
        <v>21.581603219999998</v>
      </c>
      <c r="R49" s="29">
        <v>23.8125</v>
      </c>
      <c r="S49" s="30">
        <v>22.84375</v>
      </c>
      <c r="T49" s="36">
        <v>21.265630999999999</v>
      </c>
      <c r="U49" s="29">
        <v>23.527777780000001</v>
      </c>
      <c r="V49" s="36">
        <v>22.32465878</v>
      </c>
      <c r="W49" s="37">
        <v>20.274305559999998</v>
      </c>
      <c r="X49" s="37">
        <v>21.536464329999998</v>
      </c>
      <c r="Y49" s="37">
        <v>23.314242109999999</v>
      </c>
      <c r="Z49" s="41"/>
      <c r="AA49" s="42"/>
      <c r="AB49" s="43"/>
      <c r="AC49" s="31">
        <v>22.581191901176474</v>
      </c>
    </row>
    <row r="50" spans="6:29" x14ac:dyDescent="0.2">
      <c r="F50" s="4">
        <v>41912</v>
      </c>
      <c r="G50" s="29">
        <v>22.83021433</v>
      </c>
      <c r="H50" s="36">
        <v>22.314583330000001</v>
      </c>
      <c r="I50" s="44"/>
      <c r="J50" s="45">
        <v>24.48160322</v>
      </c>
      <c r="K50" s="30">
        <v>23.95035322</v>
      </c>
      <c r="L50" s="36">
        <v>22.497222220000001</v>
      </c>
      <c r="M50" s="44"/>
      <c r="N50" s="45">
        <v>24.48160322</v>
      </c>
      <c r="O50" s="30">
        <v>24.41424211</v>
      </c>
      <c r="P50" s="30">
        <v>23.898611110000001</v>
      </c>
      <c r="Q50" s="36">
        <v>22.63299211</v>
      </c>
      <c r="R50" s="29">
        <v>25.456250000000001</v>
      </c>
      <c r="S50" s="30">
        <v>24.503131</v>
      </c>
      <c r="T50" s="36">
        <v>23.065631</v>
      </c>
      <c r="U50" s="29">
        <v>25.35763889</v>
      </c>
      <c r="V50" s="36">
        <v>24.13888889</v>
      </c>
      <c r="W50" s="37">
        <v>21.212158779999999</v>
      </c>
      <c r="X50" s="37">
        <v>22.426047669999999</v>
      </c>
      <c r="Y50" s="37">
        <v>24.06180556</v>
      </c>
      <c r="Z50" s="41"/>
      <c r="AA50" s="42"/>
      <c r="AB50" s="43"/>
      <c r="AC50" s="31">
        <v>23.630763332941171</v>
      </c>
    </row>
    <row r="51" spans="6:29" x14ac:dyDescent="0.2">
      <c r="F51" s="4">
        <v>41943</v>
      </c>
      <c r="G51" s="29">
        <v>22.456250000000001</v>
      </c>
      <c r="H51" s="36">
        <v>21.893750000000001</v>
      </c>
      <c r="I51" s="44"/>
      <c r="J51" s="45">
        <v>23.626047669999998</v>
      </c>
      <c r="K51" s="30">
        <v>23.126047669999998</v>
      </c>
      <c r="L51" s="36">
        <v>21.547916669999999</v>
      </c>
      <c r="M51" s="44"/>
      <c r="N51" s="45">
        <v>23.626047669999998</v>
      </c>
      <c r="O51" s="30">
        <v>23.233333330000001</v>
      </c>
      <c r="P51" s="30">
        <v>22.74896433</v>
      </c>
      <c r="Q51" s="36">
        <v>21.15521433</v>
      </c>
      <c r="R51" s="29">
        <v>24.090630999999998</v>
      </c>
      <c r="S51" s="30">
        <v>23.059380999999998</v>
      </c>
      <c r="T51" s="36">
        <v>21.528130999999998</v>
      </c>
      <c r="U51" s="29">
        <v>23.557297670000001</v>
      </c>
      <c r="V51" s="36">
        <v>22.401047670000001</v>
      </c>
      <c r="W51" s="37">
        <v>20.117714329999998</v>
      </c>
      <c r="X51" s="37">
        <v>21.443750000000001</v>
      </c>
      <c r="Y51" s="37">
        <v>23.426047669999999</v>
      </c>
      <c r="Z51" s="41"/>
      <c r="AA51" s="42"/>
      <c r="AB51" s="43"/>
      <c r="AC51" s="31">
        <v>22.531621882941181</v>
      </c>
    </row>
    <row r="52" spans="6:29" x14ac:dyDescent="0.2">
      <c r="F52" s="4">
        <v>41971</v>
      </c>
      <c r="G52" s="29">
        <v>22.01771433</v>
      </c>
      <c r="H52" s="36">
        <v>21.48646433</v>
      </c>
      <c r="I52" s="44"/>
      <c r="J52" s="45">
        <v>22.82535322</v>
      </c>
      <c r="K52" s="30">
        <v>22.372222220000001</v>
      </c>
      <c r="L52" s="36">
        <v>20.63785322</v>
      </c>
      <c r="M52" s="44"/>
      <c r="N52" s="45">
        <v>22.82535322</v>
      </c>
      <c r="O52" s="30">
        <v>22.148611110000001</v>
      </c>
      <c r="P52" s="30">
        <v>21.679861110000001</v>
      </c>
      <c r="Q52" s="36">
        <v>19.88299211</v>
      </c>
      <c r="R52" s="29">
        <v>23.096881</v>
      </c>
      <c r="S52" s="30">
        <v>22.065631</v>
      </c>
      <c r="T52" s="36">
        <v>20.378131</v>
      </c>
      <c r="U52" s="29">
        <v>22.74826989</v>
      </c>
      <c r="V52" s="36">
        <v>21.54513889</v>
      </c>
      <c r="W52" s="37">
        <v>19.54027778</v>
      </c>
      <c r="X52" s="37">
        <v>21.019797669999999</v>
      </c>
      <c r="Y52" s="37">
        <v>23.139936559999999</v>
      </c>
      <c r="Z52" s="41"/>
      <c r="AA52" s="42"/>
      <c r="AB52" s="43"/>
      <c r="AC52" s="31">
        <v>21.730028744705884</v>
      </c>
    </row>
    <row r="53" spans="6:29" x14ac:dyDescent="0.2">
      <c r="F53" s="4">
        <v>42004</v>
      </c>
      <c r="G53" s="29">
        <v>21.041666670000001</v>
      </c>
      <c r="H53" s="36">
        <v>20.854166670000001</v>
      </c>
      <c r="I53" s="44"/>
      <c r="J53" s="45">
        <v>21.663194440000002</v>
      </c>
      <c r="K53" s="30">
        <v>22.022575440000001</v>
      </c>
      <c r="L53" s="36">
        <v>20.131944440000002</v>
      </c>
      <c r="M53" s="44"/>
      <c r="N53" s="45">
        <v>21.663194440000002</v>
      </c>
      <c r="O53" s="30">
        <v>21.753472219999999</v>
      </c>
      <c r="P53" s="30">
        <v>21.269103219999998</v>
      </c>
      <c r="Q53" s="36">
        <v>19.425353219999998</v>
      </c>
      <c r="R53" s="29">
        <v>22.796880999999999</v>
      </c>
      <c r="S53" s="30">
        <v>21.84375</v>
      </c>
      <c r="T53" s="36">
        <v>20.109380999999999</v>
      </c>
      <c r="U53" s="29">
        <v>22.54340878</v>
      </c>
      <c r="V53" s="36">
        <v>21.29340878</v>
      </c>
      <c r="W53" s="37">
        <v>19.461805559999998</v>
      </c>
      <c r="X53" s="37">
        <v>20.973964329999998</v>
      </c>
      <c r="Y53" s="37">
        <v>23.14236111</v>
      </c>
      <c r="Z53" s="41"/>
      <c r="AA53" s="42"/>
      <c r="AB53" s="43"/>
      <c r="AC53" s="31">
        <v>21.293507724705883</v>
      </c>
    </row>
    <row r="54" spans="6:29" x14ac:dyDescent="0.2">
      <c r="F54" s="4">
        <v>42034</v>
      </c>
      <c r="G54" s="29">
        <v>17.682297670000001</v>
      </c>
      <c r="H54" s="36">
        <v>17.557297670000001</v>
      </c>
      <c r="I54" s="44"/>
      <c r="J54" s="45">
        <v>17.131944440000002</v>
      </c>
      <c r="K54" s="30">
        <v>17.756944440000002</v>
      </c>
      <c r="L54" s="36">
        <v>15.91319444</v>
      </c>
      <c r="M54" s="44"/>
      <c r="N54" s="45">
        <v>17.131944440000002</v>
      </c>
      <c r="O54" s="30">
        <v>17.159722219999999</v>
      </c>
      <c r="P54" s="30">
        <v>16.800353219999998</v>
      </c>
      <c r="Q54" s="36">
        <v>15.128472220000001</v>
      </c>
      <c r="R54" s="29">
        <v>18.578130999999999</v>
      </c>
      <c r="S54" s="30">
        <v>17.5625</v>
      </c>
      <c r="T54" s="36">
        <v>16.0625</v>
      </c>
      <c r="U54" s="29">
        <v>18.809027780000001</v>
      </c>
      <c r="V54" s="36">
        <v>17.73090878</v>
      </c>
      <c r="W54" s="37">
        <v>18.196186559999997</v>
      </c>
      <c r="X54" s="37">
        <v>19.942714329999998</v>
      </c>
      <c r="Y54" s="37">
        <v>22.48611111</v>
      </c>
      <c r="Z54" s="41"/>
      <c r="AA54" s="42"/>
      <c r="AB54" s="43"/>
      <c r="AC54" s="31">
        <v>17.742955901176472</v>
      </c>
    </row>
    <row r="55" spans="6:29" x14ac:dyDescent="0.2">
      <c r="F55" s="4">
        <v>42062</v>
      </c>
      <c r="G55" s="29">
        <v>19.744797670000001</v>
      </c>
      <c r="H55" s="36">
        <v>19.572916670000001</v>
      </c>
      <c r="I55" s="44"/>
      <c r="J55" s="45">
        <v>20.053825440000001</v>
      </c>
      <c r="K55" s="30">
        <v>20.413194440000002</v>
      </c>
      <c r="L55" s="36">
        <v>18.772575440000001</v>
      </c>
      <c r="M55" s="44"/>
      <c r="N55" s="45">
        <v>20.053825440000001</v>
      </c>
      <c r="O55" s="30">
        <v>20.362853219999998</v>
      </c>
      <c r="P55" s="30">
        <v>19.894103219999998</v>
      </c>
      <c r="Q55" s="36">
        <v>18.378472219999999</v>
      </c>
      <c r="R55" s="29">
        <v>21.5625</v>
      </c>
      <c r="S55" s="30">
        <v>20.703130999999999</v>
      </c>
      <c r="T55" s="36">
        <v>19.234380999999999</v>
      </c>
      <c r="U55" s="29">
        <v>21.69965878</v>
      </c>
      <c r="V55" s="36">
        <v>20.66840878</v>
      </c>
      <c r="W55" s="37">
        <v>20.743055559999998</v>
      </c>
      <c r="X55" s="37">
        <v>22.505214329999998</v>
      </c>
      <c r="Y55" s="37">
        <v>24.657992109999999</v>
      </c>
      <c r="Z55" s="41"/>
      <c r="AA55" s="42"/>
      <c r="AB55" s="43"/>
      <c r="AC55" s="31">
        <v>20.530641489411764</v>
      </c>
    </row>
    <row r="56" spans="6:29" x14ac:dyDescent="0.2">
      <c r="F56" s="4">
        <v>42094</v>
      </c>
      <c r="G56" s="29">
        <v>19.26771433</v>
      </c>
      <c r="H56" s="36">
        <v>19.127083330000001</v>
      </c>
      <c r="I56" s="44">
        <v>16.63785322</v>
      </c>
      <c r="J56" s="45">
        <v>19.41910322</v>
      </c>
      <c r="K56" s="30">
        <v>19.872222220000001</v>
      </c>
      <c r="L56" s="36">
        <v>18.309722220000001</v>
      </c>
      <c r="M56" s="44">
        <v>17.929861110000001</v>
      </c>
      <c r="N56" s="45">
        <v>19.41910322</v>
      </c>
      <c r="O56" s="30">
        <v>19.711111110000001</v>
      </c>
      <c r="P56" s="30">
        <v>19.22674211</v>
      </c>
      <c r="Q56" s="36">
        <v>17.72674211</v>
      </c>
      <c r="R56" s="29">
        <v>21.128131</v>
      </c>
      <c r="S56" s="30">
        <v>20.096881</v>
      </c>
      <c r="T56" s="36">
        <v>18.675000000000001</v>
      </c>
      <c r="U56" s="29">
        <v>21.21701989</v>
      </c>
      <c r="V56" s="36">
        <v>20.26388889</v>
      </c>
      <c r="W56" s="37">
        <v>21.618408779999999</v>
      </c>
      <c r="X56" s="37">
        <v>23.863547669999999</v>
      </c>
      <c r="Y56" s="37">
        <v>25.90555556</v>
      </c>
      <c r="Z56" s="41"/>
      <c r="AA56" s="42"/>
      <c r="AB56" s="43"/>
      <c r="AC56" s="31">
        <v>19.969246894210524</v>
      </c>
    </row>
    <row r="57" spans="6:29" x14ac:dyDescent="0.2">
      <c r="F57" s="4">
        <v>42124</v>
      </c>
      <c r="G57" s="29">
        <v>20.127083330000001</v>
      </c>
      <c r="H57" s="36">
        <v>19.92396433</v>
      </c>
      <c r="I57" s="44">
        <v>18.559722220000001</v>
      </c>
      <c r="J57" s="45">
        <v>20.653472220000001</v>
      </c>
      <c r="K57" s="30">
        <v>20.98160322</v>
      </c>
      <c r="L57" s="36">
        <v>19.434722220000001</v>
      </c>
      <c r="M57" s="44">
        <v>19.44549211</v>
      </c>
      <c r="N57" s="45">
        <v>20.653472220000001</v>
      </c>
      <c r="O57" s="30">
        <v>20.836111110000001</v>
      </c>
      <c r="P57" s="30">
        <v>20.32049211</v>
      </c>
      <c r="Q57" s="36">
        <v>18.82049211</v>
      </c>
      <c r="R57" s="29">
        <v>22.112500000000001</v>
      </c>
      <c r="S57" s="30">
        <v>21.081250000000001</v>
      </c>
      <c r="T57" s="36">
        <v>19.721881</v>
      </c>
      <c r="U57" s="29">
        <v>22.23263889</v>
      </c>
      <c r="V57" s="36">
        <v>21.32638889</v>
      </c>
      <c r="W57" s="37">
        <v>22.66527778</v>
      </c>
      <c r="X57" s="37">
        <v>24.863547669999999</v>
      </c>
      <c r="Y57" s="37">
        <v>26.764936559999999</v>
      </c>
      <c r="Z57" s="41"/>
      <c r="AA57" s="42"/>
      <c r="AB57" s="43"/>
      <c r="AC57" s="31">
        <v>21.080265683684207</v>
      </c>
    </row>
    <row r="58" spans="6:29" x14ac:dyDescent="0.2">
      <c r="F58" s="4">
        <v>42153</v>
      </c>
      <c r="G58" s="29">
        <v>20.189583330000001</v>
      </c>
      <c r="H58" s="36">
        <v>19.814583330000001</v>
      </c>
      <c r="I58" s="44">
        <v>19.465972220000001</v>
      </c>
      <c r="J58" s="45">
        <v>21.184722220000001</v>
      </c>
      <c r="K58" s="30">
        <v>21.090972220000001</v>
      </c>
      <c r="L58" s="36">
        <v>19.622222220000001</v>
      </c>
      <c r="M58" s="44">
        <v>20.523611110000001</v>
      </c>
      <c r="N58" s="45">
        <v>21.184722220000001</v>
      </c>
      <c r="O58" s="30">
        <v>21.32049211</v>
      </c>
      <c r="P58" s="30">
        <v>20.78924211</v>
      </c>
      <c r="Q58" s="36">
        <v>19.28924211</v>
      </c>
      <c r="R58" s="29">
        <v>22.315631</v>
      </c>
      <c r="S58" s="30">
        <v>21.253131</v>
      </c>
      <c r="T58" s="36">
        <v>19.971881</v>
      </c>
      <c r="U58" s="29">
        <v>22.51388889</v>
      </c>
      <c r="V58" s="36">
        <v>21.62326989</v>
      </c>
      <c r="W58" s="37">
        <v>21.774658779999999</v>
      </c>
      <c r="X58" s="37">
        <v>24.28541667</v>
      </c>
      <c r="Y58" s="37">
        <v>26.37430556</v>
      </c>
      <c r="Z58" s="41"/>
      <c r="AA58" s="42"/>
      <c r="AB58" s="43"/>
      <c r="AC58" s="31">
        <v>21.294081473157892</v>
      </c>
    </row>
    <row r="59" spans="6:29" x14ac:dyDescent="0.2">
      <c r="F59" s="4">
        <v>42185</v>
      </c>
      <c r="G59" s="29">
        <v>21.283333330000001</v>
      </c>
      <c r="H59" s="36">
        <v>20.845833330000001</v>
      </c>
      <c r="I59" s="44">
        <v>22.13785322</v>
      </c>
      <c r="J59" s="45">
        <v>23.23160322</v>
      </c>
      <c r="K59" s="30">
        <v>22.79410322</v>
      </c>
      <c r="L59" s="36">
        <v>21.465972220000001</v>
      </c>
      <c r="M59" s="44">
        <v>23.50799211</v>
      </c>
      <c r="N59" s="45">
        <v>23.23160322</v>
      </c>
      <c r="O59" s="30">
        <v>23.32049211</v>
      </c>
      <c r="P59" s="30">
        <v>22.75799211</v>
      </c>
      <c r="Q59" s="36">
        <v>21.28924211</v>
      </c>
      <c r="R59" s="29">
        <v>24.112500000000001</v>
      </c>
      <c r="S59" s="30">
        <v>23.096881</v>
      </c>
      <c r="T59" s="36">
        <v>21.846881</v>
      </c>
      <c r="U59" s="29">
        <v>24.12326989</v>
      </c>
      <c r="V59" s="36">
        <v>23.35763889</v>
      </c>
      <c r="W59" s="37">
        <v>22.66527778</v>
      </c>
      <c r="X59" s="37">
        <v>25.269797669999999</v>
      </c>
      <c r="Y59" s="37">
        <v>27.21805556</v>
      </c>
      <c r="Z59" s="41"/>
      <c r="AA59" s="42"/>
      <c r="AB59" s="43"/>
      <c r="AC59" s="31">
        <v>23.029280104736841</v>
      </c>
    </row>
    <row r="60" spans="6:29" x14ac:dyDescent="0.2">
      <c r="F60" s="4">
        <v>42216</v>
      </c>
      <c r="G60" s="29">
        <v>20.721881</v>
      </c>
      <c r="H60" s="36">
        <v>20.206250000000001</v>
      </c>
      <c r="I60" s="44">
        <v>22.170833330000001</v>
      </c>
      <c r="J60" s="45">
        <v>22.360416669999999</v>
      </c>
      <c r="K60" s="30">
        <v>21.922916669999999</v>
      </c>
      <c r="L60" s="36">
        <v>20.501047669999998</v>
      </c>
      <c r="M60" s="44">
        <v>22.170833330000001</v>
      </c>
      <c r="N60" s="45">
        <v>22.360416669999999</v>
      </c>
      <c r="O60" s="30">
        <v>22.327083330000001</v>
      </c>
      <c r="P60" s="30">
        <v>21.795833330000001</v>
      </c>
      <c r="Q60" s="36">
        <v>20.31146433</v>
      </c>
      <c r="R60" s="29">
        <v>23.324999999999999</v>
      </c>
      <c r="S60" s="30">
        <v>22.246880999999998</v>
      </c>
      <c r="T60" s="36">
        <v>20.934380999999998</v>
      </c>
      <c r="U60" s="29">
        <v>23.354166670000001</v>
      </c>
      <c r="V60" s="36">
        <v>22.510416670000001</v>
      </c>
      <c r="W60" s="37">
        <v>21.945833329999999</v>
      </c>
      <c r="X60" s="37">
        <v>24.990631</v>
      </c>
      <c r="Y60" s="37">
        <v>27.113547669999999</v>
      </c>
      <c r="Z60" s="41"/>
      <c r="AA60" s="42"/>
      <c r="AB60" s="43"/>
      <c r="AC60" s="31">
        <v>22.277359666842102</v>
      </c>
    </row>
  </sheetData>
  <mergeCells count="1">
    <mergeCell ref="F6:AC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3:D1102"/>
  <sheetViews>
    <sheetView workbookViewId="0">
      <selection activeCell="I27" sqref="I27"/>
    </sheetView>
  </sheetViews>
  <sheetFormatPr defaultRowHeight="12.75" x14ac:dyDescent="0.2"/>
  <cols>
    <col min="2" max="2" width="10.42578125" bestFit="1" customWidth="1"/>
    <col min="3" max="3" width="12.42578125" bestFit="1" customWidth="1"/>
    <col min="4" max="4" width="12" bestFit="1" customWidth="1"/>
  </cols>
  <sheetData>
    <row r="3" spans="2:4" x14ac:dyDescent="0.2">
      <c r="B3" s="6">
        <v>42216</v>
      </c>
      <c r="C3" t="s">
        <v>31</v>
      </c>
      <c r="D3">
        <v>2.9155081259623699</v>
      </c>
    </row>
    <row r="4" spans="2:4" x14ac:dyDescent="0.2">
      <c r="B4" s="6">
        <v>42215</v>
      </c>
      <c r="C4" t="s">
        <v>31</v>
      </c>
      <c r="D4">
        <v>2.9944455468035298</v>
      </c>
    </row>
    <row r="5" spans="2:4" x14ac:dyDescent="0.2">
      <c r="B5" s="6">
        <v>42214</v>
      </c>
      <c r="C5" t="s">
        <v>31</v>
      </c>
      <c r="D5">
        <v>2.9952166878972601</v>
      </c>
    </row>
    <row r="6" spans="2:4" x14ac:dyDescent="0.2">
      <c r="B6" s="6">
        <v>42213</v>
      </c>
      <c r="C6" t="s">
        <v>31</v>
      </c>
      <c r="D6">
        <v>2.9700273705701301</v>
      </c>
    </row>
    <row r="7" spans="2:4" x14ac:dyDescent="0.2">
      <c r="B7" s="6">
        <v>42212</v>
      </c>
      <c r="C7" t="s">
        <v>31</v>
      </c>
      <c r="D7">
        <v>2.9768819813504899</v>
      </c>
    </row>
    <row r="8" spans="2:4" x14ac:dyDescent="0.2">
      <c r="B8" s="6">
        <v>42209</v>
      </c>
      <c r="C8" t="s">
        <v>31</v>
      </c>
      <c r="D8">
        <v>3.00880742941581</v>
      </c>
    </row>
    <row r="9" spans="2:4" x14ac:dyDescent="0.2">
      <c r="B9" s="6">
        <v>42208</v>
      </c>
      <c r="C9" t="s">
        <v>31</v>
      </c>
      <c r="D9">
        <v>3.00152435884748</v>
      </c>
    </row>
    <row r="10" spans="2:4" x14ac:dyDescent="0.2">
      <c r="B10" s="6">
        <v>42207</v>
      </c>
      <c r="C10" t="s">
        <v>31</v>
      </c>
      <c r="D10">
        <v>3.0272722743659699</v>
      </c>
    </row>
    <row r="11" spans="2:4" x14ac:dyDescent="0.2">
      <c r="B11" s="6">
        <v>42206</v>
      </c>
      <c r="C11" t="s">
        <v>31</v>
      </c>
      <c r="D11">
        <v>3.04099858929172</v>
      </c>
    </row>
    <row r="12" spans="2:4" x14ac:dyDescent="0.2">
      <c r="B12" s="6">
        <v>42205</v>
      </c>
      <c r="C12" t="s">
        <v>31</v>
      </c>
      <c r="D12">
        <v>3.07026860246684</v>
      </c>
    </row>
    <row r="13" spans="2:4" x14ac:dyDescent="0.2">
      <c r="B13" s="6">
        <v>42202</v>
      </c>
      <c r="C13" t="s">
        <v>31</v>
      </c>
      <c r="D13">
        <v>3.0508649511892498</v>
      </c>
    </row>
    <row r="14" spans="2:4" x14ac:dyDescent="0.2">
      <c r="B14" s="6">
        <v>42201</v>
      </c>
      <c r="C14" t="s">
        <v>31</v>
      </c>
      <c r="D14">
        <v>3.0642370952529001</v>
      </c>
    </row>
    <row r="15" spans="2:4" x14ac:dyDescent="0.2">
      <c r="B15" s="6">
        <v>42200</v>
      </c>
      <c r="C15" t="s">
        <v>31</v>
      </c>
      <c r="D15">
        <v>3.0651881254767099</v>
      </c>
    </row>
    <row r="16" spans="2:4" x14ac:dyDescent="0.2">
      <c r="B16" s="6">
        <v>42199</v>
      </c>
      <c r="C16" t="s">
        <v>31</v>
      </c>
      <c r="D16">
        <v>3.1081065530197201</v>
      </c>
    </row>
    <row r="17" spans="2:4" x14ac:dyDescent="0.2">
      <c r="B17" s="6">
        <v>42198</v>
      </c>
      <c r="C17" t="s">
        <v>31</v>
      </c>
      <c r="D17">
        <v>3.1440801611331</v>
      </c>
    </row>
    <row r="18" spans="2:4" x14ac:dyDescent="0.2">
      <c r="B18" s="6">
        <v>42195</v>
      </c>
      <c r="C18" t="s">
        <v>31</v>
      </c>
      <c r="D18">
        <v>3.1469144966257199</v>
      </c>
    </row>
    <row r="19" spans="2:4" x14ac:dyDescent="0.2">
      <c r="B19" s="6">
        <v>42194</v>
      </c>
      <c r="C19" t="s">
        <v>31</v>
      </c>
      <c r="D19">
        <v>3.0519928057207899</v>
      </c>
    </row>
    <row r="20" spans="2:4" x14ac:dyDescent="0.2">
      <c r="B20" s="6">
        <v>42193</v>
      </c>
      <c r="C20" t="s">
        <v>31</v>
      </c>
      <c r="D20">
        <v>2.9791453962399599</v>
      </c>
    </row>
    <row r="21" spans="2:4" x14ac:dyDescent="0.2">
      <c r="B21" s="6">
        <v>42192</v>
      </c>
      <c r="C21" t="s">
        <v>31</v>
      </c>
      <c r="D21">
        <v>3.00985191194196</v>
      </c>
    </row>
    <row r="22" spans="2:4" x14ac:dyDescent="0.2">
      <c r="B22" s="6">
        <v>42191</v>
      </c>
      <c r="C22" t="s">
        <v>31</v>
      </c>
      <c r="D22">
        <v>3.0409627195865201</v>
      </c>
    </row>
    <row r="23" spans="2:4" x14ac:dyDescent="0.2">
      <c r="B23" s="6">
        <v>42187</v>
      </c>
      <c r="C23" t="s">
        <v>31</v>
      </c>
      <c r="D23">
        <v>3.1329453977786899</v>
      </c>
    </row>
    <row r="24" spans="2:4" x14ac:dyDescent="0.2">
      <c r="B24" s="6">
        <v>42186</v>
      </c>
      <c r="C24" t="s">
        <v>31</v>
      </c>
      <c r="D24">
        <v>3.16276525236256</v>
      </c>
    </row>
    <row r="25" spans="2:4" x14ac:dyDescent="0.2">
      <c r="B25" s="6">
        <v>42185</v>
      </c>
      <c r="C25" t="s">
        <v>31</v>
      </c>
      <c r="D25">
        <v>3.0732804432921599</v>
      </c>
    </row>
    <row r="26" spans="2:4" x14ac:dyDescent="0.2">
      <c r="B26" s="6">
        <v>42184</v>
      </c>
      <c r="C26" t="s">
        <v>31</v>
      </c>
      <c r="D26">
        <v>3.0851869199683102</v>
      </c>
    </row>
    <row r="27" spans="2:4" x14ac:dyDescent="0.2">
      <c r="B27" s="6">
        <v>42181</v>
      </c>
      <c r="C27" t="s">
        <v>31</v>
      </c>
      <c r="D27">
        <v>3.2022687944333499</v>
      </c>
    </row>
    <row r="28" spans="2:4" x14ac:dyDescent="0.2">
      <c r="B28" s="6">
        <v>42180</v>
      </c>
      <c r="C28" t="s">
        <v>31</v>
      </c>
      <c r="D28">
        <v>3.1158923075545402</v>
      </c>
    </row>
    <row r="29" spans="2:4" x14ac:dyDescent="0.2">
      <c r="B29" s="6">
        <v>42179</v>
      </c>
      <c r="C29" t="s">
        <v>31</v>
      </c>
      <c r="D29">
        <v>3.0912606104251101</v>
      </c>
    </row>
    <row r="30" spans="2:4" x14ac:dyDescent="0.2">
      <c r="B30" s="6">
        <v>42178</v>
      </c>
      <c r="C30" t="s">
        <v>31</v>
      </c>
      <c r="D30">
        <v>3.1219045210798799</v>
      </c>
    </row>
    <row r="31" spans="2:4" x14ac:dyDescent="0.2">
      <c r="B31" s="6">
        <v>42177</v>
      </c>
      <c r="C31" t="s">
        <v>31</v>
      </c>
      <c r="D31">
        <v>3.0761568887156101</v>
      </c>
    </row>
    <row r="32" spans="2:4" x14ac:dyDescent="0.2">
      <c r="B32" s="6">
        <v>42174</v>
      </c>
      <c r="C32" t="s">
        <v>31</v>
      </c>
      <c r="D32">
        <v>2.9822174038917302</v>
      </c>
    </row>
    <row r="33" spans="2:4" x14ac:dyDescent="0.2">
      <c r="B33" s="6">
        <v>42173</v>
      </c>
      <c r="C33" t="s">
        <v>31</v>
      </c>
      <c r="D33">
        <v>3.0468019127231698</v>
      </c>
    </row>
    <row r="34" spans="2:4" x14ac:dyDescent="0.2">
      <c r="B34" s="6">
        <v>42172</v>
      </c>
      <c r="C34" t="s">
        <v>31</v>
      </c>
      <c r="D34">
        <v>3.03216152423493</v>
      </c>
    </row>
    <row r="35" spans="2:4" x14ac:dyDescent="0.2">
      <c r="B35" s="6">
        <v>42171</v>
      </c>
      <c r="C35" t="s">
        <v>31</v>
      </c>
      <c r="D35">
        <v>3.0537402902567599</v>
      </c>
    </row>
    <row r="36" spans="2:4" x14ac:dyDescent="0.2">
      <c r="B36" s="6">
        <v>42170</v>
      </c>
      <c r="C36" t="s">
        <v>31</v>
      </c>
      <c r="D36">
        <v>3.0848485059502999</v>
      </c>
    </row>
    <row r="37" spans="2:4" x14ac:dyDescent="0.2">
      <c r="B37" s="6">
        <v>42167</v>
      </c>
      <c r="C37" t="s">
        <v>31</v>
      </c>
      <c r="D37">
        <v>3.0919401279735599</v>
      </c>
    </row>
    <row r="38" spans="2:4" x14ac:dyDescent="0.2">
      <c r="B38" s="6">
        <v>42166</v>
      </c>
      <c r="C38" t="s">
        <v>31</v>
      </c>
      <c r="D38">
        <v>3.0761153132050598</v>
      </c>
    </row>
    <row r="39" spans="2:4" x14ac:dyDescent="0.2">
      <c r="B39" s="6">
        <v>42165</v>
      </c>
      <c r="C39" t="s">
        <v>31</v>
      </c>
      <c r="D39">
        <v>3.1773446759928401</v>
      </c>
    </row>
    <row r="40" spans="2:4" x14ac:dyDescent="0.2">
      <c r="B40" s="6">
        <v>42164</v>
      </c>
      <c r="C40" t="s">
        <v>31</v>
      </c>
      <c r="D40">
        <v>3.1292995796246399</v>
      </c>
    </row>
    <row r="41" spans="2:4" x14ac:dyDescent="0.2">
      <c r="B41" s="6">
        <v>42163</v>
      </c>
      <c r="C41" t="s">
        <v>31</v>
      </c>
      <c r="D41">
        <v>3.0852280715370801</v>
      </c>
    </row>
    <row r="42" spans="2:4" x14ac:dyDescent="0.2">
      <c r="B42" s="6">
        <v>42160</v>
      </c>
      <c r="C42" t="s">
        <v>31</v>
      </c>
      <c r="D42">
        <v>3.1185389251118698</v>
      </c>
    </row>
    <row r="43" spans="2:4" x14ac:dyDescent="0.2">
      <c r="B43" s="6">
        <v>42159</v>
      </c>
      <c r="C43" t="s">
        <v>31</v>
      </c>
      <c r="D43">
        <v>3.0256748636149999</v>
      </c>
    </row>
    <row r="44" spans="2:4" x14ac:dyDescent="0.2">
      <c r="B44" s="6">
        <v>42158</v>
      </c>
      <c r="C44" t="s">
        <v>31</v>
      </c>
      <c r="D44">
        <v>3.0744144315737501</v>
      </c>
    </row>
    <row r="45" spans="2:4" x14ac:dyDescent="0.2">
      <c r="B45" s="6">
        <v>42157</v>
      </c>
      <c r="C45" t="s">
        <v>31</v>
      </c>
      <c r="D45">
        <v>2.96123512742628</v>
      </c>
    </row>
    <row r="46" spans="2:4" x14ac:dyDescent="0.2">
      <c r="B46" s="6">
        <v>42156</v>
      </c>
      <c r="C46" t="s">
        <v>31</v>
      </c>
      <c r="D46">
        <v>2.8873082715202201</v>
      </c>
    </row>
    <row r="47" spans="2:4" x14ac:dyDescent="0.2">
      <c r="B47" s="6">
        <v>42153</v>
      </c>
      <c r="C47" t="s">
        <v>31</v>
      </c>
      <c r="D47">
        <v>2.8125589424365498</v>
      </c>
    </row>
    <row r="48" spans="2:4" x14ac:dyDescent="0.2">
      <c r="B48" s="6">
        <v>42152</v>
      </c>
      <c r="C48" t="s">
        <v>31</v>
      </c>
      <c r="D48">
        <v>2.8413672152174398</v>
      </c>
    </row>
    <row r="49" spans="2:4" x14ac:dyDescent="0.2">
      <c r="B49" s="6">
        <v>42151</v>
      </c>
      <c r="C49" t="s">
        <v>31</v>
      </c>
      <c r="D49">
        <v>2.8460665334928898</v>
      </c>
    </row>
    <row r="50" spans="2:4" x14ac:dyDescent="0.2">
      <c r="B50" s="6">
        <v>42150</v>
      </c>
      <c r="C50" t="s">
        <v>31</v>
      </c>
      <c r="D50">
        <v>2.8500704386135798</v>
      </c>
    </row>
    <row r="51" spans="2:4" x14ac:dyDescent="0.2">
      <c r="B51" s="6">
        <v>42146</v>
      </c>
      <c r="C51" t="s">
        <v>31</v>
      </c>
      <c r="D51">
        <v>2.8915210158303699</v>
      </c>
    </row>
    <row r="52" spans="2:4" x14ac:dyDescent="0.2">
      <c r="B52" s="6">
        <v>42145</v>
      </c>
      <c r="C52" t="s">
        <v>31</v>
      </c>
      <c r="D52">
        <v>2.8599760435846102</v>
      </c>
    </row>
    <row r="53" spans="2:4" x14ac:dyDescent="0.2">
      <c r="B53" s="6">
        <v>42144</v>
      </c>
      <c r="C53" t="s">
        <v>31</v>
      </c>
      <c r="D53">
        <v>2.9102623265110599</v>
      </c>
    </row>
    <row r="54" spans="2:4" x14ac:dyDescent="0.2">
      <c r="B54" s="6">
        <v>42143</v>
      </c>
      <c r="C54" t="s">
        <v>31</v>
      </c>
      <c r="D54">
        <v>2.9214483553786899</v>
      </c>
    </row>
    <row r="55" spans="2:4" x14ac:dyDescent="0.2">
      <c r="B55" s="6">
        <v>42142</v>
      </c>
      <c r="C55" t="s">
        <v>31</v>
      </c>
      <c r="D55">
        <v>2.8896799307946499</v>
      </c>
    </row>
    <row r="56" spans="2:4" x14ac:dyDescent="0.2">
      <c r="B56" s="6">
        <v>42139</v>
      </c>
      <c r="C56" t="s">
        <v>31</v>
      </c>
      <c r="D56">
        <v>2.82631669904023</v>
      </c>
    </row>
    <row r="57" spans="2:4" x14ac:dyDescent="0.2">
      <c r="B57" s="6">
        <v>42138</v>
      </c>
      <c r="C57" t="s">
        <v>31</v>
      </c>
      <c r="D57">
        <v>2.9068905487933598</v>
      </c>
    </row>
    <row r="58" spans="2:4" x14ac:dyDescent="0.2">
      <c r="B58" s="6">
        <v>42137</v>
      </c>
      <c r="C58" t="s">
        <v>31</v>
      </c>
      <c r="D58">
        <v>2.9586092652733198</v>
      </c>
    </row>
    <row r="59" spans="2:4" x14ac:dyDescent="0.2">
      <c r="B59" s="6">
        <v>42136</v>
      </c>
      <c r="C59" t="s">
        <v>31</v>
      </c>
      <c r="D59">
        <v>2.9362897451124002</v>
      </c>
    </row>
    <row r="60" spans="2:4" x14ac:dyDescent="0.2">
      <c r="B60" s="6">
        <v>42135</v>
      </c>
      <c r="C60" t="s">
        <v>31</v>
      </c>
      <c r="D60">
        <v>2.9199815904284798</v>
      </c>
    </row>
    <row r="61" spans="2:4" x14ac:dyDescent="0.2">
      <c r="B61" s="6">
        <v>42132</v>
      </c>
      <c r="C61" t="s">
        <v>31</v>
      </c>
      <c r="D61">
        <v>2.8101076932532698</v>
      </c>
    </row>
    <row r="62" spans="2:4" x14ac:dyDescent="0.2">
      <c r="B62" s="6">
        <v>42131</v>
      </c>
      <c r="C62" t="s">
        <v>31</v>
      </c>
      <c r="D62">
        <v>2.86177796804412</v>
      </c>
    </row>
    <row r="63" spans="2:4" x14ac:dyDescent="0.2">
      <c r="B63" s="6">
        <v>42130</v>
      </c>
      <c r="C63" t="s">
        <v>31</v>
      </c>
      <c r="D63">
        <v>2.91930519695658</v>
      </c>
    </row>
    <row r="64" spans="2:4" x14ac:dyDescent="0.2">
      <c r="B64" s="6">
        <v>42129</v>
      </c>
      <c r="C64" t="s">
        <v>31</v>
      </c>
      <c r="D64">
        <v>2.8756484754346898</v>
      </c>
    </row>
    <row r="65" spans="2:4" x14ac:dyDescent="0.2">
      <c r="B65" s="6">
        <v>42128</v>
      </c>
      <c r="C65" t="s">
        <v>31</v>
      </c>
      <c r="D65">
        <v>2.8416760056146502</v>
      </c>
    </row>
    <row r="66" spans="2:4" x14ac:dyDescent="0.2">
      <c r="B66" s="6">
        <v>42125</v>
      </c>
      <c r="C66" t="s">
        <v>31</v>
      </c>
      <c r="D66">
        <v>2.8064099070641602</v>
      </c>
    </row>
    <row r="67" spans="2:4" x14ac:dyDescent="0.2">
      <c r="B67" s="6">
        <v>42124</v>
      </c>
      <c r="C67" t="s">
        <v>31</v>
      </c>
      <c r="D67">
        <v>2.7480147229669498</v>
      </c>
    </row>
    <row r="68" spans="2:4" x14ac:dyDescent="0.2">
      <c r="B68" s="6">
        <v>42123</v>
      </c>
      <c r="C68" t="s">
        <v>31</v>
      </c>
      <c r="D68">
        <v>2.7467458715573199</v>
      </c>
    </row>
    <row r="69" spans="2:4" x14ac:dyDescent="0.2">
      <c r="B69" s="6">
        <v>42122</v>
      </c>
      <c r="C69" t="s">
        <v>31</v>
      </c>
      <c r="D69">
        <v>2.6991414546305501</v>
      </c>
    </row>
    <row r="70" spans="2:4" x14ac:dyDescent="0.2">
      <c r="B70" s="6">
        <v>42121</v>
      </c>
      <c r="C70" t="s">
        <v>31</v>
      </c>
      <c r="D70">
        <v>2.6437338504186898</v>
      </c>
    </row>
    <row r="71" spans="2:4" x14ac:dyDescent="0.2">
      <c r="B71" s="6">
        <v>42118</v>
      </c>
      <c r="C71" t="s">
        <v>31</v>
      </c>
      <c r="D71">
        <v>2.62955921776924</v>
      </c>
    </row>
    <row r="72" spans="2:4" x14ac:dyDescent="0.2">
      <c r="B72" s="6">
        <v>42117</v>
      </c>
      <c r="C72" t="s">
        <v>31</v>
      </c>
      <c r="D72">
        <v>2.6562875815293401</v>
      </c>
    </row>
    <row r="73" spans="2:4" x14ac:dyDescent="0.2">
      <c r="B73" s="6">
        <v>42116</v>
      </c>
      <c r="C73" t="s">
        <v>31</v>
      </c>
      <c r="D73">
        <v>2.6753264137467299</v>
      </c>
    </row>
    <row r="74" spans="2:4" x14ac:dyDescent="0.2">
      <c r="B74" s="6">
        <v>42115</v>
      </c>
      <c r="C74" t="s">
        <v>31</v>
      </c>
      <c r="D74">
        <v>2.62252108008507</v>
      </c>
    </row>
    <row r="75" spans="2:4" x14ac:dyDescent="0.2">
      <c r="B75" s="6">
        <v>42114</v>
      </c>
      <c r="C75" t="s">
        <v>31</v>
      </c>
      <c r="D75">
        <v>2.59858921707026</v>
      </c>
    </row>
    <row r="76" spans="2:4" x14ac:dyDescent="0.2">
      <c r="B76" s="6">
        <v>42111</v>
      </c>
      <c r="C76" t="s">
        <v>31</v>
      </c>
      <c r="D76">
        <v>2.56712042045777</v>
      </c>
    </row>
    <row r="77" spans="2:4" x14ac:dyDescent="0.2">
      <c r="B77" s="6">
        <v>42110</v>
      </c>
      <c r="C77" t="s">
        <v>31</v>
      </c>
      <c r="D77">
        <v>2.5759029417987498</v>
      </c>
    </row>
    <row r="78" spans="2:4" x14ac:dyDescent="0.2">
      <c r="B78" s="6">
        <v>42109</v>
      </c>
      <c r="C78" t="s">
        <v>31</v>
      </c>
      <c r="D78">
        <v>2.58469358456979</v>
      </c>
    </row>
    <row r="79" spans="2:4" x14ac:dyDescent="0.2">
      <c r="B79" s="6">
        <v>42108</v>
      </c>
      <c r="C79" t="s">
        <v>31</v>
      </c>
      <c r="D79">
        <v>2.5968587672613901</v>
      </c>
    </row>
    <row r="80" spans="2:4" x14ac:dyDescent="0.2">
      <c r="B80" s="6">
        <v>42107</v>
      </c>
      <c r="C80" t="s">
        <v>31</v>
      </c>
      <c r="D80">
        <v>2.64134045041691</v>
      </c>
    </row>
    <row r="81" spans="2:4" x14ac:dyDescent="0.2">
      <c r="B81" s="6">
        <v>42104</v>
      </c>
      <c r="C81" t="s">
        <v>31</v>
      </c>
      <c r="D81">
        <v>2.6673945625319102</v>
      </c>
    </row>
    <row r="82" spans="2:4" x14ac:dyDescent="0.2">
      <c r="B82" s="6">
        <v>42103</v>
      </c>
      <c r="C82" t="s">
        <v>31</v>
      </c>
      <c r="D82">
        <v>2.6476582784281</v>
      </c>
    </row>
    <row r="83" spans="2:4" x14ac:dyDescent="0.2">
      <c r="B83" s="6">
        <v>42102</v>
      </c>
      <c r="C83" t="s">
        <v>31</v>
      </c>
      <c r="D83">
        <v>2.62032151165119</v>
      </c>
    </row>
    <row r="84" spans="2:4" x14ac:dyDescent="0.2">
      <c r="B84" s="6">
        <v>42101</v>
      </c>
      <c r="C84" t="s">
        <v>31</v>
      </c>
      <c r="D84">
        <v>2.6287824588785198</v>
      </c>
    </row>
    <row r="85" spans="2:4" x14ac:dyDescent="0.2">
      <c r="B85" s="6">
        <v>42100</v>
      </c>
      <c r="C85" t="s">
        <v>31</v>
      </c>
      <c r="D85">
        <v>2.63391710374052</v>
      </c>
    </row>
    <row r="86" spans="2:4" x14ac:dyDescent="0.2">
      <c r="B86" s="6">
        <v>42097</v>
      </c>
      <c r="C86" t="s">
        <v>31</v>
      </c>
      <c r="D86">
        <v>2.5908884215358099</v>
      </c>
    </row>
    <row r="87" spans="2:4" x14ac:dyDescent="0.2">
      <c r="B87" s="6">
        <v>42096</v>
      </c>
      <c r="C87" t="s">
        <v>31</v>
      </c>
      <c r="D87">
        <v>2.6512826680006101</v>
      </c>
    </row>
    <row r="88" spans="2:4" x14ac:dyDescent="0.2">
      <c r="B88" s="6">
        <v>42095</v>
      </c>
      <c r="C88" t="s">
        <v>31</v>
      </c>
      <c r="D88">
        <v>2.5992657753902901</v>
      </c>
    </row>
    <row r="89" spans="2:4" x14ac:dyDescent="0.2">
      <c r="B89" s="6">
        <v>42094</v>
      </c>
      <c r="C89" t="s">
        <v>31</v>
      </c>
      <c r="D89">
        <v>2.66103516127894</v>
      </c>
    </row>
    <row r="90" spans="2:4" x14ac:dyDescent="0.2">
      <c r="B90" s="6">
        <v>42093</v>
      </c>
      <c r="C90" t="s">
        <v>31</v>
      </c>
      <c r="D90">
        <v>2.6906214304432701</v>
      </c>
    </row>
    <row r="91" spans="2:4" x14ac:dyDescent="0.2">
      <c r="B91" s="6">
        <v>42090</v>
      </c>
      <c r="C91" t="s">
        <v>31</v>
      </c>
      <c r="D91">
        <v>2.6934832462996599</v>
      </c>
    </row>
    <row r="92" spans="2:4" x14ac:dyDescent="0.2">
      <c r="B92" s="6">
        <v>42089</v>
      </c>
      <c r="C92" t="s">
        <v>31</v>
      </c>
      <c r="D92">
        <v>2.7519990602785001</v>
      </c>
    </row>
    <row r="93" spans="2:4" x14ac:dyDescent="0.2">
      <c r="B93" s="6">
        <v>42088</v>
      </c>
      <c r="C93" t="s">
        <v>31</v>
      </c>
      <c r="D93">
        <v>2.6641693960453199</v>
      </c>
    </row>
    <row r="94" spans="2:4" x14ac:dyDescent="0.2">
      <c r="B94" s="6">
        <v>42087</v>
      </c>
      <c r="C94" t="s">
        <v>31</v>
      </c>
      <c r="D94">
        <v>2.60984671554638</v>
      </c>
    </row>
    <row r="95" spans="2:4" x14ac:dyDescent="0.2">
      <c r="B95" s="6">
        <v>42086</v>
      </c>
      <c r="C95" t="s">
        <v>31</v>
      </c>
      <c r="D95">
        <v>2.6575094779916602</v>
      </c>
    </row>
    <row r="96" spans="2:4" x14ac:dyDescent="0.2">
      <c r="B96" s="6">
        <v>42083</v>
      </c>
      <c r="C96" t="s">
        <v>31</v>
      </c>
      <c r="D96">
        <v>2.6717729385436999</v>
      </c>
    </row>
    <row r="97" spans="2:4" x14ac:dyDescent="0.2">
      <c r="B97" s="6">
        <v>42082</v>
      </c>
      <c r="C97" t="s">
        <v>31</v>
      </c>
      <c r="D97">
        <v>2.70955656376128</v>
      </c>
    </row>
    <row r="98" spans="2:4" x14ac:dyDescent="0.2">
      <c r="B98" s="6">
        <v>42081</v>
      </c>
      <c r="C98" t="s">
        <v>31</v>
      </c>
      <c r="D98">
        <v>2.6928489030954199</v>
      </c>
    </row>
    <row r="99" spans="2:4" x14ac:dyDescent="0.2">
      <c r="B99" s="6">
        <v>42080</v>
      </c>
      <c r="C99" t="s">
        <v>31</v>
      </c>
      <c r="D99">
        <v>2.79584100930466</v>
      </c>
    </row>
    <row r="100" spans="2:4" x14ac:dyDescent="0.2">
      <c r="B100" s="6">
        <v>42079</v>
      </c>
      <c r="C100" t="s">
        <v>31</v>
      </c>
      <c r="D100">
        <v>2.8241768518279202</v>
      </c>
    </row>
    <row r="101" spans="2:4" x14ac:dyDescent="0.2">
      <c r="B101" s="6">
        <v>42076</v>
      </c>
      <c r="C101" t="s">
        <v>31</v>
      </c>
      <c r="D101">
        <v>2.8315057491425</v>
      </c>
    </row>
    <row r="102" spans="2:4" x14ac:dyDescent="0.2">
      <c r="B102" s="6">
        <v>42075</v>
      </c>
      <c r="C102" t="s">
        <v>31</v>
      </c>
      <c r="D102">
        <v>2.8138191102539798</v>
      </c>
    </row>
    <row r="103" spans="2:4" x14ac:dyDescent="0.2">
      <c r="B103" s="6">
        <v>42074</v>
      </c>
      <c r="C103" t="s">
        <v>31</v>
      </c>
      <c r="D103">
        <v>2.8278353033181198</v>
      </c>
    </row>
    <row r="104" spans="2:4" x14ac:dyDescent="0.2">
      <c r="B104" s="6">
        <v>42073</v>
      </c>
      <c r="C104" t="s">
        <v>31</v>
      </c>
      <c r="D104">
        <v>2.84635033680676</v>
      </c>
    </row>
    <row r="105" spans="2:4" x14ac:dyDescent="0.2">
      <c r="B105" s="6">
        <v>42072</v>
      </c>
      <c r="C105" t="s">
        <v>31</v>
      </c>
      <c r="D105">
        <v>2.90222752352993</v>
      </c>
    </row>
    <row r="106" spans="2:4" x14ac:dyDescent="0.2">
      <c r="B106" s="6">
        <v>42069</v>
      </c>
      <c r="C106" t="s">
        <v>31</v>
      </c>
      <c r="D106">
        <v>2.9303170109018999</v>
      </c>
    </row>
    <row r="107" spans="2:4" x14ac:dyDescent="0.2">
      <c r="B107" s="6">
        <v>42068</v>
      </c>
      <c r="C107" t="s">
        <v>31</v>
      </c>
      <c r="D107">
        <v>2.81556157497667</v>
      </c>
    </row>
    <row r="108" spans="2:4" x14ac:dyDescent="0.2">
      <c r="B108" s="6">
        <v>42067</v>
      </c>
      <c r="C108" t="s">
        <v>31</v>
      </c>
      <c r="D108">
        <v>2.8241837227534399</v>
      </c>
    </row>
    <row r="109" spans="2:4" x14ac:dyDescent="0.2">
      <c r="B109" s="6">
        <v>42066</v>
      </c>
      <c r="C109" t="s">
        <v>31</v>
      </c>
      <c r="D109">
        <v>2.8341999400292899</v>
      </c>
    </row>
    <row r="110" spans="2:4" x14ac:dyDescent="0.2">
      <c r="B110" s="6">
        <v>42065</v>
      </c>
      <c r="C110" t="s">
        <v>31</v>
      </c>
      <c r="D110">
        <v>2.7916349569467398</v>
      </c>
    </row>
    <row r="111" spans="2:4" x14ac:dyDescent="0.2">
      <c r="B111" s="6">
        <v>42062</v>
      </c>
      <c r="C111" t="s">
        <v>31</v>
      </c>
      <c r="D111">
        <v>2.7365985708724101</v>
      </c>
    </row>
    <row r="112" spans="2:4" x14ac:dyDescent="0.2">
      <c r="B112" s="6">
        <v>42061</v>
      </c>
      <c r="C112" t="s">
        <v>31</v>
      </c>
      <c r="D112">
        <v>2.7641939622688101</v>
      </c>
    </row>
    <row r="113" spans="2:4" x14ac:dyDescent="0.2">
      <c r="B113" s="6">
        <v>42060</v>
      </c>
      <c r="C113" t="s">
        <v>31</v>
      </c>
      <c r="D113">
        <v>2.7262373083687401</v>
      </c>
    </row>
    <row r="114" spans="2:4" x14ac:dyDescent="0.2">
      <c r="B114" s="6">
        <v>42059</v>
      </c>
      <c r="C114" t="s">
        <v>31</v>
      </c>
      <c r="D114">
        <v>2.7456841844873301</v>
      </c>
    </row>
    <row r="115" spans="2:4" x14ac:dyDescent="0.2">
      <c r="B115" s="6">
        <v>42058</v>
      </c>
      <c r="C115" t="s">
        <v>31</v>
      </c>
      <c r="D115">
        <v>2.8051692512697501</v>
      </c>
    </row>
    <row r="116" spans="2:4" x14ac:dyDescent="0.2">
      <c r="B116" s="6">
        <v>42055</v>
      </c>
      <c r="C116" t="s">
        <v>31</v>
      </c>
      <c r="D116">
        <v>2.8495343936509898</v>
      </c>
    </row>
    <row r="117" spans="2:4" x14ac:dyDescent="0.2">
      <c r="B117" s="6">
        <v>42054</v>
      </c>
      <c r="C117" t="s">
        <v>31</v>
      </c>
      <c r="D117">
        <v>2.8310816393070799</v>
      </c>
    </row>
    <row r="118" spans="2:4" x14ac:dyDescent="0.2">
      <c r="B118" s="6">
        <v>42053</v>
      </c>
      <c r="C118" t="s">
        <v>31</v>
      </c>
      <c r="D118">
        <v>2.80663775198708</v>
      </c>
    </row>
    <row r="119" spans="2:4" x14ac:dyDescent="0.2">
      <c r="B119" s="6">
        <v>42052</v>
      </c>
      <c r="C119" t="s">
        <v>31</v>
      </c>
      <c r="D119">
        <v>2.8647464299960101</v>
      </c>
    </row>
    <row r="120" spans="2:4" x14ac:dyDescent="0.2">
      <c r="B120" s="6">
        <v>42048</v>
      </c>
      <c r="C120" t="s">
        <v>31</v>
      </c>
      <c r="D120">
        <v>2.7439532601441399</v>
      </c>
    </row>
    <row r="121" spans="2:4" x14ac:dyDescent="0.2">
      <c r="B121" s="6">
        <v>42047</v>
      </c>
      <c r="C121" t="s">
        <v>31</v>
      </c>
      <c r="D121">
        <v>2.7217472845669599</v>
      </c>
    </row>
    <row r="122" spans="2:4" x14ac:dyDescent="0.2">
      <c r="B122" s="6">
        <v>42046</v>
      </c>
      <c r="C122" t="s">
        <v>31</v>
      </c>
      <c r="D122">
        <v>2.7390944645368598</v>
      </c>
    </row>
    <row r="123" spans="2:4" x14ac:dyDescent="0.2">
      <c r="B123" s="6">
        <v>42045</v>
      </c>
      <c r="C123" t="s">
        <v>31</v>
      </c>
      <c r="D123">
        <v>2.7450619013759301</v>
      </c>
    </row>
    <row r="124" spans="2:4" x14ac:dyDescent="0.2">
      <c r="B124" s="6">
        <v>42044</v>
      </c>
      <c r="C124" t="s">
        <v>31</v>
      </c>
      <c r="D124">
        <v>2.6856648240007002</v>
      </c>
    </row>
    <row r="125" spans="2:4" x14ac:dyDescent="0.2">
      <c r="B125" s="6">
        <v>42041</v>
      </c>
      <c r="C125" t="s">
        <v>31</v>
      </c>
      <c r="D125">
        <v>2.6748566998957601</v>
      </c>
    </row>
    <row r="126" spans="2:4" x14ac:dyDescent="0.2">
      <c r="B126" s="6">
        <v>42040</v>
      </c>
      <c r="C126" t="s">
        <v>31</v>
      </c>
      <c r="D126">
        <v>2.5588939804772202</v>
      </c>
    </row>
    <row r="127" spans="2:4" x14ac:dyDescent="0.2">
      <c r="B127" s="6">
        <v>42039</v>
      </c>
      <c r="C127" t="s">
        <v>31</v>
      </c>
      <c r="D127">
        <v>2.56620444102245</v>
      </c>
    </row>
    <row r="128" spans="2:4" x14ac:dyDescent="0.2">
      <c r="B128" s="6">
        <v>42038</v>
      </c>
      <c r="C128" t="s">
        <v>31</v>
      </c>
      <c r="D128">
        <v>2.5386092043872699</v>
      </c>
    </row>
    <row r="129" spans="2:4" x14ac:dyDescent="0.2">
      <c r="B129" s="6">
        <v>42037</v>
      </c>
      <c r="C129" t="s">
        <v>31</v>
      </c>
      <c r="D129">
        <v>2.4482414321452199</v>
      </c>
    </row>
    <row r="130" spans="2:4" x14ac:dyDescent="0.2">
      <c r="B130" s="6">
        <v>42034</v>
      </c>
      <c r="C130" t="s">
        <v>31</v>
      </c>
      <c r="D130">
        <v>2.4526687901347302</v>
      </c>
    </row>
    <row r="131" spans="2:4" x14ac:dyDescent="0.2">
      <c r="B131" s="6">
        <v>42033</v>
      </c>
      <c r="C131" t="s">
        <v>31</v>
      </c>
      <c r="D131">
        <v>2.5133603709402799</v>
      </c>
    </row>
    <row r="132" spans="2:4" x14ac:dyDescent="0.2">
      <c r="B132" s="6">
        <v>42032</v>
      </c>
      <c r="C132" t="s">
        <v>31</v>
      </c>
      <c r="D132">
        <v>2.5075854882079498</v>
      </c>
    </row>
    <row r="133" spans="2:4" x14ac:dyDescent="0.2">
      <c r="B133" s="6">
        <v>42031</v>
      </c>
      <c r="C133" t="s">
        <v>31</v>
      </c>
      <c r="D133">
        <v>2.58566791572217</v>
      </c>
    </row>
    <row r="134" spans="2:4" x14ac:dyDescent="0.2">
      <c r="B134" s="6">
        <v>42030</v>
      </c>
      <c r="C134" t="s">
        <v>31</v>
      </c>
      <c r="D134">
        <v>2.5964187919228299</v>
      </c>
    </row>
    <row r="135" spans="2:4" x14ac:dyDescent="0.2">
      <c r="B135" s="6">
        <v>42027</v>
      </c>
      <c r="C135" t="s">
        <v>31</v>
      </c>
      <c r="D135">
        <v>2.5688065849413202</v>
      </c>
    </row>
    <row r="136" spans="2:4" x14ac:dyDescent="0.2">
      <c r="B136" s="6">
        <v>42026</v>
      </c>
      <c r="C136" t="s">
        <v>31</v>
      </c>
      <c r="D136">
        <v>2.6170205733531602</v>
      </c>
    </row>
    <row r="137" spans="2:4" x14ac:dyDescent="0.2">
      <c r="B137" s="6">
        <v>42025</v>
      </c>
      <c r="C137" t="s">
        <v>31</v>
      </c>
      <c r="D137">
        <v>2.6084944348331098</v>
      </c>
    </row>
    <row r="138" spans="2:4" x14ac:dyDescent="0.2">
      <c r="B138" s="6">
        <v>42024</v>
      </c>
      <c r="C138" t="s">
        <v>31</v>
      </c>
      <c r="D138">
        <v>2.55737179181423</v>
      </c>
    </row>
    <row r="139" spans="2:4" x14ac:dyDescent="0.2">
      <c r="B139" s="6">
        <v>42020</v>
      </c>
      <c r="C139" t="s">
        <v>31</v>
      </c>
      <c r="D139">
        <v>2.5454794820645601</v>
      </c>
    </row>
    <row r="140" spans="2:4" x14ac:dyDescent="0.2">
      <c r="B140" s="6">
        <v>42019</v>
      </c>
      <c r="C140" t="s">
        <v>31</v>
      </c>
      <c r="D140">
        <v>2.4553295319883701</v>
      </c>
    </row>
    <row r="141" spans="2:4" x14ac:dyDescent="0.2">
      <c r="B141" s="6">
        <v>42018</v>
      </c>
      <c r="C141" t="s">
        <v>31</v>
      </c>
      <c r="D141">
        <v>2.49106608048328</v>
      </c>
    </row>
    <row r="142" spans="2:4" x14ac:dyDescent="0.2">
      <c r="B142" s="6">
        <v>42017</v>
      </c>
      <c r="C142" t="s">
        <v>31</v>
      </c>
      <c r="D142">
        <v>2.57954379421794</v>
      </c>
    </row>
    <row r="143" spans="2:4" x14ac:dyDescent="0.2">
      <c r="B143" s="6">
        <v>42016</v>
      </c>
      <c r="C143" t="s">
        <v>31</v>
      </c>
      <c r="D143">
        <v>2.5936190223084101</v>
      </c>
    </row>
    <row r="144" spans="2:4" x14ac:dyDescent="0.2">
      <c r="B144" s="6">
        <v>42013</v>
      </c>
      <c r="C144" t="s">
        <v>31</v>
      </c>
      <c r="D144">
        <v>2.6462920309129299</v>
      </c>
    </row>
    <row r="145" spans="2:4" x14ac:dyDescent="0.2">
      <c r="B145" s="6">
        <v>42012</v>
      </c>
      <c r="C145" t="s">
        <v>31</v>
      </c>
      <c r="D145">
        <v>2.6774292062275298</v>
      </c>
    </row>
    <row r="146" spans="2:4" x14ac:dyDescent="0.2">
      <c r="B146" s="6">
        <v>42011</v>
      </c>
      <c r="C146" t="s">
        <v>31</v>
      </c>
      <c r="D146">
        <v>2.6248431051869598</v>
      </c>
    </row>
    <row r="147" spans="2:4" x14ac:dyDescent="0.2">
      <c r="B147" s="6">
        <v>42010</v>
      </c>
      <c r="C147" t="s">
        <v>31</v>
      </c>
      <c r="D147">
        <v>2.61636453709349</v>
      </c>
    </row>
    <row r="148" spans="2:4" x14ac:dyDescent="0.2">
      <c r="B148" s="6">
        <v>42009</v>
      </c>
      <c r="C148" t="s">
        <v>31</v>
      </c>
      <c r="D148">
        <v>2.6962701266687499</v>
      </c>
    </row>
    <row r="149" spans="2:4" x14ac:dyDescent="0.2">
      <c r="B149" s="6">
        <v>42006</v>
      </c>
      <c r="C149" t="s">
        <v>31</v>
      </c>
      <c r="D149">
        <v>2.7854452423976599</v>
      </c>
    </row>
    <row r="150" spans="2:4" x14ac:dyDescent="0.2">
      <c r="B150" s="6">
        <v>42004</v>
      </c>
      <c r="C150" t="s">
        <v>31</v>
      </c>
      <c r="D150">
        <v>2.8338661414623698</v>
      </c>
    </row>
    <row r="151" spans="2:4" x14ac:dyDescent="0.2">
      <c r="B151" s="6">
        <v>42003</v>
      </c>
      <c r="C151" t="s">
        <v>31</v>
      </c>
      <c r="D151">
        <v>2.8519980737177399</v>
      </c>
    </row>
    <row r="152" spans="2:4" x14ac:dyDescent="0.2">
      <c r="B152" s="6">
        <v>42002</v>
      </c>
      <c r="C152" t="s">
        <v>31</v>
      </c>
      <c r="D152">
        <v>2.8609798255384802</v>
      </c>
    </row>
    <row r="153" spans="2:4" x14ac:dyDescent="0.2">
      <c r="B153" s="6">
        <v>41999</v>
      </c>
      <c r="C153" t="s">
        <v>31</v>
      </c>
      <c r="D153">
        <v>2.8912427168811901</v>
      </c>
    </row>
    <row r="154" spans="2:4" x14ac:dyDescent="0.2">
      <c r="B154" s="6">
        <v>41997</v>
      </c>
      <c r="C154" t="s">
        <v>31</v>
      </c>
      <c r="D154">
        <v>2.90975275027838</v>
      </c>
    </row>
    <row r="155" spans="2:4" x14ac:dyDescent="0.2">
      <c r="B155" s="6">
        <v>41996</v>
      </c>
      <c r="C155" t="s">
        <v>31</v>
      </c>
      <c r="D155">
        <v>2.91032440435752</v>
      </c>
    </row>
    <row r="156" spans="2:4" x14ac:dyDescent="0.2">
      <c r="B156" s="6">
        <v>41995</v>
      </c>
      <c r="C156" t="s">
        <v>31</v>
      </c>
      <c r="D156">
        <v>2.8256441971088901</v>
      </c>
    </row>
    <row r="157" spans="2:4" x14ac:dyDescent="0.2">
      <c r="B157" s="6">
        <v>41992</v>
      </c>
      <c r="C157" t="s">
        <v>31</v>
      </c>
      <c r="D157">
        <v>2.8337398573021799</v>
      </c>
    </row>
    <row r="158" spans="2:4" x14ac:dyDescent="0.2">
      <c r="B158" s="6">
        <v>41991</v>
      </c>
      <c r="C158" t="s">
        <v>31</v>
      </c>
      <c r="D158">
        <v>2.8582300067965201</v>
      </c>
    </row>
    <row r="159" spans="2:4" x14ac:dyDescent="0.2">
      <c r="B159" s="6">
        <v>41990</v>
      </c>
      <c r="C159" t="s">
        <v>31</v>
      </c>
      <c r="D159">
        <v>2.8371501312702399</v>
      </c>
    </row>
    <row r="160" spans="2:4" x14ac:dyDescent="0.2">
      <c r="B160" s="6">
        <v>41989</v>
      </c>
      <c r="C160" t="s">
        <v>31</v>
      </c>
      <c r="D160">
        <v>2.7872489970640002</v>
      </c>
    </row>
    <row r="161" spans="2:4" x14ac:dyDescent="0.2">
      <c r="B161" s="6">
        <v>41988</v>
      </c>
      <c r="C161" t="s">
        <v>31</v>
      </c>
      <c r="D161">
        <v>2.8291749929655099</v>
      </c>
    </row>
    <row r="162" spans="2:4" x14ac:dyDescent="0.2">
      <c r="B162" s="6">
        <v>41985</v>
      </c>
      <c r="C162" t="s">
        <v>31</v>
      </c>
      <c r="D162">
        <v>2.80057780204395</v>
      </c>
    </row>
    <row r="163" spans="2:4" x14ac:dyDescent="0.2">
      <c r="B163" s="6">
        <v>41984</v>
      </c>
      <c r="C163" t="s">
        <v>31</v>
      </c>
      <c r="D163">
        <v>2.8634343397483599</v>
      </c>
    </row>
    <row r="164" spans="2:4" x14ac:dyDescent="0.2">
      <c r="B164" s="6">
        <v>41983</v>
      </c>
      <c r="C164" t="s">
        <v>31</v>
      </c>
      <c r="D164">
        <v>2.8515070487427501</v>
      </c>
    </row>
    <row r="165" spans="2:4" x14ac:dyDescent="0.2">
      <c r="B165" s="6">
        <v>41982</v>
      </c>
      <c r="C165" t="s">
        <v>31</v>
      </c>
      <c r="D165">
        <v>2.8860238028398202</v>
      </c>
    </row>
    <row r="166" spans="2:4" x14ac:dyDescent="0.2">
      <c r="B166" s="6">
        <v>41981</v>
      </c>
      <c r="C166" t="s">
        <v>31</v>
      </c>
      <c r="D166">
        <v>2.9087586637234901</v>
      </c>
    </row>
    <row r="167" spans="2:4" x14ac:dyDescent="0.2">
      <c r="B167" s="6">
        <v>41978</v>
      </c>
      <c r="C167" t="s">
        <v>31</v>
      </c>
      <c r="D167">
        <v>2.9546349103912699</v>
      </c>
    </row>
    <row r="168" spans="2:4" x14ac:dyDescent="0.2">
      <c r="B168" s="6">
        <v>41977</v>
      </c>
      <c r="C168" t="s">
        <v>31</v>
      </c>
      <c r="D168">
        <v>2.90250988237801</v>
      </c>
    </row>
    <row r="169" spans="2:4" x14ac:dyDescent="0.2">
      <c r="B169" s="6">
        <v>41976</v>
      </c>
      <c r="C169" t="s">
        <v>31</v>
      </c>
      <c r="D169">
        <v>2.9323159668402701</v>
      </c>
    </row>
    <row r="170" spans="2:4" x14ac:dyDescent="0.2">
      <c r="B170" s="6">
        <v>41975</v>
      </c>
      <c r="C170" t="s">
        <v>31</v>
      </c>
      <c r="D170">
        <v>2.92504129119764</v>
      </c>
    </row>
    <row r="171" spans="2:4" x14ac:dyDescent="0.2">
      <c r="B171" s="6">
        <v>41974</v>
      </c>
      <c r="C171" t="s">
        <v>31</v>
      </c>
      <c r="D171">
        <v>2.8622800897906999</v>
      </c>
    </row>
    <row r="172" spans="2:4" x14ac:dyDescent="0.2">
      <c r="B172" s="6">
        <v>41971</v>
      </c>
      <c r="C172" t="s">
        <v>31</v>
      </c>
      <c r="D172">
        <v>2.84568526355815</v>
      </c>
    </row>
    <row r="173" spans="2:4" x14ac:dyDescent="0.2">
      <c r="B173" s="6">
        <v>41969</v>
      </c>
      <c r="C173" t="s">
        <v>31</v>
      </c>
      <c r="D173">
        <v>2.8840952878375998</v>
      </c>
    </row>
    <row r="174" spans="2:4" x14ac:dyDescent="0.2">
      <c r="B174" s="6">
        <v>41968</v>
      </c>
      <c r="C174" t="s">
        <v>31</v>
      </c>
      <c r="D174">
        <v>2.8987235748393099</v>
      </c>
    </row>
    <row r="175" spans="2:4" x14ac:dyDescent="0.2">
      <c r="B175" s="6">
        <v>41967</v>
      </c>
      <c r="C175" t="s">
        <v>31</v>
      </c>
      <c r="D175">
        <v>2.9533754292471799</v>
      </c>
    </row>
    <row r="176" spans="2:4" x14ac:dyDescent="0.2">
      <c r="B176" s="6">
        <v>41964</v>
      </c>
      <c r="C176" t="s">
        <v>31</v>
      </c>
      <c r="D176">
        <v>2.96503071609644</v>
      </c>
    </row>
    <row r="177" spans="2:4" x14ac:dyDescent="0.2">
      <c r="B177" s="6">
        <v>41963</v>
      </c>
      <c r="C177" t="s">
        <v>31</v>
      </c>
      <c r="D177">
        <v>2.9824542230370898</v>
      </c>
    </row>
    <row r="178" spans="2:4" x14ac:dyDescent="0.2">
      <c r="B178" s="6">
        <v>41962</v>
      </c>
      <c r="C178" t="s">
        <v>31</v>
      </c>
      <c r="D178">
        <v>3.0039537946355401</v>
      </c>
    </row>
    <row r="179" spans="2:4" x14ac:dyDescent="0.2">
      <c r="B179" s="6">
        <v>41961</v>
      </c>
      <c r="C179" t="s">
        <v>31</v>
      </c>
      <c r="D179">
        <v>2.98225794262494</v>
      </c>
    </row>
    <row r="180" spans="2:4" x14ac:dyDescent="0.2">
      <c r="B180" s="6">
        <v>41960</v>
      </c>
      <c r="C180" t="s">
        <v>31</v>
      </c>
      <c r="D180">
        <v>2.9940977333827501</v>
      </c>
    </row>
    <row r="181" spans="2:4" x14ac:dyDescent="0.2">
      <c r="B181" s="6">
        <v>41957</v>
      </c>
      <c r="C181" t="s">
        <v>31</v>
      </c>
      <c r="D181">
        <v>2.9883080633805301</v>
      </c>
    </row>
    <row r="182" spans="2:4" x14ac:dyDescent="0.2">
      <c r="B182" s="6">
        <v>41956</v>
      </c>
      <c r="C182" t="s">
        <v>31</v>
      </c>
      <c r="D182">
        <v>3.0240880311784402</v>
      </c>
    </row>
    <row r="183" spans="2:4" x14ac:dyDescent="0.2">
      <c r="B183" s="6">
        <v>41955</v>
      </c>
      <c r="C183" t="s">
        <v>31</v>
      </c>
      <c r="D183">
        <v>3.03648433223462</v>
      </c>
    </row>
    <row r="184" spans="2:4" x14ac:dyDescent="0.2">
      <c r="B184" s="6">
        <v>41953</v>
      </c>
      <c r="C184" t="s">
        <v>31</v>
      </c>
      <c r="D184">
        <v>3.0363365323845302</v>
      </c>
    </row>
    <row r="185" spans="2:4" x14ac:dyDescent="0.2">
      <c r="B185" s="6">
        <v>41950</v>
      </c>
      <c r="C185" t="s">
        <v>31</v>
      </c>
      <c r="D185">
        <v>3.00136099640791</v>
      </c>
    </row>
    <row r="186" spans="2:4" x14ac:dyDescent="0.2">
      <c r="B186" s="6">
        <v>41949</v>
      </c>
      <c r="C186" t="s">
        <v>31</v>
      </c>
      <c r="D186">
        <v>3.05201083744713</v>
      </c>
    </row>
    <row r="187" spans="2:4" x14ac:dyDescent="0.2">
      <c r="B187" s="6">
        <v>41948</v>
      </c>
      <c r="C187" t="s">
        <v>31</v>
      </c>
      <c r="D187">
        <v>3.04444949772784</v>
      </c>
    </row>
    <row r="188" spans="2:4" x14ac:dyDescent="0.2">
      <c r="B188" s="6">
        <v>41947</v>
      </c>
      <c r="C188" t="s">
        <v>31</v>
      </c>
      <c r="D188">
        <v>3.0442418004482401</v>
      </c>
    </row>
    <row r="189" spans="2:4" x14ac:dyDescent="0.2">
      <c r="B189" s="6">
        <v>41946</v>
      </c>
      <c r="C189" t="s">
        <v>31</v>
      </c>
      <c r="D189">
        <v>3.04727792085342</v>
      </c>
    </row>
    <row r="190" spans="2:4" x14ac:dyDescent="0.2">
      <c r="B190" s="6">
        <v>41943</v>
      </c>
      <c r="C190" t="s">
        <v>31</v>
      </c>
      <c r="D190">
        <v>3.0097405474457601</v>
      </c>
    </row>
    <row r="191" spans="2:4" x14ac:dyDescent="0.2">
      <c r="B191" s="6">
        <v>41942</v>
      </c>
      <c r="C191" t="s">
        <v>31</v>
      </c>
      <c r="D191">
        <v>2.9884141965756501</v>
      </c>
    </row>
    <row r="192" spans="2:4" x14ac:dyDescent="0.2">
      <c r="B192" s="6">
        <v>41941</v>
      </c>
      <c r="C192" t="s">
        <v>31</v>
      </c>
      <c r="D192">
        <v>3.0090985385111702</v>
      </c>
    </row>
    <row r="193" spans="2:4" x14ac:dyDescent="0.2">
      <c r="B193" s="6">
        <v>41940</v>
      </c>
      <c r="C193" t="s">
        <v>31</v>
      </c>
      <c r="D193">
        <v>2.9732615646767</v>
      </c>
    </row>
    <row r="194" spans="2:4" x14ac:dyDescent="0.2">
      <c r="B194" s="6">
        <v>41939</v>
      </c>
      <c r="C194" t="s">
        <v>31</v>
      </c>
      <c r="D194">
        <v>2.95063055740501</v>
      </c>
    </row>
    <row r="195" spans="2:4" x14ac:dyDescent="0.2">
      <c r="B195" s="6">
        <v>41936</v>
      </c>
      <c r="C195" t="s">
        <v>31</v>
      </c>
      <c r="D195">
        <v>2.9670641789919698</v>
      </c>
    </row>
    <row r="196" spans="2:4" x14ac:dyDescent="0.2">
      <c r="B196" s="6">
        <v>41935</v>
      </c>
      <c r="C196" t="s">
        <v>31</v>
      </c>
      <c r="D196">
        <v>2.9569729972046299</v>
      </c>
    </row>
    <row r="197" spans="2:4" x14ac:dyDescent="0.2">
      <c r="B197" s="6">
        <v>41934</v>
      </c>
      <c r="C197" t="s">
        <v>31</v>
      </c>
      <c r="D197">
        <v>2.91560839979166</v>
      </c>
    </row>
    <row r="198" spans="2:4" x14ac:dyDescent="0.2">
      <c r="B198" s="6">
        <v>41933</v>
      </c>
      <c r="C198" t="s">
        <v>31</v>
      </c>
      <c r="D198">
        <v>2.90260596221672</v>
      </c>
    </row>
    <row r="199" spans="2:4" x14ac:dyDescent="0.2">
      <c r="B199" s="6">
        <v>41932</v>
      </c>
      <c r="C199" t="s">
        <v>31</v>
      </c>
      <c r="D199">
        <v>2.88228276625992</v>
      </c>
    </row>
    <row r="200" spans="2:4" x14ac:dyDescent="0.2">
      <c r="B200" s="6">
        <v>41929</v>
      </c>
      <c r="C200" t="s">
        <v>31</v>
      </c>
      <c r="D200">
        <v>2.9089681552965998</v>
      </c>
    </row>
    <row r="201" spans="2:4" x14ac:dyDescent="0.2">
      <c r="B201" s="6">
        <v>41928</v>
      </c>
      <c r="C201" t="s">
        <v>31</v>
      </c>
      <c r="D201">
        <v>2.88997696662019</v>
      </c>
    </row>
    <row r="202" spans="2:4" x14ac:dyDescent="0.2">
      <c r="B202" s="6">
        <v>41927</v>
      </c>
      <c r="C202" t="s">
        <v>31</v>
      </c>
      <c r="D202">
        <v>2.8012763487796</v>
      </c>
    </row>
    <row r="203" spans="2:4" x14ac:dyDescent="0.2">
      <c r="B203" s="6">
        <v>41926</v>
      </c>
      <c r="C203" t="s">
        <v>31</v>
      </c>
      <c r="D203">
        <v>2.9156735260487601</v>
      </c>
    </row>
    <row r="204" spans="2:4" x14ac:dyDescent="0.2">
      <c r="B204" s="6">
        <v>41922</v>
      </c>
      <c r="C204" t="s">
        <v>31</v>
      </c>
      <c r="D204">
        <v>3.0064713691768699</v>
      </c>
    </row>
    <row r="205" spans="2:4" x14ac:dyDescent="0.2">
      <c r="B205" s="6">
        <v>41921</v>
      </c>
      <c r="C205" t="s">
        <v>31</v>
      </c>
      <c r="D205">
        <v>3.0093512074845101</v>
      </c>
    </row>
    <row r="206" spans="2:4" x14ac:dyDescent="0.2">
      <c r="B206" s="6">
        <v>41920</v>
      </c>
      <c r="C206" t="s">
        <v>31</v>
      </c>
      <c r="D206">
        <v>3.00695688776984</v>
      </c>
    </row>
    <row r="207" spans="2:4" x14ac:dyDescent="0.2">
      <c r="B207" s="6">
        <v>41919</v>
      </c>
      <c r="C207" t="s">
        <v>31</v>
      </c>
      <c r="D207">
        <v>3.05716566753143</v>
      </c>
    </row>
    <row r="208" spans="2:4" x14ac:dyDescent="0.2">
      <c r="B208" s="6">
        <v>41918</v>
      </c>
      <c r="C208" t="s">
        <v>31</v>
      </c>
      <c r="D208">
        <v>3.12297819640008</v>
      </c>
    </row>
    <row r="209" spans="2:4" x14ac:dyDescent="0.2">
      <c r="B209" s="6">
        <v>41915</v>
      </c>
      <c r="C209" t="s">
        <v>31</v>
      </c>
      <c r="D209">
        <v>3.14080245533752</v>
      </c>
    </row>
    <row r="210" spans="2:4" x14ac:dyDescent="0.2">
      <c r="B210" s="6">
        <v>41914</v>
      </c>
      <c r="C210" t="s">
        <v>31</v>
      </c>
      <c r="D210">
        <v>3.13610168579967</v>
      </c>
    </row>
    <row r="211" spans="2:4" x14ac:dyDescent="0.2">
      <c r="B211" s="6">
        <v>41913</v>
      </c>
      <c r="C211" t="s">
        <v>31</v>
      </c>
      <c r="D211">
        <v>3.1187867017573798</v>
      </c>
    </row>
    <row r="212" spans="2:4" x14ac:dyDescent="0.2">
      <c r="B212" s="6">
        <v>41912</v>
      </c>
      <c r="C212" t="s">
        <v>31</v>
      </c>
      <c r="D212">
        <v>3.2078957125058598</v>
      </c>
    </row>
    <row r="213" spans="2:4" x14ac:dyDescent="0.2">
      <c r="B213" s="6">
        <v>41911</v>
      </c>
      <c r="C213" t="s">
        <v>31</v>
      </c>
      <c r="D213">
        <v>3.1926835363021802</v>
      </c>
    </row>
    <row r="214" spans="2:4" x14ac:dyDescent="0.2">
      <c r="B214" s="6">
        <v>41908</v>
      </c>
      <c r="C214" t="s">
        <v>31</v>
      </c>
      <c r="D214">
        <v>3.21516848659176</v>
      </c>
    </row>
    <row r="215" spans="2:4" x14ac:dyDescent="0.2">
      <c r="B215" s="6">
        <v>41907</v>
      </c>
      <c r="C215" t="s">
        <v>31</v>
      </c>
      <c r="D215">
        <v>3.19667473354923</v>
      </c>
    </row>
    <row r="216" spans="2:4" x14ac:dyDescent="0.2">
      <c r="B216" s="6">
        <v>41906</v>
      </c>
      <c r="C216" t="s">
        <v>31</v>
      </c>
      <c r="D216">
        <v>3.24020380359058</v>
      </c>
    </row>
    <row r="217" spans="2:4" x14ac:dyDescent="0.2">
      <c r="B217" s="6">
        <v>41905</v>
      </c>
      <c r="C217" t="s">
        <v>31</v>
      </c>
      <c r="D217">
        <v>3.2147148443632201</v>
      </c>
    </row>
    <row r="218" spans="2:4" x14ac:dyDescent="0.2">
      <c r="B218" s="6">
        <v>41904</v>
      </c>
      <c r="C218" t="s">
        <v>31</v>
      </c>
      <c r="D218">
        <v>3.2397623305872298</v>
      </c>
    </row>
    <row r="219" spans="2:4" x14ac:dyDescent="0.2">
      <c r="B219" s="6">
        <v>41901</v>
      </c>
      <c r="C219" t="s">
        <v>31</v>
      </c>
      <c r="D219">
        <v>3.2564979130093699</v>
      </c>
    </row>
    <row r="220" spans="2:4" x14ac:dyDescent="0.2">
      <c r="B220" s="6">
        <v>41900</v>
      </c>
      <c r="C220" t="s">
        <v>31</v>
      </c>
      <c r="D220">
        <v>3.3001731665241301</v>
      </c>
    </row>
    <row r="221" spans="2:4" x14ac:dyDescent="0.2">
      <c r="B221" s="6">
        <v>41899</v>
      </c>
      <c r="C221" t="s">
        <v>31</v>
      </c>
      <c r="D221">
        <v>3.2889456294412902</v>
      </c>
    </row>
    <row r="222" spans="2:4" x14ac:dyDescent="0.2">
      <c r="B222" s="6">
        <v>41898</v>
      </c>
      <c r="C222" t="s">
        <v>31</v>
      </c>
      <c r="D222">
        <v>3.28408302284724</v>
      </c>
    </row>
    <row r="223" spans="2:4" x14ac:dyDescent="0.2">
      <c r="B223" s="6">
        <v>41897</v>
      </c>
      <c r="C223" t="s">
        <v>31</v>
      </c>
      <c r="D223">
        <v>3.2813411057709199</v>
      </c>
    </row>
    <row r="224" spans="2:4" x14ac:dyDescent="0.2">
      <c r="B224" s="6">
        <v>41894</v>
      </c>
      <c r="C224" t="s">
        <v>31</v>
      </c>
      <c r="D224">
        <v>3.3013053863626398</v>
      </c>
    </row>
    <row r="225" spans="2:4" x14ac:dyDescent="0.2">
      <c r="B225" s="6">
        <v>41893</v>
      </c>
      <c r="C225" t="s">
        <v>31</v>
      </c>
      <c r="D225">
        <v>3.2385398598967701</v>
      </c>
    </row>
    <row r="226" spans="2:4" x14ac:dyDescent="0.2">
      <c r="B226" s="6">
        <v>41892</v>
      </c>
      <c r="C226" t="s">
        <v>31</v>
      </c>
      <c r="D226">
        <v>3.23966504008277</v>
      </c>
    </row>
    <row r="227" spans="2:4" x14ac:dyDescent="0.2">
      <c r="B227" s="6">
        <v>41891</v>
      </c>
      <c r="C227" t="s">
        <v>31</v>
      </c>
      <c r="D227">
        <v>3.20426354311416</v>
      </c>
    </row>
    <row r="228" spans="2:4" x14ac:dyDescent="0.2">
      <c r="B228" s="6">
        <v>41890</v>
      </c>
      <c r="C228" t="s">
        <v>31</v>
      </c>
      <c r="D228">
        <v>3.1760802516618698</v>
      </c>
    </row>
    <row r="229" spans="2:4" x14ac:dyDescent="0.2">
      <c r="B229" s="6">
        <v>41887</v>
      </c>
      <c r="C229" t="s">
        <v>31</v>
      </c>
      <c r="D229">
        <v>3.1681849384338299</v>
      </c>
    </row>
    <row r="230" spans="2:4" x14ac:dyDescent="0.2">
      <c r="B230" s="6">
        <v>41886</v>
      </c>
      <c r="C230" t="s">
        <v>31</v>
      </c>
      <c r="D230">
        <v>3.1528316914569898</v>
      </c>
    </row>
    <row r="231" spans="2:4" x14ac:dyDescent="0.2">
      <c r="B231" s="6">
        <v>41885</v>
      </c>
      <c r="C231" t="s">
        <v>31</v>
      </c>
      <c r="D231">
        <v>3.1253552915520499</v>
      </c>
    </row>
    <row r="232" spans="2:4" x14ac:dyDescent="0.2">
      <c r="B232" s="6">
        <v>41884</v>
      </c>
      <c r="C232" t="s">
        <v>31</v>
      </c>
      <c r="D232">
        <v>3.1334692922129599</v>
      </c>
    </row>
    <row r="233" spans="2:4" x14ac:dyDescent="0.2">
      <c r="B233" s="6">
        <v>41880</v>
      </c>
      <c r="C233" t="s">
        <v>31</v>
      </c>
      <c r="D233">
        <v>3.0803371977218901</v>
      </c>
    </row>
    <row r="234" spans="2:4" x14ac:dyDescent="0.2">
      <c r="B234" s="6">
        <v>41879</v>
      </c>
      <c r="C234" t="s">
        <v>31</v>
      </c>
      <c r="D234">
        <v>3.0781225342059799</v>
      </c>
    </row>
    <row r="235" spans="2:4" x14ac:dyDescent="0.2">
      <c r="B235" s="6">
        <v>41878</v>
      </c>
      <c r="C235" t="s">
        <v>31</v>
      </c>
      <c r="D235">
        <v>3.09887022841253</v>
      </c>
    </row>
    <row r="236" spans="2:4" x14ac:dyDescent="0.2">
      <c r="B236" s="6">
        <v>41877</v>
      </c>
      <c r="C236" t="s">
        <v>31</v>
      </c>
      <c r="D236">
        <v>3.12943696082093</v>
      </c>
    </row>
    <row r="237" spans="2:4" x14ac:dyDescent="0.2">
      <c r="B237" s="6">
        <v>41876</v>
      </c>
      <c r="C237" t="s">
        <v>31</v>
      </c>
      <c r="D237">
        <v>3.1385592562937199</v>
      </c>
    </row>
    <row r="238" spans="2:4" x14ac:dyDescent="0.2">
      <c r="B238" s="6">
        <v>41873</v>
      </c>
      <c r="C238" t="s">
        <v>31</v>
      </c>
      <c r="D238">
        <v>3.1508216358267802</v>
      </c>
    </row>
    <row r="239" spans="2:4" x14ac:dyDescent="0.2">
      <c r="B239" s="6">
        <v>41872</v>
      </c>
      <c r="C239" t="s">
        <v>31</v>
      </c>
      <c r="D239">
        <v>3.1567795766011701</v>
      </c>
    </row>
    <row r="240" spans="2:4" x14ac:dyDescent="0.2">
      <c r="B240" s="6">
        <v>41871</v>
      </c>
      <c r="C240" t="s">
        <v>31</v>
      </c>
      <c r="D240">
        <v>3.1828839679523702</v>
      </c>
    </row>
    <row r="241" spans="2:4" x14ac:dyDescent="0.2">
      <c r="B241" s="6">
        <v>41870</v>
      </c>
      <c r="C241" t="s">
        <v>31</v>
      </c>
      <c r="D241">
        <v>3.1648384217316798</v>
      </c>
    </row>
    <row r="242" spans="2:4" x14ac:dyDescent="0.2">
      <c r="B242" s="6">
        <v>41869</v>
      </c>
      <c r="C242" t="s">
        <v>31</v>
      </c>
      <c r="D242">
        <v>3.1399786597886301</v>
      </c>
    </row>
    <row r="243" spans="2:4" x14ac:dyDescent="0.2">
      <c r="B243" s="6">
        <v>41866</v>
      </c>
      <c r="C243" t="s">
        <v>31</v>
      </c>
      <c r="D243">
        <v>3.0935764216510502</v>
      </c>
    </row>
    <row r="244" spans="2:4" x14ac:dyDescent="0.2">
      <c r="B244" s="6">
        <v>41865</v>
      </c>
      <c r="C244" t="s">
        <v>31</v>
      </c>
      <c r="D244">
        <v>3.1399551635126901</v>
      </c>
    </row>
    <row r="245" spans="2:4" x14ac:dyDescent="0.2">
      <c r="B245" s="6">
        <v>41864</v>
      </c>
      <c r="C245" t="s">
        <v>31</v>
      </c>
      <c r="D245">
        <v>3.1611594965890202</v>
      </c>
    </row>
    <row r="246" spans="2:4" x14ac:dyDescent="0.2">
      <c r="B246" s="6">
        <v>41863</v>
      </c>
      <c r="C246" t="s">
        <v>31</v>
      </c>
      <c r="D246">
        <v>3.1921232293895798</v>
      </c>
    </row>
    <row r="247" spans="2:4" x14ac:dyDescent="0.2">
      <c r="B247" s="6">
        <v>41862</v>
      </c>
      <c r="C247" t="s">
        <v>31</v>
      </c>
      <c r="D247">
        <v>3.1826449451887</v>
      </c>
    </row>
    <row r="248" spans="2:4" x14ac:dyDescent="0.2">
      <c r="B248" s="6">
        <v>41859</v>
      </c>
      <c r="C248" t="s">
        <v>31</v>
      </c>
      <c r="D248">
        <v>3.1721768972748698</v>
      </c>
    </row>
    <row r="249" spans="2:4" x14ac:dyDescent="0.2">
      <c r="B249" s="6">
        <v>41858</v>
      </c>
      <c r="C249" t="s">
        <v>31</v>
      </c>
      <c r="D249">
        <v>3.1812952620623198</v>
      </c>
    </row>
    <row r="250" spans="2:4" x14ac:dyDescent="0.2">
      <c r="B250" s="6">
        <v>41857</v>
      </c>
      <c r="C250" t="s">
        <v>31</v>
      </c>
      <c r="D250">
        <v>3.2168042301856699</v>
      </c>
    </row>
    <row r="251" spans="2:4" x14ac:dyDescent="0.2">
      <c r="B251" s="6">
        <v>41856</v>
      </c>
      <c r="C251" t="s">
        <v>31</v>
      </c>
      <c r="D251">
        <v>3.21632428795722</v>
      </c>
    </row>
    <row r="252" spans="2:4" x14ac:dyDescent="0.2">
      <c r="B252" s="6">
        <v>41855</v>
      </c>
      <c r="C252" t="s">
        <v>31</v>
      </c>
      <c r="D252">
        <v>3.2178217897536898</v>
      </c>
    </row>
    <row r="253" spans="2:4" x14ac:dyDescent="0.2">
      <c r="B253" s="6">
        <v>41852</v>
      </c>
      <c r="C253" t="s">
        <v>31</v>
      </c>
      <c r="D253">
        <v>3.2284236378811801</v>
      </c>
    </row>
    <row r="254" spans="2:4" x14ac:dyDescent="0.2">
      <c r="B254" s="6">
        <v>41851</v>
      </c>
      <c r="C254" t="s">
        <v>31</v>
      </c>
      <c r="D254">
        <v>3.2761065930147799</v>
      </c>
    </row>
    <row r="255" spans="2:4" x14ac:dyDescent="0.2">
      <c r="B255" s="6">
        <v>41850</v>
      </c>
      <c r="C255" t="s">
        <v>31</v>
      </c>
      <c r="D255">
        <v>3.2657922043638301</v>
      </c>
    </row>
    <row r="256" spans="2:4" x14ac:dyDescent="0.2">
      <c r="B256" s="6">
        <v>41849</v>
      </c>
      <c r="C256" t="s">
        <v>31</v>
      </c>
      <c r="D256">
        <v>3.1823757597493798</v>
      </c>
    </row>
    <row r="257" spans="2:4" x14ac:dyDescent="0.2">
      <c r="B257" s="6">
        <v>41848</v>
      </c>
      <c r="C257" t="s">
        <v>31</v>
      </c>
      <c r="D257">
        <v>3.2049602013827001</v>
      </c>
    </row>
    <row r="258" spans="2:4" x14ac:dyDescent="0.2">
      <c r="B258" s="6">
        <v>41845</v>
      </c>
      <c r="C258" t="s">
        <v>31</v>
      </c>
      <c r="D258">
        <v>3.1915306555493599</v>
      </c>
    </row>
    <row r="259" spans="2:4" x14ac:dyDescent="0.2">
      <c r="B259" s="6">
        <v>41844</v>
      </c>
      <c r="C259" t="s">
        <v>31</v>
      </c>
      <c r="D259">
        <v>3.2359256063250199</v>
      </c>
    </row>
    <row r="260" spans="2:4" x14ac:dyDescent="0.2">
      <c r="B260" s="6">
        <v>41843</v>
      </c>
      <c r="C260" t="s">
        <v>31</v>
      </c>
      <c r="D260">
        <v>3.18443166753908</v>
      </c>
    </row>
    <row r="261" spans="2:4" x14ac:dyDescent="0.2">
      <c r="B261" s="6">
        <v>41842</v>
      </c>
      <c r="C261" t="s">
        <v>31</v>
      </c>
      <c r="D261">
        <v>3.1713427686584299</v>
      </c>
    </row>
    <row r="262" spans="2:4" x14ac:dyDescent="0.2">
      <c r="B262" s="6">
        <v>41841</v>
      </c>
      <c r="C262" t="s">
        <v>31</v>
      </c>
      <c r="D262">
        <v>3.1797287048205698</v>
      </c>
    </row>
    <row r="263" spans="2:4" x14ac:dyDescent="0.2">
      <c r="B263" s="6">
        <v>41838</v>
      </c>
      <c r="C263" t="s">
        <v>31</v>
      </c>
      <c r="D263">
        <v>3.1834552504580702</v>
      </c>
    </row>
    <row r="264" spans="2:4" x14ac:dyDescent="0.2">
      <c r="B264" s="6">
        <v>41837</v>
      </c>
      <c r="C264" t="s">
        <v>31</v>
      </c>
      <c r="D264">
        <v>3.1839990162061</v>
      </c>
    </row>
    <row r="265" spans="2:4" x14ac:dyDescent="0.2">
      <c r="B265" s="6">
        <v>41836</v>
      </c>
      <c r="C265" t="s">
        <v>31</v>
      </c>
      <c r="D265">
        <v>3.23587971649664</v>
      </c>
    </row>
    <row r="266" spans="2:4" x14ac:dyDescent="0.2">
      <c r="B266" s="6">
        <v>41835</v>
      </c>
      <c r="C266" t="s">
        <v>31</v>
      </c>
      <c r="D266">
        <v>3.2327612765480098</v>
      </c>
    </row>
    <row r="267" spans="2:4" x14ac:dyDescent="0.2">
      <c r="B267" s="6">
        <v>41834</v>
      </c>
      <c r="C267" t="s">
        <v>31</v>
      </c>
      <c r="D267">
        <v>3.22381281335216</v>
      </c>
    </row>
    <row r="268" spans="2:4" x14ac:dyDescent="0.2">
      <c r="B268" s="6">
        <v>41831</v>
      </c>
      <c r="C268" t="s">
        <v>31</v>
      </c>
      <c r="D268">
        <v>3.1874045932907902</v>
      </c>
    </row>
    <row r="269" spans="2:4" x14ac:dyDescent="0.2">
      <c r="B269" s="6">
        <v>41830</v>
      </c>
      <c r="C269" t="s">
        <v>31</v>
      </c>
      <c r="D269">
        <v>3.20098644724558</v>
      </c>
    </row>
    <row r="270" spans="2:4" x14ac:dyDescent="0.2">
      <c r="B270" s="6">
        <v>41829</v>
      </c>
      <c r="C270" t="s">
        <v>31</v>
      </c>
      <c r="D270">
        <v>3.2185084565507598</v>
      </c>
    </row>
    <row r="271" spans="2:4" x14ac:dyDescent="0.2">
      <c r="B271" s="6">
        <v>41828</v>
      </c>
      <c r="C271" t="s">
        <v>31</v>
      </c>
      <c r="D271">
        <v>3.2329417252497299</v>
      </c>
    </row>
    <row r="272" spans="2:4" x14ac:dyDescent="0.2">
      <c r="B272" s="6">
        <v>41827</v>
      </c>
      <c r="C272" t="s">
        <v>31</v>
      </c>
      <c r="D272">
        <v>3.2664759262762</v>
      </c>
    </row>
    <row r="273" spans="2:4" x14ac:dyDescent="0.2">
      <c r="B273" s="6">
        <v>41823</v>
      </c>
      <c r="C273" t="s">
        <v>31</v>
      </c>
      <c r="D273">
        <v>3.2816971853818702</v>
      </c>
    </row>
    <row r="274" spans="2:4" x14ac:dyDescent="0.2">
      <c r="B274" s="6">
        <v>41822</v>
      </c>
      <c r="C274" t="s">
        <v>31</v>
      </c>
      <c r="D274">
        <v>3.25804857470149</v>
      </c>
    </row>
    <row r="275" spans="2:4" x14ac:dyDescent="0.2">
      <c r="B275" s="6">
        <v>41821</v>
      </c>
      <c r="C275" t="s">
        <v>31</v>
      </c>
      <c r="D275">
        <v>3.2107808202984001</v>
      </c>
    </row>
    <row r="276" spans="2:4" x14ac:dyDescent="0.2">
      <c r="B276" s="6">
        <v>41820</v>
      </c>
      <c r="C276" t="s">
        <v>31</v>
      </c>
      <c r="D276">
        <v>3.16005861973392</v>
      </c>
    </row>
    <row r="277" spans="2:4" x14ac:dyDescent="0.2">
      <c r="B277" s="6">
        <v>41817</v>
      </c>
      <c r="C277" t="s">
        <v>31</v>
      </c>
      <c r="D277">
        <v>3.1723768258530498</v>
      </c>
    </row>
    <row r="278" spans="2:4" x14ac:dyDescent="0.2">
      <c r="B278" s="6">
        <v>41816</v>
      </c>
      <c r="C278" t="s">
        <v>31</v>
      </c>
      <c r="D278">
        <v>3.1705026484021301</v>
      </c>
    </row>
    <row r="279" spans="2:4" x14ac:dyDescent="0.2">
      <c r="B279" s="6">
        <v>41815</v>
      </c>
      <c r="C279" t="s">
        <v>31</v>
      </c>
      <c r="D279">
        <v>3.1948973800231402</v>
      </c>
    </row>
    <row r="280" spans="2:4" x14ac:dyDescent="0.2">
      <c r="B280" s="6">
        <v>41814</v>
      </c>
      <c r="C280" t="s">
        <v>31</v>
      </c>
      <c r="D280">
        <v>3.2180523990892298</v>
      </c>
    </row>
    <row r="281" spans="2:4" x14ac:dyDescent="0.2">
      <c r="B281" s="6">
        <v>41813</v>
      </c>
      <c r="C281" t="s">
        <v>31</v>
      </c>
      <c r="D281">
        <v>3.2420059350164898</v>
      </c>
    </row>
    <row r="282" spans="2:4" x14ac:dyDescent="0.2">
      <c r="B282" s="6">
        <v>41810</v>
      </c>
      <c r="C282" t="s">
        <v>31</v>
      </c>
      <c r="D282">
        <v>3.2387092672418598</v>
      </c>
    </row>
    <row r="283" spans="2:4" x14ac:dyDescent="0.2">
      <c r="B283" s="6">
        <v>41809</v>
      </c>
      <c r="C283" t="s">
        <v>31</v>
      </c>
      <c r="D283">
        <v>3.2406996477189098</v>
      </c>
    </row>
    <row r="284" spans="2:4" x14ac:dyDescent="0.2">
      <c r="B284" s="6">
        <v>41808</v>
      </c>
      <c r="C284" t="s">
        <v>31</v>
      </c>
      <c r="D284">
        <v>3.2554507349207298</v>
      </c>
    </row>
    <row r="285" spans="2:4" x14ac:dyDescent="0.2">
      <c r="B285" s="6">
        <v>41807</v>
      </c>
      <c r="C285" t="s">
        <v>31</v>
      </c>
      <c r="D285">
        <v>3.2955237008358602</v>
      </c>
    </row>
    <row r="286" spans="2:4" x14ac:dyDescent="0.2">
      <c r="B286" s="6">
        <v>41806</v>
      </c>
      <c r="C286" t="s">
        <v>31</v>
      </c>
      <c r="D286">
        <v>3.2401980086341502</v>
      </c>
    </row>
    <row r="287" spans="2:4" x14ac:dyDescent="0.2">
      <c r="B287" s="6">
        <v>41803</v>
      </c>
      <c r="C287" t="s">
        <v>31</v>
      </c>
      <c r="D287">
        <v>3.2532056158969298</v>
      </c>
    </row>
    <row r="288" spans="2:4" x14ac:dyDescent="0.2">
      <c r="B288" s="6">
        <v>41802</v>
      </c>
      <c r="C288" t="s">
        <v>31</v>
      </c>
      <c r="D288">
        <v>3.2368252535266899</v>
      </c>
    </row>
    <row r="289" spans="2:4" x14ac:dyDescent="0.2">
      <c r="B289" s="6">
        <v>41801</v>
      </c>
      <c r="C289" t="s">
        <v>31</v>
      </c>
      <c r="D289">
        <v>3.2835967922496798</v>
      </c>
    </row>
    <row r="290" spans="2:4" x14ac:dyDescent="0.2">
      <c r="B290" s="6">
        <v>41800</v>
      </c>
      <c r="C290" t="s">
        <v>31</v>
      </c>
      <c r="D290">
        <v>3.2863723435874199</v>
      </c>
    </row>
    <row r="291" spans="2:4" x14ac:dyDescent="0.2">
      <c r="B291" s="6">
        <v>41799</v>
      </c>
      <c r="C291" t="s">
        <v>31</v>
      </c>
      <c r="D291">
        <v>3.2647835350343399</v>
      </c>
    </row>
    <row r="292" spans="2:4" x14ac:dyDescent="0.2">
      <c r="B292" s="6">
        <v>41796</v>
      </c>
      <c r="C292" t="s">
        <v>31</v>
      </c>
      <c r="D292">
        <v>3.24953377621733</v>
      </c>
    </row>
    <row r="293" spans="2:4" x14ac:dyDescent="0.2">
      <c r="B293" s="6">
        <v>41795</v>
      </c>
      <c r="C293" t="s">
        <v>31</v>
      </c>
      <c r="D293">
        <v>3.2377628105001701</v>
      </c>
    </row>
    <row r="294" spans="2:4" x14ac:dyDescent="0.2">
      <c r="B294" s="6">
        <v>41794</v>
      </c>
      <c r="C294" t="s">
        <v>31</v>
      </c>
      <c r="D294">
        <v>3.2635254657079802</v>
      </c>
    </row>
    <row r="295" spans="2:4" x14ac:dyDescent="0.2">
      <c r="B295" s="6">
        <v>41793</v>
      </c>
      <c r="C295" t="s">
        <v>31</v>
      </c>
      <c r="D295">
        <v>3.2594551208520199</v>
      </c>
    </row>
    <row r="296" spans="2:4" x14ac:dyDescent="0.2">
      <c r="B296" s="6">
        <v>41792</v>
      </c>
      <c r="C296" t="s">
        <v>31</v>
      </c>
      <c r="D296">
        <v>3.2077358231055602</v>
      </c>
    </row>
    <row r="297" spans="2:4" x14ac:dyDescent="0.2">
      <c r="B297" s="6">
        <v>41789</v>
      </c>
      <c r="C297" t="s">
        <v>31</v>
      </c>
      <c r="D297">
        <v>3.1327170492887499</v>
      </c>
    </row>
    <row r="298" spans="2:4" x14ac:dyDescent="0.2">
      <c r="B298" s="6">
        <v>41788</v>
      </c>
      <c r="C298" t="s">
        <v>31</v>
      </c>
      <c r="D298">
        <v>3.12360003836893</v>
      </c>
    </row>
    <row r="299" spans="2:4" x14ac:dyDescent="0.2">
      <c r="B299" s="6">
        <v>41787</v>
      </c>
      <c r="C299" t="s">
        <v>31</v>
      </c>
      <c r="D299">
        <v>3.0965824543668101</v>
      </c>
    </row>
    <row r="300" spans="2:4" x14ac:dyDescent="0.2">
      <c r="B300" s="6">
        <v>41786</v>
      </c>
      <c r="C300" t="s">
        <v>31</v>
      </c>
      <c r="D300">
        <v>3.1863361498629699</v>
      </c>
    </row>
    <row r="301" spans="2:4" x14ac:dyDescent="0.2">
      <c r="B301" s="6">
        <v>41782</v>
      </c>
      <c r="C301" t="s">
        <v>31</v>
      </c>
      <c r="D301">
        <v>3.2062850314999101</v>
      </c>
    </row>
    <row r="302" spans="2:4" x14ac:dyDescent="0.2">
      <c r="B302" s="6">
        <v>41781</v>
      </c>
      <c r="C302" t="s">
        <v>31</v>
      </c>
      <c r="D302">
        <v>3.2144312113226099</v>
      </c>
    </row>
    <row r="303" spans="2:4" x14ac:dyDescent="0.2">
      <c r="B303" s="6">
        <v>41780</v>
      </c>
      <c r="C303" t="s">
        <v>31</v>
      </c>
      <c r="D303">
        <v>3.2003729321605299</v>
      </c>
    </row>
    <row r="304" spans="2:4" x14ac:dyDescent="0.2">
      <c r="B304" s="6">
        <v>41779</v>
      </c>
      <c r="C304" t="s">
        <v>31</v>
      </c>
      <c r="D304">
        <v>3.1906249352690699</v>
      </c>
    </row>
    <row r="305" spans="2:4" x14ac:dyDescent="0.2">
      <c r="B305" s="6">
        <v>41778</v>
      </c>
      <c r="C305" t="s">
        <v>31</v>
      </c>
      <c r="D305">
        <v>3.2249711814966302</v>
      </c>
    </row>
    <row r="306" spans="2:4" x14ac:dyDescent="0.2">
      <c r="B306" s="6">
        <v>41775</v>
      </c>
      <c r="C306" t="s">
        <v>31</v>
      </c>
      <c r="D306">
        <v>3.2071722937792901</v>
      </c>
    </row>
    <row r="307" spans="2:4" x14ac:dyDescent="0.2">
      <c r="B307" s="6">
        <v>41774</v>
      </c>
      <c r="C307" t="s">
        <v>31</v>
      </c>
      <c r="D307">
        <v>3.1795097734540301</v>
      </c>
    </row>
    <row r="308" spans="2:4" x14ac:dyDescent="0.2">
      <c r="B308" s="6">
        <v>41773</v>
      </c>
      <c r="C308" t="s">
        <v>31</v>
      </c>
      <c r="D308">
        <v>3.1970892272743101</v>
      </c>
    </row>
    <row r="309" spans="2:4" x14ac:dyDescent="0.2">
      <c r="B309" s="6">
        <v>41772</v>
      </c>
      <c r="C309" t="s">
        <v>31</v>
      </c>
      <c r="D309">
        <v>3.2728026621506001</v>
      </c>
    </row>
    <row r="310" spans="2:4" x14ac:dyDescent="0.2">
      <c r="B310" s="6">
        <v>41771</v>
      </c>
      <c r="C310" t="s">
        <v>31</v>
      </c>
      <c r="D310">
        <v>3.2957313796738501</v>
      </c>
    </row>
    <row r="311" spans="2:4" x14ac:dyDescent="0.2">
      <c r="B311" s="6">
        <v>41768</v>
      </c>
      <c r="C311" t="s">
        <v>31</v>
      </c>
      <c r="D311">
        <v>3.26793441628852</v>
      </c>
    </row>
    <row r="312" spans="2:4" x14ac:dyDescent="0.2">
      <c r="B312" s="6">
        <v>41767</v>
      </c>
      <c r="C312" t="s">
        <v>31</v>
      </c>
      <c r="D312">
        <v>3.2302009300383201</v>
      </c>
    </row>
    <row r="313" spans="2:4" x14ac:dyDescent="0.2">
      <c r="B313" s="6">
        <v>41766</v>
      </c>
      <c r="C313" t="s">
        <v>31</v>
      </c>
      <c r="D313">
        <v>3.2365593112173601</v>
      </c>
    </row>
    <row r="314" spans="2:4" x14ac:dyDescent="0.2">
      <c r="B314" s="6">
        <v>41765</v>
      </c>
      <c r="C314" t="s">
        <v>31</v>
      </c>
      <c r="D314">
        <v>3.2676928756403698</v>
      </c>
    </row>
    <row r="315" spans="2:4" x14ac:dyDescent="0.2">
      <c r="B315" s="6">
        <v>41764</v>
      </c>
      <c r="C315" t="s">
        <v>31</v>
      </c>
      <c r="D315">
        <v>3.28849941945206</v>
      </c>
    </row>
    <row r="316" spans="2:4" x14ac:dyDescent="0.2">
      <c r="B316" s="6">
        <v>41761</v>
      </c>
      <c r="C316" t="s">
        <v>31</v>
      </c>
      <c r="D316">
        <v>3.27582122809376</v>
      </c>
    </row>
    <row r="317" spans="2:4" x14ac:dyDescent="0.2">
      <c r="B317" s="6">
        <v>41760</v>
      </c>
      <c r="C317" t="s">
        <v>31</v>
      </c>
      <c r="D317">
        <v>3.2875255326595201</v>
      </c>
    </row>
    <row r="318" spans="2:4" x14ac:dyDescent="0.2">
      <c r="B318" s="6">
        <v>41759</v>
      </c>
      <c r="C318" t="s">
        <v>31</v>
      </c>
      <c r="D318">
        <v>3.3274269650204</v>
      </c>
    </row>
    <row r="319" spans="2:4" x14ac:dyDescent="0.2">
      <c r="B319" s="6">
        <v>41758</v>
      </c>
      <c r="C319" t="s">
        <v>31</v>
      </c>
      <c r="D319">
        <v>3.3733743387763999</v>
      </c>
    </row>
    <row r="320" spans="2:4" x14ac:dyDescent="0.2">
      <c r="B320" s="6">
        <v>41757</v>
      </c>
      <c r="C320" t="s">
        <v>31</v>
      </c>
      <c r="D320">
        <v>3.3514611406408399</v>
      </c>
    </row>
    <row r="321" spans="2:4" x14ac:dyDescent="0.2">
      <c r="B321" s="6">
        <v>41754</v>
      </c>
      <c r="C321" t="s">
        <v>31</v>
      </c>
      <c r="D321">
        <v>3.34407232938596</v>
      </c>
    </row>
    <row r="322" spans="2:4" x14ac:dyDescent="0.2">
      <c r="B322" s="6">
        <v>41753</v>
      </c>
      <c r="C322" t="s">
        <v>31</v>
      </c>
      <c r="D322">
        <v>3.3653149178353798</v>
      </c>
    </row>
    <row r="323" spans="2:4" x14ac:dyDescent="0.2">
      <c r="B323" s="6">
        <v>41752</v>
      </c>
      <c r="C323" t="s">
        <v>31</v>
      </c>
      <c r="D323">
        <v>3.3712594555921802</v>
      </c>
    </row>
    <row r="324" spans="2:4" x14ac:dyDescent="0.2">
      <c r="B324" s="6">
        <v>41751</v>
      </c>
      <c r="C324" t="s">
        <v>31</v>
      </c>
      <c r="D324">
        <v>3.41581155049382</v>
      </c>
    </row>
    <row r="325" spans="2:4" x14ac:dyDescent="0.2">
      <c r="B325" s="6">
        <v>41750</v>
      </c>
      <c r="C325" t="s">
        <v>31</v>
      </c>
      <c r="D325">
        <v>3.4214944697037502</v>
      </c>
    </row>
    <row r="326" spans="2:4" x14ac:dyDescent="0.2">
      <c r="B326" s="6">
        <v>41746</v>
      </c>
      <c r="C326" t="s">
        <v>31</v>
      </c>
      <c r="D326">
        <v>3.40802093158428</v>
      </c>
    </row>
    <row r="327" spans="2:4" x14ac:dyDescent="0.2">
      <c r="B327" s="6">
        <v>41745</v>
      </c>
      <c r="C327" t="s">
        <v>31</v>
      </c>
      <c r="D327">
        <v>3.35080102179215</v>
      </c>
    </row>
    <row r="328" spans="2:4" x14ac:dyDescent="0.2">
      <c r="B328" s="6">
        <v>41744</v>
      </c>
      <c r="C328" t="s">
        <v>31</v>
      </c>
      <c r="D328">
        <v>3.33793129587505</v>
      </c>
    </row>
    <row r="329" spans="2:4" x14ac:dyDescent="0.2">
      <c r="B329" s="6">
        <v>41743</v>
      </c>
      <c r="C329" t="s">
        <v>31</v>
      </c>
      <c r="D329">
        <v>3.3408272423510099</v>
      </c>
    </row>
    <row r="330" spans="2:4" x14ac:dyDescent="0.2">
      <c r="B330" s="6">
        <v>41740</v>
      </c>
      <c r="C330" t="s">
        <v>31</v>
      </c>
      <c r="D330">
        <v>3.31617276522991</v>
      </c>
    </row>
    <row r="331" spans="2:4" x14ac:dyDescent="0.2">
      <c r="B331" s="6">
        <v>41739</v>
      </c>
      <c r="C331" t="s">
        <v>31</v>
      </c>
      <c r="D331">
        <v>3.3155243251593798</v>
      </c>
    </row>
    <row r="332" spans="2:4" x14ac:dyDescent="0.2">
      <c r="B332" s="6">
        <v>41738</v>
      </c>
      <c r="C332" t="s">
        <v>31</v>
      </c>
      <c r="D332">
        <v>3.3750941774744798</v>
      </c>
    </row>
    <row r="333" spans="2:4" x14ac:dyDescent="0.2">
      <c r="B333" s="6">
        <v>41737</v>
      </c>
      <c r="C333" t="s">
        <v>31</v>
      </c>
      <c r="D333">
        <v>3.3731827621311399</v>
      </c>
    </row>
    <row r="334" spans="2:4" x14ac:dyDescent="0.2">
      <c r="B334" s="6">
        <v>41736</v>
      </c>
      <c r="C334" t="s">
        <v>31</v>
      </c>
      <c r="D334">
        <v>3.39509627944707</v>
      </c>
    </row>
    <row r="335" spans="2:4" x14ac:dyDescent="0.2">
      <c r="B335" s="6">
        <v>41733</v>
      </c>
      <c r="C335" t="s">
        <v>31</v>
      </c>
      <c r="D335">
        <v>3.4295560527023699</v>
      </c>
    </row>
    <row r="336" spans="2:4" x14ac:dyDescent="0.2">
      <c r="B336" s="6">
        <v>41732</v>
      </c>
      <c r="C336" t="s">
        <v>31</v>
      </c>
      <c r="D336">
        <v>3.4840318134841599</v>
      </c>
    </row>
    <row r="337" spans="2:4" x14ac:dyDescent="0.2">
      <c r="B337" s="6">
        <v>41731</v>
      </c>
      <c r="C337" t="s">
        <v>31</v>
      </c>
      <c r="D337">
        <v>3.5066269417846301</v>
      </c>
    </row>
    <row r="338" spans="2:4" x14ac:dyDescent="0.2">
      <c r="B338" s="6">
        <v>41730</v>
      </c>
      <c r="C338" t="s">
        <v>31</v>
      </c>
      <c r="D338">
        <v>3.4727016332033198</v>
      </c>
    </row>
    <row r="339" spans="2:4" x14ac:dyDescent="0.2">
      <c r="B339" s="6">
        <v>41729</v>
      </c>
      <c r="C339" t="s">
        <v>31</v>
      </c>
      <c r="D339">
        <v>3.44685935064701</v>
      </c>
    </row>
    <row r="340" spans="2:4" x14ac:dyDescent="0.2">
      <c r="B340" s="6">
        <v>41726</v>
      </c>
      <c r="C340" t="s">
        <v>31</v>
      </c>
      <c r="D340">
        <v>3.4306094277170498</v>
      </c>
    </row>
    <row r="341" spans="2:4" x14ac:dyDescent="0.2">
      <c r="B341" s="6">
        <v>41725</v>
      </c>
      <c r="C341" t="s">
        <v>31</v>
      </c>
      <c r="D341">
        <v>3.4052671978447102</v>
      </c>
    </row>
    <row r="342" spans="2:4" x14ac:dyDescent="0.2">
      <c r="B342" s="6">
        <v>41724</v>
      </c>
      <c r="C342" t="s">
        <v>31</v>
      </c>
      <c r="D342">
        <v>3.4217405544715098</v>
      </c>
    </row>
    <row r="343" spans="2:4" x14ac:dyDescent="0.2">
      <c r="B343" s="6">
        <v>41723</v>
      </c>
      <c r="C343" t="s">
        <v>31</v>
      </c>
      <c r="D343">
        <v>3.4519694257459901</v>
      </c>
    </row>
    <row r="344" spans="2:4" x14ac:dyDescent="0.2">
      <c r="B344" s="6">
        <v>41722</v>
      </c>
      <c r="C344" t="s">
        <v>31</v>
      </c>
      <c r="D344">
        <v>3.45266754883475</v>
      </c>
    </row>
    <row r="345" spans="2:4" x14ac:dyDescent="0.2">
      <c r="B345" s="6">
        <v>41719</v>
      </c>
      <c r="C345" t="s">
        <v>31</v>
      </c>
      <c r="D345">
        <v>3.4523536219729101</v>
      </c>
    </row>
    <row r="346" spans="2:4" x14ac:dyDescent="0.2">
      <c r="B346" s="6">
        <v>41718</v>
      </c>
      <c r="C346" t="s">
        <v>31</v>
      </c>
      <c r="D346">
        <v>3.4858096996422701</v>
      </c>
    </row>
    <row r="347" spans="2:4" x14ac:dyDescent="0.2">
      <c r="B347" s="6">
        <v>41717</v>
      </c>
      <c r="C347" t="s">
        <v>31</v>
      </c>
      <c r="D347">
        <v>3.4724096295378999</v>
      </c>
    </row>
    <row r="348" spans="2:4" x14ac:dyDescent="0.2">
      <c r="B348" s="6">
        <v>41716</v>
      </c>
      <c r="C348" t="s">
        <v>31</v>
      </c>
      <c r="D348">
        <v>3.3942283451593398</v>
      </c>
    </row>
    <row r="349" spans="2:4" x14ac:dyDescent="0.2">
      <c r="B349" s="6">
        <v>41715</v>
      </c>
      <c r="C349" t="s">
        <v>31</v>
      </c>
      <c r="D349">
        <v>3.4174617229589801</v>
      </c>
    </row>
    <row r="350" spans="2:4" x14ac:dyDescent="0.2">
      <c r="B350" s="6">
        <v>41712</v>
      </c>
      <c r="C350" t="s">
        <v>31</v>
      </c>
      <c r="D350">
        <v>3.3634875299273701</v>
      </c>
    </row>
    <row r="351" spans="2:4" x14ac:dyDescent="0.2">
      <c r="B351" s="6">
        <v>41711</v>
      </c>
      <c r="C351" t="s">
        <v>31</v>
      </c>
      <c r="D351">
        <v>3.34843875975199</v>
      </c>
    </row>
    <row r="352" spans="2:4" x14ac:dyDescent="0.2">
      <c r="B352" s="6">
        <v>41710</v>
      </c>
      <c r="C352" t="s">
        <v>31</v>
      </c>
      <c r="D352">
        <v>3.4085893370598099</v>
      </c>
    </row>
    <row r="353" spans="2:4" x14ac:dyDescent="0.2">
      <c r="B353" s="6">
        <v>41709</v>
      </c>
      <c r="C353" t="s">
        <v>31</v>
      </c>
      <c r="D353">
        <v>3.4438493655509599</v>
      </c>
    </row>
    <row r="354" spans="2:4" x14ac:dyDescent="0.2">
      <c r="B354" s="6">
        <v>41708</v>
      </c>
      <c r="C354" t="s">
        <v>31</v>
      </c>
      <c r="D354">
        <v>3.4465671397565498</v>
      </c>
    </row>
    <row r="355" spans="2:4" x14ac:dyDescent="0.2">
      <c r="B355" s="6">
        <v>41705</v>
      </c>
      <c r="C355" t="s">
        <v>31</v>
      </c>
      <c r="D355">
        <v>3.4613667705973898</v>
      </c>
    </row>
    <row r="356" spans="2:4" x14ac:dyDescent="0.2">
      <c r="B356" s="6">
        <v>41704</v>
      </c>
      <c r="C356" t="s">
        <v>31</v>
      </c>
      <c r="D356">
        <v>3.4237035729301399</v>
      </c>
    </row>
    <row r="357" spans="2:4" x14ac:dyDescent="0.2">
      <c r="B357" s="6">
        <v>41703</v>
      </c>
      <c r="C357" t="s">
        <v>31</v>
      </c>
      <c r="D357">
        <v>3.40151851180392</v>
      </c>
    </row>
    <row r="358" spans="2:4" x14ac:dyDescent="0.2">
      <c r="B358" s="6">
        <v>41702</v>
      </c>
      <c r="C358" t="s">
        <v>31</v>
      </c>
      <c r="D358">
        <v>3.3983132593490502</v>
      </c>
    </row>
    <row r="359" spans="2:4" x14ac:dyDescent="0.2">
      <c r="B359" s="6">
        <v>41701</v>
      </c>
      <c r="C359" t="s">
        <v>31</v>
      </c>
      <c r="D359">
        <v>3.32529881785555</v>
      </c>
    </row>
    <row r="360" spans="2:4" x14ac:dyDescent="0.2">
      <c r="B360" s="6">
        <v>41698</v>
      </c>
      <c r="C360" t="s">
        <v>31</v>
      </c>
      <c r="D360">
        <v>3.3514861848067001</v>
      </c>
    </row>
    <row r="361" spans="2:4" x14ac:dyDescent="0.2">
      <c r="B361" s="6">
        <v>41697</v>
      </c>
      <c r="C361" t="s">
        <v>31</v>
      </c>
      <c r="D361">
        <v>3.3370205659412702</v>
      </c>
    </row>
    <row r="362" spans="2:4" x14ac:dyDescent="0.2">
      <c r="B362" s="6">
        <v>41696</v>
      </c>
      <c r="C362" t="s">
        <v>31</v>
      </c>
      <c r="D362">
        <v>3.36185561650391</v>
      </c>
    </row>
    <row r="363" spans="2:4" x14ac:dyDescent="0.2">
      <c r="B363" s="6">
        <v>41695</v>
      </c>
      <c r="C363" t="s">
        <v>31</v>
      </c>
      <c r="D363">
        <v>3.3762483730993802</v>
      </c>
    </row>
    <row r="364" spans="2:4" x14ac:dyDescent="0.2">
      <c r="B364" s="6">
        <v>41694</v>
      </c>
      <c r="C364" t="s">
        <v>31</v>
      </c>
      <c r="D364">
        <v>3.4298763218774999</v>
      </c>
    </row>
    <row r="365" spans="2:4" x14ac:dyDescent="0.2">
      <c r="B365" s="6">
        <v>41691</v>
      </c>
      <c r="C365" t="s">
        <v>31</v>
      </c>
      <c r="D365">
        <v>3.4238152467223899</v>
      </c>
    </row>
    <row r="366" spans="2:4" x14ac:dyDescent="0.2">
      <c r="B366" s="6">
        <v>41690</v>
      </c>
      <c r="C366" t="s">
        <v>31</v>
      </c>
      <c r="D366">
        <v>3.4409874974018302</v>
      </c>
    </row>
    <row r="367" spans="2:4" x14ac:dyDescent="0.2">
      <c r="B367" s="6">
        <v>41689</v>
      </c>
      <c r="C367" t="s">
        <v>31</v>
      </c>
      <c r="D367">
        <v>3.4208462339079002</v>
      </c>
    </row>
    <row r="368" spans="2:4" x14ac:dyDescent="0.2">
      <c r="B368" s="6">
        <v>41688</v>
      </c>
      <c r="C368" t="s">
        <v>31</v>
      </c>
      <c r="D368">
        <v>3.4022510541238402</v>
      </c>
    </row>
    <row r="369" spans="2:4" x14ac:dyDescent="0.2">
      <c r="B369" s="6">
        <v>41684</v>
      </c>
      <c r="C369" t="s">
        <v>31</v>
      </c>
      <c r="D369">
        <v>3.42404687499962</v>
      </c>
    </row>
    <row r="370" spans="2:4" x14ac:dyDescent="0.2">
      <c r="B370" s="6">
        <v>41683</v>
      </c>
      <c r="C370" t="s">
        <v>31</v>
      </c>
      <c r="D370">
        <v>3.3963820586764299</v>
      </c>
    </row>
    <row r="371" spans="2:4" x14ac:dyDescent="0.2">
      <c r="B371" s="6">
        <v>41682</v>
      </c>
      <c r="C371" t="s">
        <v>31</v>
      </c>
      <c r="D371">
        <v>3.4367814236357002</v>
      </c>
    </row>
    <row r="372" spans="2:4" x14ac:dyDescent="0.2">
      <c r="B372" s="6">
        <v>41681</v>
      </c>
      <c r="C372" t="s">
        <v>31</v>
      </c>
      <c r="D372">
        <v>3.3874003692749199</v>
      </c>
    </row>
    <row r="373" spans="2:4" x14ac:dyDescent="0.2">
      <c r="B373" s="6">
        <v>41680</v>
      </c>
      <c r="C373" t="s">
        <v>31</v>
      </c>
      <c r="D373">
        <v>3.34761054294983</v>
      </c>
    </row>
    <row r="374" spans="2:4" x14ac:dyDescent="0.2">
      <c r="B374" s="6">
        <v>41677</v>
      </c>
      <c r="C374" t="s">
        <v>31</v>
      </c>
      <c r="D374">
        <v>3.34300170180666</v>
      </c>
    </row>
    <row r="375" spans="2:4" x14ac:dyDescent="0.2">
      <c r="B375" s="6">
        <v>41676</v>
      </c>
      <c r="C375" t="s">
        <v>31</v>
      </c>
      <c r="D375">
        <v>3.3799296471468399</v>
      </c>
    </row>
    <row r="376" spans="2:4" x14ac:dyDescent="0.2">
      <c r="B376" s="6">
        <v>41675</v>
      </c>
      <c r="C376" t="s">
        <v>31</v>
      </c>
      <c r="D376">
        <v>3.3584090078904199</v>
      </c>
    </row>
    <row r="377" spans="2:4" x14ac:dyDescent="0.2">
      <c r="B377" s="6">
        <v>41674</v>
      </c>
      <c r="C377" t="s">
        <v>31</v>
      </c>
      <c r="D377">
        <v>3.3111616483337998</v>
      </c>
    </row>
    <row r="378" spans="2:4" x14ac:dyDescent="0.2">
      <c r="B378" s="6">
        <v>41673</v>
      </c>
      <c r="C378" t="s">
        <v>31</v>
      </c>
      <c r="D378">
        <v>3.2710992042590501</v>
      </c>
    </row>
    <row r="379" spans="2:4" x14ac:dyDescent="0.2">
      <c r="B379" s="6">
        <v>41670</v>
      </c>
      <c r="C379" t="s">
        <v>31</v>
      </c>
      <c r="D379">
        <v>3.3406752567006799</v>
      </c>
    </row>
    <row r="380" spans="2:4" x14ac:dyDescent="0.2">
      <c r="B380" s="6">
        <v>41669</v>
      </c>
      <c r="C380" t="s">
        <v>31</v>
      </c>
      <c r="D380">
        <v>3.3710250871978902</v>
      </c>
    </row>
    <row r="381" spans="2:4" x14ac:dyDescent="0.2">
      <c r="B381" s="6">
        <v>41668</v>
      </c>
      <c r="C381" t="s">
        <v>31</v>
      </c>
      <c r="D381">
        <v>3.3611475085431901</v>
      </c>
    </row>
    <row r="382" spans="2:4" x14ac:dyDescent="0.2">
      <c r="B382" s="6">
        <v>41667</v>
      </c>
      <c r="C382" t="s">
        <v>31</v>
      </c>
      <c r="D382">
        <v>3.4146699129436402</v>
      </c>
    </row>
    <row r="383" spans="2:4" x14ac:dyDescent="0.2">
      <c r="B383" s="6">
        <v>41666</v>
      </c>
      <c r="C383" t="s">
        <v>31</v>
      </c>
      <c r="D383">
        <v>3.4248929817112499</v>
      </c>
    </row>
    <row r="384" spans="2:4" x14ac:dyDescent="0.2">
      <c r="B384" s="6">
        <v>41663</v>
      </c>
      <c r="C384" t="s">
        <v>31</v>
      </c>
      <c r="D384">
        <v>3.3821795348389898</v>
      </c>
    </row>
    <row r="385" spans="2:4" x14ac:dyDescent="0.2">
      <c r="B385" s="6">
        <v>41662</v>
      </c>
      <c r="C385" t="s">
        <v>31</v>
      </c>
      <c r="D385">
        <v>3.42598487814407</v>
      </c>
    </row>
    <row r="386" spans="2:4" x14ac:dyDescent="0.2">
      <c r="B386" s="6">
        <v>41661</v>
      </c>
      <c r="C386" t="s">
        <v>31</v>
      </c>
      <c r="D386">
        <v>3.4813003413665098</v>
      </c>
    </row>
    <row r="387" spans="2:4" x14ac:dyDescent="0.2">
      <c r="B387" s="6">
        <v>41660</v>
      </c>
      <c r="C387" t="s">
        <v>31</v>
      </c>
      <c r="D387">
        <v>3.4306167460721202</v>
      </c>
    </row>
    <row r="388" spans="2:4" x14ac:dyDescent="0.2">
      <c r="B388" s="6">
        <v>41656</v>
      </c>
      <c r="C388" t="s">
        <v>31</v>
      </c>
      <c r="D388">
        <v>3.4370844050238198</v>
      </c>
    </row>
    <row r="389" spans="2:4" x14ac:dyDescent="0.2">
      <c r="B389" s="6">
        <v>41655</v>
      </c>
      <c r="C389" t="s">
        <v>31</v>
      </c>
      <c r="D389">
        <v>3.4570560243786002</v>
      </c>
    </row>
    <row r="390" spans="2:4" x14ac:dyDescent="0.2">
      <c r="B390" s="6">
        <v>41654</v>
      </c>
      <c r="C390" t="s">
        <v>31</v>
      </c>
      <c r="D390">
        <v>3.4947799465752998</v>
      </c>
    </row>
    <row r="391" spans="2:4" x14ac:dyDescent="0.2">
      <c r="B391" s="6">
        <v>41653</v>
      </c>
      <c r="C391" t="s">
        <v>31</v>
      </c>
      <c r="D391">
        <v>3.4834111891672799</v>
      </c>
    </row>
    <row r="392" spans="2:4" x14ac:dyDescent="0.2">
      <c r="B392" s="6">
        <v>41652</v>
      </c>
      <c r="C392" t="s">
        <v>31</v>
      </c>
      <c r="D392">
        <v>3.4264575978101499</v>
      </c>
    </row>
    <row r="393" spans="2:4" x14ac:dyDescent="0.2">
      <c r="B393" s="6">
        <v>41649</v>
      </c>
      <c r="C393" t="s">
        <v>31</v>
      </c>
      <c r="D393">
        <v>3.4718387266108799</v>
      </c>
    </row>
    <row r="394" spans="2:4" x14ac:dyDescent="0.2">
      <c r="B394" s="6">
        <v>41648</v>
      </c>
      <c r="C394" t="s">
        <v>31</v>
      </c>
      <c r="D394">
        <v>3.5749416796778899</v>
      </c>
    </row>
    <row r="395" spans="2:4" x14ac:dyDescent="0.2">
      <c r="B395" s="6">
        <v>41647</v>
      </c>
      <c r="C395" t="s">
        <v>31</v>
      </c>
      <c r="D395">
        <v>3.5963712535882499</v>
      </c>
    </row>
    <row r="396" spans="2:4" x14ac:dyDescent="0.2">
      <c r="B396" s="6">
        <v>41646</v>
      </c>
      <c r="C396" t="s">
        <v>31</v>
      </c>
      <c r="D396">
        <v>3.5428500405358099</v>
      </c>
    </row>
    <row r="397" spans="2:4" x14ac:dyDescent="0.2">
      <c r="B397" s="6">
        <v>41645</v>
      </c>
      <c r="C397" t="s">
        <v>31</v>
      </c>
      <c r="D397">
        <v>3.5763485946615199</v>
      </c>
    </row>
    <row r="398" spans="2:4" x14ac:dyDescent="0.2">
      <c r="B398" s="6">
        <v>41642</v>
      </c>
      <c r="C398" t="s">
        <v>31</v>
      </c>
      <c r="D398">
        <v>3.6032550852643102</v>
      </c>
    </row>
    <row r="399" spans="2:4" x14ac:dyDescent="0.2">
      <c r="B399" s="6">
        <v>41641</v>
      </c>
      <c r="C399" t="s">
        <v>31</v>
      </c>
      <c r="D399">
        <v>3.5996964231875999</v>
      </c>
    </row>
    <row r="400" spans="2:4" x14ac:dyDescent="0.2">
      <c r="B400" s="6">
        <v>41639</v>
      </c>
      <c r="C400" t="s">
        <v>31</v>
      </c>
      <c r="D400">
        <v>3.5930254960618</v>
      </c>
    </row>
    <row r="401" spans="2:4" x14ac:dyDescent="0.2">
      <c r="B401" s="6">
        <v>41638</v>
      </c>
      <c r="C401" t="s">
        <v>31</v>
      </c>
      <c r="D401">
        <v>3.5746743392906399</v>
      </c>
    </row>
    <row r="402" spans="2:4" x14ac:dyDescent="0.2">
      <c r="B402" s="6">
        <v>41635</v>
      </c>
      <c r="C402" t="s">
        <v>31</v>
      </c>
      <c r="D402">
        <v>3.60938046615082</v>
      </c>
    </row>
    <row r="403" spans="2:4" x14ac:dyDescent="0.2">
      <c r="B403" s="6">
        <v>41634</v>
      </c>
      <c r="C403" t="s">
        <v>31</v>
      </c>
      <c r="D403">
        <v>3.6110841836329799</v>
      </c>
    </row>
    <row r="404" spans="2:4" x14ac:dyDescent="0.2">
      <c r="B404" s="6">
        <v>41632</v>
      </c>
      <c r="C404" t="s">
        <v>31</v>
      </c>
      <c r="D404">
        <v>3.6100621369380201</v>
      </c>
    </row>
    <row r="405" spans="2:4" x14ac:dyDescent="0.2">
      <c r="B405" s="6">
        <v>41631</v>
      </c>
      <c r="C405" t="s">
        <v>31</v>
      </c>
      <c r="D405">
        <v>3.5422520494722902</v>
      </c>
    </row>
    <row r="406" spans="2:4" x14ac:dyDescent="0.2">
      <c r="B406" s="6">
        <v>41628</v>
      </c>
      <c r="C406" t="s">
        <v>31</v>
      </c>
      <c r="D406">
        <v>3.5207189291483099</v>
      </c>
    </row>
    <row r="407" spans="2:4" x14ac:dyDescent="0.2">
      <c r="B407" s="6">
        <v>41627</v>
      </c>
      <c r="C407" t="s">
        <v>31</v>
      </c>
      <c r="D407">
        <v>3.5894558660793101</v>
      </c>
    </row>
    <row r="408" spans="2:4" x14ac:dyDescent="0.2">
      <c r="B408" s="6">
        <v>41626</v>
      </c>
      <c r="C408" t="s">
        <v>31</v>
      </c>
      <c r="D408">
        <v>3.5422755368494498</v>
      </c>
    </row>
    <row r="409" spans="2:4" x14ac:dyDescent="0.2">
      <c r="B409" s="6">
        <v>41625</v>
      </c>
      <c r="C409" t="s">
        <v>31</v>
      </c>
      <c r="D409">
        <v>3.4998898139893</v>
      </c>
    </row>
    <row r="410" spans="2:4" x14ac:dyDescent="0.2">
      <c r="B410" s="6">
        <v>41624</v>
      </c>
      <c r="C410" t="s">
        <v>31</v>
      </c>
      <c r="D410">
        <v>3.5307245323139602</v>
      </c>
    </row>
    <row r="411" spans="2:4" x14ac:dyDescent="0.2">
      <c r="B411" s="6">
        <v>41621</v>
      </c>
      <c r="C411" t="s">
        <v>31</v>
      </c>
      <c r="D411">
        <v>3.5290996894050202</v>
      </c>
    </row>
    <row r="412" spans="2:4" x14ac:dyDescent="0.2">
      <c r="B412" s="6">
        <v>41620</v>
      </c>
      <c r="C412" t="s">
        <v>31</v>
      </c>
      <c r="D412">
        <v>3.5427546786903199</v>
      </c>
    </row>
    <row r="413" spans="2:4" x14ac:dyDescent="0.2">
      <c r="B413" s="6">
        <v>41619</v>
      </c>
      <c r="C413" t="s">
        <v>31</v>
      </c>
      <c r="D413">
        <v>3.5156873221910101</v>
      </c>
    </row>
    <row r="414" spans="2:4" x14ac:dyDescent="0.2">
      <c r="B414" s="6">
        <v>41618</v>
      </c>
      <c r="C414" t="s">
        <v>31</v>
      </c>
      <c r="D414">
        <v>3.46476327795386</v>
      </c>
    </row>
    <row r="415" spans="2:4" x14ac:dyDescent="0.2">
      <c r="B415" s="6">
        <v>41617</v>
      </c>
      <c r="C415" t="s">
        <v>31</v>
      </c>
      <c r="D415">
        <v>3.5044888951704301</v>
      </c>
    </row>
    <row r="416" spans="2:4" x14ac:dyDescent="0.2">
      <c r="B416" s="6">
        <v>41614</v>
      </c>
      <c r="C416" t="s">
        <v>31</v>
      </c>
      <c r="D416">
        <v>3.5357721713068302</v>
      </c>
    </row>
    <row r="417" spans="2:4" x14ac:dyDescent="0.2">
      <c r="B417" s="6">
        <v>41613</v>
      </c>
      <c r="C417" t="s">
        <v>31</v>
      </c>
      <c r="D417">
        <v>3.5521293611692002</v>
      </c>
    </row>
    <row r="418" spans="2:4" x14ac:dyDescent="0.2">
      <c r="B418" s="6">
        <v>41612</v>
      </c>
      <c r="C418" t="s">
        <v>31</v>
      </c>
      <c r="D418">
        <v>3.53796119815684</v>
      </c>
    </row>
    <row r="419" spans="2:4" x14ac:dyDescent="0.2">
      <c r="B419" s="6">
        <v>41611</v>
      </c>
      <c r="C419" t="s">
        <v>31</v>
      </c>
      <c r="D419">
        <v>3.4820134464127701</v>
      </c>
    </row>
    <row r="420" spans="2:4" x14ac:dyDescent="0.2">
      <c r="B420" s="6">
        <v>41610</v>
      </c>
      <c r="C420" t="s">
        <v>31</v>
      </c>
      <c r="D420">
        <v>3.48278493540972</v>
      </c>
    </row>
    <row r="421" spans="2:4" x14ac:dyDescent="0.2">
      <c r="B421" s="6">
        <v>41607</v>
      </c>
      <c r="C421" t="s">
        <v>31</v>
      </c>
      <c r="D421">
        <v>3.4152065149267101</v>
      </c>
    </row>
    <row r="422" spans="2:4" x14ac:dyDescent="0.2">
      <c r="B422" s="6">
        <v>41605</v>
      </c>
      <c r="C422" t="s">
        <v>31</v>
      </c>
      <c r="D422">
        <v>3.41186502861204</v>
      </c>
    </row>
    <row r="423" spans="2:4" x14ac:dyDescent="0.2">
      <c r="B423" s="6">
        <v>41604</v>
      </c>
      <c r="C423" t="s">
        <v>31</v>
      </c>
      <c r="D423">
        <v>3.36567559686896</v>
      </c>
    </row>
    <row r="424" spans="2:4" x14ac:dyDescent="0.2">
      <c r="B424" s="6">
        <v>41603</v>
      </c>
      <c r="C424" t="s">
        <v>31</v>
      </c>
      <c r="D424">
        <v>3.3786024673164099</v>
      </c>
    </row>
    <row r="425" spans="2:4" x14ac:dyDescent="0.2">
      <c r="B425" s="6">
        <v>41600</v>
      </c>
      <c r="C425" t="s">
        <v>31</v>
      </c>
      <c r="D425">
        <v>3.3765717476056198</v>
      </c>
    </row>
    <row r="426" spans="2:4" x14ac:dyDescent="0.2">
      <c r="B426" s="6">
        <v>41599</v>
      </c>
      <c r="C426" t="s">
        <v>31</v>
      </c>
      <c r="D426">
        <v>3.3902241574747198</v>
      </c>
    </row>
    <row r="427" spans="2:4" x14ac:dyDescent="0.2">
      <c r="B427" s="6">
        <v>41598</v>
      </c>
      <c r="C427" t="s">
        <v>31</v>
      </c>
      <c r="D427">
        <v>3.3953888640544201</v>
      </c>
    </row>
    <row r="428" spans="2:4" x14ac:dyDescent="0.2">
      <c r="B428" s="6">
        <v>41597</v>
      </c>
      <c r="C428" t="s">
        <v>31</v>
      </c>
      <c r="D428">
        <v>3.3249162804545902</v>
      </c>
    </row>
    <row r="429" spans="2:4" x14ac:dyDescent="0.2">
      <c r="B429" s="6">
        <v>41596</v>
      </c>
      <c r="C429" t="s">
        <v>31</v>
      </c>
      <c r="D429">
        <v>3.2892170945558501</v>
      </c>
    </row>
    <row r="430" spans="2:4" x14ac:dyDescent="0.2">
      <c r="B430" s="6">
        <v>41593</v>
      </c>
      <c r="C430" t="s">
        <v>31</v>
      </c>
      <c r="D430">
        <v>3.3274975263328299</v>
      </c>
    </row>
    <row r="431" spans="2:4" x14ac:dyDescent="0.2">
      <c r="B431" s="6">
        <v>41592</v>
      </c>
      <c r="C431" t="s">
        <v>31</v>
      </c>
      <c r="D431">
        <v>3.33440232330382</v>
      </c>
    </row>
    <row r="432" spans="2:4" x14ac:dyDescent="0.2">
      <c r="B432" s="6">
        <v>41591</v>
      </c>
      <c r="C432" t="s">
        <v>31</v>
      </c>
      <c r="D432">
        <v>3.3863287913399098</v>
      </c>
    </row>
    <row r="433" spans="2:4" x14ac:dyDescent="0.2">
      <c r="B433" s="6">
        <v>41590</v>
      </c>
      <c r="C433" t="s">
        <v>31</v>
      </c>
      <c r="D433">
        <v>3.42394236396553</v>
      </c>
    </row>
    <row r="434" spans="2:4" x14ac:dyDescent="0.2">
      <c r="B434" s="6">
        <v>41586</v>
      </c>
      <c r="C434" t="s">
        <v>31</v>
      </c>
      <c r="D434">
        <v>3.4185329478981301</v>
      </c>
    </row>
    <row r="435" spans="2:4" x14ac:dyDescent="0.2">
      <c r="B435" s="6">
        <v>41585</v>
      </c>
      <c r="C435" t="s">
        <v>31</v>
      </c>
      <c r="D435">
        <v>3.2915305734964</v>
      </c>
    </row>
    <row r="436" spans="2:4" x14ac:dyDescent="0.2">
      <c r="B436" s="6">
        <v>41584</v>
      </c>
      <c r="C436" t="s">
        <v>31</v>
      </c>
      <c r="D436">
        <v>3.2997347907142101</v>
      </c>
    </row>
    <row r="437" spans="2:4" x14ac:dyDescent="0.2">
      <c r="B437" s="6">
        <v>41583</v>
      </c>
      <c r="C437" t="s">
        <v>31</v>
      </c>
      <c r="D437">
        <v>3.31200880777374</v>
      </c>
    </row>
    <row r="438" spans="2:4" x14ac:dyDescent="0.2">
      <c r="B438" s="6">
        <v>41582</v>
      </c>
      <c r="C438" t="s">
        <v>31</v>
      </c>
      <c r="D438">
        <v>3.2387584524434998</v>
      </c>
    </row>
    <row r="439" spans="2:4" x14ac:dyDescent="0.2">
      <c r="B439" s="6">
        <v>41579</v>
      </c>
      <c r="C439" t="s">
        <v>31</v>
      </c>
      <c r="D439">
        <v>3.25928309164834</v>
      </c>
    </row>
    <row r="440" spans="2:4" x14ac:dyDescent="0.2">
      <c r="B440" s="6">
        <v>41578</v>
      </c>
      <c r="C440" t="s">
        <v>31</v>
      </c>
      <c r="D440">
        <v>3.1803565883984102</v>
      </c>
    </row>
    <row r="441" spans="2:4" x14ac:dyDescent="0.2">
      <c r="B441" s="6">
        <v>41577</v>
      </c>
      <c r="C441" t="s">
        <v>31</v>
      </c>
      <c r="D441">
        <v>3.1611386444386498</v>
      </c>
    </row>
    <row r="442" spans="2:4" x14ac:dyDescent="0.2">
      <c r="B442" s="6">
        <v>41576</v>
      </c>
      <c r="C442" t="s">
        <v>31</v>
      </c>
      <c r="D442">
        <v>3.1543237441163701</v>
      </c>
    </row>
    <row r="443" spans="2:4" x14ac:dyDescent="0.2">
      <c r="B443" s="6">
        <v>41575</v>
      </c>
      <c r="C443" t="s">
        <v>31</v>
      </c>
      <c r="D443">
        <v>3.1593236616906499</v>
      </c>
    </row>
    <row r="444" spans="2:4" x14ac:dyDescent="0.2">
      <c r="B444" s="6">
        <v>41572</v>
      </c>
      <c r="C444" t="s">
        <v>31</v>
      </c>
      <c r="D444">
        <v>3.1521212861919801</v>
      </c>
    </row>
    <row r="445" spans="2:4" x14ac:dyDescent="0.2">
      <c r="B445" s="6">
        <v>41571</v>
      </c>
      <c r="C445" t="s">
        <v>31</v>
      </c>
      <c r="D445">
        <v>3.1772287212477002</v>
      </c>
    </row>
    <row r="446" spans="2:4" x14ac:dyDescent="0.2">
      <c r="B446" s="6">
        <v>41570</v>
      </c>
      <c r="C446" t="s">
        <v>31</v>
      </c>
      <c r="D446">
        <v>3.1541714940092298</v>
      </c>
    </row>
    <row r="447" spans="2:4" x14ac:dyDescent="0.2">
      <c r="B447" s="6">
        <v>41569</v>
      </c>
      <c r="C447" t="s">
        <v>31</v>
      </c>
      <c r="D447">
        <v>3.18365964576661</v>
      </c>
    </row>
    <row r="448" spans="2:4" x14ac:dyDescent="0.2">
      <c r="B448" s="6">
        <v>41568</v>
      </c>
      <c r="C448" t="s">
        <v>31</v>
      </c>
      <c r="D448">
        <v>3.2809533512237801</v>
      </c>
    </row>
    <row r="449" spans="2:4" x14ac:dyDescent="0.2">
      <c r="B449" s="6">
        <v>41565</v>
      </c>
      <c r="C449" t="s">
        <v>31</v>
      </c>
      <c r="D449">
        <v>3.2585675716606302</v>
      </c>
    </row>
    <row r="450" spans="2:4" x14ac:dyDescent="0.2">
      <c r="B450" s="6">
        <v>41564</v>
      </c>
      <c r="C450" t="s">
        <v>31</v>
      </c>
      <c r="D450">
        <v>3.2546149111271299</v>
      </c>
    </row>
    <row r="451" spans="2:4" x14ac:dyDescent="0.2">
      <c r="B451" s="6">
        <v>41563</v>
      </c>
      <c r="C451" t="s">
        <v>31</v>
      </c>
      <c r="D451">
        <v>3.34533036324394</v>
      </c>
    </row>
    <row r="452" spans="2:4" x14ac:dyDescent="0.2">
      <c r="B452" s="6">
        <v>41562</v>
      </c>
      <c r="C452" t="s">
        <v>31</v>
      </c>
      <c r="D452">
        <v>3.3897329963191098</v>
      </c>
    </row>
    <row r="453" spans="2:4" x14ac:dyDescent="0.2">
      <c r="B453" s="6">
        <v>41558</v>
      </c>
      <c r="C453" t="s">
        <v>31</v>
      </c>
      <c r="D453">
        <v>3.3488826952464001</v>
      </c>
    </row>
    <row r="454" spans="2:4" x14ac:dyDescent="0.2">
      <c r="B454" s="6">
        <v>41557</v>
      </c>
      <c r="C454" t="s">
        <v>31</v>
      </c>
      <c r="D454">
        <v>3.3459270723169801</v>
      </c>
    </row>
    <row r="455" spans="2:4" x14ac:dyDescent="0.2">
      <c r="B455" s="6">
        <v>41556</v>
      </c>
      <c r="C455" t="s">
        <v>31</v>
      </c>
      <c r="D455">
        <v>3.3312145702916398</v>
      </c>
    </row>
    <row r="456" spans="2:4" x14ac:dyDescent="0.2">
      <c r="B456" s="6">
        <v>41555</v>
      </c>
      <c r="C456" t="s">
        <v>31</v>
      </c>
      <c r="D456">
        <v>3.32900541071837</v>
      </c>
    </row>
    <row r="457" spans="2:4" x14ac:dyDescent="0.2">
      <c r="B457" s="6">
        <v>41554</v>
      </c>
      <c r="C457" t="s">
        <v>31</v>
      </c>
      <c r="D457">
        <v>3.3152163432269299</v>
      </c>
    </row>
    <row r="458" spans="2:4" x14ac:dyDescent="0.2">
      <c r="B458" s="6">
        <v>41551</v>
      </c>
      <c r="C458" t="s">
        <v>31</v>
      </c>
      <c r="D458">
        <v>3.3143904621736602</v>
      </c>
    </row>
    <row r="459" spans="2:4" x14ac:dyDescent="0.2">
      <c r="B459" s="6">
        <v>41550</v>
      </c>
      <c r="C459" t="s">
        <v>31</v>
      </c>
      <c r="D459">
        <v>3.2850779326666601</v>
      </c>
    </row>
    <row r="460" spans="2:4" x14ac:dyDescent="0.2">
      <c r="B460" s="6">
        <v>41549</v>
      </c>
      <c r="C460" t="s">
        <v>31</v>
      </c>
      <c r="D460">
        <v>3.3078730296866699</v>
      </c>
    </row>
    <row r="461" spans="2:4" x14ac:dyDescent="0.2">
      <c r="B461" s="6">
        <v>41548</v>
      </c>
      <c r="C461" t="s">
        <v>31</v>
      </c>
      <c r="D461">
        <v>3.31544213268957</v>
      </c>
    </row>
    <row r="462" spans="2:4" x14ac:dyDescent="0.2">
      <c r="B462" s="6">
        <v>41547</v>
      </c>
      <c r="C462" t="s">
        <v>31</v>
      </c>
      <c r="D462">
        <v>3.2952489842634298</v>
      </c>
    </row>
    <row r="463" spans="2:4" x14ac:dyDescent="0.2">
      <c r="B463" s="6">
        <v>41544</v>
      </c>
      <c r="C463" t="s">
        <v>31</v>
      </c>
      <c r="D463">
        <v>3.2948871217977098</v>
      </c>
    </row>
    <row r="464" spans="2:4" x14ac:dyDescent="0.2">
      <c r="B464" s="6">
        <v>41543</v>
      </c>
      <c r="C464" t="s">
        <v>31</v>
      </c>
      <c r="D464">
        <v>3.3233487722912298</v>
      </c>
    </row>
    <row r="465" spans="2:4" x14ac:dyDescent="0.2">
      <c r="B465" s="6">
        <v>41542</v>
      </c>
      <c r="C465" t="s">
        <v>31</v>
      </c>
      <c r="D465">
        <v>3.2961562018547901</v>
      </c>
    </row>
    <row r="466" spans="2:4" x14ac:dyDescent="0.2">
      <c r="B466" s="6">
        <v>41541</v>
      </c>
      <c r="C466" t="s">
        <v>31</v>
      </c>
      <c r="D466">
        <v>3.34069195374131</v>
      </c>
    </row>
    <row r="467" spans="2:4" x14ac:dyDescent="0.2">
      <c r="B467" s="6">
        <v>41540</v>
      </c>
      <c r="C467" t="s">
        <v>31</v>
      </c>
      <c r="D467">
        <v>3.4029034600998802</v>
      </c>
    </row>
    <row r="468" spans="2:4" x14ac:dyDescent="0.2">
      <c r="B468" s="6">
        <v>41537</v>
      </c>
      <c r="C468" t="s">
        <v>31</v>
      </c>
      <c r="D468">
        <v>3.43160773905766</v>
      </c>
    </row>
    <row r="469" spans="2:4" x14ac:dyDescent="0.2">
      <c r="B469" s="6">
        <v>41536</v>
      </c>
      <c r="C469" t="s">
        <v>31</v>
      </c>
      <c r="D469">
        <v>3.4234814698257399</v>
      </c>
    </row>
    <row r="470" spans="2:4" x14ac:dyDescent="0.2">
      <c r="B470" s="6">
        <v>41535</v>
      </c>
      <c r="C470" t="s">
        <v>31</v>
      </c>
      <c r="D470">
        <v>3.4041075181539902</v>
      </c>
    </row>
    <row r="471" spans="2:4" x14ac:dyDescent="0.2">
      <c r="B471" s="6">
        <v>41534</v>
      </c>
      <c r="C471" t="s">
        <v>31</v>
      </c>
      <c r="D471">
        <v>3.5862960100393702</v>
      </c>
    </row>
    <row r="472" spans="2:4" x14ac:dyDescent="0.2">
      <c r="B472" s="6">
        <v>41533</v>
      </c>
      <c r="C472" t="s">
        <v>31</v>
      </c>
      <c r="D472">
        <v>3.6050291044242799</v>
      </c>
    </row>
    <row r="473" spans="2:4" x14ac:dyDescent="0.2">
      <c r="B473" s="6">
        <v>41530</v>
      </c>
      <c r="C473" t="s">
        <v>31</v>
      </c>
      <c r="D473">
        <v>3.65073359446493</v>
      </c>
    </row>
    <row r="474" spans="2:4" x14ac:dyDescent="0.2">
      <c r="B474" s="6">
        <v>41529</v>
      </c>
      <c r="C474" t="s">
        <v>31</v>
      </c>
      <c r="D474">
        <v>3.6662950351399499</v>
      </c>
    </row>
    <row r="475" spans="2:4" x14ac:dyDescent="0.2">
      <c r="B475" s="6">
        <v>41528</v>
      </c>
      <c r="C475" t="s">
        <v>31</v>
      </c>
      <c r="D475">
        <v>3.66717920569566</v>
      </c>
    </row>
    <row r="476" spans="2:4" x14ac:dyDescent="0.2">
      <c r="B476" s="6">
        <v>41527</v>
      </c>
      <c r="C476" t="s">
        <v>31</v>
      </c>
      <c r="D476">
        <v>3.70255706458429</v>
      </c>
    </row>
    <row r="477" spans="2:4" x14ac:dyDescent="0.2">
      <c r="B477" s="6">
        <v>41526</v>
      </c>
      <c r="C477" t="s">
        <v>31</v>
      </c>
      <c r="D477">
        <v>3.6494917316156599</v>
      </c>
    </row>
    <row r="478" spans="2:4" x14ac:dyDescent="0.2">
      <c r="B478" s="6">
        <v>41523</v>
      </c>
      <c r="C478" t="s">
        <v>31</v>
      </c>
      <c r="D478">
        <v>3.7212376856688798</v>
      </c>
    </row>
    <row r="479" spans="2:4" x14ac:dyDescent="0.2">
      <c r="B479" s="6">
        <v>41522</v>
      </c>
      <c r="C479" t="s">
        <v>31</v>
      </c>
      <c r="D479">
        <v>3.7866951063074699</v>
      </c>
    </row>
    <row r="480" spans="2:4" x14ac:dyDescent="0.2">
      <c r="B480" s="6">
        <v>41521</v>
      </c>
      <c r="C480" t="s">
        <v>31</v>
      </c>
      <c r="D480">
        <v>3.6795741616596702</v>
      </c>
    </row>
    <row r="481" spans="2:4" x14ac:dyDescent="0.2">
      <c r="B481" s="6">
        <v>41520</v>
      </c>
      <c r="C481" t="s">
        <v>31</v>
      </c>
      <c r="D481">
        <v>3.6230343632850399</v>
      </c>
    </row>
    <row r="482" spans="2:4" x14ac:dyDescent="0.2">
      <c r="B482" s="6">
        <v>41516</v>
      </c>
      <c r="C482" t="s">
        <v>31</v>
      </c>
      <c r="D482">
        <v>3.5181082868119602</v>
      </c>
    </row>
    <row r="483" spans="2:4" x14ac:dyDescent="0.2">
      <c r="B483" s="6">
        <v>41515</v>
      </c>
      <c r="C483" t="s">
        <v>31</v>
      </c>
      <c r="D483">
        <v>3.5163998212649701</v>
      </c>
    </row>
    <row r="484" spans="2:4" x14ac:dyDescent="0.2">
      <c r="B484" s="6">
        <v>41514</v>
      </c>
      <c r="C484" t="s">
        <v>31</v>
      </c>
      <c r="D484">
        <v>3.5645215625566</v>
      </c>
    </row>
    <row r="485" spans="2:4" x14ac:dyDescent="0.2">
      <c r="B485" s="6">
        <v>41513</v>
      </c>
      <c r="C485" t="s">
        <v>31</v>
      </c>
      <c r="D485">
        <v>3.4950120682199999</v>
      </c>
    </row>
    <row r="486" spans="2:4" x14ac:dyDescent="0.2">
      <c r="B486" s="6">
        <v>41512</v>
      </c>
      <c r="C486" t="s">
        <v>31</v>
      </c>
      <c r="D486">
        <v>3.5649427405180001</v>
      </c>
    </row>
    <row r="487" spans="2:4" x14ac:dyDescent="0.2">
      <c r="B487" s="6">
        <v>41509</v>
      </c>
      <c r="C487" t="s">
        <v>31</v>
      </c>
      <c r="D487">
        <v>3.6014591745782401</v>
      </c>
    </row>
    <row r="488" spans="2:4" x14ac:dyDescent="0.2">
      <c r="B488" s="6">
        <v>41508</v>
      </c>
      <c r="C488" t="s">
        <v>31</v>
      </c>
      <c r="D488">
        <v>3.7101937917241501</v>
      </c>
    </row>
    <row r="489" spans="2:4" x14ac:dyDescent="0.2">
      <c r="B489" s="6">
        <v>41507</v>
      </c>
      <c r="C489" t="s">
        <v>31</v>
      </c>
      <c r="D489">
        <v>3.6746442970123199</v>
      </c>
    </row>
    <row r="490" spans="2:4" x14ac:dyDescent="0.2">
      <c r="B490" s="6">
        <v>41506</v>
      </c>
      <c r="C490" t="s">
        <v>31</v>
      </c>
      <c r="D490">
        <v>3.63068303363114</v>
      </c>
    </row>
    <row r="491" spans="2:4" x14ac:dyDescent="0.2">
      <c r="B491" s="6">
        <v>41505</v>
      </c>
      <c r="C491" t="s">
        <v>31</v>
      </c>
      <c r="D491">
        <v>3.71104784086622</v>
      </c>
    </row>
    <row r="492" spans="2:4" x14ac:dyDescent="0.2">
      <c r="B492" s="6">
        <v>41502</v>
      </c>
      <c r="C492" t="s">
        <v>31</v>
      </c>
      <c r="D492">
        <v>3.63422852757154</v>
      </c>
    </row>
    <row r="493" spans="2:4" x14ac:dyDescent="0.2">
      <c r="B493" s="6">
        <v>41501</v>
      </c>
      <c r="C493" t="s">
        <v>31</v>
      </c>
      <c r="D493">
        <v>3.5424603238556802</v>
      </c>
    </row>
    <row r="494" spans="2:4" x14ac:dyDescent="0.2">
      <c r="B494" s="6">
        <v>41500</v>
      </c>
      <c r="C494" t="s">
        <v>31</v>
      </c>
      <c r="D494">
        <v>3.48408848788866</v>
      </c>
    </row>
    <row r="495" spans="2:4" x14ac:dyDescent="0.2">
      <c r="B495" s="6">
        <v>41499</v>
      </c>
      <c r="C495" t="s">
        <v>31</v>
      </c>
      <c r="D495">
        <v>3.48659769885389</v>
      </c>
    </row>
    <row r="496" spans="2:4" x14ac:dyDescent="0.2">
      <c r="B496" s="6">
        <v>41498</v>
      </c>
      <c r="C496" t="s">
        <v>31</v>
      </c>
      <c r="D496">
        <v>3.38388390000057</v>
      </c>
    </row>
    <row r="497" spans="2:4" x14ac:dyDescent="0.2">
      <c r="B497" s="6">
        <v>41495</v>
      </c>
      <c r="C497" t="s">
        <v>31</v>
      </c>
      <c r="D497">
        <v>3.3639509131930398</v>
      </c>
    </row>
    <row r="498" spans="2:4" x14ac:dyDescent="0.2">
      <c r="B498" s="6">
        <v>41494</v>
      </c>
      <c r="C498" t="s">
        <v>31</v>
      </c>
      <c r="D498">
        <v>3.3814879030485301</v>
      </c>
    </row>
    <row r="499" spans="2:4" x14ac:dyDescent="0.2">
      <c r="B499" s="6">
        <v>41493</v>
      </c>
      <c r="C499" t="s">
        <v>31</v>
      </c>
      <c r="D499">
        <v>3.40952934683791</v>
      </c>
    </row>
    <row r="500" spans="2:4" x14ac:dyDescent="0.2">
      <c r="B500" s="6">
        <v>41492</v>
      </c>
      <c r="C500" t="s">
        <v>31</v>
      </c>
      <c r="D500">
        <v>3.44308693748463</v>
      </c>
    </row>
    <row r="501" spans="2:4" x14ac:dyDescent="0.2">
      <c r="B501" s="6">
        <v>41491</v>
      </c>
      <c r="C501" t="s">
        <v>31</v>
      </c>
      <c r="D501">
        <v>3.4178117990662802</v>
      </c>
    </row>
    <row r="502" spans="2:4" x14ac:dyDescent="0.2">
      <c r="B502" s="6">
        <v>41488</v>
      </c>
      <c r="C502" t="s">
        <v>31</v>
      </c>
      <c r="D502">
        <v>3.4035662511479701</v>
      </c>
    </row>
    <row r="503" spans="2:4" x14ac:dyDescent="0.2">
      <c r="B503" s="6">
        <v>41487</v>
      </c>
      <c r="C503" t="s">
        <v>31</v>
      </c>
      <c r="D503">
        <v>3.5328707550914098</v>
      </c>
    </row>
    <row r="504" spans="2:4" x14ac:dyDescent="0.2">
      <c r="B504" s="6">
        <v>41486</v>
      </c>
      <c r="C504" t="s">
        <v>31</v>
      </c>
      <c r="D504">
        <v>3.4095392657433901</v>
      </c>
    </row>
    <row r="505" spans="2:4" x14ac:dyDescent="0.2">
      <c r="B505" s="6">
        <v>41485</v>
      </c>
      <c r="C505" t="s">
        <v>31</v>
      </c>
      <c r="D505">
        <v>3.4285967572115399</v>
      </c>
    </row>
    <row r="506" spans="2:4" x14ac:dyDescent="0.2">
      <c r="B506" s="6">
        <v>41484</v>
      </c>
      <c r="C506" t="s">
        <v>31</v>
      </c>
      <c r="D506">
        <v>3.4061464314062202</v>
      </c>
    </row>
    <row r="507" spans="2:4" x14ac:dyDescent="0.2">
      <c r="B507" s="6">
        <v>41481</v>
      </c>
      <c r="C507" t="s">
        <v>31</v>
      </c>
      <c r="D507">
        <v>3.3953206082541598</v>
      </c>
    </row>
    <row r="508" spans="2:4" x14ac:dyDescent="0.2">
      <c r="B508" s="6">
        <v>41480</v>
      </c>
      <c r="C508" t="s">
        <v>31</v>
      </c>
      <c r="D508">
        <v>3.4407863915877401</v>
      </c>
    </row>
    <row r="509" spans="2:4" x14ac:dyDescent="0.2">
      <c r="B509" s="6">
        <v>41479</v>
      </c>
      <c r="C509" t="s">
        <v>31</v>
      </c>
      <c r="D509">
        <v>3.4296755954575699</v>
      </c>
    </row>
    <row r="510" spans="2:4" x14ac:dyDescent="0.2">
      <c r="B510" s="6">
        <v>41478</v>
      </c>
      <c r="C510" t="s">
        <v>31</v>
      </c>
      <c r="D510">
        <v>3.3639050543487601</v>
      </c>
    </row>
    <row r="511" spans="2:4" x14ac:dyDescent="0.2">
      <c r="B511" s="6">
        <v>41477</v>
      </c>
      <c r="C511" t="s">
        <v>31</v>
      </c>
      <c r="D511">
        <v>3.3220828709767098</v>
      </c>
    </row>
    <row r="512" spans="2:4" x14ac:dyDescent="0.2">
      <c r="B512" s="6">
        <v>41474</v>
      </c>
      <c r="C512" t="s">
        <v>31</v>
      </c>
      <c r="D512">
        <v>3.3313912756576198</v>
      </c>
    </row>
    <row r="513" spans="2:4" x14ac:dyDescent="0.2">
      <c r="B513" s="6">
        <v>41473</v>
      </c>
      <c r="C513" t="s">
        <v>31</v>
      </c>
      <c r="D513">
        <v>3.38884755763491</v>
      </c>
    </row>
    <row r="514" spans="2:4" x14ac:dyDescent="0.2">
      <c r="B514" s="6">
        <v>41472</v>
      </c>
      <c r="C514" t="s">
        <v>31</v>
      </c>
      <c r="D514">
        <v>3.34386583598301</v>
      </c>
    </row>
    <row r="515" spans="2:4" x14ac:dyDescent="0.2">
      <c r="B515" s="6">
        <v>41471</v>
      </c>
      <c r="C515" t="s">
        <v>31</v>
      </c>
      <c r="D515">
        <v>3.3914708524147601</v>
      </c>
    </row>
    <row r="516" spans="2:4" x14ac:dyDescent="0.2">
      <c r="B516" s="6">
        <v>41470</v>
      </c>
      <c r="C516" t="s">
        <v>31</v>
      </c>
      <c r="D516">
        <v>3.40503285889704</v>
      </c>
    </row>
    <row r="517" spans="2:4" x14ac:dyDescent="0.2">
      <c r="B517" s="6">
        <v>41467</v>
      </c>
      <c r="C517" t="s">
        <v>31</v>
      </c>
      <c r="D517">
        <v>3.4748173662638</v>
      </c>
    </row>
    <row r="518" spans="2:4" x14ac:dyDescent="0.2">
      <c r="B518" s="6">
        <v>41466</v>
      </c>
      <c r="C518" t="s">
        <v>31</v>
      </c>
      <c r="D518">
        <v>3.4679725505405199</v>
      </c>
    </row>
    <row r="519" spans="2:4" x14ac:dyDescent="0.2">
      <c r="B519" s="6">
        <v>41465</v>
      </c>
      <c r="C519" t="s">
        <v>31</v>
      </c>
      <c r="D519">
        <v>3.58537205832996</v>
      </c>
    </row>
    <row r="520" spans="2:4" x14ac:dyDescent="0.2">
      <c r="B520" s="6">
        <v>41464</v>
      </c>
      <c r="C520" t="s">
        <v>31</v>
      </c>
      <c r="D520">
        <v>3.4880159980232399</v>
      </c>
    </row>
    <row r="521" spans="2:4" x14ac:dyDescent="0.2">
      <c r="B521" s="6">
        <v>41463</v>
      </c>
      <c r="C521" t="s">
        <v>31</v>
      </c>
      <c r="D521">
        <v>3.5446391609564598</v>
      </c>
    </row>
    <row r="522" spans="2:4" x14ac:dyDescent="0.2">
      <c r="B522" s="6">
        <v>41460</v>
      </c>
      <c r="C522" t="s">
        <v>31</v>
      </c>
      <c r="D522">
        <v>3.6732513531495798</v>
      </c>
    </row>
    <row r="523" spans="2:4" x14ac:dyDescent="0.2">
      <c r="B523" s="6">
        <v>41458</v>
      </c>
      <c r="C523" t="s">
        <v>31</v>
      </c>
      <c r="D523">
        <v>3.3689245044101299</v>
      </c>
    </row>
    <row r="524" spans="2:4" x14ac:dyDescent="0.2">
      <c r="B524" s="6">
        <v>41457</v>
      </c>
      <c r="C524" t="s">
        <v>31</v>
      </c>
      <c r="D524">
        <v>3.3118182496923301</v>
      </c>
    </row>
    <row r="525" spans="2:4" x14ac:dyDescent="0.2">
      <c r="B525" s="6">
        <v>41456</v>
      </c>
      <c r="C525" t="s">
        <v>31</v>
      </c>
      <c r="D525">
        <v>3.2979461773808199</v>
      </c>
    </row>
    <row r="526" spans="2:4" x14ac:dyDescent="0.2">
      <c r="B526" s="6">
        <v>41453</v>
      </c>
      <c r="C526" t="s">
        <v>31</v>
      </c>
      <c r="D526">
        <v>3.3094496735702101</v>
      </c>
    </row>
    <row r="527" spans="2:4" x14ac:dyDescent="0.2">
      <c r="B527" s="6">
        <v>41452</v>
      </c>
      <c r="C527" t="s">
        <v>31</v>
      </c>
      <c r="D527">
        <v>3.3206581307608101</v>
      </c>
    </row>
    <row r="528" spans="2:4" x14ac:dyDescent="0.2">
      <c r="B528" s="6">
        <v>41451</v>
      </c>
      <c r="C528" t="s">
        <v>31</v>
      </c>
      <c r="D528">
        <v>3.44274839511578</v>
      </c>
    </row>
    <row r="529" spans="2:4" x14ac:dyDescent="0.2">
      <c r="B529" s="6">
        <v>41450</v>
      </c>
      <c r="C529" t="s">
        <v>31</v>
      </c>
      <c r="D529">
        <v>3.4979073592115801</v>
      </c>
    </row>
    <row r="530" spans="2:4" x14ac:dyDescent="0.2">
      <c r="B530" s="6">
        <v>41449</v>
      </c>
      <c r="C530" t="s">
        <v>31</v>
      </c>
      <c r="D530">
        <v>3.4842821250923999</v>
      </c>
    </row>
    <row r="531" spans="2:4" x14ac:dyDescent="0.2">
      <c r="B531" s="6">
        <v>41446</v>
      </c>
      <c r="C531" t="s">
        <v>31</v>
      </c>
      <c r="D531">
        <v>3.4290560333253501</v>
      </c>
    </row>
    <row r="532" spans="2:4" x14ac:dyDescent="0.2">
      <c r="B532" s="6">
        <v>41445</v>
      </c>
      <c r="C532" t="s">
        <v>31</v>
      </c>
      <c r="D532">
        <v>3.2731873242540099</v>
      </c>
    </row>
    <row r="533" spans="2:4" x14ac:dyDescent="0.2">
      <c r="B533" s="6">
        <v>41444</v>
      </c>
      <c r="C533" t="s">
        <v>31</v>
      </c>
      <c r="D533">
        <v>3.1273804098375502</v>
      </c>
    </row>
    <row r="534" spans="2:4" x14ac:dyDescent="0.2">
      <c r="B534" s="6">
        <v>41443</v>
      </c>
      <c r="C534" t="s">
        <v>31</v>
      </c>
      <c r="D534">
        <v>2.9821306488123902</v>
      </c>
    </row>
    <row r="535" spans="2:4" x14ac:dyDescent="0.2">
      <c r="B535" s="6">
        <v>41442</v>
      </c>
      <c r="C535" t="s">
        <v>31</v>
      </c>
      <c r="D535">
        <v>2.9838518305616502</v>
      </c>
    </row>
    <row r="536" spans="2:4" x14ac:dyDescent="0.2">
      <c r="B536" s="6">
        <v>41439</v>
      </c>
      <c r="C536" t="s">
        <v>31</v>
      </c>
      <c r="D536">
        <v>2.93282407442446</v>
      </c>
    </row>
    <row r="537" spans="2:4" x14ac:dyDescent="0.2">
      <c r="B537" s="6">
        <v>41438</v>
      </c>
      <c r="C537" t="s">
        <v>31</v>
      </c>
      <c r="D537">
        <v>2.97051771574304</v>
      </c>
    </row>
    <row r="538" spans="2:4" x14ac:dyDescent="0.2">
      <c r="B538" s="6">
        <v>41437</v>
      </c>
      <c r="C538" t="s">
        <v>31</v>
      </c>
      <c r="D538">
        <v>3.0172986003180302</v>
      </c>
    </row>
    <row r="539" spans="2:4" x14ac:dyDescent="0.2">
      <c r="B539" s="6">
        <v>41436</v>
      </c>
      <c r="C539" t="s">
        <v>31</v>
      </c>
      <c r="D539">
        <v>2.9886237940572</v>
      </c>
    </row>
    <row r="540" spans="2:4" x14ac:dyDescent="0.2">
      <c r="B540" s="6">
        <v>41435</v>
      </c>
      <c r="C540" t="s">
        <v>31</v>
      </c>
      <c r="D540">
        <v>3.0187503286824402</v>
      </c>
    </row>
    <row r="541" spans="2:4" x14ac:dyDescent="0.2">
      <c r="B541" s="6">
        <v>41432</v>
      </c>
      <c r="C541" t="s">
        <v>31</v>
      </c>
      <c r="D541">
        <v>2.9931159990094902</v>
      </c>
    </row>
    <row r="542" spans="2:4" x14ac:dyDescent="0.2">
      <c r="B542" s="6">
        <v>41431</v>
      </c>
      <c r="C542" t="s">
        <v>31</v>
      </c>
      <c r="D542">
        <v>2.9363931746100702</v>
      </c>
    </row>
    <row r="543" spans="2:4" x14ac:dyDescent="0.2">
      <c r="B543" s="6">
        <v>41430</v>
      </c>
      <c r="C543" t="s">
        <v>31</v>
      </c>
      <c r="D543">
        <v>2.9737219853978498</v>
      </c>
    </row>
    <row r="544" spans="2:4" x14ac:dyDescent="0.2">
      <c r="B544" s="6">
        <v>41429</v>
      </c>
      <c r="C544" t="s">
        <v>31</v>
      </c>
      <c r="D544">
        <v>2.9897357672895799</v>
      </c>
    </row>
    <row r="545" spans="2:4" x14ac:dyDescent="0.2">
      <c r="B545" s="6">
        <v>41428</v>
      </c>
      <c r="C545" t="s">
        <v>31</v>
      </c>
      <c r="D545">
        <v>2.9603245306419401</v>
      </c>
    </row>
    <row r="546" spans="2:4" x14ac:dyDescent="0.2">
      <c r="B546" s="6">
        <v>41425</v>
      </c>
      <c r="C546" t="s">
        <v>31</v>
      </c>
      <c r="D546">
        <v>2.95731349620652</v>
      </c>
    </row>
    <row r="547" spans="2:4" x14ac:dyDescent="0.2">
      <c r="B547" s="6">
        <v>41424</v>
      </c>
      <c r="C547" t="s">
        <v>31</v>
      </c>
      <c r="D547">
        <v>2.9046454407398898</v>
      </c>
    </row>
    <row r="548" spans="2:4" x14ac:dyDescent="0.2">
      <c r="B548" s="6">
        <v>41423</v>
      </c>
      <c r="C548" t="s">
        <v>31</v>
      </c>
      <c r="D548">
        <v>2.9196928046626902</v>
      </c>
    </row>
    <row r="549" spans="2:4" x14ac:dyDescent="0.2">
      <c r="B549" s="6">
        <v>41422</v>
      </c>
      <c r="C549" t="s">
        <v>31</v>
      </c>
      <c r="D549">
        <v>2.9439593784478002</v>
      </c>
    </row>
    <row r="550" spans="2:4" x14ac:dyDescent="0.2">
      <c r="B550" s="6">
        <v>41418</v>
      </c>
      <c r="C550" t="s">
        <v>31</v>
      </c>
      <c r="D550">
        <v>2.8149731764108399</v>
      </c>
    </row>
    <row r="551" spans="2:4" x14ac:dyDescent="0.2">
      <c r="B551" s="6">
        <v>41417</v>
      </c>
      <c r="C551" t="s">
        <v>31</v>
      </c>
      <c r="D551">
        <v>2.8219074459123799</v>
      </c>
    </row>
    <row r="552" spans="2:4" x14ac:dyDescent="0.2">
      <c r="B552" s="6">
        <v>41416</v>
      </c>
      <c r="C552" t="s">
        <v>31</v>
      </c>
      <c r="D552">
        <v>2.78843998218461</v>
      </c>
    </row>
    <row r="553" spans="2:4" x14ac:dyDescent="0.2">
      <c r="B553" s="6">
        <v>41415</v>
      </c>
      <c r="C553" t="s">
        <v>31</v>
      </c>
      <c r="D553">
        <v>2.6645260639550199</v>
      </c>
    </row>
    <row r="554" spans="2:4" x14ac:dyDescent="0.2">
      <c r="B554" s="6">
        <v>41414</v>
      </c>
      <c r="C554" t="s">
        <v>31</v>
      </c>
      <c r="D554">
        <v>2.7128835423314301</v>
      </c>
    </row>
    <row r="555" spans="2:4" x14ac:dyDescent="0.2">
      <c r="B555" s="6">
        <v>41411</v>
      </c>
      <c r="C555" t="s">
        <v>31</v>
      </c>
      <c r="D555">
        <v>2.6858134280305799</v>
      </c>
    </row>
    <row r="556" spans="2:4" x14ac:dyDescent="0.2">
      <c r="B556" s="6">
        <v>41410</v>
      </c>
      <c r="C556" t="s">
        <v>31</v>
      </c>
      <c r="D556">
        <v>2.5638774739999999</v>
      </c>
    </row>
    <row r="557" spans="2:4" x14ac:dyDescent="0.2">
      <c r="B557" s="6">
        <v>41409</v>
      </c>
      <c r="C557" t="s">
        <v>31</v>
      </c>
      <c r="D557">
        <v>2.6618664133932302</v>
      </c>
    </row>
    <row r="558" spans="2:4" x14ac:dyDescent="0.2">
      <c r="B558" s="6">
        <v>41408</v>
      </c>
      <c r="C558" t="s">
        <v>31</v>
      </c>
      <c r="D558">
        <v>2.6627244928863401</v>
      </c>
    </row>
    <row r="559" spans="2:4" x14ac:dyDescent="0.2">
      <c r="B559" s="6">
        <v>41407</v>
      </c>
      <c r="C559" t="s">
        <v>31</v>
      </c>
      <c r="D559">
        <v>2.6209995675214</v>
      </c>
    </row>
    <row r="560" spans="2:4" x14ac:dyDescent="0.2">
      <c r="B560" s="6">
        <v>41404</v>
      </c>
      <c r="C560" t="s">
        <v>31</v>
      </c>
      <c r="D560">
        <v>2.5868571182044802</v>
      </c>
    </row>
    <row r="561" spans="2:4" x14ac:dyDescent="0.2">
      <c r="B561" s="6">
        <v>41403</v>
      </c>
      <c r="C561" t="s">
        <v>31</v>
      </c>
      <c r="D561">
        <v>2.49665490312618</v>
      </c>
    </row>
    <row r="562" spans="2:4" x14ac:dyDescent="0.2">
      <c r="B562" s="6">
        <v>41402</v>
      </c>
      <c r="C562" t="s">
        <v>31</v>
      </c>
      <c r="D562">
        <v>2.4724453435903899</v>
      </c>
    </row>
    <row r="563" spans="2:4" x14ac:dyDescent="0.2">
      <c r="B563" s="6">
        <v>41401</v>
      </c>
      <c r="C563" t="s">
        <v>31</v>
      </c>
      <c r="D563">
        <v>2.48894298716524</v>
      </c>
    </row>
    <row r="564" spans="2:4" x14ac:dyDescent="0.2">
      <c r="B564" s="6">
        <v>41400</v>
      </c>
      <c r="C564" t="s">
        <v>31</v>
      </c>
      <c r="D564">
        <v>2.4724031733010898</v>
      </c>
    </row>
    <row r="565" spans="2:4" x14ac:dyDescent="0.2">
      <c r="B565" s="6">
        <v>41397</v>
      </c>
      <c r="C565" t="s">
        <v>31</v>
      </c>
      <c r="D565">
        <v>2.4561501214153099</v>
      </c>
    </row>
    <row r="566" spans="2:4" x14ac:dyDescent="0.2">
      <c r="B566" s="6">
        <v>41396</v>
      </c>
      <c r="C566" t="s">
        <v>31</v>
      </c>
      <c r="D566">
        <v>2.3421036791460899</v>
      </c>
    </row>
    <row r="567" spans="2:4" x14ac:dyDescent="0.2">
      <c r="B567" s="6">
        <v>41395</v>
      </c>
      <c r="C567" t="s">
        <v>31</v>
      </c>
      <c r="D567">
        <v>2.31035596660836</v>
      </c>
    </row>
    <row r="568" spans="2:4" x14ac:dyDescent="0.2">
      <c r="B568" s="6">
        <v>41394</v>
      </c>
      <c r="C568" t="s">
        <v>31</v>
      </c>
      <c r="D568">
        <v>2.3535373905486399</v>
      </c>
    </row>
    <row r="569" spans="2:4" x14ac:dyDescent="0.2">
      <c r="B569" s="6">
        <v>41393</v>
      </c>
      <c r="C569" t="s">
        <v>31</v>
      </c>
      <c r="D569">
        <v>2.37447920783596</v>
      </c>
    </row>
    <row r="570" spans="2:4" x14ac:dyDescent="0.2">
      <c r="B570" s="6">
        <v>41390</v>
      </c>
      <c r="C570" t="s">
        <v>31</v>
      </c>
      <c r="D570">
        <v>2.3795080679074299</v>
      </c>
    </row>
    <row r="571" spans="2:4" x14ac:dyDescent="0.2">
      <c r="B571" s="6">
        <v>41389</v>
      </c>
      <c r="C571" t="s">
        <v>31</v>
      </c>
      <c r="D571">
        <v>2.4323453281375</v>
      </c>
    </row>
    <row r="572" spans="2:4" x14ac:dyDescent="0.2">
      <c r="B572" s="6">
        <v>41388</v>
      </c>
      <c r="C572" t="s">
        <v>31</v>
      </c>
      <c r="D572">
        <v>2.4323883653727401</v>
      </c>
    </row>
    <row r="573" spans="2:4" x14ac:dyDescent="0.2">
      <c r="B573" s="6">
        <v>41387</v>
      </c>
      <c r="C573" t="s">
        <v>31</v>
      </c>
      <c r="D573">
        <v>2.4375323431689502</v>
      </c>
    </row>
    <row r="574" spans="2:4" x14ac:dyDescent="0.2">
      <c r="B574" s="6">
        <v>41386</v>
      </c>
      <c r="C574" t="s">
        <v>31</v>
      </c>
      <c r="D574">
        <v>2.4460987781161698</v>
      </c>
    </row>
    <row r="575" spans="2:4" x14ac:dyDescent="0.2">
      <c r="B575" s="6">
        <v>41383</v>
      </c>
      <c r="C575" t="s">
        <v>31</v>
      </c>
      <c r="D575">
        <v>2.4478292625910401</v>
      </c>
    </row>
    <row r="576" spans="2:4" x14ac:dyDescent="0.2">
      <c r="B576" s="6">
        <v>41382</v>
      </c>
      <c r="C576" t="s">
        <v>31</v>
      </c>
      <c r="D576">
        <v>2.43192110209089</v>
      </c>
    </row>
    <row r="577" spans="2:4" x14ac:dyDescent="0.2">
      <c r="B577" s="6">
        <v>41381</v>
      </c>
      <c r="C577" t="s">
        <v>31</v>
      </c>
      <c r="D577">
        <v>2.4500518771238999</v>
      </c>
    </row>
    <row r="578" spans="2:4" x14ac:dyDescent="0.2">
      <c r="B578" s="6">
        <v>41380</v>
      </c>
      <c r="C578" t="s">
        <v>31</v>
      </c>
      <c r="D578">
        <v>2.45465029105896</v>
      </c>
    </row>
    <row r="579" spans="2:4" x14ac:dyDescent="0.2">
      <c r="B579" s="6">
        <v>41379</v>
      </c>
      <c r="C579" t="s">
        <v>31</v>
      </c>
      <c r="D579">
        <v>2.4306597894947899</v>
      </c>
    </row>
    <row r="580" spans="2:4" x14ac:dyDescent="0.2">
      <c r="B580" s="6">
        <v>41376</v>
      </c>
      <c r="C580" t="s">
        <v>31</v>
      </c>
      <c r="D580">
        <v>2.4532379481842601</v>
      </c>
    </row>
    <row r="581" spans="2:4" x14ac:dyDescent="0.2">
      <c r="B581" s="6">
        <v>41375</v>
      </c>
      <c r="C581" t="s">
        <v>31</v>
      </c>
      <c r="D581">
        <v>2.5180760618821498</v>
      </c>
    </row>
    <row r="582" spans="2:4" x14ac:dyDescent="0.2">
      <c r="B582" s="6">
        <v>41374</v>
      </c>
      <c r="C582" t="s">
        <v>31</v>
      </c>
      <c r="D582">
        <v>2.54479183649527</v>
      </c>
    </row>
    <row r="583" spans="2:4" x14ac:dyDescent="0.2">
      <c r="B583" s="6">
        <v>41373</v>
      </c>
      <c r="C583" t="s">
        <v>31</v>
      </c>
      <c r="D583">
        <v>2.4893778182677</v>
      </c>
    </row>
    <row r="584" spans="2:4" x14ac:dyDescent="0.2">
      <c r="B584" s="6">
        <v>41372</v>
      </c>
      <c r="C584" t="s">
        <v>31</v>
      </c>
      <c r="D584">
        <v>2.4769497822755899</v>
      </c>
    </row>
    <row r="585" spans="2:4" x14ac:dyDescent="0.2">
      <c r="B585" s="6">
        <v>41369</v>
      </c>
      <c r="C585" t="s">
        <v>31</v>
      </c>
      <c r="D585">
        <v>2.4173832768427301</v>
      </c>
    </row>
    <row r="586" spans="2:4" x14ac:dyDescent="0.2">
      <c r="B586" s="6">
        <v>41368</v>
      </c>
      <c r="C586" t="s">
        <v>31</v>
      </c>
      <c r="D586">
        <v>2.4858730996264899</v>
      </c>
    </row>
    <row r="587" spans="2:4" x14ac:dyDescent="0.2">
      <c r="B587" s="6">
        <v>41367</v>
      </c>
      <c r="C587" t="s">
        <v>31</v>
      </c>
      <c r="D587">
        <v>2.5647186741288901</v>
      </c>
    </row>
    <row r="588" spans="2:4" x14ac:dyDescent="0.2">
      <c r="B588" s="6">
        <v>41366</v>
      </c>
      <c r="C588" t="s">
        <v>31</v>
      </c>
      <c r="D588">
        <v>2.6101991222676499</v>
      </c>
    </row>
    <row r="589" spans="2:4" x14ac:dyDescent="0.2">
      <c r="B589" s="6">
        <v>41365</v>
      </c>
      <c r="C589" t="s">
        <v>31</v>
      </c>
      <c r="D589">
        <v>2.5951295555522802</v>
      </c>
    </row>
    <row r="590" spans="2:4" x14ac:dyDescent="0.2">
      <c r="B590" s="6">
        <v>41361</v>
      </c>
      <c r="C590" t="s">
        <v>31</v>
      </c>
      <c r="D590">
        <v>2.6143335780898398</v>
      </c>
    </row>
    <row r="591" spans="2:4" x14ac:dyDescent="0.2">
      <c r="B591" s="6">
        <v>41360</v>
      </c>
      <c r="C591" t="s">
        <v>31</v>
      </c>
      <c r="D591">
        <v>2.6080685310037901</v>
      </c>
    </row>
    <row r="592" spans="2:4" x14ac:dyDescent="0.2">
      <c r="B592" s="6">
        <v>41359</v>
      </c>
      <c r="C592" t="s">
        <v>31</v>
      </c>
      <c r="D592">
        <v>2.6425583507311501</v>
      </c>
    </row>
    <row r="593" spans="2:4" x14ac:dyDescent="0.2">
      <c r="B593" s="6">
        <v>41358</v>
      </c>
      <c r="C593" t="s">
        <v>31</v>
      </c>
      <c r="D593">
        <v>2.6394759315969498</v>
      </c>
    </row>
    <row r="594" spans="2:4" x14ac:dyDescent="0.2">
      <c r="B594" s="6">
        <v>41355</v>
      </c>
      <c r="C594" t="s">
        <v>31</v>
      </c>
      <c r="D594">
        <v>2.6414844586182298</v>
      </c>
    </row>
    <row r="595" spans="2:4" x14ac:dyDescent="0.2">
      <c r="B595" s="6">
        <v>41354</v>
      </c>
      <c r="C595" t="s">
        <v>31</v>
      </c>
      <c r="D595">
        <v>2.6762749111600002</v>
      </c>
    </row>
    <row r="596" spans="2:4" x14ac:dyDescent="0.2">
      <c r="B596" s="6">
        <v>41353</v>
      </c>
      <c r="C596" t="s">
        <v>31</v>
      </c>
      <c r="D596">
        <v>2.6469827013594598</v>
      </c>
    </row>
    <row r="597" spans="2:4" x14ac:dyDescent="0.2">
      <c r="B597" s="6">
        <v>41352</v>
      </c>
      <c r="C597" t="s">
        <v>31</v>
      </c>
      <c r="D597">
        <v>2.6068633017671599</v>
      </c>
    </row>
    <row r="598" spans="2:4" x14ac:dyDescent="0.2">
      <c r="B598" s="6">
        <v>41351</v>
      </c>
      <c r="C598" t="s">
        <v>31</v>
      </c>
      <c r="D598">
        <v>2.6296268135310301</v>
      </c>
    </row>
    <row r="599" spans="2:4" x14ac:dyDescent="0.2">
      <c r="B599" s="6">
        <v>41348</v>
      </c>
      <c r="C599" t="s">
        <v>31</v>
      </c>
      <c r="D599">
        <v>2.6643363272696798</v>
      </c>
    </row>
    <row r="600" spans="2:4" x14ac:dyDescent="0.2">
      <c r="B600" s="6">
        <v>41347</v>
      </c>
      <c r="C600" t="s">
        <v>31</v>
      </c>
      <c r="D600">
        <v>2.7054585787984</v>
      </c>
    </row>
    <row r="601" spans="2:4" x14ac:dyDescent="0.2">
      <c r="B601" s="6">
        <v>41346</v>
      </c>
      <c r="C601" t="s">
        <v>31</v>
      </c>
      <c r="D601">
        <v>2.70043867478531</v>
      </c>
    </row>
    <row r="602" spans="2:4" x14ac:dyDescent="0.2">
      <c r="B602" s="6">
        <v>41345</v>
      </c>
      <c r="C602" t="s">
        <v>31</v>
      </c>
      <c r="D602">
        <v>2.7064552884836801</v>
      </c>
    </row>
    <row r="603" spans="2:4" x14ac:dyDescent="0.2">
      <c r="B603" s="6">
        <v>41344</v>
      </c>
      <c r="C603" t="s">
        <v>31</v>
      </c>
      <c r="D603">
        <v>2.7399845789483299</v>
      </c>
    </row>
    <row r="604" spans="2:4" x14ac:dyDescent="0.2">
      <c r="B604" s="6">
        <v>41341</v>
      </c>
      <c r="C604" t="s">
        <v>31</v>
      </c>
      <c r="D604">
        <v>2.7519155244705402</v>
      </c>
    </row>
    <row r="605" spans="2:4" x14ac:dyDescent="0.2">
      <c r="B605" s="6">
        <v>41340</v>
      </c>
      <c r="C605" t="s">
        <v>31</v>
      </c>
      <c r="D605">
        <v>2.6733074908689098</v>
      </c>
    </row>
    <row r="606" spans="2:4" x14ac:dyDescent="0.2">
      <c r="B606" s="6">
        <v>41339</v>
      </c>
      <c r="C606" t="s">
        <v>31</v>
      </c>
      <c r="D606">
        <v>2.6125524232747801</v>
      </c>
    </row>
    <row r="607" spans="2:4" x14ac:dyDescent="0.2">
      <c r="B607" s="6">
        <v>41338</v>
      </c>
      <c r="C607" t="s">
        <v>31</v>
      </c>
      <c r="D607">
        <v>2.56075645776348</v>
      </c>
    </row>
    <row r="608" spans="2:4" x14ac:dyDescent="0.2">
      <c r="B608" s="6">
        <v>41337</v>
      </c>
      <c r="C608" t="s">
        <v>31</v>
      </c>
      <c r="D608">
        <v>2.5457760046441602</v>
      </c>
    </row>
    <row r="609" spans="2:4" x14ac:dyDescent="0.2">
      <c r="B609" s="6">
        <v>41334</v>
      </c>
      <c r="C609" t="s">
        <v>31</v>
      </c>
      <c r="D609">
        <v>2.5299300395983999</v>
      </c>
    </row>
    <row r="610" spans="2:4" x14ac:dyDescent="0.2">
      <c r="B610" s="6">
        <v>41333</v>
      </c>
      <c r="C610" t="s">
        <v>31</v>
      </c>
      <c r="D610">
        <v>2.5448374323223399</v>
      </c>
    </row>
    <row r="611" spans="2:4" x14ac:dyDescent="0.2">
      <c r="B611" s="6">
        <v>41332</v>
      </c>
      <c r="C611" t="s">
        <v>31</v>
      </c>
      <c r="D611">
        <v>2.5732198821136101</v>
      </c>
    </row>
    <row r="612" spans="2:4" x14ac:dyDescent="0.2">
      <c r="B612" s="6">
        <v>41331</v>
      </c>
      <c r="C612" t="s">
        <v>31</v>
      </c>
      <c r="D612">
        <v>2.5389569445759999</v>
      </c>
    </row>
    <row r="613" spans="2:4" x14ac:dyDescent="0.2">
      <c r="B613" s="6">
        <v>41330</v>
      </c>
      <c r="C613" t="s">
        <v>31</v>
      </c>
      <c r="D613">
        <v>2.5578588429933502</v>
      </c>
    </row>
    <row r="614" spans="2:4" x14ac:dyDescent="0.2">
      <c r="B614" s="6">
        <v>41327</v>
      </c>
      <c r="C614" t="s">
        <v>31</v>
      </c>
      <c r="D614">
        <v>2.6251399034844098</v>
      </c>
    </row>
    <row r="615" spans="2:4" x14ac:dyDescent="0.2">
      <c r="B615" s="6">
        <v>41326</v>
      </c>
      <c r="C615" t="s">
        <v>31</v>
      </c>
      <c r="D615">
        <v>2.6257405351132901</v>
      </c>
    </row>
    <row r="616" spans="2:4" x14ac:dyDescent="0.2">
      <c r="B616" s="6">
        <v>41325</v>
      </c>
      <c r="C616" t="s">
        <v>31</v>
      </c>
      <c r="D616">
        <v>2.63796949913782</v>
      </c>
    </row>
    <row r="617" spans="2:4" x14ac:dyDescent="0.2">
      <c r="B617" s="6">
        <v>41324</v>
      </c>
      <c r="C617" t="s">
        <v>31</v>
      </c>
      <c r="D617">
        <v>2.6380211947179002</v>
      </c>
    </row>
    <row r="618" spans="2:4" x14ac:dyDescent="0.2">
      <c r="B618" s="6">
        <v>41320</v>
      </c>
      <c r="C618" t="s">
        <v>31</v>
      </c>
      <c r="D618">
        <v>2.6207856725732901</v>
      </c>
    </row>
    <row r="619" spans="2:4" x14ac:dyDescent="0.2">
      <c r="B619" s="6">
        <v>41319</v>
      </c>
      <c r="C619" t="s">
        <v>31</v>
      </c>
      <c r="D619">
        <v>2.6085491789438602</v>
      </c>
    </row>
    <row r="620" spans="2:4" x14ac:dyDescent="0.2">
      <c r="B620" s="6">
        <v>41318</v>
      </c>
      <c r="C620" t="s">
        <v>31</v>
      </c>
      <c r="D620">
        <v>2.6537197373142098</v>
      </c>
    </row>
    <row r="621" spans="2:4" x14ac:dyDescent="0.2">
      <c r="B621" s="6">
        <v>41317</v>
      </c>
      <c r="C621" t="s">
        <v>31</v>
      </c>
      <c r="D621">
        <v>2.6070118411689598</v>
      </c>
    </row>
    <row r="622" spans="2:4" x14ac:dyDescent="0.2">
      <c r="B622" s="6">
        <v>41316</v>
      </c>
      <c r="C622" t="s">
        <v>31</v>
      </c>
      <c r="D622">
        <v>2.56530846465939</v>
      </c>
    </row>
    <row r="623" spans="2:4" x14ac:dyDescent="0.2">
      <c r="B623" s="6">
        <v>41313</v>
      </c>
      <c r="C623" t="s">
        <v>31</v>
      </c>
      <c r="D623">
        <v>2.5731755488249699</v>
      </c>
    </row>
    <row r="624" spans="2:4" x14ac:dyDescent="0.2">
      <c r="B624" s="6">
        <v>41312</v>
      </c>
      <c r="C624" t="s">
        <v>31</v>
      </c>
      <c r="D624">
        <v>2.5513624904448799</v>
      </c>
    </row>
    <row r="625" spans="2:4" x14ac:dyDescent="0.2">
      <c r="B625" s="6">
        <v>41311</v>
      </c>
      <c r="C625" t="s">
        <v>31</v>
      </c>
      <c r="D625">
        <v>2.55943207517402</v>
      </c>
    </row>
    <row r="626" spans="2:4" x14ac:dyDescent="0.2">
      <c r="B626" s="6">
        <v>41310</v>
      </c>
      <c r="C626" t="s">
        <v>31</v>
      </c>
      <c r="D626">
        <v>2.6005196496782901</v>
      </c>
    </row>
    <row r="627" spans="2:4" x14ac:dyDescent="0.2">
      <c r="B627" s="6">
        <v>41309</v>
      </c>
      <c r="C627" t="s">
        <v>31</v>
      </c>
      <c r="D627">
        <v>2.5556270132589098</v>
      </c>
    </row>
    <row r="628" spans="2:4" x14ac:dyDescent="0.2">
      <c r="B628" s="6">
        <v>41306</v>
      </c>
      <c r="C628" t="s">
        <v>31</v>
      </c>
      <c r="D628">
        <v>2.5914055356862402</v>
      </c>
    </row>
    <row r="629" spans="2:4" x14ac:dyDescent="0.2">
      <c r="B629" s="6">
        <v>41305</v>
      </c>
      <c r="C629" t="s">
        <v>31</v>
      </c>
      <c r="D629">
        <v>2.57376759097352</v>
      </c>
    </row>
    <row r="630" spans="2:4" x14ac:dyDescent="0.2">
      <c r="B630" s="6">
        <v>41304</v>
      </c>
      <c r="C630" t="s">
        <v>31</v>
      </c>
      <c r="D630">
        <v>2.5772925233697599</v>
      </c>
    </row>
    <row r="631" spans="2:4" x14ac:dyDescent="0.2">
      <c r="B631" s="6">
        <v>41303</v>
      </c>
      <c r="C631" t="s">
        <v>31</v>
      </c>
      <c r="D631">
        <v>2.5598092537420398</v>
      </c>
    </row>
    <row r="632" spans="2:4" x14ac:dyDescent="0.2">
      <c r="B632" s="6">
        <v>41302</v>
      </c>
      <c r="C632" t="s">
        <v>31</v>
      </c>
      <c r="D632">
        <v>2.5393282304868099</v>
      </c>
    </row>
    <row r="633" spans="2:4" x14ac:dyDescent="0.2">
      <c r="B633" s="6">
        <v>41299</v>
      </c>
      <c r="C633" t="s">
        <v>31</v>
      </c>
      <c r="D633">
        <v>2.50531849536197</v>
      </c>
    </row>
    <row r="634" spans="2:4" x14ac:dyDescent="0.2">
      <c r="B634" s="6">
        <v>41298</v>
      </c>
      <c r="C634" t="s">
        <v>31</v>
      </c>
      <c r="D634">
        <v>2.3674188938348699</v>
      </c>
    </row>
    <row r="635" spans="2:4" x14ac:dyDescent="0.2">
      <c r="B635" s="6">
        <v>41297</v>
      </c>
      <c r="C635" t="s">
        <v>31</v>
      </c>
      <c r="D635">
        <v>2.3433125325998301</v>
      </c>
    </row>
    <row r="636" spans="2:4" x14ac:dyDescent="0.2">
      <c r="B636" s="6">
        <v>41296</v>
      </c>
      <c r="C636" t="s">
        <v>31</v>
      </c>
      <c r="D636">
        <v>2.35220774246172</v>
      </c>
    </row>
    <row r="637" spans="2:4" x14ac:dyDescent="0.2">
      <c r="B637" s="6">
        <v>41292</v>
      </c>
      <c r="C637" t="s">
        <v>31</v>
      </c>
      <c r="D637">
        <v>2.3502791672529901</v>
      </c>
    </row>
    <row r="638" spans="2:4" x14ac:dyDescent="0.2">
      <c r="B638" s="6">
        <v>41291</v>
      </c>
      <c r="C638" t="s">
        <v>31</v>
      </c>
      <c r="D638">
        <v>2.3689111618910199</v>
      </c>
    </row>
    <row r="639" spans="2:4" x14ac:dyDescent="0.2">
      <c r="B639" s="6">
        <v>41290</v>
      </c>
      <c r="C639" t="s">
        <v>31</v>
      </c>
      <c r="D639">
        <v>2.2944098288443899</v>
      </c>
    </row>
    <row r="640" spans="2:4" x14ac:dyDescent="0.2">
      <c r="B640" s="6">
        <v>41289</v>
      </c>
      <c r="C640" t="s">
        <v>31</v>
      </c>
      <c r="D640">
        <v>2.2938425272831502</v>
      </c>
    </row>
    <row r="641" spans="2:4" x14ac:dyDescent="0.2">
      <c r="B641" s="6">
        <v>41288</v>
      </c>
      <c r="C641" t="s">
        <v>31</v>
      </c>
      <c r="D641">
        <v>2.2784009909774001</v>
      </c>
    </row>
    <row r="642" spans="2:4" x14ac:dyDescent="0.2">
      <c r="B642" s="6">
        <v>41285</v>
      </c>
      <c r="C642" t="s">
        <v>31</v>
      </c>
      <c r="D642">
        <v>2.2816853967186499</v>
      </c>
    </row>
    <row r="643" spans="2:4" x14ac:dyDescent="0.2">
      <c r="B643" s="6">
        <v>41284</v>
      </c>
      <c r="C643" t="s">
        <v>31</v>
      </c>
      <c r="D643">
        <v>2.3058062237430601</v>
      </c>
    </row>
    <row r="644" spans="2:4" x14ac:dyDescent="0.2">
      <c r="B644" s="6">
        <v>41283</v>
      </c>
      <c r="C644" t="s">
        <v>31</v>
      </c>
      <c r="D644">
        <v>2.2542377381479901</v>
      </c>
    </row>
    <row r="645" spans="2:4" x14ac:dyDescent="0.2">
      <c r="B645" s="6">
        <v>41282</v>
      </c>
      <c r="C645" t="s">
        <v>31</v>
      </c>
      <c r="D645">
        <v>2.2872202205924901</v>
      </c>
    </row>
    <row r="646" spans="2:4" x14ac:dyDescent="0.2">
      <c r="B646" s="6">
        <v>41281</v>
      </c>
      <c r="C646" t="s">
        <v>31</v>
      </c>
      <c r="D646">
        <v>2.3132421541265802</v>
      </c>
    </row>
    <row r="647" spans="2:4" x14ac:dyDescent="0.2">
      <c r="B647" s="6">
        <v>41278</v>
      </c>
      <c r="C647" t="s">
        <v>31</v>
      </c>
      <c r="D647">
        <v>2.3583903097049501</v>
      </c>
    </row>
    <row r="648" spans="2:4" x14ac:dyDescent="0.2">
      <c r="B648" s="6">
        <v>41277</v>
      </c>
      <c r="C648" t="s">
        <v>31</v>
      </c>
      <c r="D648">
        <v>2.33893527316877</v>
      </c>
    </row>
    <row r="649" spans="2:4" x14ac:dyDescent="0.2">
      <c r="B649" s="6">
        <v>41276</v>
      </c>
      <c r="C649" t="s">
        <v>31</v>
      </c>
      <c r="D649">
        <v>2.2179772298988301</v>
      </c>
    </row>
    <row r="650" spans="2:4" x14ac:dyDescent="0.2">
      <c r="B650" s="6">
        <v>41274</v>
      </c>
      <c r="C650" t="s">
        <v>31</v>
      </c>
      <c r="D650">
        <v>2.1517307112587098</v>
      </c>
    </row>
    <row r="651" spans="2:4" x14ac:dyDescent="0.2">
      <c r="B651" s="6">
        <v>41271</v>
      </c>
      <c r="C651" t="s">
        <v>31</v>
      </c>
      <c r="D651">
        <v>2.1401763219910399</v>
      </c>
    </row>
    <row r="652" spans="2:4" x14ac:dyDescent="0.2">
      <c r="B652" s="6">
        <v>41270</v>
      </c>
      <c r="C652" t="s">
        <v>31</v>
      </c>
      <c r="D652">
        <v>2.12227766952706</v>
      </c>
    </row>
    <row r="653" spans="2:4" x14ac:dyDescent="0.2">
      <c r="B653" s="6">
        <v>41269</v>
      </c>
      <c r="C653" t="s">
        <v>31</v>
      </c>
      <c r="D653">
        <v>2.1575085514306598</v>
      </c>
    </row>
    <row r="654" spans="2:4" x14ac:dyDescent="0.2">
      <c r="B654" s="6">
        <v>41267</v>
      </c>
      <c r="C654" t="s">
        <v>31</v>
      </c>
      <c r="D654">
        <v>2.1781660184228402</v>
      </c>
    </row>
    <row r="655" spans="2:4" x14ac:dyDescent="0.2">
      <c r="B655" s="6">
        <v>41264</v>
      </c>
      <c r="C655" t="s">
        <v>31</v>
      </c>
      <c r="D655">
        <v>2.14957407921754</v>
      </c>
    </row>
    <row r="656" spans="2:4" x14ac:dyDescent="0.2">
      <c r="B656" s="6">
        <v>41263</v>
      </c>
      <c r="C656" t="s">
        <v>31</v>
      </c>
      <c r="D656">
        <v>2.18927927513684</v>
      </c>
    </row>
    <row r="657" spans="2:4" x14ac:dyDescent="0.2">
      <c r="B657" s="6">
        <v>41262</v>
      </c>
      <c r="C657" t="s">
        <v>31</v>
      </c>
      <c r="D657">
        <v>2.20825796099597</v>
      </c>
    </row>
    <row r="658" spans="2:4" x14ac:dyDescent="0.2">
      <c r="B658" s="6">
        <v>41261</v>
      </c>
      <c r="C658" t="s">
        <v>31</v>
      </c>
      <c r="D658">
        <v>2.2549632116225702</v>
      </c>
    </row>
    <row r="659" spans="2:4" x14ac:dyDescent="0.2">
      <c r="B659" s="6">
        <v>41260</v>
      </c>
      <c r="C659" t="s">
        <v>31</v>
      </c>
      <c r="D659">
        <v>2.1860869431888501</v>
      </c>
    </row>
    <row r="660" spans="2:4" x14ac:dyDescent="0.2">
      <c r="B660" s="6">
        <v>41257</v>
      </c>
      <c r="C660" t="s">
        <v>31</v>
      </c>
      <c r="D660">
        <v>2.1747058079367898</v>
      </c>
    </row>
    <row r="661" spans="2:4" x14ac:dyDescent="0.2">
      <c r="B661" s="6">
        <v>41256</v>
      </c>
      <c r="C661" t="s">
        <v>31</v>
      </c>
      <c r="D661">
        <v>2.17954329599754</v>
      </c>
    </row>
    <row r="662" spans="2:4" x14ac:dyDescent="0.2">
      <c r="B662" s="6">
        <v>41255</v>
      </c>
      <c r="C662" t="s">
        <v>31</v>
      </c>
      <c r="D662">
        <v>2.1698452448822598</v>
      </c>
    </row>
    <row r="663" spans="2:4" x14ac:dyDescent="0.2">
      <c r="B663" s="6">
        <v>41254</v>
      </c>
      <c r="C663" t="s">
        <v>31</v>
      </c>
      <c r="D663">
        <v>2.1257047070821802</v>
      </c>
    </row>
    <row r="664" spans="2:4" x14ac:dyDescent="0.2">
      <c r="B664" s="6">
        <v>41253</v>
      </c>
      <c r="C664" t="s">
        <v>31</v>
      </c>
      <c r="D664">
        <v>2.1263199579473602</v>
      </c>
    </row>
    <row r="665" spans="2:4" x14ac:dyDescent="0.2">
      <c r="B665" s="6">
        <v>41250</v>
      </c>
      <c r="C665" t="s">
        <v>31</v>
      </c>
      <c r="D665">
        <v>2.1663327490122799</v>
      </c>
    </row>
    <row r="666" spans="2:4" x14ac:dyDescent="0.2">
      <c r="B666" s="6">
        <v>41249</v>
      </c>
      <c r="C666" t="s">
        <v>31</v>
      </c>
      <c r="D666">
        <v>2.1082736282319798</v>
      </c>
    </row>
    <row r="667" spans="2:4" x14ac:dyDescent="0.2">
      <c r="B667" s="6">
        <v>41248</v>
      </c>
      <c r="C667" t="s">
        <v>31</v>
      </c>
      <c r="D667">
        <v>2.0799414922025399</v>
      </c>
    </row>
    <row r="668" spans="2:4" x14ac:dyDescent="0.2">
      <c r="B668" s="6">
        <v>41247</v>
      </c>
      <c r="C668" t="s">
        <v>31</v>
      </c>
      <c r="D668">
        <v>2.0678302367394399</v>
      </c>
    </row>
    <row r="669" spans="2:4" x14ac:dyDescent="0.2">
      <c r="B669" s="6">
        <v>41246</v>
      </c>
      <c r="C669" t="s">
        <v>31</v>
      </c>
      <c r="D669">
        <v>2.0862225711456399</v>
      </c>
    </row>
    <row r="670" spans="2:4" x14ac:dyDescent="0.2">
      <c r="B670" s="6">
        <v>41243</v>
      </c>
      <c r="C670" t="s">
        <v>31</v>
      </c>
      <c r="D670">
        <v>2.0725335490580301</v>
      </c>
    </row>
    <row r="671" spans="2:4" x14ac:dyDescent="0.2">
      <c r="B671" s="6">
        <v>41242</v>
      </c>
      <c r="C671" t="s">
        <v>31</v>
      </c>
      <c r="D671">
        <v>2.0724438614292899</v>
      </c>
    </row>
    <row r="672" spans="2:4" x14ac:dyDescent="0.2">
      <c r="B672" s="6">
        <v>41241</v>
      </c>
      <c r="C672" t="s">
        <v>31</v>
      </c>
      <c r="D672">
        <v>2.0509742576327699</v>
      </c>
    </row>
    <row r="673" spans="2:4" x14ac:dyDescent="0.2">
      <c r="B673" s="6">
        <v>41240</v>
      </c>
      <c r="C673" t="s">
        <v>31</v>
      </c>
      <c r="D673">
        <v>2.0440489527996202</v>
      </c>
    </row>
    <row r="674" spans="2:4" x14ac:dyDescent="0.2">
      <c r="B674" s="6">
        <v>41239</v>
      </c>
      <c r="C674" t="s">
        <v>31</v>
      </c>
      <c r="D674">
        <v>2.1328988734204701</v>
      </c>
    </row>
    <row r="675" spans="2:4" x14ac:dyDescent="0.2">
      <c r="B675" s="6">
        <v>41236</v>
      </c>
      <c r="C675" t="s">
        <v>31</v>
      </c>
      <c r="D675">
        <v>2.2012643194611901</v>
      </c>
    </row>
    <row r="676" spans="2:4" x14ac:dyDescent="0.2">
      <c r="B676" s="6">
        <v>41234</v>
      </c>
      <c r="C676" t="s">
        <v>31</v>
      </c>
      <c r="D676">
        <v>2.1925425327534098</v>
      </c>
    </row>
    <row r="677" spans="2:4" x14ac:dyDescent="0.2">
      <c r="B677" s="6">
        <v>41233</v>
      </c>
      <c r="C677" t="s">
        <v>31</v>
      </c>
      <c r="D677">
        <v>2.1420411801194499</v>
      </c>
    </row>
    <row r="678" spans="2:4" x14ac:dyDescent="0.2">
      <c r="B678" s="6">
        <v>41232</v>
      </c>
      <c r="C678" t="s">
        <v>31</v>
      </c>
      <c r="D678">
        <v>2.0699676944682599</v>
      </c>
    </row>
    <row r="679" spans="2:4" x14ac:dyDescent="0.2">
      <c r="B679" s="6">
        <v>41229</v>
      </c>
      <c r="C679" t="s">
        <v>31</v>
      </c>
      <c r="D679">
        <v>2.0361071292777302</v>
      </c>
    </row>
    <row r="680" spans="2:4" x14ac:dyDescent="0.2">
      <c r="B680" s="6">
        <v>41228</v>
      </c>
      <c r="C680" t="s">
        <v>31</v>
      </c>
      <c r="D680">
        <v>2.0923386430292501</v>
      </c>
    </row>
    <row r="681" spans="2:4" x14ac:dyDescent="0.2">
      <c r="B681" s="6">
        <v>41227</v>
      </c>
      <c r="C681" t="s">
        <v>31</v>
      </c>
      <c r="D681">
        <v>2.1343540804519301</v>
      </c>
    </row>
    <row r="682" spans="2:4" x14ac:dyDescent="0.2">
      <c r="B682" s="6">
        <v>41226</v>
      </c>
      <c r="C682" t="s">
        <v>31</v>
      </c>
      <c r="D682">
        <v>2.0829778986268401</v>
      </c>
    </row>
    <row r="683" spans="2:4" x14ac:dyDescent="0.2">
      <c r="B683" s="6">
        <v>41222</v>
      </c>
      <c r="C683" t="s">
        <v>31</v>
      </c>
      <c r="D683">
        <v>2.0595956654124499</v>
      </c>
    </row>
    <row r="684" spans="2:4" x14ac:dyDescent="0.2">
      <c r="B684" s="6">
        <v>41221</v>
      </c>
      <c r="C684" t="s">
        <v>31</v>
      </c>
      <c r="D684">
        <v>2.04956432037537</v>
      </c>
    </row>
    <row r="685" spans="2:4" x14ac:dyDescent="0.2">
      <c r="B685" s="6">
        <v>41220</v>
      </c>
      <c r="C685" t="s">
        <v>31</v>
      </c>
      <c r="D685">
        <v>2.0919724577728598</v>
      </c>
    </row>
    <row r="686" spans="2:4" x14ac:dyDescent="0.2">
      <c r="B686" s="6">
        <v>41219</v>
      </c>
      <c r="C686" t="s">
        <v>31</v>
      </c>
      <c r="D686">
        <v>2.2488911274377399</v>
      </c>
    </row>
    <row r="687" spans="2:4" x14ac:dyDescent="0.2">
      <c r="B687" s="6">
        <v>41218</v>
      </c>
      <c r="C687" t="s">
        <v>31</v>
      </c>
      <c r="D687">
        <v>2.1479421519661601</v>
      </c>
    </row>
    <row r="688" spans="2:4" x14ac:dyDescent="0.2">
      <c r="B688" s="6">
        <v>41215</v>
      </c>
      <c r="C688" t="s">
        <v>31</v>
      </c>
      <c r="D688">
        <v>2.1949310629738199</v>
      </c>
    </row>
    <row r="689" spans="2:4" x14ac:dyDescent="0.2">
      <c r="B689" s="6">
        <v>41214</v>
      </c>
      <c r="C689" t="s">
        <v>31</v>
      </c>
      <c r="D689">
        <v>2.2324289694544102</v>
      </c>
    </row>
    <row r="690" spans="2:4" x14ac:dyDescent="0.2">
      <c r="B690" s="6">
        <v>41213</v>
      </c>
      <c r="C690" t="s">
        <v>31</v>
      </c>
      <c r="D690">
        <v>2.1423497452898399</v>
      </c>
    </row>
    <row r="691" spans="2:4" x14ac:dyDescent="0.2">
      <c r="B691" s="6">
        <v>41211</v>
      </c>
      <c r="C691" t="s">
        <v>31</v>
      </c>
      <c r="D691">
        <v>2.1758632003490601</v>
      </c>
    </row>
    <row r="692" spans="2:4" x14ac:dyDescent="0.2">
      <c r="B692" s="6">
        <v>41208</v>
      </c>
      <c r="C692" t="s">
        <v>31</v>
      </c>
      <c r="D692">
        <v>2.2062412812927401</v>
      </c>
    </row>
    <row r="693" spans="2:4" x14ac:dyDescent="0.2">
      <c r="B693" s="6">
        <v>41207</v>
      </c>
      <c r="C693" t="s">
        <v>31</v>
      </c>
      <c r="D693">
        <v>2.2775343256732099</v>
      </c>
    </row>
    <row r="694" spans="2:4" x14ac:dyDescent="0.2">
      <c r="B694" s="6">
        <v>41206</v>
      </c>
      <c r="C694" t="s">
        <v>31</v>
      </c>
      <c r="D694">
        <v>2.2250151290701798</v>
      </c>
    </row>
    <row r="695" spans="2:4" x14ac:dyDescent="0.2">
      <c r="B695" s="6">
        <v>41205</v>
      </c>
      <c r="C695" t="s">
        <v>31</v>
      </c>
      <c r="D695">
        <v>2.1883122196514102</v>
      </c>
    </row>
    <row r="696" spans="2:4" x14ac:dyDescent="0.2">
      <c r="B696" s="6">
        <v>41204</v>
      </c>
      <c r="C696" t="s">
        <v>31</v>
      </c>
      <c r="D696">
        <v>2.2048003727510999</v>
      </c>
    </row>
    <row r="697" spans="2:4" x14ac:dyDescent="0.2">
      <c r="B697" s="6">
        <v>41201</v>
      </c>
      <c r="C697" t="s">
        <v>31</v>
      </c>
      <c r="D697">
        <v>2.17149064090427</v>
      </c>
    </row>
    <row r="698" spans="2:4" x14ac:dyDescent="0.2">
      <c r="B698" s="6">
        <v>41200</v>
      </c>
      <c r="C698" t="s">
        <v>31</v>
      </c>
      <c r="D698">
        <v>2.23804060063864</v>
      </c>
    </row>
    <row r="699" spans="2:4" x14ac:dyDescent="0.2">
      <c r="B699" s="6">
        <v>41199</v>
      </c>
      <c r="C699" t="s">
        <v>31</v>
      </c>
      <c r="D699">
        <v>2.1999397264302898</v>
      </c>
    </row>
    <row r="700" spans="2:4" x14ac:dyDescent="0.2">
      <c r="B700" s="6">
        <v>41198</v>
      </c>
      <c r="C700" t="s">
        <v>31</v>
      </c>
      <c r="D700">
        <v>2.0903131154582399</v>
      </c>
    </row>
    <row r="701" spans="2:4" x14ac:dyDescent="0.2">
      <c r="B701" s="6">
        <v>41197</v>
      </c>
      <c r="C701" t="s">
        <v>31</v>
      </c>
      <c r="D701">
        <v>2.0433983497425001</v>
      </c>
    </row>
    <row r="702" spans="2:4" x14ac:dyDescent="0.2">
      <c r="B702" s="6">
        <v>41194</v>
      </c>
      <c r="C702" t="s">
        <v>31</v>
      </c>
      <c r="D702">
        <v>2.0148705784973</v>
      </c>
    </row>
    <row r="703" spans="2:4" x14ac:dyDescent="0.2">
      <c r="B703" s="6">
        <v>41193</v>
      </c>
      <c r="C703" t="s">
        <v>31</v>
      </c>
      <c r="D703">
        <v>2.0188150642087299</v>
      </c>
    </row>
    <row r="704" spans="2:4" x14ac:dyDescent="0.2">
      <c r="B704" s="6">
        <v>41192</v>
      </c>
      <c r="C704" t="s">
        <v>31</v>
      </c>
      <c r="D704">
        <v>2.0566984028863402</v>
      </c>
    </row>
    <row r="705" spans="2:4" x14ac:dyDescent="0.2">
      <c r="B705" s="6">
        <v>41191</v>
      </c>
      <c r="C705" t="s">
        <v>31</v>
      </c>
      <c r="D705">
        <v>2.1121992044017102</v>
      </c>
    </row>
    <row r="706" spans="2:4" x14ac:dyDescent="0.2">
      <c r="B706" s="6">
        <v>41187</v>
      </c>
      <c r="C706" t="s">
        <v>31</v>
      </c>
      <c r="D706">
        <v>2.0999165140206202</v>
      </c>
    </row>
    <row r="707" spans="2:4" x14ac:dyDescent="0.2">
      <c r="B707" s="6">
        <v>41186</v>
      </c>
      <c r="C707" t="s">
        <v>31</v>
      </c>
      <c r="D707">
        <v>2.0658821659188802</v>
      </c>
    </row>
    <row r="708" spans="2:4" x14ac:dyDescent="0.2">
      <c r="B708" s="6">
        <v>41185</v>
      </c>
      <c r="C708" t="s">
        <v>31</v>
      </c>
      <c r="D708">
        <v>1.9744446236261499</v>
      </c>
    </row>
    <row r="709" spans="2:4" x14ac:dyDescent="0.2">
      <c r="B709" s="6">
        <v>41184</v>
      </c>
      <c r="C709" t="s">
        <v>31</v>
      </c>
      <c r="D709">
        <v>1.89926870046304</v>
      </c>
    </row>
    <row r="710" spans="2:4" x14ac:dyDescent="0.2">
      <c r="B710" s="6">
        <v>41183</v>
      </c>
      <c r="C710" t="s">
        <v>31</v>
      </c>
      <c r="D710">
        <v>1.9791061697796299</v>
      </c>
    </row>
    <row r="711" spans="2:4" x14ac:dyDescent="0.2">
      <c r="B711" s="6">
        <v>41180</v>
      </c>
      <c r="C711" t="s">
        <v>31</v>
      </c>
      <c r="D711">
        <v>2.0399140401394802</v>
      </c>
    </row>
    <row r="712" spans="2:4" x14ac:dyDescent="0.2">
      <c r="B712" s="6">
        <v>41179</v>
      </c>
      <c r="C712" t="s">
        <v>31</v>
      </c>
      <c r="D712">
        <v>2.0509749333657501</v>
      </c>
    </row>
    <row r="713" spans="2:4" x14ac:dyDescent="0.2">
      <c r="B713" s="6">
        <v>41178</v>
      </c>
      <c r="C713" t="s">
        <v>31</v>
      </c>
      <c r="D713">
        <v>1.9736635579989501</v>
      </c>
    </row>
    <row r="714" spans="2:4" x14ac:dyDescent="0.2">
      <c r="B714" s="6">
        <v>41177</v>
      </c>
      <c r="C714" t="s">
        <v>31</v>
      </c>
      <c r="D714">
        <v>1.9795562323798399</v>
      </c>
    </row>
    <row r="715" spans="2:4" x14ac:dyDescent="0.2">
      <c r="B715" s="6">
        <v>41176</v>
      </c>
      <c r="C715" t="s">
        <v>31</v>
      </c>
      <c r="D715">
        <v>2.0433470771670201</v>
      </c>
    </row>
    <row r="716" spans="2:4" x14ac:dyDescent="0.2">
      <c r="B716" s="6">
        <v>41173</v>
      </c>
      <c r="C716" t="s">
        <v>31</v>
      </c>
      <c r="D716">
        <v>2.0967004826224001</v>
      </c>
    </row>
    <row r="717" spans="2:4" x14ac:dyDescent="0.2">
      <c r="B717" s="6">
        <v>41172</v>
      </c>
      <c r="C717" t="s">
        <v>31</v>
      </c>
      <c r="D717">
        <v>2.1699341948075102</v>
      </c>
    </row>
    <row r="718" spans="2:4" x14ac:dyDescent="0.2">
      <c r="B718" s="6">
        <v>41171</v>
      </c>
      <c r="C718" t="s">
        <v>31</v>
      </c>
      <c r="D718">
        <v>2.2108565855724298</v>
      </c>
    </row>
    <row r="719" spans="2:4" x14ac:dyDescent="0.2">
      <c r="B719" s="6">
        <v>41170</v>
      </c>
      <c r="C719" t="s">
        <v>31</v>
      </c>
      <c r="D719">
        <v>2.2693986193058602</v>
      </c>
    </row>
    <row r="720" spans="2:4" x14ac:dyDescent="0.2">
      <c r="B720" s="6">
        <v>41169</v>
      </c>
      <c r="C720" t="s">
        <v>31</v>
      </c>
      <c r="D720">
        <v>2.2811650726171102</v>
      </c>
    </row>
    <row r="721" spans="2:4" x14ac:dyDescent="0.2">
      <c r="B721" s="6">
        <v>41166</v>
      </c>
      <c r="C721" t="s">
        <v>31</v>
      </c>
      <c r="D721">
        <v>2.2680491660278101</v>
      </c>
    </row>
    <row r="722" spans="2:4" x14ac:dyDescent="0.2">
      <c r="B722" s="6">
        <v>41165</v>
      </c>
      <c r="C722" t="s">
        <v>31</v>
      </c>
      <c r="D722">
        <v>2.2060134697218898</v>
      </c>
    </row>
    <row r="723" spans="2:4" x14ac:dyDescent="0.2">
      <c r="B723" s="6">
        <v>41164</v>
      </c>
      <c r="C723" t="s">
        <v>31</v>
      </c>
      <c r="D723">
        <v>2.4292166245487601</v>
      </c>
    </row>
    <row r="724" spans="2:4" x14ac:dyDescent="0.2">
      <c r="B724" s="6">
        <v>41163</v>
      </c>
      <c r="C724" t="s">
        <v>31</v>
      </c>
      <c r="D724">
        <v>2.3937114953982901</v>
      </c>
    </row>
    <row r="725" spans="2:4" x14ac:dyDescent="0.2">
      <c r="B725" s="6">
        <v>41162</v>
      </c>
      <c r="C725" t="s">
        <v>31</v>
      </c>
      <c r="D725">
        <v>2.3778465565534201</v>
      </c>
    </row>
    <row r="726" spans="2:4" x14ac:dyDescent="0.2">
      <c r="B726" s="6">
        <v>41159</v>
      </c>
      <c r="C726" t="s">
        <v>31</v>
      </c>
      <c r="D726">
        <v>2.3738371878590399</v>
      </c>
    </row>
    <row r="727" spans="2:4" x14ac:dyDescent="0.2">
      <c r="B727" s="6">
        <v>41158</v>
      </c>
      <c r="C727" t="s">
        <v>31</v>
      </c>
      <c r="D727">
        <v>2.4560721347491201</v>
      </c>
    </row>
    <row r="728" spans="2:4" x14ac:dyDescent="0.2">
      <c r="B728" s="6">
        <v>41157</v>
      </c>
      <c r="C728" t="s">
        <v>31</v>
      </c>
      <c r="D728">
        <v>2.39527607095176</v>
      </c>
    </row>
    <row r="729" spans="2:4" x14ac:dyDescent="0.2">
      <c r="B729" s="6">
        <v>41156</v>
      </c>
      <c r="C729" t="s">
        <v>31</v>
      </c>
      <c r="D729">
        <v>2.3841669341916099</v>
      </c>
    </row>
    <row r="730" spans="2:4" x14ac:dyDescent="0.2">
      <c r="B730" s="6">
        <v>41152</v>
      </c>
      <c r="C730" t="s">
        <v>31</v>
      </c>
      <c r="D730">
        <v>2.3689486742097801</v>
      </c>
    </row>
    <row r="731" spans="2:4" x14ac:dyDescent="0.2">
      <c r="B731" s="6">
        <v>41151</v>
      </c>
      <c r="C731" t="s">
        <v>31</v>
      </c>
      <c r="D731">
        <v>2.4337082726962702</v>
      </c>
    </row>
    <row r="732" spans="2:4" x14ac:dyDescent="0.2">
      <c r="B732" s="6">
        <v>41150</v>
      </c>
      <c r="C732" t="s">
        <v>31</v>
      </c>
      <c r="D732">
        <v>2.4687840450515499</v>
      </c>
    </row>
    <row r="733" spans="2:4" x14ac:dyDescent="0.2">
      <c r="B733" s="6">
        <v>41149</v>
      </c>
      <c r="C733" t="s">
        <v>31</v>
      </c>
      <c r="D733">
        <v>2.4110384199427202</v>
      </c>
    </row>
    <row r="734" spans="2:4" x14ac:dyDescent="0.2">
      <c r="B734" s="6">
        <v>41148</v>
      </c>
      <c r="C734" t="s">
        <v>31</v>
      </c>
      <c r="D734">
        <v>2.4407526300903402</v>
      </c>
    </row>
    <row r="735" spans="2:4" x14ac:dyDescent="0.2">
      <c r="B735" s="6">
        <v>41145</v>
      </c>
      <c r="C735" t="s">
        <v>31</v>
      </c>
      <c r="D735">
        <v>2.4760934642707801</v>
      </c>
    </row>
    <row r="736" spans="2:4" x14ac:dyDescent="0.2">
      <c r="B736" s="6">
        <v>41144</v>
      </c>
      <c r="C736" t="s">
        <v>31</v>
      </c>
      <c r="D736">
        <v>2.4447051610431401</v>
      </c>
    </row>
    <row r="737" spans="2:4" x14ac:dyDescent="0.2">
      <c r="B737" s="6">
        <v>41143</v>
      </c>
      <c r="C737" t="s">
        <v>31</v>
      </c>
      <c r="D737">
        <v>2.5120707644049798</v>
      </c>
    </row>
    <row r="738" spans="2:4" x14ac:dyDescent="0.2">
      <c r="B738" s="6">
        <v>41142</v>
      </c>
      <c r="C738" t="s">
        <v>31</v>
      </c>
      <c r="D738">
        <v>2.6258914158610902</v>
      </c>
    </row>
    <row r="739" spans="2:4" x14ac:dyDescent="0.2">
      <c r="B739" s="6">
        <v>41141</v>
      </c>
      <c r="C739" t="s">
        <v>31</v>
      </c>
      <c r="D739">
        <v>2.6186769861639401</v>
      </c>
    </row>
    <row r="740" spans="2:4" x14ac:dyDescent="0.2">
      <c r="B740" s="6">
        <v>41138</v>
      </c>
      <c r="C740" t="s">
        <v>31</v>
      </c>
      <c r="D740">
        <v>2.6390371038052001</v>
      </c>
    </row>
    <row r="741" spans="2:4" x14ac:dyDescent="0.2">
      <c r="B741" s="6">
        <v>41137</v>
      </c>
      <c r="C741" t="s">
        <v>31</v>
      </c>
      <c r="D741">
        <v>2.67019432510418</v>
      </c>
    </row>
    <row r="742" spans="2:4" x14ac:dyDescent="0.2">
      <c r="B742" s="6">
        <v>41136</v>
      </c>
      <c r="C742" t="s">
        <v>31</v>
      </c>
      <c r="D742">
        <v>2.6381335660023502</v>
      </c>
    </row>
    <row r="743" spans="2:4" x14ac:dyDescent="0.2">
      <c r="B743" s="6">
        <v>41135</v>
      </c>
      <c r="C743" t="s">
        <v>31</v>
      </c>
      <c r="D743">
        <v>2.5032104637526098</v>
      </c>
    </row>
    <row r="744" spans="2:4" x14ac:dyDescent="0.2">
      <c r="B744" s="6">
        <v>41134</v>
      </c>
      <c r="C744" t="s">
        <v>31</v>
      </c>
      <c r="D744">
        <v>2.4326197879338101</v>
      </c>
    </row>
    <row r="745" spans="2:4" x14ac:dyDescent="0.2">
      <c r="B745" s="6">
        <v>41131</v>
      </c>
      <c r="C745" t="s">
        <v>31</v>
      </c>
      <c r="D745">
        <v>2.43734688080974</v>
      </c>
    </row>
    <row r="746" spans="2:4" x14ac:dyDescent="0.2">
      <c r="B746" s="6">
        <v>41130</v>
      </c>
      <c r="C746" t="s">
        <v>31</v>
      </c>
      <c r="D746">
        <v>2.45717074132124</v>
      </c>
    </row>
    <row r="747" spans="2:4" x14ac:dyDescent="0.2">
      <c r="B747" s="6">
        <v>41129</v>
      </c>
      <c r="C747" t="s">
        <v>31</v>
      </c>
      <c r="D747">
        <v>2.45387778372179</v>
      </c>
    </row>
    <row r="748" spans="2:4" x14ac:dyDescent="0.2">
      <c r="B748" s="6">
        <v>41128</v>
      </c>
      <c r="C748" t="s">
        <v>31</v>
      </c>
      <c r="D748">
        <v>2.4648279812140101</v>
      </c>
    </row>
    <row r="749" spans="2:4" x14ac:dyDescent="0.2">
      <c r="B749" s="6">
        <v>41127</v>
      </c>
      <c r="C749" t="s">
        <v>31</v>
      </c>
      <c r="D749">
        <v>2.4102554462908099</v>
      </c>
    </row>
    <row r="750" spans="2:4" x14ac:dyDescent="0.2">
      <c r="B750" s="6">
        <v>41124</v>
      </c>
      <c r="C750" t="s">
        <v>31</v>
      </c>
      <c r="D750">
        <v>2.42675409444622</v>
      </c>
    </row>
    <row r="751" spans="2:4" x14ac:dyDescent="0.2">
      <c r="B751" s="6">
        <v>41123</v>
      </c>
      <c r="C751" t="s">
        <v>31</v>
      </c>
      <c r="D751">
        <v>2.33657189118883</v>
      </c>
    </row>
    <row r="752" spans="2:4" x14ac:dyDescent="0.2">
      <c r="B752" s="6">
        <v>41122</v>
      </c>
      <c r="C752" t="s">
        <v>31</v>
      </c>
      <c r="D752">
        <v>2.3658814096234999</v>
      </c>
    </row>
    <row r="753" spans="2:4" x14ac:dyDescent="0.2">
      <c r="B753" s="6">
        <v>41121</v>
      </c>
      <c r="C753" t="s">
        <v>31</v>
      </c>
      <c r="D753">
        <v>2.3145960727619199</v>
      </c>
    </row>
    <row r="754" spans="2:4" x14ac:dyDescent="0.2">
      <c r="B754" s="6">
        <v>41120</v>
      </c>
      <c r="C754" t="s">
        <v>31</v>
      </c>
      <c r="D754">
        <v>2.3365107534465399</v>
      </c>
    </row>
    <row r="755" spans="2:4" x14ac:dyDescent="0.2">
      <c r="B755" s="6">
        <v>41117</v>
      </c>
      <c r="C755" t="s">
        <v>31</v>
      </c>
      <c r="D755">
        <v>2.4685368274640398</v>
      </c>
    </row>
    <row r="756" spans="2:4" x14ac:dyDescent="0.2">
      <c r="B756" s="6">
        <v>41116</v>
      </c>
      <c r="C756" t="s">
        <v>31</v>
      </c>
      <c r="D756">
        <v>2.2877898548229898</v>
      </c>
    </row>
    <row r="757" spans="2:4" x14ac:dyDescent="0.2">
      <c r="B757" s="6">
        <v>41115</v>
      </c>
      <c r="C757" t="s">
        <v>31</v>
      </c>
      <c r="D757">
        <v>2.2633680242154099</v>
      </c>
    </row>
    <row r="758" spans="2:4" x14ac:dyDescent="0.2">
      <c r="B758" s="6">
        <v>41114</v>
      </c>
      <c r="C758" t="s">
        <v>31</v>
      </c>
      <c r="D758">
        <v>2.2471779895370898</v>
      </c>
    </row>
    <row r="759" spans="2:4" x14ac:dyDescent="0.2">
      <c r="B759" s="6">
        <v>41113</v>
      </c>
      <c r="C759" t="s">
        <v>31</v>
      </c>
      <c r="D759">
        <v>2.27723185682542</v>
      </c>
    </row>
    <row r="760" spans="2:4" x14ac:dyDescent="0.2">
      <c r="B760" s="6">
        <v>41110</v>
      </c>
      <c r="C760" t="s">
        <v>31</v>
      </c>
      <c r="D760">
        <v>2.32496037866738</v>
      </c>
    </row>
    <row r="761" spans="2:4" x14ac:dyDescent="0.2">
      <c r="B761" s="6">
        <v>41109</v>
      </c>
      <c r="C761" t="s">
        <v>31</v>
      </c>
      <c r="D761">
        <v>2.3931217438343899</v>
      </c>
    </row>
    <row r="762" spans="2:4" x14ac:dyDescent="0.2">
      <c r="B762" s="6">
        <v>41108</v>
      </c>
      <c r="C762" t="s">
        <v>31</v>
      </c>
      <c r="D762">
        <v>2.3758504228028601</v>
      </c>
    </row>
    <row r="763" spans="2:4" x14ac:dyDescent="0.2">
      <c r="B763" s="6">
        <v>41107</v>
      </c>
      <c r="C763" t="s">
        <v>31</v>
      </c>
      <c r="D763">
        <v>2.4360959184987601</v>
      </c>
    </row>
    <row r="764" spans="2:4" x14ac:dyDescent="0.2">
      <c r="B764" s="6">
        <v>41106</v>
      </c>
      <c r="C764" t="s">
        <v>31</v>
      </c>
      <c r="D764">
        <v>2.3968423718228902</v>
      </c>
    </row>
    <row r="765" spans="2:4" x14ac:dyDescent="0.2">
      <c r="B765" s="6">
        <v>41103</v>
      </c>
      <c r="C765" t="s">
        <v>31</v>
      </c>
      <c r="D765">
        <v>2.45850252986091</v>
      </c>
    </row>
    <row r="766" spans="2:4" x14ac:dyDescent="0.2">
      <c r="B766" s="6">
        <v>41102</v>
      </c>
      <c r="C766" t="s">
        <v>31</v>
      </c>
      <c r="D766">
        <v>2.4034266466938199</v>
      </c>
    </row>
    <row r="767" spans="2:4" x14ac:dyDescent="0.2">
      <c r="B767" s="6">
        <v>41101</v>
      </c>
      <c r="C767" t="s">
        <v>31</v>
      </c>
      <c r="D767">
        <v>2.4116172706611501</v>
      </c>
    </row>
    <row r="768" spans="2:4" x14ac:dyDescent="0.2">
      <c r="B768" s="6">
        <v>41100</v>
      </c>
      <c r="C768" t="s">
        <v>31</v>
      </c>
      <c r="D768">
        <v>2.42302981927218</v>
      </c>
    </row>
    <row r="769" spans="2:4" x14ac:dyDescent="0.2">
      <c r="B769" s="6">
        <v>41099</v>
      </c>
      <c r="C769" t="s">
        <v>31</v>
      </c>
      <c r="D769">
        <v>2.4491972100580299</v>
      </c>
    </row>
    <row r="770" spans="2:4" x14ac:dyDescent="0.2">
      <c r="B770" s="6">
        <v>41096</v>
      </c>
      <c r="C770" t="s">
        <v>31</v>
      </c>
      <c r="D770">
        <v>2.4766480457309101</v>
      </c>
    </row>
    <row r="771" spans="2:4" x14ac:dyDescent="0.2">
      <c r="B771" s="6">
        <v>41095</v>
      </c>
      <c r="C771" t="s">
        <v>31</v>
      </c>
      <c r="D771">
        <v>2.5563795134905498</v>
      </c>
    </row>
    <row r="772" spans="2:4" x14ac:dyDescent="0.2">
      <c r="B772" s="6">
        <v>41093</v>
      </c>
      <c r="C772" t="s">
        <v>31</v>
      </c>
      <c r="D772">
        <v>2.58328220354782</v>
      </c>
    </row>
    <row r="773" spans="2:4" x14ac:dyDescent="0.2">
      <c r="B773" s="6">
        <v>41092</v>
      </c>
      <c r="C773" t="s">
        <v>31</v>
      </c>
      <c r="D773">
        <v>2.54531844167705</v>
      </c>
    </row>
    <row r="774" spans="2:4" x14ac:dyDescent="0.2">
      <c r="B774" s="6">
        <v>41089</v>
      </c>
      <c r="C774" t="s">
        <v>31</v>
      </c>
      <c r="D774">
        <v>2.6237188553228199</v>
      </c>
    </row>
    <row r="775" spans="2:4" x14ac:dyDescent="0.2">
      <c r="B775" s="6">
        <v>41088</v>
      </c>
      <c r="C775" t="s">
        <v>31</v>
      </c>
      <c r="D775">
        <v>2.5509636037861898</v>
      </c>
    </row>
    <row r="776" spans="2:4" x14ac:dyDescent="0.2">
      <c r="B776" s="6">
        <v>41087</v>
      </c>
      <c r="C776" t="s">
        <v>31</v>
      </c>
      <c r="D776">
        <v>2.5886723749410501</v>
      </c>
    </row>
    <row r="777" spans="2:4" x14ac:dyDescent="0.2">
      <c r="B777" s="6">
        <v>41086</v>
      </c>
      <c r="C777" t="s">
        <v>31</v>
      </c>
      <c r="D777">
        <v>2.6163872152587899</v>
      </c>
    </row>
    <row r="778" spans="2:4" x14ac:dyDescent="0.2">
      <c r="B778" s="6">
        <v>41085</v>
      </c>
      <c r="C778" t="s">
        <v>31</v>
      </c>
      <c r="D778">
        <v>2.57850061271707</v>
      </c>
    </row>
    <row r="779" spans="2:4" x14ac:dyDescent="0.2">
      <c r="B779" s="6">
        <v>41082</v>
      </c>
      <c r="C779" t="s">
        <v>31</v>
      </c>
      <c r="D779">
        <v>2.6681925280418901</v>
      </c>
    </row>
    <row r="780" spans="2:4" x14ac:dyDescent="0.2">
      <c r="B780" s="6">
        <v>41081</v>
      </c>
      <c r="C780" t="s">
        <v>31</v>
      </c>
      <c r="D780">
        <v>2.61404533663225</v>
      </c>
    </row>
    <row r="781" spans="2:4" x14ac:dyDescent="0.2">
      <c r="B781" s="6">
        <v>41080</v>
      </c>
      <c r="C781" t="s">
        <v>31</v>
      </c>
      <c r="D781">
        <v>2.6422120111570599</v>
      </c>
    </row>
    <row r="782" spans="2:4" x14ac:dyDescent="0.2">
      <c r="B782" s="6">
        <v>41079</v>
      </c>
      <c r="C782" t="s">
        <v>31</v>
      </c>
      <c r="D782">
        <v>2.5989008122860202</v>
      </c>
    </row>
    <row r="783" spans="2:4" x14ac:dyDescent="0.2">
      <c r="B783" s="6">
        <v>41078</v>
      </c>
      <c r="C783" t="s">
        <v>31</v>
      </c>
      <c r="D783">
        <v>2.5951502868946998</v>
      </c>
    </row>
    <row r="784" spans="2:4" x14ac:dyDescent="0.2">
      <c r="B784" s="6">
        <v>41075</v>
      </c>
      <c r="C784" t="s">
        <v>31</v>
      </c>
      <c r="D784">
        <v>2.6135481549442598</v>
      </c>
    </row>
    <row r="785" spans="2:4" x14ac:dyDescent="0.2">
      <c r="B785" s="6">
        <v>41074</v>
      </c>
      <c r="C785" t="s">
        <v>31</v>
      </c>
      <c r="D785">
        <v>2.63093877997242</v>
      </c>
    </row>
    <row r="786" spans="2:4" x14ac:dyDescent="0.2">
      <c r="B786" s="6">
        <v>41073</v>
      </c>
      <c r="C786" t="s">
        <v>31</v>
      </c>
      <c r="D786">
        <v>2.6525646200106201</v>
      </c>
    </row>
    <row r="787" spans="2:4" x14ac:dyDescent="0.2">
      <c r="B787" s="6">
        <v>41072</v>
      </c>
      <c r="C787" t="s">
        <v>31</v>
      </c>
      <c r="D787">
        <v>2.6959588926221301</v>
      </c>
    </row>
    <row r="788" spans="2:4" x14ac:dyDescent="0.2">
      <c r="B788" s="6">
        <v>41071</v>
      </c>
      <c r="C788" t="s">
        <v>31</v>
      </c>
      <c r="D788">
        <v>2.6398968961248501</v>
      </c>
    </row>
    <row r="789" spans="2:4" x14ac:dyDescent="0.2">
      <c r="B789" s="6">
        <v>41068</v>
      </c>
      <c r="C789" t="s">
        <v>31</v>
      </c>
      <c r="D789">
        <v>2.6791053539735099</v>
      </c>
    </row>
    <row r="790" spans="2:4" x14ac:dyDescent="0.2">
      <c r="B790" s="6">
        <v>41067</v>
      </c>
      <c r="C790" t="s">
        <v>31</v>
      </c>
      <c r="D790">
        <v>2.6775785563630401</v>
      </c>
    </row>
    <row r="791" spans="2:4" x14ac:dyDescent="0.2">
      <c r="B791" s="6">
        <v>41066</v>
      </c>
      <c r="C791" t="s">
        <v>31</v>
      </c>
      <c r="D791">
        <v>2.7069899299945201</v>
      </c>
    </row>
    <row r="792" spans="2:4" x14ac:dyDescent="0.2">
      <c r="B792" s="6">
        <v>41065</v>
      </c>
      <c r="C792" t="s">
        <v>31</v>
      </c>
      <c r="D792">
        <v>2.67215902179854</v>
      </c>
    </row>
    <row r="793" spans="2:4" x14ac:dyDescent="0.2">
      <c r="B793" s="6">
        <v>41064</v>
      </c>
      <c r="C793" t="s">
        <v>31</v>
      </c>
      <c r="D793">
        <v>2.62225605452167</v>
      </c>
    </row>
    <row r="794" spans="2:4" x14ac:dyDescent="0.2">
      <c r="B794" s="6">
        <v>41061</v>
      </c>
      <c r="C794" t="s">
        <v>31</v>
      </c>
      <c r="D794">
        <v>2.5315862032348999</v>
      </c>
    </row>
    <row r="795" spans="2:4" x14ac:dyDescent="0.2">
      <c r="B795" s="6">
        <v>41060</v>
      </c>
      <c r="C795" t="s">
        <v>31</v>
      </c>
      <c r="D795">
        <v>2.6463905286345102</v>
      </c>
    </row>
    <row r="796" spans="2:4" x14ac:dyDescent="0.2">
      <c r="B796" s="6">
        <v>41059</v>
      </c>
      <c r="C796" t="s">
        <v>31</v>
      </c>
      <c r="D796">
        <v>2.6848642616862599</v>
      </c>
    </row>
    <row r="797" spans="2:4" x14ac:dyDescent="0.2">
      <c r="B797" s="6">
        <v>41058</v>
      </c>
      <c r="C797" t="s">
        <v>31</v>
      </c>
      <c r="D797">
        <v>2.77148784579206</v>
      </c>
    </row>
    <row r="798" spans="2:4" x14ac:dyDescent="0.2">
      <c r="B798" s="6">
        <v>41054</v>
      </c>
      <c r="C798" t="s">
        <v>31</v>
      </c>
      <c r="D798">
        <v>2.7634534959262198</v>
      </c>
    </row>
    <row r="799" spans="2:4" x14ac:dyDescent="0.2">
      <c r="B799" s="6">
        <v>41053</v>
      </c>
      <c r="C799" t="s">
        <v>31</v>
      </c>
      <c r="D799">
        <v>2.7605421873144298</v>
      </c>
    </row>
    <row r="800" spans="2:4" x14ac:dyDescent="0.2">
      <c r="B800" s="6">
        <v>41052</v>
      </c>
      <c r="C800" t="s">
        <v>31</v>
      </c>
      <c r="D800">
        <v>2.7350812469927099</v>
      </c>
    </row>
    <row r="801" spans="2:4" x14ac:dyDescent="0.2">
      <c r="B801" s="6">
        <v>41051</v>
      </c>
      <c r="C801" t="s">
        <v>31</v>
      </c>
      <c r="D801">
        <v>2.76969358536605</v>
      </c>
    </row>
    <row r="802" spans="2:4" x14ac:dyDescent="0.2">
      <c r="B802" s="6">
        <v>41050</v>
      </c>
      <c r="C802" t="s">
        <v>31</v>
      </c>
      <c r="D802">
        <v>2.73357010628694</v>
      </c>
    </row>
    <row r="803" spans="2:4" x14ac:dyDescent="0.2">
      <c r="B803" s="6">
        <v>41047</v>
      </c>
      <c r="C803" t="s">
        <v>31</v>
      </c>
      <c r="D803">
        <v>2.67797206633489</v>
      </c>
    </row>
    <row r="804" spans="2:4" x14ac:dyDescent="0.2">
      <c r="B804" s="6">
        <v>41046</v>
      </c>
      <c r="C804" t="s">
        <v>31</v>
      </c>
      <c r="D804">
        <v>2.6718406862121098</v>
      </c>
    </row>
    <row r="805" spans="2:4" x14ac:dyDescent="0.2">
      <c r="B805" s="6">
        <v>41045</v>
      </c>
      <c r="C805" t="s">
        <v>31</v>
      </c>
      <c r="D805">
        <v>2.7401286983352402</v>
      </c>
    </row>
    <row r="806" spans="2:4" x14ac:dyDescent="0.2">
      <c r="B806" s="6">
        <v>41044</v>
      </c>
      <c r="C806" t="s">
        <v>31</v>
      </c>
      <c r="D806">
        <v>2.7697091879875599</v>
      </c>
    </row>
    <row r="807" spans="2:4" x14ac:dyDescent="0.2">
      <c r="B807" s="6">
        <v>41043</v>
      </c>
      <c r="C807" t="s">
        <v>31</v>
      </c>
      <c r="D807">
        <v>2.7739749118365999</v>
      </c>
    </row>
    <row r="808" spans="2:4" x14ac:dyDescent="0.2">
      <c r="B808" s="6">
        <v>41040</v>
      </c>
      <c r="C808" t="s">
        <v>31</v>
      </c>
      <c r="D808">
        <v>2.8052772077153998</v>
      </c>
    </row>
    <row r="809" spans="2:4" x14ac:dyDescent="0.2">
      <c r="B809" s="6">
        <v>41039</v>
      </c>
      <c r="C809" t="s">
        <v>31</v>
      </c>
      <c r="D809">
        <v>2.8246078637178802</v>
      </c>
    </row>
    <row r="810" spans="2:4" x14ac:dyDescent="0.2">
      <c r="B810" s="6">
        <v>41038</v>
      </c>
      <c r="C810" t="s">
        <v>31</v>
      </c>
      <c r="D810">
        <v>2.8327642978398999</v>
      </c>
    </row>
    <row r="811" spans="2:4" x14ac:dyDescent="0.2">
      <c r="B811" s="6">
        <v>41037</v>
      </c>
      <c r="C811" t="s">
        <v>31</v>
      </c>
      <c r="D811">
        <v>2.8457023219339699</v>
      </c>
    </row>
    <row r="812" spans="2:4" x14ac:dyDescent="0.2">
      <c r="B812" s="6">
        <v>41036</v>
      </c>
      <c r="C812" t="s">
        <v>31</v>
      </c>
      <c r="D812">
        <v>2.85847369417964</v>
      </c>
    </row>
    <row r="813" spans="2:4" x14ac:dyDescent="0.2">
      <c r="B813" s="6">
        <v>41033</v>
      </c>
      <c r="C813" t="s">
        <v>31</v>
      </c>
      <c r="D813">
        <v>2.8508681241779898</v>
      </c>
    </row>
    <row r="814" spans="2:4" x14ac:dyDescent="0.2">
      <c r="B814" s="6">
        <v>41032</v>
      </c>
      <c r="C814" t="s">
        <v>31</v>
      </c>
      <c r="D814">
        <v>2.88233463781564</v>
      </c>
    </row>
    <row r="815" spans="2:4" x14ac:dyDescent="0.2">
      <c r="B815" s="6">
        <v>41031</v>
      </c>
      <c r="C815" t="s">
        <v>31</v>
      </c>
      <c r="D815">
        <v>2.8733809550088201</v>
      </c>
    </row>
    <row r="816" spans="2:4" x14ac:dyDescent="0.2">
      <c r="B816" s="6">
        <v>41030</v>
      </c>
      <c r="C816" t="s">
        <v>31</v>
      </c>
      <c r="D816">
        <v>2.8908484323394701</v>
      </c>
    </row>
    <row r="817" spans="2:4" x14ac:dyDescent="0.2">
      <c r="B817" s="6">
        <v>41029</v>
      </c>
      <c r="C817" t="s">
        <v>31</v>
      </c>
      <c r="D817">
        <v>2.8585941716778001</v>
      </c>
    </row>
    <row r="818" spans="2:4" x14ac:dyDescent="0.2">
      <c r="B818" s="6">
        <v>41026</v>
      </c>
      <c r="C818" t="s">
        <v>31</v>
      </c>
      <c r="D818">
        <v>2.8716721168117001</v>
      </c>
    </row>
    <row r="819" spans="2:4" x14ac:dyDescent="0.2">
      <c r="B819" s="6">
        <v>41025</v>
      </c>
      <c r="C819" t="s">
        <v>31</v>
      </c>
      <c r="D819">
        <v>2.8924009736045302</v>
      </c>
    </row>
    <row r="820" spans="2:4" x14ac:dyDescent="0.2">
      <c r="B820" s="6">
        <v>41024</v>
      </c>
      <c r="C820" t="s">
        <v>31</v>
      </c>
      <c r="D820">
        <v>2.9224114614009999</v>
      </c>
    </row>
    <row r="821" spans="2:4" x14ac:dyDescent="0.2">
      <c r="B821" s="6">
        <v>41023</v>
      </c>
      <c r="C821" t="s">
        <v>31</v>
      </c>
      <c r="D821">
        <v>2.9009701197976399</v>
      </c>
    </row>
    <row r="822" spans="2:4" x14ac:dyDescent="0.2">
      <c r="B822" s="6">
        <v>41022</v>
      </c>
      <c r="C822" t="s">
        <v>31</v>
      </c>
      <c r="D822">
        <v>2.8708141508909</v>
      </c>
    </row>
    <row r="823" spans="2:4" x14ac:dyDescent="0.2">
      <c r="B823" s="6">
        <v>41019</v>
      </c>
      <c r="C823" t="s">
        <v>31</v>
      </c>
      <c r="D823">
        <v>2.90335136163185</v>
      </c>
    </row>
    <row r="824" spans="2:4" x14ac:dyDescent="0.2">
      <c r="B824" s="6">
        <v>41018</v>
      </c>
      <c r="C824" t="s">
        <v>31</v>
      </c>
      <c r="D824">
        <v>2.8874390264499499</v>
      </c>
    </row>
    <row r="825" spans="2:4" x14ac:dyDescent="0.2">
      <c r="B825" s="6">
        <v>41017</v>
      </c>
      <c r="C825" t="s">
        <v>31</v>
      </c>
      <c r="D825">
        <v>2.9304565344863098</v>
      </c>
    </row>
    <row r="826" spans="2:4" x14ac:dyDescent="0.2">
      <c r="B826" s="6">
        <v>41016</v>
      </c>
      <c r="C826" t="s">
        <v>31</v>
      </c>
      <c r="D826">
        <v>2.9570995386029302</v>
      </c>
    </row>
    <row r="827" spans="2:4" x14ac:dyDescent="0.2">
      <c r="B827" s="6">
        <v>41015</v>
      </c>
      <c r="C827" t="s">
        <v>31</v>
      </c>
      <c r="D827">
        <v>2.91808321555345</v>
      </c>
    </row>
    <row r="828" spans="2:4" x14ac:dyDescent="0.2">
      <c r="B828" s="6">
        <v>41012</v>
      </c>
      <c r="C828" t="s">
        <v>31</v>
      </c>
      <c r="D828">
        <v>2.93226575052006</v>
      </c>
    </row>
    <row r="829" spans="2:4" x14ac:dyDescent="0.2">
      <c r="B829" s="6">
        <v>41011</v>
      </c>
      <c r="C829" t="s">
        <v>31</v>
      </c>
      <c r="D829">
        <v>2.9674500244903301</v>
      </c>
    </row>
    <row r="830" spans="2:4" x14ac:dyDescent="0.2">
      <c r="B830" s="6">
        <v>41010</v>
      </c>
      <c r="C830" t="s">
        <v>31</v>
      </c>
      <c r="D830">
        <v>2.9307831448374801</v>
      </c>
    </row>
    <row r="831" spans="2:4" x14ac:dyDescent="0.2">
      <c r="B831" s="6">
        <v>41009</v>
      </c>
      <c r="C831" t="s">
        <v>31</v>
      </c>
      <c r="D831">
        <v>2.9109852395687899</v>
      </c>
    </row>
    <row r="832" spans="2:4" x14ac:dyDescent="0.2">
      <c r="B832" s="6">
        <v>41008</v>
      </c>
      <c r="C832" t="s">
        <v>31</v>
      </c>
      <c r="D832">
        <v>2.9115161148392898</v>
      </c>
    </row>
    <row r="833" spans="2:4" x14ac:dyDescent="0.2">
      <c r="B833" s="6">
        <v>41005</v>
      </c>
      <c r="C833" t="s">
        <v>31</v>
      </c>
      <c r="D833">
        <v>2.93072207475555</v>
      </c>
    </row>
    <row r="834" spans="2:4" x14ac:dyDescent="0.2">
      <c r="B834" s="6">
        <v>41004</v>
      </c>
      <c r="C834" t="s">
        <v>31</v>
      </c>
      <c r="D834">
        <v>3.0539631363774702</v>
      </c>
    </row>
    <row r="835" spans="2:4" x14ac:dyDescent="0.2">
      <c r="B835" s="6">
        <v>41003</v>
      </c>
      <c r="C835" t="s">
        <v>31</v>
      </c>
      <c r="D835">
        <v>3.10879854950432</v>
      </c>
    </row>
    <row r="836" spans="2:4" x14ac:dyDescent="0.2">
      <c r="B836" s="6">
        <v>41002</v>
      </c>
      <c r="C836" t="s">
        <v>31</v>
      </c>
      <c r="D836">
        <v>3.1649158455545399</v>
      </c>
    </row>
    <row r="837" spans="2:4" x14ac:dyDescent="0.2">
      <c r="B837" s="6">
        <v>41001</v>
      </c>
      <c r="C837" t="s">
        <v>31</v>
      </c>
      <c r="D837">
        <v>3.0449639552276002</v>
      </c>
    </row>
    <row r="838" spans="2:4" x14ac:dyDescent="0.2">
      <c r="B838" s="6">
        <v>40998</v>
      </c>
      <c r="C838" t="s">
        <v>31</v>
      </c>
      <c r="D838">
        <v>3.0669215754139501</v>
      </c>
    </row>
    <row r="839" spans="2:4" x14ac:dyDescent="0.2">
      <c r="B839" s="6">
        <v>40997</v>
      </c>
      <c r="C839" t="s">
        <v>31</v>
      </c>
      <c r="D839">
        <v>3.0219603652996301</v>
      </c>
    </row>
    <row r="840" spans="2:4" x14ac:dyDescent="0.2">
      <c r="B840" s="6">
        <v>40996</v>
      </c>
      <c r="C840" t="s">
        <v>31</v>
      </c>
      <c r="D840">
        <v>3.0568438879801101</v>
      </c>
    </row>
    <row r="841" spans="2:4" x14ac:dyDescent="0.2">
      <c r="B841" s="6">
        <v>40995</v>
      </c>
      <c r="C841" t="s">
        <v>31</v>
      </c>
      <c r="D841">
        <v>3.0399029769438499</v>
      </c>
    </row>
    <row r="842" spans="2:4" x14ac:dyDescent="0.2">
      <c r="B842" s="6">
        <v>40994</v>
      </c>
      <c r="C842" t="s">
        <v>31</v>
      </c>
      <c r="D842">
        <v>3.1182772307865498</v>
      </c>
    </row>
    <row r="843" spans="2:4" x14ac:dyDescent="0.2">
      <c r="B843" s="6">
        <v>40991</v>
      </c>
      <c r="C843" t="s">
        <v>31</v>
      </c>
      <c r="D843">
        <v>3.1324491901767901</v>
      </c>
    </row>
    <row r="844" spans="2:4" x14ac:dyDescent="0.2">
      <c r="B844" s="6">
        <v>40990</v>
      </c>
      <c r="C844" t="s">
        <v>31</v>
      </c>
      <c r="D844">
        <v>3.1570833298388399</v>
      </c>
    </row>
    <row r="845" spans="2:4" x14ac:dyDescent="0.2">
      <c r="B845" s="6">
        <v>40989</v>
      </c>
      <c r="C845" t="s">
        <v>31</v>
      </c>
      <c r="D845">
        <v>3.15731967015545</v>
      </c>
    </row>
    <row r="846" spans="2:4" x14ac:dyDescent="0.2">
      <c r="B846" s="6">
        <v>40988</v>
      </c>
      <c r="C846" t="s">
        <v>31</v>
      </c>
      <c r="D846">
        <v>3.24144029220705</v>
      </c>
    </row>
    <row r="847" spans="2:4" x14ac:dyDescent="0.2">
      <c r="B847" s="6">
        <v>40987</v>
      </c>
      <c r="C847" t="s">
        <v>31</v>
      </c>
      <c r="D847">
        <v>3.2363757673390801</v>
      </c>
    </row>
    <row r="848" spans="2:4" x14ac:dyDescent="0.2">
      <c r="B848" s="6">
        <v>40984</v>
      </c>
      <c r="C848" t="s">
        <v>31</v>
      </c>
      <c r="D848">
        <v>3.13095195050672</v>
      </c>
    </row>
    <row r="849" spans="2:4" x14ac:dyDescent="0.2">
      <c r="B849" s="6">
        <v>40983</v>
      </c>
      <c r="C849" t="s">
        <v>31</v>
      </c>
      <c r="D849">
        <v>3.1589558563859499</v>
      </c>
    </row>
    <row r="850" spans="2:4" x14ac:dyDescent="0.2">
      <c r="B850" s="6">
        <v>40982</v>
      </c>
      <c r="C850" t="s">
        <v>31</v>
      </c>
      <c r="D850">
        <v>3.1695853606328299</v>
      </c>
    </row>
    <row r="851" spans="2:4" x14ac:dyDescent="0.2">
      <c r="B851" s="6">
        <v>40981</v>
      </c>
      <c r="C851" t="s">
        <v>31</v>
      </c>
      <c r="D851">
        <v>2.99140124187609</v>
      </c>
    </row>
    <row r="852" spans="2:4" x14ac:dyDescent="0.2">
      <c r="B852" s="6">
        <v>40980</v>
      </c>
      <c r="C852" t="s">
        <v>31</v>
      </c>
      <c r="D852">
        <v>2.9162427900275998</v>
      </c>
    </row>
    <row r="853" spans="2:4" x14ac:dyDescent="0.2">
      <c r="B853" s="6">
        <v>40977</v>
      </c>
      <c r="C853" t="s">
        <v>31</v>
      </c>
      <c r="D853">
        <v>2.9219507354995198</v>
      </c>
    </row>
    <row r="854" spans="2:4" x14ac:dyDescent="0.2">
      <c r="B854" s="6">
        <v>40976</v>
      </c>
      <c r="C854" t="s">
        <v>31</v>
      </c>
      <c r="D854">
        <v>2.9336402803405499</v>
      </c>
    </row>
    <row r="855" spans="2:4" x14ac:dyDescent="0.2">
      <c r="B855" s="6">
        <v>40975</v>
      </c>
      <c r="C855" t="s">
        <v>31</v>
      </c>
      <c r="D855">
        <v>2.8996218577463</v>
      </c>
    </row>
    <row r="856" spans="2:4" x14ac:dyDescent="0.2">
      <c r="B856" s="6">
        <v>40974</v>
      </c>
      <c r="C856" t="s">
        <v>31</v>
      </c>
      <c r="D856">
        <v>2.8650613840049299</v>
      </c>
    </row>
    <row r="857" spans="2:4" x14ac:dyDescent="0.2">
      <c r="B857" s="6">
        <v>40973</v>
      </c>
      <c r="C857" t="s">
        <v>31</v>
      </c>
      <c r="D857">
        <v>2.9007707644806802</v>
      </c>
    </row>
    <row r="858" spans="2:4" x14ac:dyDescent="0.2">
      <c r="B858" s="6">
        <v>40970</v>
      </c>
      <c r="C858" t="s">
        <v>31</v>
      </c>
      <c r="D858">
        <v>2.89080300621736</v>
      </c>
    </row>
    <row r="859" spans="2:4" x14ac:dyDescent="0.2">
      <c r="B859" s="6">
        <v>40969</v>
      </c>
      <c r="C859" t="s">
        <v>31</v>
      </c>
      <c r="D859">
        <v>2.9287236028717998</v>
      </c>
    </row>
    <row r="860" spans="2:4" x14ac:dyDescent="0.2">
      <c r="B860" s="6">
        <v>40968</v>
      </c>
      <c r="C860" t="s">
        <v>31</v>
      </c>
      <c r="D860">
        <v>2.8817315463419</v>
      </c>
    </row>
    <row r="861" spans="2:4" x14ac:dyDescent="0.2">
      <c r="B861" s="6">
        <v>40967</v>
      </c>
      <c r="C861" t="s">
        <v>31</v>
      </c>
      <c r="D861">
        <v>2.8101961676338898</v>
      </c>
    </row>
    <row r="862" spans="2:4" x14ac:dyDescent="0.2">
      <c r="B862" s="6">
        <v>40966</v>
      </c>
      <c r="C862" t="s">
        <v>31</v>
      </c>
      <c r="D862">
        <v>2.8205390519018301</v>
      </c>
    </row>
    <row r="863" spans="2:4" x14ac:dyDescent="0.2">
      <c r="B863" s="6">
        <v>40963</v>
      </c>
      <c r="C863" t="s">
        <v>31</v>
      </c>
      <c r="D863">
        <v>2.8468470783678899</v>
      </c>
    </row>
    <row r="864" spans="2:4" x14ac:dyDescent="0.2">
      <c r="B864" s="6">
        <v>40962</v>
      </c>
      <c r="C864" t="s">
        <v>31</v>
      </c>
      <c r="D864">
        <v>2.8348328361096802</v>
      </c>
    </row>
    <row r="865" spans="2:4" x14ac:dyDescent="0.2">
      <c r="B865" s="6">
        <v>40961</v>
      </c>
      <c r="C865" t="s">
        <v>31</v>
      </c>
      <c r="D865">
        <v>2.8731313932433</v>
      </c>
    </row>
    <row r="866" spans="2:4" x14ac:dyDescent="0.2">
      <c r="B866" s="6">
        <v>40960</v>
      </c>
      <c r="C866" t="s">
        <v>31</v>
      </c>
      <c r="D866">
        <v>2.9231559987667999</v>
      </c>
    </row>
    <row r="867" spans="2:4" x14ac:dyDescent="0.2">
      <c r="B867" s="6">
        <v>40956</v>
      </c>
      <c r="C867" t="s">
        <v>31</v>
      </c>
      <c r="D867">
        <v>2.8683607059376999</v>
      </c>
    </row>
    <row r="868" spans="2:4" x14ac:dyDescent="0.2">
      <c r="B868" s="6">
        <v>40955</v>
      </c>
      <c r="C868" t="s">
        <v>31</v>
      </c>
      <c r="D868">
        <v>2.8316730610652701</v>
      </c>
    </row>
    <row r="869" spans="2:4" x14ac:dyDescent="0.2">
      <c r="B869" s="6">
        <v>40954</v>
      </c>
      <c r="C869" t="s">
        <v>31</v>
      </c>
      <c r="D869">
        <v>2.78221187240857</v>
      </c>
    </row>
    <row r="870" spans="2:4" x14ac:dyDescent="0.2">
      <c r="B870" s="6">
        <v>40953</v>
      </c>
      <c r="C870" t="s">
        <v>31</v>
      </c>
      <c r="D870">
        <v>2.7668146373676499</v>
      </c>
    </row>
    <row r="871" spans="2:4" x14ac:dyDescent="0.2">
      <c r="B871" s="6">
        <v>40952</v>
      </c>
      <c r="C871" t="s">
        <v>31</v>
      </c>
      <c r="D871">
        <v>2.8174854723691301</v>
      </c>
    </row>
    <row r="872" spans="2:4" x14ac:dyDescent="0.2">
      <c r="B872" s="6">
        <v>40949</v>
      </c>
      <c r="C872" t="s">
        <v>31</v>
      </c>
      <c r="D872">
        <v>2.8097489693642799</v>
      </c>
    </row>
    <row r="873" spans="2:4" x14ac:dyDescent="0.2">
      <c r="B873" s="6">
        <v>40948</v>
      </c>
      <c r="C873" t="s">
        <v>31</v>
      </c>
      <c r="D873">
        <v>2.8458544397299299</v>
      </c>
    </row>
    <row r="874" spans="2:4" x14ac:dyDescent="0.2">
      <c r="B874" s="6">
        <v>40947</v>
      </c>
      <c r="C874" t="s">
        <v>31</v>
      </c>
      <c r="D874">
        <v>2.7670306950221799</v>
      </c>
    </row>
    <row r="875" spans="2:4" x14ac:dyDescent="0.2">
      <c r="B875" s="6">
        <v>40946</v>
      </c>
      <c r="C875" t="s">
        <v>31</v>
      </c>
      <c r="D875">
        <v>2.7946021127853302</v>
      </c>
    </row>
    <row r="876" spans="2:4" x14ac:dyDescent="0.2">
      <c r="B876" s="6">
        <v>40945</v>
      </c>
      <c r="C876" t="s">
        <v>31</v>
      </c>
      <c r="D876">
        <v>2.7613284335862098</v>
      </c>
    </row>
    <row r="877" spans="2:4" x14ac:dyDescent="0.2">
      <c r="B877" s="6">
        <v>40942</v>
      </c>
      <c r="C877" t="s">
        <v>31</v>
      </c>
      <c r="D877">
        <v>2.8101423093636502</v>
      </c>
    </row>
    <row r="878" spans="2:4" x14ac:dyDescent="0.2">
      <c r="B878" s="6">
        <v>40941</v>
      </c>
      <c r="C878" t="s">
        <v>31</v>
      </c>
      <c r="D878">
        <v>2.7164025154935398</v>
      </c>
    </row>
    <row r="879" spans="2:4" x14ac:dyDescent="0.2">
      <c r="B879" s="6">
        <v>40940</v>
      </c>
      <c r="C879" t="s">
        <v>31</v>
      </c>
      <c r="D879">
        <v>2.77294304324607</v>
      </c>
    </row>
    <row r="880" spans="2:4" x14ac:dyDescent="0.2">
      <c r="B880" s="6">
        <v>40939</v>
      </c>
      <c r="C880" t="s">
        <v>31</v>
      </c>
      <c r="D880">
        <v>2.7762952709571298</v>
      </c>
    </row>
    <row r="881" spans="2:4" x14ac:dyDescent="0.2">
      <c r="B881" s="6">
        <v>40938</v>
      </c>
      <c r="C881" t="s">
        <v>31</v>
      </c>
      <c r="D881">
        <v>2.8089477142816799</v>
      </c>
    </row>
    <row r="882" spans="2:4" x14ac:dyDescent="0.2">
      <c r="B882" s="6">
        <v>40935</v>
      </c>
      <c r="C882" t="s">
        <v>31</v>
      </c>
      <c r="D882">
        <v>2.8082441725420599</v>
      </c>
    </row>
    <row r="883" spans="2:4" x14ac:dyDescent="0.2">
      <c r="B883" s="6">
        <v>40934</v>
      </c>
      <c r="C883" t="s">
        <v>31</v>
      </c>
      <c r="D883">
        <v>2.8435838400443298</v>
      </c>
    </row>
    <row r="884" spans="2:4" x14ac:dyDescent="0.2">
      <c r="B884" s="6">
        <v>40933</v>
      </c>
      <c r="C884" t="s">
        <v>31</v>
      </c>
      <c r="D884">
        <v>2.9051562775956401</v>
      </c>
    </row>
    <row r="885" spans="2:4" x14ac:dyDescent="0.2">
      <c r="B885" s="6">
        <v>40932</v>
      </c>
      <c r="C885" t="s">
        <v>31</v>
      </c>
      <c r="D885">
        <v>2.95988088830397</v>
      </c>
    </row>
    <row r="886" spans="2:4" x14ac:dyDescent="0.2">
      <c r="B886" s="6">
        <v>40931</v>
      </c>
      <c r="C886" t="s">
        <v>31</v>
      </c>
      <c r="D886">
        <v>2.9725641421192601</v>
      </c>
    </row>
    <row r="887" spans="2:4" x14ac:dyDescent="0.2">
      <c r="B887" s="6">
        <v>40928</v>
      </c>
      <c r="C887" t="s">
        <v>31</v>
      </c>
      <c r="D887">
        <v>2.9761108761892499</v>
      </c>
    </row>
    <row r="888" spans="2:4" x14ac:dyDescent="0.2">
      <c r="B888" s="6">
        <v>40927</v>
      </c>
      <c r="C888" t="s">
        <v>31</v>
      </c>
      <c r="D888">
        <v>2.96476682464895</v>
      </c>
    </row>
    <row r="889" spans="2:4" x14ac:dyDescent="0.2">
      <c r="B889" s="6">
        <v>40926</v>
      </c>
      <c r="C889" t="s">
        <v>31</v>
      </c>
      <c r="D889">
        <v>2.9029521947901298</v>
      </c>
    </row>
    <row r="890" spans="2:4" x14ac:dyDescent="0.2">
      <c r="B890" s="6">
        <v>40925</v>
      </c>
      <c r="C890" t="s">
        <v>31</v>
      </c>
      <c r="D890">
        <v>2.86264141643864</v>
      </c>
    </row>
    <row r="891" spans="2:4" x14ac:dyDescent="0.2">
      <c r="B891" s="6">
        <v>40921</v>
      </c>
      <c r="C891" t="s">
        <v>31</v>
      </c>
      <c r="D891">
        <v>2.81630541701854</v>
      </c>
    </row>
    <row r="892" spans="2:4" x14ac:dyDescent="0.2">
      <c r="B892" s="6">
        <v>40920</v>
      </c>
      <c r="C892" t="s">
        <v>31</v>
      </c>
      <c r="D892">
        <v>2.8523399167499401</v>
      </c>
    </row>
    <row r="893" spans="2:4" x14ac:dyDescent="0.2">
      <c r="B893" s="6">
        <v>40919</v>
      </c>
      <c r="C893" t="s">
        <v>31</v>
      </c>
      <c r="D893">
        <v>2.8837720214222302</v>
      </c>
    </row>
    <row r="894" spans="2:4" x14ac:dyDescent="0.2">
      <c r="B894" s="6">
        <v>40918</v>
      </c>
      <c r="C894" t="s">
        <v>31</v>
      </c>
      <c r="D894">
        <v>2.9177878153619399</v>
      </c>
    </row>
    <row r="895" spans="2:4" x14ac:dyDescent="0.2">
      <c r="B895" s="6">
        <v>40917</v>
      </c>
      <c r="C895" t="s">
        <v>31</v>
      </c>
      <c r="D895">
        <v>2.8757178049708001</v>
      </c>
    </row>
    <row r="896" spans="2:4" x14ac:dyDescent="0.2">
      <c r="B896" s="6">
        <v>40914</v>
      </c>
      <c r="C896" t="s">
        <v>31</v>
      </c>
      <c r="D896">
        <v>2.85737725851964</v>
      </c>
    </row>
    <row r="897" spans="2:4" x14ac:dyDescent="0.2">
      <c r="B897" s="6">
        <v>40913</v>
      </c>
      <c r="C897" t="s">
        <v>31</v>
      </c>
      <c r="D897">
        <v>2.91011038878244</v>
      </c>
    </row>
    <row r="898" spans="2:4" x14ac:dyDescent="0.2">
      <c r="B898" s="6">
        <v>40912</v>
      </c>
      <c r="C898" t="s">
        <v>31</v>
      </c>
      <c r="D898">
        <v>2.99570308668953</v>
      </c>
    </row>
    <row r="899" spans="2:4" x14ac:dyDescent="0.2">
      <c r="B899" s="6">
        <v>40911</v>
      </c>
      <c r="C899" t="s">
        <v>31</v>
      </c>
      <c r="D899">
        <v>2.9922052054175601</v>
      </c>
    </row>
    <row r="900" spans="2:4" x14ac:dyDescent="0.2">
      <c r="B900" s="6">
        <v>40907</v>
      </c>
      <c r="C900" t="s">
        <v>31</v>
      </c>
      <c r="D900">
        <v>3.0169008574553802</v>
      </c>
    </row>
    <row r="901" spans="2:4" x14ac:dyDescent="0.2">
      <c r="B901" s="6">
        <v>40906</v>
      </c>
      <c r="C901" t="s">
        <v>31</v>
      </c>
      <c r="D901">
        <v>3.02888356326996</v>
      </c>
    </row>
    <row r="902" spans="2:4" x14ac:dyDescent="0.2">
      <c r="B902" s="6">
        <v>40905</v>
      </c>
      <c r="C902" t="s">
        <v>31</v>
      </c>
      <c r="D902">
        <v>3.0482411283834199</v>
      </c>
    </row>
    <row r="903" spans="2:4" x14ac:dyDescent="0.2">
      <c r="B903" s="6">
        <v>40904</v>
      </c>
      <c r="C903" t="s">
        <v>31</v>
      </c>
      <c r="D903">
        <v>3.1525411390212401</v>
      </c>
    </row>
    <row r="904" spans="2:4" x14ac:dyDescent="0.2">
      <c r="B904" s="6">
        <v>40900</v>
      </c>
      <c r="C904" t="s">
        <v>31</v>
      </c>
      <c r="D904">
        <v>3.1705040957732402</v>
      </c>
    </row>
    <row r="905" spans="2:4" x14ac:dyDescent="0.2">
      <c r="B905" s="6">
        <v>40899</v>
      </c>
      <c r="C905" t="s">
        <v>31</v>
      </c>
      <c r="D905">
        <v>3.0957276012742798</v>
      </c>
    </row>
    <row r="906" spans="2:4" x14ac:dyDescent="0.2">
      <c r="B906" s="6">
        <v>40898</v>
      </c>
      <c r="C906" t="s">
        <v>31</v>
      </c>
      <c r="D906">
        <v>3.1062066033086002</v>
      </c>
    </row>
    <row r="907" spans="2:4" x14ac:dyDescent="0.2">
      <c r="B907" s="6">
        <v>40897</v>
      </c>
      <c r="C907" t="s">
        <v>31</v>
      </c>
      <c r="D907">
        <v>3.0682671271732498</v>
      </c>
    </row>
    <row r="908" spans="2:4" x14ac:dyDescent="0.2">
      <c r="B908" s="6">
        <v>40896</v>
      </c>
      <c r="C908" t="s">
        <v>31</v>
      </c>
      <c r="D908">
        <v>2.9894475753554</v>
      </c>
    </row>
    <row r="909" spans="2:4" x14ac:dyDescent="0.2">
      <c r="B909" s="6">
        <v>40893</v>
      </c>
      <c r="C909" t="s">
        <v>31</v>
      </c>
      <c r="D909">
        <v>3.0010367845375399</v>
      </c>
    </row>
    <row r="910" spans="2:4" x14ac:dyDescent="0.2">
      <c r="B910" s="6">
        <v>40892</v>
      </c>
      <c r="C910" t="s">
        <v>31</v>
      </c>
      <c r="D910">
        <v>3.0512455688630302</v>
      </c>
    </row>
    <row r="911" spans="2:4" x14ac:dyDescent="0.2">
      <c r="B911" s="6">
        <v>40891</v>
      </c>
      <c r="C911" t="s">
        <v>31</v>
      </c>
      <c r="D911">
        <v>3.0099010383254599</v>
      </c>
    </row>
    <row r="912" spans="2:4" x14ac:dyDescent="0.2">
      <c r="B912" s="6">
        <v>40890</v>
      </c>
      <c r="C912" t="s">
        <v>31</v>
      </c>
      <c r="D912">
        <v>3.0836009703649698</v>
      </c>
    </row>
    <row r="913" spans="2:4" x14ac:dyDescent="0.2">
      <c r="B913" s="6">
        <v>40889</v>
      </c>
      <c r="C913" t="s">
        <v>31</v>
      </c>
      <c r="D913">
        <v>3.12818591225721</v>
      </c>
    </row>
    <row r="914" spans="2:4" x14ac:dyDescent="0.2">
      <c r="B914" s="6">
        <v>40886</v>
      </c>
      <c r="C914" t="s">
        <v>31</v>
      </c>
      <c r="D914">
        <v>3.13668507715898</v>
      </c>
    </row>
    <row r="915" spans="2:4" x14ac:dyDescent="0.2">
      <c r="B915" s="6">
        <v>40885</v>
      </c>
      <c r="C915" t="s">
        <v>31</v>
      </c>
      <c r="D915">
        <v>3.0582086355581701</v>
      </c>
    </row>
    <row r="916" spans="2:4" x14ac:dyDescent="0.2">
      <c r="B916" s="6">
        <v>40884</v>
      </c>
      <c r="C916" t="s">
        <v>31</v>
      </c>
      <c r="D916">
        <v>3.0901166558694499</v>
      </c>
    </row>
    <row r="917" spans="2:4" x14ac:dyDescent="0.2">
      <c r="B917" s="6">
        <v>40883</v>
      </c>
      <c r="C917" t="s">
        <v>31</v>
      </c>
      <c r="D917">
        <v>3.1701948375886699</v>
      </c>
    </row>
    <row r="918" spans="2:4" x14ac:dyDescent="0.2">
      <c r="B918" s="6">
        <v>40882</v>
      </c>
      <c r="C918" t="s">
        <v>31</v>
      </c>
      <c r="D918">
        <v>3.1564944605964</v>
      </c>
    </row>
    <row r="919" spans="2:4" x14ac:dyDescent="0.2">
      <c r="B919" s="6">
        <v>40879</v>
      </c>
      <c r="C919" t="s">
        <v>31</v>
      </c>
      <c r="D919">
        <v>3.1429302987422898</v>
      </c>
    </row>
    <row r="920" spans="2:4" x14ac:dyDescent="0.2">
      <c r="B920" s="6">
        <v>40878</v>
      </c>
      <c r="C920" t="s">
        <v>31</v>
      </c>
      <c r="D920">
        <v>3.2092148157425902</v>
      </c>
    </row>
    <row r="921" spans="2:4" x14ac:dyDescent="0.2">
      <c r="B921" s="6">
        <v>40877</v>
      </c>
      <c r="C921" t="s">
        <v>31</v>
      </c>
      <c r="D921">
        <v>3.1770193190764999</v>
      </c>
    </row>
    <row r="922" spans="2:4" x14ac:dyDescent="0.2">
      <c r="B922" s="6">
        <v>40876</v>
      </c>
      <c r="C922" t="s">
        <v>31</v>
      </c>
      <c r="D922">
        <v>3.18160535509739</v>
      </c>
    </row>
    <row r="923" spans="2:4" x14ac:dyDescent="0.2">
      <c r="B923" s="6">
        <v>40875</v>
      </c>
      <c r="C923" t="s">
        <v>31</v>
      </c>
      <c r="D923">
        <v>3.1879027130286501</v>
      </c>
    </row>
    <row r="924" spans="2:4" x14ac:dyDescent="0.2">
      <c r="B924" s="6">
        <v>40872</v>
      </c>
      <c r="C924" t="s">
        <v>31</v>
      </c>
      <c r="D924">
        <v>3.2226255567609399</v>
      </c>
    </row>
    <row r="925" spans="2:4" x14ac:dyDescent="0.2">
      <c r="B925" s="6">
        <v>40870</v>
      </c>
      <c r="C925" t="s">
        <v>31</v>
      </c>
      <c r="D925">
        <v>3.1451663238468299</v>
      </c>
    </row>
    <row r="926" spans="2:4" x14ac:dyDescent="0.2">
      <c r="B926" s="6">
        <v>40869</v>
      </c>
      <c r="C926" t="s">
        <v>31</v>
      </c>
      <c r="D926">
        <v>3.1441680368371498</v>
      </c>
    </row>
    <row r="927" spans="2:4" x14ac:dyDescent="0.2">
      <c r="B927" s="6">
        <v>40868</v>
      </c>
      <c r="C927" t="s">
        <v>31</v>
      </c>
      <c r="D927">
        <v>3.1766805050266198</v>
      </c>
    </row>
    <row r="928" spans="2:4" x14ac:dyDescent="0.2">
      <c r="B928" s="6">
        <v>40865</v>
      </c>
      <c r="C928" t="s">
        <v>31</v>
      </c>
      <c r="D928">
        <v>3.2133365381632499</v>
      </c>
    </row>
    <row r="929" spans="2:4" x14ac:dyDescent="0.2">
      <c r="B929" s="6">
        <v>40864</v>
      </c>
      <c r="C929" t="s">
        <v>31</v>
      </c>
      <c r="D929">
        <v>3.1637028117931498</v>
      </c>
    </row>
    <row r="930" spans="2:4" x14ac:dyDescent="0.2">
      <c r="B930" s="6">
        <v>40863</v>
      </c>
      <c r="C930" t="s">
        <v>31</v>
      </c>
      <c r="D930">
        <v>3.2014386947341</v>
      </c>
    </row>
    <row r="931" spans="2:4" x14ac:dyDescent="0.2">
      <c r="B931" s="6">
        <v>40862</v>
      </c>
      <c r="C931" t="s">
        <v>31</v>
      </c>
      <c r="D931">
        <v>3.21923846967334</v>
      </c>
    </row>
    <row r="932" spans="2:4" x14ac:dyDescent="0.2">
      <c r="B932" s="6">
        <v>40861</v>
      </c>
      <c r="C932" t="s">
        <v>31</v>
      </c>
      <c r="D932">
        <v>3.1932759720766599</v>
      </c>
    </row>
    <row r="933" spans="2:4" x14ac:dyDescent="0.2">
      <c r="B933" s="6">
        <v>40857</v>
      </c>
      <c r="C933" t="s">
        <v>31</v>
      </c>
      <c r="D933">
        <v>3.1968294834055402</v>
      </c>
    </row>
    <row r="934" spans="2:4" x14ac:dyDescent="0.2">
      <c r="B934" s="6">
        <v>40856</v>
      </c>
      <c r="C934" t="s">
        <v>31</v>
      </c>
      <c r="D934">
        <v>3.1408308394137698</v>
      </c>
    </row>
    <row r="935" spans="2:4" x14ac:dyDescent="0.2">
      <c r="B935" s="6">
        <v>40855</v>
      </c>
      <c r="C935" t="s">
        <v>31</v>
      </c>
      <c r="D935">
        <v>3.1915310433588799</v>
      </c>
    </row>
    <row r="936" spans="2:4" x14ac:dyDescent="0.2">
      <c r="B936" s="6">
        <v>40854</v>
      </c>
      <c r="C936" t="s">
        <v>31</v>
      </c>
      <c r="D936">
        <v>3.1153555046375301</v>
      </c>
    </row>
    <row r="937" spans="2:4" x14ac:dyDescent="0.2">
      <c r="B937" s="6">
        <v>40851</v>
      </c>
      <c r="C937" t="s">
        <v>31</v>
      </c>
      <c r="D937">
        <v>3.1459189472432798</v>
      </c>
    </row>
    <row r="938" spans="2:4" x14ac:dyDescent="0.2">
      <c r="B938" s="6">
        <v>40850</v>
      </c>
      <c r="C938" t="s">
        <v>31</v>
      </c>
      <c r="D938">
        <v>3.1865900219174601</v>
      </c>
    </row>
    <row r="939" spans="2:4" x14ac:dyDescent="0.2">
      <c r="B939" s="6">
        <v>40849</v>
      </c>
      <c r="C939" t="s">
        <v>31</v>
      </c>
      <c r="D939">
        <v>3.1403563464711799</v>
      </c>
    </row>
    <row r="940" spans="2:4" x14ac:dyDescent="0.2">
      <c r="B940" s="6">
        <v>40848</v>
      </c>
      <c r="C940" t="s">
        <v>31</v>
      </c>
      <c r="D940">
        <v>3.1279977145133802</v>
      </c>
    </row>
    <row r="941" spans="2:4" x14ac:dyDescent="0.2">
      <c r="B941" s="6">
        <v>40847</v>
      </c>
      <c r="C941" t="s">
        <v>31</v>
      </c>
      <c r="D941">
        <v>3.2515769978966</v>
      </c>
    </row>
    <row r="942" spans="2:4" x14ac:dyDescent="0.2">
      <c r="B942" s="6">
        <v>40844</v>
      </c>
      <c r="C942" t="s">
        <v>31</v>
      </c>
      <c r="D942">
        <v>3.3602109055046498</v>
      </c>
    </row>
    <row r="943" spans="2:4" x14ac:dyDescent="0.2">
      <c r="B943" s="6">
        <v>40843</v>
      </c>
      <c r="C943" t="s">
        <v>31</v>
      </c>
      <c r="D943">
        <v>3.4409162615373701</v>
      </c>
    </row>
    <row r="944" spans="2:4" x14ac:dyDescent="0.2">
      <c r="B944" s="6">
        <v>40842</v>
      </c>
      <c r="C944" t="s">
        <v>31</v>
      </c>
      <c r="D944">
        <v>3.3217981772157801</v>
      </c>
    </row>
    <row r="945" spans="2:4" x14ac:dyDescent="0.2">
      <c r="B945" s="6">
        <v>40841</v>
      </c>
      <c r="C945" t="s">
        <v>31</v>
      </c>
      <c r="D945">
        <v>3.26466509083714</v>
      </c>
    </row>
    <row r="946" spans="2:4" x14ac:dyDescent="0.2">
      <c r="B946" s="6">
        <v>40840</v>
      </c>
      <c r="C946" t="s">
        <v>31</v>
      </c>
      <c r="D946">
        <v>3.3634960671290699</v>
      </c>
    </row>
    <row r="947" spans="2:4" x14ac:dyDescent="0.2">
      <c r="B947" s="6">
        <v>40837</v>
      </c>
      <c r="C947" t="s">
        <v>31</v>
      </c>
      <c r="D947">
        <v>3.3306571574489601</v>
      </c>
    </row>
    <row r="948" spans="2:4" x14ac:dyDescent="0.2">
      <c r="B948" s="6">
        <v>40836</v>
      </c>
      <c r="C948" t="s">
        <v>31</v>
      </c>
      <c r="D948">
        <v>3.3269877497661899</v>
      </c>
    </row>
    <row r="949" spans="2:4" x14ac:dyDescent="0.2">
      <c r="B949" s="6">
        <v>40835</v>
      </c>
      <c r="C949" t="s">
        <v>31</v>
      </c>
      <c r="D949">
        <v>3.3017117850831799</v>
      </c>
    </row>
    <row r="950" spans="2:4" x14ac:dyDescent="0.2">
      <c r="B950" s="6">
        <v>40834</v>
      </c>
      <c r="C950" t="s">
        <v>31</v>
      </c>
      <c r="D950">
        <v>3.2937414945904302</v>
      </c>
    </row>
    <row r="951" spans="2:4" x14ac:dyDescent="0.2">
      <c r="B951" s="6">
        <v>40833</v>
      </c>
      <c r="C951" t="s">
        <v>31</v>
      </c>
      <c r="D951">
        <v>3.29814365265038</v>
      </c>
    </row>
    <row r="952" spans="2:4" x14ac:dyDescent="0.2">
      <c r="B952" s="6">
        <v>40830</v>
      </c>
      <c r="C952" t="s">
        <v>31</v>
      </c>
      <c r="D952">
        <v>3.3644554409980398</v>
      </c>
    </row>
    <row r="953" spans="2:4" x14ac:dyDescent="0.2">
      <c r="B953" s="6">
        <v>40829</v>
      </c>
      <c r="C953" t="s">
        <v>31</v>
      </c>
      <c r="D953">
        <v>3.3067216512953301</v>
      </c>
    </row>
    <row r="954" spans="2:4" x14ac:dyDescent="0.2">
      <c r="B954" s="6">
        <v>40828</v>
      </c>
      <c r="C954" t="s">
        <v>31</v>
      </c>
      <c r="D954">
        <v>3.3378096663708501</v>
      </c>
    </row>
    <row r="955" spans="2:4" x14ac:dyDescent="0.2">
      <c r="B955" s="6">
        <v>40827</v>
      </c>
      <c r="C955" t="s">
        <v>31</v>
      </c>
      <c r="D955">
        <v>3.3168034791382999</v>
      </c>
    </row>
    <row r="956" spans="2:4" x14ac:dyDescent="0.2">
      <c r="B956" s="6">
        <v>40823</v>
      </c>
      <c r="C956" t="s">
        <v>31</v>
      </c>
      <c r="D956">
        <v>3.2827632035572001</v>
      </c>
    </row>
    <row r="957" spans="2:4" x14ac:dyDescent="0.2">
      <c r="B957" s="6">
        <v>40822</v>
      </c>
      <c r="C957" t="s">
        <v>31</v>
      </c>
      <c r="D957">
        <v>3.1859593753289501</v>
      </c>
    </row>
    <row r="958" spans="2:4" x14ac:dyDescent="0.2">
      <c r="B958" s="6">
        <v>40821</v>
      </c>
      <c r="C958" t="s">
        <v>31</v>
      </c>
      <c r="D958">
        <v>3.1183780726897798</v>
      </c>
    </row>
    <row r="959" spans="2:4" x14ac:dyDescent="0.2">
      <c r="B959" s="6">
        <v>40820</v>
      </c>
      <c r="C959" t="s">
        <v>31</v>
      </c>
      <c r="D959">
        <v>3.0428155900438001</v>
      </c>
    </row>
    <row r="960" spans="2:4" x14ac:dyDescent="0.2">
      <c r="B960" s="6">
        <v>40819</v>
      </c>
      <c r="C960" t="s">
        <v>31</v>
      </c>
      <c r="D960">
        <v>2.9658180500681501</v>
      </c>
    </row>
    <row r="961" spans="2:4" x14ac:dyDescent="0.2">
      <c r="B961" s="6">
        <v>40816</v>
      </c>
      <c r="C961" t="s">
        <v>31</v>
      </c>
      <c r="D961">
        <v>3.0385261527896099</v>
      </c>
    </row>
    <row r="962" spans="2:4" x14ac:dyDescent="0.2">
      <c r="B962" s="6">
        <v>40815</v>
      </c>
      <c r="C962" t="s">
        <v>31</v>
      </c>
      <c r="D962">
        <v>3.08102846716154</v>
      </c>
    </row>
    <row r="963" spans="2:4" x14ac:dyDescent="0.2">
      <c r="B963" s="6">
        <v>40814</v>
      </c>
      <c r="C963" t="s">
        <v>31</v>
      </c>
      <c r="D963">
        <v>3.16373332869864</v>
      </c>
    </row>
    <row r="964" spans="2:4" x14ac:dyDescent="0.2">
      <c r="B964" s="6">
        <v>40813</v>
      </c>
      <c r="C964" t="s">
        <v>31</v>
      </c>
      <c r="D964">
        <v>3.19162579468055</v>
      </c>
    </row>
    <row r="965" spans="2:4" x14ac:dyDescent="0.2">
      <c r="B965" s="6">
        <v>40812</v>
      </c>
      <c r="C965" t="s">
        <v>31</v>
      </c>
      <c r="D965">
        <v>3.0707186110207298</v>
      </c>
    </row>
    <row r="966" spans="2:4" x14ac:dyDescent="0.2">
      <c r="B966" s="6">
        <v>40809</v>
      </c>
      <c r="C966" t="s">
        <v>31</v>
      </c>
      <c r="D966">
        <v>2.9787961071901798</v>
      </c>
    </row>
    <row r="967" spans="2:4" x14ac:dyDescent="0.2">
      <c r="B967" s="6">
        <v>40808</v>
      </c>
      <c r="C967" t="s">
        <v>31</v>
      </c>
      <c r="D967">
        <v>2.8513672376672798</v>
      </c>
    </row>
    <row r="968" spans="2:4" x14ac:dyDescent="0.2">
      <c r="B968" s="6">
        <v>40807</v>
      </c>
      <c r="C968" t="s">
        <v>31</v>
      </c>
      <c r="D968">
        <v>3.0193449968875199</v>
      </c>
    </row>
    <row r="969" spans="2:4" x14ac:dyDescent="0.2">
      <c r="B969" s="6">
        <v>40806</v>
      </c>
      <c r="C969" t="s">
        <v>31</v>
      </c>
      <c r="D969">
        <v>3.25926253404289</v>
      </c>
    </row>
    <row r="970" spans="2:4" x14ac:dyDescent="0.2">
      <c r="B970" s="6">
        <v>40805</v>
      </c>
      <c r="C970" t="s">
        <v>31</v>
      </c>
      <c r="D970">
        <v>3.2381411967187499</v>
      </c>
    </row>
    <row r="971" spans="2:4" x14ac:dyDescent="0.2">
      <c r="B971" s="6">
        <v>40802</v>
      </c>
      <c r="C971" t="s">
        <v>31</v>
      </c>
      <c r="D971">
        <v>3.3468903558930401</v>
      </c>
    </row>
    <row r="972" spans="2:4" x14ac:dyDescent="0.2">
      <c r="B972" s="6">
        <v>40801</v>
      </c>
      <c r="C972" t="s">
        <v>31</v>
      </c>
      <c r="D972">
        <v>3.3472561381998802</v>
      </c>
    </row>
    <row r="973" spans="2:4" x14ac:dyDescent="0.2">
      <c r="B973" s="6">
        <v>40800</v>
      </c>
      <c r="C973" t="s">
        <v>31</v>
      </c>
      <c r="D973">
        <v>3.3005008889944101</v>
      </c>
    </row>
    <row r="974" spans="2:4" x14ac:dyDescent="0.2">
      <c r="B974" s="6">
        <v>40799</v>
      </c>
      <c r="C974" t="s">
        <v>31</v>
      </c>
      <c r="D974">
        <v>3.3011183094631602</v>
      </c>
    </row>
    <row r="975" spans="2:4" x14ac:dyDescent="0.2">
      <c r="B975" s="6">
        <v>40798</v>
      </c>
      <c r="C975" t="s">
        <v>31</v>
      </c>
      <c r="D975">
        <v>3.26610474456754</v>
      </c>
    </row>
    <row r="976" spans="2:4" x14ac:dyDescent="0.2">
      <c r="B976" s="6">
        <v>40795</v>
      </c>
      <c r="C976" t="s">
        <v>31</v>
      </c>
      <c r="D976">
        <v>3.2179153943453298</v>
      </c>
    </row>
    <row r="977" spans="2:4" x14ac:dyDescent="0.2">
      <c r="B977" s="6">
        <v>40794</v>
      </c>
      <c r="C977" t="s">
        <v>31</v>
      </c>
      <c r="D977">
        <v>3.2850540934441099</v>
      </c>
    </row>
    <row r="978" spans="2:4" x14ac:dyDescent="0.2">
      <c r="B978" s="6">
        <v>40793</v>
      </c>
      <c r="C978" t="s">
        <v>31</v>
      </c>
      <c r="D978">
        <v>3.3161398377086599</v>
      </c>
    </row>
    <row r="979" spans="2:4" x14ac:dyDescent="0.2">
      <c r="B979" s="6">
        <v>40792</v>
      </c>
      <c r="C979" t="s">
        <v>31</v>
      </c>
      <c r="D979">
        <v>3.2630175220730102</v>
      </c>
    </row>
    <row r="980" spans="2:4" x14ac:dyDescent="0.2">
      <c r="B980" s="6">
        <v>40788</v>
      </c>
      <c r="C980" t="s">
        <v>31</v>
      </c>
      <c r="D980">
        <v>3.2634227208320401</v>
      </c>
    </row>
    <row r="981" spans="2:4" x14ac:dyDescent="0.2">
      <c r="B981" s="6">
        <v>40787</v>
      </c>
      <c r="C981" t="s">
        <v>31</v>
      </c>
      <c r="D981">
        <v>3.3636197658163201</v>
      </c>
    </row>
    <row r="982" spans="2:4" x14ac:dyDescent="0.2">
      <c r="B982" s="6">
        <v>40786</v>
      </c>
      <c r="C982" t="s">
        <v>31</v>
      </c>
      <c r="D982">
        <v>3.4273948025536498</v>
      </c>
    </row>
    <row r="983" spans="2:4" x14ac:dyDescent="0.2">
      <c r="B983" s="6">
        <v>40785</v>
      </c>
      <c r="C983" t="s">
        <v>31</v>
      </c>
      <c r="D983">
        <v>3.3588973610641801</v>
      </c>
    </row>
    <row r="984" spans="2:4" x14ac:dyDescent="0.2">
      <c r="B984" s="6">
        <v>40784</v>
      </c>
      <c r="C984" t="s">
        <v>31</v>
      </c>
      <c r="D984">
        <v>3.44007422057935</v>
      </c>
    </row>
    <row r="985" spans="2:4" x14ac:dyDescent="0.2">
      <c r="B985" s="6">
        <v>40781</v>
      </c>
      <c r="C985" t="s">
        <v>31</v>
      </c>
      <c r="D985">
        <v>3.35269320675931</v>
      </c>
    </row>
    <row r="986" spans="2:4" x14ac:dyDescent="0.2">
      <c r="B986" s="6">
        <v>40780</v>
      </c>
      <c r="C986" t="s">
        <v>31</v>
      </c>
      <c r="D986">
        <v>3.3922014866602601</v>
      </c>
    </row>
    <row r="987" spans="2:4" x14ac:dyDescent="0.2">
      <c r="B987" s="6">
        <v>40779</v>
      </c>
      <c r="C987" t="s">
        <v>31</v>
      </c>
      <c r="D987">
        <v>3.3081684069465198</v>
      </c>
    </row>
    <row r="988" spans="2:4" x14ac:dyDescent="0.2">
      <c r="B988" s="6">
        <v>40778</v>
      </c>
      <c r="C988" t="s">
        <v>31</v>
      </c>
      <c r="D988">
        <v>3.3649434025508</v>
      </c>
    </row>
    <row r="989" spans="2:4" x14ac:dyDescent="0.2">
      <c r="B989" s="6">
        <v>40777</v>
      </c>
      <c r="C989" t="s">
        <v>31</v>
      </c>
      <c r="D989">
        <v>3.3037905291021898</v>
      </c>
    </row>
    <row r="990" spans="2:4" x14ac:dyDescent="0.2">
      <c r="B990" s="6">
        <v>40774</v>
      </c>
      <c r="C990" t="s">
        <v>31</v>
      </c>
      <c r="D990">
        <v>3.2837852746687299</v>
      </c>
    </row>
    <row r="991" spans="2:4" x14ac:dyDescent="0.2">
      <c r="B991" s="6">
        <v>40773</v>
      </c>
      <c r="C991" t="s">
        <v>31</v>
      </c>
      <c r="D991">
        <v>3.2492398871399901</v>
      </c>
    </row>
    <row r="992" spans="2:4" x14ac:dyDescent="0.2">
      <c r="B992" s="6">
        <v>40772</v>
      </c>
      <c r="C992" t="s">
        <v>31</v>
      </c>
      <c r="D992">
        <v>3.26932734313012</v>
      </c>
    </row>
    <row r="993" spans="2:4" x14ac:dyDescent="0.2">
      <c r="B993" s="6">
        <v>40771</v>
      </c>
      <c r="C993" t="s">
        <v>31</v>
      </c>
      <c r="D993">
        <v>3.3118241286544898</v>
      </c>
    </row>
    <row r="994" spans="2:4" x14ac:dyDescent="0.2">
      <c r="B994" s="6">
        <v>40770</v>
      </c>
      <c r="C994" t="s">
        <v>31</v>
      </c>
      <c r="D994">
        <v>3.3816169312489701</v>
      </c>
    </row>
    <row r="995" spans="2:4" x14ac:dyDescent="0.2">
      <c r="B995" s="6">
        <v>40767</v>
      </c>
      <c r="C995" t="s">
        <v>31</v>
      </c>
      <c r="D995">
        <v>3.31670518615761</v>
      </c>
    </row>
    <row r="996" spans="2:4" x14ac:dyDescent="0.2">
      <c r="B996" s="6">
        <v>40766</v>
      </c>
      <c r="C996" t="s">
        <v>31</v>
      </c>
      <c r="D996">
        <v>3.3763418020017699</v>
      </c>
    </row>
    <row r="997" spans="2:4" x14ac:dyDescent="0.2">
      <c r="B997" s="6">
        <v>40765</v>
      </c>
      <c r="C997" t="s">
        <v>31</v>
      </c>
      <c r="D997">
        <v>3.2328090551178201</v>
      </c>
    </row>
    <row r="998" spans="2:4" x14ac:dyDescent="0.2">
      <c r="B998" s="6">
        <v>40764</v>
      </c>
      <c r="C998" t="s">
        <v>31</v>
      </c>
      <c r="D998">
        <v>3.3615209507412498</v>
      </c>
    </row>
    <row r="999" spans="2:4" x14ac:dyDescent="0.2">
      <c r="B999" s="6">
        <v>40763</v>
      </c>
      <c r="C999" t="s">
        <v>31</v>
      </c>
      <c r="D999">
        <v>3.5272994184639499</v>
      </c>
    </row>
    <row r="1000" spans="2:4" x14ac:dyDescent="0.2">
      <c r="B1000" s="6">
        <v>40760</v>
      </c>
      <c r="C1000" t="s">
        <v>31</v>
      </c>
      <c r="D1000">
        <v>3.6494432992963999</v>
      </c>
    </row>
    <row r="1001" spans="2:4" x14ac:dyDescent="0.2">
      <c r="B1001" s="6">
        <v>40759</v>
      </c>
      <c r="C1001" t="s">
        <v>31</v>
      </c>
      <c r="D1001">
        <v>3.4866024421459598</v>
      </c>
    </row>
    <row r="1002" spans="2:4" x14ac:dyDescent="0.2">
      <c r="B1002" s="6">
        <v>40758</v>
      </c>
      <c r="C1002" t="s">
        <v>31</v>
      </c>
      <c r="D1002">
        <v>3.61498902203365</v>
      </c>
    </row>
    <row r="1003" spans="2:4" x14ac:dyDescent="0.2">
      <c r="B1003" s="6">
        <v>40757</v>
      </c>
      <c r="C1003" t="s">
        <v>31</v>
      </c>
      <c r="D1003">
        <v>3.6570869761159299</v>
      </c>
    </row>
    <row r="1004" spans="2:4" x14ac:dyDescent="0.2">
      <c r="B1004" s="6">
        <v>40756</v>
      </c>
      <c r="C1004" t="s">
        <v>31</v>
      </c>
      <c r="D1004">
        <v>3.76446810625648</v>
      </c>
    </row>
    <row r="1005" spans="2:4" x14ac:dyDescent="0.2">
      <c r="B1005" s="6">
        <v>40753</v>
      </c>
      <c r="C1005" t="s">
        <v>31</v>
      </c>
      <c r="D1005">
        <v>3.8088238659156599</v>
      </c>
    </row>
    <row r="1006" spans="2:4" x14ac:dyDescent="0.2">
      <c r="B1006" s="6">
        <v>40752</v>
      </c>
      <c r="C1006" t="s">
        <v>31</v>
      </c>
      <c r="D1006">
        <v>3.9324314812140502</v>
      </c>
    </row>
    <row r="1007" spans="2:4" x14ac:dyDescent="0.2">
      <c r="B1007" s="6">
        <v>40751</v>
      </c>
      <c r="C1007" t="s">
        <v>31</v>
      </c>
      <c r="D1007">
        <v>3.9740262536050301</v>
      </c>
    </row>
    <row r="1008" spans="2:4" x14ac:dyDescent="0.2">
      <c r="B1008" s="6">
        <v>40750</v>
      </c>
      <c r="C1008" t="s">
        <v>31</v>
      </c>
      <c r="D1008">
        <v>3.93180055447786</v>
      </c>
    </row>
    <row r="1009" spans="2:4" x14ac:dyDescent="0.2">
      <c r="B1009" s="6">
        <v>40749</v>
      </c>
      <c r="C1009" t="s">
        <v>31</v>
      </c>
      <c r="D1009">
        <v>3.9604705885529299</v>
      </c>
    </row>
    <row r="1010" spans="2:4" x14ac:dyDescent="0.2">
      <c r="B1010" s="6">
        <v>40746</v>
      </c>
      <c r="C1010" t="s">
        <v>31</v>
      </c>
      <c r="D1010">
        <v>3.9256648990876601</v>
      </c>
    </row>
    <row r="1011" spans="2:4" x14ac:dyDescent="0.2">
      <c r="B1011" s="6">
        <v>40745</v>
      </c>
      <c r="C1011" t="s">
        <v>31</v>
      </c>
      <c r="D1011">
        <v>3.95043209572012</v>
      </c>
    </row>
    <row r="1012" spans="2:4" x14ac:dyDescent="0.2">
      <c r="B1012" s="6">
        <v>40744</v>
      </c>
      <c r="C1012" t="s">
        <v>31</v>
      </c>
      <c r="D1012">
        <v>3.9147234393454702</v>
      </c>
    </row>
    <row r="1013" spans="2:4" x14ac:dyDescent="0.2">
      <c r="B1013" s="6">
        <v>40743</v>
      </c>
      <c r="C1013" t="s">
        <v>31</v>
      </c>
      <c r="D1013">
        <v>3.9028989279116901</v>
      </c>
    </row>
    <row r="1014" spans="2:4" x14ac:dyDescent="0.2">
      <c r="B1014" s="6">
        <v>40742</v>
      </c>
      <c r="C1014" t="s">
        <v>31</v>
      </c>
      <c r="D1014">
        <v>3.9143080460747499</v>
      </c>
    </row>
    <row r="1015" spans="2:4" x14ac:dyDescent="0.2">
      <c r="B1015" s="6">
        <v>40739</v>
      </c>
      <c r="C1015" t="s">
        <v>31</v>
      </c>
      <c r="D1015">
        <v>3.8829277036335901</v>
      </c>
    </row>
    <row r="1016" spans="2:4" x14ac:dyDescent="0.2">
      <c r="B1016" s="6">
        <v>40738</v>
      </c>
      <c r="C1016" t="s">
        <v>31</v>
      </c>
      <c r="D1016">
        <v>3.8985405222991401</v>
      </c>
    </row>
    <row r="1017" spans="2:4" x14ac:dyDescent="0.2">
      <c r="B1017" s="6">
        <v>40737</v>
      </c>
      <c r="C1017" t="s">
        <v>31</v>
      </c>
      <c r="D1017">
        <v>3.8643242728668699</v>
      </c>
    </row>
    <row r="1018" spans="2:4" x14ac:dyDescent="0.2">
      <c r="B1018" s="6">
        <v>40736</v>
      </c>
      <c r="C1018" t="s">
        <v>31</v>
      </c>
      <c r="D1018">
        <v>3.8994081954805799</v>
      </c>
    </row>
    <row r="1019" spans="2:4" x14ac:dyDescent="0.2">
      <c r="B1019" s="6">
        <v>40735</v>
      </c>
      <c r="C1019" t="s">
        <v>31</v>
      </c>
      <c r="D1019">
        <v>3.9124758151912502</v>
      </c>
    </row>
    <row r="1020" spans="2:4" x14ac:dyDescent="0.2">
      <c r="B1020" s="6">
        <v>40732</v>
      </c>
      <c r="C1020" t="s">
        <v>31</v>
      </c>
      <c r="D1020">
        <v>3.9560446412855801</v>
      </c>
    </row>
    <row r="1021" spans="2:4" x14ac:dyDescent="0.2">
      <c r="B1021" s="6">
        <v>40731</v>
      </c>
      <c r="C1021" t="s">
        <v>31</v>
      </c>
      <c r="D1021">
        <v>4.0552994132592604</v>
      </c>
    </row>
    <row r="1022" spans="2:4" x14ac:dyDescent="0.2">
      <c r="B1022" s="6">
        <v>40730</v>
      </c>
      <c r="C1022" t="s">
        <v>31</v>
      </c>
      <c r="D1022">
        <v>4.00074846478753</v>
      </c>
    </row>
    <row r="1023" spans="2:4" x14ac:dyDescent="0.2">
      <c r="B1023" s="6">
        <v>40729</v>
      </c>
      <c r="C1023" t="s">
        <v>31</v>
      </c>
      <c r="D1023">
        <v>4.0109296583696397</v>
      </c>
    </row>
    <row r="1024" spans="2:4" x14ac:dyDescent="0.2">
      <c r="B1024" s="6">
        <v>40725</v>
      </c>
      <c r="C1024" t="s">
        <v>31</v>
      </c>
      <c r="D1024">
        <v>4.04948996007146</v>
      </c>
    </row>
    <row r="1025" spans="2:4" x14ac:dyDescent="0.2">
      <c r="B1025" s="6">
        <v>40724</v>
      </c>
      <c r="C1025" t="s">
        <v>31</v>
      </c>
      <c r="D1025">
        <v>4.0210177977435997</v>
      </c>
    </row>
    <row r="1026" spans="2:4" x14ac:dyDescent="0.2">
      <c r="B1026" s="6">
        <v>40723</v>
      </c>
      <c r="C1026" t="s">
        <v>31</v>
      </c>
      <c r="D1026">
        <v>3.9900665756964502</v>
      </c>
    </row>
    <row r="1027" spans="2:4" x14ac:dyDescent="0.2">
      <c r="B1027" s="6">
        <v>40722</v>
      </c>
      <c r="C1027" t="s">
        <v>31</v>
      </c>
      <c r="D1027">
        <v>3.9645862144820998</v>
      </c>
    </row>
    <row r="1028" spans="2:4" x14ac:dyDescent="0.2">
      <c r="B1028" s="6">
        <v>40721</v>
      </c>
      <c r="C1028" t="s">
        <v>31</v>
      </c>
      <c r="D1028">
        <v>3.88514648916032</v>
      </c>
    </row>
    <row r="1029" spans="2:4" x14ac:dyDescent="0.2">
      <c r="B1029" s="6">
        <v>40718</v>
      </c>
      <c r="C1029" t="s">
        <v>31</v>
      </c>
      <c r="D1029">
        <v>3.8413126795761698</v>
      </c>
    </row>
    <row r="1030" spans="2:4" x14ac:dyDescent="0.2">
      <c r="B1030" s="6">
        <v>40717</v>
      </c>
      <c r="C1030" t="s">
        <v>31</v>
      </c>
      <c r="D1030">
        <v>3.84233320184673</v>
      </c>
    </row>
    <row r="1031" spans="2:4" x14ac:dyDescent="0.2">
      <c r="B1031" s="6">
        <v>40716</v>
      </c>
      <c r="C1031" t="s">
        <v>31</v>
      </c>
      <c r="D1031">
        <v>3.9103100553676802</v>
      </c>
    </row>
    <row r="1032" spans="2:4" x14ac:dyDescent="0.2">
      <c r="B1032" s="6">
        <v>40715</v>
      </c>
      <c r="C1032" t="s">
        <v>31</v>
      </c>
      <c r="D1032">
        <v>3.9333528033335798</v>
      </c>
    </row>
    <row r="1033" spans="2:4" x14ac:dyDescent="0.2">
      <c r="B1033" s="6">
        <v>40714</v>
      </c>
      <c r="C1033" t="s">
        <v>31</v>
      </c>
      <c r="D1033">
        <v>3.9260526521362999</v>
      </c>
    </row>
    <row r="1034" spans="2:4" x14ac:dyDescent="0.2">
      <c r="B1034" s="6">
        <v>40711</v>
      </c>
      <c r="C1034" t="s">
        <v>31</v>
      </c>
      <c r="D1034">
        <v>3.9054668226802498</v>
      </c>
    </row>
    <row r="1035" spans="2:4" x14ac:dyDescent="0.2">
      <c r="B1035" s="6">
        <v>40710</v>
      </c>
      <c r="C1035" t="s">
        <v>31</v>
      </c>
      <c r="D1035">
        <v>3.8841647371272701</v>
      </c>
    </row>
    <row r="1036" spans="2:4" x14ac:dyDescent="0.2">
      <c r="B1036" s="6">
        <v>40709</v>
      </c>
      <c r="C1036" t="s">
        <v>31</v>
      </c>
      <c r="D1036">
        <v>3.9059042463873701</v>
      </c>
    </row>
    <row r="1037" spans="2:4" x14ac:dyDescent="0.2">
      <c r="B1037" s="6">
        <v>40708</v>
      </c>
      <c r="C1037" t="s">
        <v>31</v>
      </c>
      <c r="D1037">
        <v>3.9753443748507</v>
      </c>
    </row>
    <row r="1038" spans="2:4" x14ac:dyDescent="0.2">
      <c r="B1038" s="6">
        <v>40707</v>
      </c>
      <c r="C1038" t="s">
        <v>31</v>
      </c>
      <c r="D1038">
        <v>3.9067873129845099</v>
      </c>
    </row>
    <row r="1039" spans="2:4" x14ac:dyDescent="0.2">
      <c r="B1039" s="6">
        <v>40704</v>
      </c>
      <c r="C1039" t="s">
        <v>31</v>
      </c>
      <c r="D1039">
        <v>3.8969631716255102</v>
      </c>
    </row>
    <row r="1040" spans="2:4" x14ac:dyDescent="0.2">
      <c r="B1040" s="6">
        <v>40703</v>
      </c>
      <c r="C1040" t="s">
        <v>31</v>
      </c>
      <c r="D1040">
        <v>3.8960475696297299</v>
      </c>
    </row>
    <row r="1041" spans="2:4" x14ac:dyDescent="0.2">
      <c r="B1041" s="6">
        <v>40702</v>
      </c>
      <c r="C1041" t="s">
        <v>31</v>
      </c>
      <c r="D1041">
        <v>3.8566823596436302</v>
      </c>
    </row>
    <row r="1042" spans="2:4" x14ac:dyDescent="0.2">
      <c r="B1042" s="6">
        <v>40701</v>
      </c>
      <c r="C1042" t="s">
        <v>31</v>
      </c>
      <c r="D1042">
        <v>3.8958144444652301</v>
      </c>
    </row>
    <row r="1043" spans="2:4" x14ac:dyDescent="0.2">
      <c r="B1043" s="6">
        <v>40700</v>
      </c>
      <c r="C1043" t="s">
        <v>31</v>
      </c>
      <c r="D1043">
        <v>3.9007146694666899</v>
      </c>
    </row>
    <row r="1044" spans="2:4" x14ac:dyDescent="0.2">
      <c r="B1044" s="6">
        <v>40697</v>
      </c>
      <c r="C1044" t="s">
        <v>31</v>
      </c>
      <c r="D1044">
        <v>3.8932835819735199</v>
      </c>
    </row>
    <row r="1045" spans="2:4" x14ac:dyDescent="0.2">
      <c r="B1045" s="6">
        <v>40696</v>
      </c>
      <c r="C1045" t="s">
        <v>31</v>
      </c>
      <c r="D1045">
        <v>3.91386634442794</v>
      </c>
    </row>
    <row r="1046" spans="2:4" x14ac:dyDescent="0.2">
      <c r="B1046" s="6">
        <v>40695</v>
      </c>
      <c r="C1046" t="s">
        <v>31</v>
      </c>
      <c r="D1046">
        <v>3.86349424372803</v>
      </c>
    </row>
    <row r="1047" spans="2:4" x14ac:dyDescent="0.2">
      <c r="B1047" s="6">
        <v>40694</v>
      </c>
      <c r="C1047" t="s">
        <v>31</v>
      </c>
      <c r="D1047">
        <v>3.93235427092598</v>
      </c>
    </row>
    <row r="1048" spans="2:4" x14ac:dyDescent="0.2">
      <c r="B1048" s="6">
        <v>40690</v>
      </c>
      <c r="C1048" t="s">
        <v>31</v>
      </c>
      <c r="D1048">
        <v>3.9340132469573699</v>
      </c>
    </row>
    <row r="1049" spans="2:4" x14ac:dyDescent="0.2">
      <c r="B1049" s="6">
        <v>40689</v>
      </c>
      <c r="C1049" t="s">
        <v>31</v>
      </c>
      <c r="D1049">
        <v>3.9110937732392999</v>
      </c>
    </row>
    <row r="1050" spans="2:4" x14ac:dyDescent="0.2">
      <c r="B1050" s="6">
        <v>40688</v>
      </c>
      <c r="C1050" t="s">
        <v>31</v>
      </c>
      <c r="D1050">
        <v>3.9826402417029598</v>
      </c>
    </row>
    <row r="1051" spans="2:4" x14ac:dyDescent="0.2">
      <c r="B1051" s="6">
        <v>40687</v>
      </c>
      <c r="C1051" t="s">
        <v>31</v>
      </c>
      <c r="D1051">
        <v>3.9840068188340201</v>
      </c>
    </row>
    <row r="1052" spans="2:4" x14ac:dyDescent="0.2">
      <c r="B1052" s="6">
        <v>40686</v>
      </c>
      <c r="C1052" t="s">
        <v>31</v>
      </c>
      <c r="D1052">
        <v>3.9961535030173398</v>
      </c>
    </row>
    <row r="1053" spans="2:4" x14ac:dyDescent="0.2">
      <c r="B1053" s="6">
        <v>40683</v>
      </c>
      <c r="C1053" t="s">
        <v>31</v>
      </c>
      <c r="D1053">
        <v>3.9928413440389701</v>
      </c>
    </row>
    <row r="1054" spans="2:4" x14ac:dyDescent="0.2">
      <c r="B1054" s="6">
        <v>40682</v>
      </c>
      <c r="C1054" t="s">
        <v>31</v>
      </c>
      <c r="D1054">
        <v>4.0056577921068204</v>
      </c>
    </row>
    <row r="1055" spans="2:4" x14ac:dyDescent="0.2">
      <c r="B1055" s="6">
        <v>40681</v>
      </c>
      <c r="C1055" t="s">
        <v>31</v>
      </c>
      <c r="D1055">
        <v>3.9981747408284201</v>
      </c>
    </row>
    <row r="1056" spans="2:4" x14ac:dyDescent="0.2">
      <c r="B1056" s="6">
        <v>40680</v>
      </c>
      <c r="C1056" t="s">
        <v>31</v>
      </c>
      <c r="D1056">
        <v>3.9561973951129898</v>
      </c>
    </row>
    <row r="1057" spans="2:4" x14ac:dyDescent="0.2">
      <c r="B1057" s="6">
        <v>40679</v>
      </c>
      <c r="C1057" t="s">
        <v>31</v>
      </c>
      <c r="D1057">
        <v>3.9714462688070098</v>
      </c>
    </row>
    <row r="1058" spans="2:4" x14ac:dyDescent="0.2">
      <c r="B1058" s="6">
        <v>40676</v>
      </c>
      <c r="C1058" t="s">
        <v>31</v>
      </c>
      <c r="D1058">
        <v>3.98862222187666</v>
      </c>
    </row>
    <row r="1059" spans="2:4" x14ac:dyDescent="0.2">
      <c r="B1059" s="6">
        <v>40675</v>
      </c>
      <c r="C1059" t="s">
        <v>31</v>
      </c>
      <c r="D1059">
        <v>4.0052084315685699</v>
      </c>
    </row>
    <row r="1060" spans="2:4" x14ac:dyDescent="0.2">
      <c r="B1060" s="6">
        <v>40674</v>
      </c>
      <c r="C1060" t="s">
        <v>31</v>
      </c>
      <c r="D1060">
        <v>3.98265251730554</v>
      </c>
    </row>
    <row r="1061" spans="2:4" x14ac:dyDescent="0.2">
      <c r="B1061" s="6">
        <v>40673</v>
      </c>
      <c r="C1061" t="s">
        <v>31</v>
      </c>
      <c r="D1061">
        <v>4.01017409767306</v>
      </c>
    </row>
    <row r="1062" spans="2:4" x14ac:dyDescent="0.2">
      <c r="B1062" s="6">
        <v>40672</v>
      </c>
      <c r="C1062" t="s">
        <v>31</v>
      </c>
      <c r="D1062">
        <v>3.9671840173196098</v>
      </c>
    </row>
    <row r="1063" spans="2:4" x14ac:dyDescent="0.2">
      <c r="B1063" s="6">
        <v>40669</v>
      </c>
      <c r="C1063" t="s">
        <v>31</v>
      </c>
      <c r="D1063">
        <v>3.9810369231878999</v>
      </c>
    </row>
    <row r="1064" spans="2:4" x14ac:dyDescent="0.2">
      <c r="B1064" s="6">
        <v>40668</v>
      </c>
      <c r="C1064" t="s">
        <v>31</v>
      </c>
      <c r="D1064">
        <v>3.9897426848348498</v>
      </c>
    </row>
    <row r="1065" spans="2:4" x14ac:dyDescent="0.2">
      <c r="B1065" s="6">
        <v>40667</v>
      </c>
      <c r="C1065" t="s">
        <v>31</v>
      </c>
      <c r="D1065">
        <v>4.0402883420391804</v>
      </c>
    </row>
    <row r="1066" spans="2:4" x14ac:dyDescent="0.2">
      <c r="B1066" s="6">
        <v>40666</v>
      </c>
      <c r="C1066" t="s">
        <v>31</v>
      </c>
      <c r="D1066">
        <v>4.0711736764918296</v>
      </c>
    </row>
    <row r="1067" spans="2:4" x14ac:dyDescent="0.2">
      <c r="B1067" s="6">
        <v>40665</v>
      </c>
      <c r="C1067" t="s">
        <v>31</v>
      </c>
      <c r="D1067">
        <v>4.1017392555975398</v>
      </c>
    </row>
    <row r="1068" spans="2:4" x14ac:dyDescent="0.2">
      <c r="B1068" s="6">
        <v>40662</v>
      </c>
      <c r="C1068" t="s">
        <v>31</v>
      </c>
      <c r="D1068">
        <v>4.0911415079480502</v>
      </c>
    </row>
    <row r="1069" spans="2:4" x14ac:dyDescent="0.2">
      <c r="B1069" s="6">
        <v>40661</v>
      </c>
      <c r="C1069" t="s">
        <v>31</v>
      </c>
      <c r="D1069">
        <v>4.1085299627435603</v>
      </c>
    </row>
    <row r="1070" spans="2:4" x14ac:dyDescent="0.2">
      <c r="B1070" s="6">
        <v>40660</v>
      </c>
      <c r="C1070" t="s">
        <v>31</v>
      </c>
      <c r="D1070">
        <v>4.1737753595226996</v>
      </c>
    </row>
    <row r="1071" spans="2:4" x14ac:dyDescent="0.2">
      <c r="B1071" s="6">
        <v>40659</v>
      </c>
      <c r="C1071" t="s">
        <v>31</v>
      </c>
      <c r="D1071">
        <v>4.1488060132239797</v>
      </c>
    </row>
    <row r="1072" spans="2:4" x14ac:dyDescent="0.2">
      <c r="B1072" s="6">
        <v>40658</v>
      </c>
      <c r="C1072" t="s">
        <v>31</v>
      </c>
      <c r="D1072">
        <v>4.1798117346260302</v>
      </c>
    </row>
    <row r="1073" spans="2:4" x14ac:dyDescent="0.2">
      <c r="B1073" s="6">
        <v>40654</v>
      </c>
      <c r="C1073" t="s">
        <v>31</v>
      </c>
      <c r="D1073">
        <v>4.2118801952184501</v>
      </c>
    </row>
    <row r="1074" spans="2:4" x14ac:dyDescent="0.2">
      <c r="B1074" s="6">
        <v>40653</v>
      </c>
      <c r="C1074" t="s">
        <v>31</v>
      </c>
      <c r="D1074">
        <v>4.2102300154498904</v>
      </c>
    </row>
    <row r="1075" spans="2:4" x14ac:dyDescent="0.2">
      <c r="B1075" s="6">
        <v>40652</v>
      </c>
      <c r="C1075" t="s">
        <v>31</v>
      </c>
      <c r="D1075">
        <v>4.1805597151959502</v>
      </c>
    </row>
    <row r="1076" spans="2:4" x14ac:dyDescent="0.2">
      <c r="B1076" s="6">
        <v>40651</v>
      </c>
      <c r="C1076" t="s">
        <v>31</v>
      </c>
      <c r="D1076">
        <v>4.1920950828505896</v>
      </c>
    </row>
    <row r="1077" spans="2:4" x14ac:dyDescent="0.2">
      <c r="B1077" s="6">
        <v>40648</v>
      </c>
      <c r="C1077" t="s">
        <v>31</v>
      </c>
      <c r="D1077">
        <v>4.2253488908248604</v>
      </c>
    </row>
    <row r="1078" spans="2:4" x14ac:dyDescent="0.2">
      <c r="B1078" s="6">
        <v>40647</v>
      </c>
      <c r="C1078" t="s">
        <v>31</v>
      </c>
      <c r="D1078">
        <v>4.2935055694790503</v>
      </c>
    </row>
    <row r="1079" spans="2:4" x14ac:dyDescent="0.2">
      <c r="B1079" s="6">
        <v>40646</v>
      </c>
      <c r="C1079" t="s">
        <v>31</v>
      </c>
      <c r="D1079">
        <v>4.2868662030008098</v>
      </c>
    </row>
    <row r="1080" spans="2:4" x14ac:dyDescent="0.2">
      <c r="B1080" s="6">
        <v>40645</v>
      </c>
      <c r="C1080" t="s">
        <v>31</v>
      </c>
      <c r="D1080">
        <v>4.30611620618477</v>
      </c>
    </row>
    <row r="1081" spans="2:4" x14ac:dyDescent="0.2">
      <c r="B1081" s="6">
        <v>40644</v>
      </c>
      <c r="C1081" t="s">
        <v>31</v>
      </c>
      <c r="D1081">
        <v>4.3573317351240703</v>
      </c>
    </row>
    <row r="1082" spans="2:4" x14ac:dyDescent="0.2">
      <c r="B1082" s="6">
        <v>40641</v>
      </c>
      <c r="C1082" t="s">
        <v>31</v>
      </c>
      <c r="D1082">
        <v>4.3622076135317203</v>
      </c>
    </row>
    <row r="1083" spans="2:4" x14ac:dyDescent="0.2">
      <c r="B1083" s="6">
        <v>40640</v>
      </c>
      <c r="C1083" t="s">
        <v>31</v>
      </c>
      <c r="D1083">
        <v>4.3534210844177004</v>
      </c>
    </row>
    <row r="1084" spans="2:4" x14ac:dyDescent="0.2">
      <c r="B1084" s="6">
        <v>40639</v>
      </c>
      <c r="C1084" t="s">
        <v>31</v>
      </c>
      <c r="D1084">
        <v>4.3581821128406304</v>
      </c>
    </row>
    <row r="1085" spans="2:4" x14ac:dyDescent="0.2">
      <c r="B1085" s="6">
        <v>40638</v>
      </c>
      <c r="C1085" t="s">
        <v>31</v>
      </c>
      <c r="D1085">
        <v>4.32682935952222</v>
      </c>
    </row>
    <row r="1086" spans="2:4" x14ac:dyDescent="0.2">
      <c r="B1086" s="6">
        <v>40637</v>
      </c>
      <c r="C1086" t="s">
        <v>31</v>
      </c>
      <c r="D1086">
        <v>4.2707131453580098</v>
      </c>
    </row>
    <row r="1087" spans="2:4" x14ac:dyDescent="0.2">
      <c r="B1087" s="6">
        <v>40634</v>
      </c>
      <c r="C1087" t="s">
        <v>31</v>
      </c>
      <c r="D1087">
        <v>4.2725182079422597</v>
      </c>
    </row>
    <row r="1088" spans="2:4" x14ac:dyDescent="0.2">
      <c r="B1088" s="6">
        <v>40633</v>
      </c>
      <c r="C1088" t="s">
        <v>31</v>
      </c>
      <c r="D1088">
        <v>4.26321220258097</v>
      </c>
    </row>
    <row r="1089" spans="2:4" x14ac:dyDescent="0.2">
      <c r="B1089" s="6">
        <v>40632</v>
      </c>
      <c r="C1089" t="s">
        <v>31</v>
      </c>
      <c r="D1089">
        <v>4.2688327995501503</v>
      </c>
    </row>
    <row r="1090" spans="2:4" x14ac:dyDescent="0.2">
      <c r="B1090" s="6">
        <v>40631</v>
      </c>
      <c r="C1090" t="s">
        <v>31</v>
      </c>
      <c r="D1090">
        <v>4.3031579691569499</v>
      </c>
    </row>
    <row r="1091" spans="2:4" x14ac:dyDescent="0.2">
      <c r="B1091" s="6">
        <v>40630</v>
      </c>
      <c r="C1091" t="s">
        <v>31</v>
      </c>
      <c r="D1091">
        <v>4.2631006281435502</v>
      </c>
    </row>
    <row r="1092" spans="2:4" x14ac:dyDescent="0.2">
      <c r="B1092" s="6">
        <v>40627</v>
      </c>
      <c r="C1092" t="s">
        <v>31</v>
      </c>
      <c r="D1092">
        <v>4.2607943289152903</v>
      </c>
    </row>
    <row r="1093" spans="2:4" x14ac:dyDescent="0.2">
      <c r="B1093" s="6">
        <v>40626</v>
      </c>
      <c r="C1093" t="s">
        <v>31</v>
      </c>
      <c r="D1093">
        <v>4.22853993673895</v>
      </c>
    </row>
    <row r="1094" spans="2:4" x14ac:dyDescent="0.2">
      <c r="B1094" s="6">
        <v>40625</v>
      </c>
      <c r="C1094" t="s">
        <v>31</v>
      </c>
      <c r="D1094">
        <v>4.2092705664772598</v>
      </c>
    </row>
    <row r="1095" spans="2:4" x14ac:dyDescent="0.2">
      <c r="B1095" s="6">
        <v>40624</v>
      </c>
      <c r="C1095" t="s">
        <v>31</v>
      </c>
      <c r="D1095">
        <v>4.1893598629654702</v>
      </c>
    </row>
    <row r="1096" spans="2:4" x14ac:dyDescent="0.2">
      <c r="B1096" s="6">
        <v>40623</v>
      </c>
      <c r="C1096" t="s">
        <v>31</v>
      </c>
      <c r="D1096">
        <v>4.1633848417706298</v>
      </c>
    </row>
    <row r="1097" spans="2:4" x14ac:dyDescent="0.2">
      <c r="B1097" s="6">
        <v>40620</v>
      </c>
      <c r="C1097" t="s">
        <v>31</v>
      </c>
      <c r="D1097">
        <v>4.1111783880134496</v>
      </c>
    </row>
    <row r="1098" spans="2:4" x14ac:dyDescent="0.2">
      <c r="B1098" s="6">
        <v>40619</v>
      </c>
      <c r="C1098" t="s">
        <v>31</v>
      </c>
      <c r="D1098">
        <v>4.1072423459751501</v>
      </c>
    </row>
    <row r="1099" spans="2:4" x14ac:dyDescent="0.2">
      <c r="B1099" s="6">
        <v>40618</v>
      </c>
      <c r="C1099" t="s">
        <v>31</v>
      </c>
      <c r="D1099">
        <v>4.0816167711617402</v>
      </c>
    </row>
    <row r="1100" spans="2:4" x14ac:dyDescent="0.2">
      <c r="B1100" s="6">
        <v>40617</v>
      </c>
      <c r="C1100" t="s">
        <v>31</v>
      </c>
      <c r="D1100">
        <v>4.1729690002093802</v>
      </c>
    </row>
    <row r="1101" spans="2:4" x14ac:dyDescent="0.2">
      <c r="B1101" s="6">
        <v>40616</v>
      </c>
      <c r="C1101" t="s">
        <v>31</v>
      </c>
      <c r="D1101">
        <v>4.1795306518075401</v>
      </c>
    </row>
    <row r="1102" spans="2:4" x14ac:dyDescent="0.2">
      <c r="B1102" s="6">
        <v>40613</v>
      </c>
      <c r="C1102" t="s">
        <v>31</v>
      </c>
      <c r="D1102">
        <v>4.2139949993879302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Price D Coupon</vt:lpstr>
      <vt:lpstr>Price</vt:lpstr>
      <vt:lpstr>CurrentCoupon</vt:lpstr>
      <vt:lpstr>CurrentCoupon!temp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Johnson Ho</dc:creator>
  <cp:lastModifiedBy>Lien Chen</cp:lastModifiedBy>
  <dcterms:created xsi:type="dcterms:W3CDTF">2015-03-27T19:17:02Z</dcterms:created>
  <dcterms:modified xsi:type="dcterms:W3CDTF">2015-08-03T19:26:56Z</dcterms:modified>
</cp:coreProperties>
</file>