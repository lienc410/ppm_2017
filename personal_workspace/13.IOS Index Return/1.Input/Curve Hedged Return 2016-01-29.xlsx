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G20" i="1" l="1"/>
  <c r="AB37" i="1" s="1"/>
  <c r="H20" i="1"/>
  <c r="AC37" i="1" s="1"/>
  <c r="I20" i="1"/>
  <c r="AD37" i="1" s="1"/>
  <c r="J20" i="1"/>
  <c r="K20" i="1"/>
  <c r="L20" i="1"/>
  <c r="M20" i="1"/>
  <c r="N20" i="1"/>
  <c r="AI37" i="1" s="1"/>
  <c r="O20" i="1"/>
  <c r="AJ37" i="1" s="1"/>
  <c r="P20" i="1"/>
  <c r="AK37" i="1" s="1"/>
  <c r="Q20" i="1"/>
  <c r="AL37" i="1" s="1"/>
  <c r="R20" i="1"/>
  <c r="S20" i="1"/>
  <c r="T20" i="1"/>
  <c r="U20" i="1"/>
  <c r="V20" i="1"/>
  <c r="AQ37" i="1" s="1"/>
  <c r="W20" i="1"/>
  <c r="AR37" i="1" s="1"/>
  <c r="X20" i="1"/>
  <c r="AS37" i="1" s="1"/>
  <c r="Y20" i="1"/>
  <c r="AT37" i="1" s="1"/>
  <c r="AA37" i="1"/>
  <c r="AE37" i="1"/>
  <c r="AF37" i="1"/>
  <c r="AG37" i="1"/>
  <c r="AH37" i="1"/>
  <c r="AM37" i="1"/>
  <c r="AN37" i="1"/>
  <c r="AO37" i="1"/>
  <c r="AP37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AU37" i="1" l="1"/>
  <c r="Y19" i="1" l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B25" i="1" l="1"/>
  <c r="AA36" i="1" l="1"/>
  <c r="AU19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U36" i="1" l="1"/>
  <c r="AA35" i="1"/>
  <c r="AC35" i="1"/>
  <c r="AD35" i="1"/>
  <c r="AE35" i="1"/>
  <c r="AK35" i="1"/>
  <c r="AL35" i="1"/>
  <c r="AM35" i="1"/>
  <c r="AS35" i="1"/>
  <c r="AT35" i="1"/>
  <c r="AU18" i="1"/>
  <c r="AR35" i="1"/>
  <c r="AQ35" i="1"/>
  <c r="AP35" i="1"/>
  <c r="AO35" i="1"/>
  <c r="AN35" i="1"/>
  <c r="AJ35" i="1"/>
  <c r="AI35" i="1"/>
  <c r="AH35" i="1"/>
  <c r="AG35" i="1"/>
  <c r="AF35" i="1"/>
  <c r="AB35" i="1"/>
  <c r="AA34" i="1"/>
  <c r="AU17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A33" i="1"/>
  <c r="AU16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2" i="1"/>
  <c r="AA31" i="1"/>
  <c r="AA30" i="1"/>
  <c r="AA29" i="1"/>
  <c r="AA28" i="1"/>
  <c r="AA27" i="1"/>
  <c r="AA26" i="1"/>
  <c r="AA25" i="1"/>
  <c r="AU15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U14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13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12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8" i="1"/>
  <c r="AU9" i="1"/>
  <c r="AU10" i="1"/>
  <c r="AU11" i="1"/>
  <c r="AU33" i="1" l="1"/>
  <c r="AU30" i="1"/>
  <c r="AU27" i="1"/>
  <c r="AU28" i="1"/>
  <c r="AU26" i="1"/>
  <c r="AU29" i="1"/>
  <c r="AU25" i="1"/>
  <c r="AU31" i="1"/>
  <c r="AU35" i="1"/>
  <c r="AU32" i="1"/>
  <c r="AU34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<sst xmlns="http://schemas.openxmlformats.org/spreadsheetml/2006/main" count="1189" uniqueCount="29">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</sst>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5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0" fillId="2" borderId="0" xfId="0" applyNumberFormat="1" applyFont="1" applyFill="1" applyBorder="1"/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0" applyNumberFormat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1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23</xdr:row>
      <xdr:rowOff>228600</xdr:rowOff>
    </xdr:from>
    <xdr:to>
      <xdr:col>25</xdr:col>
      <xdr:colOff>114300</xdr:colOff>
      <xdr:row>30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37"/>
  <sheetViews>
    <sheetView tabSelected="1" topLeftCell="S1" workbookViewId="0">
      <selection activeCell="AX18" sqref="AX18"/>
    </sheetView>
  </sheetViews>
  <sheetFormatPr defaultRowHeight="12.75" x14ac:dyDescent="0.2"/>
  <sheetData>
    <row r="6" spans="6:50" ht="15" x14ac:dyDescent="0.25">
      <c r="F6" s="39" t="s">
        <v>27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AA6" s="41" t="s">
        <v>21</v>
      </c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14"/>
      <c r="AT6" s="14"/>
      <c r="AU6" s="18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7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7" t="s">
        <v>12</v>
      </c>
      <c r="R7" s="1" t="s">
        <v>7</v>
      </c>
      <c r="S7" s="2" t="s">
        <v>10</v>
      </c>
      <c r="T7" s="17" t="s">
        <v>13</v>
      </c>
      <c r="U7" s="1" t="s">
        <v>11</v>
      </c>
      <c r="V7" s="17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9" t="s">
        <v>22</v>
      </c>
    </row>
    <row r="8" spans="6:50" x14ac:dyDescent="0.2">
      <c r="F8" s="4">
        <v>42034</v>
      </c>
      <c r="G8" s="22">
        <f>Return!G8</f>
        <v>-9.6840413947664072E-2</v>
      </c>
      <c r="H8" s="23">
        <f>Return!H8</f>
        <v>-9.0093256540080824E-2</v>
      </c>
      <c r="I8" s="24">
        <f>Return!I8</f>
        <v>0</v>
      </c>
      <c r="J8" s="25">
        <f>Return!J8</f>
        <v>-0.13830215223304443</v>
      </c>
      <c r="K8" s="26">
        <f>Return!K8</f>
        <v>-0.10746300303926781</v>
      </c>
      <c r="L8" s="23">
        <f>Return!L8</f>
        <v>-9.2784203343846294E-2</v>
      </c>
      <c r="M8" s="24">
        <f>Return!M8</f>
        <v>0</v>
      </c>
      <c r="N8" s="25">
        <f>Return!N8</f>
        <v>-0.14559069067465857</v>
      </c>
      <c r="O8" s="26">
        <f>Return!O8</f>
        <v>-9.0559158773551363E-2</v>
      </c>
      <c r="P8" s="26">
        <f>Return!P8</f>
        <v>-7.8866816442332177E-2</v>
      </c>
      <c r="Q8" s="23">
        <f>Return!Q8</f>
        <v>-6.0057989292031655E-2</v>
      </c>
      <c r="R8" s="22">
        <f>Return!R8</f>
        <v>-6.0349139373416572E-2</v>
      </c>
      <c r="S8" s="26">
        <f>Return!S8</f>
        <v>-6.1990926405687929E-2</v>
      </c>
      <c r="T8" s="23">
        <f>Return!T8</f>
        <v>-3.2292506427253342E-2</v>
      </c>
      <c r="U8" s="22">
        <f>Return!U8</f>
        <v>-5.0390065130263895E-2</v>
      </c>
      <c r="V8" s="23">
        <f>Return!V8</f>
        <v>-3.5474137500358327E-2</v>
      </c>
      <c r="W8" s="27">
        <f>Return!W8</f>
        <v>0.12225783703497628</v>
      </c>
      <c r="X8" s="27">
        <f>Return!X8</f>
        <v>9.6068945995324562E-2</v>
      </c>
      <c r="Y8" s="27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20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2">
        <f>Return!G9</f>
        <v>3.928281806821543E-2</v>
      </c>
      <c r="H9" s="23">
        <f>Return!H9</f>
        <v>3.1242121896990493E-2</v>
      </c>
      <c r="I9" s="24">
        <f>Return!I9</f>
        <v>0</v>
      </c>
      <c r="J9" s="25">
        <f>Return!J9</f>
        <v>8.5544343085431018E-2</v>
      </c>
      <c r="K9" s="26">
        <f>Return!K9</f>
        <v>5.0998415441669165E-2</v>
      </c>
      <c r="L9" s="23">
        <f>Return!L9</f>
        <v>5.5046249263051905E-2</v>
      </c>
      <c r="M9" s="24">
        <f>Return!M9</f>
        <v>0</v>
      </c>
      <c r="N9" s="25">
        <f>Return!N9</f>
        <v>0.11504396579052312</v>
      </c>
      <c r="O9" s="26">
        <f>Return!O9</f>
        <v>6.5138077561740726E-2</v>
      </c>
      <c r="P9" s="26">
        <f>Return!P9</f>
        <v>5.4289246694915194E-2</v>
      </c>
      <c r="Q9" s="23">
        <f>Return!Q9</f>
        <v>5.8145201207135733E-2</v>
      </c>
      <c r="R9" s="22">
        <f>Return!R9</f>
        <v>4.3256608217479897E-2</v>
      </c>
      <c r="S9" s="26">
        <f>Return!S9</f>
        <v>5.4231314886770576E-2</v>
      </c>
      <c r="T9" s="23">
        <f>Return!T9</f>
        <v>3.9976272531224488E-2</v>
      </c>
      <c r="U9" s="22">
        <f>Return!U9</f>
        <v>5.2415126543249979E-2</v>
      </c>
      <c r="V9" s="23">
        <f>Return!V9</f>
        <v>5.336348848702599E-2</v>
      </c>
      <c r="W9" s="27">
        <f>Return!W9</f>
        <v>-3.6105647345200387E-3</v>
      </c>
      <c r="X9" s="27">
        <f>Return!X9</f>
        <v>1.7040138297334861E-2</v>
      </c>
      <c r="Y9" s="27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20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2">
        <f>Return!G10</f>
        <v>5.9426185057012137E-3</v>
      </c>
      <c r="H10" s="23">
        <f>Return!H10</f>
        <v>7.7451797016763191E-3</v>
      </c>
      <c r="I10" s="24">
        <f>Return!I10</f>
        <v>0</v>
      </c>
      <c r="J10" s="25">
        <f>Return!J10</f>
        <v>-3.3134844012860931E-3</v>
      </c>
      <c r="K10" s="26">
        <f>Return!K10</f>
        <v>9.4202890288208607E-3</v>
      </c>
      <c r="L10" s="23">
        <f>Return!L10</f>
        <v>1.723869098869768E-2</v>
      </c>
      <c r="M10" s="24">
        <f>Return!M10</f>
        <v>0</v>
      </c>
      <c r="N10" s="25">
        <f>Return!N10</f>
        <v>-1.2040328519267618E-2</v>
      </c>
      <c r="O10" s="26">
        <f>Return!O10</f>
        <v>1.2096852123677504E-2</v>
      </c>
      <c r="P10" s="26">
        <f>Return!P10</f>
        <v>1.3941854352311323E-2</v>
      </c>
      <c r="Q10" s="23">
        <f>Return!Q10</f>
        <v>1.6145595401094281E-2</v>
      </c>
      <c r="R10" s="22">
        <f>Return!R10</f>
        <v>2.8307089656114393E-2</v>
      </c>
      <c r="S10" s="26">
        <f>Return!S10</f>
        <v>2.089895748022208E-2</v>
      </c>
      <c r="T10" s="23">
        <f>Return!T10</f>
        <v>2.7526683498166671E-2</v>
      </c>
      <c r="U10" s="22">
        <f>Return!U10</f>
        <v>2.5796197962302259E-2</v>
      </c>
      <c r="V10" s="23">
        <f>Return!V10</f>
        <v>3.3411903484052319E-2</v>
      </c>
      <c r="W10" s="27">
        <f>Return!W10</f>
        <v>0.11230271111344159</v>
      </c>
      <c r="X10" s="27">
        <f>Return!X10</f>
        <v>0.12139542021673866</v>
      </c>
      <c r="Y10" s="27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20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2">
        <f>Return!G11</f>
        <v>-7.540183001958134E-3</v>
      </c>
      <c r="H11" s="23">
        <f>Return!H11</f>
        <v>-1.1105228244521204E-2</v>
      </c>
      <c r="I11" s="24">
        <f>Return!I11</f>
        <v>4.1294602339631448E-2</v>
      </c>
      <c r="J11" s="25">
        <f>Return!J11</f>
        <v>1.2523491795557895E-2</v>
      </c>
      <c r="K11" s="26">
        <f>Return!K11</f>
        <v>8.6805399297538166E-3</v>
      </c>
      <c r="L11" s="23">
        <f>Return!L11</f>
        <v>7.7663309369837563E-3</v>
      </c>
      <c r="M11" s="24">
        <f>Return!M11</f>
        <v>3.1926730464906239E-2</v>
      </c>
      <c r="N11" s="25">
        <f>Return!N11</f>
        <v>2.8181833727360717E-2</v>
      </c>
      <c r="O11" s="26">
        <f>Return!O11</f>
        <v>1.7261255291637356E-2</v>
      </c>
      <c r="P11" s="26">
        <f>Return!P11</f>
        <v>1.2170888289470216E-2</v>
      </c>
      <c r="Q11" s="23">
        <f>Return!Q11</f>
        <v>1.2327425089804445E-2</v>
      </c>
      <c r="R11" s="22">
        <f>Return!R11</f>
        <v>1.1220102739324167E-2</v>
      </c>
      <c r="S11" s="26">
        <f>Return!S11</f>
        <v>1.0255825538023178E-2</v>
      </c>
      <c r="T11" s="23">
        <f>Return!T11</f>
        <v>1.0101986378834305E-2</v>
      </c>
      <c r="U11" s="22">
        <f>Return!U11</f>
        <v>1.6297582917810027E-2</v>
      </c>
      <c r="V11" s="23">
        <f>Return!V11</f>
        <v>1.5490903217534768E-2</v>
      </c>
      <c r="W11" s="27">
        <f>Return!W11</f>
        <v>1.3747274145893273E-2</v>
      </c>
      <c r="X11" s="27">
        <f>Return!X11</f>
        <v>1.4234764381181986E-2</v>
      </c>
      <c r="Y11" s="27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20">
        <f t="shared" si="0"/>
        <v>1.0000000000000002</v>
      </c>
    </row>
    <row r="12" spans="6:50" x14ac:dyDescent="0.2">
      <c r="F12" s="4">
        <v>42153</v>
      </c>
      <c r="G12" s="22">
        <f>Return!G12</f>
        <v>-2.9440724778078686E-2</v>
      </c>
      <c r="H12" s="23">
        <f>Return!H12</f>
        <v>-3.8613281655498488E-2</v>
      </c>
      <c r="I12" s="24">
        <f>Return!I12</f>
        <v>-1.62355352366228E-3</v>
      </c>
      <c r="J12" s="25">
        <f>Return!J12</f>
        <v>-8.4007074597047815E-3</v>
      </c>
      <c r="K12" s="26">
        <f>Return!K12</f>
        <v>-2.6115436213541843E-2</v>
      </c>
      <c r="L12" s="23">
        <f>Return!L12</f>
        <v>-2.9535213930614979E-2</v>
      </c>
      <c r="M12" s="24">
        <f>Return!M12</f>
        <v>1.8283823238883778E-2</v>
      </c>
      <c r="N12" s="25">
        <f>Return!N12</f>
        <v>5.1072162456320402E-3</v>
      </c>
      <c r="O12" s="26">
        <f>Return!O12</f>
        <v>-8.7522121002009401E-3</v>
      </c>
      <c r="P12" s="26">
        <f>Return!P12</f>
        <v>-1.3149057931546415E-2</v>
      </c>
      <c r="Q12" s="23">
        <f>Return!Q12</f>
        <v>-1.8875449777250308E-2</v>
      </c>
      <c r="R12" s="22">
        <f>Return!R12</f>
        <v>-2.0973955288738466E-2</v>
      </c>
      <c r="S12" s="26">
        <f>Return!S12</f>
        <v>-2.5298899173768041E-2</v>
      </c>
      <c r="T12" s="23">
        <f>Return!T12</f>
        <v>-2.8695720009287107E-2</v>
      </c>
      <c r="U12" s="22">
        <f>Return!U12</f>
        <v>-1.4154088955046995E-2</v>
      </c>
      <c r="V12" s="23">
        <f>Return!V12</f>
        <v>-1.6937137357181609E-2</v>
      </c>
      <c r="W12" s="27">
        <f>Return!W12</f>
        <v>-7.0632448668296322E-2</v>
      </c>
      <c r="X12" s="27">
        <f>Return!X12</f>
        <v>-4.8356945846582455E-2</v>
      </c>
      <c r="Y12" s="27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20">
        <f t="shared" si="0"/>
        <v>1</v>
      </c>
    </row>
    <row r="13" spans="6:50" x14ac:dyDescent="0.2">
      <c r="F13" s="4">
        <v>42185</v>
      </c>
      <c r="G13" s="22">
        <f>Return!G13</f>
        <v>-3.2015573200899206E-2</v>
      </c>
      <c r="H13" s="23">
        <f>Return!H13</f>
        <v>-3.5059547657207313E-2</v>
      </c>
      <c r="I13" s="24">
        <f>Return!I13</f>
        <v>-1.3436209698385548E-2</v>
      </c>
      <c r="J13" s="25">
        <f>Return!J13</f>
        <v>-1.6739410488815221E-3</v>
      </c>
      <c r="K13" s="26">
        <f>Return!K13</f>
        <v>-8.1638584034930961E-3</v>
      </c>
      <c r="L13" s="23">
        <f>Return!L13</f>
        <v>-1.3393839887920311E-2</v>
      </c>
      <c r="M13" s="24">
        <f>Return!M13</f>
        <v>2.3821589833388446E-2</v>
      </c>
      <c r="N13" s="25">
        <f>Return!N13</f>
        <v>3.7628722083344446E-2</v>
      </c>
      <c r="O13" s="26">
        <f>Return!O13</f>
        <v>7.1549359549587521E-3</v>
      </c>
      <c r="P13" s="26">
        <f>Return!P13</f>
        <v>-2.4404507804165476E-3</v>
      </c>
      <c r="Q13" s="23">
        <f>Return!Q13</f>
        <v>-9.2152821914660565E-3</v>
      </c>
      <c r="R13" s="22">
        <f>Return!R13</f>
        <v>1.552596293573405E-3</v>
      </c>
      <c r="S13" s="26">
        <f>Return!S13</f>
        <v>-2.0594562870039912E-3</v>
      </c>
      <c r="T13" s="23">
        <f>Return!T13</f>
        <v>-1.2569121621514356E-2</v>
      </c>
      <c r="U13" s="22">
        <f>Return!U13</f>
        <v>-3.3993866412103113E-3</v>
      </c>
      <c r="V13" s="23">
        <f>Return!V13</f>
        <v>-7.726354826881221E-3</v>
      </c>
      <c r="W13" s="27">
        <f>Return!W13</f>
        <v>-3.8639459476579097E-2</v>
      </c>
      <c r="X13" s="27">
        <f>Return!X13</f>
        <v>-2.5790919488147823E-2</v>
      </c>
      <c r="Y13" s="27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20">
        <f t="shared" si="0"/>
        <v>1.0000000000000002</v>
      </c>
    </row>
    <row r="14" spans="6:50" x14ac:dyDescent="0.2">
      <c r="F14" s="4">
        <v>42216</v>
      </c>
      <c r="G14" s="22">
        <f>Return!G14</f>
        <v>1.4952540141882631E-2</v>
      </c>
      <c r="H14" s="23">
        <f>Return!H14</f>
        <v>9.9166098926959378E-3</v>
      </c>
      <c r="I14" s="24">
        <f>Return!I14</f>
        <v>1.8128039790966888E-2</v>
      </c>
      <c r="J14" s="25">
        <f>Return!J14</f>
        <v>1.2310288365746436E-2</v>
      </c>
      <c r="K14" s="26">
        <f>Return!K14</f>
        <v>5.295323740380109E-3</v>
      </c>
      <c r="L14" s="23">
        <f>Return!L14</f>
        <v>7.2184912408310709E-3</v>
      </c>
      <c r="M14" s="24">
        <f>Return!M14</f>
        <v>1.3688786134454567E-2</v>
      </c>
      <c r="N14" s="25">
        <f>Return!N14</f>
        <v>1.082028561913817E-2</v>
      </c>
      <c r="O14" s="26">
        <f>Return!O14</f>
        <v>9.8767849250247508E-4</v>
      </c>
      <c r="P14" s="26">
        <f>Return!P14</f>
        <v>8.0059530985840954E-3</v>
      </c>
      <c r="Q14" s="23">
        <f>Return!Q14</f>
        <v>1.3525007337377382E-2</v>
      </c>
      <c r="R14" s="22">
        <f>Return!R14</f>
        <v>1.1102179070472395E-2</v>
      </c>
      <c r="S14" s="26">
        <f>Return!S14</f>
        <v>1.3118824508465465E-2</v>
      </c>
      <c r="T14" s="23">
        <f>Return!T14</f>
        <v>1.6284034490214649E-2</v>
      </c>
      <c r="U14" s="22">
        <f>Return!U14</f>
        <v>1.3538547946301938E-2</v>
      </c>
      <c r="V14" s="23">
        <f>Return!V14</f>
        <v>1.6378520428949939E-2</v>
      </c>
      <c r="W14" s="27">
        <f>Return!W14</f>
        <v>2.1331063184118815E-2</v>
      </c>
      <c r="X14" s="27">
        <f>Return!X14</f>
        <v>3.747114299807186E-2</v>
      </c>
      <c r="Y14" s="27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20">
        <f t="shared" si="0"/>
        <v>1</v>
      </c>
    </row>
    <row r="15" spans="6:50" x14ac:dyDescent="0.2">
      <c r="F15" s="4">
        <v>42247</v>
      </c>
      <c r="G15" s="22">
        <f>Return!G15</f>
        <v>-1.0256915757213214E-2</v>
      </c>
      <c r="H15" s="23">
        <f>Return!H15</f>
        <v>-1.2140415923491465E-2</v>
      </c>
      <c r="I15" s="24">
        <f>Return!I15</f>
        <v>-1.2437653763168521E-2</v>
      </c>
      <c r="J15" s="25">
        <f>Return!J15</f>
        <v>-2.0659258363948108E-2</v>
      </c>
      <c r="K15" s="26">
        <f>Return!K15</f>
        <v>-1.8220354217621137E-2</v>
      </c>
      <c r="L15" s="23">
        <f>Return!L15</f>
        <v>-2.3115254349119096E-2</v>
      </c>
      <c r="M15" s="24">
        <f>Return!M15</f>
        <v>-1.2588742438462086E-2</v>
      </c>
      <c r="N15" s="25">
        <f>Return!N15</f>
        <v>-2.301012759895682E-2</v>
      </c>
      <c r="O15" s="26">
        <f>Return!O15</f>
        <v>-1.8062247642216089E-2</v>
      </c>
      <c r="P15" s="26">
        <f>Return!P15</f>
        <v>-1.8275591999702523E-2</v>
      </c>
      <c r="Q15" s="23">
        <f>Return!Q15</f>
        <v>-1.9122930244307002E-2</v>
      </c>
      <c r="R15" s="22">
        <f>Return!R15</f>
        <v>-1.1065574099375586E-2</v>
      </c>
      <c r="S15" s="26">
        <f>Return!S15</f>
        <v>-1.0371733832983288E-2</v>
      </c>
      <c r="T15" s="23">
        <f>Return!T15</f>
        <v>-1.5609680887360478E-2</v>
      </c>
      <c r="U15" s="22">
        <f>Return!U15</f>
        <v>-1.0279805783012352E-2</v>
      </c>
      <c r="V15" s="23">
        <f>Return!V15</f>
        <v>-8.8550619766889493E-3</v>
      </c>
      <c r="W15" s="27">
        <f>Return!W15</f>
        <v>-2.7510533679380278E-2</v>
      </c>
      <c r="X15" s="27">
        <f>Return!X15</f>
        <v>-3.5459048728216591E-2</v>
      </c>
      <c r="Y15" s="27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20">
        <f t="shared" ref="AU15" si="2">SUM(AB15:AT15)</f>
        <v>1</v>
      </c>
    </row>
    <row r="16" spans="6:50" x14ac:dyDescent="0.2">
      <c r="F16" s="4">
        <v>42277</v>
      </c>
      <c r="G16" s="22">
        <f>Return!G16</f>
        <v>-6.0420064904191939E-3</v>
      </c>
      <c r="H16" s="23">
        <f>Return!H16</f>
        <v>-5.6996904944218718E-3</v>
      </c>
      <c r="I16" s="24">
        <f>Return!I16</f>
        <v>-4.8283168441657365E-3</v>
      </c>
      <c r="J16" s="25">
        <f>Return!J16</f>
        <v>-1.2285527107601224E-2</v>
      </c>
      <c r="K16" s="26">
        <f>Return!K16</f>
        <v>-1.504735837799509E-2</v>
      </c>
      <c r="L16" s="23">
        <f>Return!L16</f>
        <v>-1.694790925168721E-2</v>
      </c>
      <c r="M16" s="24">
        <f>Return!M16</f>
        <v>-1.3963201888800847E-2</v>
      </c>
      <c r="N16" s="25">
        <f>Return!N16</f>
        <v>-1.7782365906371278E-2</v>
      </c>
      <c r="O16" s="26">
        <f>Return!O16</f>
        <v>-2.2698810470704434E-2</v>
      </c>
      <c r="P16" s="26">
        <f>Return!P16</f>
        <v>-2.1623672786753922E-2</v>
      </c>
      <c r="Q16" s="23">
        <f>Return!Q16</f>
        <v>-2.3565554085317686E-2</v>
      </c>
      <c r="R16" s="22">
        <f>Return!R16</f>
        <v>-3.1546882031960433E-2</v>
      </c>
      <c r="S16" s="26">
        <f>Return!S16</f>
        <v>-3.3688149075367546E-2</v>
      </c>
      <c r="T16" s="23">
        <f>Return!T16</f>
        <v>-3.4196955846788279E-2</v>
      </c>
      <c r="U16" s="22">
        <f>Return!U16</f>
        <v>-3.9706862274443755E-2</v>
      </c>
      <c r="V16" s="23">
        <f>Return!V16</f>
        <v>-4.1666015098840603E-2</v>
      </c>
      <c r="W16" s="27">
        <f>Return!W16</f>
        <v>-4.9474000990328282E-3</v>
      </c>
      <c r="X16" s="27">
        <f>Return!X16</f>
        <v>-3.8649649204317571E-2</v>
      </c>
      <c r="Y16" s="27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20">
        <f>SUM(AB16:AT16)</f>
        <v>1.0000000010000001</v>
      </c>
    </row>
    <row r="17" spans="6:47" x14ac:dyDescent="0.2">
      <c r="F17" s="4">
        <v>42307</v>
      </c>
      <c r="G17" s="22">
        <f>Return!G17</f>
        <v>-7.6464740623716221E-4</v>
      </c>
      <c r="H17" s="23">
        <f>Return!H17</f>
        <v>2.2550208680360839E-3</v>
      </c>
      <c r="I17" s="24">
        <f>Return!I17</f>
        <v>-8.7207325495166632E-3</v>
      </c>
      <c r="J17" s="25">
        <f>Return!J17</f>
        <v>-1.0009566891114763E-2</v>
      </c>
      <c r="K17" s="26">
        <f>Return!K17</f>
        <v>-3.9820857287000688E-3</v>
      </c>
      <c r="L17" s="23">
        <f>Return!L17</f>
        <v>-1.2184643704518106E-3</v>
      </c>
      <c r="M17" s="24">
        <f>Return!M17</f>
        <v>-2.8413887691816075E-3</v>
      </c>
      <c r="N17" s="25">
        <f>Return!N17</f>
        <v>-5.6588622851860837E-4</v>
      </c>
      <c r="O17" s="26">
        <f>Return!O17</f>
        <v>1.4980853731234589E-3</v>
      </c>
      <c r="P17" s="26">
        <f>Return!P17</f>
        <v>2.1584683377100511E-3</v>
      </c>
      <c r="Q17" s="23">
        <f>Return!Q17</f>
        <v>4.1463372092342965E-3</v>
      </c>
      <c r="R17" s="22">
        <f>Return!R17</f>
        <v>-1.4800359723865508E-4</v>
      </c>
      <c r="S17" s="26">
        <f>Return!S17</f>
        <v>2.4206915868318912E-3</v>
      </c>
      <c r="T17" s="23">
        <f>Return!T17</f>
        <v>4.052322068156089E-3</v>
      </c>
      <c r="U17" s="22">
        <f>Return!U17</f>
        <v>6.6577432738412767E-4</v>
      </c>
      <c r="V17" s="23">
        <f>Return!V17</f>
        <v>1.9362960859425904E-4</v>
      </c>
      <c r="W17" s="27">
        <f>Return!W17</f>
        <v>2.2042625670194438E-2</v>
      </c>
      <c r="X17" s="27">
        <f>Return!X17</f>
        <v>1.4467860616570682E-2</v>
      </c>
      <c r="Y17" s="27">
        <f>Return!Y17</f>
        <v>1.3228227156523831E-2</v>
      </c>
      <c r="AA17" s="4">
        <f t="shared" si="1"/>
        <v>42307</v>
      </c>
      <c r="AB17" s="20">
        <v>0.12976280537943766</v>
      </c>
      <c r="AC17" s="20">
        <v>0.11786500448490561</v>
      </c>
      <c r="AD17" s="20">
        <v>6.5868953400053915E-2</v>
      </c>
      <c r="AE17" s="20">
        <v>8.6467604157867639E-2</v>
      </c>
      <c r="AF17" s="20">
        <v>0.13940283420452973</v>
      </c>
      <c r="AG17" s="20">
        <v>9.2574447007325051E-3</v>
      </c>
      <c r="AH17" s="20">
        <v>0.10436447850937196</v>
      </c>
      <c r="AI17" s="20">
        <v>7.2162830137845108E-2</v>
      </c>
      <c r="AJ17" s="20">
        <v>3.5025928852884629E-2</v>
      </c>
      <c r="AK17" s="20">
        <v>3.9928897269815369E-2</v>
      </c>
      <c r="AL17" s="20">
        <v>2.6964805411048471E-2</v>
      </c>
      <c r="AM17" s="20">
        <v>3.6002209764703842E-2</v>
      </c>
      <c r="AN17" s="20">
        <v>3.3433780710737451E-2</v>
      </c>
      <c r="AO17" s="20">
        <v>5.2489573270049154E-2</v>
      </c>
      <c r="AP17" s="20">
        <v>1.7738764753999839E-2</v>
      </c>
      <c r="AQ17" s="20">
        <v>1.472951524237672E-2</v>
      </c>
      <c r="AR17" s="20">
        <v>7.2623839509322443E-3</v>
      </c>
      <c r="AS17" s="20">
        <v>4.2107499460495058E-3</v>
      </c>
      <c r="AT17" s="20">
        <v>7.0614358526587253E-3</v>
      </c>
      <c r="AU17" s="20">
        <f>SUM(AB17:AT17)</f>
        <v>1</v>
      </c>
    </row>
    <row r="18" spans="6:47" x14ac:dyDescent="0.2">
      <c r="F18" s="4">
        <v>42338</v>
      </c>
      <c r="G18" s="28">
        <f>Return!G18</f>
        <v>5.3789495115208474E-3</v>
      </c>
      <c r="H18" s="28">
        <f>Return!H18</f>
        <v>1.0614526430165139E-2</v>
      </c>
      <c r="I18" s="28">
        <f>Return!I18</f>
        <v>2.5290236617613537E-2</v>
      </c>
      <c r="J18" s="28">
        <f>Return!J18</f>
        <v>1.3249372677495819E-2</v>
      </c>
      <c r="K18" s="28">
        <f>Return!K18</f>
        <v>1.7775697396403389E-2</v>
      </c>
      <c r="L18" s="28">
        <f>Return!L18</f>
        <v>1.5357563917548944E-2</v>
      </c>
      <c r="M18" s="28">
        <f>Return!M18</f>
        <v>2.2346219978129023E-2</v>
      </c>
      <c r="N18" s="28">
        <f>Return!N18</f>
        <v>2.3629694894375941E-2</v>
      </c>
      <c r="O18" s="28">
        <f>Return!O18</f>
        <v>2.0188401850945725E-2</v>
      </c>
      <c r="P18" s="28">
        <f>Return!P18</f>
        <v>1.9774755788537268E-2</v>
      </c>
      <c r="Q18" s="28">
        <f>Return!Q18</f>
        <v>4.577176358062629E-2</v>
      </c>
      <c r="R18" s="28">
        <f>Return!R18</f>
        <v>1.8593114739147376E-2</v>
      </c>
      <c r="S18" s="28">
        <f>Return!S18</f>
        <v>1.7943739271890191E-2</v>
      </c>
      <c r="T18" s="28">
        <f>Return!T18</f>
        <v>3.1008313044069258E-2</v>
      </c>
      <c r="U18" s="28">
        <f>Return!U18</f>
        <v>1.8385125634711175E-2</v>
      </c>
      <c r="V18" s="28">
        <f>Return!V18</f>
        <v>1.7723390603125555E-2</v>
      </c>
      <c r="W18" s="28">
        <f>Return!W18</f>
        <v>1.239245717872195E-2</v>
      </c>
      <c r="X18" s="28">
        <f>Return!X18</f>
        <v>-5.0151528656773303E-3</v>
      </c>
      <c r="Y18" s="28">
        <f>Return!Y18</f>
        <v>3.8403766078110024E-3</v>
      </c>
      <c r="AA18" s="4">
        <f t="shared" si="1"/>
        <v>42338</v>
      </c>
      <c r="AB18" s="20">
        <v>0.13</v>
      </c>
      <c r="AC18" s="20">
        <v>0.12</v>
      </c>
      <c r="AD18" s="20">
        <v>7.0000000000000007E-2</v>
      </c>
      <c r="AE18" s="20">
        <v>0.09</v>
      </c>
      <c r="AF18" s="20">
        <v>0.14000000000000001</v>
      </c>
      <c r="AG18" s="20">
        <v>0.01</v>
      </c>
      <c r="AH18" s="20">
        <v>0.1</v>
      </c>
      <c r="AI18" s="20">
        <v>7.0000000000000007E-2</v>
      </c>
      <c r="AJ18" s="20">
        <v>0.03</v>
      </c>
      <c r="AK18" s="20">
        <v>0.04</v>
      </c>
      <c r="AL18" s="20">
        <v>0.03</v>
      </c>
      <c r="AM18" s="20">
        <v>0.04</v>
      </c>
      <c r="AN18" s="20">
        <v>0.03</v>
      </c>
      <c r="AO18" s="20">
        <v>0.05</v>
      </c>
      <c r="AP18" s="20">
        <v>0.02</v>
      </c>
      <c r="AQ18" s="20">
        <v>0.01</v>
      </c>
      <c r="AR18" s="20">
        <v>0.01</v>
      </c>
      <c r="AS18" s="20">
        <v>0</v>
      </c>
      <c r="AT18" s="20">
        <v>0.01</v>
      </c>
      <c r="AU18" s="20">
        <f>SUM(AB18:AT18)</f>
        <v>1.0000000000000002</v>
      </c>
    </row>
    <row r="19" spans="6:47" x14ac:dyDescent="0.2">
      <c r="F19" s="4">
        <v>42369</v>
      </c>
      <c r="G19" s="28">
        <f>Return!G19</f>
        <v>5.7506796502084789E-3</v>
      </c>
      <c r="H19" s="28">
        <f>Return!H19</f>
        <v>6.2944841360139669E-3</v>
      </c>
      <c r="I19" s="28">
        <f>Return!I19</f>
        <v>1.5246600398424404E-2</v>
      </c>
      <c r="J19" s="28">
        <f>Return!J19</f>
        <v>1.2637303920178367E-2</v>
      </c>
      <c r="K19" s="28">
        <f>Return!K19</f>
        <v>1.3582201709015029E-2</v>
      </c>
      <c r="L19" s="28">
        <f>Return!L19</f>
        <v>2.0454416461505254E-2</v>
      </c>
      <c r="M19" s="28">
        <f>Return!M19</f>
        <v>1.6882201037100586E-2</v>
      </c>
      <c r="N19" s="28">
        <f>Return!N19</f>
        <v>1.6800967232153408E-2</v>
      </c>
      <c r="O19" s="28">
        <f>Return!O19</f>
        <v>1.1831685394366298E-2</v>
      </c>
      <c r="P19" s="28">
        <f>Return!P19</f>
        <v>1.2443023756279592E-2</v>
      </c>
      <c r="Q19" s="28">
        <f>Return!Q19</f>
        <v>2.2389572557204529E-2</v>
      </c>
      <c r="R19" s="28">
        <f>Return!R19</f>
        <v>1.564968423895019E-2</v>
      </c>
      <c r="S19" s="28">
        <f>Return!S19</f>
        <v>1.6017230461474297E-2</v>
      </c>
      <c r="T19" s="28">
        <f>Return!T19</f>
        <v>2.512718120232349E-2</v>
      </c>
      <c r="U19" s="28">
        <f>Return!U19</f>
        <v>2.0254649182860796E-2</v>
      </c>
      <c r="V19" s="28">
        <f>Return!V19</f>
        <v>2.3102235965215323E-2</v>
      </c>
      <c r="W19" s="28">
        <f>Return!W19</f>
        <v>2.3198838972412705E-2</v>
      </c>
      <c r="X19" s="28">
        <f>Return!X19</f>
        <v>1.303408182315513E-2</v>
      </c>
      <c r="Y19" s="28">
        <f>Return!Y19</f>
        <v>1.66925337218089E-2</v>
      </c>
      <c r="AA19" s="4">
        <f t="shared" si="1"/>
        <v>42369</v>
      </c>
      <c r="AB19" s="20">
        <v>0.13</v>
      </c>
      <c r="AC19" s="20">
        <v>0.12</v>
      </c>
      <c r="AD19" s="20">
        <v>7.0000000000000007E-2</v>
      </c>
      <c r="AE19" s="20">
        <v>0.09</v>
      </c>
      <c r="AF19" s="20">
        <v>0.14000000000000001</v>
      </c>
      <c r="AG19" s="20">
        <v>0.01</v>
      </c>
      <c r="AH19" s="20">
        <v>0.1</v>
      </c>
      <c r="AI19" s="20">
        <v>7.0000000000000007E-2</v>
      </c>
      <c r="AJ19" s="20">
        <v>0.03</v>
      </c>
      <c r="AK19" s="20">
        <v>0.04</v>
      </c>
      <c r="AL19" s="20">
        <v>0.03</v>
      </c>
      <c r="AM19" s="20">
        <v>0.04</v>
      </c>
      <c r="AN19" s="20">
        <v>0.03</v>
      </c>
      <c r="AO19" s="20">
        <v>0.05</v>
      </c>
      <c r="AP19" s="20">
        <v>0.02</v>
      </c>
      <c r="AQ19" s="20">
        <v>0.01</v>
      </c>
      <c r="AR19" s="20">
        <v>0.01</v>
      </c>
      <c r="AS19" s="20">
        <v>0</v>
      </c>
      <c r="AT19" s="20">
        <v>0.01</v>
      </c>
      <c r="AU19" s="20">
        <f>SUM(AB19:AT19)</f>
        <v>1.0000000000000002</v>
      </c>
    </row>
    <row r="20" spans="6:47" x14ac:dyDescent="0.2">
      <c r="F20" s="4">
        <v>42370</v>
      </c>
      <c r="G20" s="28">
        <f>Return!G20</f>
        <v>-1.8803968431886364E-3</v>
      </c>
      <c r="H20" s="28">
        <f>Return!H20</f>
        <v>-1.5448337282800706E-3</v>
      </c>
      <c r="I20" s="28">
        <f>Return!I20</f>
        <v>-7.8082127240385324E-3</v>
      </c>
      <c r="J20" s="28">
        <f>Return!J20</f>
        <v>-1.8364211646976436E-2</v>
      </c>
      <c r="K20" s="28">
        <f>Return!K20</f>
        <v>-2.3153285979447547E-2</v>
      </c>
      <c r="L20" s="28">
        <f>Return!L20</f>
        <v>-1.7356690059196822E-2</v>
      </c>
      <c r="M20" s="28">
        <f>Return!M20</f>
        <v>-4.4053607160250086E-2</v>
      </c>
      <c r="N20" s="28">
        <f>Return!N20</f>
        <v>-4.5656064023897547E-2</v>
      </c>
      <c r="O20" s="28">
        <f>Return!O20</f>
        <v>-4.1565632494491411E-2</v>
      </c>
      <c r="P20" s="28">
        <f>Return!P20</f>
        <v>-3.2314865058535758E-2</v>
      </c>
      <c r="Q20" s="28">
        <f>Return!Q20</f>
        <v>-2.3985347087117193E-2</v>
      </c>
      <c r="R20" s="28">
        <f>Return!R20</f>
        <v>-3.5758059355644134E-2</v>
      </c>
      <c r="S20" s="28">
        <f>Return!S20</f>
        <v>-3.0587827382145605E-2</v>
      </c>
      <c r="T20" s="28">
        <f>Return!T20</f>
        <v>-2.4843338377100732E-2</v>
      </c>
      <c r="U20" s="28">
        <f>Return!U20</f>
        <v>-2.8133851416974776E-2</v>
      </c>
      <c r="V20" s="28">
        <f>Return!V20</f>
        <v>-2.3576599739564275E-2</v>
      </c>
      <c r="W20" s="28">
        <f>Return!W20</f>
        <v>1.545248229914753E-2</v>
      </c>
      <c r="X20" s="28">
        <f>Return!X20</f>
        <v>5.6826978890851532E-3</v>
      </c>
      <c r="Y20" s="28">
        <f>Return!Y20</f>
        <v>4.6090347642222529E-3</v>
      </c>
      <c r="AA20" s="4">
        <f t="shared" si="1"/>
        <v>42370</v>
      </c>
      <c r="AB20" s="20">
        <v>0.13</v>
      </c>
      <c r="AC20" s="20">
        <v>0.12</v>
      </c>
      <c r="AD20" s="20">
        <v>7.0000000000000007E-2</v>
      </c>
      <c r="AE20" s="20">
        <v>0.09</v>
      </c>
      <c r="AF20" s="20">
        <v>0.14000000000000001</v>
      </c>
      <c r="AG20" s="20">
        <v>0.01</v>
      </c>
      <c r="AH20" s="20">
        <v>0.1</v>
      </c>
      <c r="AI20" s="20">
        <v>7.0000000000000007E-2</v>
      </c>
      <c r="AJ20" s="20">
        <v>0.03</v>
      </c>
      <c r="AK20" s="20">
        <v>0.04</v>
      </c>
      <c r="AL20" s="20">
        <v>0.03</v>
      </c>
      <c r="AM20" s="20">
        <v>0.04</v>
      </c>
      <c r="AN20" s="20">
        <v>0.03</v>
      </c>
      <c r="AO20" s="20">
        <v>0.05</v>
      </c>
      <c r="AP20" s="20">
        <v>0.02</v>
      </c>
      <c r="AQ20" s="20">
        <v>0.01</v>
      </c>
      <c r="AR20" s="20">
        <v>0.01</v>
      </c>
      <c r="AS20" s="20">
        <v>0</v>
      </c>
      <c r="AT20" s="20">
        <v>0.01</v>
      </c>
      <c r="AU20" s="20">
        <f>SUM(AB20:AT20)</f>
        <v>1.0000000000000002</v>
      </c>
    </row>
    <row r="21" spans="6:47" x14ac:dyDescent="0.2">
      <c r="F21" s="16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3" spans="6:47" ht="15" x14ac:dyDescent="0.25">
      <c r="AA23" s="41" t="s">
        <v>28</v>
      </c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15"/>
      <c r="AT23" s="15"/>
      <c r="AU23" s="18"/>
    </row>
    <row r="24" spans="6:47" ht="39" x14ac:dyDescent="0.25">
      <c r="AA24" s="7" t="s">
        <v>0</v>
      </c>
      <c r="AB24" s="7" t="s">
        <v>1</v>
      </c>
      <c r="AC24" s="8" t="s">
        <v>4</v>
      </c>
      <c r="AD24" s="8" t="s">
        <v>24</v>
      </c>
      <c r="AE24" s="8" t="s">
        <v>2</v>
      </c>
      <c r="AF24" s="8" t="s">
        <v>5</v>
      </c>
      <c r="AG24" s="8" t="s">
        <v>8</v>
      </c>
      <c r="AH24" s="8" t="s">
        <v>25</v>
      </c>
      <c r="AI24" s="8" t="s">
        <v>3</v>
      </c>
      <c r="AJ24" s="8" t="s">
        <v>6</v>
      </c>
      <c r="AK24" s="8" t="s">
        <v>9</v>
      </c>
      <c r="AL24" s="8" t="s">
        <v>12</v>
      </c>
      <c r="AM24" s="8" t="s">
        <v>7</v>
      </c>
      <c r="AN24" s="8" t="s">
        <v>10</v>
      </c>
      <c r="AO24" s="8" t="s">
        <v>13</v>
      </c>
      <c r="AP24" s="8" t="s">
        <v>11</v>
      </c>
      <c r="AQ24" s="8" t="s">
        <v>14</v>
      </c>
      <c r="AR24" s="8" t="s">
        <v>15</v>
      </c>
      <c r="AS24" s="7" t="s">
        <v>16</v>
      </c>
      <c r="AT24" s="8" t="s">
        <v>17</v>
      </c>
      <c r="AU24" s="19" t="s">
        <v>22</v>
      </c>
    </row>
    <row r="25" spans="6:47" x14ac:dyDescent="0.2">
      <c r="AA25" s="4">
        <f t="shared" ref="AA25:AA31" si="3">F8</f>
        <v>42034</v>
      </c>
      <c r="AB25" s="29">
        <f t="shared" ref="AB25:AB36" si="4">G8*AB8</f>
        <v>-1.4207350765143704E-2</v>
      </c>
      <c r="AC25" s="29">
        <f t="shared" ref="AC25:AC36" si="5">H8*AC8</f>
        <v>-1.2061270631290165E-2</v>
      </c>
      <c r="AD25" s="29">
        <f t="shared" ref="AD25:AD36" si="6">I8*AD8</f>
        <v>0</v>
      </c>
      <c r="AE25" s="29">
        <f t="shared" ref="AE25:AE36" si="7">J8*AE8</f>
        <v>-1.4074728785817779E-2</v>
      </c>
      <c r="AF25" s="29">
        <f t="shared" ref="AF25:AF36" si="8">K8*AF8</f>
        <v>-1.7550169409448337E-2</v>
      </c>
      <c r="AG25" s="29">
        <f t="shared" ref="AG25:AG36" si="9">L8*AG8</f>
        <v>-1.0352144704414738E-3</v>
      </c>
      <c r="AH25" s="29">
        <f t="shared" ref="AH25:AH36" si="10">M8*AH8</f>
        <v>0</v>
      </c>
      <c r="AI25" s="29">
        <f t="shared" ref="AI25:AI36" si="11">N8*AI8</f>
        <v>-1.3521045788799556E-2</v>
      </c>
      <c r="AJ25" s="29">
        <f t="shared" ref="AJ25:AJ36" si="12">O8*AJ8</f>
        <v>-3.9098874894073427E-3</v>
      </c>
      <c r="AK25" s="29">
        <f t="shared" ref="AK25:AK36" si="13">P8*AK8</f>
        <v>-3.9099042784805794E-3</v>
      </c>
      <c r="AL25" s="29">
        <f t="shared" ref="AL25:AL36" si="14">Q8*AL8</f>
        <v>-2.0814776014493161E-3</v>
      </c>
      <c r="AM25" s="29">
        <f t="shared" ref="AM25:AM36" si="15">R8*AM8</f>
        <v>-2.7180579867551197E-3</v>
      </c>
      <c r="AN25" s="29">
        <f t="shared" ref="AN25:AN36" si="16">S8*AN8</f>
        <v>-2.64117389974604E-3</v>
      </c>
      <c r="AO25" s="29">
        <f t="shared" ref="AO25:AO36" si="17">T8*AO8</f>
        <v>-2.2326545045217249E-3</v>
      </c>
      <c r="AP25" s="29">
        <f t="shared" ref="AP25:AP36" si="18">U8*AP8</f>
        <v>-1.14238016378485E-3</v>
      </c>
      <c r="AQ25" s="29">
        <f t="shared" ref="AQ25:AQ36" si="19">V8*AQ8</f>
        <v>-6.7550106709571495E-4</v>
      </c>
      <c r="AR25" s="29">
        <f t="shared" ref="AR25:AR36" si="20">W8*AR8</f>
        <v>1.1878782193645951E-3</v>
      </c>
      <c r="AS25" s="29">
        <f t="shared" ref="AS25:AS36" si="21">X8*AS8</f>
        <v>5.350345820434257E-4</v>
      </c>
      <c r="AT25" s="29">
        <f t="shared" ref="AT25:AT36" si="22">Y8*AT8</f>
        <v>6.7007997342069991E-4</v>
      </c>
      <c r="AU25" s="30">
        <f t="shared" ref="AU25:AU28" si="23">SUM(AB25:AT25)</f>
        <v>-8.9367824067352983E-2</v>
      </c>
    </row>
    <row r="26" spans="6:47" x14ac:dyDescent="0.2">
      <c r="AA26" s="5">
        <f t="shared" si="3"/>
        <v>42062</v>
      </c>
      <c r="AB26" s="29">
        <f t="shared" si="4"/>
        <v>5.8002259907466835E-3</v>
      </c>
      <c r="AC26" s="29">
        <f t="shared" si="5"/>
        <v>4.2069014581138818E-3</v>
      </c>
      <c r="AD26" s="29">
        <f t="shared" si="6"/>
        <v>0</v>
      </c>
      <c r="AE26" s="29">
        <f t="shared" si="7"/>
        <v>8.734360775549798E-3</v>
      </c>
      <c r="AF26" s="29">
        <f t="shared" si="8"/>
        <v>8.3583001950976264E-3</v>
      </c>
      <c r="AG26" s="29">
        <f t="shared" si="9"/>
        <v>6.1532891977234471E-4</v>
      </c>
      <c r="AH26" s="29">
        <f t="shared" si="10"/>
        <v>0</v>
      </c>
      <c r="AI26" s="29">
        <f t="shared" si="11"/>
        <v>1.0603715179818566E-2</v>
      </c>
      <c r="AJ26" s="29">
        <f t="shared" si="12"/>
        <v>2.8092571070113155E-3</v>
      </c>
      <c r="AK26" s="29">
        <f t="shared" si="13"/>
        <v>2.6869103830769198E-3</v>
      </c>
      <c r="AL26" s="29">
        <f t="shared" si="14"/>
        <v>2.0063262829631955E-3</v>
      </c>
      <c r="AM26" s="29">
        <f t="shared" si="15"/>
        <v>1.9407404513704693E-3</v>
      </c>
      <c r="AN26" s="29">
        <f t="shared" si="16"/>
        <v>2.2973496128137569E-3</v>
      </c>
      <c r="AO26" s="29">
        <f t="shared" si="17"/>
        <v>2.7386802735611753E-3</v>
      </c>
      <c r="AP26" s="29">
        <f t="shared" si="18"/>
        <v>1.1804986065282995E-3</v>
      </c>
      <c r="AQ26" s="29">
        <f t="shared" si="19"/>
        <v>1.0076650492701412E-3</v>
      </c>
      <c r="AR26" s="29">
        <f t="shared" si="20"/>
        <v>-3.4587319053954025E-5</v>
      </c>
      <c r="AS26" s="29">
        <f t="shared" si="21"/>
        <v>9.3517563127764396E-5</v>
      </c>
      <c r="AT26" s="29">
        <f t="shared" si="22"/>
        <v>2.4392528951820149E-4</v>
      </c>
      <c r="AU26" s="30">
        <f t="shared" si="23"/>
        <v>5.528911581928618E-2</v>
      </c>
    </row>
    <row r="27" spans="6:47" x14ac:dyDescent="0.2">
      <c r="AA27" s="5">
        <f t="shared" si="3"/>
        <v>42094</v>
      </c>
      <c r="AB27" s="29">
        <f t="shared" si="4"/>
        <v>8.8242820031429053E-4</v>
      </c>
      <c r="AC27" s="29">
        <f t="shared" si="5"/>
        <v>1.0482659148428369E-3</v>
      </c>
      <c r="AD27" s="29">
        <f t="shared" si="6"/>
        <v>0</v>
      </c>
      <c r="AE27" s="29">
        <f t="shared" si="7"/>
        <v>-3.3902514917871893E-4</v>
      </c>
      <c r="AF27" s="29">
        <f t="shared" si="8"/>
        <v>1.5482268709885835E-3</v>
      </c>
      <c r="AG27" s="29">
        <f t="shared" si="9"/>
        <v>1.9290308797155131E-4</v>
      </c>
      <c r="AH27" s="29">
        <f t="shared" si="10"/>
        <v>0</v>
      </c>
      <c r="AI27" s="29">
        <f t="shared" si="11"/>
        <v>-1.1028338787321694E-3</v>
      </c>
      <c r="AJ27" s="29">
        <f t="shared" si="12"/>
        <v>5.2149816658907371E-4</v>
      </c>
      <c r="AK27" s="29">
        <f t="shared" si="13"/>
        <v>6.8893836477768066E-4</v>
      </c>
      <c r="AL27" s="29">
        <f t="shared" si="14"/>
        <v>5.5446021948541856E-4</v>
      </c>
      <c r="AM27" s="29">
        <f t="shared" si="15"/>
        <v>1.2657254982644894E-3</v>
      </c>
      <c r="AN27" s="29">
        <f t="shared" si="16"/>
        <v>8.8172801306389884E-4</v>
      </c>
      <c r="AO27" s="29">
        <f t="shared" si="17"/>
        <v>1.8705989191404159E-3</v>
      </c>
      <c r="AP27" s="29">
        <f t="shared" si="18"/>
        <v>5.7754317871201374E-4</v>
      </c>
      <c r="AQ27" s="29">
        <f t="shared" si="19"/>
        <v>6.2694380409408247E-4</v>
      </c>
      <c r="AR27" s="29">
        <f t="shared" si="20"/>
        <v>1.0649554755074657E-3</v>
      </c>
      <c r="AS27" s="29">
        <f t="shared" si="21"/>
        <v>6.5872221950094394E-4</v>
      </c>
      <c r="AT27" s="29">
        <f t="shared" si="22"/>
        <v>8.5398963878690335E-4</v>
      </c>
      <c r="AU27" s="30">
        <f t="shared" si="23"/>
        <v>1.179506854412876E-2</v>
      </c>
    </row>
    <row r="28" spans="6:47" x14ac:dyDescent="0.2">
      <c r="AA28" s="5">
        <f t="shared" si="3"/>
        <v>42124</v>
      </c>
      <c r="AB28" s="29">
        <f t="shared" si="4"/>
        <v>-9.3678984823258589E-4</v>
      </c>
      <c r="AC28" s="29">
        <f t="shared" si="5"/>
        <v>-1.2566678092420433E-3</v>
      </c>
      <c r="AD28" s="29">
        <f t="shared" si="6"/>
        <v>2.6900756381567294E-3</v>
      </c>
      <c r="AE28" s="29">
        <f t="shared" si="7"/>
        <v>1.0633699723896269E-3</v>
      </c>
      <c r="AF28" s="29">
        <f t="shared" si="8"/>
        <v>1.1885679193175875E-3</v>
      </c>
      <c r="AG28" s="29">
        <f t="shared" si="9"/>
        <v>7.2011751286546496E-5</v>
      </c>
      <c r="AH28" s="29">
        <f t="shared" si="10"/>
        <v>3.3577868342639949E-3</v>
      </c>
      <c r="AI28" s="29">
        <f t="shared" si="11"/>
        <v>2.1115437771951975E-3</v>
      </c>
      <c r="AJ28" s="29">
        <f t="shared" si="12"/>
        <v>6.1601473756812519E-4</v>
      </c>
      <c r="AK28" s="29">
        <f t="shared" si="13"/>
        <v>4.9783673914334243E-4</v>
      </c>
      <c r="AL28" s="29">
        <f t="shared" si="14"/>
        <v>3.4824843944844644E-4</v>
      </c>
      <c r="AM28" s="29">
        <f t="shared" si="15"/>
        <v>4.1542949238935735E-4</v>
      </c>
      <c r="AN28" s="29">
        <f t="shared" si="16"/>
        <v>3.5752962677609119E-4</v>
      </c>
      <c r="AO28" s="29">
        <f t="shared" si="17"/>
        <v>5.6448961850672321E-4</v>
      </c>
      <c r="AP28" s="29">
        <f t="shared" si="18"/>
        <v>3.0167342979701018E-4</v>
      </c>
      <c r="AQ28" s="29">
        <f t="shared" si="19"/>
        <v>2.4000072846332477E-4</v>
      </c>
      <c r="AR28" s="29">
        <f t="shared" si="20"/>
        <v>1.0735911481689908E-4</v>
      </c>
      <c r="AS28" s="29">
        <f t="shared" si="21"/>
        <v>6.365926329379178E-5</v>
      </c>
      <c r="AT28" s="29">
        <f t="shared" si="22"/>
        <v>1.0977427802817448E-4</v>
      </c>
      <c r="AU28" s="30">
        <f t="shared" si="23"/>
        <v>1.1911913703366339E-2</v>
      </c>
    </row>
    <row r="29" spans="6:47" x14ac:dyDescent="0.2">
      <c r="AA29" s="5">
        <f t="shared" si="3"/>
        <v>42153</v>
      </c>
      <c r="AB29" s="29">
        <f t="shared" si="4"/>
        <v>-3.701432526936613E-3</v>
      </c>
      <c r="AC29" s="29">
        <f t="shared" si="5"/>
        <v>-4.4175088236516717E-3</v>
      </c>
      <c r="AD29" s="29">
        <f t="shared" si="6"/>
        <v>-1.0535449607472213E-4</v>
      </c>
      <c r="AE29" s="29">
        <f t="shared" si="7"/>
        <v>-7.1561257787276084E-4</v>
      </c>
      <c r="AF29" s="29">
        <f t="shared" si="8"/>
        <v>-3.5968350985822167E-3</v>
      </c>
      <c r="AG29" s="29">
        <f t="shared" si="9"/>
        <v>-2.7386944930088609E-4</v>
      </c>
      <c r="AH29" s="29">
        <f t="shared" si="10"/>
        <v>1.9111807506299557E-3</v>
      </c>
      <c r="AI29" s="29">
        <f t="shared" si="11"/>
        <v>3.7710871028086946E-4</v>
      </c>
      <c r="AJ29" s="29">
        <f t="shared" si="12"/>
        <v>-3.1135691397905026E-4</v>
      </c>
      <c r="AK29" s="29">
        <f t="shared" si="13"/>
        <v>-5.3522629722983555E-4</v>
      </c>
      <c r="AL29" s="29">
        <f t="shared" si="14"/>
        <v>-5.2812998444927244E-4</v>
      </c>
      <c r="AM29" s="29">
        <f t="shared" si="15"/>
        <v>-7.7429771598898128E-4</v>
      </c>
      <c r="AN29" s="29">
        <f t="shared" si="16"/>
        <v>-8.7700414444116727E-4</v>
      </c>
      <c r="AO29" s="29">
        <f t="shared" si="17"/>
        <v>-1.585204772167301E-3</v>
      </c>
      <c r="AP29" s="29">
        <f t="shared" si="18"/>
        <v>-2.6104959669561047E-4</v>
      </c>
      <c r="AQ29" s="29">
        <f t="shared" si="19"/>
        <v>-2.6089367706173881E-4</v>
      </c>
      <c r="AR29" s="29">
        <f t="shared" si="20"/>
        <v>-5.4588200792737916E-4</v>
      </c>
      <c r="AS29" s="29">
        <f t="shared" si="21"/>
        <v>-2.1470953705976615E-4</v>
      </c>
      <c r="AT29" s="29">
        <f t="shared" si="22"/>
        <v>-2.2463288813703673E-4</v>
      </c>
      <c r="AU29" s="30">
        <f t="shared" ref="AU29" si="24">SUM(AB29:AT29)</f>
        <v>-1.6640711046645183E-2</v>
      </c>
    </row>
    <row r="30" spans="6:47" x14ac:dyDescent="0.2">
      <c r="AA30" s="5">
        <f t="shared" si="3"/>
        <v>42185</v>
      </c>
      <c r="AB30" s="29">
        <f t="shared" si="4"/>
        <v>-4.0591568298225002E-3</v>
      </c>
      <c r="AC30" s="29">
        <f t="shared" si="5"/>
        <v>-4.0431701033856998E-3</v>
      </c>
      <c r="AD30" s="29">
        <f t="shared" si="6"/>
        <v>-8.7237330203262121E-4</v>
      </c>
      <c r="AE30" s="29">
        <f t="shared" si="7"/>
        <v>-1.4312164354350748E-4</v>
      </c>
      <c r="AF30" s="29">
        <f t="shared" si="8"/>
        <v>-1.1286565810478648E-3</v>
      </c>
      <c r="AG30" s="29">
        <f t="shared" si="9"/>
        <v>-1.2410764081724655E-4</v>
      </c>
      <c r="AH30" s="29">
        <f t="shared" si="10"/>
        <v>2.4847066647543273E-3</v>
      </c>
      <c r="AI30" s="29">
        <f t="shared" si="11"/>
        <v>2.7573529358897422E-3</v>
      </c>
      <c r="AJ30" s="29">
        <f t="shared" si="12"/>
        <v>2.536912251711562E-4</v>
      </c>
      <c r="AK30" s="29">
        <f t="shared" si="13"/>
        <v>-9.8909520796206248E-5</v>
      </c>
      <c r="AL30" s="29">
        <f t="shared" si="14"/>
        <v>-2.552991216484113E-4</v>
      </c>
      <c r="AM30" s="29">
        <f t="shared" si="15"/>
        <v>5.7007804864814951E-5</v>
      </c>
      <c r="AN30" s="29">
        <f t="shared" si="16"/>
        <v>-7.0863065881056851E-5</v>
      </c>
      <c r="AO30" s="29">
        <f t="shared" si="17"/>
        <v>-6.8650295439515673E-4</v>
      </c>
      <c r="AP30" s="29">
        <f t="shared" si="18"/>
        <v>-6.2279176994321778E-5</v>
      </c>
      <c r="AQ30" s="29">
        <f t="shared" si="19"/>
        <v>-1.1809412663220511E-4</v>
      </c>
      <c r="AR30" s="29">
        <f t="shared" si="20"/>
        <v>-2.9548980967039585E-4</v>
      </c>
      <c r="AS30" s="29">
        <f t="shared" si="21"/>
        <v>-1.134347351559241E-4</v>
      </c>
      <c r="AT30" s="29">
        <f t="shared" si="22"/>
        <v>-7.8160772410222084E-5</v>
      </c>
      <c r="AU30" s="30">
        <f t="shared" ref="AU30:AU35" si="25">SUM(AB30:AT30)</f>
        <v>-6.5968607535533009E-3</v>
      </c>
    </row>
    <row r="31" spans="6:47" x14ac:dyDescent="0.2">
      <c r="AA31" s="5">
        <f t="shared" si="3"/>
        <v>42216</v>
      </c>
      <c r="AB31" s="29">
        <f t="shared" si="4"/>
        <v>1.9097827395830474E-3</v>
      </c>
      <c r="AC31" s="29">
        <f t="shared" si="5"/>
        <v>1.151629195529651E-3</v>
      </c>
      <c r="AD31" s="29">
        <f t="shared" si="6"/>
        <v>1.1775912648854692E-3</v>
      </c>
      <c r="AE31" s="29">
        <f t="shared" si="7"/>
        <v>1.0557999551416076E-3</v>
      </c>
      <c r="AF31" s="29">
        <f t="shared" si="8"/>
        <v>7.3429324934561784E-4</v>
      </c>
      <c r="AG31" s="29">
        <f t="shared" si="9"/>
        <v>6.6847609554234228E-5</v>
      </c>
      <c r="AH31" s="29">
        <f t="shared" si="10"/>
        <v>1.4261234457953278E-3</v>
      </c>
      <c r="AI31" s="29">
        <f t="shared" si="11"/>
        <v>7.8832927429530397E-4</v>
      </c>
      <c r="AJ31" s="29">
        <f t="shared" si="12"/>
        <v>3.4908820252506947E-5</v>
      </c>
      <c r="AK31" s="29">
        <f t="shared" si="13"/>
        <v>3.2319322658708833E-4</v>
      </c>
      <c r="AL31" s="29">
        <f t="shared" si="14"/>
        <v>3.7139431498934503E-4</v>
      </c>
      <c r="AM31" s="29">
        <f t="shared" si="15"/>
        <v>4.0587744974058436E-4</v>
      </c>
      <c r="AN31" s="29">
        <f t="shared" si="16"/>
        <v>4.4836952782464082E-4</v>
      </c>
      <c r="AO31" s="29">
        <f t="shared" si="17"/>
        <v>8.7992749745057538E-4</v>
      </c>
      <c r="AP31" s="29">
        <f t="shared" si="18"/>
        <v>2.4631715784605629E-4</v>
      </c>
      <c r="AQ31" s="29">
        <f t="shared" si="19"/>
        <v>2.4811471128945801E-4</v>
      </c>
      <c r="AR31" s="29">
        <f t="shared" si="20"/>
        <v>1.6142937078474578E-4</v>
      </c>
      <c r="AS31" s="29">
        <f t="shared" si="21"/>
        <v>1.6328716861853607E-4</v>
      </c>
      <c r="AT31" s="29">
        <f t="shared" si="22"/>
        <v>2.1563621230355501E-4</v>
      </c>
      <c r="AU31" s="30">
        <f t="shared" si="25"/>
        <v>1.180885219181735E-2</v>
      </c>
    </row>
    <row r="32" spans="6:47" x14ac:dyDescent="0.2">
      <c r="AA32" s="5">
        <f>F15</f>
        <v>42247</v>
      </c>
      <c r="AB32" s="29">
        <f t="shared" si="4"/>
        <v>-1.3100436774361236E-3</v>
      </c>
      <c r="AC32" s="29">
        <f t="shared" si="5"/>
        <v>-1.4098827698832553E-3</v>
      </c>
      <c r="AD32" s="29">
        <f t="shared" si="6"/>
        <v>-8.0794573467757942E-4</v>
      </c>
      <c r="AE32" s="29">
        <f t="shared" si="7"/>
        <v>-1.7718548425402962E-3</v>
      </c>
      <c r="AF32" s="29">
        <f t="shared" si="8"/>
        <v>-2.5265845411228398E-3</v>
      </c>
      <c r="AG32" s="29">
        <f t="shared" si="9"/>
        <v>-2.140612831579509E-4</v>
      </c>
      <c r="AH32" s="29">
        <f t="shared" si="10"/>
        <v>-1.3115188277638158E-3</v>
      </c>
      <c r="AI32" s="29">
        <f t="shared" si="11"/>
        <v>-1.6764397752536205E-3</v>
      </c>
      <c r="AJ32" s="29">
        <f t="shared" si="12"/>
        <v>-6.38397779322717E-4</v>
      </c>
      <c r="AK32" s="29">
        <f t="shared" si="13"/>
        <v>-7.3776944149443583E-4</v>
      </c>
      <c r="AL32" s="29">
        <f t="shared" si="14"/>
        <v>-5.2511229025703412E-4</v>
      </c>
      <c r="AM32" s="29">
        <f t="shared" si="15"/>
        <v>-4.0453923206076734E-4</v>
      </c>
      <c r="AN32" s="29">
        <f t="shared" si="16"/>
        <v>-3.544806471354751E-4</v>
      </c>
      <c r="AO32" s="29">
        <f t="shared" si="17"/>
        <v>-8.4348798496287924E-4</v>
      </c>
      <c r="AP32" s="29">
        <f t="shared" si="18"/>
        <v>-1.8702836919617352E-4</v>
      </c>
      <c r="AQ32" s="29">
        <f t="shared" si="19"/>
        <v>-1.3414344447823211E-4</v>
      </c>
      <c r="AR32" s="29">
        <f t="shared" si="20"/>
        <v>-2.0819441129035188E-4</v>
      </c>
      <c r="AS32" s="29">
        <f t="shared" si="21"/>
        <v>-1.5451911005317143E-4</v>
      </c>
      <c r="AT32" s="29">
        <f t="shared" si="22"/>
        <v>-6.6503165034815698E-5</v>
      </c>
      <c r="AU32" s="30">
        <f t="shared" si="25"/>
        <v>-1.5282507327121535E-2</v>
      </c>
    </row>
    <row r="33" spans="27:47" x14ac:dyDescent="0.2">
      <c r="AA33" s="5">
        <f>F16</f>
        <v>42277</v>
      </c>
      <c r="AB33" s="29">
        <f t="shared" si="4"/>
        <v>-7.8060478042403492E-4</v>
      </c>
      <c r="AC33" s="29">
        <f t="shared" si="5"/>
        <v>-6.6907193344025546E-4</v>
      </c>
      <c r="AD33" s="29">
        <f t="shared" si="6"/>
        <v>-3.1654787558014818E-4</v>
      </c>
      <c r="AE33" s="29">
        <f t="shared" si="7"/>
        <v>-1.0599087150198335E-3</v>
      </c>
      <c r="AF33" s="29">
        <f t="shared" si="8"/>
        <v>-2.0946223357915972E-3</v>
      </c>
      <c r="AG33" s="29">
        <f t="shared" si="9"/>
        <v>-1.5686708552440878E-4</v>
      </c>
      <c r="AH33" s="29">
        <f t="shared" si="10"/>
        <v>-1.4566406904380326E-3</v>
      </c>
      <c r="AI33" s="29">
        <f t="shared" si="11"/>
        <v>-1.2863605944907052E-3</v>
      </c>
      <c r="AJ33" s="29">
        <f t="shared" si="12"/>
        <v>-7.9676211414694787E-4</v>
      </c>
      <c r="AK33" s="29">
        <f t="shared" si="13"/>
        <v>-8.6568979274874588E-4</v>
      </c>
      <c r="AL33" s="29">
        <f t="shared" si="14"/>
        <v>-6.3808644034358197E-4</v>
      </c>
      <c r="AM33" s="29">
        <f t="shared" si="15"/>
        <v>-1.1410067467424562E-3</v>
      </c>
      <c r="AN33" s="29">
        <f t="shared" si="16"/>
        <v>-1.1332764094066699E-3</v>
      </c>
      <c r="AO33" s="29">
        <f t="shared" si="17"/>
        <v>-1.8101788566435115E-3</v>
      </c>
      <c r="AP33" s="29">
        <f t="shared" si="18"/>
        <v>-7.098582391055E-4</v>
      </c>
      <c r="AQ33" s="29">
        <f t="shared" si="19"/>
        <v>-6.1986684826801025E-4</v>
      </c>
      <c r="AR33" s="29">
        <f t="shared" si="20"/>
        <v>-3.6405379312531777E-5</v>
      </c>
      <c r="AS33" s="29">
        <f t="shared" si="21"/>
        <v>-1.6476762872011987E-4</v>
      </c>
      <c r="AT33" s="29">
        <f t="shared" si="22"/>
        <v>-1.4163576608943934E-4</v>
      </c>
      <c r="AU33" s="30">
        <f t="shared" si="25"/>
        <v>-1.5878158232236532E-2</v>
      </c>
    </row>
    <row r="34" spans="27:47" x14ac:dyDescent="0.2">
      <c r="AA34" s="5">
        <f>F17</f>
        <v>42307</v>
      </c>
      <c r="AB34" s="29">
        <f t="shared" si="4"/>
        <v>-9.9222792559444688E-5</v>
      </c>
      <c r="AC34" s="29">
        <f t="shared" si="5"/>
        <v>2.6578804472462877E-4</v>
      </c>
      <c r="AD34" s="29">
        <f t="shared" si="6"/>
        <v>-5.7442552591844642E-4</v>
      </c>
      <c r="AE34" s="29">
        <f t="shared" si="7"/>
        <v>-8.6550326773260908E-4</v>
      </c>
      <c r="AF34" s="29">
        <f t="shared" si="8"/>
        <v>-5.5511403662619968E-4</v>
      </c>
      <c r="AG34" s="29">
        <f t="shared" si="9"/>
        <v>-1.1279866529270481E-5</v>
      </c>
      <c r="AH34" s="29">
        <f t="shared" si="10"/>
        <v>-2.965400571380247E-4</v>
      </c>
      <c r="AI34" s="29">
        <f t="shared" si="11"/>
        <v>-4.0835951785934136E-5</v>
      </c>
      <c r="AJ34" s="29">
        <f t="shared" si="12"/>
        <v>5.2471831694569395E-5</v>
      </c>
      <c r="AK34" s="29">
        <f t="shared" si="13"/>
        <v>8.6185260516573784E-5</v>
      </c>
      <c r="AL34" s="29">
        <f t="shared" si="14"/>
        <v>1.1180517601559257E-4</v>
      </c>
      <c r="AM34" s="29">
        <f t="shared" si="15"/>
        <v>-5.3284565537168026E-6</v>
      </c>
      <c r="AN34" s="29">
        <f t="shared" si="16"/>
        <v>8.0932871682464522E-5</v>
      </c>
      <c r="AO34" s="29">
        <f t="shared" si="17"/>
        <v>2.1270465611031614E-4</v>
      </c>
      <c r="AP34" s="29">
        <f t="shared" si="18"/>
        <v>1.1810014172719514E-5</v>
      </c>
      <c r="AQ34" s="29">
        <f t="shared" si="19"/>
        <v>2.8520702711645768E-6</v>
      </c>
      <c r="AR34" s="29">
        <f t="shared" si="20"/>
        <v>1.6008201090362718E-4</v>
      </c>
      <c r="AS34" s="29">
        <f t="shared" si="21"/>
        <v>6.0920543310676769E-5</v>
      </c>
      <c r="AT34" s="29">
        <f t="shared" si="22"/>
        <v>9.3410277510191166E-5</v>
      </c>
      <c r="AU34" s="30">
        <f t="shared" si="25"/>
        <v>-1.3092871979311221E-3</v>
      </c>
    </row>
    <row r="35" spans="27:47" x14ac:dyDescent="0.2">
      <c r="AA35" s="5">
        <f>F18</f>
        <v>42338</v>
      </c>
      <c r="AB35" s="29">
        <f t="shared" si="4"/>
        <v>6.9926343649771015E-4</v>
      </c>
      <c r="AC35" s="29">
        <f t="shared" si="5"/>
        <v>1.2737431716198166E-3</v>
      </c>
      <c r="AD35" s="29">
        <f t="shared" si="6"/>
        <v>1.7703165632329478E-3</v>
      </c>
      <c r="AE35" s="29">
        <f t="shared" si="7"/>
        <v>1.1924435409746237E-3</v>
      </c>
      <c r="AF35" s="29">
        <f t="shared" si="8"/>
        <v>2.4885976354964748E-3</v>
      </c>
      <c r="AG35" s="29">
        <f t="shared" si="9"/>
        <v>1.5357563917548945E-4</v>
      </c>
      <c r="AH35" s="29">
        <f t="shared" si="10"/>
        <v>2.2346219978129022E-3</v>
      </c>
      <c r="AI35" s="29">
        <f t="shared" si="11"/>
        <v>1.654078642606316E-3</v>
      </c>
      <c r="AJ35" s="29">
        <f t="shared" si="12"/>
        <v>6.0565205552837176E-4</v>
      </c>
      <c r="AK35" s="29">
        <f t="shared" si="13"/>
        <v>7.9099023154149072E-4</v>
      </c>
      <c r="AL35" s="29">
        <f t="shared" si="14"/>
        <v>1.3731529074187886E-3</v>
      </c>
      <c r="AM35" s="29">
        <f t="shared" si="15"/>
        <v>7.437245895658951E-4</v>
      </c>
      <c r="AN35" s="29">
        <f t="shared" si="16"/>
        <v>5.3831217815670574E-4</v>
      </c>
      <c r="AO35" s="29">
        <f t="shared" si="17"/>
        <v>1.550415652203463E-3</v>
      </c>
      <c r="AP35" s="29">
        <f t="shared" si="18"/>
        <v>3.6770251269422353E-4</v>
      </c>
      <c r="AQ35" s="29">
        <f t="shared" si="19"/>
        <v>1.7723390603125556E-4</v>
      </c>
      <c r="AR35" s="29">
        <f t="shared" si="20"/>
        <v>1.2392457178721949E-4</v>
      </c>
      <c r="AS35" s="29">
        <f t="shared" si="21"/>
        <v>0</v>
      </c>
      <c r="AT35" s="29">
        <f t="shared" si="22"/>
        <v>3.8403766078110024E-5</v>
      </c>
      <c r="AU35" s="30">
        <f t="shared" si="25"/>
        <v>1.7776152998421807E-2</v>
      </c>
    </row>
    <row r="36" spans="27:47" x14ac:dyDescent="0.2">
      <c r="AA36" s="5">
        <f>F19</f>
        <v>42369</v>
      </c>
      <c r="AB36" s="29">
        <f t="shared" si="4"/>
        <v>7.4758835452710232E-4</v>
      </c>
      <c r="AC36" s="29">
        <f t="shared" si="5"/>
        <v>7.5533809632167604E-4</v>
      </c>
      <c r="AD36" s="29">
        <f t="shared" si="6"/>
        <v>1.0672620278897084E-3</v>
      </c>
      <c r="AE36" s="29">
        <f t="shared" si="7"/>
        <v>1.1373573528160529E-3</v>
      </c>
      <c r="AF36" s="29">
        <f t="shared" si="8"/>
        <v>1.9015082392621044E-3</v>
      </c>
      <c r="AG36" s="29">
        <f t="shared" si="9"/>
        <v>2.0454416461505254E-4</v>
      </c>
      <c r="AH36" s="29">
        <f t="shared" si="10"/>
        <v>1.6882201037100586E-3</v>
      </c>
      <c r="AI36" s="29">
        <f t="shared" si="11"/>
        <v>1.1760677062507387E-3</v>
      </c>
      <c r="AJ36" s="29">
        <f t="shared" si="12"/>
        <v>3.5495056183098894E-4</v>
      </c>
      <c r="AK36" s="29">
        <f t="shared" si="13"/>
        <v>4.9772095025118373E-4</v>
      </c>
      <c r="AL36" s="29">
        <f t="shared" si="14"/>
        <v>6.7168717671613589E-4</v>
      </c>
      <c r="AM36" s="29">
        <f t="shared" si="15"/>
        <v>6.2598736955800762E-4</v>
      </c>
      <c r="AN36" s="29">
        <f t="shared" si="16"/>
        <v>4.8051691384422886E-4</v>
      </c>
      <c r="AO36" s="29">
        <f t="shared" si="17"/>
        <v>1.2563590601161745E-3</v>
      </c>
      <c r="AP36" s="29">
        <f t="shared" si="18"/>
        <v>4.0509298365721592E-4</v>
      </c>
      <c r="AQ36" s="29">
        <f t="shared" si="19"/>
        <v>2.3102235965215324E-4</v>
      </c>
      <c r="AR36" s="29">
        <f t="shared" si="20"/>
        <v>2.3198838972412705E-4</v>
      </c>
      <c r="AS36" s="29">
        <f t="shared" si="21"/>
        <v>0</v>
      </c>
      <c r="AT36" s="29">
        <f t="shared" si="22"/>
        <v>1.6692533721808899E-4</v>
      </c>
      <c r="AU36" s="30">
        <f t="shared" ref="AU36" si="26">SUM(AB36:AT36)</f>
        <v>1.3600137147960796E-2</v>
      </c>
    </row>
    <row r="37" spans="27:47" x14ac:dyDescent="0.2">
      <c r="AA37" s="5">
        <f>F20</f>
        <v>42370</v>
      </c>
      <c r="AB37" s="29">
        <f t="shared" ref="AB37" si="27">G20*AB20</f>
        <v>-2.4445158961452275E-4</v>
      </c>
      <c r="AC37" s="29">
        <f t="shared" ref="AC37" si="28">H20*AC20</f>
        <v>-1.8538004739360848E-4</v>
      </c>
      <c r="AD37" s="29">
        <f t="shared" ref="AD37" si="29">I20*AD20</f>
        <v>-5.4657489068269728E-4</v>
      </c>
      <c r="AE37" s="29">
        <f t="shared" ref="AE37" si="30">J20*AE20</f>
        <v>-1.6527790482278792E-3</v>
      </c>
      <c r="AF37" s="29">
        <f t="shared" ref="AF37" si="31">K20*AF20</f>
        <v>-3.2414600371226568E-3</v>
      </c>
      <c r="AG37" s="29">
        <f t="shared" ref="AG37" si="32">L20*AG20</f>
        <v>-1.7356690059196821E-4</v>
      </c>
      <c r="AH37" s="29">
        <f t="shared" ref="AH37" si="33">M20*AH20</f>
        <v>-4.4053607160250089E-3</v>
      </c>
      <c r="AI37" s="29">
        <f t="shared" ref="AI37" si="34">N20*AI20</f>
        <v>-3.1959244816728285E-3</v>
      </c>
      <c r="AJ37" s="29">
        <f t="shared" ref="AJ37" si="35">O20*AJ20</f>
        <v>-1.2469689748347422E-3</v>
      </c>
      <c r="AK37" s="29">
        <f t="shared" ref="AK37" si="36">P20*AK20</f>
        <v>-1.2925946023414304E-3</v>
      </c>
      <c r="AL37" s="29">
        <f t="shared" ref="AL37" si="37">Q20*AL20</f>
        <v>-7.1956041261351578E-4</v>
      </c>
      <c r="AM37" s="29">
        <f t="shared" ref="AM37" si="38">R20*AM20</f>
        <v>-1.4303223742257653E-3</v>
      </c>
      <c r="AN37" s="29">
        <f t="shared" ref="AN37" si="39">S20*AN20</f>
        <v>-9.1763482146436806E-4</v>
      </c>
      <c r="AO37" s="29">
        <f t="shared" ref="AO37" si="40">T20*AO20</f>
        <v>-1.2421669188550366E-3</v>
      </c>
      <c r="AP37" s="29">
        <f t="shared" ref="AP37" si="41">U20*AP20</f>
        <v>-5.626770283394955E-4</v>
      </c>
      <c r="AQ37" s="29">
        <f t="shared" ref="AQ37" si="42">V20*AQ20</f>
        <v>-2.3576599739564275E-4</v>
      </c>
      <c r="AR37" s="29">
        <f t="shared" ref="AR37" si="43">W20*AR20</f>
        <v>1.545248229914753E-4</v>
      </c>
      <c r="AS37" s="29">
        <f t="shared" ref="AS37" si="44">X20*AS20</f>
        <v>0</v>
      </c>
      <c r="AT37" s="29">
        <f t="shared" ref="AT37" si="45">Y20*AT20</f>
        <v>4.6090347642222532E-5</v>
      </c>
      <c r="AU37" s="30">
        <f t="shared" ref="AU37" si="46">SUM(AB37:AT37)</f>
        <v>-2.1092573670767473E-2</v>
      </c>
    </row>
  </sheetData>
  <mergeCells count="3">
    <mergeCell ref="F6:Y6"/>
    <mergeCell ref="AA23:AR23"/>
    <mergeCell ref="AA6:AR6"/>
  </mergeCells>
  <conditionalFormatting sqref="G21:Y21 G8:Y14 AB8:AU8 AB25:AU31">
    <cfRule type="cellIs" dxfId="11" priority="15" operator="equal">
      <formula>0</formula>
    </cfRule>
  </conditionalFormatting>
  <conditionalFormatting sqref="AB9:AU14">
    <cfRule type="cellIs" dxfId="10" priority="11" operator="equal">
      <formula>0</formula>
    </cfRule>
  </conditionalFormatting>
  <conditionalFormatting sqref="G15:Y15">
    <cfRule type="cellIs" dxfId="9" priority="10" operator="equal">
      <formula>0</formula>
    </cfRule>
  </conditionalFormatting>
  <conditionalFormatting sqref="AB15:AU15">
    <cfRule type="cellIs" dxfId="8" priority="9" operator="equal">
      <formula>0</formula>
    </cfRule>
  </conditionalFormatting>
  <conditionalFormatting sqref="AB32:AU32">
    <cfRule type="cellIs" dxfId="7" priority="8" operator="equal">
      <formula>0</formula>
    </cfRule>
  </conditionalFormatting>
  <conditionalFormatting sqref="G16:Y17">
    <cfRule type="cellIs" dxfId="6" priority="7" operator="equal">
      <formula>0</formula>
    </cfRule>
  </conditionalFormatting>
  <conditionalFormatting sqref="AB16:AU17 AB20:AT20">
    <cfRule type="cellIs" dxfId="5" priority="6" operator="equal">
      <formula>0</formula>
    </cfRule>
  </conditionalFormatting>
  <conditionalFormatting sqref="AB33:AU37">
    <cfRule type="cellIs" dxfId="4" priority="5" operator="equal">
      <formula>0</formula>
    </cfRule>
  </conditionalFormatting>
  <conditionalFormatting sqref="G18:Y18">
    <cfRule type="cellIs" dxfId="3" priority="4" operator="equal">
      <formula>0</formula>
    </cfRule>
  </conditionalFormatting>
  <conditionalFormatting sqref="AB18:AU18">
    <cfRule type="cellIs" dxfId="2" priority="3" operator="equal">
      <formula>0</formula>
    </cfRule>
  </conditionalFormatting>
  <conditionalFormatting sqref="G19:Y20">
    <cfRule type="cellIs" dxfId="1" priority="2" operator="equal">
      <formula>0</formula>
    </cfRule>
  </conditionalFormatting>
  <conditionalFormatting sqref="AB19:AU19 AU20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0"/>
  <sheetViews>
    <sheetView workbookViewId="0">
      <selection activeCell="G32" sqref="G32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3" t="s">
        <v>23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7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7" t="s">
        <v>12</v>
      </c>
      <c r="R7" s="1" t="s">
        <v>7</v>
      </c>
      <c r="S7" s="2" t="s">
        <v>10</v>
      </c>
      <c r="T7" s="17" t="s">
        <v>13</v>
      </c>
      <c r="U7" s="1" t="s">
        <v>11</v>
      </c>
      <c r="V7" s="17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31">
        <v>-9.6840413947664072E-2</v>
      </c>
      <c r="H8" s="32">
        <v>-9.0093256540080824E-2</v>
      </c>
      <c r="I8" s="31"/>
      <c r="J8" s="33">
        <v>-0.13830215223304443</v>
      </c>
      <c r="K8" s="32">
        <v>-0.10746300303926781</v>
      </c>
      <c r="L8" s="32">
        <v>-9.2784203343846294E-2</v>
      </c>
      <c r="M8" s="31"/>
      <c r="N8" s="32">
        <v>-0.14559069067465857</v>
      </c>
      <c r="O8" s="32">
        <v>-9.0559158773551363E-2</v>
      </c>
      <c r="P8" s="32">
        <v>-7.8866816442332177E-2</v>
      </c>
      <c r="Q8" s="32">
        <v>-6.0057989292031655E-2</v>
      </c>
      <c r="R8" s="31">
        <v>-6.0349139373416572E-2</v>
      </c>
      <c r="S8" s="32">
        <v>-6.1990926405687929E-2</v>
      </c>
      <c r="T8" s="32">
        <v>-3.2292506427253342E-2</v>
      </c>
      <c r="U8" s="31">
        <v>-5.0390065130263895E-2</v>
      </c>
      <c r="V8" s="32">
        <v>-3.5474137500358327E-2</v>
      </c>
      <c r="W8" s="31">
        <v>0.12225783703497628</v>
      </c>
      <c r="X8" s="31">
        <v>9.6068945995324562E-2</v>
      </c>
      <c r="Y8" s="31">
        <v>7.3502496359840519E-2</v>
      </c>
      <c r="Z8" s="31">
        <v>-0.19618112700070633</v>
      </c>
      <c r="AA8" s="32">
        <v>-0.20865456677677252</v>
      </c>
      <c r="AB8" s="34">
        <v>-0.18610275969695844</v>
      </c>
    </row>
    <row r="9" spans="6:28" x14ac:dyDescent="0.2">
      <c r="F9" s="4">
        <v>42062</v>
      </c>
      <c r="G9" s="31">
        <v>3.928281806821543E-2</v>
      </c>
      <c r="H9" s="32">
        <v>3.1242121896990493E-2</v>
      </c>
      <c r="I9" s="31"/>
      <c r="J9" s="33">
        <v>8.5544343085431018E-2</v>
      </c>
      <c r="K9" s="32">
        <v>5.0998415441669165E-2</v>
      </c>
      <c r="L9" s="32">
        <v>5.5046249263051905E-2</v>
      </c>
      <c r="M9" s="31"/>
      <c r="N9" s="32">
        <v>0.11504396579052312</v>
      </c>
      <c r="O9" s="32">
        <v>6.5138077561740726E-2</v>
      </c>
      <c r="P9" s="32">
        <v>5.4289246694915194E-2</v>
      </c>
      <c r="Q9" s="32">
        <v>5.8145201207135733E-2</v>
      </c>
      <c r="R9" s="31">
        <v>4.3256608217479897E-2</v>
      </c>
      <c r="S9" s="32">
        <v>5.4231314886770576E-2</v>
      </c>
      <c r="T9" s="32">
        <v>3.9976272531224488E-2</v>
      </c>
      <c r="U9" s="31">
        <v>5.2415126543249979E-2</v>
      </c>
      <c r="V9" s="32">
        <v>5.336348848702599E-2</v>
      </c>
      <c r="W9" s="31">
        <v>-3.6105647345200387E-3</v>
      </c>
      <c r="X9" s="31">
        <v>1.7040138297334861E-2</v>
      </c>
      <c r="Y9" s="31">
        <v>2.7065614104787805E-2</v>
      </c>
      <c r="Z9" s="31">
        <v>0.12353283600297549</v>
      </c>
      <c r="AA9" s="32">
        <v>0.12218104774714345</v>
      </c>
      <c r="AB9" s="34">
        <v>0.10921740162363713</v>
      </c>
    </row>
    <row r="10" spans="6:28" x14ac:dyDescent="0.2">
      <c r="F10" s="4">
        <v>42094</v>
      </c>
      <c r="G10" s="31">
        <v>5.9426185057012137E-3</v>
      </c>
      <c r="H10" s="32">
        <v>7.7451797016763191E-3</v>
      </c>
      <c r="I10" s="31"/>
      <c r="J10" s="33">
        <v>-3.3134844012860931E-3</v>
      </c>
      <c r="K10" s="32">
        <v>9.4202890288208607E-3</v>
      </c>
      <c r="L10" s="32">
        <v>1.723869098869768E-2</v>
      </c>
      <c r="M10" s="31"/>
      <c r="N10" s="32">
        <v>-1.2040328519267618E-2</v>
      </c>
      <c r="O10" s="32">
        <v>1.2096852123677504E-2</v>
      </c>
      <c r="P10" s="32">
        <v>1.3941854352311323E-2</v>
      </c>
      <c r="Q10" s="32">
        <v>1.6145595401094281E-2</v>
      </c>
      <c r="R10" s="31">
        <v>2.8307089656114393E-2</v>
      </c>
      <c r="S10" s="32">
        <v>2.089895748022208E-2</v>
      </c>
      <c r="T10" s="32">
        <v>2.7526683498166671E-2</v>
      </c>
      <c r="U10" s="31">
        <v>2.5796197962302259E-2</v>
      </c>
      <c r="V10" s="32">
        <v>3.3411903484052319E-2</v>
      </c>
      <c r="W10" s="31">
        <v>0.11230271111344159</v>
      </c>
      <c r="X10" s="31">
        <v>0.12139542021673866</v>
      </c>
      <c r="Y10" s="31">
        <v>9.5701018047124498E-2</v>
      </c>
      <c r="Z10" s="31">
        <v>-2.5536453205468157E-2</v>
      </c>
      <c r="AA10" s="32">
        <v>-2.0860812642997106E-2</v>
      </c>
      <c r="AB10" s="34">
        <v>1.4848578299596404E-2</v>
      </c>
    </row>
    <row r="11" spans="6:28" x14ac:dyDescent="0.2">
      <c r="F11" s="4">
        <v>42124</v>
      </c>
      <c r="G11" s="31">
        <v>-7.540183001958134E-3</v>
      </c>
      <c r="H11" s="32">
        <v>-1.1105228244521204E-2</v>
      </c>
      <c r="I11" s="31">
        <v>4.1294602339631448E-2</v>
      </c>
      <c r="J11" s="33">
        <v>1.2523491795557895E-2</v>
      </c>
      <c r="K11" s="32">
        <v>8.6805399297538166E-3</v>
      </c>
      <c r="L11" s="32">
        <v>7.7663309369837563E-3</v>
      </c>
      <c r="M11" s="31">
        <v>3.1926730464906239E-2</v>
      </c>
      <c r="N11" s="32">
        <v>2.8181833727360717E-2</v>
      </c>
      <c r="O11" s="32">
        <v>1.7261255291637356E-2</v>
      </c>
      <c r="P11" s="32">
        <v>1.2170888289470216E-2</v>
      </c>
      <c r="Q11" s="32">
        <v>1.2327425089804445E-2</v>
      </c>
      <c r="R11" s="31">
        <v>1.1220102739324167E-2</v>
      </c>
      <c r="S11" s="32">
        <v>1.0255825538023178E-2</v>
      </c>
      <c r="T11" s="32">
        <v>1.0101986378834305E-2</v>
      </c>
      <c r="U11" s="31">
        <v>1.6297582917810027E-2</v>
      </c>
      <c r="V11" s="32">
        <v>1.5490903217534768E-2</v>
      </c>
      <c r="W11" s="31">
        <v>1.3747274145893273E-2</v>
      </c>
      <c r="X11" s="31">
        <v>1.4234764381181986E-2</v>
      </c>
      <c r="Y11" s="31">
        <v>1.4911380443309197E-2</v>
      </c>
      <c r="Z11" s="31">
        <v>4.7398731387296111E-2</v>
      </c>
      <c r="AA11" s="32">
        <v>5.0260551493514827E-2</v>
      </c>
      <c r="AB11" s="34">
        <v>4.9688151695368887E-2</v>
      </c>
    </row>
    <row r="12" spans="6:28" x14ac:dyDescent="0.2">
      <c r="F12" s="4">
        <v>42153</v>
      </c>
      <c r="G12" s="31">
        <v>-2.9440724778078686E-2</v>
      </c>
      <c r="H12" s="32">
        <v>-3.8613281655498488E-2</v>
      </c>
      <c r="I12" s="31">
        <v>-1.62355352366228E-3</v>
      </c>
      <c r="J12" s="33">
        <v>-8.4007074597047815E-3</v>
      </c>
      <c r="K12" s="32">
        <v>-2.6115436213541843E-2</v>
      </c>
      <c r="L12" s="32">
        <v>-2.9535213930614979E-2</v>
      </c>
      <c r="M12" s="31">
        <v>1.8283823238883778E-2</v>
      </c>
      <c r="N12" s="32">
        <v>5.1072162456320402E-3</v>
      </c>
      <c r="O12" s="32">
        <v>-8.7522121002009401E-3</v>
      </c>
      <c r="P12" s="32">
        <v>-1.3149057931546415E-2</v>
      </c>
      <c r="Q12" s="32">
        <v>-1.8875449777250308E-2</v>
      </c>
      <c r="R12" s="31">
        <v>-2.0973955288738466E-2</v>
      </c>
      <c r="S12" s="32">
        <v>-2.5298899173768041E-2</v>
      </c>
      <c r="T12" s="32">
        <v>-2.8695720009287107E-2</v>
      </c>
      <c r="U12" s="31">
        <v>-1.4154088955046995E-2</v>
      </c>
      <c r="V12" s="32">
        <v>-1.6937137357181609E-2</v>
      </c>
      <c r="W12" s="31">
        <v>-7.0632448668296322E-2</v>
      </c>
      <c r="X12" s="31">
        <v>-4.8356945846582455E-2</v>
      </c>
      <c r="Y12" s="31">
        <v>-3.0653927020142357E-2</v>
      </c>
      <c r="Z12" s="31">
        <v>9.3949434717548463E-3</v>
      </c>
      <c r="AA12" s="32">
        <v>-3.6562657705019319E-4</v>
      </c>
      <c r="AB12" s="34">
        <v>1.5940141164727528E-2</v>
      </c>
    </row>
    <row r="13" spans="6:28" x14ac:dyDescent="0.2">
      <c r="F13" s="4">
        <v>42185</v>
      </c>
      <c r="G13" s="31">
        <v>-3.2015573200899206E-2</v>
      </c>
      <c r="H13" s="32">
        <v>-3.5059547657207313E-2</v>
      </c>
      <c r="I13" s="31">
        <v>-1.3436209698385548E-2</v>
      </c>
      <c r="J13" s="33">
        <v>-1.6739410488815221E-3</v>
      </c>
      <c r="K13" s="32">
        <v>-8.1638584034930961E-3</v>
      </c>
      <c r="L13" s="32">
        <v>-1.3393839887920311E-2</v>
      </c>
      <c r="M13" s="31">
        <v>2.3821589833388446E-2</v>
      </c>
      <c r="N13" s="32">
        <v>3.7628722083344446E-2</v>
      </c>
      <c r="O13" s="32">
        <v>7.1549359549587521E-3</v>
      </c>
      <c r="P13" s="32">
        <v>-2.4404507804165476E-3</v>
      </c>
      <c r="Q13" s="32">
        <v>-9.2152821914660565E-3</v>
      </c>
      <c r="R13" s="31">
        <v>1.552596293573405E-3</v>
      </c>
      <c r="S13" s="32">
        <v>-2.0594562870039912E-3</v>
      </c>
      <c r="T13" s="32">
        <v>-1.2569121621514356E-2</v>
      </c>
      <c r="U13" s="31">
        <v>-3.3993866412103113E-3</v>
      </c>
      <c r="V13" s="32">
        <v>-7.726354826881221E-3</v>
      </c>
      <c r="W13" s="31">
        <v>-3.8639459476579097E-2</v>
      </c>
      <c r="X13" s="31">
        <v>-2.5790919488147823E-2</v>
      </c>
      <c r="Y13" s="31">
        <v>-1.0738156094344586E-2</v>
      </c>
      <c r="Z13" s="31">
        <v>9.3911760596527616E-2</v>
      </c>
      <c r="AA13" s="32">
        <v>8.5991928271661244E-2</v>
      </c>
      <c r="AB13" s="34">
        <v>7.6286058642291543E-2</v>
      </c>
    </row>
    <row r="14" spans="6:28" x14ac:dyDescent="0.2">
      <c r="F14" s="4">
        <v>42216</v>
      </c>
      <c r="G14" s="31">
        <v>1.4952540141882631E-2</v>
      </c>
      <c r="H14" s="32">
        <v>9.9166098926959378E-3</v>
      </c>
      <c r="I14" s="31">
        <v>1.8128039790966888E-2</v>
      </c>
      <c r="J14" s="33">
        <v>1.2310288365746436E-2</v>
      </c>
      <c r="K14" s="32">
        <v>5.295323740380109E-3</v>
      </c>
      <c r="L14" s="32">
        <v>7.2184912408310709E-3</v>
      </c>
      <c r="M14" s="31">
        <v>1.3688786134454567E-2</v>
      </c>
      <c r="N14" s="32">
        <v>1.082028561913817E-2</v>
      </c>
      <c r="O14" s="32">
        <v>9.8767849250247508E-4</v>
      </c>
      <c r="P14" s="32">
        <v>8.0059530985840954E-3</v>
      </c>
      <c r="Q14" s="32">
        <v>1.3525007337377382E-2</v>
      </c>
      <c r="R14" s="31">
        <v>1.1102179070472395E-2</v>
      </c>
      <c r="S14" s="32">
        <v>1.3118824508465465E-2</v>
      </c>
      <c r="T14" s="32">
        <v>1.6284034490214649E-2</v>
      </c>
      <c r="U14" s="31">
        <v>1.3538547946301938E-2</v>
      </c>
      <c r="V14" s="32">
        <v>1.6378520428949939E-2</v>
      </c>
      <c r="W14" s="31">
        <v>2.1331063184118815E-2</v>
      </c>
      <c r="X14" s="31">
        <v>3.747114299807186E-2</v>
      </c>
      <c r="Y14" s="31">
        <v>2.9785562259158516E-2</v>
      </c>
      <c r="Z14" s="31">
        <v>-3.1337089779976735E-2</v>
      </c>
      <c r="AA14" s="32">
        <v>-3.1283357446901361E-2</v>
      </c>
      <c r="AB14" s="34">
        <v>-2.9292940565528891E-2</v>
      </c>
    </row>
    <row r="15" spans="6:28" x14ac:dyDescent="0.2">
      <c r="F15" s="4">
        <v>42247</v>
      </c>
      <c r="G15" s="31">
        <v>-1.0256915757213214E-2</v>
      </c>
      <c r="H15" s="32">
        <v>-1.2140415923491465E-2</v>
      </c>
      <c r="I15" s="31">
        <v>-1.2437653763168521E-2</v>
      </c>
      <c r="J15" s="33">
        <v>-2.0659258363948108E-2</v>
      </c>
      <c r="K15" s="32">
        <v>-1.8220354217621137E-2</v>
      </c>
      <c r="L15" s="32">
        <v>-2.3115254349119096E-2</v>
      </c>
      <c r="M15" s="31">
        <v>-1.2588742438462086E-2</v>
      </c>
      <c r="N15" s="32">
        <v>-2.301012759895682E-2</v>
      </c>
      <c r="O15" s="32">
        <v>-1.8062247642216089E-2</v>
      </c>
      <c r="P15" s="32">
        <v>-1.8275591999702523E-2</v>
      </c>
      <c r="Q15" s="32">
        <v>-1.9122930244307002E-2</v>
      </c>
      <c r="R15" s="31">
        <v>-1.1065574099375586E-2</v>
      </c>
      <c r="S15" s="32">
        <v>-1.0371733832983288E-2</v>
      </c>
      <c r="T15" s="32">
        <v>-1.5609680887360478E-2</v>
      </c>
      <c r="U15" s="31">
        <v>-1.0279805783012352E-2</v>
      </c>
      <c r="V15" s="32">
        <v>-8.8550619766889493E-3</v>
      </c>
      <c r="W15" s="31">
        <v>-2.7510533679380278E-2</v>
      </c>
      <c r="X15" s="31">
        <v>-3.5459048728216591E-2</v>
      </c>
      <c r="Y15" s="31">
        <v>-9.1859996121019805E-3</v>
      </c>
      <c r="Z15" s="31">
        <v>-1.569946711584369E-2</v>
      </c>
      <c r="AA15" s="32">
        <v>-2.0573699302911419E-2</v>
      </c>
      <c r="AB15" s="34">
        <v>-6.8663849568305624E-3</v>
      </c>
    </row>
    <row r="16" spans="6:28" x14ac:dyDescent="0.2">
      <c r="F16" s="4">
        <v>42277</v>
      </c>
      <c r="G16" s="31">
        <v>-6.0420064904191939E-3</v>
      </c>
      <c r="H16" s="32">
        <v>-5.6996904944218718E-3</v>
      </c>
      <c r="I16" s="31">
        <v>-4.8283168441657365E-3</v>
      </c>
      <c r="J16" s="33">
        <v>-1.2285527107601224E-2</v>
      </c>
      <c r="K16" s="32">
        <v>-1.504735837799509E-2</v>
      </c>
      <c r="L16" s="32">
        <v>-1.694790925168721E-2</v>
      </c>
      <c r="M16" s="31">
        <v>-1.3963201888800847E-2</v>
      </c>
      <c r="N16" s="32">
        <v>-1.7782365906371278E-2</v>
      </c>
      <c r="O16" s="32">
        <v>-2.2698810470704434E-2</v>
      </c>
      <c r="P16" s="32">
        <v>-2.1623672786753922E-2</v>
      </c>
      <c r="Q16" s="32">
        <v>-2.3565554085317686E-2</v>
      </c>
      <c r="R16" s="31">
        <v>-3.1546882031960433E-2</v>
      </c>
      <c r="S16" s="32">
        <v>-3.3688149075367546E-2</v>
      </c>
      <c r="T16" s="32">
        <v>-3.4196955846788279E-2</v>
      </c>
      <c r="U16" s="31">
        <v>-3.9706862274443755E-2</v>
      </c>
      <c r="V16" s="32">
        <v>-4.1666015098840603E-2</v>
      </c>
      <c r="W16" s="31">
        <v>-4.9474000990328282E-3</v>
      </c>
      <c r="X16" s="31">
        <v>-3.8649649204317571E-2</v>
      </c>
      <c r="Y16" s="31">
        <v>-1.9853723152474023E-2</v>
      </c>
      <c r="Z16" s="31">
        <v>-4.2152035555517942E-2</v>
      </c>
      <c r="AA16" s="32">
        <v>-4.7330198952161395E-2</v>
      </c>
      <c r="AB16" s="34">
        <v>-4.3474669066235649E-2</v>
      </c>
    </row>
    <row r="17" spans="6:28" x14ac:dyDescent="0.2">
      <c r="F17" s="4">
        <v>42307</v>
      </c>
      <c r="G17" s="31">
        <v>-7.6464740623716221E-4</v>
      </c>
      <c r="H17" s="32">
        <v>2.2550208680360839E-3</v>
      </c>
      <c r="I17" s="31">
        <v>-8.7207325495166632E-3</v>
      </c>
      <c r="J17" s="33">
        <v>-1.0009566891114763E-2</v>
      </c>
      <c r="K17" s="32">
        <v>-3.9820857287000688E-3</v>
      </c>
      <c r="L17" s="32">
        <v>-1.2184643704518106E-3</v>
      </c>
      <c r="M17" s="31">
        <v>-2.8413887691816075E-3</v>
      </c>
      <c r="N17" s="32">
        <v>-5.6588622851860837E-4</v>
      </c>
      <c r="O17" s="32">
        <v>1.4980853731234589E-3</v>
      </c>
      <c r="P17" s="32">
        <v>2.1584683377100511E-3</v>
      </c>
      <c r="Q17" s="32">
        <v>4.1463372092342965E-3</v>
      </c>
      <c r="R17" s="31">
        <v>-1.4800359723865508E-4</v>
      </c>
      <c r="S17" s="32">
        <v>2.4206915868318912E-3</v>
      </c>
      <c r="T17" s="32">
        <v>4.052322068156089E-3</v>
      </c>
      <c r="U17" s="31">
        <v>6.6577432738412767E-4</v>
      </c>
      <c r="V17" s="32">
        <v>1.9362960859425904E-4</v>
      </c>
      <c r="W17" s="31">
        <v>2.2042625670194438E-2</v>
      </c>
      <c r="X17" s="31">
        <v>1.4467860616570682E-2</v>
      </c>
      <c r="Y17" s="31">
        <v>1.3228227156523831E-2</v>
      </c>
      <c r="Z17" s="31">
        <v>7.758820565120006E-3</v>
      </c>
      <c r="AA17" s="32">
        <v>8.5450486447644636E-3</v>
      </c>
      <c r="AB17" s="34">
        <v>1.0151866765183648E-2</v>
      </c>
    </row>
    <row r="18" spans="6:28" x14ac:dyDescent="0.2">
      <c r="F18" s="4">
        <v>42338</v>
      </c>
      <c r="G18" s="31">
        <v>5.3789495115208474E-3</v>
      </c>
      <c r="H18" s="32">
        <v>1.0614526430165139E-2</v>
      </c>
      <c r="I18" s="31">
        <v>2.5290236617613537E-2</v>
      </c>
      <c r="J18" s="33">
        <v>1.3249372677495819E-2</v>
      </c>
      <c r="K18" s="32">
        <v>1.7775697396403389E-2</v>
      </c>
      <c r="L18" s="32">
        <v>1.5357563917548944E-2</v>
      </c>
      <c r="M18" s="31">
        <v>2.2346219978129023E-2</v>
      </c>
      <c r="N18" s="32">
        <v>2.3629694894375941E-2</v>
      </c>
      <c r="O18" s="32">
        <v>2.0188401850945725E-2</v>
      </c>
      <c r="P18" s="32">
        <v>1.9774755788537268E-2</v>
      </c>
      <c r="Q18" s="32">
        <v>4.577176358062629E-2</v>
      </c>
      <c r="R18" s="31">
        <v>1.8593114739147376E-2</v>
      </c>
      <c r="S18" s="32">
        <v>1.7943739271890191E-2</v>
      </c>
      <c r="T18" s="32">
        <v>3.1008313044069258E-2</v>
      </c>
      <c r="U18" s="31">
        <v>1.8385125634711175E-2</v>
      </c>
      <c r="V18" s="32">
        <v>1.7723390603125555E-2</v>
      </c>
      <c r="W18" s="31">
        <v>1.239245717872195E-2</v>
      </c>
      <c r="X18" s="31">
        <v>-5.0151528656773303E-3</v>
      </c>
      <c r="Y18" s="31">
        <v>3.8403766078110024E-3</v>
      </c>
      <c r="Z18" s="31">
        <v>3.7925195495740471E-2</v>
      </c>
      <c r="AA18" s="32">
        <v>3.3434043252854151E-2</v>
      </c>
      <c r="AB18" s="34">
        <v>3.2161977707059419E-2</v>
      </c>
    </row>
    <row r="19" spans="6:28" x14ac:dyDescent="0.2">
      <c r="F19" s="4">
        <v>42369</v>
      </c>
      <c r="G19" s="35">
        <v>5.7506796502084789E-3</v>
      </c>
      <c r="H19" s="36">
        <v>6.2944841360139669E-3</v>
      </c>
      <c r="I19" s="35">
        <v>1.5246600398424404E-2</v>
      </c>
      <c r="J19" s="37">
        <v>1.2637303920178367E-2</v>
      </c>
      <c r="K19" s="36">
        <v>1.3582201709015029E-2</v>
      </c>
      <c r="L19" s="36">
        <v>2.0454416461505254E-2</v>
      </c>
      <c r="M19" s="35">
        <v>1.6882201037100586E-2</v>
      </c>
      <c r="N19" s="36">
        <v>1.6800967232153408E-2</v>
      </c>
      <c r="O19" s="36">
        <v>1.1831685394366298E-2</v>
      </c>
      <c r="P19" s="36">
        <v>1.2443023756279592E-2</v>
      </c>
      <c r="Q19" s="36">
        <v>2.2389572557204529E-2</v>
      </c>
      <c r="R19" s="35">
        <v>1.564968423895019E-2</v>
      </c>
      <c r="S19" s="36">
        <v>1.6017230461474297E-2</v>
      </c>
      <c r="T19" s="36">
        <v>2.512718120232349E-2</v>
      </c>
      <c r="U19" s="35">
        <v>2.0254649182860796E-2</v>
      </c>
      <c r="V19" s="36">
        <v>2.3102235965215323E-2</v>
      </c>
      <c r="W19" s="35">
        <v>2.3198838972412705E-2</v>
      </c>
      <c r="X19" s="35">
        <v>1.303408182315513E-2</v>
      </c>
      <c r="Y19" s="35">
        <v>1.66925337218089E-2</v>
      </c>
      <c r="Z19" s="35">
        <v>1.2310275856991737E-2</v>
      </c>
      <c r="AA19" s="36">
        <v>2.5511528413177276E-2</v>
      </c>
      <c r="AB19" s="38">
        <v>1.8765553008575964E-2</v>
      </c>
    </row>
    <row r="20" spans="6:28" x14ac:dyDescent="0.2">
      <c r="F20" s="4">
        <v>42398</v>
      </c>
      <c r="G20" s="35">
        <v>-1.8803968431886364E-3</v>
      </c>
      <c r="H20" s="36">
        <v>-1.5448337282800706E-3</v>
      </c>
      <c r="I20" s="35">
        <v>-7.8082127240385324E-3</v>
      </c>
      <c r="J20" s="37">
        <v>-1.8364211646976436E-2</v>
      </c>
      <c r="K20" s="36">
        <v>-2.3153285979447547E-2</v>
      </c>
      <c r="L20" s="36">
        <v>-1.7356690059196822E-2</v>
      </c>
      <c r="M20" s="35">
        <v>-4.4053607160250086E-2</v>
      </c>
      <c r="N20" s="36">
        <v>-4.5656064023897547E-2</v>
      </c>
      <c r="O20" s="36">
        <v>-4.1565632494491411E-2</v>
      </c>
      <c r="P20" s="36">
        <v>-3.2314865058535758E-2</v>
      </c>
      <c r="Q20" s="36">
        <v>-2.3985347087117193E-2</v>
      </c>
      <c r="R20" s="35">
        <v>-3.5758059355644134E-2</v>
      </c>
      <c r="S20" s="36">
        <v>-3.0587827382145605E-2</v>
      </c>
      <c r="T20" s="36">
        <v>-2.4843338377100732E-2</v>
      </c>
      <c r="U20" s="35">
        <v>-2.8133851416974776E-2</v>
      </c>
      <c r="V20" s="36">
        <v>-2.3576599739564275E-2</v>
      </c>
      <c r="W20" s="35">
        <v>1.545248229914753E-2</v>
      </c>
      <c r="X20" s="35">
        <v>5.6826978890851532E-3</v>
      </c>
      <c r="Y20" s="35">
        <v>4.6090347642222529E-3</v>
      </c>
      <c r="Z20" s="35">
        <v>-0.10749775772639536</v>
      </c>
      <c r="AA20" s="36">
        <v>-9.1054788321849878E-2</v>
      </c>
      <c r="AB20" s="38">
        <v>-9.0510363461051235E-2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8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2016-02-02T16:24:38Z</dcterms:modified>
</cp:coreProperties>
</file>