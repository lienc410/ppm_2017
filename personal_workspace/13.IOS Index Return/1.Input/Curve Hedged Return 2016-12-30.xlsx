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</sheets>
  <calcPr calcId="145621"/>
</workbook>
</file>

<file path=xl/calcChain.xml><?xml version="1.0" encoding="utf-8"?>
<calcChain xmlns="http://schemas.openxmlformats.org/spreadsheetml/2006/main">
  <c r="AU31" i="1" l="1"/>
  <c r="Y31" i="1" l="1"/>
  <c r="AT58" i="1" s="1"/>
  <c r="X31" i="1"/>
  <c r="AS58" i="1" s="1"/>
  <c r="W31" i="1"/>
  <c r="AR58" i="1" s="1"/>
  <c r="V31" i="1"/>
  <c r="AQ58" i="1" s="1"/>
  <c r="U31" i="1"/>
  <c r="AP58" i="1" s="1"/>
  <c r="T31" i="1"/>
  <c r="AO58" i="1" s="1"/>
  <c r="S31" i="1"/>
  <c r="AN58" i="1" s="1"/>
  <c r="R31" i="1"/>
  <c r="AM58" i="1" s="1"/>
  <c r="Q31" i="1"/>
  <c r="AL58" i="1" s="1"/>
  <c r="P31" i="1"/>
  <c r="AK58" i="1" s="1"/>
  <c r="O31" i="1"/>
  <c r="AJ58" i="1" s="1"/>
  <c r="N31" i="1"/>
  <c r="AI58" i="1" s="1"/>
  <c r="M31" i="1"/>
  <c r="AH58" i="1" s="1"/>
  <c r="L31" i="1"/>
  <c r="AG58" i="1" s="1"/>
  <c r="K31" i="1"/>
  <c r="AF58" i="1" s="1"/>
  <c r="J31" i="1"/>
  <c r="AE58" i="1" s="1"/>
  <c r="I31" i="1"/>
  <c r="AD58" i="1" s="1"/>
  <c r="H31" i="1"/>
  <c r="AC58" i="1" s="1"/>
  <c r="G31" i="1"/>
  <c r="AB58" i="1" s="1"/>
  <c r="AU58" i="1" s="1"/>
  <c r="F31" i="1"/>
  <c r="AA58" i="1" s="1"/>
  <c r="AG57" i="1" l="1"/>
  <c r="AU30" i="1"/>
  <c r="Y30" i="1"/>
  <c r="AT57" i="1" s="1"/>
  <c r="X30" i="1"/>
  <c r="AS57" i="1" s="1"/>
  <c r="W30" i="1"/>
  <c r="AR57" i="1" s="1"/>
  <c r="V30" i="1"/>
  <c r="AQ57" i="1" s="1"/>
  <c r="U30" i="1"/>
  <c r="AP57" i="1" s="1"/>
  <c r="T30" i="1"/>
  <c r="AO57" i="1" s="1"/>
  <c r="S30" i="1"/>
  <c r="AN57" i="1" s="1"/>
  <c r="R30" i="1"/>
  <c r="AM57" i="1" s="1"/>
  <c r="Q30" i="1"/>
  <c r="AL57" i="1" s="1"/>
  <c r="P30" i="1"/>
  <c r="AK57" i="1" s="1"/>
  <c r="O30" i="1"/>
  <c r="AJ57" i="1" s="1"/>
  <c r="N30" i="1"/>
  <c r="AI57" i="1" s="1"/>
  <c r="M30" i="1"/>
  <c r="AH57" i="1" s="1"/>
  <c r="L30" i="1"/>
  <c r="K30" i="1"/>
  <c r="AF57" i="1" s="1"/>
  <c r="J30" i="1"/>
  <c r="AE57" i="1" s="1"/>
  <c r="I30" i="1"/>
  <c r="AD57" i="1" s="1"/>
  <c r="H30" i="1"/>
  <c r="AC57" i="1" s="1"/>
  <c r="G30" i="1"/>
  <c r="AB57" i="1" s="1"/>
  <c r="F30" i="1"/>
  <c r="AA30" i="1" s="1"/>
  <c r="AU57" i="1" l="1"/>
  <c r="AA57" i="1"/>
  <c r="AU29" i="1"/>
  <c r="Y29" i="1"/>
  <c r="AT56" i="1" s="1"/>
  <c r="X29" i="1"/>
  <c r="AS56" i="1" s="1"/>
  <c r="W29" i="1"/>
  <c r="AR56" i="1" s="1"/>
  <c r="V29" i="1"/>
  <c r="AQ56" i="1" s="1"/>
  <c r="U29" i="1"/>
  <c r="AP56" i="1" s="1"/>
  <c r="T29" i="1"/>
  <c r="AO56" i="1" s="1"/>
  <c r="S29" i="1"/>
  <c r="AN56" i="1" s="1"/>
  <c r="R29" i="1"/>
  <c r="AM56" i="1" s="1"/>
  <c r="Q29" i="1"/>
  <c r="AL56" i="1" s="1"/>
  <c r="P29" i="1"/>
  <c r="AK56" i="1" s="1"/>
  <c r="O29" i="1"/>
  <c r="AJ56" i="1" s="1"/>
  <c r="N29" i="1"/>
  <c r="AI56" i="1" s="1"/>
  <c r="M29" i="1"/>
  <c r="AH56" i="1" s="1"/>
  <c r="L29" i="1"/>
  <c r="AG56" i="1" s="1"/>
  <c r="K29" i="1"/>
  <c r="AF56" i="1" s="1"/>
  <c r="J29" i="1"/>
  <c r="AE56" i="1" s="1"/>
  <c r="I29" i="1"/>
  <c r="AD56" i="1" s="1"/>
  <c r="H29" i="1"/>
  <c r="AC56" i="1" s="1"/>
  <c r="G29" i="1"/>
  <c r="AB56" i="1" s="1"/>
  <c r="F29" i="1"/>
  <c r="AA29" i="1" s="1"/>
  <c r="AU56" i="1" l="1"/>
  <c r="AA56" i="1"/>
  <c r="AU28" i="1" l="1"/>
  <c r="Y28" i="1"/>
  <c r="AT55" i="1" s="1"/>
  <c r="X28" i="1"/>
  <c r="AS55" i="1" s="1"/>
  <c r="W28" i="1"/>
  <c r="AR55" i="1" s="1"/>
  <c r="V28" i="1"/>
  <c r="AQ55" i="1" s="1"/>
  <c r="U28" i="1"/>
  <c r="AP55" i="1" s="1"/>
  <c r="T28" i="1"/>
  <c r="AO55" i="1" s="1"/>
  <c r="S28" i="1"/>
  <c r="AN55" i="1" s="1"/>
  <c r="R28" i="1"/>
  <c r="AM55" i="1" s="1"/>
  <c r="Q28" i="1"/>
  <c r="AL55" i="1" s="1"/>
  <c r="P28" i="1"/>
  <c r="AK55" i="1" s="1"/>
  <c r="O28" i="1"/>
  <c r="AJ55" i="1" s="1"/>
  <c r="N28" i="1"/>
  <c r="AI55" i="1" s="1"/>
  <c r="M28" i="1"/>
  <c r="AH55" i="1" s="1"/>
  <c r="L28" i="1"/>
  <c r="AG55" i="1" s="1"/>
  <c r="K28" i="1"/>
  <c r="AF55" i="1" s="1"/>
  <c r="J28" i="1"/>
  <c r="AE55" i="1" s="1"/>
  <c r="I28" i="1"/>
  <c r="AD55" i="1" s="1"/>
  <c r="H28" i="1"/>
  <c r="AC55" i="1" s="1"/>
  <c r="G28" i="1"/>
  <c r="AB55" i="1" s="1"/>
  <c r="F28" i="1"/>
  <c r="AA28" i="1" s="1"/>
  <c r="AA55" i="1" l="1"/>
  <c r="AU55" i="1"/>
  <c r="AU27" i="1"/>
  <c r="Y27" i="1"/>
  <c r="AT54" i="1" s="1"/>
  <c r="X27" i="1"/>
  <c r="AS54" i="1" s="1"/>
  <c r="W27" i="1"/>
  <c r="AR54" i="1" s="1"/>
  <c r="V27" i="1"/>
  <c r="AQ54" i="1" s="1"/>
  <c r="U27" i="1"/>
  <c r="AP54" i="1" s="1"/>
  <c r="T27" i="1"/>
  <c r="AO54" i="1" s="1"/>
  <c r="S27" i="1"/>
  <c r="AN54" i="1" s="1"/>
  <c r="R27" i="1"/>
  <c r="AM54" i="1" s="1"/>
  <c r="Q27" i="1"/>
  <c r="AL54" i="1" s="1"/>
  <c r="P27" i="1"/>
  <c r="AK54" i="1" s="1"/>
  <c r="O27" i="1"/>
  <c r="AJ54" i="1" s="1"/>
  <c r="N27" i="1"/>
  <c r="AI54" i="1" s="1"/>
  <c r="M27" i="1"/>
  <c r="AH54" i="1" s="1"/>
  <c r="L27" i="1"/>
  <c r="AG54" i="1" s="1"/>
  <c r="K27" i="1"/>
  <c r="AF54" i="1" s="1"/>
  <c r="J27" i="1"/>
  <c r="AE54" i="1" s="1"/>
  <c r="I27" i="1"/>
  <c r="AD54" i="1" s="1"/>
  <c r="H27" i="1"/>
  <c r="AC54" i="1" s="1"/>
  <c r="G27" i="1"/>
  <c r="AB54" i="1" s="1"/>
  <c r="F27" i="1"/>
  <c r="AA54" i="1" s="1"/>
  <c r="AA27" i="1" l="1"/>
  <c r="AU54" i="1"/>
  <c r="AU26" i="1"/>
  <c r="Y26" i="1"/>
  <c r="AT53" i="1" s="1"/>
  <c r="X26" i="1"/>
  <c r="AS53" i="1" s="1"/>
  <c r="W26" i="1"/>
  <c r="AR53" i="1" s="1"/>
  <c r="V26" i="1"/>
  <c r="AQ53" i="1" s="1"/>
  <c r="U26" i="1"/>
  <c r="AP53" i="1" s="1"/>
  <c r="T26" i="1"/>
  <c r="AO53" i="1" s="1"/>
  <c r="S26" i="1"/>
  <c r="AN53" i="1" s="1"/>
  <c r="R26" i="1"/>
  <c r="AM53" i="1" s="1"/>
  <c r="Q26" i="1"/>
  <c r="AL53" i="1" s="1"/>
  <c r="P26" i="1"/>
  <c r="AK53" i="1" s="1"/>
  <c r="O26" i="1"/>
  <c r="AJ53" i="1" s="1"/>
  <c r="N26" i="1"/>
  <c r="AI53" i="1" s="1"/>
  <c r="M26" i="1"/>
  <c r="AH53" i="1" s="1"/>
  <c r="L26" i="1"/>
  <c r="AG53" i="1" s="1"/>
  <c r="K26" i="1"/>
  <c r="AF53" i="1" s="1"/>
  <c r="J26" i="1"/>
  <c r="AE53" i="1" s="1"/>
  <c r="I26" i="1"/>
  <c r="AD53" i="1" s="1"/>
  <c r="H26" i="1"/>
  <c r="AC53" i="1" s="1"/>
  <c r="G26" i="1"/>
  <c r="AB53" i="1" s="1"/>
  <c r="F26" i="1"/>
  <c r="AA26" i="1" s="1"/>
  <c r="AU53" i="1" l="1"/>
  <c r="AA53" i="1"/>
  <c r="AU25" i="1" l="1"/>
  <c r="Y25" i="1"/>
  <c r="AT52" i="1" s="1"/>
  <c r="X25" i="1"/>
  <c r="AS52" i="1" s="1"/>
  <c r="W25" i="1"/>
  <c r="AR52" i="1" s="1"/>
  <c r="V25" i="1"/>
  <c r="AQ52" i="1" s="1"/>
  <c r="U25" i="1"/>
  <c r="AP52" i="1" s="1"/>
  <c r="T25" i="1"/>
  <c r="AO52" i="1" s="1"/>
  <c r="S25" i="1"/>
  <c r="AN52" i="1" s="1"/>
  <c r="R25" i="1"/>
  <c r="AM52" i="1" s="1"/>
  <c r="Q25" i="1"/>
  <c r="AL52" i="1" s="1"/>
  <c r="P25" i="1"/>
  <c r="AK52" i="1" s="1"/>
  <c r="O25" i="1"/>
  <c r="AJ52" i="1" s="1"/>
  <c r="N25" i="1"/>
  <c r="AI52" i="1" s="1"/>
  <c r="M25" i="1"/>
  <c r="AH52" i="1" s="1"/>
  <c r="L25" i="1"/>
  <c r="AG52" i="1" s="1"/>
  <c r="K25" i="1"/>
  <c r="AF52" i="1" s="1"/>
  <c r="J25" i="1"/>
  <c r="AE52" i="1" s="1"/>
  <c r="I25" i="1"/>
  <c r="AD52" i="1" s="1"/>
  <c r="H25" i="1"/>
  <c r="AC52" i="1" s="1"/>
  <c r="G25" i="1"/>
  <c r="AB52" i="1" s="1"/>
  <c r="F25" i="1"/>
  <c r="AA25" i="1" s="1"/>
  <c r="AU24" i="1"/>
  <c r="Y24" i="1"/>
  <c r="AT51" i="1" s="1"/>
  <c r="X24" i="1"/>
  <c r="AS51" i="1" s="1"/>
  <c r="W24" i="1"/>
  <c r="AR51" i="1" s="1"/>
  <c r="V24" i="1"/>
  <c r="AQ51" i="1" s="1"/>
  <c r="U24" i="1"/>
  <c r="AP51" i="1" s="1"/>
  <c r="T24" i="1"/>
  <c r="AO51" i="1" s="1"/>
  <c r="S24" i="1"/>
  <c r="AN51" i="1" s="1"/>
  <c r="R24" i="1"/>
  <c r="AM51" i="1" s="1"/>
  <c r="Q24" i="1"/>
  <c r="AL51" i="1" s="1"/>
  <c r="P24" i="1"/>
  <c r="AK51" i="1" s="1"/>
  <c r="O24" i="1"/>
  <c r="AJ51" i="1" s="1"/>
  <c r="N24" i="1"/>
  <c r="AI51" i="1" s="1"/>
  <c r="M24" i="1"/>
  <c r="AH51" i="1" s="1"/>
  <c r="L24" i="1"/>
  <c r="AG51" i="1" s="1"/>
  <c r="K24" i="1"/>
  <c r="AF51" i="1" s="1"/>
  <c r="J24" i="1"/>
  <c r="AE51" i="1" s="1"/>
  <c r="I24" i="1"/>
  <c r="AD51" i="1" s="1"/>
  <c r="H24" i="1"/>
  <c r="AC51" i="1" s="1"/>
  <c r="G24" i="1"/>
  <c r="AB51" i="1" s="1"/>
  <c r="F24" i="1"/>
  <c r="AA51" i="1" s="1"/>
  <c r="AU23" i="1"/>
  <c r="Y23" i="1"/>
  <c r="AT50" i="1" s="1"/>
  <c r="X23" i="1"/>
  <c r="AS50" i="1" s="1"/>
  <c r="W23" i="1"/>
  <c r="AR50" i="1" s="1"/>
  <c r="V23" i="1"/>
  <c r="AQ50" i="1" s="1"/>
  <c r="U23" i="1"/>
  <c r="AP50" i="1" s="1"/>
  <c r="T23" i="1"/>
  <c r="AO50" i="1" s="1"/>
  <c r="S23" i="1"/>
  <c r="AN50" i="1" s="1"/>
  <c r="R23" i="1"/>
  <c r="AM50" i="1" s="1"/>
  <c r="Q23" i="1"/>
  <c r="AL50" i="1" s="1"/>
  <c r="P23" i="1"/>
  <c r="AK50" i="1" s="1"/>
  <c r="O23" i="1"/>
  <c r="AJ50" i="1" s="1"/>
  <c r="N23" i="1"/>
  <c r="AI50" i="1" s="1"/>
  <c r="M23" i="1"/>
  <c r="AH50" i="1" s="1"/>
  <c r="L23" i="1"/>
  <c r="AG50" i="1" s="1"/>
  <c r="K23" i="1"/>
  <c r="AF50" i="1" s="1"/>
  <c r="J23" i="1"/>
  <c r="AE50" i="1" s="1"/>
  <c r="I23" i="1"/>
  <c r="AD50" i="1" s="1"/>
  <c r="H23" i="1"/>
  <c r="AC50" i="1" s="1"/>
  <c r="G23" i="1"/>
  <c r="AB50" i="1" s="1"/>
  <c r="F23" i="1"/>
  <c r="AA23" i="1" s="1"/>
  <c r="AU22" i="1"/>
  <c r="F22" i="1"/>
  <c r="AA49" i="1" s="1"/>
  <c r="G22" i="1"/>
  <c r="AB49" i="1" s="1"/>
  <c r="H22" i="1"/>
  <c r="AC49" i="1" s="1"/>
  <c r="I22" i="1"/>
  <c r="AD49" i="1" s="1"/>
  <c r="J22" i="1"/>
  <c r="AE49" i="1" s="1"/>
  <c r="K22" i="1"/>
  <c r="AF49" i="1" s="1"/>
  <c r="L22" i="1"/>
  <c r="AG49" i="1" s="1"/>
  <c r="M22" i="1"/>
  <c r="AH49" i="1" s="1"/>
  <c r="N22" i="1"/>
  <c r="AI49" i="1" s="1"/>
  <c r="O22" i="1"/>
  <c r="AJ49" i="1" s="1"/>
  <c r="P22" i="1"/>
  <c r="AK49" i="1" s="1"/>
  <c r="Q22" i="1"/>
  <c r="AL49" i="1" s="1"/>
  <c r="R22" i="1"/>
  <c r="AM49" i="1" s="1"/>
  <c r="S22" i="1"/>
  <c r="AN49" i="1" s="1"/>
  <c r="T22" i="1"/>
  <c r="AO49" i="1" s="1"/>
  <c r="U22" i="1"/>
  <c r="AP49" i="1" s="1"/>
  <c r="V22" i="1"/>
  <c r="AQ49" i="1" s="1"/>
  <c r="W22" i="1"/>
  <c r="AR49" i="1" s="1"/>
  <c r="X22" i="1"/>
  <c r="AS49" i="1" s="1"/>
  <c r="Y22" i="1"/>
  <c r="AT49" i="1" s="1"/>
  <c r="AA48" i="1"/>
  <c r="G21" i="1"/>
  <c r="AB48" i="1" s="1"/>
  <c r="H21" i="1"/>
  <c r="AC48" i="1" s="1"/>
  <c r="I21" i="1"/>
  <c r="AD48" i="1" s="1"/>
  <c r="J21" i="1"/>
  <c r="AE48" i="1" s="1"/>
  <c r="K21" i="1"/>
  <c r="AF48" i="1" s="1"/>
  <c r="L21" i="1"/>
  <c r="AG48" i="1" s="1"/>
  <c r="M21" i="1"/>
  <c r="AH48" i="1" s="1"/>
  <c r="N21" i="1"/>
  <c r="AI48" i="1" s="1"/>
  <c r="O21" i="1"/>
  <c r="AJ48" i="1" s="1"/>
  <c r="P21" i="1"/>
  <c r="AK48" i="1" s="1"/>
  <c r="Q21" i="1"/>
  <c r="AL48" i="1" s="1"/>
  <c r="R21" i="1"/>
  <c r="AM48" i="1" s="1"/>
  <c r="S21" i="1"/>
  <c r="AN48" i="1" s="1"/>
  <c r="T21" i="1"/>
  <c r="AO48" i="1" s="1"/>
  <c r="U21" i="1"/>
  <c r="AP48" i="1" s="1"/>
  <c r="V21" i="1"/>
  <c r="AQ48" i="1" s="1"/>
  <c r="W21" i="1"/>
  <c r="AR48" i="1" s="1"/>
  <c r="X21" i="1"/>
  <c r="AS48" i="1" s="1"/>
  <c r="Y21" i="1"/>
  <c r="AT48" i="1" s="1"/>
  <c r="AA21" i="1"/>
  <c r="AU21" i="1"/>
  <c r="G20" i="1"/>
  <c r="AB47" i="1" s="1"/>
  <c r="H20" i="1"/>
  <c r="AC47" i="1" s="1"/>
  <c r="I20" i="1"/>
  <c r="AD47" i="1" s="1"/>
  <c r="J20" i="1"/>
  <c r="AE47" i="1" s="1"/>
  <c r="K20" i="1"/>
  <c r="AF47" i="1" s="1"/>
  <c r="L20" i="1"/>
  <c r="AG47" i="1" s="1"/>
  <c r="M20" i="1"/>
  <c r="AH47" i="1" s="1"/>
  <c r="N20" i="1"/>
  <c r="AI47" i="1" s="1"/>
  <c r="O20" i="1"/>
  <c r="AJ47" i="1" s="1"/>
  <c r="P20" i="1"/>
  <c r="AK47" i="1" s="1"/>
  <c r="Q20" i="1"/>
  <c r="AL47" i="1" s="1"/>
  <c r="R20" i="1"/>
  <c r="AM47" i="1" s="1"/>
  <c r="S20" i="1"/>
  <c r="AN47" i="1" s="1"/>
  <c r="T20" i="1"/>
  <c r="AO47" i="1" s="1"/>
  <c r="U20" i="1"/>
  <c r="AP47" i="1" s="1"/>
  <c r="V20" i="1"/>
  <c r="AQ47" i="1" s="1"/>
  <c r="W20" i="1"/>
  <c r="AR47" i="1" s="1"/>
  <c r="X20" i="1"/>
  <c r="AS47" i="1" s="1"/>
  <c r="Y20" i="1"/>
  <c r="AT47" i="1" s="1"/>
  <c r="AA47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Y19" i="1"/>
  <c r="AT46" i="1" s="1"/>
  <c r="X19" i="1"/>
  <c r="AS46" i="1" s="1"/>
  <c r="W19" i="1"/>
  <c r="AR46" i="1" s="1"/>
  <c r="V19" i="1"/>
  <c r="AQ46" i="1" s="1"/>
  <c r="U19" i="1"/>
  <c r="AP46" i="1" s="1"/>
  <c r="T19" i="1"/>
  <c r="AO46" i="1" s="1"/>
  <c r="S19" i="1"/>
  <c r="AN46" i="1" s="1"/>
  <c r="R19" i="1"/>
  <c r="AM46" i="1" s="1"/>
  <c r="Q19" i="1"/>
  <c r="AL46" i="1" s="1"/>
  <c r="P19" i="1"/>
  <c r="AK46" i="1" s="1"/>
  <c r="O19" i="1"/>
  <c r="AJ46" i="1" s="1"/>
  <c r="N19" i="1"/>
  <c r="AI46" i="1" s="1"/>
  <c r="M19" i="1"/>
  <c r="AH46" i="1" s="1"/>
  <c r="L19" i="1"/>
  <c r="AG46" i="1" s="1"/>
  <c r="K19" i="1"/>
  <c r="AF46" i="1" s="1"/>
  <c r="J19" i="1"/>
  <c r="AE46" i="1" s="1"/>
  <c r="I19" i="1"/>
  <c r="AD46" i="1" s="1"/>
  <c r="H19" i="1"/>
  <c r="AC46" i="1" s="1"/>
  <c r="G19" i="1"/>
  <c r="AB46" i="1" s="1"/>
  <c r="Y18" i="1"/>
  <c r="AT45" i="1" s="1"/>
  <c r="X18" i="1"/>
  <c r="AS45" i="1" s="1"/>
  <c r="W18" i="1"/>
  <c r="AR45" i="1" s="1"/>
  <c r="V18" i="1"/>
  <c r="AQ45" i="1" s="1"/>
  <c r="U18" i="1"/>
  <c r="AP45" i="1" s="1"/>
  <c r="T18" i="1"/>
  <c r="AO45" i="1" s="1"/>
  <c r="S18" i="1"/>
  <c r="AN45" i="1" s="1"/>
  <c r="R18" i="1"/>
  <c r="AM45" i="1" s="1"/>
  <c r="Q18" i="1"/>
  <c r="AL45" i="1" s="1"/>
  <c r="P18" i="1"/>
  <c r="AK45" i="1" s="1"/>
  <c r="O18" i="1"/>
  <c r="AJ45" i="1" s="1"/>
  <c r="N18" i="1"/>
  <c r="AI45" i="1" s="1"/>
  <c r="M18" i="1"/>
  <c r="AH45" i="1" s="1"/>
  <c r="L18" i="1"/>
  <c r="AG45" i="1" s="1"/>
  <c r="K18" i="1"/>
  <c r="AF45" i="1" s="1"/>
  <c r="J18" i="1"/>
  <c r="AE45" i="1" s="1"/>
  <c r="I18" i="1"/>
  <c r="AD45" i="1" s="1"/>
  <c r="H18" i="1"/>
  <c r="AC45" i="1" s="1"/>
  <c r="G18" i="1"/>
  <c r="AB45" i="1" s="1"/>
  <c r="Y17" i="1"/>
  <c r="AT44" i="1" s="1"/>
  <c r="X17" i="1"/>
  <c r="AS44" i="1" s="1"/>
  <c r="W17" i="1"/>
  <c r="AR44" i="1" s="1"/>
  <c r="V17" i="1"/>
  <c r="AQ44" i="1" s="1"/>
  <c r="U17" i="1"/>
  <c r="AP44" i="1" s="1"/>
  <c r="T17" i="1"/>
  <c r="AO44" i="1" s="1"/>
  <c r="S17" i="1"/>
  <c r="AN44" i="1" s="1"/>
  <c r="R17" i="1"/>
  <c r="AM44" i="1" s="1"/>
  <c r="Q17" i="1"/>
  <c r="AL44" i="1" s="1"/>
  <c r="P17" i="1"/>
  <c r="AK44" i="1" s="1"/>
  <c r="O17" i="1"/>
  <c r="AJ44" i="1" s="1"/>
  <c r="N17" i="1"/>
  <c r="AI44" i="1" s="1"/>
  <c r="M17" i="1"/>
  <c r="AH44" i="1" s="1"/>
  <c r="L17" i="1"/>
  <c r="AG44" i="1" s="1"/>
  <c r="K17" i="1"/>
  <c r="AF44" i="1" s="1"/>
  <c r="J17" i="1"/>
  <c r="AE44" i="1" s="1"/>
  <c r="I17" i="1"/>
  <c r="AD44" i="1" s="1"/>
  <c r="H17" i="1"/>
  <c r="AC44" i="1" s="1"/>
  <c r="G17" i="1"/>
  <c r="AB44" i="1" s="1"/>
  <c r="Y16" i="1"/>
  <c r="AT43" i="1" s="1"/>
  <c r="X16" i="1"/>
  <c r="AS43" i="1" s="1"/>
  <c r="W16" i="1"/>
  <c r="AR43" i="1" s="1"/>
  <c r="V16" i="1"/>
  <c r="AQ43" i="1" s="1"/>
  <c r="U16" i="1"/>
  <c r="AP43" i="1" s="1"/>
  <c r="T16" i="1"/>
  <c r="AO43" i="1" s="1"/>
  <c r="S16" i="1"/>
  <c r="AN43" i="1" s="1"/>
  <c r="R16" i="1"/>
  <c r="AM43" i="1" s="1"/>
  <c r="Q16" i="1"/>
  <c r="AL43" i="1" s="1"/>
  <c r="P16" i="1"/>
  <c r="AK43" i="1" s="1"/>
  <c r="O16" i="1"/>
  <c r="AJ43" i="1" s="1"/>
  <c r="N16" i="1"/>
  <c r="AI43" i="1" s="1"/>
  <c r="M16" i="1"/>
  <c r="AH43" i="1" s="1"/>
  <c r="L16" i="1"/>
  <c r="AG43" i="1" s="1"/>
  <c r="K16" i="1"/>
  <c r="AF43" i="1" s="1"/>
  <c r="J16" i="1"/>
  <c r="AE43" i="1" s="1"/>
  <c r="I16" i="1"/>
  <c r="AD43" i="1" s="1"/>
  <c r="H16" i="1"/>
  <c r="AC43" i="1" s="1"/>
  <c r="G16" i="1"/>
  <c r="AB43" i="1" s="1"/>
  <c r="Y15" i="1"/>
  <c r="AT42" i="1" s="1"/>
  <c r="X15" i="1"/>
  <c r="AS42" i="1" s="1"/>
  <c r="W15" i="1"/>
  <c r="AR42" i="1" s="1"/>
  <c r="V15" i="1"/>
  <c r="AQ42" i="1" s="1"/>
  <c r="U15" i="1"/>
  <c r="AP42" i="1" s="1"/>
  <c r="T15" i="1"/>
  <c r="AO42" i="1" s="1"/>
  <c r="S15" i="1"/>
  <c r="AN42" i="1" s="1"/>
  <c r="R15" i="1"/>
  <c r="AM42" i="1" s="1"/>
  <c r="Q15" i="1"/>
  <c r="AL42" i="1" s="1"/>
  <c r="P15" i="1"/>
  <c r="AK42" i="1" s="1"/>
  <c r="O15" i="1"/>
  <c r="AJ42" i="1" s="1"/>
  <c r="N15" i="1"/>
  <c r="AI42" i="1" s="1"/>
  <c r="M15" i="1"/>
  <c r="AH42" i="1" s="1"/>
  <c r="L15" i="1"/>
  <c r="AG42" i="1" s="1"/>
  <c r="K15" i="1"/>
  <c r="AF42" i="1" s="1"/>
  <c r="J15" i="1"/>
  <c r="AE42" i="1" s="1"/>
  <c r="I15" i="1"/>
  <c r="AD42" i="1" s="1"/>
  <c r="H15" i="1"/>
  <c r="AC42" i="1" s="1"/>
  <c r="G15" i="1"/>
  <c r="AB42" i="1" s="1"/>
  <c r="Y14" i="1"/>
  <c r="AT41" i="1" s="1"/>
  <c r="X14" i="1"/>
  <c r="AS41" i="1" s="1"/>
  <c r="W14" i="1"/>
  <c r="AR41" i="1" s="1"/>
  <c r="V14" i="1"/>
  <c r="AQ41" i="1" s="1"/>
  <c r="U14" i="1"/>
  <c r="AP41" i="1" s="1"/>
  <c r="T14" i="1"/>
  <c r="AO41" i="1" s="1"/>
  <c r="S14" i="1"/>
  <c r="AN41" i="1" s="1"/>
  <c r="R14" i="1"/>
  <c r="AM41" i="1" s="1"/>
  <c r="Q14" i="1"/>
  <c r="AL41" i="1" s="1"/>
  <c r="P14" i="1"/>
  <c r="AK41" i="1" s="1"/>
  <c r="O14" i="1"/>
  <c r="AJ41" i="1" s="1"/>
  <c r="N14" i="1"/>
  <c r="AI41" i="1" s="1"/>
  <c r="M14" i="1"/>
  <c r="AH41" i="1" s="1"/>
  <c r="L14" i="1"/>
  <c r="AG41" i="1" s="1"/>
  <c r="K14" i="1"/>
  <c r="AF41" i="1" s="1"/>
  <c r="J14" i="1"/>
  <c r="AE41" i="1" s="1"/>
  <c r="I14" i="1"/>
  <c r="AD41" i="1" s="1"/>
  <c r="H14" i="1"/>
  <c r="AC41" i="1" s="1"/>
  <c r="G14" i="1"/>
  <c r="AB41" i="1" s="1"/>
  <c r="Y13" i="1"/>
  <c r="AT40" i="1" s="1"/>
  <c r="X13" i="1"/>
  <c r="AS40" i="1" s="1"/>
  <c r="W13" i="1"/>
  <c r="AR40" i="1" s="1"/>
  <c r="V13" i="1"/>
  <c r="AQ40" i="1" s="1"/>
  <c r="U13" i="1"/>
  <c r="AP40" i="1" s="1"/>
  <c r="T13" i="1"/>
  <c r="AO40" i="1" s="1"/>
  <c r="S13" i="1"/>
  <c r="AN40" i="1" s="1"/>
  <c r="R13" i="1"/>
  <c r="AM40" i="1" s="1"/>
  <c r="Q13" i="1"/>
  <c r="AL40" i="1" s="1"/>
  <c r="P13" i="1"/>
  <c r="AK40" i="1" s="1"/>
  <c r="O13" i="1"/>
  <c r="AJ40" i="1" s="1"/>
  <c r="N13" i="1"/>
  <c r="AI40" i="1" s="1"/>
  <c r="M13" i="1"/>
  <c r="AH40" i="1" s="1"/>
  <c r="L13" i="1"/>
  <c r="AG40" i="1" s="1"/>
  <c r="K13" i="1"/>
  <c r="AF40" i="1" s="1"/>
  <c r="J13" i="1"/>
  <c r="AE40" i="1" s="1"/>
  <c r="I13" i="1"/>
  <c r="AD40" i="1" s="1"/>
  <c r="H13" i="1"/>
  <c r="AC40" i="1" s="1"/>
  <c r="G13" i="1"/>
  <c r="AB40" i="1" s="1"/>
  <c r="Y12" i="1"/>
  <c r="AT39" i="1" s="1"/>
  <c r="X12" i="1"/>
  <c r="AS39" i="1" s="1"/>
  <c r="W12" i="1"/>
  <c r="AR39" i="1" s="1"/>
  <c r="V12" i="1"/>
  <c r="AQ39" i="1" s="1"/>
  <c r="U12" i="1"/>
  <c r="AP39" i="1" s="1"/>
  <c r="T12" i="1"/>
  <c r="AO39" i="1" s="1"/>
  <c r="S12" i="1"/>
  <c r="AN39" i="1" s="1"/>
  <c r="R12" i="1"/>
  <c r="AM39" i="1" s="1"/>
  <c r="Q12" i="1"/>
  <c r="AL39" i="1" s="1"/>
  <c r="P12" i="1"/>
  <c r="AK39" i="1" s="1"/>
  <c r="O12" i="1"/>
  <c r="AJ39" i="1" s="1"/>
  <c r="N12" i="1"/>
  <c r="AI39" i="1" s="1"/>
  <c r="M12" i="1"/>
  <c r="AH39" i="1" s="1"/>
  <c r="L12" i="1"/>
  <c r="AG39" i="1" s="1"/>
  <c r="K12" i="1"/>
  <c r="AF39" i="1" s="1"/>
  <c r="J12" i="1"/>
  <c r="AE39" i="1" s="1"/>
  <c r="I12" i="1"/>
  <c r="AD39" i="1" s="1"/>
  <c r="H12" i="1"/>
  <c r="AC39" i="1" s="1"/>
  <c r="G12" i="1"/>
  <c r="AB39" i="1" s="1"/>
  <c r="Y11" i="1"/>
  <c r="AT38" i="1" s="1"/>
  <c r="X11" i="1"/>
  <c r="AS38" i="1" s="1"/>
  <c r="W11" i="1"/>
  <c r="AR38" i="1" s="1"/>
  <c r="V11" i="1"/>
  <c r="AQ38" i="1" s="1"/>
  <c r="U11" i="1"/>
  <c r="AP38" i="1" s="1"/>
  <c r="T11" i="1"/>
  <c r="AO38" i="1" s="1"/>
  <c r="S11" i="1"/>
  <c r="AN38" i="1" s="1"/>
  <c r="R11" i="1"/>
  <c r="AM38" i="1" s="1"/>
  <c r="Q11" i="1"/>
  <c r="AL38" i="1" s="1"/>
  <c r="P11" i="1"/>
  <c r="AK38" i="1" s="1"/>
  <c r="O11" i="1"/>
  <c r="AJ38" i="1" s="1"/>
  <c r="N11" i="1"/>
  <c r="AI38" i="1" s="1"/>
  <c r="M11" i="1"/>
  <c r="AH38" i="1" s="1"/>
  <c r="L11" i="1"/>
  <c r="AG38" i="1" s="1"/>
  <c r="K11" i="1"/>
  <c r="AF38" i="1" s="1"/>
  <c r="J11" i="1"/>
  <c r="AE38" i="1" s="1"/>
  <c r="I11" i="1"/>
  <c r="AD38" i="1" s="1"/>
  <c r="H11" i="1"/>
  <c r="AC38" i="1" s="1"/>
  <c r="G11" i="1"/>
  <c r="AB38" i="1" s="1"/>
  <c r="Y10" i="1"/>
  <c r="AT37" i="1" s="1"/>
  <c r="X10" i="1"/>
  <c r="AS37" i="1" s="1"/>
  <c r="W10" i="1"/>
  <c r="AR37" i="1" s="1"/>
  <c r="V10" i="1"/>
  <c r="AQ37" i="1" s="1"/>
  <c r="U10" i="1"/>
  <c r="AP37" i="1" s="1"/>
  <c r="T10" i="1"/>
  <c r="AO37" i="1" s="1"/>
  <c r="S10" i="1"/>
  <c r="AN37" i="1" s="1"/>
  <c r="R10" i="1"/>
  <c r="AM37" i="1" s="1"/>
  <c r="Q10" i="1"/>
  <c r="AL37" i="1" s="1"/>
  <c r="P10" i="1"/>
  <c r="AK37" i="1" s="1"/>
  <c r="O10" i="1"/>
  <c r="AJ37" i="1" s="1"/>
  <c r="N10" i="1"/>
  <c r="AI37" i="1" s="1"/>
  <c r="M10" i="1"/>
  <c r="AH37" i="1" s="1"/>
  <c r="L10" i="1"/>
  <c r="AG37" i="1" s="1"/>
  <c r="K10" i="1"/>
  <c r="AF37" i="1" s="1"/>
  <c r="J10" i="1"/>
  <c r="AE37" i="1" s="1"/>
  <c r="I10" i="1"/>
  <c r="AD37" i="1" s="1"/>
  <c r="H10" i="1"/>
  <c r="AC37" i="1" s="1"/>
  <c r="G10" i="1"/>
  <c r="AB37" i="1" s="1"/>
  <c r="Y9" i="1"/>
  <c r="AT36" i="1" s="1"/>
  <c r="X9" i="1"/>
  <c r="AS36" i="1" s="1"/>
  <c r="W9" i="1"/>
  <c r="AR36" i="1" s="1"/>
  <c r="V9" i="1"/>
  <c r="AQ36" i="1" s="1"/>
  <c r="U9" i="1"/>
  <c r="AP36" i="1" s="1"/>
  <c r="T9" i="1"/>
  <c r="AO36" i="1" s="1"/>
  <c r="S9" i="1"/>
  <c r="AN36" i="1" s="1"/>
  <c r="R9" i="1"/>
  <c r="AM36" i="1" s="1"/>
  <c r="Q9" i="1"/>
  <c r="AL36" i="1" s="1"/>
  <c r="P9" i="1"/>
  <c r="AK36" i="1" s="1"/>
  <c r="O9" i="1"/>
  <c r="AJ36" i="1" s="1"/>
  <c r="N9" i="1"/>
  <c r="AI36" i="1" s="1"/>
  <c r="M9" i="1"/>
  <c r="AH36" i="1" s="1"/>
  <c r="L9" i="1"/>
  <c r="AG36" i="1" s="1"/>
  <c r="K9" i="1"/>
  <c r="AF36" i="1" s="1"/>
  <c r="J9" i="1"/>
  <c r="AE36" i="1" s="1"/>
  <c r="I9" i="1"/>
  <c r="AD36" i="1" s="1"/>
  <c r="H9" i="1"/>
  <c r="AC36" i="1" s="1"/>
  <c r="G9" i="1"/>
  <c r="AB36" i="1" s="1"/>
  <c r="Y8" i="1"/>
  <c r="AT35" i="1" s="1"/>
  <c r="X8" i="1"/>
  <c r="AS35" i="1" s="1"/>
  <c r="W8" i="1"/>
  <c r="AR35" i="1" s="1"/>
  <c r="V8" i="1"/>
  <c r="AQ35" i="1" s="1"/>
  <c r="U8" i="1"/>
  <c r="AP35" i="1" s="1"/>
  <c r="T8" i="1"/>
  <c r="AO35" i="1" s="1"/>
  <c r="S8" i="1"/>
  <c r="AN35" i="1" s="1"/>
  <c r="R8" i="1"/>
  <c r="AM35" i="1" s="1"/>
  <c r="Q8" i="1"/>
  <c r="AL35" i="1" s="1"/>
  <c r="P8" i="1"/>
  <c r="AK35" i="1" s="1"/>
  <c r="O8" i="1"/>
  <c r="AJ35" i="1" s="1"/>
  <c r="N8" i="1"/>
  <c r="AI35" i="1" s="1"/>
  <c r="M8" i="1"/>
  <c r="AH35" i="1" s="1"/>
  <c r="L8" i="1"/>
  <c r="AG35" i="1" s="1"/>
  <c r="K8" i="1"/>
  <c r="AF35" i="1" s="1"/>
  <c r="J8" i="1"/>
  <c r="AE35" i="1" s="1"/>
  <c r="I8" i="1"/>
  <c r="AD35" i="1" s="1"/>
  <c r="H8" i="1"/>
  <c r="AC35" i="1" s="1"/>
  <c r="G8" i="1"/>
  <c r="AB35" i="1" s="1"/>
  <c r="AA46" i="1"/>
  <c r="AU19" i="1"/>
  <c r="AA45" i="1"/>
  <c r="AU18" i="1"/>
  <c r="AA44" i="1"/>
  <c r="AU17" i="1"/>
  <c r="AA43" i="1"/>
  <c r="AU16" i="1"/>
  <c r="AA42" i="1"/>
  <c r="AA41" i="1"/>
  <c r="AA40" i="1"/>
  <c r="AA39" i="1"/>
  <c r="AA38" i="1"/>
  <c r="AA37" i="1"/>
  <c r="AA36" i="1"/>
  <c r="AA35" i="1"/>
  <c r="AU15" i="1"/>
  <c r="AU14" i="1"/>
  <c r="AU13" i="1"/>
  <c r="AU12" i="1"/>
  <c r="AU8" i="1"/>
  <c r="AU9" i="1"/>
  <c r="AU10" i="1"/>
  <c r="AU11" i="1"/>
  <c r="AU41" i="1" l="1"/>
  <c r="AA24" i="1"/>
  <c r="AU38" i="1"/>
  <c r="AU48" i="1"/>
  <c r="AA50" i="1"/>
  <c r="AA22" i="1"/>
  <c r="AU37" i="1"/>
  <c r="AU42" i="1"/>
  <c r="AU39" i="1"/>
  <c r="AU47" i="1"/>
  <c r="AU46" i="1"/>
  <c r="AU36" i="1"/>
  <c r="AU43" i="1"/>
  <c r="AU45" i="1"/>
  <c r="AU35" i="1"/>
  <c r="AU52" i="1"/>
  <c r="AU51" i="1"/>
  <c r="AU50" i="1"/>
  <c r="AU40" i="1"/>
  <c r="AU44" i="1"/>
  <c r="AU49" i="1"/>
  <c r="AA52" i="1"/>
</calcChain>
</file>

<file path=xl/sharedStrings.xml><?xml version="1.0" encoding="utf-8"?>
<sst xmlns="http://schemas.openxmlformats.org/spreadsheetml/2006/main" count="89" uniqueCount="28">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</sst>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  <border>
      <left style="thin">
        <color rgb="FF2E398A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5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9" fontId="0" fillId="0" borderId="0" xfId="0" applyNumberFormat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9" fontId="0" fillId="0" borderId="24" xfId="1" applyFont="1" applyBorder="1"/>
    <xf numFmtId="9" fontId="0" fillId="0" borderId="25" xfId="1" applyFont="1" applyBorder="1"/>
  </cellXfs>
  <cellStyles count="3">
    <cellStyle name="Normal" xfId="0" builtinId="0"/>
    <cellStyle name="Normal 2 7" xfId="2"/>
    <cellStyle name="Percent" xfId="1" builtinId="5"/>
  </cellStyles>
  <dxfs count="3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33</xdr:row>
      <xdr:rowOff>228600</xdr:rowOff>
    </xdr:from>
    <xdr:to>
      <xdr:col>25</xdr:col>
      <xdr:colOff>114300</xdr:colOff>
      <xdr:row>40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58"/>
  <sheetViews>
    <sheetView tabSelected="1" topLeftCell="S1" workbookViewId="0">
      <selection activeCell="AU61" sqref="AU61"/>
    </sheetView>
  </sheetViews>
  <sheetFormatPr defaultRowHeight="12.75" x14ac:dyDescent="0.2"/>
  <sheetData>
    <row r="6" spans="6:50" ht="15" x14ac:dyDescent="0.25">
      <c r="F6" s="37" t="s">
        <v>26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AA6" s="39" t="s">
        <v>21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13"/>
      <c r="AT6" s="13"/>
      <c r="AU6" s="16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5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5" t="s">
        <v>12</v>
      </c>
      <c r="R7" s="1" t="s">
        <v>7</v>
      </c>
      <c r="S7" s="2" t="s">
        <v>10</v>
      </c>
      <c r="T7" s="15" t="s">
        <v>13</v>
      </c>
      <c r="U7" s="1" t="s">
        <v>11</v>
      </c>
      <c r="V7" s="15" t="s">
        <v>14</v>
      </c>
      <c r="W7" s="3" t="s">
        <v>15</v>
      </c>
      <c r="X7" s="3" t="s">
        <v>16</v>
      </c>
      <c r="Y7" s="3" t="s">
        <v>17</v>
      </c>
      <c r="AA7" s="6" t="s">
        <v>0</v>
      </c>
      <c r="AB7" s="6" t="s">
        <v>1</v>
      </c>
      <c r="AC7" s="7" t="s">
        <v>4</v>
      </c>
      <c r="AD7" s="7" t="s">
        <v>24</v>
      </c>
      <c r="AE7" s="7" t="s">
        <v>2</v>
      </c>
      <c r="AF7" s="7" t="s">
        <v>5</v>
      </c>
      <c r="AG7" s="7" t="s">
        <v>8</v>
      </c>
      <c r="AH7" s="7" t="s">
        <v>25</v>
      </c>
      <c r="AI7" s="7" t="s">
        <v>3</v>
      </c>
      <c r="AJ7" s="7" t="s">
        <v>6</v>
      </c>
      <c r="AK7" s="7" t="s">
        <v>9</v>
      </c>
      <c r="AL7" s="7" t="s">
        <v>12</v>
      </c>
      <c r="AM7" s="7" t="s">
        <v>7</v>
      </c>
      <c r="AN7" s="7" t="s">
        <v>10</v>
      </c>
      <c r="AO7" s="7" t="s">
        <v>13</v>
      </c>
      <c r="AP7" s="7" t="s">
        <v>11</v>
      </c>
      <c r="AQ7" s="7" t="s">
        <v>14</v>
      </c>
      <c r="AR7" s="7" t="s">
        <v>15</v>
      </c>
      <c r="AS7" s="6" t="s">
        <v>16</v>
      </c>
      <c r="AT7" s="7" t="s">
        <v>17</v>
      </c>
      <c r="AU7" s="17" t="s">
        <v>22</v>
      </c>
    </row>
    <row r="8" spans="6:50" x14ac:dyDescent="0.2">
      <c r="F8" s="4">
        <v>42034</v>
      </c>
      <c r="G8" s="19">
        <f>Return!G8</f>
        <v>-9.6840413947664072E-2</v>
      </c>
      <c r="H8" s="20">
        <f>Return!H8</f>
        <v>-9.0093256540080824E-2</v>
      </c>
      <c r="I8" s="21">
        <f>Return!I8</f>
        <v>0</v>
      </c>
      <c r="J8" s="22">
        <f>Return!J8</f>
        <v>-0.13830215223304443</v>
      </c>
      <c r="K8" s="23">
        <f>Return!K8</f>
        <v>-0.10746300303926781</v>
      </c>
      <c r="L8" s="20">
        <f>Return!L8</f>
        <v>-9.2784203343846294E-2</v>
      </c>
      <c r="M8" s="21">
        <f>Return!M8</f>
        <v>0</v>
      </c>
      <c r="N8" s="22">
        <f>Return!N8</f>
        <v>-0.14559069067465857</v>
      </c>
      <c r="O8" s="23">
        <f>Return!O8</f>
        <v>-9.0559158773551363E-2</v>
      </c>
      <c r="P8" s="23">
        <f>Return!P8</f>
        <v>-7.8866816442332177E-2</v>
      </c>
      <c r="Q8" s="20">
        <f>Return!Q8</f>
        <v>-6.0057989292031655E-2</v>
      </c>
      <c r="R8" s="19">
        <f>Return!R8</f>
        <v>-6.0349139373416572E-2</v>
      </c>
      <c r="S8" s="23">
        <f>Return!S8</f>
        <v>-6.1990926405687929E-2</v>
      </c>
      <c r="T8" s="20">
        <f>Return!T8</f>
        <v>-3.2292506427253342E-2</v>
      </c>
      <c r="U8" s="19">
        <f>Return!U8</f>
        <v>-5.0390065130263895E-2</v>
      </c>
      <c r="V8" s="20">
        <f>Return!V8</f>
        <v>-3.5474137500358327E-2</v>
      </c>
      <c r="W8" s="24">
        <f>Return!W8</f>
        <v>0.12225783703497628</v>
      </c>
      <c r="X8" s="24">
        <f>Return!X8</f>
        <v>9.6068945995324562E-2</v>
      </c>
      <c r="Y8" s="24">
        <f>Return!Y8</f>
        <v>7.3502496359840519E-2</v>
      </c>
      <c r="AA8" s="4">
        <f>F8</f>
        <v>42034</v>
      </c>
      <c r="AB8" s="8">
        <v>0.14670890164535905</v>
      </c>
      <c r="AC8" s="8">
        <v>0.13387539860904382</v>
      </c>
      <c r="AD8" s="8">
        <v>0</v>
      </c>
      <c r="AE8" s="8">
        <v>0.10176796643121881</v>
      </c>
      <c r="AF8" s="8">
        <v>0.16331359549886548</v>
      </c>
      <c r="AG8" s="8">
        <v>1.1157227557422704E-2</v>
      </c>
      <c r="AH8" s="8">
        <v>0</v>
      </c>
      <c r="AI8" s="8">
        <v>9.2870263381153256E-2</v>
      </c>
      <c r="AJ8" s="8">
        <v>4.3174953724827013E-2</v>
      </c>
      <c r="AK8" s="8">
        <v>4.9576037868087675E-2</v>
      </c>
      <c r="AL8" s="8">
        <v>3.4657797005626385E-2</v>
      </c>
      <c r="AM8" s="8">
        <v>4.5038885640718972E-2</v>
      </c>
      <c r="AN8" s="8">
        <v>4.2605814316459399E-2</v>
      </c>
      <c r="AO8" s="8">
        <v>6.9138470547379705E-2</v>
      </c>
      <c r="AP8" s="8">
        <v>2.2670741957401142E-2</v>
      </c>
      <c r="AQ8" s="8">
        <v>1.904207162440219E-2</v>
      </c>
      <c r="AR8" s="8">
        <v>9.7161723794014082E-3</v>
      </c>
      <c r="AS8" s="10">
        <v>5.5692771113515132E-3</v>
      </c>
      <c r="AT8" s="9">
        <v>9.1164247012814493E-3</v>
      </c>
      <c r="AU8" s="18">
        <f t="shared" ref="AU8:AU14" si="0">SUM(AB8:AT8)</f>
        <v>1</v>
      </c>
      <c r="AW8" s="4">
        <v>42004</v>
      </c>
      <c r="AX8" s="11">
        <v>-2.6017101954365164E-2</v>
      </c>
    </row>
    <row r="9" spans="6:50" x14ac:dyDescent="0.2">
      <c r="F9" s="4">
        <v>42062</v>
      </c>
      <c r="G9" s="19">
        <f>Return!G9</f>
        <v>3.928281806821543E-2</v>
      </c>
      <c r="H9" s="20">
        <f>Return!H9</f>
        <v>3.1242121896990493E-2</v>
      </c>
      <c r="I9" s="21">
        <f>Return!I9</f>
        <v>0</v>
      </c>
      <c r="J9" s="22">
        <f>Return!J9</f>
        <v>8.5544343085431018E-2</v>
      </c>
      <c r="K9" s="23">
        <f>Return!K9</f>
        <v>5.0998415441669165E-2</v>
      </c>
      <c r="L9" s="20">
        <f>Return!L9</f>
        <v>5.5046249263051905E-2</v>
      </c>
      <c r="M9" s="21">
        <f>Return!M9</f>
        <v>0</v>
      </c>
      <c r="N9" s="22">
        <f>Return!N9</f>
        <v>0.11504396579052312</v>
      </c>
      <c r="O9" s="23">
        <f>Return!O9</f>
        <v>6.5138077561740726E-2</v>
      </c>
      <c r="P9" s="23">
        <f>Return!P9</f>
        <v>5.4289246694915194E-2</v>
      </c>
      <c r="Q9" s="20">
        <f>Return!Q9</f>
        <v>5.8145201207135733E-2</v>
      </c>
      <c r="R9" s="19">
        <f>Return!R9</f>
        <v>4.3256608217479897E-2</v>
      </c>
      <c r="S9" s="23">
        <f>Return!S9</f>
        <v>5.4231314886770576E-2</v>
      </c>
      <c r="T9" s="20">
        <f>Return!T9</f>
        <v>3.9976272531224488E-2</v>
      </c>
      <c r="U9" s="19">
        <f>Return!U9</f>
        <v>5.2415126543249979E-2</v>
      </c>
      <c r="V9" s="20">
        <f>Return!V9</f>
        <v>5.336348848702599E-2</v>
      </c>
      <c r="W9" s="24">
        <f>Return!W9</f>
        <v>-3.6105647345200387E-3</v>
      </c>
      <c r="X9" s="24">
        <f>Return!X9</f>
        <v>1.7040138297334861E-2</v>
      </c>
      <c r="Y9" s="24">
        <f>Return!Y9</f>
        <v>2.7065614104787805E-2</v>
      </c>
      <c r="AA9" s="4">
        <f t="shared" ref="AA9:AA20" si="1">F9</f>
        <v>42062</v>
      </c>
      <c r="AB9" s="8">
        <v>0.14765300138789611</v>
      </c>
      <c r="AC9" s="8">
        <v>0.13465479303821315</v>
      </c>
      <c r="AD9" s="8">
        <v>0</v>
      </c>
      <c r="AE9" s="8">
        <v>0.10210331227661668</v>
      </c>
      <c r="AF9" s="8">
        <v>0.16389333124786321</v>
      </c>
      <c r="AG9" s="8">
        <v>1.1178398674028554E-2</v>
      </c>
      <c r="AH9" s="8">
        <v>0</v>
      </c>
      <c r="AI9" s="8">
        <v>9.2170980954587881E-2</v>
      </c>
      <c r="AJ9" s="8">
        <v>4.3127725167335165E-2</v>
      </c>
      <c r="AK9" s="8">
        <v>4.9492497071774243E-2</v>
      </c>
      <c r="AL9" s="8">
        <v>3.4505449139575317E-2</v>
      </c>
      <c r="AM9" s="8">
        <v>4.4865756501597839E-2</v>
      </c>
      <c r="AN9" s="8">
        <v>4.2362048893898059E-2</v>
      </c>
      <c r="AO9" s="8">
        <v>6.8507644664020623E-2</v>
      </c>
      <c r="AP9" s="8">
        <v>2.2522097806140357E-2</v>
      </c>
      <c r="AQ9" s="8">
        <v>1.8883043028851645E-2</v>
      </c>
      <c r="AR9" s="8">
        <v>9.5794762307597307E-3</v>
      </c>
      <c r="AS9" s="10">
        <v>5.4880753604206883E-3</v>
      </c>
      <c r="AT9" s="9">
        <v>9.0123685564205257E-3</v>
      </c>
      <c r="AU9" s="18">
        <f t="shared" si="0"/>
        <v>0.99999999999999989</v>
      </c>
      <c r="AW9" s="4">
        <v>42034</v>
      </c>
      <c r="AX9" s="11">
        <v>-0.18730149031261209</v>
      </c>
    </row>
    <row r="10" spans="6:50" x14ac:dyDescent="0.2">
      <c r="F10" s="4">
        <v>42094</v>
      </c>
      <c r="G10" s="19">
        <f>Return!G10</f>
        <v>5.9426185057012137E-3</v>
      </c>
      <c r="H10" s="20">
        <f>Return!H10</f>
        <v>7.7451797016763191E-3</v>
      </c>
      <c r="I10" s="21">
        <f>Return!I10</f>
        <v>0</v>
      </c>
      <c r="J10" s="22">
        <f>Return!J10</f>
        <v>-3.3134844012860931E-3</v>
      </c>
      <c r="K10" s="23">
        <f>Return!K10</f>
        <v>9.4202890288208607E-3</v>
      </c>
      <c r="L10" s="20">
        <f>Return!L10</f>
        <v>1.723869098869768E-2</v>
      </c>
      <c r="M10" s="21">
        <f>Return!M10</f>
        <v>0</v>
      </c>
      <c r="N10" s="22">
        <f>Return!N10</f>
        <v>-1.2040328519267618E-2</v>
      </c>
      <c r="O10" s="23">
        <f>Return!O10</f>
        <v>1.2096852123677504E-2</v>
      </c>
      <c r="P10" s="23">
        <f>Return!P10</f>
        <v>1.3941854352311323E-2</v>
      </c>
      <c r="Q10" s="20">
        <f>Return!Q10</f>
        <v>1.6145595401094281E-2</v>
      </c>
      <c r="R10" s="19">
        <f>Return!R10</f>
        <v>2.8307089656114393E-2</v>
      </c>
      <c r="S10" s="23">
        <f>Return!S10</f>
        <v>2.089895748022208E-2</v>
      </c>
      <c r="T10" s="20">
        <f>Return!T10</f>
        <v>2.7526683498166671E-2</v>
      </c>
      <c r="U10" s="19">
        <f>Return!U10</f>
        <v>2.5796197962302259E-2</v>
      </c>
      <c r="V10" s="20">
        <f>Return!V10</f>
        <v>3.3411903484052319E-2</v>
      </c>
      <c r="W10" s="24">
        <f>Return!W10</f>
        <v>0.11230271111344159</v>
      </c>
      <c r="X10" s="24">
        <f>Return!X10</f>
        <v>0.12139542021673866</v>
      </c>
      <c r="Y10" s="24">
        <f>Return!Y10</f>
        <v>9.5701018047124498E-2</v>
      </c>
      <c r="AA10" s="4">
        <f t="shared" si="1"/>
        <v>42094</v>
      </c>
      <c r="AB10" s="8">
        <v>0.14849147719438979</v>
      </c>
      <c r="AC10" s="8">
        <v>0.13534429867598252</v>
      </c>
      <c r="AD10" s="8">
        <v>0</v>
      </c>
      <c r="AE10" s="8">
        <v>0.10231680856778139</v>
      </c>
      <c r="AF10" s="8">
        <v>0.16435025148929802</v>
      </c>
      <c r="AG10" s="8">
        <v>1.1190123896183631E-2</v>
      </c>
      <c r="AH10" s="8">
        <v>0</v>
      </c>
      <c r="AI10" s="8">
        <v>9.1594999004167704E-2</v>
      </c>
      <c r="AJ10" s="8">
        <v>4.3110237378890574E-2</v>
      </c>
      <c r="AK10" s="8">
        <v>4.941511705460231E-2</v>
      </c>
      <c r="AL10" s="8">
        <v>3.4341268049355403E-2</v>
      </c>
      <c r="AM10" s="8">
        <v>4.471408094724743E-2</v>
      </c>
      <c r="AN10" s="8">
        <v>4.2190047704452734E-2</v>
      </c>
      <c r="AO10" s="8">
        <v>6.7955840712340135E-2</v>
      </c>
      <c r="AP10" s="8">
        <v>2.2388693851551959E-2</v>
      </c>
      <c r="AQ10" s="8">
        <v>1.8764085212724445E-2</v>
      </c>
      <c r="AR10" s="8">
        <v>9.4829008574130527E-3</v>
      </c>
      <c r="AS10" s="10">
        <v>5.4262526405433192E-3</v>
      </c>
      <c r="AT10" s="9">
        <v>8.9235167630754685E-3</v>
      </c>
      <c r="AU10" s="18">
        <f t="shared" si="0"/>
        <v>1</v>
      </c>
      <c r="AW10" s="5">
        <v>42062</v>
      </c>
      <c r="AX10" s="12">
        <v>0.16728926046005554</v>
      </c>
    </row>
    <row r="11" spans="6:50" x14ac:dyDescent="0.2">
      <c r="F11" s="4">
        <v>42124</v>
      </c>
      <c r="G11" s="19">
        <f>Return!G11</f>
        <v>-7.540183001958134E-3</v>
      </c>
      <c r="H11" s="20">
        <f>Return!H11</f>
        <v>-1.1105228244521204E-2</v>
      </c>
      <c r="I11" s="21">
        <f>Return!I11</f>
        <v>4.1294602339631448E-2</v>
      </c>
      <c r="J11" s="22">
        <f>Return!J11</f>
        <v>1.2523491795557895E-2</v>
      </c>
      <c r="K11" s="23">
        <f>Return!K11</f>
        <v>8.6805399297538166E-3</v>
      </c>
      <c r="L11" s="20">
        <f>Return!L11</f>
        <v>7.7663309369837563E-3</v>
      </c>
      <c r="M11" s="21">
        <f>Return!M11</f>
        <v>3.1926730464906239E-2</v>
      </c>
      <c r="N11" s="22">
        <f>Return!N11</f>
        <v>2.8181833727360717E-2</v>
      </c>
      <c r="O11" s="23">
        <f>Return!O11</f>
        <v>1.7261255291637356E-2</v>
      </c>
      <c r="P11" s="23">
        <f>Return!P11</f>
        <v>1.2170888289470216E-2</v>
      </c>
      <c r="Q11" s="20">
        <f>Return!Q11</f>
        <v>1.2327425089804445E-2</v>
      </c>
      <c r="R11" s="19">
        <f>Return!R11</f>
        <v>1.1220102739324167E-2</v>
      </c>
      <c r="S11" s="23">
        <f>Return!S11</f>
        <v>1.0255825538023178E-2</v>
      </c>
      <c r="T11" s="20">
        <f>Return!T11</f>
        <v>1.0101986378834305E-2</v>
      </c>
      <c r="U11" s="19">
        <f>Return!U11</f>
        <v>1.6297582917810027E-2</v>
      </c>
      <c r="V11" s="20">
        <f>Return!V11</f>
        <v>1.5490903217534768E-2</v>
      </c>
      <c r="W11" s="24">
        <f>Return!W11</f>
        <v>1.3747274145893273E-2</v>
      </c>
      <c r="X11" s="24">
        <f>Return!X11</f>
        <v>1.4234764381181986E-2</v>
      </c>
      <c r="Y11" s="24">
        <f>Return!Y11</f>
        <v>1.4911380443309197E-2</v>
      </c>
      <c r="AA11" s="4">
        <f t="shared" si="1"/>
        <v>42124</v>
      </c>
      <c r="AB11" s="8">
        <v>0.12423967004372546</v>
      </c>
      <c r="AC11" s="8">
        <v>0.11316001630691598</v>
      </c>
      <c r="AD11" s="8">
        <v>6.5143517209148599E-2</v>
      </c>
      <c r="AE11" s="8">
        <v>8.4910022679681563E-2</v>
      </c>
      <c r="AF11" s="8">
        <v>0.13692327077991975</v>
      </c>
      <c r="AG11" s="8">
        <v>9.2723001209775915E-3</v>
      </c>
      <c r="AH11" s="8">
        <v>0.10517164724884258</v>
      </c>
      <c r="AI11" s="8">
        <v>7.4925705602512882E-2</v>
      </c>
      <c r="AJ11" s="8">
        <v>3.5687713735777303E-2</v>
      </c>
      <c r="AK11" s="8">
        <v>4.0903895204925315E-2</v>
      </c>
      <c r="AL11" s="8">
        <v>2.8249892975335929E-2</v>
      </c>
      <c r="AM11" s="8">
        <v>3.7025462425879743E-2</v>
      </c>
      <c r="AN11" s="8">
        <v>3.4861126044954685E-2</v>
      </c>
      <c r="AO11" s="8">
        <v>5.5879071435835884E-2</v>
      </c>
      <c r="AP11" s="8">
        <v>1.8510317224239486E-2</v>
      </c>
      <c r="AQ11" s="8">
        <v>1.5493010645864627E-2</v>
      </c>
      <c r="AR11" s="8">
        <v>7.8094838058474668E-3</v>
      </c>
      <c r="AS11" s="10">
        <v>4.4720981386912016E-3</v>
      </c>
      <c r="AT11" s="9">
        <v>7.3617783709241146E-3</v>
      </c>
      <c r="AU11" s="18">
        <f t="shared" si="0"/>
        <v>1.0000000000000002</v>
      </c>
    </row>
    <row r="12" spans="6:50" x14ac:dyDescent="0.2">
      <c r="F12" s="4">
        <v>42153</v>
      </c>
      <c r="G12" s="19">
        <f>Return!G12</f>
        <v>-2.9440724778078686E-2</v>
      </c>
      <c r="H12" s="20">
        <f>Return!H12</f>
        <v>-3.8613281655498488E-2</v>
      </c>
      <c r="I12" s="21">
        <f>Return!I12</f>
        <v>-1.62355352366228E-3</v>
      </c>
      <c r="J12" s="22">
        <f>Return!J12</f>
        <v>-8.4007074597047815E-3</v>
      </c>
      <c r="K12" s="23">
        <f>Return!K12</f>
        <v>-2.6115436213541843E-2</v>
      </c>
      <c r="L12" s="20">
        <f>Return!L12</f>
        <v>-2.9535213930614979E-2</v>
      </c>
      <c r="M12" s="21">
        <f>Return!M12</f>
        <v>1.8283823238883778E-2</v>
      </c>
      <c r="N12" s="22">
        <f>Return!N12</f>
        <v>5.1072162456320402E-3</v>
      </c>
      <c r="O12" s="23">
        <f>Return!O12</f>
        <v>-8.7522121002009401E-3</v>
      </c>
      <c r="P12" s="23">
        <f>Return!P12</f>
        <v>-1.3149057931546415E-2</v>
      </c>
      <c r="Q12" s="20">
        <f>Return!Q12</f>
        <v>-1.8875449777250308E-2</v>
      </c>
      <c r="R12" s="19">
        <f>Return!R12</f>
        <v>-2.0973955288738466E-2</v>
      </c>
      <c r="S12" s="23">
        <f>Return!S12</f>
        <v>-2.5298899173768041E-2</v>
      </c>
      <c r="T12" s="20">
        <f>Return!T12</f>
        <v>-2.8695720009287107E-2</v>
      </c>
      <c r="U12" s="19">
        <f>Return!U12</f>
        <v>-1.4154088955046995E-2</v>
      </c>
      <c r="V12" s="20">
        <f>Return!V12</f>
        <v>-1.6937137357181609E-2</v>
      </c>
      <c r="W12" s="24">
        <f>Return!W12</f>
        <v>-7.0632448668296322E-2</v>
      </c>
      <c r="X12" s="24">
        <f>Return!X12</f>
        <v>-4.8356945846582455E-2</v>
      </c>
      <c r="Y12" s="24">
        <f>Return!Y12</f>
        <v>-3.0653927020142357E-2</v>
      </c>
      <c r="AA12" s="4">
        <f t="shared" si="1"/>
        <v>42153</v>
      </c>
      <c r="AB12" s="8">
        <v>0.12572491183004667</v>
      </c>
      <c r="AC12" s="8">
        <v>0.11440386919361005</v>
      </c>
      <c r="AD12" s="8">
        <v>6.4891298339873657E-2</v>
      </c>
      <c r="AE12" s="8">
        <v>8.5184799173795886E-2</v>
      </c>
      <c r="AF12" s="8">
        <v>0.1377283178106411</v>
      </c>
      <c r="AG12" s="8">
        <v>9.272641462637397E-3</v>
      </c>
      <c r="AH12" s="8">
        <v>0.10452850728536318</v>
      </c>
      <c r="AI12" s="8">
        <v>7.3838406706078413E-2</v>
      </c>
      <c r="AJ12" s="8">
        <v>3.5574653632068846E-2</v>
      </c>
      <c r="AK12" s="8">
        <v>4.0704535641732431E-2</v>
      </c>
      <c r="AL12" s="8">
        <v>2.7979729790905572E-2</v>
      </c>
      <c r="AM12" s="8">
        <v>3.6917105301770357E-2</v>
      </c>
      <c r="AN12" s="8">
        <v>3.4665703769060301E-2</v>
      </c>
      <c r="AO12" s="8">
        <v>5.524185389508484E-2</v>
      </c>
      <c r="AP12" s="8">
        <v>1.8443405119516837E-2</v>
      </c>
      <c r="AQ12" s="8">
        <v>1.5403646528916876E-2</v>
      </c>
      <c r="AR12" s="8">
        <v>7.7284876599839685E-3</v>
      </c>
      <c r="AS12" s="10">
        <v>4.4400971422172723E-3</v>
      </c>
      <c r="AT12" s="9">
        <v>7.3280297166961007E-3</v>
      </c>
      <c r="AU12" s="18">
        <f t="shared" si="0"/>
        <v>1</v>
      </c>
    </row>
    <row r="13" spans="6:50" x14ac:dyDescent="0.2">
      <c r="F13" s="4">
        <v>42185</v>
      </c>
      <c r="G13" s="19">
        <f>Return!G13</f>
        <v>-3.2015573200899206E-2</v>
      </c>
      <c r="H13" s="20">
        <f>Return!H13</f>
        <v>-3.5059547657207313E-2</v>
      </c>
      <c r="I13" s="21">
        <f>Return!I13</f>
        <v>-1.3436209698385548E-2</v>
      </c>
      <c r="J13" s="22">
        <f>Return!J13</f>
        <v>-1.6739410488815221E-3</v>
      </c>
      <c r="K13" s="23">
        <f>Return!K13</f>
        <v>-8.1638584034930961E-3</v>
      </c>
      <c r="L13" s="20">
        <f>Return!L13</f>
        <v>-1.3393839887920311E-2</v>
      </c>
      <c r="M13" s="21">
        <f>Return!M13</f>
        <v>2.3821589833388446E-2</v>
      </c>
      <c r="N13" s="22">
        <f>Return!N13</f>
        <v>3.7628722083344446E-2</v>
      </c>
      <c r="O13" s="23">
        <f>Return!O13</f>
        <v>7.1549359549587521E-3</v>
      </c>
      <c r="P13" s="23">
        <f>Return!P13</f>
        <v>-2.4404507804165476E-3</v>
      </c>
      <c r="Q13" s="20">
        <f>Return!Q13</f>
        <v>-9.2152821914660565E-3</v>
      </c>
      <c r="R13" s="19">
        <f>Return!R13</f>
        <v>1.552596293573405E-3</v>
      </c>
      <c r="S13" s="23">
        <f>Return!S13</f>
        <v>-2.0594562870039912E-3</v>
      </c>
      <c r="T13" s="20">
        <f>Return!T13</f>
        <v>-1.2569121621514356E-2</v>
      </c>
      <c r="U13" s="19">
        <f>Return!U13</f>
        <v>-3.3993866412103113E-3</v>
      </c>
      <c r="V13" s="20">
        <f>Return!V13</f>
        <v>-7.726354826881221E-3</v>
      </c>
      <c r="W13" s="24">
        <f>Return!W13</f>
        <v>-3.8639459476579097E-2</v>
      </c>
      <c r="X13" s="24">
        <f>Return!X13</f>
        <v>-2.5790919488147823E-2</v>
      </c>
      <c r="Y13" s="24">
        <f>Return!Y13</f>
        <v>-1.0738156094344586E-2</v>
      </c>
      <c r="AA13" s="4">
        <f t="shared" si="1"/>
        <v>42185</v>
      </c>
      <c r="AB13" s="8">
        <v>0.12678694847507815</v>
      </c>
      <c r="AC13" s="8">
        <v>0.11532293978569148</v>
      </c>
      <c r="AD13" s="8">
        <v>6.4927038325208838E-2</v>
      </c>
      <c r="AE13" s="8">
        <v>8.549981114277419E-2</v>
      </c>
      <c r="AF13" s="8">
        <v>0.13825038667561199</v>
      </c>
      <c r="AG13" s="8">
        <v>9.2660239226226102E-3</v>
      </c>
      <c r="AH13" s="8">
        <v>0.10430482105236114</v>
      </c>
      <c r="AI13" s="8">
        <v>7.3277878791164847E-2</v>
      </c>
      <c r="AJ13" s="8">
        <v>3.5456812858727919E-2</v>
      </c>
      <c r="AK13" s="8">
        <v>4.0529201240159372E-2</v>
      </c>
      <c r="AL13" s="8">
        <v>2.7703885387778432E-2</v>
      </c>
      <c r="AM13" s="8">
        <v>3.6717725722253042E-2</v>
      </c>
      <c r="AN13" s="8">
        <v>3.4408628300698435E-2</v>
      </c>
      <c r="AO13" s="8">
        <v>5.461821239919272E-2</v>
      </c>
      <c r="AP13" s="8">
        <v>1.8320710047900882E-2</v>
      </c>
      <c r="AQ13" s="8">
        <v>1.5284584940538429E-2</v>
      </c>
      <c r="AR13" s="8">
        <v>7.6473587796823065E-3</v>
      </c>
      <c r="AS13" s="10">
        <v>4.3982431571721534E-3</v>
      </c>
      <c r="AT13" s="9">
        <v>7.2787889953831687E-3</v>
      </c>
      <c r="AU13" s="18">
        <f t="shared" si="0"/>
        <v>1.0000000000000002</v>
      </c>
    </row>
    <row r="14" spans="6:50" x14ac:dyDescent="0.2">
      <c r="F14" s="4">
        <v>42216</v>
      </c>
      <c r="G14" s="19">
        <f>Return!G14</f>
        <v>1.4952540141882631E-2</v>
      </c>
      <c r="H14" s="20">
        <f>Return!H14</f>
        <v>9.9166098926959378E-3</v>
      </c>
      <c r="I14" s="21">
        <f>Return!I14</f>
        <v>1.8128039790966888E-2</v>
      </c>
      <c r="J14" s="22">
        <f>Return!J14</f>
        <v>1.2310288365746436E-2</v>
      </c>
      <c r="K14" s="23">
        <f>Return!K14</f>
        <v>5.295323740380109E-3</v>
      </c>
      <c r="L14" s="20">
        <f>Return!L14</f>
        <v>7.2184912408310709E-3</v>
      </c>
      <c r="M14" s="21">
        <f>Return!M14</f>
        <v>1.3688786134454567E-2</v>
      </c>
      <c r="N14" s="22">
        <f>Return!N14</f>
        <v>1.082028561913817E-2</v>
      </c>
      <c r="O14" s="23">
        <f>Return!O14</f>
        <v>9.8767849250247508E-4</v>
      </c>
      <c r="P14" s="23">
        <f>Return!P14</f>
        <v>8.0059530985840954E-3</v>
      </c>
      <c r="Q14" s="20">
        <f>Return!Q14</f>
        <v>1.3525007337377382E-2</v>
      </c>
      <c r="R14" s="19">
        <f>Return!R14</f>
        <v>1.1102179070472395E-2</v>
      </c>
      <c r="S14" s="23">
        <f>Return!S14</f>
        <v>1.3118824508465465E-2</v>
      </c>
      <c r="T14" s="20">
        <f>Return!T14</f>
        <v>1.6284034490214649E-2</v>
      </c>
      <c r="U14" s="19">
        <f>Return!U14</f>
        <v>1.3538547946301938E-2</v>
      </c>
      <c r="V14" s="20">
        <f>Return!V14</f>
        <v>1.6378520428949939E-2</v>
      </c>
      <c r="W14" s="24">
        <f>Return!W14</f>
        <v>2.1331063184118815E-2</v>
      </c>
      <c r="X14" s="24">
        <f>Return!X14</f>
        <v>3.747114299807186E-2</v>
      </c>
      <c r="Y14" s="24">
        <f>Return!Y14</f>
        <v>2.9785562259158516E-2</v>
      </c>
      <c r="AA14" s="4">
        <f t="shared" si="1"/>
        <v>42216</v>
      </c>
      <c r="AB14" s="8">
        <v>0.12772296355411036</v>
      </c>
      <c r="AC14" s="8">
        <v>0.11613134004372618</v>
      </c>
      <c r="AD14" s="8">
        <v>6.4959657991938938E-2</v>
      </c>
      <c r="AE14" s="8">
        <v>8.5765655829751875E-2</v>
      </c>
      <c r="AF14" s="8">
        <v>0.13866824491695928</v>
      </c>
      <c r="AG14" s="8">
        <v>9.260606867002032E-3</v>
      </c>
      <c r="AH14" s="8">
        <v>0.10418187790996211</v>
      </c>
      <c r="AI14" s="8">
        <v>7.2856604903382763E-2</v>
      </c>
      <c r="AJ14" s="8">
        <v>3.5344315500946751E-2</v>
      </c>
      <c r="AK14" s="8">
        <v>4.0369113159587099E-2</v>
      </c>
      <c r="AL14" s="8">
        <v>2.7459823549445976E-2</v>
      </c>
      <c r="AM14" s="8">
        <v>3.6558359144112991E-2</v>
      </c>
      <c r="AN14" s="8">
        <v>3.4177568846607546E-2</v>
      </c>
      <c r="AO14" s="8">
        <v>5.4036209391434206E-2</v>
      </c>
      <c r="AP14" s="8">
        <v>1.8193764857429778E-2</v>
      </c>
      <c r="AQ14" s="8">
        <v>1.5148786629767949E-2</v>
      </c>
      <c r="AR14" s="8">
        <v>7.5678070704385484E-3</v>
      </c>
      <c r="AS14" s="10">
        <v>4.3576778169520554E-3</v>
      </c>
      <c r="AT14" s="9">
        <v>7.2396220164435811E-3</v>
      </c>
      <c r="AU14" s="18">
        <f t="shared" si="0"/>
        <v>1</v>
      </c>
    </row>
    <row r="15" spans="6:50" x14ac:dyDescent="0.2">
      <c r="F15" s="4">
        <v>42247</v>
      </c>
      <c r="G15" s="19">
        <f>Return!G15</f>
        <v>-1.0256915757213214E-2</v>
      </c>
      <c r="H15" s="20">
        <f>Return!H15</f>
        <v>-1.2140415923491465E-2</v>
      </c>
      <c r="I15" s="21">
        <f>Return!I15</f>
        <v>-1.2437653763168521E-2</v>
      </c>
      <c r="J15" s="22">
        <f>Return!J15</f>
        <v>-2.0659258363948108E-2</v>
      </c>
      <c r="K15" s="23">
        <f>Return!K15</f>
        <v>-1.8220354217621137E-2</v>
      </c>
      <c r="L15" s="20">
        <f>Return!L15</f>
        <v>-2.3115254349119096E-2</v>
      </c>
      <c r="M15" s="21">
        <f>Return!M15</f>
        <v>-1.2588742438462086E-2</v>
      </c>
      <c r="N15" s="22">
        <f>Return!N15</f>
        <v>-2.301012759895682E-2</v>
      </c>
      <c r="O15" s="23">
        <f>Return!O15</f>
        <v>-1.8062247642216089E-2</v>
      </c>
      <c r="P15" s="23">
        <f>Return!P15</f>
        <v>-1.8275591999702523E-2</v>
      </c>
      <c r="Q15" s="20">
        <f>Return!Q15</f>
        <v>-1.9122930244307002E-2</v>
      </c>
      <c r="R15" s="19">
        <f>Return!R15</f>
        <v>-1.1065574099375586E-2</v>
      </c>
      <c r="S15" s="23">
        <f>Return!S15</f>
        <v>-1.0371733832983288E-2</v>
      </c>
      <c r="T15" s="20">
        <f>Return!T15</f>
        <v>-1.5609680887360478E-2</v>
      </c>
      <c r="U15" s="19">
        <f>Return!U15</f>
        <v>-1.0279805783012352E-2</v>
      </c>
      <c r="V15" s="20">
        <f>Return!V15</f>
        <v>-8.8550619766889493E-3</v>
      </c>
      <c r="W15" s="24">
        <f>Return!W15</f>
        <v>-2.7510533679380278E-2</v>
      </c>
      <c r="X15" s="24">
        <f>Return!X15</f>
        <v>-3.5459048728216591E-2</v>
      </c>
      <c r="Y15" s="24">
        <f>Return!Y15</f>
        <v>-9.1859996121019805E-3</v>
      </c>
      <c r="AA15" s="4">
        <f t="shared" si="1"/>
        <v>42247</v>
      </c>
      <c r="AB15" s="8">
        <v>0.12772296355411036</v>
      </c>
      <c r="AC15" s="8">
        <v>0.11613134004372618</v>
      </c>
      <c r="AD15" s="8">
        <v>6.4959657991938938E-2</v>
      </c>
      <c r="AE15" s="8">
        <v>8.5765655829751875E-2</v>
      </c>
      <c r="AF15" s="8">
        <v>0.13866824491695928</v>
      </c>
      <c r="AG15" s="8">
        <v>9.260606867002032E-3</v>
      </c>
      <c r="AH15" s="8">
        <v>0.10418187790996211</v>
      </c>
      <c r="AI15" s="8">
        <v>7.2856604903382763E-2</v>
      </c>
      <c r="AJ15" s="8">
        <v>3.5344315500946751E-2</v>
      </c>
      <c r="AK15" s="8">
        <v>4.0369113159587099E-2</v>
      </c>
      <c r="AL15" s="8">
        <v>2.7459823549445976E-2</v>
      </c>
      <c r="AM15" s="8">
        <v>3.6558359144112991E-2</v>
      </c>
      <c r="AN15" s="8">
        <v>3.4177568846607546E-2</v>
      </c>
      <c r="AO15" s="8">
        <v>5.4036209391434206E-2</v>
      </c>
      <c r="AP15" s="8">
        <v>1.8193764857429778E-2</v>
      </c>
      <c r="AQ15" s="8">
        <v>1.5148786629767949E-2</v>
      </c>
      <c r="AR15" s="8">
        <v>7.5678070704385484E-3</v>
      </c>
      <c r="AS15" s="10">
        <v>4.3576778169520554E-3</v>
      </c>
      <c r="AT15" s="9">
        <v>7.2396220164435811E-3</v>
      </c>
      <c r="AU15" s="18">
        <f t="shared" ref="AU15" si="2">SUM(AB15:AT15)</f>
        <v>1</v>
      </c>
    </row>
    <row r="16" spans="6:50" x14ac:dyDescent="0.2">
      <c r="F16" s="4">
        <v>42277</v>
      </c>
      <c r="G16" s="19">
        <f>Return!G16</f>
        <v>-6.0420064904191939E-3</v>
      </c>
      <c r="H16" s="20">
        <f>Return!H16</f>
        <v>-5.6996904944218718E-3</v>
      </c>
      <c r="I16" s="21">
        <f>Return!I16</f>
        <v>-4.8283168441657365E-3</v>
      </c>
      <c r="J16" s="22">
        <f>Return!J16</f>
        <v>-1.2285527107601224E-2</v>
      </c>
      <c r="K16" s="23">
        <f>Return!K16</f>
        <v>-1.504735837799509E-2</v>
      </c>
      <c r="L16" s="20">
        <f>Return!L16</f>
        <v>-1.694790925168721E-2</v>
      </c>
      <c r="M16" s="21">
        <f>Return!M16</f>
        <v>-1.3963201888800847E-2</v>
      </c>
      <c r="N16" s="22">
        <f>Return!N16</f>
        <v>-1.7782365906371278E-2</v>
      </c>
      <c r="O16" s="23">
        <f>Return!O16</f>
        <v>-2.2698810470704434E-2</v>
      </c>
      <c r="P16" s="23">
        <f>Return!P16</f>
        <v>-2.1623672786753922E-2</v>
      </c>
      <c r="Q16" s="20">
        <f>Return!Q16</f>
        <v>-2.3565554085317686E-2</v>
      </c>
      <c r="R16" s="19">
        <f>Return!R16</f>
        <v>-3.1546882031960433E-2</v>
      </c>
      <c r="S16" s="23">
        <f>Return!S16</f>
        <v>-3.3688149075367546E-2</v>
      </c>
      <c r="T16" s="20">
        <f>Return!T16</f>
        <v>-3.4196955846788279E-2</v>
      </c>
      <c r="U16" s="19">
        <f>Return!U16</f>
        <v>-3.9706862274443755E-2</v>
      </c>
      <c r="V16" s="20">
        <f>Return!V16</f>
        <v>-4.1666015098840603E-2</v>
      </c>
      <c r="W16" s="24">
        <f>Return!W16</f>
        <v>-4.9474000990328282E-3</v>
      </c>
      <c r="X16" s="24">
        <f>Return!X16</f>
        <v>-3.8649649204317571E-2</v>
      </c>
      <c r="Y16" s="24">
        <f>Return!Y16</f>
        <v>-1.9853723152474023E-2</v>
      </c>
      <c r="AA16" s="4">
        <f t="shared" si="1"/>
        <v>42277</v>
      </c>
      <c r="AB16" s="8">
        <v>0.129196283</v>
      </c>
      <c r="AC16" s="8">
        <v>0.11738741499999999</v>
      </c>
      <c r="AD16" s="8">
        <v>6.5560708999999995E-2</v>
      </c>
      <c r="AE16" s="8">
        <v>8.6272953999999999E-2</v>
      </c>
      <c r="AF16" s="8">
        <v>0.13920199699999999</v>
      </c>
      <c r="AG16" s="8">
        <v>9.2558369999999994E-3</v>
      </c>
      <c r="AH16" s="8">
        <v>0.104319962</v>
      </c>
      <c r="AI16" s="8">
        <v>7.2339113999999996E-2</v>
      </c>
      <c r="AJ16" s="8">
        <v>3.5101491999999998E-2</v>
      </c>
      <c r="AK16" s="8">
        <v>4.0034355000000001E-2</v>
      </c>
      <c r="AL16" s="8">
        <v>2.7077081999999999E-2</v>
      </c>
      <c r="AM16" s="8">
        <v>3.6168605999999999E-2</v>
      </c>
      <c r="AN16" s="8">
        <v>3.3640209999999997E-2</v>
      </c>
      <c r="AO16" s="8">
        <v>5.2933918000000003E-2</v>
      </c>
      <c r="AP16" s="8">
        <v>1.7877469999999999E-2</v>
      </c>
      <c r="AQ16" s="8">
        <v>1.4877036999999999E-2</v>
      </c>
      <c r="AR16" s="8">
        <v>7.3584870000000004E-3</v>
      </c>
      <c r="AS16" s="10">
        <v>4.2631079999999998E-3</v>
      </c>
      <c r="AT16" s="9">
        <v>7.1339649999999999E-3</v>
      </c>
      <c r="AU16" s="18">
        <f t="shared" ref="AU16:AU22" si="3">SUM(AB16:AT16)</f>
        <v>1.0000000010000001</v>
      </c>
    </row>
    <row r="17" spans="6:47" x14ac:dyDescent="0.2">
      <c r="F17" s="4">
        <v>42307</v>
      </c>
      <c r="G17" s="19">
        <f>Return!G17</f>
        <v>-7.6464740623716221E-4</v>
      </c>
      <c r="H17" s="20">
        <f>Return!H17</f>
        <v>2.2550208680360839E-3</v>
      </c>
      <c r="I17" s="21">
        <f>Return!I17</f>
        <v>-8.7207325495166632E-3</v>
      </c>
      <c r="J17" s="22">
        <f>Return!J17</f>
        <v>-1.0009566891114763E-2</v>
      </c>
      <c r="K17" s="23">
        <f>Return!K17</f>
        <v>-3.9820857287000688E-3</v>
      </c>
      <c r="L17" s="20">
        <f>Return!L17</f>
        <v>-1.2184643704518106E-3</v>
      </c>
      <c r="M17" s="21">
        <f>Return!M17</f>
        <v>-2.8413887691816075E-3</v>
      </c>
      <c r="N17" s="22">
        <f>Return!N17</f>
        <v>-5.6588622851860837E-4</v>
      </c>
      <c r="O17" s="23">
        <f>Return!O17</f>
        <v>1.4980853731234589E-3</v>
      </c>
      <c r="P17" s="23">
        <f>Return!P17</f>
        <v>2.1584683377100511E-3</v>
      </c>
      <c r="Q17" s="20">
        <f>Return!Q17</f>
        <v>4.1463372092342965E-3</v>
      </c>
      <c r="R17" s="19">
        <f>Return!R17</f>
        <v>-1.4800359723865508E-4</v>
      </c>
      <c r="S17" s="23">
        <f>Return!S17</f>
        <v>2.4206915868318912E-3</v>
      </c>
      <c r="T17" s="20">
        <f>Return!T17</f>
        <v>4.052322068156089E-3</v>
      </c>
      <c r="U17" s="19">
        <f>Return!U17</f>
        <v>6.6577432738412767E-4</v>
      </c>
      <c r="V17" s="20">
        <f>Return!V17</f>
        <v>1.9362960859425904E-4</v>
      </c>
      <c r="W17" s="24">
        <f>Return!W17</f>
        <v>2.2042625670194438E-2</v>
      </c>
      <c r="X17" s="24">
        <f>Return!X17</f>
        <v>1.4467860616570682E-2</v>
      </c>
      <c r="Y17" s="24">
        <f>Return!Y17</f>
        <v>1.3228227156523831E-2</v>
      </c>
      <c r="AA17" s="4">
        <f t="shared" si="1"/>
        <v>42307</v>
      </c>
      <c r="AB17" s="18">
        <v>0.12976280537943766</v>
      </c>
      <c r="AC17" s="18">
        <v>0.11786500448490561</v>
      </c>
      <c r="AD17" s="18">
        <v>6.5868953400053915E-2</v>
      </c>
      <c r="AE17" s="18">
        <v>8.6467604157867639E-2</v>
      </c>
      <c r="AF17" s="18">
        <v>0.13940283420452973</v>
      </c>
      <c r="AG17" s="18">
        <v>9.2574447007325051E-3</v>
      </c>
      <c r="AH17" s="18">
        <v>0.10436447850937196</v>
      </c>
      <c r="AI17" s="18">
        <v>7.2162830137845108E-2</v>
      </c>
      <c r="AJ17" s="18">
        <v>3.5025928852884629E-2</v>
      </c>
      <c r="AK17" s="18">
        <v>3.9928897269815369E-2</v>
      </c>
      <c r="AL17" s="18">
        <v>2.6964805411048471E-2</v>
      </c>
      <c r="AM17" s="18">
        <v>3.6002209764703842E-2</v>
      </c>
      <c r="AN17" s="18">
        <v>3.3433780710737451E-2</v>
      </c>
      <c r="AO17" s="18">
        <v>5.2489573270049154E-2</v>
      </c>
      <c r="AP17" s="18">
        <v>1.7738764753999839E-2</v>
      </c>
      <c r="AQ17" s="18">
        <v>1.472951524237672E-2</v>
      </c>
      <c r="AR17" s="18">
        <v>7.2623839509322443E-3</v>
      </c>
      <c r="AS17" s="18">
        <v>4.2107499460495058E-3</v>
      </c>
      <c r="AT17" s="18">
        <v>7.0614358526587253E-3</v>
      </c>
      <c r="AU17" s="18">
        <f t="shared" si="3"/>
        <v>1</v>
      </c>
    </row>
    <row r="18" spans="6:47" x14ac:dyDescent="0.2">
      <c r="F18" s="4">
        <v>42338</v>
      </c>
      <c r="G18" s="25">
        <f>Return!G18</f>
        <v>5.3789495115208474E-3</v>
      </c>
      <c r="H18" s="25">
        <f>Return!H18</f>
        <v>1.0614526430165139E-2</v>
      </c>
      <c r="I18" s="25">
        <f>Return!I18</f>
        <v>2.5290236617613537E-2</v>
      </c>
      <c r="J18" s="25">
        <f>Return!J18</f>
        <v>1.3249372677495819E-2</v>
      </c>
      <c r="K18" s="25">
        <f>Return!K18</f>
        <v>1.7775697396403389E-2</v>
      </c>
      <c r="L18" s="25">
        <f>Return!L18</f>
        <v>1.5357563917548944E-2</v>
      </c>
      <c r="M18" s="25">
        <f>Return!M18</f>
        <v>2.2346219978129023E-2</v>
      </c>
      <c r="N18" s="25">
        <f>Return!N18</f>
        <v>2.3629694894375941E-2</v>
      </c>
      <c r="O18" s="25">
        <f>Return!O18</f>
        <v>2.0188401850945725E-2</v>
      </c>
      <c r="P18" s="25">
        <f>Return!P18</f>
        <v>1.9774755788537268E-2</v>
      </c>
      <c r="Q18" s="25">
        <f>Return!Q18</f>
        <v>4.577176358062629E-2</v>
      </c>
      <c r="R18" s="25">
        <f>Return!R18</f>
        <v>1.8593114739147376E-2</v>
      </c>
      <c r="S18" s="25">
        <f>Return!S18</f>
        <v>1.7943739271890191E-2</v>
      </c>
      <c r="T18" s="25">
        <f>Return!T18</f>
        <v>3.1008313044069258E-2</v>
      </c>
      <c r="U18" s="25">
        <f>Return!U18</f>
        <v>1.8385125634711175E-2</v>
      </c>
      <c r="V18" s="25">
        <f>Return!V18</f>
        <v>1.7723390603125555E-2</v>
      </c>
      <c r="W18" s="25">
        <f>Return!W18</f>
        <v>1.239245717872195E-2</v>
      </c>
      <c r="X18" s="25">
        <f>Return!X18</f>
        <v>-5.0151528656773303E-3</v>
      </c>
      <c r="Y18" s="25">
        <f>Return!Y18</f>
        <v>3.8403766078110024E-3</v>
      </c>
      <c r="AA18" s="4">
        <f t="shared" si="1"/>
        <v>42338</v>
      </c>
      <c r="AB18" s="18">
        <v>0.13</v>
      </c>
      <c r="AC18" s="18">
        <v>0.12</v>
      </c>
      <c r="AD18" s="18">
        <v>7.0000000000000007E-2</v>
      </c>
      <c r="AE18" s="18">
        <v>0.09</v>
      </c>
      <c r="AF18" s="18">
        <v>0.14000000000000001</v>
      </c>
      <c r="AG18" s="18">
        <v>0.01</v>
      </c>
      <c r="AH18" s="18">
        <v>0.1</v>
      </c>
      <c r="AI18" s="18">
        <v>7.0000000000000007E-2</v>
      </c>
      <c r="AJ18" s="18">
        <v>0.03</v>
      </c>
      <c r="AK18" s="18">
        <v>0.04</v>
      </c>
      <c r="AL18" s="18">
        <v>0.03</v>
      </c>
      <c r="AM18" s="18">
        <v>0.04</v>
      </c>
      <c r="AN18" s="18">
        <v>0.03</v>
      </c>
      <c r="AO18" s="18">
        <v>0.05</v>
      </c>
      <c r="AP18" s="18">
        <v>0.02</v>
      </c>
      <c r="AQ18" s="18">
        <v>0.01</v>
      </c>
      <c r="AR18" s="18">
        <v>0.01</v>
      </c>
      <c r="AS18" s="18">
        <v>0</v>
      </c>
      <c r="AT18" s="18">
        <v>0.01</v>
      </c>
      <c r="AU18" s="18">
        <f t="shared" si="3"/>
        <v>1.0000000000000002</v>
      </c>
    </row>
    <row r="19" spans="6:47" x14ac:dyDescent="0.2">
      <c r="F19" s="4">
        <v>42369</v>
      </c>
      <c r="G19" s="25">
        <f>Return!G19</f>
        <v>5.7506796502084789E-3</v>
      </c>
      <c r="H19" s="25">
        <f>Return!H19</f>
        <v>6.2944841360139669E-3</v>
      </c>
      <c r="I19" s="25">
        <f>Return!I19</f>
        <v>1.5246600398424404E-2</v>
      </c>
      <c r="J19" s="25">
        <f>Return!J19</f>
        <v>1.2637303920178367E-2</v>
      </c>
      <c r="K19" s="25">
        <f>Return!K19</f>
        <v>1.3582201709015029E-2</v>
      </c>
      <c r="L19" s="25">
        <f>Return!L19</f>
        <v>2.0454416461505254E-2</v>
      </c>
      <c r="M19" s="25">
        <f>Return!M19</f>
        <v>1.6882201037100586E-2</v>
      </c>
      <c r="N19" s="25">
        <f>Return!N19</f>
        <v>1.6800967232153408E-2</v>
      </c>
      <c r="O19" s="25">
        <f>Return!O19</f>
        <v>1.1831685394366298E-2</v>
      </c>
      <c r="P19" s="25">
        <f>Return!P19</f>
        <v>1.2443023756279592E-2</v>
      </c>
      <c r="Q19" s="25">
        <f>Return!Q19</f>
        <v>2.2389572557204529E-2</v>
      </c>
      <c r="R19" s="25">
        <f>Return!R19</f>
        <v>1.564968423895019E-2</v>
      </c>
      <c r="S19" s="25">
        <f>Return!S19</f>
        <v>1.6017230461474297E-2</v>
      </c>
      <c r="T19" s="25">
        <f>Return!T19</f>
        <v>2.512718120232349E-2</v>
      </c>
      <c r="U19" s="25">
        <f>Return!U19</f>
        <v>2.0254649182860796E-2</v>
      </c>
      <c r="V19" s="25">
        <f>Return!V19</f>
        <v>2.3102235965215323E-2</v>
      </c>
      <c r="W19" s="25">
        <f>Return!W19</f>
        <v>2.3198838972412705E-2</v>
      </c>
      <c r="X19" s="25">
        <f>Return!X19</f>
        <v>1.303408182315513E-2</v>
      </c>
      <c r="Y19" s="25">
        <f>Return!Y19</f>
        <v>1.66925337218089E-2</v>
      </c>
      <c r="AA19" s="4">
        <f t="shared" si="1"/>
        <v>42369</v>
      </c>
      <c r="AB19" s="18">
        <v>0.13</v>
      </c>
      <c r="AC19" s="18">
        <v>0.12</v>
      </c>
      <c r="AD19" s="18">
        <v>7.0000000000000007E-2</v>
      </c>
      <c r="AE19" s="18">
        <v>0.09</v>
      </c>
      <c r="AF19" s="18">
        <v>0.14000000000000001</v>
      </c>
      <c r="AG19" s="18">
        <v>0.01</v>
      </c>
      <c r="AH19" s="18">
        <v>0.1</v>
      </c>
      <c r="AI19" s="18">
        <v>7.0000000000000007E-2</v>
      </c>
      <c r="AJ19" s="18">
        <v>0.03</v>
      </c>
      <c r="AK19" s="18">
        <v>0.04</v>
      </c>
      <c r="AL19" s="18">
        <v>0.03</v>
      </c>
      <c r="AM19" s="18">
        <v>0.04</v>
      </c>
      <c r="AN19" s="18">
        <v>0.03</v>
      </c>
      <c r="AO19" s="18">
        <v>0.05</v>
      </c>
      <c r="AP19" s="18">
        <v>0.02</v>
      </c>
      <c r="AQ19" s="18">
        <v>0.01</v>
      </c>
      <c r="AR19" s="18">
        <v>0.01</v>
      </c>
      <c r="AS19" s="18">
        <v>0</v>
      </c>
      <c r="AT19" s="18">
        <v>0.01</v>
      </c>
      <c r="AU19" s="18">
        <f t="shared" si="3"/>
        <v>1.0000000000000002</v>
      </c>
    </row>
    <row r="20" spans="6:47" x14ac:dyDescent="0.2">
      <c r="F20" s="4">
        <v>42370</v>
      </c>
      <c r="G20" s="25">
        <f>Return!G20</f>
        <v>-1.1946166982753637E-3</v>
      </c>
      <c r="H20" s="25">
        <f>Return!H20</f>
        <v>-8.5414795981886282E-4</v>
      </c>
      <c r="I20" s="25">
        <f>Return!I20</f>
        <v>-6.6994681338017337E-3</v>
      </c>
      <c r="J20" s="25">
        <f>Return!J20</f>
        <v>-1.7646731689038297E-2</v>
      </c>
      <c r="K20" s="25">
        <f>Return!K20</f>
        <v>-2.2522297545257697E-2</v>
      </c>
      <c r="L20" s="25">
        <f>Return!L20</f>
        <v>-1.6556482992294508E-2</v>
      </c>
      <c r="M20" s="25">
        <f>Return!M20</f>
        <v>-4.3270867871252672E-2</v>
      </c>
      <c r="N20" s="25">
        <f>Return!N20</f>
        <v>-4.493880960830765E-2</v>
      </c>
      <c r="O20" s="25">
        <f>Return!O20</f>
        <v>-4.1565632494491411E-2</v>
      </c>
      <c r="P20" s="25">
        <f>Return!P20</f>
        <v>-3.2314865058535758E-2</v>
      </c>
      <c r="Q20" s="25">
        <f>Return!Q20</f>
        <v>-2.3985347087117193E-2</v>
      </c>
      <c r="R20" s="25">
        <f>Return!R20</f>
        <v>-3.5758059355644134E-2</v>
      </c>
      <c r="S20" s="25">
        <f>Return!S20</f>
        <v>-3.0587827382145605E-2</v>
      </c>
      <c r="T20" s="25">
        <f>Return!T20</f>
        <v>-2.4843338377100732E-2</v>
      </c>
      <c r="U20" s="25">
        <f>Return!U20</f>
        <v>-2.8133851416974776E-2</v>
      </c>
      <c r="V20" s="25">
        <f>Return!V20</f>
        <v>-2.3576599739564275E-2</v>
      </c>
      <c r="W20" s="25">
        <f>Return!W20</f>
        <v>1.545248229914753E-2</v>
      </c>
      <c r="X20" s="25">
        <f>Return!X20</f>
        <v>5.6826978890851532E-3</v>
      </c>
      <c r="Y20" s="25">
        <f>Return!Y20</f>
        <v>4.6090347642222529E-3</v>
      </c>
      <c r="AA20" s="4">
        <f t="shared" si="1"/>
        <v>42370</v>
      </c>
      <c r="AB20" s="18">
        <v>0.13</v>
      </c>
      <c r="AC20" s="18">
        <v>0.12</v>
      </c>
      <c r="AD20" s="18">
        <v>7.0000000000000007E-2</v>
      </c>
      <c r="AE20" s="18">
        <v>0.09</v>
      </c>
      <c r="AF20" s="18">
        <v>0.14000000000000001</v>
      </c>
      <c r="AG20" s="18">
        <v>0.01</v>
      </c>
      <c r="AH20" s="18">
        <v>0.1</v>
      </c>
      <c r="AI20" s="18">
        <v>7.0000000000000007E-2</v>
      </c>
      <c r="AJ20" s="18">
        <v>0.03</v>
      </c>
      <c r="AK20" s="18">
        <v>0.04</v>
      </c>
      <c r="AL20" s="18">
        <v>0.03</v>
      </c>
      <c r="AM20" s="18">
        <v>0.04</v>
      </c>
      <c r="AN20" s="18">
        <v>0.03</v>
      </c>
      <c r="AO20" s="18">
        <v>0.05</v>
      </c>
      <c r="AP20" s="18">
        <v>0.02</v>
      </c>
      <c r="AQ20" s="18">
        <v>0.01</v>
      </c>
      <c r="AR20" s="18">
        <v>0.01</v>
      </c>
      <c r="AS20" s="18">
        <v>0</v>
      </c>
      <c r="AT20" s="18">
        <v>0.01</v>
      </c>
      <c r="AU20" s="18">
        <f t="shared" si="3"/>
        <v>1.0000000000000002</v>
      </c>
    </row>
    <row r="21" spans="6:47" x14ac:dyDescent="0.2">
      <c r="F21" s="4">
        <v>42429</v>
      </c>
      <c r="G21" s="25">
        <f>Return!G21</f>
        <v>-4.5170554611951852E-3</v>
      </c>
      <c r="H21" s="25">
        <f>Return!H21</f>
        <v>1.326251707534043E-2</v>
      </c>
      <c r="I21" s="25">
        <f>Return!I21</f>
        <v>1.338329258245663E-2</v>
      </c>
      <c r="J21" s="25">
        <f>Return!J21</f>
        <v>5.4511858244141731E-3</v>
      </c>
      <c r="K21" s="25">
        <f>Return!K21</f>
        <v>1.9780851045305692E-3</v>
      </c>
      <c r="L21" s="25">
        <f>Return!L21</f>
        <v>1.2403356680608768E-2</v>
      </c>
      <c r="M21" s="25">
        <f>Return!M21</f>
        <v>-1.4448979852678123E-3</v>
      </c>
      <c r="N21" s="25">
        <f>Return!N21</f>
        <v>-4.737576655581166E-3</v>
      </c>
      <c r="O21" s="25">
        <f>Return!O21</f>
        <v>-2.7841266740766812E-3</v>
      </c>
      <c r="P21" s="25">
        <f>Return!P21</f>
        <v>4.5129684181137719E-3</v>
      </c>
      <c r="Q21" s="25">
        <f>Return!Q21</f>
        <v>1.2382789016082585E-2</v>
      </c>
      <c r="R21" s="25">
        <f>Return!R21</f>
        <v>6.8223203060877591E-3</v>
      </c>
      <c r="S21" s="25">
        <f>Return!S21</f>
        <v>7.8271602949557817E-3</v>
      </c>
      <c r="T21" s="25">
        <f>Return!T21</f>
        <v>1.4900981159734039E-2</v>
      </c>
      <c r="U21" s="25">
        <f>Return!U21</f>
        <v>1.3888565035470091E-2</v>
      </c>
      <c r="V21" s="25">
        <f>Return!V21</f>
        <v>1.1210630242291408E-2</v>
      </c>
      <c r="W21" s="25">
        <f>Return!W21</f>
        <v>3.656524632636482E-2</v>
      </c>
      <c r="X21" s="25">
        <f>Return!X21</f>
        <v>3.7922262972570175E-2</v>
      </c>
      <c r="Y21" s="25">
        <f>Return!Y21</f>
        <v>3.2359412838260937E-2</v>
      </c>
      <c r="AA21" s="4">
        <f t="shared" ref="AA21:AA22" si="4">F21</f>
        <v>42429</v>
      </c>
      <c r="AB21" s="18">
        <v>0.13</v>
      </c>
      <c r="AC21" s="18">
        <v>0.12</v>
      </c>
      <c r="AD21" s="18">
        <v>7.0000000000000007E-2</v>
      </c>
      <c r="AE21" s="18">
        <v>0.09</v>
      </c>
      <c r="AF21" s="18">
        <v>0.14000000000000001</v>
      </c>
      <c r="AG21" s="18">
        <v>0.01</v>
      </c>
      <c r="AH21" s="18">
        <v>0.1</v>
      </c>
      <c r="AI21" s="18">
        <v>7.0000000000000007E-2</v>
      </c>
      <c r="AJ21" s="18">
        <v>0.03</v>
      </c>
      <c r="AK21" s="18">
        <v>0.04</v>
      </c>
      <c r="AL21" s="18">
        <v>0.03</v>
      </c>
      <c r="AM21" s="18">
        <v>0.04</v>
      </c>
      <c r="AN21" s="18">
        <v>0.03</v>
      </c>
      <c r="AO21" s="18">
        <v>0.05</v>
      </c>
      <c r="AP21" s="18">
        <v>0.02</v>
      </c>
      <c r="AQ21" s="18">
        <v>0.01</v>
      </c>
      <c r="AR21" s="18">
        <v>0.01</v>
      </c>
      <c r="AS21" s="18">
        <v>0</v>
      </c>
      <c r="AT21" s="18">
        <v>0.01</v>
      </c>
      <c r="AU21" s="18">
        <f t="shared" si="3"/>
        <v>1.0000000000000002</v>
      </c>
    </row>
    <row r="22" spans="6:47" x14ac:dyDescent="0.2">
      <c r="F22" s="4">
        <f>Return!F22</f>
        <v>42460</v>
      </c>
      <c r="G22" s="25">
        <f>Return!G22</f>
        <v>9.5596882226898217E-3</v>
      </c>
      <c r="H22" s="25">
        <f>Return!H22</f>
        <v>6.6155518419361847E-3</v>
      </c>
      <c r="I22" s="25">
        <f>Return!I22</f>
        <v>1.049859217252469E-2</v>
      </c>
      <c r="J22" s="25">
        <f>Return!J22</f>
        <v>1.2796543182490794E-2</v>
      </c>
      <c r="K22" s="25">
        <f>Return!K22</f>
        <v>9.6846253616147404E-3</v>
      </c>
      <c r="L22" s="25">
        <f>Return!L22</f>
        <v>1.4154800391521061E-2</v>
      </c>
      <c r="M22" s="25">
        <f>Return!M22</f>
        <v>1.8324595369378027E-2</v>
      </c>
      <c r="N22" s="25">
        <f>Return!N22</f>
        <v>2.3444906976552549E-2</v>
      </c>
      <c r="O22" s="25">
        <f>Return!O22</f>
        <v>2.5849646339284549E-2</v>
      </c>
      <c r="P22" s="25">
        <f>Return!P22</f>
        <v>2.5888001667915272E-2</v>
      </c>
      <c r="Q22" s="25">
        <f>Return!Q22</f>
        <v>2.0624320835921806E-2</v>
      </c>
      <c r="R22" s="25">
        <f>Return!R22</f>
        <v>1.3199055512439495E-2</v>
      </c>
      <c r="S22" s="25">
        <f>Return!S22</f>
        <v>1.3153251291058599E-2</v>
      </c>
      <c r="T22" s="25">
        <f>Return!T22</f>
        <v>1.3180274749032606E-2</v>
      </c>
      <c r="U22" s="25">
        <f>Return!U22</f>
        <v>1.8045530014842992E-3</v>
      </c>
      <c r="V22" s="25">
        <f>Return!V22</f>
        <v>2.6630721506315513E-3</v>
      </c>
      <c r="W22" s="25">
        <f>Return!W22</f>
        <v>1.7485969047066785E-2</v>
      </c>
      <c r="X22" s="25">
        <f>Return!X22</f>
        <v>1.9579624493579528E-2</v>
      </c>
      <c r="Y22" s="25">
        <f>Return!Y22</f>
        <v>1.9157687077206553E-2</v>
      </c>
      <c r="AA22" s="4">
        <f t="shared" si="4"/>
        <v>42460</v>
      </c>
      <c r="AB22" s="36">
        <v>0.13</v>
      </c>
      <c r="AC22" s="36">
        <v>0.12</v>
      </c>
      <c r="AD22" s="36">
        <v>7.0000000000000007E-2</v>
      </c>
      <c r="AE22" s="36">
        <v>0.09</v>
      </c>
      <c r="AF22" s="36">
        <v>0.14000000000000001</v>
      </c>
      <c r="AG22" s="36">
        <v>0.01</v>
      </c>
      <c r="AH22" s="36">
        <v>0.1</v>
      </c>
      <c r="AI22" s="36">
        <v>7.0000000000000007E-2</v>
      </c>
      <c r="AJ22" s="36">
        <v>0.03</v>
      </c>
      <c r="AK22" s="36">
        <v>0.04</v>
      </c>
      <c r="AL22" s="36">
        <v>0.03</v>
      </c>
      <c r="AM22" s="36">
        <v>0.04</v>
      </c>
      <c r="AN22" s="36">
        <v>0.03</v>
      </c>
      <c r="AO22" s="36">
        <v>0.05</v>
      </c>
      <c r="AP22" s="36">
        <v>0.02</v>
      </c>
      <c r="AQ22" s="36">
        <v>0.01</v>
      </c>
      <c r="AR22" s="36">
        <v>0.01</v>
      </c>
      <c r="AS22" s="36">
        <v>0</v>
      </c>
      <c r="AT22" s="36">
        <v>0.01</v>
      </c>
      <c r="AU22" s="18">
        <f t="shared" si="3"/>
        <v>1.0000000000000002</v>
      </c>
    </row>
    <row r="23" spans="6:47" x14ac:dyDescent="0.2">
      <c r="F23" s="4">
        <f>Return!F23</f>
        <v>42489</v>
      </c>
      <c r="G23" s="25">
        <f>Return!G23</f>
        <v>1.2924263455010854E-2</v>
      </c>
      <c r="H23" s="25">
        <f>Return!H23</f>
        <v>1.0213686193189853E-2</v>
      </c>
      <c r="I23" s="25">
        <f>Return!I23</f>
        <v>5.1691190811131715E-3</v>
      </c>
      <c r="J23" s="25">
        <f>Return!J23</f>
        <v>1.2471291335067081E-2</v>
      </c>
      <c r="K23" s="25">
        <f>Return!K23</f>
        <v>9.4981500806763375E-3</v>
      </c>
      <c r="L23" s="25">
        <f>Return!L23</f>
        <v>8.1365643468467308E-3</v>
      </c>
      <c r="M23" s="25">
        <f>Return!M23</f>
        <v>1.2874107034715365E-2</v>
      </c>
      <c r="N23" s="25">
        <f>Return!N23</f>
        <v>1.8503689917784838E-2</v>
      </c>
      <c r="O23" s="25">
        <f>Return!O23</f>
        <v>1.5902904613989133E-2</v>
      </c>
      <c r="P23" s="25">
        <f>Return!P23</f>
        <v>2.2088753460758337E-2</v>
      </c>
      <c r="Q23" s="25">
        <f>Return!Q23</f>
        <v>1.5840785933554757E-2</v>
      </c>
      <c r="R23" s="25">
        <f>Return!R23</f>
        <v>1.8123449518173906E-2</v>
      </c>
      <c r="S23" s="25">
        <f>Return!S23</f>
        <v>1.794900756209783E-2</v>
      </c>
      <c r="T23" s="25">
        <f>Return!T23</f>
        <v>1.5931599529768192E-2</v>
      </c>
      <c r="U23" s="25">
        <f>Return!U23</f>
        <v>6.4401547282233462E-3</v>
      </c>
      <c r="V23" s="25">
        <f>Return!V23</f>
        <v>1.1942686771837518E-2</v>
      </c>
      <c r="W23" s="25">
        <f>Return!W23</f>
        <v>2.3379109156238309E-2</v>
      </c>
      <c r="X23" s="25">
        <f>Return!X23</f>
        <v>2.3484867504314222E-2</v>
      </c>
      <c r="Y23" s="25">
        <f>Return!Y23</f>
        <v>1.8659862601862587E-2</v>
      </c>
      <c r="AA23" s="4">
        <f t="shared" ref="AA23" si="5">F23</f>
        <v>42489</v>
      </c>
      <c r="AB23" s="36">
        <v>0.13</v>
      </c>
      <c r="AC23" s="36">
        <v>0.12</v>
      </c>
      <c r="AD23" s="36">
        <v>7.0000000000000007E-2</v>
      </c>
      <c r="AE23" s="36">
        <v>0.09</v>
      </c>
      <c r="AF23" s="36">
        <v>0.14000000000000001</v>
      </c>
      <c r="AG23" s="36">
        <v>0.01</v>
      </c>
      <c r="AH23" s="36">
        <v>0.1</v>
      </c>
      <c r="AI23" s="36">
        <v>7.0000000000000007E-2</v>
      </c>
      <c r="AJ23" s="36">
        <v>0.03</v>
      </c>
      <c r="AK23" s="36">
        <v>0.04</v>
      </c>
      <c r="AL23" s="36">
        <v>0.03</v>
      </c>
      <c r="AM23" s="36">
        <v>0.04</v>
      </c>
      <c r="AN23" s="36">
        <v>0.03</v>
      </c>
      <c r="AO23" s="36">
        <v>0.05</v>
      </c>
      <c r="AP23" s="36">
        <v>0.02</v>
      </c>
      <c r="AQ23" s="36">
        <v>0.01</v>
      </c>
      <c r="AR23" s="36">
        <v>0.01</v>
      </c>
      <c r="AS23" s="36">
        <v>0</v>
      </c>
      <c r="AT23" s="36">
        <v>0.01</v>
      </c>
      <c r="AU23" s="18">
        <f t="shared" ref="AU23" si="6">SUM(AB23:AT23)</f>
        <v>1.0000000000000002</v>
      </c>
    </row>
    <row r="24" spans="6:47" x14ac:dyDescent="0.2">
      <c r="F24" s="4">
        <f>Return!F24</f>
        <v>42521</v>
      </c>
      <c r="G24" s="25">
        <f>Return!G24</f>
        <v>3.7738094695350055E-2</v>
      </c>
      <c r="H24" s="25">
        <f>Return!H24</f>
        <v>3.846417621519338E-2</v>
      </c>
      <c r="I24" s="25">
        <f>Return!I24</f>
        <v>4.5583780264690343E-2</v>
      </c>
      <c r="J24" s="25">
        <f>Return!J24</f>
        <v>3.5342319525555554E-2</v>
      </c>
      <c r="K24" s="25">
        <f>Return!K24</f>
        <v>3.0728284016672047E-2</v>
      </c>
      <c r="L24" s="25">
        <f>Return!L24</f>
        <v>3.4270763601772281E-2</v>
      </c>
      <c r="M24" s="25">
        <f>Return!M24</f>
        <v>3.7572338118019744E-2</v>
      </c>
      <c r="N24" s="25">
        <f>Return!N24</f>
        <v>3.9007810250953678E-2</v>
      </c>
      <c r="O24" s="25">
        <f>Return!O24</f>
        <v>3.2593090016116655E-2</v>
      </c>
      <c r="P24" s="25">
        <f>Return!P24</f>
        <v>3.531444098659553E-2</v>
      </c>
      <c r="Q24" s="25">
        <f>Return!Q24</f>
        <v>3.5640502617595438E-2</v>
      </c>
      <c r="R24" s="25">
        <f>Return!R24</f>
        <v>2.9825751765785613E-2</v>
      </c>
      <c r="S24" s="25">
        <f>Return!S24</f>
        <v>3.1978533643832296E-2</v>
      </c>
      <c r="T24" s="25">
        <f>Return!T24</f>
        <v>3.5944088724727097E-2</v>
      </c>
      <c r="U24" s="25">
        <f>Return!U24</f>
        <v>2.8364113691922821E-2</v>
      </c>
      <c r="V24" s="25">
        <f>Return!V24</f>
        <v>3.2382858548542837E-2</v>
      </c>
      <c r="W24" s="25">
        <f>Return!W24</f>
        <v>3.6849352781354927E-2</v>
      </c>
      <c r="X24" s="25">
        <f>Return!X24</f>
        <v>3.3969813925671222E-2</v>
      </c>
      <c r="Y24" s="25">
        <f>Return!Y24</f>
        <v>2.8964065502726788E-2</v>
      </c>
      <c r="AA24" s="4">
        <f t="shared" ref="AA24" si="7">F24</f>
        <v>42521</v>
      </c>
      <c r="AB24" s="36">
        <v>0.13</v>
      </c>
      <c r="AC24" s="36">
        <v>0.12</v>
      </c>
      <c r="AD24" s="36">
        <v>7.0000000000000007E-2</v>
      </c>
      <c r="AE24" s="36">
        <v>0.09</v>
      </c>
      <c r="AF24" s="36">
        <v>0.14000000000000001</v>
      </c>
      <c r="AG24" s="36">
        <v>0.01</v>
      </c>
      <c r="AH24" s="36">
        <v>0.1</v>
      </c>
      <c r="AI24" s="36">
        <v>7.0000000000000007E-2</v>
      </c>
      <c r="AJ24" s="36">
        <v>0.03</v>
      </c>
      <c r="AK24" s="36">
        <v>0.04</v>
      </c>
      <c r="AL24" s="36">
        <v>0.03</v>
      </c>
      <c r="AM24" s="36">
        <v>0.04</v>
      </c>
      <c r="AN24" s="36">
        <v>0.03</v>
      </c>
      <c r="AO24" s="36">
        <v>0.05</v>
      </c>
      <c r="AP24" s="36">
        <v>0.02</v>
      </c>
      <c r="AQ24" s="36">
        <v>0.01</v>
      </c>
      <c r="AR24" s="36">
        <v>0.01</v>
      </c>
      <c r="AS24" s="36">
        <v>0</v>
      </c>
      <c r="AT24" s="36">
        <v>0.01</v>
      </c>
      <c r="AU24" s="18">
        <f t="shared" ref="AU24" si="8">SUM(AB24:AT24)</f>
        <v>1.0000000000000002</v>
      </c>
    </row>
    <row r="25" spans="6:47" x14ac:dyDescent="0.2">
      <c r="F25" s="4">
        <f>Return!F25</f>
        <v>42551</v>
      </c>
      <c r="G25" s="25">
        <f>Return!G25</f>
        <v>3.4365653770311422E-2</v>
      </c>
      <c r="H25" s="25">
        <f>Return!H25</f>
        <v>3.7535543692606366E-2</v>
      </c>
      <c r="I25" s="25">
        <f>Return!I25</f>
        <v>3.9350154426490702E-2</v>
      </c>
      <c r="J25" s="25">
        <f>Return!J25</f>
        <v>1.9004338152583733E-2</v>
      </c>
      <c r="K25" s="25">
        <f>Return!K25</f>
        <v>1.1849014987595607E-2</v>
      </c>
      <c r="L25" s="25">
        <f>Return!L25</f>
        <v>3.0868701754552141E-2</v>
      </c>
      <c r="M25" s="25">
        <f>Return!M25</f>
        <v>-3.2835625183107453E-3</v>
      </c>
      <c r="N25" s="25">
        <f>Return!N25</f>
        <v>4.5779587704308788E-4</v>
      </c>
      <c r="O25" s="25">
        <f>Return!O25</f>
        <v>-1.6508695447099431E-3</v>
      </c>
      <c r="P25" s="25">
        <f>Return!P25</f>
        <v>1.7149253105325668E-2</v>
      </c>
      <c r="Q25" s="25">
        <f>Return!Q25</f>
        <v>3.5170888991724159E-2</v>
      </c>
      <c r="R25" s="25">
        <f>Return!R25</f>
        <v>1.3692127891511419E-3</v>
      </c>
      <c r="S25" s="25">
        <f>Return!S25</f>
        <v>7.5143448300079019E-3</v>
      </c>
      <c r="T25" s="25">
        <f>Return!T25</f>
        <v>3.4258755575580446E-2</v>
      </c>
      <c r="U25" s="25">
        <f>Return!U25</f>
        <v>1.3212870730596737E-3</v>
      </c>
      <c r="V25" s="25">
        <f>Return!V25</f>
        <v>1.7653088824538532E-2</v>
      </c>
      <c r="W25" s="25">
        <f>Return!W25</f>
        <v>4.5911595291396656E-2</v>
      </c>
      <c r="X25" s="25">
        <f>Return!X25</f>
        <v>3.0844215652262807E-2</v>
      </c>
      <c r="Y25" s="25">
        <f>Return!Y25</f>
        <v>2.6140036404572298E-2</v>
      </c>
      <c r="AA25" s="4">
        <f t="shared" ref="AA25" si="9">F25</f>
        <v>42551</v>
      </c>
      <c r="AB25" s="36">
        <v>0.13</v>
      </c>
      <c r="AC25" s="36">
        <v>0.12</v>
      </c>
      <c r="AD25" s="36">
        <v>7.0000000000000007E-2</v>
      </c>
      <c r="AE25" s="36">
        <v>0.09</v>
      </c>
      <c r="AF25" s="36">
        <v>0.14000000000000001</v>
      </c>
      <c r="AG25" s="36">
        <v>0.01</v>
      </c>
      <c r="AH25" s="36">
        <v>0.1</v>
      </c>
      <c r="AI25" s="36">
        <v>7.0000000000000007E-2</v>
      </c>
      <c r="AJ25" s="36">
        <v>0.03</v>
      </c>
      <c r="AK25" s="36">
        <v>0.04</v>
      </c>
      <c r="AL25" s="36">
        <v>0.03</v>
      </c>
      <c r="AM25" s="36">
        <v>0.04</v>
      </c>
      <c r="AN25" s="36">
        <v>0.03</v>
      </c>
      <c r="AO25" s="36">
        <v>0.05</v>
      </c>
      <c r="AP25" s="36">
        <v>0.02</v>
      </c>
      <c r="AQ25" s="36">
        <v>0.01</v>
      </c>
      <c r="AR25" s="36">
        <v>0.01</v>
      </c>
      <c r="AS25" s="36">
        <v>0</v>
      </c>
      <c r="AT25" s="36">
        <v>0.01</v>
      </c>
      <c r="AU25" s="18">
        <f t="shared" ref="AU25" si="10">SUM(AB25:AT25)</f>
        <v>1.0000000000000002</v>
      </c>
    </row>
    <row r="26" spans="6:47" x14ac:dyDescent="0.2">
      <c r="F26" s="4">
        <f>Return!F26</f>
        <v>42580</v>
      </c>
      <c r="G26" s="25">
        <f>Return!G26</f>
        <v>4.4669921446686134E-2</v>
      </c>
      <c r="H26" s="25">
        <f>Return!H26</f>
        <v>3.7337236143843322E-2</v>
      </c>
      <c r="I26" s="25">
        <f>Return!I26</f>
        <v>5.837919103800937E-2</v>
      </c>
      <c r="J26" s="25">
        <f>Return!J26</f>
        <v>3.9428910146014795E-2</v>
      </c>
      <c r="K26" s="25">
        <f>Return!K26</f>
        <v>3.7527100389408652E-2</v>
      </c>
      <c r="L26" s="25">
        <f>Return!L26</f>
        <v>4.9246496177802301E-2</v>
      </c>
      <c r="M26" s="25">
        <f>Return!M26</f>
        <v>3.4961887071527586E-2</v>
      </c>
      <c r="N26" s="25">
        <f>Return!N26</f>
        <v>3.8591554600980293E-2</v>
      </c>
      <c r="O26" s="25">
        <f>Return!O26</f>
        <v>3.867682622802171E-2</v>
      </c>
      <c r="P26" s="25">
        <f>Return!P26</f>
        <v>4.6729549269338255E-2</v>
      </c>
      <c r="Q26" s="25">
        <f>Return!Q26</f>
        <v>5.8290595406939927E-2</v>
      </c>
      <c r="R26" s="25">
        <f>Return!R26</f>
        <v>3.4585025647062118E-2</v>
      </c>
      <c r="S26" s="25">
        <f>Return!S26</f>
        <v>3.8702896697873079E-2</v>
      </c>
      <c r="T26" s="25">
        <f>Return!T26</f>
        <v>5.0123028501194877E-2</v>
      </c>
      <c r="U26" s="25">
        <f>Return!U26</f>
        <v>3.3383105276540537E-2</v>
      </c>
      <c r="V26" s="25">
        <f>Return!V26</f>
        <v>4.0526134896440746E-2</v>
      </c>
      <c r="W26" s="25">
        <f>Return!W26</f>
        <v>5.2635343698006265E-2</v>
      </c>
      <c r="X26" s="25">
        <f>Return!X26</f>
        <v>4.1380791421229413E-2</v>
      </c>
      <c r="Y26" s="25">
        <f>Return!Y26</f>
        <v>2.3975780758631604E-2</v>
      </c>
      <c r="AA26" s="4">
        <f t="shared" ref="AA26" si="11">F26</f>
        <v>42580</v>
      </c>
      <c r="AB26" s="36">
        <v>0.13</v>
      </c>
      <c r="AC26" s="36">
        <v>0.12</v>
      </c>
      <c r="AD26" s="36">
        <v>7.0000000000000007E-2</v>
      </c>
      <c r="AE26" s="36">
        <v>0.09</v>
      </c>
      <c r="AF26" s="36">
        <v>0.14000000000000001</v>
      </c>
      <c r="AG26" s="36">
        <v>0.01</v>
      </c>
      <c r="AH26" s="36">
        <v>0.1</v>
      </c>
      <c r="AI26" s="36">
        <v>7.0000000000000007E-2</v>
      </c>
      <c r="AJ26" s="36">
        <v>0.03</v>
      </c>
      <c r="AK26" s="36">
        <v>0.04</v>
      </c>
      <c r="AL26" s="36">
        <v>0.03</v>
      </c>
      <c r="AM26" s="36">
        <v>0.04</v>
      </c>
      <c r="AN26" s="36">
        <v>0.03</v>
      </c>
      <c r="AO26" s="36">
        <v>0.05</v>
      </c>
      <c r="AP26" s="36">
        <v>0.02</v>
      </c>
      <c r="AQ26" s="36">
        <v>0.01</v>
      </c>
      <c r="AR26" s="36">
        <v>0.01</v>
      </c>
      <c r="AS26" s="36">
        <v>0</v>
      </c>
      <c r="AT26" s="36">
        <v>0.01</v>
      </c>
      <c r="AU26" s="18">
        <f t="shared" ref="AU26" si="12">SUM(AB26:AT26)</f>
        <v>1.0000000000000002</v>
      </c>
    </row>
    <row r="27" spans="6:47" x14ac:dyDescent="0.2">
      <c r="F27" s="4">
        <f>Return!F27</f>
        <v>42613</v>
      </c>
      <c r="G27" s="25">
        <f>Return!G27</f>
        <v>8.6811731541736048E-3</v>
      </c>
      <c r="H27" s="25">
        <f>Return!H27</f>
        <v>6.7193883444243152E-3</v>
      </c>
      <c r="I27" s="25">
        <f>Return!I27</f>
        <v>1.6216026798780092E-2</v>
      </c>
      <c r="J27" s="25">
        <f>Return!J27</f>
        <v>1.8001132055514013E-2</v>
      </c>
      <c r="K27" s="25">
        <f>Return!K27</f>
        <v>1.8195150774678037E-2</v>
      </c>
      <c r="L27" s="25">
        <f>Return!L27</f>
        <v>9.6595650996422755E-3</v>
      </c>
      <c r="M27" s="25">
        <f>Return!M27</f>
        <v>2.7795083708671342E-2</v>
      </c>
      <c r="N27" s="25">
        <f>Return!N27</f>
        <v>2.489478162276626E-2</v>
      </c>
      <c r="O27" s="25">
        <f>Return!O27</f>
        <v>1.4800770396918406E-2</v>
      </c>
      <c r="P27" s="25">
        <f>Return!P27</f>
        <v>1.4105356440365258E-2</v>
      </c>
      <c r="Q27" s="25">
        <f>Return!Q27</f>
        <v>5.4776058370935576E-3</v>
      </c>
      <c r="R27" s="25">
        <f>Return!R27</f>
        <v>2.0488925851451123E-2</v>
      </c>
      <c r="S27" s="25">
        <f>Return!S27</f>
        <v>1.0851475873239425E-2</v>
      </c>
      <c r="T27" s="25">
        <f>Return!T27</f>
        <v>1.2175177978907215E-2</v>
      </c>
      <c r="U27" s="25">
        <f>Return!U27</f>
        <v>2.4171107245801293E-2</v>
      </c>
      <c r="V27" s="25">
        <f>Return!V27</f>
        <v>2.1469831895979841E-2</v>
      </c>
      <c r="W27" s="25">
        <f>Return!W27</f>
        <v>2.0675598415221152E-2</v>
      </c>
      <c r="X27" s="25">
        <f>Return!X27</f>
        <v>2.1678172737107815E-2</v>
      </c>
      <c r="Y27" s="25">
        <f>Return!Y27</f>
        <v>2.29744962296623E-2</v>
      </c>
      <c r="AA27" s="4">
        <f t="shared" ref="AA27" si="13">F27</f>
        <v>42613</v>
      </c>
      <c r="AB27" s="36">
        <v>0.13</v>
      </c>
      <c r="AC27" s="36">
        <v>0.12</v>
      </c>
      <c r="AD27" s="36">
        <v>7.0000000000000007E-2</v>
      </c>
      <c r="AE27" s="36">
        <v>0.09</v>
      </c>
      <c r="AF27" s="36">
        <v>0.14000000000000001</v>
      </c>
      <c r="AG27" s="36">
        <v>0.01</v>
      </c>
      <c r="AH27" s="36">
        <v>0.1</v>
      </c>
      <c r="AI27" s="36">
        <v>7.0000000000000007E-2</v>
      </c>
      <c r="AJ27" s="36">
        <v>0.03</v>
      </c>
      <c r="AK27" s="36">
        <v>0.04</v>
      </c>
      <c r="AL27" s="36">
        <v>0.03</v>
      </c>
      <c r="AM27" s="36">
        <v>0.04</v>
      </c>
      <c r="AN27" s="36">
        <v>0.03</v>
      </c>
      <c r="AO27" s="36">
        <v>0.05</v>
      </c>
      <c r="AP27" s="36">
        <v>0.02</v>
      </c>
      <c r="AQ27" s="36">
        <v>0.01</v>
      </c>
      <c r="AR27" s="36">
        <v>0.01</v>
      </c>
      <c r="AS27" s="36">
        <v>0</v>
      </c>
      <c r="AT27" s="36">
        <v>0.01</v>
      </c>
      <c r="AU27" s="18">
        <f t="shared" ref="AU27" si="14">SUM(AB27:AT27)</f>
        <v>1.0000000000000002</v>
      </c>
    </row>
    <row r="28" spans="6:47" x14ac:dyDescent="0.2">
      <c r="F28" s="4">
        <f>Return!F28</f>
        <v>42643</v>
      </c>
      <c r="G28" s="25">
        <f>Return!G28</f>
        <v>1.0648350691981001E-2</v>
      </c>
      <c r="H28" s="25">
        <f>Return!H28</f>
        <v>1.0233387132664751E-2</v>
      </c>
      <c r="I28" s="25">
        <f>Return!I28</f>
        <v>1.1416132440252413E-2</v>
      </c>
      <c r="J28" s="25">
        <f>Return!J28</f>
        <v>2.4386619570619938E-3</v>
      </c>
      <c r="K28" s="25">
        <f>Return!K28</f>
        <v>5.6721160349013644E-3</v>
      </c>
      <c r="L28" s="25">
        <f>Return!L28</f>
        <v>1.0253357925222195E-2</v>
      </c>
      <c r="M28" s="25">
        <f>Return!M28</f>
        <v>8.6619186501115664E-3</v>
      </c>
      <c r="N28" s="25">
        <f>Return!N28</f>
        <v>8.1561919954256101E-3</v>
      </c>
      <c r="O28" s="25">
        <f>Return!O28</f>
        <v>4.8678074234329571E-3</v>
      </c>
      <c r="P28" s="25">
        <f>Return!P28</f>
        <v>5.524852558206117E-3</v>
      </c>
      <c r="Q28" s="25">
        <f>Return!Q28</f>
        <v>7.9135285213056683E-3</v>
      </c>
      <c r="R28" s="25">
        <f>Return!R28</f>
        <v>9.1169669423218913E-3</v>
      </c>
      <c r="S28" s="25">
        <f>Return!S28</f>
        <v>1.2683156833241505E-2</v>
      </c>
      <c r="T28" s="25">
        <f>Return!T28</f>
        <v>1.5194062409092712E-2</v>
      </c>
      <c r="U28" s="25">
        <f>Return!U28</f>
        <v>4.4059322684693036E-3</v>
      </c>
      <c r="V28" s="25">
        <f>Return!V28</f>
        <v>3.4903493543354536E-3</v>
      </c>
      <c r="W28" s="25">
        <f>Return!W28</f>
        <v>9.3475835700422838E-3</v>
      </c>
      <c r="X28" s="25">
        <f>Return!X28</f>
        <v>6.6295360254196023E-3</v>
      </c>
      <c r="Y28" s="25">
        <f>Return!Y28</f>
        <v>7.74932361475833E-3</v>
      </c>
      <c r="AA28" s="4">
        <f t="shared" ref="AA28" si="15">F28</f>
        <v>42643</v>
      </c>
      <c r="AB28" s="36">
        <v>0.13</v>
      </c>
      <c r="AC28" s="36">
        <v>0.12</v>
      </c>
      <c r="AD28" s="36">
        <v>7.0000000000000007E-2</v>
      </c>
      <c r="AE28" s="36">
        <v>0.09</v>
      </c>
      <c r="AF28" s="36">
        <v>0.14000000000000001</v>
      </c>
      <c r="AG28" s="36">
        <v>0.01</v>
      </c>
      <c r="AH28" s="36">
        <v>0.1</v>
      </c>
      <c r="AI28" s="36">
        <v>7.0000000000000007E-2</v>
      </c>
      <c r="AJ28" s="36">
        <v>0.03</v>
      </c>
      <c r="AK28" s="36">
        <v>0.04</v>
      </c>
      <c r="AL28" s="36">
        <v>0.03</v>
      </c>
      <c r="AM28" s="36">
        <v>0.04</v>
      </c>
      <c r="AN28" s="36">
        <v>0.03</v>
      </c>
      <c r="AO28" s="36">
        <v>0.05</v>
      </c>
      <c r="AP28" s="36">
        <v>0.02</v>
      </c>
      <c r="AQ28" s="36">
        <v>0.01</v>
      </c>
      <c r="AR28" s="36">
        <v>0.01</v>
      </c>
      <c r="AS28" s="36">
        <v>0</v>
      </c>
      <c r="AT28" s="36">
        <v>0.01</v>
      </c>
      <c r="AU28" s="18">
        <f t="shared" ref="AU28" si="16">SUM(AB28:AT28)</f>
        <v>1.0000000000000002</v>
      </c>
    </row>
    <row r="29" spans="6:47" x14ac:dyDescent="0.2">
      <c r="F29" s="4">
        <f>Return!F29</f>
        <v>42674</v>
      </c>
      <c r="G29" s="25">
        <f>Return!G29</f>
        <v>-8.5206243601581022E-3</v>
      </c>
      <c r="H29" s="25">
        <f>Return!H29</f>
        <v>-1.0130904044480027E-2</v>
      </c>
      <c r="I29" s="25">
        <f>Return!I29</f>
        <v>9.3609261372378239E-3</v>
      </c>
      <c r="J29" s="25">
        <f>Return!J29</f>
        <v>3.8605937793247946E-3</v>
      </c>
      <c r="K29" s="25">
        <f>Return!K29</f>
        <v>6.8003445643201044E-3</v>
      </c>
      <c r="L29" s="25">
        <f>Return!L29</f>
        <v>3.0933635280798732E-3</v>
      </c>
      <c r="M29" s="25">
        <f>Return!M29</f>
        <v>1.6515951869499057E-2</v>
      </c>
      <c r="N29" s="25">
        <f>Return!N29</f>
        <v>1.2009838799208916E-2</v>
      </c>
      <c r="O29" s="25">
        <f>Return!O29</f>
        <v>6.8554078471472213E-3</v>
      </c>
      <c r="P29" s="25">
        <f>Return!P29</f>
        <v>5.9630428630588206E-3</v>
      </c>
      <c r="Q29" s="25">
        <f>Return!Q29</f>
        <v>1.2276219898106122E-2</v>
      </c>
      <c r="R29" s="25">
        <f>Return!R29</f>
        <v>4.563814937567523E-3</v>
      </c>
      <c r="S29" s="25">
        <f>Return!S29</f>
        <v>8.5291811681253993E-3</v>
      </c>
      <c r="T29" s="25">
        <f>Return!T29</f>
        <v>1.0669954540810433E-2</v>
      </c>
      <c r="U29" s="25">
        <f>Return!U29</f>
        <v>1.2155528515067626E-3</v>
      </c>
      <c r="V29" s="25">
        <f>Return!V29</f>
        <v>2.7411728365149823E-3</v>
      </c>
      <c r="W29" s="25">
        <f>Return!W29</f>
        <v>-3.4523495255469605E-2</v>
      </c>
      <c r="X29" s="25">
        <f>Return!X29</f>
        <v>-2.4958892923820919E-3</v>
      </c>
      <c r="Y29" s="25">
        <f>Return!Y29</f>
        <v>-6.4025784663751528E-2</v>
      </c>
      <c r="AA29" s="4">
        <f t="shared" ref="AA29" si="17">F29</f>
        <v>42674</v>
      </c>
      <c r="AB29" s="36">
        <v>0.13</v>
      </c>
      <c r="AC29" s="36">
        <v>0.12</v>
      </c>
      <c r="AD29" s="36">
        <v>7.0000000000000007E-2</v>
      </c>
      <c r="AE29" s="36">
        <v>0.09</v>
      </c>
      <c r="AF29" s="36">
        <v>0.14000000000000001</v>
      </c>
      <c r="AG29" s="36">
        <v>0.01</v>
      </c>
      <c r="AH29" s="36">
        <v>0.1</v>
      </c>
      <c r="AI29" s="36">
        <v>7.0000000000000007E-2</v>
      </c>
      <c r="AJ29" s="36">
        <v>0.03</v>
      </c>
      <c r="AK29" s="36">
        <v>0.04</v>
      </c>
      <c r="AL29" s="36">
        <v>0.03</v>
      </c>
      <c r="AM29" s="36">
        <v>0.04</v>
      </c>
      <c r="AN29" s="36">
        <v>0.03</v>
      </c>
      <c r="AO29" s="36">
        <v>0.05</v>
      </c>
      <c r="AP29" s="36">
        <v>0.02</v>
      </c>
      <c r="AQ29" s="36">
        <v>0.01</v>
      </c>
      <c r="AR29" s="36">
        <v>0.01</v>
      </c>
      <c r="AS29" s="36">
        <v>0</v>
      </c>
      <c r="AT29" s="36">
        <v>0.01</v>
      </c>
      <c r="AU29" s="18">
        <f t="shared" ref="AU29" si="18">SUM(AB29:AT29)</f>
        <v>1.0000000000000002</v>
      </c>
    </row>
    <row r="30" spans="6:47" x14ac:dyDescent="0.2">
      <c r="F30" s="4">
        <f>Return!F30</f>
        <v>42704</v>
      </c>
      <c r="G30" s="25">
        <f>Return!G30</f>
        <v>-2.5132446862137892E-2</v>
      </c>
      <c r="H30" s="25">
        <f>Return!H30</f>
        <v>-2.7904401687201208E-2</v>
      </c>
      <c r="I30" s="25">
        <f>Return!I30</f>
        <v>4.3038022823793209E-2</v>
      </c>
      <c r="J30" s="25">
        <f>Return!J30</f>
        <v>1.5726022906179971E-2</v>
      </c>
      <c r="K30" s="25">
        <f>Return!K30</f>
        <v>2.1912077757349824E-2</v>
      </c>
      <c r="L30" s="25">
        <f>Return!L30</f>
        <v>2.5500077710073121E-2</v>
      </c>
      <c r="M30" s="25">
        <f>Return!M30</f>
        <v>5.2475288612551907E-2</v>
      </c>
      <c r="N30" s="25">
        <f>Return!N30</f>
        <v>4.2372352666640856E-2</v>
      </c>
      <c r="O30" s="25">
        <f>Return!O30</f>
        <v>3.2112763387595056E-2</v>
      </c>
      <c r="P30" s="25">
        <f>Return!P30</f>
        <v>2.3170747036836303E-2</v>
      </c>
      <c r="Q30" s="25">
        <f>Return!Q30</f>
        <v>3.9031883161521508E-2</v>
      </c>
      <c r="R30" s="25">
        <f>Return!R30</f>
        <v>1.1293277329191609E-2</v>
      </c>
      <c r="S30" s="25">
        <f>Return!S30</f>
        <v>6.493145863165628E-3</v>
      </c>
      <c r="T30" s="25">
        <f>Return!T30</f>
        <v>2.0715922244300522E-2</v>
      </c>
      <c r="U30" s="25">
        <f>Return!U30</f>
        <v>7.0988187371026079E-3</v>
      </c>
      <c r="V30" s="25">
        <f>Return!V30</f>
        <v>2.0310747988528499E-2</v>
      </c>
      <c r="W30" s="25">
        <f>Return!W30</f>
        <v>-2.7529839167058534E-2</v>
      </c>
      <c r="X30" s="25">
        <f>Return!X30</f>
        <v>-1.5691570917905739E-2</v>
      </c>
      <c r="Y30" s="25">
        <f>Return!Y30</f>
        <v>-3.6909348594443947E-2</v>
      </c>
      <c r="AA30" s="4">
        <f t="shared" ref="AA30" si="19">F30</f>
        <v>42704</v>
      </c>
      <c r="AB30" s="36">
        <v>0.13</v>
      </c>
      <c r="AC30" s="36">
        <v>0.12</v>
      </c>
      <c r="AD30" s="36">
        <v>7.0000000000000007E-2</v>
      </c>
      <c r="AE30" s="36">
        <v>0.09</v>
      </c>
      <c r="AF30" s="36">
        <v>0.14000000000000001</v>
      </c>
      <c r="AG30" s="36">
        <v>0.01</v>
      </c>
      <c r="AH30" s="36">
        <v>0.1</v>
      </c>
      <c r="AI30" s="36">
        <v>7.0000000000000007E-2</v>
      </c>
      <c r="AJ30" s="36">
        <v>0.03</v>
      </c>
      <c r="AK30" s="36">
        <v>0.04</v>
      </c>
      <c r="AL30" s="36">
        <v>0.03</v>
      </c>
      <c r="AM30" s="36">
        <v>0.04</v>
      </c>
      <c r="AN30" s="36">
        <v>0.03</v>
      </c>
      <c r="AO30" s="36">
        <v>0.05</v>
      </c>
      <c r="AP30" s="36">
        <v>0.02</v>
      </c>
      <c r="AQ30" s="36">
        <v>0.01</v>
      </c>
      <c r="AR30" s="36">
        <v>0.01</v>
      </c>
      <c r="AS30" s="36">
        <v>0</v>
      </c>
      <c r="AT30" s="36">
        <v>0.01</v>
      </c>
      <c r="AU30" s="18">
        <f t="shared" ref="AU30:AU31" si="20">SUM(AB30:AT30)</f>
        <v>1.0000000000000002</v>
      </c>
    </row>
    <row r="31" spans="6:47" x14ac:dyDescent="0.2">
      <c r="F31" s="4">
        <f>Return!F31</f>
        <v>42734</v>
      </c>
      <c r="G31" s="25">
        <f>Return!G31</f>
        <v>6.228748431348438E-3</v>
      </c>
      <c r="H31" s="25">
        <f>Return!H31</f>
        <v>2.9586434935071565E-3</v>
      </c>
      <c r="I31" s="25">
        <f>Return!I31</f>
        <v>2.3131986457217847E-2</v>
      </c>
      <c r="J31" s="25">
        <f>Return!J31</f>
        <v>2.0663068212322385E-2</v>
      </c>
      <c r="K31" s="25">
        <f>Return!K31</f>
        <v>2.0687169464583016E-2</v>
      </c>
      <c r="L31" s="25">
        <f>Return!L31</f>
        <v>-1.436798281151251E-2</v>
      </c>
      <c r="M31" s="25">
        <f>Return!M31</f>
        <v>2.1182097168647277E-2</v>
      </c>
      <c r="N31" s="25">
        <f>Return!N31</f>
        <v>1.9448782749766001E-2</v>
      </c>
      <c r="O31" s="25">
        <f>Return!O31</f>
        <v>2.2751933438463906E-2</v>
      </c>
      <c r="P31" s="25">
        <f>Return!P31</f>
        <v>2.1239196588747497E-2</v>
      </c>
      <c r="Q31" s="25">
        <f>Return!Q31</f>
        <v>-1.3654340320957936E-2</v>
      </c>
      <c r="R31" s="25">
        <f>Return!R31</f>
        <v>1.8284543524416108E-2</v>
      </c>
      <c r="S31" s="25">
        <f>Return!S31</f>
        <v>1.9445036537380542E-2</v>
      </c>
      <c r="T31" s="25">
        <f>Return!T31</f>
        <v>2.0867686976609821E-2</v>
      </c>
      <c r="U31" s="25">
        <f>Return!U31</f>
        <v>1.388464789021848E-2</v>
      </c>
      <c r="V31" s="25">
        <f>Return!V31</f>
        <v>1.5016773048179863E-2</v>
      </c>
      <c r="W31" s="25">
        <f>Return!W31</f>
        <v>-2.8362344480156756E-2</v>
      </c>
      <c r="X31" s="25">
        <f>Return!X31</f>
        <v>-2.8869331581236411E-2</v>
      </c>
      <c r="Y31" s="25">
        <f>Return!Y31</f>
        <v>-1.1454137416118705E-2</v>
      </c>
      <c r="AA31" s="5">
        <v>42734</v>
      </c>
      <c r="AB31" s="43">
        <v>0.14120858349976745</v>
      </c>
      <c r="AC31" s="44">
        <v>0.1274690973751248</v>
      </c>
      <c r="AD31" s="43">
        <v>6.339403960404115E-2</v>
      </c>
      <c r="AE31" s="44">
        <v>8.917869906541212E-2</v>
      </c>
      <c r="AF31" s="44">
        <v>0.14391704321133558</v>
      </c>
      <c r="AG31" s="44">
        <v>9.2403115695207302E-3</v>
      </c>
      <c r="AH31" s="43">
        <v>9.7811526390461659E-2</v>
      </c>
      <c r="AI31" s="44">
        <v>6.7805804991681651E-2</v>
      </c>
      <c r="AJ31" s="44">
        <v>3.4166999038227903E-2</v>
      </c>
      <c r="AK31" s="44">
        <v>3.8732876165063351E-2</v>
      </c>
      <c r="AL31" s="44">
        <v>2.5262992117648035E-2</v>
      </c>
      <c r="AM31" s="43">
        <v>3.4826419159960161E-2</v>
      </c>
      <c r="AN31" s="44">
        <v>3.1589232580995795E-2</v>
      </c>
      <c r="AO31" s="44">
        <v>4.8143137491487992E-2</v>
      </c>
      <c r="AP31" s="43">
        <v>1.6579315647082347E-2</v>
      </c>
      <c r="AQ31" s="44">
        <v>1.37118555341742E-2</v>
      </c>
      <c r="AR31" s="43">
        <v>6.5545178589768768E-3</v>
      </c>
      <c r="AS31" s="43">
        <v>3.8291247840689254E-3</v>
      </c>
      <c r="AT31" s="43">
        <v>6.5784239149693008E-3</v>
      </c>
      <c r="AU31" s="18">
        <f t="shared" si="20"/>
        <v>1.0000000000000002</v>
      </c>
    </row>
    <row r="33" spans="27:47" ht="15" x14ac:dyDescent="0.25">
      <c r="AA33" s="39" t="s">
        <v>27</v>
      </c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14"/>
      <c r="AT33" s="14"/>
      <c r="AU33" s="16"/>
    </row>
    <row r="34" spans="27:47" ht="39" x14ac:dyDescent="0.25">
      <c r="AA34" s="6" t="s">
        <v>0</v>
      </c>
      <c r="AB34" s="6" t="s">
        <v>1</v>
      </c>
      <c r="AC34" s="7" t="s">
        <v>4</v>
      </c>
      <c r="AD34" s="7" t="s">
        <v>24</v>
      </c>
      <c r="AE34" s="7" t="s">
        <v>2</v>
      </c>
      <c r="AF34" s="7" t="s">
        <v>5</v>
      </c>
      <c r="AG34" s="7" t="s">
        <v>8</v>
      </c>
      <c r="AH34" s="7" t="s">
        <v>25</v>
      </c>
      <c r="AI34" s="7" t="s">
        <v>3</v>
      </c>
      <c r="AJ34" s="7" t="s">
        <v>6</v>
      </c>
      <c r="AK34" s="7" t="s">
        <v>9</v>
      </c>
      <c r="AL34" s="7" t="s">
        <v>12</v>
      </c>
      <c r="AM34" s="7" t="s">
        <v>7</v>
      </c>
      <c r="AN34" s="7" t="s">
        <v>10</v>
      </c>
      <c r="AO34" s="7" t="s">
        <v>13</v>
      </c>
      <c r="AP34" s="7" t="s">
        <v>11</v>
      </c>
      <c r="AQ34" s="7" t="s">
        <v>14</v>
      </c>
      <c r="AR34" s="7" t="s">
        <v>15</v>
      </c>
      <c r="AS34" s="6" t="s">
        <v>16</v>
      </c>
      <c r="AT34" s="7" t="s">
        <v>17</v>
      </c>
      <c r="AU34" s="17" t="s">
        <v>22</v>
      </c>
    </row>
    <row r="35" spans="27:47" x14ac:dyDescent="0.2">
      <c r="AA35" s="4">
        <f>F8</f>
        <v>42034</v>
      </c>
      <c r="AB35" s="26">
        <f>G8*AB8</f>
        <v>-1.4207350765143704E-2</v>
      </c>
      <c r="AC35" s="26">
        <f>H8*AC8</f>
        <v>-1.2061270631290165E-2</v>
      </c>
      <c r="AD35" s="26">
        <f>I8*AD8</f>
        <v>0</v>
      </c>
      <c r="AE35" s="26">
        <f>J8*AE8</f>
        <v>-1.4074728785817779E-2</v>
      </c>
      <c r="AF35" s="26">
        <f>K8*AF8</f>
        <v>-1.7550169409448337E-2</v>
      </c>
      <c r="AG35" s="26">
        <f>L8*AG8</f>
        <v>-1.0352144704414738E-3</v>
      </c>
      <c r="AH35" s="26">
        <f>M8*AH8</f>
        <v>0</v>
      </c>
      <c r="AI35" s="26">
        <f>N8*AI8</f>
        <v>-1.3521045788799556E-2</v>
      </c>
      <c r="AJ35" s="26">
        <f>O8*AJ8</f>
        <v>-3.9098874894073427E-3</v>
      </c>
      <c r="AK35" s="26">
        <f>P8*AK8</f>
        <v>-3.9099042784805794E-3</v>
      </c>
      <c r="AL35" s="26">
        <f>Q8*AL8</f>
        <v>-2.0814776014493161E-3</v>
      </c>
      <c r="AM35" s="26">
        <f>R8*AM8</f>
        <v>-2.7180579867551197E-3</v>
      </c>
      <c r="AN35" s="26">
        <f>S8*AN8</f>
        <v>-2.64117389974604E-3</v>
      </c>
      <c r="AO35" s="26">
        <f>T8*AO8</f>
        <v>-2.2326545045217249E-3</v>
      </c>
      <c r="AP35" s="26">
        <f>U8*AP8</f>
        <v>-1.14238016378485E-3</v>
      </c>
      <c r="AQ35" s="26">
        <f>V8*AQ8</f>
        <v>-6.7550106709571495E-4</v>
      </c>
      <c r="AR35" s="26">
        <f>W8*AR8</f>
        <v>1.1878782193645951E-3</v>
      </c>
      <c r="AS35" s="26">
        <f>X8*AS8</f>
        <v>5.350345820434257E-4</v>
      </c>
      <c r="AT35" s="26">
        <f>Y8*AT8</f>
        <v>6.7007997342069991E-4</v>
      </c>
      <c r="AU35" s="27">
        <f t="shared" ref="AU35:AU38" si="21">SUM(AB35:AT35)</f>
        <v>-8.9367824067352983E-2</v>
      </c>
    </row>
    <row r="36" spans="27:47" x14ac:dyDescent="0.2">
      <c r="AA36" s="5">
        <f>F9</f>
        <v>42062</v>
      </c>
      <c r="AB36" s="26">
        <f>G9*AB9</f>
        <v>5.8002259907466835E-3</v>
      </c>
      <c r="AC36" s="26">
        <f>H9*AC9</f>
        <v>4.2069014581138818E-3</v>
      </c>
      <c r="AD36" s="26">
        <f>I9*AD9</f>
        <v>0</v>
      </c>
      <c r="AE36" s="26">
        <f>J9*AE9</f>
        <v>8.734360775549798E-3</v>
      </c>
      <c r="AF36" s="26">
        <f>K9*AF9</f>
        <v>8.3583001950976264E-3</v>
      </c>
      <c r="AG36" s="26">
        <f>L9*AG9</f>
        <v>6.1532891977234471E-4</v>
      </c>
      <c r="AH36" s="26">
        <f>M9*AH9</f>
        <v>0</v>
      </c>
      <c r="AI36" s="26">
        <f>N9*AI9</f>
        <v>1.0603715179818566E-2</v>
      </c>
      <c r="AJ36" s="26">
        <f>O9*AJ9</f>
        <v>2.8092571070113155E-3</v>
      </c>
      <c r="AK36" s="26">
        <f>P9*AK9</f>
        <v>2.6869103830769198E-3</v>
      </c>
      <c r="AL36" s="26">
        <f>Q9*AL9</f>
        <v>2.0063262829631955E-3</v>
      </c>
      <c r="AM36" s="26">
        <f>R9*AM9</f>
        <v>1.9407404513704693E-3</v>
      </c>
      <c r="AN36" s="26">
        <f>S9*AN9</f>
        <v>2.2973496128137569E-3</v>
      </c>
      <c r="AO36" s="26">
        <f>T9*AO9</f>
        <v>2.7386802735611753E-3</v>
      </c>
      <c r="AP36" s="26">
        <f>U9*AP9</f>
        <v>1.1804986065282995E-3</v>
      </c>
      <c r="AQ36" s="26">
        <f>V9*AQ9</f>
        <v>1.0076650492701412E-3</v>
      </c>
      <c r="AR36" s="26">
        <f>W9*AR9</f>
        <v>-3.4587319053954025E-5</v>
      </c>
      <c r="AS36" s="26">
        <f>X9*AS9</f>
        <v>9.3517563127764396E-5</v>
      </c>
      <c r="AT36" s="26">
        <f>Y9*AT9</f>
        <v>2.4392528951820149E-4</v>
      </c>
      <c r="AU36" s="27">
        <f t="shared" si="21"/>
        <v>5.528911581928618E-2</v>
      </c>
    </row>
    <row r="37" spans="27:47" x14ac:dyDescent="0.2">
      <c r="AA37" s="5">
        <f>F10</f>
        <v>42094</v>
      </c>
      <c r="AB37" s="26">
        <f>G10*AB10</f>
        <v>8.8242820031429053E-4</v>
      </c>
      <c r="AC37" s="26">
        <f>H10*AC10</f>
        <v>1.0482659148428369E-3</v>
      </c>
      <c r="AD37" s="26">
        <f>I10*AD10</f>
        <v>0</v>
      </c>
      <c r="AE37" s="26">
        <f>J10*AE10</f>
        <v>-3.3902514917871893E-4</v>
      </c>
      <c r="AF37" s="26">
        <f>K10*AF10</f>
        <v>1.5482268709885835E-3</v>
      </c>
      <c r="AG37" s="26">
        <f>L10*AG10</f>
        <v>1.9290308797155131E-4</v>
      </c>
      <c r="AH37" s="26">
        <f>M10*AH10</f>
        <v>0</v>
      </c>
      <c r="AI37" s="26">
        <f>N10*AI10</f>
        <v>-1.1028338787321694E-3</v>
      </c>
      <c r="AJ37" s="26">
        <f>O10*AJ10</f>
        <v>5.2149816658907371E-4</v>
      </c>
      <c r="AK37" s="26">
        <f>P10*AK10</f>
        <v>6.8893836477768066E-4</v>
      </c>
      <c r="AL37" s="26">
        <f>Q10*AL10</f>
        <v>5.5446021948541856E-4</v>
      </c>
      <c r="AM37" s="26">
        <f>R10*AM10</f>
        <v>1.2657254982644894E-3</v>
      </c>
      <c r="AN37" s="26">
        <f>S10*AN10</f>
        <v>8.8172801306389884E-4</v>
      </c>
      <c r="AO37" s="26">
        <f>T10*AO10</f>
        <v>1.8705989191404159E-3</v>
      </c>
      <c r="AP37" s="26">
        <f>U10*AP10</f>
        <v>5.7754317871201374E-4</v>
      </c>
      <c r="AQ37" s="26">
        <f>V10*AQ10</f>
        <v>6.2694380409408247E-4</v>
      </c>
      <c r="AR37" s="26">
        <f>W10*AR10</f>
        <v>1.0649554755074657E-3</v>
      </c>
      <c r="AS37" s="26">
        <f>X10*AS10</f>
        <v>6.5872221950094394E-4</v>
      </c>
      <c r="AT37" s="26">
        <f>Y10*AT10</f>
        <v>8.5398963878690335E-4</v>
      </c>
      <c r="AU37" s="27">
        <f t="shared" si="21"/>
        <v>1.179506854412876E-2</v>
      </c>
    </row>
    <row r="38" spans="27:47" x14ac:dyDescent="0.2">
      <c r="AA38" s="5">
        <f>F11</f>
        <v>42124</v>
      </c>
      <c r="AB38" s="26">
        <f>G11*AB11</f>
        <v>-9.3678984823258589E-4</v>
      </c>
      <c r="AC38" s="26">
        <f>H11*AC11</f>
        <v>-1.2566678092420433E-3</v>
      </c>
      <c r="AD38" s="26">
        <f>I11*AD11</f>
        <v>2.6900756381567294E-3</v>
      </c>
      <c r="AE38" s="26">
        <f>J11*AE11</f>
        <v>1.0633699723896269E-3</v>
      </c>
      <c r="AF38" s="26">
        <f>K11*AF11</f>
        <v>1.1885679193175875E-3</v>
      </c>
      <c r="AG38" s="26">
        <f>L11*AG11</f>
        <v>7.2011751286546496E-5</v>
      </c>
      <c r="AH38" s="26">
        <f>M11*AH11</f>
        <v>3.3577868342639949E-3</v>
      </c>
      <c r="AI38" s="26">
        <f>N11*AI11</f>
        <v>2.1115437771951975E-3</v>
      </c>
      <c r="AJ38" s="26">
        <f>O11*AJ11</f>
        <v>6.1601473756812519E-4</v>
      </c>
      <c r="AK38" s="26">
        <f>P11*AK11</f>
        <v>4.9783673914334243E-4</v>
      </c>
      <c r="AL38" s="26">
        <f>Q11*AL11</f>
        <v>3.4824843944844644E-4</v>
      </c>
      <c r="AM38" s="26">
        <f>R11*AM11</f>
        <v>4.1542949238935735E-4</v>
      </c>
      <c r="AN38" s="26">
        <f>S11*AN11</f>
        <v>3.5752962677609119E-4</v>
      </c>
      <c r="AO38" s="26">
        <f>T11*AO11</f>
        <v>5.6448961850672321E-4</v>
      </c>
      <c r="AP38" s="26">
        <f>U11*AP11</f>
        <v>3.0167342979701018E-4</v>
      </c>
      <c r="AQ38" s="26">
        <f>V11*AQ11</f>
        <v>2.4000072846332477E-4</v>
      </c>
      <c r="AR38" s="26">
        <f>W11*AR11</f>
        <v>1.0735911481689908E-4</v>
      </c>
      <c r="AS38" s="26">
        <f>X11*AS11</f>
        <v>6.365926329379178E-5</v>
      </c>
      <c r="AT38" s="26">
        <f>Y11*AT11</f>
        <v>1.0977427802817448E-4</v>
      </c>
      <c r="AU38" s="27">
        <f t="shared" si="21"/>
        <v>1.1911913703366339E-2</v>
      </c>
    </row>
    <row r="39" spans="27:47" x14ac:dyDescent="0.2">
      <c r="AA39" s="5">
        <f>F12</f>
        <v>42153</v>
      </c>
      <c r="AB39" s="26">
        <f>G12*AB12</f>
        <v>-3.701432526936613E-3</v>
      </c>
      <c r="AC39" s="26">
        <f>H12*AC12</f>
        <v>-4.4175088236516717E-3</v>
      </c>
      <c r="AD39" s="26">
        <f>I12*AD12</f>
        <v>-1.0535449607472213E-4</v>
      </c>
      <c r="AE39" s="26">
        <f>J12*AE12</f>
        <v>-7.1561257787276084E-4</v>
      </c>
      <c r="AF39" s="26">
        <f>K12*AF12</f>
        <v>-3.5968350985822167E-3</v>
      </c>
      <c r="AG39" s="26">
        <f>L12*AG12</f>
        <v>-2.7386944930088609E-4</v>
      </c>
      <c r="AH39" s="26">
        <f>M12*AH12</f>
        <v>1.9111807506299557E-3</v>
      </c>
      <c r="AI39" s="26">
        <f>N12*AI12</f>
        <v>3.7710871028086946E-4</v>
      </c>
      <c r="AJ39" s="26">
        <f>O12*AJ12</f>
        <v>-3.1135691397905026E-4</v>
      </c>
      <c r="AK39" s="26">
        <f>P12*AK12</f>
        <v>-5.3522629722983555E-4</v>
      </c>
      <c r="AL39" s="26">
        <f>Q12*AL12</f>
        <v>-5.2812998444927244E-4</v>
      </c>
      <c r="AM39" s="26">
        <f>R12*AM12</f>
        <v>-7.7429771598898128E-4</v>
      </c>
      <c r="AN39" s="26">
        <f>S12*AN12</f>
        <v>-8.7700414444116727E-4</v>
      </c>
      <c r="AO39" s="26">
        <f>T12*AO12</f>
        <v>-1.585204772167301E-3</v>
      </c>
      <c r="AP39" s="26">
        <f>U12*AP12</f>
        <v>-2.6104959669561047E-4</v>
      </c>
      <c r="AQ39" s="26">
        <f>V12*AQ12</f>
        <v>-2.6089367706173881E-4</v>
      </c>
      <c r="AR39" s="26">
        <f>W12*AR12</f>
        <v>-5.4588200792737916E-4</v>
      </c>
      <c r="AS39" s="26">
        <f>X12*AS12</f>
        <v>-2.1470953705976615E-4</v>
      </c>
      <c r="AT39" s="26">
        <f>Y12*AT12</f>
        <v>-2.2463288813703673E-4</v>
      </c>
      <c r="AU39" s="27">
        <f t="shared" ref="AU39" si="22">SUM(AB39:AT39)</f>
        <v>-1.6640711046645183E-2</v>
      </c>
    </row>
    <row r="40" spans="27:47" x14ac:dyDescent="0.2">
      <c r="AA40" s="5">
        <f>F13</f>
        <v>42185</v>
      </c>
      <c r="AB40" s="26">
        <f>G13*AB13</f>
        <v>-4.0591568298225002E-3</v>
      </c>
      <c r="AC40" s="26">
        <f>H13*AC13</f>
        <v>-4.0431701033856998E-3</v>
      </c>
      <c r="AD40" s="26">
        <f>I13*AD13</f>
        <v>-8.7237330203262121E-4</v>
      </c>
      <c r="AE40" s="26">
        <f>J13*AE13</f>
        <v>-1.4312164354350748E-4</v>
      </c>
      <c r="AF40" s="26">
        <f>K13*AF13</f>
        <v>-1.1286565810478648E-3</v>
      </c>
      <c r="AG40" s="26">
        <f>L13*AG13</f>
        <v>-1.2410764081724655E-4</v>
      </c>
      <c r="AH40" s="26">
        <f>M13*AH13</f>
        <v>2.4847066647543273E-3</v>
      </c>
      <c r="AI40" s="26">
        <f>N13*AI13</f>
        <v>2.7573529358897422E-3</v>
      </c>
      <c r="AJ40" s="26">
        <f>O13*AJ13</f>
        <v>2.536912251711562E-4</v>
      </c>
      <c r="AK40" s="26">
        <f>P13*AK13</f>
        <v>-9.8909520796206248E-5</v>
      </c>
      <c r="AL40" s="26">
        <f>Q13*AL13</f>
        <v>-2.552991216484113E-4</v>
      </c>
      <c r="AM40" s="26">
        <f>R13*AM13</f>
        <v>5.7007804864814951E-5</v>
      </c>
      <c r="AN40" s="26">
        <f>S13*AN13</f>
        <v>-7.0863065881056851E-5</v>
      </c>
      <c r="AO40" s="26">
        <f>T13*AO13</f>
        <v>-6.8650295439515673E-4</v>
      </c>
      <c r="AP40" s="26">
        <f>U13*AP13</f>
        <v>-6.2279176994321778E-5</v>
      </c>
      <c r="AQ40" s="26">
        <f>V13*AQ13</f>
        <v>-1.1809412663220511E-4</v>
      </c>
      <c r="AR40" s="26">
        <f>W13*AR13</f>
        <v>-2.9548980967039585E-4</v>
      </c>
      <c r="AS40" s="26">
        <f>X13*AS13</f>
        <v>-1.134347351559241E-4</v>
      </c>
      <c r="AT40" s="26">
        <f>Y13*AT13</f>
        <v>-7.8160772410222084E-5</v>
      </c>
      <c r="AU40" s="27">
        <f t="shared" ref="AU40:AU45" si="23">SUM(AB40:AT40)</f>
        <v>-6.5968607535533009E-3</v>
      </c>
    </row>
    <row r="41" spans="27:47" x14ac:dyDescent="0.2">
      <c r="AA41" s="5">
        <f>F14</f>
        <v>42216</v>
      </c>
      <c r="AB41" s="26">
        <f>G14*AB14</f>
        <v>1.9097827395830474E-3</v>
      </c>
      <c r="AC41" s="26">
        <f>H14*AC14</f>
        <v>1.151629195529651E-3</v>
      </c>
      <c r="AD41" s="26">
        <f>I14*AD14</f>
        <v>1.1775912648854692E-3</v>
      </c>
      <c r="AE41" s="26">
        <f>J14*AE14</f>
        <v>1.0557999551416076E-3</v>
      </c>
      <c r="AF41" s="26">
        <f>K14*AF14</f>
        <v>7.3429324934561784E-4</v>
      </c>
      <c r="AG41" s="26">
        <f>L14*AG14</f>
        <v>6.6847609554234228E-5</v>
      </c>
      <c r="AH41" s="26">
        <f>M14*AH14</f>
        <v>1.4261234457953278E-3</v>
      </c>
      <c r="AI41" s="26">
        <f>N14*AI14</f>
        <v>7.8832927429530397E-4</v>
      </c>
      <c r="AJ41" s="26">
        <f>O14*AJ14</f>
        <v>3.4908820252506947E-5</v>
      </c>
      <c r="AK41" s="26">
        <f>P14*AK14</f>
        <v>3.2319322658708833E-4</v>
      </c>
      <c r="AL41" s="26">
        <f>Q14*AL14</f>
        <v>3.7139431498934503E-4</v>
      </c>
      <c r="AM41" s="26">
        <f>R14*AM14</f>
        <v>4.0587744974058436E-4</v>
      </c>
      <c r="AN41" s="26">
        <f>S14*AN14</f>
        <v>4.4836952782464082E-4</v>
      </c>
      <c r="AO41" s="26">
        <f>T14*AO14</f>
        <v>8.7992749745057538E-4</v>
      </c>
      <c r="AP41" s="26">
        <f>U14*AP14</f>
        <v>2.4631715784605629E-4</v>
      </c>
      <c r="AQ41" s="26">
        <f>V14*AQ14</f>
        <v>2.4811471128945801E-4</v>
      </c>
      <c r="AR41" s="26">
        <f>W14*AR14</f>
        <v>1.6142937078474578E-4</v>
      </c>
      <c r="AS41" s="26">
        <f>X14*AS14</f>
        <v>1.6328716861853607E-4</v>
      </c>
      <c r="AT41" s="26">
        <f>Y14*AT14</f>
        <v>2.1563621230355501E-4</v>
      </c>
      <c r="AU41" s="27">
        <f t="shared" si="23"/>
        <v>1.180885219181735E-2</v>
      </c>
    </row>
    <row r="42" spans="27:47" x14ac:dyDescent="0.2">
      <c r="AA42" s="5">
        <f>F15</f>
        <v>42247</v>
      </c>
      <c r="AB42" s="26">
        <f>G15*AB15</f>
        <v>-1.3100436774361236E-3</v>
      </c>
      <c r="AC42" s="26">
        <f>H15*AC15</f>
        <v>-1.4098827698832553E-3</v>
      </c>
      <c r="AD42" s="26">
        <f>I15*AD15</f>
        <v>-8.0794573467757942E-4</v>
      </c>
      <c r="AE42" s="26">
        <f>J15*AE15</f>
        <v>-1.7718548425402962E-3</v>
      </c>
      <c r="AF42" s="26">
        <f>K15*AF15</f>
        <v>-2.5265845411228398E-3</v>
      </c>
      <c r="AG42" s="26">
        <f>L15*AG15</f>
        <v>-2.140612831579509E-4</v>
      </c>
      <c r="AH42" s="26">
        <f>M15*AH15</f>
        <v>-1.3115188277638158E-3</v>
      </c>
      <c r="AI42" s="26">
        <f>N15*AI15</f>
        <v>-1.6764397752536205E-3</v>
      </c>
      <c r="AJ42" s="26">
        <f>O15*AJ15</f>
        <v>-6.38397779322717E-4</v>
      </c>
      <c r="AK42" s="26">
        <f>P15*AK15</f>
        <v>-7.3776944149443583E-4</v>
      </c>
      <c r="AL42" s="26">
        <f>Q15*AL15</f>
        <v>-5.2511229025703412E-4</v>
      </c>
      <c r="AM42" s="26">
        <f>R15*AM15</f>
        <v>-4.0453923206076734E-4</v>
      </c>
      <c r="AN42" s="26">
        <f>S15*AN15</f>
        <v>-3.544806471354751E-4</v>
      </c>
      <c r="AO42" s="26">
        <f>T15*AO15</f>
        <v>-8.4348798496287924E-4</v>
      </c>
      <c r="AP42" s="26">
        <f>U15*AP15</f>
        <v>-1.8702836919617352E-4</v>
      </c>
      <c r="AQ42" s="26">
        <f>V15*AQ15</f>
        <v>-1.3414344447823211E-4</v>
      </c>
      <c r="AR42" s="26">
        <f>W15*AR15</f>
        <v>-2.0819441129035188E-4</v>
      </c>
      <c r="AS42" s="26">
        <f>X15*AS15</f>
        <v>-1.5451911005317143E-4</v>
      </c>
      <c r="AT42" s="26">
        <f>Y15*AT15</f>
        <v>-6.6503165034815698E-5</v>
      </c>
      <c r="AU42" s="27">
        <f t="shared" si="23"/>
        <v>-1.5282507327121535E-2</v>
      </c>
    </row>
    <row r="43" spans="27:47" x14ac:dyDescent="0.2">
      <c r="AA43" s="5">
        <f>F16</f>
        <v>42277</v>
      </c>
      <c r="AB43" s="26">
        <f>G16*AB16</f>
        <v>-7.8060478042403492E-4</v>
      </c>
      <c r="AC43" s="26">
        <f>H16*AC16</f>
        <v>-6.6907193344025546E-4</v>
      </c>
      <c r="AD43" s="26">
        <f>I16*AD16</f>
        <v>-3.1654787558014818E-4</v>
      </c>
      <c r="AE43" s="26">
        <f>J16*AE16</f>
        <v>-1.0599087150198335E-3</v>
      </c>
      <c r="AF43" s="26">
        <f>K16*AF16</f>
        <v>-2.0946223357915972E-3</v>
      </c>
      <c r="AG43" s="26">
        <f>L16*AG16</f>
        <v>-1.5686708552440878E-4</v>
      </c>
      <c r="AH43" s="26">
        <f>M16*AH16</f>
        <v>-1.4566406904380326E-3</v>
      </c>
      <c r="AI43" s="26">
        <f>N16*AI16</f>
        <v>-1.2863605944907052E-3</v>
      </c>
      <c r="AJ43" s="26">
        <f>O16*AJ16</f>
        <v>-7.9676211414694787E-4</v>
      </c>
      <c r="AK43" s="26">
        <f>P16*AK16</f>
        <v>-8.6568979274874588E-4</v>
      </c>
      <c r="AL43" s="26">
        <f>Q16*AL16</f>
        <v>-6.3808644034358197E-4</v>
      </c>
      <c r="AM43" s="26">
        <f>R16*AM16</f>
        <v>-1.1410067467424562E-3</v>
      </c>
      <c r="AN43" s="26">
        <f>S16*AN16</f>
        <v>-1.1332764094066699E-3</v>
      </c>
      <c r="AO43" s="26">
        <f>T16*AO16</f>
        <v>-1.8101788566435115E-3</v>
      </c>
      <c r="AP43" s="26">
        <f>U16*AP16</f>
        <v>-7.098582391055E-4</v>
      </c>
      <c r="AQ43" s="26">
        <f>V16*AQ16</f>
        <v>-6.1986684826801025E-4</v>
      </c>
      <c r="AR43" s="26">
        <f>W16*AR16</f>
        <v>-3.6405379312531777E-5</v>
      </c>
      <c r="AS43" s="26">
        <f>X16*AS16</f>
        <v>-1.6476762872011987E-4</v>
      </c>
      <c r="AT43" s="26">
        <f>Y16*AT16</f>
        <v>-1.4163576608943934E-4</v>
      </c>
      <c r="AU43" s="27">
        <f t="shared" si="23"/>
        <v>-1.5878158232236532E-2</v>
      </c>
    </row>
    <row r="44" spans="27:47" x14ac:dyDescent="0.2">
      <c r="AA44" s="5">
        <f>F17</f>
        <v>42307</v>
      </c>
      <c r="AB44" s="26">
        <f>G17*AB17</f>
        <v>-9.9222792559444688E-5</v>
      </c>
      <c r="AC44" s="26">
        <f>H17*AC17</f>
        <v>2.6578804472462877E-4</v>
      </c>
      <c r="AD44" s="26">
        <f>I17*AD17</f>
        <v>-5.7442552591844642E-4</v>
      </c>
      <c r="AE44" s="26">
        <f>J17*AE17</f>
        <v>-8.6550326773260908E-4</v>
      </c>
      <c r="AF44" s="26">
        <f>K17*AF17</f>
        <v>-5.5511403662619968E-4</v>
      </c>
      <c r="AG44" s="26">
        <f>L17*AG17</f>
        <v>-1.1279866529270481E-5</v>
      </c>
      <c r="AH44" s="26">
        <f>M17*AH17</f>
        <v>-2.965400571380247E-4</v>
      </c>
      <c r="AI44" s="26">
        <f>N17*AI17</f>
        <v>-4.0835951785934136E-5</v>
      </c>
      <c r="AJ44" s="26">
        <f>O17*AJ17</f>
        <v>5.2471831694569395E-5</v>
      </c>
      <c r="AK44" s="26">
        <f>P17*AK17</f>
        <v>8.6185260516573784E-5</v>
      </c>
      <c r="AL44" s="26">
        <f>Q17*AL17</f>
        <v>1.1180517601559257E-4</v>
      </c>
      <c r="AM44" s="26">
        <f>R17*AM17</f>
        <v>-5.3284565537168026E-6</v>
      </c>
      <c r="AN44" s="26">
        <f>S17*AN17</f>
        <v>8.0932871682464522E-5</v>
      </c>
      <c r="AO44" s="26">
        <f>T17*AO17</f>
        <v>2.1270465611031614E-4</v>
      </c>
      <c r="AP44" s="26">
        <f>U17*AP17</f>
        <v>1.1810014172719514E-5</v>
      </c>
      <c r="AQ44" s="26">
        <f>V17*AQ17</f>
        <v>2.8520702711645768E-6</v>
      </c>
      <c r="AR44" s="26">
        <f>W17*AR17</f>
        <v>1.6008201090362718E-4</v>
      </c>
      <c r="AS44" s="26">
        <f>X17*AS17</f>
        <v>6.0920543310676769E-5</v>
      </c>
      <c r="AT44" s="26">
        <f>Y17*AT17</f>
        <v>9.3410277510191166E-5</v>
      </c>
      <c r="AU44" s="27">
        <f t="shared" si="23"/>
        <v>-1.3092871979311221E-3</v>
      </c>
    </row>
    <row r="45" spans="27:47" x14ac:dyDescent="0.2">
      <c r="AA45" s="5">
        <f>F18</f>
        <v>42338</v>
      </c>
      <c r="AB45" s="26">
        <f>G18*AB18</f>
        <v>6.9926343649771015E-4</v>
      </c>
      <c r="AC45" s="26">
        <f>H18*AC18</f>
        <v>1.2737431716198166E-3</v>
      </c>
      <c r="AD45" s="26">
        <f>I18*AD18</f>
        <v>1.7703165632329478E-3</v>
      </c>
      <c r="AE45" s="26">
        <f>J18*AE18</f>
        <v>1.1924435409746237E-3</v>
      </c>
      <c r="AF45" s="26">
        <f>K18*AF18</f>
        <v>2.4885976354964748E-3</v>
      </c>
      <c r="AG45" s="26">
        <f>L18*AG18</f>
        <v>1.5357563917548945E-4</v>
      </c>
      <c r="AH45" s="26">
        <f>M18*AH18</f>
        <v>2.2346219978129022E-3</v>
      </c>
      <c r="AI45" s="26">
        <f>N18*AI18</f>
        <v>1.654078642606316E-3</v>
      </c>
      <c r="AJ45" s="26">
        <f>O18*AJ18</f>
        <v>6.0565205552837176E-4</v>
      </c>
      <c r="AK45" s="26">
        <f>P18*AK18</f>
        <v>7.9099023154149072E-4</v>
      </c>
      <c r="AL45" s="26">
        <f>Q18*AL18</f>
        <v>1.3731529074187886E-3</v>
      </c>
      <c r="AM45" s="26">
        <f>R18*AM18</f>
        <v>7.437245895658951E-4</v>
      </c>
      <c r="AN45" s="26">
        <f>S18*AN18</f>
        <v>5.3831217815670574E-4</v>
      </c>
      <c r="AO45" s="26">
        <f>T18*AO18</f>
        <v>1.550415652203463E-3</v>
      </c>
      <c r="AP45" s="26">
        <f>U18*AP18</f>
        <v>3.6770251269422353E-4</v>
      </c>
      <c r="AQ45" s="26">
        <f>V18*AQ18</f>
        <v>1.7723390603125556E-4</v>
      </c>
      <c r="AR45" s="26">
        <f>W18*AR18</f>
        <v>1.2392457178721949E-4</v>
      </c>
      <c r="AS45" s="26">
        <f>X18*AS18</f>
        <v>0</v>
      </c>
      <c r="AT45" s="26">
        <f>Y18*AT18</f>
        <v>3.8403766078110024E-5</v>
      </c>
      <c r="AU45" s="27">
        <f t="shared" si="23"/>
        <v>1.7776152998421807E-2</v>
      </c>
    </row>
    <row r="46" spans="27:47" x14ac:dyDescent="0.2">
      <c r="AA46" s="5">
        <f>F19</f>
        <v>42369</v>
      </c>
      <c r="AB46" s="26">
        <f>G19*AB19</f>
        <v>7.4758835452710232E-4</v>
      </c>
      <c r="AC46" s="26">
        <f>H19*AC19</f>
        <v>7.5533809632167604E-4</v>
      </c>
      <c r="AD46" s="26">
        <f>I19*AD19</f>
        <v>1.0672620278897084E-3</v>
      </c>
      <c r="AE46" s="26">
        <f>J19*AE19</f>
        <v>1.1373573528160529E-3</v>
      </c>
      <c r="AF46" s="26">
        <f>K19*AF19</f>
        <v>1.9015082392621044E-3</v>
      </c>
      <c r="AG46" s="26">
        <f>L19*AG19</f>
        <v>2.0454416461505254E-4</v>
      </c>
      <c r="AH46" s="26">
        <f>M19*AH19</f>
        <v>1.6882201037100586E-3</v>
      </c>
      <c r="AI46" s="26">
        <f>N19*AI19</f>
        <v>1.1760677062507387E-3</v>
      </c>
      <c r="AJ46" s="26">
        <f>O19*AJ19</f>
        <v>3.5495056183098894E-4</v>
      </c>
      <c r="AK46" s="26">
        <f>P19*AK19</f>
        <v>4.9772095025118373E-4</v>
      </c>
      <c r="AL46" s="26">
        <f>Q19*AL19</f>
        <v>6.7168717671613589E-4</v>
      </c>
      <c r="AM46" s="26">
        <f>R19*AM19</f>
        <v>6.2598736955800762E-4</v>
      </c>
      <c r="AN46" s="26">
        <f>S19*AN19</f>
        <v>4.8051691384422886E-4</v>
      </c>
      <c r="AO46" s="26">
        <f>T19*AO19</f>
        <v>1.2563590601161745E-3</v>
      </c>
      <c r="AP46" s="26">
        <f>U19*AP19</f>
        <v>4.0509298365721592E-4</v>
      </c>
      <c r="AQ46" s="26">
        <f>V19*AQ19</f>
        <v>2.3102235965215324E-4</v>
      </c>
      <c r="AR46" s="26">
        <f>W19*AR19</f>
        <v>2.3198838972412705E-4</v>
      </c>
      <c r="AS46" s="26">
        <f>X19*AS19</f>
        <v>0</v>
      </c>
      <c r="AT46" s="26">
        <f>Y19*AT19</f>
        <v>1.6692533721808899E-4</v>
      </c>
      <c r="AU46" s="27">
        <f t="shared" ref="AU46" si="24">SUM(AB46:AT46)</f>
        <v>1.3600137147960796E-2</v>
      </c>
    </row>
    <row r="47" spans="27:47" x14ac:dyDescent="0.2">
      <c r="AA47" s="5">
        <f>F20</f>
        <v>42370</v>
      </c>
      <c r="AB47" s="26">
        <f t="shared" ref="AB47" si="25">G20*AB20</f>
        <v>-1.5530017077579729E-4</v>
      </c>
      <c r="AC47" s="26">
        <f t="shared" ref="AC47" si="26">H20*AC20</f>
        <v>-1.0249775517826353E-4</v>
      </c>
      <c r="AD47" s="26">
        <f t="shared" ref="AD47" si="27">I20*AD20</f>
        <v>-4.6896276936612139E-4</v>
      </c>
      <c r="AE47" s="26">
        <f t="shared" ref="AE47" si="28">J20*AE20</f>
        <v>-1.5882058520134466E-3</v>
      </c>
      <c r="AF47" s="26">
        <f t="shared" ref="AF47" si="29">K20*AF20</f>
        <v>-3.153121656336078E-3</v>
      </c>
      <c r="AG47" s="26">
        <f t="shared" ref="AG47" si="30">L20*AG20</f>
        <v>-1.6556482992294508E-4</v>
      </c>
      <c r="AH47" s="26">
        <f t="shared" ref="AH47" si="31">M20*AH20</f>
        <v>-4.3270867871252677E-3</v>
      </c>
      <c r="AI47" s="26">
        <f t="shared" ref="AI47" si="32">N20*AI20</f>
        <v>-3.1457166725815358E-3</v>
      </c>
      <c r="AJ47" s="26">
        <f t="shared" ref="AJ47" si="33">O20*AJ20</f>
        <v>-1.2469689748347422E-3</v>
      </c>
      <c r="AK47" s="26">
        <f t="shared" ref="AK47" si="34">P20*AK20</f>
        <v>-1.2925946023414304E-3</v>
      </c>
      <c r="AL47" s="26">
        <f t="shared" ref="AL47" si="35">Q20*AL20</f>
        <v>-7.1956041261351578E-4</v>
      </c>
      <c r="AM47" s="26">
        <f t="shared" ref="AM47" si="36">R20*AM20</f>
        <v>-1.4303223742257653E-3</v>
      </c>
      <c r="AN47" s="26">
        <f t="shared" ref="AN47" si="37">S20*AN20</f>
        <v>-9.1763482146436806E-4</v>
      </c>
      <c r="AO47" s="26">
        <f t="shared" ref="AO47" si="38">T20*AO20</f>
        <v>-1.2421669188550366E-3</v>
      </c>
      <c r="AP47" s="26">
        <f t="shared" ref="AP47" si="39">U20*AP20</f>
        <v>-5.626770283394955E-4</v>
      </c>
      <c r="AQ47" s="26">
        <f t="shared" ref="AQ47" si="40">V20*AQ20</f>
        <v>-2.3576599739564275E-4</v>
      </c>
      <c r="AR47" s="26">
        <f t="shared" ref="AR47" si="41">W20*AR20</f>
        <v>1.545248229914753E-4</v>
      </c>
      <c r="AS47" s="26">
        <f t="shared" ref="AS47" si="42">X20*AS20</f>
        <v>0</v>
      </c>
      <c r="AT47" s="26">
        <f t="shared" ref="AT47" si="43">Y20*AT20</f>
        <v>4.6090347642222532E-5</v>
      </c>
      <c r="AU47" s="27">
        <f t="shared" ref="AU47" si="44">SUM(AB47:AT47)</f>
        <v>-2.0553532452735758E-2</v>
      </c>
    </row>
    <row r="48" spans="27:47" x14ac:dyDescent="0.2">
      <c r="AA48" s="5">
        <f>F21</f>
        <v>42429</v>
      </c>
      <c r="AB48" s="26">
        <f>G21*AB21</f>
        <v>-5.8721720995537406E-4</v>
      </c>
      <c r="AC48" s="26">
        <f>H21*AC21</f>
        <v>1.5915020490408515E-3</v>
      </c>
      <c r="AD48" s="26">
        <f>I21*AD21</f>
        <v>9.3683048077196416E-4</v>
      </c>
      <c r="AE48" s="26">
        <f>J21*AE21</f>
        <v>4.9060672419727559E-4</v>
      </c>
      <c r="AF48" s="26">
        <f>K21*AF21</f>
        <v>2.7693191463427973E-4</v>
      </c>
      <c r="AG48" s="26">
        <f>L21*AG21</f>
        <v>1.2403356680608767E-4</v>
      </c>
      <c r="AH48" s="26">
        <f>M21*AH21</f>
        <v>-1.4448979852678124E-4</v>
      </c>
      <c r="AI48" s="26">
        <f>N21*AI21</f>
        <v>-3.3163036589068165E-4</v>
      </c>
      <c r="AJ48" s="26">
        <f>O21*AJ21</f>
        <v>-8.3523800222300431E-5</v>
      </c>
      <c r="AK48" s="26">
        <f>P21*AK21</f>
        <v>1.8051873672455087E-4</v>
      </c>
      <c r="AL48" s="26">
        <f>Q21*AL21</f>
        <v>3.7148367048247752E-4</v>
      </c>
      <c r="AM48" s="26">
        <f>R21*AM21</f>
        <v>2.7289281224351035E-4</v>
      </c>
      <c r="AN48" s="26">
        <f>S21*AN21</f>
        <v>2.3481480884867344E-4</v>
      </c>
      <c r="AO48" s="26">
        <f>T21*AO21</f>
        <v>7.4504905798670204E-4</v>
      </c>
      <c r="AP48" s="26">
        <f>U21*AP21</f>
        <v>2.7777130070940183E-4</v>
      </c>
      <c r="AQ48" s="26">
        <f>V21*AQ21</f>
        <v>1.1210630242291409E-4</v>
      </c>
      <c r="AR48" s="26">
        <f>W21*AR21</f>
        <v>3.656524632636482E-4</v>
      </c>
      <c r="AS48" s="26">
        <f>X21*AS21</f>
        <v>0</v>
      </c>
      <c r="AT48" s="26">
        <f>Y21*AT21</f>
        <v>3.2359412838260936E-4</v>
      </c>
      <c r="AU48" s="27">
        <f t="shared" ref="AU48:AU49" si="45">SUM(AB48:AT48)</f>
        <v>5.1569268419198074E-3</v>
      </c>
    </row>
    <row r="49" spans="27:47" x14ac:dyDescent="0.2">
      <c r="AA49" s="5">
        <f>F22</f>
        <v>42460</v>
      </c>
      <c r="AB49" s="26">
        <f>G22*AB22</f>
        <v>1.2427594689496768E-3</v>
      </c>
      <c r="AC49" s="26">
        <f>H22*AC22</f>
        <v>7.9386622103234212E-4</v>
      </c>
      <c r="AD49" s="26">
        <f>I22*AD22</f>
        <v>7.3490145207672842E-4</v>
      </c>
      <c r="AE49" s="26">
        <f>J22*AE22</f>
        <v>1.1516888864241714E-3</v>
      </c>
      <c r="AF49" s="26">
        <f>K22*AF22</f>
        <v>1.3558475506260637E-3</v>
      </c>
      <c r="AG49" s="26">
        <f>L22*AG22</f>
        <v>1.415480039152106E-4</v>
      </c>
      <c r="AH49" s="26">
        <f>M22*AH22</f>
        <v>1.8324595369378029E-3</v>
      </c>
      <c r="AI49" s="26">
        <f>N22*AI22</f>
        <v>1.6411434883586787E-3</v>
      </c>
      <c r="AJ49" s="26">
        <f>O22*AJ22</f>
        <v>7.7548939017853648E-4</v>
      </c>
      <c r="AK49" s="26">
        <f>P22*AK22</f>
        <v>1.0355200667166108E-3</v>
      </c>
      <c r="AL49" s="26">
        <f>Q22*AL22</f>
        <v>6.1872962507765418E-4</v>
      </c>
      <c r="AM49" s="26">
        <f>R22*AM22</f>
        <v>5.2796222049757981E-4</v>
      </c>
      <c r="AN49" s="26">
        <f>S22*AN22</f>
        <v>3.9459753873175794E-4</v>
      </c>
      <c r="AO49" s="26">
        <f>T22*AO22</f>
        <v>6.5901373745163032E-4</v>
      </c>
      <c r="AP49" s="26">
        <f>U22*AP22</f>
        <v>3.6091060029685985E-5</v>
      </c>
      <c r="AQ49" s="26">
        <f>V22*AQ22</f>
        <v>2.6630721506315513E-5</v>
      </c>
      <c r="AR49" s="26">
        <f>W22*AR22</f>
        <v>1.7485969047066787E-4</v>
      </c>
      <c r="AS49" s="26">
        <f>X22*AS22</f>
        <v>0</v>
      </c>
      <c r="AT49" s="26">
        <f>Y22*AT22</f>
        <v>1.9157687077206553E-4</v>
      </c>
      <c r="AU49" s="27">
        <f t="shared" si="45"/>
        <v>1.3334685529753181E-2</v>
      </c>
    </row>
    <row r="50" spans="27:47" x14ac:dyDescent="0.2">
      <c r="AA50" s="5">
        <f>F23</f>
        <v>42489</v>
      </c>
      <c r="AB50" s="26">
        <f>G23*AB23</f>
        <v>1.680154249151411E-3</v>
      </c>
      <c r="AC50" s="26">
        <f>H23*AC23</f>
        <v>1.2256423431827822E-3</v>
      </c>
      <c r="AD50" s="26">
        <f>I23*AD23</f>
        <v>3.6183833567792205E-4</v>
      </c>
      <c r="AE50" s="26">
        <f>J23*AE23</f>
        <v>1.1224162201560373E-3</v>
      </c>
      <c r="AF50" s="26">
        <f>K23*AF23</f>
        <v>1.3297410112946874E-3</v>
      </c>
      <c r="AG50" s="26">
        <f>L23*AG23</f>
        <v>8.1365643468467316E-5</v>
      </c>
      <c r="AH50" s="26">
        <f>M23*AH23</f>
        <v>1.2874107034715366E-3</v>
      </c>
      <c r="AI50" s="26">
        <f>N23*AI23</f>
        <v>1.2952582942449388E-3</v>
      </c>
      <c r="AJ50" s="26">
        <f>O23*AJ23</f>
        <v>4.7708713841967395E-4</v>
      </c>
      <c r="AK50" s="26">
        <f>P23*AK23</f>
        <v>8.8355013843033348E-4</v>
      </c>
      <c r="AL50" s="26">
        <f>Q23*AL23</f>
        <v>4.752235780066427E-4</v>
      </c>
      <c r="AM50" s="26">
        <f>R23*AM23</f>
        <v>7.2493798072695629E-4</v>
      </c>
      <c r="AN50" s="26">
        <f>S23*AN23</f>
        <v>5.3847022686293489E-4</v>
      </c>
      <c r="AO50" s="26">
        <f>T23*AO23</f>
        <v>7.9657997648840961E-4</v>
      </c>
      <c r="AP50" s="26">
        <f>U23*AP23</f>
        <v>1.2880309456446691E-4</v>
      </c>
      <c r="AQ50" s="26">
        <f>V23*AQ23</f>
        <v>1.1942686771837518E-4</v>
      </c>
      <c r="AR50" s="26">
        <f>W23*AR23</f>
        <v>2.3379109156238309E-4</v>
      </c>
      <c r="AS50" s="26">
        <f>X23*AS23</f>
        <v>0</v>
      </c>
      <c r="AT50" s="26">
        <f>Y23*AT23</f>
        <v>1.8659862601862589E-4</v>
      </c>
      <c r="AU50" s="27">
        <f t="shared" ref="AU50" si="46">SUM(AB50:AT50)</f>
        <v>1.2948295519446585E-2</v>
      </c>
    </row>
    <row r="51" spans="27:47" x14ac:dyDescent="0.2">
      <c r="AA51" s="5">
        <f t="shared" ref="AA51" si="47">F24</f>
        <v>42521</v>
      </c>
      <c r="AB51" s="26">
        <f t="shared" ref="AB51" si="48">G24*AB24</f>
        <v>4.9059523103955069E-3</v>
      </c>
      <c r="AC51" s="26">
        <f t="shared" ref="AC51" si="49">H24*AC24</f>
        <v>4.6157011458232058E-3</v>
      </c>
      <c r="AD51" s="26">
        <f t="shared" ref="AD51" si="50">I24*AD24</f>
        <v>3.1908646185283243E-3</v>
      </c>
      <c r="AE51" s="26">
        <f t="shared" ref="AE51" si="51">J24*AE24</f>
        <v>3.1808087572999999E-3</v>
      </c>
      <c r="AF51" s="26">
        <f t="shared" ref="AF51" si="52">K24*AF24</f>
        <v>4.3019597623340866E-3</v>
      </c>
      <c r="AG51" s="26">
        <f t="shared" ref="AG51" si="53">L24*AG24</f>
        <v>3.4270763601772279E-4</v>
      </c>
      <c r="AH51" s="26">
        <f t="shared" ref="AH51" si="54">M24*AH24</f>
        <v>3.7572338118019746E-3</v>
      </c>
      <c r="AI51" s="26">
        <f t="shared" ref="AI51" si="55">N24*AI24</f>
        <v>2.7305467175667577E-3</v>
      </c>
      <c r="AJ51" s="26">
        <f t="shared" ref="AJ51" si="56">O24*AJ24</f>
        <v>9.7779270048349966E-4</v>
      </c>
      <c r="AK51" s="26">
        <f t="shared" ref="AK51" si="57">P24*AK24</f>
        <v>1.4125776394638212E-3</v>
      </c>
      <c r="AL51" s="26">
        <f t="shared" ref="AL51" si="58">Q24*AL24</f>
        <v>1.0692150785278631E-3</v>
      </c>
      <c r="AM51" s="26">
        <f t="shared" ref="AM51" si="59">R24*AM24</f>
        <v>1.1930300706314246E-3</v>
      </c>
      <c r="AN51" s="26">
        <f t="shared" ref="AN51" si="60">S24*AN24</f>
        <v>9.593560093149689E-4</v>
      </c>
      <c r="AO51" s="26">
        <f t="shared" ref="AO51" si="61">T24*AO24</f>
        <v>1.7972044362363549E-3</v>
      </c>
      <c r="AP51" s="26">
        <f t="shared" ref="AP51" si="62">U24*AP24</f>
        <v>5.6728227383845648E-4</v>
      </c>
      <c r="AQ51" s="26">
        <f t="shared" ref="AQ51" si="63">V24*AQ24</f>
        <v>3.2382858548542839E-4</v>
      </c>
      <c r="AR51" s="26">
        <f t="shared" ref="AR51" si="64">W24*AR24</f>
        <v>3.6849352781354928E-4</v>
      </c>
      <c r="AS51" s="26">
        <f t="shared" ref="AS51" si="65">X24*AS24</f>
        <v>0</v>
      </c>
      <c r="AT51" s="26">
        <f t="shared" ref="AT51" si="66">Y24*AT24</f>
        <v>2.8964065502726791E-4</v>
      </c>
      <c r="AU51" s="27">
        <f t="shared" ref="AU51" si="67">SUM(AB51:AT51)</f>
        <v>3.5984195736590209E-2</v>
      </c>
    </row>
    <row r="52" spans="27:47" x14ac:dyDescent="0.2">
      <c r="AA52" s="5">
        <f t="shared" ref="AA52" si="68">F25</f>
        <v>42551</v>
      </c>
      <c r="AB52" s="26">
        <f t="shared" ref="AB52" si="69">G25*AB25</f>
        <v>4.4675349901404848E-3</v>
      </c>
      <c r="AC52" s="26">
        <f t="shared" ref="AC52" si="70">H25*AC25</f>
        <v>4.5042652431127638E-3</v>
      </c>
      <c r="AD52" s="26">
        <f t="shared" ref="AD52" si="71">I25*AD25</f>
        <v>2.7545108098543493E-3</v>
      </c>
      <c r="AE52" s="26">
        <f t="shared" ref="AE52" si="72">J25*AE25</f>
        <v>1.710390433732536E-3</v>
      </c>
      <c r="AF52" s="26">
        <f t="shared" ref="AF52" si="73">K25*AF25</f>
        <v>1.6588620982633852E-3</v>
      </c>
      <c r="AG52" s="26">
        <f t="shared" ref="AG52" si="74">L25*AG25</f>
        <v>3.0868701754552144E-4</v>
      </c>
      <c r="AH52" s="26">
        <f t="shared" ref="AH52" si="75">M25*AH25</f>
        <v>-3.2835625183107457E-4</v>
      </c>
      <c r="AI52" s="26">
        <f t="shared" ref="AI52" si="76">N25*AI25</f>
        <v>3.2045711393016153E-5</v>
      </c>
      <c r="AJ52" s="26">
        <f t="shared" ref="AJ52" si="77">O25*AJ25</f>
        <v>-4.9526086341298287E-5</v>
      </c>
      <c r="AK52" s="26">
        <f t="shared" ref="AK52" si="78">P25*AK25</f>
        <v>6.8597012421302674E-4</v>
      </c>
      <c r="AL52" s="26">
        <f t="shared" ref="AL52" si="79">Q25*AL25</f>
        <v>1.0551266697517248E-3</v>
      </c>
      <c r="AM52" s="26">
        <f t="shared" ref="AM52" si="80">R25*AM25</f>
        <v>5.4768511566045677E-5</v>
      </c>
      <c r="AN52" s="26">
        <f t="shared" ref="AN52" si="81">S25*AN25</f>
        <v>2.2543034490023705E-4</v>
      </c>
      <c r="AO52" s="26">
        <f t="shared" ref="AO52" si="82">T25*AO25</f>
        <v>1.7129377787790225E-3</v>
      </c>
      <c r="AP52" s="26">
        <f t="shared" ref="AP52" si="83">U25*AP25</f>
        <v>2.6425741461193474E-5</v>
      </c>
      <c r="AQ52" s="26">
        <f t="shared" ref="AQ52" si="84">V25*AQ25</f>
        <v>1.7653088824538533E-4</v>
      </c>
      <c r="AR52" s="26">
        <f t="shared" ref="AR52" si="85">W25*AR25</f>
        <v>4.5911595291396655E-4</v>
      </c>
      <c r="AS52" s="26">
        <f t="shared" ref="AS52" si="86">X25*AS25</f>
        <v>0</v>
      </c>
      <c r="AT52" s="26">
        <f t="shared" ref="AT52" si="87">Y25*AT25</f>
        <v>2.6140036404572299E-4</v>
      </c>
      <c r="AU52" s="27">
        <f t="shared" ref="AU52" si="88">SUM(AB52:AT52)</f>
        <v>1.9716120341746007E-2</v>
      </c>
    </row>
    <row r="53" spans="27:47" x14ac:dyDescent="0.2">
      <c r="AA53" s="5">
        <f t="shared" ref="AA53" si="89">F26</f>
        <v>42580</v>
      </c>
      <c r="AB53" s="26">
        <f t="shared" ref="AB53" si="90">G26*AB26</f>
        <v>5.8070897880691972E-3</v>
      </c>
      <c r="AC53" s="26">
        <f t="shared" ref="AC53" si="91">H26*AC26</f>
        <v>4.4804683372611986E-3</v>
      </c>
      <c r="AD53" s="26">
        <f t="shared" ref="AD53" si="92">I26*AD26</f>
        <v>4.0865433726606564E-3</v>
      </c>
      <c r="AE53" s="26">
        <f t="shared" ref="AE53" si="93">J26*AE26</f>
        <v>3.5486019131413314E-3</v>
      </c>
      <c r="AF53" s="26">
        <f t="shared" ref="AF53" si="94">K26*AF26</f>
        <v>5.2537940545172119E-3</v>
      </c>
      <c r="AG53" s="26">
        <f t="shared" ref="AG53" si="95">L26*AG26</f>
        <v>4.9246496177802307E-4</v>
      </c>
      <c r="AH53" s="26">
        <f t="shared" ref="AH53" si="96">M26*AH26</f>
        <v>3.496188707152759E-3</v>
      </c>
      <c r="AI53" s="26">
        <f t="shared" ref="AI53" si="97">N26*AI26</f>
        <v>2.7014088220686208E-3</v>
      </c>
      <c r="AJ53" s="26">
        <f t="shared" ref="AJ53" si="98">O26*AJ26</f>
        <v>1.1603047868406513E-3</v>
      </c>
      <c r="AK53" s="26">
        <f t="shared" ref="AK53" si="99">P26*AK26</f>
        <v>1.8691819707735303E-3</v>
      </c>
      <c r="AL53" s="26">
        <f t="shared" ref="AL53" si="100">Q26*AL26</f>
        <v>1.7487178622081977E-3</v>
      </c>
      <c r="AM53" s="26">
        <f t="shared" ref="AM53" si="101">R26*AM26</f>
        <v>1.3834010258824848E-3</v>
      </c>
      <c r="AN53" s="26">
        <f t="shared" ref="AN53" si="102">S26*AN26</f>
        <v>1.1610869009361924E-3</v>
      </c>
      <c r="AO53" s="26">
        <f t="shared" ref="AO53" si="103">T26*AO26</f>
        <v>2.5061514250597442E-3</v>
      </c>
      <c r="AP53" s="26">
        <f t="shared" ref="AP53" si="104">U26*AP26</f>
        <v>6.6766210553081073E-4</v>
      </c>
      <c r="AQ53" s="26">
        <f t="shared" ref="AQ53" si="105">V26*AQ26</f>
        <v>4.0526134896440747E-4</v>
      </c>
      <c r="AR53" s="26">
        <f t="shared" ref="AR53" si="106">W26*AR26</f>
        <v>5.2635343698006262E-4</v>
      </c>
      <c r="AS53" s="26">
        <f t="shared" ref="AS53" si="107">X26*AS26</f>
        <v>0</v>
      </c>
      <c r="AT53" s="26">
        <f t="shared" ref="AT53" si="108">Y26*AT26</f>
        <v>2.3975780758631605E-4</v>
      </c>
      <c r="AU53" s="27">
        <f t="shared" ref="AU53" si="109">SUM(AB53:AT53)</f>
        <v>4.1534438627411401E-2</v>
      </c>
    </row>
    <row r="54" spans="27:47" x14ac:dyDescent="0.2">
      <c r="AA54" s="5">
        <f t="shared" ref="AA54" si="110">F27</f>
        <v>42613</v>
      </c>
      <c r="AB54" s="26">
        <f t="shared" ref="AB54" si="111">G27*AB27</f>
        <v>1.1285525100425686E-3</v>
      </c>
      <c r="AC54" s="26">
        <f t="shared" ref="AC54" si="112">H27*AC27</f>
        <v>8.0632660133091779E-4</v>
      </c>
      <c r="AD54" s="26">
        <f t="shared" ref="AD54" si="113">I27*AD27</f>
        <v>1.1351218759146065E-3</v>
      </c>
      <c r="AE54" s="26">
        <f t="shared" ref="AE54" si="114">J27*AE27</f>
        <v>1.620101884996261E-3</v>
      </c>
      <c r="AF54" s="26">
        <f t="shared" ref="AF54" si="115">K27*AF27</f>
        <v>2.5473211084549256E-3</v>
      </c>
      <c r="AG54" s="26">
        <f t="shared" ref="AG54" si="116">L27*AG27</f>
        <v>9.6595650996422763E-5</v>
      </c>
      <c r="AH54" s="26">
        <f t="shared" ref="AH54" si="117">M27*AH27</f>
        <v>2.7795083708671343E-3</v>
      </c>
      <c r="AI54" s="26">
        <f t="shared" ref="AI54" si="118">N27*AI27</f>
        <v>1.7426347135936385E-3</v>
      </c>
      <c r="AJ54" s="26">
        <f t="shared" ref="AJ54" si="119">O27*AJ27</f>
        <v>4.4402311190755217E-4</v>
      </c>
      <c r="AK54" s="26">
        <f t="shared" ref="AK54" si="120">P27*AK27</f>
        <v>5.6421425761461036E-4</v>
      </c>
      <c r="AL54" s="26">
        <f t="shared" ref="AL54" si="121">Q27*AL27</f>
        <v>1.6432817511280673E-4</v>
      </c>
      <c r="AM54" s="26">
        <f t="shared" ref="AM54" si="122">R27*AM27</f>
        <v>8.1955703405804496E-4</v>
      </c>
      <c r="AN54" s="26">
        <f t="shared" ref="AN54" si="123">S27*AN27</f>
        <v>3.2554427619718273E-4</v>
      </c>
      <c r="AO54" s="26">
        <f t="shared" ref="AO54" si="124">T27*AO27</f>
        <v>6.0875889894536079E-4</v>
      </c>
      <c r="AP54" s="26">
        <f t="shared" ref="AP54" si="125">U27*AP27</f>
        <v>4.8342214491602586E-4</v>
      </c>
      <c r="AQ54" s="26">
        <f t="shared" ref="AQ54" si="126">V27*AQ27</f>
        <v>2.1469831895979842E-4</v>
      </c>
      <c r="AR54" s="26">
        <f t="shared" ref="AR54" si="127">W27*AR27</f>
        <v>2.0675598415221153E-4</v>
      </c>
      <c r="AS54" s="26">
        <f t="shared" ref="AS54" si="128">X27*AS27</f>
        <v>0</v>
      </c>
      <c r="AT54" s="26">
        <f t="shared" ref="AT54" si="129">Y27*AT27</f>
        <v>2.2974496229662302E-4</v>
      </c>
      <c r="AU54" s="27">
        <f t="shared" ref="AU54" si="130">SUM(AB54:AT54)</f>
        <v>1.5917209880356688E-2</v>
      </c>
    </row>
    <row r="55" spans="27:47" x14ac:dyDescent="0.2">
      <c r="AA55" s="5">
        <f t="shared" ref="AA55" si="131">F28</f>
        <v>42643</v>
      </c>
      <c r="AB55" s="26">
        <f t="shared" ref="AB55" si="132">G28*AB28</f>
        <v>1.3842855899575302E-3</v>
      </c>
      <c r="AC55" s="26">
        <f t="shared" ref="AC55" si="133">H28*AC28</f>
        <v>1.2280064559197701E-3</v>
      </c>
      <c r="AD55" s="26">
        <f t="shared" ref="AD55" si="134">I28*AD28</f>
        <v>7.9912927081766906E-4</v>
      </c>
      <c r="AE55" s="26">
        <f t="shared" ref="AE55" si="135">J28*AE28</f>
        <v>2.1947957613557945E-4</v>
      </c>
      <c r="AF55" s="26">
        <f t="shared" ref="AF55" si="136">K28*AF28</f>
        <v>7.9409624488619107E-4</v>
      </c>
      <c r="AG55" s="26">
        <f t="shared" ref="AG55" si="137">L28*AG28</f>
        <v>1.0253357925222196E-4</v>
      </c>
      <c r="AH55" s="26">
        <f t="shared" ref="AH55" si="138">M28*AH28</f>
        <v>8.6619186501115666E-4</v>
      </c>
      <c r="AI55" s="26">
        <f t="shared" ref="AI55" si="139">N28*AI28</f>
        <v>5.7093343967979271E-4</v>
      </c>
      <c r="AJ55" s="26">
        <f t="shared" ref="AJ55" si="140">O28*AJ28</f>
        <v>1.4603422270298872E-4</v>
      </c>
      <c r="AK55" s="26">
        <f t="shared" ref="AK55" si="141">P28*AK28</f>
        <v>2.2099410232824469E-4</v>
      </c>
      <c r="AL55" s="26">
        <f t="shared" ref="AL55" si="142">Q28*AL28</f>
        <v>2.3740585563917005E-4</v>
      </c>
      <c r="AM55" s="26">
        <f t="shared" ref="AM55" si="143">R28*AM28</f>
        <v>3.6467867769287567E-4</v>
      </c>
      <c r="AN55" s="26">
        <f t="shared" ref="AN55" si="144">S28*AN28</f>
        <v>3.8049470499724515E-4</v>
      </c>
      <c r="AO55" s="26">
        <f t="shared" ref="AO55" si="145">T28*AO28</f>
        <v>7.5970312045463566E-4</v>
      </c>
      <c r="AP55" s="26">
        <f t="shared" ref="AP55" si="146">U28*AP28</f>
        <v>8.8118645369386078E-5</v>
      </c>
      <c r="AQ55" s="26">
        <f t="shared" ref="AQ55" si="147">V28*AQ28</f>
        <v>3.4903493543354535E-5</v>
      </c>
      <c r="AR55" s="26">
        <f t="shared" ref="AR55" si="148">W28*AR28</f>
        <v>9.347583570042284E-5</v>
      </c>
      <c r="AS55" s="26">
        <f t="shared" ref="AS55" si="149">X28*AS28</f>
        <v>0</v>
      </c>
      <c r="AT55" s="26">
        <f t="shared" ref="AT55" si="150">Y28*AT28</f>
        <v>7.7493236147583298E-5</v>
      </c>
      <c r="AU55" s="27">
        <f t="shared" ref="AU55" si="151">SUM(AB55:AT55)</f>
        <v>8.3679579162358186E-3</v>
      </c>
    </row>
    <row r="56" spans="27:47" x14ac:dyDescent="0.2">
      <c r="AA56" s="5">
        <f t="shared" ref="AA56" si="152">F29</f>
        <v>42674</v>
      </c>
      <c r="AB56" s="26">
        <f t="shared" ref="AB56" si="153">G29*AB29</f>
        <v>-1.1076811668205534E-3</v>
      </c>
      <c r="AC56" s="26">
        <f t="shared" ref="AC56" si="154">H29*AC29</f>
        <v>-1.2157084853376032E-3</v>
      </c>
      <c r="AD56" s="26">
        <f t="shared" ref="AD56" si="155">I29*AD29</f>
        <v>6.5526482960664772E-4</v>
      </c>
      <c r="AE56" s="26">
        <f t="shared" ref="AE56" si="156">J29*AE29</f>
        <v>3.4745344013923149E-4</v>
      </c>
      <c r="AF56" s="26">
        <f t="shared" ref="AF56" si="157">K29*AF29</f>
        <v>9.5204823900481468E-4</v>
      </c>
      <c r="AG56" s="26">
        <f t="shared" ref="AG56" si="158">L29*AG29</f>
        <v>3.0933635280798734E-5</v>
      </c>
      <c r="AH56" s="26">
        <f t="shared" ref="AH56" si="159">M29*AH29</f>
        <v>1.6515951869499057E-3</v>
      </c>
      <c r="AI56" s="26">
        <f t="shared" ref="AI56" si="160">N29*AI29</f>
        <v>8.4068871594462425E-4</v>
      </c>
      <c r="AJ56" s="26">
        <f t="shared" ref="AJ56" si="161">O29*AJ29</f>
        <v>2.0566223541441662E-4</v>
      </c>
      <c r="AK56" s="26">
        <f t="shared" ref="AK56" si="162">P29*AK29</f>
        <v>2.3852171452235283E-4</v>
      </c>
      <c r="AL56" s="26">
        <f t="shared" ref="AL56" si="163">Q29*AL29</f>
        <v>3.6828659694318364E-4</v>
      </c>
      <c r="AM56" s="26">
        <f t="shared" ref="AM56" si="164">R29*AM29</f>
        <v>1.8255259750270093E-4</v>
      </c>
      <c r="AN56" s="26">
        <f t="shared" ref="AN56" si="165">S29*AN29</f>
        <v>2.5587543504376195E-4</v>
      </c>
      <c r="AO56" s="26">
        <f t="shared" ref="AO56" si="166">T29*AO29</f>
        <v>5.3349772704052172E-4</v>
      </c>
      <c r="AP56" s="26">
        <f t="shared" ref="AP56" si="167">U29*AP29</f>
        <v>2.4311057030135254E-5</v>
      </c>
      <c r="AQ56" s="26">
        <f t="shared" ref="AQ56" si="168">V29*AQ29</f>
        <v>2.7411728365149822E-5</v>
      </c>
      <c r="AR56" s="26">
        <f t="shared" ref="AR56" si="169">W29*AR29</f>
        <v>-3.4523495255469607E-4</v>
      </c>
      <c r="AS56" s="26">
        <f t="shared" ref="AS56" si="170">X29*AS29</f>
        <v>0</v>
      </c>
      <c r="AT56" s="26">
        <f t="shared" ref="AT56" si="171">Y29*AT29</f>
        <v>-6.4025784663751528E-4</v>
      </c>
      <c r="AU56" s="27">
        <f t="shared" ref="AU56" si="172">SUM(AB56:AT56)</f>
        <v>3.0052206874378773E-3</v>
      </c>
    </row>
    <row r="57" spans="27:47" x14ac:dyDescent="0.2">
      <c r="AA57" s="5">
        <f t="shared" ref="AA57" si="173">F30</f>
        <v>42704</v>
      </c>
      <c r="AB57" s="26">
        <f t="shared" ref="AB57" si="174">G30*AB30</f>
        <v>-3.2672180920779261E-3</v>
      </c>
      <c r="AC57" s="26">
        <f t="shared" ref="AC57" si="175">H30*AC30</f>
        <v>-3.3485282024641448E-3</v>
      </c>
      <c r="AD57" s="26">
        <f t="shared" ref="AD57" si="176">I30*AD30</f>
        <v>3.012661597665525E-3</v>
      </c>
      <c r="AE57" s="26">
        <f t="shared" ref="AE57" si="177">J30*AE30</f>
        <v>1.4153420615561972E-3</v>
      </c>
      <c r="AF57" s="26">
        <f t="shared" ref="AF57" si="178">K30*AF30</f>
        <v>3.0676908860289755E-3</v>
      </c>
      <c r="AG57" s="26">
        <f t="shared" ref="AG57" si="179">L30*AG30</f>
        <v>2.5500077710073122E-4</v>
      </c>
      <c r="AH57" s="26">
        <f t="shared" ref="AH57" si="180">M30*AH30</f>
        <v>5.2475288612551909E-3</v>
      </c>
      <c r="AI57" s="26">
        <f t="shared" ref="AI57" si="181">N30*AI30</f>
        <v>2.96606468666486E-3</v>
      </c>
      <c r="AJ57" s="26">
        <f t="shared" ref="AJ57" si="182">O30*AJ30</f>
        <v>9.6338290162785163E-4</v>
      </c>
      <c r="AK57" s="26">
        <f t="shared" ref="AK57" si="183">P30*AK30</f>
        <v>9.2682988147345217E-4</v>
      </c>
      <c r="AL57" s="26">
        <f t="shared" ref="AL57" si="184">Q30*AL30</f>
        <v>1.1709564948456453E-3</v>
      </c>
      <c r="AM57" s="26">
        <f t="shared" ref="AM57" si="185">R30*AM30</f>
        <v>4.5173109316766437E-4</v>
      </c>
      <c r="AN57" s="26">
        <f t="shared" ref="AN57" si="186">S30*AN30</f>
        <v>1.9479437589496883E-4</v>
      </c>
      <c r="AO57" s="26">
        <f t="shared" ref="AO57" si="187">T30*AO30</f>
        <v>1.0357961122150262E-3</v>
      </c>
      <c r="AP57" s="26">
        <f t="shared" ref="AP57" si="188">U30*AP30</f>
        <v>1.4197637474205215E-4</v>
      </c>
      <c r="AQ57" s="26">
        <f t="shared" ref="AQ57" si="189">V30*AQ30</f>
        <v>2.03107479885285E-4</v>
      </c>
      <c r="AR57" s="26">
        <f t="shared" ref="AR57" si="190">W30*AR30</f>
        <v>-2.7529839167058533E-4</v>
      </c>
      <c r="AS57" s="26">
        <f t="shared" ref="AS57" si="191">X30*AS30</f>
        <v>0</v>
      </c>
      <c r="AT57" s="26">
        <f t="shared" ref="AT57" si="192">Y30*AT30</f>
        <v>-3.690934859444395E-4</v>
      </c>
      <c r="AU57" s="27">
        <f t="shared" ref="AU57" si="193">SUM(AB57:AT57)</f>
        <v>1.3792725411966328E-2</v>
      </c>
    </row>
    <row r="58" spans="27:47" x14ac:dyDescent="0.2">
      <c r="AA58" s="5">
        <f t="shared" ref="AA58" si="194">F31</f>
        <v>42734</v>
      </c>
      <c r="AB58" s="26">
        <f t="shared" ref="AB58" si="195">G31*AB31</f>
        <v>8.7955274296711136E-4</v>
      </c>
      <c r="AC58" s="26">
        <f t="shared" ref="AC58" si="196">H31*AC31</f>
        <v>3.7713561557214313E-4</v>
      </c>
      <c r="AD58" s="26">
        <f t="shared" ref="AD58" si="197">I31*AD31</f>
        <v>1.4664300655890118E-3</v>
      </c>
      <c r="AE58" s="26">
        <f t="shared" ref="AE58" si="198">J31*AE31</f>
        <v>1.8427055418747812E-3</v>
      </c>
      <c r="AF58" s="26">
        <f t="shared" ref="AF58" si="199">K31*AF31</f>
        <v>2.9772362617546161E-3</v>
      </c>
      <c r="AG58" s="26">
        <f t="shared" ref="AG58" si="200">L31*AG31</f>
        <v>-1.3276463780389404E-4</v>
      </c>
      <c r="AH58" s="26">
        <f t="shared" ref="AH58" si="201">M31*AH31</f>
        <v>2.0718532562164662E-3</v>
      </c>
      <c r="AI58" s="26">
        <f t="shared" ref="AI58" si="202">N31*AI31</f>
        <v>1.3187403704562155E-3</v>
      </c>
      <c r="AJ58" s="26">
        <f t="shared" ref="AJ58" si="203">O31*AJ31</f>
        <v>7.7736528790982155E-4</v>
      </c>
      <c r="AK58" s="26">
        <f t="shared" ref="AK58" si="204">P31*AK31</f>
        <v>8.2265517131739272E-4</v>
      </c>
      <c r="AL58" s="26">
        <f t="shared" ref="AL58" si="205">Q31*AL31</f>
        <v>-3.4494949190004407E-4</v>
      </c>
      <c r="AM58" s="26">
        <f t="shared" ref="AM58" si="206">R31*AM31</f>
        <v>6.3678517692985061E-4</v>
      </c>
      <c r="AN58" s="26">
        <f t="shared" ref="AN58" si="207">S31*AN31</f>
        <v>6.1425378172527505E-4</v>
      </c>
      <c r="AO58" s="26">
        <f t="shared" ref="AO58" si="208">T31*AO31</f>
        <v>1.0046359232442599E-3</v>
      </c>
      <c r="AP58" s="26">
        <f t="shared" ref="AP58" si="209">U31*AP31</f>
        <v>2.3019796002052815E-4</v>
      </c>
      <c r="AQ58" s="26">
        <f t="shared" ref="AQ58" si="210">V31*AQ31</f>
        <v>2.0590782262612303E-4</v>
      </c>
      <c r="AR58" s="26">
        <f t="shared" ref="AR58" si="211">W31*AR31</f>
        <v>-1.8590149341764169E-4</v>
      </c>
      <c r="AS58" s="26">
        <f t="shared" ref="AS58" si="212">X31*AS31</f>
        <v>-1.1054427305721608E-4</v>
      </c>
      <c r="AT58" s="26">
        <f t="shared" ref="AT58" si="213">Y31*AT31</f>
        <v>-7.5350171503539969E-5</v>
      </c>
      <c r="AU58" s="27">
        <f t="shared" ref="AU58" si="214">SUM(AB58:AT58)</f>
        <v>1.4375944910521259E-2</v>
      </c>
    </row>
  </sheetData>
  <mergeCells count="3">
    <mergeCell ref="F6:Y6"/>
    <mergeCell ref="AA33:AR33"/>
    <mergeCell ref="AA6:AR6"/>
  </mergeCells>
  <conditionalFormatting sqref="G8:Y14 AB8:AU8 AB35:AU41">
    <cfRule type="cellIs" dxfId="38" priority="42" operator="equal">
      <formula>0</formula>
    </cfRule>
  </conditionalFormatting>
  <conditionalFormatting sqref="AB9:AU14">
    <cfRule type="cellIs" dxfId="37" priority="38" operator="equal">
      <formula>0</formula>
    </cfRule>
  </conditionalFormatting>
  <conditionalFormatting sqref="G15:Y15">
    <cfRule type="cellIs" dxfId="36" priority="37" operator="equal">
      <formula>0</formula>
    </cfRule>
  </conditionalFormatting>
  <conditionalFormatting sqref="AB15:AU15">
    <cfRule type="cellIs" dxfId="35" priority="36" operator="equal">
      <formula>0</formula>
    </cfRule>
  </conditionalFormatting>
  <conditionalFormatting sqref="AB42:AU42">
    <cfRule type="cellIs" dxfId="34" priority="35" operator="equal">
      <formula>0</formula>
    </cfRule>
  </conditionalFormatting>
  <conditionalFormatting sqref="G16:Y17">
    <cfRule type="cellIs" dxfId="33" priority="34" operator="equal">
      <formula>0</formula>
    </cfRule>
  </conditionalFormatting>
  <conditionalFormatting sqref="AB16:AU17 AB20:AT21">
    <cfRule type="cellIs" dxfId="32" priority="33" operator="equal">
      <formula>0</formula>
    </cfRule>
  </conditionalFormatting>
  <conditionalFormatting sqref="AB43:AU49">
    <cfRule type="cellIs" dxfId="31" priority="32" operator="equal">
      <formula>0</formula>
    </cfRule>
  </conditionalFormatting>
  <conditionalFormatting sqref="G18:Y18">
    <cfRule type="cellIs" dxfId="30" priority="31" operator="equal">
      <formula>0</formula>
    </cfRule>
  </conditionalFormatting>
  <conditionalFormatting sqref="AB18:AU18">
    <cfRule type="cellIs" dxfId="29" priority="30" operator="equal">
      <formula>0</formula>
    </cfRule>
  </conditionalFormatting>
  <conditionalFormatting sqref="G19:Y22">
    <cfRule type="cellIs" dxfId="28" priority="29" operator="equal">
      <formula>0</formula>
    </cfRule>
  </conditionalFormatting>
  <conditionalFormatting sqref="AB19:AU19 AU20:AU22">
    <cfRule type="cellIs" dxfId="27" priority="28" operator="equal">
      <formula>0</formula>
    </cfRule>
  </conditionalFormatting>
  <conditionalFormatting sqref="G23:Y23">
    <cfRule type="cellIs" dxfId="26" priority="27" operator="equal">
      <formula>0</formula>
    </cfRule>
  </conditionalFormatting>
  <conditionalFormatting sqref="AU23">
    <cfRule type="cellIs" dxfId="25" priority="26" operator="equal">
      <formula>0</formula>
    </cfRule>
  </conditionalFormatting>
  <conditionalFormatting sqref="AB50:AU50">
    <cfRule type="cellIs" dxfId="24" priority="25" operator="equal">
      <formula>0</formula>
    </cfRule>
  </conditionalFormatting>
  <conditionalFormatting sqref="G24:Y24">
    <cfRule type="cellIs" dxfId="23" priority="24" operator="equal">
      <formula>0</formula>
    </cfRule>
  </conditionalFormatting>
  <conditionalFormatting sqref="AU24">
    <cfRule type="cellIs" dxfId="22" priority="23" operator="equal">
      <formula>0</formula>
    </cfRule>
  </conditionalFormatting>
  <conditionalFormatting sqref="AB51:AU51">
    <cfRule type="cellIs" dxfId="21" priority="22" operator="equal">
      <formula>0</formula>
    </cfRule>
  </conditionalFormatting>
  <conditionalFormatting sqref="G25:Y25">
    <cfRule type="cellIs" dxfId="20" priority="21" operator="equal">
      <formula>0</formula>
    </cfRule>
  </conditionalFormatting>
  <conditionalFormatting sqref="AU25">
    <cfRule type="cellIs" dxfId="19" priority="20" operator="equal">
      <formula>0</formula>
    </cfRule>
  </conditionalFormatting>
  <conditionalFormatting sqref="AB52:AU52">
    <cfRule type="cellIs" dxfId="18" priority="19" operator="equal">
      <formula>0</formula>
    </cfRule>
  </conditionalFormatting>
  <conditionalFormatting sqref="G26:Y26">
    <cfRule type="cellIs" dxfId="17" priority="18" operator="equal">
      <formula>0</formula>
    </cfRule>
  </conditionalFormatting>
  <conditionalFormatting sqref="AU26">
    <cfRule type="cellIs" dxfId="16" priority="17" operator="equal">
      <formula>0</formula>
    </cfRule>
  </conditionalFormatting>
  <conditionalFormatting sqref="AB53:AU53">
    <cfRule type="cellIs" dxfId="15" priority="16" operator="equal">
      <formula>0</formula>
    </cfRule>
  </conditionalFormatting>
  <conditionalFormatting sqref="G27:Y27">
    <cfRule type="cellIs" dxfId="14" priority="15" operator="equal">
      <formula>0</formula>
    </cfRule>
  </conditionalFormatting>
  <conditionalFormatting sqref="AU27">
    <cfRule type="cellIs" dxfId="13" priority="14" operator="equal">
      <formula>0</formula>
    </cfRule>
  </conditionalFormatting>
  <conditionalFormatting sqref="AB54:AU54">
    <cfRule type="cellIs" dxfId="12" priority="13" operator="equal">
      <formula>0</formula>
    </cfRule>
  </conditionalFormatting>
  <conditionalFormatting sqref="G28:Y28">
    <cfRule type="cellIs" dxfId="11" priority="12" operator="equal">
      <formula>0</formula>
    </cfRule>
  </conditionalFormatting>
  <conditionalFormatting sqref="AU28">
    <cfRule type="cellIs" dxfId="10" priority="11" operator="equal">
      <formula>0</formula>
    </cfRule>
  </conditionalFormatting>
  <conditionalFormatting sqref="AB55:AU55">
    <cfRule type="cellIs" dxfId="9" priority="10" operator="equal">
      <formula>0</formula>
    </cfRule>
  </conditionalFormatting>
  <conditionalFormatting sqref="G29:Y29">
    <cfRule type="cellIs" dxfId="8" priority="9" operator="equal">
      <formula>0</formula>
    </cfRule>
  </conditionalFormatting>
  <conditionalFormatting sqref="AU29">
    <cfRule type="cellIs" dxfId="7" priority="8" operator="equal">
      <formula>0</formula>
    </cfRule>
  </conditionalFormatting>
  <conditionalFormatting sqref="AB56:AU56">
    <cfRule type="cellIs" dxfId="6" priority="7" operator="equal">
      <formula>0</formula>
    </cfRule>
  </conditionalFormatting>
  <conditionalFormatting sqref="G30:Y30">
    <cfRule type="cellIs" dxfId="5" priority="6" operator="equal">
      <formula>0</formula>
    </cfRule>
  </conditionalFormatting>
  <conditionalFormatting sqref="AU30:AU31">
    <cfRule type="cellIs" dxfId="4" priority="5" operator="equal">
      <formula>0</formula>
    </cfRule>
  </conditionalFormatting>
  <conditionalFormatting sqref="AB57:AU57">
    <cfRule type="cellIs" dxfId="3" priority="4" operator="equal">
      <formula>0</formula>
    </cfRule>
  </conditionalFormatting>
  <conditionalFormatting sqref="G31:Y31">
    <cfRule type="cellIs" dxfId="2" priority="3" operator="equal">
      <formula>0</formula>
    </cfRule>
  </conditionalFormatting>
  <conditionalFormatting sqref="AB58:AU58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C31"/>
  <sheetViews>
    <sheetView workbookViewId="0">
      <selection activeCell="E42" sqref="E42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1" t="s">
        <v>23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5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5" t="s">
        <v>12</v>
      </c>
      <c r="R7" s="1" t="s">
        <v>7</v>
      </c>
      <c r="S7" s="2" t="s">
        <v>10</v>
      </c>
      <c r="T7" s="15" t="s">
        <v>13</v>
      </c>
      <c r="U7" s="1" t="s">
        <v>11</v>
      </c>
      <c r="V7" s="15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28">
        <v>-9.6840413947664072E-2</v>
      </c>
      <c r="H8" s="29">
        <v>-9.0093256540080824E-2</v>
      </c>
      <c r="I8" s="28"/>
      <c r="J8" s="30">
        <v>-0.13830215223304443</v>
      </c>
      <c r="K8" s="29">
        <v>-0.10746300303926781</v>
      </c>
      <c r="L8" s="29">
        <v>-9.2784203343846294E-2</v>
      </c>
      <c r="M8" s="28"/>
      <c r="N8" s="29">
        <v>-0.14559069067465857</v>
      </c>
      <c r="O8" s="29">
        <v>-9.0559158773551363E-2</v>
      </c>
      <c r="P8" s="29">
        <v>-7.8866816442332177E-2</v>
      </c>
      <c r="Q8" s="29">
        <v>-6.0057989292031655E-2</v>
      </c>
      <c r="R8" s="28">
        <v>-6.0349139373416572E-2</v>
      </c>
      <c r="S8" s="29">
        <v>-6.1990926405687929E-2</v>
      </c>
      <c r="T8" s="29">
        <v>-3.2292506427253342E-2</v>
      </c>
      <c r="U8" s="28">
        <v>-5.0390065130263895E-2</v>
      </c>
      <c r="V8" s="29">
        <v>-3.5474137500358327E-2</v>
      </c>
      <c r="W8" s="28">
        <v>0.12225783703497628</v>
      </c>
      <c r="X8" s="28">
        <v>9.6068945995324562E-2</v>
      </c>
      <c r="Y8" s="28">
        <v>7.3502496359840519E-2</v>
      </c>
      <c r="Z8" s="28">
        <v>-0.19618112700070633</v>
      </c>
      <c r="AA8" s="29">
        <v>-0.20865456677677252</v>
      </c>
      <c r="AB8" s="31">
        <v>-0.18610275969695844</v>
      </c>
    </row>
    <row r="9" spans="6:28" x14ac:dyDescent="0.2">
      <c r="F9" s="4">
        <v>42062</v>
      </c>
      <c r="G9" s="28">
        <v>3.928281806821543E-2</v>
      </c>
      <c r="H9" s="29">
        <v>3.1242121896990493E-2</v>
      </c>
      <c r="I9" s="28"/>
      <c r="J9" s="30">
        <v>8.5544343085431018E-2</v>
      </c>
      <c r="K9" s="29">
        <v>5.0998415441669165E-2</v>
      </c>
      <c r="L9" s="29">
        <v>5.5046249263051905E-2</v>
      </c>
      <c r="M9" s="28"/>
      <c r="N9" s="29">
        <v>0.11504396579052312</v>
      </c>
      <c r="O9" s="29">
        <v>6.5138077561740726E-2</v>
      </c>
      <c r="P9" s="29">
        <v>5.4289246694915194E-2</v>
      </c>
      <c r="Q9" s="29">
        <v>5.8145201207135733E-2</v>
      </c>
      <c r="R9" s="28">
        <v>4.3256608217479897E-2</v>
      </c>
      <c r="S9" s="29">
        <v>5.4231314886770576E-2</v>
      </c>
      <c r="T9" s="29">
        <v>3.9976272531224488E-2</v>
      </c>
      <c r="U9" s="28">
        <v>5.2415126543249979E-2</v>
      </c>
      <c r="V9" s="29">
        <v>5.336348848702599E-2</v>
      </c>
      <c r="W9" s="28">
        <v>-3.6105647345200387E-3</v>
      </c>
      <c r="X9" s="28">
        <v>1.7040138297334861E-2</v>
      </c>
      <c r="Y9" s="28">
        <v>2.7065614104787805E-2</v>
      </c>
      <c r="Z9" s="28">
        <v>0.12353283600297549</v>
      </c>
      <c r="AA9" s="29">
        <v>0.12218104774714345</v>
      </c>
      <c r="AB9" s="31">
        <v>0.10921740162363713</v>
      </c>
    </row>
    <row r="10" spans="6:28" x14ac:dyDescent="0.2">
      <c r="F10" s="4">
        <v>42094</v>
      </c>
      <c r="G10" s="28">
        <v>5.9426185057012137E-3</v>
      </c>
      <c r="H10" s="29">
        <v>7.7451797016763191E-3</v>
      </c>
      <c r="I10" s="28"/>
      <c r="J10" s="30">
        <v>-3.3134844012860931E-3</v>
      </c>
      <c r="K10" s="29">
        <v>9.4202890288208607E-3</v>
      </c>
      <c r="L10" s="29">
        <v>1.723869098869768E-2</v>
      </c>
      <c r="M10" s="28"/>
      <c r="N10" s="29">
        <v>-1.2040328519267618E-2</v>
      </c>
      <c r="O10" s="29">
        <v>1.2096852123677504E-2</v>
      </c>
      <c r="P10" s="29">
        <v>1.3941854352311323E-2</v>
      </c>
      <c r="Q10" s="29">
        <v>1.6145595401094281E-2</v>
      </c>
      <c r="R10" s="28">
        <v>2.8307089656114393E-2</v>
      </c>
      <c r="S10" s="29">
        <v>2.089895748022208E-2</v>
      </c>
      <c r="T10" s="29">
        <v>2.7526683498166671E-2</v>
      </c>
      <c r="U10" s="28">
        <v>2.5796197962302259E-2</v>
      </c>
      <c r="V10" s="29">
        <v>3.3411903484052319E-2</v>
      </c>
      <c r="W10" s="28">
        <v>0.11230271111344159</v>
      </c>
      <c r="X10" s="28">
        <v>0.12139542021673866</v>
      </c>
      <c r="Y10" s="28">
        <v>9.5701018047124498E-2</v>
      </c>
      <c r="Z10" s="28">
        <v>-2.5536453205468157E-2</v>
      </c>
      <c r="AA10" s="29">
        <v>-2.0860812642997106E-2</v>
      </c>
      <c r="AB10" s="31">
        <v>1.4848578299596404E-2</v>
      </c>
    </row>
    <row r="11" spans="6:28" x14ac:dyDescent="0.2">
      <c r="F11" s="4">
        <v>42124</v>
      </c>
      <c r="G11" s="28">
        <v>-7.540183001958134E-3</v>
      </c>
      <c r="H11" s="29">
        <v>-1.1105228244521204E-2</v>
      </c>
      <c r="I11" s="28">
        <v>4.1294602339631448E-2</v>
      </c>
      <c r="J11" s="30">
        <v>1.2523491795557895E-2</v>
      </c>
      <c r="K11" s="29">
        <v>8.6805399297538166E-3</v>
      </c>
      <c r="L11" s="29">
        <v>7.7663309369837563E-3</v>
      </c>
      <c r="M11" s="28">
        <v>3.1926730464906239E-2</v>
      </c>
      <c r="N11" s="29">
        <v>2.8181833727360717E-2</v>
      </c>
      <c r="O11" s="29">
        <v>1.7261255291637356E-2</v>
      </c>
      <c r="P11" s="29">
        <v>1.2170888289470216E-2</v>
      </c>
      <c r="Q11" s="29">
        <v>1.2327425089804445E-2</v>
      </c>
      <c r="R11" s="28">
        <v>1.1220102739324167E-2</v>
      </c>
      <c r="S11" s="29">
        <v>1.0255825538023178E-2</v>
      </c>
      <c r="T11" s="29">
        <v>1.0101986378834305E-2</v>
      </c>
      <c r="U11" s="28">
        <v>1.6297582917810027E-2</v>
      </c>
      <c r="V11" s="29">
        <v>1.5490903217534768E-2</v>
      </c>
      <c r="W11" s="28">
        <v>1.3747274145893273E-2</v>
      </c>
      <c r="X11" s="28">
        <v>1.4234764381181986E-2</v>
      </c>
      <c r="Y11" s="28">
        <v>1.4911380443309197E-2</v>
      </c>
      <c r="Z11" s="28">
        <v>4.7398731387296111E-2</v>
      </c>
      <c r="AA11" s="29">
        <v>5.0260551493514827E-2</v>
      </c>
      <c r="AB11" s="31">
        <v>4.9688151695368887E-2</v>
      </c>
    </row>
    <row r="12" spans="6:28" x14ac:dyDescent="0.2">
      <c r="F12" s="4">
        <v>42153</v>
      </c>
      <c r="G12" s="28">
        <v>-2.9440724778078686E-2</v>
      </c>
      <c r="H12" s="29">
        <v>-3.8613281655498488E-2</v>
      </c>
      <c r="I12" s="28">
        <v>-1.62355352366228E-3</v>
      </c>
      <c r="J12" s="30">
        <v>-8.4007074597047815E-3</v>
      </c>
      <c r="K12" s="29">
        <v>-2.6115436213541843E-2</v>
      </c>
      <c r="L12" s="29">
        <v>-2.9535213930614979E-2</v>
      </c>
      <c r="M12" s="28">
        <v>1.8283823238883778E-2</v>
      </c>
      <c r="N12" s="29">
        <v>5.1072162456320402E-3</v>
      </c>
      <c r="O12" s="29">
        <v>-8.7522121002009401E-3</v>
      </c>
      <c r="P12" s="29">
        <v>-1.3149057931546415E-2</v>
      </c>
      <c r="Q12" s="29">
        <v>-1.8875449777250308E-2</v>
      </c>
      <c r="R12" s="28">
        <v>-2.0973955288738466E-2</v>
      </c>
      <c r="S12" s="29">
        <v>-2.5298899173768041E-2</v>
      </c>
      <c r="T12" s="29">
        <v>-2.8695720009287107E-2</v>
      </c>
      <c r="U12" s="28">
        <v>-1.4154088955046995E-2</v>
      </c>
      <c r="V12" s="29">
        <v>-1.6937137357181609E-2</v>
      </c>
      <c r="W12" s="28">
        <v>-7.0632448668296322E-2</v>
      </c>
      <c r="X12" s="28">
        <v>-4.8356945846582455E-2</v>
      </c>
      <c r="Y12" s="28">
        <v>-3.0653927020142357E-2</v>
      </c>
      <c r="Z12" s="28">
        <v>9.3949434717548463E-3</v>
      </c>
      <c r="AA12" s="29">
        <v>-3.6562657705019319E-4</v>
      </c>
      <c r="AB12" s="31">
        <v>1.5940141164727528E-2</v>
      </c>
    </row>
    <row r="13" spans="6:28" x14ac:dyDescent="0.2">
      <c r="F13" s="4">
        <v>42185</v>
      </c>
      <c r="G13" s="28">
        <v>-3.2015573200899206E-2</v>
      </c>
      <c r="H13" s="29">
        <v>-3.5059547657207313E-2</v>
      </c>
      <c r="I13" s="28">
        <v>-1.3436209698385548E-2</v>
      </c>
      <c r="J13" s="30">
        <v>-1.6739410488815221E-3</v>
      </c>
      <c r="K13" s="29">
        <v>-8.1638584034930961E-3</v>
      </c>
      <c r="L13" s="29">
        <v>-1.3393839887920311E-2</v>
      </c>
      <c r="M13" s="28">
        <v>2.3821589833388446E-2</v>
      </c>
      <c r="N13" s="29">
        <v>3.7628722083344446E-2</v>
      </c>
      <c r="O13" s="29">
        <v>7.1549359549587521E-3</v>
      </c>
      <c r="P13" s="29">
        <v>-2.4404507804165476E-3</v>
      </c>
      <c r="Q13" s="29">
        <v>-9.2152821914660565E-3</v>
      </c>
      <c r="R13" s="28">
        <v>1.552596293573405E-3</v>
      </c>
      <c r="S13" s="29">
        <v>-2.0594562870039912E-3</v>
      </c>
      <c r="T13" s="29">
        <v>-1.2569121621514356E-2</v>
      </c>
      <c r="U13" s="28">
        <v>-3.3993866412103113E-3</v>
      </c>
      <c r="V13" s="29">
        <v>-7.726354826881221E-3</v>
      </c>
      <c r="W13" s="28">
        <v>-3.8639459476579097E-2</v>
      </c>
      <c r="X13" s="28">
        <v>-2.5790919488147823E-2</v>
      </c>
      <c r="Y13" s="28">
        <v>-1.0738156094344586E-2</v>
      </c>
      <c r="Z13" s="28">
        <v>9.3911760596527616E-2</v>
      </c>
      <c r="AA13" s="29">
        <v>8.5991928271661244E-2</v>
      </c>
      <c r="AB13" s="31">
        <v>7.6286058642291543E-2</v>
      </c>
    </row>
    <row r="14" spans="6:28" x14ac:dyDescent="0.2">
      <c r="F14" s="4">
        <v>42216</v>
      </c>
      <c r="G14" s="28">
        <v>1.4952540141882631E-2</v>
      </c>
      <c r="H14" s="29">
        <v>9.9166098926959378E-3</v>
      </c>
      <c r="I14" s="28">
        <v>1.8128039790966888E-2</v>
      </c>
      <c r="J14" s="30">
        <v>1.2310288365746436E-2</v>
      </c>
      <c r="K14" s="29">
        <v>5.295323740380109E-3</v>
      </c>
      <c r="L14" s="29">
        <v>7.2184912408310709E-3</v>
      </c>
      <c r="M14" s="28">
        <v>1.3688786134454567E-2</v>
      </c>
      <c r="N14" s="29">
        <v>1.082028561913817E-2</v>
      </c>
      <c r="O14" s="29">
        <v>9.8767849250247508E-4</v>
      </c>
      <c r="P14" s="29">
        <v>8.0059530985840954E-3</v>
      </c>
      <c r="Q14" s="29">
        <v>1.3525007337377382E-2</v>
      </c>
      <c r="R14" s="28">
        <v>1.1102179070472395E-2</v>
      </c>
      <c r="S14" s="29">
        <v>1.3118824508465465E-2</v>
      </c>
      <c r="T14" s="29">
        <v>1.6284034490214649E-2</v>
      </c>
      <c r="U14" s="28">
        <v>1.3538547946301938E-2</v>
      </c>
      <c r="V14" s="29">
        <v>1.6378520428949939E-2</v>
      </c>
      <c r="W14" s="28">
        <v>2.1331063184118815E-2</v>
      </c>
      <c r="X14" s="28">
        <v>3.747114299807186E-2</v>
      </c>
      <c r="Y14" s="28">
        <v>2.9785562259158516E-2</v>
      </c>
      <c r="Z14" s="28">
        <v>-3.1337089779976735E-2</v>
      </c>
      <c r="AA14" s="29">
        <v>-3.1283357446901361E-2</v>
      </c>
      <c r="AB14" s="31">
        <v>-2.9292940565528891E-2</v>
      </c>
    </row>
    <row r="15" spans="6:28" x14ac:dyDescent="0.2">
      <c r="F15" s="4">
        <v>42247</v>
      </c>
      <c r="G15" s="28">
        <v>-1.0256915757213214E-2</v>
      </c>
      <c r="H15" s="29">
        <v>-1.2140415923491465E-2</v>
      </c>
      <c r="I15" s="28">
        <v>-1.2437653763168521E-2</v>
      </c>
      <c r="J15" s="30">
        <v>-2.0659258363948108E-2</v>
      </c>
      <c r="K15" s="29">
        <v>-1.8220354217621137E-2</v>
      </c>
      <c r="L15" s="29">
        <v>-2.3115254349119096E-2</v>
      </c>
      <c r="M15" s="28">
        <v>-1.2588742438462086E-2</v>
      </c>
      <c r="N15" s="29">
        <v>-2.301012759895682E-2</v>
      </c>
      <c r="O15" s="29">
        <v>-1.8062247642216089E-2</v>
      </c>
      <c r="P15" s="29">
        <v>-1.8275591999702523E-2</v>
      </c>
      <c r="Q15" s="29">
        <v>-1.9122930244307002E-2</v>
      </c>
      <c r="R15" s="28">
        <v>-1.1065574099375586E-2</v>
      </c>
      <c r="S15" s="29">
        <v>-1.0371733832983288E-2</v>
      </c>
      <c r="T15" s="29">
        <v>-1.5609680887360478E-2</v>
      </c>
      <c r="U15" s="28">
        <v>-1.0279805783012352E-2</v>
      </c>
      <c r="V15" s="29">
        <v>-8.8550619766889493E-3</v>
      </c>
      <c r="W15" s="28">
        <v>-2.7510533679380278E-2</v>
      </c>
      <c r="X15" s="28">
        <v>-3.5459048728216591E-2</v>
      </c>
      <c r="Y15" s="28">
        <v>-9.1859996121019805E-3</v>
      </c>
      <c r="Z15" s="28">
        <v>-1.569946711584369E-2</v>
      </c>
      <c r="AA15" s="29">
        <v>-2.0573699302911419E-2</v>
      </c>
      <c r="AB15" s="31">
        <v>-6.8663849568305624E-3</v>
      </c>
    </row>
    <row r="16" spans="6:28" x14ac:dyDescent="0.2">
      <c r="F16" s="4">
        <v>42277</v>
      </c>
      <c r="G16" s="28">
        <v>-6.0420064904191939E-3</v>
      </c>
      <c r="H16" s="29">
        <v>-5.6996904944218718E-3</v>
      </c>
      <c r="I16" s="28">
        <v>-4.8283168441657365E-3</v>
      </c>
      <c r="J16" s="30">
        <v>-1.2285527107601224E-2</v>
      </c>
      <c r="K16" s="29">
        <v>-1.504735837799509E-2</v>
      </c>
      <c r="L16" s="29">
        <v>-1.694790925168721E-2</v>
      </c>
      <c r="M16" s="28">
        <v>-1.3963201888800847E-2</v>
      </c>
      <c r="N16" s="29">
        <v>-1.7782365906371278E-2</v>
      </c>
      <c r="O16" s="29">
        <v>-2.2698810470704434E-2</v>
      </c>
      <c r="P16" s="29">
        <v>-2.1623672786753922E-2</v>
      </c>
      <c r="Q16" s="29">
        <v>-2.3565554085317686E-2</v>
      </c>
      <c r="R16" s="28">
        <v>-3.1546882031960433E-2</v>
      </c>
      <c r="S16" s="29">
        <v>-3.3688149075367546E-2</v>
      </c>
      <c r="T16" s="29">
        <v>-3.4196955846788279E-2</v>
      </c>
      <c r="U16" s="28">
        <v>-3.9706862274443755E-2</v>
      </c>
      <c r="V16" s="29">
        <v>-4.1666015098840603E-2</v>
      </c>
      <c r="W16" s="28">
        <v>-4.9474000990328282E-3</v>
      </c>
      <c r="X16" s="28">
        <v>-3.8649649204317571E-2</v>
      </c>
      <c r="Y16" s="28">
        <v>-1.9853723152474023E-2</v>
      </c>
      <c r="Z16" s="28">
        <v>-4.2152035555517942E-2</v>
      </c>
      <c r="AA16" s="29">
        <v>-4.7330198952161395E-2</v>
      </c>
      <c r="AB16" s="31">
        <v>-4.3474669066235649E-2</v>
      </c>
    </row>
    <row r="17" spans="6:29" x14ac:dyDescent="0.2">
      <c r="F17" s="4">
        <v>42307</v>
      </c>
      <c r="G17" s="28">
        <v>-7.6464740623716221E-4</v>
      </c>
      <c r="H17" s="29">
        <v>2.2550208680360839E-3</v>
      </c>
      <c r="I17" s="28">
        <v>-8.7207325495166632E-3</v>
      </c>
      <c r="J17" s="30">
        <v>-1.0009566891114763E-2</v>
      </c>
      <c r="K17" s="29">
        <v>-3.9820857287000688E-3</v>
      </c>
      <c r="L17" s="29">
        <v>-1.2184643704518106E-3</v>
      </c>
      <c r="M17" s="28">
        <v>-2.8413887691816075E-3</v>
      </c>
      <c r="N17" s="29">
        <v>-5.6588622851860837E-4</v>
      </c>
      <c r="O17" s="29">
        <v>1.4980853731234589E-3</v>
      </c>
      <c r="P17" s="29">
        <v>2.1584683377100511E-3</v>
      </c>
      <c r="Q17" s="29">
        <v>4.1463372092342965E-3</v>
      </c>
      <c r="R17" s="28">
        <v>-1.4800359723865508E-4</v>
      </c>
      <c r="S17" s="29">
        <v>2.4206915868318912E-3</v>
      </c>
      <c r="T17" s="29">
        <v>4.052322068156089E-3</v>
      </c>
      <c r="U17" s="28">
        <v>6.6577432738412767E-4</v>
      </c>
      <c r="V17" s="29">
        <v>1.9362960859425904E-4</v>
      </c>
      <c r="W17" s="28">
        <v>2.2042625670194438E-2</v>
      </c>
      <c r="X17" s="28">
        <v>1.4467860616570682E-2</v>
      </c>
      <c r="Y17" s="28">
        <v>1.3228227156523831E-2</v>
      </c>
      <c r="Z17" s="28">
        <v>7.758820565120006E-3</v>
      </c>
      <c r="AA17" s="29">
        <v>8.5450486447644636E-3</v>
      </c>
      <c r="AB17" s="31">
        <v>1.0151866765183648E-2</v>
      </c>
    </row>
    <row r="18" spans="6:29" x14ac:dyDescent="0.2">
      <c r="F18" s="4">
        <v>42338</v>
      </c>
      <c r="G18" s="28">
        <v>5.3789495115208474E-3</v>
      </c>
      <c r="H18" s="29">
        <v>1.0614526430165139E-2</v>
      </c>
      <c r="I18" s="28">
        <v>2.5290236617613537E-2</v>
      </c>
      <c r="J18" s="30">
        <v>1.3249372677495819E-2</v>
      </c>
      <c r="K18" s="29">
        <v>1.7775697396403389E-2</v>
      </c>
      <c r="L18" s="29">
        <v>1.5357563917548944E-2</v>
      </c>
      <c r="M18" s="28">
        <v>2.2346219978129023E-2</v>
      </c>
      <c r="N18" s="29">
        <v>2.3629694894375941E-2</v>
      </c>
      <c r="O18" s="29">
        <v>2.0188401850945725E-2</v>
      </c>
      <c r="P18" s="29">
        <v>1.9774755788537268E-2</v>
      </c>
      <c r="Q18" s="29">
        <v>4.577176358062629E-2</v>
      </c>
      <c r="R18" s="28">
        <v>1.8593114739147376E-2</v>
      </c>
      <c r="S18" s="29">
        <v>1.7943739271890191E-2</v>
      </c>
      <c r="T18" s="29">
        <v>3.1008313044069258E-2</v>
      </c>
      <c r="U18" s="28">
        <v>1.8385125634711175E-2</v>
      </c>
      <c r="V18" s="29">
        <v>1.7723390603125555E-2</v>
      </c>
      <c r="W18" s="28">
        <v>1.239245717872195E-2</v>
      </c>
      <c r="X18" s="28">
        <v>-5.0151528656773303E-3</v>
      </c>
      <c r="Y18" s="28">
        <v>3.8403766078110024E-3</v>
      </c>
      <c r="Z18" s="28">
        <v>3.7925195495740471E-2</v>
      </c>
      <c r="AA18" s="29">
        <v>3.3434043252854151E-2</v>
      </c>
      <c r="AB18" s="31">
        <v>3.2161977707059419E-2</v>
      </c>
    </row>
    <row r="19" spans="6:29" x14ac:dyDescent="0.2">
      <c r="F19" s="4">
        <v>42369</v>
      </c>
      <c r="G19" s="32">
        <v>5.7506796502084789E-3</v>
      </c>
      <c r="H19" s="33">
        <v>6.2944841360139669E-3</v>
      </c>
      <c r="I19" s="32">
        <v>1.5246600398424404E-2</v>
      </c>
      <c r="J19" s="34">
        <v>1.2637303920178367E-2</v>
      </c>
      <c r="K19" s="33">
        <v>1.3582201709015029E-2</v>
      </c>
      <c r="L19" s="33">
        <v>2.0454416461505254E-2</v>
      </c>
      <c r="M19" s="32">
        <v>1.6882201037100586E-2</v>
      </c>
      <c r="N19" s="33">
        <v>1.6800967232153408E-2</v>
      </c>
      <c r="O19" s="33">
        <v>1.1831685394366298E-2</v>
      </c>
      <c r="P19" s="33">
        <v>1.2443023756279592E-2</v>
      </c>
      <c r="Q19" s="33">
        <v>2.2389572557204529E-2</v>
      </c>
      <c r="R19" s="32">
        <v>1.564968423895019E-2</v>
      </c>
      <c r="S19" s="33">
        <v>1.6017230461474297E-2</v>
      </c>
      <c r="T19" s="33">
        <v>2.512718120232349E-2</v>
      </c>
      <c r="U19" s="32">
        <v>2.0254649182860796E-2</v>
      </c>
      <c r="V19" s="33">
        <v>2.3102235965215323E-2</v>
      </c>
      <c r="W19" s="32">
        <v>2.3198838972412705E-2</v>
      </c>
      <c r="X19" s="32">
        <v>1.303408182315513E-2</v>
      </c>
      <c r="Y19" s="32">
        <v>1.66925337218089E-2</v>
      </c>
      <c r="Z19" s="32">
        <v>1.2310275856991737E-2</v>
      </c>
      <c r="AA19" s="33">
        <v>2.5511528413177276E-2</v>
      </c>
      <c r="AB19" s="35">
        <v>1.8765553008575964E-2</v>
      </c>
    </row>
    <row r="20" spans="6:29" x14ac:dyDescent="0.2">
      <c r="F20" s="4">
        <v>42398</v>
      </c>
      <c r="G20" s="28">
        <v>-1.1946166982753637E-3</v>
      </c>
      <c r="H20" s="29">
        <v>-8.5414795981886282E-4</v>
      </c>
      <c r="I20" s="28">
        <v>-6.6994681338017337E-3</v>
      </c>
      <c r="J20" s="30">
        <v>-1.7646731689038297E-2</v>
      </c>
      <c r="K20" s="29">
        <v>-2.2522297545257697E-2</v>
      </c>
      <c r="L20" s="29">
        <v>-1.6556482992294508E-2</v>
      </c>
      <c r="M20" s="28">
        <v>-4.3270867871252672E-2</v>
      </c>
      <c r="N20" s="29">
        <v>-4.493880960830765E-2</v>
      </c>
      <c r="O20" s="29">
        <v>-4.1565632494491411E-2</v>
      </c>
      <c r="P20" s="29">
        <v>-3.2314865058535758E-2</v>
      </c>
      <c r="Q20" s="29">
        <v>-2.3985347087117193E-2</v>
      </c>
      <c r="R20" s="28">
        <v>-3.5758059355644134E-2</v>
      </c>
      <c r="S20" s="29">
        <v>-3.0587827382145605E-2</v>
      </c>
      <c r="T20" s="29">
        <v>-2.4843338377100732E-2</v>
      </c>
      <c r="U20" s="28">
        <v>-2.8133851416974776E-2</v>
      </c>
      <c r="V20" s="29">
        <v>-2.3576599739564275E-2</v>
      </c>
      <c r="W20" s="28">
        <v>1.545248229914753E-2</v>
      </c>
      <c r="X20" s="28">
        <v>5.6826978890851532E-3</v>
      </c>
      <c r="Y20" s="28">
        <v>4.6090347642222529E-3</v>
      </c>
      <c r="Z20" s="28">
        <v>-0.10749775772639536</v>
      </c>
      <c r="AA20" s="29">
        <v>-9.1054788321849878E-2</v>
      </c>
      <c r="AB20" s="31">
        <v>-9.0510363461051235E-2</v>
      </c>
    </row>
    <row r="21" spans="6:29" x14ac:dyDescent="0.2">
      <c r="F21" s="4">
        <v>42429</v>
      </c>
      <c r="G21" s="32">
        <v>-4.5170554611951852E-3</v>
      </c>
      <c r="H21" s="33">
        <v>1.326251707534043E-2</v>
      </c>
      <c r="I21" s="32">
        <v>1.338329258245663E-2</v>
      </c>
      <c r="J21" s="34">
        <v>5.4511858244141731E-3</v>
      </c>
      <c r="K21" s="33">
        <v>1.9780851045305692E-3</v>
      </c>
      <c r="L21" s="33">
        <v>1.2403356680608768E-2</v>
      </c>
      <c r="M21" s="32">
        <v>-1.4448979852678123E-3</v>
      </c>
      <c r="N21" s="33">
        <v>-4.737576655581166E-3</v>
      </c>
      <c r="O21" s="33">
        <v>-2.7841266740766812E-3</v>
      </c>
      <c r="P21" s="33">
        <v>4.5129684181137719E-3</v>
      </c>
      <c r="Q21" s="33">
        <v>1.2382789016082585E-2</v>
      </c>
      <c r="R21" s="32">
        <v>6.8223203060877591E-3</v>
      </c>
      <c r="S21" s="33">
        <v>7.8271602949557817E-3</v>
      </c>
      <c r="T21" s="33">
        <v>1.4900981159734039E-2</v>
      </c>
      <c r="U21" s="32">
        <v>1.3888565035470091E-2</v>
      </c>
      <c r="V21" s="33">
        <v>1.1210630242291408E-2</v>
      </c>
      <c r="W21" s="32">
        <v>3.656524632636482E-2</v>
      </c>
      <c r="X21" s="32">
        <v>3.7922262972570175E-2</v>
      </c>
      <c r="Y21" s="32">
        <v>3.2359412838260937E-2</v>
      </c>
      <c r="Z21" s="32">
        <v>-4.6397998880932434E-2</v>
      </c>
      <c r="AA21" s="33">
        <v>-4.3113880221974044E-2</v>
      </c>
      <c r="AB21" s="35">
        <v>-3.2969520500917393E-2</v>
      </c>
    </row>
    <row r="22" spans="6:29" x14ac:dyDescent="0.2">
      <c r="F22" s="4">
        <v>42460</v>
      </c>
      <c r="G22" s="32">
        <v>9.5596882226898217E-3</v>
      </c>
      <c r="H22" s="33">
        <v>6.6155518419361847E-3</v>
      </c>
      <c r="I22" s="32">
        <v>1.049859217252469E-2</v>
      </c>
      <c r="J22" s="34">
        <v>1.2796543182490794E-2</v>
      </c>
      <c r="K22" s="33">
        <v>9.6846253616147404E-3</v>
      </c>
      <c r="L22" s="33">
        <v>1.4154800391521061E-2</v>
      </c>
      <c r="M22" s="32">
        <v>1.8324595369378027E-2</v>
      </c>
      <c r="N22" s="33">
        <v>2.3444906976552549E-2</v>
      </c>
      <c r="O22" s="33">
        <v>2.5849646339284549E-2</v>
      </c>
      <c r="P22" s="33">
        <v>2.5888001667915272E-2</v>
      </c>
      <c r="Q22" s="33">
        <v>2.0624320835921806E-2</v>
      </c>
      <c r="R22" s="32">
        <v>1.3199055512439495E-2</v>
      </c>
      <c r="S22" s="33">
        <v>1.3153251291058599E-2</v>
      </c>
      <c r="T22" s="33">
        <v>1.3180274749032606E-2</v>
      </c>
      <c r="U22" s="32">
        <v>1.8045530014842992E-3</v>
      </c>
      <c r="V22" s="33">
        <v>2.6630721506315513E-3</v>
      </c>
      <c r="W22" s="32">
        <v>1.7485969047066785E-2</v>
      </c>
      <c r="X22" s="32">
        <v>1.9579624493579528E-2</v>
      </c>
      <c r="Y22" s="32">
        <v>1.9157687077206553E-2</v>
      </c>
      <c r="Z22" s="32">
        <v>9.3331157232188211E-3</v>
      </c>
      <c r="AA22" s="33">
        <v>1.0114273644470817E-2</v>
      </c>
      <c r="AB22" s="35">
        <v>6.0930174626394606E-3</v>
      </c>
    </row>
    <row r="23" spans="6:29" x14ac:dyDescent="0.2">
      <c r="F23" s="4">
        <v>42489</v>
      </c>
      <c r="G23" s="32">
        <v>1.2924263455010854E-2</v>
      </c>
      <c r="H23" s="33">
        <v>1.0213686193189853E-2</v>
      </c>
      <c r="I23" s="32">
        <v>5.1691190811131715E-3</v>
      </c>
      <c r="J23" s="34">
        <v>1.2471291335067081E-2</v>
      </c>
      <c r="K23" s="33">
        <v>9.4981500806763375E-3</v>
      </c>
      <c r="L23" s="33">
        <v>8.1365643468467308E-3</v>
      </c>
      <c r="M23" s="32">
        <v>1.2874107034715365E-2</v>
      </c>
      <c r="N23" s="33">
        <v>1.8503689917784838E-2</v>
      </c>
      <c r="O23" s="33">
        <v>1.5902904613989133E-2</v>
      </c>
      <c r="P23" s="33">
        <v>2.2088753460758337E-2</v>
      </c>
      <c r="Q23" s="33">
        <v>1.5840785933554757E-2</v>
      </c>
      <c r="R23" s="32">
        <v>1.8123449518173906E-2</v>
      </c>
      <c r="S23" s="33">
        <v>1.794900756209783E-2</v>
      </c>
      <c r="T23" s="33">
        <v>1.5931599529768192E-2</v>
      </c>
      <c r="U23" s="32">
        <v>6.4401547282233462E-3</v>
      </c>
      <c r="V23" s="33">
        <v>1.1942686771837518E-2</v>
      </c>
      <c r="W23" s="32">
        <v>2.3379109156238309E-2</v>
      </c>
      <c r="X23" s="32">
        <v>2.3484867504314222E-2</v>
      </c>
      <c r="Y23" s="32">
        <v>1.8659862601862587E-2</v>
      </c>
      <c r="Z23" s="32">
        <v>9.3692580743223175E-3</v>
      </c>
      <c r="AA23" s="33">
        <v>1.2297866427613879E-2</v>
      </c>
      <c r="AB23" s="35">
        <v>1.0813120291628842E-2</v>
      </c>
    </row>
    <row r="24" spans="6:29" x14ac:dyDescent="0.2">
      <c r="F24" s="4">
        <v>42521</v>
      </c>
      <c r="G24" s="32">
        <v>3.7738094695350055E-2</v>
      </c>
      <c r="H24" s="33">
        <v>3.846417621519338E-2</v>
      </c>
      <c r="I24" s="32">
        <v>4.5583780264690343E-2</v>
      </c>
      <c r="J24" s="34">
        <v>3.5342319525555554E-2</v>
      </c>
      <c r="K24" s="33">
        <v>3.0728284016672047E-2</v>
      </c>
      <c r="L24" s="33">
        <v>3.4270763601772281E-2</v>
      </c>
      <c r="M24" s="32">
        <v>3.7572338118019744E-2</v>
      </c>
      <c r="N24" s="33">
        <v>3.9007810250953678E-2</v>
      </c>
      <c r="O24" s="33">
        <v>3.2593090016116655E-2</v>
      </c>
      <c r="P24" s="33">
        <v>3.531444098659553E-2</v>
      </c>
      <c r="Q24" s="33">
        <v>3.5640502617595438E-2</v>
      </c>
      <c r="R24" s="32">
        <v>2.9825751765785613E-2</v>
      </c>
      <c r="S24" s="33">
        <v>3.1978533643832296E-2</v>
      </c>
      <c r="T24" s="33">
        <v>3.5944088724727097E-2</v>
      </c>
      <c r="U24" s="32">
        <v>2.8364113691922821E-2</v>
      </c>
      <c r="V24" s="33">
        <v>3.2382858548542837E-2</v>
      </c>
      <c r="W24" s="32">
        <v>3.6849352781354927E-2</v>
      </c>
      <c r="X24" s="32">
        <v>3.3969813925671222E-2</v>
      </c>
      <c r="Y24" s="32">
        <v>2.8964065502726788E-2</v>
      </c>
      <c r="Z24" s="32">
        <v>4.5342596328115103E-3</v>
      </c>
      <c r="AA24" s="33">
        <v>8.2751715524469471E-3</v>
      </c>
      <c r="AB24" s="35">
        <v>7.1619613367726043E-3</v>
      </c>
    </row>
    <row r="25" spans="6:29" x14ac:dyDescent="0.2">
      <c r="F25" s="4">
        <v>42551</v>
      </c>
      <c r="G25" s="32">
        <v>3.4365653770311422E-2</v>
      </c>
      <c r="H25" s="33">
        <v>3.7535543692606366E-2</v>
      </c>
      <c r="I25" s="32">
        <v>3.9350154426490702E-2</v>
      </c>
      <c r="J25" s="34">
        <v>1.9004338152583733E-2</v>
      </c>
      <c r="K25" s="33">
        <v>1.1849014987595607E-2</v>
      </c>
      <c r="L25" s="33">
        <v>3.0868701754552141E-2</v>
      </c>
      <c r="M25" s="32">
        <v>-3.2835625183107453E-3</v>
      </c>
      <c r="N25" s="33">
        <v>4.5779587704308788E-4</v>
      </c>
      <c r="O25" s="33">
        <v>-1.6508695447099431E-3</v>
      </c>
      <c r="P25" s="33">
        <v>1.7149253105325668E-2</v>
      </c>
      <c r="Q25" s="33">
        <v>3.5170888991724159E-2</v>
      </c>
      <c r="R25" s="32">
        <v>1.3692127891511419E-3</v>
      </c>
      <c r="S25" s="33">
        <v>7.5143448300079019E-3</v>
      </c>
      <c r="T25" s="33">
        <v>3.4258755575580446E-2</v>
      </c>
      <c r="U25" s="32">
        <v>1.3212870730596737E-3</v>
      </c>
      <c r="V25" s="33">
        <v>1.7653088824538532E-2</v>
      </c>
      <c r="W25" s="32">
        <v>4.5911595291396656E-2</v>
      </c>
      <c r="X25" s="32">
        <v>3.0844215652262807E-2</v>
      </c>
      <c r="Y25" s="32">
        <v>2.6140036404572298E-2</v>
      </c>
      <c r="Z25" s="32">
        <v>-0.11082100936409123</v>
      </c>
      <c r="AA25" s="33">
        <v>-9.6261761145462033E-2</v>
      </c>
      <c r="AB25" s="35">
        <v>-7.4309221701654216E-2</v>
      </c>
    </row>
    <row r="26" spans="6:29" x14ac:dyDescent="0.2">
      <c r="F26" s="4">
        <v>42580</v>
      </c>
      <c r="G26" s="32">
        <v>4.4669921446686134E-2</v>
      </c>
      <c r="H26" s="33">
        <v>3.7337236143843322E-2</v>
      </c>
      <c r="I26" s="32">
        <v>5.837919103800937E-2</v>
      </c>
      <c r="J26" s="34">
        <v>3.9428910146014795E-2</v>
      </c>
      <c r="K26" s="33">
        <v>3.7527100389408652E-2</v>
      </c>
      <c r="L26" s="33">
        <v>4.9246496177802301E-2</v>
      </c>
      <c r="M26" s="32">
        <v>3.4961887071527586E-2</v>
      </c>
      <c r="N26" s="33">
        <v>3.8591554600980293E-2</v>
      </c>
      <c r="O26" s="33">
        <v>3.867682622802171E-2</v>
      </c>
      <c r="P26" s="33">
        <v>4.6729549269338255E-2</v>
      </c>
      <c r="Q26" s="33">
        <v>5.8290595406939927E-2</v>
      </c>
      <c r="R26" s="32">
        <v>3.4585025647062118E-2</v>
      </c>
      <c r="S26" s="33">
        <v>3.8702896697873079E-2</v>
      </c>
      <c r="T26" s="33">
        <v>5.0123028501194877E-2</v>
      </c>
      <c r="U26" s="32">
        <v>3.3383105276540537E-2</v>
      </c>
      <c r="V26" s="33">
        <v>4.0526134896440746E-2</v>
      </c>
      <c r="W26" s="32">
        <v>5.2635343698006265E-2</v>
      </c>
      <c r="X26" s="32">
        <v>4.1380791421229413E-2</v>
      </c>
      <c r="Y26" s="32">
        <v>2.3975780758631604E-2</v>
      </c>
      <c r="Z26" s="32">
        <v>-3.4658484925529143E-2</v>
      </c>
      <c r="AA26" s="33">
        <v>-2.9396928771071695E-2</v>
      </c>
      <c r="AB26" s="35">
        <v>-2.0967615025971109E-2</v>
      </c>
    </row>
    <row r="27" spans="6:29" x14ac:dyDescent="0.2">
      <c r="F27" s="4">
        <v>42613</v>
      </c>
      <c r="G27" s="28">
        <v>8.6811731541736048E-3</v>
      </c>
      <c r="H27" s="29">
        <v>6.7193883444243152E-3</v>
      </c>
      <c r="I27" s="28">
        <v>1.6216026798780092E-2</v>
      </c>
      <c r="J27" s="30">
        <v>1.8001132055514013E-2</v>
      </c>
      <c r="K27" s="29">
        <v>1.8195150774678037E-2</v>
      </c>
      <c r="L27" s="29">
        <v>9.6595650996422755E-3</v>
      </c>
      <c r="M27" s="28">
        <v>2.7795083708671342E-2</v>
      </c>
      <c r="N27" s="29">
        <v>2.489478162276626E-2</v>
      </c>
      <c r="O27" s="29">
        <v>1.4800770396918406E-2</v>
      </c>
      <c r="P27" s="29">
        <v>1.4105356440365258E-2</v>
      </c>
      <c r="Q27" s="29">
        <v>5.4776058370935576E-3</v>
      </c>
      <c r="R27" s="28">
        <v>2.0488925851451123E-2</v>
      </c>
      <c r="S27" s="29">
        <v>1.0851475873239425E-2</v>
      </c>
      <c r="T27" s="29">
        <v>1.2175177978907215E-2</v>
      </c>
      <c r="U27" s="28">
        <v>2.4171107245801293E-2</v>
      </c>
      <c r="V27" s="29">
        <v>2.1469831895979841E-2</v>
      </c>
      <c r="W27" s="28">
        <v>2.0675598415221152E-2</v>
      </c>
      <c r="X27" s="28">
        <v>2.1678172737107815E-2</v>
      </c>
      <c r="Y27" s="28">
        <v>2.29744962296623E-2</v>
      </c>
      <c r="Z27" s="28">
        <v>3.3283629758046107E-2</v>
      </c>
      <c r="AA27" s="29">
        <v>3.0414609809876758E-2</v>
      </c>
      <c r="AB27" s="31">
        <v>2.6615929963174967E-2</v>
      </c>
    </row>
    <row r="28" spans="6:29" x14ac:dyDescent="0.2">
      <c r="F28" s="4">
        <v>42643</v>
      </c>
      <c r="G28" s="32">
        <v>1.0648350691981001E-2</v>
      </c>
      <c r="H28" s="33">
        <v>1.0233387132664751E-2</v>
      </c>
      <c r="I28" s="32">
        <v>1.1416132440252413E-2</v>
      </c>
      <c r="J28" s="34">
        <v>2.4386619570619938E-3</v>
      </c>
      <c r="K28" s="33">
        <v>5.6721160349013644E-3</v>
      </c>
      <c r="L28" s="33">
        <v>1.0253357925222195E-2</v>
      </c>
      <c r="M28" s="32">
        <v>8.6619186501115664E-3</v>
      </c>
      <c r="N28" s="33">
        <v>8.1561919954256101E-3</v>
      </c>
      <c r="O28" s="33">
        <v>4.8678074234329571E-3</v>
      </c>
      <c r="P28" s="33">
        <v>5.524852558206117E-3</v>
      </c>
      <c r="Q28" s="33">
        <v>7.9135285213056683E-3</v>
      </c>
      <c r="R28" s="32">
        <v>9.1169669423218913E-3</v>
      </c>
      <c r="S28" s="33">
        <v>1.2683156833241505E-2</v>
      </c>
      <c r="T28" s="33">
        <v>1.5194062409092712E-2</v>
      </c>
      <c r="U28" s="32">
        <v>4.4059322684693036E-3</v>
      </c>
      <c r="V28" s="33">
        <v>3.4903493543354536E-3</v>
      </c>
      <c r="W28" s="32">
        <v>9.3475835700422838E-3</v>
      </c>
      <c r="X28" s="32">
        <v>6.6295360254196023E-3</v>
      </c>
      <c r="Y28" s="32">
        <v>7.74932361475833E-3</v>
      </c>
      <c r="Z28" s="32">
        <v>-1.5627573543287032E-2</v>
      </c>
      <c r="AA28" s="33">
        <v>-1.6146726047262416E-2</v>
      </c>
      <c r="AB28" s="35">
        <v>-1.1098236639079384E-2</v>
      </c>
    </row>
    <row r="29" spans="6:29" x14ac:dyDescent="0.2">
      <c r="F29" s="4">
        <v>42674</v>
      </c>
      <c r="G29" s="32">
        <v>-8.5206243601581022E-3</v>
      </c>
      <c r="H29" s="33">
        <v>-1.0130904044480027E-2</v>
      </c>
      <c r="I29" s="32">
        <v>9.3609261372378239E-3</v>
      </c>
      <c r="J29" s="34">
        <v>3.8605937793247946E-3</v>
      </c>
      <c r="K29" s="33">
        <v>6.8003445643201044E-3</v>
      </c>
      <c r="L29" s="33">
        <v>3.0933635280798732E-3</v>
      </c>
      <c r="M29" s="32">
        <v>1.6515951869499057E-2</v>
      </c>
      <c r="N29" s="33">
        <v>1.2009838799208916E-2</v>
      </c>
      <c r="O29" s="33">
        <v>6.8554078471472213E-3</v>
      </c>
      <c r="P29" s="33">
        <v>5.9630428630588206E-3</v>
      </c>
      <c r="Q29" s="33">
        <v>1.2276219898106122E-2</v>
      </c>
      <c r="R29" s="32">
        <v>4.563814937567523E-3</v>
      </c>
      <c r="S29" s="33">
        <v>8.5291811681253993E-3</v>
      </c>
      <c r="T29" s="33">
        <v>1.0669954540810433E-2</v>
      </c>
      <c r="U29" s="32">
        <v>1.2155528515067626E-3</v>
      </c>
      <c r="V29" s="33">
        <v>2.7411728365149823E-3</v>
      </c>
      <c r="W29" s="32">
        <v>-3.4523495255469605E-2</v>
      </c>
      <c r="X29" s="32">
        <v>-2.4958892923820919E-3</v>
      </c>
      <c r="Y29" s="32">
        <v>-6.4025784663751528E-2</v>
      </c>
      <c r="Z29" s="32">
        <v>7.1364656538728255E-2</v>
      </c>
      <c r="AA29" s="33">
        <v>6.4531154377857725E-2</v>
      </c>
      <c r="AB29" s="35">
        <v>5.229290646281215E-2</v>
      </c>
    </row>
    <row r="30" spans="6:29" x14ac:dyDescent="0.2">
      <c r="F30" s="4">
        <v>42704</v>
      </c>
      <c r="G30" s="32">
        <v>-2.5132446862137892E-2</v>
      </c>
      <c r="H30" s="33">
        <v>-2.7904401687201208E-2</v>
      </c>
      <c r="I30" s="32">
        <v>4.3038022823793209E-2</v>
      </c>
      <c r="J30" s="34">
        <v>1.5726022906179971E-2</v>
      </c>
      <c r="K30" s="33">
        <v>2.1912077757349824E-2</v>
      </c>
      <c r="L30" s="33">
        <v>2.5500077710073121E-2</v>
      </c>
      <c r="M30" s="32">
        <v>5.2475288612551907E-2</v>
      </c>
      <c r="N30" s="33">
        <v>4.2372352666640856E-2</v>
      </c>
      <c r="O30" s="33">
        <v>3.2112763387595056E-2</v>
      </c>
      <c r="P30" s="33">
        <v>2.3170747036836303E-2</v>
      </c>
      <c r="Q30" s="33">
        <v>3.9031883161521508E-2</v>
      </c>
      <c r="R30" s="32">
        <v>1.1293277329191609E-2</v>
      </c>
      <c r="S30" s="33">
        <v>6.493145863165628E-3</v>
      </c>
      <c r="T30" s="33">
        <v>2.0715922244300522E-2</v>
      </c>
      <c r="U30" s="32">
        <v>7.0988187371026079E-3</v>
      </c>
      <c r="V30" s="33">
        <v>2.0310747988528499E-2</v>
      </c>
      <c r="W30" s="32">
        <v>-2.7529839167058534E-2</v>
      </c>
      <c r="X30" s="32">
        <v>-1.5691570917905739E-2</v>
      </c>
      <c r="Y30" s="32">
        <v>-3.6909348594443947E-2</v>
      </c>
      <c r="Z30" s="32">
        <v>0.14864992661403487</v>
      </c>
      <c r="AA30" s="33">
        <v>0.1293875936740565</v>
      </c>
      <c r="AB30" s="35">
        <v>0.11294797792314459</v>
      </c>
    </row>
    <row r="31" spans="6:29" x14ac:dyDescent="0.2">
      <c r="F31" s="4">
        <v>42734</v>
      </c>
      <c r="G31" s="32">
        <v>6.228748431348438E-3</v>
      </c>
      <c r="H31" s="33">
        <v>2.9586434935071565E-3</v>
      </c>
      <c r="I31" s="32">
        <v>2.3131986457217847E-2</v>
      </c>
      <c r="J31" s="34">
        <v>2.0663068212322385E-2</v>
      </c>
      <c r="K31" s="33">
        <v>2.0687169464583016E-2</v>
      </c>
      <c r="L31" s="33">
        <v>-1.436798281151251E-2</v>
      </c>
      <c r="M31" s="32">
        <v>2.1182097168647277E-2</v>
      </c>
      <c r="N31" s="33">
        <v>1.9448782749766001E-2</v>
      </c>
      <c r="O31" s="33">
        <v>2.2751933438463906E-2</v>
      </c>
      <c r="P31" s="33">
        <v>2.1239196588747497E-2</v>
      </c>
      <c r="Q31" s="33">
        <v>-1.3654340320957936E-2</v>
      </c>
      <c r="R31" s="32">
        <v>1.8284543524416108E-2</v>
      </c>
      <c r="S31" s="33">
        <v>1.9445036537380542E-2</v>
      </c>
      <c r="T31" s="33">
        <v>2.0867686976609821E-2</v>
      </c>
      <c r="U31" s="32">
        <v>1.388464789021848E-2</v>
      </c>
      <c r="V31" s="33">
        <v>1.5016773048179863E-2</v>
      </c>
      <c r="W31" s="32">
        <v>-2.8362344480156756E-2</v>
      </c>
      <c r="X31" s="32">
        <v>-2.8869331581236411E-2</v>
      </c>
      <c r="Y31" s="32">
        <v>-1.1454137416118705E-2</v>
      </c>
      <c r="Z31" s="32">
        <v>1.6929012501864616E-2</v>
      </c>
      <c r="AA31" s="33">
        <v>1.7712492113307943E-2</v>
      </c>
      <c r="AB31" s="35">
        <v>1.6754829843206361E-2</v>
      </c>
      <c r="AC31">
        <v>9.249988733259832E-3</v>
      </c>
    </row>
  </sheetData>
  <mergeCells count="1">
    <mergeCell ref="F6:A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D Coupon</vt:lpstr>
      <vt:lpstr>Return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2017-01-03T23:20:05Z</dcterms:modified>
</cp:coreProperties>
</file>