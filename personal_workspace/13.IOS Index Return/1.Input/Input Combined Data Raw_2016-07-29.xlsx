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'Refi%'!$AE$2:$AF$1394</definedName>
    <definedName name="Query_from_Agency_15" localSheetId="6" hidden="1">'Refi%'!$AH$2:$AI$1398</definedName>
    <definedName name="Query_from_Agency_5" localSheetId="4" hidden="1">'ppm risk premium'!$L$3:$N$275</definedName>
    <definedName name="Query_from_Agency_5" localSheetId="2" hidden="1">'Realized Vol'!$A$1:$B$1813</definedName>
    <definedName name="Query_from_Agency_6" localSheetId="5" hidden="1">'LIBOR 1m'!$B$2:$F$1900</definedName>
    <definedName name="Query_from_Agency_6" localSheetId="4" hidden="1">'ppm risk premium'!$P$3:$T$1648</definedName>
    <definedName name="Query_from_Agency_7" localSheetId="4" hidden="1">'ppm risk premium'!$V$3:$X$1395</definedName>
    <definedName name="Query_from_Agency_8" localSheetId="4" hidden="1">'ppm risk premium'!$Z$3:$AA$1393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J24" i="1" s="1"/>
  <c r="D8" i="7"/>
  <c r="J51" i="1" s="1"/>
  <c r="D9" i="7"/>
  <c r="J29" i="1" s="1"/>
  <c r="D10" i="7"/>
  <c r="J31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68" i="4"/>
  <c r="G68" i="4"/>
  <c r="H68" i="4"/>
  <c r="I68" i="4"/>
  <c r="J68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B69" i="3"/>
  <c r="I67" i="2"/>
  <c r="J67" i="2"/>
  <c r="C2" i="2"/>
  <c r="C3" i="2"/>
  <c r="C4" i="2"/>
  <c r="C5" i="2"/>
  <c r="C6" i="2"/>
  <c r="C7" i="2"/>
  <c r="C8" i="2"/>
  <c r="C9" i="2"/>
  <c r="D9" i="2"/>
  <c r="C10" i="2"/>
  <c r="C11" i="2"/>
  <c r="C12" i="2"/>
  <c r="C13" i="2"/>
  <c r="C14" i="2"/>
  <c r="C15" i="2"/>
  <c r="C16" i="2"/>
  <c r="C17" i="2"/>
  <c r="D13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D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D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D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D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D585" i="2"/>
  <c r="C586" i="2"/>
  <c r="C587" i="2"/>
  <c r="C588" i="2"/>
  <c r="C589" i="2"/>
  <c r="C590" i="2"/>
  <c r="C591" i="2"/>
  <c r="C592" i="2"/>
  <c r="C593" i="2"/>
  <c r="D587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D667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D725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D821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D983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D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D1084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D1114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D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D1204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D1224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D1276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D1412" i="2"/>
  <c r="C1417" i="2"/>
  <c r="C1418" i="2"/>
  <c r="C1419" i="2"/>
  <c r="C1420" i="2"/>
  <c r="C1421" i="2"/>
  <c r="C1422" i="2"/>
  <c r="C1423" i="2"/>
  <c r="C1424" i="2"/>
  <c r="C1425" i="2"/>
  <c r="D1423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D1514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D1587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D1659" i="2"/>
  <c r="C1666" i="2"/>
  <c r="C1667" i="2"/>
  <c r="C1668" i="2"/>
  <c r="C1669" i="2"/>
  <c r="C1670" i="2"/>
  <c r="C1671" i="2"/>
  <c r="C1672" i="2"/>
  <c r="D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D1700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D1746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D1785" i="2"/>
  <c r="C1786" i="2"/>
  <c r="C1787" i="2"/>
  <c r="C1788" i="2"/>
  <c r="C1789" i="2"/>
  <c r="C1790" i="2"/>
  <c r="C1791" i="2"/>
  <c r="C1792" i="2"/>
  <c r="C1793" i="2"/>
  <c r="D1793" i="2"/>
  <c r="C1794" i="2"/>
  <c r="C1795" i="2"/>
  <c r="C1796" i="2"/>
  <c r="C1797" i="2"/>
  <c r="C1798" i="2"/>
  <c r="C1799" i="2"/>
  <c r="C1800" i="2"/>
  <c r="C1801" i="2"/>
  <c r="D1801" i="2"/>
  <c r="C1802" i="2"/>
  <c r="C1803" i="2"/>
  <c r="C1804" i="2"/>
  <c r="C1805" i="2"/>
  <c r="C1806" i="2"/>
  <c r="C1807" i="2"/>
  <c r="C1808" i="2"/>
  <c r="C1809" i="2"/>
  <c r="D1809" i="2"/>
  <c r="C1810" i="2"/>
  <c r="C1811" i="2"/>
  <c r="C1812" i="2"/>
  <c r="C1813" i="2"/>
  <c r="D253" i="2"/>
  <c r="D674" i="2"/>
  <c r="D864" i="2"/>
  <c r="D1018" i="2"/>
  <c r="D1143" i="2"/>
  <c r="D1226" i="2"/>
  <c r="D1292" i="2"/>
  <c r="D1363" i="2"/>
  <c r="D1424" i="2"/>
  <c r="D1485" i="2"/>
  <c r="D1542" i="2"/>
  <c r="D1599" i="2"/>
  <c r="D1660" i="2"/>
  <c r="D1717" i="2"/>
  <c r="D1778" i="2"/>
  <c r="D1810" i="2"/>
  <c r="D1811" i="2"/>
  <c r="D1812" i="2"/>
  <c r="D1813" i="2"/>
  <c r="B67" i="6"/>
  <c r="C67" i="6"/>
  <c r="D67" i="6"/>
  <c r="P69" i="1"/>
  <c r="L69" i="1"/>
  <c r="K69" i="1"/>
  <c r="J69" i="1"/>
  <c r="E69" i="1"/>
  <c r="D69" i="1"/>
  <c r="C69" i="1"/>
  <c r="D1777" i="2"/>
  <c r="D1745" i="2"/>
  <c r="D1737" i="2"/>
  <c r="D1689" i="2"/>
  <c r="D1681" i="2"/>
  <c r="D1625" i="2"/>
  <c r="D1617" i="2"/>
  <c r="D1561" i="2"/>
  <c r="D1545" i="2"/>
  <c r="D1513" i="2"/>
  <c r="D1457" i="2"/>
  <c r="D1433" i="2"/>
  <c r="D1417" i="2"/>
  <c r="D1369" i="2"/>
  <c r="D1305" i="2"/>
  <c r="D1265" i="2"/>
  <c r="D1241" i="2"/>
  <c r="D1201" i="2"/>
  <c r="D1185" i="2"/>
  <c r="D1153" i="2"/>
  <c r="D1137" i="2"/>
  <c r="D1097" i="2"/>
  <c r="D1073" i="2"/>
  <c r="D1025" i="2"/>
  <c r="D1009" i="2"/>
  <c r="D953" i="2"/>
  <c r="D937" i="2"/>
  <c r="D905" i="2"/>
  <c r="D881" i="2"/>
  <c r="D873" i="2"/>
  <c r="D833" i="2"/>
  <c r="D801" i="2"/>
  <c r="D777" i="2"/>
  <c r="D745" i="2"/>
  <c r="D697" i="2"/>
  <c r="D665" i="2"/>
  <c r="D641" i="2"/>
  <c r="D609" i="2"/>
  <c r="D577" i="2"/>
  <c r="D553" i="2"/>
  <c r="D545" i="2"/>
  <c r="D505" i="2"/>
  <c r="D481" i="2"/>
  <c r="D449" i="2"/>
  <c r="D441" i="2"/>
  <c r="D409" i="2"/>
  <c r="D385" i="2"/>
  <c r="D361" i="2"/>
  <c r="F52" i="1"/>
  <c r="D353" i="2"/>
  <c r="D297" i="2"/>
  <c r="D289" i="2"/>
  <c r="D217" i="2"/>
  <c r="D193" i="2"/>
  <c r="D153" i="2"/>
  <c r="D145" i="2"/>
  <c r="D113" i="2"/>
  <c r="D81" i="2"/>
  <c r="D65" i="2"/>
  <c r="D41" i="2"/>
  <c r="D33" i="2"/>
  <c r="D1792" i="2"/>
  <c r="D1788" i="2"/>
  <c r="D1759" i="2"/>
  <c r="D1728" i="2"/>
  <c r="D1724" i="2"/>
  <c r="D1727" i="2"/>
  <c r="D1686" i="2"/>
  <c r="D1648" i="2"/>
  <c r="D1642" i="2"/>
  <c r="D1616" i="2"/>
  <c r="D1613" i="2"/>
  <c r="D1576" i="2"/>
  <c r="D1549" i="2"/>
  <c r="D1552" i="2"/>
  <c r="D1528" i="2"/>
  <c r="D1524" i="2"/>
  <c r="D1504" i="2"/>
  <c r="D1488" i="2"/>
  <c r="D1472" i="2"/>
  <c r="D1467" i="2"/>
  <c r="D1435" i="2"/>
  <c r="D1408" i="2"/>
  <c r="D1403" i="2"/>
  <c r="D1406" i="2"/>
  <c r="D1392" i="2"/>
  <c r="D1386" i="2"/>
  <c r="D1374" i="2"/>
  <c r="D1360" i="2"/>
  <c r="D1356" i="2"/>
  <c r="D1341" i="2"/>
  <c r="D1328" i="2"/>
  <c r="D1323" i="2"/>
  <c r="D1312" i="2"/>
  <c r="D1308" i="2"/>
  <c r="D1296" i="2"/>
  <c r="D1290" i="2"/>
  <c r="D1282" i="2"/>
  <c r="D1288" i="2"/>
  <c r="D1264" i="2"/>
  <c r="D1248" i="2"/>
  <c r="D1232" i="2"/>
  <c r="D1214" i="2"/>
  <c r="D1216" i="2"/>
  <c r="D1192" i="2"/>
  <c r="D1144" i="2"/>
  <c r="D1100" i="2"/>
  <c r="D1082" i="2"/>
  <c r="D1048" i="2"/>
  <c r="D1016" i="2"/>
  <c r="D976" i="2"/>
  <c r="D960" i="2"/>
  <c r="D862" i="2"/>
  <c r="D666" i="2"/>
  <c r="D371" i="2"/>
  <c r="D5" i="2"/>
  <c r="D1644" i="2"/>
  <c r="D1526" i="2"/>
  <c r="D1277" i="2"/>
  <c r="D1205" i="2"/>
  <c r="D984" i="2"/>
  <c r="D1787" i="2"/>
  <c r="D1682" i="2"/>
  <c r="D1551" i="2"/>
  <c r="D1507" i="2"/>
  <c r="D1462" i="2"/>
  <c r="D1421" i="2"/>
  <c r="D1373" i="2"/>
  <c r="D1302" i="2"/>
  <c r="D1236" i="2"/>
  <c r="D1218" i="2"/>
  <c r="D1202" i="2"/>
  <c r="D1159" i="2"/>
  <c r="D1010" i="2"/>
  <c r="D900" i="2"/>
  <c r="D362" i="2"/>
  <c r="D210" i="2"/>
  <c r="D4" i="2"/>
  <c r="F69" i="1"/>
  <c r="D1760" i="2"/>
  <c r="D1643" i="2"/>
  <c r="D1586" i="2"/>
  <c r="D1525" i="2"/>
  <c r="D1468" i="2"/>
  <c r="D1407" i="2"/>
  <c r="D1342" i="2"/>
  <c r="D819" i="2"/>
  <c r="D1753" i="2"/>
  <c r="D1721" i="2"/>
  <c r="D1697" i="2"/>
  <c r="D1673" i="2"/>
  <c r="D1641" i="2"/>
  <c r="D1593" i="2"/>
  <c r="D1585" i="2"/>
  <c r="D1529" i="2"/>
  <c r="D1521" i="2"/>
  <c r="D1497" i="2"/>
  <c r="D1481" i="2"/>
  <c r="D1425" i="2"/>
  <c r="D1409" i="2"/>
  <c r="D1361" i="2"/>
  <c r="D1345" i="2"/>
  <c r="D1321" i="2"/>
  <c r="D1297" i="2"/>
  <c r="D1273" i="2"/>
  <c r="D1225" i="2"/>
  <c r="D1217" i="2"/>
  <c r="D1177" i="2"/>
  <c r="D1121" i="2"/>
  <c r="D1105" i="2"/>
  <c r="D1065" i="2"/>
  <c r="D1041" i="2"/>
  <c r="D1001" i="2"/>
  <c r="D961" i="2"/>
  <c r="D945" i="2"/>
  <c r="D921" i="2"/>
  <c r="D889" i="2"/>
  <c r="D865" i="2"/>
  <c r="D817" i="2"/>
  <c r="D809" i="2"/>
  <c r="D769" i="2"/>
  <c r="D737" i="2"/>
  <c r="D689" i="2"/>
  <c r="D681" i="2"/>
  <c r="D633" i="2"/>
  <c r="D593" i="2"/>
  <c r="D561" i="2"/>
  <c r="D529" i="2"/>
  <c r="D497" i="2"/>
  <c r="D465" i="2"/>
  <c r="D425" i="2"/>
  <c r="D417" i="2"/>
  <c r="D329" i="2"/>
  <c r="D321" i="2"/>
  <c r="D265" i="2"/>
  <c r="D257" i="2"/>
  <c r="D241" i="2"/>
  <c r="D209" i="2"/>
  <c r="D201" i="2"/>
  <c r="D177" i="2"/>
  <c r="D129" i="2"/>
  <c r="D121" i="2"/>
  <c r="D89" i="2"/>
  <c r="D57" i="2"/>
  <c r="D49" i="2"/>
  <c r="D25" i="2"/>
  <c r="D1716" i="2"/>
  <c r="D1480" i="2"/>
  <c r="D1135" i="2"/>
  <c r="D1808" i="2"/>
  <c r="D1768" i="2"/>
  <c r="D1743" i="2"/>
  <c r="D1699" i="2"/>
  <c r="D1679" i="2"/>
  <c r="D1680" i="2"/>
  <c r="D1632" i="2"/>
  <c r="D1626" i="2"/>
  <c r="D1600" i="2"/>
  <c r="D1597" i="2"/>
  <c r="D1560" i="2"/>
  <c r="D1540" i="2"/>
  <c r="D1544" i="2"/>
  <c r="D1508" i="2"/>
  <c r="D1495" i="2"/>
  <c r="D1476" i="2"/>
  <c r="D1479" i="2"/>
  <c r="D1464" i="2"/>
  <c r="D1460" i="2"/>
  <c r="D1456" i="2"/>
  <c r="D1451" i="2"/>
  <c r="D1444" i="2"/>
  <c r="D1448" i="2"/>
  <c r="D1415" i="2"/>
  <c r="D1416" i="2"/>
  <c r="D1400" i="2"/>
  <c r="D1394" i="2"/>
  <c r="D1384" i="2"/>
  <c r="D1368" i="2"/>
  <c r="D1366" i="2"/>
  <c r="D1352" i="2"/>
  <c r="D1336" i="2"/>
  <c r="D1333" i="2"/>
  <c r="D1318" i="2"/>
  <c r="D1320" i="2"/>
  <c r="D1304" i="2"/>
  <c r="D1300" i="2"/>
  <c r="D1280" i="2"/>
  <c r="D1272" i="2"/>
  <c r="D1267" i="2"/>
  <c r="D1270" i="2"/>
  <c r="D1256" i="2"/>
  <c r="D1240" i="2"/>
  <c r="D1234" i="2"/>
  <c r="D1237" i="2"/>
  <c r="D1222" i="2"/>
  <c r="D1208" i="2"/>
  <c r="D1203" i="2"/>
  <c r="D1200" i="2"/>
  <c r="D1194" i="2"/>
  <c r="D1160" i="2"/>
  <c r="D1134" i="2"/>
  <c r="D1096" i="2"/>
  <c r="D1064" i="2"/>
  <c r="D1032" i="2"/>
  <c r="D999" i="2"/>
  <c r="D939" i="2"/>
  <c r="D792" i="2"/>
  <c r="D704" i="2"/>
  <c r="D580" i="2"/>
  <c r="D1762" i="2"/>
  <c r="D1704" i="2"/>
  <c r="D1469" i="2"/>
  <c r="D1344" i="2"/>
  <c r="D1115" i="2"/>
  <c r="D26" i="2"/>
  <c r="D1755" i="2"/>
  <c r="D1726" i="2"/>
  <c r="D1567" i="2"/>
  <c r="D1523" i="2"/>
  <c r="D1478" i="2"/>
  <c r="D1434" i="2"/>
  <c r="D1355" i="2"/>
  <c r="D1806" i="2"/>
  <c r="D1688" i="2"/>
  <c r="D1631" i="2"/>
  <c r="D1571" i="2"/>
  <c r="D1453" i="2"/>
  <c r="D1396" i="2"/>
  <c r="D1330" i="2"/>
  <c r="D1259" i="2"/>
  <c r="D1188" i="2"/>
  <c r="D947" i="2"/>
  <c r="D776" i="2"/>
  <c r="D500" i="2"/>
  <c r="D1761" i="2"/>
  <c r="D1729" i="2"/>
  <c r="D1657" i="2"/>
  <c r="D1649" i="2"/>
  <c r="D1601" i="2"/>
  <c r="D1569" i="2"/>
  <c r="D1553" i="2"/>
  <c r="D1489" i="2"/>
  <c r="D1473" i="2"/>
  <c r="D1449" i="2"/>
  <c r="D1393" i="2"/>
  <c r="D1385" i="2"/>
  <c r="D1337" i="2"/>
  <c r="D1329" i="2"/>
  <c r="D1257" i="2"/>
  <c r="D1249" i="2"/>
  <c r="D1209" i="2"/>
  <c r="D1193" i="2"/>
  <c r="D1145" i="2"/>
  <c r="D1089" i="2"/>
  <c r="D1081" i="2"/>
  <c r="D1033" i="2"/>
  <c r="D993" i="2"/>
  <c r="D977" i="2"/>
  <c r="D913" i="2"/>
  <c r="D849" i="2"/>
  <c r="D841" i="2"/>
  <c r="D761" i="2"/>
  <c r="D753" i="2"/>
  <c r="D713" i="2"/>
  <c r="D657" i="2"/>
  <c r="D649" i="2"/>
  <c r="D617" i="2"/>
  <c r="D601" i="2"/>
  <c r="D521" i="2"/>
  <c r="D513" i="2"/>
  <c r="D489" i="2"/>
  <c r="D473" i="2"/>
  <c r="D433" i="2"/>
  <c r="D401" i="2"/>
  <c r="D369" i="2"/>
  <c r="D345" i="2"/>
  <c r="D305" i="2"/>
  <c r="D273" i="2"/>
  <c r="D249" i="2"/>
  <c r="D169" i="2"/>
  <c r="D1598" i="2"/>
  <c r="D1362" i="2"/>
  <c r="D1784" i="2"/>
  <c r="D1781" i="2"/>
  <c r="D1736" i="2"/>
  <c r="D1712" i="2"/>
  <c r="D1708" i="2"/>
  <c r="D1695" i="2"/>
  <c r="D1696" i="2"/>
  <c r="D1664" i="2"/>
  <c r="D1663" i="2"/>
  <c r="D1635" i="2"/>
  <c r="D1640" i="2"/>
  <c r="D1606" i="2"/>
  <c r="D1608" i="2"/>
  <c r="D1584" i="2"/>
  <c r="D1578" i="2"/>
  <c r="D1581" i="2"/>
  <c r="D1536" i="2"/>
  <c r="D1533" i="2"/>
  <c r="D1431" i="2"/>
  <c r="D1432" i="2"/>
  <c r="D1687" i="2"/>
  <c r="D1512" i="2"/>
  <c r="D940" i="2"/>
  <c r="D1498" i="2"/>
  <c r="D1310" i="2"/>
  <c r="D729" i="2"/>
  <c r="D1769" i="2"/>
  <c r="D1713" i="2"/>
  <c r="D1705" i="2"/>
  <c r="D1665" i="2"/>
  <c r="D1633" i="2"/>
  <c r="D1609" i="2"/>
  <c r="D1577" i="2"/>
  <c r="D1537" i="2"/>
  <c r="D1505" i="2"/>
  <c r="D1465" i="2"/>
  <c r="D1441" i="2"/>
  <c r="D1401" i="2"/>
  <c r="D1377" i="2"/>
  <c r="D1353" i="2"/>
  <c r="D1313" i="2"/>
  <c r="D1289" i="2"/>
  <c r="D1281" i="2"/>
  <c r="D1233" i="2"/>
  <c r="D1169" i="2"/>
  <c r="D1129" i="2"/>
  <c r="D1113" i="2"/>
  <c r="D1057" i="2"/>
  <c r="D1049" i="2"/>
  <c r="D985" i="2"/>
  <c r="D969" i="2"/>
  <c r="D929" i="2"/>
  <c r="D897" i="2"/>
  <c r="D857" i="2"/>
  <c r="D825" i="2"/>
  <c r="D793" i="2"/>
  <c r="D785" i="2"/>
  <c r="D721" i="2"/>
  <c r="D705" i="2"/>
  <c r="D673" i="2"/>
  <c r="D625" i="2"/>
  <c r="D569" i="2"/>
  <c r="D537" i="2"/>
  <c r="D337" i="2"/>
  <c r="D313" i="2"/>
  <c r="D281" i="2"/>
  <c r="D233" i="2"/>
  <c r="D185" i="2"/>
  <c r="D161" i="2"/>
  <c r="D137" i="2"/>
  <c r="D105" i="2"/>
  <c r="D97" i="2"/>
  <c r="D73" i="2"/>
  <c r="D17" i="2"/>
  <c r="D1773" i="2"/>
  <c r="D1541" i="2"/>
  <c r="D1291" i="2"/>
  <c r="D863" i="2"/>
  <c r="D1797" i="2"/>
  <c r="D1800" i="2"/>
  <c r="D1776" i="2"/>
  <c r="D1772" i="2"/>
  <c r="D1752" i="2"/>
  <c r="D1720" i="2"/>
  <c r="D1715" i="2"/>
  <c r="D1670" i="2"/>
  <c r="D1656" i="2"/>
  <c r="D1651" i="2"/>
  <c r="D1654" i="2"/>
  <c r="D1622" i="2"/>
  <c r="D1624" i="2"/>
  <c r="D1592" i="2"/>
  <c r="D1590" i="2"/>
  <c r="D1562" i="2"/>
  <c r="D1568" i="2"/>
  <c r="D1520" i="2"/>
  <c r="D1517" i="2"/>
  <c r="D1422" i="2"/>
  <c r="D1805" i="2"/>
  <c r="D1744" i="2"/>
  <c r="D1627" i="2"/>
  <c r="D1570" i="2"/>
  <c r="D1452" i="2"/>
  <c r="D1395" i="2"/>
  <c r="D1324" i="2"/>
  <c r="D1258" i="2"/>
  <c r="D1187" i="2"/>
  <c r="D1083" i="2"/>
  <c r="D773" i="2"/>
  <c r="D498" i="2"/>
  <c r="D1790" i="2"/>
  <c r="D1733" i="2"/>
  <c r="D1615" i="2"/>
  <c r="D1558" i="2"/>
  <c r="D1440" i="2"/>
  <c r="D1378" i="2"/>
  <c r="D1244" i="2"/>
  <c r="D1162" i="2"/>
  <c r="D1051" i="2"/>
  <c r="D903" i="2"/>
  <c r="D403" i="2"/>
  <c r="D1789" i="2"/>
  <c r="D1732" i="2"/>
  <c r="D1671" i="2"/>
  <c r="D1614" i="2"/>
  <c r="D1554" i="2"/>
  <c r="D1496" i="2"/>
  <c r="D1439" i="2"/>
  <c r="D1376" i="2"/>
  <c r="D1309" i="2"/>
  <c r="D1238" i="2"/>
  <c r="D1050" i="2"/>
  <c r="D902" i="2"/>
  <c r="D1184" i="2"/>
  <c r="D1112" i="2"/>
  <c r="D1072" i="2"/>
  <c r="D1008" i="2"/>
  <c r="D968" i="2"/>
  <c r="D936" i="2"/>
  <c r="D904" i="2"/>
  <c r="D872" i="2"/>
  <c r="D848" i="2"/>
  <c r="D816" i="2"/>
  <c r="D768" i="2"/>
  <c r="D744" i="2"/>
  <c r="D720" i="2"/>
  <c r="D688" i="2"/>
  <c r="D656" i="2"/>
  <c r="D624" i="2"/>
  <c r="D592" i="2"/>
  <c r="D560" i="2"/>
  <c r="D528" i="2"/>
  <c r="D496" i="2"/>
  <c r="D472" i="2"/>
  <c r="D440" i="2"/>
  <c r="F48" i="1"/>
  <c r="D400" i="2"/>
  <c r="F50" i="1"/>
  <c r="D368" i="2"/>
  <c r="D344" i="2"/>
  <c r="D312" i="2"/>
  <c r="D280" i="2"/>
  <c r="D256" i="2"/>
  <c r="D224" i="2"/>
  <c r="D208" i="2"/>
  <c r="D184" i="2"/>
  <c r="D160" i="2"/>
  <c r="D136" i="2"/>
  <c r="D112" i="2"/>
  <c r="D88" i="2"/>
  <c r="F65" i="1"/>
  <c r="D80" i="2"/>
  <c r="D56" i="2"/>
  <c r="D40" i="2"/>
  <c r="D16" i="2"/>
  <c r="D767" i="2"/>
  <c r="D1794" i="2"/>
  <c r="D1795" i="2"/>
  <c r="D1783" i="2"/>
  <c r="D1765" i="2"/>
  <c r="D1766" i="2"/>
  <c r="D1767" i="2"/>
  <c r="D1747" i="2"/>
  <c r="D1748" i="2"/>
  <c r="D1749" i="2"/>
  <c r="D1730" i="2"/>
  <c r="D1731" i="2"/>
  <c r="D1719" i="2"/>
  <c r="D1701" i="2"/>
  <c r="D1702" i="2"/>
  <c r="D1703" i="2"/>
  <c r="D1692" i="2"/>
  <c r="D1693" i="2"/>
  <c r="D1694" i="2"/>
  <c r="D1674" i="2"/>
  <c r="D1675" i="2"/>
  <c r="D1676" i="2"/>
  <c r="D1666" i="2"/>
  <c r="D1667" i="2"/>
  <c r="D1655" i="2"/>
  <c r="D1637" i="2"/>
  <c r="D1638" i="2"/>
  <c r="D1639" i="2"/>
  <c r="D1619" i="2"/>
  <c r="D1620" i="2"/>
  <c r="D1621" i="2"/>
  <c r="D1594" i="2"/>
  <c r="D1582" i="2"/>
  <c r="D1583" i="2"/>
  <c r="D1555" i="2"/>
  <c r="D1556" i="2"/>
  <c r="D1557" i="2"/>
  <c r="D1530" i="2"/>
  <c r="D1518" i="2"/>
  <c r="D1519" i="2"/>
  <c r="D1491" i="2"/>
  <c r="D1492" i="2"/>
  <c r="D1493" i="2"/>
  <c r="D1466" i="2"/>
  <c r="D1454" i="2"/>
  <c r="D1455" i="2"/>
  <c r="D1427" i="2"/>
  <c r="D1428" i="2"/>
  <c r="D1429" i="2"/>
  <c r="D1402" i="2"/>
  <c r="D1391" i="2"/>
  <c r="D1389" i="2"/>
  <c r="D1390" i="2"/>
  <c r="D1367" i="2"/>
  <c r="D1351" i="2"/>
  <c r="D1347" i="2"/>
  <c r="D1348" i="2"/>
  <c r="D1349" i="2"/>
  <c r="D1343" i="2"/>
  <c r="D1338" i="2"/>
  <c r="D1339" i="2"/>
  <c r="D1327" i="2"/>
  <c r="D1325" i="2"/>
  <c r="D1326" i="2"/>
  <c r="D1311" i="2"/>
  <c r="D1306" i="2"/>
  <c r="D1307" i="2"/>
  <c r="D1295" i="2"/>
  <c r="D1293" i="2"/>
  <c r="D1294" i="2"/>
  <c r="D1271" i="2"/>
  <c r="D1255" i="2"/>
  <c r="F9" i="1"/>
  <c r="D1251" i="2"/>
  <c r="D1252" i="2"/>
  <c r="D1253" i="2"/>
  <c r="D1247" i="2"/>
  <c r="D1242" i="2"/>
  <c r="D1243" i="2"/>
  <c r="D1231" i="2"/>
  <c r="D1229" i="2"/>
  <c r="D1230" i="2"/>
  <c r="D1215" i="2"/>
  <c r="D1210" i="2"/>
  <c r="D1211" i="2"/>
  <c r="F11" i="1"/>
  <c r="D1199" i="2"/>
  <c r="D1195" i="2"/>
  <c r="D1196" i="2"/>
  <c r="D1197" i="2"/>
  <c r="D1181" i="2"/>
  <c r="D1183" i="2"/>
  <c r="D1180" i="2"/>
  <c r="D1182" i="2"/>
  <c r="D1165" i="2"/>
  <c r="D1164" i="2"/>
  <c r="D1166" i="2"/>
  <c r="D1167" i="2"/>
  <c r="D1149" i="2"/>
  <c r="D1146" i="2"/>
  <c r="D1147" i="2"/>
  <c r="D1148" i="2"/>
  <c r="D1133" i="2"/>
  <c r="D1130" i="2"/>
  <c r="F15" i="1"/>
  <c r="D1117" i="2"/>
  <c r="D1118" i="2"/>
  <c r="D1119" i="2"/>
  <c r="D1101" i="2"/>
  <c r="D1102" i="2"/>
  <c r="D1098" i="2"/>
  <c r="D1099" i="2"/>
  <c r="D1077" i="2"/>
  <c r="D1078" i="2"/>
  <c r="D1075" i="2"/>
  <c r="D1076" i="2"/>
  <c r="D1079" i="2"/>
  <c r="D1074" i="2"/>
  <c r="D1061" i="2"/>
  <c r="D1062" i="2"/>
  <c r="D1060" i="2"/>
  <c r="D1058" i="2"/>
  <c r="D1059" i="2"/>
  <c r="D1045" i="2"/>
  <c r="D1046" i="2"/>
  <c r="D1043" i="2"/>
  <c r="D1044" i="2"/>
  <c r="D1047" i="2"/>
  <c r="D1042" i="2"/>
  <c r="D1037" i="2"/>
  <c r="D1038" i="2"/>
  <c r="D1034" i="2"/>
  <c r="D1035" i="2"/>
  <c r="D1039" i="2"/>
  <c r="D1021" i="2"/>
  <c r="D1022" i="2"/>
  <c r="D1023" i="2"/>
  <c r="D1019" i="2"/>
  <c r="D1020" i="2"/>
  <c r="D1005" i="2"/>
  <c r="D1006" i="2"/>
  <c r="D1002" i="2"/>
  <c r="D1003" i="2"/>
  <c r="F21" i="1"/>
  <c r="D1004" i="2"/>
  <c r="D1007" i="2"/>
  <c r="D986" i="2"/>
  <c r="D989" i="2"/>
  <c r="D990" i="2"/>
  <c r="D991" i="2"/>
  <c r="D987" i="2"/>
  <c r="D988" i="2"/>
  <c r="D970" i="2"/>
  <c r="D971" i="2"/>
  <c r="D972" i="2"/>
  <c r="D974" i="2"/>
  <c r="D973" i="2"/>
  <c r="D954" i="2"/>
  <c r="D955" i="2"/>
  <c r="D956" i="2"/>
  <c r="D957" i="2"/>
  <c r="D938" i="2"/>
  <c r="D943" i="2"/>
  <c r="D941" i="2"/>
  <c r="D942" i="2"/>
  <c r="D922" i="2"/>
  <c r="D925" i="2"/>
  <c r="D926" i="2"/>
  <c r="D927" i="2"/>
  <c r="D906" i="2"/>
  <c r="D907" i="2"/>
  <c r="D908" i="2"/>
  <c r="D909" i="2"/>
  <c r="D910" i="2"/>
  <c r="D911" i="2"/>
  <c r="D890" i="2"/>
  <c r="D893" i="2"/>
  <c r="D894" i="2"/>
  <c r="D895" i="2"/>
  <c r="D891" i="2"/>
  <c r="D892" i="2"/>
  <c r="D874" i="2"/>
  <c r="D879" i="2"/>
  <c r="D876" i="2"/>
  <c r="D875" i="2"/>
  <c r="D858" i="2"/>
  <c r="D860" i="2"/>
  <c r="F28" i="1"/>
  <c r="D859" i="2"/>
  <c r="D861" i="2"/>
  <c r="D842" i="2"/>
  <c r="D844" i="2"/>
  <c r="D843" i="2"/>
  <c r="D846" i="2"/>
  <c r="D847" i="2"/>
  <c r="D826" i="2"/>
  <c r="D828" i="2"/>
  <c r="D827" i="2"/>
  <c r="D829" i="2"/>
  <c r="D830" i="2"/>
  <c r="D831" i="2"/>
  <c r="D810" i="2"/>
  <c r="D812" i="2"/>
  <c r="D811" i="2"/>
  <c r="D813" i="2"/>
  <c r="D814" i="2"/>
  <c r="D794" i="2"/>
  <c r="D796" i="2"/>
  <c r="D795" i="2"/>
  <c r="D797" i="2"/>
  <c r="D798" i="2"/>
  <c r="D799" i="2"/>
  <c r="D778" i="2"/>
  <c r="D780" i="2"/>
  <c r="D782" i="2"/>
  <c r="D783" i="2"/>
  <c r="D779" i="2"/>
  <c r="D781" i="2"/>
  <c r="D762" i="2"/>
  <c r="D764" i="2"/>
  <c r="D763" i="2"/>
  <c r="D765" i="2"/>
  <c r="D746" i="2"/>
  <c r="D748" i="2"/>
  <c r="D751" i="2"/>
  <c r="D730" i="2"/>
  <c r="D732" i="2"/>
  <c r="D731" i="2"/>
  <c r="D733" i="2"/>
  <c r="D734" i="2"/>
  <c r="D735" i="2"/>
  <c r="D714" i="2"/>
  <c r="D716" i="2"/>
  <c r="D715" i="2"/>
  <c r="D718" i="2"/>
  <c r="D717" i="2"/>
  <c r="D698" i="2"/>
  <c r="D700" i="2"/>
  <c r="D699" i="2"/>
  <c r="D701" i="2"/>
  <c r="D702" i="2"/>
  <c r="D682" i="2"/>
  <c r="D684" i="2"/>
  <c r="D686" i="2"/>
  <c r="D683" i="2"/>
  <c r="D685" i="2"/>
  <c r="D687" i="2"/>
  <c r="D671" i="2"/>
  <c r="D668" i="2"/>
  <c r="D669" i="2"/>
  <c r="D655" i="2"/>
  <c r="D652" i="2"/>
  <c r="D650" i="2"/>
  <c r="F38" i="1"/>
  <c r="D651" i="2"/>
  <c r="D653" i="2"/>
  <c r="D639" i="2"/>
  <c r="D634" i="2"/>
  <c r="D636" i="2"/>
  <c r="D637" i="2"/>
  <c r="D631" i="2"/>
  <c r="D629" i="2"/>
  <c r="F39" i="1"/>
  <c r="D626" i="2"/>
  <c r="D627" i="2"/>
  <c r="D628" i="2"/>
  <c r="D615" i="2"/>
  <c r="D610" i="2"/>
  <c r="D612" i="2"/>
  <c r="D611" i="2"/>
  <c r="D599" i="2"/>
  <c r="D595" i="2"/>
  <c r="D596" i="2"/>
  <c r="D597" i="2"/>
  <c r="D594" i="2"/>
  <c r="D583" i="2"/>
  <c r="D579" i="2"/>
  <c r="D581" i="2"/>
  <c r="D567" i="2"/>
  <c r="D565" i="2"/>
  <c r="D564" i="2"/>
  <c r="D563" i="2"/>
  <c r="D562" i="2"/>
  <c r="D551" i="2"/>
  <c r="D549" i="2"/>
  <c r="D546" i="2"/>
  <c r="D547" i="2"/>
  <c r="F43" i="1"/>
  <c r="D535" i="2"/>
  <c r="D531" i="2"/>
  <c r="D533" i="2"/>
  <c r="D519" i="2"/>
  <c r="D515" i="2"/>
  <c r="D517" i="2"/>
  <c r="D516" i="2"/>
  <c r="D514" i="2"/>
  <c r="D503" i="2"/>
  <c r="D501" i="2"/>
  <c r="D499" i="2"/>
  <c r="D487" i="2"/>
  <c r="D483" i="2"/>
  <c r="D485" i="2"/>
  <c r="D484" i="2"/>
  <c r="D471" i="2"/>
  <c r="D467" i="2"/>
  <c r="D466" i="2"/>
  <c r="D469" i="2"/>
  <c r="D468" i="2"/>
  <c r="D455" i="2"/>
  <c r="D451" i="2"/>
  <c r="D453" i="2"/>
  <c r="D452" i="2"/>
  <c r="D439" i="2"/>
  <c r="D437" i="2"/>
  <c r="D435" i="2"/>
  <c r="D436" i="2"/>
  <c r="D434" i="2"/>
  <c r="D423" i="2"/>
  <c r="D419" i="2"/>
  <c r="D420" i="2"/>
  <c r="D421" i="2"/>
  <c r="D418" i="2"/>
  <c r="D407" i="2"/>
  <c r="D402" i="2"/>
  <c r="D404" i="2"/>
  <c r="D391" i="2"/>
  <c r="D387" i="2"/>
  <c r="D388" i="2"/>
  <c r="D389" i="2"/>
  <c r="D386" i="2"/>
  <c r="D375" i="2"/>
  <c r="D370" i="2"/>
  <c r="D372" i="2"/>
  <c r="D373" i="2"/>
  <c r="D359" i="2"/>
  <c r="D354" i="2"/>
  <c r="D357" i="2"/>
  <c r="D356" i="2"/>
  <c r="D343" i="2"/>
  <c r="D341" i="2"/>
  <c r="D338" i="2"/>
  <c r="D339" i="2"/>
  <c r="F53" i="1"/>
  <c r="D340" i="2"/>
  <c r="D327" i="2"/>
  <c r="D323" i="2"/>
  <c r="D324" i="2"/>
  <c r="D325" i="2"/>
  <c r="D322" i="2"/>
  <c r="D311" i="2"/>
  <c r="D308" i="2"/>
  <c r="D309" i="2"/>
  <c r="D306" i="2"/>
  <c r="D287" i="2"/>
  <c r="D282" i="2"/>
  <c r="D284" i="2"/>
  <c r="D283" i="2"/>
  <c r="D285" i="2"/>
  <c r="D271" i="2"/>
  <c r="D266" i="2"/>
  <c r="D267" i="2"/>
  <c r="D269" i="2"/>
  <c r="D268" i="2"/>
  <c r="D255" i="2"/>
  <c r="D251" i="2"/>
  <c r="D252" i="2"/>
  <c r="D250" i="2"/>
  <c r="D239" i="2"/>
  <c r="D237" i="2"/>
  <c r="D234" i="2"/>
  <c r="D236" i="2"/>
  <c r="D235" i="2"/>
  <c r="D223" i="2"/>
  <c r="D218" i="2"/>
  <c r="D220" i="2"/>
  <c r="D219" i="2"/>
  <c r="D221" i="2"/>
  <c r="D199" i="2"/>
  <c r="D196" i="2"/>
  <c r="D197" i="2"/>
  <c r="D194" i="2"/>
  <c r="D195" i="2"/>
  <c r="D167" i="2"/>
  <c r="D162" i="2"/>
  <c r="D163" i="2"/>
  <c r="D164" i="2"/>
  <c r="D165" i="2"/>
  <c r="D15" i="2"/>
  <c r="D10" i="2"/>
  <c r="D11" i="2"/>
  <c r="D12" i="2"/>
  <c r="D1714" i="2"/>
  <c r="D1698" i="2"/>
  <c r="D1669" i="2"/>
  <c r="D1653" i="2"/>
  <c r="D1596" i="2"/>
  <c r="D1580" i="2"/>
  <c r="D1535" i="2"/>
  <c r="D1494" i="2"/>
  <c r="D1450" i="2"/>
  <c r="D1405" i="2"/>
  <c r="D1388" i="2"/>
  <c r="D1340" i="2"/>
  <c r="D1322" i="2"/>
  <c r="D1269" i="2"/>
  <c r="D1254" i="2"/>
  <c r="D1178" i="2"/>
  <c r="D1132" i="2"/>
  <c r="D1104" i="2"/>
  <c r="D975" i="2"/>
  <c r="D766" i="2"/>
  <c r="D719" i="2"/>
  <c r="D578" i="2"/>
  <c r="D482" i="2"/>
  <c r="D1152" i="2"/>
  <c r="D1120" i="2"/>
  <c r="D1088" i="2"/>
  <c r="F17" i="1"/>
  <c r="D1056" i="2"/>
  <c r="D944" i="2"/>
  <c r="D920" i="2"/>
  <c r="D888" i="2"/>
  <c r="D832" i="2"/>
  <c r="D800" i="2"/>
  <c r="D760" i="2"/>
  <c r="D728" i="2"/>
  <c r="D696" i="2"/>
  <c r="D672" i="2"/>
  <c r="D640" i="2"/>
  <c r="D608" i="2"/>
  <c r="D576" i="2"/>
  <c r="D544" i="2"/>
  <c r="D512" i="2"/>
  <c r="D480" i="2"/>
  <c r="D456" i="2"/>
  <c r="D432" i="2"/>
  <c r="D408" i="2"/>
  <c r="D376" i="2"/>
  <c r="D352" i="2"/>
  <c r="D328" i="2"/>
  <c r="D296" i="2"/>
  <c r="D272" i="2"/>
  <c r="D248" i="2"/>
  <c r="D216" i="2"/>
  <c r="D192" i="2"/>
  <c r="D168" i="2"/>
  <c r="D144" i="2"/>
  <c r="D120" i="2"/>
  <c r="D96" i="2"/>
  <c r="D72" i="2"/>
  <c r="D48" i="2"/>
  <c r="D24" i="2"/>
  <c r="D1179" i="2"/>
  <c r="D901" i="2"/>
  <c r="D815" i="2"/>
  <c r="D723" i="2"/>
  <c r="D211" i="2"/>
  <c r="D1802" i="2"/>
  <c r="D1803" i="2"/>
  <c r="D1804" i="2"/>
  <c r="D1786" i="2"/>
  <c r="D1774" i="2"/>
  <c r="D1775" i="2"/>
  <c r="D1756" i="2"/>
  <c r="D1757" i="2"/>
  <c r="D1758" i="2"/>
  <c r="D1738" i="2"/>
  <c r="D1739" i="2"/>
  <c r="D1740" i="2"/>
  <c r="D1722" i="2"/>
  <c r="D1710" i="2"/>
  <c r="D1711" i="2"/>
  <c r="D1683" i="2"/>
  <c r="D1684" i="2"/>
  <c r="D1685" i="2"/>
  <c r="D1658" i="2"/>
  <c r="D1646" i="2"/>
  <c r="D1647" i="2"/>
  <c r="D1628" i="2"/>
  <c r="D1629" i="2"/>
  <c r="D1630" i="2"/>
  <c r="D1610" i="2"/>
  <c r="D1611" i="2"/>
  <c r="D1612" i="2"/>
  <c r="D1602" i="2"/>
  <c r="D1603" i="2"/>
  <c r="D1591" i="2"/>
  <c r="D1573" i="2"/>
  <c r="D1574" i="2"/>
  <c r="D1575" i="2"/>
  <c r="D1564" i="2"/>
  <c r="D1565" i="2"/>
  <c r="D1566" i="2"/>
  <c r="D1546" i="2"/>
  <c r="D1547" i="2"/>
  <c r="D1548" i="2"/>
  <c r="D1538" i="2"/>
  <c r="D1539" i="2"/>
  <c r="D1527" i="2"/>
  <c r="D1509" i="2"/>
  <c r="D1510" i="2"/>
  <c r="D1511" i="2"/>
  <c r="D1500" i="2"/>
  <c r="D1501" i="2"/>
  <c r="D1502" i="2"/>
  <c r="D1482" i="2"/>
  <c r="D1483" i="2"/>
  <c r="D1484" i="2"/>
  <c r="D1474" i="2"/>
  <c r="D1475" i="2"/>
  <c r="D1463" i="2"/>
  <c r="D1445" i="2"/>
  <c r="D1446" i="2"/>
  <c r="D1447" i="2"/>
  <c r="D1436" i="2"/>
  <c r="D1437" i="2"/>
  <c r="D1438" i="2"/>
  <c r="D1418" i="2"/>
  <c r="D1419" i="2"/>
  <c r="D1420" i="2"/>
  <c r="D1410" i="2"/>
  <c r="D1411" i="2"/>
  <c r="D1399" i="2"/>
  <c r="D1383" i="2"/>
  <c r="D1379" i="2"/>
  <c r="D1380" i="2"/>
  <c r="D1381" i="2"/>
  <c r="D1375" i="2"/>
  <c r="D1370" i="2"/>
  <c r="D1371" i="2"/>
  <c r="D1359" i="2"/>
  <c r="D1357" i="2"/>
  <c r="D1358" i="2"/>
  <c r="D1335" i="2"/>
  <c r="D1319" i="2"/>
  <c r="D1315" i="2"/>
  <c r="D1316" i="2"/>
  <c r="D1317" i="2"/>
  <c r="D1303" i="2"/>
  <c r="D1287" i="2"/>
  <c r="D1283" i="2"/>
  <c r="D1284" i="2"/>
  <c r="D1285" i="2"/>
  <c r="D1279" i="2"/>
  <c r="D1274" i="2"/>
  <c r="D1275" i="2"/>
  <c r="F8" i="1"/>
  <c r="D1263" i="2"/>
  <c r="D1261" i="2"/>
  <c r="D1262" i="2"/>
  <c r="D1239" i="2"/>
  <c r="D1223" i="2"/>
  <c r="D1219" i="2"/>
  <c r="D1220" i="2"/>
  <c r="D1221" i="2"/>
  <c r="D1207" i="2"/>
  <c r="D1206" i="2"/>
  <c r="D1191" i="2"/>
  <c r="D1186" i="2"/>
  <c r="D1173" i="2"/>
  <c r="D1174" i="2"/>
  <c r="D1175" i="2"/>
  <c r="D1170" i="2"/>
  <c r="D1157" i="2"/>
  <c r="D1155" i="2"/>
  <c r="D1156" i="2"/>
  <c r="D1158" i="2"/>
  <c r="D1154" i="2"/>
  <c r="D1141" i="2"/>
  <c r="D1138" i="2"/>
  <c r="D1139" i="2"/>
  <c r="D1140" i="2"/>
  <c r="D1142" i="2"/>
  <c r="D1125" i="2"/>
  <c r="D1123" i="2"/>
  <c r="D1124" i="2"/>
  <c r="D1126" i="2"/>
  <c r="D1109" i="2"/>
  <c r="D1110" i="2"/>
  <c r="F16" i="1"/>
  <c r="D1107" i="2"/>
  <c r="D1108" i="2"/>
  <c r="D1111" i="2"/>
  <c r="D1106" i="2"/>
  <c r="D1093" i="2"/>
  <c r="D1094" i="2"/>
  <c r="D1090" i="2"/>
  <c r="D1091" i="2"/>
  <c r="D1092" i="2"/>
  <c r="D1085" i="2"/>
  <c r="D1086" i="2"/>
  <c r="D1087" i="2"/>
  <c r="D1069" i="2"/>
  <c r="D1070" i="2"/>
  <c r="D1066" i="2"/>
  <c r="D1067" i="2"/>
  <c r="F18" i="1"/>
  <c r="D1053" i="2"/>
  <c r="D1054" i="2"/>
  <c r="D1055" i="2"/>
  <c r="D1052" i="2"/>
  <c r="D1029" i="2"/>
  <c r="D1030" i="2"/>
  <c r="D1027" i="2"/>
  <c r="D1026" i="2"/>
  <c r="D1013" i="2"/>
  <c r="D1014" i="2"/>
  <c r="D1011" i="2"/>
  <c r="D1012" i="2"/>
  <c r="D1015" i="2"/>
  <c r="D997" i="2"/>
  <c r="D998" i="2"/>
  <c r="D994" i="2"/>
  <c r="D978" i="2"/>
  <c r="D980" i="2"/>
  <c r="D981" i="2"/>
  <c r="D979" i="2"/>
  <c r="D982" i="2"/>
  <c r="D962" i="2"/>
  <c r="D963" i="2"/>
  <c r="D966" i="2"/>
  <c r="D967" i="2"/>
  <c r="D965" i="2"/>
  <c r="D946" i="2"/>
  <c r="D948" i="2"/>
  <c r="D951" i="2"/>
  <c r="D949" i="2"/>
  <c r="D950" i="2"/>
  <c r="D930" i="2"/>
  <c r="D934" i="2"/>
  <c r="D935" i="2"/>
  <c r="D931" i="2"/>
  <c r="D932" i="2"/>
  <c r="D933" i="2"/>
  <c r="D914" i="2"/>
  <c r="D916" i="2"/>
  <c r="D917" i="2"/>
  <c r="D918" i="2"/>
  <c r="D919" i="2"/>
  <c r="D898" i="2"/>
  <c r="D899" i="2"/>
  <c r="D882" i="2"/>
  <c r="D883" i="2"/>
  <c r="D884" i="2"/>
  <c r="D887" i="2"/>
  <c r="D866" i="2"/>
  <c r="D868" i="2"/>
  <c r="D870" i="2"/>
  <c r="D871" i="2"/>
  <c r="D867" i="2"/>
  <c r="D869" i="2"/>
  <c r="D850" i="2"/>
  <c r="D852" i="2"/>
  <c r="D854" i="2"/>
  <c r="D855" i="2"/>
  <c r="D853" i="2"/>
  <c r="D851" i="2"/>
  <c r="D834" i="2"/>
  <c r="D836" i="2"/>
  <c r="D838" i="2"/>
  <c r="D839" i="2"/>
  <c r="D818" i="2"/>
  <c r="D820" i="2"/>
  <c r="D822" i="2"/>
  <c r="D823" i="2"/>
  <c r="D802" i="2"/>
  <c r="D804" i="2"/>
  <c r="D806" i="2"/>
  <c r="D807" i="2"/>
  <c r="D803" i="2"/>
  <c r="D805" i="2"/>
  <c r="D786" i="2"/>
  <c r="D788" i="2"/>
  <c r="D787" i="2"/>
  <c r="D789" i="2"/>
  <c r="D770" i="2"/>
  <c r="D772" i="2"/>
  <c r="D774" i="2"/>
  <c r="D775" i="2"/>
  <c r="D771" i="2"/>
  <c r="D754" i="2"/>
  <c r="F33" i="1"/>
  <c r="D756" i="2"/>
  <c r="D755" i="2"/>
  <c r="D757" i="2"/>
  <c r="D758" i="2"/>
  <c r="D759" i="2"/>
  <c r="D738" i="2"/>
  <c r="D740" i="2"/>
  <c r="D742" i="2"/>
  <c r="D743" i="2"/>
  <c r="D739" i="2"/>
  <c r="D741" i="2"/>
  <c r="D722" i="2"/>
  <c r="D724" i="2"/>
  <c r="D726" i="2"/>
  <c r="D727" i="2"/>
  <c r="D706" i="2"/>
  <c r="D708" i="2"/>
  <c r="D710" i="2"/>
  <c r="D711" i="2"/>
  <c r="D707" i="2"/>
  <c r="D709" i="2"/>
  <c r="D690" i="2"/>
  <c r="D692" i="2"/>
  <c r="D695" i="2"/>
  <c r="D693" i="2"/>
  <c r="D691" i="2"/>
  <c r="D679" i="2"/>
  <c r="D675" i="2"/>
  <c r="D676" i="2"/>
  <c r="D677" i="2"/>
  <c r="D663" i="2"/>
  <c r="D659" i="2"/>
  <c r="D658" i="2"/>
  <c r="D660" i="2"/>
  <c r="D661" i="2"/>
  <c r="D647" i="2"/>
  <c r="D643" i="2"/>
  <c r="D645" i="2"/>
  <c r="D642" i="2"/>
  <c r="D644" i="2"/>
  <c r="D623" i="2"/>
  <c r="D618" i="2"/>
  <c r="D620" i="2"/>
  <c r="D619" i="2"/>
  <c r="D621" i="2"/>
  <c r="D607" i="2"/>
  <c r="D604" i="2"/>
  <c r="D602" i="2"/>
  <c r="D605" i="2"/>
  <c r="D603" i="2"/>
  <c r="D591" i="2"/>
  <c r="D586" i="2"/>
  <c r="D588" i="2"/>
  <c r="D589" i="2"/>
  <c r="D575" i="2"/>
  <c r="D570" i="2"/>
  <c r="D572" i="2"/>
  <c r="D573" i="2"/>
  <c r="D571" i="2"/>
  <c r="D559" i="2"/>
  <c r="D554" i="2"/>
  <c r="D556" i="2"/>
  <c r="D555" i="2"/>
  <c r="D557" i="2"/>
  <c r="D543" i="2"/>
  <c r="D540" i="2"/>
  <c r="D538" i="2"/>
  <c r="D539" i="2"/>
  <c r="D541" i="2"/>
  <c r="D527" i="2"/>
  <c r="D522" i="2"/>
  <c r="D523" i="2"/>
  <c r="D525" i="2"/>
  <c r="D524" i="2"/>
  <c r="D511" i="2"/>
  <c r="D506" i="2"/>
  <c r="D507" i="2"/>
  <c r="D508" i="2"/>
  <c r="D509" i="2"/>
  <c r="D495" i="2"/>
  <c r="D490" i="2"/>
  <c r="D492" i="2"/>
  <c r="D491" i="2"/>
  <c r="D493" i="2"/>
  <c r="D479" i="2"/>
  <c r="D476" i="2"/>
  <c r="D477" i="2"/>
  <c r="D474" i="2"/>
  <c r="D475" i="2"/>
  <c r="D463" i="2"/>
  <c r="D461" i="2"/>
  <c r="D458" i="2"/>
  <c r="D459" i="2"/>
  <c r="D460" i="2"/>
  <c r="D447" i="2"/>
  <c r="D442" i="2"/>
  <c r="D445" i="2"/>
  <c r="D431" i="2"/>
  <c r="D426" i="2"/>
  <c r="D428" i="2"/>
  <c r="D429" i="2"/>
  <c r="D427" i="2"/>
  <c r="D415" i="2"/>
  <c r="D411" i="2"/>
  <c r="D412" i="2"/>
  <c r="D410" i="2"/>
  <c r="D413" i="2"/>
  <c r="D399" i="2"/>
  <c r="D396" i="2"/>
  <c r="D397" i="2"/>
  <c r="D395" i="2"/>
  <c r="D383" i="2"/>
  <c r="D381" i="2"/>
  <c r="D378" i="2"/>
  <c r="D379" i="2"/>
  <c r="D367" i="2"/>
  <c r="D365" i="2"/>
  <c r="D363" i="2"/>
  <c r="D364" i="2"/>
  <c r="D351" i="2"/>
  <c r="D346" i="2"/>
  <c r="D348" i="2"/>
  <c r="D349" i="2"/>
  <c r="D347" i="2"/>
  <c r="D335" i="2"/>
  <c r="D330" i="2"/>
  <c r="D331" i="2"/>
  <c r="D332" i="2"/>
  <c r="D333" i="2"/>
  <c r="D319" i="2"/>
  <c r="D316" i="2"/>
  <c r="D314" i="2"/>
  <c r="D317" i="2"/>
  <c r="D303" i="2"/>
  <c r="D299" i="2"/>
  <c r="D298" i="2"/>
  <c r="D301" i="2"/>
  <c r="D295" i="2"/>
  <c r="D291" i="2"/>
  <c r="D293" i="2"/>
  <c r="D292" i="2"/>
  <c r="D290" i="2"/>
  <c r="D279" i="2"/>
  <c r="D277" i="2"/>
  <c r="D274" i="2"/>
  <c r="D276" i="2"/>
  <c r="D275" i="2"/>
  <c r="F56" i="1"/>
  <c r="D263" i="2"/>
  <c r="D258" i="2"/>
  <c r="D259" i="2"/>
  <c r="D260" i="2"/>
  <c r="D261" i="2"/>
  <c r="D247" i="2"/>
  <c r="D244" i="2"/>
  <c r="D245" i="2"/>
  <c r="D242" i="2"/>
  <c r="D243" i="2"/>
  <c r="D231" i="2"/>
  <c r="D226" i="2"/>
  <c r="D227" i="2"/>
  <c r="D228" i="2"/>
  <c r="D229" i="2"/>
  <c r="D215" i="2"/>
  <c r="D212" i="2"/>
  <c r="D213" i="2"/>
  <c r="D207" i="2"/>
  <c r="D202" i="2"/>
  <c r="D204" i="2"/>
  <c r="D203" i="2"/>
  <c r="D205" i="2"/>
  <c r="D191" i="2"/>
  <c r="D187" i="2"/>
  <c r="D188" i="2"/>
  <c r="D186" i="2"/>
  <c r="D189" i="2"/>
  <c r="D183" i="2"/>
  <c r="D180" i="2"/>
  <c r="D181" i="2"/>
  <c r="D178" i="2"/>
  <c r="D179" i="2"/>
  <c r="D175" i="2"/>
  <c r="D173" i="2"/>
  <c r="D170" i="2"/>
  <c r="D171" i="2"/>
  <c r="D172" i="2"/>
  <c r="D159" i="2"/>
  <c r="D154" i="2"/>
  <c r="D155" i="2"/>
  <c r="D156" i="2"/>
  <c r="D157" i="2"/>
  <c r="D151" i="2"/>
  <c r="D148" i="2"/>
  <c r="D149" i="2"/>
  <c r="D146" i="2"/>
  <c r="D147" i="2"/>
  <c r="D143" i="2"/>
  <c r="D138" i="2"/>
  <c r="D139" i="2"/>
  <c r="D140" i="2"/>
  <c r="D135" i="2"/>
  <c r="D130" i="2"/>
  <c r="D131" i="2"/>
  <c r="D133" i="2"/>
  <c r="D132" i="2"/>
  <c r="D127" i="2"/>
  <c r="D123" i="2"/>
  <c r="D124" i="2"/>
  <c r="D122" i="2"/>
  <c r="D125" i="2"/>
  <c r="D119" i="2"/>
  <c r="D114" i="2"/>
  <c r="D115" i="2"/>
  <c r="D117" i="2"/>
  <c r="D116" i="2"/>
  <c r="D111" i="2"/>
  <c r="D109" i="2"/>
  <c r="D106" i="2"/>
  <c r="D107" i="2"/>
  <c r="D108" i="2"/>
  <c r="D103" i="2"/>
  <c r="D98" i="2"/>
  <c r="D99" i="2"/>
  <c r="D101" i="2"/>
  <c r="D100" i="2"/>
  <c r="D95" i="2"/>
  <c r="D93" i="2"/>
  <c r="D90" i="2"/>
  <c r="D91" i="2"/>
  <c r="D87" i="2"/>
  <c r="D84" i="2"/>
  <c r="D85" i="2"/>
  <c r="D83" i="2"/>
  <c r="D82" i="2"/>
  <c r="D79" i="2"/>
  <c r="D74" i="2"/>
  <c r="D77" i="2"/>
  <c r="D75" i="2"/>
  <c r="D76" i="2"/>
  <c r="D71" i="2"/>
  <c r="D67" i="2"/>
  <c r="D68" i="2"/>
  <c r="D66" i="2"/>
  <c r="D69" i="2"/>
  <c r="D63" i="2"/>
  <c r="D59" i="2"/>
  <c r="D60" i="2"/>
  <c r="D61" i="2"/>
  <c r="D58" i="2"/>
  <c r="D55" i="2"/>
  <c r="D51" i="2"/>
  <c r="D52" i="2"/>
  <c r="D53" i="2"/>
  <c r="D50" i="2"/>
  <c r="D47" i="2"/>
  <c r="D45" i="2"/>
  <c r="D43" i="2"/>
  <c r="D44" i="2"/>
  <c r="D42" i="2"/>
  <c r="D39" i="2"/>
  <c r="D34" i="2"/>
  <c r="D35" i="2"/>
  <c r="D36" i="2"/>
  <c r="D37" i="2"/>
  <c r="D31" i="2"/>
  <c r="D27" i="2"/>
  <c r="D28" i="2"/>
  <c r="D29" i="2"/>
  <c r="D23" i="2"/>
  <c r="D20" i="2"/>
  <c r="D21" i="2"/>
  <c r="D18" i="2"/>
  <c r="D19" i="2"/>
  <c r="D7" i="2"/>
  <c r="D2" i="2"/>
  <c r="D3" i="2"/>
  <c r="D1799" i="2"/>
  <c r="D1771" i="2"/>
  <c r="D1742" i="2"/>
  <c r="D1798" i="2"/>
  <c r="D1782" i="2"/>
  <c r="D1770" i="2"/>
  <c r="D1754" i="2"/>
  <c r="D1741" i="2"/>
  <c r="D1725" i="2"/>
  <c r="D1709" i="2"/>
  <c r="D1668" i="2"/>
  <c r="D1652" i="2"/>
  <c r="D1636" i="2"/>
  <c r="D1623" i="2"/>
  <c r="D1607" i="2"/>
  <c r="D1595" i="2"/>
  <c r="D1579" i="2"/>
  <c r="D1563" i="2"/>
  <c r="D1550" i="2"/>
  <c r="D1534" i="2"/>
  <c r="D1522" i="2"/>
  <c r="D1506" i="2"/>
  <c r="D1490" i="2"/>
  <c r="D1477" i="2"/>
  <c r="D1461" i="2"/>
  <c r="D1404" i="2"/>
  <c r="D1387" i="2"/>
  <c r="D1372" i="2"/>
  <c r="D1354" i="2"/>
  <c r="D1334" i="2"/>
  <c r="D1301" i="2"/>
  <c r="D1286" i="2"/>
  <c r="D1268" i="2"/>
  <c r="D1250" i="2"/>
  <c r="D1235" i="2"/>
  <c r="D1198" i="2"/>
  <c r="D1151" i="2"/>
  <c r="D1131" i="2"/>
  <c r="D1103" i="2"/>
  <c r="D1071" i="2"/>
  <c r="D1036" i="2"/>
  <c r="D1000" i="2"/>
  <c r="D964" i="2"/>
  <c r="D924" i="2"/>
  <c r="D886" i="2"/>
  <c r="D845" i="2"/>
  <c r="D750" i="2"/>
  <c r="D635" i="2"/>
  <c r="D548" i="2"/>
  <c r="D450" i="2"/>
  <c r="D315" i="2"/>
  <c r="D1168" i="2"/>
  <c r="D1128" i="2"/>
  <c r="D1080" i="2"/>
  <c r="D1040" i="2"/>
  <c r="D992" i="2"/>
  <c r="D952" i="2"/>
  <c r="D912" i="2"/>
  <c r="D880" i="2"/>
  <c r="D840" i="2"/>
  <c r="D808" i="2"/>
  <c r="D736" i="2"/>
  <c r="D664" i="2"/>
  <c r="D632" i="2"/>
  <c r="D600" i="2"/>
  <c r="D568" i="2"/>
  <c r="D536" i="2"/>
  <c r="D504" i="2"/>
  <c r="D464" i="2"/>
  <c r="D424" i="2"/>
  <c r="D384" i="2"/>
  <c r="D336" i="2"/>
  <c r="D304" i="2"/>
  <c r="D240" i="2"/>
  <c r="D32" i="2"/>
  <c r="D1780" i="2"/>
  <c r="D1751" i="2"/>
  <c r="D1723" i="2"/>
  <c r="D1691" i="2"/>
  <c r="D1650" i="2"/>
  <c r="D1618" i="2"/>
  <c r="D1516" i="2"/>
  <c r="D1471" i="2"/>
  <c r="D1443" i="2"/>
  <c r="D1414" i="2"/>
  <c r="D1365" i="2"/>
  <c r="D1332" i="2"/>
  <c r="D1299" i="2"/>
  <c r="D1246" i="2"/>
  <c r="D1213" i="2"/>
  <c r="D1171" i="2"/>
  <c r="D1122" i="2"/>
  <c r="D1031" i="2"/>
  <c r="D996" i="2"/>
  <c r="D959" i="2"/>
  <c r="D878" i="2"/>
  <c r="D835" i="2"/>
  <c r="D791" i="2"/>
  <c r="D747" i="2"/>
  <c r="D703" i="2"/>
  <c r="D532" i="2"/>
  <c r="D307" i="2"/>
  <c r="D1176" i="2"/>
  <c r="D1136" i="2"/>
  <c r="D1024" i="2"/>
  <c r="F20" i="1"/>
  <c r="D928" i="2"/>
  <c r="D896" i="2"/>
  <c r="D856" i="2"/>
  <c r="D824" i="2"/>
  <c r="D784" i="2"/>
  <c r="D752" i="2"/>
  <c r="D712" i="2"/>
  <c r="F35" i="1"/>
  <c r="D680" i="2"/>
  <c r="D648" i="2"/>
  <c r="D616" i="2"/>
  <c r="D584" i="2"/>
  <c r="D552" i="2"/>
  <c r="D520" i="2"/>
  <c r="D488" i="2"/>
  <c r="D448" i="2"/>
  <c r="D416" i="2"/>
  <c r="D392" i="2"/>
  <c r="D360" i="2"/>
  <c r="D320" i="2"/>
  <c r="D288" i="2"/>
  <c r="D264" i="2"/>
  <c r="D232" i="2"/>
  <c r="D200" i="2"/>
  <c r="D176" i="2"/>
  <c r="D152" i="2"/>
  <c r="D128" i="2"/>
  <c r="D104" i="2"/>
  <c r="D64" i="2"/>
  <c r="D8" i="2"/>
  <c r="D1172" i="2"/>
  <c r="D1150" i="2"/>
  <c r="D1127" i="2"/>
  <c r="D1068" i="2"/>
  <c r="D923" i="2"/>
  <c r="D885" i="2"/>
  <c r="D837" i="2"/>
  <c r="D749" i="2"/>
  <c r="D444" i="2"/>
  <c r="D141" i="2"/>
  <c r="D1796" i="2"/>
  <c r="D1764" i="2"/>
  <c r="D1735" i="2"/>
  <c r="D1707" i="2"/>
  <c r="D1678" i="2"/>
  <c r="D1662" i="2"/>
  <c r="D1634" i="2"/>
  <c r="D1605" i="2"/>
  <c r="D1589" i="2"/>
  <c r="D1532" i="2"/>
  <c r="D1503" i="2"/>
  <c r="D1487" i="2"/>
  <c r="D1459" i="2"/>
  <c r="D1430" i="2"/>
  <c r="D1398" i="2"/>
  <c r="D1350" i="2"/>
  <c r="D1314" i="2"/>
  <c r="D1266" i="2"/>
  <c r="D1228" i="2"/>
  <c r="D1190" i="2"/>
  <c r="D443" i="2"/>
  <c r="D1807" i="2"/>
  <c r="D1791" i="2"/>
  <c r="D1779" i="2"/>
  <c r="D1763" i="2"/>
  <c r="D1750" i="2"/>
  <c r="D1734" i="2"/>
  <c r="D1718" i="2"/>
  <c r="D1706" i="2"/>
  <c r="D1690" i="2"/>
  <c r="D1677" i="2"/>
  <c r="D1661" i="2"/>
  <c r="D1645" i="2"/>
  <c r="D1604" i="2"/>
  <c r="D1588" i="2"/>
  <c r="D1572" i="2"/>
  <c r="D1559" i="2"/>
  <c r="D1543" i="2"/>
  <c r="D1531" i="2"/>
  <c r="D1515" i="2"/>
  <c r="D1499" i="2"/>
  <c r="D1486" i="2"/>
  <c r="D1470" i="2"/>
  <c r="D1458" i="2"/>
  <c r="D1442" i="2"/>
  <c r="D1426" i="2"/>
  <c r="D1413" i="2"/>
  <c r="D1397" i="2"/>
  <c r="D1382" i="2"/>
  <c r="D1364" i="2"/>
  <c r="D1346" i="2"/>
  <c r="D1331" i="2"/>
  <c r="D1298" i="2"/>
  <c r="D1278" i="2"/>
  <c r="D1260" i="2"/>
  <c r="D1245" i="2"/>
  <c r="D1227" i="2"/>
  <c r="D1212" i="2"/>
  <c r="D1189" i="2"/>
  <c r="D1163" i="2"/>
  <c r="D1116" i="2"/>
  <c r="D1095" i="2"/>
  <c r="D1063" i="2"/>
  <c r="D1028" i="2"/>
  <c r="D995" i="2"/>
  <c r="D958" i="2"/>
  <c r="D915" i="2"/>
  <c r="D877" i="2"/>
  <c r="D790" i="2"/>
  <c r="D694" i="2"/>
  <c r="D613" i="2"/>
  <c r="D530" i="2"/>
  <c r="D300" i="2"/>
  <c r="D92" i="2"/>
  <c r="D678" i="2"/>
  <c r="D670" i="2"/>
  <c r="D662" i="2"/>
  <c r="D654" i="2"/>
  <c r="D646" i="2"/>
  <c r="D638" i="2"/>
  <c r="D630" i="2"/>
  <c r="D622" i="2"/>
  <c r="D614" i="2"/>
  <c r="D606" i="2"/>
  <c r="D598" i="2"/>
  <c r="D590" i="2"/>
  <c r="D582" i="2"/>
  <c r="D574" i="2"/>
  <c r="D566" i="2"/>
  <c r="D558" i="2"/>
  <c r="D550" i="2"/>
  <c r="D542" i="2"/>
  <c r="D534" i="2"/>
  <c r="D526" i="2"/>
  <c r="D518" i="2"/>
  <c r="D510" i="2"/>
  <c r="D502" i="2"/>
  <c r="D494" i="2"/>
  <c r="D486" i="2"/>
  <c r="D478" i="2"/>
  <c r="D470" i="2"/>
  <c r="D462" i="2"/>
  <c r="D454" i="2"/>
  <c r="D446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310" i="2"/>
  <c r="D302" i="2"/>
  <c r="D294" i="2"/>
  <c r="D286" i="2"/>
  <c r="D278" i="2"/>
  <c r="D270" i="2"/>
  <c r="D262" i="2"/>
  <c r="D254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D405" i="2"/>
  <c r="D394" i="2"/>
  <c r="D380" i="2"/>
  <c r="D355" i="2"/>
  <c r="J6" i="1"/>
  <c r="H67" i="4"/>
  <c r="G67" i="4"/>
  <c r="B68" i="3"/>
  <c r="I66" i="2"/>
  <c r="P68" i="1"/>
  <c r="L68" i="1"/>
  <c r="K68" i="1"/>
  <c r="J68" i="1"/>
  <c r="F68" i="1"/>
  <c r="E68" i="1"/>
  <c r="D68" i="1"/>
  <c r="C68" i="1"/>
  <c r="B66" i="6"/>
  <c r="C66" i="6"/>
  <c r="D66" i="6"/>
  <c r="G66" i="4"/>
  <c r="I66" i="4" s="1"/>
  <c r="H66" i="4"/>
  <c r="B67" i="3"/>
  <c r="H65" i="2"/>
  <c r="I65" i="2"/>
  <c r="C65" i="6"/>
  <c r="C67" i="1"/>
  <c r="D65" i="6"/>
  <c r="E67" i="1"/>
  <c r="D66" i="1"/>
  <c r="D67" i="1"/>
  <c r="L67" i="1"/>
  <c r="K67" i="1"/>
  <c r="F67" i="1"/>
  <c r="F66" i="1"/>
  <c r="K66" i="1"/>
  <c r="L66" i="1"/>
  <c r="H65" i="4"/>
  <c r="G65" i="4"/>
  <c r="I65" i="4"/>
  <c r="H64" i="4"/>
  <c r="G64" i="4"/>
  <c r="I64" i="4" s="1"/>
  <c r="B63" i="3"/>
  <c r="B65" i="3"/>
  <c r="B66" i="3"/>
  <c r="B64" i="3"/>
  <c r="H63" i="2"/>
  <c r="I63" i="2"/>
  <c r="H64" i="2"/>
  <c r="I64" i="2"/>
  <c r="J64" i="2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G63" i="4"/>
  <c r="H63" i="4"/>
  <c r="F64" i="1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H62" i="4" s="1"/>
  <c r="B61" i="6"/>
  <c r="P63" i="1"/>
  <c r="C61" i="6"/>
  <c r="C63" i="1"/>
  <c r="D61" i="6"/>
  <c r="E63" i="1"/>
  <c r="H61" i="2"/>
  <c r="I61" i="2"/>
  <c r="F63" i="1"/>
  <c r="D63" i="1"/>
  <c r="P52" i="1"/>
  <c r="P53" i="1"/>
  <c r="P54" i="1"/>
  <c r="P55" i="1"/>
  <c r="P56" i="1"/>
  <c r="P60" i="1"/>
  <c r="P51" i="1"/>
  <c r="C60" i="6"/>
  <c r="C62" i="1"/>
  <c r="F19" i="1"/>
  <c r="F54" i="1"/>
  <c r="F57" i="1"/>
  <c r="F58" i="1"/>
  <c r="F22" i="1"/>
  <c r="F24" i="1"/>
  <c r="F26" i="1"/>
  <c r="F30" i="1"/>
  <c r="F34" i="1"/>
  <c r="F6" i="1"/>
  <c r="F25" i="1"/>
  <c r="F27" i="1"/>
  <c r="F29" i="1"/>
  <c r="F37" i="1"/>
  <c r="F42" i="1"/>
  <c r="F60" i="1"/>
  <c r="F40" i="1"/>
  <c r="F46" i="1"/>
  <c r="C61" i="4"/>
  <c r="C5" i="4"/>
  <c r="G5" i="4" s="1"/>
  <c r="C6" i="4"/>
  <c r="G6" i="4" s="1"/>
  <c r="C7" i="4"/>
  <c r="G7" i="4" s="1"/>
  <c r="C8" i="4"/>
  <c r="H8" i="4" s="1"/>
  <c r="C9" i="4"/>
  <c r="G9" i="4" s="1"/>
  <c r="C10" i="4"/>
  <c r="H10" i="4" s="1"/>
  <c r="C11" i="4"/>
  <c r="H11" i="4" s="1"/>
  <c r="C12" i="4"/>
  <c r="G12" i="4" s="1"/>
  <c r="C13" i="4"/>
  <c r="G13" i="4" s="1"/>
  <c r="C14" i="4"/>
  <c r="G14" i="4" s="1"/>
  <c r="C15" i="4"/>
  <c r="C16" i="4"/>
  <c r="G16" i="4" s="1"/>
  <c r="C17" i="4"/>
  <c r="H17" i="4" s="1"/>
  <c r="C18" i="4"/>
  <c r="G18" i="4" s="1"/>
  <c r="H18" i="4"/>
  <c r="C19" i="4"/>
  <c r="H19" i="4" s="1"/>
  <c r="C20" i="4"/>
  <c r="G20" i="4" s="1"/>
  <c r="C21" i="4"/>
  <c r="G21" i="4" s="1"/>
  <c r="C22" i="4"/>
  <c r="H22" i="4" s="1"/>
  <c r="C23" i="4"/>
  <c r="H23" i="4" s="1"/>
  <c r="C24" i="4"/>
  <c r="G24" i="4" s="1"/>
  <c r="C25" i="4"/>
  <c r="H25" i="4" s="1"/>
  <c r="C26" i="4"/>
  <c r="H26" i="4" s="1"/>
  <c r="C27" i="4"/>
  <c r="G27" i="4" s="1"/>
  <c r="C28" i="4"/>
  <c r="G28" i="4" s="1"/>
  <c r="C29" i="4"/>
  <c r="G29" i="4" s="1"/>
  <c r="C30" i="4"/>
  <c r="C31" i="4"/>
  <c r="H31" i="4" s="1"/>
  <c r="C32" i="4"/>
  <c r="H32" i="4" s="1"/>
  <c r="C33" i="4"/>
  <c r="G33" i="4" s="1"/>
  <c r="C34" i="4"/>
  <c r="H34" i="4" s="1"/>
  <c r="C35" i="4"/>
  <c r="C36" i="4"/>
  <c r="H36" i="4" s="1"/>
  <c r="C37" i="4"/>
  <c r="G37" i="4" s="1"/>
  <c r="C38" i="4"/>
  <c r="G38" i="4" s="1"/>
  <c r="C39" i="4"/>
  <c r="C40" i="4"/>
  <c r="G40" i="4" s="1"/>
  <c r="C41" i="4"/>
  <c r="G41" i="4" s="1"/>
  <c r="C42" i="4"/>
  <c r="H42" i="4" s="1"/>
  <c r="C43" i="4"/>
  <c r="H43" i="4" s="1"/>
  <c r="C44" i="4"/>
  <c r="H44" i="4" s="1"/>
  <c r="C45" i="4"/>
  <c r="C46" i="4"/>
  <c r="C47" i="4"/>
  <c r="H47" i="4" s="1"/>
  <c r="C48" i="4"/>
  <c r="C49" i="4"/>
  <c r="G49" i="4" s="1"/>
  <c r="C50" i="4"/>
  <c r="H50" i="4" s="1"/>
  <c r="C51" i="4"/>
  <c r="G51" i="4" s="1"/>
  <c r="C52" i="4"/>
  <c r="G52" i="4" s="1"/>
  <c r="C53" i="4"/>
  <c r="G53" i="4" s="1"/>
  <c r="H53" i="4"/>
  <c r="C54" i="4"/>
  <c r="C55" i="4"/>
  <c r="H55" i="4" s="1"/>
  <c r="C56" i="4"/>
  <c r="H56" i="4" s="1"/>
  <c r="C57" i="4"/>
  <c r="G57" i="4" s="1"/>
  <c r="C58" i="4"/>
  <c r="H58" i="4" s="1"/>
  <c r="C59" i="4"/>
  <c r="H59" i="4" s="1"/>
  <c r="C60" i="4"/>
  <c r="H60" i="4"/>
  <c r="C4" i="4"/>
  <c r="B62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5" i="3"/>
  <c r="H4" i="2"/>
  <c r="H5" i="2"/>
  <c r="H6" i="2"/>
  <c r="I6" i="2"/>
  <c r="J6" i="2"/>
  <c r="H7" i="2"/>
  <c r="I7" i="2"/>
  <c r="J7" i="2"/>
  <c r="H8" i="2"/>
  <c r="I8" i="2"/>
  <c r="H9" i="2"/>
  <c r="I9" i="2"/>
  <c r="H10" i="2"/>
  <c r="I10" i="2"/>
  <c r="H11" i="2"/>
  <c r="I11" i="2"/>
  <c r="J11" i="2"/>
  <c r="H12" i="2"/>
  <c r="I12" i="2"/>
  <c r="H13" i="2"/>
  <c r="I13" i="2"/>
  <c r="H14" i="2"/>
  <c r="I14" i="2"/>
  <c r="H15" i="2"/>
  <c r="I15" i="2"/>
  <c r="H16" i="2"/>
  <c r="I16" i="2"/>
  <c r="J16" i="2"/>
  <c r="H17" i="2"/>
  <c r="I17" i="2"/>
  <c r="H18" i="2"/>
  <c r="I18" i="2"/>
  <c r="J18" i="2"/>
  <c r="H19" i="2"/>
  <c r="I19" i="2"/>
  <c r="H20" i="2"/>
  <c r="I20" i="2"/>
  <c r="J20" i="2"/>
  <c r="H21" i="2"/>
  <c r="I21" i="2"/>
  <c r="J21" i="2"/>
  <c r="H22" i="2"/>
  <c r="I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H28" i="2"/>
  <c r="I28" i="2"/>
  <c r="H29" i="2"/>
  <c r="I29" i="2"/>
  <c r="H30" i="2"/>
  <c r="I30" i="2"/>
  <c r="H31" i="2"/>
  <c r="I31" i="2"/>
  <c r="H32" i="2"/>
  <c r="I32" i="2"/>
  <c r="J32" i="2"/>
  <c r="H33" i="2"/>
  <c r="I33" i="2"/>
  <c r="H34" i="2"/>
  <c r="I34" i="2"/>
  <c r="J34" i="2"/>
  <c r="H35" i="2"/>
  <c r="I35" i="2"/>
  <c r="H36" i="2"/>
  <c r="I36" i="2"/>
  <c r="J36" i="2"/>
  <c r="H37" i="2"/>
  <c r="I37" i="2"/>
  <c r="H38" i="2"/>
  <c r="I38" i="2"/>
  <c r="J38" i="2"/>
  <c r="H39" i="2"/>
  <c r="I39" i="2"/>
  <c r="H40" i="2"/>
  <c r="I40" i="2"/>
  <c r="H41" i="2"/>
  <c r="I41" i="2"/>
  <c r="J41" i="2"/>
  <c r="H42" i="2"/>
  <c r="I42" i="2"/>
  <c r="H43" i="2"/>
  <c r="I43" i="2"/>
  <c r="J43" i="2"/>
  <c r="H44" i="2"/>
  <c r="I44" i="2"/>
  <c r="J44" i="2"/>
  <c r="H45" i="2"/>
  <c r="I45" i="2"/>
  <c r="J45" i="2"/>
  <c r="H46" i="2"/>
  <c r="I46" i="2"/>
  <c r="H47" i="2"/>
  <c r="I47" i="2"/>
  <c r="H48" i="2"/>
  <c r="I48" i="2"/>
  <c r="J48" i="2"/>
  <c r="H49" i="2"/>
  <c r="I49" i="2"/>
  <c r="J49" i="2"/>
  <c r="O51" i="1"/>
  <c r="H50" i="2"/>
  <c r="I50" i="2"/>
  <c r="H51" i="2"/>
  <c r="I51" i="2"/>
  <c r="J51" i="2"/>
  <c r="H52" i="2"/>
  <c r="I52" i="2"/>
  <c r="J52" i="2"/>
  <c r="H53" i="2"/>
  <c r="I53" i="2"/>
  <c r="H54" i="2"/>
  <c r="I54" i="2"/>
  <c r="J54" i="2"/>
  <c r="H55" i="2"/>
  <c r="I55" i="2"/>
  <c r="H56" i="2"/>
  <c r="I56" i="2"/>
  <c r="H57" i="2"/>
  <c r="I57" i="2"/>
  <c r="J57" i="2"/>
  <c r="H58" i="2"/>
  <c r="I58" i="2"/>
  <c r="H59" i="2"/>
  <c r="I59" i="2"/>
  <c r="H60" i="2"/>
  <c r="I60" i="2"/>
  <c r="H3" i="2"/>
  <c r="N38" i="1"/>
  <c r="D62" i="1"/>
  <c r="D60" i="6"/>
  <c r="E62" i="1"/>
  <c r="F61" i="1"/>
  <c r="F41" i="1"/>
  <c r="F47" i="1"/>
  <c r="F62" i="1"/>
  <c r="F10" i="1"/>
  <c r="F32" i="1"/>
  <c r="F45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F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F5" i="1"/>
  <c r="F13" i="1"/>
  <c r="F31" i="1"/>
  <c r="F7" i="1"/>
  <c r="F49" i="1"/>
  <c r="F55" i="1"/>
  <c r="D57" i="1"/>
  <c r="D56" i="1"/>
  <c r="B54" i="6"/>
  <c r="P57" i="1"/>
  <c r="H237" i="8"/>
  <c r="AC237" i="8"/>
  <c r="G237" i="8" s="1"/>
  <c r="AC5" i="8"/>
  <c r="G5" i="8" s="1"/>
  <c r="AC6" i="8"/>
  <c r="G6" i="8" s="1"/>
  <c r="AC7" i="8"/>
  <c r="G7" i="8" s="1"/>
  <c r="AC8" i="8"/>
  <c r="G8" i="8"/>
  <c r="AC9" i="8"/>
  <c r="G9" i="8" s="1"/>
  <c r="AC10" i="8"/>
  <c r="G10" i="8" s="1"/>
  <c r="AC11" i="8"/>
  <c r="G11" i="8" s="1"/>
  <c r="AC12" i="8"/>
  <c r="G12" i="8" s="1"/>
  <c r="AC13" i="8"/>
  <c r="G13" i="8"/>
  <c r="AC14" i="8"/>
  <c r="G14" i="8" s="1"/>
  <c r="AC15" i="8"/>
  <c r="G15" i="8" s="1"/>
  <c r="AC16" i="8"/>
  <c r="G16" i="8" s="1"/>
  <c r="AC17" i="8"/>
  <c r="G17" i="8" s="1"/>
  <c r="AC18" i="8"/>
  <c r="G18" i="8" s="1"/>
  <c r="AC19" i="8"/>
  <c r="G19" i="8" s="1"/>
  <c r="AC20" i="8"/>
  <c r="G20" i="8"/>
  <c r="AC21" i="8"/>
  <c r="G21" i="8" s="1"/>
  <c r="AC22" i="8"/>
  <c r="G22" i="8" s="1"/>
  <c r="AC23" i="8"/>
  <c r="G23" i="8" s="1"/>
  <c r="AC24" i="8"/>
  <c r="G24" i="8" s="1"/>
  <c r="P24" i="8" s="1"/>
  <c r="AC25" i="8"/>
  <c r="G25" i="8" s="1"/>
  <c r="AC26" i="8"/>
  <c r="G26" i="8" s="1"/>
  <c r="AC27" i="8"/>
  <c r="G27" i="8" s="1"/>
  <c r="AC28" i="8"/>
  <c r="G28" i="8"/>
  <c r="AC29" i="8"/>
  <c r="G29" i="8" s="1"/>
  <c r="AC30" i="8"/>
  <c r="G30" i="8" s="1"/>
  <c r="AC31" i="8"/>
  <c r="G31" i="8" s="1"/>
  <c r="AC32" i="8"/>
  <c r="G32" i="8"/>
  <c r="AC33" i="8"/>
  <c r="G33" i="8"/>
  <c r="AC34" i="8"/>
  <c r="G34" i="8" s="1"/>
  <c r="AC35" i="8"/>
  <c r="G35" i="8" s="1"/>
  <c r="AC36" i="8"/>
  <c r="G36" i="8" s="1"/>
  <c r="AC37" i="8"/>
  <c r="G37" i="8" s="1"/>
  <c r="AC38" i="8"/>
  <c r="G38" i="8" s="1"/>
  <c r="AC39" i="8"/>
  <c r="G39" i="8" s="1"/>
  <c r="AC40" i="8"/>
  <c r="G40" i="8"/>
  <c r="AC41" i="8"/>
  <c r="G41" i="8" s="1"/>
  <c r="AC42" i="8"/>
  <c r="G42" i="8" s="1"/>
  <c r="AC43" i="8"/>
  <c r="G43" i="8" s="1"/>
  <c r="AC44" i="8"/>
  <c r="G44" i="8"/>
  <c r="AC45" i="8"/>
  <c r="G45" i="8" s="1"/>
  <c r="AC46" i="8"/>
  <c r="G46" i="8" s="1"/>
  <c r="AC47" i="8"/>
  <c r="G47" i="8"/>
  <c r="AC48" i="8"/>
  <c r="G48" i="8" s="1"/>
  <c r="AC49" i="8"/>
  <c r="G49" i="8"/>
  <c r="AC50" i="8"/>
  <c r="G50" i="8" s="1"/>
  <c r="AC51" i="8"/>
  <c r="G51" i="8" s="1"/>
  <c r="AC52" i="8"/>
  <c r="G52" i="8" s="1"/>
  <c r="AC53" i="8"/>
  <c r="G53" i="8" s="1"/>
  <c r="AC54" i="8"/>
  <c r="G54" i="8"/>
  <c r="AC55" i="8"/>
  <c r="G55" i="8" s="1"/>
  <c r="AC56" i="8"/>
  <c r="G56" i="8"/>
  <c r="AC57" i="8"/>
  <c r="G57" i="8"/>
  <c r="AC58" i="8"/>
  <c r="G58" i="8" s="1"/>
  <c r="AC59" i="8"/>
  <c r="G59" i="8" s="1"/>
  <c r="AC60" i="8"/>
  <c r="G60" i="8" s="1"/>
  <c r="AC61" i="8"/>
  <c r="G61" i="8" s="1"/>
  <c r="AC62" i="8"/>
  <c r="G62" i="8" s="1"/>
  <c r="AC63" i="8"/>
  <c r="G63" i="8" s="1"/>
  <c r="AC64" i="8"/>
  <c r="G64" i="8" s="1"/>
  <c r="AC65" i="8"/>
  <c r="G65" i="8"/>
  <c r="AC66" i="8"/>
  <c r="G66" i="8"/>
  <c r="AC67" i="8"/>
  <c r="G67" i="8" s="1"/>
  <c r="AC68" i="8"/>
  <c r="G68" i="8"/>
  <c r="AC69" i="8"/>
  <c r="G69" i="8" s="1"/>
  <c r="AC70" i="8"/>
  <c r="G70" i="8"/>
  <c r="AC71" i="8"/>
  <c r="G71" i="8" s="1"/>
  <c r="AC72" i="8"/>
  <c r="G72" i="8" s="1"/>
  <c r="AC73" i="8"/>
  <c r="G73" i="8" s="1"/>
  <c r="AC74" i="8"/>
  <c r="G74" i="8"/>
  <c r="AC75" i="8"/>
  <c r="G75" i="8" s="1"/>
  <c r="AC76" i="8"/>
  <c r="G76" i="8" s="1"/>
  <c r="AC77" i="8"/>
  <c r="G77" i="8" s="1"/>
  <c r="AC78" i="8"/>
  <c r="G78" i="8"/>
  <c r="AC79" i="8"/>
  <c r="G79" i="8"/>
  <c r="AC80" i="8"/>
  <c r="G80" i="8" s="1"/>
  <c r="AC81" i="8"/>
  <c r="G81" i="8" s="1"/>
  <c r="AC82" i="8"/>
  <c r="G82" i="8"/>
  <c r="AC83" i="8"/>
  <c r="G83" i="8" s="1"/>
  <c r="AC84" i="8"/>
  <c r="G84" i="8" s="1"/>
  <c r="AC85" i="8"/>
  <c r="G85" i="8" s="1"/>
  <c r="AC86" i="8"/>
  <c r="G86" i="8"/>
  <c r="AC87" i="8"/>
  <c r="G87" i="8" s="1"/>
  <c r="AC88" i="8"/>
  <c r="G88" i="8" s="1"/>
  <c r="AC89" i="8"/>
  <c r="G89" i="8" s="1"/>
  <c r="AC90" i="8"/>
  <c r="G90" i="8" s="1"/>
  <c r="AC91" i="8"/>
  <c r="G91" i="8"/>
  <c r="AC92" i="8"/>
  <c r="G92" i="8" s="1"/>
  <c r="AC93" i="8"/>
  <c r="G93" i="8" s="1"/>
  <c r="AC94" i="8"/>
  <c r="G94" i="8" s="1"/>
  <c r="AC95" i="8"/>
  <c r="G95" i="8"/>
  <c r="AC96" i="8"/>
  <c r="G96" i="8"/>
  <c r="AC97" i="8"/>
  <c r="G97" i="8" s="1"/>
  <c r="AC98" i="8"/>
  <c r="G98" i="8"/>
  <c r="AC99" i="8"/>
  <c r="G99" i="8"/>
  <c r="AC100" i="8"/>
  <c r="G100" i="8" s="1"/>
  <c r="AC101" i="8"/>
  <c r="G101" i="8" s="1"/>
  <c r="AC102" i="8"/>
  <c r="G102" i="8"/>
  <c r="AC103" i="8"/>
  <c r="G103" i="8"/>
  <c r="AC104" i="8"/>
  <c r="G104" i="8"/>
  <c r="AC105" i="8"/>
  <c r="G105" i="8" s="1"/>
  <c r="AC106" i="8"/>
  <c r="G106" i="8"/>
  <c r="AC107" i="8"/>
  <c r="G107" i="8" s="1"/>
  <c r="AC108" i="8"/>
  <c r="G108" i="8" s="1"/>
  <c r="AC109" i="8"/>
  <c r="G109" i="8" s="1"/>
  <c r="AC110" i="8"/>
  <c r="G110" i="8"/>
  <c r="AC111" i="8"/>
  <c r="G111" i="8"/>
  <c r="AC112" i="8"/>
  <c r="G112" i="8"/>
  <c r="AC113" i="8"/>
  <c r="G113" i="8"/>
  <c r="AC114" i="8"/>
  <c r="G114" i="8"/>
  <c r="AC115" i="8"/>
  <c r="G115" i="8"/>
  <c r="AC116" i="8"/>
  <c r="G116" i="8"/>
  <c r="AC117" i="8"/>
  <c r="G117" i="8"/>
  <c r="AC118" i="8"/>
  <c r="G118" i="8"/>
  <c r="AC119" i="8"/>
  <c r="G119" i="8"/>
  <c r="AC120" i="8"/>
  <c r="G120" i="8"/>
  <c r="AC121" i="8"/>
  <c r="G121" i="8"/>
  <c r="AC122" i="8"/>
  <c r="G122" i="8"/>
  <c r="AC123" i="8"/>
  <c r="G123" i="8"/>
  <c r="AC124" i="8"/>
  <c r="G124" i="8"/>
  <c r="AC125" i="8"/>
  <c r="G125" i="8"/>
  <c r="AC126" i="8"/>
  <c r="G126" i="8"/>
  <c r="AC127" i="8"/>
  <c r="G127" i="8"/>
  <c r="AC128" i="8"/>
  <c r="G128" i="8"/>
  <c r="AC129" i="8"/>
  <c r="G129" i="8"/>
  <c r="AC130" i="8"/>
  <c r="G130" i="8"/>
  <c r="AC131" i="8"/>
  <c r="G131" i="8"/>
  <c r="AC132" i="8"/>
  <c r="G132" i="8"/>
  <c r="AC133" i="8"/>
  <c r="G133" i="8"/>
  <c r="AC134" i="8"/>
  <c r="G134" i="8"/>
  <c r="AC135" i="8"/>
  <c r="G135" i="8"/>
  <c r="AC136" i="8"/>
  <c r="G136" i="8"/>
  <c r="AC137" i="8"/>
  <c r="G137" i="8"/>
  <c r="AC138" i="8"/>
  <c r="G138" i="8"/>
  <c r="AC139" i="8"/>
  <c r="G139" i="8"/>
  <c r="AC140" i="8"/>
  <c r="G140" i="8"/>
  <c r="AC141" i="8"/>
  <c r="G141" i="8"/>
  <c r="AC142" i="8"/>
  <c r="G142" i="8"/>
  <c r="AC143" i="8"/>
  <c r="G143" i="8"/>
  <c r="AC144" i="8"/>
  <c r="G144" i="8"/>
  <c r="AC145" i="8"/>
  <c r="G145" i="8"/>
  <c r="AC146" i="8"/>
  <c r="G146" i="8"/>
  <c r="AC147" i="8"/>
  <c r="G147" i="8"/>
  <c r="AC148" i="8"/>
  <c r="G148" i="8"/>
  <c r="AC149" i="8"/>
  <c r="G149" i="8"/>
  <c r="AC150" i="8"/>
  <c r="G150" i="8"/>
  <c r="AC151" i="8"/>
  <c r="G151" i="8"/>
  <c r="AC152" i="8"/>
  <c r="G152" i="8"/>
  <c r="AC153" i="8"/>
  <c r="G153" i="8"/>
  <c r="AC154" i="8"/>
  <c r="G154" i="8"/>
  <c r="AC155" i="8"/>
  <c r="G155" i="8"/>
  <c r="AC156" i="8"/>
  <c r="G156" i="8"/>
  <c r="AC157" i="8"/>
  <c r="G157" i="8"/>
  <c r="AC158" i="8"/>
  <c r="G158" i="8"/>
  <c r="AC159" i="8"/>
  <c r="G159" i="8"/>
  <c r="AC160" i="8"/>
  <c r="G160" i="8"/>
  <c r="AC161" i="8"/>
  <c r="G161" i="8"/>
  <c r="AC162" i="8"/>
  <c r="G162" i="8"/>
  <c r="AC163" i="8"/>
  <c r="G163" i="8"/>
  <c r="AC164" i="8"/>
  <c r="G164" i="8"/>
  <c r="AC165" i="8"/>
  <c r="G165" i="8"/>
  <c r="AC166" i="8"/>
  <c r="G166" i="8"/>
  <c r="AC167" i="8"/>
  <c r="G167" i="8"/>
  <c r="AC168" i="8"/>
  <c r="G168" i="8"/>
  <c r="AC169" i="8"/>
  <c r="G169" i="8"/>
  <c r="AC170" i="8"/>
  <c r="G170" i="8"/>
  <c r="AC171" i="8"/>
  <c r="G171" i="8"/>
  <c r="AC172" i="8"/>
  <c r="G172" i="8"/>
  <c r="AC173" i="8"/>
  <c r="G173" i="8"/>
  <c r="AC174" i="8"/>
  <c r="G174" i="8"/>
  <c r="AC175" i="8"/>
  <c r="G175" i="8"/>
  <c r="AC176" i="8"/>
  <c r="G176" i="8"/>
  <c r="AC177" i="8"/>
  <c r="G177" i="8" s="1"/>
  <c r="AC178" i="8"/>
  <c r="G178" i="8" s="1"/>
  <c r="AC179" i="8"/>
  <c r="G179" i="8"/>
  <c r="AC180" i="8"/>
  <c r="G180" i="8" s="1"/>
  <c r="AC181" i="8"/>
  <c r="G181" i="8" s="1"/>
  <c r="AC182" i="8"/>
  <c r="G182" i="8" s="1"/>
  <c r="AC183" i="8"/>
  <c r="G183" i="8" s="1"/>
  <c r="AC184" i="8"/>
  <c r="G184" i="8" s="1"/>
  <c r="AC185" i="8"/>
  <c r="G185" i="8" s="1"/>
  <c r="AC186" i="8"/>
  <c r="G186" i="8" s="1"/>
  <c r="AC187" i="8"/>
  <c r="G187" i="8"/>
  <c r="AC188" i="8"/>
  <c r="G188" i="8" s="1"/>
  <c r="AC189" i="8"/>
  <c r="G189" i="8" s="1"/>
  <c r="AC190" i="8"/>
  <c r="G190" i="8" s="1"/>
  <c r="AC191" i="8"/>
  <c r="G191" i="8"/>
  <c r="AC192" i="8"/>
  <c r="G192" i="8" s="1"/>
  <c r="AC193" i="8"/>
  <c r="G193" i="8" s="1"/>
  <c r="AC194" i="8"/>
  <c r="G194" i="8" s="1"/>
  <c r="AC195" i="8"/>
  <c r="G195" i="8"/>
  <c r="AC196" i="8"/>
  <c r="G196" i="8" s="1"/>
  <c r="AC197" i="8"/>
  <c r="G197" i="8" s="1"/>
  <c r="AC198" i="8"/>
  <c r="G198" i="8" s="1"/>
  <c r="AC199" i="8"/>
  <c r="G199" i="8"/>
  <c r="AC200" i="8"/>
  <c r="G200" i="8" s="1"/>
  <c r="AC201" i="8"/>
  <c r="G201" i="8" s="1"/>
  <c r="AC202" i="8"/>
  <c r="G202" i="8" s="1"/>
  <c r="AC203" i="8"/>
  <c r="G203" i="8"/>
  <c r="AC204" i="8"/>
  <c r="G204" i="8" s="1"/>
  <c r="AC205" i="8"/>
  <c r="G205" i="8" s="1"/>
  <c r="AC206" i="8"/>
  <c r="G206" i="8" s="1"/>
  <c r="AC207" i="8"/>
  <c r="G207" i="8" s="1"/>
  <c r="AC208" i="8"/>
  <c r="G208" i="8" s="1"/>
  <c r="AC209" i="8"/>
  <c r="G209" i="8" s="1"/>
  <c r="AC210" i="8"/>
  <c r="G210" i="8" s="1"/>
  <c r="AC211" i="8"/>
  <c r="G211" i="8" s="1"/>
  <c r="AC212" i="8"/>
  <c r="G212" i="8" s="1"/>
  <c r="AC213" i="8"/>
  <c r="G213" i="8" s="1"/>
  <c r="AC214" i="8"/>
  <c r="G214" i="8" s="1"/>
  <c r="AC215" i="8"/>
  <c r="G215" i="8"/>
  <c r="AC216" i="8"/>
  <c r="G216" i="8" s="1"/>
  <c r="AC217" i="8"/>
  <c r="G217" i="8" s="1"/>
  <c r="AC218" i="8"/>
  <c r="G218" i="8" s="1"/>
  <c r="AC219" i="8"/>
  <c r="G219" i="8"/>
  <c r="AC220" i="8"/>
  <c r="G220" i="8" s="1"/>
  <c r="AC221" i="8"/>
  <c r="G221" i="8" s="1"/>
  <c r="AC222" i="8"/>
  <c r="G222" i="8" s="1"/>
  <c r="AC223" i="8"/>
  <c r="G223" i="8"/>
  <c r="AC224" i="8"/>
  <c r="G224" i="8"/>
  <c r="P224" i="8" s="1"/>
  <c r="AC225" i="8"/>
  <c r="G225" i="8" s="1"/>
  <c r="AC226" i="8"/>
  <c r="G226" i="8" s="1"/>
  <c r="AC227" i="8"/>
  <c r="G227" i="8"/>
  <c r="AC228" i="8"/>
  <c r="G228" i="8"/>
  <c r="AC229" i="8"/>
  <c r="G229" i="8" s="1"/>
  <c r="AC230" i="8"/>
  <c r="G230" i="8" s="1"/>
  <c r="AC231" i="8"/>
  <c r="G231" i="8"/>
  <c r="AC232" i="8"/>
  <c r="G232" i="8" s="1"/>
  <c r="AC233" i="8"/>
  <c r="G233" i="8" s="1"/>
  <c r="AC234" i="8"/>
  <c r="G234" i="8" s="1"/>
  <c r="AC235" i="8"/>
  <c r="G235" i="8"/>
  <c r="AC236" i="8"/>
  <c r="G236" i="8"/>
  <c r="AC4" i="8"/>
  <c r="G4" i="8" s="1"/>
  <c r="H5" i="8"/>
  <c r="I6" i="8" s="1"/>
  <c r="H6" i="8"/>
  <c r="H7" i="8"/>
  <c r="I7" i="8" s="1"/>
  <c r="J6" i="8" s="1"/>
  <c r="H8" i="8"/>
  <c r="I8" i="8" s="1"/>
  <c r="J7" i="8" s="1"/>
  <c r="I9" i="8"/>
  <c r="J8" i="8" s="1"/>
  <c r="O8" i="8"/>
  <c r="H9" i="8"/>
  <c r="H10" i="8"/>
  <c r="I10" i="8" s="1"/>
  <c r="J9" i="8" s="1"/>
  <c r="H11" i="8"/>
  <c r="H12" i="8"/>
  <c r="H13" i="8"/>
  <c r="I13" i="8" s="1"/>
  <c r="J12" i="8" s="1"/>
  <c r="H14" i="8"/>
  <c r="H15" i="8"/>
  <c r="H16" i="8"/>
  <c r="H17" i="8"/>
  <c r="H18" i="8"/>
  <c r="H19" i="8"/>
  <c r="I19" i="8" s="1"/>
  <c r="J18" i="8" s="1"/>
  <c r="H20" i="8"/>
  <c r="I21" i="8" s="1"/>
  <c r="J20" i="8" s="1"/>
  <c r="N20" i="8" s="1"/>
  <c r="H21" i="8"/>
  <c r="H22" i="8"/>
  <c r="I22" i="8" s="1"/>
  <c r="J21" i="8" s="1"/>
  <c r="H23" i="8"/>
  <c r="H24" i="8"/>
  <c r="I24" i="8" s="1"/>
  <c r="J23" i="8" s="1"/>
  <c r="H25" i="8"/>
  <c r="I25" i="8" s="1"/>
  <c r="J24" i="8" s="1"/>
  <c r="K24" i="8" s="1"/>
  <c r="L24" i="8" s="1"/>
  <c r="H26" i="8"/>
  <c r="H27" i="8"/>
  <c r="H28" i="8"/>
  <c r="H29" i="8"/>
  <c r="H30" i="8"/>
  <c r="H31" i="8"/>
  <c r="I31" i="8" s="1"/>
  <c r="J30" i="8" s="1"/>
  <c r="M30" i="8" s="1"/>
  <c r="H32" i="8"/>
  <c r="H33" i="8"/>
  <c r="H34" i="8"/>
  <c r="H35" i="8"/>
  <c r="H36" i="8"/>
  <c r="H37" i="8"/>
  <c r="H38" i="8"/>
  <c r="H39" i="8"/>
  <c r="H40" i="8"/>
  <c r="I40" i="8" s="1"/>
  <c r="J39" i="8" s="1"/>
  <c r="H41" i="8"/>
  <c r="H42" i="8"/>
  <c r="H43" i="8"/>
  <c r="H44" i="8"/>
  <c r="H45" i="8"/>
  <c r="H46" i="8"/>
  <c r="H47" i="8"/>
  <c r="I47" i="8" s="1"/>
  <c r="J46" i="8" s="1"/>
  <c r="N46" i="8" s="1"/>
  <c r="H48" i="8"/>
  <c r="I49" i="8" s="1"/>
  <c r="J48" i="8" s="1"/>
  <c r="H49" i="8"/>
  <c r="H50" i="8"/>
  <c r="H51" i="8"/>
  <c r="H52" i="8"/>
  <c r="I52" i="8" s="1"/>
  <c r="J51" i="8" s="1"/>
  <c r="H53" i="8"/>
  <c r="H54" i="8"/>
  <c r="H55" i="8"/>
  <c r="I55" i="8" s="1"/>
  <c r="J54" i="8" s="1"/>
  <c r="M54" i="8" s="1"/>
  <c r="H56" i="8"/>
  <c r="H57" i="8"/>
  <c r="I57" i="8" s="1"/>
  <c r="J56" i="8" s="1"/>
  <c r="H58" i="8"/>
  <c r="H59" i="8"/>
  <c r="I59" i="8" s="1"/>
  <c r="J58" i="8" s="1"/>
  <c r="H60" i="8"/>
  <c r="H61" i="8"/>
  <c r="H62" i="8"/>
  <c r="I62" i="8" s="1"/>
  <c r="J61" i="8" s="1"/>
  <c r="P61" i="8" s="1"/>
  <c r="H63" i="8"/>
  <c r="I63" i="8" s="1"/>
  <c r="J62" i="8" s="1"/>
  <c r="H64" i="8"/>
  <c r="H65" i="8"/>
  <c r="H66" i="8"/>
  <c r="H67" i="8"/>
  <c r="I67" i="8" s="1"/>
  <c r="J66" i="8" s="1"/>
  <c r="P66" i="8" s="1"/>
  <c r="H68" i="8"/>
  <c r="H69" i="8"/>
  <c r="H70" i="8"/>
  <c r="I70" i="8" s="1"/>
  <c r="J69" i="8" s="1"/>
  <c r="H71" i="8"/>
  <c r="I71" i="8" s="1"/>
  <c r="J70" i="8" s="1"/>
  <c r="H72" i="8"/>
  <c r="H73" i="8"/>
  <c r="I74" i="8" s="1"/>
  <c r="J73" i="8" s="1"/>
  <c r="O73" i="8" s="1"/>
  <c r="H74" i="8"/>
  <c r="H75" i="8"/>
  <c r="H76" i="8"/>
  <c r="I76" i="8" s="1"/>
  <c r="J75" i="8" s="1"/>
  <c r="H77" i="8"/>
  <c r="I77" i="8"/>
  <c r="J76" i="8" s="1"/>
  <c r="H78" i="8"/>
  <c r="I79" i="8" s="1"/>
  <c r="J78" i="8" s="1"/>
  <c r="K78" i="8" s="1"/>
  <c r="L78" i="8" s="1"/>
  <c r="H79" i="8"/>
  <c r="H80" i="8"/>
  <c r="I80" i="8" s="1"/>
  <c r="H81" i="8"/>
  <c r="H82" i="8"/>
  <c r="H83" i="8"/>
  <c r="I83" i="8" s="1"/>
  <c r="J82" i="8" s="1"/>
  <c r="H84" i="8"/>
  <c r="H85" i="8"/>
  <c r="I86" i="8" s="1"/>
  <c r="J85" i="8" s="1"/>
  <c r="H86" i="8"/>
  <c r="H87" i="8"/>
  <c r="H88" i="8"/>
  <c r="I89" i="8" s="1"/>
  <c r="J88" i="8" s="1"/>
  <c r="N88" i="8" s="1"/>
  <c r="H89" i="8"/>
  <c r="H90" i="8"/>
  <c r="H91" i="8"/>
  <c r="I92" i="8" s="1"/>
  <c r="J91" i="8" s="1"/>
  <c r="I91" i="8"/>
  <c r="J90" i="8"/>
  <c r="N90" i="8" s="1"/>
  <c r="H92" i="8"/>
  <c r="H93" i="8"/>
  <c r="H94" i="8"/>
  <c r="H95" i="8"/>
  <c r="I95" i="8" s="1"/>
  <c r="J94" i="8" s="1"/>
  <c r="H96" i="8"/>
  <c r="I96" i="8" s="1"/>
  <c r="J95" i="8" s="1"/>
  <c r="H97" i="8"/>
  <c r="H98" i="8"/>
  <c r="H99" i="8"/>
  <c r="I100" i="8" s="1"/>
  <c r="J99" i="8" s="1"/>
  <c r="N99" i="8" s="1"/>
  <c r="H100" i="8"/>
  <c r="H101" i="8"/>
  <c r="I101" i="8" s="1"/>
  <c r="J100" i="8" s="1"/>
  <c r="H102" i="8"/>
  <c r="H103" i="8"/>
  <c r="I103" i="8" s="1"/>
  <c r="J102" i="8" s="1"/>
  <c r="P102" i="8" s="1"/>
  <c r="H104" i="8"/>
  <c r="I104" i="8" s="1"/>
  <c r="J103" i="8" s="1"/>
  <c r="H105" i="8"/>
  <c r="H106" i="8"/>
  <c r="I107" i="8" s="1"/>
  <c r="J106" i="8" s="1"/>
  <c r="H107" i="8"/>
  <c r="H108" i="8"/>
  <c r="H109" i="8"/>
  <c r="I109" i="8" s="1"/>
  <c r="H110" i="8"/>
  <c r="H111" i="8"/>
  <c r="H112" i="8"/>
  <c r="H113" i="8"/>
  <c r="H114" i="8"/>
  <c r="H115" i="8"/>
  <c r="H116" i="8"/>
  <c r="H117" i="8"/>
  <c r="H118" i="8"/>
  <c r="H119" i="8"/>
  <c r="H120" i="8"/>
  <c r="H121" i="8"/>
  <c r="I121" i="8" s="1"/>
  <c r="J120" i="8" s="1"/>
  <c r="H122" i="8"/>
  <c r="H123" i="8"/>
  <c r="H124" i="8"/>
  <c r="I125" i="8" s="1"/>
  <c r="J124" i="8" s="1"/>
  <c r="H125" i="8"/>
  <c r="H126" i="8"/>
  <c r="H127" i="8"/>
  <c r="H128" i="8"/>
  <c r="I128" i="8" s="1"/>
  <c r="J127" i="8" s="1"/>
  <c r="H129" i="8"/>
  <c r="H130" i="8"/>
  <c r="H131" i="8"/>
  <c r="I131" i="8" s="1"/>
  <c r="J130" i="8" s="1"/>
  <c r="H132" i="8"/>
  <c r="H133" i="8"/>
  <c r="I133" i="8" s="1"/>
  <c r="H134" i="8"/>
  <c r="H135" i="8"/>
  <c r="H136" i="8"/>
  <c r="H137" i="8"/>
  <c r="H138" i="8"/>
  <c r="H139" i="8"/>
  <c r="H140" i="8"/>
  <c r="I140" i="8" s="1"/>
  <c r="H141" i="8"/>
  <c r="H142" i="8"/>
  <c r="I142" i="8" s="1"/>
  <c r="H143" i="8"/>
  <c r="I143" i="8" s="1"/>
  <c r="J142" i="8" s="1"/>
  <c r="H144" i="8"/>
  <c r="H145" i="8"/>
  <c r="H146" i="8"/>
  <c r="H147" i="8"/>
  <c r="H148" i="8"/>
  <c r="H149" i="8"/>
  <c r="H150" i="8"/>
  <c r="I150" i="8" s="1"/>
  <c r="J149" i="8" s="1"/>
  <c r="H151" i="8"/>
  <c r="H152" i="8"/>
  <c r="I153" i="8" s="1"/>
  <c r="J152" i="8" s="1"/>
  <c r="N152" i="8" s="1"/>
  <c r="H153" i="8"/>
  <c r="H154" i="8"/>
  <c r="H155" i="8"/>
  <c r="H156" i="8"/>
  <c r="I156" i="8" s="1"/>
  <c r="J155" i="8"/>
  <c r="H157" i="8"/>
  <c r="I158" i="8" s="1"/>
  <c r="J157" i="8" s="1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I170" i="8" s="1"/>
  <c r="J169" i="8" s="1"/>
  <c r="H171" i="8"/>
  <c r="I171" i="8" s="1"/>
  <c r="J170" i="8" s="1"/>
  <c r="I172" i="8"/>
  <c r="J171" i="8" s="1"/>
  <c r="H172" i="8"/>
  <c r="H173" i="8"/>
  <c r="H174" i="8"/>
  <c r="H175" i="8"/>
  <c r="I176" i="8" s="1"/>
  <c r="H176" i="8"/>
  <c r="H177" i="8"/>
  <c r="I177" i="8" s="1"/>
  <c r="J176" i="8" s="1"/>
  <c r="H178" i="8"/>
  <c r="H179" i="8"/>
  <c r="H180" i="8"/>
  <c r="H181" i="8"/>
  <c r="H182" i="8"/>
  <c r="H183" i="8"/>
  <c r="I183" i="8" s="1"/>
  <c r="J182" i="8" s="1"/>
  <c r="H184" i="8"/>
  <c r="H185" i="8"/>
  <c r="H186" i="8"/>
  <c r="H187" i="8"/>
  <c r="I187" i="8" s="1"/>
  <c r="J186" i="8" s="1"/>
  <c r="H188" i="8"/>
  <c r="H189" i="8"/>
  <c r="H190" i="8"/>
  <c r="H191" i="8"/>
  <c r="H192" i="8"/>
  <c r="H193" i="8"/>
  <c r="H194" i="8"/>
  <c r="H195" i="8"/>
  <c r="I195" i="8" s="1"/>
  <c r="J194" i="8" s="1"/>
  <c r="H196" i="8"/>
  <c r="H197" i="8"/>
  <c r="H198" i="8"/>
  <c r="H199" i="8"/>
  <c r="I199" i="8" s="1"/>
  <c r="J198" i="8" s="1"/>
  <c r="H200" i="8"/>
  <c r="I200" i="8" s="1"/>
  <c r="J199" i="8" s="1"/>
  <c r="H201" i="8"/>
  <c r="I202" i="8" s="1"/>
  <c r="J201" i="8" s="1"/>
  <c r="H202" i="8"/>
  <c r="I203" i="8" s="1"/>
  <c r="J202" i="8" s="1"/>
  <c r="K202" i="8" s="1"/>
  <c r="L202" i="8" s="1"/>
  <c r="H203" i="8"/>
  <c r="H204" i="8"/>
  <c r="I204" i="8" s="1"/>
  <c r="J203" i="8" s="1"/>
  <c r="H205" i="8"/>
  <c r="H206" i="8"/>
  <c r="H207" i="8"/>
  <c r="I207" i="8" s="1"/>
  <c r="J206" i="8" s="1"/>
  <c r="H208" i="8"/>
  <c r="I208" i="8" s="1"/>
  <c r="J207" i="8" s="1"/>
  <c r="H209" i="8"/>
  <c r="I209" i="8" s="1"/>
  <c r="J208" i="8" s="1"/>
  <c r="O208" i="8" s="1"/>
  <c r="H210" i="8"/>
  <c r="H211" i="8"/>
  <c r="J211" i="8"/>
  <c r="P211" i="8" s="1"/>
  <c r="H212" i="8"/>
  <c r="I212" i="8" s="1"/>
  <c r="H213" i="8"/>
  <c r="H214" i="8"/>
  <c r="H215" i="8"/>
  <c r="H216" i="8"/>
  <c r="H217" i="8"/>
  <c r="H218" i="8"/>
  <c r="H219" i="8"/>
  <c r="H220" i="8"/>
  <c r="I220" i="8" s="1"/>
  <c r="J219" i="8" s="1"/>
  <c r="P219" i="8" s="1"/>
  <c r="H221" i="8"/>
  <c r="I221" i="8" s="1"/>
  <c r="J220" i="8" s="1"/>
  <c r="H222" i="8"/>
  <c r="I222" i="8"/>
  <c r="J221" i="8" s="1"/>
  <c r="H223" i="8"/>
  <c r="I223" i="8" s="1"/>
  <c r="J222" i="8" s="1"/>
  <c r="M222" i="8" s="1"/>
  <c r="H224" i="8"/>
  <c r="H225" i="8"/>
  <c r="H226" i="8"/>
  <c r="H227" i="8"/>
  <c r="I227" i="8" s="1"/>
  <c r="J226" i="8" s="1"/>
  <c r="H228" i="8"/>
  <c r="I228" i="8" s="1"/>
  <c r="J227" i="8" s="1"/>
  <c r="H229" i="8"/>
  <c r="H230" i="8"/>
  <c r="H231" i="8"/>
  <c r="H232" i="8"/>
  <c r="I232" i="8" s="1"/>
  <c r="H233" i="8"/>
  <c r="I233" i="8" s="1"/>
  <c r="J232" i="8" s="1"/>
  <c r="H234" i="8"/>
  <c r="H235" i="8"/>
  <c r="H236" i="8"/>
  <c r="I236" i="8" s="1"/>
  <c r="J235" i="8" s="1"/>
  <c r="K235" i="8" s="1"/>
  <c r="L235" i="8" s="1"/>
  <c r="H4" i="8"/>
  <c r="I4" i="8" s="1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F51" i="1"/>
  <c r="F36" i="1"/>
  <c r="F14" i="1"/>
  <c r="F23" i="1"/>
  <c r="F12" i="1"/>
  <c r="F44" i="1"/>
  <c r="P64" i="1"/>
  <c r="P66" i="1"/>
  <c r="B65" i="6"/>
  <c r="P67" i="1"/>
  <c r="I115" i="8"/>
  <c r="J114" i="8" s="1"/>
  <c r="J5" i="8"/>
  <c r="I69" i="8"/>
  <c r="J68" i="8" s="1"/>
  <c r="J108" i="8"/>
  <c r="I149" i="8"/>
  <c r="J148" i="8"/>
  <c r="M149" i="8"/>
  <c r="M88" i="8"/>
  <c r="I82" i="8"/>
  <c r="J81" i="8" s="1"/>
  <c r="I75" i="8"/>
  <c r="J74" i="8" s="1"/>
  <c r="I124" i="8"/>
  <c r="J123" i="8" s="1"/>
  <c r="O123" i="8"/>
  <c r="N45" i="1"/>
  <c r="I5" i="2"/>
  <c r="P62" i="1"/>
  <c r="P65" i="1"/>
  <c r="P61" i="1"/>
  <c r="P58" i="1"/>
  <c r="P59" i="1"/>
  <c r="J12" i="2"/>
  <c r="J13" i="2"/>
  <c r="J63" i="2"/>
  <c r="J35" i="2"/>
  <c r="N25" i="1"/>
  <c r="J53" i="2"/>
  <c r="J39" i="2"/>
  <c r="J19" i="2"/>
  <c r="O5" i="1"/>
  <c r="N7" i="1"/>
  <c r="J37" i="2"/>
  <c r="J33" i="2"/>
  <c r="O35" i="1"/>
  <c r="J8" i="2"/>
  <c r="O10" i="1"/>
  <c r="O27" i="1"/>
  <c r="O26" i="1"/>
  <c r="J50" i="2"/>
  <c r="O52" i="1"/>
  <c r="J27" i="2"/>
  <c r="J22" i="2"/>
  <c r="J17" i="2"/>
  <c r="N44" i="1"/>
  <c r="N22" i="1"/>
  <c r="J62" i="2"/>
  <c r="O64" i="1"/>
  <c r="J61" i="2"/>
  <c r="O63" i="1"/>
  <c r="J40" i="2"/>
  <c r="O42" i="1"/>
  <c r="J15" i="2"/>
  <c r="N48" i="1"/>
  <c r="J46" i="2"/>
  <c r="O48" i="1"/>
  <c r="J14" i="2"/>
  <c r="O16" i="1"/>
  <c r="N16" i="1"/>
  <c r="J55" i="2"/>
  <c r="O57" i="1"/>
  <c r="J56" i="2"/>
  <c r="O58" i="1"/>
  <c r="J30" i="2"/>
  <c r="O32" i="1"/>
  <c r="J31" i="2"/>
  <c r="J58" i="2"/>
  <c r="J59" i="2"/>
  <c r="O61" i="1"/>
  <c r="J9" i="2"/>
  <c r="O11" i="1"/>
  <c r="J10" i="2"/>
  <c r="O12" i="1"/>
  <c r="O37" i="1"/>
  <c r="J66" i="2"/>
  <c r="J65" i="2"/>
  <c r="O67" i="1"/>
  <c r="N62" i="1"/>
  <c r="J60" i="2"/>
  <c r="J47" i="2"/>
  <c r="O49" i="1"/>
  <c r="J28" i="2"/>
  <c r="O30" i="1"/>
  <c r="J29" i="2"/>
  <c r="O31" i="1"/>
  <c r="N51" i="1"/>
  <c r="N42" i="1"/>
  <c r="N54" i="1"/>
  <c r="O40" i="1"/>
  <c r="N18" i="1"/>
  <c r="N36" i="1"/>
  <c r="O33" i="1"/>
  <c r="N20" i="1"/>
  <c r="N65" i="1"/>
  <c r="N47" i="1"/>
  <c r="N17" i="1"/>
  <c r="J42" i="2"/>
  <c r="O44" i="1"/>
  <c r="O54" i="1"/>
  <c r="N14" i="1"/>
  <c r="O69" i="1"/>
  <c r="N69" i="1"/>
  <c r="O14" i="1"/>
  <c r="N63" i="1"/>
  <c r="N34" i="1"/>
  <c r="O22" i="1"/>
  <c r="O47" i="1"/>
  <c r="N31" i="1"/>
  <c r="O15" i="1"/>
  <c r="O53" i="1"/>
  <c r="O41" i="1"/>
  <c r="N8" i="1"/>
  <c r="I3" i="2"/>
  <c r="I4" i="2"/>
  <c r="N58" i="1"/>
  <c r="O23" i="1"/>
  <c r="O45" i="1"/>
  <c r="N24" i="1"/>
  <c r="N57" i="1"/>
  <c r="O46" i="1"/>
  <c r="N27" i="1"/>
  <c r="N41" i="1"/>
  <c r="O55" i="1"/>
  <c r="N12" i="1"/>
  <c r="O43" i="1"/>
  <c r="N56" i="1"/>
  <c r="N66" i="1"/>
  <c r="O60" i="1"/>
  <c r="N32" i="1"/>
  <c r="O68" i="1"/>
  <c r="N33" i="1"/>
  <c r="O25" i="1"/>
  <c r="O65" i="1"/>
  <c r="N5" i="1"/>
  <c r="O18" i="1"/>
  <c r="N52" i="1"/>
  <c r="N49" i="1"/>
  <c r="N35" i="1"/>
  <c r="N9" i="1"/>
  <c r="O56" i="1"/>
  <c r="N23" i="1"/>
  <c r="N59" i="1"/>
  <c r="N37" i="1"/>
  <c r="N40" i="1"/>
  <c r="N67" i="1"/>
  <c r="N39" i="1"/>
  <c r="N11" i="1"/>
  <c r="O38" i="1"/>
  <c r="O36" i="1"/>
  <c r="N53" i="1"/>
  <c r="O17" i="1"/>
  <c r="O39" i="1"/>
  <c r="N26" i="1"/>
  <c r="N60" i="1"/>
  <c r="O21" i="1"/>
  <c r="N28" i="1"/>
  <c r="N29" i="1"/>
  <c r="N50" i="1"/>
  <c r="O62" i="1"/>
  <c r="N19" i="1"/>
  <c r="N55" i="1"/>
  <c r="N43" i="1"/>
  <c r="G59" i="4"/>
  <c r="N13" i="1"/>
  <c r="O59" i="1"/>
  <c r="N68" i="1"/>
  <c r="O19" i="1"/>
  <c r="O20" i="1"/>
  <c r="O34" i="1"/>
  <c r="N61" i="1"/>
  <c r="O66" i="1"/>
  <c r="O8" i="1"/>
  <c r="N30" i="1"/>
  <c r="N64" i="1"/>
  <c r="O9" i="1"/>
  <c r="N15" i="1"/>
  <c r="O28" i="1"/>
  <c r="O13" i="1"/>
  <c r="O29" i="1"/>
  <c r="N46" i="1"/>
  <c r="O24" i="1"/>
  <c r="N21" i="1"/>
  <c r="N10" i="1"/>
  <c r="O50" i="1"/>
  <c r="K75" i="8"/>
  <c r="L75" i="8" s="1"/>
  <c r="I39" i="8"/>
  <c r="J38" i="8" s="1"/>
  <c r="P38" i="8" s="1"/>
  <c r="I38" i="8"/>
  <c r="J37" i="8" s="1"/>
  <c r="I230" i="8"/>
  <c r="J229" i="8" s="1"/>
  <c r="N229" i="8" s="1"/>
  <c r="I94" i="8"/>
  <c r="J93" i="8"/>
  <c r="J79" i="8"/>
  <c r="K79" i="8" s="1"/>
  <c r="L79" i="8" s="1"/>
  <c r="I112" i="8"/>
  <c r="J111" i="8" s="1"/>
  <c r="K111" i="8" s="1"/>
  <c r="L111" i="8" s="1"/>
  <c r="I18" i="8"/>
  <c r="J17" i="8"/>
  <c r="O17" i="8" s="1"/>
  <c r="O99" i="8"/>
  <c r="I224" i="8"/>
  <c r="J223" i="8" s="1"/>
  <c r="I119" i="8"/>
  <c r="J118" i="8" s="1"/>
  <c r="I60" i="8"/>
  <c r="J59" i="8" s="1"/>
  <c r="I61" i="8"/>
  <c r="J60" i="8" s="1"/>
  <c r="N60" i="8" s="1"/>
  <c r="K73" i="8"/>
  <c r="L73" i="8"/>
  <c r="N73" i="8"/>
  <c r="I132" i="8"/>
  <c r="J131" i="8"/>
  <c r="N131" i="8" s="1"/>
  <c r="P131" i="8"/>
  <c r="J231" i="8"/>
  <c r="P231" i="8" s="1"/>
  <c r="I90" i="8"/>
  <c r="J89" i="8" s="1"/>
  <c r="M89" i="8" s="1"/>
  <c r="I16" i="8"/>
  <c r="J15" i="8" s="1"/>
  <c r="I161" i="8"/>
  <c r="J160" i="8" s="1"/>
  <c r="I135" i="8"/>
  <c r="J134" i="8" s="1"/>
  <c r="M134" i="8" s="1"/>
  <c r="I81" i="8"/>
  <c r="J80" i="8" s="1"/>
  <c r="I73" i="8"/>
  <c r="J72" i="8" s="1"/>
  <c r="K108" i="8"/>
  <c r="L108" i="8" s="1"/>
  <c r="I179" i="8"/>
  <c r="J178" i="8" s="1"/>
  <c r="P229" i="8"/>
  <c r="I29" i="8"/>
  <c r="J28" i="8" s="1"/>
  <c r="P51" i="8"/>
  <c r="K51" i="8"/>
  <c r="L51" i="8" s="1"/>
  <c r="M51" i="8"/>
  <c r="J139" i="8"/>
  <c r="J132" i="8"/>
  <c r="K132" i="8" s="1"/>
  <c r="L132" i="8" s="1"/>
  <c r="I134" i="8"/>
  <c r="J133" i="8"/>
  <c r="N133" i="8" s="1"/>
  <c r="I127" i="8"/>
  <c r="J126" i="8" s="1"/>
  <c r="I126" i="8"/>
  <c r="J125" i="8" s="1"/>
  <c r="P125" i="8" s="1"/>
  <c r="I120" i="8"/>
  <c r="J119" i="8"/>
  <c r="M119" i="8" s="1"/>
  <c r="I102" i="8"/>
  <c r="J101" i="8" s="1"/>
  <c r="I168" i="8"/>
  <c r="J167" i="8" s="1"/>
  <c r="M167" i="8" s="1"/>
  <c r="I167" i="8"/>
  <c r="J166" i="8" s="1"/>
  <c r="M79" i="8"/>
  <c r="M211" i="8"/>
  <c r="O30" i="8"/>
  <c r="P171" i="8"/>
  <c r="O171" i="8"/>
  <c r="M235" i="8"/>
  <c r="I216" i="8"/>
  <c r="J215" i="8" s="1"/>
  <c r="K21" i="8"/>
  <c r="L21" i="8" s="1"/>
  <c r="P21" i="8"/>
  <c r="M114" i="8"/>
  <c r="I225" i="8"/>
  <c r="J224" i="8"/>
  <c r="I226" i="8"/>
  <c r="J225" i="8" s="1"/>
  <c r="K225" i="8" s="1"/>
  <c r="L225" i="8" s="1"/>
  <c r="K203" i="8"/>
  <c r="L203" i="8"/>
  <c r="M203" i="8"/>
  <c r="O239" i="8"/>
  <c r="M239" i="8"/>
  <c r="N239" i="8"/>
  <c r="P239" i="8"/>
  <c r="K239" i="8"/>
  <c r="L239" i="8" s="1"/>
  <c r="M148" i="8"/>
  <c r="I191" i="8"/>
  <c r="J190" i="8" s="1"/>
  <c r="K124" i="8"/>
  <c r="L124" i="8" s="1"/>
  <c r="I235" i="8"/>
  <c r="J234" i="8"/>
  <c r="J175" i="8"/>
  <c r="I175" i="8"/>
  <c r="J174" i="8" s="1"/>
  <c r="M174" i="8" s="1"/>
  <c r="P73" i="8"/>
  <c r="M73" i="8"/>
  <c r="N198" i="8"/>
  <c r="I154" i="8"/>
  <c r="J153" i="8"/>
  <c r="N153" i="8" s="1"/>
  <c r="I46" i="8"/>
  <c r="J45" i="8"/>
  <c r="I141" i="8"/>
  <c r="J140" i="8" s="1"/>
  <c r="M140" i="8" s="1"/>
  <c r="K99" i="8"/>
  <c r="L99" i="8" s="1"/>
  <c r="I15" i="8"/>
  <c r="J14" i="8" s="1"/>
  <c r="N14" i="8" s="1"/>
  <c r="K15" i="8"/>
  <c r="L15" i="8" s="1"/>
  <c r="I231" i="8"/>
  <c r="J230" i="8" s="1"/>
  <c r="K230" i="8" s="1"/>
  <c r="L230" i="8" s="1"/>
  <c r="I205" i="8"/>
  <c r="J204" i="8" s="1"/>
  <c r="K204" i="8" s="1"/>
  <c r="L204" i="8" s="1"/>
  <c r="J141" i="8"/>
  <c r="I43" i="8"/>
  <c r="J42" i="8" s="1"/>
  <c r="J65" i="1"/>
  <c r="J33" i="1"/>
  <c r="J55" i="1"/>
  <c r="J9" i="1"/>
  <c r="J47" i="1"/>
  <c r="J61" i="1"/>
  <c r="J8" i="1"/>
  <c r="J46" i="1"/>
  <c r="H33" i="4"/>
  <c r="H7" i="4"/>
  <c r="G60" i="4"/>
  <c r="H12" i="4"/>
  <c r="H57" i="4"/>
  <c r="G11" i="4"/>
  <c r="I11" i="4" s="1"/>
  <c r="G30" i="4"/>
  <c r="H30" i="4"/>
  <c r="H46" i="4"/>
  <c r="G46" i="4"/>
  <c r="I46" i="4" s="1"/>
  <c r="H21" i="4"/>
  <c r="J4" i="2"/>
  <c r="O6" i="1"/>
  <c r="J5" i="2"/>
  <c r="O7" i="1"/>
  <c r="N6" i="1"/>
  <c r="O60" i="8"/>
  <c r="O118" i="8"/>
  <c r="M118" i="8"/>
  <c r="M80" i="8"/>
  <c r="K80" i="8"/>
  <c r="L80" i="8" s="1"/>
  <c r="M169" i="8"/>
  <c r="K223" i="8"/>
  <c r="L223" i="8" s="1"/>
  <c r="K60" i="8"/>
  <c r="L60" i="8" s="1"/>
  <c r="P80" i="8"/>
  <c r="K134" i="8"/>
  <c r="L134" i="8"/>
  <c r="M93" i="8"/>
  <c r="M60" i="8"/>
  <c r="O111" i="8"/>
  <c r="M111" i="8"/>
  <c r="P60" i="8"/>
  <c r="K139" i="8"/>
  <c r="L139" i="8" s="1"/>
  <c r="N139" i="8"/>
  <c r="M139" i="8"/>
  <c r="P130" i="8"/>
  <c r="O130" i="8"/>
  <c r="M178" i="8"/>
  <c r="N220" i="8"/>
  <c r="N66" i="8"/>
  <c r="M66" i="8"/>
  <c r="N125" i="8"/>
  <c r="K125" i="8"/>
  <c r="L125" i="8"/>
  <c r="O141" i="8"/>
  <c r="P152" i="8"/>
  <c r="K152" i="8"/>
  <c r="L152" i="8" s="1"/>
  <c r="O152" i="8"/>
  <c r="M152" i="8"/>
  <c r="P186" i="8"/>
  <c r="N186" i="8"/>
  <c r="O45" i="8"/>
  <c r="O230" i="8"/>
  <c r="M215" i="8"/>
  <c r="O225" i="8"/>
  <c r="N225" i="8"/>
  <c r="M103" i="8"/>
  <c r="M175" i="8"/>
  <c r="O132" i="8"/>
  <c r="N234" i="8"/>
  <c r="O100" i="8"/>
  <c r="M101" i="8"/>
  <c r="K140" i="8"/>
  <c r="L140" i="8" s="1"/>
  <c r="M157" i="8"/>
  <c r="N157" i="8"/>
  <c r="M24" i="8"/>
  <c r="N120" i="8"/>
  <c r="O28" i="8"/>
  <c r="N28" i="8"/>
  <c r="M28" i="8"/>
  <c r="K28" i="8"/>
  <c r="L28" i="8" s="1"/>
  <c r="P28" i="8"/>
  <c r="K153" i="8"/>
  <c r="L153" i="8"/>
  <c r="M153" i="8"/>
  <c r="O153" i="8"/>
  <c r="P174" i="8"/>
  <c r="K224" i="8"/>
  <c r="L224" i="8"/>
  <c r="M224" i="8"/>
  <c r="N224" i="8"/>
  <c r="M133" i="8"/>
  <c r="C6" i="3"/>
  <c r="C8" i="3"/>
  <c r="C10" i="3"/>
  <c r="C12" i="3"/>
  <c r="C14" i="3"/>
  <c r="C16" i="3"/>
  <c r="C18" i="3"/>
  <c r="C20" i="3"/>
  <c r="C22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6" i="3"/>
  <c r="C58" i="3"/>
  <c r="C60" i="3"/>
  <c r="C62" i="3"/>
  <c r="C64" i="3"/>
  <c r="C66" i="3"/>
  <c r="C68" i="3"/>
  <c r="D39" i="3"/>
  <c r="E9" i="3"/>
  <c r="E17" i="3"/>
  <c r="E27" i="3"/>
  <c r="E37" i="3"/>
  <c r="E49" i="3"/>
  <c r="E67" i="3"/>
  <c r="F13" i="3"/>
  <c r="F27" i="3"/>
  <c r="F41" i="3"/>
  <c r="F55" i="3"/>
  <c r="F63" i="3"/>
  <c r="D6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46" i="3"/>
  <c r="D48" i="3"/>
  <c r="D50" i="3"/>
  <c r="D52" i="3"/>
  <c r="D54" i="3"/>
  <c r="D56" i="3"/>
  <c r="D58" i="3"/>
  <c r="D60" i="3"/>
  <c r="D62" i="3"/>
  <c r="D64" i="3"/>
  <c r="D66" i="3"/>
  <c r="D68" i="3"/>
  <c r="D59" i="3"/>
  <c r="E7" i="3"/>
  <c r="E21" i="3"/>
  <c r="E31" i="3"/>
  <c r="E43" i="3"/>
  <c r="E53" i="3"/>
  <c r="E61" i="3"/>
  <c r="F5" i="3"/>
  <c r="F19" i="3"/>
  <c r="F31" i="3"/>
  <c r="F39" i="3"/>
  <c r="F49" i="3"/>
  <c r="F59" i="3"/>
  <c r="E6" i="3"/>
  <c r="E8" i="3"/>
  <c r="E10" i="3"/>
  <c r="E12" i="3"/>
  <c r="E14" i="3"/>
  <c r="E16" i="3"/>
  <c r="E18" i="3"/>
  <c r="E20" i="3"/>
  <c r="E22" i="3"/>
  <c r="E24" i="3"/>
  <c r="E26" i="3"/>
  <c r="E28" i="3"/>
  <c r="E30" i="3"/>
  <c r="E32" i="3"/>
  <c r="E34" i="3"/>
  <c r="E36" i="3"/>
  <c r="E38" i="3"/>
  <c r="E40" i="3"/>
  <c r="E42" i="3"/>
  <c r="E44" i="3"/>
  <c r="E46" i="3"/>
  <c r="E48" i="3"/>
  <c r="E50" i="3"/>
  <c r="E52" i="3"/>
  <c r="E54" i="3"/>
  <c r="E56" i="3"/>
  <c r="E58" i="3"/>
  <c r="E60" i="3"/>
  <c r="E62" i="3"/>
  <c r="E64" i="3"/>
  <c r="E66" i="3"/>
  <c r="E68" i="3"/>
  <c r="D41" i="3"/>
  <c r="E5" i="3"/>
  <c r="E19" i="3"/>
  <c r="E33" i="3"/>
  <c r="E45" i="3"/>
  <c r="E55" i="3"/>
  <c r="E63" i="3"/>
  <c r="F11" i="3"/>
  <c r="F29" i="3"/>
  <c r="F43" i="3"/>
  <c r="F53" i="3"/>
  <c r="F65" i="3"/>
  <c r="F6" i="3"/>
  <c r="F8" i="3"/>
  <c r="F10" i="3"/>
  <c r="F12" i="3"/>
  <c r="F14" i="3"/>
  <c r="F16" i="3"/>
  <c r="F18" i="3"/>
  <c r="F20" i="3"/>
  <c r="F22" i="3"/>
  <c r="F24" i="3"/>
  <c r="F26" i="3"/>
  <c r="F28" i="3"/>
  <c r="F30" i="3"/>
  <c r="F32" i="3"/>
  <c r="F34" i="3"/>
  <c r="F36" i="3"/>
  <c r="F38" i="3"/>
  <c r="F40" i="3"/>
  <c r="F42" i="3"/>
  <c r="F44" i="3"/>
  <c r="F46" i="3"/>
  <c r="F48" i="3"/>
  <c r="F50" i="3"/>
  <c r="F52" i="3"/>
  <c r="F54" i="3"/>
  <c r="F56" i="3"/>
  <c r="F58" i="3"/>
  <c r="F60" i="3"/>
  <c r="F62" i="3"/>
  <c r="F64" i="3"/>
  <c r="F66" i="3"/>
  <c r="F68" i="3"/>
  <c r="D61" i="3"/>
  <c r="E13" i="3"/>
  <c r="E23" i="3"/>
  <c r="E29" i="3"/>
  <c r="E39" i="3"/>
  <c r="E51" i="3"/>
  <c r="E65" i="3"/>
  <c r="F9" i="3"/>
  <c r="F17" i="3"/>
  <c r="F25" i="3"/>
  <c r="F35" i="3"/>
  <c r="F47" i="3"/>
  <c r="F61" i="3"/>
  <c r="F69" i="3"/>
  <c r="C5" i="3"/>
  <c r="C7" i="3"/>
  <c r="C9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C47" i="3"/>
  <c r="C49" i="3"/>
  <c r="C51" i="3"/>
  <c r="C53" i="3"/>
  <c r="C55" i="3"/>
  <c r="C57" i="3"/>
  <c r="C59" i="3"/>
  <c r="C61" i="3"/>
  <c r="C63" i="3"/>
  <c r="C65" i="3"/>
  <c r="C67" i="3"/>
  <c r="C69" i="3"/>
  <c r="D5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3" i="3"/>
  <c r="D35" i="3"/>
  <c r="D37" i="3"/>
  <c r="D43" i="3"/>
  <c r="D45" i="3"/>
  <c r="D47" i="3"/>
  <c r="D49" i="3"/>
  <c r="D51" i="3"/>
  <c r="D53" i="3"/>
  <c r="D55" i="3"/>
  <c r="D57" i="3"/>
  <c r="D63" i="3"/>
  <c r="D65" i="3"/>
  <c r="D67" i="3"/>
  <c r="D69" i="3"/>
  <c r="W4" i="8"/>
  <c r="E11" i="3"/>
  <c r="E15" i="3"/>
  <c r="E25" i="3"/>
  <c r="E35" i="3"/>
  <c r="E41" i="3"/>
  <c r="E47" i="3"/>
  <c r="E57" i="3"/>
  <c r="E59" i="3"/>
  <c r="E69" i="3"/>
  <c r="F7" i="3"/>
  <c r="F15" i="3"/>
  <c r="F21" i="3"/>
  <c r="F23" i="3"/>
  <c r="F33" i="3"/>
  <c r="F37" i="3"/>
  <c r="F45" i="3"/>
  <c r="F51" i="3"/>
  <c r="F57" i="3"/>
  <c r="F67" i="3"/>
  <c r="G69" i="3" l="1"/>
  <c r="G69" i="1" s="1"/>
  <c r="G59" i="3"/>
  <c r="G59" i="1" s="1"/>
  <c r="G57" i="3"/>
  <c r="G57" i="1" s="1"/>
  <c r="G47" i="3"/>
  <c r="G47" i="1" s="1"/>
  <c r="G41" i="3"/>
  <c r="G41" i="1" s="1"/>
  <c r="G35" i="3"/>
  <c r="G35" i="1" s="1"/>
  <c r="G25" i="3"/>
  <c r="G25" i="1" s="1"/>
  <c r="G15" i="3"/>
  <c r="G15" i="1" s="1"/>
  <c r="G11" i="3"/>
  <c r="G11" i="1" s="1"/>
  <c r="G65" i="3"/>
  <c r="G65" i="1" s="1"/>
  <c r="G51" i="3"/>
  <c r="G51" i="1" s="1"/>
  <c r="G39" i="3"/>
  <c r="G39" i="1" s="1"/>
  <c r="G29" i="3"/>
  <c r="G29" i="1" s="1"/>
  <c r="G23" i="3"/>
  <c r="G23" i="1" s="1"/>
  <c r="G13" i="3"/>
  <c r="G13" i="1" s="1"/>
  <c r="G63" i="3"/>
  <c r="G63" i="1" s="1"/>
  <c r="G55" i="3"/>
  <c r="G55" i="1" s="1"/>
  <c r="G45" i="3"/>
  <c r="G45" i="1" s="1"/>
  <c r="G33" i="3"/>
  <c r="G33" i="1" s="1"/>
  <c r="G19" i="3"/>
  <c r="G19" i="1" s="1"/>
  <c r="G5" i="3"/>
  <c r="G5" i="1" s="1"/>
  <c r="G68" i="3"/>
  <c r="G68" i="1" s="1"/>
  <c r="G66" i="3"/>
  <c r="G66" i="1" s="1"/>
  <c r="G64" i="3"/>
  <c r="G64" i="1" s="1"/>
  <c r="G62" i="3"/>
  <c r="G62" i="1" s="1"/>
  <c r="G60" i="3"/>
  <c r="G60" i="1" s="1"/>
  <c r="G58" i="3"/>
  <c r="G58" i="1" s="1"/>
  <c r="G56" i="3"/>
  <c r="G56" i="1" s="1"/>
  <c r="G54" i="3"/>
  <c r="G54" i="1" s="1"/>
  <c r="G52" i="3"/>
  <c r="G52" i="1" s="1"/>
  <c r="G50" i="3"/>
  <c r="G50" i="1" s="1"/>
  <c r="G48" i="3"/>
  <c r="G48" i="1" s="1"/>
  <c r="G46" i="3"/>
  <c r="G46" i="1" s="1"/>
  <c r="G44" i="3"/>
  <c r="G44" i="1" s="1"/>
  <c r="G42" i="3"/>
  <c r="G42" i="1" s="1"/>
  <c r="G40" i="3"/>
  <c r="G40" i="1" s="1"/>
  <c r="G38" i="3"/>
  <c r="G38" i="1" s="1"/>
  <c r="G36" i="3"/>
  <c r="G36" i="1" s="1"/>
  <c r="G34" i="3"/>
  <c r="G34" i="1" s="1"/>
  <c r="G32" i="3"/>
  <c r="G32" i="1" s="1"/>
  <c r="G30" i="3"/>
  <c r="G30" i="1" s="1"/>
  <c r="G28" i="3"/>
  <c r="G28" i="1" s="1"/>
  <c r="G26" i="3"/>
  <c r="G26" i="1" s="1"/>
  <c r="G24" i="3"/>
  <c r="G24" i="1" s="1"/>
  <c r="G22" i="3"/>
  <c r="G22" i="1" s="1"/>
  <c r="G20" i="3"/>
  <c r="G20" i="1" s="1"/>
  <c r="G18" i="3"/>
  <c r="G18" i="1" s="1"/>
  <c r="G16" i="3"/>
  <c r="G16" i="1" s="1"/>
  <c r="G14" i="3"/>
  <c r="G14" i="1" s="1"/>
  <c r="G12" i="3"/>
  <c r="G12" i="1" s="1"/>
  <c r="G10" i="3"/>
  <c r="G10" i="1" s="1"/>
  <c r="G8" i="3"/>
  <c r="G8" i="1" s="1"/>
  <c r="G6" i="3"/>
  <c r="G6" i="1" s="1"/>
  <c r="G61" i="3"/>
  <c r="G61" i="1" s="1"/>
  <c r="G53" i="3"/>
  <c r="G53" i="1" s="1"/>
  <c r="G43" i="3"/>
  <c r="G43" i="1" s="1"/>
  <c r="G31" i="3"/>
  <c r="G31" i="1" s="1"/>
  <c r="G21" i="3"/>
  <c r="G21" i="1" s="1"/>
  <c r="G7" i="3"/>
  <c r="G7" i="1" s="1"/>
  <c r="G67" i="3"/>
  <c r="G67" i="1" s="1"/>
  <c r="G49" i="3"/>
  <c r="G49" i="1" s="1"/>
  <c r="G37" i="3"/>
  <c r="G37" i="1" s="1"/>
  <c r="G27" i="3"/>
  <c r="G27" i="1" s="1"/>
  <c r="G17" i="3"/>
  <c r="G17" i="1" s="1"/>
  <c r="G9" i="3"/>
  <c r="G9" i="1" s="1"/>
  <c r="O170" i="8"/>
  <c r="P170" i="8"/>
  <c r="M170" i="8"/>
  <c r="O70" i="8"/>
  <c r="P70" i="8"/>
  <c r="K70" i="8"/>
  <c r="L70" i="8" s="1"/>
  <c r="N70" i="8"/>
  <c r="M70" i="8"/>
  <c r="N201" i="8"/>
  <c r="P201" i="8"/>
  <c r="O201" i="8"/>
  <c r="K85" i="8"/>
  <c r="L85" i="8" s="1"/>
  <c r="P85" i="8"/>
  <c r="M85" i="8"/>
  <c r="N85" i="8"/>
  <c r="M95" i="8"/>
  <c r="P95" i="8"/>
  <c r="N95" i="8"/>
  <c r="O95" i="8"/>
  <c r="K95" i="8"/>
  <c r="L95" i="8" s="1"/>
  <c r="N215" i="8"/>
  <c r="O215" i="8"/>
  <c r="K215" i="8"/>
  <c r="L215" i="8" s="1"/>
  <c r="M62" i="8"/>
  <c r="O62" i="8"/>
  <c r="K62" i="8"/>
  <c r="L62" i="8" s="1"/>
  <c r="P62" i="8"/>
  <c r="N62" i="8"/>
  <c r="I85" i="8"/>
  <c r="J84" i="8" s="1"/>
  <c r="N69" i="8"/>
  <c r="P69" i="8"/>
  <c r="M69" i="8"/>
  <c r="K7" i="8"/>
  <c r="L7" i="8" s="1"/>
  <c r="P7" i="8"/>
  <c r="K208" i="8"/>
  <c r="L208" i="8" s="1"/>
  <c r="M206" i="8"/>
  <c r="K206" i="8"/>
  <c r="L206" i="8" s="1"/>
  <c r="O206" i="8"/>
  <c r="I114" i="8"/>
  <c r="J113" i="8" s="1"/>
  <c r="I113" i="8"/>
  <c r="J112" i="8" s="1"/>
  <c r="P112" i="8" s="1"/>
  <c r="I98" i="8"/>
  <c r="J97" i="8" s="1"/>
  <c r="I97" i="8"/>
  <c r="J96" i="8" s="1"/>
  <c r="N75" i="8"/>
  <c r="P75" i="8"/>
  <c r="N166" i="8"/>
  <c r="K166" i="8"/>
  <c r="L166" i="8" s="1"/>
  <c r="O166" i="8"/>
  <c r="M166" i="8"/>
  <c r="P166" i="8"/>
  <c r="K178" i="8"/>
  <c r="L178" i="8" s="1"/>
  <c r="P178" i="8"/>
  <c r="N178" i="8"/>
  <c r="P148" i="8"/>
  <c r="O148" i="8"/>
  <c r="N24" i="8"/>
  <c r="P139" i="8"/>
  <c r="O139" i="8"/>
  <c r="K61" i="8"/>
  <c r="L61" i="8" s="1"/>
  <c r="O157" i="8"/>
  <c r="P157" i="8"/>
  <c r="K157" i="8"/>
  <c r="L157" i="8" s="1"/>
  <c r="O149" i="8"/>
  <c r="K149" i="8"/>
  <c r="L149" i="8" s="1"/>
  <c r="N9" i="8"/>
  <c r="K9" i="8"/>
  <c r="L9" i="8" s="1"/>
  <c r="M9" i="8"/>
  <c r="P9" i="8"/>
  <c r="O9" i="8"/>
  <c r="P93" i="8"/>
  <c r="N93" i="8"/>
  <c r="O93" i="8"/>
  <c r="K93" i="8"/>
  <c r="L93" i="8" s="1"/>
  <c r="I129" i="8"/>
  <c r="J128" i="8" s="1"/>
  <c r="I130" i="8"/>
  <c r="J129" i="8" s="1"/>
  <c r="K129" i="8" s="1"/>
  <c r="L129" i="8" s="1"/>
  <c r="K91" i="8"/>
  <c r="L91" i="8" s="1"/>
  <c r="P91" i="8"/>
  <c r="N206" i="8"/>
  <c r="P234" i="8"/>
  <c r="K234" i="8"/>
  <c r="L234" i="8" s="1"/>
  <c r="M234" i="8"/>
  <c r="O234" i="8"/>
  <c r="I137" i="8"/>
  <c r="J136" i="8" s="1"/>
  <c r="I136" i="8"/>
  <c r="J135" i="8" s="1"/>
  <c r="K222" i="8"/>
  <c r="L222" i="8" s="1"/>
  <c r="I48" i="8"/>
  <c r="J47" i="8" s="1"/>
  <c r="M47" i="8" s="1"/>
  <c r="K119" i="8"/>
  <c r="L119" i="8" s="1"/>
  <c r="P119" i="8"/>
  <c r="O119" i="8"/>
  <c r="N119" i="8"/>
  <c r="M61" i="8"/>
  <c r="O186" i="8"/>
  <c r="K186" i="8"/>
  <c r="L186" i="8" s="1"/>
  <c r="M186" i="8"/>
  <c r="N208" i="8"/>
  <c r="P208" i="8"/>
  <c r="M208" i="8"/>
  <c r="N169" i="8"/>
  <c r="P169" i="8"/>
  <c r="M90" i="8"/>
  <c r="K90" i="8"/>
  <c r="L90" i="8" s="1"/>
  <c r="P90" i="8"/>
  <c r="O54" i="8"/>
  <c r="K54" i="8"/>
  <c r="L54" i="8" s="1"/>
  <c r="P54" i="8"/>
  <c r="P215" i="8"/>
  <c r="N54" i="8"/>
  <c r="M120" i="8"/>
  <c r="P120" i="8"/>
  <c r="K120" i="8"/>
  <c r="L120" i="8" s="1"/>
  <c r="N17" i="8"/>
  <c r="P17" i="8"/>
  <c r="K220" i="8"/>
  <c r="L220" i="8" s="1"/>
  <c r="M220" i="8"/>
  <c r="P220" i="8"/>
  <c r="P103" i="8"/>
  <c r="K103" i="8"/>
  <c r="L103" i="8" s="1"/>
  <c r="N103" i="8"/>
  <c r="P206" i="8"/>
  <c r="O178" i="8"/>
  <c r="M132" i="8"/>
  <c r="P132" i="8"/>
  <c r="N132" i="8"/>
  <c r="P141" i="8"/>
  <c r="K141" i="8"/>
  <c r="L141" i="8" s="1"/>
  <c r="N141" i="8"/>
  <c r="M141" i="8"/>
  <c r="K45" i="8"/>
  <c r="L45" i="8" s="1"/>
  <c r="M45" i="8"/>
  <c r="P45" i="8"/>
  <c r="N45" i="8"/>
  <c r="O75" i="8"/>
  <c r="M17" i="8"/>
  <c r="M75" i="8"/>
  <c r="I217" i="8"/>
  <c r="J216" i="8" s="1"/>
  <c r="I218" i="8"/>
  <c r="J217" i="8" s="1"/>
  <c r="N217" i="8" s="1"/>
  <c r="I210" i="8"/>
  <c r="J209" i="8" s="1"/>
  <c r="I194" i="8"/>
  <c r="J193" i="8" s="1"/>
  <c r="I186" i="8"/>
  <c r="J185" i="8" s="1"/>
  <c r="I65" i="8"/>
  <c r="J64" i="8" s="1"/>
  <c r="I64" i="8"/>
  <c r="J63" i="8" s="1"/>
  <c r="I56" i="8"/>
  <c r="J55" i="8" s="1"/>
  <c r="I32" i="8"/>
  <c r="J31" i="8" s="1"/>
  <c r="I33" i="8"/>
  <c r="J32" i="8" s="1"/>
  <c r="I110" i="8"/>
  <c r="J109" i="8" s="1"/>
  <c r="I111" i="8"/>
  <c r="J110" i="8" s="1"/>
  <c r="N110" i="8" s="1"/>
  <c r="N51" i="8"/>
  <c r="O51" i="8"/>
  <c r="P153" i="8"/>
  <c r="O140" i="8"/>
  <c r="N235" i="8"/>
  <c r="M74" i="8"/>
  <c r="N74" i="8"/>
  <c r="I159" i="8"/>
  <c r="J158" i="8" s="1"/>
  <c r="I160" i="8"/>
  <c r="J159" i="8" s="1"/>
  <c r="I145" i="8"/>
  <c r="J144" i="8" s="1"/>
  <c r="I146" i="8"/>
  <c r="J145" i="8" s="1"/>
  <c r="K145" i="8" s="1"/>
  <c r="L145" i="8" s="1"/>
  <c r="N124" i="8"/>
  <c r="P124" i="8"/>
  <c r="M124" i="8"/>
  <c r="I116" i="8"/>
  <c r="J115" i="8" s="1"/>
  <c r="I117" i="8"/>
  <c r="J116" i="8" s="1"/>
  <c r="I35" i="8"/>
  <c r="J34" i="8" s="1"/>
  <c r="I36" i="8"/>
  <c r="J35" i="8" s="1"/>
  <c r="N140" i="8"/>
  <c r="P167" i="8"/>
  <c r="M225" i="8"/>
  <c r="O125" i="8"/>
  <c r="P235" i="8"/>
  <c r="P111" i="8"/>
  <c r="O80" i="8"/>
  <c r="N80" i="8"/>
  <c r="K74" i="8"/>
  <c r="L74" i="8" s="1"/>
  <c r="I166" i="8"/>
  <c r="J165" i="8" s="1"/>
  <c r="I144" i="8"/>
  <c r="J143" i="8" s="1"/>
  <c r="I138" i="8"/>
  <c r="J137" i="8" s="1"/>
  <c r="P137" i="8" s="1"/>
  <c r="I139" i="8"/>
  <c r="J138" i="8" s="1"/>
  <c r="I50" i="8"/>
  <c r="J49" i="8" s="1"/>
  <c r="P49" i="8" s="1"/>
  <c r="I42" i="8"/>
  <c r="J41" i="8" s="1"/>
  <c r="I34" i="8"/>
  <c r="J33" i="8" s="1"/>
  <c r="O235" i="8"/>
  <c r="K131" i="8"/>
  <c r="L131" i="8" s="1"/>
  <c r="P225" i="8"/>
  <c r="M125" i="8"/>
  <c r="K229" i="8"/>
  <c r="L229" i="8" s="1"/>
  <c r="M229" i="8"/>
  <c r="N111" i="8"/>
  <c r="I188" i="8"/>
  <c r="J187" i="8" s="1"/>
  <c r="I180" i="8"/>
  <c r="J179" i="8" s="1"/>
  <c r="I151" i="8"/>
  <c r="J150" i="8" s="1"/>
  <c r="M150" i="8" s="1"/>
  <c r="I20" i="8"/>
  <c r="J19" i="8" s="1"/>
  <c r="K19" i="8" s="1"/>
  <c r="L19" i="8" s="1"/>
  <c r="I54" i="8"/>
  <c r="J53" i="8" s="1"/>
  <c r="M53" i="8" s="1"/>
  <c r="I23" i="8"/>
  <c r="J22" i="8" s="1"/>
  <c r="P133" i="8"/>
  <c r="I206" i="8"/>
  <c r="J205" i="8" s="1"/>
  <c r="P205" i="8" s="1"/>
  <c r="I198" i="8"/>
  <c r="J197" i="8" s="1"/>
  <c r="I169" i="8"/>
  <c r="J168" i="8" s="1"/>
  <c r="I155" i="8"/>
  <c r="J154" i="8" s="1"/>
  <c r="M154" i="8" s="1"/>
  <c r="I108" i="8"/>
  <c r="J107" i="8" s="1"/>
  <c r="K107" i="8" s="1"/>
  <c r="L107" i="8" s="1"/>
  <c r="I93" i="8"/>
  <c r="J92" i="8" s="1"/>
  <c r="I45" i="8"/>
  <c r="J44" i="8" s="1"/>
  <c r="P44" i="8" s="1"/>
  <c r="I17" i="8"/>
  <c r="J16" i="8" s="1"/>
  <c r="I211" i="8"/>
  <c r="J210" i="8" s="1"/>
  <c r="P210" i="8" s="1"/>
  <c r="I189" i="8"/>
  <c r="J188" i="8" s="1"/>
  <c r="O188" i="8" s="1"/>
  <c r="I118" i="8"/>
  <c r="J117" i="8" s="1"/>
  <c r="I105" i="8"/>
  <c r="J104" i="8" s="1"/>
  <c r="I99" i="8"/>
  <c r="J98" i="8" s="1"/>
  <c r="N98" i="8" s="1"/>
  <c r="I87" i="8"/>
  <c r="J86" i="8" s="1"/>
  <c r="I72" i="8"/>
  <c r="J71" i="8" s="1"/>
  <c r="I66" i="8"/>
  <c r="J65" i="8" s="1"/>
  <c r="N65" i="8" s="1"/>
  <c r="I58" i="8"/>
  <c r="J57" i="8" s="1"/>
  <c r="I44" i="8"/>
  <c r="J43" i="8" s="1"/>
  <c r="I37" i="8"/>
  <c r="J36" i="8" s="1"/>
  <c r="I28" i="8"/>
  <c r="J27" i="8" s="1"/>
  <c r="M135" i="8"/>
  <c r="N135" i="8"/>
  <c r="O135" i="8"/>
  <c r="K135" i="8"/>
  <c r="L135" i="8" s="1"/>
  <c r="P76" i="8"/>
  <c r="O76" i="8"/>
  <c r="N76" i="8"/>
  <c r="M76" i="8"/>
  <c r="I237" i="8"/>
  <c r="J236" i="8" s="1"/>
  <c r="I239" i="8"/>
  <c r="J237" i="8" s="1"/>
  <c r="M179" i="8"/>
  <c r="O179" i="8"/>
  <c r="K179" i="8"/>
  <c r="L179" i="8" s="1"/>
  <c r="P59" i="8"/>
  <c r="K59" i="8"/>
  <c r="L59" i="8" s="1"/>
  <c r="N59" i="8"/>
  <c r="M59" i="8"/>
  <c r="K48" i="8"/>
  <c r="L48" i="8" s="1"/>
  <c r="N48" i="8"/>
  <c r="O48" i="8"/>
  <c r="M48" i="8"/>
  <c r="P48" i="8"/>
  <c r="P56" i="8"/>
  <c r="O56" i="8"/>
  <c r="M56" i="8"/>
  <c r="K56" i="8"/>
  <c r="L56" i="8" s="1"/>
  <c r="O175" i="8"/>
  <c r="N175" i="8"/>
  <c r="P175" i="8"/>
  <c r="K190" i="8"/>
  <c r="L190" i="8" s="1"/>
  <c r="M190" i="8"/>
  <c r="P190" i="8"/>
  <c r="P82" i="8"/>
  <c r="K82" i="8"/>
  <c r="L82" i="8" s="1"/>
  <c r="N82" i="8"/>
  <c r="O82" i="8"/>
  <c r="M82" i="8"/>
  <c r="N176" i="8"/>
  <c r="K176" i="8"/>
  <c r="L176" i="8" s="1"/>
  <c r="M176" i="8"/>
  <c r="P176" i="8"/>
  <c r="P106" i="8"/>
  <c r="N106" i="8"/>
  <c r="O106" i="8"/>
  <c r="K106" i="8"/>
  <c r="L106" i="8" s="1"/>
  <c r="M106" i="8"/>
  <c r="K175" i="8"/>
  <c r="L175" i="8" s="1"/>
  <c r="N42" i="8"/>
  <c r="P42" i="8"/>
  <c r="M42" i="8"/>
  <c r="K20" i="8"/>
  <c r="L20" i="8" s="1"/>
  <c r="M20" i="8"/>
  <c r="P20" i="8"/>
  <c r="P187" i="8"/>
  <c r="K187" i="8"/>
  <c r="L187" i="8" s="1"/>
  <c r="O187" i="8"/>
  <c r="O160" i="8"/>
  <c r="N160" i="8"/>
  <c r="K160" i="8"/>
  <c r="L160" i="8" s="1"/>
  <c r="M160" i="8"/>
  <c r="P160" i="8"/>
  <c r="K76" i="8"/>
  <c r="L76" i="8" s="1"/>
  <c r="K198" i="8"/>
  <c r="L198" i="8" s="1"/>
  <c r="M198" i="8"/>
  <c r="P198" i="8"/>
  <c r="N127" i="8"/>
  <c r="P127" i="8"/>
  <c r="K127" i="8"/>
  <c r="L127" i="8" s="1"/>
  <c r="O127" i="8"/>
  <c r="N226" i="8"/>
  <c r="M226" i="8"/>
  <c r="K226" i="8"/>
  <c r="L226" i="8" s="1"/>
  <c r="P226" i="8"/>
  <c r="O226" i="8"/>
  <c r="K207" i="8"/>
  <c r="L207" i="8" s="1"/>
  <c r="N207" i="8"/>
  <c r="M207" i="8"/>
  <c r="K33" i="8"/>
  <c r="L33" i="8" s="1"/>
  <c r="N33" i="8"/>
  <c r="P33" i="8"/>
  <c r="M33" i="8"/>
  <c r="K232" i="8"/>
  <c r="L232" i="8" s="1"/>
  <c r="O232" i="8"/>
  <c r="N232" i="8"/>
  <c r="P232" i="8"/>
  <c r="M232" i="8"/>
  <c r="P150" i="8"/>
  <c r="K150" i="8"/>
  <c r="L150" i="8" s="1"/>
  <c r="N150" i="8"/>
  <c r="I27" i="8"/>
  <c r="J26" i="8" s="1"/>
  <c r="I26" i="8"/>
  <c r="J25" i="8" s="1"/>
  <c r="P18" i="8"/>
  <c r="K18" i="8"/>
  <c r="L18" i="8" s="1"/>
  <c r="O18" i="8"/>
  <c r="M18" i="8"/>
  <c r="O47" i="8"/>
  <c r="O126" i="8"/>
  <c r="K126" i="8"/>
  <c r="L126" i="8" s="1"/>
  <c r="N126" i="8"/>
  <c r="M126" i="8"/>
  <c r="M204" i="8"/>
  <c r="N204" i="8"/>
  <c r="O204" i="8"/>
  <c r="P204" i="8"/>
  <c r="O182" i="8"/>
  <c r="P182" i="8"/>
  <c r="K182" i="8"/>
  <c r="L182" i="8" s="1"/>
  <c r="M182" i="8"/>
  <c r="I163" i="8"/>
  <c r="J162" i="8" s="1"/>
  <c r="I162" i="8"/>
  <c r="J161" i="8" s="1"/>
  <c r="P135" i="8"/>
  <c r="N190" i="8"/>
  <c r="M230" i="8"/>
  <c r="N230" i="8"/>
  <c r="P230" i="8"/>
  <c r="K14" i="8"/>
  <c r="L14" i="8" s="1"/>
  <c r="M14" i="8"/>
  <c r="O14" i="8"/>
  <c r="P14" i="8"/>
  <c r="N182" i="8"/>
  <c r="I5" i="8"/>
  <c r="J4" i="8" s="1"/>
  <c r="N100" i="8"/>
  <c r="M100" i="8"/>
  <c r="P100" i="8"/>
  <c r="K100" i="8"/>
  <c r="L100" i="8" s="1"/>
  <c r="P123" i="8"/>
  <c r="K123" i="8"/>
  <c r="L123" i="8" s="1"/>
  <c r="M123" i="8"/>
  <c r="N123" i="8"/>
  <c r="P114" i="8"/>
  <c r="O114" i="8"/>
  <c r="K114" i="8"/>
  <c r="L114" i="8" s="1"/>
  <c r="N114" i="8"/>
  <c r="O221" i="8"/>
  <c r="K221" i="8"/>
  <c r="L221" i="8" s="1"/>
  <c r="M221" i="8"/>
  <c r="N221" i="8"/>
  <c r="P221" i="8"/>
  <c r="I196" i="8"/>
  <c r="J195" i="8" s="1"/>
  <c r="I197" i="8"/>
  <c r="J196" i="8" s="1"/>
  <c r="N174" i="8"/>
  <c r="O174" i="8"/>
  <c r="K174" i="8"/>
  <c r="L174" i="8" s="1"/>
  <c r="K68" i="8"/>
  <c r="L68" i="8" s="1"/>
  <c r="P68" i="8"/>
  <c r="N68" i="8"/>
  <c r="M68" i="8"/>
  <c r="M155" i="8"/>
  <c r="P155" i="8"/>
  <c r="N155" i="8"/>
  <c r="K155" i="8"/>
  <c r="L155" i="8" s="1"/>
  <c r="P179" i="8"/>
  <c r="P126" i="8"/>
  <c r="M145" i="8"/>
  <c r="P145" i="8"/>
  <c r="O145" i="8"/>
  <c r="N145" i="8"/>
  <c r="K130" i="8"/>
  <c r="L130" i="8" s="1"/>
  <c r="N130" i="8"/>
  <c r="M130" i="8"/>
  <c r="N23" i="8"/>
  <c r="K23" i="8"/>
  <c r="L23" i="8" s="1"/>
  <c r="O23" i="8"/>
  <c r="M23" i="8"/>
  <c r="P23" i="8"/>
  <c r="K101" i="8"/>
  <c r="L101" i="8" s="1"/>
  <c r="P101" i="8"/>
  <c r="N101" i="8"/>
  <c r="O101" i="8"/>
  <c r="M227" i="8"/>
  <c r="N227" i="8"/>
  <c r="P227" i="8"/>
  <c r="O227" i="8"/>
  <c r="K227" i="8"/>
  <c r="L227" i="8" s="1"/>
  <c r="P194" i="8"/>
  <c r="K194" i="8"/>
  <c r="L194" i="8" s="1"/>
  <c r="N194" i="8"/>
  <c r="M194" i="8"/>
  <c r="N188" i="8"/>
  <c r="P188" i="8"/>
  <c r="M188" i="8"/>
  <c r="K188" i="8"/>
  <c r="L188" i="8" s="1"/>
  <c r="K58" i="8"/>
  <c r="L58" i="8" s="1"/>
  <c r="P58" i="8"/>
  <c r="N58" i="8"/>
  <c r="O58" i="8"/>
  <c r="M58" i="8"/>
  <c r="P46" i="8"/>
  <c r="M46" i="8"/>
  <c r="K46" i="8"/>
  <c r="L46" i="8" s="1"/>
  <c r="M231" i="8"/>
  <c r="N231" i="8"/>
  <c r="K231" i="8"/>
  <c r="L231" i="8" s="1"/>
  <c r="O231" i="8"/>
  <c r="P12" i="8"/>
  <c r="K12" i="8"/>
  <c r="L12" i="8" s="1"/>
  <c r="N12" i="8"/>
  <c r="M12" i="8"/>
  <c r="O12" i="8"/>
  <c r="P15" i="8"/>
  <c r="O15" i="8"/>
  <c r="M15" i="8"/>
  <c r="N15" i="8"/>
  <c r="P39" i="8"/>
  <c r="O39" i="8"/>
  <c r="N39" i="8"/>
  <c r="M39" i="8"/>
  <c r="K39" i="8"/>
  <c r="L39" i="8" s="1"/>
  <c r="N179" i="8"/>
  <c r="K42" i="8"/>
  <c r="L42" i="8" s="1"/>
  <c r="N56" i="8"/>
  <c r="P207" i="8"/>
  <c r="N18" i="8"/>
  <c r="N102" i="8"/>
  <c r="O102" i="8"/>
  <c r="M102" i="8"/>
  <c r="K102" i="8"/>
  <c r="L102" i="8" s="1"/>
  <c r="O167" i="8"/>
  <c r="N167" i="8"/>
  <c r="K167" i="8"/>
  <c r="L167" i="8" s="1"/>
  <c r="O115" i="8"/>
  <c r="P115" i="8"/>
  <c r="N115" i="8"/>
  <c r="K115" i="8"/>
  <c r="L115" i="8" s="1"/>
  <c r="M115" i="8"/>
  <c r="M127" i="8"/>
  <c r="P37" i="8"/>
  <c r="N37" i="8"/>
  <c r="M37" i="8"/>
  <c r="K37" i="8"/>
  <c r="L37" i="8" s="1"/>
  <c r="P65" i="8"/>
  <c r="O65" i="8"/>
  <c r="K65" i="8"/>
  <c r="L65" i="8" s="1"/>
  <c r="M65" i="8"/>
  <c r="K133" i="8"/>
  <c r="L133" i="8" s="1"/>
  <c r="M57" i="8"/>
  <c r="P117" i="8"/>
  <c r="K66" i="8"/>
  <c r="L66" i="8" s="1"/>
  <c r="N7" i="8"/>
  <c r="K17" i="8"/>
  <c r="L17" i="8" s="1"/>
  <c r="I234" i="8"/>
  <c r="J233" i="8" s="1"/>
  <c r="N211" i="8"/>
  <c r="K211" i="8"/>
  <c r="L211" i="8" s="1"/>
  <c r="O211" i="8"/>
  <c r="I185" i="8"/>
  <c r="J184" i="8" s="1"/>
  <c r="I184" i="8"/>
  <c r="J183" i="8" s="1"/>
  <c r="I178" i="8"/>
  <c r="J177" i="8" s="1"/>
  <c r="K144" i="8"/>
  <c r="L144" i="8" s="1"/>
  <c r="P144" i="8"/>
  <c r="P116" i="8"/>
  <c r="N222" i="8"/>
  <c r="P222" i="8"/>
  <c r="O222" i="8"/>
  <c r="P118" i="8"/>
  <c r="K118" i="8"/>
  <c r="L118" i="8" s="1"/>
  <c r="K64" i="8"/>
  <c r="L64" i="8" s="1"/>
  <c r="O64" i="8"/>
  <c r="N64" i="8"/>
  <c r="N142" i="8"/>
  <c r="P142" i="8"/>
  <c r="M142" i="8"/>
  <c r="K142" i="8"/>
  <c r="L142" i="8" s="1"/>
  <c r="M129" i="8"/>
  <c r="P129" i="8"/>
  <c r="K49" i="8"/>
  <c r="L49" i="8" s="1"/>
  <c r="O49" i="8"/>
  <c r="M49" i="8"/>
  <c r="N49" i="8"/>
  <c r="I14" i="8"/>
  <c r="J13" i="8" s="1"/>
  <c r="P140" i="8"/>
  <c r="N118" i="8"/>
  <c r="N129" i="8"/>
  <c r="M72" i="8"/>
  <c r="P72" i="8"/>
  <c r="N72" i="8"/>
  <c r="K72" i="8"/>
  <c r="L72" i="8" s="1"/>
  <c r="N61" i="8"/>
  <c r="O61" i="8"/>
  <c r="P79" i="8"/>
  <c r="O79" i="8"/>
  <c r="N79" i="8"/>
  <c r="K38" i="8"/>
  <c r="L38" i="8" s="1"/>
  <c r="M38" i="8"/>
  <c r="N38" i="8"/>
  <c r="P108" i="8"/>
  <c r="N108" i="8"/>
  <c r="O108" i="8"/>
  <c r="M108" i="8"/>
  <c r="M199" i="8"/>
  <c r="K199" i="8"/>
  <c r="L199" i="8" s="1"/>
  <c r="P199" i="8"/>
  <c r="O199" i="8"/>
  <c r="N199" i="8"/>
  <c r="P94" i="8"/>
  <c r="K94" i="8"/>
  <c r="L94" i="8" s="1"/>
  <c r="M94" i="8"/>
  <c r="M78" i="8"/>
  <c r="N78" i="8"/>
  <c r="O78" i="8"/>
  <c r="P78" i="8"/>
  <c r="P8" i="8"/>
  <c r="M8" i="8"/>
  <c r="K8" i="8"/>
  <c r="L8" i="8" s="1"/>
  <c r="P128" i="8"/>
  <c r="P223" i="8"/>
  <c r="O223" i="8"/>
  <c r="N223" i="8"/>
  <c r="M223" i="8"/>
  <c r="N8" i="8"/>
  <c r="I84" i="8"/>
  <c r="J83" i="8" s="1"/>
  <c r="I53" i="8"/>
  <c r="J52" i="8" s="1"/>
  <c r="N136" i="8"/>
  <c r="O66" i="8"/>
  <c r="M7" i="8"/>
  <c r="O38" i="8"/>
  <c r="K170" i="8"/>
  <c r="L170" i="8" s="1"/>
  <c r="N170" i="8"/>
  <c r="P134" i="8"/>
  <c r="O134" i="8"/>
  <c r="N134" i="8"/>
  <c r="P32" i="8"/>
  <c r="N94" i="8"/>
  <c r="I147" i="8"/>
  <c r="J146" i="8" s="1"/>
  <c r="I148" i="8"/>
  <c r="J147" i="8" s="1"/>
  <c r="K110" i="8"/>
  <c r="L110" i="8" s="1"/>
  <c r="M110" i="8"/>
  <c r="P110" i="8"/>
  <c r="O110" i="8"/>
  <c r="N203" i="8"/>
  <c r="P203" i="8"/>
  <c r="N89" i="8"/>
  <c r="O89" i="8"/>
  <c r="P89" i="8"/>
  <c r="K89" i="8"/>
  <c r="L89" i="8" s="1"/>
  <c r="O131" i="8"/>
  <c r="M131" i="8"/>
  <c r="N210" i="8"/>
  <c r="M210" i="8"/>
  <c r="K210" i="8"/>
  <c r="L210" i="8" s="1"/>
  <c r="O210" i="8"/>
  <c r="N81" i="8"/>
  <c r="M81" i="8"/>
  <c r="K81" i="8"/>
  <c r="L81" i="8" s="1"/>
  <c r="P81" i="8"/>
  <c r="I78" i="8"/>
  <c r="J77" i="8" s="1"/>
  <c r="K171" i="8"/>
  <c r="L171" i="8" s="1"/>
  <c r="M171" i="8"/>
  <c r="N171" i="8"/>
  <c r="I164" i="8"/>
  <c r="J163" i="8" s="1"/>
  <c r="I165" i="8"/>
  <c r="J164" i="8" s="1"/>
  <c r="I152" i="8"/>
  <c r="J151" i="8" s="1"/>
  <c r="P202" i="8"/>
  <c r="N202" i="8"/>
  <c r="O202" i="8"/>
  <c r="M202" i="8"/>
  <c r="M97" i="8"/>
  <c r="O97" i="8"/>
  <c r="I229" i="8"/>
  <c r="J228" i="8" s="1"/>
  <c r="O205" i="8"/>
  <c r="N205" i="8"/>
  <c r="M205" i="8"/>
  <c r="K205" i="8"/>
  <c r="L205" i="8" s="1"/>
  <c r="I173" i="8"/>
  <c r="J172" i="8" s="1"/>
  <c r="I174" i="8"/>
  <c r="J173" i="8" s="1"/>
  <c r="N21" i="8"/>
  <c r="O21" i="8"/>
  <c r="M21" i="8"/>
  <c r="I123" i="8"/>
  <c r="J122" i="8" s="1"/>
  <c r="I122" i="8"/>
  <c r="J121" i="8" s="1"/>
  <c r="N91" i="8"/>
  <c r="O91" i="8"/>
  <c r="M91" i="8"/>
  <c r="O88" i="8"/>
  <c r="P88" i="8"/>
  <c r="K88" i="8"/>
  <c r="L88" i="8" s="1"/>
  <c r="P30" i="8"/>
  <c r="N30" i="8"/>
  <c r="N19" i="8"/>
  <c r="K219" i="8"/>
  <c r="L219" i="8" s="1"/>
  <c r="N219" i="8"/>
  <c r="M219" i="8"/>
  <c r="O219" i="8"/>
  <c r="I214" i="8"/>
  <c r="J213" i="8" s="1"/>
  <c r="I215" i="8"/>
  <c r="J214" i="8" s="1"/>
  <c r="N159" i="8"/>
  <c r="P159" i="8"/>
  <c r="P154" i="8"/>
  <c r="P149" i="8"/>
  <c r="N149" i="8"/>
  <c r="I88" i="8"/>
  <c r="J87" i="8" s="1"/>
  <c r="M44" i="8"/>
  <c r="N44" i="8"/>
  <c r="K44" i="8"/>
  <c r="L44" i="8" s="1"/>
  <c r="O44" i="8"/>
  <c r="M22" i="8"/>
  <c r="O22" i="8"/>
  <c r="P22" i="8"/>
  <c r="O19" i="8"/>
  <c r="K30" i="8"/>
  <c r="L30" i="8" s="1"/>
  <c r="M201" i="8"/>
  <c r="K201" i="8"/>
  <c r="L201" i="8" s="1"/>
  <c r="N138" i="8"/>
  <c r="P138" i="8"/>
  <c r="O69" i="8"/>
  <c r="K69" i="8"/>
  <c r="L69" i="8" s="1"/>
  <c r="N63" i="8"/>
  <c r="K63" i="8"/>
  <c r="L63" i="8" s="1"/>
  <c r="I219" i="8"/>
  <c r="J218" i="8" s="1"/>
  <c r="I213" i="8"/>
  <c r="J212" i="8" s="1"/>
  <c r="K86" i="8"/>
  <c r="L86" i="8" s="1"/>
  <c r="P86" i="8"/>
  <c r="O86" i="8"/>
  <c r="P43" i="8"/>
  <c r="M43" i="8"/>
  <c r="I30" i="8"/>
  <c r="J29" i="8" s="1"/>
  <c r="I192" i="8"/>
  <c r="J191" i="8" s="1"/>
  <c r="K92" i="8"/>
  <c r="L92" i="8" s="1"/>
  <c r="P92" i="8"/>
  <c r="I68" i="8"/>
  <c r="J67" i="8" s="1"/>
  <c r="P99" i="8"/>
  <c r="M99" i="8"/>
  <c r="I11" i="8"/>
  <c r="J10" i="8" s="1"/>
  <c r="I12" i="8"/>
  <c r="J11" i="8" s="1"/>
  <c r="O74" i="8"/>
  <c r="P74" i="8"/>
  <c r="N148" i="8"/>
  <c r="K148" i="8"/>
  <c r="L148" i="8" s="1"/>
  <c r="I193" i="8"/>
  <c r="J192" i="8" s="1"/>
  <c r="P109" i="8"/>
  <c r="K109" i="8"/>
  <c r="L109" i="8" s="1"/>
  <c r="I106" i="8"/>
  <c r="J105" i="8" s="1"/>
  <c r="K169" i="8"/>
  <c r="L169" i="8" s="1"/>
  <c r="O169" i="8"/>
  <c r="O197" i="8"/>
  <c r="I201" i="8"/>
  <c r="J200" i="8" s="1"/>
  <c r="I181" i="8"/>
  <c r="J180" i="8" s="1"/>
  <c r="I182" i="8"/>
  <c r="J181" i="8" s="1"/>
  <c r="I51" i="8"/>
  <c r="J50" i="8" s="1"/>
  <c r="I157" i="8"/>
  <c r="J156" i="8" s="1"/>
  <c r="I41" i="8"/>
  <c r="J40" i="8" s="1"/>
  <c r="I190" i="8"/>
  <c r="J189" i="8" s="1"/>
  <c r="J32" i="1"/>
  <c r="J26" i="1"/>
  <c r="J60" i="1"/>
  <c r="J38" i="1"/>
  <c r="J22" i="1"/>
  <c r="J15" i="1"/>
  <c r="J36" i="1"/>
  <c r="J57" i="1"/>
  <c r="J54" i="1"/>
  <c r="J63" i="1"/>
  <c r="J42" i="1"/>
  <c r="J43" i="1"/>
  <c r="J56" i="1"/>
  <c r="J18" i="1"/>
  <c r="J23" i="1"/>
  <c r="J19" i="1"/>
  <c r="J27" i="1"/>
  <c r="J37" i="1"/>
  <c r="J49" i="1"/>
  <c r="J5" i="1"/>
  <c r="J11" i="1"/>
  <c r="J12" i="1"/>
  <c r="J13" i="1"/>
  <c r="J39" i="1"/>
  <c r="J52" i="1"/>
  <c r="J17" i="1"/>
  <c r="J41" i="1"/>
  <c r="J10" i="1"/>
  <c r="J64" i="1"/>
  <c r="J62" i="1"/>
  <c r="J21" i="1"/>
  <c r="J34" i="1"/>
  <c r="J30" i="1"/>
  <c r="J28" i="1"/>
  <c r="J58" i="1"/>
  <c r="J67" i="1"/>
  <c r="J66" i="1"/>
  <c r="J45" i="1"/>
  <c r="J59" i="1"/>
  <c r="J50" i="1"/>
  <c r="J20" i="1"/>
  <c r="J35" i="1"/>
  <c r="J53" i="1"/>
  <c r="J14" i="1"/>
  <c r="J16" i="1"/>
  <c r="J7" i="1"/>
  <c r="J25" i="1"/>
  <c r="J44" i="1"/>
  <c r="J48" i="1"/>
  <c r="J40" i="1"/>
  <c r="G47" i="4"/>
  <c r="I47" i="4" s="1"/>
  <c r="E37" i="4"/>
  <c r="I53" i="4"/>
  <c r="H24" i="4"/>
  <c r="I24" i="4" s="1"/>
  <c r="H14" i="4"/>
  <c r="I14" i="4" s="1"/>
  <c r="E56" i="4"/>
  <c r="G43" i="4"/>
  <c r="I43" i="4" s="1"/>
  <c r="E12" i="4"/>
  <c r="G34" i="4"/>
  <c r="I34" i="4" s="1"/>
  <c r="H52" i="4"/>
  <c r="I52" i="4" s="1"/>
  <c r="H6" i="4"/>
  <c r="I6" i="4" s="1"/>
  <c r="D67" i="4"/>
  <c r="G10" i="4"/>
  <c r="I10" i="4" s="1"/>
  <c r="G56" i="4"/>
  <c r="I56" i="4" s="1"/>
  <c r="G44" i="4"/>
  <c r="H38" i="4"/>
  <c r="I38" i="4" s="1"/>
  <c r="G31" i="4"/>
  <c r="I31" i="4" s="1"/>
  <c r="E21" i="4"/>
  <c r="H28" i="4"/>
  <c r="I28" i="4" s="1"/>
  <c r="E25" i="4"/>
  <c r="H16" i="4"/>
  <c r="I16" i="4" s="1"/>
  <c r="H41" i="4"/>
  <c r="I41" i="4" s="1"/>
  <c r="H29" i="4"/>
  <c r="I29" i="4" s="1"/>
  <c r="I12" i="4"/>
  <c r="H5" i="4"/>
  <c r="G42" i="4"/>
  <c r="H13" i="4"/>
  <c r="I13" i="4" s="1"/>
  <c r="G62" i="4"/>
  <c r="I62" i="4" s="1"/>
  <c r="G17" i="4"/>
  <c r="I17" i="4" s="1"/>
  <c r="I67" i="4"/>
  <c r="I30" i="4"/>
  <c r="E10" i="4"/>
  <c r="G50" i="4"/>
  <c r="I50" i="4" s="1"/>
  <c r="H51" i="4"/>
  <c r="I51" i="4" s="1"/>
  <c r="D54" i="4"/>
  <c r="G36" i="4"/>
  <c r="I36" i="4" s="1"/>
  <c r="D7" i="4"/>
  <c r="I60" i="4"/>
  <c r="H20" i="4"/>
  <c r="I20" i="4" s="1"/>
  <c r="H9" i="4"/>
  <c r="I9" i="4" s="1"/>
  <c r="G25" i="4"/>
  <c r="I25" i="4" s="1"/>
  <c r="I44" i="4"/>
  <c r="G55" i="4"/>
  <c r="I55" i="4" s="1"/>
  <c r="D64" i="4"/>
  <c r="J64" i="4" s="1"/>
  <c r="I59" i="4"/>
  <c r="D55" i="4"/>
  <c r="H37" i="4"/>
  <c r="I37" i="4" s="1"/>
  <c r="D45" i="4"/>
  <c r="G19" i="4"/>
  <c r="I19" i="4" s="1"/>
  <c r="I21" i="4"/>
  <c r="E39" i="4"/>
  <c r="D17" i="4"/>
  <c r="H49" i="4"/>
  <c r="I49" i="4" s="1"/>
  <c r="E47" i="4"/>
  <c r="D37" i="4"/>
  <c r="E40" i="4"/>
  <c r="D61" i="4"/>
  <c r="D28" i="4"/>
  <c r="H69" i="1"/>
  <c r="D4" i="4"/>
  <c r="G4" i="4"/>
  <c r="H4" i="4"/>
  <c r="H65" i="1"/>
  <c r="E4" i="4"/>
  <c r="D56" i="4"/>
  <c r="H39" i="4"/>
  <c r="G39" i="4"/>
  <c r="D34" i="4"/>
  <c r="D23" i="4"/>
  <c r="G23" i="4"/>
  <c r="I23" i="4" s="1"/>
  <c r="E23" i="4"/>
  <c r="E53" i="4"/>
  <c r="E18" i="4"/>
  <c r="E19" i="4"/>
  <c r="D39" i="4"/>
  <c r="I33" i="4"/>
  <c r="D22" i="4"/>
  <c r="E22" i="4"/>
  <c r="G22" i="4"/>
  <c r="I22" i="4" s="1"/>
  <c r="D10" i="4"/>
  <c r="I5" i="4"/>
  <c r="H45" i="4"/>
  <c r="E45" i="4"/>
  <c r="G45" i="4"/>
  <c r="D35" i="4"/>
  <c r="E35" i="4"/>
  <c r="G35" i="4"/>
  <c r="D16" i="4"/>
  <c r="D60" i="4"/>
  <c r="D8" i="4"/>
  <c r="E13" i="4"/>
  <c r="H15" i="4"/>
  <c r="E15" i="4"/>
  <c r="D15" i="4"/>
  <c r="G15" i="4"/>
  <c r="D65" i="4"/>
  <c r="J65" i="4" s="1"/>
  <c r="H66" i="1" s="1"/>
  <c r="D59" i="4"/>
  <c r="D21" i="4"/>
  <c r="D19" i="4"/>
  <c r="D36" i="4"/>
  <c r="D43" i="4"/>
  <c r="E43" i="4"/>
  <c r="H35" i="4"/>
  <c r="D57" i="4"/>
  <c r="E48" i="4"/>
  <c r="G48" i="4"/>
  <c r="H48" i="4"/>
  <c r="D48" i="4"/>
  <c r="G26" i="4"/>
  <c r="I26" i="4" s="1"/>
  <c r="D26" i="4"/>
  <c r="G61" i="4"/>
  <c r="H61" i="4"/>
  <c r="E61" i="4"/>
  <c r="E24" i="4"/>
  <c r="D51" i="4"/>
  <c r="E31" i="4"/>
  <c r="D24" i="4"/>
  <c r="D52" i="4"/>
  <c r="D58" i="4"/>
  <c r="G58" i="4"/>
  <c r="I58" i="4" s="1"/>
  <c r="G8" i="4"/>
  <c r="I8" i="4" s="1"/>
  <c r="E8" i="4"/>
  <c r="I63" i="4"/>
  <c r="H54" i="4"/>
  <c r="E54" i="4"/>
  <c r="G54" i="4"/>
  <c r="I54" i="4" s="1"/>
  <c r="E49" i="4"/>
  <c r="D49" i="4"/>
  <c r="G32" i="4"/>
  <c r="I32" i="4" s="1"/>
  <c r="D32" i="4"/>
  <c r="D27" i="4"/>
  <c r="H27" i="4"/>
  <c r="I27" i="4" s="1"/>
  <c r="E27" i="4"/>
  <c r="E11" i="4"/>
  <c r="E42" i="4"/>
  <c r="E14" i="4"/>
  <c r="E59" i="4"/>
  <c r="E46" i="4"/>
  <c r="E6" i="4"/>
  <c r="E17" i="4"/>
  <c r="E16" i="4"/>
  <c r="D14" i="4"/>
  <c r="E58" i="4"/>
  <c r="E20" i="4"/>
  <c r="E50" i="4"/>
  <c r="E26" i="4"/>
  <c r="D40" i="4"/>
  <c r="I57" i="4"/>
  <c r="D30" i="4"/>
  <c r="D13" i="4"/>
  <c r="I7" i="4"/>
  <c r="E52" i="4"/>
  <c r="I42" i="4"/>
  <c r="D18" i="4"/>
  <c r="E55" i="4"/>
  <c r="E32" i="4"/>
  <c r="E7" i="4"/>
  <c r="F7" i="4" s="1"/>
  <c r="D6" i="4"/>
  <c r="E30" i="4"/>
  <c r="H40" i="4"/>
  <c r="I40" i="4" s="1"/>
  <c r="I18" i="4"/>
  <c r="E60" i="4"/>
  <c r="D53" i="4"/>
  <c r="D41" i="4"/>
  <c r="E9" i="4"/>
  <c r="E51" i="4"/>
  <c r="E57" i="4"/>
  <c r="D5" i="4"/>
  <c r="D47" i="4"/>
  <c r="D12" i="4"/>
  <c r="D66" i="4"/>
  <c r="J66" i="4" s="1"/>
  <c r="H67" i="1" s="1"/>
  <c r="D63" i="4"/>
  <c r="D11" i="4"/>
  <c r="D33" i="4"/>
  <c r="E33" i="4"/>
  <c r="E38" i="4"/>
  <c r="E41" i="4"/>
  <c r="E5" i="4"/>
  <c r="E28" i="4"/>
  <c r="E44" i="4"/>
  <c r="D25" i="4"/>
  <c r="D29" i="4"/>
  <c r="E36" i="4"/>
  <c r="E29" i="4"/>
  <c r="E34" i="4"/>
  <c r="D20" i="4"/>
  <c r="D44" i="4"/>
  <c r="D31" i="4"/>
  <c r="D9" i="4"/>
  <c r="D42" i="4"/>
  <c r="D62" i="4"/>
  <c r="D50" i="4"/>
  <c r="D46" i="4"/>
  <c r="D38" i="4"/>
  <c r="F217" i="8"/>
  <c r="F5" i="8"/>
  <c r="F135" i="8"/>
  <c r="F130" i="8"/>
  <c r="F167" i="8"/>
  <c r="F28" i="8"/>
  <c r="F74" i="8"/>
  <c r="F201" i="8"/>
  <c r="F214" i="8"/>
  <c r="F226" i="8"/>
  <c r="F176" i="8"/>
  <c r="O176" i="8" s="1"/>
  <c r="F77" i="8"/>
  <c r="F98" i="8"/>
  <c r="F12" i="8"/>
  <c r="F44" i="8"/>
  <c r="F186" i="8"/>
  <c r="F69" i="8"/>
  <c r="F62" i="8"/>
  <c r="F58" i="8"/>
  <c r="F172" i="8"/>
  <c r="F150" i="8"/>
  <c r="F183" i="8"/>
  <c r="F138" i="8"/>
  <c r="F59" i="8"/>
  <c r="O59" i="8" s="1"/>
  <c r="F164" i="8"/>
  <c r="O164" i="8" s="1"/>
  <c r="F127" i="8"/>
  <c r="F143" i="8"/>
  <c r="F43" i="8"/>
  <c r="F103" i="8"/>
  <c r="O103" i="8" s="1"/>
  <c r="F137" i="8"/>
  <c r="F8" i="8"/>
  <c r="F187" i="8"/>
  <c r="F195" i="8"/>
  <c r="F45" i="8"/>
  <c r="F231" i="8"/>
  <c r="F210" i="8"/>
  <c r="F227" i="8"/>
  <c r="F128" i="8"/>
  <c r="F81" i="8"/>
  <c r="O81" i="8" s="1"/>
  <c r="F78" i="8"/>
  <c r="F38" i="8"/>
  <c r="F144" i="8"/>
  <c r="F104" i="8"/>
  <c r="F61" i="8"/>
  <c r="F90" i="8"/>
  <c r="O90" i="8" s="1"/>
  <c r="F157" i="8"/>
  <c r="F29" i="8"/>
  <c r="O29" i="8" s="1"/>
  <c r="F39" i="8"/>
  <c r="F178" i="8"/>
  <c r="F216" i="8"/>
  <c r="O216" i="8" s="1"/>
  <c r="F79" i="8"/>
  <c r="F118" i="8"/>
  <c r="F119" i="8"/>
  <c r="F84" i="8"/>
  <c r="F199" i="8"/>
  <c r="F133" i="8"/>
  <c r="O133" i="8" s="1"/>
  <c r="F166" i="8"/>
  <c r="F153" i="8"/>
  <c r="F42" i="8"/>
  <c r="O42" i="8" s="1"/>
  <c r="F63" i="8"/>
  <c r="O63" i="8" s="1"/>
  <c r="F175" i="8"/>
  <c r="F180" i="8"/>
  <c r="F126" i="8"/>
  <c r="F117" i="8"/>
  <c r="F198" i="8"/>
  <c r="O198" i="8" s="1"/>
  <c r="F14" i="8"/>
  <c r="F113" i="8"/>
  <c r="F34" i="8"/>
  <c r="F60" i="8"/>
  <c r="F17" i="8"/>
  <c r="F100" i="8"/>
  <c r="F136" i="8"/>
  <c r="F112" i="8"/>
  <c r="F110" i="8"/>
  <c r="F202" i="8"/>
  <c r="F15" i="8"/>
  <c r="F152" i="8"/>
  <c r="F36" i="8"/>
  <c r="F171" i="8"/>
  <c r="F134" i="8"/>
  <c r="F192" i="8"/>
  <c r="F220" i="8"/>
  <c r="O220" i="8" s="1"/>
  <c r="F177" i="8"/>
  <c r="F107" i="8"/>
  <c r="F11" i="8"/>
  <c r="O11" i="8" s="1"/>
  <c r="F142" i="8"/>
  <c r="O142" i="8" s="1"/>
  <c r="F102" i="8"/>
  <c r="F132" i="8"/>
  <c r="F174" i="8"/>
  <c r="F170" i="8"/>
  <c r="F88" i="8"/>
  <c r="F169" i="8"/>
  <c r="F49" i="8"/>
  <c r="F129" i="8"/>
  <c r="O129" i="8" s="1"/>
  <c r="F193" i="8"/>
  <c r="F121" i="8"/>
  <c r="F197" i="8"/>
  <c r="F189" i="8"/>
  <c r="F222" i="8"/>
  <c r="F194" i="8"/>
  <c r="O194" i="8" s="1"/>
  <c r="F87" i="8"/>
  <c r="F92" i="8"/>
  <c r="F57" i="8"/>
  <c r="F70" i="8"/>
  <c r="F66" i="8"/>
  <c r="F25" i="8"/>
  <c r="F212" i="8"/>
  <c r="O212" i="8" s="1"/>
  <c r="F54" i="8"/>
  <c r="F160" i="8"/>
  <c r="F209" i="8"/>
  <c r="F18" i="8"/>
  <c r="F111" i="8"/>
  <c r="F55" i="8"/>
  <c r="O55" i="8" s="1"/>
  <c r="F19" i="8"/>
  <c r="F205" i="8"/>
  <c r="F148" i="8"/>
  <c r="F9" i="8"/>
  <c r="F89" i="8"/>
  <c r="F40" i="8"/>
  <c r="F185" i="8"/>
  <c r="O185" i="8" s="1"/>
  <c r="F53" i="8"/>
  <c r="F190" i="8"/>
  <c r="O190" i="8" s="1"/>
  <c r="F65" i="8"/>
  <c r="F86" i="8"/>
  <c r="F165" i="8"/>
  <c r="F10" i="8"/>
  <c r="F6" i="8"/>
  <c r="F75" i="8"/>
  <c r="F218" i="8"/>
  <c r="F95" i="8"/>
  <c r="F7" i="8"/>
  <c r="O7" i="8" s="1"/>
  <c r="F139" i="8"/>
  <c r="F80" i="8"/>
  <c r="F4" i="8"/>
  <c r="F97" i="8"/>
  <c r="F141" i="8"/>
  <c r="F46" i="8"/>
  <c r="O46" i="8" s="1"/>
  <c r="F188" i="8"/>
  <c r="F67" i="8"/>
  <c r="F93" i="8"/>
  <c r="F224" i="8"/>
  <c r="O224" i="8" s="1"/>
  <c r="F13" i="8"/>
  <c r="F23" i="8"/>
  <c r="F24" i="8"/>
  <c r="O24" i="8" s="1"/>
  <c r="F159" i="8"/>
  <c r="O159" i="8" s="1"/>
  <c r="F64" i="8"/>
  <c r="F230" i="8"/>
  <c r="F26" i="8"/>
  <c r="F233" i="8"/>
  <c r="F21" i="8"/>
  <c r="F47" i="8"/>
  <c r="F235" i="8"/>
  <c r="F234" i="8"/>
  <c r="F35" i="8"/>
  <c r="F221" i="8"/>
  <c r="F52" i="8"/>
  <c r="F31" i="8"/>
  <c r="F196" i="8"/>
  <c r="F101" i="8"/>
  <c r="F105" i="8"/>
  <c r="F50" i="8"/>
  <c r="O50" i="8" s="1"/>
  <c r="F163" i="8"/>
  <c r="F179" i="8"/>
  <c r="F108" i="8"/>
  <c r="F206" i="8"/>
  <c r="F91" i="8"/>
  <c r="F154" i="8"/>
  <c r="F207" i="8"/>
  <c r="O207" i="8" s="1"/>
  <c r="F72" i="8"/>
  <c r="O72" i="8" s="1"/>
  <c r="F145" i="8"/>
  <c r="F37" i="8"/>
  <c r="O37" i="8" s="1"/>
  <c r="F106" i="8"/>
  <c r="F204" i="8"/>
  <c r="F30" i="8"/>
  <c r="F229" i="8"/>
  <c r="O229" i="8" s="1"/>
  <c r="F122" i="8"/>
  <c r="F124" i="8"/>
  <c r="O124" i="8" s="1"/>
  <c r="F22" i="8"/>
  <c r="F71" i="8"/>
  <c r="F140" i="8"/>
  <c r="F114" i="8"/>
  <c r="F162" i="8"/>
  <c r="F200" i="8"/>
  <c r="F82" i="8"/>
  <c r="F151" i="8"/>
  <c r="O151" i="8" s="1"/>
  <c r="F120" i="8"/>
  <c r="O120" i="8" s="1"/>
  <c r="F123" i="8"/>
  <c r="F184" i="8"/>
  <c r="F16" i="8"/>
  <c r="O16" i="8" s="1"/>
  <c r="F131" i="8"/>
  <c r="F156" i="8"/>
  <c r="F41" i="8"/>
  <c r="F115" i="8"/>
  <c r="F213" i="8"/>
  <c r="F48" i="8"/>
  <c r="F116" i="8"/>
  <c r="O116" i="8" s="1"/>
  <c r="F125" i="8"/>
  <c r="F158" i="8"/>
  <c r="F208" i="8"/>
  <c r="F168" i="8"/>
  <c r="F27" i="8"/>
  <c r="F56" i="8"/>
  <c r="F94" i="8"/>
  <c r="O94" i="8" s="1"/>
  <c r="F228" i="8"/>
  <c r="F99" i="8"/>
  <c r="F182" i="8"/>
  <c r="F96" i="8"/>
  <c r="F33" i="8"/>
  <c r="O33" i="8" s="1"/>
  <c r="F223" i="8"/>
  <c r="F181" i="8"/>
  <c r="F147" i="8"/>
  <c r="F85" i="8"/>
  <c r="O85" i="8" s="1"/>
  <c r="F83" i="8"/>
  <c r="F161" i="8"/>
  <c r="F51" i="8"/>
  <c r="F211" i="8"/>
  <c r="F203" i="8"/>
  <c r="O203" i="8" s="1"/>
  <c r="F191" i="8"/>
  <c r="F32" i="8"/>
  <c r="F68" i="8"/>
  <c r="O68" i="8" s="1"/>
  <c r="F219" i="8"/>
  <c r="F155" i="8"/>
  <c r="O155" i="8" s="1"/>
  <c r="F73" i="8"/>
  <c r="F225" i="8"/>
  <c r="F76" i="8"/>
  <c r="F232" i="8"/>
  <c r="F215" i="8"/>
  <c r="F149" i="8"/>
  <c r="F109" i="8"/>
  <c r="F20" i="8"/>
  <c r="O20" i="8" s="1"/>
  <c r="F146" i="8"/>
  <c r="F173" i="8"/>
  <c r="P98" i="8" l="1"/>
  <c r="K216" i="8"/>
  <c r="L216" i="8" s="1"/>
  <c r="N216" i="8"/>
  <c r="O112" i="8"/>
  <c r="K98" i="8"/>
  <c r="L98" i="8" s="1"/>
  <c r="K217" i="8"/>
  <c r="L217" i="8" s="1"/>
  <c r="N168" i="8"/>
  <c r="M168" i="8"/>
  <c r="K168" i="8"/>
  <c r="L168" i="8" s="1"/>
  <c r="P168" i="8"/>
  <c r="K165" i="8"/>
  <c r="L165" i="8" s="1"/>
  <c r="M165" i="8"/>
  <c r="O165" i="8"/>
  <c r="P55" i="8"/>
  <c r="K55" i="8"/>
  <c r="L55" i="8" s="1"/>
  <c r="N55" i="8"/>
  <c r="M55" i="8"/>
  <c r="O168" i="8"/>
  <c r="M98" i="8"/>
  <c r="P19" i="8"/>
  <c r="P217" i="8"/>
  <c r="O43" i="8"/>
  <c r="K43" i="8"/>
  <c r="L43" i="8" s="1"/>
  <c r="N43" i="8"/>
  <c r="M197" i="8"/>
  <c r="K197" i="8"/>
  <c r="L197" i="8" s="1"/>
  <c r="N197" i="8"/>
  <c r="P197" i="8"/>
  <c r="P63" i="8"/>
  <c r="M63" i="8"/>
  <c r="O84" i="8"/>
  <c r="K84" i="8"/>
  <c r="L84" i="8" s="1"/>
  <c r="M84" i="8"/>
  <c r="N84" i="8"/>
  <c r="P84" i="8"/>
  <c r="K53" i="8"/>
  <c r="L53" i="8" s="1"/>
  <c r="O53" i="8"/>
  <c r="P53" i="8"/>
  <c r="O32" i="8"/>
  <c r="K32" i="8"/>
  <c r="L32" i="8" s="1"/>
  <c r="N32" i="8"/>
  <c r="O104" i="8"/>
  <c r="N104" i="8"/>
  <c r="K104" i="8"/>
  <c r="L104" i="8" s="1"/>
  <c r="P104" i="8"/>
  <c r="M104" i="8"/>
  <c r="O31" i="8"/>
  <c r="M31" i="8"/>
  <c r="N31" i="8"/>
  <c r="K31" i="8"/>
  <c r="L31" i="8" s="1"/>
  <c r="P31" i="8"/>
  <c r="M19" i="8"/>
  <c r="N53" i="8"/>
  <c r="M36" i="8"/>
  <c r="K36" i="8"/>
  <c r="L36" i="8" s="1"/>
  <c r="P36" i="8"/>
  <c r="O36" i="8"/>
  <c r="N36" i="8"/>
  <c r="K117" i="8"/>
  <c r="L117" i="8" s="1"/>
  <c r="M117" i="8"/>
  <c r="O117" i="8"/>
  <c r="N117" i="8"/>
  <c r="O146" i="8"/>
  <c r="K112" i="8"/>
  <c r="L112" i="8" s="1"/>
  <c r="P165" i="8"/>
  <c r="O217" i="8"/>
  <c r="O57" i="8"/>
  <c r="K57" i="8"/>
  <c r="L57" i="8" s="1"/>
  <c r="P57" i="8"/>
  <c r="N57" i="8"/>
  <c r="M187" i="8"/>
  <c r="N187" i="8"/>
  <c r="P35" i="8"/>
  <c r="M35" i="8"/>
  <c r="N35" i="8"/>
  <c r="K35" i="8"/>
  <c r="L35" i="8" s="1"/>
  <c r="O35" i="8"/>
  <c r="M144" i="8"/>
  <c r="N144" i="8"/>
  <c r="O144" i="8"/>
  <c r="P64" i="8"/>
  <c r="M64" i="8"/>
  <c r="P216" i="8"/>
  <c r="M113" i="8"/>
  <c r="P113" i="8"/>
  <c r="N113" i="8"/>
  <c r="K113" i="8"/>
  <c r="L113" i="8" s="1"/>
  <c r="O113" i="8"/>
  <c r="O137" i="8"/>
  <c r="M112" i="8"/>
  <c r="N165" i="8"/>
  <c r="M217" i="8"/>
  <c r="O150" i="8"/>
  <c r="K47" i="8"/>
  <c r="L47" i="8" s="1"/>
  <c r="N16" i="8"/>
  <c r="P16" i="8"/>
  <c r="K16" i="8"/>
  <c r="L16" i="8" s="1"/>
  <c r="M16" i="8"/>
  <c r="K41" i="8"/>
  <c r="L41" i="8" s="1"/>
  <c r="P41" i="8"/>
  <c r="O41" i="8"/>
  <c r="N41" i="8"/>
  <c r="M41" i="8"/>
  <c r="M34" i="8"/>
  <c r="N34" i="8"/>
  <c r="K34" i="8"/>
  <c r="L34" i="8" s="1"/>
  <c r="O34" i="8"/>
  <c r="P34" i="8"/>
  <c r="K159" i="8"/>
  <c r="L159" i="8" s="1"/>
  <c r="M159" i="8"/>
  <c r="K185" i="8"/>
  <c r="L185" i="8" s="1"/>
  <c r="M185" i="8"/>
  <c r="P185" i="8"/>
  <c r="N185" i="8"/>
  <c r="O98" i="8"/>
  <c r="M216" i="8"/>
  <c r="N112" i="8"/>
  <c r="P47" i="8"/>
  <c r="K71" i="8"/>
  <c r="L71" i="8" s="1"/>
  <c r="P71" i="8"/>
  <c r="O71" i="8"/>
  <c r="N71" i="8"/>
  <c r="M71" i="8"/>
  <c r="M116" i="8"/>
  <c r="N116" i="8"/>
  <c r="K116" i="8"/>
  <c r="L116" i="8" s="1"/>
  <c r="P158" i="8"/>
  <c r="M158" i="8"/>
  <c r="N158" i="8"/>
  <c r="K158" i="8"/>
  <c r="L158" i="8" s="1"/>
  <c r="O158" i="8"/>
  <c r="N193" i="8"/>
  <c r="M193" i="8"/>
  <c r="O193" i="8"/>
  <c r="K193" i="8"/>
  <c r="L193" i="8" s="1"/>
  <c r="P193" i="8"/>
  <c r="M136" i="8"/>
  <c r="K136" i="8"/>
  <c r="L136" i="8" s="1"/>
  <c r="P136" i="8"/>
  <c r="O136" i="8"/>
  <c r="M96" i="8"/>
  <c r="O96" i="8"/>
  <c r="P96" i="8"/>
  <c r="N96" i="8"/>
  <c r="K96" i="8"/>
  <c r="L96" i="8" s="1"/>
  <c r="M107" i="8"/>
  <c r="N107" i="8"/>
  <c r="N137" i="8"/>
  <c r="K137" i="8"/>
  <c r="L137" i="8" s="1"/>
  <c r="M137" i="8"/>
  <c r="P107" i="8"/>
  <c r="K27" i="8"/>
  <c r="L27" i="8" s="1"/>
  <c r="N27" i="8"/>
  <c r="M27" i="8"/>
  <c r="P27" i="8"/>
  <c r="O27" i="8"/>
  <c r="O154" i="8"/>
  <c r="N154" i="8"/>
  <c r="N143" i="8"/>
  <c r="P143" i="8"/>
  <c r="K143" i="8"/>
  <c r="L143" i="8" s="1"/>
  <c r="O143" i="8"/>
  <c r="M143" i="8"/>
  <c r="O107" i="8"/>
  <c r="O172" i="8"/>
  <c r="K154" i="8"/>
  <c r="L154" i="8" s="1"/>
  <c r="M32" i="8"/>
  <c r="N47" i="8"/>
  <c r="N86" i="8"/>
  <c r="M86" i="8"/>
  <c r="M92" i="8"/>
  <c r="N92" i="8"/>
  <c r="O92" i="8"/>
  <c r="N22" i="8"/>
  <c r="K22" i="8"/>
  <c r="L22" i="8" s="1"/>
  <c r="O138" i="8"/>
  <c r="K138" i="8"/>
  <c r="L138" i="8" s="1"/>
  <c r="M138" i="8"/>
  <c r="M109" i="8"/>
  <c r="N109" i="8"/>
  <c r="O109" i="8"/>
  <c r="K209" i="8"/>
  <c r="L209" i="8" s="1"/>
  <c r="N209" i="8"/>
  <c r="O209" i="8"/>
  <c r="P209" i="8"/>
  <c r="M209" i="8"/>
  <c r="M128" i="8"/>
  <c r="K128" i="8"/>
  <c r="L128" i="8" s="1"/>
  <c r="N128" i="8"/>
  <c r="O128" i="8"/>
  <c r="K97" i="8"/>
  <c r="L97" i="8" s="1"/>
  <c r="N97" i="8"/>
  <c r="P97" i="8"/>
  <c r="M214" i="8"/>
  <c r="P214" i="8"/>
  <c r="N214" i="8"/>
  <c r="O214" i="8"/>
  <c r="K214" i="8"/>
  <c r="L214" i="8" s="1"/>
  <c r="N189" i="8"/>
  <c r="K189" i="8"/>
  <c r="L189" i="8" s="1"/>
  <c r="M189" i="8"/>
  <c r="O189" i="8"/>
  <c r="P189" i="8"/>
  <c r="P77" i="8"/>
  <c r="K77" i="8"/>
  <c r="L77" i="8" s="1"/>
  <c r="N77" i="8"/>
  <c r="M77" i="8"/>
  <c r="O163" i="8"/>
  <c r="N163" i="8"/>
  <c r="P163" i="8"/>
  <c r="K163" i="8"/>
  <c r="L163" i="8" s="1"/>
  <c r="M163" i="8"/>
  <c r="P161" i="8"/>
  <c r="M161" i="8"/>
  <c r="O161" i="8"/>
  <c r="N161" i="8"/>
  <c r="K161" i="8"/>
  <c r="L161" i="8" s="1"/>
  <c r="M200" i="8"/>
  <c r="P200" i="8"/>
  <c r="K200" i="8"/>
  <c r="L200" i="8" s="1"/>
  <c r="O200" i="8"/>
  <c r="N200" i="8"/>
  <c r="K172" i="8"/>
  <c r="L172" i="8" s="1"/>
  <c r="N172" i="8"/>
  <c r="P172" i="8"/>
  <c r="M172" i="8"/>
  <c r="P146" i="8"/>
  <c r="M146" i="8"/>
  <c r="N146" i="8"/>
  <c r="K146" i="8"/>
  <c r="L146" i="8" s="1"/>
  <c r="O52" i="8"/>
  <c r="P52" i="8"/>
  <c r="M52" i="8"/>
  <c r="N52" i="8"/>
  <c r="K52" i="8"/>
  <c r="L52" i="8" s="1"/>
  <c r="M196" i="8"/>
  <c r="O196" i="8"/>
  <c r="P196" i="8"/>
  <c r="N196" i="8"/>
  <c r="K196" i="8"/>
  <c r="L196" i="8" s="1"/>
  <c r="P233" i="8"/>
  <c r="M233" i="8"/>
  <c r="N233" i="8"/>
  <c r="K233" i="8"/>
  <c r="L233" i="8" s="1"/>
  <c r="P213" i="8"/>
  <c r="O213" i="8"/>
  <c r="K213" i="8"/>
  <c r="L213" i="8" s="1"/>
  <c r="M213" i="8"/>
  <c r="N213" i="8"/>
  <c r="N40" i="8"/>
  <c r="O40" i="8"/>
  <c r="M40" i="8"/>
  <c r="K40" i="8"/>
  <c r="L40" i="8" s="1"/>
  <c r="P40" i="8"/>
  <c r="M212" i="8"/>
  <c r="K212" i="8"/>
  <c r="L212" i="8" s="1"/>
  <c r="N212" i="8"/>
  <c r="P212" i="8"/>
  <c r="N122" i="8"/>
  <c r="O122" i="8"/>
  <c r="P122" i="8"/>
  <c r="K122" i="8"/>
  <c r="L122" i="8" s="1"/>
  <c r="M122" i="8"/>
  <c r="O177" i="8"/>
  <c r="M177" i="8"/>
  <c r="P177" i="8"/>
  <c r="N177" i="8"/>
  <c r="K177" i="8"/>
  <c r="L177" i="8" s="1"/>
  <c r="O233" i="8"/>
  <c r="M156" i="8"/>
  <c r="P156" i="8"/>
  <c r="K156" i="8"/>
  <c r="L156" i="8" s="1"/>
  <c r="O156" i="8"/>
  <c r="N156" i="8"/>
  <c r="N105" i="8"/>
  <c r="K105" i="8"/>
  <c r="L105" i="8" s="1"/>
  <c r="O105" i="8"/>
  <c r="P105" i="8"/>
  <c r="M105" i="8"/>
  <c r="M191" i="8"/>
  <c r="K191" i="8"/>
  <c r="L191" i="8" s="1"/>
  <c r="O191" i="8"/>
  <c r="P191" i="8"/>
  <c r="N191" i="8"/>
  <c r="K218" i="8"/>
  <c r="L218" i="8" s="1"/>
  <c r="O218" i="8"/>
  <c r="M218" i="8"/>
  <c r="N218" i="8"/>
  <c r="P218" i="8"/>
  <c r="K151" i="8"/>
  <c r="L151" i="8" s="1"/>
  <c r="P151" i="8"/>
  <c r="M151" i="8"/>
  <c r="N151" i="8"/>
  <c r="N13" i="8"/>
  <c r="P13" i="8"/>
  <c r="O13" i="8"/>
  <c r="M13" i="8"/>
  <c r="K13" i="8"/>
  <c r="L13" i="8" s="1"/>
  <c r="M183" i="8"/>
  <c r="N183" i="8"/>
  <c r="K183" i="8"/>
  <c r="L183" i="8" s="1"/>
  <c r="O183" i="8"/>
  <c r="P183" i="8"/>
  <c r="N25" i="8"/>
  <c r="P25" i="8"/>
  <c r="K25" i="8"/>
  <c r="L25" i="8" s="1"/>
  <c r="M25" i="8"/>
  <c r="O25" i="8"/>
  <c r="K67" i="8"/>
  <c r="L67" i="8" s="1"/>
  <c r="N67" i="8"/>
  <c r="O67" i="8"/>
  <c r="P67" i="8"/>
  <c r="M67" i="8"/>
  <c r="N83" i="8"/>
  <c r="M83" i="8"/>
  <c r="O83" i="8"/>
  <c r="P83" i="8"/>
  <c r="K83" i="8"/>
  <c r="L83" i="8" s="1"/>
  <c r="M195" i="8"/>
  <c r="O195" i="8"/>
  <c r="P195" i="8"/>
  <c r="K195" i="8"/>
  <c r="L195" i="8" s="1"/>
  <c r="N195" i="8"/>
  <c r="M121" i="8"/>
  <c r="O121" i="8"/>
  <c r="P121" i="8"/>
  <c r="K121" i="8"/>
  <c r="L121" i="8" s="1"/>
  <c r="N121" i="8"/>
  <c r="O77" i="8"/>
  <c r="P50" i="8"/>
  <c r="K50" i="8"/>
  <c r="L50" i="8" s="1"/>
  <c r="N50" i="8"/>
  <c r="M50" i="8"/>
  <c r="M11" i="8"/>
  <c r="P11" i="8"/>
  <c r="N11" i="8"/>
  <c r="K11" i="8"/>
  <c r="L11" i="8" s="1"/>
  <c r="N29" i="8"/>
  <c r="K29" i="8"/>
  <c r="L29" i="8" s="1"/>
  <c r="P29" i="8"/>
  <c r="M29" i="8"/>
  <c r="M228" i="8"/>
  <c r="N228" i="8"/>
  <c r="O228" i="8"/>
  <c r="K228" i="8"/>
  <c r="L228" i="8" s="1"/>
  <c r="P228" i="8"/>
  <c r="M164" i="8"/>
  <c r="K164" i="8"/>
  <c r="L164" i="8" s="1"/>
  <c r="N164" i="8"/>
  <c r="P164" i="8"/>
  <c r="P184" i="8"/>
  <c r="N184" i="8"/>
  <c r="M184" i="8"/>
  <c r="K184" i="8"/>
  <c r="L184" i="8" s="1"/>
  <c r="O184" i="8"/>
  <c r="O26" i="8"/>
  <c r="M26" i="8"/>
  <c r="K26" i="8"/>
  <c r="L26" i="8" s="1"/>
  <c r="N26" i="8"/>
  <c r="P26" i="8"/>
  <c r="M181" i="8"/>
  <c r="K181" i="8"/>
  <c r="L181" i="8" s="1"/>
  <c r="N181" i="8"/>
  <c r="P181" i="8"/>
  <c r="M10" i="8"/>
  <c r="O10" i="8"/>
  <c r="K10" i="8"/>
  <c r="L10" i="8" s="1"/>
  <c r="P10" i="8"/>
  <c r="N10" i="8"/>
  <c r="M87" i="8"/>
  <c r="O87" i="8"/>
  <c r="K87" i="8"/>
  <c r="L87" i="8" s="1"/>
  <c r="P87" i="8"/>
  <c r="N87" i="8"/>
  <c r="K237" i="8"/>
  <c r="L237" i="8" s="1"/>
  <c r="O237" i="8"/>
  <c r="N237" i="8"/>
  <c r="P237" i="8"/>
  <c r="M237" i="8"/>
  <c r="O181" i="8"/>
  <c r="M180" i="8"/>
  <c r="O180" i="8"/>
  <c r="P180" i="8"/>
  <c r="K180" i="8"/>
  <c r="L180" i="8" s="1"/>
  <c r="N180" i="8"/>
  <c r="O192" i="8"/>
  <c r="P192" i="8"/>
  <c r="N192" i="8"/>
  <c r="K192" i="8"/>
  <c r="L192" i="8" s="1"/>
  <c r="M192" i="8"/>
  <c r="P173" i="8"/>
  <c r="K173" i="8"/>
  <c r="L173" i="8" s="1"/>
  <c r="M173" i="8"/>
  <c r="N173" i="8"/>
  <c r="O173" i="8"/>
  <c r="K147" i="8"/>
  <c r="L147" i="8" s="1"/>
  <c r="P147" i="8"/>
  <c r="M147" i="8"/>
  <c r="O147" i="8"/>
  <c r="N147" i="8"/>
  <c r="N162" i="8"/>
  <c r="O162" i="8"/>
  <c r="P162" i="8"/>
  <c r="M162" i="8"/>
  <c r="K162" i="8"/>
  <c r="L162" i="8" s="1"/>
  <c r="M236" i="8"/>
  <c r="O236" i="8"/>
  <c r="N236" i="8"/>
  <c r="P236" i="8"/>
  <c r="K236" i="8"/>
  <c r="L236" i="8" s="1"/>
  <c r="J54" i="4"/>
  <c r="H55" i="1" s="1"/>
  <c r="F54" i="4"/>
  <c r="J55" i="4"/>
  <c r="H56" i="1" s="1"/>
  <c r="J7" i="4"/>
  <c r="H8" i="1" s="1"/>
  <c r="J67" i="4"/>
  <c r="H68" i="1" s="1"/>
  <c r="I39" i="4"/>
  <c r="J39" i="4" s="1"/>
  <c r="H40" i="1" s="1"/>
  <c r="F55" i="4"/>
  <c r="F45" i="4"/>
  <c r="I4" i="4"/>
  <c r="J4" i="4" s="1"/>
  <c r="H5" i="1" s="1"/>
  <c r="I35" i="4"/>
  <c r="I45" i="4"/>
  <c r="J45" i="4" s="1"/>
  <c r="H46" i="1" s="1"/>
  <c r="F44" i="4"/>
  <c r="J44" i="4"/>
  <c r="H45" i="1" s="1"/>
  <c r="F15" i="4"/>
  <c r="F39" i="4"/>
  <c r="F12" i="4"/>
  <c r="J12" i="4"/>
  <c r="H13" i="1" s="1"/>
  <c r="F18" i="4"/>
  <c r="J18" i="4"/>
  <c r="H19" i="1" s="1"/>
  <c r="J32" i="4"/>
  <c r="H33" i="1" s="1"/>
  <c r="F32" i="4"/>
  <c r="F37" i="4"/>
  <c r="J37" i="4"/>
  <c r="H38" i="1" s="1"/>
  <c r="J46" i="4"/>
  <c r="H47" i="1" s="1"/>
  <c r="F46" i="4"/>
  <c r="J47" i="4"/>
  <c r="H48" i="1" s="1"/>
  <c r="F47" i="4"/>
  <c r="J40" i="4"/>
  <c r="H41" i="1" s="1"/>
  <c r="F40" i="4"/>
  <c r="F51" i="4"/>
  <c r="J51" i="4"/>
  <c r="H52" i="1" s="1"/>
  <c r="J36" i="4"/>
  <c r="H37" i="1" s="1"/>
  <c r="F36" i="4"/>
  <c r="J53" i="4"/>
  <c r="H54" i="1" s="1"/>
  <c r="F53" i="4"/>
  <c r="F30" i="4"/>
  <c r="J30" i="4"/>
  <c r="H31" i="1" s="1"/>
  <c r="J27" i="4"/>
  <c r="H28" i="1" s="1"/>
  <c r="F27" i="4"/>
  <c r="J38" i="4"/>
  <c r="H39" i="1" s="1"/>
  <c r="F38" i="4"/>
  <c r="J20" i="4"/>
  <c r="H21" i="1" s="1"/>
  <c r="F20" i="4"/>
  <c r="F48" i="4"/>
  <c r="F43" i="4"/>
  <c r="J43" i="4"/>
  <c r="H44" i="1" s="1"/>
  <c r="F50" i="4"/>
  <c r="J50" i="4"/>
  <c r="H51" i="1" s="1"/>
  <c r="J5" i="4"/>
  <c r="H6" i="1" s="1"/>
  <c r="F5" i="4"/>
  <c r="J49" i="4"/>
  <c r="H50" i="1" s="1"/>
  <c r="F49" i="4"/>
  <c r="I48" i="4"/>
  <c r="J48" i="4" s="1"/>
  <c r="H49" i="1" s="1"/>
  <c r="F19" i="4"/>
  <c r="J19" i="4"/>
  <c r="H20" i="1" s="1"/>
  <c r="J35" i="4"/>
  <c r="H36" i="1" s="1"/>
  <c r="F35" i="4"/>
  <c r="F10" i="4"/>
  <c r="J10" i="4"/>
  <c r="H11" i="1" s="1"/>
  <c r="J23" i="4"/>
  <c r="H24" i="1" s="1"/>
  <c r="F23" i="4"/>
  <c r="J21" i="4"/>
  <c r="H22" i="1" s="1"/>
  <c r="F21" i="4"/>
  <c r="F34" i="4"/>
  <c r="J34" i="4"/>
  <c r="H35" i="1" s="1"/>
  <c r="F17" i="4"/>
  <c r="J17" i="4"/>
  <c r="H18" i="1" s="1"/>
  <c r="F52" i="4"/>
  <c r="J52" i="4"/>
  <c r="H53" i="1" s="1"/>
  <c r="J59" i="4"/>
  <c r="H60" i="1" s="1"/>
  <c r="F59" i="4"/>
  <c r="J9" i="4"/>
  <c r="H10" i="1" s="1"/>
  <c r="F9" i="4"/>
  <c r="J25" i="4"/>
  <c r="H26" i="1" s="1"/>
  <c r="F25" i="4"/>
  <c r="F11" i="4"/>
  <c r="J11" i="4"/>
  <c r="H12" i="1" s="1"/>
  <c r="F24" i="4"/>
  <c r="J24" i="4"/>
  <c r="H25" i="1" s="1"/>
  <c r="I61" i="4"/>
  <c r="J61" i="4" s="1"/>
  <c r="H62" i="1" s="1"/>
  <c r="F57" i="4"/>
  <c r="J57" i="4"/>
  <c r="H58" i="1" s="1"/>
  <c r="F60" i="4"/>
  <c r="J60" i="4"/>
  <c r="H61" i="1" s="1"/>
  <c r="J22" i="4"/>
  <c r="H23" i="1" s="1"/>
  <c r="F22" i="4"/>
  <c r="J28" i="4"/>
  <c r="H29" i="1" s="1"/>
  <c r="F28" i="4"/>
  <c r="J62" i="4"/>
  <c r="H63" i="1" s="1"/>
  <c r="F62" i="4"/>
  <c r="J58" i="4"/>
  <c r="H59" i="1" s="1"/>
  <c r="F58" i="4"/>
  <c r="F4" i="4"/>
  <c r="F42" i="4"/>
  <c r="J42" i="4"/>
  <c r="H43" i="1" s="1"/>
  <c r="J29" i="4"/>
  <c r="H30" i="1" s="1"/>
  <c r="F29" i="4"/>
  <c r="J33" i="4"/>
  <c r="H34" i="1" s="1"/>
  <c r="F33" i="4"/>
  <c r="J6" i="4"/>
  <c r="H7" i="1" s="1"/>
  <c r="F6" i="4"/>
  <c r="F8" i="4"/>
  <c r="J8" i="4"/>
  <c r="H9" i="1" s="1"/>
  <c r="J31" i="4"/>
  <c r="H32" i="1" s="1"/>
  <c r="F31" i="4"/>
  <c r="J63" i="4"/>
  <c r="H64" i="1" s="1"/>
  <c r="J41" i="4"/>
  <c r="H42" i="1" s="1"/>
  <c r="F41" i="4"/>
  <c r="F13" i="4"/>
  <c r="J13" i="4"/>
  <c r="H14" i="1" s="1"/>
  <c r="J14" i="4"/>
  <c r="H15" i="1" s="1"/>
  <c r="F14" i="4"/>
  <c r="J26" i="4"/>
  <c r="H27" i="1" s="1"/>
  <c r="F26" i="4"/>
  <c r="I15" i="4"/>
  <c r="J15" i="4" s="1"/>
  <c r="H16" i="1" s="1"/>
  <c r="J16" i="4"/>
  <c r="H17" i="1" s="1"/>
  <c r="F16" i="4"/>
  <c r="J56" i="4"/>
  <c r="H57" i="1" s="1"/>
  <c r="F56" i="4"/>
  <c r="F61" i="4"/>
  <c r="M14" i="1" l="1"/>
  <c r="M46" i="1"/>
  <c r="M56" i="1"/>
  <c r="M44" i="1"/>
  <c r="M43" i="1"/>
  <c r="M28" i="1"/>
  <c r="M8" i="1"/>
  <c r="M37" i="1"/>
  <c r="M21" i="1"/>
  <c r="M17" i="1"/>
  <c r="M11" i="1"/>
  <c r="M51" i="1"/>
  <c r="M32" i="1"/>
  <c r="M19" i="1"/>
  <c r="M33" i="1"/>
  <c r="M20" i="1"/>
  <c r="M49" i="1"/>
  <c r="M18" i="1"/>
  <c r="M50" i="1"/>
  <c r="M52" i="1"/>
  <c r="M41" i="1"/>
  <c r="M34" i="1"/>
  <c r="M35" i="1"/>
  <c r="M7" i="1"/>
  <c r="M9" i="1"/>
  <c r="M39" i="1"/>
  <c r="M30" i="1"/>
  <c r="M10" i="1"/>
  <c r="M22" i="1"/>
  <c r="M12" i="1"/>
  <c r="M38" i="1"/>
  <c r="M42" i="1"/>
  <c r="M5" i="1"/>
  <c r="M13" i="1"/>
  <c r="M45" i="1"/>
  <c r="M16" i="1"/>
  <c r="M6" i="1"/>
  <c r="M40" i="1"/>
  <c r="M24" i="1"/>
  <c r="M54" i="1"/>
  <c r="M47" i="1"/>
  <c r="M36" i="1"/>
  <c r="M23" i="1"/>
  <c r="M15" i="1"/>
  <c r="M53" i="1"/>
  <c r="M55" i="1"/>
  <c r="M29" i="1"/>
  <c r="M26" i="1"/>
  <c r="M25" i="1"/>
  <c r="M31" i="1"/>
  <c r="M27" i="1"/>
  <c r="M48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<sst xmlns="http://schemas.openxmlformats.org/spreadsheetml/2006/main" count="13414" uniqueCount="1966">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</sst>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  <numFmt numFmtId="200" formatCode="0.00000%;[Red]\-0.00000%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2" fontId="0" fillId="0" borderId="9" xfId="0" applyNumberFormat="1" applyBorder="1" applyAlignment="1">
      <alignment wrapText="1"/>
    </xf>
    <xf numFmtId="200" fontId="0" fillId="0" borderId="63" xfId="0" applyNumberFormat="1" applyFont="1" applyBorder="1"/>
    <xf numFmtId="200" fontId="0" fillId="0" borderId="64" xfId="1" applyNumberFormat="1" applyFont="1" applyBorder="1"/>
    <xf numFmtId="200" fontId="0" fillId="0" borderId="63" xfId="1" applyNumberFormat="1" applyFont="1" applyBorder="1"/>
    <xf numFmtId="200" fontId="0" fillId="0" borderId="65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58"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7"/>
      <tableStyleElement type="headerRow" dxfId="56"/>
      <tableStyleElement type="firstColumn" dxfId="55"/>
      <tableStyleElement type="firstColumnStripe" size="2" dxfId="54"/>
      <tableStyleElement type="secondColumnStripe" size="2" dxfId="53"/>
      <tableStyleElement type="firstSubtotalColumn" dxfId="52"/>
      <tableStyleElement type="firstRowSubheading" dxfId="51"/>
      <tableStyleElement type="secondRowSubheading" dxfId="50"/>
      <tableStyleElement type="thirdRowSubheading" dxfId="49"/>
      <tableStyleElement type="pageFieldValues" dxfId="48"/>
    </tableStyle>
    <tableStyle name="Cell Pivot Table 2" table="0" count="6">
      <tableStyleElement type="headerRow" dxfId="47"/>
      <tableStyleElement type="firstRowStripe" dxfId="46"/>
      <tableStyleElement type="firstColumnStripe" dxfId="45"/>
      <tableStyleElement type="firstSubtotalRow" dxfId="44"/>
      <tableStyleElement type="firstRowSubheading" dxfId="43"/>
      <tableStyleElement type="secondRowSubheading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813" tableType="queryTable" totalsRowShown="0" headerRowDxfId="41" dataDxfId="40">
  <tableColumns count="4">
    <tableColumn id="6" uniqueName="6" name="AsOfDate" queryTableFieldId="61" dataDxfId="39" dataCellStyle="Normal 2 7"/>
    <tableColumn id="7" uniqueName="7" name="SeriesNumValue" queryTableFieldId="62" dataDxfId="38" dataCellStyle="Normal 2 7"/>
    <tableColumn id="1" uniqueName="1" name="dy" queryTableFieldId="63" dataDxfId="37" dataCellStyle="Normal 2 7">
      <calculatedColumnFormula>B2-B3</calculatedColumnFormula>
    </tableColumn>
    <tableColumn id="2" uniqueName="2" name="vol1" queryTableFieldId="64" dataDxfId="36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5" tableType="queryTable" totalsRowShown="0" headerRowDxfId="35" dataDxfId="34">
  <tableColumns count="3">
    <tableColumn id="2" uniqueName="2" name="asOf" queryTableFieldId="57" dataDxfId="33"/>
    <tableColumn id="3" uniqueName="3" name="MonthEnd" queryTableFieldId="61" dataDxfId="32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3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648" tableType="queryTable" totalsRowShown="0" headerRowDxfId="30" dataDxfId="29">
  <tableColumns count="5">
    <tableColumn id="1" uniqueName="1" name="asOf" queryTableFieldId="66" dataDxfId="28" dataCellStyle="Normal 2 7"/>
    <tableColumn id="5" uniqueName="5" name="Column1" queryTableFieldId="70" dataDxfId="27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26" dataCellStyle="Normal 2 7"/>
    <tableColumn id="3" uniqueName="3" name="Points" queryTableFieldId="68" dataDxfId="25" dataCellStyle="Normal 2 7"/>
    <tableColumn id="4" uniqueName="4" name="Rate" queryTableFieldId="69" dataDxfId="24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395" tableType="queryTable" totalsRowShown="0" headerRowDxfId="23" dataDxfId="22">
  <tableColumns count="3">
    <tableColumn id="1" uniqueName="1" name="AsOfDate" queryTableFieldId="71" dataDxfId="21"/>
    <tableColumn id="2" uniqueName="2" name="TickerName" queryTableFieldId="72" dataDxfId="20"/>
    <tableColumn id="3" uniqueName="3" name="SeriesNumValue" queryTableFieldId="73" dataDxfId="1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393" tableType="queryTable" totalsRowShown="0" headerRowDxfId="18" dataDxfId="17">
  <tableColumns count="2">
    <tableColumn id="1" uniqueName="1" name="AsofDate" queryTableFieldId="71" dataDxfId="16"/>
    <tableColumn id="8" uniqueName="8" name="ServicingSpread" queryTableFieldId="78" dataDxfId="1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900" tableType="queryTable" totalsRowShown="0" headerRowDxfId="14" dataDxfId="13">
  <tableColumns count="5">
    <tableColumn id="6" uniqueName="6" name="TickerName" queryTableFieldId="71" dataDxfId="12"/>
    <tableColumn id="7" uniqueName="7" name="asofdate" queryTableFieldId="72" dataDxfId="11"/>
    <tableColumn id="10" uniqueName="10" name="Column1" queryTableFieldId="75" dataDxfId="10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9"/>
    <tableColumn id="9" uniqueName="9" name="SeriesNumValue" queryTableFieldId="74" dataDxfId="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394" tableType="queryTable" totalsRowShown="0" headerRowDxfId="7" dataDxfId="6">
  <tableColumns count="2">
    <tableColumn id="1" uniqueName="1" name="asof" queryTableFieldId="112" dataDxfId="5"/>
    <tableColumn id="6" uniqueName="6" name="0" queryTableFieldId="117" dataDxfId="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398" tableType="queryTable" totalsRowShown="0" headerRowDxfId="3" dataDxfId="2">
  <tableColumns count="2">
    <tableColumn id="1" uniqueName="1" name="asof" queryTableFieldId="112" dataDxfId="1"/>
    <tableColumn id="6" uniqueName="6" name="0" queryTableFieldId="117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9"/>
  <sheetViews>
    <sheetView tabSelected="1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T55" sqref="T55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9" t="s">
        <v>0</v>
      </c>
      <c r="C3" s="100"/>
      <c r="D3" s="100"/>
      <c r="E3" s="101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4.6460952550850703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0.77887030999999995</v>
      </c>
      <c r="M68" s="94">
        <v>2081.1999999999998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4.4365051051696938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0.75066686000000005</v>
      </c>
      <c r="M69" s="94">
        <v>2333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8"/>
  <sheetViews>
    <sheetView topLeftCell="A19" workbookViewId="0">
      <selection activeCell="J74" sqref="J74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2" t="s">
        <v>1577</v>
      </c>
      <c r="H2" s="103"/>
      <c r="I2" s="103"/>
      <c r="J2" s="104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1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1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1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1">
      <c r="G68" s="45">
        <v>42580</v>
      </c>
      <c r="H68" s="95">
        <v>-4.4465962073616985E-2</v>
      </c>
      <c r="I68" s="96">
        <v>27.775416872852016</v>
      </c>
      <c r="J68" s="97">
        <v>1.5573206780235658E-2</v>
      </c>
      <c r="K68" s="98">
        <v>1.5508709355293313E-2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13"/>
  <sheetViews>
    <sheetView topLeftCell="A19" workbookViewId="0">
      <selection activeCell="K71" sqref="K71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1946</v>
      </c>
      <c r="B2" s="19">
        <v>2.3285237865503698</v>
      </c>
      <c r="C2" s="19">
        <f t="shared" ref="C2:C65" si="0">B2-B3</f>
        <v>3.8198089927329981E-2</v>
      </c>
      <c r="D2" s="21">
        <f t="shared" ref="D2:D65" si="1">STDEV(C2:C61)</f>
        <v>3.9786412488352275E-2</v>
      </c>
      <c r="H2" s="12" t="s">
        <v>1</v>
      </c>
      <c r="I2" t="s">
        <v>1739</v>
      </c>
      <c r="J2" t="s">
        <v>1740</v>
      </c>
    </row>
    <row r="3" spans="1:10">
      <c r="A3" s="19" t="s">
        <v>1947</v>
      </c>
      <c r="B3" s="19">
        <v>2.2903256966230399</v>
      </c>
      <c r="C3" s="19">
        <f t="shared" si="0"/>
        <v>2.4449626112049927E-2</v>
      </c>
      <c r="D3" s="21">
        <f t="shared" si="1"/>
        <v>3.9418423236225138E-2</v>
      </c>
      <c r="H3" s="13">
        <f>'Data Set'!B5</f>
        <v>40633</v>
      </c>
      <c r="I3" s="22">
        <f t="shared" ref="I3:I34" si="2">VLOOKUP(TEXT(H3,"yyyy-mm-dd"),A:B,2,0)</f>
        <v>4.26321220258097</v>
      </c>
    </row>
    <row r="4" spans="1:10">
      <c r="A4" s="19" t="s">
        <v>1948</v>
      </c>
      <c r="B4" s="19">
        <v>2.2658760705109899</v>
      </c>
      <c r="C4" s="19">
        <f t="shared" si="0"/>
        <v>-5.5618840675419889E-2</v>
      </c>
      <c r="D4" s="21">
        <f t="shared" si="1"/>
        <v>3.9453169954066204E-2</v>
      </c>
      <c r="H4" s="13">
        <f>'Data Set'!B6</f>
        <v>40662</v>
      </c>
      <c r="I4">
        <f t="shared" si="2"/>
        <v>4.0911415079480502</v>
      </c>
      <c r="J4">
        <f>(I4-I3)*100</f>
        <v>-17.20706946329198</v>
      </c>
    </row>
    <row r="5" spans="1:10">
      <c r="A5" s="19" t="s">
        <v>1949</v>
      </c>
      <c r="B5" s="19">
        <v>2.3214949111864098</v>
      </c>
      <c r="C5" s="19">
        <f t="shared" si="0"/>
        <v>-2.0044750971460079E-2</v>
      </c>
      <c r="D5" s="21">
        <f t="shared" si="1"/>
        <v>3.8899873754689777E-2</v>
      </c>
      <c r="H5" s="13">
        <f>'Data Set'!B7</f>
        <v>40694</v>
      </c>
      <c r="I5" s="22">
        <f t="shared" si="2"/>
        <v>3.93235427092598</v>
      </c>
      <c r="J5" s="22">
        <f t="shared" ref="J5:J58" si="3">(I5-I4)*100</f>
        <v>-15.87872370220702</v>
      </c>
    </row>
    <row r="6" spans="1:10">
      <c r="A6" s="19" t="s">
        <v>1950</v>
      </c>
      <c r="B6" s="19">
        <v>2.3415396621578699</v>
      </c>
      <c r="C6" s="19">
        <f t="shared" si="0"/>
        <v>-4.9774880243179886E-2</v>
      </c>
      <c r="D6" s="21">
        <f t="shared" si="1"/>
        <v>3.9539365862791373E-2</v>
      </c>
      <c r="H6" s="13">
        <f>'Data Set'!B8</f>
        <v>40724</v>
      </c>
      <c r="I6" s="22">
        <f t="shared" si="2"/>
        <v>4.0210177977435997</v>
      </c>
      <c r="J6" s="22">
        <f t="shared" si="3"/>
        <v>8.8663526817619687</v>
      </c>
    </row>
    <row r="7" spans="1:10">
      <c r="A7" s="19" t="s">
        <v>1951</v>
      </c>
      <c r="B7" s="19">
        <v>2.3913145424010498</v>
      </c>
      <c r="C7" s="19">
        <f t="shared" si="0"/>
        <v>8.5805126391296227E-3</v>
      </c>
      <c r="D7" s="21">
        <f t="shared" si="1"/>
        <v>3.9564175031457101E-2</v>
      </c>
      <c r="H7" s="13">
        <f>'Data Set'!B9</f>
        <v>40753</v>
      </c>
      <c r="I7" s="22">
        <f t="shared" si="2"/>
        <v>3.8088238659156599</v>
      </c>
      <c r="J7" s="22">
        <f t="shared" si="3"/>
        <v>-21.219393182793979</v>
      </c>
    </row>
    <row r="8" spans="1:10">
      <c r="A8" s="19" t="s">
        <v>1952</v>
      </c>
      <c r="B8" s="19">
        <v>2.3827340297619202</v>
      </c>
      <c r="C8" s="19">
        <f t="shared" si="0"/>
        <v>1.0366098675970381E-2</v>
      </c>
      <c r="D8" s="21">
        <f t="shared" si="1"/>
        <v>3.9580196762667122E-2</v>
      </c>
      <c r="H8" s="13">
        <f>'Data Set'!B10</f>
        <v>40786</v>
      </c>
      <c r="I8" s="22">
        <f t="shared" si="2"/>
        <v>3.4273948025536498</v>
      </c>
      <c r="J8" s="22">
        <f t="shared" si="3"/>
        <v>-38.142906336201008</v>
      </c>
    </row>
    <row r="9" spans="1:10">
      <c r="A9" s="19" t="s">
        <v>1953</v>
      </c>
      <c r="B9" s="19">
        <v>2.3723679310859498</v>
      </c>
      <c r="C9" s="19">
        <f t="shared" si="0"/>
        <v>2.1502193243879919E-2</v>
      </c>
      <c r="D9" s="21">
        <f t="shared" si="1"/>
        <v>3.9948335887210397E-2</v>
      </c>
      <c r="H9" s="13">
        <f>'Data Set'!B11</f>
        <v>40816</v>
      </c>
      <c r="I9" s="22">
        <f t="shared" si="2"/>
        <v>3.0385261527896099</v>
      </c>
      <c r="J9" s="22">
        <f t="shared" si="3"/>
        <v>-38.886864976403992</v>
      </c>
    </row>
    <row r="10" spans="1:10">
      <c r="A10" s="19" t="s">
        <v>1954</v>
      </c>
      <c r="B10" s="19">
        <v>2.3508657378420699</v>
      </c>
      <c r="C10" s="19">
        <f t="shared" si="0"/>
        <v>4.087667580599863E-3</v>
      </c>
      <c r="D10" s="21">
        <f t="shared" si="1"/>
        <v>4.0162113716798072E-2</v>
      </c>
      <c r="H10" s="13">
        <f>'Data Set'!B12</f>
        <v>40847</v>
      </c>
      <c r="I10" s="22">
        <f t="shared" si="2"/>
        <v>3.2515769978966</v>
      </c>
      <c r="J10" s="22">
        <f t="shared" si="3"/>
        <v>21.305084510699011</v>
      </c>
    </row>
    <row r="11" spans="1:10">
      <c r="A11" s="19" t="s">
        <v>1955</v>
      </c>
      <c r="B11" s="19">
        <v>2.34677807026147</v>
      </c>
      <c r="C11" s="19">
        <f t="shared" si="0"/>
        <v>1.8745035141880084E-2</v>
      </c>
      <c r="D11" s="21">
        <f t="shared" si="1"/>
        <v>4.0227536294923046E-2</v>
      </c>
      <c r="H11" s="13">
        <f>'Data Set'!B13</f>
        <v>40877</v>
      </c>
      <c r="I11" s="22">
        <f t="shared" si="2"/>
        <v>3.1770193190764999</v>
      </c>
      <c r="J11" s="22">
        <f t="shared" si="3"/>
        <v>-7.4557678820100115</v>
      </c>
    </row>
    <row r="12" spans="1:10">
      <c r="A12" s="19" t="s">
        <v>1956</v>
      </c>
      <c r="B12" s="19">
        <v>2.3280330351195899</v>
      </c>
      <c r="C12" s="19">
        <f t="shared" si="0"/>
        <v>-2.6675417404709911E-2</v>
      </c>
      <c r="D12" s="21">
        <f t="shared" si="1"/>
        <v>4.0134710384104447E-2</v>
      </c>
      <c r="H12" s="13">
        <f>'Data Set'!B14</f>
        <v>40907</v>
      </c>
      <c r="I12" s="22">
        <f t="shared" si="2"/>
        <v>3.0169008574553802</v>
      </c>
      <c r="J12" s="22">
        <f t="shared" si="3"/>
        <v>-16.011846162111976</v>
      </c>
    </row>
    <row r="13" spans="1:10">
      <c r="A13" s="19" t="s">
        <v>1957</v>
      </c>
      <c r="B13" s="19">
        <v>2.3547084525242998</v>
      </c>
      <c r="C13" s="19">
        <f t="shared" si="0"/>
        <v>-4.0487962089703622E-3</v>
      </c>
      <c r="D13" s="21">
        <f t="shared" si="1"/>
        <v>4.0118040762406819E-2</v>
      </c>
      <c r="H13" s="13">
        <f>'Data Set'!B15</f>
        <v>40939</v>
      </c>
      <c r="I13" s="22">
        <f t="shared" si="2"/>
        <v>2.7762952709571298</v>
      </c>
      <c r="J13" s="22">
        <f t="shared" si="3"/>
        <v>-24.060558649825037</v>
      </c>
    </row>
    <row r="14" spans="1:10">
      <c r="A14" s="19" t="s">
        <v>1958</v>
      </c>
      <c r="B14" s="19">
        <v>2.3587572487332702</v>
      </c>
      <c r="C14" s="19">
        <f t="shared" si="0"/>
        <v>4.5484381815930064E-2</v>
      </c>
      <c r="D14" s="21">
        <f t="shared" si="1"/>
        <v>4.0202571617560245E-2</v>
      </c>
      <c r="H14" s="13">
        <f>'Data Set'!B16</f>
        <v>40968</v>
      </c>
      <c r="I14" s="22">
        <f t="shared" si="2"/>
        <v>2.8817315463419</v>
      </c>
      <c r="J14" s="22">
        <f t="shared" si="3"/>
        <v>10.543627538477018</v>
      </c>
    </row>
    <row r="15" spans="1:10">
      <c r="A15" s="19" t="s">
        <v>1959</v>
      </c>
      <c r="B15" s="19">
        <v>2.3132728669173401</v>
      </c>
      <c r="C15" s="19">
        <f t="shared" si="0"/>
        <v>3.5189355790699928E-2</v>
      </c>
      <c r="D15" s="21">
        <f t="shared" si="1"/>
        <v>4.1210995413554719E-2</v>
      </c>
      <c r="H15" s="13">
        <f>'Data Set'!B17</f>
        <v>40998</v>
      </c>
      <c r="I15" s="22">
        <f t="shared" si="2"/>
        <v>3.0669215754139501</v>
      </c>
      <c r="J15" s="22">
        <f t="shared" si="3"/>
        <v>18.519002907205007</v>
      </c>
    </row>
    <row r="16" spans="1:10">
      <c r="A16" s="19" t="s">
        <v>1960</v>
      </c>
      <c r="B16" s="19">
        <v>2.2780835111266402</v>
      </c>
      <c r="C16" s="19">
        <f t="shared" si="0"/>
        <v>-2.5513840276179867E-2</v>
      </c>
      <c r="D16" s="21">
        <f t="shared" si="1"/>
        <v>4.1075480762015809E-2</v>
      </c>
      <c r="H16" s="13">
        <f>'Data Set'!B18</f>
        <v>41029</v>
      </c>
      <c r="I16" s="22">
        <f t="shared" si="2"/>
        <v>2.8585941716778001</v>
      </c>
      <c r="J16" s="22">
        <f t="shared" si="3"/>
        <v>-20.832740373615</v>
      </c>
    </row>
    <row r="17" spans="1:10">
      <c r="A17" s="19" t="s">
        <v>1961</v>
      </c>
      <c r="B17" s="19">
        <v>2.3035973514028201</v>
      </c>
      <c r="C17" s="19">
        <f t="shared" si="0"/>
        <v>5.3713677801430215E-2</v>
      </c>
      <c r="D17" s="21">
        <f t="shared" si="1"/>
        <v>4.1014998738581519E-2</v>
      </c>
      <c r="H17" s="13">
        <f>'Data Set'!B19</f>
        <v>41060</v>
      </c>
      <c r="I17" s="22">
        <f t="shared" si="2"/>
        <v>2.6463905286345102</v>
      </c>
      <c r="J17" s="22">
        <f t="shared" si="3"/>
        <v>-21.220364304328989</v>
      </c>
    </row>
    <row r="18" spans="1:10">
      <c r="A18" s="19" t="s">
        <v>1962</v>
      </c>
      <c r="B18" s="19">
        <v>2.2498836736013899</v>
      </c>
      <c r="C18" s="19">
        <f t="shared" si="0"/>
        <v>2.8170500688149858E-2</v>
      </c>
      <c r="D18" s="21">
        <f t="shared" si="1"/>
        <v>4.0323500037549004E-2</v>
      </c>
      <c r="H18" s="13">
        <f>'Data Set'!B20</f>
        <v>41089</v>
      </c>
      <c r="I18" s="22">
        <f t="shared" si="2"/>
        <v>2.6237188553228199</v>
      </c>
      <c r="J18" s="22">
        <f t="shared" si="3"/>
        <v>-2.2671673311690288</v>
      </c>
    </row>
    <row r="19" spans="1:10">
      <c r="A19" s="19" t="s">
        <v>1963</v>
      </c>
      <c r="B19" s="19">
        <v>2.22171317291324</v>
      </c>
      <c r="C19" s="19">
        <f t="shared" si="0"/>
        <v>-1.102234796426016E-2</v>
      </c>
      <c r="D19" s="21">
        <f t="shared" si="1"/>
        <v>4.0103567372159456E-2</v>
      </c>
      <c r="H19" s="13">
        <f>'Data Set'!B21</f>
        <v>41121</v>
      </c>
      <c r="I19" s="22">
        <f t="shared" si="2"/>
        <v>2.3145960727619199</v>
      </c>
      <c r="J19" s="22">
        <f t="shared" si="3"/>
        <v>-30.912278256089998</v>
      </c>
    </row>
    <row r="20" spans="1:10">
      <c r="A20" s="19" t="s">
        <v>1964</v>
      </c>
      <c r="B20" s="19">
        <v>2.2327355208775002</v>
      </c>
      <c r="C20" s="19">
        <f t="shared" si="0"/>
        <v>3.3908343881880132E-2</v>
      </c>
      <c r="D20" s="21">
        <f t="shared" si="1"/>
        <v>4.0109684314647766E-2</v>
      </c>
      <c r="H20" s="13">
        <f>'Data Set'!B22</f>
        <v>41152</v>
      </c>
      <c r="I20" s="22">
        <f t="shared" si="2"/>
        <v>2.3689486742097801</v>
      </c>
      <c r="J20" s="22">
        <f t="shared" si="3"/>
        <v>5.4352601447860138</v>
      </c>
    </row>
    <row r="21" spans="1:10">
      <c r="A21" s="19" t="s">
        <v>1965</v>
      </c>
      <c r="B21" s="19">
        <v>2.19882717699562</v>
      </c>
      <c r="C21" s="19">
        <f t="shared" si="0"/>
        <v>3.9203735693099873E-2</v>
      </c>
      <c r="D21" s="21">
        <f t="shared" si="1"/>
        <v>4.0402117127992423E-2</v>
      </c>
      <c r="H21" s="13">
        <f>'Data Set'!B23</f>
        <v>41180</v>
      </c>
      <c r="I21" s="22">
        <f t="shared" si="2"/>
        <v>2.0399140401394802</v>
      </c>
      <c r="J21" s="22">
        <f t="shared" si="3"/>
        <v>-32.903463407029989</v>
      </c>
    </row>
    <row r="22" spans="1:10">
      <c r="A22" s="19" t="s">
        <v>1923</v>
      </c>
      <c r="B22" s="19">
        <v>2.1596234413025202</v>
      </c>
      <c r="C22" s="19">
        <f t="shared" si="0"/>
        <v>-8.0176081304679681E-2</v>
      </c>
      <c r="D22" s="21">
        <f t="shared" si="1"/>
        <v>3.9995835068088896E-2</v>
      </c>
      <c r="H22" s="13">
        <f>'Data Set'!B24</f>
        <v>41213</v>
      </c>
      <c r="I22" s="22">
        <f t="shared" si="2"/>
        <v>2.1423497452898399</v>
      </c>
      <c r="J22" s="22">
        <f t="shared" si="3"/>
        <v>10.243570515035971</v>
      </c>
    </row>
    <row r="23" spans="1:10">
      <c r="A23" s="19" t="s">
        <v>1924</v>
      </c>
      <c r="B23" s="19">
        <v>2.2397995226071998</v>
      </c>
      <c r="C23" s="19">
        <f t="shared" si="0"/>
        <v>-7.6868465170001343E-3</v>
      </c>
      <c r="D23" s="21">
        <f t="shared" si="1"/>
        <v>3.878078238178434E-2</v>
      </c>
      <c r="H23" s="13">
        <f>'Data Set'!B25</f>
        <v>41243</v>
      </c>
      <c r="I23" s="22">
        <f t="shared" si="2"/>
        <v>2.0725335490580301</v>
      </c>
      <c r="J23" s="22">
        <f t="shared" si="3"/>
        <v>-6.9816196231809791</v>
      </c>
    </row>
    <row r="24" spans="1:10">
      <c r="A24" s="19" t="s">
        <v>1925</v>
      </c>
      <c r="B24" s="19">
        <v>2.2474863691242</v>
      </c>
      <c r="C24" s="19">
        <f t="shared" si="0"/>
        <v>-3.9066600393499851E-2</v>
      </c>
      <c r="D24" s="21">
        <f t="shared" si="1"/>
        <v>3.9192527664833103E-2</v>
      </c>
      <c r="H24" s="13">
        <f>'Data Set'!B26</f>
        <v>41274</v>
      </c>
      <c r="I24" s="22">
        <f t="shared" si="2"/>
        <v>2.1517307112587098</v>
      </c>
      <c r="J24" s="22">
        <f t="shared" si="3"/>
        <v>7.9197162200679738</v>
      </c>
    </row>
    <row r="25" spans="1:10">
      <c r="A25" s="19" t="s">
        <v>1926</v>
      </c>
      <c r="B25" s="19">
        <v>2.2865529695176998</v>
      </c>
      <c r="C25" s="19">
        <f t="shared" si="0"/>
        <v>-5.9399033868801077E-3</v>
      </c>
      <c r="D25" s="21">
        <f t="shared" si="1"/>
        <v>3.9179137564572489E-2</v>
      </c>
      <c r="H25" s="13">
        <f>'Data Set'!B27</f>
        <v>41305</v>
      </c>
      <c r="I25" s="22">
        <f t="shared" si="2"/>
        <v>2.57376759097352</v>
      </c>
      <c r="J25" s="22">
        <f t="shared" si="3"/>
        <v>42.203687971481017</v>
      </c>
    </row>
    <row r="26" spans="1:10">
      <c r="A26" s="19" t="s">
        <v>1927</v>
      </c>
      <c r="B26" s="19">
        <v>2.2924928729045799</v>
      </c>
      <c r="C26" s="19">
        <f t="shared" si="0"/>
        <v>2.7401552816499475E-3</v>
      </c>
      <c r="D26" s="21">
        <f t="shared" si="1"/>
        <v>3.9414318464036237E-2</v>
      </c>
      <c r="H26" s="13">
        <f>'Data Set'!B28</f>
        <v>41333</v>
      </c>
      <c r="I26" s="22">
        <f t="shared" si="2"/>
        <v>2.5448374323223399</v>
      </c>
      <c r="J26" s="22">
        <f t="shared" si="3"/>
        <v>-2.8930158651180093</v>
      </c>
    </row>
    <row r="27" spans="1:10">
      <c r="A27" s="19" t="s">
        <v>1928</v>
      </c>
      <c r="B27" s="19">
        <v>2.28975271762293</v>
      </c>
      <c r="C27" s="19">
        <f t="shared" si="0"/>
        <v>-0.13263512875396</v>
      </c>
      <c r="D27" s="21">
        <f t="shared" si="1"/>
        <v>3.9408346085903975E-2</v>
      </c>
      <c r="H27" s="13">
        <f>'Data Set'!B29</f>
        <v>41361</v>
      </c>
      <c r="I27" s="22">
        <f t="shared" si="2"/>
        <v>2.6143335780898398</v>
      </c>
      <c r="J27" s="22">
        <f t="shared" si="3"/>
        <v>6.9496145767499851</v>
      </c>
    </row>
    <row r="28" spans="1:10">
      <c r="A28" s="19" t="s">
        <v>1929</v>
      </c>
      <c r="B28" s="19">
        <v>2.42238784637689</v>
      </c>
      <c r="C28" s="19">
        <f t="shared" si="0"/>
        <v>-0.11047830617409993</v>
      </c>
      <c r="D28" s="21">
        <f t="shared" si="1"/>
        <v>3.5613530243874175E-2</v>
      </c>
      <c r="H28" s="13">
        <f>'Data Set'!B30</f>
        <v>41394</v>
      </c>
      <c r="I28" s="22">
        <f t="shared" si="2"/>
        <v>2.3535373905486399</v>
      </c>
      <c r="J28" s="22">
        <f t="shared" si="3"/>
        <v>-26.079618754119991</v>
      </c>
    </row>
    <row r="29" spans="1:10">
      <c r="A29" s="19" t="s">
        <v>1930</v>
      </c>
      <c r="B29" s="19">
        <v>2.5328661525509899</v>
      </c>
      <c r="C29" s="19">
        <f t="shared" si="0"/>
        <v>2.2416205858899918E-2</v>
      </c>
      <c r="D29" s="21">
        <f t="shared" si="1"/>
        <v>3.3357734905849264E-2</v>
      </c>
      <c r="H29" s="13">
        <f>'Data Set'!B31</f>
        <v>41425</v>
      </c>
      <c r="I29" s="22">
        <f t="shared" si="2"/>
        <v>2.95731349620652</v>
      </c>
      <c r="J29" s="22">
        <f t="shared" si="3"/>
        <v>60.377610565788011</v>
      </c>
    </row>
    <row r="30" spans="1:10">
      <c r="A30" s="19" t="s">
        <v>1931</v>
      </c>
      <c r="B30" s="19">
        <v>2.51044994669209</v>
      </c>
      <c r="C30" s="19">
        <f t="shared" si="0"/>
        <v>-4.87976077296981E-3</v>
      </c>
      <c r="D30" s="21">
        <f t="shared" si="1"/>
        <v>3.3256537965059951E-2</v>
      </c>
      <c r="H30" s="13">
        <f>'Data Set'!B32</f>
        <v>41453</v>
      </c>
      <c r="I30" s="22">
        <f t="shared" si="2"/>
        <v>3.3094496735702101</v>
      </c>
      <c r="J30" s="22">
        <f t="shared" si="3"/>
        <v>35.213617736369017</v>
      </c>
    </row>
    <row r="31" spans="1:10">
      <c r="A31" s="19" t="s">
        <v>1932</v>
      </c>
      <c r="B31" s="19">
        <v>2.5153297074650598</v>
      </c>
      <c r="C31" s="19">
        <f t="shared" si="0"/>
        <v>1.2045618226869781E-2</v>
      </c>
      <c r="D31" s="21">
        <f t="shared" si="1"/>
        <v>3.5463929805450559E-2</v>
      </c>
      <c r="H31" s="13">
        <f>'Data Set'!B33</f>
        <v>41486</v>
      </c>
      <c r="I31" s="22">
        <f t="shared" si="2"/>
        <v>3.4095392657433901</v>
      </c>
      <c r="J31" s="22">
        <f t="shared" si="3"/>
        <v>10.008959217317992</v>
      </c>
    </row>
    <row r="32" spans="1:10">
      <c r="A32" s="19" t="s">
        <v>1933</v>
      </c>
      <c r="B32" s="19">
        <v>2.50328408923819</v>
      </c>
      <c r="C32" s="19">
        <f t="shared" si="0"/>
        <v>2.4275866109980004E-2</v>
      </c>
      <c r="D32" s="21">
        <f t="shared" si="1"/>
        <v>3.5439472247367418E-2</v>
      </c>
      <c r="H32" s="13">
        <f>'Data Set'!B34</f>
        <v>41516</v>
      </c>
      <c r="I32" s="22">
        <f t="shared" si="2"/>
        <v>3.5181082868119602</v>
      </c>
      <c r="J32" s="22">
        <f t="shared" si="3"/>
        <v>10.856902106857014</v>
      </c>
    </row>
    <row r="33" spans="1:10">
      <c r="A33" s="19" t="s">
        <v>1934</v>
      </c>
      <c r="B33" s="19">
        <v>2.47900822312821</v>
      </c>
      <c r="C33" s="19">
        <f t="shared" si="0"/>
        <v>4.748208841744983E-2</v>
      </c>
      <c r="D33" s="21">
        <f t="shared" si="1"/>
        <v>3.5471179849766658E-2</v>
      </c>
      <c r="H33" s="13">
        <f>'Data Set'!B35</f>
        <v>41547</v>
      </c>
      <c r="I33" s="22">
        <f t="shared" si="2"/>
        <v>3.2952489842634298</v>
      </c>
      <c r="J33" s="22">
        <f t="shared" si="3"/>
        <v>-22.285930254853035</v>
      </c>
    </row>
    <row r="34" spans="1:10">
      <c r="A34" s="19" t="s">
        <v>1935</v>
      </c>
      <c r="B34" s="19">
        <v>2.4315261347107602</v>
      </c>
      <c r="C34" s="19">
        <f t="shared" si="0"/>
        <v>-1.8843994897289829E-2</v>
      </c>
      <c r="D34" s="21">
        <f t="shared" si="1"/>
        <v>3.5398328051427633E-2</v>
      </c>
      <c r="H34" s="13">
        <f>'Data Set'!B36</f>
        <v>41578</v>
      </c>
      <c r="I34" s="22">
        <f t="shared" si="2"/>
        <v>3.1803565883984102</v>
      </c>
      <c r="J34" s="22">
        <f t="shared" si="3"/>
        <v>-11.489239586501965</v>
      </c>
    </row>
    <row r="35" spans="1:10">
      <c r="A35" s="19" t="s">
        <v>1936</v>
      </c>
      <c r="B35" s="19">
        <v>2.45037012960805</v>
      </c>
      <c r="C35" s="19">
        <f t="shared" si="0"/>
        <v>-1.7319981159459985E-2</v>
      </c>
      <c r="D35" s="21">
        <f t="shared" si="1"/>
        <v>3.5471668778154407E-2</v>
      </c>
      <c r="H35" s="13">
        <f>'Data Set'!B37</f>
        <v>41607</v>
      </c>
      <c r="I35" s="22">
        <f t="shared" ref="I35:I66" si="4">VLOOKUP(TEXT(H35,"yyyy-mm-dd"),A:B,2,0)</f>
        <v>3.4152065149267101</v>
      </c>
      <c r="J35" s="22">
        <f t="shared" si="3"/>
        <v>23.484992652829995</v>
      </c>
    </row>
    <row r="36" spans="1:10">
      <c r="A36" s="19" t="s">
        <v>1937</v>
      </c>
      <c r="B36" s="19">
        <v>2.46769011076751</v>
      </c>
      <c r="C36" s="19">
        <f t="shared" si="0"/>
        <v>8.6054231315499941E-3</v>
      </c>
      <c r="D36" s="21">
        <f t="shared" si="1"/>
        <v>3.6254729607391005E-2</v>
      </c>
      <c r="H36" s="13">
        <f>'Data Set'!B38</f>
        <v>41639</v>
      </c>
      <c r="I36" s="22">
        <f t="shared" si="4"/>
        <v>3.5930254960618</v>
      </c>
      <c r="J36" s="22">
        <f t="shared" si="3"/>
        <v>17.781898113508987</v>
      </c>
    </row>
    <row r="37" spans="1:10">
      <c r="A37" s="19" t="s">
        <v>1938</v>
      </c>
      <c r="B37" s="19">
        <v>2.45908468763596</v>
      </c>
      <c r="C37" s="19">
        <f t="shared" si="0"/>
        <v>-1.0408773467270205E-2</v>
      </c>
      <c r="D37" s="21">
        <f t="shared" si="1"/>
        <v>3.6225482708040158E-2</v>
      </c>
      <c r="H37" s="13">
        <f>'Data Set'!B39</f>
        <v>41670</v>
      </c>
      <c r="I37" s="22">
        <f t="shared" si="4"/>
        <v>3.3406752567006799</v>
      </c>
      <c r="J37" s="22">
        <f t="shared" si="3"/>
        <v>-25.235023936112011</v>
      </c>
    </row>
    <row r="38" spans="1:10">
      <c r="A38" s="19" t="s">
        <v>1939</v>
      </c>
      <c r="B38" s="19">
        <v>2.4694934611032302</v>
      </c>
      <c r="C38" s="19">
        <f t="shared" si="0"/>
        <v>-1.6239632152629913E-2</v>
      </c>
      <c r="D38" s="21">
        <f t="shared" si="1"/>
        <v>3.6677585246907951E-2</v>
      </c>
      <c r="H38" s="13">
        <f>'Data Set'!B40</f>
        <v>41698</v>
      </c>
      <c r="I38" s="22">
        <f t="shared" si="4"/>
        <v>3.3514861848067001</v>
      </c>
      <c r="J38" s="22">
        <f t="shared" si="3"/>
        <v>1.0810928106020246</v>
      </c>
    </row>
    <row r="39" spans="1:10">
      <c r="A39" s="19" t="s">
        <v>1940</v>
      </c>
      <c r="B39" s="19">
        <v>2.4857330932558601</v>
      </c>
      <c r="C39" s="19">
        <f t="shared" si="0"/>
        <v>-1.4774679383180001E-2</v>
      </c>
      <c r="D39" s="21">
        <f t="shared" si="1"/>
        <v>3.7126631474003122E-2</v>
      </c>
      <c r="H39" s="13">
        <f>'Data Set'!B41</f>
        <v>41729</v>
      </c>
      <c r="I39" s="22">
        <f t="shared" si="4"/>
        <v>3.44685935064701</v>
      </c>
      <c r="J39" s="22">
        <f t="shared" si="3"/>
        <v>9.5373165840309859</v>
      </c>
    </row>
    <row r="40" spans="1:10">
      <c r="A40" s="19" t="s">
        <v>1941</v>
      </c>
      <c r="B40" s="19">
        <v>2.5005077726390401</v>
      </c>
      <c r="C40" s="19">
        <f t="shared" si="0"/>
        <v>-7.8933473536899612E-3</v>
      </c>
      <c r="D40" s="21">
        <f t="shared" si="1"/>
        <v>3.7218809322570989E-2</v>
      </c>
      <c r="H40" s="13">
        <f>'Data Set'!B42</f>
        <v>41759</v>
      </c>
      <c r="I40" s="22">
        <f t="shared" si="4"/>
        <v>3.3274269650204</v>
      </c>
      <c r="J40" s="22">
        <f t="shared" si="3"/>
        <v>-11.943238562660996</v>
      </c>
    </row>
    <row r="41" spans="1:10">
      <c r="A41" s="19" t="s">
        <v>1942</v>
      </c>
      <c r="B41" s="19">
        <v>2.5084011199927301</v>
      </c>
      <c r="C41" s="19">
        <f t="shared" si="0"/>
        <v>-5.062157140098833E-4</v>
      </c>
      <c r="D41" s="21">
        <f t="shared" si="1"/>
        <v>3.7226637550479787E-2</v>
      </c>
      <c r="H41" s="13">
        <f>'Data Set'!B43</f>
        <v>41789</v>
      </c>
      <c r="I41" s="22">
        <f t="shared" si="4"/>
        <v>3.1327170492887499</v>
      </c>
      <c r="J41" s="22">
        <f t="shared" si="3"/>
        <v>-19.470991573165009</v>
      </c>
    </row>
    <row r="42" spans="1:10">
      <c r="A42" s="19" t="s">
        <v>1943</v>
      </c>
      <c r="B42" s="19">
        <v>2.50890733570674</v>
      </c>
      <c r="C42" s="19">
        <f t="shared" si="0"/>
        <v>7.7999556910599566E-3</v>
      </c>
      <c r="D42" s="21">
        <f t="shared" si="1"/>
        <v>3.75198136738321E-2</v>
      </c>
      <c r="H42" s="13">
        <f>'Data Set'!B44</f>
        <v>41820</v>
      </c>
      <c r="I42" s="22">
        <f t="shared" si="4"/>
        <v>3.16005861973392</v>
      </c>
      <c r="J42" s="22">
        <f t="shared" si="3"/>
        <v>2.7341570445170049</v>
      </c>
    </row>
    <row r="43" spans="1:10">
      <c r="A43" s="19" t="s">
        <v>1944</v>
      </c>
      <c r="B43" s="19">
        <v>2.50110738001568</v>
      </c>
      <c r="C43" s="19">
        <f t="shared" si="0"/>
        <v>-9.4054040641379899E-2</v>
      </c>
      <c r="D43" s="21">
        <f t="shared" si="1"/>
        <v>3.7528334594425151E-2</v>
      </c>
      <c r="H43" s="13">
        <f>'Data Set'!B45</f>
        <v>41851</v>
      </c>
      <c r="I43" s="22">
        <f t="shared" si="4"/>
        <v>3.2761065930147799</v>
      </c>
      <c r="J43" s="22">
        <f t="shared" si="3"/>
        <v>11.604797328085992</v>
      </c>
    </row>
    <row r="44" spans="1:10">
      <c r="A44" s="19" t="s">
        <v>1945</v>
      </c>
      <c r="B44" s="19">
        <v>2.5951614206570599</v>
      </c>
      <c r="C44" s="19">
        <f t="shared" si="0"/>
        <v>-1.0989396536579932E-2</v>
      </c>
      <c r="D44" s="21">
        <f t="shared" si="1"/>
        <v>3.6692833943493958E-2</v>
      </c>
      <c r="H44" s="13">
        <f>'Data Set'!B46</f>
        <v>41880</v>
      </c>
      <c r="I44" s="22">
        <f t="shared" si="4"/>
        <v>3.0803371977218901</v>
      </c>
      <c r="J44" s="22">
        <f t="shared" si="3"/>
        <v>-19.576939529288985</v>
      </c>
    </row>
    <row r="45" spans="1:10">
      <c r="A45" s="19" t="s">
        <v>1903</v>
      </c>
      <c r="B45" s="19">
        <v>2.6061508171936398</v>
      </c>
      <c r="C45" s="19">
        <f t="shared" si="0"/>
        <v>1.4897191326169956E-2</v>
      </c>
      <c r="D45" s="21">
        <f t="shared" si="1"/>
        <v>3.7175828853657063E-2</v>
      </c>
      <c r="H45" s="13">
        <f>'Data Set'!B47</f>
        <v>41912</v>
      </c>
      <c r="I45" s="22">
        <f t="shared" si="4"/>
        <v>3.2078957125058598</v>
      </c>
      <c r="J45" s="22">
        <f t="shared" si="3"/>
        <v>12.755851478396973</v>
      </c>
    </row>
    <row r="46" spans="1:10">
      <c r="A46" s="19" t="s">
        <v>1904</v>
      </c>
      <c r="B46" s="19">
        <v>2.5912536258674699</v>
      </c>
      <c r="C46" s="19">
        <f t="shared" si="0"/>
        <v>-1.1339803292510275E-2</v>
      </c>
      <c r="D46" s="21">
        <f t="shared" si="1"/>
        <v>3.7398535351345928E-2</v>
      </c>
      <c r="H46" s="13">
        <f>'Data Set'!B48</f>
        <v>41943</v>
      </c>
      <c r="I46" s="22">
        <f t="shared" si="4"/>
        <v>3.0097405474457601</v>
      </c>
      <c r="J46" s="22">
        <f t="shared" si="3"/>
        <v>-19.815516506009967</v>
      </c>
    </row>
    <row r="47" spans="1:10">
      <c r="A47" s="19" t="s">
        <v>1905</v>
      </c>
      <c r="B47" s="19">
        <v>2.6025934291599802</v>
      </c>
      <c r="C47" s="19">
        <f t="shared" si="0"/>
        <v>3.3855530851201188E-3</v>
      </c>
      <c r="D47" s="21">
        <f t="shared" si="1"/>
        <v>3.777108162705204E-2</v>
      </c>
      <c r="H47" s="13">
        <f>'Data Set'!B49</f>
        <v>41971</v>
      </c>
      <c r="I47" s="22">
        <f t="shared" si="4"/>
        <v>2.84568526355815</v>
      </c>
      <c r="J47" s="22">
        <f t="shared" si="3"/>
        <v>-16.405528388761013</v>
      </c>
    </row>
    <row r="48" spans="1:10">
      <c r="A48" s="19" t="s">
        <v>1906</v>
      </c>
      <c r="B48" s="19">
        <v>2.59920787607486</v>
      </c>
      <c r="C48" s="19">
        <f t="shared" si="0"/>
        <v>-4.5908556958900171E-2</v>
      </c>
      <c r="D48" s="21">
        <f t="shared" si="1"/>
        <v>3.8009011497053227E-2</v>
      </c>
      <c r="H48" s="13">
        <f>'Data Set'!B50</f>
        <v>42004</v>
      </c>
      <c r="I48" s="22">
        <f t="shared" si="4"/>
        <v>2.8338661414623698</v>
      </c>
      <c r="J48" s="22">
        <f t="shared" si="3"/>
        <v>-1.1819122095780177</v>
      </c>
    </row>
    <row r="49" spans="1:10">
      <c r="A49" s="19" t="s">
        <v>1907</v>
      </c>
      <c r="B49" s="19">
        <v>2.6451164330337602</v>
      </c>
      <c r="C49" s="19">
        <f t="shared" si="0"/>
        <v>2.1101814412240127E-2</v>
      </c>
      <c r="D49" s="21">
        <f t="shared" si="1"/>
        <v>3.7639487701732185E-2</v>
      </c>
      <c r="H49" s="13">
        <f>'Data Set'!B51</f>
        <v>42034</v>
      </c>
      <c r="I49" s="22">
        <f t="shared" si="4"/>
        <v>2.4526687901347302</v>
      </c>
      <c r="J49" s="22">
        <f t="shared" si="3"/>
        <v>-38.119735132763964</v>
      </c>
    </row>
    <row r="50" spans="1:10">
      <c r="A50" s="19" t="s">
        <v>1908</v>
      </c>
      <c r="B50" s="19">
        <v>2.6240146186215201</v>
      </c>
      <c r="C50" s="19">
        <f t="shared" si="0"/>
        <v>1.6635770204279865E-2</v>
      </c>
      <c r="D50" s="21">
        <f t="shared" si="1"/>
        <v>3.9242892924661557E-2</v>
      </c>
      <c r="H50" s="13">
        <f>'Data Set'!B52</f>
        <v>42062</v>
      </c>
      <c r="I50" s="22">
        <f t="shared" si="4"/>
        <v>2.7365985708724101</v>
      </c>
      <c r="J50" s="22">
        <f t="shared" si="3"/>
        <v>28.392978073767992</v>
      </c>
    </row>
    <row r="51" spans="1:10">
      <c r="A51" s="19" t="s">
        <v>1909</v>
      </c>
      <c r="B51" s="19">
        <v>2.6073788484172402</v>
      </c>
      <c r="C51" s="19">
        <f t="shared" si="0"/>
        <v>-7.1202287623299831E-3</v>
      </c>
      <c r="D51" s="21">
        <f t="shared" si="1"/>
        <v>3.938307590544423E-2</v>
      </c>
      <c r="H51" s="13">
        <f>'Data Set'!B53</f>
        <v>42094</v>
      </c>
      <c r="I51" s="22">
        <f t="shared" si="4"/>
        <v>2.66103516127894</v>
      </c>
      <c r="J51" s="22">
        <f t="shared" si="3"/>
        <v>-7.5563409593470077</v>
      </c>
    </row>
    <row r="52" spans="1:10">
      <c r="A52" s="19" t="s">
        <v>1910</v>
      </c>
      <c r="B52" s="19">
        <v>2.6144990771795702</v>
      </c>
      <c r="C52" s="19">
        <f t="shared" si="0"/>
        <v>3.6193199096001827E-3</v>
      </c>
      <c r="D52" s="21">
        <f t="shared" si="1"/>
        <v>4.0156917358833338E-2</v>
      </c>
      <c r="H52" s="13">
        <f>'Data Set'!B54</f>
        <v>42124</v>
      </c>
      <c r="I52" s="22">
        <f t="shared" si="4"/>
        <v>2.7480147229669498</v>
      </c>
      <c r="J52" s="22">
        <f t="shared" si="3"/>
        <v>8.6979561688009799</v>
      </c>
    </row>
    <row r="53" spans="1:10">
      <c r="A53" s="19" t="s">
        <v>1911</v>
      </c>
      <c r="B53" s="19">
        <v>2.61087975726997</v>
      </c>
      <c r="C53" s="19">
        <f t="shared" si="0"/>
        <v>-4.7922998403440165E-2</v>
      </c>
      <c r="D53" s="21">
        <f t="shared" si="1"/>
        <v>4.0284935559692064E-2</v>
      </c>
      <c r="H53" s="13">
        <f>'Data Set'!B55</f>
        <v>42153</v>
      </c>
      <c r="I53" s="22">
        <f t="shared" si="4"/>
        <v>2.8125589424365498</v>
      </c>
      <c r="J53" s="22">
        <f t="shared" si="3"/>
        <v>6.4544219469599984</v>
      </c>
    </row>
    <row r="54" spans="1:10">
      <c r="A54" s="19" t="s">
        <v>1912</v>
      </c>
      <c r="B54" s="19">
        <v>2.6588027556734102</v>
      </c>
      <c r="C54" s="19">
        <f t="shared" si="0"/>
        <v>0.10806159998161036</v>
      </c>
      <c r="D54" s="21">
        <f t="shared" si="1"/>
        <v>3.9854585505108168E-2</v>
      </c>
      <c r="H54" s="13">
        <f>'Data Set'!B56</f>
        <v>42185</v>
      </c>
      <c r="I54" s="22">
        <f t="shared" si="4"/>
        <v>3.0732804432921599</v>
      </c>
      <c r="J54" s="22">
        <f t="shared" si="3"/>
        <v>26.072150085561006</v>
      </c>
    </row>
    <row r="55" spans="1:10">
      <c r="A55" s="19" t="s">
        <v>1913</v>
      </c>
      <c r="B55" s="19">
        <v>2.5507411556917998</v>
      </c>
      <c r="C55" s="19">
        <f t="shared" si="0"/>
        <v>2.6425829501119935E-2</v>
      </c>
      <c r="D55" s="21">
        <f t="shared" si="1"/>
        <v>3.7422757061146228E-2</v>
      </c>
      <c r="H55" s="13">
        <f>'Data Set'!B57</f>
        <v>42216</v>
      </c>
      <c r="I55" s="22">
        <f t="shared" si="4"/>
        <v>2.9155081259623699</v>
      </c>
      <c r="J55" s="22">
        <f t="shared" si="3"/>
        <v>-15.777231732979002</v>
      </c>
    </row>
    <row r="56" spans="1:10">
      <c r="A56" s="19" t="s">
        <v>1914</v>
      </c>
      <c r="B56" s="19">
        <v>2.5243153261906799</v>
      </c>
      <c r="C56" s="19">
        <f t="shared" si="0"/>
        <v>4.0827469639239666E-2</v>
      </c>
      <c r="D56" s="21">
        <f t="shared" si="1"/>
        <v>3.7281384982178506E-2</v>
      </c>
      <c r="H56" s="13">
        <f>'Data Set'!B58</f>
        <v>42247</v>
      </c>
      <c r="I56" s="22">
        <f t="shared" si="4"/>
        <v>2.9344470402340699</v>
      </c>
      <c r="J56" s="22">
        <f t="shared" si="3"/>
        <v>1.8938914271700025</v>
      </c>
    </row>
    <row r="57" spans="1:10">
      <c r="A57" s="19" t="s">
        <v>1915</v>
      </c>
      <c r="B57" s="19">
        <v>2.4834878565514402</v>
      </c>
      <c r="C57" s="19">
        <f t="shared" si="0"/>
        <v>-4.2308253116149608E-2</v>
      </c>
      <c r="D57" s="21">
        <f t="shared" si="1"/>
        <v>3.6888106999758787E-2</v>
      </c>
      <c r="H57" s="13">
        <f>'Data Set'!B59</f>
        <v>42277</v>
      </c>
      <c r="I57" s="22">
        <f t="shared" si="4"/>
        <v>2.8018988061488499</v>
      </c>
      <c r="J57" s="22">
        <f t="shared" si="3"/>
        <v>-13.254823408521998</v>
      </c>
    </row>
    <row r="58" spans="1:10">
      <c r="A58" s="19" t="s">
        <v>1916</v>
      </c>
      <c r="B58" s="19">
        <v>2.5257961096675898</v>
      </c>
      <c r="C58" s="19">
        <f t="shared" si="0"/>
        <v>1.2041415054179883E-2</v>
      </c>
      <c r="D58" s="21">
        <f t="shared" si="1"/>
        <v>3.7266714567007024E-2</v>
      </c>
      <c r="H58" s="13">
        <f>'Data Set'!B60</f>
        <v>42307</v>
      </c>
      <c r="I58" s="22">
        <f t="shared" si="4"/>
        <v>2.8444181025455899</v>
      </c>
      <c r="J58" s="22">
        <f t="shared" si="3"/>
        <v>4.2519296396740014</v>
      </c>
    </row>
    <row r="59" spans="1:10">
      <c r="A59" s="19" t="s">
        <v>1917</v>
      </c>
      <c r="B59" s="19">
        <v>2.5137546946134099</v>
      </c>
      <c r="C59" s="19">
        <f t="shared" si="0"/>
        <v>-4.4525973189899481E-3</v>
      </c>
      <c r="D59" s="21">
        <f t="shared" si="1"/>
        <v>3.7631766819152999E-2</v>
      </c>
      <c r="H59" s="13">
        <f>'Data Set'!B61</f>
        <v>42338</v>
      </c>
      <c r="I59" s="22">
        <f t="shared" si="4"/>
        <v>2.9474672658602201</v>
      </c>
      <c r="J59" s="22">
        <f t="shared" ref="J59" si="5">(I59-I58)*100</f>
        <v>10.304916331463021</v>
      </c>
    </row>
    <row r="60" spans="1:10">
      <c r="A60" s="19" t="s">
        <v>1918</v>
      </c>
      <c r="B60" s="19">
        <v>2.5182072919323999</v>
      </c>
      <c r="C60" s="19">
        <f t="shared" si="0"/>
        <v>1.5523563124200113E-2</v>
      </c>
      <c r="D60" s="21">
        <f t="shared" si="1"/>
        <v>3.7640045361943812E-2</v>
      </c>
      <c r="H60" s="13">
        <f>'Data Set'!B62</f>
        <v>42369</v>
      </c>
      <c r="I60" s="22">
        <f t="shared" si="4"/>
        <v>3.0053894082817201</v>
      </c>
      <c r="J60" s="22">
        <f t="shared" ref="J60" si="6">(I60-I59)*100</f>
        <v>5.7922142421499956</v>
      </c>
    </row>
    <row r="61" spans="1:10">
      <c r="A61" s="19" t="s">
        <v>1919</v>
      </c>
      <c r="B61" s="19">
        <v>2.5026837288081998</v>
      </c>
      <c r="C61" s="19">
        <f t="shared" si="0"/>
        <v>-1.423874370187006E-2</v>
      </c>
      <c r="D61" s="21">
        <f t="shared" si="1"/>
        <v>4.104367618058688E-2</v>
      </c>
      <c r="H61" s="13">
        <f>'Data Set'!B63</f>
        <v>42398</v>
      </c>
      <c r="I61" s="22">
        <f t="shared" si="4"/>
        <v>2.6475345232254401</v>
      </c>
      <c r="J61" s="22">
        <f t="shared" ref="J61" si="7">(I61-I60)*100</f>
        <v>-35.785488505627995</v>
      </c>
    </row>
    <row r="62" spans="1:10">
      <c r="A62" s="19" t="s">
        <v>1920</v>
      </c>
      <c r="B62" s="19">
        <v>2.5169224725100698</v>
      </c>
      <c r="C62" s="19">
        <f t="shared" si="0"/>
        <v>4.560865505700562E-4</v>
      </c>
      <c r="D62" s="21">
        <f t="shared" si="1"/>
        <v>4.1599544037503357E-2</v>
      </c>
      <c r="H62" s="13">
        <f>'Data Set'!B64</f>
        <v>42429</v>
      </c>
      <c r="I62" s="22">
        <f t="shared" si="4"/>
        <v>2.52735457322752</v>
      </c>
      <c r="J62" s="22">
        <f t="shared" ref="J62" si="8">(I62-I61)*100</f>
        <v>-12.017994999792014</v>
      </c>
    </row>
    <row r="63" spans="1:10">
      <c r="A63" s="19" t="s">
        <v>1921</v>
      </c>
      <c r="B63" s="19">
        <v>2.5164663859594998</v>
      </c>
      <c r="C63" s="19">
        <f t="shared" si="0"/>
        <v>-3.5678884817220258E-2</v>
      </c>
      <c r="D63" s="21">
        <f t="shared" si="1"/>
        <v>4.1707040587518777E-2</v>
      </c>
      <c r="H63" s="13">
        <f>'Data Set'!B65</f>
        <v>42460</v>
      </c>
      <c r="I63" s="22">
        <f t="shared" si="4"/>
        <v>2.5397621553493499</v>
      </c>
      <c r="J63" s="22">
        <f t="shared" ref="J63:J64" si="9">(I63-I62)*100</f>
        <v>1.2407582121829908</v>
      </c>
    </row>
    <row r="64" spans="1:10">
      <c r="A64" s="19" t="s">
        <v>1922</v>
      </c>
      <c r="B64" s="19">
        <v>2.55214527077672</v>
      </c>
      <c r="C64" s="19">
        <f t="shared" si="0"/>
        <v>4.6186968599899458E-3</v>
      </c>
      <c r="D64" s="21">
        <f t="shared" si="1"/>
        <v>4.1580361662721492E-2</v>
      </c>
      <c r="H64" s="13">
        <f>'Data Set'!B66</f>
        <v>42489</v>
      </c>
      <c r="I64" s="22">
        <f t="shared" si="4"/>
        <v>2.5646426996598599</v>
      </c>
      <c r="J64" s="22">
        <f t="shared" si="9"/>
        <v>2.4880544310510011</v>
      </c>
    </row>
    <row r="65" spans="1:10">
      <c r="A65" s="19" t="s">
        <v>1858</v>
      </c>
      <c r="B65" s="19">
        <v>2.5475265739167301</v>
      </c>
      <c r="C65" s="19">
        <f t="shared" si="0"/>
        <v>-6.0794820953180118E-2</v>
      </c>
      <c r="D65" s="21">
        <f t="shared" si="1"/>
        <v>4.2848645864626014E-2</v>
      </c>
      <c r="H65" s="13">
        <f>'Data Set'!B67</f>
        <v>42521</v>
      </c>
      <c r="I65" s="22">
        <f t="shared" si="4"/>
        <v>2.5912536258674699</v>
      </c>
      <c r="J65" s="22">
        <f t="shared" ref="J65" si="10">(I65-I64)*100</f>
        <v>2.6610926207609964</v>
      </c>
    </row>
    <row r="66" spans="1:10">
      <c r="A66" s="19" t="s">
        <v>1859</v>
      </c>
      <c r="B66" s="19">
        <v>2.6083213948699102</v>
      </c>
      <c r="C66" s="19">
        <f t="shared" ref="C66:C129" si="11">B66-B67</f>
        <v>4.36786952100503E-2</v>
      </c>
      <c r="D66" s="21">
        <f t="shared" ref="D66:D129" si="12">STDEV(C66:C125)</f>
        <v>4.2141132077790626E-2</v>
      </c>
      <c r="H66" s="13">
        <v>42551</v>
      </c>
      <c r="I66" s="22">
        <f t="shared" si="4"/>
        <v>2.2474863691242</v>
      </c>
      <c r="J66" s="22">
        <f t="shared" ref="J66" si="13">(I66-I65)*100</f>
        <v>-34.376725674326991</v>
      </c>
    </row>
    <row r="67" spans="1:10">
      <c r="A67" s="19" t="s">
        <v>1860</v>
      </c>
      <c r="B67" s="19">
        <v>2.5646426996598599</v>
      </c>
      <c r="C67" s="19">
        <f t="shared" si="11"/>
        <v>-1.7647672800479963E-2</v>
      </c>
      <c r="D67" s="21">
        <f t="shared" si="12"/>
        <v>4.1751502939592587E-2</v>
      </c>
      <c r="H67" s="13">
        <v>42580</v>
      </c>
      <c r="I67" s="22">
        <f t="shared" ref="I67:I98" si="14">VLOOKUP(TEXT(H67,"yyyy-mm-dd"),A:B,2,0)</f>
        <v>2.2658760705109899</v>
      </c>
      <c r="J67" s="22">
        <f t="shared" ref="J67" si="15">(I67-I66)*100</f>
        <v>1.8389701386789969</v>
      </c>
    </row>
    <row r="68" spans="1:10">
      <c r="A68" s="19" t="s">
        <v>1861</v>
      </c>
      <c r="B68" s="19">
        <v>2.5822903724603399</v>
      </c>
      <c r="C68" s="19">
        <f t="shared" si="11"/>
        <v>-4.7722864498970008E-2</v>
      </c>
      <c r="D68" s="21">
        <f t="shared" si="12"/>
        <v>4.1693693240159369E-2</v>
      </c>
    </row>
    <row r="69" spans="1:10">
      <c r="A69" s="19" t="s">
        <v>1862</v>
      </c>
      <c r="B69" s="19">
        <v>2.6300132369593099</v>
      </c>
      <c r="C69" s="19">
        <f t="shared" si="11"/>
        <v>-4.6152891991189993E-2</v>
      </c>
      <c r="D69" s="21">
        <f t="shared" si="12"/>
        <v>4.2879963190708636E-2</v>
      </c>
    </row>
    <row r="70" spans="1:10">
      <c r="A70" s="19" t="s">
        <v>1863</v>
      </c>
      <c r="B70" s="19">
        <v>2.6761661289504999</v>
      </c>
      <c r="C70" s="19">
        <f t="shared" si="11"/>
        <v>1.4642797886970094E-2</v>
      </c>
      <c r="D70" s="21">
        <f t="shared" si="12"/>
        <v>4.3204379932296026E-2</v>
      </c>
    </row>
    <row r="71" spans="1:10">
      <c r="A71" s="19" t="s">
        <v>1864</v>
      </c>
      <c r="B71" s="19">
        <v>2.6615233310635298</v>
      </c>
      <c r="C71" s="19">
        <f t="shared" si="11"/>
        <v>6.498829384329774E-3</v>
      </c>
      <c r="D71" s="21">
        <f t="shared" si="12"/>
        <v>4.3843733864838794E-2</v>
      </c>
    </row>
    <row r="72" spans="1:10">
      <c r="A72" s="19" t="s">
        <v>1865</v>
      </c>
      <c r="B72" s="19">
        <v>2.6550245016792</v>
      </c>
      <c r="C72" s="19">
        <f t="shared" si="11"/>
        <v>1.4548095918249793E-2</v>
      </c>
      <c r="D72" s="21">
        <f t="shared" si="12"/>
        <v>4.3982284194575963E-2</v>
      </c>
    </row>
    <row r="73" spans="1:10">
      <c r="A73" s="19" t="s">
        <v>1866</v>
      </c>
      <c r="B73" s="19">
        <v>2.6404764057609502</v>
      </c>
      <c r="C73" s="19">
        <f t="shared" si="11"/>
        <v>1.5421668820760015E-2</v>
      </c>
      <c r="D73" s="21">
        <f t="shared" si="12"/>
        <v>4.3938861311691432E-2</v>
      </c>
    </row>
    <row r="74" spans="1:10">
      <c r="A74" s="19" t="s">
        <v>1867</v>
      </c>
      <c r="B74" s="19">
        <v>2.6250547369401902</v>
      </c>
      <c r="C74" s="19">
        <f t="shared" si="11"/>
        <v>8.1337936304230141E-2</v>
      </c>
      <c r="D74" s="21">
        <f t="shared" si="12"/>
        <v>4.4137873093096157E-2</v>
      </c>
    </row>
    <row r="75" spans="1:10">
      <c r="A75" s="19" t="s">
        <v>1868</v>
      </c>
      <c r="B75" s="19">
        <v>2.5437168006359601</v>
      </c>
      <c r="C75" s="19">
        <f t="shared" si="11"/>
        <v>2.5603602534600256E-2</v>
      </c>
      <c r="D75" s="21">
        <f t="shared" si="12"/>
        <v>4.2786777043293409E-2</v>
      </c>
    </row>
    <row r="76" spans="1:10">
      <c r="A76" s="19" t="s">
        <v>1869</v>
      </c>
      <c r="B76" s="19">
        <v>2.5181131981013598</v>
      </c>
      <c r="C76" s="19">
        <f t="shared" si="11"/>
        <v>9.8083207082098056E-3</v>
      </c>
      <c r="D76" s="21">
        <f t="shared" si="12"/>
        <v>4.2779969331937208E-2</v>
      </c>
    </row>
    <row r="77" spans="1:10">
      <c r="A77" s="19" t="s">
        <v>1870</v>
      </c>
      <c r="B77" s="19">
        <v>2.50830487739315</v>
      </c>
      <c r="C77" s="19">
        <f t="shared" si="11"/>
        <v>-4.7670555938301717E-3</v>
      </c>
      <c r="D77" s="21">
        <f t="shared" si="12"/>
        <v>4.2891471397709734E-2</v>
      </c>
    </row>
    <row r="78" spans="1:10">
      <c r="A78" s="19" t="s">
        <v>1871</v>
      </c>
      <c r="B78" s="19">
        <v>2.5130719329869802</v>
      </c>
      <c r="C78" s="19">
        <f t="shared" si="11"/>
        <v>9.6758333595037271E-4</v>
      </c>
      <c r="D78" s="21">
        <f t="shared" si="12"/>
        <v>4.3274968052416936E-2</v>
      </c>
    </row>
    <row r="79" spans="1:10">
      <c r="A79" s="19" t="s">
        <v>1872</v>
      </c>
      <c r="B79" s="19">
        <v>2.5121043496510298</v>
      </c>
      <c r="C79" s="19">
        <f t="shared" si="11"/>
        <v>-1.3039853828680226E-2</v>
      </c>
      <c r="D79" s="21">
        <f t="shared" si="12"/>
        <v>4.3290060806572099E-2</v>
      </c>
    </row>
    <row r="80" spans="1:10">
      <c r="A80" s="19" t="s">
        <v>1873</v>
      </c>
      <c r="B80" s="19">
        <v>2.52514420347971</v>
      </c>
      <c r="C80" s="19">
        <f t="shared" si="11"/>
        <v>4.8949505751759936E-2</v>
      </c>
      <c r="D80" s="21">
        <f t="shared" si="12"/>
        <v>4.3563869243991388E-2</v>
      </c>
    </row>
    <row r="81" spans="1:4">
      <c r="A81" s="19" t="s">
        <v>1874</v>
      </c>
      <c r="B81" s="19">
        <v>2.4761946977279501</v>
      </c>
      <c r="C81" s="19">
        <f t="shared" si="11"/>
        <v>-2.1078763028992142E-4</v>
      </c>
      <c r="D81" s="21">
        <f t="shared" si="12"/>
        <v>4.3052553781441585E-2</v>
      </c>
    </row>
    <row r="82" spans="1:4">
      <c r="A82" s="19" t="s">
        <v>1875</v>
      </c>
      <c r="B82" s="19">
        <v>2.47640548535824</v>
      </c>
      <c r="C82" s="19">
        <f t="shared" si="11"/>
        <v>3.616412086330012E-3</v>
      </c>
      <c r="D82" s="21">
        <f t="shared" si="12"/>
        <v>4.3157878854683772E-2</v>
      </c>
    </row>
    <row r="83" spans="1:4">
      <c r="A83" s="19" t="s">
        <v>1876</v>
      </c>
      <c r="B83" s="19">
        <v>2.47278907327191</v>
      </c>
      <c r="C83" s="19">
        <f t="shared" si="11"/>
        <v>-4.7878549098620216E-2</v>
      </c>
      <c r="D83" s="21">
        <f t="shared" si="12"/>
        <v>4.3602133194567842E-2</v>
      </c>
    </row>
    <row r="84" spans="1:4">
      <c r="A84" s="19" t="s">
        <v>1877</v>
      </c>
      <c r="B84" s="19">
        <v>2.5206676223705302</v>
      </c>
      <c r="C84" s="19">
        <f t="shared" si="11"/>
        <v>3.0221782850590184E-2</v>
      </c>
      <c r="D84" s="21">
        <f t="shared" si="12"/>
        <v>4.3339742634613848E-2</v>
      </c>
    </row>
    <row r="85" spans="1:4">
      <c r="A85" s="19" t="s">
        <v>1878</v>
      </c>
      <c r="B85" s="19">
        <v>2.49044583951994</v>
      </c>
      <c r="C85" s="19">
        <f t="shared" si="11"/>
        <v>-3.6757257838940127E-2</v>
      </c>
      <c r="D85" s="21">
        <f t="shared" si="12"/>
        <v>4.3152661813460676E-2</v>
      </c>
    </row>
    <row r="86" spans="1:4">
      <c r="A86" s="19" t="s">
        <v>1879</v>
      </c>
      <c r="B86" s="19">
        <v>2.5272030973588802</v>
      </c>
      <c r="C86" s="19">
        <f t="shared" si="11"/>
        <v>-8.2098132357200093E-3</v>
      </c>
      <c r="D86" s="21">
        <f t="shared" si="12"/>
        <v>4.3018944692238541E-2</v>
      </c>
    </row>
    <row r="87" spans="1:4">
      <c r="A87" s="19" t="s">
        <v>1880</v>
      </c>
      <c r="B87" s="19">
        <v>2.5354129105946002</v>
      </c>
      <c r="C87" s="19">
        <f t="shared" si="11"/>
        <v>-4.349244754749737E-3</v>
      </c>
      <c r="D87" s="21">
        <f t="shared" si="12"/>
        <v>4.3600394657956072E-2</v>
      </c>
    </row>
    <row r="88" spans="1:4">
      <c r="A88" s="19" t="s">
        <v>1881</v>
      </c>
      <c r="B88" s="19">
        <v>2.5397621553493499</v>
      </c>
      <c r="C88" s="19">
        <f t="shared" si="11"/>
        <v>-5.3451115948180306E-2</v>
      </c>
      <c r="D88" s="21">
        <f t="shared" si="12"/>
        <v>4.3615121194059546E-2</v>
      </c>
    </row>
    <row r="89" spans="1:4">
      <c r="A89" s="19" t="s">
        <v>1882</v>
      </c>
      <c r="B89" s="19">
        <v>2.5932132712975302</v>
      </c>
      <c r="C89" s="19">
        <f t="shared" si="11"/>
        <v>1.1359437247100423E-2</v>
      </c>
      <c r="D89" s="21">
        <f t="shared" si="12"/>
        <v>4.3202128672388346E-2</v>
      </c>
    </row>
    <row r="90" spans="1:4">
      <c r="A90" s="19" t="s">
        <v>1883</v>
      </c>
      <c r="B90" s="19">
        <v>2.5818538340504298</v>
      </c>
      <c r="C90" s="19">
        <f t="shared" si="11"/>
        <v>-9.660348916944006E-2</v>
      </c>
      <c r="D90" s="21">
        <f t="shared" si="12"/>
        <v>4.338394886694754E-2</v>
      </c>
    </row>
    <row r="91" spans="1:4">
      <c r="A91" s="19" t="s">
        <v>1884</v>
      </c>
      <c r="B91" s="19">
        <v>2.6784573232198698</v>
      </c>
      <c r="C91" s="19">
        <f t="shared" si="11"/>
        <v>-1.3986862199690364E-2</v>
      </c>
      <c r="D91" s="21">
        <f t="shared" si="12"/>
        <v>4.1788587797809966E-2</v>
      </c>
    </row>
    <row r="92" spans="1:4">
      <c r="A92" s="19" t="s">
        <v>1885</v>
      </c>
      <c r="B92" s="19">
        <v>2.6924441854195602</v>
      </c>
      <c r="C92" s="19">
        <f t="shared" si="11"/>
        <v>2.6597463283500211E-2</v>
      </c>
      <c r="D92" s="21">
        <f t="shared" si="12"/>
        <v>4.2502900818956718E-2</v>
      </c>
    </row>
    <row r="93" spans="1:4">
      <c r="A93" s="19" t="s">
        <v>1886</v>
      </c>
      <c r="B93" s="19">
        <v>2.66584672213606</v>
      </c>
      <c r="C93" s="19">
        <f t="shared" si="11"/>
        <v>-5.2321273083809849E-2</v>
      </c>
      <c r="D93" s="21">
        <f t="shared" si="12"/>
        <v>4.2368014866862577E-2</v>
      </c>
    </row>
    <row r="94" spans="1:4">
      <c r="A94" s="19" t="s">
        <v>1887</v>
      </c>
      <c r="B94" s="19">
        <v>2.7181679952198698</v>
      </c>
      <c r="C94" s="19">
        <f t="shared" si="11"/>
        <v>1.8187553585319982E-2</v>
      </c>
      <c r="D94" s="21">
        <f t="shared" si="12"/>
        <v>4.1948869639209928E-2</v>
      </c>
    </row>
    <row r="95" spans="1:4">
      <c r="A95" s="19" t="s">
        <v>1888</v>
      </c>
      <c r="B95" s="19">
        <v>2.6999804416345499</v>
      </c>
      <c r="C95" s="19">
        <f t="shared" si="11"/>
        <v>5.5636937544089715E-2</v>
      </c>
      <c r="D95" s="21">
        <f t="shared" si="12"/>
        <v>4.2021120171851611E-2</v>
      </c>
    </row>
    <row r="96" spans="1:4">
      <c r="A96" s="19" t="s">
        <v>1889</v>
      </c>
      <c r="B96" s="19">
        <v>2.6443435040904602</v>
      </c>
      <c r="C96" s="19">
        <f t="shared" si="11"/>
        <v>-6.4210170990897097E-3</v>
      </c>
      <c r="D96" s="21">
        <f t="shared" si="12"/>
        <v>4.1774148332492135E-2</v>
      </c>
    </row>
    <row r="97" spans="1:4">
      <c r="A97" s="19" t="s">
        <v>1890</v>
      </c>
      <c r="B97" s="19">
        <v>2.6507645211895499</v>
      </c>
      <c r="C97" s="19">
        <f t="shared" si="11"/>
        <v>-4.8143470675610089E-2</v>
      </c>
      <c r="D97" s="21">
        <f t="shared" si="12"/>
        <v>4.1808371100986876E-2</v>
      </c>
    </row>
    <row r="98" spans="1:4">
      <c r="A98" s="19" t="s">
        <v>1891</v>
      </c>
      <c r="B98" s="19">
        <v>2.6989079918651599</v>
      </c>
      <c r="C98" s="19">
        <f t="shared" si="11"/>
        <v>-4.9958778357209965E-2</v>
      </c>
      <c r="D98" s="21">
        <f t="shared" si="12"/>
        <v>4.154193980563891E-2</v>
      </c>
    </row>
    <row r="99" spans="1:4">
      <c r="A99" s="19" t="s">
        <v>1892</v>
      </c>
      <c r="B99" s="19">
        <v>2.7488667702223699</v>
      </c>
      <c r="C99" s="19">
        <f t="shared" si="11"/>
        <v>1.865542696207001E-2</v>
      </c>
      <c r="D99" s="21">
        <f t="shared" si="12"/>
        <v>4.1376372922513095E-2</v>
      </c>
    </row>
    <row r="100" spans="1:4">
      <c r="A100" s="19" t="s">
        <v>1893</v>
      </c>
      <c r="B100" s="19">
        <v>2.7302113432602999</v>
      </c>
      <c r="C100" s="19">
        <f t="shared" si="11"/>
        <v>-1.0974430390130241E-2</v>
      </c>
      <c r="D100" s="21">
        <f t="shared" si="12"/>
        <v>4.128699854174224E-2</v>
      </c>
    </row>
    <row r="101" spans="1:4">
      <c r="A101" s="19" t="s">
        <v>1894</v>
      </c>
      <c r="B101" s="19">
        <v>2.7411857736504301</v>
      </c>
      <c r="C101" s="19">
        <f t="shared" si="11"/>
        <v>3.2485628558770241E-2</v>
      </c>
      <c r="D101" s="21">
        <f t="shared" si="12"/>
        <v>4.1553705193059044E-2</v>
      </c>
    </row>
    <row r="102" spans="1:4">
      <c r="A102" s="19" t="s">
        <v>1895</v>
      </c>
      <c r="B102" s="19">
        <v>2.7087001450916599</v>
      </c>
      <c r="C102" s="19">
        <f t="shared" si="11"/>
        <v>9.3840629245001139E-3</v>
      </c>
      <c r="D102" s="21">
        <f t="shared" si="12"/>
        <v>4.2255413253091713E-2</v>
      </c>
    </row>
    <row r="103" spans="1:4">
      <c r="A103" s="19" t="s">
        <v>1896</v>
      </c>
      <c r="B103" s="19">
        <v>2.6993160821671598</v>
      </c>
      <c r="C103" s="19">
        <f t="shared" si="11"/>
        <v>6.7491402420309932E-2</v>
      </c>
      <c r="D103" s="21">
        <f t="shared" si="12"/>
        <v>4.3002231848499842E-2</v>
      </c>
    </row>
    <row r="104" spans="1:4">
      <c r="A104" s="19" t="s">
        <v>1897</v>
      </c>
      <c r="B104" s="19">
        <v>2.6318246797468499</v>
      </c>
      <c r="C104" s="19">
        <f t="shared" si="11"/>
        <v>-4.7891271046210271E-2</v>
      </c>
      <c r="D104" s="21">
        <f t="shared" si="12"/>
        <v>4.2342000870062124E-2</v>
      </c>
    </row>
    <row r="105" spans="1:4">
      <c r="A105" s="19" t="s">
        <v>1898</v>
      </c>
      <c r="B105" s="19">
        <v>2.6797159507930601</v>
      </c>
      <c r="C105" s="19">
        <f t="shared" si="11"/>
        <v>3.4072237776290315E-2</v>
      </c>
      <c r="D105" s="21">
        <f t="shared" si="12"/>
        <v>4.2001053127449763E-2</v>
      </c>
    </row>
    <row r="106" spans="1:4">
      <c r="A106" s="19" t="s">
        <v>1899</v>
      </c>
      <c r="B106" s="19">
        <v>2.6456437130167698</v>
      </c>
      <c r="C106" s="19">
        <f t="shared" si="11"/>
        <v>4.1612094505039998E-2</v>
      </c>
      <c r="D106" s="21">
        <f t="shared" si="12"/>
        <v>4.187478863049602E-2</v>
      </c>
    </row>
    <row r="107" spans="1:4">
      <c r="A107" s="19" t="s">
        <v>1900</v>
      </c>
      <c r="B107" s="19">
        <v>2.6040316185117298</v>
      </c>
      <c r="C107" s="19">
        <f t="shared" si="11"/>
        <v>-3.3155057409300248E-2</v>
      </c>
      <c r="D107" s="21">
        <f t="shared" si="12"/>
        <v>4.1758637451033399E-2</v>
      </c>
    </row>
    <row r="108" spans="1:4">
      <c r="A108" s="19" t="s">
        <v>1901</v>
      </c>
      <c r="B108" s="19">
        <v>2.6371866759210301</v>
      </c>
      <c r="C108" s="19">
        <f t="shared" si="11"/>
        <v>2.1175289019749854E-2</v>
      </c>
      <c r="D108" s="21">
        <f t="shared" si="12"/>
        <v>4.2144105832254829E-2</v>
      </c>
    </row>
    <row r="109" spans="1:4">
      <c r="A109" s="19" t="s">
        <v>1902</v>
      </c>
      <c r="B109" s="19">
        <v>2.6160113869012802</v>
      </c>
      <c r="C109" s="19">
        <f t="shared" si="11"/>
        <v>8.8656813673760215E-2</v>
      </c>
      <c r="D109" s="21">
        <f t="shared" si="12"/>
        <v>4.5982233039502309E-2</v>
      </c>
    </row>
    <row r="110" spans="1:4">
      <c r="A110" s="19" t="s">
        <v>1840</v>
      </c>
      <c r="B110" s="19">
        <v>2.52735457322752</v>
      </c>
      <c r="C110" s="19">
        <f t="shared" si="11"/>
        <v>-2.8556567220140217E-2</v>
      </c>
      <c r="D110" s="21">
        <f t="shared" si="12"/>
        <v>4.445911293347353E-2</v>
      </c>
    </row>
    <row r="111" spans="1:4">
      <c r="A111" s="19" t="s">
        <v>1841</v>
      </c>
      <c r="B111" s="19">
        <v>2.5559111404476602</v>
      </c>
      <c r="C111" s="19">
        <f t="shared" si="11"/>
        <v>6.230292843576013E-2</v>
      </c>
      <c r="D111" s="21">
        <f t="shared" si="12"/>
        <v>4.4774396462754627E-2</v>
      </c>
    </row>
    <row r="112" spans="1:4">
      <c r="A112" s="19" t="s">
        <v>1842</v>
      </c>
      <c r="B112" s="19">
        <v>2.4936082120119001</v>
      </c>
      <c r="C112" s="19">
        <f t="shared" si="11"/>
        <v>-2.2923059505639998E-2</v>
      </c>
      <c r="D112" s="21">
        <f t="shared" si="12"/>
        <v>4.3864146550125445E-2</v>
      </c>
    </row>
    <row r="113" spans="1:4">
      <c r="A113" s="19" t="s">
        <v>1843</v>
      </c>
      <c r="B113" s="19">
        <v>2.5165312715175401</v>
      </c>
      <c r="C113" s="19">
        <f t="shared" si="11"/>
        <v>-1.9135473041529849E-2</v>
      </c>
      <c r="D113" s="21">
        <f t="shared" si="12"/>
        <v>4.3819331644430096E-2</v>
      </c>
    </row>
    <row r="114" spans="1:4">
      <c r="A114" s="19" t="s">
        <v>1844</v>
      </c>
      <c r="B114" s="19">
        <v>2.5356667445590699</v>
      </c>
      <c r="C114" s="19">
        <f t="shared" si="11"/>
        <v>-1.8362802567839953E-2</v>
      </c>
      <c r="D114" s="21">
        <f t="shared" si="12"/>
        <v>4.3797245882685444E-2</v>
      </c>
    </row>
    <row r="115" spans="1:4">
      <c r="A115" s="19" t="s">
        <v>1845</v>
      </c>
      <c r="B115" s="19">
        <v>2.5540295471269099</v>
      </c>
      <c r="C115" s="19">
        <f t="shared" si="11"/>
        <v>9.0635549000199767E-3</v>
      </c>
      <c r="D115" s="21">
        <f t="shared" si="12"/>
        <v>4.3773419204781602E-2</v>
      </c>
    </row>
    <row r="116" spans="1:4">
      <c r="A116" s="19" t="s">
        <v>1846</v>
      </c>
      <c r="B116" s="19">
        <v>2.5449659922268899</v>
      </c>
      <c r="C116" s="19">
        <f t="shared" si="11"/>
        <v>6.6063994434983897E-4</v>
      </c>
      <c r="D116" s="21">
        <f t="shared" si="12"/>
        <v>4.3733840635725128E-2</v>
      </c>
    </row>
    <row r="117" spans="1:4">
      <c r="A117" s="19" t="s">
        <v>1847</v>
      </c>
      <c r="B117" s="19">
        <v>2.5443053522825401</v>
      </c>
      <c r="C117" s="19">
        <f t="shared" si="11"/>
        <v>-5.9034033969179944E-2</v>
      </c>
      <c r="D117" s="21">
        <f t="shared" si="12"/>
        <v>4.3876008107041273E-2</v>
      </c>
    </row>
    <row r="118" spans="1:4">
      <c r="A118" s="19" t="s">
        <v>1848</v>
      </c>
      <c r="B118" s="19">
        <v>2.60333938625172</v>
      </c>
      <c r="C118" s="19">
        <f t="shared" si="11"/>
        <v>4.1194373741809898E-2</v>
      </c>
      <c r="D118" s="21">
        <f t="shared" si="12"/>
        <v>4.339056069154841E-2</v>
      </c>
    </row>
    <row r="119" spans="1:4">
      <c r="A119" s="19" t="s">
        <v>1849</v>
      </c>
      <c r="B119" s="19">
        <v>2.5621450125099101</v>
      </c>
      <c r="C119" s="19">
        <f t="shared" si="11"/>
        <v>6.406300125810116E-3</v>
      </c>
      <c r="D119" s="21">
        <f t="shared" si="12"/>
        <v>4.2943035338327419E-2</v>
      </c>
    </row>
    <row r="120" spans="1:4">
      <c r="A120" s="19" t="s">
        <v>1850</v>
      </c>
      <c r="B120" s="19">
        <v>2.5557387123841</v>
      </c>
      <c r="C120" s="19">
        <f t="shared" si="11"/>
        <v>0.12692223512345002</v>
      </c>
      <c r="D120" s="21">
        <f t="shared" si="12"/>
        <v>4.2913975581502527E-2</v>
      </c>
    </row>
    <row r="121" spans="1:4">
      <c r="A121" s="19" t="s">
        <v>1851</v>
      </c>
      <c r="B121" s="19">
        <v>2.42881647726065</v>
      </c>
      <c r="C121" s="19">
        <f t="shared" si="11"/>
        <v>-5.3313798683079838E-2</v>
      </c>
      <c r="D121" s="21">
        <f t="shared" si="12"/>
        <v>3.9128090980429825E-2</v>
      </c>
    </row>
    <row r="122" spans="1:4">
      <c r="A122" s="19" t="s">
        <v>1852</v>
      </c>
      <c r="B122" s="19">
        <v>2.4821302759437298</v>
      </c>
      <c r="C122" s="19">
        <f t="shared" si="11"/>
        <v>-2.259832695359032E-2</v>
      </c>
      <c r="D122" s="21">
        <f t="shared" si="12"/>
        <v>3.8891290963918031E-2</v>
      </c>
    </row>
    <row r="123" spans="1:4">
      <c r="A123" s="19" t="s">
        <v>1853</v>
      </c>
      <c r="B123" s="19">
        <v>2.5047286028973201</v>
      </c>
      <c r="C123" s="19">
        <f t="shared" si="11"/>
        <v>-2.5614720167779659E-2</v>
      </c>
      <c r="D123" s="21">
        <f t="shared" si="12"/>
        <v>3.9003246043654058E-2</v>
      </c>
    </row>
    <row r="124" spans="1:4">
      <c r="A124" s="19" t="s">
        <v>1854</v>
      </c>
      <c r="B124" s="19">
        <v>2.5303433230650998</v>
      </c>
      <c r="C124" s="19">
        <f t="shared" si="11"/>
        <v>-7.9980331606010147E-2</v>
      </c>
      <c r="D124" s="21">
        <f t="shared" si="12"/>
        <v>3.8950175117480203E-2</v>
      </c>
    </row>
    <row r="125" spans="1:4">
      <c r="A125" s="19" t="s">
        <v>1855</v>
      </c>
      <c r="B125" s="19">
        <v>2.6103236546711099</v>
      </c>
      <c r="C125" s="19">
        <f t="shared" si="11"/>
        <v>-9.1990164479098802E-3</v>
      </c>
      <c r="D125" s="21">
        <f t="shared" si="12"/>
        <v>3.8056956761094302E-2</v>
      </c>
    </row>
    <row r="126" spans="1:4">
      <c r="A126" s="19" t="s">
        <v>1856</v>
      </c>
      <c r="B126" s="19">
        <v>2.6195226711190198</v>
      </c>
      <c r="C126" s="19">
        <f t="shared" si="11"/>
        <v>4.4298554162196524E-3</v>
      </c>
      <c r="D126" s="21">
        <f t="shared" si="12"/>
        <v>3.9451086106545234E-2</v>
      </c>
    </row>
    <row r="127" spans="1:4">
      <c r="A127" s="19" t="s">
        <v>1857</v>
      </c>
      <c r="B127" s="19">
        <v>2.6150928157028002</v>
      </c>
      <c r="C127" s="19">
        <f t="shared" si="11"/>
        <v>-2.195997532929983E-3</v>
      </c>
      <c r="D127" s="21">
        <f t="shared" si="12"/>
        <v>3.945240420310956E-2</v>
      </c>
    </row>
    <row r="128" spans="1:4">
      <c r="A128" s="19" t="s">
        <v>1831</v>
      </c>
      <c r="B128" s="19">
        <v>2.6172888132357301</v>
      </c>
      <c r="C128" s="19">
        <f t="shared" si="11"/>
        <v>-9.0985944457689705E-2</v>
      </c>
      <c r="D128" s="21">
        <f t="shared" si="12"/>
        <v>3.9806080996810267E-2</v>
      </c>
    </row>
    <row r="129" spans="1:4">
      <c r="A129" s="19" t="s">
        <v>1807</v>
      </c>
      <c r="B129" s="19">
        <v>2.7082747576934199</v>
      </c>
      <c r="C129" s="19">
        <f t="shared" si="11"/>
        <v>6.0740234467979715E-2</v>
      </c>
      <c r="D129" s="21">
        <f t="shared" si="12"/>
        <v>3.844887141850574E-2</v>
      </c>
    </row>
    <row r="130" spans="1:4">
      <c r="A130" s="19" t="s">
        <v>1808</v>
      </c>
      <c r="B130" s="19">
        <v>2.6475345232254401</v>
      </c>
      <c r="C130" s="19">
        <f t="shared" ref="C130:C193" si="16">B130-B131</f>
        <v>-5.9317896392169889E-2</v>
      </c>
      <c r="D130" s="21">
        <f t="shared" ref="D130:D193" si="17">STDEV(C130:C189)</f>
        <v>3.7669474061333058E-2</v>
      </c>
    </row>
    <row r="131" spans="1:4">
      <c r="A131" s="19" t="s">
        <v>1809</v>
      </c>
      <c r="B131" s="19">
        <v>2.70685241961761</v>
      </c>
      <c r="C131" s="19">
        <f t="shared" si="16"/>
        <v>-2.8887786276059924E-2</v>
      </c>
      <c r="D131" s="21">
        <f t="shared" si="17"/>
        <v>3.7137136918108049E-2</v>
      </c>
    </row>
    <row r="132" spans="1:4">
      <c r="A132" s="19" t="s">
        <v>1810</v>
      </c>
      <c r="B132" s="19">
        <v>2.73574020589367</v>
      </c>
      <c r="C132" s="19">
        <f t="shared" si="16"/>
        <v>4.0569268357200094E-3</v>
      </c>
      <c r="D132" s="21">
        <f t="shared" si="17"/>
        <v>3.8486250293954548E-2</v>
      </c>
    </row>
    <row r="133" spans="1:4">
      <c r="A133" s="19" t="s">
        <v>1811</v>
      </c>
      <c r="B133" s="19">
        <v>2.7316832790579499</v>
      </c>
      <c r="C133" s="19">
        <f t="shared" si="16"/>
        <v>-3.8529662247240193E-2</v>
      </c>
      <c r="D133" s="21">
        <f t="shared" si="17"/>
        <v>3.9615174400947278E-2</v>
      </c>
    </row>
    <row r="134" spans="1:4">
      <c r="A134" s="19" t="s">
        <v>1812</v>
      </c>
      <c r="B134" s="19">
        <v>2.7702129413051901</v>
      </c>
      <c r="C134" s="19">
        <f t="shared" si="16"/>
        <v>-1.8277870571029808E-2</v>
      </c>
      <c r="D134" s="21">
        <f t="shared" si="17"/>
        <v>3.9514285931193938E-2</v>
      </c>
    </row>
    <row r="135" spans="1:4">
      <c r="A135" s="19" t="s">
        <v>1813</v>
      </c>
      <c r="B135" s="19">
        <v>2.7884908118762199</v>
      </c>
      <c r="C135" s="19">
        <f t="shared" si="16"/>
        <v>2.5019023001120022E-2</v>
      </c>
      <c r="D135" s="21">
        <f t="shared" si="17"/>
        <v>3.9493288731636864E-2</v>
      </c>
    </row>
    <row r="136" spans="1:4">
      <c r="A136" s="19" t="s">
        <v>1814</v>
      </c>
      <c r="B136" s="19">
        <v>2.7634717888750999</v>
      </c>
      <c r="C136" s="19">
        <f t="shared" si="16"/>
        <v>2.3476206069919847E-2</v>
      </c>
      <c r="D136" s="21">
        <f t="shared" si="17"/>
        <v>3.9973176438821353E-2</v>
      </c>
    </row>
    <row r="137" spans="1:4">
      <c r="A137" s="19" t="s">
        <v>1815</v>
      </c>
      <c r="B137" s="19">
        <v>2.7399955828051801</v>
      </c>
      <c r="C137" s="19">
        <f t="shared" si="16"/>
        <v>-4.8382895797999925E-2</v>
      </c>
      <c r="D137" s="21">
        <f t="shared" si="17"/>
        <v>4.0021883245151643E-2</v>
      </c>
    </row>
    <row r="138" spans="1:4">
      <c r="A138" s="19" t="s">
        <v>1816</v>
      </c>
      <c r="B138" s="19">
        <v>2.78837847860318</v>
      </c>
      <c r="C138" s="19">
        <f t="shared" si="16"/>
        <v>5.820482107349978E-3</v>
      </c>
      <c r="D138" s="21">
        <f t="shared" si="17"/>
        <v>3.9693178389727496E-2</v>
      </c>
    </row>
    <row r="139" spans="1:4">
      <c r="A139" s="19" t="s">
        <v>1817</v>
      </c>
      <c r="B139" s="19">
        <v>2.78255799649583</v>
      </c>
      <c r="C139" s="19">
        <f t="shared" si="16"/>
        <v>-4.3120771536560021E-2</v>
      </c>
      <c r="D139" s="21">
        <f t="shared" si="17"/>
        <v>3.9981742428864868E-2</v>
      </c>
    </row>
    <row r="140" spans="1:4">
      <c r="A140" s="19" t="s">
        <v>1818</v>
      </c>
      <c r="B140" s="19">
        <v>2.82567876803239</v>
      </c>
      <c r="C140" s="19">
        <f t="shared" si="16"/>
        <v>1.2884604785320164E-2</v>
      </c>
      <c r="D140" s="21">
        <f t="shared" si="17"/>
        <v>3.9563960425944331E-2</v>
      </c>
    </row>
    <row r="141" spans="1:4">
      <c r="A141" s="19" t="s">
        <v>1819</v>
      </c>
      <c r="B141" s="19">
        <v>2.8127941632470699</v>
      </c>
      <c r="C141" s="19">
        <f t="shared" si="16"/>
        <v>-2.9679725704310211E-2</v>
      </c>
      <c r="D141" s="21">
        <f t="shared" si="17"/>
        <v>3.9536497844137736E-2</v>
      </c>
    </row>
    <row r="142" spans="1:4">
      <c r="A142" s="19" t="s">
        <v>1820</v>
      </c>
      <c r="B142" s="19">
        <v>2.8424738889513801</v>
      </c>
      <c r="C142" s="19">
        <f t="shared" si="16"/>
        <v>-5.5360342037719779E-2</v>
      </c>
      <c r="D142" s="21">
        <f t="shared" si="17"/>
        <v>3.9414196179488596E-2</v>
      </c>
    </row>
    <row r="143" spans="1:4">
      <c r="A143" s="19" t="s">
        <v>1821</v>
      </c>
      <c r="B143" s="19">
        <v>2.8978342309890999</v>
      </c>
      <c r="C143" s="19">
        <f t="shared" si="16"/>
        <v>1.2377423170789825E-2</v>
      </c>
      <c r="D143" s="21">
        <f t="shared" si="17"/>
        <v>4.0184181326854175E-2</v>
      </c>
    </row>
    <row r="144" spans="1:4">
      <c r="A144" s="19" t="s">
        <v>1822</v>
      </c>
      <c r="B144" s="19">
        <v>2.88545680781831</v>
      </c>
      <c r="C144" s="19">
        <f t="shared" si="16"/>
        <v>-2.6493892080650117E-2</v>
      </c>
      <c r="D144" s="21">
        <f t="shared" si="17"/>
        <v>4.0334347455654215E-2</v>
      </c>
    </row>
    <row r="145" spans="1:4">
      <c r="A145" s="19" t="s">
        <v>1823</v>
      </c>
      <c r="B145" s="19">
        <v>2.9119506998989602</v>
      </c>
      <c r="C145" s="19">
        <f t="shared" si="16"/>
        <v>-2.1449820284799692E-2</v>
      </c>
      <c r="D145" s="21">
        <f t="shared" si="17"/>
        <v>4.0170756019099495E-2</v>
      </c>
    </row>
    <row r="146" spans="1:4">
      <c r="A146" s="19" t="s">
        <v>1824</v>
      </c>
      <c r="B146" s="19">
        <v>2.9334005201837599</v>
      </c>
      <c r="C146" s="19">
        <f t="shared" si="16"/>
        <v>-6.1736759025920129E-2</v>
      </c>
      <c r="D146" s="21">
        <f t="shared" si="17"/>
        <v>4.0434983898277314E-2</v>
      </c>
    </row>
    <row r="147" spans="1:4">
      <c r="A147" s="19" t="s">
        <v>1825</v>
      </c>
      <c r="B147" s="19">
        <v>2.99513727920968</v>
      </c>
      <c r="C147" s="19">
        <f t="shared" si="16"/>
        <v>1.6845940126799519E-3</v>
      </c>
      <c r="D147" s="21">
        <f t="shared" si="17"/>
        <v>3.9557560954335914E-2</v>
      </c>
    </row>
    <row r="148" spans="1:4">
      <c r="A148" s="19" t="s">
        <v>1826</v>
      </c>
      <c r="B148" s="19">
        <v>2.993452685197</v>
      </c>
      <c r="C148" s="19">
        <f t="shared" si="16"/>
        <v>-1.1936723084720047E-2</v>
      </c>
      <c r="D148" s="21">
        <f t="shared" si="17"/>
        <v>3.9643967854490446E-2</v>
      </c>
    </row>
    <row r="149" spans="1:4">
      <c r="A149" s="19" t="s">
        <v>1791</v>
      </c>
      <c r="B149" s="19">
        <v>3.0053894082817201</v>
      </c>
      <c r="C149" s="19">
        <f t="shared" si="16"/>
        <v>-4.3070678570749976E-2</v>
      </c>
      <c r="D149" s="21">
        <f t="shared" si="17"/>
        <v>3.9923959925189399E-2</v>
      </c>
    </row>
    <row r="150" spans="1:4">
      <c r="A150" s="19" t="s">
        <v>1792</v>
      </c>
      <c r="B150" s="19">
        <v>3.0484600868524701</v>
      </c>
      <c r="C150" s="19">
        <f t="shared" si="16"/>
        <v>-8.928206080359935E-3</v>
      </c>
      <c r="D150" s="21">
        <f t="shared" si="17"/>
        <v>4.0046038990806429E-2</v>
      </c>
    </row>
    <row r="151" spans="1:4">
      <c r="A151" s="19" t="s">
        <v>1793</v>
      </c>
      <c r="B151" s="19">
        <v>3.05738829293283</v>
      </c>
      <c r="C151" s="19">
        <f t="shared" si="16"/>
        <v>5.4423844459400073E-2</v>
      </c>
      <c r="D151" s="21">
        <f t="shared" si="17"/>
        <v>4.0172712664444631E-2</v>
      </c>
    </row>
    <row r="152" spans="1:4">
      <c r="A152" s="19" t="s">
        <v>1794</v>
      </c>
      <c r="B152" s="19">
        <v>3.0029644484734299</v>
      </c>
      <c r="C152" s="19">
        <f t="shared" si="16"/>
        <v>-2.4612217933180247E-2</v>
      </c>
      <c r="D152" s="21">
        <f t="shared" si="17"/>
        <v>3.967011541580321E-2</v>
      </c>
    </row>
    <row r="153" spans="1:4">
      <c r="A153" s="19" t="s">
        <v>1803</v>
      </c>
      <c r="B153" s="19">
        <v>3.0275766664066102</v>
      </c>
      <c r="C153" s="19">
        <f t="shared" si="16"/>
        <v>-1.5031361172999969E-2</v>
      </c>
      <c r="D153" s="21">
        <f t="shared" si="17"/>
        <v>3.994264255683095E-2</v>
      </c>
    </row>
    <row r="154" spans="1:4">
      <c r="A154" s="19" t="s">
        <v>1795</v>
      </c>
      <c r="B154" s="19">
        <v>3.0426080275796101</v>
      </c>
      <c r="C154" s="19">
        <f t="shared" si="16"/>
        <v>2.4848307824409943E-2</v>
      </c>
      <c r="D154" s="21">
        <f t="shared" si="17"/>
        <v>4.0338251457235179E-2</v>
      </c>
    </row>
    <row r="155" spans="1:4">
      <c r="A155" s="19" t="s">
        <v>1796</v>
      </c>
      <c r="B155" s="19">
        <v>3.0177597197552002</v>
      </c>
      <c r="C155" s="19">
        <f t="shared" si="16"/>
        <v>4.464231609114E-2</v>
      </c>
      <c r="D155" s="21">
        <f t="shared" si="17"/>
        <v>4.0364510997087134E-2</v>
      </c>
    </row>
    <row r="156" spans="1:4">
      <c r="A156" s="19" t="s">
        <v>1797</v>
      </c>
      <c r="B156" s="19">
        <v>2.9731174036640602</v>
      </c>
      <c r="C156" s="19">
        <f t="shared" si="16"/>
        <v>7.6719216789200573E-3</v>
      </c>
      <c r="D156" s="21">
        <f t="shared" si="17"/>
        <v>3.9985716512322106E-2</v>
      </c>
    </row>
    <row r="157" spans="1:4">
      <c r="A157" s="19" t="s">
        <v>1798</v>
      </c>
      <c r="B157" s="19">
        <v>2.9654454819851401</v>
      </c>
      <c r="C157" s="19">
        <f t="shared" si="16"/>
        <v>-2.8408797599509761E-2</v>
      </c>
      <c r="D157" s="21">
        <f t="shared" si="17"/>
        <v>4.0010490536934826E-2</v>
      </c>
    </row>
    <row r="158" spans="1:4">
      <c r="A158" s="19" t="s">
        <v>1799</v>
      </c>
      <c r="B158" s="19">
        <v>2.9938542795846499</v>
      </c>
      <c r="C158" s="19">
        <f t="shared" si="16"/>
        <v>-3.985273758968999E-2</v>
      </c>
      <c r="D158" s="21">
        <f t="shared" si="17"/>
        <v>4.050490860266915E-2</v>
      </c>
    </row>
    <row r="159" spans="1:4">
      <c r="A159" s="19" t="s">
        <v>1800</v>
      </c>
      <c r="B159" s="19">
        <v>3.0337070171743399</v>
      </c>
      <c r="C159" s="19">
        <f t="shared" si="16"/>
        <v>5.9525456375100205E-3</v>
      </c>
      <c r="D159" s="21">
        <f t="shared" si="17"/>
        <v>4.1341624221322038E-2</v>
      </c>
    </row>
    <row r="160" spans="1:4">
      <c r="A160" s="19" t="s">
        <v>1801</v>
      </c>
      <c r="B160" s="19">
        <v>3.0277544715368299</v>
      </c>
      <c r="C160" s="19">
        <f t="shared" si="16"/>
        <v>3.2062705350419662E-2</v>
      </c>
      <c r="D160" s="21">
        <f t="shared" si="17"/>
        <v>4.2097541878451439E-2</v>
      </c>
    </row>
    <row r="161" spans="1:4">
      <c r="A161" s="19" t="s">
        <v>1802</v>
      </c>
      <c r="B161" s="19">
        <v>2.9956917661864102</v>
      </c>
      <c r="C161" s="19">
        <f t="shared" si="16"/>
        <v>6.5304008453140217E-2</v>
      </c>
      <c r="D161" s="21">
        <f t="shared" si="17"/>
        <v>4.384864173306241E-2</v>
      </c>
    </row>
    <row r="162" spans="1:4">
      <c r="A162" s="19" t="s">
        <v>1782</v>
      </c>
      <c r="B162" s="19">
        <v>2.93038775773327</v>
      </c>
      <c r="C162" s="19">
        <f t="shared" si="16"/>
        <v>-6.7140070978009891E-2</v>
      </c>
      <c r="D162" s="21">
        <f t="shared" si="17"/>
        <v>4.3004825804601993E-2</v>
      </c>
    </row>
    <row r="163" spans="1:4">
      <c r="A163" s="19" t="s">
        <v>1783</v>
      </c>
      <c r="B163" s="19">
        <v>2.9975278287112799</v>
      </c>
      <c r="C163" s="19">
        <f t="shared" si="16"/>
        <v>3.9071570655480059E-2</v>
      </c>
      <c r="D163" s="21">
        <f t="shared" si="17"/>
        <v>4.3464186789170661E-2</v>
      </c>
    </row>
    <row r="164" spans="1:4">
      <c r="A164" s="19" t="s">
        <v>1784</v>
      </c>
      <c r="B164" s="19">
        <v>2.9584562580557998</v>
      </c>
      <c r="C164" s="19">
        <f t="shared" si="16"/>
        <v>-1.6471040825820182E-2</v>
      </c>
      <c r="D164" s="21">
        <f t="shared" si="17"/>
        <v>4.3196598372451309E-2</v>
      </c>
    </row>
    <row r="165" spans="1:4">
      <c r="A165" s="19" t="s">
        <v>1785</v>
      </c>
      <c r="B165" s="19">
        <v>2.97492729888162</v>
      </c>
      <c r="C165" s="19">
        <f t="shared" si="16"/>
        <v>2.5028609831459825E-2</v>
      </c>
      <c r="D165" s="21">
        <f t="shared" si="17"/>
        <v>4.3202027563587986E-2</v>
      </c>
    </row>
    <row r="166" spans="1:4">
      <c r="A166" s="19" t="s">
        <v>1786</v>
      </c>
      <c r="B166" s="19">
        <v>2.9498986890501602</v>
      </c>
      <c r="C166" s="19">
        <f t="shared" si="16"/>
        <v>-4.6739494421059735E-2</v>
      </c>
      <c r="D166" s="21">
        <f t="shared" si="17"/>
        <v>4.3253882463290282E-2</v>
      </c>
    </row>
    <row r="167" spans="1:4">
      <c r="A167" s="19" t="s">
        <v>1787</v>
      </c>
      <c r="B167" s="19">
        <v>2.9966381834712199</v>
      </c>
      <c r="C167" s="19">
        <f t="shared" si="16"/>
        <v>-5.7792483431740038E-2</v>
      </c>
      <c r="D167" s="21">
        <f t="shared" si="17"/>
        <v>4.286041063821746E-2</v>
      </c>
    </row>
    <row r="168" spans="1:4">
      <c r="A168" s="19" t="s">
        <v>1788</v>
      </c>
      <c r="B168" s="19">
        <v>3.0544306669029599</v>
      </c>
      <c r="C168" s="19">
        <f t="shared" si="16"/>
        <v>0.13787131985675982</v>
      </c>
      <c r="D168" s="21">
        <f t="shared" si="17"/>
        <v>4.2429274131607755E-2</v>
      </c>
    </row>
    <row r="169" spans="1:4">
      <c r="A169" s="19" t="s">
        <v>1789</v>
      </c>
      <c r="B169" s="19">
        <v>2.9165593470462001</v>
      </c>
      <c r="C169" s="19">
        <f t="shared" si="16"/>
        <v>2.1829497901880046E-2</v>
      </c>
      <c r="D169" s="21">
        <f t="shared" si="17"/>
        <v>3.8709062783959233E-2</v>
      </c>
    </row>
    <row r="170" spans="1:4">
      <c r="A170" s="19" t="s">
        <v>1790</v>
      </c>
      <c r="B170" s="19">
        <v>2.8947298491443201</v>
      </c>
      <c r="C170" s="19">
        <f t="shared" si="16"/>
        <v>-5.2737416715900043E-2</v>
      </c>
      <c r="D170" s="21">
        <f t="shared" si="17"/>
        <v>3.8808002998465797E-2</v>
      </c>
    </row>
    <row r="171" spans="1:4">
      <c r="A171" s="19" t="s">
        <v>1771</v>
      </c>
      <c r="B171" s="19">
        <v>2.9474672658602201</v>
      </c>
      <c r="C171" s="19">
        <f t="shared" si="16"/>
        <v>-1.5332560811470053E-2</v>
      </c>
      <c r="D171" s="21">
        <f t="shared" si="17"/>
        <v>3.8348964713988076E-2</v>
      </c>
    </row>
    <row r="172" spans="1:4">
      <c r="A172" s="19" t="s">
        <v>1772</v>
      </c>
      <c r="B172" s="19">
        <v>2.9627998266716902</v>
      </c>
      <c r="C172" s="19">
        <f t="shared" si="16"/>
        <v>-7.1992141613899108E-3</v>
      </c>
      <c r="D172" s="21">
        <f t="shared" si="17"/>
        <v>3.8434770430853173E-2</v>
      </c>
    </row>
    <row r="173" spans="1:4">
      <c r="A173" s="19" t="s">
        <v>1773</v>
      </c>
      <c r="B173" s="19">
        <v>2.9699990408330801</v>
      </c>
      <c r="C173" s="19">
        <f t="shared" si="16"/>
        <v>-2.6160196269700009E-3</v>
      </c>
      <c r="D173" s="21">
        <f t="shared" si="17"/>
        <v>3.8514960377429262E-2</v>
      </c>
    </row>
    <row r="174" spans="1:4">
      <c r="A174" s="19" t="s">
        <v>1774</v>
      </c>
      <c r="B174" s="19">
        <v>2.9726150604600501</v>
      </c>
      <c r="C174" s="19">
        <f t="shared" si="16"/>
        <v>-5.7606022226597275E-3</v>
      </c>
      <c r="D174" s="21">
        <f t="shared" si="17"/>
        <v>3.8514808096903635E-2</v>
      </c>
    </row>
    <row r="175" spans="1:4">
      <c r="A175" s="19" t="s">
        <v>1775</v>
      </c>
      <c r="B175" s="19">
        <v>2.9783756626827098</v>
      </c>
      <c r="C175" s="19">
        <f t="shared" si="16"/>
        <v>4.9412160226003365E-4</v>
      </c>
      <c r="D175" s="21">
        <f t="shared" si="17"/>
        <v>3.850862424472775E-2</v>
      </c>
    </row>
    <row r="176" spans="1:4">
      <c r="A176" s="19" t="s">
        <v>1776</v>
      </c>
      <c r="B176" s="19">
        <v>2.9778815410804498</v>
      </c>
      <c r="C176" s="19">
        <f t="shared" si="16"/>
        <v>2.1137502987219836E-2</v>
      </c>
      <c r="D176" s="21">
        <f t="shared" si="17"/>
        <v>3.8509999201350474E-2</v>
      </c>
    </row>
    <row r="177" spans="1:4">
      <c r="A177" s="19" t="s">
        <v>1777</v>
      </c>
      <c r="B177" s="19">
        <v>2.9567440380932299</v>
      </c>
      <c r="C177" s="19">
        <f t="shared" si="16"/>
        <v>-2.2478673386320036E-2</v>
      </c>
      <c r="D177" s="21">
        <f t="shared" si="17"/>
        <v>4.1292943291228061E-2</v>
      </c>
    </row>
    <row r="178" spans="1:4">
      <c r="A178" s="19" t="s">
        <v>1778</v>
      </c>
      <c r="B178" s="19">
        <v>2.97922271147955</v>
      </c>
      <c r="C178" s="19">
        <f t="shared" si="16"/>
        <v>-3.726087772540243E-3</v>
      </c>
      <c r="D178" s="21">
        <f t="shared" si="17"/>
        <v>4.1616621288191165E-2</v>
      </c>
    </row>
    <row r="179" spans="1:4">
      <c r="A179" s="19" t="s">
        <v>1779</v>
      </c>
      <c r="B179" s="19">
        <v>2.9829487992520902</v>
      </c>
      <c r="C179" s="19">
        <f t="shared" si="16"/>
        <v>-1.3286148410389664E-2</v>
      </c>
      <c r="D179" s="21">
        <f t="shared" si="17"/>
        <v>4.1764462806238183E-2</v>
      </c>
    </row>
    <row r="180" spans="1:4">
      <c r="A180" s="19" t="s">
        <v>1780</v>
      </c>
      <c r="B180" s="19">
        <v>2.9962349476624799</v>
      </c>
      <c r="C180" s="19">
        <f t="shared" si="16"/>
        <v>-6.985429026680201E-3</v>
      </c>
      <c r="D180" s="21">
        <f t="shared" si="17"/>
        <v>4.1924162622841765E-2</v>
      </c>
    </row>
    <row r="181" spans="1:4">
      <c r="A181" s="19" t="s">
        <v>1781</v>
      </c>
      <c r="B181" s="19">
        <v>3.0032203766891601</v>
      </c>
      <c r="C181" s="19">
        <f t="shared" si="16"/>
        <v>-3.8329964185650045E-2</v>
      </c>
      <c r="D181" s="21">
        <f t="shared" si="17"/>
        <v>4.2918296294070589E-2</v>
      </c>
    </row>
    <row r="182" spans="1:4">
      <c r="A182" s="19" t="s">
        <v>1743</v>
      </c>
      <c r="B182" s="19">
        <v>3.0415503408748101</v>
      </c>
      <c r="C182" s="19">
        <f t="shared" si="16"/>
        <v>1.7462237392920077E-2</v>
      </c>
      <c r="D182" s="21">
        <f t="shared" si="17"/>
        <v>4.2710019815157943E-2</v>
      </c>
    </row>
    <row r="183" spans="1:4">
      <c r="A183" s="19" t="s">
        <v>1744</v>
      </c>
      <c r="B183" s="19">
        <v>3.0240881034818901</v>
      </c>
      <c r="C183" s="19">
        <f t="shared" si="16"/>
        <v>-1.5383295561440136E-2</v>
      </c>
      <c r="D183" s="21">
        <f t="shared" si="17"/>
        <v>4.2813540294493996E-2</v>
      </c>
    </row>
    <row r="184" spans="1:4">
      <c r="A184" s="19" t="s">
        <v>1745</v>
      </c>
      <c r="B184" s="19">
        <v>3.0394713990433302</v>
      </c>
      <c r="C184" s="19">
        <f t="shared" si="16"/>
        <v>2.6773403609370305E-2</v>
      </c>
      <c r="D184" s="21">
        <f t="shared" si="17"/>
        <v>4.2832762165567792E-2</v>
      </c>
    </row>
    <row r="185" spans="1:4">
      <c r="A185" s="19" t="s">
        <v>1746</v>
      </c>
      <c r="B185" s="19">
        <v>3.0126979954339599</v>
      </c>
      <c r="C185" s="19">
        <f t="shared" si="16"/>
        <v>7.3895310050709817E-2</v>
      </c>
      <c r="D185" s="21">
        <f t="shared" si="17"/>
        <v>4.3270656041546153E-2</v>
      </c>
    </row>
    <row r="186" spans="1:4">
      <c r="A186" s="19" t="s">
        <v>1747</v>
      </c>
      <c r="B186" s="19">
        <v>2.9388026853832501</v>
      </c>
      <c r="C186" s="19">
        <f t="shared" si="16"/>
        <v>4.7396519164601969E-3</v>
      </c>
      <c r="D186" s="21">
        <f t="shared" si="17"/>
        <v>4.2234871339582904E-2</v>
      </c>
    </row>
    <row r="187" spans="1:4">
      <c r="A187" s="19" t="s">
        <v>1748</v>
      </c>
      <c r="B187" s="19">
        <v>2.9340630334667899</v>
      </c>
      <c r="C187" s="19">
        <f t="shared" si="16"/>
        <v>3.5764648221409789E-2</v>
      </c>
      <c r="D187" s="21">
        <f t="shared" si="17"/>
        <v>4.3686681698469489E-2</v>
      </c>
    </row>
    <row r="188" spans="1:4">
      <c r="A188" s="19" t="s">
        <v>1749</v>
      </c>
      <c r="B188" s="19">
        <v>2.8982983852453801</v>
      </c>
      <c r="C188" s="19">
        <f t="shared" si="16"/>
        <v>3.3251564452600135E-2</v>
      </c>
      <c r="D188" s="21">
        <f t="shared" si="17"/>
        <v>4.3961610656843501E-2</v>
      </c>
    </row>
    <row r="189" spans="1:4">
      <c r="A189" s="19" t="s">
        <v>1750</v>
      </c>
      <c r="B189" s="19">
        <v>2.8650468207927799</v>
      </c>
      <c r="C189" s="19">
        <f t="shared" si="16"/>
        <v>2.0628718247190037E-2</v>
      </c>
      <c r="D189" s="21">
        <f t="shared" si="17"/>
        <v>4.416606233865502E-2</v>
      </c>
    </row>
    <row r="190" spans="1:4">
      <c r="A190" s="19" t="s">
        <v>1751</v>
      </c>
      <c r="B190" s="19">
        <v>2.8444181025455899</v>
      </c>
      <c r="C190" s="19">
        <f t="shared" si="16"/>
        <v>-3.1624884506249895E-2</v>
      </c>
      <c r="D190" s="21">
        <f t="shared" si="17"/>
        <v>4.4296169825189309E-2</v>
      </c>
    </row>
    <row r="191" spans="1:4">
      <c r="A191" s="19" t="s">
        <v>1752</v>
      </c>
      <c r="B191" s="19">
        <v>2.8760429870518398</v>
      </c>
      <c r="C191" s="19">
        <f t="shared" si="16"/>
        <v>8.0230941839379621E-2</v>
      </c>
      <c r="D191" s="21">
        <f t="shared" si="17"/>
        <v>4.4639404819910536E-2</v>
      </c>
    </row>
    <row r="192" spans="1:4">
      <c r="A192" s="19" t="s">
        <v>1753</v>
      </c>
      <c r="B192" s="19">
        <v>2.7958120452124602</v>
      </c>
      <c r="C192" s="19">
        <f t="shared" si="16"/>
        <v>7.1828736145409966E-2</v>
      </c>
      <c r="D192" s="21">
        <f t="shared" si="17"/>
        <v>4.4433047474343297E-2</v>
      </c>
    </row>
    <row r="193" spans="1:4">
      <c r="A193" s="19" t="s">
        <v>1754</v>
      </c>
      <c r="B193" s="19">
        <v>2.7239833090670502</v>
      </c>
      <c r="C193" s="19">
        <f t="shared" si="16"/>
        <v>-3.1874277367899939E-2</v>
      </c>
      <c r="D193" s="21">
        <f t="shared" si="17"/>
        <v>4.3515303259456718E-2</v>
      </c>
    </row>
    <row r="194" spans="1:4">
      <c r="A194" s="19" t="s">
        <v>1755</v>
      </c>
      <c r="B194" s="19">
        <v>2.7558575864349502</v>
      </c>
      <c r="C194" s="19">
        <f t="shared" ref="C194:C257" si="18">B194-B195</f>
        <v>-1.5417786496879859E-2</v>
      </c>
      <c r="D194" s="21">
        <f t="shared" ref="D194:D257" si="19">STDEV(C194:C253)</f>
        <v>4.4455097890137532E-2</v>
      </c>
    </row>
    <row r="195" spans="1:4">
      <c r="A195" s="19" t="s">
        <v>1756</v>
      </c>
      <c r="B195" s="19">
        <v>2.77127537293183</v>
      </c>
      <c r="C195" s="19">
        <f t="shared" si="18"/>
        <v>5.3911107619879939E-2</v>
      </c>
      <c r="D195" s="21">
        <f t="shared" si="19"/>
        <v>4.4431414078980262E-2</v>
      </c>
    </row>
    <row r="196" spans="1:4">
      <c r="A196" s="19" t="s">
        <v>1757</v>
      </c>
      <c r="B196" s="19">
        <v>2.7173642653119501</v>
      </c>
      <c r="C196" s="19">
        <f t="shared" si="18"/>
        <v>-2.7312041381760022E-2</v>
      </c>
      <c r="D196" s="21">
        <f t="shared" si="19"/>
        <v>4.395198230790015E-2</v>
      </c>
    </row>
    <row r="197" spans="1:4">
      <c r="A197" s="19" t="s">
        <v>1758</v>
      </c>
      <c r="B197" s="19">
        <v>2.7446763066937101</v>
      </c>
      <c r="C197" s="19">
        <f t="shared" si="18"/>
        <v>-2.8258689482060007E-2</v>
      </c>
      <c r="D197" s="21">
        <f t="shared" si="19"/>
        <v>4.3848967626681563E-2</v>
      </c>
    </row>
    <row r="198" spans="1:4">
      <c r="A198" s="19" t="s">
        <v>1759</v>
      </c>
      <c r="B198" s="19">
        <v>2.7729349961757701</v>
      </c>
      <c r="C198" s="19">
        <f t="shared" si="18"/>
        <v>3.7732836477569975E-2</v>
      </c>
      <c r="D198" s="21">
        <f t="shared" si="19"/>
        <v>4.3886073804838235E-2</v>
      </c>
    </row>
    <row r="199" spans="1:4">
      <c r="A199" s="19" t="s">
        <v>1760</v>
      </c>
      <c r="B199" s="19">
        <v>2.7352021596982001</v>
      </c>
      <c r="C199" s="19">
        <f t="shared" si="18"/>
        <v>1.7293249770800045E-3</v>
      </c>
      <c r="D199" s="21">
        <f t="shared" si="19"/>
        <v>4.3571035962884641E-2</v>
      </c>
    </row>
    <row r="200" spans="1:4">
      <c r="A200" s="19" t="s">
        <v>1761</v>
      </c>
      <c r="B200" s="19">
        <v>2.7334728347211201</v>
      </c>
      <c r="C200" s="19">
        <f t="shared" si="18"/>
        <v>3.0289119859401303E-3</v>
      </c>
      <c r="D200" s="21">
        <f t="shared" si="19"/>
        <v>4.3649437443116612E-2</v>
      </c>
    </row>
    <row r="201" spans="1:4">
      <c r="A201" s="19" t="s">
        <v>1762</v>
      </c>
      <c r="B201" s="19">
        <v>2.73044392273518</v>
      </c>
      <c r="C201" s="19">
        <f t="shared" si="18"/>
        <v>2.2340340023680128E-2</v>
      </c>
      <c r="D201" s="21">
        <f t="shared" si="19"/>
        <v>4.3651470008604643E-2</v>
      </c>
    </row>
    <row r="202" spans="1:4">
      <c r="A202" s="19" t="s">
        <v>1763</v>
      </c>
      <c r="B202" s="19">
        <v>2.7081035827114999</v>
      </c>
      <c r="C202" s="19">
        <f t="shared" si="18"/>
        <v>-8.1096357342900216E-2</v>
      </c>
      <c r="D202" s="21">
        <f t="shared" si="19"/>
        <v>4.3608541199910561E-2</v>
      </c>
    </row>
    <row r="203" spans="1:4">
      <c r="A203" s="19" t="s">
        <v>1764</v>
      </c>
      <c r="B203" s="19">
        <v>2.7891999400544001</v>
      </c>
      <c r="C203" s="19">
        <f t="shared" si="18"/>
        <v>-2.7367576014960093E-2</v>
      </c>
      <c r="D203" s="21">
        <f t="shared" si="19"/>
        <v>4.2594935835194969E-2</v>
      </c>
    </row>
    <row r="204" spans="1:4">
      <c r="A204" s="19" t="s">
        <v>1765</v>
      </c>
      <c r="B204" s="19">
        <v>2.8165675160693602</v>
      </c>
      <c r="C204" s="19">
        <f t="shared" si="18"/>
        <v>1.6981440623902166E-3</v>
      </c>
      <c r="D204" s="21">
        <f t="shared" si="19"/>
        <v>4.2505038773959079E-2</v>
      </c>
    </row>
    <row r="205" spans="1:4">
      <c r="A205" s="19" t="s">
        <v>1766</v>
      </c>
      <c r="B205" s="19">
        <v>2.81486937200697</v>
      </c>
      <c r="C205" s="19">
        <f t="shared" si="18"/>
        <v>4.4766614576019936E-2</v>
      </c>
      <c r="D205" s="21">
        <f t="shared" si="19"/>
        <v>4.2500260035729293E-2</v>
      </c>
    </row>
    <row r="206" spans="1:4">
      <c r="A206" s="19" t="s">
        <v>1767</v>
      </c>
      <c r="B206" s="19">
        <v>2.77010275743095</v>
      </c>
      <c r="C206" s="19">
        <f t="shared" si="18"/>
        <v>1.3070671481070217E-2</v>
      </c>
      <c r="D206" s="21">
        <f t="shared" si="19"/>
        <v>4.2296013141797588E-2</v>
      </c>
    </row>
    <row r="207" spans="1:4">
      <c r="A207" s="19" t="s">
        <v>1768</v>
      </c>
      <c r="B207" s="19">
        <v>2.7570320859498798</v>
      </c>
      <c r="C207" s="19">
        <f t="shared" si="18"/>
        <v>-1.6389137606420245E-2</v>
      </c>
      <c r="D207" s="21">
        <f t="shared" si="19"/>
        <v>4.2402192177032352E-2</v>
      </c>
    </row>
    <row r="208" spans="1:4">
      <c r="A208" s="19" t="s">
        <v>1769</v>
      </c>
      <c r="B208" s="19">
        <v>2.7734212235563001</v>
      </c>
      <c r="C208" s="19">
        <f t="shared" si="18"/>
        <v>4.3787768385250114E-2</v>
      </c>
      <c r="D208" s="21">
        <f t="shared" si="19"/>
        <v>4.2384449952299334E-2</v>
      </c>
    </row>
    <row r="209" spans="1:4">
      <c r="A209" s="19" t="s">
        <v>1770</v>
      </c>
      <c r="B209" s="19">
        <v>2.7296334551710499</v>
      </c>
      <c r="C209" s="19">
        <f t="shared" si="18"/>
        <v>-4.8776771859820212E-2</v>
      </c>
      <c r="D209" s="21">
        <f t="shared" si="19"/>
        <v>4.3894295392883302E-2</v>
      </c>
    </row>
    <row r="210" spans="1:4">
      <c r="A210" s="19" t="s">
        <v>1623</v>
      </c>
      <c r="B210" s="19">
        <v>2.7784102270308701</v>
      </c>
      <c r="C210" s="19">
        <f t="shared" si="18"/>
        <v>-2.3488579117979747E-2</v>
      </c>
      <c r="D210" s="21">
        <f t="shared" si="19"/>
        <v>4.465759782277031E-2</v>
      </c>
    </row>
    <row r="211" spans="1:4">
      <c r="A211" s="19" t="s">
        <v>1624</v>
      </c>
      <c r="B211" s="19">
        <v>2.8018988061488499</v>
      </c>
      <c r="C211" s="19">
        <f t="shared" si="18"/>
        <v>-1.0552775275439963E-2</v>
      </c>
      <c r="D211" s="21">
        <f t="shared" si="19"/>
        <v>4.4722453607678542E-2</v>
      </c>
    </row>
    <row r="212" spans="1:4">
      <c r="A212" s="19" t="s">
        <v>1625</v>
      </c>
      <c r="B212" s="19">
        <v>2.8124515814242899</v>
      </c>
      <c r="C212" s="19">
        <f t="shared" si="18"/>
        <v>-4.2183232127700254E-2</v>
      </c>
      <c r="D212" s="21">
        <f t="shared" si="19"/>
        <v>4.485621990708176E-2</v>
      </c>
    </row>
    <row r="213" spans="1:4">
      <c r="A213" s="19" t="s">
        <v>1626</v>
      </c>
      <c r="B213" s="19">
        <v>2.8546348135519901</v>
      </c>
      <c r="C213" s="19">
        <f t="shared" si="18"/>
        <v>-4.4115830781390031E-2</v>
      </c>
      <c r="D213" s="21">
        <f t="shared" si="19"/>
        <v>4.6023847551096474E-2</v>
      </c>
    </row>
    <row r="214" spans="1:4">
      <c r="A214" s="19" t="s">
        <v>1627</v>
      </c>
      <c r="B214" s="19">
        <v>2.8987506443333801</v>
      </c>
      <c r="C214" s="19">
        <f t="shared" si="18"/>
        <v>2.7481135634350284E-2</v>
      </c>
      <c r="D214" s="21">
        <f t="shared" si="19"/>
        <v>4.5852695808873106E-2</v>
      </c>
    </row>
    <row r="215" spans="1:4">
      <c r="A215" s="19" t="s">
        <v>1628</v>
      </c>
      <c r="B215" s="19">
        <v>2.8712695086990299</v>
      </c>
      <c r="C215" s="19">
        <f t="shared" si="18"/>
        <v>-2.2255477374302224E-3</v>
      </c>
      <c r="D215" s="21">
        <f t="shared" si="19"/>
        <v>4.7260478985326683E-2</v>
      </c>
    </row>
    <row r="216" spans="1:4">
      <c r="A216" s="19" t="s">
        <v>1629</v>
      </c>
      <c r="B216" s="19">
        <v>2.8734950564364601</v>
      </c>
      <c r="C216" s="19">
        <f t="shared" si="18"/>
        <v>1.4059834812929939E-2</v>
      </c>
      <c r="D216" s="21">
        <f t="shared" si="19"/>
        <v>4.7273040338705781E-2</v>
      </c>
    </row>
    <row r="217" spans="1:4">
      <c r="A217" s="19" t="s">
        <v>1630</v>
      </c>
      <c r="B217" s="19">
        <v>2.8594352216235301</v>
      </c>
      <c r="C217" s="19">
        <f t="shared" si="18"/>
        <v>-5.5429538474749851E-2</v>
      </c>
      <c r="D217" s="21">
        <f t="shared" si="19"/>
        <v>4.9428623945394282E-2</v>
      </c>
    </row>
    <row r="218" spans="1:4">
      <c r="A218" s="19" t="s">
        <v>1631</v>
      </c>
      <c r="B218" s="19">
        <v>2.91486476009828</v>
      </c>
      <c r="C218" s="19">
        <f t="shared" si="18"/>
        <v>7.8576558225759818E-2</v>
      </c>
      <c r="D218" s="21">
        <f t="shared" si="19"/>
        <v>5.0392020239140189E-2</v>
      </c>
    </row>
    <row r="219" spans="1:4">
      <c r="A219" s="19" t="s">
        <v>1632</v>
      </c>
      <c r="B219" s="19">
        <v>2.8362882018725202</v>
      </c>
      <c r="C219" s="19">
        <f t="shared" si="18"/>
        <v>-5.8331737347749879E-2</v>
      </c>
      <c r="D219" s="21">
        <f t="shared" si="19"/>
        <v>4.9376528188188981E-2</v>
      </c>
    </row>
    <row r="220" spans="1:4">
      <c r="A220" s="19" t="s">
        <v>1633</v>
      </c>
      <c r="B220" s="19">
        <v>2.8946199392202701</v>
      </c>
      <c r="C220" s="19">
        <f t="shared" si="18"/>
        <v>-9.8042221938010155E-2</v>
      </c>
      <c r="D220" s="21">
        <f t="shared" si="19"/>
        <v>4.8990392076077444E-2</v>
      </c>
    </row>
    <row r="221" spans="1:4">
      <c r="A221" s="19" t="s">
        <v>1634</v>
      </c>
      <c r="B221" s="19">
        <v>2.9926621611582802</v>
      </c>
      <c r="C221" s="19">
        <f t="shared" si="18"/>
        <v>1.4512493069100962E-3</v>
      </c>
      <c r="D221" s="21">
        <f t="shared" si="19"/>
        <v>4.7804120607273057E-2</v>
      </c>
    </row>
    <row r="222" spans="1:4">
      <c r="A222" s="19" t="s">
        <v>1635</v>
      </c>
      <c r="B222" s="19">
        <v>2.9912109118513701</v>
      </c>
      <c r="C222" s="19">
        <f t="shared" si="18"/>
        <v>8.3205844533920104E-2</v>
      </c>
      <c r="D222" s="21">
        <f t="shared" si="19"/>
        <v>4.9363090067299525E-2</v>
      </c>
    </row>
    <row r="223" spans="1:4">
      <c r="A223" s="19" t="s">
        <v>1636</v>
      </c>
      <c r="B223" s="19">
        <v>2.90800506731745</v>
      </c>
      <c r="C223" s="19">
        <f t="shared" si="18"/>
        <v>-7.4595156368801874E-3</v>
      </c>
      <c r="D223" s="21">
        <f t="shared" si="19"/>
        <v>4.8832884029635273E-2</v>
      </c>
    </row>
    <row r="224" spans="1:4">
      <c r="A224" s="19" t="s">
        <v>1637</v>
      </c>
      <c r="B224" s="19">
        <v>2.9154645829543302</v>
      </c>
      <c r="C224" s="19">
        <f t="shared" si="18"/>
        <v>-1.7258406193749742E-2</v>
      </c>
      <c r="D224" s="21">
        <f t="shared" si="19"/>
        <v>4.8876736393420876E-2</v>
      </c>
    </row>
    <row r="225" spans="1:4">
      <c r="A225" s="19" t="s">
        <v>1638</v>
      </c>
      <c r="B225" s="19">
        <v>2.9327229891480799</v>
      </c>
      <c r="C225" s="19">
        <f t="shared" si="18"/>
        <v>2.9971637045009825E-2</v>
      </c>
      <c r="D225" s="21">
        <f t="shared" si="19"/>
        <v>4.8902854232923156E-2</v>
      </c>
    </row>
    <row r="226" spans="1:4">
      <c r="A226" s="19" t="s">
        <v>1639</v>
      </c>
      <c r="B226" s="19">
        <v>2.9027513521030701</v>
      </c>
      <c r="C226" s="19">
        <f t="shared" si="18"/>
        <v>-1.581137056540971E-2</v>
      </c>
      <c r="D226" s="21">
        <f t="shared" si="19"/>
        <v>4.8861393768799215E-2</v>
      </c>
    </row>
    <row r="227" spans="1:4">
      <c r="A227" s="19" t="s">
        <v>1640</v>
      </c>
      <c r="B227" s="19">
        <v>2.9185627226684798</v>
      </c>
      <c r="C227" s="19">
        <f t="shared" si="18"/>
        <v>3.9788295377449767E-2</v>
      </c>
      <c r="D227" s="21">
        <f t="shared" si="19"/>
        <v>4.8835709485699916E-2</v>
      </c>
    </row>
    <row r="228" spans="1:4">
      <c r="A228" s="19" t="s">
        <v>1641</v>
      </c>
      <c r="B228" s="19">
        <v>2.8787744272910301</v>
      </c>
      <c r="C228" s="19">
        <f t="shared" si="18"/>
        <v>-2.6214996488779896E-2</v>
      </c>
      <c r="D228" s="21">
        <f t="shared" si="19"/>
        <v>4.8578072645364401E-2</v>
      </c>
    </row>
    <row r="229" spans="1:4">
      <c r="A229" s="19" t="s">
        <v>1642</v>
      </c>
      <c r="B229" s="19">
        <v>2.90498942377981</v>
      </c>
      <c r="C229" s="19">
        <f t="shared" si="18"/>
        <v>-3.0903720811230162E-2</v>
      </c>
      <c r="D229" s="21">
        <f t="shared" si="19"/>
        <v>5.0118984627932579E-2</v>
      </c>
    </row>
    <row r="230" spans="1:4">
      <c r="A230" s="19" t="s">
        <v>1643</v>
      </c>
      <c r="B230" s="19">
        <v>2.9358931445910401</v>
      </c>
      <c r="C230" s="19">
        <f t="shared" si="18"/>
        <v>2.6213178306470297E-2</v>
      </c>
      <c r="D230" s="21">
        <f t="shared" si="19"/>
        <v>5.045034334676908E-2</v>
      </c>
    </row>
    <row r="231" spans="1:4">
      <c r="A231" s="19" t="s">
        <v>1644</v>
      </c>
      <c r="B231" s="19">
        <v>2.9096799662845698</v>
      </c>
      <c r="C231" s="19">
        <f t="shared" si="18"/>
        <v>-2.4767073949500062E-2</v>
      </c>
      <c r="D231" s="21">
        <f t="shared" si="19"/>
        <v>5.0679112434265254E-2</v>
      </c>
    </row>
    <row r="232" spans="1:4">
      <c r="A232" s="19" t="s">
        <v>1602</v>
      </c>
      <c r="B232" s="19">
        <v>2.9344470402340699</v>
      </c>
      <c r="C232" s="19">
        <f t="shared" si="18"/>
        <v>2.1365611277839758E-2</v>
      </c>
      <c r="D232" s="21">
        <f t="shared" si="19"/>
        <v>5.0753469847242383E-2</v>
      </c>
    </row>
    <row r="233" spans="1:4">
      <c r="A233" s="19" t="s">
        <v>1603</v>
      </c>
      <c r="B233" s="19">
        <v>2.9130814289562301</v>
      </c>
      <c r="C233" s="19">
        <f t="shared" si="18"/>
        <v>4.5356977806902954E-3</v>
      </c>
      <c r="D233" s="21">
        <f t="shared" si="19"/>
        <v>5.2156829070955237E-2</v>
      </c>
    </row>
    <row r="234" spans="1:4">
      <c r="A234" s="19" t="s">
        <v>1604</v>
      </c>
      <c r="B234" s="19">
        <v>2.9085457311755398</v>
      </c>
      <c r="C234" s="19">
        <f t="shared" si="18"/>
        <v>-3.2485149717302875E-3</v>
      </c>
      <c r="D234" s="21">
        <f t="shared" si="19"/>
        <v>5.2498179925167865E-2</v>
      </c>
    </row>
    <row r="235" spans="1:4">
      <c r="A235" s="19" t="s">
        <v>1605</v>
      </c>
      <c r="B235" s="19">
        <v>2.9117942461472701</v>
      </c>
      <c r="C235" s="19">
        <f t="shared" si="18"/>
        <v>3.7173749857499772E-3</v>
      </c>
      <c r="D235" s="21">
        <f t="shared" si="19"/>
        <v>5.4590040267311638E-2</v>
      </c>
    </row>
    <row r="236" spans="1:4">
      <c r="A236" s="19" t="s">
        <v>1606</v>
      </c>
      <c r="B236" s="19">
        <v>2.9080768711615201</v>
      </c>
      <c r="C236" s="19">
        <f t="shared" si="18"/>
        <v>0.11803336010687016</v>
      </c>
      <c r="D236" s="21">
        <f t="shared" si="19"/>
        <v>5.5434980930382863E-2</v>
      </c>
    </row>
    <row r="237" spans="1:4">
      <c r="A237" s="19" t="s">
        <v>1607</v>
      </c>
      <c r="B237" s="19">
        <v>2.79004351105465</v>
      </c>
      <c r="C237" s="19">
        <f t="shared" si="18"/>
        <v>-4.4436877711759859E-2</v>
      </c>
      <c r="D237" s="21">
        <f t="shared" si="19"/>
        <v>5.4144113639932663E-2</v>
      </c>
    </row>
    <row r="238" spans="1:4">
      <c r="A238" s="19" t="s">
        <v>1608</v>
      </c>
      <c r="B238" s="19">
        <v>2.8344803887664098</v>
      </c>
      <c r="C238" s="19">
        <f t="shared" si="18"/>
        <v>-2.5386990858680125E-2</v>
      </c>
      <c r="D238" s="21">
        <f t="shared" si="19"/>
        <v>5.396584867251774E-2</v>
      </c>
    </row>
    <row r="239" spans="1:4">
      <c r="A239" s="19" t="s">
        <v>1609</v>
      </c>
      <c r="B239" s="19">
        <v>2.85986737962509</v>
      </c>
      <c r="C239" s="19">
        <f t="shared" si="18"/>
        <v>-3.0017996196329833E-2</v>
      </c>
      <c r="D239" s="21">
        <f t="shared" si="19"/>
        <v>5.3867643337416345E-2</v>
      </c>
    </row>
    <row r="240" spans="1:4">
      <c r="A240" s="19" t="s">
        <v>1610</v>
      </c>
      <c r="B240" s="19">
        <v>2.8898853758214198</v>
      </c>
      <c r="C240" s="19">
        <f t="shared" si="18"/>
        <v>-6.9772916752170122E-2</v>
      </c>
      <c r="D240" s="21">
        <f t="shared" si="19"/>
        <v>5.3724558344222288E-2</v>
      </c>
    </row>
    <row r="241" spans="1:4">
      <c r="A241" s="19" t="s">
        <v>1611</v>
      </c>
      <c r="B241" s="19">
        <v>2.9596582925735899</v>
      </c>
      <c r="C241" s="19">
        <f t="shared" si="18"/>
        <v>2.3914760319689865E-2</v>
      </c>
      <c r="D241" s="21">
        <f t="shared" si="19"/>
        <v>5.3217222708066572E-2</v>
      </c>
    </row>
    <row r="242" spans="1:4">
      <c r="A242" s="19" t="s">
        <v>1612</v>
      </c>
      <c r="B242" s="19">
        <v>2.9357435322539001</v>
      </c>
      <c r="C242" s="19">
        <f t="shared" si="18"/>
        <v>-2.6539815541370082E-2</v>
      </c>
      <c r="D242" s="21">
        <f t="shared" si="19"/>
        <v>5.3281657079650359E-2</v>
      </c>
    </row>
    <row r="243" spans="1:4">
      <c r="A243" s="19" t="s">
        <v>1613</v>
      </c>
      <c r="B243" s="19">
        <v>2.9622833477952701</v>
      </c>
      <c r="C243" s="19">
        <f t="shared" si="18"/>
        <v>2.0734680897810165E-2</v>
      </c>
      <c r="D243" s="21">
        <f t="shared" si="19"/>
        <v>5.3579038362269328E-2</v>
      </c>
    </row>
    <row r="244" spans="1:4">
      <c r="A244" s="19" t="s">
        <v>1614</v>
      </c>
      <c r="B244" s="19">
        <v>2.94154866689746</v>
      </c>
      <c r="C244" s="19">
        <f t="shared" si="18"/>
        <v>5.5205418487640046E-2</v>
      </c>
      <c r="D244" s="21">
        <f t="shared" si="19"/>
        <v>5.3536880589151133E-2</v>
      </c>
    </row>
    <row r="245" spans="1:4">
      <c r="A245" s="19" t="s">
        <v>1615</v>
      </c>
      <c r="B245" s="19">
        <v>2.8863432484098199</v>
      </c>
      <c r="C245" s="19">
        <f t="shared" si="18"/>
        <v>-3.108530801740006E-3</v>
      </c>
      <c r="D245" s="21">
        <f t="shared" si="19"/>
        <v>5.3214277447480939E-2</v>
      </c>
    </row>
    <row r="246" spans="1:4">
      <c r="A246" s="19" t="s">
        <v>1616</v>
      </c>
      <c r="B246" s="19">
        <v>2.8894517792115599</v>
      </c>
      <c r="C246" s="19">
        <f t="shared" si="18"/>
        <v>-8.5848591399349861E-2</v>
      </c>
      <c r="D246" s="21">
        <f t="shared" si="19"/>
        <v>5.3837921845648069E-2</v>
      </c>
    </row>
    <row r="247" spans="1:4">
      <c r="A247" s="19" t="s">
        <v>1617</v>
      </c>
      <c r="B247" s="19">
        <v>2.9753003706109098</v>
      </c>
      <c r="C247" s="19">
        <f t="shared" si="18"/>
        <v>5.1798467361449774E-2</v>
      </c>
      <c r="D247" s="21">
        <f t="shared" si="19"/>
        <v>5.3697739763488822E-2</v>
      </c>
    </row>
    <row r="248" spans="1:4">
      <c r="A248" s="19" t="s">
        <v>1618</v>
      </c>
      <c r="B248" s="19">
        <v>2.92350190324946</v>
      </c>
      <c r="C248" s="19">
        <f t="shared" si="18"/>
        <v>-4.8462946730779777E-2</v>
      </c>
      <c r="D248" s="21">
        <f t="shared" si="19"/>
        <v>5.370550405478839E-2</v>
      </c>
    </row>
    <row r="249" spans="1:4">
      <c r="A249" s="19" t="s">
        <v>1619</v>
      </c>
      <c r="B249" s="19">
        <v>2.9719648499802398</v>
      </c>
      <c r="C249" s="19">
        <f t="shared" si="18"/>
        <v>-3.6946634500260256E-2</v>
      </c>
      <c r="D249" s="21">
        <f t="shared" si="19"/>
        <v>5.3412596556682186E-2</v>
      </c>
    </row>
    <row r="250" spans="1:4">
      <c r="A250" s="19" t="s">
        <v>1620</v>
      </c>
      <c r="B250" s="19">
        <v>3.0089114844805001</v>
      </c>
      <c r="C250" s="19">
        <f t="shared" si="18"/>
        <v>4.9654772807710135E-2</v>
      </c>
      <c r="D250" s="21">
        <f t="shared" si="19"/>
        <v>5.3220317263894611E-2</v>
      </c>
    </row>
    <row r="251" spans="1:4">
      <c r="A251" s="19" t="s">
        <v>1621</v>
      </c>
      <c r="B251" s="19">
        <v>2.9592567116727899</v>
      </c>
      <c r="C251" s="19">
        <f t="shared" si="18"/>
        <v>7.3297828311519986E-2</v>
      </c>
      <c r="D251" s="21">
        <f t="shared" si="19"/>
        <v>5.4691655923931277E-2</v>
      </c>
    </row>
    <row r="252" spans="1:4">
      <c r="A252" s="19" t="s">
        <v>1622</v>
      </c>
      <c r="B252" s="19">
        <v>2.8859588833612699</v>
      </c>
      <c r="C252" s="19">
        <f t="shared" si="18"/>
        <v>-2.9549242601099923E-2</v>
      </c>
      <c r="D252" s="21">
        <f t="shared" si="19"/>
        <v>5.4327586709030845E-2</v>
      </c>
    </row>
    <row r="253" spans="1:4">
      <c r="A253" s="19" t="s">
        <v>1580</v>
      </c>
      <c r="B253" s="19">
        <v>2.9155081259623699</v>
      </c>
      <c r="C253" s="19">
        <f t="shared" si="18"/>
        <v>-7.8937420841159955E-2</v>
      </c>
      <c r="D253" s="21">
        <f t="shared" si="19"/>
        <v>5.4707766512442239E-2</v>
      </c>
    </row>
    <row r="254" spans="1:4">
      <c r="A254" s="19" t="s">
        <v>1581</v>
      </c>
      <c r="B254" s="19">
        <v>2.9944455468035298</v>
      </c>
      <c r="C254" s="19">
        <f t="shared" si="18"/>
        <v>-7.7114109373033202E-4</v>
      </c>
      <c r="D254" s="21">
        <f t="shared" si="19"/>
        <v>5.3996745681605979E-2</v>
      </c>
    </row>
    <row r="255" spans="1:4">
      <c r="A255" s="19" t="s">
        <v>1582</v>
      </c>
      <c r="B255" s="19">
        <v>2.9952166878972601</v>
      </c>
      <c r="C255" s="19">
        <f t="shared" si="18"/>
        <v>2.5189317327130034E-2</v>
      </c>
      <c r="D255" s="21">
        <f t="shared" si="19"/>
        <v>5.4152812376058408E-2</v>
      </c>
    </row>
    <row r="256" spans="1:4">
      <c r="A256" s="19" t="s">
        <v>1583</v>
      </c>
      <c r="B256" s="19">
        <v>2.9700273705701301</v>
      </c>
      <c r="C256" s="19">
        <f t="shared" si="18"/>
        <v>-6.85461078035976E-3</v>
      </c>
      <c r="D256" s="21">
        <f t="shared" si="19"/>
        <v>5.4239742239054596E-2</v>
      </c>
    </row>
    <row r="257" spans="1:4">
      <c r="A257" s="19" t="s">
        <v>1584</v>
      </c>
      <c r="B257" s="19">
        <v>2.9768819813504899</v>
      </c>
      <c r="C257" s="19">
        <f t="shared" si="18"/>
        <v>-3.1925448065320161E-2</v>
      </c>
      <c r="D257" s="21">
        <f t="shared" si="19"/>
        <v>5.4696576705527918E-2</v>
      </c>
    </row>
    <row r="258" spans="1:4">
      <c r="A258" s="19" t="s">
        <v>1585</v>
      </c>
      <c r="B258" s="19">
        <v>3.00880742941581</v>
      </c>
      <c r="C258" s="19">
        <f t="shared" ref="C258:C321" si="20">B258-B259</f>
        <v>7.2830705683299968E-3</v>
      </c>
      <c r="D258" s="21">
        <f t="shared" ref="D258:D321" si="21">STDEV(C258:C317)</f>
        <v>5.4496460747909724E-2</v>
      </c>
    </row>
    <row r="259" spans="1:4">
      <c r="A259" s="19" t="s">
        <v>1586</v>
      </c>
      <c r="B259" s="19">
        <v>3.00152435884748</v>
      </c>
      <c r="C259" s="19">
        <f t="shared" si="20"/>
        <v>-2.5747915518489872E-2</v>
      </c>
      <c r="D259" s="21">
        <f t="shared" si="21"/>
        <v>5.4780889878762402E-2</v>
      </c>
    </row>
    <row r="260" spans="1:4">
      <c r="A260" s="19" t="s">
        <v>1587</v>
      </c>
      <c r="B260" s="19">
        <v>3.0272722743659699</v>
      </c>
      <c r="C260" s="19">
        <f t="shared" si="20"/>
        <v>-1.3726314925750049E-2</v>
      </c>
      <c r="D260" s="21">
        <f t="shared" si="21"/>
        <v>5.5009257096399006E-2</v>
      </c>
    </row>
    <row r="261" spans="1:4">
      <c r="A261" s="19" t="s">
        <v>1588</v>
      </c>
      <c r="B261" s="19">
        <v>3.04099858929172</v>
      </c>
      <c r="C261" s="19">
        <f t="shared" si="20"/>
        <v>-2.9270013175120013E-2</v>
      </c>
      <c r="D261" s="21">
        <f t="shared" si="21"/>
        <v>5.4954205105977004E-2</v>
      </c>
    </row>
    <row r="262" spans="1:4">
      <c r="A262" s="19" t="s">
        <v>1589</v>
      </c>
      <c r="B262" s="19">
        <v>3.07026860246684</v>
      </c>
      <c r="C262" s="19">
        <f t="shared" si="20"/>
        <v>1.9403651277590139E-2</v>
      </c>
      <c r="D262" s="21">
        <f t="shared" si="21"/>
        <v>5.4926857550399485E-2</v>
      </c>
    </row>
    <row r="263" spans="1:4">
      <c r="A263" s="19" t="s">
        <v>1590</v>
      </c>
      <c r="B263" s="19">
        <v>3.0508649511892498</v>
      </c>
      <c r="C263" s="19">
        <f t="shared" si="20"/>
        <v>-1.3372144063650282E-2</v>
      </c>
      <c r="D263" s="21">
        <f t="shared" si="21"/>
        <v>5.5002688398679257E-2</v>
      </c>
    </row>
    <row r="264" spans="1:4">
      <c r="A264" s="19" t="s">
        <v>1591</v>
      </c>
      <c r="B264" s="19">
        <v>3.0642370952529001</v>
      </c>
      <c r="C264" s="19">
        <f t="shared" si="20"/>
        <v>-9.5103022380982338E-4</v>
      </c>
      <c r="D264" s="21">
        <f t="shared" si="21"/>
        <v>5.526525247620398E-2</v>
      </c>
    </row>
    <row r="265" spans="1:4">
      <c r="A265" s="19" t="s">
        <v>1592</v>
      </c>
      <c r="B265" s="19">
        <v>3.0651881254767099</v>
      </c>
      <c r="C265" s="19">
        <f t="shared" si="20"/>
        <v>-4.2918427543010118E-2</v>
      </c>
      <c r="D265" s="21">
        <f t="shared" si="21"/>
        <v>5.5295167538257854E-2</v>
      </c>
    </row>
    <row r="266" spans="1:4">
      <c r="A266" s="19" t="s">
        <v>1593</v>
      </c>
      <c r="B266" s="19">
        <v>3.1081065530197201</v>
      </c>
      <c r="C266" s="19">
        <f t="shared" si="20"/>
        <v>-3.5973608113379907E-2</v>
      </c>
      <c r="D266" s="21">
        <f t="shared" si="21"/>
        <v>5.4972239598876246E-2</v>
      </c>
    </row>
    <row r="267" spans="1:4">
      <c r="A267" s="19" t="s">
        <v>1594</v>
      </c>
      <c r="B267" s="19">
        <v>3.1440801611331</v>
      </c>
      <c r="C267" s="19">
        <f t="shared" si="20"/>
        <v>-2.8343354926199105E-3</v>
      </c>
      <c r="D267" s="21">
        <f t="shared" si="21"/>
        <v>5.4706498346029871E-2</v>
      </c>
    </row>
    <row r="268" spans="1:4">
      <c r="A268" s="19" t="s">
        <v>1595</v>
      </c>
      <c r="B268" s="19">
        <v>3.1469144966257199</v>
      </c>
      <c r="C268" s="19">
        <f t="shared" si="20"/>
        <v>9.4921690904929967E-2</v>
      </c>
      <c r="D268" s="21">
        <f t="shared" si="21"/>
        <v>5.4734600853052338E-2</v>
      </c>
    </row>
    <row r="269" spans="1:4">
      <c r="A269" s="19" t="s">
        <v>1596</v>
      </c>
      <c r="B269" s="19">
        <v>3.0519928057207899</v>
      </c>
      <c r="C269" s="19">
        <f t="shared" si="20"/>
        <v>7.2847409480830017E-2</v>
      </c>
      <c r="D269" s="21">
        <f t="shared" si="21"/>
        <v>5.3632512208860499E-2</v>
      </c>
    </row>
    <row r="270" spans="1:4">
      <c r="A270" s="19" t="s">
        <v>1597</v>
      </c>
      <c r="B270" s="19">
        <v>2.9791453962399599</v>
      </c>
      <c r="C270" s="19">
        <f t="shared" si="20"/>
        <v>-3.0706515702000114E-2</v>
      </c>
      <c r="D270" s="21">
        <f t="shared" si="21"/>
        <v>5.3350899607179467E-2</v>
      </c>
    </row>
    <row r="271" spans="1:4">
      <c r="A271" s="19" t="s">
        <v>1598</v>
      </c>
      <c r="B271" s="19">
        <v>3.00985191194196</v>
      </c>
      <c r="C271" s="19">
        <f t="shared" si="20"/>
        <v>-3.111080764456009E-2</v>
      </c>
      <c r="D271" s="21">
        <f t="shared" si="21"/>
        <v>5.330055011598455E-2</v>
      </c>
    </row>
    <row r="272" spans="1:4">
      <c r="A272" s="19" t="s">
        <v>1599</v>
      </c>
      <c r="B272" s="19">
        <v>3.0409627195865201</v>
      </c>
      <c r="C272" s="19">
        <f t="shared" si="20"/>
        <v>-9.1982678192169764E-2</v>
      </c>
      <c r="D272" s="21">
        <f t="shared" si="21"/>
        <v>5.3109111545622673E-2</v>
      </c>
    </row>
    <row r="273" spans="1:4">
      <c r="A273" s="19" t="s">
        <v>1600</v>
      </c>
      <c r="B273" s="19">
        <v>3.1329453977786899</v>
      </c>
      <c r="C273" s="19">
        <f t="shared" si="20"/>
        <v>-2.9819854583870153E-2</v>
      </c>
      <c r="D273" s="21">
        <f t="shared" si="21"/>
        <v>5.1568448944280053E-2</v>
      </c>
    </row>
    <row r="274" spans="1:4">
      <c r="A274" s="19" t="s">
        <v>1601</v>
      </c>
      <c r="B274" s="19">
        <v>3.16276525236256</v>
      </c>
      <c r="C274" s="19">
        <f t="shared" si="20"/>
        <v>8.9484809070400129E-2</v>
      </c>
      <c r="D274" s="21">
        <f t="shared" si="21"/>
        <v>5.1372481858648796E-2</v>
      </c>
    </row>
    <row r="275" spans="1:4">
      <c r="A275" s="19" t="s">
        <v>1554</v>
      </c>
      <c r="B275" s="19">
        <v>3.0732804432921599</v>
      </c>
      <c r="C275" s="19">
        <f t="shared" si="20"/>
        <v>-1.1906476676150302E-2</v>
      </c>
      <c r="D275" s="21">
        <f t="shared" si="21"/>
        <v>5.0297854043831247E-2</v>
      </c>
    </row>
    <row r="276" spans="1:4">
      <c r="A276" s="19" t="s">
        <v>1555</v>
      </c>
      <c r="B276" s="19">
        <v>3.0851869199683102</v>
      </c>
      <c r="C276" s="19">
        <f t="shared" si="20"/>
        <v>-0.1170818744650397</v>
      </c>
      <c r="D276" s="21">
        <f t="shared" si="21"/>
        <v>5.0441681173799512E-2</v>
      </c>
    </row>
    <row r="277" spans="1:4">
      <c r="A277" s="19" t="s">
        <v>1556</v>
      </c>
      <c r="B277" s="19">
        <v>3.2022687944333499</v>
      </c>
      <c r="C277" s="19">
        <f t="shared" si="20"/>
        <v>8.6376486878809722E-2</v>
      </c>
      <c r="D277" s="21">
        <f t="shared" si="21"/>
        <v>4.8550017895876665E-2</v>
      </c>
    </row>
    <row r="278" spans="1:4">
      <c r="A278" s="19" t="s">
        <v>1557</v>
      </c>
      <c r="B278" s="19">
        <v>3.1158923075545402</v>
      </c>
      <c r="C278" s="19">
        <f t="shared" si="20"/>
        <v>2.463169712943003E-2</v>
      </c>
      <c r="D278" s="21">
        <f t="shared" si="21"/>
        <v>4.7821239983162032E-2</v>
      </c>
    </row>
    <row r="279" spans="1:4">
      <c r="A279" s="19" t="s">
        <v>1558</v>
      </c>
      <c r="B279" s="19">
        <v>3.0912606104251101</v>
      </c>
      <c r="C279" s="19">
        <f t="shared" si="20"/>
        <v>-3.064391065476979E-2</v>
      </c>
      <c r="D279" s="21">
        <f t="shared" si="21"/>
        <v>4.8624749416240537E-2</v>
      </c>
    </row>
    <row r="280" spans="1:4">
      <c r="A280" s="19" t="s">
        <v>1559</v>
      </c>
      <c r="B280" s="19">
        <v>3.1219045210798799</v>
      </c>
      <c r="C280" s="19">
        <f t="shared" si="20"/>
        <v>4.5747632364269819E-2</v>
      </c>
      <c r="D280" s="21">
        <f t="shared" si="21"/>
        <v>4.8610998447722598E-2</v>
      </c>
    </row>
    <row r="281" spans="1:4">
      <c r="A281" s="19" t="s">
        <v>1560</v>
      </c>
      <c r="B281" s="19">
        <v>3.0761568887156101</v>
      </c>
      <c r="C281" s="19">
        <f t="shared" si="20"/>
        <v>9.3939484823879926E-2</v>
      </c>
      <c r="D281" s="21">
        <f t="shared" si="21"/>
        <v>4.836189463102928E-2</v>
      </c>
    </row>
    <row r="282" spans="1:4">
      <c r="A282" s="19" t="s">
        <v>1561</v>
      </c>
      <c r="B282" s="19">
        <v>2.9822174038917302</v>
      </c>
      <c r="C282" s="19">
        <f t="shared" si="20"/>
        <v>-6.4584508831439624E-2</v>
      </c>
      <c r="D282" s="21">
        <f t="shared" si="21"/>
        <v>4.7683682757346413E-2</v>
      </c>
    </row>
    <row r="283" spans="1:4">
      <c r="A283" s="19" t="s">
        <v>1562</v>
      </c>
      <c r="B283" s="19">
        <v>3.0468019127231698</v>
      </c>
      <c r="C283" s="19">
        <f t="shared" si="20"/>
        <v>1.4640388488239786E-2</v>
      </c>
      <c r="D283" s="21">
        <f t="shared" si="21"/>
        <v>4.8035366149137435E-2</v>
      </c>
    </row>
    <row r="284" spans="1:4">
      <c r="A284" s="19" t="s">
        <v>1563</v>
      </c>
      <c r="B284" s="19">
        <v>3.03216152423493</v>
      </c>
      <c r="C284" s="19">
        <f t="shared" si="20"/>
        <v>-2.1578766021829843E-2</v>
      </c>
      <c r="D284" s="21">
        <f t="shared" si="21"/>
        <v>4.8422685371797579E-2</v>
      </c>
    </row>
    <row r="285" spans="1:4">
      <c r="A285" s="19" t="s">
        <v>1564</v>
      </c>
      <c r="B285" s="19">
        <v>3.0537402902567599</v>
      </c>
      <c r="C285" s="19">
        <f t="shared" si="20"/>
        <v>-3.1108215693540053E-2</v>
      </c>
      <c r="D285" s="21">
        <f t="shared" si="21"/>
        <v>4.879958596947348E-2</v>
      </c>
    </row>
    <row r="286" spans="1:4">
      <c r="A286" s="19" t="s">
        <v>1565</v>
      </c>
      <c r="B286" s="19">
        <v>3.0848485059502999</v>
      </c>
      <c r="C286" s="19">
        <f t="shared" si="20"/>
        <v>-7.0916220232599692E-3</v>
      </c>
      <c r="D286" s="21">
        <f t="shared" si="21"/>
        <v>4.8627099164602318E-2</v>
      </c>
    </row>
    <row r="287" spans="1:4">
      <c r="A287" s="19" t="s">
        <v>1566</v>
      </c>
      <c r="B287" s="19">
        <v>3.0919401279735599</v>
      </c>
      <c r="C287" s="19">
        <f t="shared" si="20"/>
        <v>1.5824814768500062E-2</v>
      </c>
      <c r="D287" s="21">
        <f t="shared" si="21"/>
        <v>4.8937058633084382E-2</v>
      </c>
    </row>
    <row r="288" spans="1:4">
      <c r="A288" s="19" t="s">
        <v>1567</v>
      </c>
      <c r="B288" s="19">
        <v>3.0761153132050598</v>
      </c>
      <c r="C288" s="19">
        <f t="shared" si="20"/>
        <v>-0.10122936278778027</v>
      </c>
      <c r="D288" s="21">
        <f t="shared" si="21"/>
        <v>4.8940081328385322E-2</v>
      </c>
    </row>
    <row r="289" spans="1:4">
      <c r="A289" s="19" t="s">
        <v>1568</v>
      </c>
      <c r="B289" s="19">
        <v>3.1773446759928401</v>
      </c>
      <c r="C289" s="19">
        <f t="shared" si="20"/>
        <v>4.8045096368200202E-2</v>
      </c>
      <c r="D289" s="21">
        <f t="shared" si="21"/>
        <v>4.9006263926847336E-2</v>
      </c>
    </row>
    <row r="290" spans="1:4">
      <c r="A290" s="19" t="s">
        <v>1569</v>
      </c>
      <c r="B290" s="19">
        <v>3.1292995796246399</v>
      </c>
      <c r="C290" s="19">
        <f t="shared" si="20"/>
        <v>4.4071508087559774E-2</v>
      </c>
      <c r="D290" s="21">
        <f t="shared" si="21"/>
        <v>4.8896967978357547E-2</v>
      </c>
    </row>
    <row r="291" spans="1:4">
      <c r="A291" s="19" t="s">
        <v>1570</v>
      </c>
      <c r="B291" s="19">
        <v>3.0852280715370801</v>
      </c>
      <c r="C291" s="19">
        <f t="shared" si="20"/>
        <v>-3.3310853574789689E-2</v>
      </c>
      <c r="D291" s="21">
        <f t="shared" si="21"/>
        <v>4.8652008473901581E-2</v>
      </c>
    </row>
    <row r="292" spans="1:4">
      <c r="A292" s="19" t="s">
        <v>1571</v>
      </c>
      <c r="B292" s="19">
        <v>3.1185389251118698</v>
      </c>
      <c r="C292" s="19">
        <f t="shared" si="20"/>
        <v>9.2864061496869876E-2</v>
      </c>
      <c r="D292" s="21">
        <f t="shared" si="21"/>
        <v>4.8430031573661866E-2</v>
      </c>
    </row>
    <row r="293" spans="1:4">
      <c r="A293" s="19" t="s">
        <v>1572</v>
      </c>
      <c r="B293" s="19">
        <v>3.0256748636149999</v>
      </c>
      <c r="C293" s="19">
        <f t="shared" si="20"/>
        <v>-4.8739567958750118E-2</v>
      </c>
      <c r="D293" s="21">
        <f t="shared" si="21"/>
        <v>4.7093588247015504E-2</v>
      </c>
    </row>
    <row r="294" spans="1:4">
      <c r="A294" s="19" t="s">
        <v>1573</v>
      </c>
      <c r="B294" s="19">
        <v>3.0744144315737501</v>
      </c>
      <c r="C294" s="19">
        <f t="shared" si="20"/>
        <v>0.11317930414747002</v>
      </c>
      <c r="D294" s="21">
        <f t="shared" si="21"/>
        <v>4.6687433888654734E-2</v>
      </c>
    </row>
    <row r="295" spans="1:4">
      <c r="A295" s="19" t="s">
        <v>1574</v>
      </c>
      <c r="B295" s="19">
        <v>2.96123512742628</v>
      </c>
      <c r="C295" s="19">
        <f t="shared" si="20"/>
        <v>7.3926855906059963E-2</v>
      </c>
      <c r="D295" s="21">
        <f t="shared" si="21"/>
        <v>4.5047024992321542E-2</v>
      </c>
    </row>
    <row r="296" spans="1:4">
      <c r="A296" s="19" t="s">
        <v>1526</v>
      </c>
      <c r="B296" s="19">
        <v>2.8873082715202201</v>
      </c>
      <c r="C296" s="19">
        <f t="shared" si="20"/>
        <v>7.4749329083670268E-2</v>
      </c>
      <c r="D296" s="21">
        <f t="shared" si="21"/>
        <v>4.4163769736525429E-2</v>
      </c>
    </row>
    <row r="297" spans="1:4">
      <c r="A297" s="19" t="s">
        <v>1527</v>
      </c>
      <c r="B297" s="19">
        <v>2.8125589424365498</v>
      </c>
      <c r="C297" s="19">
        <f t="shared" si="20"/>
        <v>-2.8808272780890043E-2</v>
      </c>
      <c r="D297" s="21">
        <f t="shared" si="21"/>
        <v>4.5601052190146124E-2</v>
      </c>
    </row>
    <row r="298" spans="1:4">
      <c r="A298" s="19" t="s">
        <v>1528</v>
      </c>
      <c r="B298" s="19">
        <v>2.8413672152174398</v>
      </c>
      <c r="C298" s="19">
        <f t="shared" si="20"/>
        <v>-4.699318275450004E-3</v>
      </c>
      <c r="D298" s="21">
        <f t="shared" si="21"/>
        <v>4.5459528582604505E-2</v>
      </c>
    </row>
    <row r="299" spans="1:4">
      <c r="A299" s="19" t="s">
        <v>1529</v>
      </c>
      <c r="B299" s="19">
        <v>2.8460665334928898</v>
      </c>
      <c r="C299" s="19">
        <f t="shared" si="20"/>
        <v>-4.0039051206899323E-3</v>
      </c>
      <c r="D299" s="21">
        <f t="shared" si="21"/>
        <v>4.5474591692681379E-2</v>
      </c>
    </row>
    <row r="300" spans="1:4">
      <c r="A300" s="19" t="s">
        <v>1530</v>
      </c>
      <c r="B300" s="19">
        <v>2.8500704386135798</v>
      </c>
      <c r="C300" s="19">
        <f t="shared" si="20"/>
        <v>-4.145057721679013E-2</v>
      </c>
      <c r="D300" s="21">
        <f t="shared" si="21"/>
        <v>4.5797926196727179E-2</v>
      </c>
    </row>
    <row r="301" spans="1:4">
      <c r="A301" s="19" t="s">
        <v>1531</v>
      </c>
      <c r="B301" s="19">
        <v>2.8915210158303699</v>
      </c>
      <c r="C301" s="19">
        <f t="shared" si="20"/>
        <v>3.1544972245759695E-2</v>
      </c>
      <c r="D301" s="21">
        <f t="shared" si="21"/>
        <v>4.5976652461913979E-2</v>
      </c>
    </row>
    <row r="302" spans="1:4">
      <c r="A302" s="19" t="s">
        <v>1532</v>
      </c>
      <c r="B302" s="19">
        <v>2.8599760435846102</v>
      </c>
      <c r="C302" s="19">
        <f t="shared" si="20"/>
        <v>-5.0286282926449655E-2</v>
      </c>
      <c r="D302" s="21">
        <f t="shared" si="21"/>
        <v>4.5979146837641122E-2</v>
      </c>
    </row>
    <row r="303" spans="1:4">
      <c r="A303" s="19" t="s">
        <v>1533</v>
      </c>
      <c r="B303" s="19">
        <v>2.9102623265110599</v>
      </c>
      <c r="C303" s="19">
        <f t="shared" si="20"/>
        <v>-1.1186028867629982E-2</v>
      </c>
      <c r="D303" s="21">
        <f t="shared" si="21"/>
        <v>4.5701929519374199E-2</v>
      </c>
    </row>
    <row r="304" spans="1:4">
      <c r="A304" s="19" t="s">
        <v>1534</v>
      </c>
      <c r="B304" s="19">
        <v>2.9214483553786899</v>
      </c>
      <c r="C304" s="19">
        <f t="shared" si="20"/>
        <v>3.1768424584039945E-2</v>
      </c>
      <c r="D304" s="21">
        <f t="shared" si="21"/>
        <v>4.5758004792653816E-2</v>
      </c>
    </row>
    <row r="305" spans="1:4">
      <c r="A305" s="19" t="s">
        <v>1535</v>
      </c>
      <c r="B305" s="19">
        <v>2.8896799307946499</v>
      </c>
      <c r="C305" s="19">
        <f t="shared" si="20"/>
        <v>6.3363231754419935E-2</v>
      </c>
      <c r="D305" s="21">
        <f t="shared" si="21"/>
        <v>4.6296574412356663E-2</v>
      </c>
    </row>
    <row r="306" spans="1:4">
      <c r="A306" s="19" t="s">
        <v>1536</v>
      </c>
      <c r="B306" s="19">
        <v>2.82631669904023</v>
      </c>
      <c r="C306" s="19">
        <f t="shared" si="20"/>
        <v>-8.0573849753129867E-2</v>
      </c>
      <c r="D306" s="21">
        <f t="shared" si="21"/>
        <v>4.5940715657167307E-2</v>
      </c>
    </row>
    <row r="307" spans="1:4">
      <c r="A307" s="19" t="s">
        <v>1537</v>
      </c>
      <c r="B307" s="19">
        <v>2.9068905487933598</v>
      </c>
      <c r="C307" s="19">
        <f t="shared" si="20"/>
        <v>-5.1718716479959959E-2</v>
      </c>
      <c r="D307" s="21">
        <f t="shared" si="21"/>
        <v>4.4775139138174741E-2</v>
      </c>
    </row>
    <row r="308" spans="1:4">
      <c r="A308" s="19" t="s">
        <v>1538</v>
      </c>
      <c r="B308" s="19">
        <v>2.9586092652733198</v>
      </c>
      <c r="C308" s="19">
        <f t="shared" si="20"/>
        <v>2.2319520160919648E-2</v>
      </c>
      <c r="D308" s="21">
        <f t="shared" si="21"/>
        <v>4.4324976857277522E-2</v>
      </c>
    </row>
    <row r="309" spans="1:4">
      <c r="A309" s="19" t="s">
        <v>1539</v>
      </c>
      <c r="B309" s="19">
        <v>2.9362897451124002</v>
      </c>
      <c r="C309" s="19">
        <f t="shared" si="20"/>
        <v>1.6308154683920328E-2</v>
      </c>
      <c r="D309" s="21">
        <f t="shared" si="21"/>
        <v>4.4928489928004259E-2</v>
      </c>
    </row>
    <row r="310" spans="1:4">
      <c r="A310" s="19" t="s">
        <v>1540</v>
      </c>
      <c r="B310" s="19">
        <v>2.9199815904284798</v>
      </c>
      <c r="C310" s="19">
        <f t="shared" si="20"/>
        <v>0.10987389717521001</v>
      </c>
      <c r="D310" s="21">
        <f t="shared" si="21"/>
        <v>4.7476933158671249E-2</v>
      </c>
    </row>
    <row r="311" spans="1:4">
      <c r="A311" s="19" t="s">
        <v>1525</v>
      </c>
      <c r="B311" s="19">
        <v>2.8101076932532698</v>
      </c>
      <c r="C311" s="19">
        <f t="shared" si="20"/>
        <v>-5.1670274790850179E-2</v>
      </c>
      <c r="D311" s="21">
        <f t="shared" si="21"/>
        <v>4.5435114970744282E-2</v>
      </c>
    </row>
    <row r="312" spans="1:4">
      <c r="A312" s="19" t="s">
        <v>23</v>
      </c>
      <c r="B312" s="19">
        <v>2.86177796804412</v>
      </c>
      <c r="C312" s="19">
        <f t="shared" si="20"/>
        <v>-5.7527228912459982E-2</v>
      </c>
      <c r="D312" s="21">
        <f t="shared" si="21"/>
        <v>4.4968352341139113E-2</v>
      </c>
    </row>
    <row r="313" spans="1:4">
      <c r="A313" s="19" t="s">
        <v>1524</v>
      </c>
      <c r="B313" s="19">
        <v>2.91930519695658</v>
      </c>
      <c r="C313" s="19">
        <f t="shared" si="20"/>
        <v>4.3656721521890152E-2</v>
      </c>
      <c r="D313" s="21">
        <f t="shared" si="21"/>
        <v>4.4298310828526019E-2</v>
      </c>
    </row>
    <row r="314" spans="1:4">
      <c r="A314" s="19" t="s">
        <v>1523</v>
      </c>
      <c r="B314" s="19">
        <v>2.8756484754346898</v>
      </c>
      <c r="C314" s="19">
        <f t="shared" si="20"/>
        <v>3.3972469820039652E-2</v>
      </c>
      <c r="D314" s="21">
        <f t="shared" si="21"/>
        <v>4.4589394617845501E-2</v>
      </c>
    </row>
    <row r="315" spans="1:4">
      <c r="A315" s="19" t="s">
        <v>1522</v>
      </c>
      <c r="B315" s="19">
        <v>2.8416760056146502</v>
      </c>
      <c r="C315" s="19">
        <f t="shared" si="20"/>
        <v>3.526609855049001E-2</v>
      </c>
      <c r="D315" s="21">
        <f t="shared" si="21"/>
        <v>4.4418096643407005E-2</v>
      </c>
    </row>
    <row r="316" spans="1:4">
      <c r="A316" s="19" t="s">
        <v>1521</v>
      </c>
      <c r="B316" s="19">
        <v>2.8064099070641602</v>
      </c>
      <c r="C316" s="19">
        <f t="shared" si="20"/>
        <v>5.839518409721034E-2</v>
      </c>
      <c r="D316" s="21">
        <f t="shared" si="21"/>
        <v>4.6587164212315325E-2</v>
      </c>
    </row>
    <row r="317" spans="1:4">
      <c r="A317" s="19" t="s">
        <v>1520</v>
      </c>
      <c r="B317" s="19">
        <v>2.7480147229669498</v>
      </c>
      <c r="C317" s="19">
        <f t="shared" si="20"/>
        <v>1.2688514096299564E-3</v>
      </c>
      <c r="D317" s="21">
        <f t="shared" si="21"/>
        <v>4.6059112016880517E-2</v>
      </c>
    </row>
    <row r="318" spans="1:4">
      <c r="A318" s="19" t="s">
        <v>1519</v>
      </c>
      <c r="B318" s="19">
        <v>2.7467458715573199</v>
      </c>
      <c r="C318" s="19">
        <f t="shared" si="20"/>
        <v>4.7604416926769755E-2</v>
      </c>
      <c r="D318" s="21">
        <f t="shared" si="21"/>
        <v>4.6167318226541784E-2</v>
      </c>
    </row>
    <row r="319" spans="1:4">
      <c r="A319" s="19" t="s">
        <v>1518</v>
      </c>
      <c r="B319" s="19">
        <v>2.6991414546305501</v>
      </c>
      <c r="C319" s="19">
        <f t="shared" si="20"/>
        <v>5.5407604211860306E-2</v>
      </c>
      <c r="D319" s="21">
        <f t="shared" si="21"/>
        <v>4.7179218887090014E-2</v>
      </c>
    </row>
    <row r="320" spans="1:4">
      <c r="A320" s="19" t="s">
        <v>1517</v>
      </c>
      <c r="B320" s="19">
        <v>2.6437338504186898</v>
      </c>
      <c r="C320" s="19">
        <f t="shared" si="20"/>
        <v>1.4174632649449848E-2</v>
      </c>
      <c r="D320" s="21">
        <f t="shared" si="21"/>
        <v>4.6708107539903822E-2</v>
      </c>
    </row>
    <row r="321" spans="1:4">
      <c r="A321" s="19" t="s">
        <v>1516</v>
      </c>
      <c r="B321" s="19">
        <v>2.62955921776924</v>
      </c>
      <c r="C321" s="19">
        <f t="shared" si="20"/>
        <v>-2.6728363760100127E-2</v>
      </c>
      <c r="D321" s="21">
        <f t="shared" si="21"/>
        <v>4.7404343255888853E-2</v>
      </c>
    </row>
    <row r="322" spans="1:4">
      <c r="A322" s="19" t="s">
        <v>1515</v>
      </c>
      <c r="B322" s="19">
        <v>2.6562875815293401</v>
      </c>
      <c r="C322" s="19">
        <f t="shared" ref="C322:C385" si="22">B322-B323</f>
        <v>-1.9038832217389778E-2</v>
      </c>
      <c r="D322" s="21">
        <f t="shared" ref="D322:D385" si="23">STDEV(C322:C381)</f>
        <v>4.7256705256542977E-2</v>
      </c>
    </row>
    <row r="323" spans="1:4">
      <c r="A323" s="19" t="s">
        <v>1514</v>
      </c>
      <c r="B323" s="19">
        <v>2.6753264137467299</v>
      </c>
      <c r="C323" s="19">
        <f t="shared" si="22"/>
        <v>5.2805333661659848E-2</v>
      </c>
      <c r="D323" s="21">
        <f t="shared" si="23"/>
        <v>4.8315264943955112E-2</v>
      </c>
    </row>
    <row r="324" spans="1:4">
      <c r="A324" s="19" t="s">
        <v>1513</v>
      </c>
      <c r="B324" s="19">
        <v>2.62252108008507</v>
      </c>
      <c r="C324" s="19">
        <f t="shared" si="22"/>
        <v>2.3931863014809984E-2</v>
      </c>
      <c r="D324" s="21">
        <f t="shared" si="23"/>
        <v>4.7865865689240575E-2</v>
      </c>
    </row>
    <row r="325" spans="1:4">
      <c r="A325" s="19" t="s">
        <v>1512</v>
      </c>
      <c r="B325" s="19">
        <v>2.59858921707026</v>
      </c>
      <c r="C325" s="19">
        <f t="shared" si="22"/>
        <v>3.1468796612490024E-2</v>
      </c>
      <c r="D325" s="21">
        <f t="shared" si="23"/>
        <v>4.7898833496792616E-2</v>
      </c>
    </row>
    <row r="326" spans="1:4">
      <c r="A326" s="19" t="s">
        <v>1511</v>
      </c>
      <c r="B326" s="19">
        <v>2.56712042045777</v>
      </c>
      <c r="C326" s="19">
        <f t="shared" si="22"/>
        <v>-8.7825213409797875E-3</v>
      </c>
      <c r="D326" s="21">
        <f t="shared" si="23"/>
        <v>4.8129624283717885E-2</v>
      </c>
    </row>
    <row r="327" spans="1:4">
      <c r="A327" s="19" t="s">
        <v>1510</v>
      </c>
      <c r="B327" s="19">
        <v>2.5759029417987498</v>
      </c>
      <c r="C327" s="19">
        <f t="shared" si="22"/>
        <v>-8.7906427710402468E-3</v>
      </c>
      <c r="D327" s="21">
        <f t="shared" si="23"/>
        <v>4.8133032922734853E-2</v>
      </c>
    </row>
    <row r="328" spans="1:4">
      <c r="A328" s="19" t="s">
        <v>1509</v>
      </c>
      <c r="B328" s="19">
        <v>2.58469358456979</v>
      </c>
      <c r="C328" s="19">
        <f t="shared" si="22"/>
        <v>-1.2165182691600052E-2</v>
      </c>
      <c r="D328" s="21">
        <f t="shared" si="23"/>
        <v>4.8578445027368224E-2</v>
      </c>
    </row>
    <row r="329" spans="1:4">
      <c r="A329" s="19" t="s">
        <v>1508</v>
      </c>
      <c r="B329" s="19">
        <v>2.5968587672613901</v>
      </c>
      <c r="C329" s="19">
        <f t="shared" si="22"/>
        <v>-4.4481683155519924E-2</v>
      </c>
      <c r="D329" s="21">
        <f t="shared" si="23"/>
        <v>4.8571794401842144E-2</v>
      </c>
    </row>
    <row r="330" spans="1:4">
      <c r="A330" s="19" t="s">
        <v>1507</v>
      </c>
      <c r="B330" s="19">
        <v>2.64134045041691</v>
      </c>
      <c r="C330" s="19">
        <f t="shared" si="22"/>
        <v>-2.6054112115000194E-2</v>
      </c>
      <c r="D330" s="21">
        <f t="shared" si="23"/>
        <v>4.9541911091635221E-2</v>
      </c>
    </row>
    <row r="331" spans="1:4">
      <c r="A331" s="19" t="s">
        <v>1506</v>
      </c>
      <c r="B331" s="19">
        <v>2.6673945625319102</v>
      </c>
      <c r="C331" s="19">
        <f t="shared" si="22"/>
        <v>1.9736284103810231E-2</v>
      </c>
      <c r="D331" s="21">
        <f t="shared" si="23"/>
        <v>4.9654127894161793E-2</v>
      </c>
    </row>
    <row r="332" spans="1:4">
      <c r="A332" s="19" t="s">
        <v>1505</v>
      </c>
      <c r="B332" s="19">
        <v>2.6476582784281</v>
      </c>
      <c r="C332" s="19">
        <f t="shared" si="22"/>
        <v>2.7336766776909993E-2</v>
      </c>
      <c r="D332" s="21">
        <f t="shared" si="23"/>
        <v>5.098123062617281E-2</v>
      </c>
    </row>
    <row r="333" spans="1:4">
      <c r="A333" s="19" t="s">
        <v>1504</v>
      </c>
      <c r="B333" s="19">
        <v>2.62032151165119</v>
      </c>
      <c r="C333" s="19">
        <f t="shared" si="22"/>
        <v>-8.4609472273298181E-3</v>
      </c>
      <c r="D333" s="21">
        <f t="shared" si="23"/>
        <v>5.0900754645999316E-2</v>
      </c>
    </row>
    <row r="334" spans="1:4">
      <c r="A334" s="19" t="s">
        <v>1503</v>
      </c>
      <c r="B334" s="19">
        <v>2.6287824588785198</v>
      </c>
      <c r="C334" s="19">
        <f t="shared" si="22"/>
        <v>-5.134644862000215E-3</v>
      </c>
      <c r="D334" s="21">
        <f t="shared" si="23"/>
        <v>5.1349905477378568E-2</v>
      </c>
    </row>
    <row r="335" spans="1:4">
      <c r="A335" s="19" t="s">
        <v>1502</v>
      </c>
      <c r="B335" s="19">
        <v>2.63391710374052</v>
      </c>
      <c r="C335" s="19">
        <f t="shared" si="22"/>
        <v>4.3028682204710123E-2</v>
      </c>
      <c r="D335" s="21">
        <f t="shared" si="23"/>
        <v>5.1500973920222307E-2</v>
      </c>
    </row>
    <row r="336" spans="1:4">
      <c r="A336" s="19" t="s">
        <v>1501</v>
      </c>
      <c r="B336" s="19">
        <v>2.5908884215358099</v>
      </c>
      <c r="C336" s="19">
        <f t="shared" si="22"/>
        <v>-6.0394246464800183E-2</v>
      </c>
      <c r="D336" s="21">
        <f t="shared" si="23"/>
        <v>5.1653152037348424E-2</v>
      </c>
    </row>
    <row r="337" spans="1:4">
      <c r="A337" s="19" t="s">
        <v>1500</v>
      </c>
      <c r="B337" s="19">
        <v>2.6512826680006101</v>
      </c>
      <c r="C337" s="19">
        <f t="shared" si="22"/>
        <v>5.2016892610319942E-2</v>
      </c>
      <c r="D337" s="21">
        <f t="shared" si="23"/>
        <v>5.1062964454997355E-2</v>
      </c>
    </row>
    <row r="338" spans="1:4">
      <c r="A338" s="19" t="s">
        <v>1499</v>
      </c>
      <c r="B338" s="19">
        <v>2.5992657753902901</v>
      </c>
      <c r="C338" s="19">
        <f t="shared" si="22"/>
        <v>-6.1769385888649886E-2</v>
      </c>
      <c r="D338" s="21">
        <f t="shared" si="23"/>
        <v>5.1647565557648038E-2</v>
      </c>
    </row>
    <row r="339" spans="1:4">
      <c r="A339" s="19" t="s">
        <v>1498</v>
      </c>
      <c r="B339" s="19">
        <v>2.66103516127894</v>
      </c>
      <c r="C339" s="19">
        <f t="shared" si="22"/>
        <v>-2.9586269164330048E-2</v>
      </c>
      <c r="D339" s="21">
        <f t="shared" si="23"/>
        <v>5.2305556167059834E-2</v>
      </c>
    </row>
    <row r="340" spans="1:4">
      <c r="A340" s="19" t="s">
        <v>1497</v>
      </c>
      <c r="B340" s="19">
        <v>2.6906214304432701</v>
      </c>
      <c r="C340" s="19">
        <f t="shared" si="22"/>
        <v>-2.8618158563897822E-3</v>
      </c>
      <c r="D340" s="21">
        <f t="shared" si="23"/>
        <v>5.2529510292846429E-2</v>
      </c>
    </row>
    <row r="341" spans="1:4">
      <c r="A341" s="19" t="s">
        <v>1496</v>
      </c>
      <c r="B341" s="19">
        <v>2.6934832462996599</v>
      </c>
      <c r="C341" s="19">
        <f t="shared" si="22"/>
        <v>-5.8515813978840203E-2</v>
      </c>
      <c r="D341" s="21">
        <f t="shared" si="23"/>
        <v>5.2568824336332379E-2</v>
      </c>
    </row>
    <row r="342" spans="1:4">
      <c r="A342" s="19" t="s">
        <v>1495</v>
      </c>
      <c r="B342" s="19">
        <v>2.7519990602785001</v>
      </c>
      <c r="C342" s="19">
        <f t="shared" si="22"/>
        <v>8.7829664233180171E-2</v>
      </c>
      <c r="D342" s="21">
        <f t="shared" si="23"/>
        <v>5.2063000189669403E-2</v>
      </c>
    </row>
    <row r="343" spans="1:4">
      <c r="A343" s="19" t="s">
        <v>1494</v>
      </c>
      <c r="B343" s="19">
        <v>2.6641693960453199</v>
      </c>
      <c r="C343" s="19">
        <f t="shared" si="22"/>
        <v>5.4322680498939846E-2</v>
      </c>
      <c r="D343" s="21">
        <f t="shared" si="23"/>
        <v>5.0834255640575129E-2</v>
      </c>
    </row>
    <row r="344" spans="1:4">
      <c r="A344" s="19" t="s">
        <v>1493</v>
      </c>
      <c r="B344" s="19">
        <v>2.60984671554638</v>
      </c>
      <c r="C344" s="19">
        <f t="shared" si="22"/>
        <v>-4.7662762445280116E-2</v>
      </c>
      <c r="D344" s="21">
        <f t="shared" si="23"/>
        <v>5.028986318675964E-2</v>
      </c>
    </row>
    <row r="345" spans="1:4">
      <c r="A345" s="19" t="s">
        <v>1492</v>
      </c>
      <c r="B345" s="19">
        <v>2.6575094779916602</v>
      </c>
      <c r="C345" s="19">
        <f t="shared" si="22"/>
        <v>-1.4263460552039753E-2</v>
      </c>
      <c r="D345" s="21">
        <f t="shared" si="23"/>
        <v>4.9979240085224877E-2</v>
      </c>
    </row>
    <row r="346" spans="1:4">
      <c r="A346" s="19" t="s">
        <v>1491</v>
      </c>
      <c r="B346" s="19">
        <v>2.6717729385436999</v>
      </c>
      <c r="C346" s="19">
        <f t="shared" si="22"/>
        <v>-3.7783625217580052E-2</v>
      </c>
      <c r="D346" s="21">
        <f t="shared" si="23"/>
        <v>5.1257985488287174E-2</v>
      </c>
    </row>
    <row r="347" spans="1:4">
      <c r="A347" s="19" t="s">
        <v>1490</v>
      </c>
      <c r="B347" s="19">
        <v>2.70955656376128</v>
      </c>
      <c r="C347" s="19">
        <f t="shared" si="22"/>
        <v>1.6707660665860047E-2</v>
      </c>
      <c r="D347" s="21">
        <f t="shared" si="23"/>
        <v>5.105513837458095E-2</v>
      </c>
    </row>
    <row r="348" spans="1:4">
      <c r="A348" s="19" t="s">
        <v>1489</v>
      </c>
      <c r="B348" s="19">
        <v>2.6928489030954199</v>
      </c>
      <c r="C348" s="19">
        <f t="shared" si="22"/>
        <v>-0.10299210620924004</v>
      </c>
      <c r="D348" s="21">
        <f t="shared" si="23"/>
        <v>5.1075351440029074E-2</v>
      </c>
    </row>
    <row r="349" spans="1:4">
      <c r="A349" s="19" t="s">
        <v>1488</v>
      </c>
      <c r="B349" s="19">
        <v>2.79584100930466</v>
      </c>
      <c r="C349" s="19">
        <f t="shared" si="22"/>
        <v>-2.8335842523260268E-2</v>
      </c>
      <c r="D349" s="21">
        <f t="shared" si="23"/>
        <v>4.9433604663992513E-2</v>
      </c>
    </row>
    <row r="350" spans="1:4">
      <c r="A350" s="19" t="s">
        <v>1487</v>
      </c>
      <c r="B350" s="19">
        <v>2.8241768518279202</v>
      </c>
      <c r="C350" s="19">
        <f t="shared" si="22"/>
        <v>-7.328897314579752E-3</v>
      </c>
      <c r="D350" s="21">
        <f t="shared" si="23"/>
        <v>4.972298024627448E-2</v>
      </c>
    </row>
    <row r="351" spans="1:4">
      <c r="A351" s="19" t="s">
        <v>1486</v>
      </c>
      <c r="B351" s="19">
        <v>2.8315057491425</v>
      </c>
      <c r="C351" s="19">
        <f t="shared" si="22"/>
        <v>1.7686638888520179E-2</v>
      </c>
      <c r="D351" s="21">
        <f t="shared" si="23"/>
        <v>5.0016408280578802E-2</v>
      </c>
    </row>
    <row r="352" spans="1:4">
      <c r="A352" s="19" t="s">
        <v>1485</v>
      </c>
      <c r="B352" s="19">
        <v>2.8138191102539798</v>
      </c>
      <c r="C352" s="19">
        <f t="shared" si="22"/>
        <v>-1.4016193064140037E-2</v>
      </c>
      <c r="D352" s="21">
        <f t="shared" si="23"/>
        <v>5.0101418365163755E-2</v>
      </c>
    </row>
    <row r="353" spans="1:4">
      <c r="A353" s="19" t="s">
        <v>1484</v>
      </c>
      <c r="B353" s="19">
        <v>2.8278353033181198</v>
      </c>
      <c r="C353" s="19">
        <f t="shared" si="22"/>
        <v>-1.8515033488640142E-2</v>
      </c>
      <c r="D353" s="21">
        <f t="shared" si="23"/>
        <v>5.0729469681339956E-2</v>
      </c>
    </row>
    <row r="354" spans="1:4">
      <c r="A354" s="19" t="s">
        <v>1483</v>
      </c>
      <c r="B354" s="19">
        <v>2.84635033680676</v>
      </c>
      <c r="C354" s="19">
        <f t="shared" si="22"/>
        <v>-5.5877186723169991E-2</v>
      </c>
      <c r="D354" s="21">
        <f t="shared" si="23"/>
        <v>5.0699413076051386E-2</v>
      </c>
    </row>
    <row r="355" spans="1:4">
      <c r="A355" s="19" t="s">
        <v>1482</v>
      </c>
      <c r="B355" s="19">
        <v>2.90222752352993</v>
      </c>
      <c r="C355" s="19">
        <f t="shared" si="22"/>
        <v>-2.8089487371969923E-2</v>
      </c>
      <c r="D355" s="21">
        <f t="shared" si="23"/>
        <v>5.0374968930745459E-2</v>
      </c>
    </row>
    <row r="356" spans="1:4">
      <c r="A356" s="19" t="s">
        <v>1481</v>
      </c>
      <c r="B356" s="19">
        <v>2.9303170109018999</v>
      </c>
      <c r="C356" s="19">
        <f t="shared" si="22"/>
        <v>0.11475543592522985</v>
      </c>
      <c r="D356" s="21">
        <f t="shared" si="23"/>
        <v>5.0328597652899563E-2</v>
      </c>
    </row>
    <row r="357" spans="1:4">
      <c r="A357" s="19" t="s">
        <v>1480</v>
      </c>
      <c r="B357" s="19">
        <v>2.81556157497667</v>
      </c>
      <c r="C357" s="19">
        <f t="shared" si="22"/>
        <v>-8.6221477767698396E-3</v>
      </c>
      <c r="D357" s="21">
        <f t="shared" si="23"/>
        <v>4.8374651260484278E-2</v>
      </c>
    </row>
    <row r="358" spans="1:4">
      <c r="A358" s="19" t="s">
        <v>1479</v>
      </c>
      <c r="B358" s="19">
        <v>2.8241837227534399</v>
      </c>
      <c r="C358" s="19">
        <f t="shared" si="22"/>
        <v>-1.0016217275850003E-2</v>
      </c>
      <c r="D358" s="21">
        <f t="shared" si="23"/>
        <v>4.8873598650616391E-2</v>
      </c>
    </row>
    <row r="359" spans="1:4">
      <c r="A359" s="19" t="s">
        <v>1478</v>
      </c>
      <c r="B359" s="19">
        <v>2.8341999400292899</v>
      </c>
      <c r="C359" s="19">
        <f t="shared" si="22"/>
        <v>4.2564983082550079E-2</v>
      </c>
      <c r="D359" s="21">
        <f t="shared" si="23"/>
        <v>4.8999995156893128E-2</v>
      </c>
    </row>
    <row r="360" spans="1:4">
      <c r="A360" s="19" t="s">
        <v>1477</v>
      </c>
      <c r="B360" s="19">
        <v>2.7916349569467398</v>
      </c>
      <c r="C360" s="19">
        <f t="shared" si="22"/>
        <v>5.5036386074329702E-2</v>
      </c>
      <c r="D360" s="21">
        <f t="shared" si="23"/>
        <v>4.8671144863370444E-2</v>
      </c>
    </row>
    <row r="361" spans="1:4">
      <c r="A361" s="19" t="s">
        <v>1476</v>
      </c>
      <c r="B361" s="19">
        <v>2.7365985708724101</v>
      </c>
      <c r="C361" s="19">
        <f t="shared" si="22"/>
        <v>-2.7595391396399993E-2</v>
      </c>
      <c r="D361" s="21">
        <f t="shared" si="23"/>
        <v>4.8835118922439157E-2</v>
      </c>
    </row>
    <row r="362" spans="1:4">
      <c r="A362" s="19" t="s">
        <v>1475</v>
      </c>
      <c r="B362" s="19">
        <v>2.7641939622688101</v>
      </c>
      <c r="C362" s="19">
        <f t="shared" si="22"/>
        <v>3.795665390006997E-2</v>
      </c>
      <c r="D362" s="21">
        <f t="shared" si="23"/>
        <v>4.8777204966250189E-2</v>
      </c>
    </row>
    <row r="363" spans="1:4">
      <c r="A363" s="19" t="s">
        <v>1474</v>
      </c>
      <c r="B363" s="19">
        <v>2.7262373083687401</v>
      </c>
      <c r="C363" s="19">
        <f t="shared" si="22"/>
        <v>-1.9446876118589973E-2</v>
      </c>
      <c r="D363" s="21">
        <f t="shared" si="23"/>
        <v>4.8730269650620842E-2</v>
      </c>
    </row>
    <row r="364" spans="1:4">
      <c r="A364" s="19" t="s">
        <v>1473</v>
      </c>
      <c r="B364" s="19">
        <v>2.7456841844873301</v>
      </c>
      <c r="C364" s="19">
        <f t="shared" si="22"/>
        <v>-5.9485066782420049E-2</v>
      </c>
      <c r="D364" s="21">
        <f t="shared" si="23"/>
        <v>4.8706051121354101E-2</v>
      </c>
    </row>
    <row r="365" spans="1:4">
      <c r="A365" s="19" t="s">
        <v>1472</v>
      </c>
      <c r="B365" s="19">
        <v>2.8051692512697501</v>
      </c>
      <c r="C365" s="19">
        <f t="shared" si="22"/>
        <v>-4.4365142381239675E-2</v>
      </c>
      <c r="D365" s="21">
        <f t="shared" si="23"/>
        <v>4.8614203119420829E-2</v>
      </c>
    </row>
    <row r="366" spans="1:4">
      <c r="A366" s="19" t="s">
        <v>1471</v>
      </c>
      <c r="B366" s="19">
        <v>2.8495343936509898</v>
      </c>
      <c r="C366" s="19">
        <f t="shared" si="22"/>
        <v>1.8452754343909916E-2</v>
      </c>
      <c r="D366" s="21">
        <f t="shared" si="23"/>
        <v>4.8318934244069009E-2</v>
      </c>
    </row>
    <row r="367" spans="1:4">
      <c r="A367" s="19" t="s">
        <v>1470</v>
      </c>
      <c r="B367" s="19">
        <v>2.8310816393070799</v>
      </c>
      <c r="C367" s="19">
        <f t="shared" si="22"/>
        <v>2.4443887319999913E-2</v>
      </c>
      <c r="D367" s="21">
        <f t="shared" si="23"/>
        <v>4.8284458751208729E-2</v>
      </c>
    </row>
    <row r="368" spans="1:4">
      <c r="A368" s="19" t="s">
        <v>1469</v>
      </c>
      <c r="B368" s="19">
        <v>2.80663775198708</v>
      </c>
      <c r="C368" s="19">
        <f t="shared" si="22"/>
        <v>-5.8108678008930159E-2</v>
      </c>
      <c r="D368" s="21">
        <f t="shared" si="23"/>
        <v>4.8213802976306563E-2</v>
      </c>
    </row>
    <row r="369" spans="1:4">
      <c r="A369" s="19" t="s">
        <v>1468</v>
      </c>
      <c r="B369" s="19">
        <v>2.8647464299960101</v>
      </c>
      <c r="C369" s="19">
        <f t="shared" si="22"/>
        <v>0.12079316985187027</v>
      </c>
      <c r="D369" s="21">
        <f t="shared" si="23"/>
        <v>4.7774632124184847E-2</v>
      </c>
    </row>
    <row r="370" spans="1:4">
      <c r="A370" s="19" t="s">
        <v>1467</v>
      </c>
      <c r="B370" s="19">
        <v>2.7439532601441399</v>
      </c>
      <c r="C370" s="19">
        <f t="shared" si="22"/>
        <v>2.2205975577179959E-2</v>
      </c>
      <c r="D370" s="21">
        <f t="shared" si="23"/>
        <v>4.4985681726900435E-2</v>
      </c>
    </row>
    <row r="371" spans="1:4">
      <c r="A371" s="19" t="s">
        <v>1466</v>
      </c>
      <c r="B371" s="19">
        <v>2.7217472845669599</v>
      </c>
      <c r="C371" s="19">
        <f t="shared" si="22"/>
        <v>-1.7347179969899873E-2</v>
      </c>
      <c r="D371" s="21">
        <f t="shared" si="23"/>
        <v>4.4872328078617019E-2</v>
      </c>
    </row>
    <row r="372" spans="1:4">
      <c r="A372" s="19" t="s">
        <v>1465</v>
      </c>
      <c r="B372" s="19">
        <v>2.7390944645368598</v>
      </c>
      <c r="C372" s="19">
        <f t="shared" si="22"/>
        <v>-5.9674368390703059E-3</v>
      </c>
      <c r="D372" s="21">
        <f t="shared" si="23"/>
        <v>4.5025013859554035E-2</v>
      </c>
    </row>
    <row r="373" spans="1:4">
      <c r="A373" s="19" t="s">
        <v>1464</v>
      </c>
      <c r="B373" s="19">
        <v>2.7450619013759301</v>
      </c>
      <c r="C373" s="19">
        <f t="shared" si="22"/>
        <v>5.9397077375229923E-2</v>
      </c>
      <c r="D373" s="21">
        <f t="shared" si="23"/>
        <v>4.5035608664267382E-2</v>
      </c>
    </row>
    <row r="374" spans="1:4">
      <c r="A374" s="19" t="s">
        <v>1463</v>
      </c>
      <c r="B374" s="19">
        <v>2.6856648240007002</v>
      </c>
      <c r="C374" s="19">
        <f t="shared" si="22"/>
        <v>1.0808124104940031E-2</v>
      </c>
      <c r="D374" s="21">
        <f t="shared" si="23"/>
        <v>4.4245483467881958E-2</v>
      </c>
    </row>
    <row r="375" spans="1:4">
      <c r="A375" s="19" t="s">
        <v>1462</v>
      </c>
      <c r="B375" s="19">
        <v>2.6748566998957601</v>
      </c>
      <c r="C375" s="19">
        <f t="shared" si="22"/>
        <v>0.11596271941853997</v>
      </c>
      <c r="D375" s="21">
        <f t="shared" si="23"/>
        <v>4.4508871341636246E-2</v>
      </c>
    </row>
    <row r="376" spans="1:4">
      <c r="A376" s="19" t="s">
        <v>1461</v>
      </c>
      <c r="B376" s="19">
        <v>2.5588939804772202</v>
      </c>
      <c r="C376" s="19">
        <f t="shared" si="22"/>
        <v>-7.3104605452298799E-3</v>
      </c>
      <c r="D376" s="21">
        <f t="shared" si="23"/>
        <v>4.1928794734256765E-2</v>
      </c>
    </row>
    <row r="377" spans="1:4">
      <c r="A377" s="19" t="s">
        <v>1460</v>
      </c>
      <c r="B377" s="19">
        <v>2.56620444102245</v>
      </c>
      <c r="C377" s="19">
        <f t="shared" si="22"/>
        <v>2.7595236635180154E-2</v>
      </c>
      <c r="D377" s="21">
        <f t="shared" si="23"/>
        <v>4.1978182766690166E-2</v>
      </c>
    </row>
    <row r="378" spans="1:4">
      <c r="A378" s="19" t="s">
        <v>1459</v>
      </c>
      <c r="B378" s="19">
        <v>2.5386092043872699</v>
      </c>
      <c r="C378" s="19">
        <f t="shared" si="22"/>
        <v>9.0367772242049949E-2</v>
      </c>
      <c r="D378" s="21">
        <f t="shared" si="23"/>
        <v>4.1733080024083408E-2</v>
      </c>
    </row>
    <row r="379" spans="1:4">
      <c r="A379" s="19" t="s">
        <v>1458</v>
      </c>
      <c r="B379" s="19">
        <v>2.4482414321452199</v>
      </c>
      <c r="C379" s="19">
        <f t="shared" si="22"/>
        <v>-4.4273579895102166E-3</v>
      </c>
      <c r="D379" s="21">
        <f t="shared" si="23"/>
        <v>3.9676778566298351E-2</v>
      </c>
    </row>
    <row r="380" spans="1:4">
      <c r="A380" s="19" t="s">
        <v>1457</v>
      </c>
      <c r="B380" s="19">
        <v>2.4526687901347302</v>
      </c>
      <c r="C380" s="19">
        <f t="shared" si="22"/>
        <v>-6.0691580805549705E-2</v>
      </c>
      <c r="D380" s="21">
        <f t="shared" si="23"/>
        <v>4.0143515378628106E-2</v>
      </c>
    </row>
    <row r="381" spans="1:4">
      <c r="A381" s="19" t="s">
        <v>1456</v>
      </c>
      <c r="B381" s="19">
        <v>2.5133603709402799</v>
      </c>
      <c r="C381" s="19">
        <f t="shared" si="22"/>
        <v>5.7748827323300667E-3</v>
      </c>
      <c r="D381" s="21">
        <f t="shared" si="23"/>
        <v>3.9757918546835878E-2</v>
      </c>
    </row>
    <row r="382" spans="1:4">
      <c r="A382" s="19" t="s">
        <v>1455</v>
      </c>
      <c r="B382" s="19">
        <v>2.5075854882079498</v>
      </c>
      <c r="C382" s="19">
        <f t="shared" si="22"/>
        <v>-7.8082427514220232E-2</v>
      </c>
      <c r="D382" s="21">
        <f t="shared" si="23"/>
        <v>3.9750209998650643E-2</v>
      </c>
    </row>
    <row r="383" spans="1:4">
      <c r="A383" s="19" t="s">
        <v>1454</v>
      </c>
      <c r="B383" s="19">
        <v>2.58566791572217</v>
      </c>
      <c r="C383" s="19">
        <f t="shared" si="22"/>
        <v>-1.0750876200657622E-2</v>
      </c>
      <c r="D383" s="21">
        <f t="shared" si="23"/>
        <v>3.9078409681371384E-2</v>
      </c>
    </row>
    <row r="384" spans="1:4">
      <c r="A384" s="19" t="s">
        <v>1453</v>
      </c>
      <c r="B384" s="19">
        <v>2.5964187919228277</v>
      </c>
      <c r="C384" s="19">
        <f t="shared" si="22"/>
        <v>2.7612206981508791E-2</v>
      </c>
      <c r="D384" s="21">
        <f t="shared" si="23"/>
        <v>3.925352183409251E-2</v>
      </c>
    </row>
    <row r="385" spans="1:4">
      <c r="A385" s="19" t="s">
        <v>1452</v>
      </c>
      <c r="B385" s="19">
        <v>2.5688065849413189</v>
      </c>
      <c r="C385" s="19">
        <f t="shared" si="22"/>
        <v>-4.8213988411841324E-2</v>
      </c>
      <c r="D385" s="21">
        <f t="shared" si="23"/>
        <v>3.9027314195075054E-2</v>
      </c>
    </row>
    <row r="386" spans="1:4">
      <c r="A386" s="19" t="s">
        <v>1451</v>
      </c>
      <c r="B386" s="19">
        <v>2.6170205733531602</v>
      </c>
      <c r="C386" s="19">
        <f t="shared" ref="C386:C449" si="24">B386-B387</f>
        <v>8.5261385200503526E-3</v>
      </c>
      <c r="D386" s="21">
        <f t="shared" ref="D386:D449" si="25">STDEV(C386:C445)</f>
        <v>3.8699044111572226E-2</v>
      </c>
    </row>
    <row r="387" spans="1:4">
      <c r="A387" s="19" t="s">
        <v>1450</v>
      </c>
      <c r="B387" s="19">
        <v>2.6084944348331098</v>
      </c>
      <c r="C387" s="19">
        <f t="shared" si="24"/>
        <v>5.112264301887981E-2</v>
      </c>
      <c r="D387" s="21">
        <f t="shared" si="25"/>
        <v>3.9132938174154155E-2</v>
      </c>
    </row>
    <row r="388" spans="1:4">
      <c r="A388" s="19" t="s">
        <v>1449</v>
      </c>
      <c r="B388" s="19">
        <v>2.55737179181423</v>
      </c>
      <c r="C388" s="19">
        <f t="shared" si="24"/>
        <v>1.1892309749669927E-2</v>
      </c>
      <c r="D388" s="21">
        <f t="shared" si="25"/>
        <v>3.850883723427715E-2</v>
      </c>
    </row>
    <row r="389" spans="1:4">
      <c r="A389" s="19" t="s">
        <v>1448</v>
      </c>
      <c r="B389" s="19">
        <v>2.5454794820645601</v>
      </c>
      <c r="C389" s="19">
        <f t="shared" si="24"/>
        <v>9.0149950076189977E-2</v>
      </c>
      <c r="D389" s="21">
        <f t="shared" si="25"/>
        <v>3.8589614779699077E-2</v>
      </c>
    </row>
    <row r="390" spans="1:4">
      <c r="A390" s="19" t="s">
        <v>1447</v>
      </c>
      <c r="B390" s="19">
        <v>2.4553295319883701</v>
      </c>
      <c r="C390" s="19">
        <f t="shared" si="24"/>
        <v>-3.5736548494909925E-2</v>
      </c>
      <c r="D390" s="21">
        <f t="shared" si="25"/>
        <v>3.657039827726697E-2</v>
      </c>
    </row>
    <row r="391" spans="1:4">
      <c r="A391" s="19" t="s">
        <v>1446</v>
      </c>
      <c r="B391" s="19">
        <v>2.49106608048328</v>
      </c>
      <c r="C391" s="19">
        <f t="shared" si="24"/>
        <v>-8.8477713734659957E-2</v>
      </c>
      <c r="D391" s="21">
        <f t="shared" si="25"/>
        <v>3.6538219418835567E-2</v>
      </c>
    </row>
    <row r="392" spans="1:4">
      <c r="A392" s="19" t="s">
        <v>1445</v>
      </c>
      <c r="B392" s="19">
        <v>2.57954379421794</v>
      </c>
      <c r="C392" s="19">
        <f t="shared" si="24"/>
        <v>-1.4075228090470127E-2</v>
      </c>
      <c r="D392" s="21">
        <f t="shared" si="25"/>
        <v>3.6969910765682928E-2</v>
      </c>
    </row>
    <row r="393" spans="1:4">
      <c r="A393" s="19" t="s">
        <v>1444</v>
      </c>
      <c r="B393" s="19">
        <v>2.5936190223084101</v>
      </c>
      <c r="C393" s="19">
        <f t="shared" si="24"/>
        <v>-5.2673008604519733E-2</v>
      </c>
      <c r="D393" s="21">
        <f t="shared" si="25"/>
        <v>3.9620884818353977E-2</v>
      </c>
    </row>
    <row r="394" spans="1:4">
      <c r="A394" s="19" t="s">
        <v>1443</v>
      </c>
      <c r="B394" s="19">
        <v>2.6462920309129299</v>
      </c>
      <c r="C394" s="19">
        <f t="shared" si="24"/>
        <v>-3.1137175314603027E-2</v>
      </c>
      <c r="D394" s="21">
        <f t="shared" si="25"/>
        <v>4.0683848859350634E-2</v>
      </c>
    </row>
    <row r="395" spans="1:4">
      <c r="A395" s="19" t="s">
        <v>1442</v>
      </c>
      <c r="B395" s="19">
        <v>2.6774292062275329</v>
      </c>
      <c r="C395" s="19">
        <f t="shared" si="24"/>
        <v>5.2586101040574817E-2</v>
      </c>
      <c r="D395" s="21">
        <f t="shared" si="25"/>
        <v>4.0551301828243867E-2</v>
      </c>
    </row>
    <row r="396" spans="1:4">
      <c r="A396" s="19" t="s">
        <v>1441</v>
      </c>
      <c r="B396" s="19">
        <v>2.6248431051869581</v>
      </c>
      <c r="C396" s="19">
        <f t="shared" si="24"/>
        <v>8.4785680934680308E-3</v>
      </c>
      <c r="D396" s="21">
        <f t="shared" si="25"/>
        <v>3.9843592371344654E-2</v>
      </c>
    </row>
    <row r="397" spans="1:4">
      <c r="A397" s="19" t="s">
        <v>1440</v>
      </c>
      <c r="B397" s="19">
        <v>2.61636453709349</v>
      </c>
      <c r="C397" s="19">
        <f t="shared" si="24"/>
        <v>-7.9905589575259839E-2</v>
      </c>
      <c r="D397" s="21">
        <f t="shared" si="25"/>
        <v>4.019176979917824E-2</v>
      </c>
    </row>
    <row r="398" spans="1:4">
      <c r="A398" s="19" t="s">
        <v>1439</v>
      </c>
      <c r="B398" s="19">
        <v>2.6962701266687499</v>
      </c>
      <c r="C398" s="19">
        <f t="shared" si="24"/>
        <v>-8.9175115728910015E-2</v>
      </c>
      <c r="D398" s="21">
        <f t="shared" si="25"/>
        <v>3.9799811186183129E-2</v>
      </c>
    </row>
    <row r="399" spans="1:4">
      <c r="A399" s="19" t="s">
        <v>1438</v>
      </c>
      <c r="B399" s="19">
        <v>2.7854452423976599</v>
      </c>
      <c r="C399" s="19">
        <f t="shared" si="24"/>
        <v>-4.8420899064709921E-2</v>
      </c>
      <c r="D399" s="21">
        <f t="shared" si="25"/>
        <v>3.8345660999403459E-2</v>
      </c>
    </row>
    <row r="400" spans="1:4">
      <c r="A400" s="19" t="s">
        <v>1437</v>
      </c>
      <c r="B400" s="19">
        <v>2.8338661414623698</v>
      </c>
      <c r="C400" s="19">
        <f t="shared" si="24"/>
        <v>-1.8131932255370131E-2</v>
      </c>
      <c r="D400" s="21">
        <f t="shared" si="25"/>
        <v>3.7959102473462986E-2</v>
      </c>
    </row>
    <row r="401" spans="1:4">
      <c r="A401" s="19" t="s">
        <v>1436</v>
      </c>
      <c r="B401" s="19">
        <v>2.8519980737177399</v>
      </c>
      <c r="C401" s="19">
        <f t="shared" si="24"/>
        <v>-8.9817518207402358E-3</v>
      </c>
      <c r="D401" s="21">
        <f t="shared" si="25"/>
        <v>3.802762713005909E-2</v>
      </c>
    </row>
    <row r="402" spans="1:4">
      <c r="A402" s="19" t="s">
        <v>1435</v>
      </c>
      <c r="B402" s="19">
        <v>2.8609798255384802</v>
      </c>
      <c r="C402" s="19">
        <f t="shared" si="24"/>
        <v>-3.0262891342709874E-2</v>
      </c>
      <c r="D402" s="21">
        <f t="shared" si="25"/>
        <v>3.9565456314958843E-2</v>
      </c>
    </row>
    <row r="403" spans="1:4">
      <c r="A403" s="19" t="s">
        <v>1434</v>
      </c>
      <c r="B403" s="19">
        <v>2.8912427168811901</v>
      </c>
      <c r="C403" s="19">
        <f t="shared" si="24"/>
        <v>-1.8510033397189929E-2</v>
      </c>
      <c r="D403" s="21">
        <f t="shared" si="25"/>
        <v>3.9524089086147698E-2</v>
      </c>
    </row>
    <row r="404" spans="1:4">
      <c r="A404" s="19" t="s">
        <v>1433</v>
      </c>
      <c r="B404" s="19">
        <v>2.90975275027838</v>
      </c>
      <c r="C404" s="19">
        <f t="shared" si="24"/>
        <v>-5.7165407914006039E-4</v>
      </c>
      <c r="D404" s="21">
        <f t="shared" si="25"/>
        <v>3.9550399452483689E-2</v>
      </c>
    </row>
    <row r="405" spans="1:4">
      <c r="A405" s="19" t="s">
        <v>1432</v>
      </c>
      <c r="B405" s="19">
        <v>2.91032440435752</v>
      </c>
      <c r="C405" s="19">
        <f t="shared" si="24"/>
        <v>8.4680207248629902E-2</v>
      </c>
      <c r="D405" s="21">
        <f t="shared" si="25"/>
        <v>3.9663743746241445E-2</v>
      </c>
    </row>
    <row r="406" spans="1:4">
      <c r="A406" s="19" t="s">
        <v>1431</v>
      </c>
      <c r="B406" s="19">
        <v>2.8256441971088901</v>
      </c>
      <c r="C406" s="19">
        <f t="shared" si="24"/>
        <v>-8.0956601932897776E-3</v>
      </c>
      <c r="D406" s="21">
        <f t="shared" si="25"/>
        <v>3.8189062387787798E-2</v>
      </c>
    </row>
    <row r="407" spans="1:4">
      <c r="A407" s="19" t="s">
        <v>1430</v>
      </c>
      <c r="B407" s="19">
        <v>2.8337398573021799</v>
      </c>
      <c r="C407" s="19">
        <f t="shared" si="24"/>
        <v>-2.4490149494340141E-2</v>
      </c>
      <c r="D407" s="21">
        <f t="shared" si="25"/>
        <v>3.8416827935437492E-2</v>
      </c>
    </row>
    <row r="408" spans="1:4">
      <c r="A408" s="19" t="s">
        <v>1429</v>
      </c>
      <c r="B408" s="19">
        <v>2.8582300067965201</v>
      </c>
      <c r="C408" s="19">
        <f t="shared" si="24"/>
        <v>2.1079875526280212E-2</v>
      </c>
      <c r="D408" s="21">
        <f t="shared" si="25"/>
        <v>3.8421355666461841E-2</v>
      </c>
    </row>
    <row r="409" spans="1:4">
      <c r="A409" s="19" t="s">
        <v>1428</v>
      </c>
      <c r="B409" s="19">
        <v>2.8371501312702399</v>
      </c>
      <c r="C409" s="19">
        <f t="shared" si="24"/>
        <v>4.990113420623965E-2</v>
      </c>
      <c r="D409" s="21">
        <f t="shared" si="25"/>
        <v>3.827350091635847E-2</v>
      </c>
    </row>
    <row r="410" spans="1:4">
      <c r="A410" s="19" t="s">
        <v>1427</v>
      </c>
      <c r="B410" s="19">
        <v>2.7872489970640002</v>
      </c>
      <c r="C410" s="19">
        <f t="shared" si="24"/>
        <v>-4.1925995901509694E-2</v>
      </c>
      <c r="D410" s="21">
        <f t="shared" si="25"/>
        <v>3.7819871623247701E-2</v>
      </c>
    </row>
    <row r="411" spans="1:4">
      <c r="A411" s="19" t="s">
        <v>1426</v>
      </c>
      <c r="B411" s="19">
        <v>2.8291749929655099</v>
      </c>
      <c r="C411" s="19">
        <f t="shared" si="24"/>
        <v>2.8597190921559879E-2</v>
      </c>
      <c r="D411" s="21">
        <f t="shared" si="25"/>
        <v>3.7646930210114213E-2</v>
      </c>
    </row>
    <row r="412" spans="1:4">
      <c r="A412" s="19" t="s">
        <v>1425</v>
      </c>
      <c r="B412" s="19">
        <v>2.80057780204395</v>
      </c>
      <c r="C412" s="19">
        <f t="shared" si="24"/>
        <v>-6.2856537704409909E-2</v>
      </c>
      <c r="D412" s="21">
        <f t="shared" si="25"/>
        <v>3.7383241473699244E-2</v>
      </c>
    </row>
    <row r="413" spans="1:4">
      <c r="A413" s="19" t="s">
        <v>1424</v>
      </c>
      <c r="B413" s="19">
        <v>2.8634343397483599</v>
      </c>
      <c r="C413" s="19">
        <f t="shared" si="24"/>
        <v>1.1927291005609852E-2</v>
      </c>
      <c r="D413" s="21">
        <f t="shared" si="25"/>
        <v>3.6706576369274872E-2</v>
      </c>
    </row>
    <row r="414" spans="1:4">
      <c r="A414" s="19" t="s">
        <v>1423</v>
      </c>
      <c r="B414" s="19">
        <v>2.8515070487427501</v>
      </c>
      <c r="C414" s="19">
        <f t="shared" si="24"/>
        <v>-3.4516754097070113E-2</v>
      </c>
      <c r="D414" s="21">
        <f t="shared" si="25"/>
        <v>3.6659240843625887E-2</v>
      </c>
    </row>
    <row r="415" spans="1:4">
      <c r="A415" s="19" t="s">
        <v>1422</v>
      </c>
      <c r="B415" s="19">
        <v>2.8860238028398202</v>
      </c>
      <c r="C415" s="19">
        <f t="shared" si="24"/>
        <v>-2.2734860883669938E-2</v>
      </c>
      <c r="D415" s="21">
        <f t="shared" si="25"/>
        <v>3.7583590672207075E-2</v>
      </c>
    </row>
    <row r="416" spans="1:4">
      <c r="A416" s="19" t="s">
        <v>1421</v>
      </c>
      <c r="B416" s="19">
        <v>2.9087586637234901</v>
      </c>
      <c r="C416" s="19">
        <f t="shared" si="24"/>
        <v>-4.5876246667779785E-2</v>
      </c>
      <c r="D416" s="21">
        <f t="shared" si="25"/>
        <v>3.7522780753941096E-2</v>
      </c>
    </row>
    <row r="417" spans="1:4">
      <c r="A417" s="19" t="s">
        <v>1420</v>
      </c>
      <c r="B417" s="19">
        <v>2.9546349103912699</v>
      </c>
      <c r="C417" s="19">
        <f t="shared" si="24"/>
        <v>5.2125028013259911E-2</v>
      </c>
      <c r="D417" s="21">
        <f t="shared" si="25"/>
        <v>3.7508107830465827E-2</v>
      </c>
    </row>
    <row r="418" spans="1:4">
      <c r="A418" s="19" t="s">
        <v>1419</v>
      </c>
      <c r="B418" s="19">
        <v>2.90250988237801</v>
      </c>
      <c r="C418" s="19">
        <f t="shared" si="24"/>
        <v>-2.9806084462260074E-2</v>
      </c>
      <c r="D418" s="21">
        <f t="shared" si="25"/>
        <v>3.7023386758112821E-2</v>
      </c>
    </row>
    <row r="419" spans="1:4">
      <c r="A419" s="19" t="s">
        <v>1418</v>
      </c>
      <c r="B419" s="19">
        <v>2.9323159668402701</v>
      </c>
      <c r="C419" s="19">
        <f t="shared" si="24"/>
        <v>7.2746756426300685E-3</v>
      </c>
      <c r="D419" s="21">
        <f t="shared" si="25"/>
        <v>3.6907392521607518E-2</v>
      </c>
    </row>
    <row r="420" spans="1:4">
      <c r="A420" s="19" t="s">
        <v>1417</v>
      </c>
      <c r="B420" s="19">
        <v>2.92504129119764</v>
      </c>
      <c r="C420" s="19">
        <f t="shared" si="24"/>
        <v>6.2761201406940081E-2</v>
      </c>
      <c r="D420" s="21">
        <f t="shared" si="25"/>
        <v>3.6963658618803914E-2</v>
      </c>
    </row>
    <row r="421" spans="1:4">
      <c r="A421" s="19" t="s">
        <v>1416</v>
      </c>
      <c r="B421" s="19">
        <v>2.8622800897906999</v>
      </c>
      <c r="C421" s="19">
        <f t="shared" si="24"/>
        <v>1.6594826232549931E-2</v>
      </c>
      <c r="D421" s="21">
        <f t="shared" si="25"/>
        <v>3.6158719637817367E-2</v>
      </c>
    </row>
    <row r="422" spans="1:4">
      <c r="A422" s="19" t="s">
        <v>1415</v>
      </c>
      <c r="B422" s="19">
        <v>2.84568526355815</v>
      </c>
      <c r="C422" s="19">
        <f t="shared" si="24"/>
        <v>-3.8410024279449839E-2</v>
      </c>
      <c r="D422" s="21">
        <f t="shared" si="25"/>
        <v>3.6056294185052407E-2</v>
      </c>
    </row>
    <row r="423" spans="1:4">
      <c r="A423" s="19" t="s">
        <v>1414</v>
      </c>
      <c r="B423" s="19">
        <v>2.8840952878375998</v>
      </c>
      <c r="C423" s="19">
        <f t="shared" si="24"/>
        <v>-1.4628287001710039E-2</v>
      </c>
      <c r="D423" s="21">
        <f t="shared" si="25"/>
        <v>3.6543332416857116E-2</v>
      </c>
    </row>
    <row r="424" spans="1:4">
      <c r="A424" s="19" t="s">
        <v>1413</v>
      </c>
      <c r="B424" s="19">
        <v>2.8987235748393099</v>
      </c>
      <c r="C424" s="19">
        <f t="shared" si="24"/>
        <v>-5.4651854407870015E-2</v>
      </c>
      <c r="D424" s="21">
        <f t="shared" si="25"/>
        <v>3.6519291349701152E-2</v>
      </c>
    </row>
    <row r="425" spans="1:4">
      <c r="A425" s="19" t="s">
        <v>1412</v>
      </c>
      <c r="B425" s="19">
        <v>2.9533754292471799</v>
      </c>
      <c r="C425" s="19">
        <f t="shared" si="24"/>
        <v>-1.1655286849260094E-2</v>
      </c>
      <c r="D425" s="21">
        <f t="shared" si="25"/>
        <v>3.5964457248524193E-2</v>
      </c>
    </row>
    <row r="426" spans="1:4">
      <c r="A426" s="19" t="s">
        <v>1411</v>
      </c>
      <c r="B426" s="19">
        <v>2.96503071609644</v>
      </c>
      <c r="C426" s="19">
        <f t="shared" si="24"/>
        <v>-1.7423506940649869E-2</v>
      </c>
      <c r="D426" s="21">
        <f t="shared" si="25"/>
        <v>3.6129214996356782E-2</v>
      </c>
    </row>
    <row r="427" spans="1:4">
      <c r="A427" s="19" t="s">
        <v>1410</v>
      </c>
      <c r="B427" s="19">
        <v>2.9824542230370898</v>
      </c>
      <c r="C427" s="19">
        <f t="shared" si="24"/>
        <v>-2.1499571598450284E-2</v>
      </c>
      <c r="D427" s="21">
        <f t="shared" si="25"/>
        <v>3.6087903965425022E-2</v>
      </c>
    </row>
    <row r="428" spans="1:4">
      <c r="A428" s="19" t="s">
        <v>1409</v>
      </c>
      <c r="B428" s="19">
        <v>3.0039537946355401</v>
      </c>
      <c r="C428" s="19">
        <f t="shared" si="24"/>
        <v>2.1695852010600092E-2</v>
      </c>
      <c r="D428" s="21">
        <f t="shared" si="25"/>
        <v>3.6025567653629319E-2</v>
      </c>
    </row>
    <row r="429" spans="1:4">
      <c r="A429" s="19" t="s">
        <v>1408</v>
      </c>
      <c r="B429" s="19">
        <v>2.98225794262494</v>
      </c>
      <c r="C429" s="19">
        <f t="shared" si="24"/>
        <v>-1.1839790757810054E-2</v>
      </c>
      <c r="D429" s="21">
        <f t="shared" si="25"/>
        <v>3.5888081616786152E-2</v>
      </c>
    </row>
    <row r="430" spans="1:4">
      <c r="A430" s="19" t="s">
        <v>1407</v>
      </c>
      <c r="B430" s="19">
        <v>2.9940977333827501</v>
      </c>
      <c r="C430" s="19">
        <f t="shared" si="24"/>
        <v>5.789670002219971E-3</v>
      </c>
      <c r="D430" s="21">
        <f t="shared" si="25"/>
        <v>3.5995337339573899E-2</v>
      </c>
    </row>
    <row r="431" spans="1:4">
      <c r="A431" s="19" t="s">
        <v>1406</v>
      </c>
      <c r="B431" s="19">
        <v>2.9883080633805301</v>
      </c>
      <c r="C431" s="19">
        <f t="shared" si="24"/>
        <v>-3.5779967797910039E-2</v>
      </c>
      <c r="D431" s="21">
        <f t="shared" si="25"/>
        <v>3.6081578240200432E-2</v>
      </c>
    </row>
    <row r="432" spans="1:4">
      <c r="A432" s="19" t="s">
        <v>1405</v>
      </c>
      <c r="B432" s="19">
        <v>3.0240880311784402</v>
      </c>
      <c r="C432" s="19">
        <f t="shared" si="24"/>
        <v>-1.2396301056179837E-2</v>
      </c>
      <c r="D432" s="21">
        <f t="shared" si="25"/>
        <v>3.5995356928727483E-2</v>
      </c>
    </row>
    <row r="433" spans="1:4">
      <c r="A433" s="19" t="s">
        <v>1404</v>
      </c>
      <c r="B433" s="19">
        <v>3.03648433223462</v>
      </c>
      <c r="C433" s="19">
        <f t="shared" si="24"/>
        <v>1.4779985008983587E-4</v>
      </c>
      <c r="D433" s="21">
        <f t="shared" si="25"/>
        <v>3.6502448439253127E-2</v>
      </c>
    </row>
    <row r="434" spans="1:4">
      <c r="A434" s="19" t="s">
        <v>1403</v>
      </c>
      <c r="B434" s="19">
        <v>3.0363365323845302</v>
      </c>
      <c r="C434" s="19">
        <f t="shared" si="24"/>
        <v>3.4975535976620176E-2</v>
      </c>
      <c r="D434" s="21">
        <f t="shared" si="25"/>
        <v>3.6969900659750386E-2</v>
      </c>
    </row>
    <row r="435" spans="1:4">
      <c r="A435" s="19" t="s">
        <v>1402</v>
      </c>
      <c r="B435" s="19">
        <v>3.00136099640791</v>
      </c>
      <c r="C435" s="19">
        <f t="shared" si="24"/>
        <v>-5.0649841039219989E-2</v>
      </c>
      <c r="D435" s="21">
        <f t="shared" si="25"/>
        <v>3.6735271392222928E-2</v>
      </c>
    </row>
    <row r="436" spans="1:4">
      <c r="A436" s="19" t="s">
        <v>1401</v>
      </c>
      <c r="B436" s="19">
        <v>3.05201083744713</v>
      </c>
      <c r="C436" s="19">
        <f t="shared" si="24"/>
        <v>7.5613397192899612E-3</v>
      </c>
      <c r="D436" s="21">
        <f t="shared" si="25"/>
        <v>3.6385664281636275E-2</v>
      </c>
    </row>
    <row r="437" spans="1:4">
      <c r="A437" s="19" t="s">
        <v>1400</v>
      </c>
      <c r="B437" s="19">
        <v>3.04444949772784</v>
      </c>
      <c r="C437" s="19">
        <f t="shared" si="24"/>
        <v>2.0769727959990547E-4</v>
      </c>
      <c r="D437" s="21">
        <f t="shared" si="25"/>
        <v>3.6395341720631649E-2</v>
      </c>
    </row>
    <row r="438" spans="1:4">
      <c r="A438" s="19" t="s">
        <v>1399</v>
      </c>
      <c r="B438" s="19">
        <v>3.0442418004482401</v>
      </c>
      <c r="C438" s="19">
        <f t="shared" si="24"/>
        <v>-3.0361204051798651E-3</v>
      </c>
      <c r="D438" s="21">
        <f t="shared" si="25"/>
        <v>3.6431426135568643E-2</v>
      </c>
    </row>
    <row r="439" spans="1:4">
      <c r="A439" s="19" t="s">
        <v>1398</v>
      </c>
      <c r="B439" s="19">
        <v>3.04727792085342</v>
      </c>
      <c r="C439" s="19">
        <f t="shared" si="24"/>
        <v>3.7537373407659835E-2</v>
      </c>
      <c r="D439" s="21">
        <f t="shared" si="25"/>
        <v>3.6442444066505708E-2</v>
      </c>
    </row>
    <row r="440" spans="1:4">
      <c r="A440" s="19" t="s">
        <v>1397</v>
      </c>
      <c r="B440" s="19">
        <v>3.0097405474457601</v>
      </c>
      <c r="C440" s="19">
        <f t="shared" si="24"/>
        <v>2.1326350870110033E-2</v>
      </c>
      <c r="D440" s="21">
        <f t="shared" si="25"/>
        <v>3.6311187776880326E-2</v>
      </c>
    </row>
    <row r="441" spans="1:4">
      <c r="A441" s="19" t="s">
        <v>1396</v>
      </c>
      <c r="B441" s="19">
        <v>2.9884141965756501</v>
      </c>
      <c r="C441" s="19">
        <f t="shared" si="24"/>
        <v>-2.0684341935520045E-2</v>
      </c>
      <c r="D441" s="21">
        <f t="shared" si="25"/>
        <v>3.616954633921262E-2</v>
      </c>
    </row>
    <row r="442" spans="1:4">
      <c r="A442" s="19" t="s">
        <v>1395</v>
      </c>
      <c r="B442" s="19">
        <v>3.0090985385111702</v>
      </c>
      <c r="C442" s="19">
        <f t="shared" si="24"/>
        <v>3.5836973834470154E-2</v>
      </c>
      <c r="D442" s="21">
        <f t="shared" si="25"/>
        <v>3.6102480377113617E-2</v>
      </c>
    </row>
    <row r="443" spans="1:4">
      <c r="A443" s="19" t="s">
        <v>1394</v>
      </c>
      <c r="B443" s="19">
        <v>2.9732615646767</v>
      </c>
      <c r="C443" s="19">
        <f t="shared" si="24"/>
        <v>2.2631007271689985E-2</v>
      </c>
      <c r="D443" s="21">
        <f t="shared" si="25"/>
        <v>3.5741308918750048E-2</v>
      </c>
    </row>
    <row r="444" spans="1:4">
      <c r="A444" s="19" t="s">
        <v>1393</v>
      </c>
      <c r="B444" s="19">
        <v>2.95063055740501</v>
      </c>
      <c r="C444" s="19">
        <f t="shared" si="24"/>
        <v>-1.6433621586959823E-2</v>
      </c>
      <c r="D444" s="21">
        <f t="shared" si="25"/>
        <v>3.59967232300017E-2</v>
      </c>
    </row>
    <row r="445" spans="1:4">
      <c r="A445" s="19" t="s">
        <v>1392</v>
      </c>
      <c r="B445" s="19">
        <v>2.9670641789919698</v>
      </c>
      <c r="C445" s="19">
        <f t="shared" si="24"/>
        <v>1.009118178733992E-2</v>
      </c>
      <c r="D445" s="21">
        <f t="shared" si="25"/>
        <v>3.6023691330213971E-2</v>
      </c>
    </row>
    <row r="446" spans="1:4">
      <c r="A446" s="19" t="s">
        <v>1391</v>
      </c>
      <c r="B446" s="19">
        <v>2.9569729972046299</v>
      </c>
      <c r="C446" s="19">
        <f t="shared" si="24"/>
        <v>4.1364597412969939E-2</v>
      </c>
      <c r="D446" s="21">
        <f t="shared" si="25"/>
        <v>3.7746181525318938E-2</v>
      </c>
    </row>
    <row r="447" spans="1:4">
      <c r="A447" s="19" t="s">
        <v>1390</v>
      </c>
      <c r="B447" s="19">
        <v>2.91560839979166</v>
      </c>
      <c r="C447" s="19">
        <f t="shared" si="24"/>
        <v>1.3002437574940018E-2</v>
      </c>
      <c r="D447" s="21">
        <f t="shared" si="25"/>
        <v>3.7351303319638561E-2</v>
      </c>
    </row>
    <row r="448" spans="1:4">
      <c r="A448" s="19" t="s">
        <v>1389</v>
      </c>
      <c r="B448" s="19">
        <v>2.90260596221672</v>
      </c>
      <c r="C448" s="19">
        <f t="shared" si="24"/>
        <v>2.0323195956799989E-2</v>
      </c>
      <c r="D448" s="21">
        <f t="shared" si="25"/>
        <v>3.7354798544498996E-2</v>
      </c>
    </row>
    <row r="449" spans="1:4">
      <c r="A449" s="19" t="s">
        <v>1388</v>
      </c>
      <c r="B449" s="19">
        <v>2.88228276625992</v>
      </c>
      <c r="C449" s="19">
        <f t="shared" si="24"/>
        <v>-2.668538903667983E-2</v>
      </c>
      <c r="D449" s="21">
        <f t="shared" si="25"/>
        <v>3.7550476878037815E-2</v>
      </c>
    </row>
    <row r="450" spans="1:4">
      <c r="A450" s="19" t="s">
        <v>1387</v>
      </c>
      <c r="B450" s="19">
        <v>2.9089681552965998</v>
      </c>
      <c r="C450" s="19">
        <f t="shared" ref="C450:C513" si="26">B450-B451</f>
        <v>1.8991188676409809E-2</v>
      </c>
      <c r="D450" s="21">
        <f t="shared" ref="D450:D513" si="27">STDEV(C450:C509)</f>
        <v>3.8168114917544058E-2</v>
      </c>
    </row>
    <row r="451" spans="1:4">
      <c r="A451" s="19" t="s">
        <v>1386</v>
      </c>
      <c r="B451" s="19">
        <v>2.88997696662019</v>
      </c>
      <c r="C451" s="19">
        <f t="shared" si="26"/>
        <v>8.8700617840590024E-2</v>
      </c>
      <c r="D451" s="21">
        <f t="shared" si="27"/>
        <v>3.8113873242403624E-2</v>
      </c>
    </row>
    <row r="452" spans="1:4">
      <c r="A452" s="19" t="s">
        <v>1385</v>
      </c>
      <c r="B452" s="19">
        <v>2.8012763487796</v>
      </c>
      <c r="C452" s="19">
        <f t="shared" si="26"/>
        <v>-0.1143971772691601</v>
      </c>
      <c r="D452" s="21">
        <f t="shared" si="27"/>
        <v>3.6088929507024671E-2</v>
      </c>
    </row>
    <row r="453" spans="1:4">
      <c r="A453" s="19" t="s">
        <v>1384</v>
      </c>
      <c r="B453" s="19">
        <v>2.9156735260487601</v>
      </c>
      <c r="C453" s="19">
        <f t="shared" si="26"/>
        <v>-9.079784312810979E-2</v>
      </c>
      <c r="D453" s="21">
        <f t="shared" si="27"/>
        <v>3.3181932413889476E-2</v>
      </c>
    </row>
    <row r="454" spans="1:4">
      <c r="A454" s="19" t="s">
        <v>1383</v>
      </c>
      <c r="B454" s="19">
        <v>3.0064713691768699</v>
      </c>
      <c r="C454" s="19">
        <f t="shared" si="26"/>
        <v>-2.87983830764027E-3</v>
      </c>
      <c r="D454" s="21">
        <f t="shared" si="27"/>
        <v>3.1187593910979153E-2</v>
      </c>
    </row>
    <row r="455" spans="1:4">
      <c r="A455" s="19" t="s">
        <v>1382</v>
      </c>
      <c r="B455" s="19">
        <v>3.0093512074845101</v>
      </c>
      <c r="C455" s="19">
        <f t="shared" si="26"/>
        <v>2.394319714670079E-3</v>
      </c>
      <c r="D455" s="21">
        <f t="shared" si="27"/>
        <v>3.1820637003298527E-2</v>
      </c>
    </row>
    <row r="456" spans="1:4">
      <c r="A456" s="19" t="s">
        <v>1381</v>
      </c>
      <c r="B456" s="19">
        <v>3.00695688776984</v>
      </c>
      <c r="C456" s="19">
        <f t="shared" si="26"/>
        <v>-5.0208779761589994E-2</v>
      </c>
      <c r="D456" s="21">
        <f t="shared" si="27"/>
        <v>3.1823153913728017E-2</v>
      </c>
    </row>
    <row r="457" spans="1:4">
      <c r="A457" s="19" t="s">
        <v>1380</v>
      </c>
      <c r="B457" s="19">
        <v>3.05716566753143</v>
      </c>
      <c r="C457" s="19">
        <f t="shared" si="26"/>
        <v>-6.5812528868649967E-2</v>
      </c>
      <c r="D457" s="21">
        <f t="shared" si="27"/>
        <v>3.1271410830401199E-2</v>
      </c>
    </row>
    <row r="458" spans="1:4">
      <c r="A458" s="19" t="s">
        <v>1379</v>
      </c>
      <c r="B458" s="19">
        <v>3.12297819640008</v>
      </c>
      <c r="C458" s="19">
        <f t="shared" si="26"/>
        <v>-1.7824258937439996E-2</v>
      </c>
      <c r="D458" s="21">
        <f t="shared" si="27"/>
        <v>3.0555343423683514E-2</v>
      </c>
    </row>
    <row r="459" spans="1:4">
      <c r="A459" s="19" t="s">
        <v>1378</v>
      </c>
      <c r="B459" s="19">
        <v>3.14080245533752</v>
      </c>
      <c r="C459" s="19">
        <f t="shared" si="26"/>
        <v>4.7007695378500358E-3</v>
      </c>
      <c r="D459" s="21">
        <f t="shared" si="27"/>
        <v>3.0520813970077224E-2</v>
      </c>
    </row>
    <row r="460" spans="1:4">
      <c r="A460" s="19" t="s">
        <v>1377</v>
      </c>
      <c r="B460" s="19">
        <v>3.13610168579967</v>
      </c>
      <c r="C460" s="19">
        <f t="shared" si="26"/>
        <v>1.7314984042290149E-2</v>
      </c>
      <c r="D460" s="21">
        <f t="shared" si="27"/>
        <v>3.0585195238212924E-2</v>
      </c>
    </row>
    <row r="461" spans="1:4">
      <c r="A461" s="19" t="s">
        <v>1376</v>
      </c>
      <c r="B461" s="19">
        <v>3.1187867017573798</v>
      </c>
      <c r="C461" s="19">
        <f t="shared" si="26"/>
        <v>-8.9109010748479989E-2</v>
      </c>
      <c r="D461" s="21">
        <f t="shared" si="27"/>
        <v>3.0530978500973239E-2</v>
      </c>
    </row>
    <row r="462" spans="1:4">
      <c r="A462" s="19" t="s">
        <v>1375</v>
      </c>
      <c r="B462" s="19">
        <v>3.2078957125058598</v>
      </c>
      <c r="C462" s="19">
        <f t="shared" si="26"/>
        <v>1.521217620367965E-2</v>
      </c>
      <c r="D462" s="21">
        <f t="shared" si="27"/>
        <v>2.8623926388871596E-2</v>
      </c>
    </row>
    <row r="463" spans="1:4">
      <c r="A463" s="19" t="s">
        <v>1374</v>
      </c>
      <c r="B463" s="19">
        <v>3.1926835363021802</v>
      </c>
      <c r="C463" s="19">
        <f t="shared" si="26"/>
        <v>-2.2484950289579864E-2</v>
      </c>
      <c r="D463" s="21">
        <f t="shared" si="27"/>
        <v>2.8601835261423601E-2</v>
      </c>
    </row>
    <row r="464" spans="1:4">
      <c r="A464" s="19" t="s">
        <v>1373</v>
      </c>
      <c r="B464" s="19">
        <v>3.21516848659176</v>
      </c>
      <c r="C464" s="19">
        <f t="shared" si="26"/>
        <v>1.8493753042529981E-2</v>
      </c>
      <c r="D464" s="21">
        <f t="shared" si="27"/>
        <v>2.864775252698613E-2</v>
      </c>
    </row>
    <row r="465" spans="1:4">
      <c r="A465" s="19" t="s">
        <v>1372</v>
      </c>
      <c r="B465" s="19">
        <v>3.19667473354923</v>
      </c>
      <c r="C465" s="19">
        <f t="shared" si="26"/>
        <v>-4.3529070041349982E-2</v>
      </c>
      <c r="D465" s="21">
        <f t="shared" si="27"/>
        <v>2.9210074922564222E-2</v>
      </c>
    </row>
    <row r="466" spans="1:4">
      <c r="A466" s="19" t="s">
        <v>1371</v>
      </c>
      <c r="B466" s="19">
        <v>3.24020380359058</v>
      </c>
      <c r="C466" s="19">
        <f t="shared" si="26"/>
        <v>2.5488959227359942E-2</v>
      </c>
      <c r="D466" s="21">
        <f t="shared" si="27"/>
        <v>2.9376199296060956E-2</v>
      </c>
    </row>
    <row r="467" spans="1:4">
      <c r="A467" s="19" t="s">
        <v>1370</v>
      </c>
      <c r="B467" s="19">
        <v>3.2147148443632201</v>
      </c>
      <c r="C467" s="19">
        <f t="shared" si="26"/>
        <v>-2.5047486224009763E-2</v>
      </c>
      <c r="D467" s="21">
        <f t="shared" si="27"/>
        <v>2.9254561928496264E-2</v>
      </c>
    </row>
    <row r="468" spans="1:4">
      <c r="A468" s="19" t="s">
        <v>1369</v>
      </c>
      <c r="B468" s="19">
        <v>3.2397623305872298</v>
      </c>
      <c r="C468" s="19">
        <f t="shared" si="26"/>
        <v>-1.6735582422140016E-2</v>
      </c>
      <c r="D468" s="21">
        <f t="shared" si="27"/>
        <v>2.9058677322509666E-2</v>
      </c>
    </row>
    <row r="469" spans="1:4">
      <c r="A469" s="19" t="s">
        <v>1368</v>
      </c>
      <c r="B469" s="19">
        <v>3.2564979130093699</v>
      </c>
      <c r="C469" s="19">
        <f t="shared" si="26"/>
        <v>-4.3675253514760204E-2</v>
      </c>
      <c r="D469" s="21">
        <f t="shared" si="27"/>
        <v>2.9155260821326003E-2</v>
      </c>
    </row>
    <row r="470" spans="1:4">
      <c r="A470" s="19" t="s">
        <v>1367</v>
      </c>
      <c r="B470" s="19">
        <v>3.3001731665241301</v>
      </c>
      <c r="C470" s="19">
        <f t="shared" si="26"/>
        <v>1.1227537082839856E-2</v>
      </c>
      <c r="D470" s="21">
        <f t="shared" si="27"/>
        <v>2.8739389691942303E-2</v>
      </c>
    </row>
    <row r="471" spans="1:4">
      <c r="A471" s="19" t="s">
        <v>1366</v>
      </c>
      <c r="B471" s="19">
        <v>3.2889456294412902</v>
      </c>
      <c r="C471" s="19">
        <f t="shared" si="26"/>
        <v>4.862606594050245E-3</v>
      </c>
      <c r="D471" s="21">
        <f t="shared" si="27"/>
        <v>2.8893312734423443E-2</v>
      </c>
    </row>
    <row r="472" spans="1:4">
      <c r="A472" s="19" t="s">
        <v>1365</v>
      </c>
      <c r="B472" s="19">
        <v>3.28408302284724</v>
      </c>
      <c r="C472" s="19">
        <f t="shared" si="26"/>
        <v>2.7419170763200995E-3</v>
      </c>
      <c r="D472" s="21">
        <f t="shared" si="27"/>
        <v>2.8890271686135987E-2</v>
      </c>
    </row>
    <row r="473" spans="1:4">
      <c r="A473" s="19" t="s">
        <v>1364</v>
      </c>
      <c r="B473" s="19">
        <v>3.2813411057709199</v>
      </c>
      <c r="C473" s="19">
        <f t="shared" si="26"/>
        <v>-1.9964280591719952E-2</v>
      </c>
      <c r="D473" s="21">
        <f t="shared" si="27"/>
        <v>2.8891218463128466E-2</v>
      </c>
    </row>
    <row r="474" spans="1:4">
      <c r="A474" s="19" t="s">
        <v>1363</v>
      </c>
      <c r="B474" s="19">
        <v>3.3013053863626398</v>
      </c>
      <c r="C474" s="19">
        <f t="shared" si="26"/>
        <v>6.2765526465869748E-2</v>
      </c>
      <c r="D474" s="21">
        <f t="shared" si="27"/>
        <v>2.8835875277383159E-2</v>
      </c>
    </row>
    <row r="475" spans="1:4">
      <c r="A475" s="19" t="s">
        <v>1362</v>
      </c>
      <c r="B475" s="19">
        <v>3.2385398598967701</v>
      </c>
      <c r="C475" s="19">
        <f t="shared" si="26"/>
        <v>-1.1251801859999411E-3</v>
      </c>
      <c r="D475" s="21">
        <f t="shared" si="27"/>
        <v>2.8135932334420199E-2</v>
      </c>
    </row>
    <row r="476" spans="1:4">
      <c r="A476" s="19" t="s">
        <v>1361</v>
      </c>
      <c r="B476" s="19">
        <v>3.23966504008277</v>
      </c>
      <c r="C476" s="19">
        <f t="shared" si="26"/>
        <v>3.5401496968610058E-2</v>
      </c>
      <c r="D476" s="21">
        <f t="shared" si="27"/>
        <v>2.9058675698102734E-2</v>
      </c>
    </row>
    <row r="477" spans="1:4">
      <c r="A477" s="19" t="s">
        <v>1360</v>
      </c>
      <c r="B477" s="19">
        <v>3.20426354311416</v>
      </c>
      <c r="C477" s="19">
        <f t="shared" si="26"/>
        <v>2.8183291452290149E-2</v>
      </c>
      <c r="D477" s="21">
        <f t="shared" si="27"/>
        <v>2.872901027501323E-2</v>
      </c>
    </row>
    <row r="478" spans="1:4">
      <c r="A478" s="19" t="s">
        <v>1359</v>
      </c>
      <c r="B478" s="19">
        <v>3.1760802516618698</v>
      </c>
      <c r="C478" s="19">
        <f t="shared" si="26"/>
        <v>7.8953132280399352E-3</v>
      </c>
      <c r="D478" s="21">
        <f t="shared" si="27"/>
        <v>2.8567032990746057E-2</v>
      </c>
    </row>
    <row r="479" spans="1:4">
      <c r="A479" s="19" t="s">
        <v>1358</v>
      </c>
      <c r="B479" s="19">
        <v>3.1681849384338299</v>
      </c>
      <c r="C479" s="19">
        <f t="shared" si="26"/>
        <v>1.535324697684004E-2</v>
      </c>
      <c r="D479" s="21">
        <f t="shared" si="27"/>
        <v>2.9144057425730136E-2</v>
      </c>
    </row>
    <row r="480" spans="1:4">
      <c r="A480" s="19" t="s">
        <v>1357</v>
      </c>
      <c r="B480" s="19">
        <v>3.1528316914569898</v>
      </c>
      <c r="C480" s="19">
        <f t="shared" si="26"/>
        <v>2.7476399904939885E-2</v>
      </c>
      <c r="D480" s="21">
        <f t="shared" si="27"/>
        <v>2.9055747189737056E-2</v>
      </c>
    </row>
    <row r="481" spans="1:4">
      <c r="A481" s="19" t="s">
        <v>1356</v>
      </c>
      <c r="B481" s="19">
        <v>3.1253552915520499</v>
      </c>
      <c r="C481" s="19">
        <f t="shared" si="26"/>
        <v>-8.114000660909948E-3</v>
      </c>
      <c r="D481" s="21">
        <f t="shared" si="27"/>
        <v>2.8963533137027181E-2</v>
      </c>
    </row>
    <row r="482" spans="1:4">
      <c r="A482" s="19" t="s">
        <v>1355</v>
      </c>
      <c r="B482" s="19">
        <v>3.1334692922129599</v>
      </c>
      <c r="C482" s="19">
        <f t="shared" si="26"/>
        <v>5.3132094491069815E-2</v>
      </c>
      <c r="D482" s="21">
        <f t="shared" si="27"/>
        <v>2.9041319142933609E-2</v>
      </c>
    </row>
    <row r="483" spans="1:4">
      <c r="A483" s="19" t="s">
        <v>1354</v>
      </c>
      <c r="B483" s="19">
        <v>3.0803371977218901</v>
      </c>
      <c r="C483" s="19">
        <f t="shared" si="26"/>
        <v>2.2146635159101535E-3</v>
      </c>
      <c r="D483" s="21">
        <f t="shared" si="27"/>
        <v>2.8190484035700472E-2</v>
      </c>
    </row>
    <row r="484" spans="1:4">
      <c r="A484" s="19" t="s">
        <v>1353</v>
      </c>
      <c r="B484" s="19">
        <v>3.0781225342059799</v>
      </c>
      <c r="C484" s="19">
        <f t="shared" si="26"/>
        <v>-2.0747694206550094E-2</v>
      </c>
      <c r="D484" s="21">
        <f t="shared" si="27"/>
        <v>2.8340081405816602E-2</v>
      </c>
    </row>
    <row r="485" spans="1:4">
      <c r="A485" s="19" t="s">
        <v>1352</v>
      </c>
      <c r="B485" s="19">
        <v>3.09887022841253</v>
      </c>
      <c r="C485" s="19">
        <f t="shared" si="26"/>
        <v>-3.0566732408400021E-2</v>
      </c>
      <c r="D485" s="21">
        <f t="shared" si="27"/>
        <v>2.8258991623105644E-2</v>
      </c>
    </row>
    <row r="486" spans="1:4">
      <c r="A486" s="19" t="s">
        <v>1351</v>
      </c>
      <c r="B486" s="19">
        <v>3.12943696082093</v>
      </c>
      <c r="C486" s="19">
        <f t="shared" si="26"/>
        <v>-9.1222954727898653E-3</v>
      </c>
      <c r="D486" s="21">
        <f t="shared" si="27"/>
        <v>2.8872554482710974E-2</v>
      </c>
    </row>
    <row r="487" spans="1:4">
      <c r="A487" s="19" t="s">
        <v>1350</v>
      </c>
      <c r="B487" s="19">
        <v>3.1385592562937199</v>
      </c>
      <c r="C487" s="19">
        <f t="shared" si="26"/>
        <v>-1.2262379533060308E-2</v>
      </c>
      <c r="D487" s="21">
        <f t="shared" si="27"/>
        <v>3.0484797423611959E-2</v>
      </c>
    </row>
    <row r="488" spans="1:4">
      <c r="A488" s="19" t="s">
        <v>1349</v>
      </c>
      <c r="B488" s="19">
        <v>3.1508216358267802</v>
      </c>
      <c r="C488" s="19">
        <f t="shared" si="26"/>
        <v>-5.957940774389936E-3</v>
      </c>
      <c r="D488" s="21">
        <f t="shared" si="27"/>
        <v>3.046282037870859E-2</v>
      </c>
    </row>
    <row r="489" spans="1:4">
      <c r="A489" s="19" t="s">
        <v>1348</v>
      </c>
      <c r="B489" s="19">
        <v>3.1567795766011701</v>
      </c>
      <c r="C489" s="19">
        <f t="shared" si="26"/>
        <v>-2.6104391351200018E-2</v>
      </c>
      <c r="D489" s="21">
        <f t="shared" si="27"/>
        <v>3.064211963593395E-2</v>
      </c>
    </row>
    <row r="490" spans="1:4">
      <c r="A490" s="19" t="s">
        <v>1347</v>
      </c>
      <c r="B490" s="19">
        <v>3.1828839679523702</v>
      </c>
      <c r="C490" s="19">
        <f t="shared" si="26"/>
        <v>1.8045546220690323E-2</v>
      </c>
      <c r="D490" s="21">
        <f t="shared" si="27"/>
        <v>3.2633536125883288E-2</v>
      </c>
    </row>
    <row r="491" spans="1:4">
      <c r="A491" s="19" t="s">
        <v>1346</v>
      </c>
      <c r="B491" s="19">
        <v>3.1648384217316798</v>
      </c>
      <c r="C491" s="19">
        <f t="shared" si="26"/>
        <v>2.485976194304973E-2</v>
      </c>
      <c r="D491" s="21">
        <f t="shared" si="27"/>
        <v>3.2644930442761927E-2</v>
      </c>
    </row>
    <row r="492" spans="1:4">
      <c r="A492" s="19" t="s">
        <v>1345</v>
      </c>
      <c r="B492" s="19">
        <v>3.1399786597886301</v>
      </c>
      <c r="C492" s="19">
        <f t="shared" si="26"/>
        <v>4.6402238137579932E-2</v>
      </c>
      <c r="D492" s="21">
        <f t="shared" si="27"/>
        <v>3.2484779747363343E-2</v>
      </c>
    </row>
    <row r="493" spans="1:4">
      <c r="A493" s="19" t="s">
        <v>1344</v>
      </c>
      <c r="B493" s="19">
        <v>3.0935764216510502</v>
      </c>
      <c r="C493" s="19">
        <f t="shared" si="26"/>
        <v>-4.6378741861639927E-2</v>
      </c>
      <c r="D493" s="21">
        <f t="shared" si="27"/>
        <v>3.1944643938179057E-2</v>
      </c>
    </row>
    <row r="494" spans="1:4">
      <c r="A494" s="19" t="s">
        <v>1343</v>
      </c>
      <c r="B494" s="19">
        <v>3.1399551635126901</v>
      </c>
      <c r="C494" s="19">
        <f t="shared" si="26"/>
        <v>-2.1204333076330073E-2</v>
      </c>
      <c r="D494" s="21">
        <f t="shared" si="27"/>
        <v>3.1434217887769941E-2</v>
      </c>
    </row>
    <row r="495" spans="1:4">
      <c r="A495" s="19" t="s">
        <v>1342</v>
      </c>
      <c r="B495" s="19">
        <v>3.1611594965890202</v>
      </c>
      <c r="C495" s="19">
        <f t="shared" si="26"/>
        <v>-3.096373280055964E-2</v>
      </c>
      <c r="D495" s="21">
        <f t="shared" si="27"/>
        <v>3.1623703563725257E-2</v>
      </c>
    </row>
    <row r="496" spans="1:4">
      <c r="A496" s="19" t="s">
        <v>1341</v>
      </c>
      <c r="B496" s="19">
        <v>3.1921232293895798</v>
      </c>
      <c r="C496" s="19">
        <f t="shared" si="26"/>
        <v>9.4782842008798163E-3</v>
      </c>
      <c r="D496" s="21">
        <f t="shared" si="27"/>
        <v>3.146846621772096E-2</v>
      </c>
    </row>
    <row r="497" spans="1:4">
      <c r="A497" s="19" t="s">
        <v>1340</v>
      </c>
      <c r="B497" s="19">
        <v>3.1826449451887</v>
      </c>
      <c r="C497" s="19">
        <f t="shared" si="26"/>
        <v>1.0468047913830159E-2</v>
      </c>
      <c r="D497" s="21">
        <f t="shared" si="27"/>
        <v>3.1650792024156368E-2</v>
      </c>
    </row>
    <row r="498" spans="1:4">
      <c r="A498" s="19" t="s">
        <v>1339</v>
      </c>
      <c r="B498" s="19">
        <v>3.1721768972748698</v>
      </c>
      <c r="C498" s="19">
        <f t="shared" si="26"/>
        <v>-9.118364787449984E-3</v>
      </c>
      <c r="D498" s="21">
        <f t="shared" si="27"/>
        <v>3.1701430958555654E-2</v>
      </c>
    </row>
    <row r="499" spans="1:4">
      <c r="A499" s="19" t="s">
        <v>1338</v>
      </c>
      <c r="B499" s="19">
        <v>3.1812952620623198</v>
      </c>
      <c r="C499" s="19">
        <f t="shared" si="26"/>
        <v>-3.5508968123350027E-2</v>
      </c>
      <c r="D499" s="21">
        <f t="shared" si="27"/>
        <v>3.3144272730196392E-2</v>
      </c>
    </row>
    <row r="500" spans="1:4">
      <c r="A500" s="19" t="s">
        <v>1337</v>
      </c>
      <c r="B500" s="19">
        <v>3.2168042301856699</v>
      </c>
      <c r="C500" s="19">
        <f t="shared" si="26"/>
        <v>4.7994222844982559E-4</v>
      </c>
      <c r="D500" s="21">
        <f t="shared" si="27"/>
        <v>3.2964953269568123E-2</v>
      </c>
    </row>
    <row r="501" spans="1:4">
      <c r="A501" s="19" t="s">
        <v>1336</v>
      </c>
      <c r="B501" s="19">
        <v>3.21632428795722</v>
      </c>
      <c r="C501" s="19">
        <f t="shared" si="26"/>
        <v>-1.4975017964697912E-3</v>
      </c>
      <c r="D501" s="21">
        <f t="shared" si="27"/>
        <v>3.3178120425131158E-2</v>
      </c>
    </row>
    <row r="502" spans="1:4">
      <c r="A502" s="19" t="s">
        <v>1335</v>
      </c>
      <c r="B502" s="19">
        <v>3.2178217897536898</v>
      </c>
      <c r="C502" s="19">
        <f t="shared" si="26"/>
        <v>-1.0601848127490321E-2</v>
      </c>
      <c r="D502" s="21">
        <f t="shared" si="27"/>
        <v>3.3549832823152118E-2</v>
      </c>
    </row>
    <row r="503" spans="1:4">
      <c r="A503" s="19" t="s">
        <v>1334</v>
      </c>
      <c r="B503" s="19">
        <v>3.2284236378811801</v>
      </c>
      <c r="C503" s="19">
        <f t="shared" si="26"/>
        <v>-4.7682955133599769E-2</v>
      </c>
      <c r="D503" s="21">
        <f t="shared" si="27"/>
        <v>3.3532015157695168E-2</v>
      </c>
    </row>
    <row r="504" spans="1:4">
      <c r="A504" s="19" t="s">
        <v>1333</v>
      </c>
      <c r="B504" s="19">
        <v>3.2761065930147799</v>
      </c>
      <c r="C504" s="19">
        <f t="shared" si="26"/>
        <v>1.0314388650949802E-2</v>
      </c>
      <c r="D504" s="21">
        <f t="shared" si="27"/>
        <v>3.3200705609215141E-2</v>
      </c>
    </row>
    <row r="505" spans="1:4">
      <c r="A505" s="19" t="s">
        <v>1332</v>
      </c>
      <c r="B505" s="19">
        <v>3.2657922043638301</v>
      </c>
      <c r="C505" s="19">
        <f t="shared" si="26"/>
        <v>8.3416444614450302E-2</v>
      </c>
      <c r="D505" s="21">
        <f t="shared" si="27"/>
        <v>3.3282060163079372E-2</v>
      </c>
    </row>
    <row r="506" spans="1:4">
      <c r="A506" s="19" t="s">
        <v>1331</v>
      </c>
      <c r="B506" s="19">
        <v>3.1823757597493798</v>
      </c>
      <c r="C506" s="19">
        <f t="shared" si="26"/>
        <v>-2.2584441633320296E-2</v>
      </c>
      <c r="D506" s="21">
        <f t="shared" si="27"/>
        <v>3.1466831842204605E-2</v>
      </c>
    </row>
    <row r="507" spans="1:4">
      <c r="A507" s="19" t="s">
        <v>1330</v>
      </c>
      <c r="B507" s="19">
        <v>3.2049602013827001</v>
      </c>
      <c r="C507" s="19">
        <f t="shared" si="26"/>
        <v>1.3429545833340217E-2</v>
      </c>
      <c r="D507" s="21">
        <f t="shared" si="27"/>
        <v>3.1374819773543013E-2</v>
      </c>
    </row>
    <row r="508" spans="1:4">
      <c r="A508" s="19" t="s">
        <v>1329</v>
      </c>
      <c r="B508" s="19">
        <v>3.1915306555493599</v>
      </c>
      <c r="C508" s="19">
        <f t="shared" si="26"/>
        <v>-4.4394950775660025E-2</v>
      </c>
      <c r="D508" s="21">
        <f t="shared" si="27"/>
        <v>3.1701994720616244E-2</v>
      </c>
    </row>
    <row r="509" spans="1:4">
      <c r="A509" s="19" t="s">
        <v>1328</v>
      </c>
      <c r="B509" s="19">
        <v>3.2359256063250199</v>
      </c>
      <c r="C509" s="19">
        <f t="shared" si="26"/>
        <v>5.1493938785939886E-2</v>
      </c>
      <c r="D509" s="21">
        <f t="shared" si="27"/>
        <v>3.1737575638007269E-2</v>
      </c>
    </row>
    <row r="510" spans="1:4">
      <c r="A510" s="19" t="s">
        <v>1327</v>
      </c>
      <c r="B510" s="19">
        <v>3.18443166753908</v>
      </c>
      <c r="C510" s="19">
        <f t="shared" si="26"/>
        <v>1.3088898880650124E-2</v>
      </c>
      <c r="D510" s="21">
        <f t="shared" si="27"/>
        <v>3.1111499792854016E-2</v>
      </c>
    </row>
    <row r="511" spans="1:4">
      <c r="A511" s="19" t="s">
        <v>1326</v>
      </c>
      <c r="B511" s="19">
        <v>3.1713427686584299</v>
      </c>
      <c r="C511" s="19">
        <f t="shared" si="26"/>
        <v>-8.3859361621398953E-3</v>
      </c>
      <c r="D511" s="21">
        <f t="shared" si="27"/>
        <v>3.1070885984468066E-2</v>
      </c>
    </row>
    <row r="512" spans="1:4">
      <c r="A512" s="19" t="s">
        <v>1325</v>
      </c>
      <c r="B512" s="19">
        <v>3.1797287048205698</v>
      </c>
      <c r="C512" s="19">
        <f t="shared" si="26"/>
        <v>-3.7265456375004113E-3</v>
      </c>
      <c r="D512" s="21">
        <f t="shared" si="27"/>
        <v>3.1153730906036264E-2</v>
      </c>
    </row>
    <row r="513" spans="1:4">
      <c r="A513" s="19" t="s">
        <v>1324</v>
      </c>
      <c r="B513" s="19">
        <v>3.1834552504580702</v>
      </c>
      <c r="C513" s="19">
        <f t="shared" si="26"/>
        <v>-5.4376574802983413E-4</v>
      </c>
      <c r="D513" s="21">
        <f t="shared" si="27"/>
        <v>3.1155811126280075E-2</v>
      </c>
    </row>
    <row r="514" spans="1:4">
      <c r="A514" s="19" t="s">
        <v>1323</v>
      </c>
      <c r="B514" s="19">
        <v>3.1839990162061</v>
      </c>
      <c r="C514" s="19">
        <f t="shared" ref="C514:C577" si="28">B514-B515</f>
        <v>-5.1880700290539927E-2</v>
      </c>
      <c r="D514" s="21">
        <f t="shared" ref="D514:D577" si="29">STDEV(C514:C573)</f>
        <v>3.1608625119583567E-2</v>
      </c>
    </row>
    <row r="515" spans="1:4">
      <c r="A515" s="19" t="s">
        <v>1322</v>
      </c>
      <c r="B515" s="19">
        <v>3.23587971649664</v>
      </c>
      <c r="C515" s="19">
        <f t="shared" si="28"/>
        <v>3.1184399486301473E-3</v>
      </c>
      <c r="D515" s="21">
        <f t="shared" si="29"/>
        <v>3.0975468100117073E-2</v>
      </c>
    </row>
    <row r="516" spans="1:4">
      <c r="A516" s="19" t="s">
        <v>1321</v>
      </c>
      <c r="B516" s="19">
        <v>3.2327612765480098</v>
      </c>
      <c r="C516" s="19">
        <f t="shared" si="28"/>
        <v>8.9484631958498539E-3</v>
      </c>
      <c r="D516" s="21">
        <f t="shared" si="29"/>
        <v>3.1039447530726186E-2</v>
      </c>
    </row>
    <row r="517" spans="1:4">
      <c r="A517" s="19" t="s">
        <v>1320</v>
      </c>
      <c r="B517" s="19">
        <v>3.22381281335216</v>
      </c>
      <c r="C517" s="19">
        <f t="shared" si="28"/>
        <v>3.6408220061369789E-2</v>
      </c>
      <c r="D517" s="21">
        <f t="shared" si="29"/>
        <v>3.196412174429044E-2</v>
      </c>
    </row>
    <row r="518" spans="1:4">
      <c r="A518" s="19" t="s">
        <v>1319</v>
      </c>
      <c r="B518" s="19">
        <v>3.1874045932907902</v>
      </c>
      <c r="C518" s="19">
        <f t="shared" si="28"/>
        <v>-1.3581853954789835E-2</v>
      </c>
      <c r="D518" s="21">
        <f t="shared" si="29"/>
        <v>3.1625938621069251E-2</v>
      </c>
    </row>
    <row r="519" spans="1:4">
      <c r="A519" s="19" t="s">
        <v>1318</v>
      </c>
      <c r="B519" s="19">
        <v>3.20098644724558</v>
      </c>
      <c r="C519" s="19">
        <f t="shared" si="28"/>
        <v>-1.7522009305179775E-2</v>
      </c>
      <c r="D519" s="21">
        <f t="shared" si="29"/>
        <v>3.1592595511725746E-2</v>
      </c>
    </row>
    <row r="520" spans="1:4">
      <c r="A520" s="19" t="s">
        <v>1317</v>
      </c>
      <c r="B520" s="19">
        <v>3.2185084565507598</v>
      </c>
      <c r="C520" s="19">
        <f t="shared" si="28"/>
        <v>-1.4433268698970103E-2</v>
      </c>
      <c r="D520" s="21">
        <f t="shared" si="29"/>
        <v>3.1717825814803056E-2</v>
      </c>
    </row>
    <row r="521" spans="1:4">
      <c r="A521" s="19" t="s">
        <v>1316</v>
      </c>
      <c r="B521" s="19">
        <v>3.2329417252497299</v>
      </c>
      <c r="C521" s="19">
        <f t="shared" si="28"/>
        <v>-3.353420102647009E-2</v>
      </c>
      <c r="D521" s="21">
        <f t="shared" si="29"/>
        <v>3.1674353740965312E-2</v>
      </c>
    </row>
    <row r="522" spans="1:4">
      <c r="A522" s="19" t="s">
        <v>1315</v>
      </c>
      <c r="B522" s="19">
        <v>3.2664759262762</v>
      </c>
      <c r="C522" s="19">
        <f t="shared" si="28"/>
        <v>-1.5221259105670182E-2</v>
      </c>
      <c r="D522" s="21">
        <f t="shared" si="29"/>
        <v>3.2294637683786084E-2</v>
      </c>
    </row>
    <row r="523" spans="1:4">
      <c r="A523" s="19" t="s">
        <v>1314</v>
      </c>
      <c r="B523" s="19">
        <v>3.2816971853818702</v>
      </c>
      <c r="C523" s="19">
        <f t="shared" si="28"/>
        <v>2.3648610680380155E-2</v>
      </c>
      <c r="D523" s="21">
        <f t="shared" si="29"/>
        <v>3.2249761293738535E-2</v>
      </c>
    </row>
    <row r="524" spans="1:4">
      <c r="A524" s="19" t="s">
        <v>1313</v>
      </c>
      <c r="B524" s="19">
        <v>3.25804857470149</v>
      </c>
      <c r="C524" s="19">
        <f t="shared" si="28"/>
        <v>4.7267754403089945E-2</v>
      </c>
      <c r="D524" s="21">
        <f t="shared" si="29"/>
        <v>3.2183315900047429E-2</v>
      </c>
    </row>
    <row r="525" spans="1:4">
      <c r="A525" s="19" t="s">
        <v>1312</v>
      </c>
      <c r="B525" s="19">
        <v>3.2107808202984001</v>
      </c>
      <c r="C525" s="19">
        <f t="shared" si="28"/>
        <v>5.0722200564480069E-2</v>
      </c>
      <c r="D525" s="21">
        <f t="shared" si="29"/>
        <v>3.1777495341674539E-2</v>
      </c>
    </row>
    <row r="526" spans="1:4">
      <c r="A526" s="19" t="s">
        <v>1311</v>
      </c>
      <c r="B526" s="19">
        <v>3.16005861973392</v>
      </c>
      <c r="C526" s="19">
        <f t="shared" si="28"/>
        <v>-1.2318206119129815E-2</v>
      </c>
      <c r="D526" s="21">
        <f t="shared" si="29"/>
        <v>3.1628674454706969E-2</v>
      </c>
    </row>
    <row r="527" spans="1:4">
      <c r="A527" s="19" t="s">
        <v>1310</v>
      </c>
      <c r="B527" s="19">
        <v>3.1723768258530498</v>
      </c>
      <c r="C527" s="19">
        <f t="shared" si="28"/>
        <v>1.8741774509196674E-3</v>
      </c>
      <c r="D527" s="21">
        <f t="shared" si="29"/>
        <v>3.169453506067002E-2</v>
      </c>
    </row>
    <row r="528" spans="1:4">
      <c r="A528" s="19" t="s">
        <v>1309</v>
      </c>
      <c r="B528" s="19">
        <v>3.1705026484021301</v>
      </c>
      <c r="C528" s="19">
        <f t="shared" si="28"/>
        <v>-2.4394731621010024E-2</v>
      </c>
      <c r="D528" s="21">
        <f t="shared" si="29"/>
        <v>3.2089774897225101E-2</v>
      </c>
    </row>
    <row r="529" spans="1:4">
      <c r="A529" s="19" t="s">
        <v>1308</v>
      </c>
      <c r="B529" s="19">
        <v>3.1948973800231402</v>
      </c>
      <c r="C529" s="19">
        <f t="shared" si="28"/>
        <v>-2.3155019066089633E-2</v>
      </c>
      <c r="D529" s="21">
        <f t="shared" si="29"/>
        <v>3.2231202910939352E-2</v>
      </c>
    </row>
    <row r="530" spans="1:4">
      <c r="A530" s="19" t="s">
        <v>1307</v>
      </c>
      <c r="B530" s="19">
        <v>3.2180523990892298</v>
      </c>
      <c r="C530" s="19">
        <f t="shared" si="28"/>
        <v>-2.3953535927260017E-2</v>
      </c>
      <c r="D530" s="21">
        <f t="shared" si="29"/>
        <v>3.2239872543344331E-2</v>
      </c>
    </row>
    <row r="531" spans="1:4">
      <c r="A531" s="19" t="s">
        <v>1306</v>
      </c>
      <c r="B531" s="19">
        <v>3.2420059350164898</v>
      </c>
      <c r="C531" s="19">
        <f t="shared" si="28"/>
        <v>3.2966677746300022E-3</v>
      </c>
      <c r="D531" s="21">
        <f t="shared" si="29"/>
        <v>3.2338878602784366E-2</v>
      </c>
    </row>
    <row r="532" spans="1:4">
      <c r="A532" s="19" t="s">
        <v>1305</v>
      </c>
      <c r="B532" s="19">
        <v>3.2387092672418598</v>
      </c>
      <c r="C532" s="19">
        <f t="shared" si="28"/>
        <v>-1.9903804770500244E-3</v>
      </c>
      <c r="D532" s="21">
        <f t="shared" si="29"/>
        <v>3.2377220756740391E-2</v>
      </c>
    </row>
    <row r="533" spans="1:4">
      <c r="A533" s="19" t="s">
        <v>1304</v>
      </c>
      <c r="B533" s="19">
        <v>3.2406996477189098</v>
      </c>
      <c r="C533" s="19">
        <f t="shared" si="28"/>
        <v>-1.4751087201819946E-2</v>
      </c>
      <c r="D533" s="21">
        <f t="shared" si="29"/>
        <v>3.256623748346904E-2</v>
      </c>
    </row>
    <row r="534" spans="1:4">
      <c r="A534" s="19" t="s">
        <v>1303</v>
      </c>
      <c r="B534" s="19">
        <v>3.2554507349207298</v>
      </c>
      <c r="C534" s="19">
        <f t="shared" si="28"/>
        <v>-4.0072965915130432E-2</v>
      </c>
      <c r="D534" s="21">
        <f t="shared" si="29"/>
        <v>3.2534622114478821E-2</v>
      </c>
    </row>
    <row r="535" spans="1:4">
      <c r="A535" s="19" t="s">
        <v>1302</v>
      </c>
      <c r="B535" s="19">
        <v>3.2955237008358602</v>
      </c>
      <c r="C535" s="19">
        <f t="shared" si="28"/>
        <v>5.5325692201710019E-2</v>
      </c>
      <c r="D535" s="21">
        <f t="shared" si="29"/>
        <v>3.2176464345818473E-2</v>
      </c>
    </row>
    <row r="536" spans="1:4">
      <c r="A536" s="19" t="s">
        <v>1301</v>
      </c>
      <c r="B536" s="19">
        <v>3.2401980086341502</v>
      </c>
      <c r="C536" s="19">
        <f t="shared" si="28"/>
        <v>-1.3007607262779608E-2</v>
      </c>
      <c r="D536" s="21">
        <f t="shared" si="29"/>
        <v>3.1501157421714915E-2</v>
      </c>
    </row>
    <row r="537" spans="1:4">
      <c r="A537" s="19" t="s">
        <v>1300</v>
      </c>
      <c r="B537" s="19">
        <v>3.2532056158969298</v>
      </c>
      <c r="C537" s="19">
        <f t="shared" si="28"/>
        <v>1.6380362370239876E-2</v>
      </c>
      <c r="D537" s="21">
        <f t="shared" si="29"/>
        <v>3.1558929176080448E-2</v>
      </c>
    </row>
    <row r="538" spans="1:4">
      <c r="A538" s="19" t="s">
        <v>1299</v>
      </c>
      <c r="B538" s="19">
        <v>3.2368252535266899</v>
      </c>
      <c r="C538" s="19">
        <f t="shared" si="28"/>
        <v>-4.6771538722989892E-2</v>
      </c>
      <c r="D538" s="21">
        <f t="shared" si="29"/>
        <v>3.3190233067925991E-2</v>
      </c>
    </row>
    <row r="539" spans="1:4">
      <c r="A539" s="19" t="s">
        <v>1298</v>
      </c>
      <c r="B539" s="19">
        <v>3.2835967922496798</v>
      </c>
      <c r="C539" s="19">
        <f t="shared" si="28"/>
        <v>-2.7755513377401009E-3</v>
      </c>
      <c r="D539" s="21">
        <f t="shared" si="29"/>
        <v>3.2796336331901814E-2</v>
      </c>
    </row>
    <row r="540" spans="1:4">
      <c r="A540" s="19" t="s">
        <v>1297</v>
      </c>
      <c r="B540" s="19">
        <v>3.2863723435874199</v>
      </c>
      <c r="C540" s="19">
        <f t="shared" si="28"/>
        <v>2.1588808553079986E-2</v>
      </c>
      <c r="D540" s="21">
        <f t="shared" si="29"/>
        <v>3.3589102825221755E-2</v>
      </c>
    </row>
    <row r="541" spans="1:4">
      <c r="A541" s="19" t="s">
        <v>1296</v>
      </c>
      <c r="B541" s="19">
        <v>3.2647835350343399</v>
      </c>
      <c r="C541" s="19">
        <f t="shared" si="28"/>
        <v>1.5249758817009962E-2</v>
      </c>
      <c r="D541" s="21">
        <f t="shared" si="29"/>
        <v>3.3524164479535788E-2</v>
      </c>
    </row>
    <row r="542" spans="1:4">
      <c r="A542" s="19" t="s">
        <v>1295</v>
      </c>
      <c r="B542" s="19">
        <v>3.24953377621733</v>
      </c>
      <c r="C542" s="19">
        <f t="shared" si="28"/>
        <v>1.1770965717159854E-2</v>
      </c>
      <c r="D542" s="21">
        <f t="shared" si="29"/>
        <v>3.429405135251197E-2</v>
      </c>
    </row>
    <row r="543" spans="1:4">
      <c r="A543" s="19" t="s">
        <v>1294</v>
      </c>
      <c r="B543" s="19">
        <v>3.2377628105001701</v>
      </c>
      <c r="C543" s="19">
        <f t="shared" si="28"/>
        <v>-2.576265520781007E-2</v>
      </c>
      <c r="D543" s="21">
        <f t="shared" si="29"/>
        <v>3.4495721398885154E-2</v>
      </c>
    </row>
    <row r="544" spans="1:4">
      <c r="A544" s="19" t="s">
        <v>1293</v>
      </c>
      <c r="B544" s="19">
        <v>3.2635254657079802</v>
      </c>
      <c r="C544" s="19">
        <f t="shared" si="28"/>
        <v>4.0703448559602506E-3</v>
      </c>
      <c r="D544" s="21">
        <f t="shared" si="29"/>
        <v>3.4370972598288772E-2</v>
      </c>
    </row>
    <row r="545" spans="1:4">
      <c r="A545" s="19" t="s">
        <v>1292</v>
      </c>
      <c r="B545" s="19">
        <v>3.2594551208520199</v>
      </c>
      <c r="C545" s="19">
        <f t="shared" si="28"/>
        <v>5.171929774645978E-2</v>
      </c>
      <c r="D545" s="21">
        <f t="shared" si="29"/>
        <v>3.4391035337902554E-2</v>
      </c>
    </row>
    <row r="546" spans="1:4">
      <c r="A546" s="19" t="s">
        <v>1291</v>
      </c>
      <c r="B546" s="19">
        <v>3.2077358231055602</v>
      </c>
      <c r="C546" s="19">
        <f t="shared" si="28"/>
        <v>7.5018773816810214E-2</v>
      </c>
      <c r="D546" s="21">
        <f t="shared" si="29"/>
        <v>3.405568475238379E-2</v>
      </c>
    </row>
    <row r="547" spans="1:4">
      <c r="A547" s="19" t="s">
        <v>1290</v>
      </c>
      <c r="B547" s="19">
        <v>3.1327170492887499</v>
      </c>
      <c r="C547" s="19">
        <f t="shared" si="28"/>
        <v>9.1170109198199789E-3</v>
      </c>
      <c r="D547" s="21">
        <f t="shared" si="29"/>
        <v>3.2642148431018862E-2</v>
      </c>
    </row>
    <row r="548" spans="1:4">
      <c r="A548" s="19" t="s">
        <v>1289</v>
      </c>
      <c r="B548" s="19">
        <v>3.12360003836893</v>
      </c>
      <c r="C548" s="19">
        <f t="shared" si="28"/>
        <v>2.7017584002119843E-2</v>
      </c>
      <c r="D548" s="21">
        <f t="shared" si="29"/>
        <v>3.2609316290484441E-2</v>
      </c>
    </row>
    <row r="549" spans="1:4">
      <c r="A549" s="19" t="s">
        <v>1288</v>
      </c>
      <c r="B549" s="19">
        <v>3.0965824543668101</v>
      </c>
      <c r="C549" s="19">
        <f t="shared" si="28"/>
        <v>-8.9753695496159747E-2</v>
      </c>
      <c r="D549" s="21">
        <f t="shared" si="29"/>
        <v>3.3880592455389574E-2</v>
      </c>
    </row>
    <row r="550" spans="1:4">
      <c r="A550" s="19" t="s">
        <v>1287</v>
      </c>
      <c r="B550" s="19">
        <v>3.1863361498629699</v>
      </c>
      <c r="C550" s="19">
        <f t="shared" si="28"/>
        <v>-1.9948881636940197E-2</v>
      </c>
      <c r="D550" s="21">
        <f t="shared" si="29"/>
        <v>3.2094433712245636E-2</v>
      </c>
    </row>
    <row r="551" spans="1:4">
      <c r="A551" s="19" t="s">
        <v>1286</v>
      </c>
      <c r="B551" s="19">
        <v>3.2062850314999101</v>
      </c>
      <c r="C551" s="19">
        <f t="shared" si="28"/>
        <v>-8.1461798226998283E-3</v>
      </c>
      <c r="D551" s="21">
        <f t="shared" si="29"/>
        <v>3.2089418674667192E-2</v>
      </c>
    </row>
    <row r="552" spans="1:4">
      <c r="A552" s="19" t="s">
        <v>1285</v>
      </c>
      <c r="B552" s="19">
        <v>3.2144312113226099</v>
      </c>
      <c r="C552" s="19">
        <f t="shared" si="28"/>
        <v>1.4058279162080023E-2</v>
      </c>
      <c r="D552" s="21">
        <f t="shared" si="29"/>
        <v>3.2214105386314827E-2</v>
      </c>
    </row>
    <row r="553" spans="1:4">
      <c r="A553" s="19" t="s">
        <v>1284</v>
      </c>
      <c r="B553" s="19">
        <v>3.2003729321605299</v>
      </c>
      <c r="C553" s="19">
        <f t="shared" si="28"/>
        <v>9.7479968914599979E-3</v>
      </c>
      <c r="D553" s="21">
        <f t="shared" si="29"/>
        <v>3.2176256959272773E-2</v>
      </c>
    </row>
    <row r="554" spans="1:4">
      <c r="A554" s="19" t="s">
        <v>1283</v>
      </c>
      <c r="B554" s="19">
        <v>3.1906249352690699</v>
      </c>
      <c r="C554" s="19">
        <f t="shared" si="28"/>
        <v>-3.4346246227560329E-2</v>
      </c>
      <c r="D554" s="21">
        <f t="shared" si="29"/>
        <v>3.2787406737828304E-2</v>
      </c>
    </row>
    <row r="555" spans="1:4">
      <c r="A555" s="19" t="s">
        <v>1282</v>
      </c>
      <c r="B555" s="19">
        <v>3.2249711814966302</v>
      </c>
      <c r="C555" s="19">
        <f t="shared" si="28"/>
        <v>1.7798887717340062E-2</v>
      </c>
      <c r="D555" s="21">
        <f t="shared" si="29"/>
        <v>3.2567514782051568E-2</v>
      </c>
    </row>
    <row r="556" spans="1:4">
      <c r="A556" s="19" t="s">
        <v>1281</v>
      </c>
      <c r="B556" s="19">
        <v>3.2071722937792901</v>
      </c>
      <c r="C556" s="19">
        <f t="shared" si="28"/>
        <v>2.7662520325260065E-2</v>
      </c>
      <c r="D556" s="21">
        <f t="shared" si="29"/>
        <v>3.2496113838653015E-2</v>
      </c>
    </row>
    <row r="557" spans="1:4">
      <c r="A557" s="19" t="s">
        <v>1280</v>
      </c>
      <c r="B557" s="19">
        <v>3.1795097734540301</v>
      </c>
      <c r="C557" s="19">
        <f t="shared" si="28"/>
        <v>-1.7579453820280033E-2</v>
      </c>
      <c r="D557" s="21">
        <f t="shared" si="29"/>
        <v>3.2386631640404652E-2</v>
      </c>
    </row>
    <row r="558" spans="1:4">
      <c r="A558" s="19" t="s">
        <v>1279</v>
      </c>
      <c r="B558" s="19">
        <v>3.1970892272743101</v>
      </c>
      <c r="C558" s="19">
        <f t="shared" si="28"/>
        <v>-7.5713434876290009E-2</v>
      </c>
      <c r="D558" s="21">
        <f t="shared" si="29"/>
        <v>3.246658847855536E-2</v>
      </c>
    </row>
    <row r="559" spans="1:4">
      <c r="A559" s="19" t="s">
        <v>1278</v>
      </c>
      <c r="B559" s="19">
        <v>3.2728026621506001</v>
      </c>
      <c r="C559" s="19">
        <f t="shared" si="28"/>
        <v>-2.2928717523249986E-2</v>
      </c>
      <c r="D559" s="21">
        <f t="shared" si="29"/>
        <v>3.1151214662009572E-2</v>
      </c>
    </row>
    <row r="560" spans="1:4">
      <c r="A560" s="19" t="s">
        <v>1277</v>
      </c>
      <c r="B560" s="19">
        <v>3.2957313796738501</v>
      </c>
      <c r="C560" s="19">
        <f t="shared" si="28"/>
        <v>2.7796963385330109E-2</v>
      </c>
      <c r="D560" s="21">
        <f t="shared" si="29"/>
        <v>3.1273943371821392E-2</v>
      </c>
    </row>
    <row r="561" spans="1:4">
      <c r="A561" s="19" t="s">
        <v>1276</v>
      </c>
      <c r="B561" s="19">
        <v>3.26793441628852</v>
      </c>
      <c r="C561" s="19">
        <f t="shared" si="28"/>
        <v>3.7733486250199899E-2</v>
      </c>
      <c r="D561" s="21">
        <f t="shared" si="29"/>
        <v>3.1423471061054142E-2</v>
      </c>
    </row>
    <row r="562" spans="1:4">
      <c r="A562" s="19" t="s">
        <v>1275</v>
      </c>
      <c r="B562" s="19">
        <v>3.2302009300383201</v>
      </c>
      <c r="C562" s="19">
        <f t="shared" si="28"/>
        <v>-6.3583811790399736E-3</v>
      </c>
      <c r="D562" s="21">
        <f t="shared" si="29"/>
        <v>3.1712854731946016E-2</v>
      </c>
    </row>
    <row r="563" spans="1:4">
      <c r="A563" s="19" t="s">
        <v>1274</v>
      </c>
      <c r="B563" s="19">
        <v>3.2365593112173601</v>
      </c>
      <c r="C563" s="19">
        <f t="shared" si="28"/>
        <v>-3.1133564423009741E-2</v>
      </c>
      <c r="D563" s="21">
        <f t="shared" si="29"/>
        <v>3.2176875286225703E-2</v>
      </c>
    </row>
    <row r="564" spans="1:4">
      <c r="A564" s="19" t="s">
        <v>1273</v>
      </c>
      <c r="B564" s="19">
        <v>3.2676928756403698</v>
      </c>
      <c r="C564" s="19">
        <f t="shared" si="28"/>
        <v>-2.0806543811690226E-2</v>
      </c>
      <c r="D564" s="21">
        <f t="shared" si="29"/>
        <v>3.1955659273626494E-2</v>
      </c>
    </row>
    <row r="565" spans="1:4">
      <c r="A565" s="19" t="s">
        <v>1272</v>
      </c>
      <c r="B565" s="19">
        <v>3.28849941945206</v>
      </c>
      <c r="C565" s="19">
        <f t="shared" si="28"/>
        <v>1.2678191358300062E-2</v>
      </c>
      <c r="D565" s="21">
        <f t="shared" si="29"/>
        <v>3.2189756549999129E-2</v>
      </c>
    </row>
    <row r="566" spans="1:4">
      <c r="A566" s="19" t="s">
        <v>1271</v>
      </c>
      <c r="B566" s="19">
        <v>3.27582122809376</v>
      </c>
      <c r="C566" s="19">
        <f t="shared" si="28"/>
        <v>-1.1704304565760104E-2</v>
      </c>
      <c r="D566" s="21">
        <f t="shared" si="29"/>
        <v>3.2276005756697215E-2</v>
      </c>
    </row>
    <row r="567" spans="1:4">
      <c r="A567" s="19" t="s">
        <v>1270</v>
      </c>
      <c r="B567" s="19">
        <v>3.2875255326595201</v>
      </c>
      <c r="C567" s="19">
        <f t="shared" si="28"/>
        <v>-3.9901432360879951E-2</v>
      </c>
      <c r="D567" s="21">
        <f t="shared" si="29"/>
        <v>3.2848492076924564E-2</v>
      </c>
    </row>
    <row r="568" spans="1:4">
      <c r="A568" s="19" t="s">
        <v>1269</v>
      </c>
      <c r="B568" s="19">
        <v>3.3274269650204</v>
      </c>
      <c r="C568" s="19">
        <f t="shared" si="28"/>
        <v>-4.5947373755999887E-2</v>
      </c>
      <c r="D568" s="21">
        <f t="shared" si="29"/>
        <v>3.2840572368236065E-2</v>
      </c>
    </row>
    <row r="569" spans="1:4">
      <c r="A569" s="19" t="s">
        <v>1268</v>
      </c>
      <c r="B569" s="19">
        <v>3.3733743387763999</v>
      </c>
      <c r="C569" s="19">
        <f t="shared" si="28"/>
        <v>2.191319813556003E-2</v>
      </c>
      <c r="D569" s="21">
        <f t="shared" si="29"/>
        <v>3.3546429780722663E-2</v>
      </c>
    </row>
    <row r="570" spans="1:4">
      <c r="A570" s="19" t="s">
        <v>1267</v>
      </c>
      <c r="B570" s="19">
        <v>3.3514611406408399</v>
      </c>
      <c r="C570" s="19">
        <f t="shared" si="28"/>
        <v>7.3888112548798901E-3</v>
      </c>
      <c r="D570" s="21">
        <f t="shared" si="29"/>
        <v>3.3660513363983374E-2</v>
      </c>
    </row>
    <row r="571" spans="1:4">
      <c r="A571" s="19" t="s">
        <v>1266</v>
      </c>
      <c r="B571" s="19">
        <v>3.34407232938596</v>
      </c>
      <c r="C571" s="19">
        <f t="shared" si="28"/>
        <v>-2.1242588449419841E-2</v>
      </c>
      <c r="D571" s="21">
        <f t="shared" si="29"/>
        <v>3.3671713027716856E-2</v>
      </c>
    </row>
    <row r="572" spans="1:4">
      <c r="A572" s="19" t="s">
        <v>1265</v>
      </c>
      <c r="B572" s="19">
        <v>3.3653149178353798</v>
      </c>
      <c r="C572" s="19">
        <f t="shared" si="28"/>
        <v>-5.9445377568003721E-3</v>
      </c>
      <c r="D572" s="21">
        <f t="shared" si="29"/>
        <v>3.4264903280828304E-2</v>
      </c>
    </row>
    <row r="573" spans="1:4">
      <c r="A573" s="19" t="s">
        <v>1264</v>
      </c>
      <c r="B573" s="19">
        <v>3.3712594555921802</v>
      </c>
      <c r="C573" s="19">
        <f t="shared" si="28"/>
        <v>-4.4552094901639805E-2</v>
      </c>
      <c r="D573" s="21">
        <f t="shared" si="29"/>
        <v>3.4280191895385149E-2</v>
      </c>
    </row>
    <row r="574" spans="1:4">
      <c r="A574" s="19" t="s">
        <v>1263</v>
      </c>
      <c r="B574" s="19">
        <v>3.41581155049382</v>
      </c>
      <c r="C574" s="19">
        <f t="shared" si="28"/>
        <v>-5.6829192099301373E-3</v>
      </c>
      <c r="D574" s="21">
        <f t="shared" si="29"/>
        <v>3.4247702365354515E-2</v>
      </c>
    </row>
    <row r="575" spans="1:4">
      <c r="A575" s="19" t="s">
        <v>1262</v>
      </c>
      <c r="B575" s="19">
        <v>3.4214944697037502</v>
      </c>
      <c r="C575" s="19">
        <f t="shared" si="28"/>
        <v>1.3473538119470163E-2</v>
      </c>
      <c r="D575" s="21">
        <f t="shared" si="29"/>
        <v>3.4715924706202224E-2</v>
      </c>
    </row>
    <row r="576" spans="1:4">
      <c r="A576" s="19" t="s">
        <v>1261</v>
      </c>
      <c r="B576" s="19">
        <v>3.40802093158428</v>
      </c>
      <c r="C576" s="19">
        <f t="shared" si="28"/>
        <v>5.7219909792129986E-2</v>
      </c>
      <c r="D576" s="21">
        <f t="shared" si="29"/>
        <v>3.5390229596834709E-2</v>
      </c>
    </row>
    <row r="577" spans="1:4">
      <c r="A577" s="19" t="s">
        <v>1260</v>
      </c>
      <c r="B577" s="19">
        <v>3.35080102179215</v>
      </c>
      <c r="C577" s="19">
        <f t="shared" si="28"/>
        <v>1.2869725917100006E-2</v>
      </c>
      <c r="D577" s="21">
        <f t="shared" si="29"/>
        <v>3.5216921850707475E-2</v>
      </c>
    </row>
    <row r="578" spans="1:4">
      <c r="A578" s="19" t="s">
        <v>1259</v>
      </c>
      <c r="B578" s="19">
        <v>3.33793129587505</v>
      </c>
      <c r="C578" s="19">
        <f t="shared" ref="C578:C641" si="30">B578-B579</f>
        <v>-2.8959464759599207E-3</v>
      </c>
      <c r="D578" s="21">
        <f t="shared" ref="D578:D641" si="31">STDEV(C578:C637)</f>
        <v>3.5173223743144626E-2</v>
      </c>
    </row>
    <row r="579" spans="1:4">
      <c r="A579" s="19" t="s">
        <v>1258</v>
      </c>
      <c r="B579" s="19">
        <v>3.3408272423510099</v>
      </c>
      <c r="C579" s="19">
        <f t="shared" si="30"/>
        <v>2.4654477121099916E-2</v>
      </c>
      <c r="D579" s="21">
        <f t="shared" si="31"/>
        <v>3.5252447204950514E-2</v>
      </c>
    </row>
    <row r="580" spans="1:4">
      <c r="A580" s="19" t="s">
        <v>1257</v>
      </c>
      <c r="B580" s="19">
        <v>3.31617276522991</v>
      </c>
      <c r="C580" s="19">
        <f t="shared" si="30"/>
        <v>6.4844007053022068E-4</v>
      </c>
      <c r="D580" s="21">
        <f t="shared" si="31"/>
        <v>3.5374532352065072E-2</v>
      </c>
    </row>
    <row r="581" spans="1:4">
      <c r="A581" s="19" t="s">
        <v>1256</v>
      </c>
      <c r="B581" s="19">
        <v>3.3155243251593798</v>
      </c>
      <c r="C581" s="19">
        <f t="shared" si="30"/>
        <v>-5.9569852315100036E-2</v>
      </c>
      <c r="D581" s="21">
        <f t="shared" si="31"/>
        <v>3.5420197184725083E-2</v>
      </c>
    </row>
    <row r="582" spans="1:4">
      <c r="A582" s="19" t="s">
        <v>1255</v>
      </c>
      <c r="B582" s="19">
        <v>3.3750941774744798</v>
      </c>
      <c r="C582" s="19">
        <f t="shared" si="30"/>
        <v>1.9114153433399395E-3</v>
      </c>
      <c r="D582" s="21">
        <f t="shared" si="31"/>
        <v>3.5449121489264997E-2</v>
      </c>
    </row>
    <row r="583" spans="1:4">
      <c r="A583" s="19" t="s">
        <v>1254</v>
      </c>
      <c r="B583" s="19">
        <v>3.3731827621311399</v>
      </c>
      <c r="C583" s="19">
        <f t="shared" si="30"/>
        <v>-2.1913517315930164E-2</v>
      </c>
      <c r="D583" s="21">
        <f t="shared" si="31"/>
        <v>3.5909330110532767E-2</v>
      </c>
    </row>
    <row r="584" spans="1:4">
      <c r="A584" s="19" t="s">
        <v>1253</v>
      </c>
      <c r="B584" s="19">
        <v>3.39509627944707</v>
      </c>
      <c r="C584" s="19">
        <f t="shared" si="30"/>
        <v>-3.4459773255299808E-2</v>
      </c>
      <c r="D584" s="21">
        <f t="shared" si="31"/>
        <v>3.8146124021942771E-2</v>
      </c>
    </row>
    <row r="585" spans="1:4">
      <c r="A585" s="19" t="s">
        <v>1252</v>
      </c>
      <c r="B585" s="19">
        <v>3.4295560527023699</v>
      </c>
      <c r="C585" s="19">
        <f t="shared" si="30"/>
        <v>-5.4475760781790061E-2</v>
      </c>
      <c r="D585" s="21">
        <f t="shared" si="31"/>
        <v>3.8000783854556276E-2</v>
      </c>
    </row>
    <row r="586" spans="1:4">
      <c r="A586" s="19" t="s">
        <v>1251</v>
      </c>
      <c r="B586" s="19">
        <v>3.4840318134841599</v>
      </c>
      <c r="C586" s="19">
        <f t="shared" si="30"/>
        <v>-2.2595128300470169E-2</v>
      </c>
      <c r="D586" s="21">
        <f t="shared" si="31"/>
        <v>3.8068305105818108E-2</v>
      </c>
    </row>
    <row r="587" spans="1:4">
      <c r="A587" s="19" t="s">
        <v>1250</v>
      </c>
      <c r="B587" s="19">
        <v>3.5066269417846301</v>
      </c>
      <c r="C587" s="19">
        <f t="shared" si="30"/>
        <v>3.3925308581310265E-2</v>
      </c>
      <c r="D587" s="21">
        <f t="shared" si="31"/>
        <v>3.8199034933007629E-2</v>
      </c>
    </row>
    <row r="588" spans="1:4">
      <c r="A588" s="19" t="s">
        <v>1249</v>
      </c>
      <c r="B588" s="19">
        <v>3.4727016332033198</v>
      </c>
      <c r="C588" s="19">
        <f t="shared" si="30"/>
        <v>2.5842282556309826E-2</v>
      </c>
      <c r="D588" s="21">
        <f t="shared" si="31"/>
        <v>3.8059006598016372E-2</v>
      </c>
    </row>
    <row r="589" spans="1:4">
      <c r="A589" s="19" t="s">
        <v>1248</v>
      </c>
      <c r="B589" s="19">
        <v>3.44685935064701</v>
      </c>
      <c r="C589" s="19">
        <f t="shared" si="30"/>
        <v>1.6249922929960192E-2</v>
      </c>
      <c r="D589" s="21">
        <f t="shared" si="31"/>
        <v>3.7889308466969279E-2</v>
      </c>
    </row>
    <row r="590" spans="1:4">
      <c r="A590" s="19" t="s">
        <v>1247</v>
      </c>
      <c r="B590" s="19">
        <v>3.4306094277170498</v>
      </c>
      <c r="C590" s="19">
        <f t="shared" si="30"/>
        <v>2.5342229872339583E-2</v>
      </c>
      <c r="D590" s="21">
        <f t="shared" si="31"/>
        <v>3.7828895153110241E-2</v>
      </c>
    </row>
    <row r="591" spans="1:4">
      <c r="A591" s="19" t="s">
        <v>1246</v>
      </c>
      <c r="B591" s="19">
        <v>3.4052671978447102</v>
      </c>
      <c r="C591" s="19">
        <f t="shared" si="30"/>
        <v>-1.6473356626799607E-2</v>
      </c>
      <c r="D591" s="21">
        <f t="shared" si="31"/>
        <v>3.7751723768731857E-2</v>
      </c>
    </row>
    <row r="592" spans="1:4">
      <c r="A592" s="19" t="s">
        <v>1245</v>
      </c>
      <c r="B592" s="19">
        <v>3.4217405544715098</v>
      </c>
      <c r="C592" s="19">
        <f t="shared" si="30"/>
        <v>-3.0228871274480262E-2</v>
      </c>
      <c r="D592" s="21">
        <f t="shared" si="31"/>
        <v>3.7936389820651097E-2</v>
      </c>
    </row>
    <row r="593" spans="1:4">
      <c r="A593" s="19" t="s">
        <v>1244</v>
      </c>
      <c r="B593" s="19">
        <v>3.4519694257459901</v>
      </c>
      <c r="C593" s="19">
        <f t="shared" si="30"/>
        <v>-6.9812308875993878E-4</v>
      </c>
      <c r="D593" s="21">
        <f t="shared" si="31"/>
        <v>3.7769367580299119E-2</v>
      </c>
    </row>
    <row r="594" spans="1:4">
      <c r="A594" s="19" t="s">
        <v>1243</v>
      </c>
      <c r="B594" s="19">
        <v>3.45266754883475</v>
      </c>
      <c r="C594" s="19">
        <f t="shared" si="30"/>
        <v>3.1392686183995266E-4</v>
      </c>
      <c r="D594" s="21">
        <f t="shared" si="31"/>
        <v>3.7771528575460483E-2</v>
      </c>
    </row>
    <row r="595" spans="1:4">
      <c r="A595" s="19" t="s">
        <v>1242</v>
      </c>
      <c r="B595" s="19">
        <v>3.4523536219729101</v>
      </c>
      <c r="C595" s="19">
        <f t="shared" si="30"/>
        <v>-3.3456077669359985E-2</v>
      </c>
      <c r="D595" s="21">
        <f t="shared" si="31"/>
        <v>3.8850192965733096E-2</v>
      </c>
    </row>
    <row r="596" spans="1:4">
      <c r="A596" s="19" t="s">
        <v>1241</v>
      </c>
      <c r="B596" s="19">
        <v>3.4858096996422701</v>
      </c>
      <c r="C596" s="19">
        <f t="shared" si="30"/>
        <v>1.3400070104370165E-2</v>
      </c>
      <c r="D596" s="21">
        <f t="shared" si="31"/>
        <v>3.8731947747424736E-2</v>
      </c>
    </row>
    <row r="597" spans="1:4">
      <c r="A597" s="19" t="s">
        <v>1240</v>
      </c>
      <c r="B597" s="19">
        <v>3.4724096295378999</v>
      </c>
      <c r="C597" s="19">
        <f t="shared" si="30"/>
        <v>7.818128437856009E-2</v>
      </c>
      <c r="D597" s="21">
        <f t="shared" si="31"/>
        <v>3.9669577629534901E-2</v>
      </c>
    </row>
    <row r="598" spans="1:4">
      <c r="A598" s="19" t="s">
        <v>1239</v>
      </c>
      <c r="B598" s="19">
        <v>3.3942283451593398</v>
      </c>
      <c r="C598" s="19">
        <f t="shared" si="30"/>
        <v>-2.3233377799640298E-2</v>
      </c>
      <c r="D598" s="21">
        <f t="shared" si="31"/>
        <v>3.8800565488237293E-2</v>
      </c>
    </row>
    <row r="599" spans="1:4">
      <c r="A599" s="19" t="s">
        <v>1238</v>
      </c>
      <c r="B599" s="19">
        <v>3.4174617229589801</v>
      </c>
      <c r="C599" s="19">
        <f t="shared" si="30"/>
        <v>5.3974193031609996E-2</v>
      </c>
      <c r="D599" s="21">
        <f t="shared" si="31"/>
        <v>3.9128724631984843E-2</v>
      </c>
    </row>
    <row r="600" spans="1:4">
      <c r="A600" s="19" t="s">
        <v>1237</v>
      </c>
      <c r="B600" s="19">
        <v>3.3634875299273701</v>
      </c>
      <c r="C600" s="19">
        <f t="shared" si="30"/>
        <v>1.5048770175380088E-2</v>
      </c>
      <c r="D600" s="21">
        <f t="shared" si="31"/>
        <v>3.8624010633888671E-2</v>
      </c>
    </row>
    <row r="601" spans="1:4">
      <c r="A601" s="19" t="s">
        <v>1236</v>
      </c>
      <c r="B601" s="19">
        <v>3.34843875975199</v>
      </c>
      <c r="C601" s="19">
        <f t="shared" si="30"/>
        <v>-6.0150577307819919E-2</v>
      </c>
      <c r="D601" s="21">
        <f t="shared" si="31"/>
        <v>3.8557765675161969E-2</v>
      </c>
    </row>
    <row r="602" spans="1:4">
      <c r="A602" s="19" t="s">
        <v>1235</v>
      </c>
      <c r="B602" s="19">
        <v>3.4085893370598099</v>
      </c>
      <c r="C602" s="19">
        <f t="shared" si="30"/>
        <v>-3.5260028491149953E-2</v>
      </c>
      <c r="D602" s="21">
        <f t="shared" si="31"/>
        <v>3.7850667846656402E-2</v>
      </c>
    </row>
    <row r="603" spans="1:4">
      <c r="A603" s="19" t="s">
        <v>1234</v>
      </c>
      <c r="B603" s="19">
        <v>3.4438493655509599</v>
      </c>
      <c r="C603" s="19">
        <f t="shared" si="30"/>
        <v>-2.7177742055899401E-3</v>
      </c>
      <c r="D603" s="21">
        <f t="shared" si="31"/>
        <v>3.7784194665157735E-2</v>
      </c>
    </row>
    <row r="604" spans="1:4">
      <c r="A604" s="19" t="s">
        <v>1233</v>
      </c>
      <c r="B604" s="19">
        <v>3.4465671397565498</v>
      </c>
      <c r="C604" s="19">
        <f t="shared" si="30"/>
        <v>-1.4799630840840017E-2</v>
      </c>
      <c r="D604" s="21">
        <f t="shared" si="31"/>
        <v>3.8377571534773815E-2</v>
      </c>
    </row>
    <row r="605" spans="1:4">
      <c r="A605" s="19" t="s">
        <v>1232</v>
      </c>
      <c r="B605" s="19">
        <v>3.4613667705973898</v>
      </c>
      <c r="C605" s="19">
        <f t="shared" si="30"/>
        <v>3.7663197667249904E-2</v>
      </c>
      <c r="D605" s="21">
        <f t="shared" si="31"/>
        <v>3.8670942047436034E-2</v>
      </c>
    </row>
    <row r="606" spans="1:4">
      <c r="A606" s="19" t="s">
        <v>1231</v>
      </c>
      <c r="B606" s="19">
        <v>3.4237035729301399</v>
      </c>
      <c r="C606" s="19">
        <f t="shared" si="30"/>
        <v>2.2185061126219985E-2</v>
      </c>
      <c r="D606" s="21">
        <f t="shared" si="31"/>
        <v>3.8535227069680149E-2</v>
      </c>
    </row>
    <row r="607" spans="1:4">
      <c r="A607" s="19" t="s">
        <v>1230</v>
      </c>
      <c r="B607" s="19">
        <v>3.40151851180392</v>
      </c>
      <c r="C607" s="19">
        <f t="shared" si="30"/>
        <v>3.2052524548698003E-3</v>
      </c>
      <c r="D607" s="21">
        <f t="shared" si="31"/>
        <v>3.8448623632843425E-2</v>
      </c>
    </row>
    <row r="608" spans="1:4">
      <c r="A608" s="19" t="s">
        <v>1229</v>
      </c>
      <c r="B608" s="19">
        <v>3.3983132593490502</v>
      </c>
      <c r="C608" s="19">
        <f t="shared" si="30"/>
        <v>7.3014441493500115E-2</v>
      </c>
      <c r="D608" s="21">
        <f t="shared" si="31"/>
        <v>3.8502256324317308E-2</v>
      </c>
    </row>
    <row r="609" spans="1:4">
      <c r="A609" s="19" t="s">
        <v>1228</v>
      </c>
      <c r="B609" s="19">
        <v>3.32529881785555</v>
      </c>
      <c r="C609" s="19">
        <f t="shared" si="30"/>
        <v>-2.6187366951150093E-2</v>
      </c>
      <c r="D609" s="21">
        <f t="shared" si="31"/>
        <v>3.7995928470661106E-2</v>
      </c>
    </row>
    <row r="610" spans="1:4">
      <c r="A610" s="19" t="s">
        <v>1227</v>
      </c>
      <c r="B610" s="19">
        <v>3.3514861848067001</v>
      </c>
      <c r="C610" s="19">
        <f t="shared" si="30"/>
        <v>1.4465618865429963E-2</v>
      </c>
      <c r="D610" s="21">
        <f t="shared" si="31"/>
        <v>3.7870108763883047E-2</v>
      </c>
    </row>
    <row r="611" spans="1:4">
      <c r="A611" s="19" t="s">
        <v>1226</v>
      </c>
      <c r="B611" s="19">
        <v>3.3370205659412702</v>
      </c>
      <c r="C611" s="19">
        <f t="shared" si="30"/>
        <v>-2.4835050562639793E-2</v>
      </c>
      <c r="D611" s="21">
        <f t="shared" si="31"/>
        <v>3.8873456276544982E-2</v>
      </c>
    </row>
    <row r="612" spans="1:4">
      <c r="A612" s="19" t="s">
        <v>1225</v>
      </c>
      <c r="B612" s="19">
        <v>3.36185561650391</v>
      </c>
      <c r="C612" s="19">
        <f t="shared" si="30"/>
        <v>-1.4392756595470235E-2</v>
      </c>
      <c r="D612" s="21">
        <f t="shared" si="31"/>
        <v>3.8754371662243096E-2</v>
      </c>
    </row>
    <row r="613" spans="1:4">
      <c r="A613" s="19" t="s">
        <v>1224</v>
      </c>
      <c r="B613" s="19">
        <v>3.3762483730993802</v>
      </c>
      <c r="C613" s="19">
        <f t="shared" si="30"/>
        <v>-5.3627948778119716E-2</v>
      </c>
      <c r="D613" s="21">
        <f t="shared" si="31"/>
        <v>3.9181954837968054E-2</v>
      </c>
    </row>
    <row r="614" spans="1:4">
      <c r="A614" s="19" t="s">
        <v>1223</v>
      </c>
      <c r="B614" s="19">
        <v>3.4298763218774999</v>
      </c>
      <c r="C614" s="19">
        <f t="shared" si="30"/>
        <v>6.0610751551100073E-3</v>
      </c>
      <c r="D614" s="21">
        <f t="shared" si="31"/>
        <v>3.8582401990322389E-2</v>
      </c>
    </row>
    <row r="615" spans="1:4">
      <c r="A615" s="19" t="s">
        <v>1222</v>
      </c>
      <c r="B615" s="19">
        <v>3.4238152467223899</v>
      </c>
      <c r="C615" s="19">
        <f t="shared" si="30"/>
        <v>-1.7172250679440282E-2</v>
      </c>
      <c r="D615" s="21">
        <f t="shared" si="31"/>
        <v>3.85766917670292E-2</v>
      </c>
    </row>
    <row r="616" spans="1:4">
      <c r="A616" s="19" t="s">
        <v>1221</v>
      </c>
      <c r="B616" s="19">
        <v>3.4409874974018302</v>
      </c>
      <c r="C616" s="19">
        <f t="shared" si="30"/>
        <v>2.0141263493929973E-2</v>
      </c>
      <c r="D616" s="21">
        <f t="shared" si="31"/>
        <v>3.8551585590492127E-2</v>
      </c>
    </row>
    <row r="617" spans="1:4">
      <c r="A617" s="19" t="s">
        <v>1220</v>
      </c>
      <c r="B617" s="19">
        <v>3.4208462339079002</v>
      </c>
      <c r="C617" s="19">
        <f t="shared" si="30"/>
        <v>1.8595179784060001E-2</v>
      </c>
      <c r="D617" s="21">
        <f t="shared" si="31"/>
        <v>3.8475264199161661E-2</v>
      </c>
    </row>
    <row r="618" spans="1:4">
      <c r="A618" s="19" t="s">
        <v>1219</v>
      </c>
      <c r="B618" s="19">
        <v>3.4022510541238402</v>
      </c>
      <c r="C618" s="19">
        <f t="shared" si="30"/>
        <v>-2.1795820875779803E-2</v>
      </c>
      <c r="D618" s="21">
        <f t="shared" si="31"/>
        <v>3.9460802089712782E-2</v>
      </c>
    </row>
    <row r="619" spans="1:4">
      <c r="A619" s="19" t="s">
        <v>1218</v>
      </c>
      <c r="B619" s="19">
        <v>3.42404687499962</v>
      </c>
      <c r="C619" s="19">
        <f t="shared" si="30"/>
        <v>2.7664816323190067E-2</v>
      </c>
      <c r="D619" s="21">
        <f t="shared" si="31"/>
        <v>3.9588606165713691E-2</v>
      </c>
    </row>
    <row r="620" spans="1:4">
      <c r="A620" s="19" t="s">
        <v>1217</v>
      </c>
      <c r="B620" s="19">
        <v>3.3963820586764299</v>
      </c>
      <c r="C620" s="19">
        <f t="shared" si="30"/>
        <v>-4.0399364959270212E-2</v>
      </c>
      <c r="D620" s="21">
        <f t="shared" si="31"/>
        <v>3.9785900703734216E-2</v>
      </c>
    </row>
    <row r="621" spans="1:4">
      <c r="A621" s="19" t="s">
        <v>1216</v>
      </c>
      <c r="B621" s="19">
        <v>3.4367814236357002</v>
      </c>
      <c r="C621" s="19">
        <f t="shared" si="30"/>
        <v>4.9381054360780219E-2</v>
      </c>
      <c r="D621" s="21">
        <f t="shared" si="31"/>
        <v>3.9426420771434378E-2</v>
      </c>
    </row>
    <row r="622" spans="1:4">
      <c r="A622" s="19" t="s">
        <v>1215</v>
      </c>
      <c r="B622" s="19">
        <v>3.3874003692749199</v>
      </c>
      <c r="C622" s="19">
        <f t="shared" si="30"/>
        <v>3.9789826325089983E-2</v>
      </c>
      <c r="D622" s="21">
        <f t="shared" si="31"/>
        <v>3.95192847983196E-2</v>
      </c>
    </row>
    <row r="623" spans="1:4">
      <c r="A623" s="19" t="s">
        <v>1214</v>
      </c>
      <c r="B623" s="19">
        <v>3.34761054294983</v>
      </c>
      <c r="C623" s="19">
        <f t="shared" si="30"/>
        <v>4.6088411431699505E-3</v>
      </c>
      <c r="D623" s="21">
        <f t="shared" si="31"/>
        <v>3.9462301035280721E-2</v>
      </c>
    </row>
    <row r="624" spans="1:4">
      <c r="A624" s="19" t="s">
        <v>1213</v>
      </c>
      <c r="B624" s="19">
        <v>3.34300170180666</v>
      </c>
      <c r="C624" s="19">
        <f t="shared" si="30"/>
        <v>-3.6927945340179846E-2</v>
      </c>
      <c r="D624" s="21">
        <f t="shared" si="31"/>
        <v>3.9464458508872494E-2</v>
      </c>
    </row>
    <row r="625" spans="1:4">
      <c r="A625" s="19" t="s">
        <v>1212</v>
      </c>
      <c r="B625" s="19">
        <v>3.3799296471468399</v>
      </c>
      <c r="C625" s="19">
        <f t="shared" si="30"/>
        <v>2.1520639256420004E-2</v>
      </c>
      <c r="D625" s="21">
        <f t="shared" si="31"/>
        <v>4.2510205848781416E-2</v>
      </c>
    </row>
    <row r="626" spans="1:4">
      <c r="A626" s="19" t="s">
        <v>1211</v>
      </c>
      <c r="B626" s="19">
        <v>3.3584090078904199</v>
      </c>
      <c r="C626" s="19">
        <f t="shared" si="30"/>
        <v>4.7247359556620072E-2</v>
      </c>
      <c r="D626" s="21">
        <f t="shared" si="31"/>
        <v>4.2445772373555991E-2</v>
      </c>
    </row>
    <row r="627" spans="1:4">
      <c r="A627" s="19" t="s">
        <v>1210</v>
      </c>
      <c r="B627" s="19">
        <v>3.3111616483337998</v>
      </c>
      <c r="C627" s="19">
        <f t="shared" si="30"/>
        <v>4.0062444074749681E-2</v>
      </c>
      <c r="D627" s="21">
        <f t="shared" si="31"/>
        <v>4.2039665738446114E-2</v>
      </c>
    </row>
    <row r="628" spans="1:4">
      <c r="A628" s="19" t="s">
        <v>1209</v>
      </c>
      <c r="B628" s="19">
        <v>3.2710992042590501</v>
      </c>
      <c r="C628" s="19">
        <f t="shared" si="30"/>
        <v>-6.9576052441629788E-2</v>
      </c>
      <c r="D628" s="21">
        <f t="shared" si="31"/>
        <v>4.2787585568918249E-2</v>
      </c>
    </row>
    <row r="629" spans="1:4">
      <c r="A629" s="19" t="s">
        <v>1208</v>
      </c>
      <c r="B629" s="19">
        <v>3.3406752567006799</v>
      </c>
      <c r="C629" s="19">
        <f t="shared" si="30"/>
        <v>-3.0349830497210295E-2</v>
      </c>
      <c r="D629" s="21">
        <f t="shared" si="31"/>
        <v>4.1884288881810526E-2</v>
      </c>
    </row>
    <row r="630" spans="1:4">
      <c r="A630" s="19" t="s">
        <v>1207</v>
      </c>
      <c r="B630" s="19">
        <v>3.3710250871978902</v>
      </c>
      <c r="C630" s="19">
        <f t="shared" si="30"/>
        <v>9.8775786547000699E-3</v>
      </c>
      <c r="D630" s="21">
        <f t="shared" si="31"/>
        <v>4.2847010026669449E-2</v>
      </c>
    </row>
    <row r="631" spans="1:4">
      <c r="A631" s="19" t="s">
        <v>1206</v>
      </c>
      <c r="B631" s="19">
        <v>3.3611475085431901</v>
      </c>
      <c r="C631" s="19">
        <f t="shared" si="30"/>
        <v>-5.3522404400450085E-2</v>
      </c>
      <c r="D631" s="21">
        <f t="shared" si="31"/>
        <v>4.2888711883363066E-2</v>
      </c>
    </row>
    <row r="632" spans="1:4">
      <c r="A632" s="19" t="s">
        <v>1205</v>
      </c>
      <c r="B632" s="19">
        <v>3.4146699129436402</v>
      </c>
      <c r="C632" s="19">
        <f t="shared" si="30"/>
        <v>-1.02230687676097E-2</v>
      </c>
      <c r="D632" s="21">
        <f t="shared" si="31"/>
        <v>4.2235399016665516E-2</v>
      </c>
    </row>
    <row r="633" spans="1:4">
      <c r="A633" s="19" t="s">
        <v>1204</v>
      </c>
      <c r="B633" s="19">
        <v>3.4248929817112499</v>
      </c>
      <c r="C633" s="19">
        <f t="shared" si="30"/>
        <v>4.2713446872260086E-2</v>
      </c>
      <c r="D633" s="21">
        <f t="shared" si="31"/>
        <v>4.2210251114116498E-2</v>
      </c>
    </row>
    <row r="634" spans="1:4">
      <c r="A634" s="19" t="s">
        <v>1203</v>
      </c>
      <c r="B634" s="19">
        <v>3.3821795348389898</v>
      </c>
      <c r="C634" s="19">
        <f t="shared" si="30"/>
        <v>-4.3805343305080235E-2</v>
      </c>
      <c r="D634" s="21">
        <f t="shared" si="31"/>
        <v>4.1912213761926255E-2</v>
      </c>
    </row>
    <row r="635" spans="1:4">
      <c r="A635" s="19" t="s">
        <v>1202</v>
      </c>
      <c r="B635" s="19">
        <v>3.42598487814407</v>
      </c>
      <c r="C635" s="19">
        <f t="shared" si="30"/>
        <v>-5.5315463222439742E-2</v>
      </c>
      <c r="D635" s="21">
        <f t="shared" si="31"/>
        <v>4.1620490284344676E-2</v>
      </c>
    </row>
    <row r="636" spans="1:4">
      <c r="A636" s="19" t="s">
        <v>1201</v>
      </c>
      <c r="B636" s="19">
        <v>3.4813003413665098</v>
      </c>
      <c r="C636" s="19">
        <f t="shared" si="30"/>
        <v>5.0683595294389594E-2</v>
      </c>
      <c r="D636" s="21">
        <f t="shared" si="31"/>
        <v>4.0947104182661918E-2</v>
      </c>
    </row>
    <row r="637" spans="1:4">
      <c r="A637" s="19" t="s">
        <v>1200</v>
      </c>
      <c r="B637" s="19">
        <v>3.4306167460721202</v>
      </c>
      <c r="C637" s="19">
        <f t="shared" si="30"/>
        <v>-6.4676589516996508E-3</v>
      </c>
      <c r="D637" s="21">
        <f t="shared" si="31"/>
        <v>4.0753718890497212E-2</v>
      </c>
    </row>
    <row r="638" spans="1:4">
      <c r="A638" s="19" t="s">
        <v>1199</v>
      </c>
      <c r="B638" s="19">
        <v>3.4370844050238198</v>
      </c>
      <c r="C638" s="19">
        <f t="shared" si="30"/>
        <v>-1.9971619354780312E-2</v>
      </c>
      <c r="D638" s="21">
        <f t="shared" si="31"/>
        <v>4.2789490004139875E-2</v>
      </c>
    </row>
    <row r="639" spans="1:4">
      <c r="A639" s="19" t="s">
        <v>1198</v>
      </c>
      <c r="B639" s="19">
        <v>3.4570560243786002</v>
      </c>
      <c r="C639" s="19">
        <f t="shared" si="30"/>
        <v>-3.7723922196699622E-2</v>
      </c>
      <c r="D639" s="21">
        <f t="shared" si="31"/>
        <v>4.2760150620203219E-2</v>
      </c>
    </row>
    <row r="640" spans="1:4">
      <c r="A640" s="19" t="s">
        <v>1197</v>
      </c>
      <c r="B640" s="19">
        <v>3.4947799465752998</v>
      </c>
      <c r="C640" s="19">
        <f t="shared" si="30"/>
        <v>1.1368757408019903E-2</v>
      </c>
      <c r="D640" s="21">
        <f t="shared" si="31"/>
        <v>4.2419462000623569E-2</v>
      </c>
    </row>
    <row r="641" spans="1:4">
      <c r="A641" s="19" t="s">
        <v>1196</v>
      </c>
      <c r="B641" s="19">
        <v>3.4834111891672799</v>
      </c>
      <c r="C641" s="19">
        <f t="shared" si="30"/>
        <v>5.6953591357129962E-2</v>
      </c>
      <c r="D641" s="21">
        <f t="shared" si="31"/>
        <v>4.4131703517507871E-2</v>
      </c>
    </row>
    <row r="642" spans="1:4">
      <c r="A642" s="19" t="s">
        <v>1195</v>
      </c>
      <c r="B642" s="19">
        <v>3.4264575978101499</v>
      </c>
      <c r="C642" s="19">
        <f t="shared" ref="C642:C705" si="32">B642-B643</f>
        <v>-4.5381128800729975E-2</v>
      </c>
      <c r="D642" s="21">
        <f t="shared" ref="D642:D705" si="33">STDEV(C642:C701)</f>
        <v>4.3943724404380179E-2</v>
      </c>
    </row>
    <row r="643" spans="1:4">
      <c r="A643" s="19" t="s">
        <v>1194</v>
      </c>
      <c r="B643" s="19">
        <v>3.4718387266108799</v>
      </c>
      <c r="C643" s="19">
        <f t="shared" si="32"/>
        <v>-0.10310295306701001</v>
      </c>
      <c r="D643" s="21">
        <f t="shared" si="33"/>
        <v>4.3823956902207216E-2</v>
      </c>
    </row>
    <row r="644" spans="1:4">
      <c r="A644" s="19" t="s">
        <v>1193</v>
      </c>
      <c r="B644" s="19">
        <v>3.5749416796778899</v>
      </c>
      <c r="C644" s="19">
        <f t="shared" si="32"/>
        <v>-2.1429573910360045E-2</v>
      </c>
      <c r="D644" s="21">
        <f t="shared" si="33"/>
        <v>4.1592896044128774E-2</v>
      </c>
    </row>
    <row r="645" spans="1:4">
      <c r="A645" s="19" t="s">
        <v>1192</v>
      </c>
      <c r="B645" s="19">
        <v>3.5963712535882499</v>
      </c>
      <c r="C645" s="19">
        <f t="shared" si="32"/>
        <v>5.3521213052440064E-2</v>
      </c>
      <c r="D645" s="21">
        <f t="shared" si="33"/>
        <v>4.1482634557136265E-2</v>
      </c>
    </row>
    <row r="646" spans="1:4">
      <c r="A646" s="19" t="s">
        <v>1191</v>
      </c>
      <c r="B646" s="19">
        <v>3.5428500405358099</v>
      </c>
      <c r="C646" s="19">
        <f t="shared" si="32"/>
        <v>-3.3498554125710012E-2</v>
      </c>
      <c r="D646" s="21">
        <f t="shared" si="33"/>
        <v>4.0979062803634267E-2</v>
      </c>
    </row>
    <row r="647" spans="1:4">
      <c r="A647" s="19" t="s">
        <v>1190</v>
      </c>
      <c r="B647" s="19">
        <v>3.5763485946615199</v>
      </c>
      <c r="C647" s="19">
        <f t="shared" si="32"/>
        <v>-2.6906490602790267E-2</v>
      </c>
      <c r="D647" s="21">
        <f t="shared" si="33"/>
        <v>4.0708008382990095E-2</v>
      </c>
    </row>
    <row r="648" spans="1:4">
      <c r="A648" s="19" t="s">
        <v>1189</v>
      </c>
      <c r="B648" s="19">
        <v>3.6032550852643102</v>
      </c>
      <c r="C648" s="19">
        <f t="shared" si="32"/>
        <v>3.558662076710295E-3</v>
      </c>
      <c r="D648" s="21">
        <f t="shared" si="33"/>
        <v>4.050400392946913E-2</v>
      </c>
    </row>
    <row r="649" spans="1:4">
      <c r="A649" s="19" t="s">
        <v>1188</v>
      </c>
      <c r="B649" s="19">
        <v>3.5996964231875999</v>
      </c>
      <c r="C649" s="19">
        <f t="shared" si="32"/>
        <v>6.6709271257998637E-3</v>
      </c>
      <c r="D649" s="21">
        <f t="shared" si="33"/>
        <v>4.0626745031629781E-2</v>
      </c>
    </row>
    <row r="650" spans="1:4">
      <c r="A650" s="19" t="s">
        <v>1187</v>
      </c>
      <c r="B650" s="19">
        <v>3.5930254960618</v>
      </c>
      <c r="C650" s="19">
        <f t="shared" si="32"/>
        <v>1.835115677116006E-2</v>
      </c>
      <c r="D650" s="21">
        <f t="shared" si="33"/>
        <v>4.0786977657125779E-2</v>
      </c>
    </row>
    <row r="651" spans="1:4">
      <c r="A651" s="19" t="s">
        <v>1186</v>
      </c>
      <c r="B651" s="19">
        <v>3.5746743392906399</v>
      </c>
      <c r="C651" s="19">
        <f t="shared" si="32"/>
        <v>-3.4706126860180042E-2</v>
      </c>
      <c r="D651" s="21">
        <f t="shared" si="33"/>
        <v>4.0777772721379946E-2</v>
      </c>
    </row>
    <row r="652" spans="1:4">
      <c r="A652" s="19" t="s">
        <v>1185</v>
      </c>
      <c r="B652" s="19">
        <v>3.60938046615082</v>
      </c>
      <c r="C652" s="19">
        <f t="shared" si="32"/>
        <v>-1.7037174821599166E-3</v>
      </c>
      <c r="D652" s="21">
        <f t="shared" si="33"/>
        <v>4.0502229545461357E-2</v>
      </c>
    </row>
    <row r="653" spans="1:4">
      <c r="A653" s="19" t="s">
        <v>1184</v>
      </c>
      <c r="B653" s="19">
        <v>3.6110841836329799</v>
      </c>
      <c r="C653" s="19">
        <f t="shared" si="32"/>
        <v>1.0220466949597551E-3</v>
      </c>
      <c r="D653" s="21">
        <f t="shared" si="33"/>
        <v>4.0497108848933192E-2</v>
      </c>
    </row>
    <row r="654" spans="1:4">
      <c r="A654" s="19" t="s">
        <v>1183</v>
      </c>
      <c r="B654" s="19">
        <v>3.6100621369380201</v>
      </c>
      <c r="C654" s="19">
        <f t="shared" si="32"/>
        <v>6.7810087465729918E-2</v>
      </c>
      <c r="D654" s="21">
        <f t="shared" si="33"/>
        <v>4.0727748794947484E-2</v>
      </c>
    </row>
    <row r="655" spans="1:4">
      <c r="A655" s="19" t="s">
        <v>1182</v>
      </c>
      <c r="B655" s="19">
        <v>3.5422520494722902</v>
      </c>
      <c r="C655" s="19">
        <f t="shared" si="32"/>
        <v>2.1533120323980359E-2</v>
      </c>
      <c r="D655" s="21">
        <f t="shared" si="33"/>
        <v>3.9993249325424619E-2</v>
      </c>
    </row>
    <row r="656" spans="1:4">
      <c r="A656" s="19" t="s">
        <v>1181</v>
      </c>
      <c r="B656" s="19">
        <v>3.5207189291483099</v>
      </c>
      <c r="C656" s="19">
        <f t="shared" si="32"/>
        <v>-6.8736936931000248E-2</v>
      </c>
      <c r="D656" s="21">
        <f t="shared" si="33"/>
        <v>4.0412517289955471E-2</v>
      </c>
    </row>
    <row r="657" spans="1:4">
      <c r="A657" s="19" t="s">
        <v>1180</v>
      </c>
      <c r="B657" s="19">
        <v>3.5894558660793101</v>
      </c>
      <c r="C657" s="19">
        <f t="shared" si="32"/>
        <v>4.7180329229860263E-2</v>
      </c>
      <c r="D657" s="21">
        <f t="shared" si="33"/>
        <v>4.0224530536350285E-2</v>
      </c>
    </row>
    <row r="658" spans="1:4">
      <c r="A658" s="19" t="s">
        <v>1179</v>
      </c>
      <c r="B658" s="19">
        <v>3.5422755368494498</v>
      </c>
      <c r="C658" s="19">
        <f t="shared" si="32"/>
        <v>4.2385722860149855E-2</v>
      </c>
      <c r="D658" s="21">
        <f t="shared" si="33"/>
        <v>4.0007757305297459E-2</v>
      </c>
    </row>
    <row r="659" spans="1:4">
      <c r="A659" s="19" t="s">
        <v>1178</v>
      </c>
      <c r="B659" s="19">
        <v>3.4998898139893</v>
      </c>
      <c r="C659" s="19">
        <f t="shared" si="32"/>
        <v>-3.0834718324660226E-2</v>
      </c>
      <c r="D659" s="21">
        <f t="shared" si="33"/>
        <v>3.966232972510033E-2</v>
      </c>
    </row>
    <row r="660" spans="1:4">
      <c r="A660" s="19" t="s">
        <v>1177</v>
      </c>
      <c r="B660" s="19">
        <v>3.5307245323139602</v>
      </c>
      <c r="C660" s="19">
        <f t="shared" si="32"/>
        <v>1.6248429089400496E-3</v>
      </c>
      <c r="D660" s="21">
        <f t="shared" si="33"/>
        <v>3.9502756783524835E-2</v>
      </c>
    </row>
    <row r="661" spans="1:4">
      <c r="A661" s="19" t="s">
        <v>1176</v>
      </c>
      <c r="B661" s="19">
        <v>3.5290996894050202</v>
      </c>
      <c r="C661" s="19">
        <f t="shared" si="32"/>
        <v>-1.3654989285299735E-2</v>
      </c>
      <c r="D661" s="21">
        <f t="shared" si="33"/>
        <v>4.611523525418898E-2</v>
      </c>
    </row>
    <row r="662" spans="1:4">
      <c r="A662" s="19" t="s">
        <v>1175</v>
      </c>
      <c r="B662" s="19">
        <v>3.5427546786903199</v>
      </c>
      <c r="C662" s="19">
        <f t="shared" si="32"/>
        <v>2.7067356499309803E-2</v>
      </c>
      <c r="D662" s="21">
        <f t="shared" si="33"/>
        <v>4.6143592960413246E-2</v>
      </c>
    </row>
    <row r="663" spans="1:4">
      <c r="A663" s="19" t="s">
        <v>1174</v>
      </c>
      <c r="B663" s="19">
        <v>3.5156873221910101</v>
      </c>
      <c r="C663" s="19">
        <f t="shared" si="32"/>
        <v>5.0924044237150135E-2</v>
      </c>
      <c r="D663" s="21">
        <f t="shared" si="33"/>
        <v>4.6348271599595127E-2</v>
      </c>
    </row>
    <row r="664" spans="1:4">
      <c r="A664" s="19" t="s">
        <v>1173</v>
      </c>
      <c r="B664" s="19">
        <v>3.46476327795386</v>
      </c>
      <c r="C664" s="19">
        <f t="shared" si="32"/>
        <v>-3.9725617216570086E-2</v>
      </c>
      <c r="D664" s="21">
        <f t="shared" si="33"/>
        <v>4.5847483982746712E-2</v>
      </c>
    </row>
    <row r="665" spans="1:4">
      <c r="A665" s="19" t="s">
        <v>1172</v>
      </c>
      <c r="B665" s="19">
        <v>3.5044888951704301</v>
      </c>
      <c r="C665" s="19">
        <f t="shared" si="32"/>
        <v>-3.128327613640014E-2</v>
      </c>
      <c r="D665" s="21">
        <f t="shared" si="33"/>
        <v>4.5598831836547678E-2</v>
      </c>
    </row>
    <row r="666" spans="1:4">
      <c r="A666" s="19" t="s">
        <v>1171</v>
      </c>
      <c r="B666" s="19">
        <v>3.5357721713068302</v>
      </c>
      <c r="C666" s="19">
        <f t="shared" si="32"/>
        <v>-1.6357189862370003E-2</v>
      </c>
      <c r="D666" s="21">
        <f t="shared" si="33"/>
        <v>4.564535723116489E-2</v>
      </c>
    </row>
    <row r="667" spans="1:4">
      <c r="A667" s="19" t="s">
        <v>1170</v>
      </c>
      <c r="B667" s="19">
        <v>3.5521293611692002</v>
      </c>
      <c r="C667" s="19">
        <f t="shared" si="32"/>
        <v>1.4168163012360235E-2</v>
      </c>
      <c r="D667" s="21">
        <f t="shared" si="33"/>
        <v>4.6172194465260795E-2</v>
      </c>
    </row>
    <row r="668" spans="1:4">
      <c r="A668" s="19" t="s">
        <v>1169</v>
      </c>
      <c r="B668" s="19">
        <v>3.53796119815684</v>
      </c>
      <c r="C668" s="19">
        <f t="shared" si="32"/>
        <v>5.5947751744069851E-2</v>
      </c>
      <c r="D668" s="21">
        <f t="shared" si="33"/>
        <v>4.6998975595423272E-2</v>
      </c>
    </row>
    <row r="669" spans="1:4">
      <c r="A669" s="19" t="s">
        <v>1168</v>
      </c>
      <c r="B669" s="19">
        <v>3.4820134464127701</v>
      </c>
      <c r="C669" s="19">
        <f t="shared" si="32"/>
        <v>-7.7148899694989836E-4</v>
      </c>
      <c r="D669" s="21">
        <f t="shared" si="33"/>
        <v>4.7029110648609401E-2</v>
      </c>
    </row>
    <row r="670" spans="1:4">
      <c r="A670" s="19" t="s">
        <v>1167</v>
      </c>
      <c r="B670" s="19">
        <v>3.48278493540972</v>
      </c>
      <c r="C670" s="19">
        <f t="shared" si="32"/>
        <v>6.7578420483009882E-2</v>
      </c>
      <c r="D670" s="21">
        <f t="shared" si="33"/>
        <v>4.9208747295700815E-2</v>
      </c>
    </row>
    <row r="671" spans="1:4">
      <c r="A671" s="19" t="s">
        <v>1166</v>
      </c>
      <c r="B671" s="19">
        <v>3.4152065149267101</v>
      </c>
      <c r="C671" s="19">
        <f t="shared" si="32"/>
        <v>3.3414863146701279E-3</v>
      </c>
      <c r="D671" s="21">
        <f t="shared" si="33"/>
        <v>4.8959342082137258E-2</v>
      </c>
    </row>
    <row r="672" spans="1:4">
      <c r="A672" s="19" t="s">
        <v>1165</v>
      </c>
      <c r="B672" s="19">
        <v>3.41186502861204</v>
      </c>
      <c r="C672" s="19">
        <f t="shared" si="32"/>
        <v>4.6189431743079989E-2</v>
      </c>
      <c r="D672" s="21">
        <f t="shared" si="33"/>
        <v>5.0916028553126345E-2</v>
      </c>
    </row>
    <row r="673" spans="1:4">
      <c r="A673" s="19" t="s">
        <v>1164</v>
      </c>
      <c r="B673" s="19">
        <v>3.36567559686896</v>
      </c>
      <c r="C673" s="19">
        <f t="shared" si="32"/>
        <v>-1.292687044744989E-2</v>
      </c>
      <c r="D673" s="21">
        <f t="shared" si="33"/>
        <v>5.0528231478621635E-2</v>
      </c>
    </row>
    <row r="674" spans="1:4">
      <c r="A674" s="19" t="s">
        <v>1163</v>
      </c>
      <c r="B674" s="19">
        <v>3.3786024673164099</v>
      </c>
      <c r="C674" s="19">
        <f t="shared" si="32"/>
        <v>2.0307197107900521E-3</v>
      </c>
      <c r="D674" s="21">
        <f t="shared" si="33"/>
        <v>5.0854421299135373E-2</v>
      </c>
    </row>
    <row r="675" spans="1:4">
      <c r="A675" s="19" t="s">
        <v>1162</v>
      </c>
      <c r="B675" s="19">
        <v>3.3765717476056198</v>
      </c>
      <c r="C675" s="19">
        <f t="shared" si="32"/>
        <v>-1.3652409869099991E-2</v>
      </c>
      <c r="D675" s="21">
        <f t="shared" si="33"/>
        <v>5.1708750927869827E-2</v>
      </c>
    </row>
    <row r="676" spans="1:4">
      <c r="A676" s="19" t="s">
        <v>1161</v>
      </c>
      <c r="B676" s="19">
        <v>3.3902241574747198</v>
      </c>
      <c r="C676" s="19">
        <f t="shared" si="32"/>
        <v>-5.1647065797002512E-3</v>
      </c>
      <c r="D676" s="21">
        <f t="shared" si="33"/>
        <v>5.2429587406225345E-2</v>
      </c>
    </row>
    <row r="677" spans="1:4">
      <c r="A677" s="19" t="s">
        <v>1160</v>
      </c>
      <c r="B677" s="19">
        <v>3.3953888640544201</v>
      </c>
      <c r="C677" s="19">
        <f t="shared" si="32"/>
        <v>7.0472583599829886E-2</v>
      </c>
      <c r="D677" s="21">
        <f t="shared" si="33"/>
        <v>5.2608344878707324E-2</v>
      </c>
    </row>
    <row r="678" spans="1:4">
      <c r="A678" s="19" t="s">
        <v>1159</v>
      </c>
      <c r="B678" s="19">
        <v>3.3249162804545902</v>
      </c>
      <c r="C678" s="19">
        <f t="shared" si="32"/>
        <v>3.5699185898740105E-2</v>
      </c>
      <c r="D678" s="21">
        <f t="shared" si="33"/>
        <v>5.3422086658116555E-2</v>
      </c>
    </row>
    <row r="679" spans="1:4">
      <c r="A679" s="19" t="s">
        <v>1158</v>
      </c>
      <c r="B679" s="19">
        <v>3.2892170945558501</v>
      </c>
      <c r="C679" s="19">
        <f t="shared" si="32"/>
        <v>-3.8280431776979817E-2</v>
      </c>
      <c r="D679" s="21">
        <f t="shared" si="33"/>
        <v>5.3420089716990783E-2</v>
      </c>
    </row>
    <row r="680" spans="1:4">
      <c r="A680" s="19" t="s">
        <v>1157</v>
      </c>
      <c r="B680" s="19">
        <v>3.3274975263328299</v>
      </c>
      <c r="C680" s="19">
        <f t="shared" si="32"/>
        <v>-6.9047969709901125E-3</v>
      </c>
      <c r="D680" s="21">
        <f t="shared" si="33"/>
        <v>5.3643476596559957E-2</v>
      </c>
    </row>
    <row r="681" spans="1:4">
      <c r="A681" s="19" t="s">
        <v>1156</v>
      </c>
      <c r="B681" s="19">
        <v>3.33440232330382</v>
      </c>
      <c r="C681" s="19">
        <f t="shared" si="32"/>
        <v>-5.1926468036089801E-2</v>
      </c>
      <c r="D681" s="21">
        <f t="shared" si="33"/>
        <v>5.4517641122513491E-2</v>
      </c>
    </row>
    <row r="682" spans="1:4">
      <c r="A682" s="19" t="s">
        <v>1155</v>
      </c>
      <c r="B682" s="19">
        <v>3.3863287913399098</v>
      </c>
      <c r="C682" s="19">
        <f t="shared" si="32"/>
        <v>-3.7613572625620151E-2</v>
      </c>
      <c r="D682" s="21">
        <f t="shared" si="33"/>
        <v>5.5219622117912703E-2</v>
      </c>
    </row>
    <row r="683" spans="1:4">
      <c r="A683" s="19" t="s">
        <v>1154</v>
      </c>
      <c r="B683" s="19">
        <v>3.42394236396553</v>
      </c>
      <c r="C683" s="19">
        <f t="shared" si="32"/>
        <v>5.4094160673998637E-3</v>
      </c>
      <c r="D683" s="21">
        <f t="shared" si="33"/>
        <v>5.6403501702142499E-2</v>
      </c>
    </row>
    <row r="684" spans="1:4">
      <c r="A684" s="19" t="s">
        <v>1153</v>
      </c>
      <c r="B684" s="19">
        <v>3.4185329478981301</v>
      </c>
      <c r="C684" s="19">
        <f t="shared" si="32"/>
        <v>0.12700237440173012</v>
      </c>
      <c r="D684" s="21">
        <f t="shared" si="33"/>
        <v>5.6932972435489698E-2</v>
      </c>
    </row>
    <row r="685" spans="1:4">
      <c r="A685" s="19" t="s">
        <v>1152</v>
      </c>
      <c r="B685" s="19">
        <v>3.2915305734964</v>
      </c>
      <c r="C685" s="19">
        <f t="shared" si="32"/>
        <v>-8.2042172178100614E-3</v>
      </c>
      <c r="D685" s="21">
        <f t="shared" si="33"/>
        <v>5.4392573302333658E-2</v>
      </c>
    </row>
    <row r="686" spans="1:4">
      <c r="A686" s="19" t="s">
        <v>1151</v>
      </c>
      <c r="B686" s="19">
        <v>3.2997347907142101</v>
      </c>
      <c r="C686" s="19">
        <f t="shared" si="32"/>
        <v>-1.2274017059529907E-2</v>
      </c>
      <c r="D686" s="21">
        <f t="shared" si="33"/>
        <v>5.6080080998729111E-2</v>
      </c>
    </row>
    <row r="687" spans="1:4">
      <c r="A687" s="19" t="s">
        <v>1150</v>
      </c>
      <c r="B687" s="19">
        <v>3.31200880777374</v>
      </c>
      <c r="C687" s="19">
        <f t="shared" si="32"/>
        <v>7.3250355330240158E-2</v>
      </c>
      <c r="D687" s="21">
        <f t="shared" si="33"/>
        <v>5.6128375490589959E-2</v>
      </c>
    </row>
    <row r="688" spans="1:4">
      <c r="A688" s="19" t="s">
        <v>1149</v>
      </c>
      <c r="B688" s="19">
        <v>3.2387584524434998</v>
      </c>
      <c r="C688" s="19">
        <f t="shared" si="32"/>
        <v>-2.0524639204840156E-2</v>
      </c>
      <c r="D688" s="21">
        <f t="shared" si="33"/>
        <v>5.5314301816110419E-2</v>
      </c>
    </row>
    <row r="689" spans="1:4">
      <c r="A689" s="19" t="s">
        <v>1148</v>
      </c>
      <c r="B689" s="19">
        <v>3.25928309164834</v>
      </c>
      <c r="C689" s="19">
        <f t="shared" si="32"/>
        <v>7.892650324992978E-2</v>
      </c>
      <c r="D689" s="21">
        <f t="shared" si="33"/>
        <v>5.5364585889972104E-2</v>
      </c>
    </row>
    <row r="690" spans="1:4">
      <c r="A690" s="19" t="s">
        <v>1147</v>
      </c>
      <c r="B690" s="19">
        <v>3.1803565883984102</v>
      </c>
      <c r="C690" s="19">
        <f t="shared" si="32"/>
        <v>1.9217943959760397E-2</v>
      </c>
      <c r="D690" s="21">
        <f t="shared" si="33"/>
        <v>5.4457494262219644E-2</v>
      </c>
    </row>
    <row r="691" spans="1:4">
      <c r="A691" s="19" t="s">
        <v>1146</v>
      </c>
      <c r="B691" s="19">
        <v>3.1611386444386498</v>
      </c>
      <c r="C691" s="19">
        <f t="shared" si="32"/>
        <v>6.8149003222797155E-3</v>
      </c>
      <c r="D691" s="21">
        <f t="shared" si="33"/>
        <v>5.4507570756538205E-2</v>
      </c>
    </row>
    <row r="692" spans="1:4">
      <c r="A692" s="19" t="s">
        <v>1145</v>
      </c>
      <c r="B692" s="19">
        <v>3.1543237441163701</v>
      </c>
      <c r="C692" s="19">
        <f t="shared" si="32"/>
        <v>-4.9999175742798663E-3</v>
      </c>
      <c r="D692" s="21">
        <f t="shared" si="33"/>
        <v>5.4541632111425077E-2</v>
      </c>
    </row>
    <row r="693" spans="1:4">
      <c r="A693" s="19" t="s">
        <v>1144</v>
      </c>
      <c r="B693" s="19">
        <v>3.1593236616906499</v>
      </c>
      <c r="C693" s="19">
        <f t="shared" si="32"/>
        <v>7.2023754986698663E-3</v>
      </c>
      <c r="D693" s="21">
        <f t="shared" si="33"/>
        <v>5.6884805375266384E-2</v>
      </c>
    </row>
    <row r="694" spans="1:4">
      <c r="A694" s="19" t="s">
        <v>1143</v>
      </c>
      <c r="B694" s="19">
        <v>3.1521212861919801</v>
      </c>
      <c r="C694" s="19">
        <f t="shared" si="32"/>
        <v>-2.5107435055720106E-2</v>
      </c>
      <c r="D694" s="21">
        <f t="shared" si="33"/>
        <v>5.9274853830953725E-2</v>
      </c>
    </row>
    <row r="695" spans="1:4">
      <c r="A695" s="19" t="s">
        <v>1142</v>
      </c>
      <c r="B695" s="19">
        <v>3.1772287212477002</v>
      </c>
      <c r="C695" s="19">
        <f t="shared" si="32"/>
        <v>2.3057227238470368E-2</v>
      </c>
      <c r="D695" s="21">
        <f t="shared" si="33"/>
        <v>5.9243979355366974E-2</v>
      </c>
    </row>
    <row r="696" spans="1:4">
      <c r="A696" s="19" t="s">
        <v>1141</v>
      </c>
      <c r="B696" s="19">
        <v>3.1541714940092298</v>
      </c>
      <c r="C696" s="19">
        <f t="shared" si="32"/>
        <v>-2.9488151757380177E-2</v>
      </c>
      <c r="D696" s="21">
        <f t="shared" si="33"/>
        <v>5.9239300167579424E-2</v>
      </c>
    </row>
    <row r="697" spans="1:4">
      <c r="A697" s="19" t="s">
        <v>1140</v>
      </c>
      <c r="B697" s="19">
        <v>3.18365964576661</v>
      </c>
      <c r="C697" s="19">
        <f t="shared" si="32"/>
        <v>-9.7293705457170088E-2</v>
      </c>
      <c r="D697" s="21">
        <f t="shared" si="33"/>
        <v>5.9176202055979177E-2</v>
      </c>
    </row>
    <row r="698" spans="1:4">
      <c r="A698" s="19" t="s">
        <v>1139</v>
      </c>
      <c r="B698" s="19">
        <v>3.2809533512237801</v>
      </c>
      <c r="C698" s="19">
        <f t="shared" si="32"/>
        <v>2.238577956314991E-2</v>
      </c>
      <c r="D698" s="21">
        <f t="shared" si="33"/>
        <v>5.8153729476053975E-2</v>
      </c>
    </row>
    <row r="699" spans="1:4">
      <c r="A699" s="19" t="s">
        <v>1138</v>
      </c>
      <c r="B699" s="19">
        <v>3.2585675716606302</v>
      </c>
      <c r="C699" s="19">
        <f t="shared" si="32"/>
        <v>3.9526605335002962E-3</v>
      </c>
      <c r="D699" s="21">
        <f t="shared" si="33"/>
        <v>5.8089594196394354E-2</v>
      </c>
    </row>
    <row r="700" spans="1:4">
      <c r="A700" s="19" t="s">
        <v>1137</v>
      </c>
      <c r="B700" s="19">
        <v>3.2546149111271299</v>
      </c>
      <c r="C700" s="19">
        <f t="shared" si="32"/>
        <v>-9.0715452116810091E-2</v>
      </c>
      <c r="D700" s="21">
        <f t="shared" si="33"/>
        <v>5.8756707587669148E-2</v>
      </c>
    </row>
    <row r="701" spans="1:4">
      <c r="A701" s="19" t="s">
        <v>1136</v>
      </c>
      <c r="B701" s="19">
        <v>3.34533036324394</v>
      </c>
      <c r="C701" s="19">
        <f t="shared" si="32"/>
        <v>-4.4402633075169895E-2</v>
      </c>
      <c r="D701" s="21">
        <f t="shared" si="33"/>
        <v>5.7842356936239632E-2</v>
      </c>
    </row>
    <row r="702" spans="1:4">
      <c r="A702" s="19" t="s">
        <v>1135</v>
      </c>
      <c r="B702" s="19">
        <v>3.3897329963191098</v>
      </c>
      <c r="C702" s="19">
        <f t="shared" si="32"/>
        <v>4.0850301072709705E-2</v>
      </c>
      <c r="D702" s="21">
        <f t="shared" si="33"/>
        <v>5.7558501975904196E-2</v>
      </c>
    </row>
    <row r="703" spans="1:4">
      <c r="A703" s="19" t="s">
        <v>1134</v>
      </c>
      <c r="B703" s="19">
        <v>3.3488826952464001</v>
      </c>
      <c r="C703" s="19">
        <f t="shared" si="32"/>
        <v>2.9556229294200875E-3</v>
      </c>
      <c r="D703" s="21">
        <f t="shared" si="33"/>
        <v>5.7802773159319372E-2</v>
      </c>
    </row>
    <row r="704" spans="1:4">
      <c r="A704" s="19" t="s">
        <v>1133</v>
      </c>
      <c r="B704" s="19">
        <v>3.3459270723169801</v>
      </c>
      <c r="C704" s="19">
        <f t="shared" si="32"/>
        <v>1.4712502025340246E-2</v>
      </c>
      <c r="D704" s="21">
        <f t="shared" si="33"/>
        <v>5.8101262145474654E-2</v>
      </c>
    </row>
    <row r="705" spans="1:4">
      <c r="A705" s="19" t="s">
        <v>1132</v>
      </c>
      <c r="B705" s="19">
        <v>3.3312145702916398</v>
      </c>
      <c r="C705" s="19">
        <f t="shared" si="32"/>
        <v>2.2091595732698366E-3</v>
      </c>
      <c r="D705" s="21">
        <f t="shared" si="33"/>
        <v>5.8390703366322738E-2</v>
      </c>
    </row>
    <row r="706" spans="1:4">
      <c r="A706" s="19" t="s">
        <v>1131</v>
      </c>
      <c r="B706" s="19">
        <v>3.32900541071837</v>
      </c>
      <c r="C706" s="19">
        <f t="shared" ref="C706:C769" si="34">B706-B707</f>
        <v>1.3789067491440044E-2</v>
      </c>
      <c r="D706" s="21">
        <f t="shared" ref="D706:D769" si="35">STDEV(C706:C765)</f>
        <v>5.8411486741143659E-2</v>
      </c>
    </row>
    <row r="707" spans="1:4">
      <c r="A707" s="19" t="s">
        <v>1130</v>
      </c>
      <c r="B707" s="19">
        <v>3.3152163432269299</v>
      </c>
      <c r="C707" s="19">
        <f t="shared" si="34"/>
        <v>8.2588105326975025E-4</v>
      </c>
      <c r="D707" s="21">
        <f t="shared" si="35"/>
        <v>5.9039449476314454E-2</v>
      </c>
    </row>
    <row r="708" spans="1:4">
      <c r="A708" s="19" t="s">
        <v>1129</v>
      </c>
      <c r="B708" s="19">
        <v>3.3143904621736602</v>
      </c>
      <c r="C708" s="19">
        <f t="shared" si="34"/>
        <v>2.9312529507000029E-2</v>
      </c>
      <c r="D708" s="21">
        <f t="shared" si="35"/>
        <v>5.9050585272587226E-2</v>
      </c>
    </row>
    <row r="709" spans="1:4">
      <c r="A709" s="19" t="s">
        <v>1128</v>
      </c>
      <c r="B709" s="19">
        <v>3.2850779326666601</v>
      </c>
      <c r="C709" s="19">
        <f t="shared" si="34"/>
        <v>-2.2795097020009703E-2</v>
      </c>
      <c r="D709" s="21">
        <f t="shared" si="35"/>
        <v>6.0722336560341435E-2</v>
      </c>
    </row>
    <row r="710" spans="1:4">
      <c r="A710" s="19" t="s">
        <v>1127</v>
      </c>
      <c r="B710" s="19">
        <v>3.3078730296866699</v>
      </c>
      <c r="C710" s="19">
        <f t="shared" si="34"/>
        <v>-7.569103002900146E-3</v>
      </c>
      <c r="D710" s="21">
        <f t="shared" si="35"/>
        <v>6.2091457675736518E-2</v>
      </c>
    </row>
    <row r="711" spans="1:4">
      <c r="A711" s="19" t="s">
        <v>1126</v>
      </c>
      <c r="B711" s="19">
        <v>3.31544213268957</v>
      </c>
      <c r="C711" s="19">
        <f t="shared" si="34"/>
        <v>2.0193148426140173E-2</v>
      </c>
      <c r="D711" s="21">
        <f t="shared" si="35"/>
        <v>6.2474377931323065E-2</v>
      </c>
    </row>
    <row r="712" spans="1:4">
      <c r="A712" s="19" t="s">
        <v>1125</v>
      </c>
      <c r="B712" s="19">
        <v>3.2952489842634298</v>
      </c>
      <c r="C712" s="19">
        <f t="shared" si="34"/>
        <v>3.6186246572000869E-4</v>
      </c>
      <c r="D712" s="21">
        <f t="shared" si="35"/>
        <v>6.4428024505848738E-2</v>
      </c>
    </row>
    <row r="713" spans="1:4">
      <c r="A713" s="19" t="s">
        <v>1124</v>
      </c>
      <c r="B713" s="19">
        <v>3.2948871217977098</v>
      </c>
      <c r="C713" s="19">
        <f t="shared" si="34"/>
        <v>-2.8461650493520008E-2</v>
      </c>
      <c r="D713" s="21">
        <f t="shared" si="35"/>
        <v>7.5891539582144688E-2</v>
      </c>
    </row>
    <row r="714" spans="1:4">
      <c r="A714" s="19" t="s">
        <v>1123</v>
      </c>
      <c r="B714" s="19">
        <v>3.3233487722912298</v>
      </c>
      <c r="C714" s="19">
        <f t="shared" si="34"/>
        <v>2.7192570436439745E-2</v>
      </c>
      <c r="D714" s="21">
        <f t="shared" si="35"/>
        <v>7.6174668019580311E-2</v>
      </c>
    </row>
    <row r="715" spans="1:4">
      <c r="A715" s="19" t="s">
        <v>1122</v>
      </c>
      <c r="B715" s="19">
        <v>3.2961562018547901</v>
      </c>
      <c r="C715" s="19">
        <f t="shared" si="34"/>
        <v>-4.4535751886519925E-2</v>
      </c>
      <c r="D715" s="21">
        <f t="shared" si="35"/>
        <v>7.6114029510511619E-2</v>
      </c>
    </row>
    <row r="716" spans="1:4">
      <c r="A716" s="19" t="s">
        <v>1121</v>
      </c>
      <c r="B716" s="19">
        <v>3.34069195374131</v>
      </c>
      <c r="C716" s="19">
        <f t="shared" si="34"/>
        <v>-6.2211506358570201E-2</v>
      </c>
      <c r="D716" s="21">
        <f t="shared" si="35"/>
        <v>7.5905836675026442E-2</v>
      </c>
    </row>
    <row r="717" spans="1:4">
      <c r="A717" s="19" t="s">
        <v>1120</v>
      </c>
      <c r="B717" s="19">
        <v>3.4029034600998802</v>
      </c>
      <c r="C717" s="19">
        <f t="shared" si="34"/>
        <v>-2.8704278957779827E-2</v>
      </c>
      <c r="D717" s="21">
        <f t="shared" si="35"/>
        <v>7.5475773887661093E-2</v>
      </c>
    </row>
    <row r="718" spans="1:4">
      <c r="A718" s="19" t="s">
        <v>1119</v>
      </c>
      <c r="B718" s="19">
        <v>3.43160773905766</v>
      </c>
      <c r="C718" s="19">
        <f t="shared" si="34"/>
        <v>8.126269231920169E-3</v>
      </c>
      <c r="D718" s="21">
        <f t="shared" si="35"/>
        <v>7.7052889702481558E-2</v>
      </c>
    </row>
    <row r="719" spans="1:4">
      <c r="A719" s="19" t="s">
        <v>1118</v>
      </c>
      <c r="B719" s="19">
        <v>3.4234814698257399</v>
      </c>
      <c r="C719" s="19">
        <f t="shared" si="34"/>
        <v>1.9373951671749712E-2</v>
      </c>
      <c r="D719" s="21">
        <f t="shared" si="35"/>
        <v>7.7369676570039528E-2</v>
      </c>
    </row>
    <row r="720" spans="1:4">
      <c r="A720" s="19" t="s">
        <v>1117</v>
      </c>
      <c r="B720" s="19">
        <v>3.4041075181539902</v>
      </c>
      <c r="C720" s="19">
        <f t="shared" si="34"/>
        <v>-0.18218849188538</v>
      </c>
      <c r="D720" s="21">
        <f t="shared" si="35"/>
        <v>7.7347272006672241E-2</v>
      </c>
    </row>
    <row r="721" spans="1:4">
      <c r="A721" s="19" t="s">
        <v>1116</v>
      </c>
      <c r="B721" s="19">
        <v>3.5862960100393702</v>
      </c>
      <c r="C721" s="19">
        <f t="shared" si="34"/>
        <v>-1.8733094384909776E-2</v>
      </c>
      <c r="D721" s="21">
        <f t="shared" si="35"/>
        <v>7.3936042293396745E-2</v>
      </c>
    </row>
    <row r="722" spans="1:4">
      <c r="A722" s="19" t="s">
        <v>1115</v>
      </c>
      <c r="B722" s="19">
        <v>3.6050291044242799</v>
      </c>
      <c r="C722" s="19">
        <f t="shared" si="34"/>
        <v>-4.5704490040650025E-2</v>
      </c>
      <c r="D722" s="21">
        <f t="shared" si="35"/>
        <v>7.6473840179902983E-2</v>
      </c>
    </row>
    <row r="723" spans="1:4">
      <c r="A723" s="19" t="s">
        <v>1114</v>
      </c>
      <c r="B723" s="19">
        <v>3.65073359446493</v>
      </c>
      <c r="C723" s="19">
        <f t="shared" si="34"/>
        <v>-1.5561440675019966E-2</v>
      </c>
      <c r="D723" s="21">
        <f t="shared" si="35"/>
        <v>7.8274586406387972E-2</v>
      </c>
    </row>
    <row r="724" spans="1:4">
      <c r="A724" s="19" t="s">
        <v>1113</v>
      </c>
      <c r="B724" s="19">
        <v>3.6662950351399499</v>
      </c>
      <c r="C724" s="19">
        <f t="shared" si="34"/>
        <v>-8.841705557101065E-4</v>
      </c>
      <c r="D724" s="21">
        <f t="shared" si="35"/>
        <v>8.0159449559020379E-2</v>
      </c>
    </row>
    <row r="725" spans="1:4">
      <c r="A725" s="19" t="s">
        <v>1112</v>
      </c>
      <c r="B725" s="19">
        <v>3.66717920569566</v>
      </c>
      <c r="C725" s="19">
        <f t="shared" si="34"/>
        <v>-3.5377858888629987E-2</v>
      </c>
      <c r="D725" s="21">
        <f t="shared" si="35"/>
        <v>8.0161696899320761E-2</v>
      </c>
    </row>
    <row r="726" spans="1:4">
      <c r="A726" s="19" t="s">
        <v>1111</v>
      </c>
      <c r="B726" s="19">
        <v>3.70255706458429</v>
      </c>
      <c r="C726" s="19">
        <f t="shared" si="34"/>
        <v>5.3065332968630141E-2</v>
      </c>
      <c r="D726" s="21">
        <f t="shared" si="35"/>
        <v>8.0083394819687126E-2</v>
      </c>
    </row>
    <row r="727" spans="1:4">
      <c r="A727" s="19" t="s">
        <v>1110</v>
      </c>
      <c r="B727" s="19">
        <v>3.6494917316156599</v>
      </c>
      <c r="C727" s="19">
        <f t="shared" si="34"/>
        <v>-7.1745954053219929E-2</v>
      </c>
      <c r="D727" s="21">
        <f t="shared" si="35"/>
        <v>8.0167613022894615E-2</v>
      </c>
    </row>
    <row r="728" spans="1:4">
      <c r="A728" s="19" t="s">
        <v>1109</v>
      </c>
      <c r="B728" s="19">
        <v>3.7212376856688798</v>
      </c>
      <c r="C728" s="19">
        <f t="shared" si="34"/>
        <v>-6.5457420638590058E-2</v>
      </c>
      <c r="D728" s="21">
        <f t="shared" si="35"/>
        <v>7.9793110130532946E-2</v>
      </c>
    </row>
    <row r="729" spans="1:4">
      <c r="A729" s="19" t="s">
        <v>1108</v>
      </c>
      <c r="B729" s="19">
        <v>3.7866951063074699</v>
      </c>
      <c r="C729" s="19">
        <f t="shared" si="34"/>
        <v>0.10712094464779964</v>
      </c>
      <c r="D729" s="21">
        <f t="shared" si="35"/>
        <v>7.9172692166165487E-2</v>
      </c>
    </row>
    <row r="730" spans="1:4">
      <c r="A730" s="19" t="s">
        <v>1107</v>
      </c>
      <c r="B730" s="19">
        <v>3.6795741616596702</v>
      </c>
      <c r="C730" s="19">
        <f t="shared" si="34"/>
        <v>5.6539798374630301E-2</v>
      </c>
      <c r="D730" s="21">
        <f t="shared" si="35"/>
        <v>7.8394965741731756E-2</v>
      </c>
    </row>
    <row r="731" spans="1:4">
      <c r="A731" s="19" t="s">
        <v>1106</v>
      </c>
      <c r="B731" s="19">
        <v>3.6230343632850399</v>
      </c>
      <c r="C731" s="19">
        <f t="shared" si="34"/>
        <v>0.10492607647307972</v>
      </c>
      <c r="D731" s="21">
        <f t="shared" si="35"/>
        <v>7.8192037448341439E-2</v>
      </c>
    </row>
    <row r="732" spans="1:4">
      <c r="A732" s="19" t="s">
        <v>1105</v>
      </c>
      <c r="B732" s="19">
        <v>3.5181082868119602</v>
      </c>
      <c r="C732" s="19">
        <f t="shared" si="34"/>
        <v>1.7084655469901122E-3</v>
      </c>
      <c r="D732" s="21">
        <f t="shared" si="35"/>
        <v>7.7449502084416547E-2</v>
      </c>
    </row>
    <row r="733" spans="1:4">
      <c r="A733" s="19" t="s">
        <v>1104</v>
      </c>
      <c r="B733" s="19">
        <v>3.5163998212649701</v>
      </c>
      <c r="C733" s="19">
        <f t="shared" si="34"/>
        <v>-4.8121741291629938E-2</v>
      </c>
      <c r="D733" s="21">
        <f t="shared" si="35"/>
        <v>7.7681353939766412E-2</v>
      </c>
    </row>
    <row r="734" spans="1:4">
      <c r="A734" s="19" t="s">
        <v>1103</v>
      </c>
      <c r="B734" s="19">
        <v>3.5645215625566</v>
      </c>
      <c r="C734" s="19">
        <f t="shared" si="34"/>
        <v>6.9509494336600142E-2</v>
      </c>
      <c r="D734" s="21">
        <f t="shared" si="35"/>
        <v>7.7390920523486381E-2</v>
      </c>
    </row>
    <row r="735" spans="1:4">
      <c r="A735" s="19" t="s">
        <v>1102</v>
      </c>
      <c r="B735" s="19">
        <v>3.4950120682199999</v>
      </c>
      <c r="C735" s="19">
        <f t="shared" si="34"/>
        <v>-6.9930672298000207E-2</v>
      </c>
      <c r="D735" s="21">
        <f t="shared" si="35"/>
        <v>7.7036953164624056E-2</v>
      </c>
    </row>
    <row r="736" spans="1:4">
      <c r="A736" s="19" t="s">
        <v>1101</v>
      </c>
      <c r="B736" s="19">
        <v>3.5649427405180001</v>
      </c>
      <c r="C736" s="19">
        <f t="shared" si="34"/>
        <v>-3.6516434060239966E-2</v>
      </c>
      <c r="D736" s="21">
        <f t="shared" si="35"/>
        <v>7.6344102309858136E-2</v>
      </c>
    </row>
    <row r="737" spans="1:4">
      <c r="A737" s="19" t="s">
        <v>1100</v>
      </c>
      <c r="B737" s="19">
        <v>3.6014591745782401</v>
      </c>
      <c r="C737" s="19">
        <f t="shared" si="34"/>
        <v>-0.10873461714591004</v>
      </c>
      <c r="D737" s="21">
        <f t="shared" si="35"/>
        <v>7.6288750633184535E-2</v>
      </c>
    </row>
    <row r="738" spans="1:4">
      <c r="A738" s="19" t="s">
        <v>1099</v>
      </c>
      <c r="B738" s="19">
        <v>3.7101937917241501</v>
      </c>
      <c r="C738" s="19">
        <f t="shared" si="34"/>
        <v>3.5549494711830221E-2</v>
      </c>
      <c r="D738" s="21">
        <f t="shared" si="35"/>
        <v>7.4726537303433871E-2</v>
      </c>
    </row>
    <row r="739" spans="1:4">
      <c r="A739" s="19" t="s">
        <v>1098</v>
      </c>
      <c r="B739" s="19">
        <v>3.6746442970123199</v>
      </c>
      <c r="C739" s="19">
        <f t="shared" si="34"/>
        <v>4.3961263381179894E-2</v>
      </c>
      <c r="D739" s="21">
        <f t="shared" si="35"/>
        <v>7.4821923050039388E-2</v>
      </c>
    </row>
    <row r="740" spans="1:4">
      <c r="A740" s="19" t="s">
        <v>1097</v>
      </c>
      <c r="B740" s="19">
        <v>3.63068303363114</v>
      </c>
      <c r="C740" s="19">
        <f t="shared" si="34"/>
        <v>-8.0364807235079994E-2</v>
      </c>
      <c r="D740" s="21">
        <f t="shared" si="35"/>
        <v>7.6226065309422733E-2</v>
      </c>
    </row>
    <row r="741" spans="1:4">
      <c r="A741" s="19" t="s">
        <v>1096</v>
      </c>
      <c r="B741" s="19">
        <v>3.71104784086622</v>
      </c>
      <c r="C741" s="19">
        <f t="shared" si="34"/>
        <v>7.6819313294679947E-2</v>
      </c>
      <c r="D741" s="21">
        <f t="shared" si="35"/>
        <v>7.527548084003495E-2</v>
      </c>
    </row>
    <row r="742" spans="1:4">
      <c r="A742" s="19" t="s">
        <v>1095</v>
      </c>
      <c r="B742" s="19">
        <v>3.63422852757154</v>
      </c>
      <c r="C742" s="19">
        <f t="shared" si="34"/>
        <v>9.1768203715859809E-2</v>
      </c>
      <c r="D742" s="21">
        <f t="shared" si="35"/>
        <v>7.4877287950672611E-2</v>
      </c>
    </row>
    <row r="743" spans="1:4">
      <c r="A743" s="19" t="s">
        <v>1094</v>
      </c>
      <c r="B743" s="19">
        <v>3.5424603238556802</v>
      </c>
      <c r="C743" s="19">
        <f t="shared" si="34"/>
        <v>5.8371835967020225E-2</v>
      </c>
      <c r="D743" s="21">
        <f t="shared" si="35"/>
        <v>7.5554407121994502E-2</v>
      </c>
    </row>
    <row r="744" spans="1:4">
      <c r="A744" s="19" t="s">
        <v>1093</v>
      </c>
      <c r="B744" s="19">
        <v>3.48408848788866</v>
      </c>
      <c r="C744" s="19">
        <f t="shared" si="34"/>
        <v>-2.5092109652300465E-3</v>
      </c>
      <c r="D744" s="21">
        <f t="shared" si="35"/>
        <v>7.5763272834246304E-2</v>
      </c>
    </row>
    <row r="745" spans="1:4">
      <c r="A745" s="19" t="s">
        <v>1092</v>
      </c>
      <c r="B745" s="19">
        <v>3.48659769885389</v>
      </c>
      <c r="C745" s="19">
        <f t="shared" si="34"/>
        <v>0.10271379885331999</v>
      </c>
      <c r="D745" s="21">
        <f t="shared" si="35"/>
        <v>7.5757850078856021E-2</v>
      </c>
    </row>
    <row r="746" spans="1:4">
      <c r="A746" s="19" t="s">
        <v>1091</v>
      </c>
      <c r="B746" s="19">
        <v>3.38388390000057</v>
      </c>
      <c r="C746" s="19">
        <f t="shared" si="34"/>
        <v>1.9932986807530195E-2</v>
      </c>
      <c r="D746" s="21">
        <f t="shared" si="35"/>
        <v>7.6181636202107578E-2</v>
      </c>
    </row>
    <row r="747" spans="1:4">
      <c r="A747" s="19" t="s">
        <v>1090</v>
      </c>
      <c r="B747" s="19">
        <v>3.3639509131930398</v>
      </c>
      <c r="C747" s="19">
        <f t="shared" si="34"/>
        <v>-1.7536989855490237E-2</v>
      </c>
      <c r="D747" s="21">
        <f t="shared" si="35"/>
        <v>7.7526467120697412E-2</v>
      </c>
    </row>
    <row r="748" spans="1:4">
      <c r="A748" s="19" t="s">
        <v>1089</v>
      </c>
      <c r="B748" s="19">
        <v>3.3814879030485301</v>
      </c>
      <c r="C748" s="19">
        <f t="shared" si="34"/>
        <v>-2.8041443789379894E-2</v>
      </c>
      <c r="D748" s="21">
        <f t="shared" si="35"/>
        <v>7.7449716166336877E-2</v>
      </c>
    </row>
    <row r="749" spans="1:4">
      <c r="A749" s="19" t="s">
        <v>1088</v>
      </c>
      <c r="B749" s="19">
        <v>3.40952934683791</v>
      </c>
      <c r="C749" s="19">
        <f t="shared" si="34"/>
        <v>-3.3557590646720037E-2</v>
      </c>
      <c r="D749" s="21">
        <f t="shared" si="35"/>
        <v>7.7362350234671848E-2</v>
      </c>
    </row>
    <row r="750" spans="1:4">
      <c r="A750" s="19" t="s">
        <v>1087</v>
      </c>
      <c r="B750" s="19">
        <v>3.44308693748463</v>
      </c>
      <c r="C750" s="19">
        <f t="shared" si="34"/>
        <v>2.527513841834983E-2</v>
      </c>
      <c r="D750" s="21">
        <f t="shared" si="35"/>
        <v>7.7163135307168285E-2</v>
      </c>
    </row>
    <row r="751" spans="1:4">
      <c r="A751" s="19" t="s">
        <v>1086</v>
      </c>
      <c r="B751" s="19">
        <v>3.4178117990662802</v>
      </c>
      <c r="C751" s="19">
        <f t="shared" si="34"/>
        <v>1.424554791831012E-2</v>
      </c>
      <c r="D751" s="21">
        <f t="shared" si="35"/>
        <v>7.7772929203854327E-2</v>
      </c>
    </row>
    <row r="752" spans="1:4">
      <c r="A752" s="19" t="s">
        <v>1085</v>
      </c>
      <c r="B752" s="19">
        <v>3.4035662511479701</v>
      </c>
      <c r="C752" s="19">
        <f t="shared" si="34"/>
        <v>-0.12930450394343973</v>
      </c>
      <c r="D752" s="21">
        <f t="shared" si="35"/>
        <v>7.7781162775315382E-2</v>
      </c>
    </row>
    <row r="753" spans="1:4">
      <c r="A753" s="19" t="s">
        <v>1084</v>
      </c>
      <c r="B753" s="19">
        <v>3.5328707550914098</v>
      </c>
      <c r="C753" s="19">
        <f t="shared" si="34"/>
        <v>0.12333148934801974</v>
      </c>
      <c r="D753" s="21">
        <f t="shared" si="35"/>
        <v>7.5552636029083756E-2</v>
      </c>
    </row>
    <row r="754" spans="1:4">
      <c r="A754" s="19" t="s">
        <v>1083</v>
      </c>
      <c r="B754" s="19">
        <v>3.4095392657433901</v>
      </c>
      <c r="C754" s="19">
        <f t="shared" si="34"/>
        <v>-1.9057491468149834E-2</v>
      </c>
      <c r="D754" s="21">
        <f t="shared" si="35"/>
        <v>7.4261651010593357E-2</v>
      </c>
    </row>
    <row r="755" spans="1:4">
      <c r="A755" s="19" t="s">
        <v>1082</v>
      </c>
      <c r="B755" s="19">
        <v>3.4285967572115399</v>
      </c>
      <c r="C755" s="19">
        <f t="shared" si="34"/>
        <v>2.2450325805319693E-2</v>
      </c>
      <c r="D755" s="21">
        <f t="shared" si="35"/>
        <v>7.4121972636532044E-2</v>
      </c>
    </row>
    <row r="756" spans="1:4">
      <c r="A756" s="19" t="s">
        <v>1081</v>
      </c>
      <c r="B756" s="19">
        <v>3.4061464314062202</v>
      </c>
      <c r="C756" s="19">
        <f t="shared" si="34"/>
        <v>1.0825823152060376E-2</v>
      </c>
      <c r="D756" s="21">
        <f t="shared" si="35"/>
        <v>7.5188306884471437E-2</v>
      </c>
    </row>
    <row r="757" spans="1:4">
      <c r="A757" s="19" t="s">
        <v>1080</v>
      </c>
      <c r="B757" s="19">
        <v>3.3953206082541598</v>
      </c>
      <c r="C757" s="19">
        <f t="shared" si="34"/>
        <v>-4.5465783333580312E-2</v>
      </c>
      <c r="D757" s="21">
        <f t="shared" si="35"/>
        <v>7.5204238512573629E-2</v>
      </c>
    </row>
    <row r="758" spans="1:4">
      <c r="A758" s="19" t="s">
        <v>1079</v>
      </c>
      <c r="B758" s="19">
        <v>3.4407863915877401</v>
      </c>
      <c r="C758" s="19">
        <f t="shared" si="34"/>
        <v>1.1110796130170186E-2</v>
      </c>
      <c r="D758" s="21">
        <f t="shared" si="35"/>
        <v>7.5172092718889263E-2</v>
      </c>
    </row>
    <row r="759" spans="1:4">
      <c r="A759" s="19" t="s">
        <v>1078</v>
      </c>
      <c r="B759" s="19">
        <v>3.4296755954575699</v>
      </c>
      <c r="C759" s="19">
        <f t="shared" si="34"/>
        <v>6.5770541108809866E-2</v>
      </c>
      <c r="D759" s="21">
        <f t="shared" si="35"/>
        <v>7.5336464942433651E-2</v>
      </c>
    </row>
    <row r="760" spans="1:4">
      <c r="A760" s="19" t="s">
        <v>1077</v>
      </c>
      <c r="B760" s="19">
        <v>3.3639050543487601</v>
      </c>
      <c r="C760" s="19">
        <f t="shared" si="34"/>
        <v>4.1822183372050237E-2</v>
      </c>
      <c r="D760" s="21">
        <f t="shared" si="35"/>
        <v>7.5123132733813144E-2</v>
      </c>
    </row>
    <row r="761" spans="1:4">
      <c r="A761" s="19" t="s">
        <v>1076</v>
      </c>
      <c r="B761" s="19">
        <v>3.3220828709767098</v>
      </c>
      <c r="C761" s="19">
        <f t="shared" si="34"/>
        <v>-9.3084046809099874E-3</v>
      </c>
      <c r="D761" s="21">
        <f t="shared" si="35"/>
        <v>7.5572957507084246E-2</v>
      </c>
    </row>
    <row r="762" spans="1:4">
      <c r="A762" s="19" t="s">
        <v>1075</v>
      </c>
      <c r="B762" s="19">
        <v>3.3313912756576198</v>
      </c>
      <c r="C762" s="19">
        <f t="shared" si="34"/>
        <v>-5.7456281977290136E-2</v>
      </c>
      <c r="D762" s="21">
        <f t="shared" si="35"/>
        <v>7.5532255500375609E-2</v>
      </c>
    </row>
    <row r="763" spans="1:4">
      <c r="A763" s="19" t="s">
        <v>1074</v>
      </c>
      <c r="B763" s="19">
        <v>3.38884755763491</v>
      </c>
      <c r="C763" s="19">
        <f t="shared" si="34"/>
        <v>4.4981721651899953E-2</v>
      </c>
      <c r="D763" s="21">
        <f t="shared" si="35"/>
        <v>7.4981825111964495E-2</v>
      </c>
    </row>
    <row r="764" spans="1:4">
      <c r="A764" s="19" t="s">
        <v>1073</v>
      </c>
      <c r="B764" s="19">
        <v>3.34386583598301</v>
      </c>
      <c r="C764" s="19">
        <f t="shared" si="34"/>
        <v>-4.760501643175008E-2</v>
      </c>
      <c r="D764" s="21">
        <f t="shared" si="35"/>
        <v>7.4947942314462432E-2</v>
      </c>
    </row>
    <row r="765" spans="1:4">
      <c r="A765" s="19" t="s">
        <v>1072</v>
      </c>
      <c r="B765" s="19">
        <v>3.3914708524147601</v>
      </c>
      <c r="C765" s="19">
        <f t="shared" si="34"/>
        <v>-1.3562006482279898E-2</v>
      </c>
      <c r="D765" s="21">
        <f t="shared" si="35"/>
        <v>7.4531680257984595E-2</v>
      </c>
    </row>
    <row r="766" spans="1:4">
      <c r="A766" s="19" t="s">
        <v>1071</v>
      </c>
      <c r="B766" s="19">
        <v>3.40503285889704</v>
      </c>
      <c r="C766" s="19">
        <f t="shared" si="34"/>
        <v>-6.9784507366760007E-2</v>
      </c>
      <c r="D766" s="21">
        <f t="shared" si="35"/>
        <v>7.4432428829586172E-2</v>
      </c>
    </row>
    <row r="767" spans="1:4">
      <c r="A767" s="19" t="s">
        <v>1070</v>
      </c>
      <c r="B767" s="19">
        <v>3.4748173662638</v>
      </c>
      <c r="C767" s="19">
        <f t="shared" si="34"/>
        <v>6.8448157232801066E-3</v>
      </c>
      <c r="D767" s="21">
        <f t="shared" si="35"/>
        <v>7.3716116623554637E-2</v>
      </c>
    </row>
    <row r="768" spans="1:4">
      <c r="A768" s="19" t="s">
        <v>1069</v>
      </c>
      <c r="B768" s="19">
        <v>3.4679725505405199</v>
      </c>
      <c r="C768" s="19">
        <f t="shared" si="34"/>
        <v>-0.11739950778944008</v>
      </c>
      <c r="D768" s="21">
        <f t="shared" si="35"/>
        <v>7.3757836028943785E-2</v>
      </c>
    </row>
    <row r="769" spans="1:4">
      <c r="A769" s="19" t="s">
        <v>1068</v>
      </c>
      <c r="B769" s="19">
        <v>3.58537205832996</v>
      </c>
      <c r="C769" s="19">
        <f t="shared" si="34"/>
        <v>9.735606030672006E-2</v>
      </c>
      <c r="D769" s="21">
        <f t="shared" si="35"/>
        <v>7.1622457679235349E-2</v>
      </c>
    </row>
    <row r="770" spans="1:4">
      <c r="A770" s="19" t="s">
        <v>1067</v>
      </c>
      <c r="B770" s="19">
        <v>3.4880159980232399</v>
      </c>
      <c r="C770" s="19">
        <f t="shared" ref="C770:C833" si="36">B770-B771</f>
        <v>-5.6623162933219895E-2</v>
      </c>
      <c r="D770" s="21">
        <f t="shared" ref="D770:D833" si="37">STDEV(C770:C829)</f>
        <v>7.1077060252924915E-2</v>
      </c>
    </row>
    <row r="771" spans="1:4">
      <c r="A771" s="19" t="s">
        <v>1066</v>
      </c>
      <c r="B771" s="19">
        <v>3.5446391609564598</v>
      </c>
      <c r="C771" s="19">
        <f t="shared" si="36"/>
        <v>-0.12861219219312003</v>
      </c>
      <c r="D771" s="21">
        <f t="shared" si="37"/>
        <v>7.1229515620040998E-2</v>
      </c>
    </row>
    <row r="772" spans="1:4">
      <c r="A772" s="19" t="s">
        <v>1065</v>
      </c>
      <c r="B772" s="19">
        <v>3.6732513531495798</v>
      </c>
      <c r="C772" s="19">
        <f t="shared" si="36"/>
        <v>0.30432684873944993</v>
      </c>
      <c r="D772" s="21">
        <f t="shared" si="37"/>
        <v>6.8872002182443229E-2</v>
      </c>
    </row>
    <row r="773" spans="1:4">
      <c r="A773" s="19" t="s">
        <v>1064</v>
      </c>
      <c r="B773" s="19">
        <v>3.3689245044101299</v>
      </c>
      <c r="C773" s="19">
        <f t="shared" si="36"/>
        <v>5.7106254717799843E-2</v>
      </c>
      <c r="D773" s="21">
        <f t="shared" si="37"/>
        <v>5.802454176939148E-2</v>
      </c>
    </row>
    <row r="774" spans="1:4">
      <c r="A774" s="19" t="s">
        <v>1063</v>
      </c>
      <c r="B774" s="19">
        <v>3.3118182496923301</v>
      </c>
      <c r="C774" s="19">
        <f t="shared" si="36"/>
        <v>1.387207231151022E-2</v>
      </c>
      <c r="D774" s="21">
        <f t="shared" si="37"/>
        <v>5.7756641422545836E-2</v>
      </c>
    </row>
    <row r="775" spans="1:4">
      <c r="A775" s="19" t="s">
        <v>1062</v>
      </c>
      <c r="B775" s="19">
        <v>3.2979461773808199</v>
      </c>
      <c r="C775" s="19">
        <f t="shared" si="36"/>
        <v>-1.1503496189390283E-2</v>
      </c>
      <c r="D775" s="21">
        <f t="shared" si="37"/>
        <v>5.80565554954314E-2</v>
      </c>
    </row>
    <row r="776" spans="1:4">
      <c r="A776" s="19" t="s">
        <v>1061</v>
      </c>
      <c r="B776" s="19">
        <v>3.3094496735702101</v>
      </c>
      <c r="C776" s="19">
        <f t="shared" si="36"/>
        <v>-1.120845719059993E-2</v>
      </c>
      <c r="D776" s="21">
        <f t="shared" si="37"/>
        <v>5.8951333572454426E-2</v>
      </c>
    </row>
    <row r="777" spans="1:4">
      <c r="A777" s="19" t="s">
        <v>1060</v>
      </c>
      <c r="B777" s="19">
        <v>3.3206581307608101</v>
      </c>
      <c r="C777" s="19">
        <f t="shared" si="36"/>
        <v>-0.12209026435496995</v>
      </c>
      <c r="D777" s="21">
        <f t="shared" si="37"/>
        <v>6.0072256542245198E-2</v>
      </c>
    </row>
    <row r="778" spans="1:4">
      <c r="A778" s="19" t="s">
        <v>1059</v>
      </c>
      <c r="B778" s="19">
        <v>3.44274839511578</v>
      </c>
      <c r="C778" s="19">
        <f t="shared" si="36"/>
        <v>-5.5158964095800123E-2</v>
      </c>
      <c r="D778" s="21">
        <f t="shared" si="37"/>
        <v>5.7937150690430705E-2</v>
      </c>
    </row>
    <row r="779" spans="1:4">
      <c r="A779" s="19" t="s">
        <v>1058</v>
      </c>
      <c r="B779" s="19">
        <v>3.4979073592115801</v>
      </c>
      <c r="C779" s="19">
        <f t="shared" si="36"/>
        <v>1.3625234119180263E-2</v>
      </c>
      <c r="D779" s="21">
        <f t="shared" si="37"/>
        <v>5.722384163658413E-2</v>
      </c>
    </row>
    <row r="780" spans="1:4">
      <c r="A780" s="19" t="s">
        <v>1057</v>
      </c>
      <c r="B780" s="19">
        <v>3.4842821250923999</v>
      </c>
      <c r="C780" s="19">
        <f t="shared" si="36"/>
        <v>5.5226091767049734E-2</v>
      </c>
      <c r="D780" s="21">
        <f t="shared" si="37"/>
        <v>5.7394356500739409E-2</v>
      </c>
    </row>
    <row r="781" spans="1:4">
      <c r="A781" s="19" t="s">
        <v>1056</v>
      </c>
      <c r="B781" s="19">
        <v>3.4290560333253501</v>
      </c>
      <c r="C781" s="19">
        <f t="shared" si="36"/>
        <v>0.15586870907134021</v>
      </c>
      <c r="D781" s="21">
        <f t="shared" si="37"/>
        <v>5.7153047606324926E-2</v>
      </c>
    </row>
    <row r="782" spans="1:4">
      <c r="A782" s="19" t="s">
        <v>1055</v>
      </c>
      <c r="B782" s="19">
        <v>3.2731873242540099</v>
      </c>
      <c r="C782" s="19">
        <f t="shared" si="36"/>
        <v>0.14580691441645977</v>
      </c>
      <c r="D782" s="21">
        <f t="shared" si="37"/>
        <v>5.4340691280240161E-2</v>
      </c>
    </row>
    <row r="783" spans="1:4">
      <c r="A783" s="19" t="s">
        <v>1054</v>
      </c>
      <c r="B783" s="19">
        <v>3.1273804098375502</v>
      </c>
      <c r="C783" s="19">
        <f t="shared" si="36"/>
        <v>0.14524976102515996</v>
      </c>
      <c r="D783" s="21">
        <f t="shared" si="37"/>
        <v>5.1359860350052834E-2</v>
      </c>
    </row>
    <row r="784" spans="1:4">
      <c r="A784" s="19" t="s">
        <v>1053</v>
      </c>
      <c r="B784" s="19">
        <v>2.9821306488123902</v>
      </c>
      <c r="C784" s="19">
        <f t="shared" si="36"/>
        <v>-1.7211817492599479E-3</v>
      </c>
      <c r="D784" s="21">
        <f t="shared" si="37"/>
        <v>4.8112216469274237E-2</v>
      </c>
    </row>
    <row r="785" spans="1:4">
      <c r="A785" s="19" t="s">
        <v>1052</v>
      </c>
      <c r="B785" s="19">
        <v>2.9838518305616502</v>
      </c>
      <c r="C785" s="19">
        <f t="shared" si="36"/>
        <v>5.1027756137190128E-2</v>
      </c>
      <c r="D785" s="21">
        <f t="shared" si="37"/>
        <v>4.8387037985474758E-2</v>
      </c>
    </row>
    <row r="786" spans="1:4">
      <c r="A786" s="19" t="s">
        <v>1051</v>
      </c>
      <c r="B786" s="19">
        <v>2.93282407442446</v>
      </c>
      <c r="C786" s="19">
        <f t="shared" si="36"/>
        <v>-3.7693641318579996E-2</v>
      </c>
      <c r="D786" s="21">
        <f t="shared" si="37"/>
        <v>4.8118179744575142E-2</v>
      </c>
    </row>
    <row r="787" spans="1:4">
      <c r="A787" s="19" t="s">
        <v>1050</v>
      </c>
      <c r="B787" s="19">
        <v>2.97051771574304</v>
      </c>
      <c r="C787" s="19">
        <f t="shared" si="36"/>
        <v>-4.6780884574990189E-2</v>
      </c>
      <c r="D787" s="21">
        <f t="shared" si="37"/>
        <v>4.8002935824341522E-2</v>
      </c>
    </row>
    <row r="788" spans="1:4">
      <c r="A788" s="19" t="s">
        <v>1049</v>
      </c>
      <c r="B788" s="19">
        <v>3.0172986003180302</v>
      </c>
      <c r="C788" s="19">
        <f t="shared" si="36"/>
        <v>2.8674806260830188E-2</v>
      </c>
      <c r="D788" s="21">
        <f t="shared" si="37"/>
        <v>4.7653695554375819E-2</v>
      </c>
    </row>
    <row r="789" spans="1:4">
      <c r="A789" s="19" t="s">
        <v>1048</v>
      </c>
      <c r="B789" s="19">
        <v>2.9886237940572</v>
      </c>
      <c r="C789" s="19">
        <f t="shared" si="36"/>
        <v>-3.0126534625240176E-2</v>
      </c>
      <c r="D789" s="21">
        <f t="shared" si="37"/>
        <v>4.7855047850531414E-2</v>
      </c>
    </row>
    <row r="790" spans="1:4">
      <c r="A790" s="19" t="s">
        <v>1047</v>
      </c>
      <c r="B790" s="19">
        <v>3.0187503286824402</v>
      </c>
      <c r="C790" s="19">
        <f t="shared" si="36"/>
        <v>2.5634329672949985E-2</v>
      </c>
      <c r="D790" s="21">
        <f t="shared" si="37"/>
        <v>4.8014211556754352E-2</v>
      </c>
    </row>
    <row r="791" spans="1:4">
      <c r="A791" s="19" t="s">
        <v>1046</v>
      </c>
      <c r="B791" s="19">
        <v>2.9931159990094902</v>
      </c>
      <c r="C791" s="19">
        <f t="shared" si="36"/>
        <v>5.6722824399420002E-2</v>
      </c>
      <c r="D791" s="21">
        <f t="shared" si="37"/>
        <v>4.7939365273360422E-2</v>
      </c>
    </row>
    <row r="792" spans="1:4">
      <c r="A792" s="19" t="s">
        <v>1045</v>
      </c>
      <c r="B792" s="19">
        <v>2.9363931746100702</v>
      </c>
      <c r="C792" s="19">
        <f t="shared" si="36"/>
        <v>-3.7328810787779609E-2</v>
      </c>
      <c r="D792" s="21">
        <f t="shared" si="37"/>
        <v>4.7471307849779147E-2</v>
      </c>
    </row>
    <row r="793" spans="1:4">
      <c r="A793" s="19" t="s">
        <v>1044</v>
      </c>
      <c r="B793" s="19">
        <v>2.9737219853978498</v>
      </c>
      <c r="C793" s="19">
        <f t="shared" si="36"/>
        <v>-1.6013781891730083E-2</v>
      </c>
      <c r="D793" s="21">
        <f t="shared" si="37"/>
        <v>4.7417973757082899E-2</v>
      </c>
    </row>
    <row r="794" spans="1:4">
      <c r="A794" s="19" t="s">
        <v>1043</v>
      </c>
      <c r="B794" s="19">
        <v>2.9897357672895799</v>
      </c>
      <c r="C794" s="19">
        <f t="shared" si="36"/>
        <v>2.9411236647639782E-2</v>
      </c>
      <c r="D794" s="21">
        <f t="shared" si="37"/>
        <v>4.7391840804764107E-2</v>
      </c>
    </row>
    <row r="795" spans="1:4">
      <c r="A795" s="19" t="s">
        <v>1042</v>
      </c>
      <c r="B795" s="19">
        <v>2.9603245306419401</v>
      </c>
      <c r="C795" s="19">
        <f t="shared" si="36"/>
        <v>3.0110344354201679E-3</v>
      </c>
      <c r="D795" s="21">
        <f t="shared" si="37"/>
        <v>4.8257268086785682E-2</v>
      </c>
    </row>
    <row r="796" spans="1:4">
      <c r="A796" s="19" t="s">
        <v>1041</v>
      </c>
      <c r="B796" s="19">
        <v>2.95731349620652</v>
      </c>
      <c r="C796" s="19">
        <f t="shared" si="36"/>
        <v>5.2668055466630115E-2</v>
      </c>
      <c r="D796" s="21">
        <f t="shared" si="37"/>
        <v>4.879412992167316E-2</v>
      </c>
    </row>
    <row r="797" spans="1:4">
      <c r="A797" s="19" t="s">
        <v>1040</v>
      </c>
      <c r="B797" s="19">
        <v>2.9046454407398898</v>
      </c>
      <c r="C797" s="19">
        <f t="shared" si="36"/>
        <v>-1.5047363922800372E-2</v>
      </c>
      <c r="D797" s="21">
        <f t="shared" si="37"/>
        <v>4.8780043704308544E-2</v>
      </c>
    </row>
    <row r="798" spans="1:4">
      <c r="A798" s="19" t="s">
        <v>1039</v>
      </c>
      <c r="B798" s="19">
        <v>2.9196928046626902</v>
      </c>
      <c r="C798" s="19">
        <f t="shared" si="36"/>
        <v>-2.4266573785109991E-2</v>
      </c>
      <c r="D798" s="21">
        <f t="shared" si="37"/>
        <v>4.8717244067040852E-2</v>
      </c>
    </row>
    <row r="799" spans="1:4">
      <c r="A799" s="19" t="s">
        <v>1038</v>
      </c>
      <c r="B799" s="19">
        <v>2.9439593784478002</v>
      </c>
      <c r="C799" s="19">
        <f t="shared" si="36"/>
        <v>0.12898620203696032</v>
      </c>
      <c r="D799" s="21">
        <f t="shared" si="37"/>
        <v>4.856661945115183E-2</v>
      </c>
    </row>
    <row r="800" spans="1:4">
      <c r="A800" s="19" t="s">
        <v>1037</v>
      </c>
      <c r="B800" s="19">
        <v>2.8149731764108399</v>
      </c>
      <c r="C800" s="19">
        <f t="shared" si="36"/>
        <v>-6.9342695015399691E-3</v>
      </c>
      <c r="D800" s="21">
        <f t="shared" si="37"/>
        <v>4.5916255365082564E-2</v>
      </c>
    </row>
    <row r="801" spans="1:4">
      <c r="A801" s="19" t="s">
        <v>1036</v>
      </c>
      <c r="B801" s="19">
        <v>2.8219074459123799</v>
      </c>
      <c r="C801" s="19">
        <f t="shared" si="36"/>
        <v>3.3467463727769875E-2</v>
      </c>
      <c r="D801" s="21">
        <f t="shared" si="37"/>
        <v>4.6089961931210503E-2</v>
      </c>
    </row>
    <row r="802" spans="1:4">
      <c r="A802" s="19" t="s">
        <v>1035</v>
      </c>
      <c r="B802" s="19">
        <v>2.78843998218461</v>
      </c>
      <c r="C802" s="19">
        <f t="shared" si="36"/>
        <v>0.12391391822959008</v>
      </c>
      <c r="D802" s="21">
        <f t="shared" si="37"/>
        <v>4.6098653225723443E-2</v>
      </c>
    </row>
    <row r="803" spans="1:4">
      <c r="A803" s="19" t="s">
        <v>1034</v>
      </c>
      <c r="B803" s="19">
        <v>2.6645260639550199</v>
      </c>
      <c r="C803" s="19">
        <f t="shared" si="36"/>
        <v>-4.8357478376410246E-2</v>
      </c>
      <c r="D803" s="21">
        <f t="shared" si="37"/>
        <v>4.3419596071460898E-2</v>
      </c>
    </row>
    <row r="804" spans="1:4">
      <c r="A804" s="19" t="s">
        <v>1033</v>
      </c>
      <c r="B804" s="19">
        <v>2.7128835423314301</v>
      </c>
      <c r="C804" s="19">
        <f t="shared" si="36"/>
        <v>2.7070114300850268E-2</v>
      </c>
      <c r="D804" s="21">
        <f t="shared" si="37"/>
        <v>4.3856474170724226E-2</v>
      </c>
    </row>
    <row r="805" spans="1:4">
      <c r="A805" s="19" t="s">
        <v>1032</v>
      </c>
      <c r="B805" s="19">
        <v>2.6858134280305799</v>
      </c>
      <c r="C805" s="19">
        <f t="shared" si="36"/>
        <v>0.12193595403058</v>
      </c>
      <c r="D805" s="21">
        <f t="shared" si="37"/>
        <v>4.372792786362948E-2</v>
      </c>
    </row>
    <row r="806" spans="1:4">
      <c r="A806" s="19" t="s">
        <v>1031</v>
      </c>
      <c r="B806" s="19">
        <v>2.5638774739999999</v>
      </c>
      <c r="C806" s="19">
        <f t="shared" si="36"/>
        <v>-9.7988939393230279E-2</v>
      </c>
      <c r="D806" s="21">
        <f t="shared" si="37"/>
        <v>4.076921229259587E-2</v>
      </c>
    </row>
    <row r="807" spans="1:4">
      <c r="A807" s="19" t="s">
        <v>1030</v>
      </c>
      <c r="B807" s="19">
        <v>2.6618664133932302</v>
      </c>
      <c r="C807" s="19">
        <f t="shared" si="36"/>
        <v>-8.5807949310989784E-4</v>
      </c>
      <c r="D807" s="21">
        <f t="shared" si="37"/>
        <v>3.8739849243363107E-2</v>
      </c>
    </row>
    <row r="808" spans="1:4">
      <c r="A808" s="19" t="s">
        <v>1029</v>
      </c>
      <c r="B808" s="19">
        <v>2.6627244928863401</v>
      </c>
      <c r="C808" s="19">
        <f t="shared" si="36"/>
        <v>4.1724925364940102E-2</v>
      </c>
      <c r="D808" s="21">
        <f t="shared" si="37"/>
        <v>3.8800285760589207E-2</v>
      </c>
    </row>
    <row r="809" spans="1:4">
      <c r="A809" s="19" t="s">
        <v>1028</v>
      </c>
      <c r="B809" s="19">
        <v>2.6209995675214</v>
      </c>
      <c r="C809" s="19">
        <f t="shared" si="36"/>
        <v>3.4142449316919787E-2</v>
      </c>
      <c r="D809" s="21">
        <f t="shared" si="37"/>
        <v>3.8457055420496093E-2</v>
      </c>
    </row>
    <row r="810" spans="1:4">
      <c r="A810" s="19" t="s">
        <v>1027</v>
      </c>
      <c r="B810" s="19">
        <v>2.5868571182044802</v>
      </c>
      <c r="C810" s="19">
        <f t="shared" si="36"/>
        <v>9.0202215078300174E-2</v>
      </c>
      <c r="D810" s="21">
        <f t="shared" si="37"/>
        <v>3.8633547259173506E-2</v>
      </c>
    </row>
    <row r="811" spans="1:4">
      <c r="A811" s="19" t="s">
        <v>1026</v>
      </c>
      <c r="B811" s="19">
        <v>2.49665490312618</v>
      </c>
      <c r="C811" s="19">
        <f t="shared" si="36"/>
        <v>2.4209559535790071E-2</v>
      </c>
      <c r="D811" s="21">
        <f t="shared" si="37"/>
        <v>3.7275253756497345E-2</v>
      </c>
    </row>
    <row r="812" spans="1:4">
      <c r="A812" s="19" t="s">
        <v>1025</v>
      </c>
      <c r="B812" s="19">
        <v>2.4724453435903899</v>
      </c>
      <c r="C812" s="19">
        <f t="shared" si="36"/>
        <v>-1.6497643574850063E-2</v>
      </c>
      <c r="D812" s="21">
        <f t="shared" si="37"/>
        <v>3.7549864796698945E-2</v>
      </c>
    </row>
    <row r="813" spans="1:4">
      <c r="A813" s="19" t="s">
        <v>1024</v>
      </c>
      <c r="B813" s="19">
        <v>2.48894298716524</v>
      </c>
      <c r="C813" s="19">
        <f t="shared" si="36"/>
        <v>1.6539813864150155E-2</v>
      </c>
      <c r="D813" s="21">
        <f t="shared" si="37"/>
        <v>3.7508132702762091E-2</v>
      </c>
    </row>
    <row r="814" spans="1:4">
      <c r="A814" s="19" t="s">
        <v>1023</v>
      </c>
      <c r="B814" s="19">
        <v>2.4724031733010898</v>
      </c>
      <c r="C814" s="19">
        <f t="shared" si="36"/>
        <v>1.6253051885779968E-2</v>
      </c>
      <c r="D814" s="21">
        <f t="shared" si="37"/>
        <v>3.7557036330206274E-2</v>
      </c>
    </row>
    <row r="815" spans="1:4">
      <c r="A815" s="19" t="s">
        <v>1022</v>
      </c>
      <c r="B815" s="19">
        <v>2.4561501214153099</v>
      </c>
      <c r="C815" s="19">
        <f t="shared" si="36"/>
        <v>0.11404644226922001</v>
      </c>
      <c r="D815" s="21">
        <f t="shared" si="37"/>
        <v>3.7495402594694797E-2</v>
      </c>
    </row>
    <row r="816" spans="1:4">
      <c r="A816" s="19" t="s">
        <v>1021</v>
      </c>
      <c r="B816" s="19">
        <v>2.3421036791460899</v>
      </c>
      <c r="C816" s="19">
        <f t="shared" si="36"/>
        <v>3.17477125377299E-2</v>
      </c>
      <c r="D816" s="21">
        <f t="shared" si="37"/>
        <v>3.4615273232179757E-2</v>
      </c>
    </row>
    <row r="817" spans="1:4">
      <c r="A817" s="19" t="s">
        <v>1020</v>
      </c>
      <c r="B817" s="19">
        <v>2.31035596660836</v>
      </c>
      <c r="C817" s="19">
        <f t="shared" si="36"/>
        <v>-4.3181423940279906E-2</v>
      </c>
      <c r="D817" s="21">
        <f t="shared" si="37"/>
        <v>3.4887857063948972E-2</v>
      </c>
    </row>
    <row r="818" spans="1:4">
      <c r="A818" s="19" t="s">
        <v>1019</v>
      </c>
      <c r="B818" s="19">
        <v>2.3535373905486399</v>
      </c>
      <c r="C818" s="19">
        <f t="shared" si="36"/>
        <v>-2.0941817287320141E-2</v>
      </c>
      <c r="D818" s="21">
        <f t="shared" si="37"/>
        <v>3.476011485148759E-2</v>
      </c>
    </row>
    <row r="819" spans="1:4">
      <c r="A819" s="19" t="s">
        <v>1018</v>
      </c>
      <c r="B819" s="19">
        <v>2.37447920783596</v>
      </c>
      <c r="C819" s="19">
        <f t="shared" si="36"/>
        <v>-5.0288600714698539E-3</v>
      </c>
      <c r="D819" s="21">
        <f t="shared" si="37"/>
        <v>3.4797549295367505E-2</v>
      </c>
    </row>
    <row r="820" spans="1:4">
      <c r="A820" s="19" t="s">
        <v>1017</v>
      </c>
      <c r="B820" s="19">
        <v>2.3795080679074299</v>
      </c>
      <c r="C820" s="19">
        <f t="shared" si="36"/>
        <v>-5.2837260230070182E-2</v>
      </c>
      <c r="D820" s="21">
        <f t="shared" si="37"/>
        <v>3.4796840229985936E-2</v>
      </c>
    </row>
    <row r="821" spans="1:4">
      <c r="A821" s="19" t="s">
        <v>1016</v>
      </c>
      <c r="B821" s="19">
        <v>2.4323453281375</v>
      </c>
      <c r="C821" s="19">
        <f t="shared" si="36"/>
        <v>-4.3037235240017679E-5</v>
      </c>
      <c r="D821" s="21">
        <f t="shared" si="37"/>
        <v>3.4280366454887481E-2</v>
      </c>
    </row>
    <row r="822" spans="1:4">
      <c r="A822" s="19" t="s">
        <v>1015</v>
      </c>
      <c r="B822" s="19">
        <v>2.4323883653727401</v>
      </c>
      <c r="C822" s="19">
        <f t="shared" si="36"/>
        <v>-5.1439777962101196E-3</v>
      </c>
      <c r="D822" s="21">
        <f t="shared" si="37"/>
        <v>3.4403665638762883E-2</v>
      </c>
    </row>
    <row r="823" spans="1:4">
      <c r="A823" s="19" t="s">
        <v>1014</v>
      </c>
      <c r="B823" s="19">
        <v>2.4375323431689502</v>
      </c>
      <c r="C823" s="19">
        <f t="shared" si="36"/>
        <v>-8.5664349472196477E-3</v>
      </c>
      <c r="D823" s="21">
        <f t="shared" si="37"/>
        <v>3.4708798637347708E-2</v>
      </c>
    </row>
    <row r="824" spans="1:4">
      <c r="A824" s="19" t="s">
        <v>1013</v>
      </c>
      <c r="B824" s="19">
        <v>2.4460987781161698</v>
      </c>
      <c r="C824" s="19">
        <f t="shared" si="36"/>
        <v>-1.7304844748702308E-3</v>
      </c>
      <c r="D824" s="21">
        <f t="shared" si="37"/>
        <v>3.9055298706380991E-2</v>
      </c>
    </row>
    <row r="825" spans="1:4">
      <c r="A825" s="19" t="s">
        <v>1012</v>
      </c>
      <c r="B825" s="19">
        <v>2.4478292625910401</v>
      </c>
      <c r="C825" s="19">
        <f t="shared" si="36"/>
        <v>1.5908160500150093E-2</v>
      </c>
      <c r="D825" s="21">
        <f t="shared" si="37"/>
        <v>3.9163477472546816E-2</v>
      </c>
    </row>
    <row r="826" spans="1:4">
      <c r="A826" s="19" t="s">
        <v>1011</v>
      </c>
      <c r="B826" s="19">
        <v>2.43192110209089</v>
      </c>
      <c r="C826" s="19">
        <f t="shared" si="36"/>
        <v>-1.8130775033009972E-2</v>
      </c>
      <c r="D826" s="21">
        <f t="shared" si="37"/>
        <v>3.9142311856442194E-2</v>
      </c>
    </row>
    <row r="827" spans="1:4">
      <c r="A827" s="19" t="s">
        <v>1010</v>
      </c>
      <c r="B827" s="19">
        <v>2.4500518771238999</v>
      </c>
      <c r="C827" s="19">
        <f t="shared" si="36"/>
        <v>-4.5984139350601083E-3</v>
      </c>
      <c r="D827" s="21">
        <f t="shared" si="37"/>
        <v>3.9058865231547682E-2</v>
      </c>
    </row>
    <row r="828" spans="1:4">
      <c r="A828" s="19" t="s">
        <v>1009</v>
      </c>
      <c r="B828" s="19">
        <v>2.45465029105896</v>
      </c>
      <c r="C828" s="19">
        <f t="shared" si="36"/>
        <v>2.3990501564170152E-2</v>
      </c>
      <c r="D828" s="21">
        <f t="shared" si="37"/>
        <v>3.9138930719397766E-2</v>
      </c>
    </row>
    <row r="829" spans="1:4">
      <c r="A829" s="19" t="s">
        <v>1008</v>
      </c>
      <c r="B829" s="19">
        <v>2.4306597894947899</v>
      </c>
      <c r="C829" s="19">
        <f t="shared" si="36"/>
        <v>-2.2578158689470218E-2</v>
      </c>
      <c r="D829" s="21">
        <f t="shared" si="37"/>
        <v>4.0162281305962451E-2</v>
      </c>
    </row>
    <row r="830" spans="1:4">
      <c r="A830" s="19" t="s">
        <v>1007</v>
      </c>
      <c r="B830" s="19">
        <v>2.4532379481842601</v>
      </c>
      <c r="C830" s="19">
        <f t="shared" si="36"/>
        <v>-6.4838113697889721E-2</v>
      </c>
      <c r="D830" s="21">
        <f t="shared" si="37"/>
        <v>4.003050164386885E-2</v>
      </c>
    </row>
    <row r="831" spans="1:4">
      <c r="A831" s="19" t="s">
        <v>1006</v>
      </c>
      <c r="B831" s="19">
        <v>2.5180760618821498</v>
      </c>
      <c r="C831" s="19">
        <f t="shared" si="36"/>
        <v>-2.6715774613120136E-2</v>
      </c>
      <c r="D831" s="21">
        <f t="shared" si="37"/>
        <v>3.9066334007676139E-2</v>
      </c>
    </row>
    <row r="832" spans="1:4">
      <c r="A832" s="19" t="s">
        <v>1005</v>
      </c>
      <c r="B832" s="19">
        <v>2.54479183649527</v>
      </c>
      <c r="C832" s="19">
        <f t="shared" si="36"/>
        <v>5.5414018227569972E-2</v>
      </c>
      <c r="D832" s="21">
        <f t="shared" si="37"/>
        <v>3.88707627855737E-2</v>
      </c>
    </row>
    <row r="833" spans="1:4">
      <c r="A833" s="19" t="s">
        <v>1004</v>
      </c>
      <c r="B833" s="19">
        <v>2.4893778182677</v>
      </c>
      <c r="C833" s="19">
        <f t="shared" si="36"/>
        <v>1.2428035992110065E-2</v>
      </c>
      <c r="D833" s="21">
        <f t="shared" si="37"/>
        <v>3.8455002200065973E-2</v>
      </c>
    </row>
    <row r="834" spans="1:4">
      <c r="A834" s="19" t="s">
        <v>1003</v>
      </c>
      <c r="B834" s="19">
        <v>2.4769497822755899</v>
      </c>
      <c r="C834" s="19">
        <f t="shared" ref="C834:C897" si="38">B834-B835</f>
        <v>5.9566505432859795E-2</v>
      </c>
      <c r="D834" s="21">
        <f t="shared" ref="D834:D897" si="39">STDEV(C834:C893)</f>
        <v>3.8945477246923127E-2</v>
      </c>
    </row>
    <row r="835" spans="1:4">
      <c r="A835" s="19" t="s">
        <v>1002</v>
      </c>
      <c r="B835" s="19">
        <v>2.4173832768427301</v>
      </c>
      <c r="C835" s="19">
        <f t="shared" si="38"/>
        <v>-6.8489822783759813E-2</v>
      </c>
      <c r="D835" s="21">
        <f t="shared" si="39"/>
        <v>3.8526293277811686E-2</v>
      </c>
    </row>
    <row r="836" spans="1:4">
      <c r="A836" s="19" t="s">
        <v>1001</v>
      </c>
      <c r="B836" s="19">
        <v>2.4858730996264899</v>
      </c>
      <c r="C836" s="19">
        <f t="shared" si="38"/>
        <v>-7.8845574502400151E-2</v>
      </c>
      <c r="D836" s="21">
        <f t="shared" si="39"/>
        <v>3.7584753786500835E-2</v>
      </c>
    </row>
    <row r="837" spans="1:4">
      <c r="A837" s="19" t="s">
        <v>1000</v>
      </c>
      <c r="B837" s="19">
        <v>2.5647186741288901</v>
      </c>
      <c r="C837" s="19">
        <f t="shared" si="38"/>
        <v>-4.5480448138759844E-2</v>
      </c>
      <c r="D837" s="21">
        <f t="shared" si="39"/>
        <v>3.6581255767353507E-2</v>
      </c>
    </row>
    <row r="838" spans="1:4">
      <c r="A838" s="19" t="s">
        <v>999</v>
      </c>
      <c r="B838" s="19">
        <v>2.6101991222676499</v>
      </c>
      <c r="C838" s="19">
        <f t="shared" si="38"/>
        <v>1.5069566715369742E-2</v>
      </c>
      <c r="D838" s="21">
        <f t="shared" si="39"/>
        <v>3.6066383566446973E-2</v>
      </c>
    </row>
    <row r="839" spans="1:4">
      <c r="A839" s="19" t="s">
        <v>998</v>
      </c>
      <c r="B839" s="19">
        <v>2.5951295555522802</v>
      </c>
      <c r="C839" s="19">
        <f t="shared" si="38"/>
        <v>-1.9204022537559595E-2</v>
      </c>
      <c r="D839" s="21">
        <f t="shared" si="39"/>
        <v>3.9057906546859283E-2</v>
      </c>
    </row>
    <row r="840" spans="1:4">
      <c r="A840" s="19" t="s">
        <v>997</v>
      </c>
      <c r="B840" s="19">
        <v>2.6143335780898398</v>
      </c>
      <c r="C840" s="19">
        <f t="shared" si="38"/>
        <v>6.265047086049691E-3</v>
      </c>
      <c r="D840" s="21">
        <f t="shared" si="39"/>
        <v>3.9665878174158731E-2</v>
      </c>
    </row>
    <row r="841" spans="1:4">
      <c r="A841" s="19" t="s">
        <v>996</v>
      </c>
      <c r="B841" s="19">
        <v>2.6080685310037901</v>
      </c>
      <c r="C841" s="19">
        <f t="shared" si="38"/>
        <v>-3.4489819727359983E-2</v>
      </c>
      <c r="D841" s="21">
        <f t="shared" si="39"/>
        <v>3.96684898724948E-2</v>
      </c>
    </row>
    <row r="842" spans="1:4">
      <c r="A842" s="19" t="s">
        <v>995</v>
      </c>
      <c r="B842" s="19">
        <v>2.6425583507311501</v>
      </c>
      <c r="C842" s="19">
        <f t="shared" si="38"/>
        <v>3.0824191342002649E-3</v>
      </c>
      <c r="D842" s="21">
        <f t="shared" si="39"/>
        <v>3.9296732055867284E-2</v>
      </c>
    </row>
    <row r="843" spans="1:4">
      <c r="A843" s="19" t="s">
        <v>994</v>
      </c>
      <c r="B843" s="19">
        <v>2.6394759315969498</v>
      </c>
      <c r="C843" s="19">
        <f t="shared" si="38"/>
        <v>-2.00852702127996E-3</v>
      </c>
      <c r="D843" s="21">
        <f t="shared" si="39"/>
        <v>3.9698324288187856E-2</v>
      </c>
    </row>
    <row r="844" spans="1:4">
      <c r="A844" s="19" t="s">
        <v>993</v>
      </c>
      <c r="B844" s="19">
        <v>2.6414844586182298</v>
      </c>
      <c r="C844" s="19">
        <f t="shared" si="38"/>
        <v>-3.4790452541770378E-2</v>
      </c>
      <c r="D844" s="21">
        <f t="shared" si="39"/>
        <v>3.9850986532637536E-2</v>
      </c>
    </row>
    <row r="845" spans="1:4">
      <c r="A845" s="19" t="s">
        <v>992</v>
      </c>
      <c r="B845" s="19">
        <v>2.6762749111600002</v>
      </c>
      <c r="C845" s="19">
        <f t="shared" si="38"/>
        <v>2.929220980054037E-2</v>
      </c>
      <c r="D845" s="21">
        <f t="shared" si="39"/>
        <v>3.9543852531062129E-2</v>
      </c>
    </row>
    <row r="846" spans="1:4">
      <c r="A846" s="19" t="s">
        <v>991</v>
      </c>
      <c r="B846" s="19">
        <v>2.6469827013594598</v>
      </c>
      <c r="C846" s="19">
        <f t="shared" si="38"/>
        <v>4.0119399592299931E-2</v>
      </c>
      <c r="D846" s="21">
        <f t="shared" si="39"/>
        <v>3.9938459326291365E-2</v>
      </c>
    </row>
    <row r="847" spans="1:4">
      <c r="A847" s="19" t="s">
        <v>990</v>
      </c>
      <c r="B847" s="19">
        <v>2.6068633017671599</v>
      </c>
      <c r="C847" s="19">
        <f t="shared" si="38"/>
        <v>-2.2763511763870259E-2</v>
      </c>
      <c r="D847" s="21">
        <f t="shared" si="39"/>
        <v>3.9852229713010535E-2</v>
      </c>
    </row>
    <row r="848" spans="1:4">
      <c r="A848" s="19" t="s">
        <v>989</v>
      </c>
      <c r="B848" s="19">
        <v>2.6296268135310301</v>
      </c>
      <c r="C848" s="19">
        <f t="shared" si="38"/>
        <v>-3.4709513738649722E-2</v>
      </c>
      <c r="D848" s="21">
        <f t="shared" si="39"/>
        <v>4.0269341549156838E-2</v>
      </c>
    </row>
    <row r="849" spans="1:4">
      <c r="A849" s="19" t="s">
        <v>988</v>
      </c>
      <c r="B849" s="19">
        <v>2.6643363272696798</v>
      </c>
      <c r="C849" s="19">
        <f t="shared" si="38"/>
        <v>-4.1122251528720177E-2</v>
      </c>
      <c r="D849" s="21">
        <f t="shared" si="39"/>
        <v>4.0701948472028217E-2</v>
      </c>
    </row>
    <row r="850" spans="1:4">
      <c r="A850" s="19" t="s">
        <v>987</v>
      </c>
      <c r="B850" s="19">
        <v>2.7054585787984</v>
      </c>
      <c r="C850" s="19">
        <f t="shared" si="38"/>
        <v>5.0199040130900485E-3</v>
      </c>
      <c r="D850" s="21">
        <f t="shared" si="39"/>
        <v>4.0189766971573497E-2</v>
      </c>
    </row>
    <row r="851" spans="1:4">
      <c r="A851" s="19" t="s">
        <v>986</v>
      </c>
      <c r="B851" s="19">
        <v>2.70043867478531</v>
      </c>
      <c r="C851" s="19">
        <f t="shared" si="38"/>
        <v>-6.0166136983701435E-3</v>
      </c>
      <c r="D851" s="21">
        <f t="shared" si="39"/>
        <v>4.0225803712473224E-2</v>
      </c>
    </row>
    <row r="852" spans="1:4">
      <c r="A852" s="19" t="s">
        <v>985</v>
      </c>
      <c r="B852" s="19">
        <v>2.7064552884836801</v>
      </c>
      <c r="C852" s="19">
        <f t="shared" si="38"/>
        <v>-3.3529290464649808E-2</v>
      </c>
      <c r="D852" s="21">
        <f t="shared" si="39"/>
        <v>4.0179614095316708E-2</v>
      </c>
    </row>
    <row r="853" spans="1:4">
      <c r="A853" s="19" t="s">
        <v>984</v>
      </c>
      <c r="B853" s="19">
        <v>2.7399845789483299</v>
      </c>
      <c r="C853" s="19">
        <f t="shared" si="38"/>
        <v>-1.1930945522210301E-2</v>
      </c>
      <c r="D853" s="21">
        <f t="shared" si="39"/>
        <v>4.0038970846179245E-2</v>
      </c>
    </row>
    <row r="854" spans="1:4">
      <c r="A854" s="19" t="s">
        <v>983</v>
      </c>
      <c r="B854" s="19">
        <v>2.7519155244705402</v>
      </c>
      <c r="C854" s="19">
        <f t="shared" si="38"/>
        <v>7.8608033601630378E-2</v>
      </c>
      <c r="D854" s="21">
        <f t="shared" si="39"/>
        <v>3.9959349868638368E-2</v>
      </c>
    </row>
    <row r="855" spans="1:4">
      <c r="A855" s="19" t="s">
        <v>982</v>
      </c>
      <c r="B855" s="19">
        <v>2.6733074908689098</v>
      </c>
      <c r="C855" s="19">
        <f t="shared" si="38"/>
        <v>6.0755067594129741E-2</v>
      </c>
      <c r="D855" s="21">
        <f t="shared" si="39"/>
        <v>3.9460157215712249E-2</v>
      </c>
    </row>
    <row r="856" spans="1:4">
      <c r="A856" s="19" t="s">
        <v>981</v>
      </c>
      <c r="B856" s="19">
        <v>2.6125524232747801</v>
      </c>
      <c r="C856" s="19">
        <f t="shared" si="38"/>
        <v>5.1795965511300057E-2</v>
      </c>
      <c r="D856" s="21">
        <f t="shared" si="39"/>
        <v>3.9401079268771184E-2</v>
      </c>
    </row>
    <row r="857" spans="1:4">
      <c r="A857" s="19" t="s">
        <v>980</v>
      </c>
      <c r="B857" s="19">
        <v>2.56075645776348</v>
      </c>
      <c r="C857" s="19">
        <f t="shared" si="38"/>
        <v>1.4980453119319836E-2</v>
      </c>
      <c r="D857" s="21">
        <f t="shared" si="39"/>
        <v>3.9078231017408267E-2</v>
      </c>
    </row>
    <row r="858" spans="1:4">
      <c r="A858" s="19" t="s">
        <v>979</v>
      </c>
      <c r="B858" s="19">
        <v>2.5457760046441602</v>
      </c>
      <c r="C858" s="19">
        <f t="shared" si="38"/>
        <v>1.5845965045760302E-2</v>
      </c>
      <c r="D858" s="21">
        <f t="shared" si="39"/>
        <v>3.9071316077489968E-2</v>
      </c>
    </row>
    <row r="859" spans="1:4">
      <c r="A859" s="19" t="s">
        <v>978</v>
      </c>
      <c r="B859" s="19">
        <v>2.5299300395983999</v>
      </c>
      <c r="C859" s="19">
        <f t="shared" si="38"/>
        <v>-1.4907392723940038E-2</v>
      </c>
      <c r="D859" s="21">
        <f t="shared" si="39"/>
        <v>3.9204075081458692E-2</v>
      </c>
    </row>
    <row r="860" spans="1:4">
      <c r="A860" s="19" t="s">
        <v>977</v>
      </c>
      <c r="B860" s="19">
        <v>2.5448374323223399</v>
      </c>
      <c r="C860" s="19">
        <f t="shared" si="38"/>
        <v>-2.8382449791270137E-2</v>
      </c>
      <c r="D860" s="21">
        <f t="shared" si="39"/>
        <v>3.910203781185817E-2</v>
      </c>
    </row>
    <row r="861" spans="1:4">
      <c r="A861" s="19" t="s">
        <v>976</v>
      </c>
      <c r="B861" s="19">
        <v>2.5732198821136101</v>
      </c>
      <c r="C861" s="19">
        <f t="shared" si="38"/>
        <v>3.4262937537610227E-2</v>
      </c>
      <c r="D861" s="21">
        <f t="shared" si="39"/>
        <v>3.8826401075918712E-2</v>
      </c>
    </row>
    <row r="862" spans="1:4">
      <c r="A862" s="19" t="s">
        <v>975</v>
      </c>
      <c r="B862" s="19">
        <v>2.5389569445759999</v>
      </c>
      <c r="C862" s="19">
        <f t="shared" si="38"/>
        <v>-1.8901898417350349E-2</v>
      </c>
      <c r="D862" s="21">
        <f t="shared" si="39"/>
        <v>3.8716635968878525E-2</v>
      </c>
    </row>
    <row r="863" spans="1:4">
      <c r="A863" s="19" t="s">
        <v>974</v>
      </c>
      <c r="B863" s="19">
        <v>2.5578588429933502</v>
      </c>
      <c r="C863" s="19">
        <f t="shared" si="38"/>
        <v>-6.7281060491059641E-2</v>
      </c>
      <c r="D863" s="21">
        <f t="shared" si="39"/>
        <v>3.8554198966485938E-2</v>
      </c>
    </row>
    <row r="864" spans="1:4">
      <c r="A864" s="19" t="s">
        <v>973</v>
      </c>
      <c r="B864" s="19">
        <v>2.6251399034844098</v>
      </c>
      <c r="C864" s="19">
        <f t="shared" si="38"/>
        <v>-6.006316288802438E-4</v>
      </c>
      <c r="D864" s="21">
        <f t="shared" si="39"/>
        <v>3.9365383723340981E-2</v>
      </c>
    </row>
    <row r="865" spans="1:4">
      <c r="A865" s="19" t="s">
        <v>972</v>
      </c>
      <c r="B865" s="19">
        <v>2.6257405351132901</v>
      </c>
      <c r="C865" s="19">
        <f t="shared" si="38"/>
        <v>-1.2228964024529887E-2</v>
      </c>
      <c r="D865" s="21">
        <f t="shared" si="39"/>
        <v>4.057577114984294E-2</v>
      </c>
    </row>
    <row r="866" spans="1:4">
      <c r="A866" s="19" t="s">
        <v>971</v>
      </c>
      <c r="B866" s="19">
        <v>2.63796949913782</v>
      </c>
      <c r="C866" s="19">
        <f t="shared" si="38"/>
        <v>-5.1695580080224346E-5</v>
      </c>
      <c r="D866" s="21">
        <f t="shared" si="39"/>
        <v>4.0496906971935531E-2</v>
      </c>
    </row>
    <row r="867" spans="1:4">
      <c r="A867" s="19" t="s">
        <v>970</v>
      </c>
      <c r="B867" s="19">
        <v>2.6380211947179002</v>
      </c>
      <c r="C867" s="19">
        <f t="shared" si="38"/>
        <v>1.7235522144610105E-2</v>
      </c>
      <c r="D867" s="21">
        <f t="shared" si="39"/>
        <v>4.0862972696985009E-2</v>
      </c>
    </row>
    <row r="868" spans="1:4">
      <c r="A868" s="19" t="s">
        <v>969</v>
      </c>
      <c r="B868" s="19">
        <v>2.6207856725732901</v>
      </c>
      <c r="C868" s="19">
        <f t="shared" si="38"/>
        <v>1.2236493629429912E-2</v>
      </c>
      <c r="D868" s="21">
        <f t="shared" si="39"/>
        <v>4.1672239264831344E-2</v>
      </c>
    </row>
    <row r="869" spans="1:4">
      <c r="A869" s="19" t="s">
        <v>968</v>
      </c>
      <c r="B869" s="19">
        <v>2.6085491789438602</v>
      </c>
      <c r="C869" s="19">
        <f t="shared" si="38"/>
        <v>-4.5170558370349667E-2</v>
      </c>
      <c r="D869" s="21">
        <f t="shared" si="39"/>
        <v>4.1792452858598124E-2</v>
      </c>
    </row>
    <row r="870" spans="1:4">
      <c r="A870" s="19" t="s">
        <v>967</v>
      </c>
      <c r="B870" s="19">
        <v>2.6537197373142098</v>
      </c>
      <c r="C870" s="19">
        <f t="shared" si="38"/>
        <v>4.6707896145250061E-2</v>
      </c>
      <c r="D870" s="21">
        <f t="shared" si="39"/>
        <v>4.2061408111915964E-2</v>
      </c>
    </row>
    <row r="871" spans="1:4">
      <c r="A871" s="19" t="s">
        <v>966</v>
      </c>
      <c r="B871" s="19">
        <v>2.6070118411689598</v>
      </c>
      <c r="C871" s="19">
        <f t="shared" si="38"/>
        <v>4.1703376509569789E-2</v>
      </c>
      <c r="D871" s="21">
        <f t="shared" si="39"/>
        <v>4.2285006908558027E-2</v>
      </c>
    </row>
    <row r="872" spans="1:4">
      <c r="A872" s="19" t="s">
        <v>965</v>
      </c>
      <c r="B872" s="19">
        <v>2.56530846465939</v>
      </c>
      <c r="C872" s="19">
        <f t="shared" si="38"/>
        <v>-7.8670841655799073E-3</v>
      </c>
      <c r="D872" s="21">
        <f t="shared" si="39"/>
        <v>4.2434330173016663E-2</v>
      </c>
    </row>
    <row r="873" spans="1:4">
      <c r="A873" s="19" t="s">
        <v>964</v>
      </c>
      <c r="B873" s="19">
        <v>2.5731755488249699</v>
      </c>
      <c r="C873" s="19">
        <f t="shared" si="38"/>
        <v>2.1813058380089956E-2</v>
      </c>
      <c r="D873" s="21">
        <f t="shared" si="39"/>
        <v>4.242756859676014E-2</v>
      </c>
    </row>
    <row r="874" spans="1:4">
      <c r="A874" s="19" t="s">
        <v>963</v>
      </c>
      <c r="B874" s="19">
        <v>2.5513624904448799</v>
      </c>
      <c r="C874" s="19">
        <f t="shared" si="38"/>
        <v>-8.0695847291401002E-3</v>
      </c>
      <c r="D874" s="21">
        <f t="shared" si="39"/>
        <v>4.2392439357279391E-2</v>
      </c>
    </row>
    <row r="875" spans="1:4">
      <c r="A875" s="19" t="s">
        <v>962</v>
      </c>
      <c r="B875" s="19">
        <v>2.55943207517402</v>
      </c>
      <c r="C875" s="19">
        <f t="shared" si="38"/>
        <v>-4.108757450427003E-2</v>
      </c>
      <c r="D875" s="21">
        <f t="shared" si="39"/>
        <v>4.2847396346058504E-2</v>
      </c>
    </row>
    <row r="876" spans="1:4">
      <c r="A876" s="19" t="s">
        <v>961</v>
      </c>
      <c r="B876" s="19">
        <v>2.6005196496782901</v>
      </c>
      <c r="C876" s="19">
        <f t="shared" si="38"/>
        <v>4.4892636419380239E-2</v>
      </c>
      <c r="D876" s="21">
        <f t="shared" si="39"/>
        <v>4.7449278496312836E-2</v>
      </c>
    </row>
    <row r="877" spans="1:4">
      <c r="A877" s="19" t="s">
        <v>960</v>
      </c>
      <c r="B877" s="19">
        <v>2.5556270132589098</v>
      </c>
      <c r="C877" s="19">
        <f t="shared" si="38"/>
        <v>-3.5778522427330373E-2</v>
      </c>
      <c r="D877" s="21">
        <f t="shared" si="39"/>
        <v>4.8764489220793357E-2</v>
      </c>
    </row>
    <row r="878" spans="1:4">
      <c r="A878" s="19" t="s">
        <v>959</v>
      </c>
      <c r="B878" s="19">
        <v>2.5914055356862402</v>
      </c>
      <c r="C878" s="19">
        <f t="shared" si="38"/>
        <v>1.7637944712720177E-2</v>
      </c>
      <c r="D878" s="21">
        <f t="shared" si="39"/>
        <v>4.8951489857426457E-2</v>
      </c>
    </row>
    <row r="879" spans="1:4">
      <c r="A879" s="19" t="s">
        <v>958</v>
      </c>
      <c r="B879" s="19">
        <v>2.57376759097352</v>
      </c>
      <c r="C879" s="19">
        <f t="shared" si="38"/>
        <v>-3.5249323962398549E-3</v>
      </c>
      <c r="D879" s="21">
        <f t="shared" si="39"/>
        <v>4.9257477847407118E-2</v>
      </c>
    </row>
    <row r="880" spans="1:4">
      <c r="A880" s="19" t="s">
        <v>957</v>
      </c>
      <c r="B880" s="19">
        <v>2.5772925233697599</v>
      </c>
      <c r="C880" s="19">
        <f t="shared" si="38"/>
        <v>1.7483269627720066E-2</v>
      </c>
      <c r="D880" s="21">
        <f t="shared" si="39"/>
        <v>5.0429080429682194E-2</v>
      </c>
    </row>
    <row r="881" spans="1:4">
      <c r="A881" s="19" t="s">
        <v>956</v>
      </c>
      <c r="B881" s="19">
        <v>2.5598092537420398</v>
      </c>
      <c r="C881" s="19">
        <f t="shared" si="38"/>
        <v>2.0481023255229935E-2</v>
      </c>
      <c r="D881" s="21">
        <f t="shared" si="39"/>
        <v>5.0682784625107342E-2</v>
      </c>
    </row>
    <row r="882" spans="1:4">
      <c r="A882" s="19" t="s">
        <v>955</v>
      </c>
      <c r="B882" s="19">
        <v>2.5393282304868099</v>
      </c>
      <c r="C882" s="19">
        <f t="shared" si="38"/>
        <v>3.4009735124839846E-2</v>
      </c>
      <c r="D882" s="21">
        <f t="shared" si="39"/>
        <v>5.086823865736613E-2</v>
      </c>
    </row>
    <row r="883" spans="1:4">
      <c r="A883" s="19" t="s">
        <v>954</v>
      </c>
      <c r="B883" s="19">
        <v>2.50531849536197</v>
      </c>
      <c r="C883" s="19">
        <f t="shared" si="38"/>
        <v>0.13789960152710012</v>
      </c>
      <c r="D883" s="21">
        <f t="shared" si="39"/>
        <v>5.1679828447247694E-2</v>
      </c>
    </row>
    <row r="884" spans="1:4">
      <c r="A884" s="19" t="s">
        <v>953</v>
      </c>
      <c r="B884" s="19">
        <v>2.3674188938348699</v>
      </c>
      <c r="C884" s="19">
        <f t="shared" si="38"/>
        <v>2.4106361235039842E-2</v>
      </c>
      <c r="D884" s="21">
        <f t="shared" si="39"/>
        <v>4.9032369327702024E-2</v>
      </c>
    </row>
    <row r="885" spans="1:4">
      <c r="A885" s="19" t="s">
        <v>952</v>
      </c>
      <c r="B885" s="19">
        <v>2.3433125325998301</v>
      </c>
      <c r="C885" s="19">
        <f t="shared" si="38"/>
        <v>-8.8952098618899633E-3</v>
      </c>
      <c r="D885" s="21">
        <f t="shared" si="39"/>
        <v>4.9153817796208331E-2</v>
      </c>
    </row>
    <row r="886" spans="1:4">
      <c r="A886" s="19" t="s">
        <v>951</v>
      </c>
      <c r="B886" s="19">
        <v>2.35220774246172</v>
      </c>
      <c r="C886" s="19">
        <f t="shared" si="38"/>
        <v>1.9285752087299102E-3</v>
      </c>
      <c r="D886" s="21">
        <f t="shared" si="39"/>
        <v>4.9193628889013914E-2</v>
      </c>
    </row>
    <row r="887" spans="1:4">
      <c r="A887" s="19" t="s">
        <v>950</v>
      </c>
      <c r="B887" s="19">
        <v>2.3502791672529901</v>
      </c>
      <c r="C887" s="19">
        <f t="shared" si="38"/>
        <v>-1.8631994638029781E-2</v>
      </c>
      <c r="D887" s="21">
        <f t="shared" si="39"/>
        <v>4.9354474727923939E-2</v>
      </c>
    </row>
    <row r="888" spans="1:4">
      <c r="A888" s="19" t="s">
        <v>949</v>
      </c>
      <c r="B888" s="19">
        <v>2.3689111618910199</v>
      </c>
      <c r="C888" s="19">
        <f t="shared" si="38"/>
        <v>7.4501333046629981E-2</v>
      </c>
      <c r="D888" s="21">
        <f t="shared" si="39"/>
        <v>5.0092293830375681E-2</v>
      </c>
    </row>
    <row r="889" spans="1:4">
      <c r="A889" s="19" t="s">
        <v>948</v>
      </c>
      <c r="B889" s="19">
        <v>2.2944098288443899</v>
      </c>
      <c r="C889" s="19">
        <f t="shared" si="38"/>
        <v>5.673015612397414E-4</v>
      </c>
      <c r="D889" s="21">
        <f t="shared" si="39"/>
        <v>4.9417449150567797E-2</v>
      </c>
    </row>
    <row r="890" spans="1:4">
      <c r="A890" s="19" t="s">
        <v>947</v>
      </c>
      <c r="B890" s="19">
        <v>2.2938425272831502</v>
      </c>
      <c r="C890" s="19">
        <f t="shared" si="38"/>
        <v>1.544153630575007E-2</v>
      </c>
      <c r="D890" s="21">
        <f t="shared" si="39"/>
        <v>5.1347764825307431E-2</v>
      </c>
    </row>
    <row r="891" spans="1:4">
      <c r="A891" s="19" t="s">
        <v>946</v>
      </c>
      <c r="B891" s="19">
        <v>2.2784009909774001</v>
      </c>
      <c r="C891" s="19">
        <f t="shared" si="38"/>
        <v>-3.284405741249774E-3</v>
      </c>
      <c r="D891" s="21">
        <f t="shared" si="39"/>
        <v>5.1632913024160502E-2</v>
      </c>
    </row>
    <row r="892" spans="1:4">
      <c r="A892" s="19" t="s">
        <v>945</v>
      </c>
      <c r="B892" s="19">
        <v>2.2816853967186499</v>
      </c>
      <c r="C892" s="19">
        <f t="shared" si="38"/>
        <v>-2.4120827024410207E-2</v>
      </c>
      <c r="D892" s="21">
        <f t="shared" si="39"/>
        <v>5.1720973362477496E-2</v>
      </c>
    </row>
    <row r="893" spans="1:4">
      <c r="A893" s="19" t="s">
        <v>944</v>
      </c>
      <c r="B893" s="19">
        <v>2.3058062237430601</v>
      </c>
      <c r="C893" s="19">
        <f t="shared" si="38"/>
        <v>5.1568485595069991E-2</v>
      </c>
      <c r="D893" s="21">
        <f t="shared" si="39"/>
        <v>5.1597530009021023E-2</v>
      </c>
    </row>
    <row r="894" spans="1:4">
      <c r="A894" s="19" t="s">
        <v>943</v>
      </c>
      <c r="B894" s="19">
        <v>2.2542377381479901</v>
      </c>
      <c r="C894" s="19">
        <f t="shared" si="38"/>
        <v>-3.2982482444499972E-2</v>
      </c>
      <c r="D894" s="21">
        <f t="shared" si="39"/>
        <v>5.1515047771362309E-2</v>
      </c>
    </row>
    <row r="895" spans="1:4">
      <c r="A895" s="19" t="s">
        <v>942</v>
      </c>
      <c r="B895" s="19">
        <v>2.2872202205924901</v>
      </c>
      <c r="C895" s="19">
        <f t="shared" si="38"/>
        <v>-2.6021933534090103E-2</v>
      </c>
      <c r="D895" s="21">
        <f t="shared" si="39"/>
        <v>5.1864642501717177E-2</v>
      </c>
    </row>
    <row r="896" spans="1:4">
      <c r="A896" s="19" t="s">
        <v>941</v>
      </c>
      <c r="B896" s="19">
        <v>2.3132421541265802</v>
      </c>
      <c r="C896" s="19">
        <f t="shared" si="38"/>
        <v>-4.5148155578369931E-2</v>
      </c>
      <c r="D896" s="21">
        <f t="shared" si="39"/>
        <v>5.1737984977523729E-2</v>
      </c>
    </row>
    <row r="897" spans="1:4">
      <c r="A897" s="19" t="s">
        <v>940</v>
      </c>
      <c r="B897" s="19">
        <v>2.3583903097049501</v>
      </c>
      <c r="C897" s="19">
        <f t="shared" si="38"/>
        <v>1.9455036536180081E-2</v>
      </c>
      <c r="D897" s="21">
        <f t="shared" si="39"/>
        <v>5.1483871769481146E-2</v>
      </c>
    </row>
    <row r="898" spans="1:4">
      <c r="A898" s="19" t="s">
        <v>939</v>
      </c>
      <c r="B898" s="19">
        <v>2.33893527316877</v>
      </c>
      <c r="C898" s="19">
        <f t="shared" ref="C898:C961" si="40">B898-B899</f>
        <v>0.12095804326993997</v>
      </c>
      <c r="D898" s="21">
        <f t="shared" ref="D898:D961" si="41">STDEV(C898:C957)</f>
        <v>5.2654755413831807E-2</v>
      </c>
    </row>
    <row r="899" spans="1:4">
      <c r="A899" s="19" t="s">
        <v>938</v>
      </c>
      <c r="B899" s="19">
        <v>2.2179772298988301</v>
      </c>
      <c r="C899" s="19">
        <f t="shared" si="40"/>
        <v>6.6246518640120211E-2</v>
      </c>
      <c r="D899" s="21">
        <f t="shared" si="41"/>
        <v>5.127538628798637E-2</v>
      </c>
    </row>
    <row r="900" spans="1:4">
      <c r="A900" s="19" t="s">
        <v>937</v>
      </c>
      <c r="B900" s="19">
        <v>2.1517307112587098</v>
      </c>
      <c r="C900" s="19">
        <f t="shared" si="40"/>
        <v>1.155438926766994E-2</v>
      </c>
      <c r="D900" s="21">
        <f t="shared" si="41"/>
        <v>5.1798572436613885E-2</v>
      </c>
    </row>
    <row r="901" spans="1:4">
      <c r="A901" s="19" t="s">
        <v>936</v>
      </c>
      <c r="B901" s="19">
        <v>2.1401763219910399</v>
      </c>
      <c r="C901" s="19">
        <f t="shared" si="40"/>
        <v>1.7898652463979925E-2</v>
      </c>
      <c r="D901" s="21">
        <f t="shared" si="41"/>
        <v>5.2431656767890716E-2</v>
      </c>
    </row>
    <row r="902" spans="1:4">
      <c r="A902" s="19" t="s">
        <v>935</v>
      </c>
      <c r="B902" s="19">
        <v>2.12227766952706</v>
      </c>
      <c r="C902" s="19">
        <f t="shared" si="40"/>
        <v>-3.5230881903599798E-2</v>
      </c>
      <c r="D902" s="21">
        <f t="shared" si="41"/>
        <v>5.2413031803842325E-2</v>
      </c>
    </row>
    <row r="903" spans="1:4">
      <c r="A903" s="19" t="s">
        <v>934</v>
      </c>
      <c r="B903" s="19">
        <v>2.1575085514306598</v>
      </c>
      <c r="C903" s="19">
        <f t="shared" si="40"/>
        <v>-2.0657466992180407E-2</v>
      </c>
      <c r="D903" s="21">
        <f t="shared" si="41"/>
        <v>5.3096918149312902E-2</v>
      </c>
    </row>
    <row r="904" spans="1:4">
      <c r="A904" s="19" t="s">
        <v>933</v>
      </c>
      <c r="B904" s="19">
        <v>2.1781660184228402</v>
      </c>
      <c r="C904" s="19">
        <f t="shared" si="40"/>
        <v>2.8591939205300232E-2</v>
      </c>
      <c r="D904" s="21">
        <f t="shared" si="41"/>
        <v>5.3019273525338619E-2</v>
      </c>
    </row>
    <row r="905" spans="1:4">
      <c r="A905" s="19" t="s">
        <v>932</v>
      </c>
      <c r="B905" s="19">
        <v>2.14957407921754</v>
      </c>
      <c r="C905" s="19">
        <f t="shared" si="40"/>
        <v>-3.9705195919299996E-2</v>
      </c>
      <c r="D905" s="21">
        <f t="shared" si="41"/>
        <v>5.3610758568175723E-2</v>
      </c>
    </row>
    <row r="906" spans="1:4">
      <c r="A906" s="19" t="s">
        <v>931</v>
      </c>
      <c r="B906" s="19">
        <v>2.18927927513684</v>
      </c>
      <c r="C906" s="19">
        <f t="shared" si="40"/>
        <v>-1.8978685859130096E-2</v>
      </c>
      <c r="D906" s="21">
        <f t="shared" si="41"/>
        <v>5.3818275249250508E-2</v>
      </c>
    </row>
    <row r="907" spans="1:4">
      <c r="A907" s="19" t="s">
        <v>930</v>
      </c>
      <c r="B907" s="19">
        <v>2.20825796099597</v>
      </c>
      <c r="C907" s="19">
        <f t="shared" si="40"/>
        <v>-4.6705250626600137E-2</v>
      </c>
      <c r="D907" s="21">
        <f t="shared" si="41"/>
        <v>5.4618763938662974E-2</v>
      </c>
    </row>
    <row r="908" spans="1:4">
      <c r="A908" s="19" t="s">
        <v>929</v>
      </c>
      <c r="B908" s="19">
        <v>2.2549632116225702</v>
      </c>
      <c r="C908" s="19">
        <f t="shared" si="40"/>
        <v>6.8876268433720078E-2</v>
      </c>
      <c r="D908" s="21">
        <f t="shared" si="41"/>
        <v>5.4538847915248698E-2</v>
      </c>
    </row>
    <row r="909" spans="1:4">
      <c r="A909" s="19" t="s">
        <v>928</v>
      </c>
      <c r="B909" s="19">
        <v>2.1860869431888501</v>
      </c>
      <c r="C909" s="19">
        <f t="shared" si="40"/>
        <v>1.1381135252060304E-2</v>
      </c>
      <c r="D909" s="21">
        <f t="shared" si="41"/>
        <v>5.4320867481891667E-2</v>
      </c>
    </row>
    <row r="910" spans="1:4">
      <c r="A910" s="19" t="s">
        <v>927</v>
      </c>
      <c r="B910" s="19">
        <v>2.1747058079367898</v>
      </c>
      <c r="C910" s="19">
        <f t="shared" si="40"/>
        <v>-4.8374880607502391E-3</v>
      </c>
      <c r="D910" s="21">
        <f t="shared" si="41"/>
        <v>5.4310836208664962E-2</v>
      </c>
    </row>
    <row r="911" spans="1:4">
      <c r="A911" s="19" t="s">
        <v>926</v>
      </c>
      <c r="B911" s="19">
        <v>2.17954329599754</v>
      </c>
      <c r="C911" s="19">
        <f t="shared" si="40"/>
        <v>9.6980511152802151E-3</v>
      </c>
      <c r="D911" s="21">
        <f t="shared" si="41"/>
        <v>5.4343120916599104E-2</v>
      </c>
    </row>
    <row r="912" spans="1:4">
      <c r="A912" s="19" t="s">
        <v>925</v>
      </c>
      <c r="B912" s="19">
        <v>2.1698452448822598</v>
      </c>
      <c r="C912" s="19">
        <f t="shared" si="40"/>
        <v>4.4140537800079649E-2</v>
      </c>
      <c r="D912" s="21">
        <f t="shared" si="41"/>
        <v>5.4942256369421724E-2</v>
      </c>
    </row>
    <row r="913" spans="1:4">
      <c r="A913" s="19" t="s">
        <v>924</v>
      </c>
      <c r="B913" s="19">
        <v>2.1257047070821802</v>
      </c>
      <c r="C913" s="19">
        <f t="shared" si="40"/>
        <v>-6.1525086517999483E-4</v>
      </c>
      <c r="D913" s="21">
        <f t="shared" si="41"/>
        <v>6.1679623234359084E-2</v>
      </c>
    </row>
    <row r="914" spans="1:4">
      <c r="A914" s="19" t="s">
        <v>923</v>
      </c>
      <c r="B914" s="19">
        <v>2.1263199579473602</v>
      </c>
      <c r="C914" s="19">
        <f t="shared" si="40"/>
        <v>-4.0012791064919728E-2</v>
      </c>
      <c r="D914" s="21">
        <f t="shared" si="41"/>
        <v>6.1899604688602783E-2</v>
      </c>
    </row>
    <row r="915" spans="1:4">
      <c r="A915" s="19" t="s">
        <v>922</v>
      </c>
      <c r="B915" s="19">
        <v>2.1663327490122799</v>
      </c>
      <c r="C915" s="19">
        <f t="shared" si="40"/>
        <v>5.8059120780300066E-2</v>
      </c>
      <c r="D915" s="21">
        <f t="shared" si="41"/>
        <v>6.1775808139149561E-2</v>
      </c>
    </row>
    <row r="916" spans="1:4">
      <c r="A916" s="19" t="s">
        <v>921</v>
      </c>
      <c r="B916" s="19">
        <v>2.1082736282319798</v>
      </c>
      <c r="C916" s="19">
        <f t="shared" si="40"/>
        <v>2.8332136029439958E-2</v>
      </c>
      <c r="D916" s="21">
        <f t="shared" si="41"/>
        <v>6.1254432715603671E-2</v>
      </c>
    </row>
    <row r="917" spans="1:4">
      <c r="A917" s="19" t="s">
        <v>920</v>
      </c>
      <c r="B917" s="19">
        <v>2.0799414922025399</v>
      </c>
      <c r="C917" s="19">
        <f t="shared" si="40"/>
        <v>1.211125546309999E-2</v>
      </c>
      <c r="D917" s="21">
        <f t="shared" si="41"/>
        <v>6.1911856207120641E-2</v>
      </c>
    </row>
    <row r="918" spans="1:4">
      <c r="A918" s="19" t="s">
        <v>919</v>
      </c>
      <c r="B918" s="19">
        <v>2.0678302367394399</v>
      </c>
      <c r="C918" s="19">
        <f t="shared" si="40"/>
        <v>-1.8392334406200028E-2</v>
      </c>
      <c r="D918" s="21">
        <f t="shared" si="41"/>
        <v>6.2473312091605268E-2</v>
      </c>
    </row>
    <row r="919" spans="1:4">
      <c r="A919" s="19" t="s">
        <v>918</v>
      </c>
      <c r="B919" s="19">
        <v>2.0862225711456399</v>
      </c>
      <c r="C919" s="19">
        <f t="shared" si="40"/>
        <v>1.3689022087609803E-2</v>
      </c>
      <c r="D919" s="21">
        <f t="shared" si="41"/>
        <v>6.2485876709417479E-2</v>
      </c>
    </row>
    <row r="920" spans="1:4">
      <c r="A920" s="19" t="s">
        <v>917</v>
      </c>
      <c r="B920" s="19">
        <v>2.0725335490580301</v>
      </c>
      <c r="C920" s="19">
        <f t="shared" si="40"/>
        <v>8.9687628740175995E-5</v>
      </c>
      <c r="D920" s="21">
        <f t="shared" si="41"/>
        <v>6.2493926108825072E-2</v>
      </c>
    </row>
    <row r="921" spans="1:4">
      <c r="A921" s="19" t="s">
        <v>916</v>
      </c>
      <c r="B921" s="19">
        <v>2.0724438614292899</v>
      </c>
      <c r="C921" s="19">
        <f t="shared" si="40"/>
        <v>2.1469603796520076E-2</v>
      </c>
      <c r="D921" s="21">
        <f t="shared" si="41"/>
        <v>6.2964466794064936E-2</v>
      </c>
    </row>
    <row r="922" spans="1:4">
      <c r="A922" s="19" t="s">
        <v>915</v>
      </c>
      <c r="B922" s="19">
        <v>2.0509742576327699</v>
      </c>
      <c r="C922" s="19">
        <f t="shared" si="40"/>
        <v>6.9253048331496814E-3</v>
      </c>
      <c r="D922" s="21">
        <f t="shared" si="41"/>
        <v>6.2969197361743834E-2</v>
      </c>
    </row>
    <row r="923" spans="1:4">
      <c r="A923" s="19" t="s">
        <v>914</v>
      </c>
      <c r="B923" s="19">
        <v>2.0440489527996202</v>
      </c>
      <c r="C923" s="19">
        <f t="shared" si="40"/>
        <v>-8.8849920620849954E-2</v>
      </c>
      <c r="D923" s="21">
        <f t="shared" si="41"/>
        <v>6.3498751582088814E-2</v>
      </c>
    </row>
    <row r="924" spans="1:4">
      <c r="A924" s="19" t="s">
        <v>913</v>
      </c>
      <c r="B924" s="19">
        <v>2.1328988734204701</v>
      </c>
      <c r="C924" s="19">
        <f t="shared" si="40"/>
        <v>-6.8365446040719924E-2</v>
      </c>
      <c r="D924" s="21">
        <f t="shared" si="41"/>
        <v>6.264605223969294E-2</v>
      </c>
    </row>
    <row r="925" spans="1:4">
      <c r="A925" s="19" t="s">
        <v>912</v>
      </c>
      <c r="B925" s="19">
        <v>2.2012643194611901</v>
      </c>
      <c r="C925" s="19">
        <f t="shared" si="40"/>
        <v>8.7217867077802325E-3</v>
      </c>
      <c r="D925" s="21">
        <f t="shared" si="41"/>
        <v>6.2224715615326553E-2</v>
      </c>
    </row>
    <row r="926" spans="1:4">
      <c r="A926" s="19" t="s">
        <v>911</v>
      </c>
      <c r="B926" s="19">
        <v>2.1925425327534098</v>
      </c>
      <c r="C926" s="19">
        <f t="shared" si="40"/>
        <v>5.0501352633959939E-2</v>
      </c>
      <c r="D926" s="21">
        <f t="shared" si="41"/>
        <v>6.2375467696273362E-2</v>
      </c>
    </row>
    <row r="927" spans="1:4">
      <c r="A927" s="19" t="s">
        <v>910</v>
      </c>
      <c r="B927" s="19">
        <v>2.1420411801194499</v>
      </c>
      <c r="C927" s="19">
        <f t="shared" si="40"/>
        <v>7.2073485651189984E-2</v>
      </c>
      <c r="D927" s="21">
        <f t="shared" si="41"/>
        <v>6.2479381292126837E-2</v>
      </c>
    </row>
    <row r="928" spans="1:4">
      <c r="A928" s="19" t="s">
        <v>909</v>
      </c>
      <c r="B928" s="19">
        <v>2.0699676944682599</v>
      </c>
      <c r="C928" s="19">
        <f t="shared" si="40"/>
        <v>3.3860565190529712E-2</v>
      </c>
      <c r="D928" s="21">
        <f t="shared" si="41"/>
        <v>6.3139399711995003E-2</v>
      </c>
    </row>
    <row r="929" spans="1:4">
      <c r="A929" s="19" t="s">
        <v>908</v>
      </c>
      <c r="B929" s="19">
        <v>2.0361071292777302</v>
      </c>
      <c r="C929" s="19">
        <f t="shared" si="40"/>
        <v>-5.6231513751519913E-2</v>
      </c>
      <c r="D929" s="21">
        <f t="shared" si="41"/>
        <v>6.2924267975543194E-2</v>
      </c>
    </row>
    <row r="930" spans="1:4">
      <c r="A930" s="19" t="s">
        <v>907</v>
      </c>
      <c r="B930" s="19">
        <v>2.0923386430292501</v>
      </c>
      <c r="C930" s="19">
        <f t="shared" si="40"/>
        <v>-4.2015437422679991E-2</v>
      </c>
      <c r="D930" s="21">
        <f t="shared" si="41"/>
        <v>6.2644549898311364E-2</v>
      </c>
    </row>
    <row r="931" spans="1:4">
      <c r="A931" s="19" t="s">
        <v>906</v>
      </c>
      <c r="B931" s="19">
        <v>2.1343540804519301</v>
      </c>
      <c r="C931" s="19">
        <f t="shared" si="40"/>
        <v>5.1376181825089962E-2</v>
      </c>
      <c r="D931" s="21">
        <f t="shared" si="41"/>
        <v>6.2563516344164252E-2</v>
      </c>
    </row>
    <row r="932" spans="1:4">
      <c r="A932" s="19" t="s">
        <v>905</v>
      </c>
      <c r="B932" s="19">
        <v>2.0829778986268401</v>
      </c>
      <c r="C932" s="19">
        <f t="shared" si="40"/>
        <v>2.3382233214390258E-2</v>
      </c>
      <c r="D932" s="21">
        <f t="shared" si="41"/>
        <v>6.2297071757619928E-2</v>
      </c>
    </row>
    <row r="933" spans="1:4">
      <c r="A933" s="19" t="s">
        <v>904</v>
      </c>
      <c r="B933" s="19">
        <v>2.0595956654124499</v>
      </c>
      <c r="C933" s="19">
        <f t="shared" si="40"/>
        <v>1.003134503707992E-2</v>
      </c>
      <c r="D933" s="21">
        <f t="shared" si="41"/>
        <v>6.4897419352383745E-2</v>
      </c>
    </row>
    <row r="934" spans="1:4">
      <c r="A934" s="19" t="s">
        <v>903</v>
      </c>
      <c r="B934" s="19">
        <v>2.04956432037537</v>
      </c>
      <c r="C934" s="19">
        <f t="shared" si="40"/>
        <v>-4.2408137397489831E-2</v>
      </c>
      <c r="D934" s="21">
        <f t="shared" si="41"/>
        <v>6.5639697003674558E-2</v>
      </c>
    </row>
    <row r="935" spans="1:4">
      <c r="A935" s="19" t="s">
        <v>902</v>
      </c>
      <c r="B935" s="19">
        <v>2.0919724577728598</v>
      </c>
      <c r="C935" s="19">
        <f t="shared" si="40"/>
        <v>-0.15691866966488011</v>
      </c>
      <c r="D935" s="21">
        <f t="shared" si="41"/>
        <v>6.5469229605504414E-2</v>
      </c>
    </row>
    <row r="936" spans="1:4">
      <c r="A936" s="19" t="s">
        <v>901</v>
      </c>
      <c r="B936" s="19">
        <v>2.2488911274377399</v>
      </c>
      <c r="C936" s="19">
        <f t="shared" si="40"/>
        <v>0.10094897547157977</v>
      </c>
      <c r="D936" s="21">
        <f t="shared" si="41"/>
        <v>6.2425759244083646E-2</v>
      </c>
    </row>
    <row r="937" spans="1:4">
      <c r="A937" s="19" t="s">
        <v>900</v>
      </c>
      <c r="B937" s="19">
        <v>2.1479421519661601</v>
      </c>
      <c r="C937" s="19">
        <f t="shared" si="40"/>
        <v>-4.6988911007659784E-2</v>
      </c>
      <c r="D937" s="21">
        <f t="shared" si="41"/>
        <v>6.0911822994298551E-2</v>
      </c>
    </row>
    <row r="938" spans="1:4">
      <c r="A938" s="19" t="s">
        <v>899</v>
      </c>
      <c r="B938" s="19">
        <v>2.1949310629738199</v>
      </c>
      <c r="C938" s="19">
        <f t="shared" si="40"/>
        <v>-3.749790648059026E-2</v>
      </c>
      <c r="D938" s="21">
        <f t="shared" si="41"/>
        <v>6.0668951765056205E-2</v>
      </c>
    </row>
    <row r="939" spans="1:4">
      <c r="A939" s="19" t="s">
        <v>898</v>
      </c>
      <c r="B939" s="19">
        <v>2.2324289694544102</v>
      </c>
      <c r="C939" s="19">
        <f t="shared" si="40"/>
        <v>9.007922416457026E-2</v>
      </c>
      <c r="D939" s="21">
        <f t="shared" si="41"/>
        <v>6.0983699434873181E-2</v>
      </c>
    </row>
    <row r="940" spans="1:4">
      <c r="A940" s="19" t="s">
        <v>897</v>
      </c>
      <c r="B940" s="19">
        <v>2.1423497452898399</v>
      </c>
      <c r="C940" s="19">
        <f t="shared" si="40"/>
        <v>-3.351345505922021E-2</v>
      </c>
      <c r="D940" s="21">
        <f t="shared" si="41"/>
        <v>5.9767709004804409E-2</v>
      </c>
    </row>
    <row r="941" spans="1:4">
      <c r="A941" s="19" t="s">
        <v>896</v>
      </c>
      <c r="B941" s="19">
        <v>2.1758632003490601</v>
      </c>
      <c r="C941" s="19">
        <f t="shared" si="40"/>
        <v>-3.0378080943679997E-2</v>
      </c>
      <c r="D941" s="21">
        <f t="shared" si="41"/>
        <v>6.0881363373131728E-2</v>
      </c>
    </row>
    <row r="942" spans="1:4">
      <c r="A942" s="19" t="s">
        <v>895</v>
      </c>
      <c r="B942" s="19">
        <v>2.2062412812927401</v>
      </c>
      <c r="C942" s="19">
        <f t="shared" si="40"/>
        <v>-7.1293044380469794E-2</v>
      </c>
      <c r="D942" s="21">
        <f t="shared" si="41"/>
        <v>6.0873278939991955E-2</v>
      </c>
    </row>
    <row r="943" spans="1:4">
      <c r="A943" s="19" t="s">
        <v>894</v>
      </c>
      <c r="B943" s="19">
        <v>2.2775343256732099</v>
      </c>
      <c r="C943" s="19">
        <f t="shared" si="40"/>
        <v>5.2519196603030061E-2</v>
      </c>
      <c r="D943" s="21">
        <f t="shared" si="41"/>
        <v>6.0587120837323698E-2</v>
      </c>
    </row>
    <row r="944" spans="1:4">
      <c r="A944" s="19" t="s">
        <v>893</v>
      </c>
      <c r="B944" s="19">
        <v>2.2250151290701798</v>
      </c>
      <c r="C944" s="19">
        <f t="shared" si="40"/>
        <v>3.6702909418769636E-2</v>
      </c>
      <c r="D944" s="21">
        <f t="shared" si="41"/>
        <v>6.0241722923739541E-2</v>
      </c>
    </row>
    <row r="945" spans="1:4">
      <c r="A945" s="19" t="s">
        <v>892</v>
      </c>
      <c r="B945" s="19">
        <v>2.1883122196514102</v>
      </c>
      <c r="C945" s="19">
        <f t="shared" si="40"/>
        <v>-1.6488153099689651E-2</v>
      </c>
      <c r="D945" s="21">
        <f t="shared" si="41"/>
        <v>6.2313729257722071E-2</v>
      </c>
    </row>
    <row r="946" spans="1:4">
      <c r="A946" s="19" t="s">
        <v>891</v>
      </c>
      <c r="B946" s="19">
        <v>2.2048003727510999</v>
      </c>
      <c r="C946" s="19">
        <f t="shared" si="40"/>
        <v>3.3309731846829838E-2</v>
      </c>
      <c r="D946" s="21">
        <f t="shared" si="41"/>
        <v>6.6725930160429353E-2</v>
      </c>
    </row>
    <row r="947" spans="1:4">
      <c r="A947" s="19" t="s">
        <v>890</v>
      </c>
      <c r="B947" s="19">
        <v>2.17149064090427</v>
      </c>
      <c r="C947" s="19">
        <f t="shared" si="40"/>
        <v>-6.6549959734369946E-2</v>
      </c>
      <c r="D947" s="21">
        <f t="shared" si="41"/>
        <v>6.6657436911545978E-2</v>
      </c>
    </row>
    <row r="948" spans="1:4">
      <c r="A948" s="19" t="s">
        <v>889</v>
      </c>
      <c r="B948" s="19">
        <v>2.23804060063864</v>
      </c>
      <c r="C948" s="19">
        <f t="shared" si="40"/>
        <v>3.8100874208350177E-2</v>
      </c>
      <c r="D948" s="21">
        <f t="shared" si="41"/>
        <v>6.6143416250649775E-2</v>
      </c>
    </row>
    <row r="949" spans="1:4">
      <c r="A949" s="19" t="s">
        <v>888</v>
      </c>
      <c r="B949" s="19">
        <v>2.1999397264302898</v>
      </c>
      <c r="C949" s="19">
        <f t="shared" si="40"/>
        <v>0.10962661097204984</v>
      </c>
      <c r="D949" s="21">
        <f t="shared" si="41"/>
        <v>6.6060516843161901E-2</v>
      </c>
    </row>
    <row r="950" spans="1:4">
      <c r="A950" s="19" t="s">
        <v>887</v>
      </c>
      <c r="B950" s="19">
        <v>2.0903131154582399</v>
      </c>
      <c r="C950" s="19">
        <f t="shared" si="40"/>
        <v>4.6914765715739826E-2</v>
      </c>
      <c r="D950" s="21">
        <f t="shared" si="41"/>
        <v>6.4691897099339576E-2</v>
      </c>
    </row>
    <row r="951" spans="1:4">
      <c r="A951" s="19" t="s">
        <v>886</v>
      </c>
      <c r="B951" s="19">
        <v>2.0433983497425001</v>
      </c>
      <c r="C951" s="19">
        <f t="shared" si="40"/>
        <v>2.8527771245200118E-2</v>
      </c>
      <c r="D951" s="21">
        <f t="shared" si="41"/>
        <v>6.4865132924602539E-2</v>
      </c>
    </row>
    <row r="952" spans="1:4">
      <c r="A952" s="19" t="s">
        <v>885</v>
      </c>
      <c r="B952" s="19">
        <v>2.0148705784973</v>
      </c>
      <c r="C952" s="19">
        <f t="shared" si="40"/>
        <v>-3.9444857114299126E-3</v>
      </c>
      <c r="D952" s="21">
        <f t="shared" si="41"/>
        <v>6.4780303324217789E-2</v>
      </c>
    </row>
    <row r="953" spans="1:4">
      <c r="A953" s="19" t="s">
        <v>884</v>
      </c>
      <c r="B953" s="19">
        <v>2.0188150642087299</v>
      </c>
      <c r="C953" s="19">
        <f t="shared" si="40"/>
        <v>-3.788333867761029E-2</v>
      </c>
      <c r="D953" s="21">
        <f t="shared" si="41"/>
        <v>6.5156454986227269E-2</v>
      </c>
    </row>
    <row r="954" spans="1:4">
      <c r="A954" s="19" t="s">
        <v>883</v>
      </c>
      <c r="B954" s="19">
        <v>2.0566984028863402</v>
      </c>
      <c r="C954" s="19">
        <f t="shared" si="40"/>
        <v>-5.5500801515369957E-2</v>
      </c>
      <c r="D954" s="21">
        <f t="shared" si="41"/>
        <v>6.5296702756640401E-2</v>
      </c>
    </row>
    <row r="955" spans="1:4">
      <c r="A955" s="19" t="s">
        <v>882</v>
      </c>
      <c r="B955" s="19">
        <v>2.1121992044017102</v>
      </c>
      <c r="C955" s="19">
        <f t="shared" si="40"/>
        <v>1.2282690381089978E-2</v>
      </c>
      <c r="D955" s="21">
        <f t="shared" si="41"/>
        <v>6.5381160440107458E-2</v>
      </c>
    </row>
    <row r="956" spans="1:4">
      <c r="A956" s="19" t="s">
        <v>881</v>
      </c>
      <c r="B956" s="19">
        <v>2.0999165140206202</v>
      </c>
      <c r="C956" s="19">
        <f t="shared" si="40"/>
        <v>3.4034348101739997E-2</v>
      </c>
      <c r="D956" s="21">
        <f t="shared" si="41"/>
        <v>6.5813426659251315E-2</v>
      </c>
    </row>
    <row r="957" spans="1:4">
      <c r="A957" s="19" t="s">
        <v>880</v>
      </c>
      <c r="B957" s="19">
        <v>2.0658821659188802</v>
      </c>
      <c r="C957" s="19">
        <f t="shared" si="40"/>
        <v>9.1437542292730267E-2</v>
      </c>
      <c r="D957" s="21">
        <f t="shared" si="41"/>
        <v>6.5613772844435897E-2</v>
      </c>
    </row>
    <row r="958" spans="1:4">
      <c r="A958" s="19" t="s">
        <v>879</v>
      </c>
      <c r="B958" s="19">
        <v>1.9744446236261499</v>
      </c>
      <c r="C958" s="19">
        <f t="shared" si="40"/>
        <v>7.5175923163109948E-2</v>
      </c>
      <c r="D958" s="21">
        <f t="shared" si="41"/>
        <v>6.4362939063185673E-2</v>
      </c>
    </row>
    <row r="959" spans="1:4">
      <c r="A959" s="19" t="s">
        <v>878</v>
      </c>
      <c r="B959" s="19">
        <v>1.89926870046304</v>
      </c>
      <c r="C959" s="19">
        <f t="shared" si="40"/>
        <v>-7.9837469316589971E-2</v>
      </c>
      <c r="D959" s="21">
        <f t="shared" si="41"/>
        <v>6.3480873361928675E-2</v>
      </c>
    </row>
    <row r="960" spans="1:4">
      <c r="A960" s="19" t="s">
        <v>877</v>
      </c>
      <c r="B960" s="19">
        <v>1.9791061697796299</v>
      </c>
      <c r="C960" s="19">
        <f t="shared" si="40"/>
        <v>-6.0807870359850247E-2</v>
      </c>
      <c r="D960" s="21">
        <f t="shared" si="41"/>
        <v>6.2849502784157449E-2</v>
      </c>
    </row>
    <row r="961" spans="1:4">
      <c r="A961" s="19" t="s">
        <v>876</v>
      </c>
      <c r="B961" s="19">
        <v>2.0399140401394802</v>
      </c>
      <c r="C961" s="19">
        <f t="shared" si="40"/>
        <v>-1.1060893226269908E-2</v>
      </c>
      <c r="D961" s="21">
        <f t="shared" si="41"/>
        <v>6.3164198016388964E-2</v>
      </c>
    </row>
    <row r="962" spans="1:4">
      <c r="A962" s="19" t="s">
        <v>875</v>
      </c>
      <c r="B962" s="19">
        <v>2.0509749333657501</v>
      </c>
      <c r="C962" s="19">
        <f t="shared" ref="C962:C1025" si="42">B962-B963</f>
        <v>7.7311375366799995E-2</v>
      </c>
      <c r="D962" s="21">
        <f t="shared" ref="D962:D1025" si="43">STDEV(C962:C1021)</f>
        <v>6.3207720874856752E-2</v>
      </c>
    </row>
    <row r="963" spans="1:4">
      <c r="A963" s="19" t="s">
        <v>874</v>
      </c>
      <c r="B963" s="19">
        <v>1.9736635579989501</v>
      </c>
      <c r="C963" s="19">
        <f t="shared" si="42"/>
        <v>-5.8926743808898063E-3</v>
      </c>
      <c r="D963" s="21">
        <f t="shared" si="43"/>
        <v>6.2498538274247388E-2</v>
      </c>
    </row>
    <row r="964" spans="1:4">
      <c r="A964" s="19" t="s">
        <v>873</v>
      </c>
      <c r="B964" s="19">
        <v>1.9795562323798399</v>
      </c>
      <c r="C964" s="19">
        <f t="shared" si="42"/>
        <v>-6.3790844787180223E-2</v>
      </c>
      <c r="D964" s="21">
        <f t="shared" si="43"/>
        <v>6.3124923426842949E-2</v>
      </c>
    </row>
    <row r="965" spans="1:4">
      <c r="A965" s="19" t="s">
        <v>872</v>
      </c>
      <c r="B965" s="19">
        <v>2.0433470771670201</v>
      </c>
      <c r="C965" s="19">
        <f t="shared" si="42"/>
        <v>-5.3353405455379921E-2</v>
      </c>
      <c r="D965" s="21">
        <f t="shared" si="43"/>
        <v>6.3639056163506805E-2</v>
      </c>
    </row>
    <row r="966" spans="1:4">
      <c r="A966" s="19" t="s">
        <v>871</v>
      </c>
      <c r="B966" s="19">
        <v>2.0967004826224001</v>
      </c>
      <c r="C966" s="19">
        <f t="shared" si="42"/>
        <v>-7.32337121851101E-2</v>
      </c>
      <c r="D966" s="21">
        <f t="shared" si="43"/>
        <v>6.3483861665996469E-2</v>
      </c>
    </row>
    <row r="967" spans="1:4">
      <c r="A967" s="19" t="s">
        <v>870</v>
      </c>
      <c r="B967" s="19">
        <v>2.1699341948075102</v>
      </c>
      <c r="C967" s="19">
        <f t="shared" si="42"/>
        <v>-4.0922390764919658E-2</v>
      </c>
      <c r="D967" s="21">
        <f t="shared" si="43"/>
        <v>6.2963361778298185E-2</v>
      </c>
    </row>
    <row r="968" spans="1:4">
      <c r="A968" s="19" t="s">
        <v>869</v>
      </c>
      <c r="B968" s="19">
        <v>2.2108565855724298</v>
      </c>
      <c r="C968" s="19">
        <f t="shared" si="42"/>
        <v>-5.8542033733430365E-2</v>
      </c>
      <c r="D968" s="21">
        <f t="shared" si="43"/>
        <v>6.3074984439187368E-2</v>
      </c>
    </row>
    <row r="969" spans="1:4">
      <c r="A969" s="19" t="s">
        <v>868</v>
      </c>
      <c r="B969" s="19">
        <v>2.2693986193058602</v>
      </c>
      <c r="C969" s="19">
        <f t="shared" si="42"/>
        <v>-1.1766453311250036E-2</v>
      </c>
      <c r="D969" s="21">
        <f t="shared" si="43"/>
        <v>6.3639387721353677E-2</v>
      </c>
    </row>
    <row r="970" spans="1:4">
      <c r="A970" s="19" t="s">
        <v>867</v>
      </c>
      <c r="B970" s="19">
        <v>2.2811650726171102</v>
      </c>
      <c r="C970" s="19">
        <f t="shared" si="42"/>
        <v>1.3115906589300064E-2</v>
      </c>
      <c r="D970" s="21">
        <f t="shared" si="43"/>
        <v>6.4116629158196756E-2</v>
      </c>
    </row>
    <row r="971" spans="1:4">
      <c r="A971" s="19" t="s">
        <v>866</v>
      </c>
      <c r="B971" s="19">
        <v>2.2680491660278101</v>
      </c>
      <c r="C971" s="19">
        <f t="shared" si="42"/>
        <v>6.2035696305920318E-2</v>
      </c>
      <c r="D971" s="21">
        <f t="shared" si="43"/>
        <v>6.4134451517426611E-2</v>
      </c>
    </row>
    <row r="972" spans="1:4">
      <c r="A972" s="19" t="s">
        <v>865</v>
      </c>
      <c r="B972" s="19">
        <v>2.2060134697218898</v>
      </c>
      <c r="C972" s="19">
        <f t="shared" si="42"/>
        <v>-0.22320315482687025</v>
      </c>
      <c r="D972" s="21">
        <f t="shared" si="43"/>
        <v>6.3841501245036847E-2</v>
      </c>
    </row>
    <row r="973" spans="1:4">
      <c r="A973" s="19" t="s">
        <v>864</v>
      </c>
      <c r="B973" s="19">
        <v>2.4292166245487601</v>
      </c>
      <c r="C973" s="19">
        <f t="shared" si="42"/>
        <v>3.5505129150469994E-2</v>
      </c>
      <c r="D973" s="21">
        <f t="shared" si="43"/>
        <v>5.7161189339473457E-2</v>
      </c>
    </row>
    <row r="974" spans="1:4">
      <c r="A974" s="19" t="s">
        <v>863</v>
      </c>
      <c r="B974" s="19">
        <v>2.3937114953982901</v>
      </c>
      <c r="C974" s="19">
        <f t="shared" si="42"/>
        <v>1.5864938844869947E-2</v>
      </c>
      <c r="D974" s="21">
        <f t="shared" si="43"/>
        <v>5.6972784192279406E-2</v>
      </c>
    </row>
    <row r="975" spans="1:4">
      <c r="A975" s="19" t="s">
        <v>862</v>
      </c>
      <c r="B975" s="19">
        <v>2.3778465565534201</v>
      </c>
      <c r="C975" s="19">
        <f t="shared" si="42"/>
        <v>4.0093686943802886E-3</v>
      </c>
      <c r="D975" s="21">
        <f t="shared" si="43"/>
        <v>5.6941332051921992E-2</v>
      </c>
    </row>
    <row r="976" spans="1:4">
      <c r="A976" s="19" t="s">
        <v>861</v>
      </c>
      <c r="B976" s="19">
        <v>2.3738371878590399</v>
      </c>
      <c r="C976" s="19">
        <f t="shared" si="42"/>
        <v>-8.2234946890080263E-2</v>
      </c>
      <c r="D976" s="21">
        <f t="shared" si="43"/>
        <v>5.6974716750181315E-2</v>
      </c>
    </row>
    <row r="977" spans="1:4">
      <c r="A977" s="19" t="s">
        <v>860</v>
      </c>
      <c r="B977" s="19">
        <v>2.4560721347491201</v>
      </c>
      <c r="C977" s="19">
        <f t="shared" si="42"/>
        <v>6.0796063797360134E-2</v>
      </c>
      <c r="D977" s="21">
        <f t="shared" si="43"/>
        <v>5.6294802280317788E-2</v>
      </c>
    </row>
    <row r="978" spans="1:4">
      <c r="A978" s="19" t="s">
        <v>859</v>
      </c>
      <c r="B978" s="19">
        <v>2.39527607095176</v>
      </c>
      <c r="C978" s="19">
        <f t="shared" si="42"/>
        <v>1.1109136760150129E-2</v>
      </c>
      <c r="D978" s="21">
        <f t="shared" si="43"/>
        <v>5.6205696518895037E-2</v>
      </c>
    </row>
    <row r="979" spans="1:4">
      <c r="A979" s="19" t="s">
        <v>858</v>
      </c>
      <c r="B979" s="19">
        <v>2.3841669341916099</v>
      </c>
      <c r="C979" s="19">
        <f t="shared" si="42"/>
        <v>1.5218259981829796E-2</v>
      </c>
      <c r="D979" s="21">
        <f t="shared" si="43"/>
        <v>5.6350468163727296E-2</v>
      </c>
    </row>
    <row r="980" spans="1:4">
      <c r="A980" s="19" t="s">
        <v>857</v>
      </c>
      <c r="B980" s="19">
        <v>2.3689486742097801</v>
      </c>
      <c r="C980" s="19">
        <f t="shared" si="42"/>
        <v>-6.4759598486490155E-2</v>
      </c>
      <c r="D980" s="21">
        <f t="shared" si="43"/>
        <v>5.6295248809039876E-2</v>
      </c>
    </row>
    <row r="981" spans="1:4">
      <c r="A981" s="19" t="s">
        <v>856</v>
      </c>
      <c r="B981" s="19">
        <v>2.4337082726962702</v>
      </c>
      <c r="C981" s="19">
        <f t="shared" si="42"/>
        <v>-3.50757723552797E-2</v>
      </c>
      <c r="D981" s="21">
        <f t="shared" si="43"/>
        <v>5.5843940575089575E-2</v>
      </c>
    </row>
    <row r="982" spans="1:4">
      <c r="A982" s="19" t="s">
        <v>855</v>
      </c>
      <c r="B982" s="19">
        <v>2.4687840450515499</v>
      </c>
      <c r="C982" s="19">
        <f t="shared" si="42"/>
        <v>5.7745625108829746E-2</v>
      </c>
      <c r="D982" s="21">
        <f t="shared" si="43"/>
        <v>5.5925561398809005E-2</v>
      </c>
    </row>
    <row r="983" spans="1:4">
      <c r="A983" s="19" t="s">
        <v>854</v>
      </c>
      <c r="B983" s="19">
        <v>2.4110384199427202</v>
      </c>
      <c r="C983" s="19">
        <f t="shared" si="42"/>
        <v>-2.971421014761999E-2</v>
      </c>
      <c r="D983" s="21">
        <f t="shared" si="43"/>
        <v>5.5789251405766613E-2</v>
      </c>
    </row>
    <row r="984" spans="1:4">
      <c r="A984" s="19" t="s">
        <v>853</v>
      </c>
      <c r="B984" s="19">
        <v>2.4407526300903402</v>
      </c>
      <c r="C984" s="19">
        <f t="shared" si="42"/>
        <v>-3.5340834180439984E-2</v>
      </c>
      <c r="D984" s="21">
        <f t="shared" si="43"/>
        <v>5.6983214488432993E-2</v>
      </c>
    </row>
    <row r="985" spans="1:4">
      <c r="A985" s="19" t="s">
        <v>852</v>
      </c>
      <c r="B985" s="19">
        <v>2.4760934642707801</v>
      </c>
      <c r="C985" s="19">
        <f t="shared" si="42"/>
        <v>3.138830322764008E-2</v>
      </c>
      <c r="D985" s="21">
        <f t="shared" si="43"/>
        <v>5.8680886016979905E-2</v>
      </c>
    </row>
    <row r="986" spans="1:4">
      <c r="A986" s="19" t="s">
        <v>851</v>
      </c>
      <c r="B986" s="19">
        <v>2.4447051610431401</v>
      </c>
      <c r="C986" s="19">
        <f t="shared" si="42"/>
        <v>-6.7365603361839721E-2</v>
      </c>
      <c r="D986" s="21">
        <f t="shared" si="43"/>
        <v>5.8683352744546238E-2</v>
      </c>
    </row>
    <row r="987" spans="1:4">
      <c r="A987" s="19" t="s">
        <v>850</v>
      </c>
      <c r="B987" s="19">
        <v>2.5120707644049798</v>
      </c>
      <c r="C987" s="19">
        <f t="shared" si="42"/>
        <v>-0.11382065145611042</v>
      </c>
      <c r="D987" s="21">
        <f t="shared" si="43"/>
        <v>5.9087064622510378E-2</v>
      </c>
    </row>
    <row r="988" spans="1:4">
      <c r="A988" s="19" t="s">
        <v>849</v>
      </c>
      <c r="B988" s="19">
        <v>2.6258914158610902</v>
      </c>
      <c r="C988" s="19">
        <f t="shared" si="42"/>
        <v>7.2144296971501376E-3</v>
      </c>
      <c r="D988" s="21">
        <f t="shared" si="43"/>
        <v>5.7327668478920339E-2</v>
      </c>
    </row>
    <row r="989" spans="1:4">
      <c r="A989" s="19" t="s">
        <v>848</v>
      </c>
      <c r="B989" s="19">
        <v>2.6186769861639401</v>
      </c>
      <c r="C989" s="19">
        <f t="shared" si="42"/>
        <v>-2.036011764126E-2</v>
      </c>
      <c r="D989" s="21">
        <f t="shared" si="43"/>
        <v>5.7318264073178526E-2</v>
      </c>
    </row>
    <row r="990" spans="1:4">
      <c r="A990" s="19" t="s">
        <v>847</v>
      </c>
      <c r="B990" s="19">
        <v>2.6390371038052001</v>
      </c>
      <c r="C990" s="19">
        <f t="shared" si="42"/>
        <v>-3.1157221298979909E-2</v>
      </c>
      <c r="D990" s="21">
        <f t="shared" si="43"/>
        <v>5.7379650486621345E-2</v>
      </c>
    </row>
    <row r="991" spans="1:4">
      <c r="A991" s="19" t="s">
        <v>846</v>
      </c>
      <c r="B991" s="19">
        <v>2.67019432510418</v>
      </c>
      <c r="C991" s="19">
        <f t="shared" si="42"/>
        <v>3.2060759101829817E-2</v>
      </c>
      <c r="D991" s="21">
        <f t="shared" si="43"/>
        <v>5.7411540535677645E-2</v>
      </c>
    </row>
    <row r="992" spans="1:4">
      <c r="A992" s="19" t="s">
        <v>845</v>
      </c>
      <c r="B992" s="19">
        <v>2.6381335660023502</v>
      </c>
      <c r="C992" s="19">
        <f t="shared" si="42"/>
        <v>0.13492310224974036</v>
      </c>
      <c r="D992" s="21">
        <f t="shared" si="43"/>
        <v>5.7454363197229706E-2</v>
      </c>
    </row>
    <row r="993" spans="1:4">
      <c r="A993" s="19" t="s">
        <v>844</v>
      </c>
      <c r="B993" s="19">
        <v>2.5032104637526098</v>
      </c>
      <c r="C993" s="19">
        <f t="shared" si="42"/>
        <v>7.0590675818799742E-2</v>
      </c>
      <c r="D993" s="21">
        <f t="shared" si="43"/>
        <v>5.5125265817790321E-2</v>
      </c>
    </row>
    <row r="994" spans="1:4">
      <c r="A994" s="19" t="s">
        <v>843</v>
      </c>
      <c r="B994" s="19">
        <v>2.4326197879338101</v>
      </c>
      <c r="C994" s="19">
        <f t="shared" si="42"/>
        <v>-4.7270928759299835E-3</v>
      </c>
      <c r="D994" s="21">
        <f t="shared" si="43"/>
        <v>5.4290290190085272E-2</v>
      </c>
    </row>
    <row r="995" spans="1:4">
      <c r="A995" s="19" t="s">
        <v>842</v>
      </c>
      <c r="B995" s="19">
        <v>2.43734688080974</v>
      </c>
      <c r="C995" s="19">
        <f t="shared" si="42"/>
        <v>-1.982386051149998E-2</v>
      </c>
      <c r="D995" s="21">
        <f t="shared" si="43"/>
        <v>5.4921428973912043E-2</v>
      </c>
    </row>
    <row r="996" spans="1:4">
      <c r="A996" s="19" t="s">
        <v>841</v>
      </c>
      <c r="B996" s="19">
        <v>2.45717074132124</v>
      </c>
      <c r="C996" s="19">
        <f t="shared" si="42"/>
        <v>3.2929575994500304E-3</v>
      </c>
      <c r="D996" s="21">
        <f t="shared" si="43"/>
        <v>5.4980335570483263E-2</v>
      </c>
    </row>
    <row r="997" spans="1:4">
      <c r="A997" s="19" t="s">
        <v>840</v>
      </c>
      <c r="B997" s="19">
        <v>2.45387778372179</v>
      </c>
      <c r="C997" s="19">
        <f t="shared" si="42"/>
        <v>-1.0950197492220148E-2</v>
      </c>
      <c r="D997" s="21">
        <f t="shared" si="43"/>
        <v>5.4969183249147915E-2</v>
      </c>
    </row>
    <row r="998" spans="1:4">
      <c r="A998" s="19" t="s">
        <v>839</v>
      </c>
      <c r="B998" s="19">
        <v>2.4648279812140101</v>
      </c>
      <c r="C998" s="19">
        <f t="shared" si="42"/>
        <v>5.4572534923200244E-2</v>
      </c>
      <c r="D998" s="21">
        <f t="shared" si="43"/>
        <v>5.5067127573590134E-2</v>
      </c>
    </row>
    <row r="999" spans="1:4">
      <c r="A999" s="19" t="s">
        <v>838</v>
      </c>
      <c r="B999" s="19">
        <v>2.4102554462908099</v>
      </c>
      <c r="C999" s="19">
        <f t="shared" si="42"/>
        <v>-1.6498648155410134E-2</v>
      </c>
      <c r="D999" s="21">
        <f t="shared" si="43"/>
        <v>5.4520518970507546E-2</v>
      </c>
    </row>
    <row r="1000" spans="1:4">
      <c r="A1000" s="19" t="s">
        <v>837</v>
      </c>
      <c r="B1000" s="19">
        <v>2.42675409444622</v>
      </c>
      <c r="C1000" s="19">
        <f t="shared" si="42"/>
        <v>9.0182203257390015E-2</v>
      </c>
      <c r="D1000" s="21">
        <f t="shared" si="43"/>
        <v>5.4506276274086718E-2</v>
      </c>
    </row>
    <row r="1001" spans="1:4">
      <c r="A1001" s="19" t="s">
        <v>836</v>
      </c>
      <c r="B1001" s="19">
        <v>2.33657189118883</v>
      </c>
      <c r="C1001" s="19">
        <f t="shared" si="42"/>
        <v>-2.930951843466989E-2</v>
      </c>
      <c r="D1001" s="21">
        <f t="shared" si="43"/>
        <v>5.3002534725926462E-2</v>
      </c>
    </row>
    <row r="1002" spans="1:4">
      <c r="A1002" s="19" t="s">
        <v>835</v>
      </c>
      <c r="B1002" s="19">
        <v>2.3658814096234999</v>
      </c>
      <c r="C1002" s="19">
        <f t="shared" si="42"/>
        <v>5.1285336861579989E-2</v>
      </c>
      <c r="D1002" s="21">
        <f t="shared" si="43"/>
        <v>5.2935365648638689E-2</v>
      </c>
    </row>
    <row r="1003" spans="1:4">
      <c r="A1003" s="19" t="s">
        <v>834</v>
      </c>
      <c r="B1003" s="19">
        <v>2.3145960727619199</v>
      </c>
      <c r="C1003" s="19">
        <f t="shared" si="42"/>
        <v>-2.1914680684619992E-2</v>
      </c>
      <c r="D1003" s="21">
        <f t="shared" si="43"/>
        <v>5.2400943341914752E-2</v>
      </c>
    </row>
    <row r="1004" spans="1:4">
      <c r="A1004" s="19" t="s">
        <v>833</v>
      </c>
      <c r="B1004" s="19">
        <v>2.3365107534465399</v>
      </c>
      <c r="C1004" s="19">
        <f t="shared" si="42"/>
        <v>-0.13202607401749988</v>
      </c>
      <c r="D1004" s="21">
        <f t="shared" si="43"/>
        <v>5.2455516992638535E-2</v>
      </c>
    </row>
    <row r="1005" spans="1:4">
      <c r="A1005" s="19" t="s">
        <v>832</v>
      </c>
      <c r="B1005" s="19">
        <v>2.4685368274640398</v>
      </c>
      <c r="C1005" s="19">
        <f t="shared" si="42"/>
        <v>0.18074697264105</v>
      </c>
      <c r="D1005" s="21">
        <f t="shared" si="43"/>
        <v>4.9953593348283795E-2</v>
      </c>
    </row>
    <row r="1006" spans="1:4">
      <c r="A1006" s="19" t="s">
        <v>831</v>
      </c>
      <c r="B1006" s="19">
        <v>2.2877898548229898</v>
      </c>
      <c r="C1006" s="19">
        <f t="shared" si="42"/>
        <v>2.4421830607579853E-2</v>
      </c>
      <c r="D1006" s="21">
        <f t="shared" si="43"/>
        <v>4.3478475314131369E-2</v>
      </c>
    </row>
    <row r="1007" spans="1:4">
      <c r="A1007" s="19" t="s">
        <v>830</v>
      </c>
      <c r="B1007" s="19">
        <v>2.2633680242154099</v>
      </c>
      <c r="C1007" s="19">
        <f t="shared" si="42"/>
        <v>1.6190034678320142E-2</v>
      </c>
      <c r="D1007" s="21">
        <f t="shared" si="43"/>
        <v>4.3595332383428956E-2</v>
      </c>
    </row>
    <row r="1008" spans="1:4">
      <c r="A1008" s="19" t="s">
        <v>829</v>
      </c>
      <c r="B1008" s="19">
        <v>2.2471779895370898</v>
      </c>
      <c r="C1008" s="19">
        <f t="shared" si="42"/>
        <v>-3.0053867288330149E-2</v>
      </c>
      <c r="D1008" s="21">
        <f t="shared" si="43"/>
        <v>4.3461762586051382E-2</v>
      </c>
    </row>
    <row r="1009" spans="1:4">
      <c r="A1009" s="19" t="s">
        <v>828</v>
      </c>
      <c r="B1009" s="19">
        <v>2.27723185682542</v>
      </c>
      <c r="C1009" s="19">
        <f t="shared" si="42"/>
        <v>-4.7728521841960081E-2</v>
      </c>
      <c r="D1009" s="21">
        <f t="shared" si="43"/>
        <v>4.3406958500400238E-2</v>
      </c>
    </row>
    <row r="1010" spans="1:4">
      <c r="A1010" s="19" t="s">
        <v>827</v>
      </c>
      <c r="B1010" s="19">
        <v>2.32496037866738</v>
      </c>
      <c r="C1010" s="19">
        <f t="shared" si="42"/>
        <v>-6.816136516700988E-2</v>
      </c>
      <c r="D1010" s="21">
        <f t="shared" si="43"/>
        <v>4.3207497729496683E-2</v>
      </c>
    </row>
    <row r="1011" spans="1:4">
      <c r="A1011" s="19" t="s">
        <v>826</v>
      </c>
      <c r="B1011" s="19">
        <v>2.3931217438343899</v>
      </c>
      <c r="C1011" s="19">
        <f t="shared" si="42"/>
        <v>1.727132103152984E-2</v>
      </c>
      <c r="D1011" s="21">
        <f t="shared" si="43"/>
        <v>4.2707275917066238E-2</v>
      </c>
    </row>
    <row r="1012" spans="1:4">
      <c r="A1012" s="19" t="s">
        <v>825</v>
      </c>
      <c r="B1012" s="19">
        <v>2.3758504228028601</v>
      </c>
      <c r="C1012" s="19">
        <f t="shared" si="42"/>
        <v>-6.0245495695899987E-2</v>
      </c>
      <c r="D1012" s="21">
        <f t="shared" si="43"/>
        <v>4.2870954472133765E-2</v>
      </c>
    </row>
    <row r="1013" spans="1:4">
      <c r="A1013" s="19" t="s">
        <v>824</v>
      </c>
      <c r="B1013" s="19">
        <v>2.4360959184987601</v>
      </c>
      <c r="C1013" s="19">
        <f t="shared" si="42"/>
        <v>3.9253546675869888E-2</v>
      </c>
      <c r="D1013" s="21">
        <f t="shared" si="43"/>
        <v>4.244851581881659E-2</v>
      </c>
    </row>
    <row r="1014" spans="1:4">
      <c r="A1014" s="19" t="s">
        <v>823</v>
      </c>
      <c r="B1014" s="19">
        <v>2.3968423718228902</v>
      </c>
      <c r="C1014" s="19">
        <f t="shared" si="42"/>
        <v>-6.166015803801983E-2</v>
      </c>
      <c r="D1014" s="21">
        <f t="shared" si="43"/>
        <v>4.2115750686174958E-2</v>
      </c>
    </row>
    <row r="1015" spans="1:4">
      <c r="A1015" s="19" t="s">
        <v>822</v>
      </c>
      <c r="B1015" s="19">
        <v>2.45850252986091</v>
      </c>
      <c r="C1015" s="19">
        <f t="shared" si="42"/>
        <v>5.5075883167090112E-2</v>
      </c>
      <c r="D1015" s="21">
        <f t="shared" si="43"/>
        <v>4.1781931201688653E-2</v>
      </c>
    </row>
    <row r="1016" spans="1:4">
      <c r="A1016" s="19" t="s">
        <v>821</v>
      </c>
      <c r="B1016" s="19">
        <v>2.4034266466938199</v>
      </c>
      <c r="C1016" s="19">
        <f t="shared" si="42"/>
        <v>-8.1906239673301684E-3</v>
      </c>
      <c r="D1016" s="21">
        <f t="shared" si="43"/>
        <v>4.1020389446619683E-2</v>
      </c>
    </row>
    <row r="1017" spans="1:4">
      <c r="A1017" s="19" t="s">
        <v>820</v>
      </c>
      <c r="B1017" s="19">
        <v>2.4116172706611501</v>
      </c>
      <c r="C1017" s="19">
        <f t="shared" si="42"/>
        <v>-1.1412548611029916E-2</v>
      </c>
      <c r="D1017" s="21">
        <f t="shared" si="43"/>
        <v>4.1490647189042718E-2</v>
      </c>
    </row>
    <row r="1018" spans="1:4">
      <c r="A1018" s="19" t="s">
        <v>819</v>
      </c>
      <c r="B1018" s="19">
        <v>2.42302981927218</v>
      </c>
      <c r="C1018" s="19">
        <f t="shared" si="42"/>
        <v>-2.6167390785849953E-2</v>
      </c>
      <c r="D1018" s="21">
        <f t="shared" si="43"/>
        <v>4.1495550331000004E-2</v>
      </c>
    </row>
    <row r="1019" spans="1:4">
      <c r="A1019" s="19" t="s">
        <v>818</v>
      </c>
      <c r="B1019" s="19">
        <v>2.4491972100580299</v>
      </c>
      <c r="C1019" s="19">
        <f t="shared" si="42"/>
        <v>-2.7450835672880203E-2</v>
      </c>
      <c r="D1019" s="21">
        <f t="shared" si="43"/>
        <v>4.1576914532420954E-2</v>
      </c>
    </row>
    <row r="1020" spans="1:4">
      <c r="A1020" s="19" t="s">
        <v>817</v>
      </c>
      <c r="B1020" s="19">
        <v>2.4766480457309101</v>
      </c>
      <c r="C1020" s="19">
        <f t="shared" si="42"/>
        <v>-7.9731467759639685E-2</v>
      </c>
      <c r="D1020" s="21">
        <f t="shared" si="43"/>
        <v>4.1907845369687675E-2</v>
      </c>
    </row>
    <row r="1021" spans="1:4">
      <c r="A1021" s="19" t="s">
        <v>816</v>
      </c>
      <c r="B1021" s="19">
        <v>2.5563795134905498</v>
      </c>
      <c r="C1021" s="19">
        <f t="shared" si="42"/>
        <v>-2.6902690057270195E-2</v>
      </c>
      <c r="D1021" s="21">
        <f t="shared" si="43"/>
        <v>4.0962196420117183E-2</v>
      </c>
    </row>
    <row r="1022" spans="1:4">
      <c r="A1022" s="19" t="s">
        <v>815</v>
      </c>
      <c r="B1022" s="19">
        <v>2.58328220354782</v>
      </c>
      <c r="C1022" s="19">
        <f t="shared" si="42"/>
        <v>3.7963761870769996E-2</v>
      </c>
      <c r="D1022" s="21">
        <f t="shared" si="43"/>
        <v>4.0874517852002586E-2</v>
      </c>
    </row>
    <row r="1023" spans="1:4">
      <c r="A1023" s="19" t="s">
        <v>814</v>
      </c>
      <c r="B1023" s="19">
        <v>2.54531844167705</v>
      </c>
      <c r="C1023" s="19">
        <f t="shared" si="42"/>
        <v>-7.8400413645769884E-2</v>
      </c>
      <c r="D1023" s="21">
        <f t="shared" si="43"/>
        <v>4.0509570687149242E-2</v>
      </c>
    </row>
    <row r="1024" spans="1:4">
      <c r="A1024" s="19" t="s">
        <v>813</v>
      </c>
      <c r="B1024" s="19">
        <v>2.6237188553228199</v>
      </c>
      <c r="C1024" s="19">
        <f t="shared" si="42"/>
        <v>7.2755251536630094E-2</v>
      </c>
      <c r="D1024" s="21">
        <f t="shared" si="43"/>
        <v>4.2236753704237469E-2</v>
      </c>
    </row>
    <row r="1025" spans="1:4">
      <c r="A1025" s="19" t="s">
        <v>812</v>
      </c>
      <c r="B1025" s="19">
        <v>2.5509636037861898</v>
      </c>
      <c r="C1025" s="19">
        <f t="shared" si="42"/>
        <v>-3.7708771154860266E-2</v>
      </c>
      <c r="D1025" s="21">
        <f t="shared" si="43"/>
        <v>4.1347041566150301E-2</v>
      </c>
    </row>
    <row r="1026" spans="1:4">
      <c r="A1026" s="19" t="s">
        <v>811</v>
      </c>
      <c r="B1026" s="19">
        <v>2.5886723749410501</v>
      </c>
      <c r="C1026" s="19">
        <f t="shared" ref="C1026:C1089" si="44">B1026-B1027</f>
        <v>-2.7714840317739853E-2</v>
      </c>
      <c r="D1026" s="21">
        <f t="shared" ref="D1026:D1089" si="45">STDEV(C1026:C1085)</f>
        <v>4.162877656197108E-2</v>
      </c>
    </row>
    <row r="1027" spans="1:4">
      <c r="A1027" s="19" t="s">
        <v>810</v>
      </c>
      <c r="B1027" s="19">
        <v>2.6163872152587899</v>
      </c>
      <c r="C1027" s="19">
        <f t="shared" si="44"/>
        <v>3.7886602541719938E-2</v>
      </c>
      <c r="D1027" s="21">
        <f t="shared" si="45"/>
        <v>4.4785300653016877E-2</v>
      </c>
    </row>
    <row r="1028" spans="1:4">
      <c r="A1028" s="19" t="s">
        <v>809</v>
      </c>
      <c r="B1028" s="19">
        <v>2.57850061271707</v>
      </c>
      <c r="C1028" s="19">
        <f t="shared" si="44"/>
        <v>-8.9691915324820126E-2</v>
      </c>
      <c r="D1028" s="21">
        <f t="shared" si="45"/>
        <v>4.4430442998917213E-2</v>
      </c>
    </row>
    <row r="1029" spans="1:4">
      <c r="A1029" s="19" t="s">
        <v>808</v>
      </c>
      <c r="B1029" s="19">
        <v>2.6681925280418901</v>
      </c>
      <c r="C1029" s="19">
        <f t="shared" si="44"/>
        <v>5.4147191409640083E-2</v>
      </c>
      <c r="D1029" s="21">
        <f t="shared" si="45"/>
        <v>4.3634987960039229E-2</v>
      </c>
    </row>
    <row r="1030" spans="1:4">
      <c r="A1030" s="19" t="s">
        <v>807</v>
      </c>
      <c r="B1030" s="19">
        <v>2.61404533663225</v>
      </c>
      <c r="C1030" s="19">
        <f t="shared" si="44"/>
        <v>-2.816667452480992E-2</v>
      </c>
      <c r="D1030" s="21">
        <f t="shared" si="45"/>
        <v>4.3068663912089418E-2</v>
      </c>
    </row>
    <row r="1031" spans="1:4">
      <c r="A1031" s="19" t="s">
        <v>806</v>
      </c>
      <c r="B1031" s="19">
        <v>2.6422120111570599</v>
      </c>
      <c r="C1031" s="19">
        <f t="shared" si="44"/>
        <v>4.3311198871039736E-2</v>
      </c>
      <c r="D1031" s="21">
        <f t="shared" si="45"/>
        <v>4.3093352742657985E-2</v>
      </c>
    </row>
    <row r="1032" spans="1:4">
      <c r="A1032" s="19" t="s">
        <v>805</v>
      </c>
      <c r="B1032" s="19">
        <v>2.5989008122860202</v>
      </c>
      <c r="C1032" s="19">
        <f t="shared" si="44"/>
        <v>3.7505253913203696E-3</v>
      </c>
      <c r="D1032" s="21">
        <f t="shared" si="45"/>
        <v>4.3564087547365855E-2</v>
      </c>
    </row>
    <row r="1033" spans="1:4">
      <c r="A1033" s="19" t="s">
        <v>804</v>
      </c>
      <c r="B1033" s="19">
        <v>2.5951502868946998</v>
      </c>
      <c r="C1033" s="19">
        <f t="shared" si="44"/>
        <v>-1.8397868049560007E-2</v>
      </c>
      <c r="D1033" s="21">
        <f t="shared" si="45"/>
        <v>4.3539013139057482E-2</v>
      </c>
    </row>
    <row r="1034" spans="1:4">
      <c r="A1034" s="19" t="s">
        <v>803</v>
      </c>
      <c r="B1034" s="19">
        <v>2.6135481549442598</v>
      </c>
      <c r="C1034" s="19">
        <f t="shared" si="44"/>
        <v>-1.7390625028160134E-2</v>
      </c>
      <c r="D1034" s="21">
        <f t="shared" si="45"/>
        <v>4.3569370742909501E-2</v>
      </c>
    </row>
    <row r="1035" spans="1:4">
      <c r="A1035" s="19" t="s">
        <v>802</v>
      </c>
      <c r="B1035" s="19">
        <v>2.63093877997242</v>
      </c>
      <c r="C1035" s="19">
        <f t="shared" si="44"/>
        <v>-2.1625840038200117E-2</v>
      </c>
      <c r="D1035" s="21">
        <f t="shared" si="45"/>
        <v>4.3570054645498416E-2</v>
      </c>
    </row>
    <row r="1036" spans="1:4">
      <c r="A1036" s="19" t="s">
        <v>801</v>
      </c>
      <c r="B1036" s="19">
        <v>2.6525646200106201</v>
      </c>
      <c r="C1036" s="19">
        <f t="shared" si="44"/>
        <v>-4.3394272611509965E-2</v>
      </c>
      <c r="D1036" s="21">
        <f t="shared" si="45"/>
        <v>4.461693900948048E-2</v>
      </c>
    </row>
    <row r="1037" spans="1:4">
      <c r="A1037" s="19" t="s">
        <v>800</v>
      </c>
      <c r="B1037" s="19">
        <v>2.6959588926221301</v>
      </c>
      <c r="C1037" s="19">
        <f t="shared" si="44"/>
        <v>5.6061996497279942E-2</v>
      </c>
      <c r="D1037" s="21">
        <f t="shared" si="45"/>
        <v>4.4437016822019969E-2</v>
      </c>
    </row>
    <row r="1038" spans="1:4">
      <c r="A1038" s="19" t="s">
        <v>799</v>
      </c>
      <c r="B1038" s="19">
        <v>2.6398968961248501</v>
      </c>
      <c r="C1038" s="19">
        <f t="shared" si="44"/>
        <v>-3.9208457848659783E-2</v>
      </c>
      <c r="D1038" s="21">
        <f t="shared" si="45"/>
        <v>4.6088360593583171E-2</v>
      </c>
    </row>
    <row r="1039" spans="1:4">
      <c r="A1039" s="19" t="s">
        <v>798</v>
      </c>
      <c r="B1039" s="19">
        <v>2.6791053539735099</v>
      </c>
      <c r="C1039" s="19">
        <f t="shared" si="44"/>
        <v>1.52679761046981E-3</v>
      </c>
      <c r="D1039" s="21">
        <f t="shared" si="45"/>
        <v>4.5983104282981947E-2</v>
      </c>
    </row>
    <row r="1040" spans="1:4">
      <c r="A1040" s="19" t="s">
        <v>797</v>
      </c>
      <c r="B1040" s="19">
        <v>2.6775785563630401</v>
      </c>
      <c r="C1040" s="19">
        <f t="shared" si="44"/>
        <v>-2.9411373631480053E-2</v>
      </c>
      <c r="D1040" s="21">
        <f t="shared" si="45"/>
        <v>4.5967206247232696E-2</v>
      </c>
    </row>
    <row r="1041" spans="1:4">
      <c r="A1041" s="19" t="s">
        <v>796</v>
      </c>
      <c r="B1041" s="19">
        <v>2.7069899299945201</v>
      </c>
      <c r="C1041" s="19">
        <f t="shared" si="44"/>
        <v>3.4830908195980115E-2</v>
      </c>
      <c r="D1041" s="21">
        <f t="shared" si="45"/>
        <v>5.1787859088723243E-2</v>
      </c>
    </row>
    <row r="1042" spans="1:4">
      <c r="A1042" s="19" t="s">
        <v>795</v>
      </c>
      <c r="B1042" s="19">
        <v>2.67215902179854</v>
      </c>
      <c r="C1042" s="19">
        <f t="shared" si="44"/>
        <v>4.9902967276870047E-2</v>
      </c>
      <c r="D1042" s="21">
        <f t="shared" si="45"/>
        <v>5.2565983466358081E-2</v>
      </c>
    </row>
    <row r="1043" spans="1:4">
      <c r="A1043" s="19" t="s">
        <v>794</v>
      </c>
      <c r="B1043" s="19">
        <v>2.62225605452167</v>
      </c>
      <c r="C1043" s="19">
        <f t="shared" si="44"/>
        <v>9.0669851286770076E-2</v>
      </c>
      <c r="D1043" s="21">
        <f t="shared" si="45"/>
        <v>5.2086311790927736E-2</v>
      </c>
    </row>
    <row r="1044" spans="1:4">
      <c r="A1044" s="19" t="s">
        <v>793</v>
      </c>
      <c r="B1044" s="19">
        <v>2.5315862032348999</v>
      </c>
      <c r="C1044" s="19">
        <f t="shared" si="44"/>
        <v>-0.11480432539961027</v>
      </c>
      <c r="D1044" s="21">
        <f t="shared" si="45"/>
        <v>5.0553629166214628E-2</v>
      </c>
    </row>
    <row r="1045" spans="1:4">
      <c r="A1045" s="19" t="s">
        <v>792</v>
      </c>
      <c r="B1045" s="19">
        <v>2.6463905286345102</v>
      </c>
      <c r="C1045" s="19">
        <f t="shared" si="44"/>
        <v>-3.8473733051749726E-2</v>
      </c>
      <c r="D1045" s="21">
        <f t="shared" si="45"/>
        <v>4.8779523365102377E-2</v>
      </c>
    </row>
    <row r="1046" spans="1:4">
      <c r="A1046" s="19" t="s">
        <v>791</v>
      </c>
      <c r="B1046" s="19">
        <v>2.6848642616862599</v>
      </c>
      <c r="C1046" s="19">
        <f t="shared" si="44"/>
        <v>-8.6623584105800067E-2</v>
      </c>
      <c r="D1046" s="21">
        <f t="shared" si="45"/>
        <v>4.8821510844404503E-2</v>
      </c>
    </row>
    <row r="1047" spans="1:4">
      <c r="A1047" s="19" t="s">
        <v>790</v>
      </c>
      <c r="B1047" s="19">
        <v>2.77148784579206</v>
      </c>
      <c r="C1047" s="19">
        <f t="shared" si="44"/>
        <v>8.0343498658401735E-3</v>
      </c>
      <c r="D1047" s="21">
        <f t="shared" si="45"/>
        <v>4.7774715916713277E-2</v>
      </c>
    </row>
    <row r="1048" spans="1:4">
      <c r="A1048" s="19" t="s">
        <v>789</v>
      </c>
      <c r="B1048" s="19">
        <v>2.7634534959262198</v>
      </c>
      <c r="C1048" s="19">
        <f t="shared" si="44"/>
        <v>2.9113086117900089E-3</v>
      </c>
      <c r="D1048" s="21">
        <f t="shared" si="45"/>
        <v>4.7782356219915494E-2</v>
      </c>
    </row>
    <row r="1049" spans="1:4">
      <c r="A1049" s="19" t="s">
        <v>788</v>
      </c>
      <c r="B1049" s="19">
        <v>2.7605421873144298</v>
      </c>
      <c r="C1049" s="19">
        <f t="shared" si="44"/>
        <v>2.546094032171986E-2</v>
      </c>
      <c r="D1049" s="21">
        <f t="shared" si="45"/>
        <v>4.7999724247623242E-2</v>
      </c>
    </row>
    <row r="1050" spans="1:4">
      <c r="A1050" s="19" t="s">
        <v>787</v>
      </c>
      <c r="B1050" s="19">
        <v>2.7350812469927099</v>
      </c>
      <c r="C1050" s="19">
        <f t="shared" si="44"/>
        <v>-3.4612338373340101E-2</v>
      </c>
      <c r="D1050" s="21">
        <f t="shared" si="45"/>
        <v>4.829419202342454E-2</v>
      </c>
    </row>
    <row r="1051" spans="1:4">
      <c r="A1051" s="19" t="s">
        <v>786</v>
      </c>
      <c r="B1051" s="19">
        <v>2.76969358536605</v>
      </c>
      <c r="C1051" s="19">
        <f t="shared" si="44"/>
        <v>3.6123479079110066E-2</v>
      </c>
      <c r="D1051" s="21">
        <f t="shared" si="45"/>
        <v>4.9034371197716357E-2</v>
      </c>
    </row>
    <row r="1052" spans="1:4">
      <c r="A1052" s="19" t="s">
        <v>785</v>
      </c>
      <c r="B1052" s="19">
        <v>2.73357010628694</v>
      </c>
      <c r="C1052" s="19">
        <f t="shared" si="44"/>
        <v>5.5598039952049927E-2</v>
      </c>
      <c r="D1052" s="21">
        <f t="shared" si="45"/>
        <v>4.8809757726279573E-2</v>
      </c>
    </row>
    <row r="1053" spans="1:4">
      <c r="A1053" s="19" t="s">
        <v>784</v>
      </c>
      <c r="B1053" s="19">
        <v>2.67797206633489</v>
      </c>
      <c r="C1053" s="19">
        <f t="shared" si="44"/>
        <v>6.13138012278025E-3</v>
      </c>
      <c r="D1053" s="21">
        <f t="shared" si="45"/>
        <v>4.8330232642396373E-2</v>
      </c>
    </row>
    <row r="1054" spans="1:4">
      <c r="A1054" s="19" t="s">
        <v>783</v>
      </c>
      <c r="B1054" s="19">
        <v>2.6718406862121098</v>
      </c>
      <c r="C1054" s="19">
        <f t="shared" si="44"/>
        <v>-6.8288012123130404E-2</v>
      </c>
      <c r="D1054" s="21">
        <f t="shared" si="45"/>
        <v>4.8354650076343514E-2</v>
      </c>
    </row>
    <row r="1055" spans="1:4">
      <c r="A1055" s="19" t="s">
        <v>782</v>
      </c>
      <c r="B1055" s="19">
        <v>2.7401286983352402</v>
      </c>
      <c r="C1055" s="19">
        <f t="shared" si="44"/>
        <v>-2.9580489652319741E-2</v>
      </c>
      <c r="D1055" s="21">
        <f t="shared" si="45"/>
        <v>4.7817384105056045E-2</v>
      </c>
    </row>
    <row r="1056" spans="1:4">
      <c r="A1056" s="19" t="s">
        <v>781</v>
      </c>
      <c r="B1056" s="19">
        <v>2.7697091879875599</v>
      </c>
      <c r="C1056" s="19">
        <f t="shared" si="44"/>
        <v>-4.265723849040004E-3</v>
      </c>
      <c r="D1056" s="21">
        <f t="shared" si="45"/>
        <v>4.8087752321728149E-2</v>
      </c>
    </row>
    <row r="1057" spans="1:4">
      <c r="A1057" s="19" t="s">
        <v>780</v>
      </c>
      <c r="B1057" s="19">
        <v>2.7739749118365999</v>
      </c>
      <c r="C1057" s="19">
        <f t="shared" si="44"/>
        <v>-3.1302295878799846E-2</v>
      </c>
      <c r="D1057" s="21">
        <f t="shared" si="45"/>
        <v>4.8653351006888543E-2</v>
      </c>
    </row>
    <row r="1058" spans="1:4">
      <c r="A1058" s="19" t="s">
        <v>779</v>
      </c>
      <c r="B1058" s="19">
        <v>2.8052772077153998</v>
      </c>
      <c r="C1058" s="19">
        <f t="shared" si="44"/>
        <v>-1.9330656002480406E-2</v>
      </c>
      <c r="D1058" s="21">
        <f t="shared" si="45"/>
        <v>4.8740888842513888E-2</v>
      </c>
    </row>
    <row r="1059" spans="1:4">
      <c r="A1059" s="19" t="s">
        <v>778</v>
      </c>
      <c r="B1059" s="19">
        <v>2.8246078637178802</v>
      </c>
      <c r="C1059" s="19">
        <f t="shared" si="44"/>
        <v>-8.1564341220197178E-3</v>
      </c>
      <c r="D1059" s="21">
        <f t="shared" si="45"/>
        <v>4.9096786241626673E-2</v>
      </c>
    </row>
    <row r="1060" spans="1:4">
      <c r="A1060" s="19" t="s">
        <v>777</v>
      </c>
      <c r="B1060" s="19">
        <v>2.8327642978398999</v>
      </c>
      <c r="C1060" s="19">
        <f t="shared" si="44"/>
        <v>-1.2938024094069966E-2</v>
      </c>
      <c r="D1060" s="21">
        <f t="shared" si="45"/>
        <v>4.9118877911786513E-2</v>
      </c>
    </row>
    <row r="1061" spans="1:4">
      <c r="A1061" s="19" t="s">
        <v>776</v>
      </c>
      <c r="B1061" s="19">
        <v>2.8457023219339699</v>
      </c>
      <c r="C1061" s="19">
        <f t="shared" si="44"/>
        <v>-1.2771372245670154E-2</v>
      </c>
      <c r="D1061" s="21">
        <f t="shared" si="45"/>
        <v>4.9541379105309785E-2</v>
      </c>
    </row>
    <row r="1062" spans="1:4">
      <c r="A1062" s="19" t="s">
        <v>775</v>
      </c>
      <c r="B1062" s="19">
        <v>2.85847369417964</v>
      </c>
      <c r="C1062" s="19">
        <f t="shared" si="44"/>
        <v>7.6055700016501859E-3</v>
      </c>
      <c r="D1062" s="21">
        <f t="shared" si="45"/>
        <v>4.9519212747237265E-2</v>
      </c>
    </row>
    <row r="1063" spans="1:4">
      <c r="A1063" s="19" t="s">
        <v>774</v>
      </c>
      <c r="B1063" s="19">
        <v>2.8508681241779898</v>
      </c>
      <c r="C1063" s="19">
        <f t="shared" si="44"/>
        <v>-3.1466513637650184E-2</v>
      </c>
      <c r="D1063" s="21">
        <f t="shared" si="45"/>
        <v>4.9738622426706292E-2</v>
      </c>
    </row>
    <row r="1064" spans="1:4">
      <c r="A1064" s="19" t="s">
        <v>773</v>
      </c>
      <c r="B1064" s="19">
        <v>2.88233463781564</v>
      </c>
      <c r="C1064" s="19">
        <f t="shared" si="44"/>
        <v>8.9536828068199625E-3</v>
      </c>
      <c r="D1064" s="21">
        <f t="shared" si="45"/>
        <v>5.0583674591049572E-2</v>
      </c>
    </row>
    <row r="1065" spans="1:4">
      <c r="A1065" s="19" t="s">
        <v>772</v>
      </c>
      <c r="B1065" s="19">
        <v>2.8733809550088201</v>
      </c>
      <c r="C1065" s="19">
        <f t="shared" si="44"/>
        <v>-1.7467477330650016E-2</v>
      </c>
      <c r="D1065" s="21">
        <f t="shared" si="45"/>
        <v>5.0717219159186713E-2</v>
      </c>
    </row>
    <row r="1066" spans="1:4">
      <c r="A1066" s="19" t="s">
        <v>771</v>
      </c>
      <c r="B1066" s="19">
        <v>2.8908484323394701</v>
      </c>
      <c r="C1066" s="19">
        <f t="shared" si="44"/>
        <v>3.2254260661670031E-2</v>
      </c>
      <c r="D1066" s="21">
        <f t="shared" si="45"/>
        <v>5.082169101782813E-2</v>
      </c>
    </row>
    <row r="1067" spans="1:4">
      <c r="A1067" s="19" t="s">
        <v>770</v>
      </c>
      <c r="B1067" s="19">
        <v>2.8585941716778001</v>
      </c>
      <c r="C1067" s="19">
        <f t="shared" si="44"/>
        <v>-1.3077945133900037E-2</v>
      </c>
      <c r="D1067" s="21">
        <f t="shared" si="45"/>
        <v>5.1084963068842852E-2</v>
      </c>
    </row>
    <row r="1068" spans="1:4">
      <c r="A1068" s="19" t="s">
        <v>769</v>
      </c>
      <c r="B1068" s="19">
        <v>2.8716721168117001</v>
      </c>
      <c r="C1068" s="19">
        <f t="shared" si="44"/>
        <v>-2.0728856792830097E-2</v>
      </c>
      <c r="D1068" s="21">
        <f t="shared" si="45"/>
        <v>5.2436267291959077E-2</v>
      </c>
    </row>
    <row r="1069" spans="1:4">
      <c r="A1069" s="19" t="s">
        <v>768</v>
      </c>
      <c r="B1069" s="19">
        <v>2.8924009736045302</v>
      </c>
      <c r="C1069" s="19">
        <f t="shared" si="44"/>
        <v>-3.0010487796469754E-2</v>
      </c>
      <c r="D1069" s="21">
        <f t="shared" si="45"/>
        <v>5.2907864510620448E-2</v>
      </c>
    </row>
    <row r="1070" spans="1:4">
      <c r="A1070" s="19" t="s">
        <v>767</v>
      </c>
      <c r="B1070" s="19">
        <v>2.9224114614009999</v>
      </c>
      <c r="C1070" s="19">
        <f t="shared" si="44"/>
        <v>2.1441341603360087E-2</v>
      </c>
      <c r="D1070" s="21">
        <f t="shared" si="45"/>
        <v>5.2746258252246644E-2</v>
      </c>
    </row>
    <row r="1071" spans="1:4">
      <c r="A1071" s="19" t="s">
        <v>766</v>
      </c>
      <c r="B1071" s="19">
        <v>2.9009701197976399</v>
      </c>
      <c r="C1071" s="19">
        <f t="shared" si="44"/>
        <v>3.0155968906739883E-2</v>
      </c>
      <c r="D1071" s="21">
        <f t="shared" si="45"/>
        <v>5.2878024929942917E-2</v>
      </c>
    </row>
    <row r="1072" spans="1:4">
      <c r="A1072" s="19" t="s">
        <v>765</v>
      </c>
      <c r="B1072" s="19">
        <v>2.8708141508909</v>
      </c>
      <c r="C1072" s="19">
        <f t="shared" si="44"/>
        <v>-3.2537210740950062E-2</v>
      </c>
      <c r="D1072" s="21">
        <f t="shared" si="45"/>
        <v>5.274435363274959E-2</v>
      </c>
    </row>
    <row r="1073" spans="1:4">
      <c r="A1073" s="19" t="s">
        <v>764</v>
      </c>
      <c r="B1073" s="19">
        <v>2.90335136163185</v>
      </c>
      <c r="C1073" s="19">
        <f t="shared" si="44"/>
        <v>1.5912335181900161E-2</v>
      </c>
      <c r="D1073" s="21">
        <f t="shared" si="45"/>
        <v>5.2775825821444335E-2</v>
      </c>
    </row>
    <row r="1074" spans="1:4">
      <c r="A1074" s="19" t="s">
        <v>763</v>
      </c>
      <c r="B1074" s="19">
        <v>2.8874390264499499</v>
      </c>
      <c r="C1074" s="19">
        <f t="shared" si="44"/>
        <v>-4.3017508036359953E-2</v>
      </c>
      <c r="D1074" s="21">
        <f t="shared" si="45"/>
        <v>5.3349542369785778E-2</v>
      </c>
    </row>
    <row r="1075" spans="1:4">
      <c r="A1075" s="19" t="s">
        <v>762</v>
      </c>
      <c r="B1075" s="19">
        <v>2.9304565344863098</v>
      </c>
      <c r="C1075" s="19">
        <f t="shared" si="44"/>
        <v>-2.664300411662035E-2</v>
      </c>
      <c r="D1075" s="21">
        <f t="shared" si="45"/>
        <v>5.3529546002516776E-2</v>
      </c>
    </row>
    <row r="1076" spans="1:4">
      <c r="A1076" s="19" t="s">
        <v>761</v>
      </c>
      <c r="B1076" s="19">
        <v>2.9570995386029302</v>
      </c>
      <c r="C1076" s="19">
        <f t="shared" si="44"/>
        <v>3.9016323049480217E-2</v>
      </c>
      <c r="D1076" s="21">
        <f t="shared" si="45"/>
        <v>5.3444218449523677E-2</v>
      </c>
    </row>
    <row r="1077" spans="1:4">
      <c r="A1077" s="19" t="s">
        <v>760</v>
      </c>
      <c r="B1077" s="19">
        <v>2.91808321555345</v>
      </c>
      <c r="C1077" s="19">
        <f t="shared" si="44"/>
        <v>-1.4182534966610039E-2</v>
      </c>
      <c r="D1077" s="21">
        <f t="shared" si="45"/>
        <v>5.3195984979135386E-2</v>
      </c>
    </row>
    <row r="1078" spans="1:4">
      <c r="A1078" s="19" t="s">
        <v>759</v>
      </c>
      <c r="B1078" s="19">
        <v>2.93226575052006</v>
      </c>
      <c r="C1078" s="19">
        <f t="shared" si="44"/>
        <v>-3.518427397027013E-2</v>
      </c>
      <c r="D1078" s="21">
        <f t="shared" si="45"/>
        <v>5.3190577458175438E-2</v>
      </c>
    </row>
    <row r="1079" spans="1:4">
      <c r="A1079" s="19" t="s">
        <v>758</v>
      </c>
      <c r="B1079" s="19">
        <v>2.9674500244903301</v>
      </c>
      <c r="C1079" s="19">
        <f t="shared" si="44"/>
        <v>3.6666879652849982E-2</v>
      </c>
      <c r="D1079" s="21">
        <f t="shared" si="45"/>
        <v>5.3592372673204575E-2</v>
      </c>
    </row>
    <row r="1080" spans="1:4">
      <c r="A1080" s="19" t="s">
        <v>757</v>
      </c>
      <c r="B1080" s="19">
        <v>2.9307831448374801</v>
      </c>
      <c r="C1080" s="19">
        <f t="shared" si="44"/>
        <v>1.9797905268690297E-2</v>
      </c>
      <c r="D1080" s="21">
        <f t="shared" si="45"/>
        <v>5.3635436914120746E-2</v>
      </c>
    </row>
    <row r="1081" spans="1:4">
      <c r="A1081" s="19" t="s">
        <v>756</v>
      </c>
      <c r="B1081" s="19">
        <v>2.9109852395687899</v>
      </c>
      <c r="C1081" s="19">
        <f t="shared" si="44"/>
        <v>-5.308752704999975E-4</v>
      </c>
      <c r="D1081" s="21">
        <f t="shared" si="45"/>
        <v>5.3900708628230327E-2</v>
      </c>
    </row>
    <row r="1082" spans="1:4">
      <c r="A1082" s="19" t="s">
        <v>755</v>
      </c>
      <c r="B1082" s="19">
        <v>2.9115161148392898</v>
      </c>
      <c r="C1082" s="19">
        <f t="shared" si="44"/>
        <v>-1.9205959916260174E-2</v>
      </c>
      <c r="D1082" s="21">
        <f t="shared" si="45"/>
        <v>5.411869271383276E-2</v>
      </c>
    </row>
    <row r="1083" spans="1:4">
      <c r="A1083" s="19" t="s">
        <v>754</v>
      </c>
      <c r="B1083" s="19">
        <v>2.93072207475555</v>
      </c>
      <c r="C1083" s="19">
        <f t="shared" si="44"/>
        <v>-0.12324106162192017</v>
      </c>
      <c r="D1083" s="21">
        <f t="shared" si="45"/>
        <v>5.4218933886974151E-2</v>
      </c>
    </row>
    <row r="1084" spans="1:4">
      <c r="A1084" s="19" t="s">
        <v>753</v>
      </c>
      <c r="B1084" s="19">
        <v>3.0539631363774702</v>
      </c>
      <c r="C1084" s="19">
        <f t="shared" si="44"/>
        <v>-5.4835413126849808E-2</v>
      </c>
      <c r="D1084" s="21">
        <f t="shared" si="45"/>
        <v>5.1935139826178908E-2</v>
      </c>
    </row>
    <row r="1085" spans="1:4">
      <c r="A1085" s="19" t="s">
        <v>752</v>
      </c>
      <c r="B1085" s="19">
        <v>3.10879854950432</v>
      </c>
      <c r="C1085" s="19">
        <f t="shared" si="44"/>
        <v>-5.6117296050219867E-2</v>
      </c>
      <c r="D1085" s="21">
        <f t="shared" si="45"/>
        <v>5.1635102942159186E-2</v>
      </c>
    </row>
    <row r="1086" spans="1:4">
      <c r="A1086" s="19" t="s">
        <v>751</v>
      </c>
      <c r="B1086" s="19">
        <v>3.1649158455545399</v>
      </c>
      <c r="C1086" s="19">
        <f t="shared" si="44"/>
        <v>0.11995189032693965</v>
      </c>
      <c r="D1086" s="21">
        <f t="shared" si="45"/>
        <v>5.1060147827269732E-2</v>
      </c>
    </row>
    <row r="1087" spans="1:4">
      <c r="A1087" s="19" t="s">
        <v>750</v>
      </c>
      <c r="B1087" s="19">
        <v>3.0449639552276002</v>
      </c>
      <c r="C1087" s="19">
        <f t="shared" si="44"/>
        <v>-2.1957620186349835E-2</v>
      </c>
      <c r="D1087" s="21">
        <f t="shared" si="45"/>
        <v>4.9315097516776901E-2</v>
      </c>
    </row>
    <row r="1088" spans="1:4">
      <c r="A1088" s="19" t="s">
        <v>749</v>
      </c>
      <c r="B1088" s="19">
        <v>3.0669215754139501</v>
      </c>
      <c r="C1088" s="19">
        <f t="shared" si="44"/>
        <v>4.4961210114319972E-2</v>
      </c>
      <c r="D1088" s="21">
        <f t="shared" si="45"/>
        <v>5.0514183517030721E-2</v>
      </c>
    </row>
    <row r="1089" spans="1:4">
      <c r="A1089" s="19" t="s">
        <v>748</v>
      </c>
      <c r="B1089" s="19">
        <v>3.0219603652996301</v>
      </c>
      <c r="C1089" s="19">
        <f t="shared" si="44"/>
        <v>-3.4883522680480006E-2</v>
      </c>
      <c r="D1089" s="21">
        <f t="shared" si="45"/>
        <v>5.0187746596708202E-2</v>
      </c>
    </row>
    <row r="1090" spans="1:4">
      <c r="A1090" s="19" t="s">
        <v>747</v>
      </c>
      <c r="B1090" s="19">
        <v>3.0568438879801101</v>
      </c>
      <c r="C1090" s="19">
        <f t="shared" ref="C1090:C1153" si="46">B1090-B1091</f>
        <v>1.6940911036260164E-2</v>
      </c>
      <c r="D1090" s="21">
        <f t="shared" ref="D1090:D1153" si="47">STDEV(C1090:C1149)</f>
        <v>5.0083145287489146E-2</v>
      </c>
    </row>
    <row r="1091" spans="1:4">
      <c r="A1091" s="19" t="s">
        <v>746</v>
      </c>
      <c r="B1091" s="19">
        <v>3.0399029769438499</v>
      </c>
      <c r="C1091" s="19">
        <f t="shared" si="46"/>
        <v>-7.8374253842699915E-2</v>
      </c>
      <c r="D1091" s="21">
        <f t="shared" si="47"/>
        <v>5.0063031933049139E-2</v>
      </c>
    </row>
    <row r="1092" spans="1:4">
      <c r="A1092" s="19" t="s">
        <v>745</v>
      </c>
      <c r="B1092" s="19">
        <v>3.1182772307865498</v>
      </c>
      <c r="C1092" s="19">
        <f t="shared" si="46"/>
        <v>-1.4171959390240296E-2</v>
      </c>
      <c r="D1092" s="21">
        <f t="shared" si="47"/>
        <v>4.9063187784513414E-2</v>
      </c>
    </row>
    <row r="1093" spans="1:4">
      <c r="A1093" s="19" t="s">
        <v>744</v>
      </c>
      <c r="B1093" s="19">
        <v>3.1324491901767901</v>
      </c>
      <c r="C1093" s="19">
        <f t="shared" si="46"/>
        <v>-2.4634139662049748E-2</v>
      </c>
      <c r="D1093" s="21">
        <f t="shared" si="47"/>
        <v>5.0886590079586132E-2</v>
      </c>
    </row>
    <row r="1094" spans="1:4">
      <c r="A1094" s="19" t="s">
        <v>743</v>
      </c>
      <c r="B1094" s="19">
        <v>3.1570833298388399</v>
      </c>
      <c r="C1094" s="19">
        <f t="shared" si="46"/>
        <v>-2.3634031661012855E-4</v>
      </c>
      <c r="D1094" s="21">
        <f t="shared" si="47"/>
        <v>5.0839863426723961E-2</v>
      </c>
    </row>
    <row r="1095" spans="1:4">
      <c r="A1095" s="19" t="s">
        <v>742</v>
      </c>
      <c r="B1095" s="19">
        <v>3.15731967015545</v>
      </c>
      <c r="C1095" s="19">
        <f t="shared" si="46"/>
        <v>-8.412062205159998E-2</v>
      </c>
      <c r="D1095" s="21">
        <f t="shared" si="47"/>
        <v>5.1753662757672111E-2</v>
      </c>
    </row>
    <row r="1096" spans="1:4">
      <c r="A1096" s="19" t="s">
        <v>741</v>
      </c>
      <c r="B1096" s="19">
        <v>3.24144029220705</v>
      </c>
      <c r="C1096" s="19">
        <f t="shared" si="46"/>
        <v>5.0645248679699328E-3</v>
      </c>
      <c r="D1096" s="21">
        <f t="shared" si="47"/>
        <v>5.0559582106258473E-2</v>
      </c>
    </row>
    <row r="1097" spans="1:4">
      <c r="A1097" s="19" t="s">
        <v>740</v>
      </c>
      <c r="B1097" s="19">
        <v>3.2363757673390801</v>
      </c>
      <c r="C1097" s="19">
        <f t="shared" si="46"/>
        <v>0.10542381683236002</v>
      </c>
      <c r="D1097" s="21">
        <f t="shared" si="47"/>
        <v>5.0768260067846703E-2</v>
      </c>
    </row>
    <row r="1098" spans="1:4">
      <c r="A1098" s="19" t="s">
        <v>739</v>
      </c>
      <c r="B1098" s="19">
        <v>3.13095195050672</v>
      </c>
      <c r="C1098" s="19">
        <f t="shared" si="46"/>
        <v>-2.8003905879229851E-2</v>
      </c>
      <c r="D1098" s="21">
        <f t="shared" si="47"/>
        <v>4.9966629874595152E-2</v>
      </c>
    </row>
    <row r="1099" spans="1:4">
      <c r="A1099" s="19" t="s">
        <v>738</v>
      </c>
      <c r="B1099" s="19">
        <v>3.1589558563859499</v>
      </c>
      <c r="C1099" s="19">
        <f t="shared" si="46"/>
        <v>-1.0629504246880028E-2</v>
      </c>
      <c r="D1099" s="21">
        <f t="shared" si="47"/>
        <v>4.984235439971977E-2</v>
      </c>
    </row>
    <row r="1100" spans="1:4">
      <c r="A1100" s="19" t="s">
        <v>737</v>
      </c>
      <c r="B1100" s="19">
        <v>3.1695853606328299</v>
      </c>
      <c r="C1100" s="19">
        <f t="shared" si="46"/>
        <v>0.1781841187567399</v>
      </c>
      <c r="D1100" s="21">
        <f t="shared" si="47"/>
        <v>5.0280826339600973E-2</v>
      </c>
    </row>
    <row r="1101" spans="1:4">
      <c r="A1101" s="19" t="s">
        <v>736</v>
      </c>
      <c r="B1101" s="19">
        <v>2.99140124187609</v>
      </c>
      <c r="C1101" s="19">
        <f t="shared" si="46"/>
        <v>7.5158451848490238E-2</v>
      </c>
      <c r="D1101" s="21">
        <f t="shared" si="47"/>
        <v>4.4976268589635278E-2</v>
      </c>
    </row>
    <row r="1102" spans="1:4">
      <c r="A1102" s="19" t="s">
        <v>735</v>
      </c>
      <c r="B1102" s="19">
        <v>2.9162427900275998</v>
      </c>
      <c r="C1102" s="19">
        <f t="shared" si="46"/>
        <v>-5.7079454719199951E-3</v>
      </c>
      <c r="D1102" s="21">
        <f t="shared" si="47"/>
        <v>4.4848293791148734E-2</v>
      </c>
    </row>
    <row r="1103" spans="1:4">
      <c r="A1103" s="19" t="s">
        <v>734</v>
      </c>
      <c r="B1103" s="19">
        <v>2.9219507354995198</v>
      </c>
      <c r="C1103" s="19">
        <f t="shared" si="46"/>
        <v>-1.1689544841030131E-2</v>
      </c>
      <c r="D1103" s="21">
        <f t="shared" si="47"/>
        <v>4.5170855406518141E-2</v>
      </c>
    </row>
    <row r="1104" spans="1:4">
      <c r="A1104" s="19" t="s">
        <v>733</v>
      </c>
      <c r="B1104" s="19">
        <v>2.9336402803405499</v>
      </c>
      <c r="C1104" s="19">
        <f t="shared" si="46"/>
        <v>3.401842259424992E-2</v>
      </c>
      <c r="D1104" s="21">
        <f t="shared" si="47"/>
        <v>4.5162853623997572E-2</v>
      </c>
    </row>
    <row r="1105" spans="1:4">
      <c r="A1105" s="19" t="s">
        <v>732</v>
      </c>
      <c r="B1105" s="19">
        <v>2.8996218577463</v>
      </c>
      <c r="C1105" s="19">
        <f t="shared" si="46"/>
        <v>3.4560473741370057E-2</v>
      </c>
      <c r="D1105" s="21">
        <f t="shared" si="47"/>
        <v>4.614100962208792E-2</v>
      </c>
    </row>
    <row r="1106" spans="1:4">
      <c r="A1106" s="19" t="s">
        <v>731</v>
      </c>
      <c r="B1106" s="19">
        <v>2.8650613840049299</v>
      </c>
      <c r="C1106" s="19">
        <f t="shared" si="46"/>
        <v>-3.570938047575023E-2</v>
      </c>
      <c r="D1106" s="21">
        <f t="shared" si="47"/>
        <v>4.6030437049134752E-2</v>
      </c>
    </row>
    <row r="1107" spans="1:4">
      <c r="A1107" s="19" t="s">
        <v>730</v>
      </c>
      <c r="B1107" s="19">
        <v>2.9007707644806802</v>
      </c>
      <c r="C1107" s="19">
        <f t="shared" si="46"/>
        <v>9.9677582633201922E-3</v>
      </c>
      <c r="D1107" s="21">
        <f t="shared" si="47"/>
        <v>4.6900718200990309E-2</v>
      </c>
    </row>
    <row r="1108" spans="1:4">
      <c r="A1108" s="19" t="s">
        <v>729</v>
      </c>
      <c r="B1108" s="19">
        <v>2.89080300621736</v>
      </c>
      <c r="C1108" s="19">
        <f t="shared" si="46"/>
        <v>-3.7920596654439809E-2</v>
      </c>
      <c r="D1108" s="21">
        <f t="shared" si="47"/>
        <v>4.6922691292056541E-2</v>
      </c>
    </row>
    <row r="1109" spans="1:4">
      <c r="A1109" s="19" t="s">
        <v>728</v>
      </c>
      <c r="B1109" s="19">
        <v>2.9287236028717998</v>
      </c>
      <c r="C1109" s="19">
        <f t="shared" si="46"/>
        <v>4.6992056529899795E-2</v>
      </c>
      <c r="D1109" s="21">
        <f t="shared" si="47"/>
        <v>4.6770337556967689E-2</v>
      </c>
    </row>
    <row r="1110" spans="1:4">
      <c r="A1110" s="19" t="s">
        <v>727</v>
      </c>
      <c r="B1110" s="19">
        <v>2.8817315463419</v>
      </c>
      <c r="C1110" s="19">
        <f t="shared" si="46"/>
        <v>7.1535378708010189E-2</v>
      </c>
      <c r="D1110" s="21">
        <f t="shared" si="47"/>
        <v>4.6980541975380652E-2</v>
      </c>
    </row>
    <row r="1111" spans="1:4">
      <c r="A1111" s="19" t="s">
        <v>726</v>
      </c>
      <c r="B1111" s="19">
        <v>2.8101961676338898</v>
      </c>
      <c r="C1111" s="19">
        <f t="shared" si="46"/>
        <v>-1.0342884267940278E-2</v>
      </c>
      <c r="D1111" s="21">
        <f t="shared" si="47"/>
        <v>4.615506574118107E-2</v>
      </c>
    </row>
    <row r="1112" spans="1:4">
      <c r="A1112" s="19" t="s">
        <v>725</v>
      </c>
      <c r="B1112" s="19">
        <v>2.8205390519018301</v>
      </c>
      <c r="C1112" s="19">
        <f t="shared" si="46"/>
        <v>-2.6308026466059786E-2</v>
      </c>
      <c r="D1112" s="21">
        <f t="shared" si="47"/>
        <v>4.6152108706323892E-2</v>
      </c>
    </row>
    <row r="1113" spans="1:4">
      <c r="A1113" s="19" t="s">
        <v>724</v>
      </c>
      <c r="B1113" s="19">
        <v>2.8468470783678899</v>
      </c>
      <c r="C1113" s="19">
        <f t="shared" si="46"/>
        <v>1.2014242258209684E-2</v>
      </c>
      <c r="D1113" s="21">
        <f t="shared" si="47"/>
        <v>4.6075237125528364E-2</v>
      </c>
    </row>
    <row r="1114" spans="1:4">
      <c r="A1114" s="19" t="s">
        <v>723</v>
      </c>
      <c r="B1114" s="19">
        <v>2.8348328361096802</v>
      </c>
      <c r="C1114" s="19">
        <f t="shared" si="46"/>
        <v>-3.8298557133619848E-2</v>
      </c>
      <c r="D1114" s="21">
        <f t="shared" si="47"/>
        <v>4.6165934591029002E-2</v>
      </c>
    </row>
    <row r="1115" spans="1:4">
      <c r="A1115" s="19" t="s">
        <v>722</v>
      </c>
      <c r="B1115" s="19">
        <v>2.8731313932433</v>
      </c>
      <c r="C1115" s="19">
        <f t="shared" si="46"/>
        <v>-5.0024605523499854E-2</v>
      </c>
      <c r="D1115" s="21">
        <f t="shared" si="47"/>
        <v>4.7219730497466028E-2</v>
      </c>
    </row>
    <row r="1116" spans="1:4">
      <c r="A1116" s="19" t="s">
        <v>721</v>
      </c>
      <c r="B1116" s="19">
        <v>2.9231559987667999</v>
      </c>
      <c r="C1116" s="19">
        <f t="shared" si="46"/>
        <v>5.4795292829100006E-2</v>
      </c>
      <c r="D1116" s="21">
        <f t="shared" si="47"/>
        <v>4.6844547718794337E-2</v>
      </c>
    </row>
    <row r="1117" spans="1:4">
      <c r="A1117" s="19" t="s">
        <v>720</v>
      </c>
      <c r="B1117" s="19">
        <v>2.8683607059376999</v>
      </c>
      <c r="C1117" s="19">
        <f t="shared" si="46"/>
        <v>3.6687644872429814E-2</v>
      </c>
      <c r="D1117" s="21">
        <f t="shared" si="47"/>
        <v>4.6350649088934361E-2</v>
      </c>
    </row>
    <row r="1118" spans="1:4">
      <c r="A1118" s="19" t="s">
        <v>719</v>
      </c>
      <c r="B1118" s="19">
        <v>2.8316730610652701</v>
      </c>
      <c r="C1118" s="19">
        <f t="shared" si="46"/>
        <v>4.9461188656700017E-2</v>
      </c>
      <c r="D1118" s="21">
        <f t="shared" si="47"/>
        <v>4.6195756502597558E-2</v>
      </c>
    </row>
    <row r="1119" spans="1:4">
      <c r="A1119" s="19" t="s">
        <v>718</v>
      </c>
      <c r="B1119" s="19">
        <v>2.78221187240857</v>
      </c>
      <c r="C1119" s="19">
        <f t="shared" si="46"/>
        <v>1.5397235040920165E-2</v>
      </c>
      <c r="D1119" s="21">
        <f t="shared" si="47"/>
        <v>4.6199295498823886E-2</v>
      </c>
    </row>
    <row r="1120" spans="1:4">
      <c r="A1120" s="19" t="s">
        <v>717</v>
      </c>
      <c r="B1120" s="19">
        <v>2.7668146373676499</v>
      </c>
      <c r="C1120" s="19">
        <f t="shared" si="46"/>
        <v>-5.0670835001480174E-2</v>
      </c>
      <c r="D1120" s="21">
        <f t="shared" si="47"/>
        <v>4.6284369574009554E-2</v>
      </c>
    </row>
    <row r="1121" spans="1:4">
      <c r="A1121" s="19" t="s">
        <v>716</v>
      </c>
      <c r="B1121" s="19">
        <v>2.8174854723691301</v>
      </c>
      <c r="C1121" s="19">
        <f t="shared" si="46"/>
        <v>7.7365030048501815E-3</v>
      </c>
      <c r="D1121" s="21">
        <f t="shared" si="47"/>
        <v>4.5954995969663022E-2</v>
      </c>
    </row>
    <row r="1122" spans="1:4">
      <c r="A1122" s="19" t="s">
        <v>715</v>
      </c>
      <c r="B1122" s="19">
        <v>2.8097489693642799</v>
      </c>
      <c r="C1122" s="19">
        <f t="shared" si="46"/>
        <v>-3.6105470365650039E-2</v>
      </c>
      <c r="D1122" s="21">
        <f t="shared" si="47"/>
        <v>4.6111981831937918E-2</v>
      </c>
    </row>
    <row r="1123" spans="1:4">
      <c r="A1123" s="19" t="s">
        <v>714</v>
      </c>
      <c r="B1123" s="19">
        <v>2.8458544397299299</v>
      </c>
      <c r="C1123" s="19">
        <f t="shared" si="46"/>
        <v>7.8823744707749999E-2</v>
      </c>
      <c r="D1123" s="21">
        <f t="shared" si="47"/>
        <v>4.5947665703828605E-2</v>
      </c>
    </row>
    <row r="1124" spans="1:4">
      <c r="A1124" s="19" t="s">
        <v>713</v>
      </c>
      <c r="B1124" s="19">
        <v>2.7670306950221799</v>
      </c>
      <c r="C1124" s="19">
        <f t="shared" si="46"/>
        <v>-2.7571417763150308E-2</v>
      </c>
      <c r="D1124" s="21">
        <f t="shared" si="47"/>
        <v>4.5325010616477923E-2</v>
      </c>
    </row>
    <row r="1125" spans="1:4">
      <c r="A1125" s="19" t="s">
        <v>712</v>
      </c>
      <c r="B1125" s="19">
        <v>2.7946021127853302</v>
      </c>
      <c r="C1125" s="19">
        <f t="shared" si="46"/>
        <v>3.3273679199120387E-2</v>
      </c>
      <c r="D1125" s="21">
        <f t="shared" si="47"/>
        <v>4.5607066392698736E-2</v>
      </c>
    </row>
    <row r="1126" spans="1:4">
      <c r="A1126" s="19" t="s">
        <v>711</v>
      </c>
      <c r="B1126" s="19">
        <v>2.7613284335862098</v>
      </c>
      <c r="C1126" s="19">
        <f t="shared" si="46"/>
        <v>-4.8813875777440341E-2</v>
      </c>
      <c r="D1126" s="21">
        <f t="shared" si="47"/>
        <v>4.656921176470926E-2</v>
      </c>
    </row>
    <row r="1127" spans="1:4">
      <c r="A1127" s="19" t="s">
        <v>710</v>
      </c>
      <c r="B1127" s="19">
        <v>2.8101423093636502</v>
      </c>
      <c r="C1127" s="19">
        <f t="shared" si="46"/>
        <v>9.3739793870110333E-2</v>
      </c>
      <c r="D1127" s="21">
        <f t="shared" si="47"/>
        <v>4.6343219826463368E-2</v>
      </c>
    </row>
    <row r="1128" spans="1:4">
      <c r="A1128" s="19" t="s">
        <v>709</v>
      </c>
      <c r="B1128" s="19">
        <v>2.7164025154935398</v>
      </c>
      <c r="C1128" s="19">
        <f t="shared" si="46"/>
        <v>-5.6540527752530156E-2</v>
      </c>
      <c r="D1128" s="21">
        <f t="shared" si="47"/>
        <v>4.4678783705727802E-2</v>
      </c>
    </row>
    <row r="1129" spans="1:4">
      <c r="A1129" s="19" t="s">
        <v>708</v>
      </c>
      <c r="B1129" s="19">
        <v>2.77294304324607</v>
      </c>
      <c r="C1129" s="19">
        <f t="shared" si="46"/>
        <v>-3.3522277110598075E-3</v>
      </c>
      <c r="D1129" s="21">
        <f t="shared" si="47"/>
        <v>4.4749941733171525E-2</v>
      </c>
    </row>
    <row r="1130" spans="1:4">
      <c r="A1130" s="19" t="s">
        <v>707</v>
      </c>
      <c r="B1130" s="19">
        <v>2.7762952709571298</v>
      </c>
      <c r="C1130" s="19">
        <f t="shared" si="46"/>
        <v>-3.2652443324550084E-2</v>
      </c>
      <c r="D1130" s="21">
        <f t="shared" si="47"/>
        <v>4.4812353954912856E-2</v>
      </c>
    </row>
    <row r="1131" spans="1:4">
      <c r="A1131" s="19" t="s">
        <v>706</v>
      </c>
      <c r="B1131" s="19">
        <v>2.8089477142816799</v>
      </c>
      <c r="C1131" s="19">
        <f t="shared" si="46"/>
        <v>7.0354173961995059E-4</v>
      </c>
      <c r="D1131" s="21">
        <f t="shared" si="47"/>
        <v>4.7207182425334553E-2</v>
      </c>
    </row>
    <row r="1132" spans="1:4">
      <c r="A1132" s="19" t="s">
        <v>705</v>
      </c>
      <c r="B1132" s="19">
        <v>2.8082441725420599</v>
      </c>
      <c r="C1132" s="19">
        <f t="shared" si="46"/>
        <v>-3.5339667502269911E-2</v>
      </c>
      <c r="D1132" s="21">
        <f t="shared" si="47"/>
        <v>4.8967466542859779E-2</v>
      </c>
    </row>
    <row r="1133" spans="1:4">
      <c r="A1133" s="19" t="s">
        <v>704</v>
      </c>
      <c r="B1133" s="19">
        <v>2.8435838400443298</v>
      </c>
      <c r="C1133" s="19">
        <f t="shared" si="46"/>
        <v>-6.1572437551310255E-2</v>
      </c>
      <c r="D1133" s="21">
        <f t="shared" si="47"/>
        <v>4.9722354087923797E-2</v>
      </c>
    </row>
    <row r="1134" spans="1:4">
      <c r="A1134" s="19" t="s">
        <v>703</v>
      </c>
      <c r="B1134" s="19">
        <v>2.9051562775956401</v>
      </c>
      <c r="C1134" s="19">
        <f t="shared" si="46"/>
        <v>-5.4724610708329902E-2</v>
      </c>
      <c r="D1134" s="21">
        <f t="shared" si="47"/>
        <v>5.1964457002211063E-2</v>
      </c>
    </row>
    <row r="1135" spans="1:4">
      <c r="A1135" s="19" t="s">
        <v>702</v>
      </c>
      <c r="B1135" s="19">
        <v>2.95988088830397</v>
      </c>
      <c r="C1135" s="19">
        <f t="shared" si="46"/>
        <v>-1.2683253815290119E-2</v>
      </c>
      <c r="D1135" s="21">
        <f t="shared" si="47"/>
        <v>5.222706946068198E-2</v>
      </c>
    </row>
    <row r="1136" spans="1:4">
      <c r="A1136" s="19" t="s">
        <v>701</v>
      </c>
      <c r="B1136" s="19">
        <v>2.9725641421192601</v>
      </c>
      <c r="C1136" s="19">
        <f t="shared" si="46"/>
        <v>-3.5467340699897321E-3</v>
      </c>
      <c r="D1136" s="21">
        <f t="shared" si="47"/>
        <v>5.3605611145727199E-2</v>
      </c>
    </row>
    <row r="1137" spans="1:4">
      <c r="A1137" s="19" t="s">
        <v>700</v>
      </c>
      <c r="B1137" s="19">
        <v>2.9761108761892499</v>
      </c>
      <c r="C1137" s="19">
        <f t="shared" si="46"/>
        <v>1.1344051540299827E-2</v>
      </c>
      <c r="D1137" s="21">
        <f t="shared" si="47"/>
        <v>5.38450419960462E-2</v>
      </c>
    </row>
    <row r="1138" spans="1:4">
      <c r="A1138" s="19" t="s">
        <v>699</v>
      </c>
      <c r="B1138" s="19">
        <v>2.96476682464895</v>
      </c>
      <c r="C1138" s="19">
        <f t="shared" si="46"/>
        <v>6.1814629858820247E-2</v>
      </c>
      <c r="D1138" s="21">
        <f t="shared" si="47"/>
        <v>5.3812467702842905E-2</v>
      </c>
    </row>
    <row r="1139" spans="1:4">
      <c r="A1139" s="19" t="s">
        <v>698</v>
      </c>
      <c r="B1139" s="19">
        <v>2.9029521947901298</v>
      </c>
      <c r="C1139" s="19">
        <f t="shared" si="46"/>
        <v>4.0310778351489773E-2</v>
      </c>
      <c r="D1139" s="21">
        <f t="shared" si="47"/>
        <v>5.3235250978466181E-2</v>
      </c>
    </row>
    <row r="1140" spans="1:4">
      <c r="A1140" s="19" t="s">
        <v>697</v>
      </c>
      <c r="B1140" s="19">
        <v>2.86264141643864</v>
      </c>
      <c r="C1140" s="19">
        <f t="shared" si="46"/>
        <v>4.6335999420100027E-2</v>
      </c>
      <c r="D1140" s="21">
        <f t="shared" si="47"/>
        <v>5.2914512191604035E-2</v>
      </c>
    </row>
    <row r="1141" spans="1:4">
      <c r="A1141" s="19" t="s">
        <v>696</v>
      </c>
      <c r="B1141" s="19">
        <v>2.81630541701854</v>
      </c>
      <c r="C1141" s="19">
        <f t="shared" si="46"/>
        <v>-3.603449973140016E-2</v>
      </c>
      <c r="D1141" s="21">
        <f t="shared" si="47"/>
        <v>5.2448058424227957E-2</v>
      </c>
    </row>
    <row r="1142" spans="1:4">
      <c r="A1142" s="19" t="s">
        <v>695</v>
      </c>
      <c r="B1142" s="19">
        <v>2.8523399167499401</v>
      </c>
      <c r="C1142" s="19">
        <f t="shared" si="46"/>
        <v>-3.1432104672290073E-2</v>
      </c>
      <c r="D1142" s="21">
        <f t="shared" si="47"/>
        <v>5.2866048956574457E-2</v>
      </c>
    </row>
    <row r="1143" spans="1:4">
      <c r="A1143" s="19" t="s">
        <v>694</v>
      </c>
      <c r="B1143" s="19">
        <v>2.8837720214222302</v>
      </c>
      <c r="C1143" s="19">
        <f t="shared" si="46"/>
        <v>-3.401579393970966E-2</v>
      </c>
      <c r="D1143" s="21">
        <f t="shared" si="47"/>
        <v>5.3461397566049798E-2</v>
      </c>
    </row>
    <row r="1144" spans="1:4">
      <c r="A1144" s="19" t="s">
        <v>693</v>
      </c>
      <c r="B1144" s="19">
        <v>2.9177878153619399</v>
      </c>
      <c r="C1144" s="19">
        <f t="shared" si="46"/>
        <v>4.2070010391139778E-2</v>
      </c>
      <c r="D1144" s="21">
        <f t="shared" si="47"/>
        <v>5.343769778016326E-2</v>
      </c>
    </row>
    <row r="1145" spans="1:4">
      <c r="A1145" s="19" t="s">
        <v>692</v>
      </c>
      <c r="B1145" s="19">
        <v>2.8757178049708001</v>
      </c>
      <c r="C1145" s="19">
        <f t="shared" si="46"/>
        <v>1.8340546451160122E-2</v>
      </c>
      <c r="D1145" s="21">
        <f t="shared" si="47"/>
        <v>5.3178422987661504E-2</v>
      </c>
    </row>
    <row r="1146" spans="1:4">
      <c r="A1146" s="19" t="s">
        <v>691</v>
      </c>
      <c r="B1146" s="19">
        <v>2.85737725851964</v>
      </c>
      <c r="C1146" s="19">
        <f t="shared" si="46"/>
        <v>-5.2733130262800021E-2</v>
      </c>
      <c r="D1146" s="21">
        <f t="shared" si="47"/>
        <v>5.3345344841937085E-2</v>
      </c>
    </row>
    <row r="1147" spans="1:4">
      <c r="A1147" s="19" t="s">
        <v>690</v>
      </c>
      <c r="B1147" s="19">
        <v>2.91011038878244</v>
      </c>
      <c r="C1147" s="19">
        <f t="shared" si="46"/>
        <v>-8.559269790709001E-2</v>
      </c>
      <c r="D1147" s="21">
        <f t="shared" si="47"/>
        <v>5.4653871874557086E-2</v>
      </c>
    </row>
    <row r="1148" spans="1:4">
      <c r="A1148" s="19" t="s">
        <v>689</v>
      </c>
      <c r="B1148" s="19">
        <v>2.99570308668953</v>
      </c>
      <c r="C1148" s="19">
        <f t="shared" si="46"/>
        <v>3.497881271969927E-3</v>
      </c>
      <c r="D1148" s="21">
        <f t="shared" si="47"/>
        <v>5.4383168402858333E-2</v>
      </c>
    </row>
    <row r="1149" spans="1:4">
      <c r="A1149" s="19" t="s">
        <v>688</v>
      </c>
      <c r="B1149" s="19">
        <v>2.9922052054175601</v>
      </c>
      <c r="C1149" s="19">
        <f t="shared" si="46"/>
        <v>-2.4695652037820093E-2</v>
      </c>
      <c r="D1149" s="21">
        <f t="shared" si="47"/>
        <v>5.5295783079482672E-2</v>
      </c>
    </row>
    <row r="1150" spans="1:4">
      <c r="A1150" s="19" t="s">
        <v>687</v>
      </c>
      <c r="B1150" s="19">
        <v>3.0169008574553802</v>
      </c>
      <c r="C1150" s="19">
        <f t="shared" si="46"/>
        <v>-1.198270581457983E-2</v>
      </c>
      <c r="D1150" s="21">
        <f t="shared" si="47"/>
        <v>5.6104886518771865E-2</v>
      </c>
    </row>
    <row r="1151" spans="1:4">
      <c r="A1151" s="19" t="s">
        <v>686</v>
      </c>
      <c r="B1151" s="19">
        <v>3.02888356326996</v>
      </c>
      <c r="C1151" s="19">
        <f t="shared" si="46"/>
        <v>-1.9357565113459874E-2</v>
      </c>
      <c r="D1151" s="21">
        <f t="shared" si="47"/>
        <v>5.688265700015694E-2</v>
      </c>
    </row>
    <row r="1152" spans="1:4">
      <c r="A1152" s="19" t="s">
        <v>685</v>
      </c>
      <c r="B1152" s="19">
        <v>3.0482411283834199</v>
      </c>
      <c r="C1152" s="19">
        <f t="shared" si="46"/>
        <v>-0.10430001063782024</v>
      </c>
      <c r="D1152" s="21">
        <f t="shared" si="47"/>
        <v>5.7093133489712858E-2</v>
      </c>
    </row>
    <row r="1153" spans="1:4">
      <c r="A1153" s="19" t="s">
        <v>684</v>
      </c>
      <c r="B1153" s="19">
        <v>3.1525411390212401</v>
      </c>
      <c r="C1153" s="19">
        <f t="shared" si="46"/>
        <v>-1.7962956752000103E-2</v>
      </c>
      <c r="D1153" s="21">
        <f t="shared" si="47"/>
        <v>5.6492891196130206E-2</v>
      </c>
    </row>
    <row r="1154" spans="1:4">
      <c r="A1154" s="19" t="s">
        <v>683</v>
      </c>
      <c r="B1154" s="19">
        <v>3.1705040957732402</v>
      </c>
      <c r="C1154" s="19">
        <f t="shared" ref="C1154:C1217" si="48">B1154-B1155</f>
        <v>7.47764944989604E-2</v>
      </c>
      <c r="D1154" s="21">
        <f t="shared" ref="D1154:D1217" si="49">STDEV(C1154:C1213)</f>
        <v>5.6560352159081416E-2</v>
      </c>
    </row>
    <row r="1155" spans="1:4">
      <c r="A1155" s="19" t="s">
        <v>682</v>
      </c>
      <c r="B1155" s="19">
        <v>3.0957276012742798</v>
      </c>
      <c r="C1155" s="19">
        <f t="shared" si="48"/>
        <v>-1.0479002034320395E-2</v>
      </c>
      <c r="D1155" s="21">
        <f t="shared" si="49"/>
        <v>5.7896659391405751E-2</v>
      </c>
    </row>
    <row r="1156" spans="1:4">
      <c r="A1156" s="19" t="s">
        <v>681</v>
      </c>
      <c r="B1156" s="19">
        <v>3.1062066033086002</v>
      </c>
      <c r="C1156" s="19">
        <f t="shared" si="48"/>
        <v>3.7939476135350425E-2</v>
      </c>
      <c r="D1156" s="21">
        <f t="shared" si="49"/>
        <v>5.9067495305334561E-2</v>
      </c>
    </row>
    <row r="1157" spans="1:4">
      <c r="A1157" s="19" t="s">
        <v>680</v>
      </c>
      <c r="B1157" s="19">
        <v>3.0682671271732498</v>
      </c>
      <c r="C1157" s="19">
        <f t="shared" si="48"/>
        <v>7.8819551817849831E-2</v>
      </c>
      <c r="D1157" s="21">
        <f t="shared" si="49"/>
        <v>6.1082654279575106E-2</v>
      </c>
    </row>
    <row r="1158" spans="1:4">
      <c r="A1158" s="19" t="s">
        <v>679</v>
      </c>
      <c r="B1158" s="19">
        <v>2.9894475753554</v>
      </c>
      <c r="C1158" s="19">
        <f t="shared" si="48"/>
        <v>-1.1589209182139903E-2</v>
      </c>
      <c r="D1158" s="21">
        <f t="shared" si="49"/>
        <v>6.4164453637397423E-2</v>
      </c>
    </row>
    <row r="1159" spans="1:4">
      <c r="A1159" s="19" t="s">
        <v>678</v>
      </c>
      <c r="B1159" s="19">
        <v>3.0010367845375399</v>
      </c>
      <c r="C1159" s="19">
        <f t="shared" si="48"/>
        <v>-5.0208784325490363E-2</v>
      </c>
      <c r="D1159" s="21">
        <f t="shared" si="49"/>
        <v>7.1216692445717447E-2</v>
      </c>
    </row>
    <row r="1160" spans="1:4">
      <c r="A1160" s="19" t="s">
        <v>677</v>
      </c>
      <c r="B1160" s="19">
        <v>3.0512455688630302</v>
      </c>
      <c r="C1160" s="19">
        <f t="shared" si="48"/>
        <v>4.1344530537570368E-2</v>
      </c>
      <c r="D1160" s="21">
        <f t="shared" si="49"/>
        <v>7.1032528307996126E-2</v>
      </c>
    </row>
    <row r="1161" spans="1:4">
      <c r="A1161" s="19" t="s">
        <v>676</v>
      </c>
      <c r="B1161" s="19">
        <v>3.0099010383254599</v>
      </c>
      <c r="C1161" s="19">
        <f t="shared" si="48"/>
        <v>-7.3699932039509974E-2</v>
      </c>
      <c r="D1161" s="21">
        <f t="shared" si="49"/>
        <v>7.2075532838128509E-2</v>
      </c>
    </row>
    <row r="1162" spans="1:4">
      <c r="A1162" s="19" t="s">
        <v>675</v>
      </c>
      <c r="B1162" s="19">
        <v>3.0836009703649698</v>
      </c>
      <c r="C1162" s="19">
        <f t="shared" si="48"/>
        <v>-4.458494189224016E-2</v>
      </c>
      <c r="D1162" s="21">
        <f t="shared" si="49"/>
        <v>7.1521082185800375E-2</v>
      </c>
    </row>
    <row r="1163" spans="1:4">
      <c r="A1163" s="19" t="s">
        <v>674</v>
      </c>
      <c r="B1163" s="19">
        <v>3.12818591225721</v>
      </c>
      <c r="C1163" s="19">
        <f t="shared" si="48"/>
        <v>-8.499164901770051E-3</v>
      </c>
      <c r="D1163" s="21">
        <f t="shared" si="49"/>
        <v>7.1623139923947032E-2</v>
      </c>
    </row>
    <row r="1164" spans="1:4">
      <c r="A1164" s="19" t="s">
        <v>673</v>
      </c>
      <c r="B1164" s="19">
        <v>3.13668507715898</v>
      </c>
      <c r="C1164" s="19">
        <f t="shared" si="48"/>
        <v>7.847644160080991E-2</v>
      </c>
      <c r="D1164" s="21">
        <f t="shared" si="49"/>
        <v>7.1619871974942947E-2</v>
      </c>
    </row>
    <row r="1165" spans="1:4">
      <c r="A1165" s="19" t="s">
        <v>672</v>
      </c>
      <c r="B1165" s="19">
        <v>3.0582086355581701</v>
      </c>
      <c r="C1165" s="19">
        <f t="shared" si="48"/>
        <v>-3.1908020311279817E-2</v>
      </c>
      <c r="D1165" s="21">
        <f t="shared" si="49"/>
        <v>7.1001628899534611E-2</v>
      </c>
    </row>
    <row r="1166" spans="1:4">
      <c r="A1166" s="19" t="s">
        <v>671</v>
      </c>
      <c r="B1166" s="19">
        <v>3.0901166558694499</v>
      </c>
      <c r="C1166" s="19">
        <f t="shared" si="48"/>
        <v>-8.0078181719219987E-2</v>
      </c>
      <c r="D1166" s="21">
        <f t="shared" si="49"/>
        <v>7.1210463511906547E-2</v>
      </c>
    </row>
    <row r="1167" spans="1:4">
      <c r="A1167" s="19" t="s">
        <v>670</v>
      </c>
      <c r="B1167" s="19">
        <v>3.1701948375886699</v>
      </c>
      <c r="C1167" s="19">
        <f t="shared" si="48"/>
        <v>1.3700376992269891E-2</v>
      </c>
      <c r="D1167" s="21">
        <f t="shared" si="49"/>
        <v>7.0989650424815531E-2</v>
      </c>
    </row>
    <row r="1168" spans="1:4">
      <c r="A1168" s="19" t="s">
        <v>669</v>
      </c>
      <c r="B1168" s="19">
        <v>3.1564944605964</v>
      </c>
      <c r="C1168" s="19">
        <f t="shared" si="48"/>
        <v>1.3564161854110246E-2</v>
      </c>
      <c r="D1168" s="21">
        <f t="shared" si="49"/>
        <v>7.1058107134482879E-2</v>
      </c>
    </row>
    <row r="1169" spans="1:4">
      <c r="A1169" s="19" t="s">
        <v>668</v>
      </c>
      <c r="B1169" s="19">
        <v>3.1429302987422898</v>
      </c>
      <c r="C1169" s="19">
        <f t="shared" si="48"/>
        <v>-6.6284517000300358E-2</v>
      </c>
      <c r="D1169" s="21">
        <f t="shared" si="49"/>
        <v>7.1393923106387577E-2</v>
      </c>
    </row>
    <row r="1170" spans="1:4">
      <c r="A1170" s="19" t="s">
        <v>667</v>
      </c>
      <c r="B1170" s="19">
        <v>3.2092148157425902</v>
      </c>
      <c r="C1170" s="19">
        <f t="shared" si="48"/>
        <v>3.2195496666090229E-2</v>
      </c>
      <c r="D1170" s="21">
        <f t="shared" si="49"/>
        <v>7.0893372332207702E-2</v>
      </c>
    </row>
    <row r="1171" spans="1:4">
      <c r="A1171" s="19" t="s">
        <v>666</v>
      </c>
      <c r="B1171" s="19">
        <v>3.1770193190764999</v>
      </c>
      <c r="C1171" s="19">
        <f t="shared" si="48"/>
        <v>-4.5860360208900275E-3</v>
      </c>
      <c r="D1171" s="21">
        <f t="shared" si="49"/>
        <v>7.1898927196234835E-2</v>
      </c>
    </row>
    <row r="1172" spans="1:4">
      <c r="A1172" s="19" t="s">
        <v>665</v>
      </c>
      <c r="B1172" s="19">
        <v>3.18160535509739</v>
      </c>
      <c r="C1172" s="19">
        <f t="shared" si="48"/>
        <v>-6.2973579312601835E-3</v>
      </c>
      <c r="D1172" s="21">
        <f t="shared" si="49"/>
        <v>7.2324312711396097E-2</v>
      </c>
    </row>
    <row r="1173" spans="1:4">
      <c r="A1173" s="19" t="s">
        <v>664</v>
      </c>
      <c r="B1173" s="19">
        <v>3.1879027130286501</v>
      </c>
      <c r="C1173" s="19">
        <f t="shared" si="48"/>
        <v>-3.4722843732289732E-2</v>
      </c>
      <c r="D1173" s="21">
        <f t="shared" si="49"/>
        <v>7.2927798497612745E-2</v>
      </c>
    </row>
    <row r="1174" spans="1:4">
      <c r="A1174" s="19" t="s">
        <v>663</v>
      </c>
      <c r="B1174" s="19">
        <v>3.2226255567609399</v>
      </c>
      <c r="C1174" s="19">
        <f t="shared" si="48"/>
        <v>7.7459232914109943E-2</v>
      </c>
      <c r="D1174" s="21">
        <f t="shared" si="49"/>
        <v>7.3516125823575335E-2</v>
      </c>
    </row>
    <row r="1175" spans="1:4">
      <c r="A1175" s="19" t="s">
        <v>662</v>
      </c>
      <c r="B1175" s="19">
        <v>3.1451663238468299</v>
      </c>
      <c r="C1175" s="19">
        <f t="shared" si="48"/>
        <v>9.9828700968007666E-4</v>
      </c>
      <c r="D1175" s="21">
        <f t="shared" si="49"/>
        <v>7.3712497923900847E-2</v>
      </c>
    </row>
    <row r="1176" spans="1:4">
      <c r="A1176" s="19" t="s">
        <v>661</v>
      </c>
      <c r="B1176" s="19">
        <v>3.1441680368371498</v>
      </c>
      <c r="C1176" s="19">
        <f t="shared" si="48"/>
        <v>-3.2512468189469956E-2</v>
      </c>
      <c r="D1176" s="21">
        <f t="shared" si="49"/>
        <v>7.3856338238211139E-2</v>
      </c>
    </row>
    <row r="1177" spans="1:4">
      <c r="A1177" s="19" t="s">
        <v>660</v>
      </c>
      <c r="B1177" s="19">
        <v>3.1766805050266198</v>
      </c>
      <c r="C1177" s="19">
        <f t="shared" si="48"/>
        <v>-3.6656033136630128E-2</v>
      </c>
      <c r="D1177" s="21">
        <f t="shared" si="49"/>
        <v>7.4625897847426167E-2</v>
      </c>
    </row>
    <row r="1178" spans="1:4">
      <c r="A1178" s="19" t="s">
        <v>659</v>
      </c>
      <c r="B1178" s="19">
        <v>3.2133365381632499</v>
      </c>
      <c r="C1178" s="19">
        <f t="shared" si="48"/>
        <v>4.9633726370100106E-2</v>
      </c>
      <c r="D1178" s="21">
        <f t="shared" si="49"/>
        <v>7.4828307691537463E-2</v>
      </c>
    </row>
    <row r="1179" spans="1:4">
      <c r="A1179" s="19" t="s">
        <v>658</v>
      </c>
      <c r="B1179" s="19">
        <v>3.1637028117931498</v>
      </c>
      <c r="C1179" s="19">
        <f t="shared" si="48"/>
        <v>-3.7735882940950205E-2</v>
      </c>
      <c r="D1179" s="21">
        <f t="shared" si="49"/>
        <v>7.497902877851205E-2</v>
      </c>
    </row>
    <row r="1180" spans="1:4">
      <c r="A1180" s="19" t="s">
        <v>657</v>
      </c>
      <c r="B1180" s="19">
        <v>3.2014386947341</v>
      </c>
      <c r="C1180" s="19">
        <f t="shared" si="48"/>
        <v>-1.779977493924001E-2</v>
      </c>
      <c r="D1180" s="21">
        <f t="shared" si="49"/>
        <v>7.4887452744657343E-2</v>
      </c>
    </row>
    <row r="1181" spans="1:4">
      <c r="A1181" s="19" t="s">
        <v>656</v>
      </c>
      <c r="B1181" s="19">
        <v>3.21923846967334</v>
      </c>
      <c r="C1181" s="19">
        <f t="shared" si="48"/>
        <v>2.5962497596680123E-2</v>
      </c>
      <c r="D1181" s="21">
        <f t="shared" si="49"/>
        <v>7.4997657649033059E-2</v>
      </c>
    </row>
    <row r="1182" spans="1:4">
      <c r="A1182" s="19" t="s">
        <v>655</v>
      </c>
      <c r="B1182" s="19">
        <v>3.1932759720766599</v>
      </c>
      <c r="C1182" s="19">
        <f t="shared" si="48"/>
        <v>-3.5535113288802656E-3</v>
      </c>
      <c r="D1182" s="21">
        <f t="shared" si="49"/>
        <v>7.4957878532467229E-2</v>
      </c>
    </row>
    <row r="1183" spans="1:4">
      <c r="A1183" s="19" t="s">
        <v>654</v>
      </c>
      <c r="B1183" s="19">
        <v>3.1968294834055402</v>
      </c>
      <c r="C1183" s="19">
        <f t="shared" si="48"/>
        <v>5.5998643991770347E-2</v>
      </c>
      <c r="D1183" s="21">
        <f t="shared" si="49"/>
        <v>7.5146374647647507E-2</v>
      </c>
    </row>
    <row r="1184" spans="1:4">
      <c r="A1184" s="19" t="s">
        <v>653</v>
      </c>
      <c r="B1184" s="19">
        <v>3.1408308394137698</v>
      </c>
      <c r="C1184" s="19">
        <f t="shared" si="48"/>
        <v>-5.0700203945110101E-2</v>
      </c>
      <c r="D1184" s="21">
        <f t="shared" si="49"/>
        <v>7.525785774733601E-2</v>
      </c>
    </row>
    <row r="1185" spans="1:4">
      <c r="A1185" s="19" t="s">
        <v>652</v>
      </c>
      <c r="B1185" s="19">
        <v>3.1915310433588799</v>
      </c>
      <c r="C1185" s="19">
        <f t="shared" si="48"/>
        <v>7.6175538721349856E-2</v>
      </c>
      <c r="D1185" s="21">
        <f t="shared" si="49"/>
        <v>7.5521816833003422E-2</v>
      </c>
    </row>
    <row r="1186" spans="1:4">
      <c r="A1186" s="19" t="s">
        <v>651</v>
      </c>
      <c r="B1186" s="19">
        <v>3.1153555046375301</v>
      </c>
      <c r="C1186" s="19">
        <f t="shared" si="48"/>
        <v>-3.0563442605749724E-2</v>
      </c>
      <c r="D1186" s="21">
        <f t="shared" si="49"/>
        <v>7.5170864067481274E-2</v>
      </c>
    </row>
    <row r="1187" spans="1:4">
      <c r="A1187" s="19" t="s">
        <v>650</v>
      </c>
      <c r="B1187" s="19">
        <v>3.1459189472432798</v>
      </c>
      <c r="C1187" s="19">
        <f t="shared" si="48"/>
        <v>-4.0671074674180296E-2</v>
      </c>
      <c r="D1187" s="21">
        <f t="shared" si="49"/>
        <v>7.74668648853436E-2</v>
      </c>
    </row>
    <row r="1188" spans="1:4">
      <c r="A1188" s="19" t="s">
        <v>649</v>
      </c>
      <c r="B1188" s="19">
        <v>3.1865900219174601</v>
      </c>
      <c r="C1188" s="19">
        <f t="shared" si="48"/>
        <v>4.6233675446280209E-2</v>
      </c>
      <c r="D1188" s="21">
        <f t="shared" si="49"/>
        <v>7.904024158484256E-2</v>
      </c>
    </row>
    <row r="1189" spans="1:4">
      <c r="A1189" s="19" t="s">
        <v>648</v>
      </c>
      <c r="B1189" s="19">
        <v>3.1403563464711799</v>
      </c>
      <c r="C1189" s="19">
        <f t="shared" si="48"/>
        <v>1.2358631957799737E-2</v>
      </c>
      <c r="D1189" s="21">
        <f t="shared" si="49"/>
        <v>8.1506345116537052E-2</v>
      </c>
    </row>
    <row r="1190" spans="1:4">
      <c r="A1190" s="19" t="s">
        <v>647</v>
      </c>
      <c r="B1190" s="19">
        <v>3.1279977145133802</v>
      </c>
      <c r="C1190" s="19">
        <f t="shared" si="48"/>
        <v>-0.12357928338321988</v>
      </c>
      <c r="D1190" s="21">
        <f t="shared" si="49"/>
        <v>8.2819368751826328E-2</v>
      </c>
    </row>
    <row r="1191" spans="1:4">
      <c r="A1191" s="19" t="s">
        <v>646</v>
      </c>
      <c r="B1191" s="19">
        <v>3.2515769978966</v>
      </c>
      <c r="C1191" s="19">
        <f t="shared" si="48"/>
        <v>-0.10863390760804981</v>
      </c>
      <c r="D1191" s="21">
        <f t="shared" si="49"/>
        <v>8.4325868155445627E-2</v>
      </c>
    </row>
    <row r="1192" spans="1:4">
      <c r="A1192" s="19" t="s">
        <v>645</v>
      </c>
      <c r="B1192" s="19">
        <v>3.3602109055046498</v>
      </c>
      <c r="C1192" s="19">
        <f t="shared" si="48"/>
        <v>-8.0705356032720221E-2</v>
      </c>
      <c r="D1192" s="21">
        <f t="shared" si="49"/>
        <v>8.477895581169706E-2</v>
      </c>
    </row>
    <row r="1193" spans="1:4">
      <c r="A1193" s="19" t="s">
        <v>644</v>
      </c>
      <c r="B1193" s="19">
        <v>3.4409162615373701</v>
      </c>
      <c r="C1193" s="19">
        <f t="shared" si="48"/>
        <v>0.11911808432158999</v>
      </c>
      <c r="D1193" s="21">
        <f t="shared" si="49"/>
        <v>8.4334154569347508E-2</v>
      </c>
    </row>
    <row r="1194" spans="1:4">
      <c r="A1194" s="19" t="s">
        <v>643</v>
      </c>
      <c r="B1194" s="19">
        <v>3.3217981772157801</v>
      </c>
      <c r="C1194" s="19">
        <f t="shared" si="48"/>
        <v>5.7133086378640119E-2</v>
      </c>
      <c r="D1194" s="21">
        <f t="shared" si="49"/>
        <v>8.3815495744063134E-2</v>
      </c>
    </row>
    <row r="1195" spans="1:4">
      <c r="A1195" s="19" t="s">
        <v>642</v>
      </c>
      <c r="B1195" s="19">
        <v>3.26466509083714</v>
      </c>
      <c r="C1195" s="19">
        <f t="shared" si="48"/>
        <v>-9.8830976291929939E-2</v>
      </c>
      <c r="D1195" s="21">
        <f t="shared" si="49"/>
        <v>8.3515069620035201E-2</v>
      </c>
    </row>
    <row r="1196" spans="1:4">
      <c r="A1196" s="19" t="s">
        <v>641</v>
      </c>
      <c r="B1196" s="19">
        <v>3.3634960671290699</v>
      </c>
      <c r="C1196" s="19">
        <f t="shared" si="48"/>
        <v>3.2838909680109829E-2</v>
      </c>
      <c r="D1196" s="21">
        <f t="shared" si="49"/>
        <v>8.4026113727558679E-2</v>
      </c>
    </row>
    <row r="1197" spans="1:4">
      <c r="A1197" s="19" t="s">
        <v>640</v>
      </c>
      <c r="B1197" s="19">
        <v>3.3306571574489601</v>
      </c>
      <c r="C1197" s="19">
        <f t="shared" si="48"/>
        <v>3.6694076827701316E-3</v>
      </c>
      <c r="D1197" s="21">
        <f t="shared" si="49"/>
        <v>8.3940119138792166E-2</v>
      </c>
    </row>
    <row r="1198" spans="1:4">
      <c r="A1198" s="19" t="s">
        <v>639</v>
      </c>
      <c r="B1198" s="19">
        <v>3.3269877497661899</v>
      </c>
      <c r="C1198" s="19">
        <f t="shared" si="48"/>
        <v>2.5275964683010077E-2</v>
      </c>
      <c r="D1198" s="21">
        <f t="shared" si="49"/>
        <v>8.4199350346491647E-2</v>
      </c>
    </row>
    <row r="1199" spans="1:4">
      <c r="A1199" s="19" t="s">
        <v>638</v>
      </c>
      <c r="B1199" s="19">
        <v>3.3017117850831799</v>
      </c>
      <c r="C1199" s="19">
        <f t="shared" si="48"/>
        <v>7.9702904927496654E-3</v>
      </c>
      <c r="D1199" s="21">
        <f t="shared" si="49"/>
        <v>8.4103379140072751E-2</v>
      </c>
    </row>
    <row r="1200" spans="1:4">
      <c r="A1200" s="19" t="s">
        <v>637</v>
      </c>
      <c r="B1200" s="19">
        <v>3.2937414945904302</v>
      </c>
      <c r="C1200" s="19">
        <f t="shared" si="48"/>
        <v>-4.4021580599498122E-3</v>
      </c>
      <c r="D1200" s="21">
        <f t="shared" si="49"/>
        <v>8.4277035220966273E-2</v>
      </c>
    </row>
    <row r="1201" spans="1:4">
      <c r="A1201" s="19" t="s">
        <v>636</v>
      </c>
      <c r="B1201" s="19">
        <v>3.29814365265038</v>
      </c>
      <c r="C1201" s="19">
        <f t="shared" si="48"/>
        <v>-6.6311788347659828E-2</v>
      </c>
      <c r="D1201" s="21">
        <f t="shared" si="49"/>
        <v>8.4292936810860808E-2</v>
      </c>
    </row>
    <row r="1202" spans="1:4">
      <c r="A1202" s="19" t="s">
        <v>635</v>
      </c>
      <c r="B1202" s="19">
        <v>3.3644554409980398</v>
      </c>
      <c r="C1202" s="19">
        <f t="shared" si="48"/>
        <v>5.7733789702709704E-2</v>
      </c>
      <c r="D1202" s="21">
        <f t="shared" si="49"/>
        <v>8.4184549405513925E-2</v>
      </c>
    </row>
    <row r="1203" spans="1:4">
      <c r="A1203" s="19" t="s">
        <v>634</v>
      </c>
      <c r="B1203" s="19">
        <v>3.3067216512953301</v>
      </c>
      <c r="C1203" s="19">
        <f t="shared" si="48"/>
        <v>-3.1088015075519948E-2</v>
      </c>
      <c r="D1203" s="21">
        <f t="shared" si="49"/>
        <v>8.3773775662472114E-2</v>
      </c>
    </row>
    <row r="1204" spans="1:4">
      <c r="A1204" s="19" t="s">
        <v>633</v>
      </c>
      <c r="B1204" s="19">
        <v>3.3378096663708501</v>
      </c>
      <c r="C1204" s="19">
        <f t="shared" si="48"/>
        <v>2.1006187232550211E-2</v>
      </c>
      <c r="D1204" s="21">
        <f t="shared" si="49"/>
        <v>8.3728071066634421E-2</v>
      </c>
    </row>
    <row r="1205" spans="1:4">
      <c r="A1205" s="19" t="s">
        <v>632</v>
      </c>
      <c r="B1205" s="19">
        <v>3.3168034791382999</v>
      </c>
      <c r="C1205" s="19">
        <f t="shared" si="48"/>
        <v>3.4040275581099788E-2</v>
      </c>
      <c r="D1205" s="21">
        <f t="shared" si="49"/>
        <v>8.3803041041612888E-2</v>
      </c>
    </row>
    <row r="1206" spans="1:4">
      <c r="A1206" s="19" t="s">
        <v>631</v>
      </c>
      <c r="B1206" s="19">
        <v>3.2827632035572001</v>
      </c>
      <c r="C1206" s="19">
        <f t="shared" si="48"/>
        <v>9.6803828228249955E-2</v>
      </c>
      <c r="D1206" s="21">
        <f t="shared" si="49"/>
        <v>8.3611385856715043E-2</v>
      </c>
    </row>
    <row r="1207" spans="1:4">
      <c r="A1207" s="19" t="s">
        <v>630</v>
      </c>
      <c r="B1207" s="19">
        <v>3.1859593753289501</v>
      </c>
      <c r="C1207" s="19">
        <f t="shared" si="48"/>
        <v>6.7581302639170282E-2</v>
      </c>
      <c r="D1207" s="21">
        <f t="shared" si="49"/>
        <v>8.2637741573998363E-2</v>
      </c>
    </row>
    <row r="1208" spans="1:4">
      <c r="A1208" s="19" t="s">
        <v>629</v>
      </c>
      <c r="B1208" s="19">
        <v>3.1183780726897798</v>
      </c>
      <c r="C1208" s="19">
        <f t="shared" si="48"/>
        <v>7.5562482645979756E-2</v>
      </c>
      <c r="D1208" s="21">
        <f t="shared" si="49"/>
        <v>8.2037329328648073E-2</v>
      </c>
    </row>
    <row r="1209" spans="1:4">
      <c r="A1209" s="19" t="s">
        <v>628</v>
      </c>
      <c r="B1209" s="19">
        <v>3.0428155900438001</v>
      </c>
      <c r="C1209" s="19">
        <f t="shared" si="48"/>
        <v>7.6997539975649953E-2</v>
      </c>
      <c r="D1209" s="21">
        <f t="shared" si="49"/>
        <v>8.1209084313331473E-2</v>
      </c>
    </row>
    <row r="1210" spans="1:4">
      <c r="A1210" s="19" t="s">
        <v>627</v>
      </c>
      <c r="B1210" s="19">
        <v>2.9658180500681501</v>
      </c>
      <c r="C1210" s="19">
        <f t="shared" si="48"/>
        <v>-7.2708102721459777E-2</v>
      </c>
      <c r="D1210" s="21">
        <f t="shared" si="49"/>
        <v>8.0394398432280065E-2</v>
      </c>
    </row>
    <row r="1211" spans="1:4">
      <c r="A1211" s="19" t="s">
        <v>626</v>
      </c>
      <c r="B1211" s="19">
        <v>3.0385261527896099</v>
      </c>
      <c r="C1211" s="19">
        <f t="shared" si="48"/>
        <v>-4.2502314371930083E-2</v>
      </c>
      <c r="D1211" s="21">
        <f t="shared" si="49"/>
        <v>8.0781076215269115E-2</v>
      </c>
    </row>
    <row r="1212" spans="1:4">
      <c r="A1212" s="19" t="s">
        <v>625</v>
      </c>
      <c r="B1212" s="19">
        <v>3.08102846716154</v>
      </c>
      <c r="C1212" s="19">
        <f t="shared" si="48"/>
        <v>-8.2704861537099994E-2</v>
      </c>
      <c r="D1212" s="21">
        <f t="shared" si="49"/>
        <v>8.1231109574588262E-2</v>
      </c>
    </row>
    <row r="1213" spans="1:4">
      <c r="A1213" s="19" t="s">
        <v>624</v>
      </c>
      <c r="B1213" s="19">
        <v>3.16373332869864</v>
      </c>
      <c r="C1213" s="19">
        <f t="shared" si="48"/>
        <v>-2.7892465981909975E-2</v>
      </c>
      <c r="D1213" s="21">
        <f t="shared" si="49"/>
        <v>8.0749705363900207E-2</v>
      </c>
    </row>
    <row r="1214" spans="1:4">
      <c r="A1214" s="19" t="s">
        <v>623</v>
      </c>
      <c r="B1214" s="19">
        <v>3.19162579468055</v>
      </c>
      <c r="C1214" s="19">
        <f t="shared" si="48"/>
        <v>0.12090718365982012</v>
      </c>
      <c r="D1214" s="21">
        <f t="shared" si="49"/>
        <v>8.0792277297732085E-2</v>
      </c>
    </row>
    <row r="1215" spans="1:4">
      <c r="A1215" s="19" t="s">
        <v>622</v>
      </c>
      <c r="B1215" s="19">
        <v>3.0707186110207298</v>
      </c>
      <c r="C1215" s="19">
        <f t="shared" si="48"/>
        <v>9.1922503830550006E-2</v>
      </c>
      <c r="D1215" s="21">
        <f t="shared" si="49"/>
        <v>7.903256378702575E-2</v>
      </c>
    </row>
    <row r="1216" spans="1:4">
      <c r="A1216" s="19" t="s">
        <v>621</v>
      </c>
      <c r="B1216" s="19">
        <v>2.9787961071901798</v>
      </c>
      <c r="C1216" s="19">
        <f t="shared" si="48"/>
        <v>0.1274288695229</v>
      </c>
      <c r="D1216" s="21">
        <f t="shared" si="49"/>
        <v>7.8008857604293491E-2</v>
      </c>
    </row>
    <row r="1217" spans="1:4">
      <c r="A1217" s="19" t="s">
        <v>620</v>
      </c>
      <c r="B1217" s="19">
        <v>2.8513672376672798</v>
      </c>
      <c r="C1217" s="19">
        <f t="shared" si="48"/>
        <v>-0.16797775922024005</v>
      </c>
      <c r="D1217" s="21">
        <f t="shared" si="49"/>
        <v>7.5894535790390141E-2</v>
      </c>
    </row>
    <row r="1218" spans="1:4">
      <c r="A1218" s="19" t="s">
        <v>619</v>
      </c>
      <c r="B1218" s="19">
        <v>3.0193449968875199</v>
      </c>
      <c r="C1218" s="19">
        <f t="shared" ref="C1218:C1281" si="50">B1218-B1219</f>
        <v>-0.23991753715537012</v>
      </c>
      <c r="D1218" s="21">
        <f t="shared" ref="D1218:D1281" si="51">STDEV(C1218:C1277)</f>
        <v>7.4343879570503382E-2</v>
      </c>
    </row>
    <row r="1219" spans="1:4">
      <c r="A1219" s="19" t="s">
        <v>618</v>
      </c>
      <c r="B1219" s="19">
        <v>3.25926253404289</v>
      </c>
      <c r="C1219" s="19">
        <f t="shared" si="50"/>
        <v>2.1121337324140121E-2</v>
      </c>
      <c r="D1219" s="21">
        <f t="shared" si="51"/>
        <v>6.8556777876511779E-2</v>
      </c>
    </row>
    <row r="1220" spans="1:4">
      <c r="A1220" s="19" t="s">
        <v>617</v>
      </c>
      <c r="B1220" s="19">
        <v>3.2381411967187499</v>
      </c>
      <c r="C1220" s="19">
        <f t="shared" si="50"/>
        <v>-0.10874915917429018</v>
      </c>
      <c r="D1220" s="21">
        <f t="shared" si="51"/>
        <v>6.8447560805360783E-2</v>
      </c>
    </row>
    <row r="1221" spans="1:4">
      <c r="A1221" s="19" t="s">
        <v>616</v>
      </c>
      <c r="B1221" s="19">
        <v>3.3468903558930401</v>
      </c>
      <c r="C1221" s="19">
        <f t="shared" si="50"/>
        <v>-3.6578230684014557E-4</v>
      </c>
      <c r="D1221" s="21">
        <f t="shared" si="51"/>
        <v>6.7649013953910334E-2</v>
      </c>
    </row>
    <row r="1222" spans="1:4">
      <c r="A1222" s="19" t="s">
        <v>615</v>
      </c>
      <c r="B1222" s="19">
        <v>3.3472561381998802</v>
      </c>
      <c r="C1222" s="19">
        <f t="shared" si="50"/>
        <v>4.675524920547014E-2</v>
      </c>
      <c r="D1222" s="21">
        <f t="shared" si="51"/>
        <v>6.7661086083795688E-2</v>
      </c>
    </row>
    <row r="1223" spans="1:4">
      <c r="A1223" s="19" t="s">
        <v>614</v>
      </c>
      <c r="B1223" s="19">
        <v>3.3005008889944101</v>
      </c>
      <c r="C1223" s="19">
        <f t="shared" si="50"/>
        <v>-6.1742046875012946E-4</v>
      </c>
      <c r="D1223" s="21">
        <f t="shared" si="51"/>
        <v>6.7293161906116117E-2</v>
      </c>
    </row>
    <row r="1224" spans="1:4">
      <c r="A1224" s="19" t="s">
        <v>613</v>
      </c>
      <c r="B1224" s="19">
        <v>3.3011183094631602</v>
      </c>
      <c r="C1224" s="19">
        <f t="shared" si="50"/>
        <v>3.5013564895620242E-2</v>
      </c>
      <c r="D1224" s="21">
        <f t="shared" si="51"/>
        <v>6.7401131015603619E-2</v>
      </c>
    </row>
    <row r="1225" spans="1:4">
      <c r="A1225" s="19" t="s">
        <v>612</v>
      </c>
      <c r="B1225" s="19">
        <v>3.26610474456754</v>
      </c>
      <c r="C1225" s="19">
        <f t="shared" si="50"/>
        <v>4.8189350222210159E-2</v>
      </c>
      <c r="D1225" s="21">
        <f t="shared" si="51"/>
        <v>6.7268789689114095E-2</v>
      </c>
    </row>
    <row r="1226" spans="1:4">
      <c r="A1226" s="19" t="s">
        <v>611</v>
      </c>
      <c r="B1226" s="19">
        <v>3.2179153943453298</v>
      </c>
      <c r="C1226" s="19">
        <f t="shared" si="50"/>
        <v>-6.7138699098780119E-2</v>
      </c>
      <c r="D1226" s="21">
        <f t="shared" si="51"/>
        <v>6.6842660131505596E-2</v>
      </c>
    </row>
    <row r="1227" spans="1:4">
      <c r="A1227" s="19" t="s">
        <v>610</v>
      </c>
      <c r="B1227" s="19">
        <v>3.2850540934441099</v>
      </c>
      <c r="C1227" s="19">
        <f t="shared" si="50"/>
        <v>-3.1085744264550019E-2</v>
      </c>
      <c r="D1227" s="21">
        <f t="shared" si="51"/>
        <v>6.6875800803111771E-2</v>
      </c>
    </row>
    <row r="1228" spans="1:4">
      <c r="A1228" s="19" t="s">
        <v>609</v>
      </c>
      <c r="B1228" s="19">
        <v>3.3161398377086599</v>
      </c>
      <c r="C1228" s="19">
        <f t="shared" si="50"/>
        <v>5.3122315635649731E-2</v>
      </c>
      <c r="D1228" s="21">
        <f t="shared" si="51"/>
        <v>6.7614436457219221E-2</v>
      </c>
    </row>
    <row r="1229" spans="1:4">
      <c r="A1229" s="19" t="s">
        <v>608</v>
      </c>
      <c r="B1229" s="19">
        <v>3.2630175220730102</v>
      </c>
      <c r="C1229" s="19">
        <f t="shared" si="50"/>
        <v>-4.0519875902989E-4</v>
      </c>
      <c r="D1229" s="21">
        <f t="shared" si="51"/>
        <v>6.7160550313655171E-2</v>
      </c>
    </row>
    <row r="1230" spans="1:4">
      <c r="A1230" s="19" t="s">
        <v>607</v>
      </c>
      <c r="B1230" s="19">
        <v>3.2634227208320401</v>
      </c>
      <c r="C1230" s="19">
        <f t="shared" si="50"/>
        <v>-0.10019704498427995</v>
      </c>
      <c r="D1230" s="21">
        <f t="shared" si="51"/>
        <v>6.7164153471750171E-2</v>
      </c>
    </row>
    <row r="1231" spans="1:4">
      <c r="A1231" s="19" t="s">
        <v>606</v>
      </c>
      <c r="B1231" s="19">
        <v>3.3636197658163201</v>
      </c>
      <c r="C1231" s="19">
        <f t="shared" si="50"/>
        <v>-6.377503673732976E-2</v>
      </c>
      <c r="D1231" s="21">
        <f t="shared" si="51"/>
        <v>6.6419181221607573E-2</v>
      </c>
    </row>
    <row r="1232" spans="1:4">
      <c r="A1232" s="19" t="s">
        <v>605</v>
      </c>
      <c r="B1232" s="19">
        <v>3.4273948025536498</v>
      </c>
      <c r="C1232" s="19">
        <f t="shared" si="50"/>
        <v>6.8497441489469679E-2</v>
      </c>
      <c r="D1232" s="21">
        <f t="shared" si="51"/>
        <v>6.6145436981481717E-2</v>
      </c>
    </row>
    <row r="1233" spans="1:4">
      <c r="A1233" s="19" t="s">
        <v>604</v>
      </c>
      <c r="B1233" s="19">
        <v>3.3588973610641801</v>
      </c>
      <c r="C1233" s="19">
        <f t="shared" si="50"/>
        <v>-8.1176859515169841E-2</v>
      </c>
      <c r="D1233" s="21">
        <f t="shared" si="51"/>
        <v>6.5384677446647749E-2</v>
      </c>
    </row>
    <row r="1234" spans="1:4">
      <c r="A1234" s="19" t="s">
        <v>603</v>
      </c>
      <c r="B1234" s="19">
        <v>3.44007422057935</v>
      </c>
      <c r="C1234" s="19">
        <f t="shared" si="50"/>
        <v>8.7381013820039932E-2</v>
      </c>
      <c r="D1234" s="21">
        <f t="shared" si="51"/>
        <v>6.4724867472557415E-2</v>
      </c>
    </row>
    <row r="1235" spans="1:4">
      <c r="A1235" s="19" t="s">
        <v>602</v>
      </c>
      <c r="B1235" s="19">
        <v>3.35269320675931</v>
      </c>
      <c r="C1235" s="19">
        <f t="shared" si="50"/>
        <v>-3.9508279900950072E-2</v>
      </c>
      <c r="D1235" s="21">
        <f t="shared" si="51"/>
        <v>6.3530605481601998E-2</v>
      </c>
    </row>
    <row r="1236" spans="1:4">
      <c r="A1236" s="19" t="s">
        <v>601</v>
      </c>
      <c r="B1236" s="19">
        <v>3.3922014866602601</v>
      </c>
      <c r="C1236" s="19">
        <f t="shared" si="50"/>
        <v>8.40330797137403E-2</v>
      </c>
      <c r="D1236" s="21">
        <f t="shared" si="51"/>
        <v>6.3866282044155537E-2</v>
      </c>
    </row>
    <row r="1237" spans="1:4">
      <c r="A1237" s="19" t="s">
        <v>600</v>
      </c>
      <c r="B1237" s="19">
        <v>3.3081684069465198</v>
      </c>
      <c r="C1237" s="19">
        <f t="shared" si="50"/>
        <v>-5.6774995604280232E-2</v>
      </c>
      <c r="D1237" s="21">
        <f t="shared" si="51"/>
        <v>6.3184400962429096E-2</v>
      </c>
    </row>
    <row r="1238" spans="1:4">
      <c r="A1238" s="19" t="s">
        <v>599</v>
      </c>
      <c r="B1238" s="19">
        <v>3.3649434025508</v>
      </c>
      <c r="C1238" s="19">
        <f t="shared" si="50"/>
        <v>6.1152873448610201E-2</v>
      </c>
      <c r="D1238" s="21">
        <f t="shared" si="51"/>
        <v>6.2898804943036554E-2</v>
      </c>
    </row>
    <row r="1239" spans="1:4">
      <c r="A1239" s="19" t="s">
        <v>598</v>
      </c>
      <c r="B1239" s="19">
        <v>3.3037905291021898</v>
      </c>
      <c r="C1239" s="19">
        <f t="shared" si="50"/>
        <v>2.0005254433459907E-2</v>
      </c>
      <c r="D1239" s="21">
        <f t="shared" si="51"/>
        <v>6.2362436556360153E-2</v>
      </c>
    </row>
    <row r="1240" spans="1:4">
      <c r="A1240" s="19" t="s">
        <v>597</v>
      </c>
      <c r="B1240" s="19">
        <v>3.2837852746687299</v>
      </c>
      <c r="C1240" s="19">
        <f t="shared" si="50"/>
        <v>3.4545387528739813E-2</v>
      </c>
      <c r="D1240" s="21">
        <f t="shared" si="51"/>
        <v>6.2731740648507936E-2</v>
      </c>
    </row>
    <row r="1241" spans="1:4">
      <c r="A1241" s="19" t="s">
        <v>596</v>
      </c>
      <c r="B1241" s="19">
        <v>3.2492398871399901</v>
      </c>
      <c r="C1241" s="19">
        <f t="shared" si="50"/>
        <v>-2.0087455990129843E-2</v>
      </c>
      <c r="D1241" s="21">
        <f t="shared" si="51"/>
        <v>6.2454243574440231E-2</v>
      </c>
    </row>
    <row r="1242" spans="1:4">
      <c r="A1242" s="19" t="s">
        <v>595</v>
      </c>
      <c r="B1242" s="19">
        <v>3.26932734313012</v>
      </c>
      <c r="C1242" s="19">
        <f t="shared" si="50"/>
        <v>-4.2496785524369862E-2</v>
      </c>
      <c r="D1242" s="21">
        <f t="shared" si="51"/>
        <v>6.2445758459083248E-2</v>
      </c>
    </row>
    <row r="1243" spans="1:4">
      <c r="A1243" s="19" t="s">
        <v>594</v>
      </c>
      <c r="B1243" s="19">
        <v>3.3118241286544898</v>
      </c>
      <c r="C1243" s="19">
        <f t="shared" si="50"/>
        <v>-6.9792802594480285E-2</v>
      </c>
      <c r="D1243" s="21">
        <f t="shared" si="51"/>
        <v>6.2347950571872458E-2</v>
      </c>
    </row>
    <row r="1244" spans="1:4">
      <c r="A1244" s="19" t="s">
        <v>593</v>
      </c>
      <c r="B1244" s="19">
        <v>3.3816169312489701</v>
      </c>
      <c r="C1244" s="19">
        <f t="shared" si="50"/>
        <v>6.4911745091360107E-2</v>
      </c>
      <c r="D1244" s="21">
        <f t="shared" si="51"/>
        <v>6.1874841742352284E-2</v>
      </c>
    </row>
    <row r="1245" spans="1:4">
      <c r="A1245" s="19" t="s">
        <v>592</v>
      </c>
      <c r="B1245" s="19">
        <v>3.31670518615761</v>
      </c>
      <c r="C1245" s="19">
        <f t="shared" si="50"/>
        <v>-5.9636615844159913E-2</v>
      </c>
      <c r="D1245" s="21">
        <f t="shared" si="51"/>
        <v>6.112978207995249E-2</v>
      </c>
    </row>
    <row r="1246" spans="1:4">
      <c r="A1246" s="19" t="s">
        <v>591</v>
      </c>
      <c r="B1246" s="19">
        <v>3.3763418020017699</v>
      </c>
      <c r="C1246" s="19">
        <f t="shared" si="50"/>
        <v>0.14353274688394979</v>
      </c>
      <c r="D1246" s="21">
        <f t="shared" si="51"/>
        <v>6.1177135724723004E-2</v>
      </c>
    </row>
    <row r="1247" spans="1:4">
      <c r="A1247" s="19" t="s">
        <v>590</v>
      </c>
      <c r="B1247" s="19">
        <v>3.2328090551178201</v>
      </c>
      <c r="C1247" s="19">
        <f t="shared" si="50"/>
        <v>-0.12871189562342966</v>
      </c>
      <c r="D1247" s="21">
        <f t="shared" si="51"/>
        <v>5.7777707541728202E-2</v>
      </c>
    </row>
    <row r="1248" spans="1:4">
      <c r="A1248" s="19" t="s">
        <v>589</v>
      </c>
      <c r="B1248" s="19">
        <v>3.3615209507412498</v>
      </c>
      <c r="C1248" s="19">
        <f t="shared" si="50"/>
        <v>-0.16577846772270011</v>
      </c>
      <c r="D1248" s="21">
        <f t="shared" si="51"/>
        <v>5.5727031844426421E-2</v>
      </c>
    </row>
    <row r="1249" spans="1:4">
      <c r="A1249" s="19" t="s">
        <v>588</v>
      </c>
      <c r="B1249" s="19">
        <v>3.5272994184639499</v>
      </c>
      <c r="C1249" s="19">
        <f t="shared" si="50"/>
        <v>-0.12214388083244998</v>
      </c>
      <c r="D1249" s="21">
        <f t="shared" si="51"/>
        <v>5.187417538853701E-2</v>
      </c>
    </row>
    <row r="1250" spans="1:4">
      <c r="A1250" s="19" t="s">
        <v>587</v>
      </c>
      <c r="B1250" s="19">
        <v>3.6494432992963999</v>
      </c>
      <c r="C1250" s="19">
        <f t="shared" si="50"/>
        <v>0.16284085715044005</v>
      </c>
      <c r="D1250" s="21">
        <f t="shared" si="51"/>
        <v>4.9798008934450903E-2</v>
      </c>
    </row>
    <row r="1251" spans="1:4">
      <c r="A1251" s="19" t="s">
        <v>586</v>
      </c>
      <c r="B1251" s="19">
        <v>3.4866024421459598</v>
      </c>
      <c r="C1251" s="19">
        <f t="shared" si="50"/>
        <v>-0.1283865798876902</v>
      </c>
      <c r="D1251" s="21">
        <f t="shared" si="51"/>
        <v>4.468963358346812E-2</v>
      </c>
    </row>
    <row r="1252" spans="1:4">
      <c r="A1252" s="19" t="s">
        <v>585</v>
      </c>
      <c r="B1252" s="19">
        <v>3.61498902203365</v>
      </c>
      <c r="C1252" s="19">
        <f t="shared" si="50"/>
        <v>-4.2097954082279898E-2</v>
      </c>
      <c r="D1252" s="21">
        <f t="shared" si="51"/>
        <v>4.2326235699850813E-2</v>
      </c>
    </row>
    <row r="1253" spans="1:4">
      <c r="A1253" s="19" t="s">
        <v>584</v>
      </c>
      <c r="B1253" s="19">
        <v>3.6570869761159299</v>
      </c>
      <c r="C1253" s="19">
        <f t="shared" si="50"/>
        <v>-0.10738113014055006</v>
      </c>
      <c r="D1253" s="21">
        <f t="shared" si="51"/>
        <v>4.2072790941871004E-2</v>
      </c>
    </row>
    <row r="1254" spans="1:4">
      <c r="A1254" s="19" t="s">
        <v>583</v>
      </c>
      <c r="B1254" s="19">
        <v>3.76446810625648</v>
      </c>
      <c r="C1254" s="19">
        <f t="shared" si="50"/>
        <v>-4.4355759659179927E-2</v>
      </c>
      <c r="D1254" s="21">
        <f t="shared" si="51"/>
        <v>3.9890824859539785E-2</v>
      </c>
    </row>
    <row r="1255" spans="1:4">
      <c r="A1255" s="19" t="s">
        <v>582</v>
      </c>
      <c r="B1255" s="19">
        <v>3.8088238659156599</v>
      </c>
      <c r="C1255" s="19">
        <f t="shared" si="50"/>
        <v>-0.12360761529839026</v>
      </c>
      <c r="D1255" s="21">
        <f t="shared" si="51"/>
        <v>4.0005446059737979E-2</v>
      </c>
    </row>
    <row r="1256" spans="1:4">
      <c r="A1256" s="19" t="s">
        <v>581</v>
      </c>
      <c r="B1256" s="19">
        <v>3.9324314812140502</v>
      </c>
      <c r="C1256" s="19">
        <f t="shared" si="50"/>
        <v>-4.1594772390979973E-2</v>
      </c>
      <c r="D1256" s="21">
        <f t="shared" si="51"/>
        <v>3.6977518423987901E-2</v>
      </c>
    </row>
    <row r="1257" spans="1:4">
      <c r="A1257" s="19" t="s">
        <v>580</v>
      </c>
      <c r="B1257" s="19">
        <v>3.9740262536050301</v>
      </c>
      <c r="C1257" s="19">
        <f t="shared" si="50"/>
        <v>4.2225699127170113E-2</v>
      </c>
      <c r="D1257" s="21">
        <f t="shared" si="51"/>
        <v>3.6805946590130811E-2</v>
      </c>
    </row>
    <row r="1258" spans="1:4">
      <c r="A1258" s="19" t="s">
        <v>579</v>
      </c>
      <c r="B1258" s="19">
        <v>3.93180055447786</v>
      </c>
      <c r="C1258" s="19">
        <f t="shared" si="50"/>
        <v>-2.867003407506985E-2</v>
      </c>
      <c r="D1258" s="21">
        <f t="shared" si="51"/>
        <v>3.638400926267403E-2</v>
      </c>
    </row>
    <row r="1259" spans="1:4">
      <c r="A1259" s="19" t="s">
        <v>578</v>
      </c>
      <c r="B1259" s="19">
        <v>3.9604705885529299</v>
      </c>
      <c r="C1259" s="19">
        <f t="shared" si="50"/>
        <v>3.480568946526974E-2</v>
      </c>
      <c r="D1259" s="21">
        <f t="shared" si="51"/>
        <v>3.6276284107596611E-2</v>
      </c>
    </row>
    <row r="1260" spans="1:4">
      <c r="A1260" s="19" t="s">
        <v>577</v>
      </c>
      <c r="B1260" s="19">
        <v>3.9256648990876601</v>
      </c>
      <c r="C1260" s="19">
        <f t="shared" si="50"/>
        <v>-2.4767196632459854E-2</v>
      </c>
      <c r="D1260" s="21">
        <f t="shared" si="51"/>
        <v>3.6829212783488607E-2</v>
      </c>
    </row>
    <row r="1261" spans="1:4">
      <c r="A1261" s="19" t="s">
        <v>576</v>
      </c>
      <c r="B1261" s="19">
        <v>3.95043209572012</v>
      </c>
      <c r="C1261" s="19">
        <f t="shared" si="50"/>
        <v>3.5708656374649816E-2</v>
      </c>
      <c r="D1261" s="21">
        <f t="shared" si="51"/>
        <v>3.6916586688317932E-2</v>
      </c>
    </row>
    <row r="1262" spans="1:4">
      <c r="A1262" s="19" t="s">
        <v>575</v>
      </c>
      <c r="B1262" s="19">
        <v>3.9147234393454702</v>
      </c>
      <c r="C1262" s="19">
        <f t="shared" si="50"/>
        <v>1.1824511433780049E-2</v>
      </c>
      <c r="D1262" s="21">
        <f t="shared" si="51"/>
        <v>3.6725769841672397E-2</v>
      </c>
    </row>
    <row r="1263" spans="1:4">
      <c r="A1263" s="19" t="s">
        <v>574</v>
      </c>
      <c r="B1263" s="19">
        <v>3.9028989279116901</v>
      </c>
      <c r="C1263" s="19">
        <f t="shared" si="50"/>
        <v>-1.1409118163059784E-2</v>
      </c>
      <c r="D1263" s="21">
        <f t="shared" si="51"/>
        <v>3.6833743471792649E-2</v>
      </c>
    </row>
    <row r="1264" spans="1:4">
      <c r="A1264" s="19" t="s">
        <v>573</v>
      </c>
      <c r="B1264" s="19">
        <v>3.9143080460747499</v>
      </c>
      <c r="C1264" s="19">
        <f t="shared" si="50"/>
        <v>3.1380342441159836E-2</v>
      </c>
      <c r="D1264" s="21">
        <f t="shared" si="51"/>
        <v>3.6834713302310432E-2</v>
      </c>
    </row>
    <row r="1265" spans="1:4">
      <c r="A1265" s="19" t="s">
        <v>572</v>
      </c>
      <c r="B1265" s="19">
        <v>3.8829277036335901</v>
      </c>
      <c r="C1265" s="19">
        <f t="shared" si="50"/>
        <v>-1.5612818665549977E-2</v>
      </c>
      <c r="D1265" s="21">
        <f t="shared" si="51"/>
        <v>3.6806791529571496E-2</v>
      </c>
    </row>
    <row r="1266" spans="1:4">
      <c r="A1266" s="19" t="s">
        <v>571</v>
      </c>
      <c r="B1266" s="19">
        <v>3.8985405222991401</v>
      </c>
      <c r="C1266" s="19">
        <f t="shared" si="50"/>
        <v>3.4216249432270196E-2</v>
      </c>
      <c r="D1266" s="21">
        <f t="shared" si="51"/>
        <v>3.6790551115386518E-2</v>
      </c>
    </row>
    <row r="1267" spans="1:4">
      <c r="A1267" s="19" t="s">
        <v>570</v>
      </c>
      <c r="B1267" s="19">
        <v>3.8643242728668699</v>
      </c>
      <c r="C1267" s="19">
        <f t="shared" si="50"/>
        <v>-3.5083922613710072E-2</v>
      </c>
      <c r="D1267" s="21">
        <f t="shared" si="51"/>
        <v>3.6605576017340713E-2</v>
      </c>
    </row>
    <row r="1268" spans="1:4">
      <c r="A1268" s="19" t="s">
        <v>569</v>
      </c>
      <c r="B1268" s="19">
        <v>3.8994081954805799</v>
      </c>
      <c r="C1268" s="19">
        <f t="shared" si="50"/>
        <v>-1.3067619710670275E-2</v>
      </c>
      <c r="D1268" s="21">
        <f t="shared" si="51"/>
        <v>3.7293236084206649E-2</v>
      </c>
    </row>
    <row r="1269" spans="1:4">
      <c r="A1269" s="19" t="s">
        <v>568</v>
      </c>
      <c r="B1269" s="19">
        <v>3.9124758151912502</v>
      </c>
      <c r="C1269" s="19">
        <f t="shared" si="50"/>
        <v>-4.3568826094329882E-2</v>
      </c>
      <c r="D1269" s="21">
        <f t="shared" si="51"/>
        <v>3.7321795815584653E-2</v>
      </c>
    </row>
    <row r="1270" spans="1:4">
      <c r="A1270" s="19" t="s">
        <v>567</v>
      </c>
      <c r="B1270" s="19">
        <v>3.9560446412855801</v>
      </c>
      <c r="C1270" s="19">
        <f t="shared" si="50"/>
        <v>-9.9254771973680267E-2</v>
      </c>
      <c r="D1270" s="21">
        <f t="shared" si="51"/>
        <v>3.7040523963056855E-2</v>
      </c>
    </row>
    <row r="1271" spans="1:4">
      <c r="A1271" s="19" t="s">
        <v>566</v>
      </c>
      <c r="B1271" s="19">
        <v>4.0552994132592604</v>
      </c>
      <c r="C1271" s="19">
        <f t="shared" si="50"/>
        <v>5.4550948471730365E-2</v>
      </c>
      <c r="D1271" s="21">
        <f t="shared" si="51"/>
        <v>3.5472991582120562E-2</v>
      </c>
    </row>
    <row r="1272" spans="1:4">
      <c r="A1272" s="19" t="s">
        <v>565</v>
      </c>
      <c r="B1272" s="19">
        <v>4.00074846478753</v>
      </c>
      <c r="C1272" s="19">
        <f t="shared" si="50"/>
        <v>-1.0181193582109671E-2</v>
      </c>
      <c r="D1272" s="21">
        <f t="shared" si="51"/>
        <v>3.4600007292480771E-2</v>
      </c>
    </row>
    <row r="1273" spans="1:4">
      <c r="A1273" s="19" t="s">
        <v>564</v>
      </c>
      <c r="B1273" s="19">
        <v>4.0109296583696397</v>
      </c>
      <c r="C1273" s="19">
        <f t="shared" si="50"/>
        <v>-3.8560301701820343E-2</v>
      </c>
      <c r="D1273" s="21">
        <f t="shared" si="51"/>
        <v>3.4648001178217376E-2</v>
      </c>
    </row>
    <row r="1274" spans="1:4">
      <c r="A1274" s="19" t="s">
        <v>563</v>
      </c>
      <c r="B1274" s="19">
        <v>4.04948996007146</v>
      </c>
      <c r="C1274" s="19">
        <f t="shared" si="50"/>
        <v>2.8472162327860318E-2</v>
      </c>
      <c r="D1274" s="21">
        <f t="shared" si="51"/>
        <v>3.4378538636063521E-2</v>
      </c>
    </row>
    <row r="1275" spans="1:4">
      <c r="A1275" s="19" t="s">
        <v>562</v>
      </c>
      <c r="B1275" s="19">
        <v>4.0210177977435997</v>
      </c>
      <c r="C1275" s="19">
        <f t="shared" si="50"/>
        <v>3.0951222047149507E-2</v>
      </c>
      <c r="D1275" s="21">
        <f t="shared" si="51"/>
        <v>3.4428256169726813E-2</v>
      </c>
    </row>
    <row r="1276" spans="1:4">
      <c r="A1276" s="19" t="s">
        <v>561</v>
      </c>
      <c r="B1276" s="19">
        <v>3.9900665756964502</v>
      </c>
      <c r="C1276" s="19">
        <f t="shared" si="50"/>
        <v>2.5480361214350378E-2</v>
      </c>
      <c r="D1276" s="21">
        <f t="shared" si="51"/>
        <v>3.5022996351767956E-2</v>
      </c>
    </row>
    <row r="1277" spans="1:4">
      <c r="A1277" s="19" t="s">
        <v>560</v>
      </c>
      <c r="B1277" s="19">
        <v>3.9645862144820998</v>
      </c>
      <c r="C1277" s="19">
        <f t="shared" si="50"/>
        <v>7.9439725321779786E-2</v>
      </c>
      <c r="D1277" s="21">
        <f t="shared" si="51"/>
        <v>3.4801216450180854E-2</v>
      </c>
    </row>
    <row r="1278" spans="1:4">
      <c r="A1278" s="19" t="s">
        <v>559</v>
      </c>
      <c r="B1278" s="19">
        <v>3.88514648916032</v>
      </c>
      <c r="C1278" s="19">
        <f t="shared" si="50"/>
        <v>4.3833809584150174E-2</v>
      </c>
      <c r="D1278" s="21">
        <f t="shared" si="51"/>
        <v>3.3046045835694343E-2</v>
      </c>
    </row>
    <row r="1279" spans="1:4">
      <c r="A1279" s="19" t="s">
        <v>558</v>
      </c>
      <c r="B1279" s="19">
        <v>3.8413126795761698</v>
      </c>
      <c r="C1279" s="19">
        <f t="shared" si="50"/>
        <v>-1.0205222705601535E-3</v>
      </c>
      <c r="D1279" s="21">
        <f t="shared" si="51"/>
        <v>3.2384506566932848E-2</v>
      </c>
    </row>
    <row r="1280" spans="1:4">
      <c r="A1280" s="19" t="s">
        <v>557</v>
      </c>
      <c r="B1280" s="19">
        <v>3.84233320184673</v>
      </c>
      <c r="C1280" s="19">
        <f t="shared" si="50"/>
        <v>-6.7976853520950176E-2</v>
      </c>
      <c r="D1280" s="21">
        <f t="shared" si="51"/>
        <v>3.256302760788933E-2</v>
      </c>
    </row>
    <row r="1281" spans="1:4">
      <c r="A1281" s="19" t="s">
        <v>556</v>
      </c>
      <c r="B1281" s="19">
        <v>3.9103100553676802</v>
      </c>
      <c r="C1281" s="19">
        <f t="shared" si="50"/>
        <v>-2.3042747965899668E-2</v>
      </c>
      <c r="D1281" s="21">
        <f t="shared" si="51"/>
        <v>3.21567676156626E-2</v>
      </c>
    </row>
    <row r="1282" spans="1:4">
      <c r="A1282" s="19" t="s">
        <v>555</v>
      </c>
      <c r="B1282" s="19">
        <v>3.9333528033335798</v>
      </c>
      <c r="C1282" s="19">
        <f t="shared" ref="C1282:C1345" si="52">B1282-B1283</f>
        <v>7.3001511972798916E-3</v>
      </c>
      <c r="D1282" s="21">
        <f t="shared" ref="D1282:D1345" si="53">STDEV(C1282:C1341)</f>
        <v>3.2093914769184835E-2</v>
      </c>
    </row>
    <row r="1283" spans="1:4">
      <c r="A1283" s="19" t="s">
        <v>554</v>
      </c>
      <c r="B1283" s="19">
        <v>3.9260526521362999</v>
      </c>
      <c r="C1283" s="19">
        <f t="shared" si="52"/>
        <v>2.0585829456050142E-2</v>
      </c>
      <c r="D1283" s="21">
        <f t="shared" si="53"/>
        <v>3.2422054137917787E-2</v>
      </c>
    </row>
    <row r="1284" spans="1:4">
      <c r="A1284" s="19" t="s">
        <v>553</v>
      </c>
      <c r="B1284" s="19">
        <v>3.9054668226802498</v>
      </c>
      <c r="C1284" s="19">
        <f t="shared" si="52"/>
        <v>2.1302085552979744E-2</v>
      </c>
      <c r="D1284" s="21">
        <f t="shared" si="53"/>
        <v>3.2404858316799075E-2</v>
      </c>
    </row>
    <row r="1285" spans="1:4">
      <c r="A1285" s="19" t="s">
        <v>552</v>
      </c>
      <c r="B1285" s="19">
        <v>3.8841647371272701</v>
      </c>
      <c r="C1285" s="19">
        <f t="shared" si="52"/>
        <v>-2.1739509260100043E-2</v>
      </c>
      <c r="D1285" s="21">
        <f t="shared" si="53"/>
        <v>3.238616320813676E-2</v>
      </c>
    </row>
    <row r="1286" spans="1:4">
      <c r="A1286" s="19" t="s">
        <v>551</v>
      </c>
      <c r="B1286" s="19">
        <v>3.9059042463873701</v>
      </c>
      <c r="C1286" s="19">
        <f t="shared" si="52"/>
        <v>-6.944012846332992E-2</v>
      </c>
      <c r="D1286" s="21">
        <f t="shared" si="53"/>
        <v>3.255569137164023E-2</v>
      </c>
    </row>
    <row r="1287" spans="1:4">
      <c r="A1287" s="19" t="s">
        <v>550</v>
      </c>
      <c r="B1287" s="19">
        <v>3.9753443748507</v>
      </c>
      <c r="C1287" s="19">
        <f t="shared" si="52"/>
        <v>6.855706186619015E-2</v>
      </c>
      <c r="D1287" s="21">
        <f t="shared" si="53"/>
        <v>3.2215775359231369E-2</v>
      </c>
    </row>
    <row r="1288" spans="1:4">
      <c r="A1288" s="19" t="s">
        <v>549</v>
      </c>
      <c r="B1288" s="19">
        <v>3.9067873129845099</v>
      </c>
      <c r="C1288" s="19">
        <f t="shared" si="52"/>
        <v>9.8241413589996718E-3</v>
      </c>
      <c r="D1288" s="21">
        <f t="shared" si="53"/>
        <v>3.0859646024952704E-2</v>
      </c>
    </row>
    <row r="1289" spans="1:4">
      <c r="A1289" s="19" t="s">
        <v>548</v>
      </c>
      <c r="B1289" s="19">
        <v>3.8969631716255102</v>
      </c>
      <c r="C1289" s="19">
        <f t="shared" si="52"/>
        <v>9.1560199578033519E-4</v>
      </c>
      <c r="D1289" s="21">
        <f t="shared" si="53"/>
        <v>3.1040794614017281E-2</v>
      </c>
    </row>
    <row r="1290" spans="1:4">
      <c r="A1290" s="19" t="s">
        <v>547</v>
      </c>
      <c r="B1290" s="19">
        <v>3.8960475696297299</v>
      </c>
      <c r="C1290" s="19">
        <f t="shared" si="52"/>
        <v>3.9365209986099714E-2</v>
      </c>
      <c r="D1290" s="21">
        <f t="shared" si="53"/>
        <v>3.3059501449510559E-2</v>
      </c>
    </row>
    <row r="1291" spans="1:4">
      <c r="A1291" s="19" t="s">
        <v>546</v>
      </c>
      <c r="B1291" s="19">
        <v>3.8566823596436302</v>
      </c>
      <c r="C1291" s="19">
        <f t="shared" si="52"/>
        <v>-3.9132084821599911E-2</v>
      </c>
      <c r="D1291" s="21">
        <f t="shared" si="53"/>
        <v>3.2551719133210845E-2</v>
      </c>
    </row>
    <row r="1292" spans="1:4">
      <c r="A1292" s="19" t="s">
        <v>545</v>
      </c>
      <c r="B1292" s="19">
        <v>3.8958144444652301</v>
      </c>
      <c r="C1292" s="19">
        <f t="shared" si="52"/>
        <v>-4.9002250014598125E-3</v>
      </c>
      <c r="D1292" s="21">
        <f t="shared" si="53"/>
        <v>3.2475177253678801E-2</v>
      </c>
    </row>
    <row r="1293" spans="1:4">
      <c r="A1293" s="19" t="s">
        <v>544</v>
      </c>
      <c r="B1293" s="19">
        <v>3.9007146694666899</v>
      </c>
      <c r="C1293" s="19">
        <f t="shared" si="52"/>
        <v>7.4310874931700077E-3</v>
      </c>
      <c r="D1293" s="21">
        <f t="shared" si="53"/>
        <v>3.2587024937568695E-2</v>
      </c>
    </row>
    <row r="1294" spans="1:4">
      <c r="A1294" s="19" t="s">
        <v>543</v>
      </c>
      <c r="B1294" s="19">
        <v>3.8932835819735199</v>
      </c>
      <c r="C1294" s="19">
        <f t="shared" si="52"/>
        <v>-2.0582762454420145E-2</v>
      </c>
      <c r="D1294" s="21">
        <f t="shared" si="53"/>
        <v>3.3057730651273903E-2</v>
      </c>
    </row>
    <row r="1295" spans="1:4">
      <c r="A1295" s="19" t="s">
        <v>542</v>
      </c>
      <c r="B1295" s="19">
        <v>3.91386634442794</v>
      </c>
      <c r="C1295" s="19">
        <f t="shared" si="52"/>
        <v>5.037210069991005E-2</v>
      </c>
      <c r="D1295" s="21">
        <f t="shared" si="53"/>
        <v>3.3840370927903166E-2</v>
      </c>
    </row>
    <row r="1296" spans="1:4">
      <c r="A1296" s="19" t="s">
        <v>541</v>
      </c>
      <c r="B1296" s="19">
        <v>3.86349424372803</v>
      </c>
      <c r="C1296" s="19">
        <f t="shared" si="52"/>
        <v>-6.8860027197950036E-2</v>
      </c>
      <c r="D1296" s="21">
        <f t="shared" si="53"/>
        <v>3.348732027021914E-2</v>
      </c>
    </row>
    <row r="1297" spans="1:4">
      <c r="A1297" s="19" t="s">
        <v>540</v>
      </c>
      <c r="B1297" s="19">
        <v>3.93235427092598</v>
      </c>
      <c r="C1297" s="19">
        <f t="shared" si="52"/>
        <v>-1.6589760313898694E-3</v>
      </c>
      <c r="D1297" s="21">
        <f t="shared" si="53"/>
        <v>3.2546706074091769E-2</v>
      </c>
    </row>
    <row r="1298" spans="1:4">
      <c r="A1298" s="19" t="s">
        <v>539</v>
      </c>
      <c r="B1298" s="19">
        <v>3.9340132469573699</v>
      </c>
      <c r="C1298" s="19">
        <f t="shared" si="52"/>
        <v>2.2919473718070016E-2</v>
      </c>
      <c r="D1298" s="21">
        <f t="shared" si="53"/>
        <v>3.4320742050488483E-2</v>
      </c>
    </row>
    <row r="1299" spans="1:4">
      <c r="A1299" s="19" t="s">
        <v>538</v>
      </c>
      <c r="B1299" s="19">
        <v>3.9110937732392999</v>
      </c>
      <c r="C1299" s="19">
        <f t="shared" si="52"/>
        <v>-7.1546468463659973E-2</v>
      </c>
      <c r="D1299" s="21">
        <f t="shared" si="53"/>
        <v>3.5789174248417835E-2</v>
      </c>
    </row>
    <row r="1300" spans="1:4">
      <c r="A1300" s="19" t="s">
        <v>537</v>
      </c>
      <c r="B1300" s="19">
        <v>3.9826402417029598</v>
      </c>
      <c r="C1300" s="19">
        <f t="shared" si="52"/>
        <v>-1.3665771310602537E-3</v>
      </c>
      <c r="D1300" s="21">
        <f t="shared" si="53"/>
        <v>3.5280215242544648E-2</v>
      </c>
    </row>
    <row r="1301" spans="1:4">
      <c r="A1301" s="19" t="s">
        <v>536</v>
      </c>
      <c r="B1301" s="19">
        <v>3.9840068188340201</v>
      </c>
      <c r="C1301" s="19">
        <f t="shared" si="52"/>
        <v>-1.2146684183319767E-2</v>
      </c>
      <c r="D1301" s="21">
        <f t="shared" si="53"/>
        <v>3.5302496236588071E-2</v>
      </c>
    </row>
    <row r="1302" spans="1:4">
      <c r="A1302" s="19" t="s">
        <v>535</v>
      </c>
      <c r="B1302" s="19">
        <v>3.9961535030173398</v>
      </c>
      <c r="C1302" s="19">
        <f t="shared" si="52"/>
        <v>3.3121589783697836E-3</v>
      </c>
      <c r="D1302" s="21">
        <f t="shared" si="53"/>
        <v>3.5338844195306036E-2</v>
      </c>
    </row>
    <row r="1303" spans="1:4">
      <c r="A1303" s="19" t="s">
        <v>534</v>
      </c>
      <c r="B1303" s="19">
        <v>3.9928413440389701</v>
      </c>
      <c r="C1303" s="19">
        <f t="shared" si="52"/>
        <v>-1.2816448067850317E-2</v>
      </c>
      <c r="D1303" s="21">
        <f t="shared" si="53"/>
        <v>3.5346726164455708E-2</v>
      </c>
    </row>
    <row r="1304" spans="1:4">
      <c r="A1304" s="19" t="s">
        <v>533</v>
      </c>
      <c r="B1304" s="19">
        <v>4.0056577921068204</v>
      </c>
      <c r="C1304" s="19">
        <f t="shared" si="52"/>
        <v>7.4830512784003211E-3</v>
      </c>
      <c r="D1304" s="21">
        <f t="shared" si="53"/>
        <v>3.5684411216091269E-2</v>
      </c>
    </row>
    <row r="1305" spans="1:4">
      <c r="A1305" s="19" t="s">
        <v>532</v>
      </c>
      <c r="B1305" s="19">
        <v>3.9981747408284201</v>
      </c>
      <c r="C1305" s="19">
        <f t="shared" si="52"/>
        <v>4.1977345715430214E-2</v>
      </c>
      <c r="D1305" s="21">
        <f t="shared" si="53"/>
        <v>3.5680923264775219E-2</v>
      </c>
    </row>
    <row r="1306" spans="1:4">
      <c r="A1306" s="19" t="s">
        <v>531</v>
      </c>
      <c r="B1306" s="19">
        <v>3.9561973951129898</v>
      </c>
      <c r="C1306" s="19">
        <f t="shared" si="52"/>
        <v>-1.5248873694019949E-2</v>
      </c>
      <c r="D1306" s="21">
        <f t="shared" si="53"/>
        <v>3.6002976364805803E-2</v>
      </c>
    </row>
    <row r="1307" spans="1:4">
      <c r="A1307" s="19" t="s">
        <v>530</v>
      </c>
      <c r="B1307" s="19">
        <v>3.9714462688070098</v>
      </c>
      <c r="C1307" s="19">
        <f t="shared" si="52"/>
        <v>-1.7175953069650252E-2</v>
      </c>
      <c r="D1307" s="21">
        <f t="shared" si="53"/>
        <v>3.6104561460597623E-2</v>
      </c>
    </row>
    <row r="1308" spans="1:4">
      <c r="A1308" s="19" t="s">
        <v>529</v>
      </c>
      <c r="B1308" s="19">
        <v>3.98862222187666</v>
      </c>
      <c r="C1308" s="19">
        <f t="shared" si="52"/>
        <v>-1.6586209691909826E-2</v>
      </c>
      <c r="D1308" s="21">
        <f t="shared" si="53"/>
        <v>3.6489088960448349E-2</v>
      </c>
    </row>
    <row r="1309" spans="1:4">
      <c r="A1309" s="19" t="s">
        <v>528</v>
      </c>
      <c r="B1309" s="19">
        <v>4.0052084315685699</v>
      </c>
      <c r="C1309" s="19">
        <f t="shared" si="52"/>
        <v>2.255591426302983E-2</v>
      </c>
      <c r="D1309" s="21">
        <f t="shared" si="53"/>
        <v>3.6562799324997813E-2</v>
      </c>
    </row>
    <row r="1310" spans="1:4">
      <c r="A1310" s="19" t="s">
        <v>527</v>
      </c>
      <c r="B1310" s="19">
        <v>3.98265251730554</v>
      </c>
      <c r="C1310" s="19">
        <f t="shared" si="52"/>
        <v>-2.7521580367519949E-2</v>
      </c>
      <c r="D1310" s="21">
        <f t="shared" si="53"/>
        <v>3.636590797962562E-2</v>
      </c>
    </row>
    <row r="1311" spans="1:4">
      <c r="A1311" s="19" t="s">
        <v>526</v>
      </c>
      <c r="B1311" s="19">
        <v>4.01017409767306</v>
      </c>
      <c r="C1311" s="19">
        <f t="shared" si="52"/>
        <v>4.29900803534502E-2</v>
      </c>
      <c r="D1311" s="21">
        <f t="shared" si="53"/>
        <v>3.653960486747692E-2</v>
      </c>
    </row>
    <row r="1312" spans="1:4">
      <c r="A1312" s="19" t="s">
        <v>525</v>
      </c>
      <c r="B1312" s="19">
        <v>3.9671840173196098</v>
      </c>
      <c r="C1312" s="19">
        <f t="shared" si="52"/>
        <v>-1.3852905868290133E-2</v>
      </c>
      <c r="D1312" s="21">
        <f t="shared" si="53"/>
        <v>3.6742487248377462E-2</v>
      </c>
    </row>
    <row r="1313" spans="1:4">
      <c r="A1313" s="19" t="s">
        <v>524</v>
      </c>
      <c r="B1313" s="19">
        <v>3.9810369231878999</v>
      </c>
      <c r="C1313" s="19">
        <f t="shared" si="52"/>
        <v>-8.7057616469499166E-3</v>
      </c>
      <c r="D1313" s="21">
        <f t="shared" si="53"/>
        <v>3.7469629073587314E-2</v>
      </c>
    </row>
    <row r="1314" spans="1:4">
      <c r="A1314" s="19" t="s">
        <v>523</v>
      </c>
      <c r="B1314" s="19">
        <v>3.9897426848348498</v>
      </c>
      <c r="C1314" s="19">
        <f t="shared" si="52"/>
        <v>-5.0545657204330574E-2</v>
      </c>
      <c r="D1314" s="21">
        <f t="shared" si="53"/>
        <v>3.762337651716112E-2</v>
      </c>
    </row>
    <row r="1315" spans="1:4">
      <c r="A1315" s="19" t="s">
        <v>522</v>
      </c>
      <c r="B1315" s="19">
        <v>4.0402883420391804</v>
      </c>
      <c r="C1315" s="19">
        <f t="shared" si="52"/>
        <v>-3.0885334452649182E-2</v>
      </c>
      <c r="D1315" s="21">
        <f t="shared" si="53"/>
        <v>3.8712589764322958E-2</v>
      </c>
    </row>
    <row r="1316" spans="1:4">
      <c r="A1316" s="19" t="s">
        <v>521</v>
      </c>
      <c r="B1316" s="19">
        <v>4.0711736764918296</v>
      </c>
      <c r="C1316" s="19">
        <f t="shared" si="52"/>
        <v>-3.0565579105710228E-2</v>
      </c>
      <c r="D1316" s="21">
        <f t="shared" si="53"/>
        <v>3.8691807945586368E-2</v>
      </c>
    </row>
    <row r="1317" spans="1:4">
      <c r="A1317" s="19" t="s">
        <v>520</v>
      </c>
      <c r="B1317" s="19">
        <v>4.1017392555975398</v>
      </c>
      <c r="C1317" s="19">
        <f t="shared" si="52"/>
        <v>1.0597747649489619E-2</v>
      </c>
      <c r="D1317" s="21">
        <f t="shared" si="53"/>
        <v>3.9682721442118152E-2</v>
      </c>
    </row>
    <row r="1318" spans="1:4">
      <c r="A1318" s="19" t="s">
        <v>519</v>
      </c>
      <c r="B1318" s="19">
        <v>4.0911415079480502</v>
      </c>
      <c r="C1318" s="19">
        <f t="shared" si="52"/>
        <v>-1.73884547955101E-2</v>
      </c>
      <c r="D1318" s="21">
        <f t="shared" si="53"/>
        <v>4.0100694619720344E-2</v>
      </c>
    </row>
    <row r="1319" spans="1:4">
      <c r="A1319" s="19" t="s">
        <v>518</v>
      </c>
      <c r="B1319" s="19">
        <v>4.1085299627435603</v>
      </c>
      <c r="C1319" s="19">
        <f t="shared" si="52"/>
        <v>-6.524539677913932E-2</v>
      </c>
      <c r="D1319" s="21">
        <f t="shared" si="53"/>
        <v>4.0651785354445462E-2</v>
      </c>
    </row>
    <row r="1320" spans="1:4">
      <c r="A1320" s="19" t="s">
        <v>517</v>
      </c>
      <c r="B1320" s="19">
        <v>4.1737753595226996</v>
      </c>
      <c r="C1320" s="19">
        <f t="shared" si="52"/>
        <v>2.4969346298719941E-2</v>
      </c>
      <c r="D1320" s="21">
        <f t="shared" si="53"/>
        <v>4.0557297044644218E-2</v>
      </c>
    </row>
    <row r="1321" spans="1:4">
      <c r="A1321" s="19" t="s">
        <v>516</v>
      </c>
      <c r="B1321" s="19">
        <v>4.1488060132239797</v>
      </c>
      <c r="C1321" s="19">
        <f t="shared" si="52"/>
        <v>-3.100572140205049E-2</v>
      </c>
      <c r="D1321" s="21">
        <f t="shared" si="53"/>
        <v>4.0555908792082672E-2</v>
      </c>
    </row>
    <row r="1322" spans="1:4">
      <c r="A1322" s="19" t="s">
        <v>515</v>
      </c>
      <c r="B1322" s="19">
        <v>4.1798117346260302</v>
      </c>
      <c r="C1322" s="19">
        <f t="shared" si="52"/>
        <v>-3.2068460592419967E-2</v>
      </c>
      <c r="D1322" s="21">
        <f t="shared" si="53"/>
        <v>4.0544798873117592E-2</v>
      </c>
    </row>
    <row r="1323" spans="1:4">
      <c r="A1323" s="19" t="s">
        <v>514</v>
      </c>
      <c r="B1323" s="19">
        <v>4.2118801952184501</v>
      </c>
      <c r="C1323" s="19">
        <f t="shared" si="52"/>
        <v>1.6501797685597452E-3</v>
      </c>
      <c r="D1323" s="21">
        <f t="shared" si="53"/>
        <v>4.0879588987844891E-2</v>
      </c>
    </row>
    <row r="1324" spans="1:4">
      <c r="A1324" s="19" t="s">
        <v>513</v>
      </c>
      <c r="B1324" s="19">
        <v>4.2102300154498904</v>
      </c>
      <c r="C1324" s="19">
        <f t="shared" si="52"/>
        <v>2.9670300253940241E-2</v>
      </c>
      <c r="D1324" s="21">
        <f t="shared" si="53"/>
        <v>4.2227772959120273E-2</v>
      </c>
    </row>
    <row r="1325" spans="1:4">
      <c r="A1325" s="19" t="s">
        <v>512</v>
      </c>
      <c r="B1325" s="19">
        <v>4.1805597151959502</v>
      </c>
      <c r="C1325" s="19">
        <f t="shared" si="52"/>
        <v>-1.1535367654639472E-2</v>
      </c>
      <c r="D1325" s="21">
        <f t="shared" si="53"/>
        <v>4.2508253363257191E-2</v>
      </c>
    </row>
    <row r="1326" spans="1:4">
      <c r="A1326" s="19" t="s">
        <v>511</v>
      </c>
      <c r="B1326" s="19">
        <v>4.1920950828505896</v>
      </c>
      <c r="C1326" s="19">
        <f t="shared" si="52"/>
        <v>-3.3253807974270799E-2</v>
      </c>
      <c r="D1326" s="21">
        <f t="shared" si="53"/>
        <v>4.2518645087149282E-2</v>
      </c>
    </row>
    <row r="1327" spans="1:4">
      <c r="A1327" s="19" t="s">
        <v>510</v>
      </c>
      <c r="B1327" s="19">
        <v>4.2253488908248604</v>
      </c>
      <c r="C1327" s="19">
        <f t="shared" si="52"/>
        <v>-6.815667865418984E-2</v>
      </c>
      <c r="D1327" s="21">
        <f t="shared" si="53"/>
        <v>4.2530306614453048E-2</v>
      </c>
    </row>
    <row r="1328" spans="1:4">
      <c r="A1328" s="19" t="s">
        <v>509</v>
      </c>
      <c r="B1328" s="19">
        <v>4.2935055694790503</v>
      </c>
      <c r="C1328" s="19">
        <f t="shared" si="52"/>
        <v>6.6393664782404826E-3</v>
      </c>
      <c r="D1328" s="21">
        <f t="shared" si="53"/>
        <v>4.3524680141390534E-2</v>
      </c>
    </row>
    <row r="1329" spans="1:4">
      <c r="A1329" s="19" t="s">
        <v>508</v>
      </c>
      <c r="B1329" s="19">
        <v>4.2868662030008098</v>
      </c>
      <c r="C1329" s="19">
        <f t="shared" si="52"/>
        <v>-1.9250003183960196E-2</v>
      </c>
      <c r="D1329" s="21">
        <f t="shared" si="53"/>
        <v>4.3683014955972363E-2</v>
      </c>
    </row>
    <row r="1330" spans="1:4">
      <c r="A1330" s="19" t="s">
        <v>507</v>
      </c>
      <c r="B1330" s="19">
        <v>4.30611620618477</v>
      </c>
      <c r="C1330" s="19">
        <f t="shared" si="52"/>
        <v>-5.121552893930037E-2</v>
      </c>
      <c r="D1330" s="21">
        <f t="shared" si="53"/>
        <v>4.4115780985791109E-2</v>
      </c>
    </row>
    <row r="1331" spans="1:4">
      <c r="A1331" s="19" t="s">
        <v>506</v>
      </c>
      <c r="B1331" s="19">
        <v>4.3573317351240703</v>
      </c>
      <c r="C1331" s="19">
        <f t="shared" si="52"/>
        <v>-4.875878407649914E-3</v>
      </c>
      <c r="D1331" s="21">
        <f t="shared" si="53"/>
        <v>4.3537067993565458E-2</v>
      </c>
    </row>
    <row r="1332" spans="1:4">
      <c r="A1332" s="19" t="s">
        <v>505</v>
      </c>
      <c r="B1332" s="19">
        <v>4.3622076135317203</v>
      </c>
      <c r="C1332" s="19">
        <f t="shared" si="52"/>
        <v>8.786529114019892E-3</v>
      </c>
      <c r="D1332" s="21">
        <f t="shared" si="53"/>
        <v>4.4195741226937597E-2</v>
      </c>
    </row>
    <row r="1333" spans="1:4">
      <c r="A1333" s="19" t="s">
        <v>504</v>
      </c>
      <c r="B1333" s="19">
        <v>4.3534210844177004</v>
      </c>
      <c r="C1333" s="19">
        <f t="shared" si="52"/>
        <v>-4.7610284229300248E-3</v>
      </c>
      <c r="D1333" s="21">
        <f t="shared" si="53"/>
        <v>4.4199671689602184E-2</v>
      </c>
    </row>
    <row r="1334" spans="1:4">
      <c r="A1334" s="19" t="s">
        <v>503</v>
      </c>
      <c r="B1334" s="19">
        <v>4.3581821128406304</v>
      </c>
      <c r="C1334" s="19">
        <f t="shared" si="52"/>
        <v>3.1352753318410365E-2</v>
      </c>
      <c r="D1334" s="21">
        <f t="shared" si="53"/>
        <v>4.4660426729225079E-2</v>
      </c>
    </row>
    <row r="1335" spans="1:4">
      <c r="A1335" s="19" t="s">
        <v>502</v>
      </c>
      <c r="B1335" s="19">
        <v>4.32682935952222</v>
      </c>
      <c r="C1335" s="19">
        <f t="shared" si="52"/>
        <v>5.6116214164210199E-2</v>
      </c>
      <c r="D1335" s="21">
        <f t="shared" si="53"/>
        <v>4.4691928577591036E-2</v>
      </c>
    </row>
    <row r="1336" spans="1:4">
      <c r="A1336" s="19" t="s">
        <v>501</v>
      </c>
      <c r="B1336" s="19">
        <v>4.2707131453580098</v>
      </c>
      <c r="C1336" s="19">
        <f t="shared" si="52"/>
        <v>-1.8050625842498391E-3</v>
      </c>
      <c r="D1336" s="21">
        <f t="shared" si="53"/>
        <v>4.6038301174510889E-2</v>
      </c>
    </row>
    <row r="1337" spans="1:4">
      <c r="A1337" s="19" t="s">
        <v>500</v>
      </c>
      <c r="B1337" s="19">
        <v>4.2725182079422597</v>
      </c>
      <c r="C1337" s="19">
        <f t="shared" si="52"/>
        <v>9.3060053612896709E-3</v>
      </c>
      <c r="D1337" s="21">
        <f t="shared" si="53"/>
        <v>4.6453321831144569E-2</v>
      </c>
    </row>
    <row r="1338" spans="1:4">
      <c r="A1338" s="19" t="s">
        <v>499</v>
      </c>
      <c r="B1338" s="19">
        <v>4.26321220258097</v>
      </c>
      <c r="C1338" s="19">
        <f t="shared" si="52"/>
        <v>-5.6205969691802693E-3</v>
      </c>
      <c r="D1338" s="21">
        <f t="shared" si="53"/>
        <v>4.9572554588531499E-2</v>
      </c>
    </row>
    <row r="1339" spans="1:4">
      <c r="A1339" s="19" t="s">
        <v>498</v>
      </c>
      <c r="B1339" s="19">
        <v>4.2688327995501503</v>
      </c>
      <c r="C1339" s="19">
        <f t="shared" si="52"/>
        <v>-3.4325169606799655E-2</v>
      </c>
      <c r="D1339" s="21">
        <f t="shared" si="53"/>
        <v>4.9576929508676822E-2</v>
      </c>
    </row>
    <row r="1340" spans="1:4">
      <c r="A1340" s="19" t="s">
        <v>497</v>
      </c>
      <c r="B1340" s="19">
        <v>4.3031579691569499</v>
      </c>
      <c r="C1340" s="19">
        <f t="shared" si="52"/>
        <v>4.005734101339975E-2</v>
      </c>
      <c r="D1340" s="21">
        <f t="shared" si="53"/>
        <v>4.935928147839698E-2</v>
      </c>
    </row>
    <row r="1341" spans="1:4">
      <c r="A1341" s="19" t="s">
        <v>496</v>
      </c>
      <c r="B1341" s="19">
        <v>4.2631006281435502</v>
      </c>
      <c r="C1341" s="19">
        <f t="shared" si="52"/>
        <v>2.3062992282598671E-3</v>
      </c>
      <c r="D1341" s="21">
        <f t="shared" si="53"/>
        <v>5.035254552772795E-2</v>
      </c>
    </row>
    <row r="1342" spans="1:4">
      <c r="A1342" s="19" t="s">
        <v>495</v>
      </c>
      <c r="B1342" s="19">
        <v>4.2607943289152903</v>
      </c>
      <c r="C1342" s="19">
        <f t="shared" si="52"/>
        <v>3.2254392176340296E-2</v>
      </c>
      <c r="D1342" s="21">
        <f t="shared" si="53"/>
        <v>5.0396633686662744E-2</v>
      </c>
    </row>
    <row r="1343" spans="1:4">
      <c r="A1343" s="19" t="s">
        <v>494</v>
      </c>
      <c r="B1343" s="19">
        <v>4.22853993673895</v>
      </c>
      <c r="C1343" s="19">
        <f t="shared" si="52"/>
        <v>1.9269370261690177E-2</v>
      </c>
      <c r="D1343" s="21">
        <f t="shared" si="53"/>
        <v>5.4147626385641849E-2</v>
      </c>
    </row>
    <row r="1344" spans="1:4">
      <c r="A1344" s="19" t="s">
        <v>493</v>
      </c>
      <c r="B1344" s="19">
        <v>4.2092705664772598</v>
      </c>
      <c r="C1344" s="19">
        <f t="shared" si="52"/>
        <v>1.9910703511789585E-2</v>
      </c>
      <c r="D1344" s="21">
        <f t="shared" si="53"/>
        <v>5.6110855328444655E-2</v>
      </c>
    </row>
    <row r="1345" spans="1:4">
      <c r="A1345" s="19" t="s">
        <v>492</v>
      </c>
      <c r="B1345" s="19">
        <v>4.1893598629654702</v>
      </c>
      <c r="C1345" s="19">
        <f t="shared" si="52"/>
        <v>2.5975021194840409E-2</v>
      </c>
      <c r="D1345" s="21">
        <f t="shared" si="53"/>
        <v>5.6075737362910869E-2</v>
      </c>
    </row>
    <row r="1346" spans="1:4">
      <c r="A1346" s="19" t="s">
        <v>491</v>
      </c>
      <c r="B1346" s="19">
        <v>4.1633848417706298</v>
      </c>
      <c r="C1346" s="19">
        <f t="shared" ref="C1346:C1409" si="54">B1346-B1347</f>
        <v>5.2206453757180249E-2</v>
      </c>
      <c r="D1346" s="21">
        <f t="shared" ref="D1346:D1409" si="55">STDEV(C1346:C1405)</f>
        <v>5.6324386122839638E-2</v>
      </c>
    </row>
    <row r="1347" spans="1:4">
      <c r="A1347" s="19" t="s">
        <v>490</v>
      </c>
      <c r="B1347" s="19">
        <v>4.1111783880134496</v>
      </c>
      <c r="C1347" s="19">
        <f t="shared" si="54"/>
        <v>3.9360420382994477E-3</v>
      </c>
      <c r="D1347" s="21">
        <f t="shared" si="55"/>
        <v>5.590526375743133E-2</v>
      </c>
    </row>
    <row r="1348" spans="1:4">
      <c r="A1348" s="19" t="s">
        <v>489</v>
      </c>
      <c r="B1348" s="19">
        <v>4.1072423459751501</v>
      </c>
      <c r="C1348" s="19">
        <f t="shared" si="54"/>
        <v>2.562557481340999E-2</v>
      </c>
      <c r="D1348" s="21">
        <f t="shared" si="55"/>
        <v>5.6080597629978843E-2</v>
      </c>
    </row>
    <row r="1349" spans="1:4">
      <c r="A1349" s="19" t="s">
        <v>488</v>
      </c>
      <c r="B1349" s="19">
        <v>4.0816167711617402</v>
      </c>
      <c r="C1349" s="19">
        <f t="shared" si="54"/>
        <v>-9.1352229047640066E-2</v>
      </c>
      <c r="D1349" s="21">
        <f t="shared" si="55"/>
        <v>5.6276814626458657E-2</v>
      </c>
    </row>
    <row r="1350" spans="1:4">
      <c r="A1350" s="19" t="s">
        <v>487</v>
      </c>
      <c r="B1350" s="19">
        <v>4.1729690002093802</v>
      </c>
      <c r="C1350" s="19">
        <f t="shared" si="54"/>
        <v>-6.5616515981599122E-3</v>
      </c>
      <c r="D1350" s="21">
        <f t="shared" si="55"/>
        <v>6.0216247205212542E-2</v>
      </c>
    </row>
    <row r="1351" spans="1:4">
      <c r="A1351" s="19" t="s">
        <v>486</v>
      </c>
      <c r="B1351" s="19">
        <v>4.1795306518075401</v>
      </c>
      <c r="C1351" s="19">
        <f t="shared" si="54"/>
        <v>-3.4464347580390076E-2</v>
      </c>
      <c r="D1351" s="21">
        <f t="shared" si="55"/>
        <v>6.0299116869662099E-2</v>
      </c>
    </row>
    <row r="1352" spans="1:4">
      <c r="A1352" s="19" t="s">
        <v>485</v>
      </c>
      <c r="B1352" s="19">
        <v>4.2139949993879302</v>
      </c>
      <c r="C1352" s="19">
        <f t="shared" si="54"/>
        <v>1.5589713624080126E-2</v>
      </c>
      <c r="D1352" s="21">
        <f t="shared" si="55"/>
        <v>6.1517944693527234E-2</v>
      </c>
    </row>
    <row r="1353" spans="1:4">
      <c r="A1353" s="19" t="s">
        <v>484</v>
      </c>
      <c r="B1353" s="19">
        <v>4.1984052857638501</v>
      </c>
      <c r="C1353" s="19">
        <f t="shared" si="54"/>
        <v>-5.0035663253259699E-2</v>
      </c>
      <c r="D1353" s="21">
        <f t="shared" si="55"/>
        <v>6.5724213954835339E-2</v>
      </c>
    </row>
    <row r="1354" spans="1:4">
      <c r="A1354" s="19" t="s">
        <v>483</v>
      </c>
      <c r="B1354" s="19">
        <v>4.2484409490171098</v>
      </c>
      <c r="C1354" s="19">
        <f t="shared" si="54"/>
        <v>-6.366900477452031E-2</v>
      </c>
      <c r="D1354" s="21">
        <f t="shared" si="55"/>
        <v>6.5435449694674463E-2</v>
      </c>
    </row>
    <row r="1355" spans="1:4">
      <c r="A1355" s="19" t="s">
        <v>482</v>
      </c>
      <c r="B1355" s="19">
        <v>4.3121099537916301</v>
      </c>
      <c r="C1355" s="19">
        <f t="shared" si="54"/>
        <v>3.6384788259050005E-2</v>
      </c>
      <c r="D1355" s="21">
        <f t="shared" si="55"/>
        <v>6.5476899481292122E-2</v>
      </c>
    </row>
    <row r="1356" spans="1:4">
      <c r="A1356" s="19" t="s">
        <v>481</v>
      </c>
      <c r="B1356" s="19">
        <v>4.2757251655325801</v>
      </c>
      <c r="C1356" s="19">
        <f t="shared" si="54"/>
        <v>9.9063086742097184E-3</v>
      </c>
      <c r="D1356" s="21">
        <f t="shared" si="55"/>
        <v>6.5698816274654182E-2</v>
      </c>
    </row>
    <row r="1357" spans="1:4">
      <c r="A1357" s="19" t="s">
        <v>480</v>
      </c>
      <c r="B1357" s="19">
        <v>4.2658188568583704</v>
      </c>
      <c r="C1357" s="19">
        <f t="shared" si="54"/>
        <v>-9.0082307993639255E-2</v>
      </c>
      <c r="D1357" s="21">
        <f t="shared" si="55"/>
        <v>6.5979126592381629E-2</v>
      </c>
    </row>
    <row r="1358" spans="1:4">
      <c r="A1358" s="19" t="s">
        <v>479</v>
      </c>
      <c r="B1358" s="19">
        <v>4.3559011648520096</v>
      </c>
      <c r="C1358" s="19">
        <f t="shared" si="54"/>
        <v>7.675101404127993E-2</v>
      </c>
      <c r="D1358" s="21">
        <f t="shared" si="55"/>
        <v>6.9727097372690963E-2</v>
      </c>
    </row>
    <row r="1359" spans="1:4">
      <c r="A1359" s="19" t="s">
        <v>478</v>
      </c>
      <c r="B1359" s="19">
        <v>4.2791501508107297</v>
      </c>
      <c r="C1359" s="19">
        <f t="shared" si="54"/>
        <v>4.2458539339889967E-2</v>
      </c>
      <c r="D1359" s="21">
        <f t="shared" si="55"/>
        <v>7.0361261475734738E-2</v>
      </c>
    </row>
    <row r="1360" spans="1:4">
      <c r="A1360" s="19" t="s">
        <v>477</v>
      </c>
      <c r="B1360" s="19">
        <v>4.2366916114708397</v>
      </c>
      <c r="C1360" s="19">
        <f t="shared" si="54"/>
        <v>5.8593710716197123E-3</v>
      </c>
      <c r="D1360" s="21">
        <f t="shared" si="55"/>
        <v>7.024088961989694E-2</v>
      </c>
    </row>
    <row r="1361" spans="1:4">
      <c r="A1361" s="19" t="s">
        <v>476</v>
      </c>
      <c r="B1361" s="19">
        <v>4.23083224039922</v>
      </c>
      <c r="C1361" s="19">
        <f t="shared" si="54"/>
        <v>-1.8836742790020011E-2</v>
      </c>
      <c r="D1361" s="21">
        <f t="shared" si="55"/>
        <v>7.0290202022613144E-2</v>
      </c>
    </row>
    <row r="1362" spans="1:4">
      <c r="A1362" s="19" t="s">
        <v>475</v>
      </c>
      <c r="B1362" s="19">
        <v>4.24966898318924</v>
      </c>
      <c r="C1362" s="19">
        <f t="shared" si="54"/>
        <v>-1.3954225200629722E-2</v>
      </c>
      <c r="D1362" s="21">
        <f t="shared" si="55"/>
        <v>7.281808521394241E-2</v>
      </c>
    </row>
    <row r="1363" spans="1:4">
      <c r="A1363" s="19" t="s">
        <v>474</v>
      </c>
      <c r="B1363" s="19">
        <v>4.2636232083898697</v>
      </c>
      <c r="C1363" s="19">
        <f t="shared" si="54"/>
        <v>-4.3237098232660642E-2</v>
      </c>
      <c r="D1363" s="21">
        <f t="shared" si="55"/>
        <v>7.2762018251980115E-2</v>
      </c>
    </row>
    <row r="1364" spans="1:4">
      <c r="A1364" s="19" t="s">
        <v>473</v>
      </c>
      <c r="B1364" s="19">
        <v>4.3068603066225304</v>
      </c>
      <c r="C1364" s="19">
        <f t="shared" si="54"/>
        <v>6.8815193332607549E-3</v>
      </c>
      <c r="D1364" s="21">
        <f t="shared" si="55"/>
        <v>7.2879696182775358E-2</v>
      </c>
    </row>
    <row r="1365" spans="1:4">
      <c r="A1365" s="19" t="s">
        <v>472</v>
      </c>
      <c r="B1365" s="19">
        <v>4.2999787872892696</v>
      </c>
      <c r="C1365" s="19">
        <f t="shared" si="54"/>
        <v>-6.6410612850870798E-2</v>
      </c>
      <c r="D1365" s="21">
        <f t="shared" si="55"/>
        <v>7.3053849174867139E-2</v>
      </c>
    </row>
    <row r="1366" spans="1:4">
      <c r="A1366" s="19" t="s">
        <v>471</v>
      </c>
      <c r="B1366" s="19">
        <v>4.3663894001401404</v>
      </c>
      <c r="C1366" s="19">
        <f t="shared" si="54"/>
        <v>1.5948702265920822E-2</v>
      </c>
      <c r="D1366" s="21">
        <f t="shared" si="55"/>
        <v>7.4729504978247555E-2</v>
      </c>
    </row>
    <row r="1367" spans="1:4">
      <c r="A1367" s="19" t="s">
        <v>470</v>
      </c>
      <c r="B1367" s="19">
        <v>4.3504406978742196</v>
      </c>
      <c r="C1367" s="19">
        <f t="shared" si="54"/>
        <v>-4.8521345075560163E-2</v>
      </c>
      <c r="D1367" s="21">
        <f t="shared" si="55"/>
        <v>7.4877287304222773E-2</v>
      </c>
    </row>
    <row r="1368" spans="1:4">
      <c r="A1368" s="19" t="s">
        <v>469</v>
      </c>
      <c r="B1368" s="19">
        <v>4.3989620429497798</v>
      </c>
      <c r="C1368" s="19">
        <f t="shared" si="54"/>
        <v>1.3852703653720155E-2</v>
      </c>
      <c r="D1368" s="21">
        <f t="shared" si="55"/>
        <v>7.4750116777483583E-2</v>
      </c>
    </row>
    <row r="1369" spans="1:4">
      <c r="A1369" s="19" t="s">
        <v>468</v>
      </c>
      <c r="B1369" s="19">
        <v>4.3851093392960596</v>
      </c>
      <c r="C1369" s="19">
        <f t="shared" si="54"/>
        <v>-8.0374276742105621E-3</v>
      </c>
      <c r="D1369" s="21">
        <f t="shared" si="55"/>
        <v>7.4751422854205815E-2</v>
      </c>
    </row>
    <row r="1370" spans="1:4">
      <c r="A1370" s="19" t="s">
        <v>467</v>
      </c>
      <c r="B1370" s="19">
        <v>4.3931467669702702</v>
      </c>
      <c r="C1370" s="19">
        <f t="shared" si="54"/>
        <v>-4.1162236617469539E-2</v>
      </c>
      <c r="D1370" s="21">
        <f t="shared" si="55"/>
        <v>7.4757052476065899E-2</v>
      </c>
    </row>
    <row r="1371" spans="1:4">
      <c r="A1371" s="19" t="s">
        <v>466</v>
      </c>
      <c r="B1371" s="19">
        <v>4.4343090035877397</v>
      </c>
      <c r="C1371" s="19">
        <f t="shared" si="54"/>
        <v>-6.6939635318790103E-2</v>
      </c>
      <c r="D1371" s="21">
        <f t="shared" si="55"/>
        <v>7.4463467335353584E-2</v>
      </c>
    </row>
    <row r="1372" spans="1:4">
      <c r="A1372" s="19" t="s">
        <v>465</v>
      </c>
      <c r="B1372" s="19">
        <v>4.5012486389065298</v>
      </c>
      <c r="C1372" s="19">
        <f t="shared" si="54"/>
        <v>4.8306602879270244E-2</v>
      </c>
      <c r="D1372" s="21">
        <f t="shared" si="55"/>
        <v>7.3825662377899837E-2</v>
      </c>
    </row>
    <row r="1373" spans="1:4">
      <c r="A1373" s="19" t="s">
        <v>464</v>
      </c>
      <c r="B1373" s="19">
        <v>4.4529420360272596</v>
      </c>
      <c r="C1373" s="19">
        <f t="shared" si="54"/>
        <v>-3.4184320003040725E-2</v>
      </c>
      <c r="D1373" s="21">
        <f t="shared" si="55"/>
        <v>7.5164499921973438E-2</v>
      </c>
    </row>
    <row r="1374" spans="1:4">
      <c r="A1374" s="19" t="s">
        <v>463</v>
      </c>
      <c r="B1374" s="19">
        <v>4.4871263560303003</v>
      </c>
      <c r="C1374" s="19">
        <f t="shared" si="54"/>
        <v>7.5102787947749938E-2</v>
      </c>
      <c r="D1374" s="21">
        <f t="shared" si="55"/>
        <v>7.6138171147340561E-2</v>
      </c>
    </row>
    <row r="1375" spans="1:4">
      <c r="A1375" s="19" t="s">
        <v>462</v>
      </c>
      <c r="B1375" s="19">
        <v>4.4120235680825504</v>
      </c>
      <c r="C1375" s="19">
        <f t="shared" si="54"/>
        <v>1.7329296666760641E-2</v>
      </c>
      <c r="D1375" s="21">
        <f t="shared" si="55"/>
        <v>7.5840856848427257E-2</v>
      </c>
    </row>
    <row r="1376" spans="1:4">
      <c r="A1376" s="19" t="s">
        <v>461</v>
      </c>
      <c r="B1376" s="19">
        <v>4.3946942714157897</v>
      </c>
      <c r="C1376" s="19">
        <f t="shared" si="54"/>
        <v>6.7939496102109587E-2</v>
      </c>
      <c r="D1376" s="21">
        <f t="shared" si="55"/>
        <v>7.6601167930726702E-2</v>
      </c>
    </row>
    <row r="1377" spans="1:4">
      <c r="A1377" s="19" t="s">
        <v>460</v>
      </c>
      <c r="B1377" s="19">
        <v>4.3267547753136801</v>
      </c>
      <c r="C1377" s="19">
        <f t="shared" si="54"/>
        <v>4.3056980770740161E-2</v>
      </c>
      <c r="D1377" s="21">
        <f t="shared" si="55"/>
        <v>7.6355209141644953E-2</v>
      </c>
    </row>
    <row r="1378" spans="1:4">
      <c r="A1378" s="19" t="s">
        <v>459</v>
      </c>
      <c r="B1378" s="19">
        <v>4.28369779454294</v>
      </c>
      <c r="C1378" s="19">
        <f t="shared" si="54"/>
        <v>5.0678409983540007E-2</v>
      </c>
      <c r="D1378" s="21">
        <f t="shared" si="55"/>
        <v>7.6610000024067232E-2</v>
      </c>
    </row>
    <row r="1379" spans="1:4">
      <c r="A1379" s="19" t="s">
        <v>458</v>
      </c>
      <c r="B1379" s="19">
        <v>4.2330193845594</v>
      </c>
      <c r="C1379" s="19">
        <f t="shared" si="54"/>
        <v>5.9547833793920368E-2</v>
      </c>
      <c r="D1379" s="21">
        <f t="shared" si="55"/>
        <v>7.7593483502598315E-2</v>
      </c>
    </row>
    <row r="1380" spans="1:4">
      <c r="A1380" s="19" t="s">
        <v>457</v>
      </c>
      <c r="B1380" s="19">
        <v>4.1734715507654796</v>
      </c>
      <c r="C1380" s="19">
        <f t="shared" si="54"/>
        <v>2.4835931003769574E-2</v>
      </c>
      <c r="D1380" s="21">
        <f t="shared" si="55"/>
        <v>7.7454526215626512E-2</v>
      </c>
    </row>
    <row r="1381" spans="1:4">
      <c r="A1381" s="19" t="s">
        <v>456</v>
      </c>
      <c r="B1381" s="19">
        <v>4.14863561976171</v>
      </c>
      <c r="C1381" s="19">
        <f t="shared" si="54"/>
        <v>-3.0136555410999577E-2</v>
      </c>
      <c r="D1381" s="21">
        <f t="shared" si="55"/>
        <v>7.7855895748115495E-2</v>
      </c>
    </row>
    <row r="1382" spans="1:4">
      <c r="A1382" s="19" t="s">
        <v>455</v>
      </c>
      <c r="B1382" s="19">
        <v>4.1787721751727096</v>
      </c>
      <c r="C1382" s="19">
        <f t="shared" si="54"/>
        <v>-5.1403224192100083E-2</v>
      </c>
      <c r="D1382" s="21">
        <f t="shared" si="55"/>
        <v>7.7781608229199675E-2</v>
      </c>
    </row>
    <row r="1383" spans="1:4">
      <c r="A1383" s="19" t="s">
        <v>454</v>
      </c>
      <c r="B1383" s="19">
        <v>4.2301753993648097</v>
      </c>
      <c r="C1383" s="19">
        <f t="shared" si="54"/>
        <v>8.167775748124928E-2</v>
      </c>
      <c r="D1383" s="21">
        <f t="shared" si="55"/>
        <v>7.7602725405146539E-2</v>
      </c>
    </row>
    <row r="1384" spans="1:4">
      <c r="A1384" s="19" t="s">
        <v>453</v>
      </c>
      <c r="B1384" s="19">
        <v>4.1484976418835604</v>
      </c>
      <c r="C1384" s="19">
        <f t="shared" si="54"/>
        <v>-4.7147062111419835E-2</v>
      </c>
      <c r="D1384" s="21">
        <f t="shared" si="55"/>
        <v>7.767740689270794E-2</v>
      </c>
    </row>
    <row r="1385" spans="1:4">
      <c r="A1385" s="19" t="s">
        <v>452</v>
      </c>
      <c r="B1385" s="19">
        <v>4.1956447039949802</v>
      </c>
      <c r="C1385" s="19">
        <f t="shared" si="54"/>
        <v>1.353008649993015E-2</v>
      </c>
      <c r="D1385" s="21">
        <f t="shared" si="55"/>
        <v>7.7462276324058651E-2</v>
      </c>
    </row>
    <row r="1386" spans="1:4">
      <c r="A1386" s="19" t="s">
        <v>451</v>
      </c>
      <c r="B1386" s="19">
        <v>4.1821146174950501</v>
      </c>
      <c r="C1386" s="19">
        <f t="shared" si="54"/>
        <v>-3.4118277301820044E-2</v>
      </c>
      <c r="D1386" s="21">
        <f t="shared" si="55"/>
        <v>7.7857610966308805E-2</v>
      </c>
    </row>
    <row r="1387" spans="1:4">
      <c r="A1387" s="19" t="s">
        <v>450</v>
      </c>
      <c r="B1387" s="19">
        <v>4.2162328947968701</v>
      </c>
      <c r="C1387" s="19">
        <f t="shared" si="54"/>
        <v>0.10110863764283984</v>
      </c>
      <c r="D1387" s="21">
        <f t="shared" si="55"/>
        <v>7.7791180766964993E-2</v>
      </c>
    </row>
    <row r="1388" spans="1:4">
      <c r="A1388" s="19" t="s">
        <v>449</v>
      </c>
      <c r="B1388" s="19">
        <v>4.1151242571540303</v>
      </c>
      <c r="C1388" s="19">
        <f t="shared" si="54"/>
        <v>-2.6112945328909731E-2</v>
      </c>
      <c r="D1388" s="21">
        <f t="shared" si="55"/>
        <v>7.6980709700802813E-2</v>
      </c>
    </row>
    <row r="1389" spans="1:4">
      <c r="A1389" s="19" t="s">
        <v>448</v>
      </c>
      <c r="B1389" s="19">
        <v>4.14123720248294</v>
      </c>
      <c r="C1389" s="19">
        <f t="shared" si="54"/>
        <v>5.5384890429579947E-2</v>
      </c>
      <c r="D1389" s="21">
        <f t="shared" si="55"/>
        <v>7.6859806486661478E-2</v>
      </c>
    </row>
    <row r="1390" spans="1:4">
      <c r="A1390" s="19" t="s">
        <v>447</v>
      </c>
      <c r="B1390" s="19">
        <v>4.0858523120533601</v>
      </c>
      <c r="C1390" s="19">
        <f t="shared" si="54"/>
        <v>1.3085036067650435E-2</v>
      </c>
      <c r="D1390" s="21">
        <f t="shared" si="55"/>
        <v>7.6764636169223466E-2</v>
      </c>
    </row>
    <row r="1391" spans="1:4">
      <c r="A1391" s="19" t="s">
        <v>446</v>
      </c>
      <c r="B1391" s="19">
        <v>4.0727672759857096</v>
      </c>
      <c r="C1391" s="19">
        <f t="shared" si="54"/>
        <v>-5.4784396604820707E-2</v>
      </c>
      <c r="D1391" s="21">
        <f t="shared" si="55"/>
        <v>7.6971516163121728E-2</v>
      </c>
    </row>
    <row r="1392" spans="1:4">
      <c r="A1392" s="19" t="s">
        <v>445</v>
      </c>
      <c r="B1392" s="19">
        <v>4.1275516725905304</v>
      </c>
      <c r="C1392" s="19">
        <f t="shared" si="54"/>
        <v>-2.9118960235097191E-3</v>
      </c>
      <c r="D1392" s="21">
        <f t="shared" si="55"/>
        <v>7.7324509323108609E-2</v>
      </c>
    </row>
    <row r="1393" spans="1:4">
      <c r="A1393" s="19" t="s">
        <v>444</v>
      </c>
      <c r="B1393" s="19">
        <v>4.1304635686140401</v>
      </c>
      <c r="C1393" s="19">
        <f t="shared" si="54"/>
        <v>5.4167490114130246E-2</v>
      </c>
      <c r="D1393" s="21">
        <f t="shared" si="55"/>
        <v>7.7945219223867032E-2</v>
      </c>
    </row>
    <row r="1394" spans="1:4">
      <c r="A1394" s="19" t="s">
        <v>443</v>
      </c>
      <c r="B1394" s="19">
        <v>4.0762960784999098</v>
      </c>
      <c r="C1394" s="19">
        <f t="shared" si="54"/>
        <v>-2.5814348838170353E-2</v>
      </c>
      <c r="D1394" s="21">
        <f t="shared" si="55"/>
        <v>7.7777408010223634E-2</v>
      </c>
    </row>
    <row r="1395" spans="1:4">
      <c r="A1395" s="19" t="s">
        <v>442</v>
      </c>
      <c r="B1395" s="19">
        <v>4.1021104273380802</v>
      </c>
      <c r="C1395" s="19">
        <f t="shared" si="54"/>
        <v>-9.796828522708001E-2</v>
      </c>
      <c r="D1395" s="21">
        <f t="shared" si="55"/>
        <v>7.7760698176219237E-2</v>
      </c>
    </row>
    <row r="1396" spans="1:4">
      <c r="A1396" s="19" t="s">
        <v>441</v>
      </c>
      <c r="B1396" s="19">
        <v>4.2000787125651602</v>
      </c>
      <c r="C1396" s="19">
        <f t="shared" si="54"/>
        <v>-4.6859156426569903E-2</v>
      </c>
      <c r="D1396" s="21">
        <f t="shared" si="55"/>
        <v>7.6540529541858665E-2</v>
      </c>
    </row>
    <row r="1397" spans="1:4">
      <c r="A1397" s="19" t="s">
        <v>440</v>
      </c>
      <c r="B1397" s="19">
        <v>4.2469378689917301</v>
      </c>
      <c r="C1397" s="19">
        <f t="shared" si="54"/>
        <v>0.13463791233307987</v>
      </c>
      <c r="D1397" s="21">
        <f t="shared" si="55"/>
        <v>7.6103939271892268E-2</v>
      </c>
    </row>
    <row r="1398" spans="1:4">
      <c r="A1398" s="19" t="s">
        <v>439</v>
      </c>
      <c r="B1398" s="19">
        <v>4.1122999566586502</v>
      </c>
      <c r="C1398" s="19">
        <f t="shared" si="54"/>
        <v>-7.0669992207097465E-3</v>
      </c>
      <c r="D1398" s="21">
        <f t="shared" si="55"/>
        <v>7.4849591492650538E-2</v>
      </c>
    </row>
    <row r="1399" spans="1:4">
      <c r="A1399" s="19" t="s">
        <v>438</v>
      </c>
      <c r="B1399" s="19">
        <v>4.11936695587936</v>
      </c>
      <c r="C1399" s="19">
        <f t="shared" si="54"/>
        <v>1.3592584695709675E-2</v>
      </c>
      <c r="D1399" s="21">
        <f t="shared" si="55"/>
        <v>7.5661670391667948E-2</v>
      </c>
    </row>
    <row r="1400" spans="1:4">
      <c r="A1400" s="19" t="s">
        <v>437</v>
      </c>
      <c r="B1400" s="19">
        <v>4.1057743711836503</v>
      </c>
      <c r="C1400" s="19">
        <f t="shared" si="54"/>
        <v>-8.3010065487689744E-2</v>
      </c>
      <c r="D1400" s="21">
        <f t="shared" si="55"/>
        <v>7.567755739707191E-2</v>
      </c>
    </row>
    <row r="1401" spans="1:4">
      <c r="A1401" s="19" t="s">
        <v>436</v>
      </c>
      <c r="B1401" s="19">
        <v>4.18878443667134</v>
      </c>
      <c r="C1401" s="19">
        <f t="shared" si="54"/>
        <v>1.7581732001829664E-2</v>
      </c>
      <c r="D1401" s="21">
        <f t="shared" si="55"/>
        <v>7.5132519933902395E-2</v>
      </c>
    </row>
    <row r="1402" spans="1:4">
      <c r="A1402" s="19" t="s">
        <v>435</v>
      </c>
      <c r="B1402" s="19">
        <v>4.1712027046695104</v>
      </c>
      <c r="C1402" s="19">
        <f t="shared" si="54"/>
        <v>-0.15557620981496001</v>
      </c>
      <c r="D1402" s="21">
        <f t="shared" si="55"/>
        <v>7.5138107075641225E-2</v>
      </c>
    </row>
    <row r="1403" spans="1:4">
      <c r="A1403" s="19" t="s">
        <v>434</v>
      </c>
      <c r="B1403" s="19">
        <v>4.3267789144844704</v>
      </c>
      <c r="C1403" s="19">
        <f t="shared" si="54"/>
        <v>0.11393844242331053</v>
      </c>
      <c r="D1403" s="21">
        <f t="shared" si="55"/>
        <v>7.1811937190534136E-2</v>
      </c>
    </row>
    <row r="1404" spans="1:4">
      <c r="A1404" s="19" t="s">
        <v>433</v>
      </c>
      <c r="B1404" s="19">
        <v>4.2128404720611599</v>
      </c>
      <c r="C1404" s="19">
        <f t="shared" si="54"/>
        <v>-1.366660812043996E-2</v>
      </c>
      <c r="D1404" s="21">
        <f t="shared" si="55"/>
        <v>7.0956105806632128E-2</v>
      </c>
    </row>
    <row r="1405" spans="1:4">
      <c r="A1405" s="19" t="s">
        <v>432</v>
      </c>
      <c r="B1405" s="19">
        <v>4.2265070801815998</v>
      </c>
      <c r="C1405" s="19">
        <f t="shared" si="54"/>
        <v>4.8004719018869935E-2</v>
      </c>
      <c r="D1405" s="21">
        <f t="shared" si="55"/>
        <v>7.1242377547454508E-2</v>
      </c>
    </row>
    <row r="1406" spans="1:4">
      <c r="A1406" s="19" t="s">
        <v>431</v>
      </c>
      <c r="B1406" s="19">
        <v>4.1785023611627299</v>
      </c>
      <c r="C1406" s="19">
        <f t="shared" si="54"/>
        <v>3.7253760410802528E-3</v>
      </c>
      <c r="D1406" s="21">
        <f t="shared" si="55"/>
        <v>7.2441253301217562E-2</v>
      </c>
    </row>
    <row r="1407" spans="1:4">
      <c r="A1407" s="19" t="s">
        <v>430</v>
      </c>
      <c r="B1407" s="19">
        <v>4.1747769851216496</v>
      </c>
      <c r="C1407" s="19">
        <f t="shared" si="54"/>
        <v>-3.5842037600990473E-2</v>
      </c>
      <c r="D1407" s="21">
        <f t="shared" si="55"/>
        <v>7.2770133118377781E-2</v>
      </c>
    </row>
    <row r="1408" spans="1:4">
      <c r="A1408" s="19" t="s">
        <v>429</v>
      </c>
      <c r="B1408" s="19">
        <v>4.2106190227226401</v>
      </c>
      <c r="C1408" s="19">
        <f t="shared" si="54"/>
        <v>4.3598850320460514E-2</v>
      </c>
      <c r="D1408" s="21">
        <f t="shared" si="55"/>
        <v>7.2524136309508741E-2</v>
      </c>
    </row>
    <row r="1409" spans="1:4">
      <c r="A1409" s="19" t="s">
        <v>428</v>
      </c>
      <c r="B1409" s="19">
        <v>4.1670201724021796</v>
      </c>
      <c r="C1409" s="19">
        <f t="shared" si="54"/>
        <v>-0.18936857718841082</v>
      </c>
      <c r="D1409" s="21">
        <f t="shared" si="55"/>
        <v>7.2675702948913054E-2</v>
      </c>
    </row>
    <row r="1410" spans="1:4">
      <c r="A1410" s="19" t="s">
        <v>427</v>
      </c>
      <c r="B1410" s="19">
        <v>4.3563887495905904</v>
      </c>
      <c r="C1410" s="19">
        <f t="shared" ref="C1410:C1473" si="56">B1410-B1411</f>
        <v>-2.77347444147793E-2</v>
      </c>
      <c r="D1410" s="21">
        <f t="shared" ref="D1410:D1473" si="57">STDEV(C1410:C1469)</f>
        <v>7.0084794074889351E-2</v>
      </c>
    </row>
    <row r="1411" spans="1:4">
      <c r="A1411" s="19" t="s">
        <v>426</v>
      </c>
      <c r="B1411" s="19">
        <v>4.3841234940053697</v>
      </c>
      <c r="C1411" s="19">
        <f t="shared" si="56"/>
        <v>9.6644297686769853E-2</v>
      </c>
      <c r="D1411" s="21">
        <f t="shared" si="57"/>
        <v>7.0802734861288033E-2</v>
      </c>
    </row>
    <row r="1412" spans="1:4">
      <c r="A1412" s="19" t="s">
        <v>425</v>
      </c>
      <c r="B1412" s="19">
        <v>4.2874791963185999</v>
      </c>
      <c r="C1412" s="19">
        <f t="shared" si="56"/>
        <v>0.17850493243810028</v>
      </c>
      <c r="D1412" s="21">
        <f t="shared" si="57"/>
        <v>7.00223194672496E-2</v>
      </c>
    </row>
    <row r="1413" spans="1:4">
      <c r="A1413" s="19" t="s">
        <v>424</v>
      </c>
      <c r="B1413" s="19">
        <v>4.1089742638804996</v>
      </c>
      <c r="C1413" s="19">
        <f t="shared" si="56"/>
        <v>-1.9390577413030741E-2</v>
      </c>
      <c r="D1413" s="21">
        <f t="shared" si="57"/>
        <v>6.6698156191762087E-2</v>
      </c>
    </row>
    <row r="1414" spans="1:4">
      <c r="A1414" s="19" t="s">
        <v>423</v>
      </c>
      <c r="B1414" s="19">
        <v>4.1283648412935303</v>
      </c>
      <c r="C1414" s="19">
        <f t="shared" si="56"/>
        <v>7.2292285247810284E-2</v>
      </c>
      <c r="D1414" s="21">
        <f t="shared" si="57"/>
        <v>6.7116839631736189E-2</v>
      </c>
    </row>
    <row r="1415" spans="1:4">
      <c r="A1415" s="19" t="s">
        <v>422</v>
      </c>
      <c r="B1415" s="19">
        <v>4.05607255604572</v>
      </c>
      <c r="C1415" s="19">
        <f t="shared" si="56"/>
        <v>-4.9318595187619607E-2</v>
      </c>
      <c r="D1415" s="21">
        <f t="shared" si="57"/>
        <v>6.72426874512638E-2</v>
      </c>
    </row>
    <row r="1416" spans="1:4">
      <c r="A1416" s="19" t="s">
        <v>421</v>
      </c>
      <c r="B1416" s="19">
        <v>4.1053911512333396</v>
      </c>
      <c r="C1416" s="19">
        <f t="shared" si="56"/>
        <v>5.0324753366929542E-2</v>
      </c>
      <c r="D1416" s="21">
        <f t="shared" si="57"/>
        <v>6.8298267472949259E-2</v>
      </c>
    </row>
    <row r="1417" spans="1:4">
      <c r="A1417" s="19" t="s">
        <v>420</v>
      </c>
      <c r="B1417" s="19">
        <v>4.0550663978664101</v>
      </c>
      <c r="C1417" s="19">
        <f t="shared" si="56"/>
        <v>0.20403817908421029</v>
      </c>
      <c r="D1417" s="21">
        <f t="shared" si="57"/>
        <v>7.8335995922985749E-2</v>
      </c>
    </row>
    <row r="1418" spans="1:4">
      <c r="A1418" s="19" t="s">
        <v>419</v>
      </c>
      <c r="B1418" s="19">
        <v>3.8510282187821998</v>
      </c>
      <c r="C1418" s="19">
        <f t="shared" si="56"/>
        <v>-9.3539803329630189E-2</v>
      </c>
      <c r="D1418" s="21">
        <f t="shared" si="57"/>
        <v>8.9606910622353514E-2</v>
      </c>
    </row>
    <row r="1419" spans="1:4">
      <c r="A1419" s="19" t="s">
        <v>418</v>
      </c>
      <c r="B1419" s="19">
        <v>3.94456802211183</v>
      </c>
      <c r="C1419" s="19">
        <f t="shared" si="56"/>
        <v>-1.4830674928130172E-2</v>
      </c>
      <c r="D1419" s="21">
        <f t="shared" si="57"/>
        <v>8.8783932181647582E-2</v>
      </c>
    </row>
    <row r="1420" spans="1:4">
      <c r="A1420" s="19" t="s">
        <v>417</v>
      </c>
      <c r="B1420" s="19">
        <v>3.9593986970399602</v>
      </c>
      <c r="C1420" s="19">
        <f t="shared" si="56"/>
        <v>2.5030451814300303E-2</v>
      </c>
      <c r="D1420" s="21">
        <f t="shared" si="57"/>
        <v>0.11654831393296784</v>
      </c>
    </row>
    <row r="1421" spans="1:4">
      <c r="A1421" s="19" t="s">
        <v>416</v>
      </c>
      <c r="B1421" s="19">
        <v>3.9343682452256599</v>
      </c>
      <c r="C1421" s="19">
        <f t="shared" si="56"/>
        <v>0.15464369261554989</v>
      </c>
      <c r="D1421" s="21">
        <f t="shared" si="57"/>
        <v>0.11709543284512956</v>
      </c>
    </row>
    <row r="1422" spans="1:4">
      <c r="A1422" s="19" t="s">
        <v>415</v>
      </c>
      <c r="B1422" s="19">
        <v>3.77972455261011</v>
      </c>
      <c r="C1422" s="19">
        <f t="shared" si="56"/>
        <v>9.2739310550600251E-3</v>
      </c>
      <c r="D1422" s="21">
        <f t="shared" si="57"/>
        <v>0.11576480835936552</v>
      </c>
    </row>
    <row r="1423" spans="1:4">
      <c r="A1423" s="19" t="s">
        <v>414</v>
      </c>
      <c r="B1423" s="19">
        <v>3.77045062155505</v>
      </c>
      <c r="C1423" s="19">
        <f t="shared" si="56"/>
        <v>-5.2281195063939911E-2</v>
      </c>
      <c r="D1423" s="21">
        <f t="shared" si="57"/>
        <v>0.1165016201952867</v>
      </c>
    </row>
    <row r="1424" spans="1:4">
      <c r="A1424" s="19" t="s">
        <v>413</v>
      </c>
      <c r="B1424" s="19">
        <v>3.8227318166189899</v>
      </c>
      <c r="C1424" s="19">
        <f t="shared" si="56"/>
        <v>-3.0979516674410235E-2</v>
      </c>
      <c r="D1424" s="21">
        <f t="shared" si="57"/>
        <v>0.11772641132221706</v>
      </c>
    </row>
    <row r="1425" spans="1:4">
      <c r="A1425" s="19" t="s">
        <v>412</v>
      </c>
      <c r="B1425" s="19">
        <v>3.8537113332934001</v>
      </c>
      <c r="C1425" s="19">
        <f t="shared" si="56"/>
        <v>0.15186090443891009</v>
      </c>
      <c r="D1425" s="21">
        <f t="shared" si="57"/>
        <v>0.11882884338006844</v>
      </c>
    </row>
    <row r="1426" spans="1:4">
      <c r="A1426" s="19" t="s">
        <v>411</v>
      </c>
      <c r="B1426" s="19">
        <v>3.70185042885449</v>
      </c>
      <c r="C1426" s="19">
        <f t="shared" si="56"/>
        <v>-2.5764431184069903E-2</v>
      </c>
      <c r="D1426" s="21">
        <f t="shared" si="57"/>
        <v>0.1189760869941085</v>
      </c>
    </row>
    <row r="1427" spans="1:4">
      <c r="A1427" s="19" t="s">
        <v>410</v>
      </c>
      <c r="B1427" s="19">
        <v>3.7276148600385599</v>
      </c>
      <c r="C1427" s="19">
        <f t="shared" si="56"/>
        <v>-3.8081637915039934E-2</v>
      </c>
      <c r="D1427" s="21">
        <f t="shared" si="57"/>
        <v>0.11924110209605354</v>
      </c>
    </row>
    <row r="1428" spans="1:4">
      <c r="A1428" s="19" t="s">
        <v>409</v>
      </c>
      <c r="B1428" s="19">
        <v>3.7656964979535998</v>
      </c>
      <c r="C1428" s="19">
        <f t="shared" si="56"/>
        <v>1.5290824737729913E-2</v>
      </c>
      <c r="D1428" s="21">
        <f t="shared" si="57"/>
        <v>0.1191042875393107</v>
      </c>
    </row>
    <row r="1429" spans="1:4">
      <c r="A1429" s="19" t="s">
        <v>408</v>
      </c>
      <c r="B1429" s="19">
        <v>3.7504056732158699</v>
      </c>
      <c r="C1429" s="19">
        <f t="shared" si="56"/>
        <v>3.1115103161110103E-2</v>
      </c>
      <c r="D1429" s="21">
        <f t="shared" si="57"/>
        <v>0.11944030423532941</v>
      </c>
    </row>
    <row r="1430" spans="1:4">
      <c r="A1430" s="19" t="s">
        <v>407</v>
      </c>
      <c r="B1430" s="19">
        <v>3.7192905700547598</v>
      </c>
      <c r="C1430" s="19">
        <f t="shared" si="56"/>
        <v>-2.3844879772401129E-3</v>
      </c>
      <c r="D1430" s="21">
        <f t="shared" si="57"/>
        <v>0.11939297116767042</v>
      </c>
    </row>
    <row r="1431" spans="1:4">
      <c r="A1431" s="19" t="s">
        <v>406</v>
      </c>
      <c r="B1431" s="19">
        <v>3.7216750580319999</v>
      </c>
      <c r="C1431" s="19">
        <f t="shared" si="56"/>
        <v>-1.4167361519799915E-2</v>
      </c>
      <c r="D1431" s="21">
        <f t="shared" si="57"/>
        <v>0.12017480280001776</v>
      </c>
    </row>
    <row r="1432" spans="1:4">
      <c r="A1432" s="19" t="s">
        <v>405</v>
      </c>
      <c r="B1432" s="19">
        <v>3.7358424195517999</v>
      </c>
      <c r="C1432" s="19">
        <f t="shared" si="56"/>
        <v>0.12737320225911963</v>
      </c>
      <c r="D1432" s="21">
        <f t="shared" si="57"/>
        <v>0.1215689636031977</v>
      </c>
    </row>
    <row r="1433" spans="1:4">
      <c r="A1433" s="19" t="s">
        <v>404</v>
      </c>
      <c r="B1433" s="19">
        <v>3.6084692172926802</v>
      </c>
      <c r="C1433" s="19">
        <f t="shared" si="56"/>
        <v>0.12094756018253028</v>
      </c>
      <c r="D1433" s="21">
        <f t="shared" si="57"/>
        <v>0.12064378326305709</v>
      </c>
    </row>
    <row r="1434" spans="1:4">
      <c r="A1434" s="19" t="s">
        <v>403</v>
      </c>
      <c r="B1434" s="19">
        <v>3.4875216571101499</v>
      </c>
      <c r="C1434" s="19">
        <f t="shared" si="56"/>
        <v>-1.2986724690480234E-2</v>
      </c>
      <c r="D1434" s="21">
        <f t="shared" si="57"/>
        <v>0.12023539973072608</v>
      </c>
    </row>
    <row r="1435" spans="1:4">
      <c r="A1435" s="19" t="s">
        <v>402</v>
      </c>
      <c r="B1435" s="19">
        <v>3.5005083818006302</v>
      </c>
      <c r="C1435" s="19">
        <f t="shared" si="56"/>
        <v>9.8575871679789984E-2</v>
      </c>
      <c r="D1435" s="21">
        <f t="shared" si="57"/>
        <v>0.1206988899609347</v>
      </c>
    </row>
    <row r="1436" spans="1:4">
      <c r="A1436" s="19" t="s">
        <v>401</v>
      </c>
      <c r="B1436" s="19">
        <v>3.4019325101208402</v>
      </c>
      <c r="C1436" s="19">
        <f t="shared" si="56"/>
        <v>3.7453945377530218E-2</v>
      </c>
      <c r="D1436" s="21">
        <f t="shared" si="57"/>
        <v>0.12032149335994154</v>
      </c>
    </row>
    <row r="1437" spans="1:4">
      <c r="A1437" s="19" t="s">
        <v>400</v>
      </c>
      <c r="B1437" s="19">
        <v>3.36447856474331</v>
      </c>
      <c r="C1437" s="19">
        <f t="shared" si="56"/>
        <v>7.1198631544959756E-2</v>
      </c>
      <c r="D1437" s="21">
        <f t="shared" si="57"/>
        <v>0.12087615406087716</v>
      </c>
    </row>
    <row r="1438" spans="1:4">
      <c r="A1438" s="19" t="s">
        <v>399</v>
      </c>
      <c r="B1438" s="19">
        <v>3.2932799331983502</v>
      </c>
      <c r="C1438" s="19">
        <f t="shared" si="56"/>
        <v>-8.5595611365849589E-2</v>
      </c>
      <c r="D1438" s="21">
        <f t="shared" si="57"/>
        <v>0.1211329556868319</v>
      </c>
    </row>
    <row r="1439" spans="1:4">
      <c r="A1439" s="19" t="s">
        <v>398</v>
      </c>
      <c r="B1439" s="19">
        <v>3.3788755445641998</v>
      </c>
      <c r="C1439" s="19">
        <f t="shared" si="56"/>
        <v>-1.5353669702240058E-2</v>
      </c>
      <c r="D1439" s="21">
        <f t="shared" si="57"/>
        <v>0.12073350284002154</v>
      </c>
    </row>
    <row r="1440" spans="1:4">
      <c r="A1440" s="19" t="s">
        <v>397</v>
      </c>
      <c r="B1440" s="19">
        <v>3.3942292142664399</v>
      </c>
      <c r="C1440" s="19">
        <f t="shared" si="56"/>
        <v>-4.9546426682050004E-2</v>
      </c>
      <c r="D1440" s="21">
        <f t="shared" si="57"/>
        <v>0.1207215854090629</v>
      </c>
    </row>
    <row r="1441" spans="1:4">
      <c r="A1441" s="19" t="s">
        <v>396</v>
      </c>
      <c r="B1441" s="19">
        <v>3.4437756409484899</v>
      </c>
      <c r="C1441" s="19">
        <f t="shared" si="56"/>
        <v>4.5932095109659787E-2</v>
      </c>
      <c r="D1441" s="21">
        <f t="shared" si="57"/>
        <v>0.12083145730038754</v>
      </c>
    </row>
    <row r="1442" spans="1:4">
      <c r="A1442" s="19" t="s">
        <v>395</v>
      </c>
      <c r="B1442" s="19">
        <v>3.3978435458388301</v>
      </c>
      <c r="C1442" s="19">
        <f t="shared" si="56"/>
        <v>-3.7116659566959864E-2</v>
      </c>
      <c r="D1442" s="21">
        <f t="shared" si="57"/>
        <v>0.12071425225065277</v>
      </c>
    </row>
    <row r="1443" spans="1:4">
      <c r="A1443" s="19" t="s">
        <v>394</v>
      </c>
      <c r="B1443" s="19">
        <v>3.4349602054057899</v>
      </c>
      <c r="C1443" s="19">
        <f t="shared" si="56"/>
        <v>-6.2321953819389986E-2</v>
      </c>
      <c r="D1443" s="21">
        <f t="shared" si="57"/>
        <v>0.12088860313039371</v>
      </c>
    </row>
    <row r="1444" spans="1:4">
      <c r="A1444" s="19" t="s">
        <v>393</v>
      </c>
      <c r="B1444" s="19">
        <v>3.4972821592251799</v>
      </c>
      <c r="C1444" s="19">
        <f t="shared" si="56"/>
        <v>5.0262704199569797E-2</v>
      </c>
      <c r="D1444" s="21">
        <f t="shared" si="57"/>
        <v>0.12079085477105793</v>
      </c>
    </row>
    <row r="1445" spans="1:4">
      <c r="A1445" s="19" t="s">
        <v>392</v>
      </c>
      <c r="B1445" s="19">
        <v>3.4470194550256101</v>
      </c>
      <c r="C1445" s="19">
        <f t="shared" si="56"/>
        <v>7.3166295947350246E-2</v>
      </c>
      <c r="D1445" s="21">
        <f t="shared" si="57"/>
        <v>0.12110116275283524</v>
      </c>
    </row>
    <row r="1446" spans="1:4">
      <c r="A1446" s="19" t="s">
        <v>391</v>
      </c>
      <c r="B1446" s="19">
        <v>3.3738531590782599</v>
      </c>
      <c r="C1446" s="19">
        <f t="shared" si="56"/>
        <v>5.5771915203009836E-2</v>
      </c>
      <c r="D1446" s="21">
        <f t="shared" si="57"/>
        <v>0.12100040718611793</v>
      </c>
    </row>
    <row r="1447" spans="1:4">
      <c r="A1447" s="19" t="s">
        <v>390</v>
      </c>
      <c r="B1447" s="19">
        <v>3.3180812438752501</v>
      </c>
      <c r="C1447" s="19">
        <f t="shared" si="56"/>
        <v>2.5648911076590064E-2</v>
      </c>
      <c r="D1447" s="21">
        <f t="shared" si="57"/>
        <v>0.12076198580799041</v>
      </c>
    </row>
    <row r="1448" spans="1:4">
      <c r="A1448" s="19" t="s">
        <v>389</v>
      </c>
      <c r="B1448" s="19">
        <v>3.29243233279866</v>
      </c>
      <c r="C1448" s="19">
        <f t="shared" si="56"/>
        <v>3.728233462241981E-2</v>
      </c>
      <c r="D1448" s="21">
        <f t="shared" si="57"/>
        <v>0.1208320513887283</v>
      </c>
    </row>
    <row r="1449" spans="1:4">
      <c r="A1449" s="19" t="s">
        <v>388</v>
      </c>
      <c r="B1449" s="19">
        <v>3.2551499981762402</v>
      </c>
      <c r="C1449" s="19">
        <f t="shared" si="56"/>
        <v>-1.4710741209229994E-2</v>
      </c>
      <c r="D1449" s="21">
        <f t="shared" si="57"/>
        <v>0.12070407186762465</v>
      </c>
    </row>
    <row r="1450" spans="1:4">
      <c r="A1450" s="19" t="s">
        <v>387</v>
      </c>
      <c r="B1450" s="19">
        <v>3.2698607393854702</v>
      </c>
      <c r="C1450" s="19">
        <f t="shared" si="56"/>
        <v>-3.0078599931819827E-2</v>
      </c>
      <c r="D1450" s="21">
        <f t="shared" si="57"/>
        <v>0.12070276633611773</v>
      </c>
    </row>
    <row r="1451" spans="1:4">
      <c r="A1451" s="19" t="s">
        <v>386</v>
      </c>
      <c r="B1451" s="19">
        <v>3.29993933931729</v>
      </c>
      <c r="C1451" s="19">
        <f t="shared" si="56"/>
        <v>-7.5432047991479845E-2</v>
      </c>
      <c r="D1451" s="21">
        <f t="shared" si="57"/>
        <v>0.12083027051577314</v>
      </c>
    </row>
    <row r="1452" spans="1:4">
      <c r="A1452" s="19" t="s">
        <v>385</v>
      </c>
      <c r="B1452" s="19">
        <v>3.3753713873087698</v>
      </c>
      <c r="C1452" s="19">
        <f t="shared" si="56"/>
        <v>9.0447729696979895E-2</v>
      </c>
      <c r="D1452" s="21">
        <f t="shared" si="57"/>
        <v>0.12047850167557543</v>
      </c>
    </row>
    <row r="1453" spans="1:4">
      <c r="A1453" s="19" t="s">
        <v>384</v>
      </c>
      <c r="B1453" s="19">
        <v>3.2849236576117899</v>
      </c>
      <c r="C1453" s="19">
        <f t="shared" si="56"/>
        <v>2.305678367235986E-2</v>
      </c>
      <c r="D1453" s="21">
        <f t="shared" si="57"/>
        <v>0.12012735247156971</v>
      </c>
    </row>
    <row r="1454" spans="1:4">
      <c r="A1454" s="19" t="s">
        <v>383</v>
      </c>
      <c r="B1454" s="19">
        <v>3.2618668739394301</v>
      </c>
      <c r="C1454" s="19">
        <f t="shared" si="56"/>
        <v>-2.3818055111179959E-2</v>
      </c>
      <c r="D1454" s="21">
        <f t="shared" si="57"/>
        <v>0.1200833126959629</v>
      </c>
    </row>
    <row r="1455" spans="1:4">
      <c r="A1455" s="19" t="s">
        <v>382</v>
      </c>
      <c r="B1455" s="19">
        <v>3.28568492905061</v>
      </c>
      <c r="C1455" s="19">
        <f t="shared" si="56"/>
        <v>5.5225169251159834E-2</v>
      </c>
      <c r="D1455" s="21">
        <f t="shared" si="57"/>
        <v>0.12036378547591767</v>
      </c>
    </row>
    <row r="1456" spans="1:4">
      <c r="A1456" s="19" t="s">
        <v>381</v>
      </c>
      <c r="B1456" s="19">
        <v>3.2304597597994502</v>
      </c>
      <c r="C1456" s="19">
        <f t="shared" si="56"/>
        <v>6.8056334566000132E-3</v>
      </c>
      <c r="D1456" s="21">
        <f t="shared" si="57"/>
        <v>0.12010683776720561</v>
      </c>
    </row>
    <row r="1457" spans="1:4">
      <c r="A1457" s="19" t="s">
        <v>380</v>
      </c>
      <c r="B1457" s="19">
        <v>3.2236541263428502</v>
      </c>
      <c r="C1457" s="19">
        <f t="shared" si="56"/>
        <v>-3.9137418199119978E-2</v>
      </c>
      <c r="D1457" s="21">
        <f t="shared" si="57"/>
        <v>0.12055543515495831</v>
      </c>
    </row>
    <row r="1458" spans="1:4">
      <c r="A1458" s="19" t="s">
        <v>379</v>
      </c>
      <c r="B1458" s="19">
        <v>3.2627915445419702</v>
      </c>
      <c r="C1458" s="19">
        <f t="shared" si="56"/>
        <v>-7.379679516476978E-2</v>
      </c>
      <c r="D1458" s="21">
        <f t="shared" si="57"/>
        <v>0.12062716369384544</v>
      </c>
    </row>
    <row r="1459" spans="1:4">
      <c r="A1459" s="19" t="s">
        <v>378</v>
      </c>
      <c r="B1459" s="19">
        <v>3.33658833970674</v>
      </c>
      <c r="C1459" s="19">
        <f t="shared" si="56"/>
        <v>1.0133978161599444E-3</v>
      </c>
      <c r="D1459" s="21">
        <f t="shared" si="57"/>
        <v>0.12046661188517983</v>
      </c>
    </row>
    <row r="1460" spans="1:4">
      <c r="A1460" s="19" t="s">
        <v>377</v>
      </c>
      <c r="B1460" s="19">
        <v>3.33557494189058</v>
      </c>
      <c r="C1460" s="19">
        <f t="shared" si="56"/>
        <v>-5.3131830378029932E-2</v>
      </c>
      <c r="D1460" s="21">
        <f t="shared" si="57"/>
        <v>0.12046426699131732</v>
      </c>
    </row>
    <row r="1461" spans="1:4">
      <c r="A1461" s="19" t="s">
        <v>376</v>
      </c>
      <c r="B1461" s="19">
        <v>3.3887067722686099</v>
      </c>
      <c r="C1461" s="19">
        <f t="shared" si="56"/>
        <v>4.9542418715398107E-3</v>
      </c>
      <c r="D1461" s="21">
        <f t="shared" si="57"/>
        <v>0.120313902793607</v>
      </c>
    </row>
    <row r="1462" spans="1:4">
      <c r="A1462" s="19" t="s">
        <v>375</v>
      </c>
      <c r="B1462" s="19">
        <v>3.3837525303970701</v>
      </c>
      <c r="C1462" s="19">
        <f t="shared" si="56"/>
        <v>5.6934714807201914E-3</v>
      </c>
      <c r="D1462" s="21">
        <f t="shared" si="57"/>
        <v>0.12033091300475247</v>
      </c>
    </row>
    <row r="1463" spans="1:4">
      <c r="A1463" s="19" t="s">
        <v>374</v>
      </c>
      <c r="B1463" s="19">
        <v>3.3780590589163499</v>
      </c>
      <c r="C1463" s="19">
        <f t="shared" si="56"/>
        <v>6.5401573434530125E-2</v>
      </c>
      <c r="D1463" s="21">
        <f t="shared" si="57"/>
        <v>0.12064845809757405</v>
      </c>
    </row>
    <row r="1464" spans="1:4">
      <c r="A1464" s="19" t="s">
        <v>373</v>
      </c>
      <c r="B1464" s="19">
        <v>3.3126574854818198</v>
      </c>
      <c r="C1464" s="19">
        <f t="shared" si="56"/>
        <v>-4.1891269010730259E-2</v>
      </c>
      <c r="D1464" s="21">
        <f t="shared" si="57"/>
        <v>0.12070434301473321</v>
      </c>
    </row>
    <row r="1465" spans="1:4">
      <c r="A1465" s="19" t="s">
        <v>372</v>
      </c>
      <c r="B1465" s="19">
        <v>3.3545487544925501</v>
      </c>
      <c r="C1465" s="19">
        <f t="shared" si="56"/>
        <v>-9.3245739450679821E-2</v>
      </c>
      <c r="D1465" s="21">
        <f t="shared" si="57"/>
        <v>0.12067546454075664</v>
      </c>
    </row>
    <row r="1466" spans="1:4">
      <c r="A1466" s="19" t="s">
        <v>371</v>
      </c>
      <c r="B1466" s="19">
        <v>3.4477944939432299</v>
      </c>
      <c r="C1466" s="19">
        <f t="shared" si="56"/>
        <v>6.653726145624006E-2</v>
      </c>
      <c r="D1466" s="21">
        <f t="shared" si="57"/>
        <v>0.12017547357502509</v>
      </c>
    </row>
    <row r="1467" spans="1:4">
      <c r="A1467" s="19" t="s">
        <v>370</v>
      </c>
      <c r="B1467" s="19">
        <v>3.3812572324869898</v>
      </c>
      <c r="C1467" s="19">
        <f t="shared" si="56"/>
        <v>3.2641820351029693E-2</v>
      </c>
      <c r="D1467" s="21">
        <f t="shared" si="57"/>
        <v>0.11981367378362734</v>
      </c>
    </row>
    <row r="1468" spans="1:4">
      <c r="A1468" s="19" t="s">
        <v>369</v>
      </c>
      <c r="B1468" s="19">
        <v>3.3486154121359601</v>
      </c>
      <c r="C1468" s="19">
        <f t="shared" si="56"/>
        <v>-3.3077388911489702E-2</v>
      </c>
      <c r="D1468" s="21">
        <f t="shared" si="57"/>
        <v>0.11976973339113509</v>
      </c>
    </row>
    <row r="1469" spans="1:4">
      <c r="A1469" s="19" t="s">
        <v>368</v>
      </c>
      <c r="B1469" s="19">
        <v>3.3816928010474498</v>
      </c>
      <c r="C1469" s="19">
        <f t="shared" si="56"/>
        <v>-0.12559746682661022</v>
      </c>
      <c r="D1469" s="21">
        <f t="shared" si="57"/>
        <v>0.12036771770057181</v>
      </c>
    </row>
    <row r="1470" spans="1:4">
      <c r="A1470" s="19" t="s">
        <v>367</v>
      </c>
      <c r="B1470" s="19">
        <v>3.5072902678740601</v>
      </c>
      <c r="C1470" s="19">
        <f t="shared" si="56"/>
        <v>-7.3926826017570058E-2</v>
      </c>
      <c r="D1470" s="21">
        <f t="shared" si="57"/>
        <v>0.11947242693061312</v>
      </c>
    </row>
    <row r="1471" spans="1:4">
      <c r="A1471" s="19" t="s">
        <v>366</v>
      </c>
      <c r="B1471" s="19">
        <v>3.5812170938916301</v>
      </c>
      <c r="C1471" s="19">
        <f t="shared" si="56"/>
        <v>3.5960586399500283E-2</v>
      </c>
      <c r="D1471" s="21">
        <f t="shared" si="57"/>
        <v>0.11962387492019357</v>
      </c>
    </row>
    <row r="1472" spans="1:4">
      <c r="A1472" s="19" t="s">
        <v>365</v>
      </c>
      <c r="B1472" s="19">
        <v>3.5452565074921298</v>
      </c>
      <c r="C1472" s="19">
        <f t="shared" si="56"/>
        <v>4.5266786098259626E-2</v>
      </c>
      <c r="D1472" s="21">
        <f t="shared" si="57"/>
        <v>0.11961473231171549</v>
      </c>
    </row>
    <row r="1473" spans="1:4">
      <c r="A1473" s="19" t="s">
        <v>364</v>
      </c>
      <c r="B1473" s="19">
        <v>3.4999897213938702</v>
      </c>
      <c r="C1473" s="19">
        <f t="shared" si="56"/>
        <v>7.5949960506620062E-2</v>
      </c>
      <c r="D1473" s="21">
        <f t="shared" si="57"/>
        <v>0.11980800248960911</v>
      </c>
    </row>
    <row r="1474" spans="1:4">
      <c r="A1474" s="19" t="s">
        <v>363</v>
      </c>
      <c r="B1474" s="19">
        <v>3.4240397608872502</v>
      </c>
      <c r="C1474" s="19">
        <f t="shared" ref="C1474:C1537" si="58">B1474-B1475</f>
        <v>-5.8617306291399718E-2</v>
      </c>
      <c r="D1474" s="21">
        <f t="shared" ref="D1474:D1537" si="59">STDEV(C1474:C1533)</f>
        <v>0.11930785345669741</v>
      </c>
    </row>
    <row r="1475" spans="1:4">
      <c r="A1475" s="19" t="s">
        <v>362</v>
      </c>
      <c r="B1475" s="19">
        <v>3.4826570671786499</v>
      </c>
      <c r="C1475" s="19">
        <f t="shared" si="58"/>
        <v>-9.9759665905279959E-2</v>
      </c>
      <c r="D1475" s="21">
        <f t="shared" si="59"/>
        <v>0.11913838261490488</v>
      </c>
    </row>
    <row r="1476" spans="1:4">
      <c r="A1476" s="19" t="s">
        <v>361</v>
      </c>
      <c r="B1476" s="19">
        <v>3.5824167330839298</v>
      </c>
      <c r="C1476" s="19">
        <f t="shared" si="58"/>
        <v>0.30818254192426986</v>
      </c>
      <c r="D1476" s="21">
        <f t="shared" si="59"/>
        <v>0.1189797234091803</v>
      </c>
    </row>
    <row r="1477" spans="1:4">
      <c r="A1477" s="19" t="s">
        <v>360</v>
      </c>
      <c r="B1477" s="19">
        <v>3.27423419115966</v>
      </c>
      <c r="C1477" s="19">
        <f t="shared" si="58"/>
        <v>0.39876195200228004</v>
      </c>
      <c r="D1477" s="21">
        <f t="shared" si="59"/>
        <v>0.11151374830872772</v>
      </c>
    </row>
    <row r="1478" spans="1:4">
      <c r="A1478" s="19" t="s">
        <v>359</v>
      </c>
      <c r="B1478" s="19">
        <v>2.8754722391573799</v>
      </c>
      <c r="C1478" s="19">
        <f t="shared" si="58"/>
        <v>-4.2371569632320139E-2</v>
      </c>
      <c r="D1478" s="21">
        <f t="shared" si="59"/>
        <v>9.7785933081708395E-2</v>
      </c>
    </row>
    <row r="1479" spans="1:4">
      <c r="A1479" s="19" t="s">
        <v>358</v>
      </c>
      <c r="B1479" s="19">
        <v>2.9178438087897001</v>
      </c>
      <c r="C1479" s="19">
        <f t="shared" si="58"/>
        <v>-0.56810295439726</v>
      </c>
      <c r="D1479" s="21">
        <f t="shared" si="59"/>
        <v>9.7848608310761032E-2</v>
      </c>
    </row>
    <row r="1480" spans="1:4">
      <c r="A1480" s="19" t="s">
        <v>357</v>
      </c>
      <c r="B1480" s="19">
        <v>3.4859467631869601</v>
      </c>
      <c r="C1480" s="19">
        <f t="shared" si="58"/>
        <v>9.6895731909889982E-2</v>
      </c>
      <c r="D1480" s="21">
        <f t="shared" si="59"/>
        <v>6.6789080759348224E-2</v>
      </c>
    </row>
    <row r="1481" spans="1:4">
      <c r="A1481" s="19" t="s">
        <v>356</v>
      </c>
      <c r="B1481" s="19">
        <v>3.3890510312770701</v>
      </c>
      <c r="C1481" s="19">
        <f t="shared" si="58"/>
        <v>6.4237312029030047E-2</v>
      </c>
      <c r="D1481" s="21">
        <f t="shared" si="59"/>
        <v>6.7235879577582064E-2</v>
      </c>
    </row>
    <row r="1482" spans="1:4">
      <c r="A1482" s="19" t="s">
        <v>355</v>
      </c>
      <c r="B1482" s="19">
        <v>3.32481371924804</v>
      </c>
      <c r="C1482" s="19">
        <f t="shared" si="58"/>
        <v>0.10889990061397992</v>
      </c>
      <c r="D1482" s="21">
        <f t="shared" si="59"/>
        <v>6.6528576569081982E-2</v>
      </c>
    </row>
    <row r="1483" spans="1:4">
      <c r="A1483" s="19" t="s">
        <v>354</v>
      </c>
      <c r="B1483" s="19">
        <v>3.2159138186340601</v>
      </c>
      <c r="C1483" s="19">
        <f t="shared" si="58"/>
        <v>-0.13506748615813002</v>
      </c>
      <c r="D1483" s="21">
        <f t="shared" si="59"/>
        <v>6.4679888659264051E-2</v>
      </c>
    </row>
    <row r="1484" spans="1:4">
      <c r="A1484" s="19" t="s">
        <v>353</v>
      </c>
      <c r="B1484" s="19">
        <v>3.3509813047921901</v>
      </c>
      <c r="C1484" s="19">
        <f t="shared" si="58"/>
        <v>-0.12265630166603003</v>
      </c>
      <c r="D1484" s="21">
        <f t="shared" si="59"/>
        <v>6.2686999119593093E-2</v>
      </c>
    </row>
    <row r="1485" spans="1:4">
      <c r="A1485" s="19" t="s">
        <v>352</v>
      </c>
      <c r="B1485" s="19">
        <v>3.4736376064582202</v>
      </c>
      <c r="C1485" s="19">
        <f t="shared" si="58"/>
        <v>0.15879642024852014</v>
      </c>
      <c r="D1485" s="21">
        <f t="shared" si="59"/>
        <v>6.356803207197291E-2</v>
      </c>
    </row>
    <row r="1486" spans="1:4">
      <c r="A1486" s="19" t="s">
        <v>351</v>
      </c>
      <c r="B1486" s="19">
        <v>3.3148411862097</v>
      </c>
      <c r="C1486" s="19">
        <f t="shared" si="58"/>
        <v>-6.2725609920649905E-2</v>
      </c>
      <c r="D1486" s="21">
        <f t="shared" si="59"/>
        <v>5.9579214306689103E-2</v>
      </c>
    </row>
    <row r="1487" spans="1:4">
      <c r="A1487" s="19" t="s">
        <v>350</v>
      </c>
      <c r="B1487" s="19">
        <v>3.3775667961303499</v>
      </c>
      <c r="C1487" s="19">
        <f t="shared" si="58"/>
        <v>1.2741104206259735E-2</v>
      </c>
      <c r="D1487" s="21">
        <f t="shared" si="59"/>
        <v>5.9455115990905229E-2</v>
      </c>
    </row>
    <row r="1488" spans="1:4">
      <c r="A1488" s="19" t="s">
        <v>349</v>
      </c>
      <c r="B1488" s="19">
        <v>3.3648256919240902</v>
      </c>
      <c r="C1488" s="19">
        <f t="shared" si="58"/>
        <v>-6.3364373798519669E-2</v>
      </c>
      <c r="D1488" s="21">
        <f t="shared" si="59"/>
        <v>5.9372901531694028E-2</v>
      </c>
    </row>
    <row r="1489" spans="1:4">
      <c r="A1489" s="19" t="s">
        <v>348</v>
      </c>
      <c r="B1489" s="19">
        <v>3.4281900657226099</v>
      </c>
      <c r="C1489" s="19">
        <f t="shared" si="58"/>
        <v>2.2557834266696553E-3</v>
      </c>
      <c r="D1489" s="21">
        <f t="shared" si="59"/>
        <v>5.9035932608190039E-2</v>
      </c>
    </row>
    <row r="1490" spans="1:4">
      <c r="A1490" s="19" t="s">
        <v>347</v>
      </c>
      <c r="B1490" s="19">
        <v>3.4259342822959402</v>
      </c>
      <c r="C1490" s="19">
        <f t="shared" si="58"/>
        <v>0.11128021795526033</v>
      </c>
      <c r="D1490" s="21">
        <f t="shared" si="59"/>
        <v>6.0675110431743021E-2</v>
      </c>
    </row>
    <row r="1491" spans="1:4">
      <c r="A1491" s="19" t="s">
        <v>346</v>
      </c>
      <c r="B1491" s="19">
        <v>3.3146540643406799</v>
      </c>
      <c r="C1491" s="19">
        <f t="shared" si="58"/>
        <v>-0.13665180135569033</v>
      </c>
      <c r="D1491" s="21">
        <f t="shared" si="59"/>
        <v>5.8737604575362812E-2</v>
      </c>
    </row>
    <row r="1492" spans="1:4">
      <c r="A1492" s="19" t="s">
        <v>345</v>
      </c>
      <c r="B1492" s="19">
        <v>3.4513058656963702</v>
      </c>
      <c r="C1492" s="19">
        <f t="shared" si="58"/>
        <v>4.856596755615028E-2</v>
      </c>
      <c r="D1492" s="21">
        <f t="shared" si="59"/>
        <v>5.6725534551352055E-2</v>
      </c>
    </row>
    <row r="1493" spans="1:4">
      <c r="A1493" s="19" t="s">
        <v>344</v>
      </c>
      <c r="B1493" s="19">
        <v>3.4027398981402199</v>
      </c>
      <c r="C1493" s="19">
        <f t="shared" si="58"/>
        <v>9.2982123707679776E-2</v>
      </c>
      <c r="D1493" s="21">
        <f t="shared" si="59"/>
        <v>5.7175519843071954E-2</v>
      </c>
    </row>
    <row r="1494" spans="1:4">
      <c r="A1494" s="19" t="s">
        <v>343</v>
      </c>
      <c r="B1494" s="19">
        <v>3.3097577744325402</v>
      </c>
      <c r="C1494" s="19">
        <f t="shared" si="58"/>
        <v>-8.0213465545059925E-2</v>
      </c>
      <c r="D1494" s="21">
        <f t="shared" si="59"/>
        <v>5.5535150315351306E-2</v>
      </c>
    </row>
    <row r="1495" spans="1:4">
      <c r="A1495" s="19" t="s">
        <v>342</v>
      </c>
      <c r="B1495" s="19">
        <v>3.3899712399776001</v>
      </c>
      <c r="C1495" s="19">
        <f t="shared" si="58"/>
        <v>-6.4756160767169835E-2</v>
      </c>
      <c r="D1495" s="21">
        <f t="shared" si="59"/>
        <v>5.5295712835471279E-2</v>
      </c>
    </row>
    <row r="1496" spans="1:4">
      <c r="A1496" s="19" t="s">
        <v>341</v>
      </c>
      <c r="B1496" s="19">
        <v>3.4547274007447699</v>
      </c>
      <c r="C1496" s="19">
        <f t="shared" si="58"/>
        <v>9.617753040495991E-2</v>
      </c>
      <c r="D1496" s="21">
        <f t="shared" si="59"/>
        <v>5.4866130460417134E-2</v>
      </c>
    </row>
    <row r="1497" spans="1:4">
      <c r="A1497" s="19" t="s">
        <v>340</v>
      </c>
      <c r="B1497" s="19">
        <v>3.35854987033981</v>
      </c>
      <c r="C1497" s="19">
        <f t="shared" si="58"/>
        <v>-9.5747163912649924E-2</v>
      </c>
      <c r="D1497" s="21">
        <f t="shared" si="59"/>
        <v>5.3273962596926225E-2</v>
      </c>
    </row>
    <row r="1498" spans="1:4">
      <c r="A1498" s="19" t="s">
        <v>339</v>
      </c>
      <c r="B1498" s="19">
        <v>3.4542970342524599</v>
      </c>
      <c r="C1498" s="19">
        <f t="shared" si="58"/>
        <v>-3.7507450613730065E-2</v>
      </c>
      <c r="D1498" s="21">
        <f t="shared" si="59"/>
        <v>5.2196507521282395E-2</v>
      </c>
    </row>
    <row r="1499" spans="1:4">
      <c r="A1499" s="19" t="s">
        <v>338</v>
      </c>
      <c r="B1499" s="19">
        <v>3.49180448486619</v>
      </c>
      <c r="C1499" s="19">
        <f t="shared" si="58"/>
        <v>2.2236129677999372E-3</v>
      </c>
      <c r="D1499" s="21">
        <f t="shared" si="59"/>
        <v>5.3074926457561233E-2</v>
      </c>
    </row>
    <row r="1500" spans="1:4">
      <c r="A1500" s="19" t="s">
        <v>337</v>
      </c>
      <c r="B1500" s="19">
        <v>3.4895808718983901</v>
      </c>
      <c r="C1500" s="19">
        <f t="shared" si="58"/>
        <v>-6.3791538959229843E-2</v>
      </c>
      <c r="D1500" s="21">
        <f t="shared" si="59"/>
        <v>5.3038062854160198E-2</v>
      </c>
    </row>
    <row r="1501" spans="1:4">
      <c r="A1501" s="19" t="s">
        <v>336</v>
      </c>
      <c r="B1501" s="19">
        <v>3.5533724108576199</v>
      </c>
      <c r="C1501" s="19">
        <f t="shared" si="58"/>
        <v>-2.8331320502560153E-2</v>
      </c>
      <c r="D1501" s="21">
        <f t="shared" si="59"/>
        <v>5.2679643768984839E-2</v>
      </c>
    </row>
    <row r="1502" spans="1:4">
      <c r="A1502" s="19" t="s">
        <v>335</v>
      </c>
      <c r="B1502" s="19">
        <v>3.5817037313601801</v>
      </c>
      <c r="C1502" s="19">
        <f t="shared" si="58"/>
        <v>5.8558879521540153E-2</v>
      </c>
      <c r="D1502" s="21">
        <f t="shared" si="59"/>
        <v>5.266524959565333E-2</v>
      </c>
    </row>
    <row r="1503" spans="1:4">
      <c r="A1503" s="19" t="s">
        <v>334</v>
      </c>
      <c r="B1503" s="19">
        <v>3.5231448518386399</v>
      </c>
      <c r="C1503" s="19">
        <f t="shared" si="58"/>
        <v>-4.9552036214000061E-2</v>
      </c>
      <c r="D1503" s="21">
        <f t="shared" si="59"/>
        <v>5.2549173079714281E-2</v>
      </c>
    </row>
    <row r="1504" spans="1:4">
      <c r="A1504" s="19" t="s">
        <v>333</v>
      </c>
      <c r="B1504" s="19">
        <v>3.57269688805264</v>
      </c>
      <c r="C1504" s="19">
        <f t="shared" si="58"/>
        <v>8.3008995932010166E-2</v>
      </c>
      <c r="D1504" s="21">
        <f t="shared" si="59"/>
        <v>5.2677735062483341E-2</v>
      </c>
    </row>
    <row r="1505" spans="1:4">
      <c r="A1505" s="19" t="s">
        <v>332</v>
      </c>
      <c r="B1505" s="19">
        <v>3.4896878921206298</v>
      </c>
      <c r="C1505" s="24">
        <f t="shared" si="58"/>
        <v>-6.6622958913780117E-2</v>
      </c>
      <c r="D1505" s="25">
        <f t="shared" si="59"/>
        <v>5.2824285415072385E-2</v>
      </c>
    </row>
    <row r="1506" spans="1:4">
      <c r="A1506" s="19" t="s">
        <v>331</v>
      </c>
      <c r="B1506" s="19">
        <v>3.5563108510344099</v>
      </c>
      <c r="C1506" s="24">
        <f t="shared" si="58"/>
        <v>-1.4933727529120144E-2</v>
      </c>
      <c r="D1506" s="25">
        <f t="shared" si="59"/>
        <v>5.2535584887463287E-2</v>
      </c>
    </row>
    <row r="1507" spans="1:4">
      <c r="A1507" s="19" t="s">
        <v>330</v>
      </c>
      <c r="B1507" s="19">
        <v>3.5712445785635301</v>
      </c>
      <c r="C1507" s="24">
        <f t="shared" si="58"/>
        <v>-4.8751287608209903E-2</v>
      </c>
      <c r="D1507" s="25">
        <f t="shared" si="59"/>
        <v>5.2774479579290358E-2</v>
      </c>
    </row>
    <row r="1508" spans="1:4">
      <c r="A1508" s="19" t="s">
        <v>329</v>
      </c>
      <c r="B1508" s="19">
        <v>3.61999586617174</v>
      </c>
      <c r="C1508" s="24">
        <f t="shared" si="58"/>
        <v>-3.0108455138000423E-4</v>
      </c>
      <c r="D1508" s="25">
        <f t="shared" si="59"/>
        <v>5.3077440882822305E-2</v>
      </c>
    </row>
    <row r="1509" spans="1:4">
      <c r="A1509" s="19" t="s">
        <v>328</v>
      </c>
      <c r="B1509" s="19">
        <v>3.62029695072312</v>
      </c>
      <c r="C1509" s="24">
        <f t="shared" si="58"/>
        <v>1.6776940685101494E-3</v>
      </c>
      <c r="D1509" s="25">
        <f t="shared" si="59"/>
        <v>5.3111035920935259E-2</v>
      </c>
    </row>
    <row r="1510" spans="1:4">
      <c r="A1510" s="19" t="s">
        <v>327</v>
      </c>
      <c r="B1510" s="19">
        <v>3.6186192566546098</v>
      </c>
      <c r="C1510" s="24">
        <f t="shared" si="58"/>
        <v>4.4164306404369746E-2</v>
      </c>
      <c r="D1510" s="25">
        <f t="shared" si="59"/>
        <v>5.3201412336903876E-2</v>
      </c>
    </row>
    <row r="1511" spans="1:4">
      <c r="A1511" s="19" t="s">
        <v>326</v>
      </c>
      <c r="B1511" s="19">
        <v>3.5744549502502401</v>
      </c>
      <c r="C1511" s="24">
        <f t="shared" si="58"/>
        <v>6.5868751952802285E-3</v>
      </c>
      <c r="D1511" s="25">
        <f t="shared" si="59"/>
        <v>5.3430720651039043E-2</v>
      </c>
    </row>
    <row r="1512" spans="1:4">
      <c r="A1512" s="19" t="s">
        <v>325</v>
      </c>
      <c r="B1512" s="19">
        <v>3.5678680750549598</v>
      </c>
      <c r="C1512" s="24">
        <f t="shared" si="58"/>
        <v>-6.8056964100680073E-2</v>
      </c>
      <c r="D1512" s="25">
        <f t="shared" si="59"/>
        <v>5.3976717041093032E-2</v>
      </c>
    </row>
    <row r="1513" spans="1:4">
      <c r="A1513" s="19" t="s">
        <v>324</v>
      </c>
      <c r="B1513" s="19">
        <v>3.6359250391556399</v>
      </c>
      <c r="C1513" s="24">
        <f t="shared" si="58"/>
        <v>-2.1487233816010143E-2</v>
      </c>
      <c r="D1513" s="25">
        <f t="shared" si="59"/>
        <v>5.3534404315799554E-2</v>
      </c>
    </row>
    <row r="1514" spans="1:4">
      <c r="A1514" s="19" t="s">
        <v>323</v>
      </c>
      <c r="B1514" s="19">
        <v>3.6574122729716501</v>
      </c>
      <c r="C1514" s="24">
        <f t="shared" si="58"/>
        <v>5.9678305710519908E-2</v>
      </c>
      <c r="D1514" s="25">
        <f t="shared" si="59"/>
        <v>5.3740260569162354E-2</v>
      </c>
    </row>
    <row r="1515" spans="1:4">
      <c r="A1515" s="19" t="s">
        <v>322</v>
      </c>
      <c r="B1515" s="19">
        <v>3.5977339672611302</v>
      </c>
      <c r="C1515" s="24">
        <f t="shared" si="58"/>
        <v>-1.4520715034339826E-2</v>
      </c>
      <c r="D1515" s="25">
        <f t="shared" si="59"/>
        <v>5.3433102954154058E-2</v>
      </c>
    </row>
    <row r="1516" spans="1:4">
      <c r="A1516" s="19" t="s">
        <v>321</v>
      </c>
      <c r="B1516" s="19">
        <v>3.61225468229547</v>
      </c>
      <c r="C1516" s="24">
        <f t="shared" si="58"/>
        <v>-8.817674314988988E-2</v>
      </c>
      <c r="D1516" s="25">
        <f t="shared" si="59"/>
        <v>5.3565285466196266E-2</v>
      </c>
    </row>
    <row r="1517" spans="1:4">
      <c r="A1517" s="19" t="s">
        <v>320</v>
      </c>
      <c r="B1517" s="19">
        <v>3.7004314254453599</v>
      </c>
      <c r="C1517" s="24">
        <f t="shared" si="58"/>
        <v>-5.2629634560739991E-2</v>
      </c>
      <c r="D1517" s="25">
        <f t="shared" si="59"/>
        <v>5.2743540545686113E-2</v>
      </c>
    </row>
    <row r="1518" spans="1:4">
      <c r="A1518" s="19" t="s">
        <v>319</v>
      </c>
      <c r="B1518" s="19">
        <v>3.7530610600060998</v>
      </c>
      <c r="C1518" s="24">
        <f t="shared" si="58"/>
        <v>3.9108981208179738E-2</v>
      </c>
      <c r="D1518" s="25">
        <f t="shared" si="59"/>
        <v>5.2972927436567049E-2</v>
      </c>
    </row>
    <row r="1519" spans="1:4">
      <c r="A1519" s="19" t="s">
        <v>318</v>
      </c>
      <c r="B1519" s="19">
        <v>3.7139520787979201</v>
      </c>
      <c r="C1519" s="24">
        <f t="shared" si="58"/>
        <v>-1.802695037109725E-3</v>
      </c>
      <c r="D1519" s="25">
        <f t="shared" si="59"/>
        <v>5.2892363569385571E-2</v>
      </c>
    </row>
    <row r="1520" spans="1:4">
      <c r="A1520" s="30" t="s">
        <v>317</v>
      </c>
      <c r="B1520" s="30">
        <v>3.7157547738350298</v>
      </c>
      <c r="C1520" s="31">
        <f t="shared" si="58"/>
        <v>4.0700361826999654E-3</v>
      </c>
      <c r="D1520" s="32">
        <f t="shared" si="59"/>
        <v>5.2877563053372191E-2</v>
      </c>
    </row>
    <row r="1521" spans="1:4">
      <c r="A1521" s="30" t="s">
        <v>316</v>
      </c>
      <c r="B1521" s="30">
        <v>3.7116847376523299</v>
      </c>
      <c r="C1521" s="31">
        <f t="shared" si="58"/>
        <v>1.3312863379239648E-2</v>
      </c>
      <c r="D1521" s="32">
        <f t="shared" si="59"/>
        <v>5.3454370566073148E-2</v>
      </c>
    </row>
    <row r="1522" spans="1:4">
      <c r="A1522" s="30" t="s">
        <v>315</v>
      </c>
      <c r="B1522" s="30">
        <v>3.6983718742730902</v>
      </c>
      <c r="C1522" s="31">
        <f t="shared" si="58"/>
        <v>6.3236965635400377E-2</v>
      </c>
      <c r="D1522" s="32">
        <f t="shared" si="59"/>
        <v>5.3371613542405646E-2</v>
      </c>
    </row>
    <row r="1523" spans="1:4">
      <c r="A1523" s="30" t="s">
        <v>314</v>
      </c>
      <c r="B1523" s="30">
        <v>3.6351349086376898</v>
      </c>
      <c r="C1523" s="31">
        <f t="shared" si="58"/>
        <v>-8.1829663538889985E-2</v>
      </c>
      <c r="D1523" s="32">
        <f t="shared" si="59"/>
        <v>5.3137167174321556E-2</v>
      </c>
    </row>
    <row r="1524" spans="1:4">
      <c r="A1524" s="30" t="s">
        <v>313</v>
      </c>
      <c r="B1524" s="30">
        <v>3.7169645721765798</v>
      </c>
      <c r="C1524" s="31">
        <f t="shared" si="58"/>
        <v>2.3178402264089737E-2</v>
      </c>
      <c r="D1524" s="32">
        <f t="shared" si="59"/>
        <v>5.2410219669918288E-2</v>
      </c>
    </row>
    <row r="1525" spans="1:4">
      <c r="A1525" s="30" t="s">
        <v>312</v>
      </c>
      <c r="B1525" s="30">
        <v>3.6937861699124901</v>
      </c>
      <c r="C1525" s="31">
        <f t="shared" si="58"/>
        <v>-3.0800262749020035E-2</v>
      </c>
      <c r="D1525" s="32">
        <f t="shared" si="59"/>
        <v>5.2382444783686463E-2</v>
      </c>
    </row>
    <row r="1526" spans="1:4">
      <c r="A1526" s="30" t="s">
        <v>311</v>
      </c>
      <c r="B1526" s="30">
        <v>3.7245864326615101</v>
      </c>
      <c r="C1526" s="31">
        <f t="shared" si="58"/>
        <v>-7.429910534000328E-4</v>
      </c>
      <c r="D1526" s="32">
        <f t="shared" si="59"/>
        <v>5.3667628912540365E-2</v>
      </c>
    </row>
    <row r="1527" spans="1:4">
      <c r="A1527" s="30" t="s">
        <v>310</v>
      </c>
      <c r="B1527" s="30">
        <v>3.7253294237149102</v>
      </c>
      <c r="C1527" s="31">
        <f t="shared" si="58"/>
        <v>-3.6242110743459843E-2</v>
      </c>
      <c r="D1527" s="32">
        <f t="shared" si="59"/>
        <v>5.3694503539190024E-2</v>
      </c>
    </row>
    <row r="1528" spans="1:4">
      <c r="A1528" s="30" t="s">
        <v>309</v>
      </c>
      <c r="B1528" s="30">
        <v>3.76157153445837</v>
      </c>
      <c r="C1528" s="31">
        <f t="shared" si="58"/>
        <v>-0.10300740400621988</v>
      </c>
      <c r="D1528" s="32">
        <f t="shared" si="59"/>
        <v>5.6404386943641006E-2</v>
      </c>
    </row>
    <row r="1529" spans="1:4">
      <c r="A1529" s="30" t="s">
        <v>308</v>
      </c>
      <c r="B1529" s="30">
        <v>3.8645789384645899</v>
      </c>
      <c r="C1529" s="31">
        <f t="shared" si="58"/>
        <v>-4.3560731107920247E-2</v>
      </c>
      <c r="D1529" s="32">
        <f t="shared" si="59"/>
        <v>5.5762897225458311E-2</v>
      </c>
    </row>
    <row r="1530" spans="1:4">
      <c r="A1530" s="30" t="s">
        <v>307</v>
      </c>
      <c r="B1530" s="30">
        <v>3.9081396695725101</v>
      </c>
      <c r="C1530" s="31">
        <f t="shared" si="58"/>
        <v>7.7219148221590039E-2</v>
      </c>
      <c r="D1530" s="32">
        <f t="shared" si="59"/>
        <v>5.5677988720043196E-2</v>
      </c>
    </row>
    <row r="1531" spans="1:4">
      <c r="A1531" s="30" t="s">
        <v>306</v>
      </c>
      <c r="B1531" s="30">
        <v>3.8309205213509201</v>
      </c>
      <c r="C1531" s="31">
        <f t="shared" si="58"/>
        <v>-4.4002914832889761E-2</v>
      </c>
      <c r="D1531" s="32">
        <f t="shared" si="59"/>
        <v>5.4762480093855037E-2</v>
      </c>
    </row>
    <row r="1532" spans="1:4">
      <c r="A1532" s="30" t="s">
        <v>305</v>
      </c>
      <c r="B1532" s="30">
        <v>3.8749234361838099</v>
      </c>
      <c r="C1532" s="31">
        <f t="shared" si="58"/>
        <v>-8.0119200710360161E-2</v>
      </c>
      <c r="D1532" s="32">
        <f t="shared" si="59"/>
        <v>5.4608710995491798E-2</v>
      </c>
    </row>
    <row r="1533" spans="1:4">
      <c r="A1533" s="30" t="s">
        <v>304</v>
      </c>
      <c r="B1533" s="30">
        <v>3.95504263689417</v>
      </c>
      <c r="C1533" s="31">
        <f t="shared" si="58"/>
        <v>-1.539459530336984E-2</v>
      </c>
      <c r="D1533" s="32">
        <f t="shared" si="59"/>
        <v>5.4140212330181181E-2</v>
      </c>
    </row>
    <row r="1534" spans="1:4">
      <c r="A1534" s="30" t="s">
        <v>303</v>
      </c>
      <c r="B1534" s="30">
        <v>3.9704372321975399</v>
      </c>
      <c r="C1534" s="31">
        <f t="shared" si="58"/>
        <v>2.2456703136097822E-3</v>
      </c>
      <c r="D1534" s="32">
        <f t="shared" si="59"/>
        <v>5.4924187737235591E-2</v>
      </c>
    </row>
    <row r="1535" spans="1:4">
      <c r="A1535" s="30" t="s">
        <v>302</v>
      </c>
      <c r="B1535" s="30">
        <v>3.9681915618839301</v>
      </c>
      <c r="C1535" s="31">
        <f t="shared" si="58"/>
        <v>-8.6684657257360076E-2</v>
      </c>
      <c r="D1535" s="32">
        <f t="shared" si="59"/>
        <v>5.7315359075628541E-2</v>
      </c>
    </row>
    <row r="1536" spans="1:4">
      <c r="A1536" s="30" t="s">
        <v>301</v>
      </c>
      <c r="B1536" s="30">
        <v>4.0548762191412902</v>
      </c>
      <c r="C1536" s="31">
        <f t="shared" si="58"/>
        <v>-2.0667324451779656E-2</v>
      </c>
      <c r="D1536" s="32">
        <f t="shared" si="59"/>
        <v>5.6335632106252059E-2</v>
      </c>
    </row>
    <row r="1537" spans="1:4">
      <c r="A1537" s="30" t="s">
        <v>300</v>
      </c>
      <c r="B1537" s="30">
        <v>4.0755435435930698</v>
      </c>
      <c r="C1537" s="31">
        <f t="shared" si="58"/>
        <v>3.6694583584520046E-2</v>
      </c>
      <c r="D1537" s="32">
        <f t="shared" si="59"/>
        <v>5.638968414531538E-2</v>
      </c>
    </row>
    <row r="1538" spans="1:4">
      <c r="A1538" s="30" t="s">
        <v>299</v>
      </c>
      <c r="B1538" s="30">
        <v>4.0388489600085498</v>
      </c>
      <c r="C1538" s="31">
        <f t="shared" ref="C1538:C1601" si="60">B1538-B1539</f>
        <v>1.6803719298069453E-2</v>
      </c>
      <c r="D1538" s="32">
        <f t="shared" ref="D1538:D1601" si="61">STDEV(C1538:C1597)</f>
        <v>5.6251182754651567E-2</v>
      </c>
    </row>
    <row r="1539" spans="1:4">
      <c r="A1539" s="30" t="s">
        <v>298</v>
      </c>
      <c r="B1539" s="30">
        <v>4.0220452407104803</v>
      </c>
      <c r="C1539" s="31">
        <f t="shared" si="60"/>
        <v>-8.4487748289379994E-2</v>
      </c>
      <c r="D1539" s="32">
        <f t="shared" si="61"/>
        <v>5.6436197998555655E-2</v>
      </c>
    </row>
    <row r="1540" spans="1:4">
      <c r="A1540" s="30" t="s">
        <v>297</v>
      </c>
      <c r="B1540" s="30">
        <v>4.1065329889998603</v>
      </c>
      <c r="C1540" s="31">
        <f t="shared" si="60"/>
        <v>0.11228300868545027</v>
      </c>
      <c r="D1540" s="32">
        <f t="shared" si="61"/>
        <v>5.5497948717245685E-2</v>
      </c>
    </row>
    <row r="1541" spans="1:4">
      <c r="A1541" s="19" t="s">
        <v>296</v>
      </c>
      <c r="B1541" s="19">
        <v>3.99424998031441</v>
      </c>
      <c r="C1541" s="24">
        <f t="shared" si="60"/>
        <v>-5.3318982970598228E-3</v>
      </c>
      <c r="D1541" s="25">
        <f t="shared" si="61"/>
        <v>5.3419703107840798E-2</v>
      </c>
    </row>
    <row r="1542" spans="1:4">
      <c r="A1542" s="19" t="s">
        <v>295</v>
      </c>
      <c r="B1542" s="19">
        <v>3.9995818786114699</v>
      </c>
      <c r="C1542" s="24">
        <f t="shared" si="60"/>
        <v>-3.2640483018649746E-2</v>
      </c>
      <c r="D1542" s="25">
        <f t="shared" si="61"/>
        <v>5.3419926200626557E-2</v>
      </c>
    </row>
    <row r="1543" spans="1:4">
      <c r="A1543" s="19" t="s">
        <v>294</v>
      </c>
      <c r="B1543" s="19">
        <v>4.0322223616301196</v>
      </c>
      <c r="C1543" s="24">
        <f t="shared" si="60"/>
        <v>-6.2780669882807061E-3</v>
      </c>
      <c r="D1543" s="25">
        <f t="shared" si="61"/>
        <v>5.3384580569598973E-2</v>
      </c>
    </row>
    <row r="1544" spans="1:4">
      <c r="A1544" s="19" t="s">
        <v>293</v>
      </c>
      <c r="B1544" s="19">
        <v>4.0385004286184003</v>
      </c>
      <c r="C1544" s="24">
        <f t="shared" si="60"/>
        <v>-0.14907917795671999</v>
      </c>
      <c r="D1544" s="25">
        <f t="shared" si="61"/>
        <v>5.3412514304545945E-2</v>
      </c>
    </row>
    <row r="1545" spans="1:4">
      <c r="A1545" s="19" t="s">
        <v>292</v>
      </c>
      <c r="B1545" s="19">
        <v>4.1875796065751203</v>
      </c>
      <c r="C1545" s="24">
        <f t="shared" si="60"/>
        <v>1.0903844777220506E-2</v>
      </c>
      <c r="D1545" s="25">
        <f t="shared" si="61"/>
        <v>4.9952788024805433E-2</v>
      </c>
    </row>
    <row r="1546" spans="1:4">
      <c r="A1546" s="19" t="s">
        <v>291</v>
      </c>
      <c r="B1546" s="19">
        <v>4.1766757617978998</v>
      </c>
      <c r="C1546" s="24">
        <f t="shared" si="60"/>
        <v>2.5602830499590112E-2</v>
      </c>
      <c r="D1546" s="25">
        <f t="shared" si="61"/>
        <v>5.0091695664612038E-2</v>
      </c>
    </row>
    <row r="1547" spans="1:4">
      <c r="A1547" s="19" t="s">
        <v>290</v>
      </c>
      <c r="B1547" s="19">
        <v>4.1510729312983097</v>
      </c>
      <c r="C1547" s="24">
        <f t="shared" si="60"/>
        <v>-3.6648192974499949E-3</v>
      </c>
      <c r="D1547" s="25">
        <f t="shared" si="61"/>
        <v>5.0015838240167566E-2</v>
      </c>
    </row>
    <row r="1548" spans="1:4">
      <c r="A1548" s="19" t="s">
        <v>289</v>
      </c>
      <c r="B1548" s="19">
        <v>4.1547377505957597</v>
      </c>
      <c r="C1548" s="24">
        <f t="shared" si="60"/>
        <v>-2.6877928113220761E-2</v>
      </c>
      <c r="D1548" s="25">
        <f t="shared" si="61"/>
        <v>5.0364132071384758E-2</v>
      </c>
    </row>
    <row r="1549" spans="1:4">
      <c r="A1549" s="19" t="s">
        <v>288</v>
      </c>
      <c r="B1549" s="19">
        <v>4.1816156787089804</v>
      </c>
      <c r="C1549" s="24">
        <f t="shared" si="60"/>
        <v>9.673901591198053E-2</v>
      </c>
      <c r="D1549" s="25">
        <f t="shared" si="61"/>
        <v>5.0341738150687862E-2</v>
      </c>
    </row>
    <row r="1550" spans="1:4">
      <c r="A1550" s="19" t="s">
        <v>287</v>
      </c>
      <c r="B1550" s="19">
        <v>4.0848766627969999</v>
      </c>
      <c r="C1550" s="24">
        <f t="shared" si="60"/>
        <v>2.6661647487640217E-2</v>
      </c>
      <c r="D1550" s="25">
        <f t="shared" si="61"/>
        <v>4.8731312186096012E-2</v>
      </c>
    </row>
    <row r="1551" spans="1:4">
      <c r="A1551" s="19" t="s">
        <v>286</v>
      </c>
      <c r="B1551" s="19">
        <v>4.0582150153093597</v>
      </c>
      <c r="C1551" s="24">
        <f t="shared" si="60"/>
        <v>-5.5330684372870031E-2</v>
      </c>
      <c r="D1551" s="25">
        <f t="shared" si="61"/>
        <v>4.8582604591277605E-2</v>
      </c>
    </row>
    <row r="1552" spans="1:4">
      <c r="A1552" s="19" t="s">
        <v>285</v>
      </c>
      <c r="B1552" s="19">
        <v>4.1135456996822297</v>
      </c>
      <c r="C1552" s="24">
        <f t="shared" si="60"/>
        <v>7.0106124325469921E-2</v>
      </c>
      <c r="D1552" s="25">
        <f t="shared" si="61"/>
        <v>4.841601689863851E-2</v>
      </c>
    </row>
    <row r="1553" spans="1:4">
      <c r="A1553" s="19" t="s">
        <v>284</v>
      </c>
      <c r="B1553" s="19">
        <v>4.0434395753567598</v>
      </c>
      <c r="C1553" s="24">
        <f t="shared" si="60"/>
        <v>-1.6862595653099888E-2</v>
      </c>
      <c r="D1553" s="25">
        <f t="shared" si="61"/>
        <v>4.8068737894422946E-2</v>
      </c>
    </row>
    <row r="1554" spans="1:4">
      <c r="A1554" s="19" t="s">
        <v>283</v>
      </c>
      <c r="B1554" s="19">
        <v>4.0603021710098597</v>
      </c>
      <c r="C1554" s="24">
        <f t="shared" si="60"/>
        <v>-6.7471823073930182E-2</v>
      </c>
      <c r="D1554" s="25">
        <f t="shared" si="61"/>
        <v>4.8277098872957697E-2</v>
      </c>
    </row>
    <row r="1555" spans="1:4">
      <c r="A1555" s="19" t="s">
        <v>282</v>
      </c>
      <c r="B1555" s="19">
        <v>4.1277739940837899</v>
      </c>
      <c r="C1555" s="24">
        <f t="shared" si="60"/>
        <v>-8.8274480368601971E-3</v>
      </c>
      <c r="D1555" s="25">
        <f t="shared" si="61"/>
        <v>4.7602681208571501E-2</v>
      </c>
    </row>
    <row r="1556" spans="1:4">
      <c r="A1556" s="19" t="s">
        <v>281</v>
      </c>
      <c r="B1556" s="19">
        <v>4.1366014421206501</v>
      </c>
      <c r="C1556" s="24">
        <f t="shared" si="60"/>
        <v>-5.3561050126970322E-2</v>
      </c>
      <c r="D1556" s="25">
        <f t="shared" si="61"/>
        <v>4.8371614849406094E-2</v>
      </c>
    </row>
    <row r="1557" spans="1:4">
      <c r="A1557" s="19" t="s">
        <v>280</v>
      </c>
      <c r="B1557" s="19">
        <v>4.1901624922476204</v>
      </c>
      <c r="C1557" s="24">
        <f t="shared" si="60"/>
        <v>-1.6870262559800508E-3</v>
      </c>
      <c r="D1557" s="25">
        <f t="shared" si="61"/>
        <v>4.8021387084901793E-2</v>
      </c>
    </row>
    <row r="1558" spans="1:4">
      <c r="A1558" s="19" t="s">
        <v>279</v>
      </c>
      <c r="B1558" s="19">
        <v>4.1918495185036004</v>
      </c>
      <c r="C1558" s="24">
        <f t="shared" si="60"/>
        <v>-9.0642526042199911E-2</v>
      </c>
      <c r="D1558" s="25">
        <f t="shared" si="61"/>
        <v>4.8112312966777607E-2</v>
      </c>
    </row>
    <row r="1559" spans="1:4">
      <c r="A1559" s="19" t="s">
        <v>278</v>
      </c>
      <c r="B1559" s="19">
        <v>4.2824920445458003</v>
      </c>
      <c r="C1559" s="24">
        <f t="shared" si="60"/>
        <v>-1.0180274319809612E-2</v>
      </c>
      <c r="D1559" s="25">
        <f t="shared" si="61"/>
        <v>4.7891810237314633E-2</v>
      </c>
    </row>
    <row r="1560" spans="1:4">
      <c r="A1560" s="19" t="s">
        <v>277</v>
      </c>
      <c r="B1560" s="19">
        <v>4.29267231886561</v>
      </c>
      <c r="C1560" s="24">
        <f t="shared" si="60"/>
        <v>6.2901940417301461E-3</v>
      </c>
      <c r="D1560" s="25">
        <f t="shared" si="61"/>
        <v>4.8719712413154939E-2</v>
      </c>
    </row>
    <row r="1561" spans="1:4">
      <c r="A1561" s="19" t="s">
        <v>276</v>
      </c>
      <c r="B1561" s="19">
        <v>4.2863821248238798</v>
      </c>
      <c r="C1561" s="24">
        <f t="shared" si="60"/>
        <v>-2.5269349580939959E-2</v>
      </c>
      <c r="D1561" s="25">
        <f t="shared" si="61"/>
        <v>4.879550673534809E-2</v>
      </c>
    </row>
    <row r="1562" spans="1:4">
      <c r="A1562" s="19" t="s">
        <v>275</v>
      </c>
      <c r="B1562" s="19">
        <v>4.3116514744048198</v>
      </c>
      <c r="C1562" s="24">
        <f t="shared" si="60"/>
        <v>5.3270305517870042E-2</v>
      </c>
      <c r="D1562" s="25">
        <f t="shared" si="61"/>
        <v>4.9154441840754182E-2</v>
      </c>
    </row>
    <row r="1563" spans="1:4">
      <c r="A1563" s="19" t="s">
        <v>274</v>
      </c>
      <c r="B1563" s="19">
        <v>4.2583811688869497</v>
      </c>
      <c r="C1563" s="24">
        <f t="shared" si="60"/>
        <v>3.5816572338379871E-2</v>
      </c>
      <c r="D1563" s="25">
        <f t="shared" si="61"/>
        <v>4.863118126655408E-2</v>
      </c>
    </row>
    <row r="1564" spans="1:4">
      <c r="A1564" s="19" t="s">
        <v>273</v>
      </c>
      <c r="B1564" s="19">
        <v>4.2225645965485699</v>
      </c>
      <c r="C1564" s="24">
        <f t="shared" si="60"/>
        <v>-0.11259492687779016</v>
      </c>
      <c r="D1564" s="25">
        <f t="shared" si="61"/>
        <v>4.870547853405071E-2</v>
      </c>
    </row>
    <row r="1565" spans="1:4">
      <c r="A1565" s="19" t="s">
        <v>272</v>
      </c>
      <c r="B1565" s="19">
        <v>4.33515952342636</v>
      </c>
      <c r="C1565" s="24">
        <f t="shared" si="60"/>
        <v>-4.5276943609939835E-2</v>
      </c>
      <c r="D1565" s="25">
        <f t="shared" si="61"/>
        <v>4.6710548590773851E-2</v>
      </c>
    </row>
    <row r="1566" spans="1:4">
      <c r="A1566" s="19" t="s">
        <v>271</v>
      </c>
      <c r="B1566" s="19">
        <v>4.3804364670362999</v>
      </c>
      <c r="C1566" s="24">
        <f t="shared" si="60"/>
        <v>-5.2586262042360055E-2</v>
      </c>
      <c r="D1566" s="25">
        <f t="shared" si="61"/>
        <v>4.6863376139329012E-2</v>
      </c>
    </row>
    <row r="1567" spans="1:4">
      <c r="A1567" s="19" t="s">
        <v>270</v>
      </c>
      <c r="B1567" s="19">
        <v>4.4330227290786599</v>
      </c>
      <c r="C1567" s="24">
        <f t="shared" si="60"/>
        <v>4.2319125826930204E-2</v>
      </c>
      <c r="D1567" s="25">
        <f t="shared" si="61"/>
        <v>4.6763551937535848E-2</v>
      </c>
    </row>
    <row r="1568" spans="1:4">
      <c r="A1568" s="19" t="s">
        <v>269</v>
      </c>
      <c r="B1568" s="19">
        <v>4.3907036032517297</v>
      </c>
      <c r="C1568" s="24">
        <f t="shared" si="60"/>
        <v>-3.2468474288290139E-2</v>
      </c>
      <c r="D1568" s="25">
        <f t="shared" si="61"/>
        <v>4.738250938500755E-2</v>
      </c>
    </row>
    <row r="1569" spans="1:4">
      <c r="A1569" s="19" t="s">
        <v>268</v>
      </c>
      <c r="B1569" s="19">
        <v>4.4231720775400198</v>
      </c>
      <c r="C1569" s="24">
        <f t="shared" si="60"/>
        <v>-4.2114769164619759E-2</v>
      </c>
      <c r="D1569" s="25">
        <f t="shared" si="61"/>
        <v>4.737587799566003E-2</v>
      </c>
    </row>
    <row r="1570" spans="1:4">
      <c r="A1570" s="19" t="s">
        <v>267</v>
      </c>
      <c r="B1570" s="19">
        <v>4.4652868467046396</v>
      </c>
      <c r="C1570" s="24">
        <f t="shared" si="60"/>
        <v>5.5464737515229956E-2</v>
      </c>
      <c r="D1570" s="25">
        <f t="shared" si="61"/>
        <v>4.7128712133661259E-2</v>
      </c>
    </row>
    <row r="1571" spans="1:4">
      <c r="A1571" s="19" t="s">
        <v>266</v>
      </c>
      <c r="B1571" s="19">
        <v>4.4098221091894096</v>
      </c>
      <c r="C1571" s="24">
        <f t="shared" si="60"/>
        <v>-7.7148627993079977E-2</v>
      </c>
      <c r="D1571" s="25">
        <f t="shared" si="61"/>
        <v>4.6666051926073468E-2</v>
      </c>
    </row>
    <row r="1572" spans="1:4">
      <c r="A1572" s="19" t="s">
        <v>265</v>
      </c>
      <c r="B1572" s="19">
        <v>4.4869707371824896</v>
      </c>
      <c r="C1572" s="24">
        <f t="shared" si="60"/>
        <v>-9.6048954589900148E-3</v>
      </c>
      <c r="D1572" s="25">
        <f t="shared" si="61"/>
        <v>4.5877357188349725E-2</v>
      </c>
    </row>
    <row r="1573" spans="1:4">
      <c r="A1573" s="19" t="s">
        <v>264</v>
      </c>
      <c r="B1573" s="19">
        <v>4.4965756326414796</v>
      </c>
      <c r="C1573" s="24">
        <f t="shared" si="60"/>
        <v>2.2895043598099463E-2</v>
      </c>
      <c r="D1573" s="25">
        <f t="shared" si="61"/>
        <v>4.5894624664696862E-2</v>
      </c>
    </row>
    <row r="1574" spans="1:4">
      <c r="A1574" s="19" t="s">
        <v>263</v>
      </c>
      <c r="B1574" s="19">
        <v>4.4736805890433802</v>
      </c>
      <c r="C1574" s="24">
        <f t="shared" si="60"/>
        <v>4.4976583655380153E-2</v>
      </c>
      <c r="D1574" s="25">
        <f t="shared" si="61"/>
        <v>4.585123325617458E-2</v>
      </c>
    </row>
    <row r="1575" spans="1:4">
      <c r="A1575" s="19" t="s">
        <v>262</v>
      </c>
      <c r="B1575" s="19">
        <v>4.428704005388</v>
      </c>
      <c r="C1575" s="24">
        <f t="shared" si="60"/>
        <v>-4.2976841942180322E-2</v>
      </c>
      <c r="D1575" s="25">
        <f t="shared" si="61"/>
        <v>4.5520125796537692E-2</v>
      </c>
    </row>
    <row r="1576" spans="1:4">
      <c r="A1576" s="19" t="s">
        <v>261</v>
      </c>
      <c r="B1576" s="19">
        <v>4.4716808473301803</v>
      </c>
      <c r="C1576" s="24">
        <f t="shared" si="60"/>
        <v>6.9078296725404442E-3</v>
      </c>
      <c r="D1576" s="25">
        <f t="shared" si="61"/>
        <v>4.536819781850758E-2</v>
      </c>
    </row>
    <row r="1577" spans="1:4">
      <c r="A1577" s="19" t="s">
        <v>260</v>
      </c>
      <c r="B1577" s="19">
        <v>4.4647730176576399</v>
      </c>
      <c r="C1577" s="24">
        <f t="shared" si="60"/>
        <v>4.3620629602259875E-2</v>
      </c>
      <c r="D1577" s="25">
        <f t="shared" si="61"/>
        <v>4.5375918541100464E-2</v>
      </c>
    </row>
    <row r="1578" spans="1:4">
      <c r="A1578" s="19" t="s">
        <v>259</v>
      </c>
      <c r="B1578" s="19">
        <v>4.42115238805538</v>
      </c>
      <c r="C1578" s="24">
        <f t="shared" si="60"/>
        <v>-5.7801374040789888E-2</v>
      </c>
      <c r="D1578" s="25">
        <f t="shared" si="61"/>
        <v>4.5262475099881259E-2</v>
      </c>
    </row>
    <row r="1579" spans="1:4">
      <c r="A1579" s="19" t="s">
        <v>258</v>
      </c>
      <c r="B1579" s="19">
        <v>4.4789537620961699</v>
      </c>
      <c r="C1579" s="24">
        <f t="shared" si="60"/>
        <v>-7.4570661854798104E-3</v>
      </c>
      <c r="D1579" s="25">
        <f t="shared" si="61"/>
        <v>4.4844203332776271E-2</v>
      </c>
    </row>
    <row r="1580" spans="1:4">
      <c r="A1580" s="19" t="s">
        <v>257</v>
      </c>
      <c r="B1580" s="19">
        <v>4.4864108282816497</v>
      </c>
      <c r="C1580" s="24">
        <f t="shared" si="60"/>
        <v>4.9923449938529707E-2</v>
      </c>
      <c r="D1580" s="25">
        <f t="shared" si="61"/>
        <v>4.5006306469440059E-2</v>
      </c>
    </row>
    <row r="1581" spans="1:4">
      <c r="A1581" s="19" t="s">
        <v>256</v>
      </c>
      <c r="B1581" s="19">
        <v>4.43648737834312</v>
      </c>
      <c r="C1581" s="24">
        <f t="shared" si="60"/>
        <v>-2.4189754538689989E-2</v>
      </c>
      <c r="D1581" s="25">
        <f t="shared" si="61"/>
        <v>4.5189216255676776E-2</v>
      </c>
    </row>
    <row r="1582" spans="1:4">
      <c r="A1582" s="19" t="s">
        <v>255</v>
      </c>
      <c r="B1582" s="19">
        <v>4.46067713288181</v>
      </c>
      <c r="C1582" s="24">
        <f t="shared" si="60"/>
        <v>-8.0821236014560149E-2</v>
      </c>
      <c r="D1582" s="25">
        <f t="shared" si="61"/>
        <v>4.5222045743748766E-2</v>
      </c>
    </row>
    <row r="1583" spans="1:4">
      <c r="A1583" s="19" t="s">
        <v>254</v>
      </c>
      <c r="B1583" s="19">
        <v>4.5414983688963702</v>
      </c>
      <c r="C1583" s="24">
        <f t="shared" si="60"/>
        <v>-1.3206668524909482E-2</v>
      </c>
      <c r="D1583" s="25">
        <f t="shared" si="61"/>
        <v>4.4320055345793495E-2</v>
      </c>
    </row>
    <row r="1584" spans="1:4">
      <c r="A1584" s="19" t="s">
        <v>253</v>
      </c>
      <c r="B1584" s="19">
        <v>4.5547050374212796</v>
      </c>
      <c r="C1584" s="24">
        <f t="shared" si="60"/>
        <v>2.079113564627999E-2</v>
      </c>
      <c r="D1584" s="25">
        <f t="shared" si="61"/>
        <v>4.5539415257670142E-2</v>
      </c>
    </row>
    <row r="1585" spans="1:4">
      <c r="A1585" s="19" t="s">
        <v>252</v>
      </c>
      <c r="B1585" s="19">
        <v>4.5339139017749996</v>
      </c>
      <c r="C1585" s="24">
        <f t="shared" si="60"/>
        <v>-0.10574706207933016</v>
      </c>
      <c r="D1585" s="25">
        <f t="shared" si="61"/>
        <v>4.5489866365718348E-2</v>
      </c>
    </row>
    <row r="1586" spans="1:4">
      <c r="A1586" s="19" t="s">
        <v>251</v>
      </c>
      <c r="B1586" s="19">
        <v>4.6396609638543298</v>
      </c>
      <c r="C1586" s="24">
        <f t="shared" si="60"/>
        <v>-3.5265910132050493E-2</v>
      </c>
      <c r="D1586" s="25">
        <f t="shared" si="61"/>
        <v>4.3307296447662388E-2</v>
      </c>
    </row>
    <row r="1587" spans="1:4">
      <c r="A1587" s="19" t="s">
        <v>250</v>
      </c>
      <c r="B1587" s="19">
        <v>4.6749268739863803</v>
      </c>
      <c r="C1587" s="24">
        <f t="shared" si="60"/>
        <v>0.11991640889803001</v>
      </c>
      <c r="D1587" s="25">
        <f t="shared" si="61"/>
        <v>4.3161318034512917E-2</v>
      </c>
    </row>
    <row r="1588" spans="1:4">
      <c r="A1588" s="19" t="s">
        <v>249</v>
      </c>
      <c r="B1588" s="19">
        <v>4.5550104650883503</v>
      </c>
      <c r="C1588" s="24">
        <f t="shared" si="60"/>
        <v>5.1696393463940282E-2</v>
      </c>
      <c r="D1588" s="25">
        <f t="shared" si="61"/>
        <v>4.064863235476348E-2</v>
      </c>
    </row>
    <row r="1589" spans="1:4">
      <c r="A1589" s="19" t="s">
        <v>248</v>
      </c>
      <c r="B1589" s="19">
        <v>4.50331407162441</v>
      </c>
      <c r="C1589" s="24">
        <f t="shared" si="60"/>
        <v>1.342201863634962E-2</v>
      </c>
      <c r="D1589" s="25">
        <f t="shared" si="61"/>
        <v>4.2029949616994876E-2</v>
      </c>
    </row>
    <row r="1590" spans="1:4">
      <c r="A1590" s="19" t="s">
        <v>247</v>
      </c>
      <c r="B1590" s="19">
        <v>4.4898920529880604</v>
      </c>
      <c r="C1590" s="24">
        <f t="shared" si="60"/>
        <v>3.06151294411805E-2</v>
      </c>
      <c r="D1590" s="25">
        <f t="shared" si="61"/>
        <v>4.2124152863663056E-2</v>
      </c>
    </row>
    <row r="1591" spans="1:4">
      <c r="A1591" s="19" t="s">
        <v>246</v>
      </c>
      <c r="B1591" s="19">
        <v>4.4592769235468799</v>
      </c>
      <c r="C1591" s="24">
        <f t="shared" si="60"/>
        <v>2.4909128746299913E-3</v>
      </c>
      <c r="D1591" s="25">
        <f t="shared" si="61"/>
        <v>4.2205885515308329E-2</v>
      </c>
    </row>
    <row r="1592" spans="1:4">
      <c r="A1592" s="19" t="s">
        <v>245</v>
      </c>
      <c r="B1592" s="19">
        <v>4.4567860106722499</v>
      </c>
      <c r="C1592" s="24">
        <f t="shared" si="60"/>
        <v>-5.402110583307973E-2</v>
      </c>
      <c r="D1592" s="25">
        <f t="shared" si="61"/>
        <v>4.2409428091114434E-2</v>
      </c>
    </row>
    <row r="1593" spans="1:4">
      <c r="A1593" s="19" t="s">
        <v>244</v>
      </c>
      <c r="B1593" s="19">
        <v>4.5108071165053296</v>
      </c>
      <c r="C1593" s="24">
        <f t="shared" si="60"/>
        <v>6.2737735221939595E-2</v>
      </c>
      <c r="D1593" s="25">
        <f t="shared" si="61"/>
        <v>4.2162378798397009E-2</v>
      </c>
    </row>
    <row r="1594" spans="1:4">
      <c r="A1594" s="19" t="s">
        <v>243</v>
      </c>
      <c r="B1594" s="19">
        <v>4.44806938128339</v>
      </c>
      <c r="C1594" s="24">
        <f t="shared" si="60"/>
        <v>0.1191879875364501</v>
      </c>
      <c r="D1594" s="25">
        <f t="shared" si="61"/>
        <v>4.1866957835698701E-2</v>
      </c>
    </row>
    <row r="1595" spans="1:4">
      <c r="A1595" s="19" t="s">
        <v>242</v>
      </c>
      <c r="B1595" s="19">
        <v>4.3288813937469399</v>
      </c>
      <c r="C1595" s="24">
        <f t="shared" si="60"/>
        <v>2.4147012661401845E-3</v>
      </c>
      <c r="D1595" s="25">
        <f t="shared" si="61"/>
        <v>3.9377123108920886E-2</v>
      </c>
    </row>
    <row r="1596" spans="1:4">
      <c r="A1596" s="19" t="s">
        <v>241</v>
      </c>
      <c r="B1596" s="19">
        <v>4.3264666924807997</v>
      </c>
      <c r="C1596" s="24">
        <f t="shared" si="60"/>
        <v>-2.9452422457560523E-2</v>
      </c>
      <c r="D1596" s="25">
        <f t="shared" si="61"/>
        <v>3.9409266287105102E-2</v>
      </c>
    </row>
    <row r="1597" spans="1:4">
      <c r="A1597" s="19" t="s">
        <v>240</v>
      </c>
      <c r="B1597" s="19">
        <v>4.3559191149383603</v>
      </c>
      <c r="C1597" s="24">
        <f t="shared" si="60"/>
        <v>2.3500081466170109E-2</v>
      </c>
      <c r="D1597" s="25">
        <f t="shared" si="61"/>
        <v>4.0508586512422104E-2</v>
      </c>
    </row>
    <row r="1598" spans="1:4">
      <c r="A1598" s="19" t="s">
        <v>239</v>
      </c>
      <c r="B1598" s="19">
        <v>4.3324190334721902</v>
      </c>
      <c r="C1598" s="24">
        <f t="shared" si="60"/>
        <v>3.6425947581400386E-2</v>
      </c>
      <c r="D1598" s="25">
        <f t="shared" si="61"/>
        <v>4.4698590655244168E-2</v>
      </c>
    </row>
    <row r="1599" spans="1:4">
      <c r="A1599" s="19" t="s">
        <v>238</v>
      </c>
      <c r="B1599" s="19">
        <v>4.2959930858907898</v>
      </c>
      <c r="C1599" s="24">
        <f t="shared" si="60"/>
        <v>-2.0662585631209929E-2</v>
      </c>
      <c r="D1599" s="25">
        <f t="shared" si="61"/>
        <v>4.5222316160646092E-2</v>
      </c>
    </row>
    <row r="1600" spans="1:4">
      <c r="A1600" s="19" t="s">
        <v>237</v>
      </c>
      <c r="B1600" s="19">
        <v>4.3166556715219997</v>
      </c>
      <c r="C1600" s="24">
        <f t="shared" si="60"/>
        <v>-2.228766178174002E-2</v>
      </c>
      <c r="D1600" s="25">
        <f t="shared" si="61"/>
        <v>4.8089332860313985E-2</v>
      </c>
    </row>
    <row r="1601" spans="1:4">
      <c r="A1601" s="19" t="s">
        <v>236</v>
      </c>
      <c r="B1601" s="19">
        <v>4.3389433333037397</v>
      </c>
      <c r="C1601" s="24">
        <f t="shared" si="60"/>
        <v>-4.4844107491304186E-3</v>
      </c>
      <c r="D1601" s="25">
        <f t="shared" si="61"/>
        <v>4.8151010406316204E-2</v>
      </c>
    </row>
    <row r="1602" spans="1:4">
      <c r="A1602" s="19" t="s">
        <v>235</v>
      </c>
      <c r="B1602" s="19">
        <v>4.3434277440528701</v>
      </c>
      <c r="C1602" s="24">
        <f t="shared" ref="C1602:C1665" si="62">B1602-B1603</f>
        <v>1.7581042898700439E-2</v>
      </c>
      <c r="D1602" s="25">
        <f t="shared" ref="D1602:D1665" si="63">STDEV(C1602:C1661)</f>
        <v>4.9014560509981847E-2</v>
      </c>
    </row>
    <row r="1603" spans="1:4">
      <c r="A1603" s="19" t="s">
        <v>234</v>
      </c>
      <c r="B1603" s="19">
        <v>4.3258467011541697</v>
      </c>
      <c r="C1603" s="24">
        <f t="shared" si="62"/>
        <v>8.5824704006798314E-3</v>
      </c>
      <c r="D1603" s="25">
        <f t="shared" si="63"/>
        <v>4.9178459008803722E-2</v>
      </c>
    </row>
    <row r="1604" spans="1:4">
      <c r="A1604" s="19" t="s">
        <v>233</v>
      </c>
      <c r="B1604" s="19">
        <v>4.3172642307534899</v>
      </c>
      <c r="C1604" s="24">
        <f t="shared" si="62"/>
        <v>8.624533735579476E-3</v>
      </c>
      <c r="D1604" s="25">
        <f t="shared" si="63"/>
        <v>4.9242116636799525E-2</v>
      </c>
    </row>
    <row r="1605" spans="1:4">
      <c r="A1605" s="19" t="s">
        <v>232</v>
      </c>
      <c r="B1605" s="19">
        <v>4.3086396970179104</v>
      </c>
      <c r="C1605" s="24">
        <f t="shared" si="62"/>
        <v>-3.3961901775299452E-2</v>
      </c>
      <c r="D1605" s="25">
        <f t="shared" si="63"/>
        <v>4.9407019088024702E-2</v>
      </c>
    </row>
    <row r="1606" spans="1:4">
      <c r="A1606" s="59" t="s">
        <v>231</v>
      </c>
      <c r="B1606" s="59">
        <v>4.3426015987932098</v>
      </c>
      <c r="C1606" s="60">
        <f t="shared" si="62"/>
        <v>1.6160847616450091E-2</v>
      </c>
      <c r="D1606" s="61">
        <f t="shared" si="63"/>
        <v>4.94345437825068E-2</v>
      </c>
    </row>
    <row r="1607" spans="1:4">
      <c r="A1607" s="59" t="s">
        <v>230</v>
      </c>
      <c r="B1607" s="59">
        <v>4.3264407511767597</v>
      </c>
      <c r="C1607" s="60">
        <f t="shared" si="62"/>
        <v>4.289668836382976E-2</v>
      </c>
      <c r="D1607" s="61">
        <f t="shared" si="63"/>
        <v>4.9778989428131026E-2</v>
      </c>
    </row>
    <row r="1608" spans="1:4">
      <c r="A1608" s="59" t="s">
        <v>229</v>
      </c>
      <c r="B1608" s="59">
        <v>4.28354406281293</v>
      </c>
      <c r="C1608" s="60">
        <f t="shared" si="62"/>
        <v>-2.4026188508050161E-2</v>
      </c>
      <c r="D1608" s="61">
        <f t="shared" si="63"/>
        <v>4.9931044370571095E-2</v>
      </c>
    </row>
    <row r="1609" spans="1:4">
      <c r="A1609" s="59" t="s">
        <v>228</v>
      </c>
      <c r="B1609" s="59">
        <v>4.3075702513209801</v>
      </c>
      <c r="C1609" s="60">
        <f t="shared" si="62"/>
        <v>-2.6795579845329875E-2</v>
      </c>
      <c r="D1609" s="61">
        <f t="shared" si="63"/>
        <v>5.0728661948472815E-2</v>
      </c>
    </row>
    <row r="1610" spans="1:4">
      <c r="A1610" s="59" t="s">
        <v>227</v>
      </c>
      <c r="B1610" s="59">
        <v>4.33436583116631</v>
      </c>
      <c r="C1610" s="60">
        <f t="shared" si="62"/>
        <v>5.9990140536001491E-3</v>
      </c>
      <c r="D1610" s="61">
        <f t="shared" si="63"/>
        <v>5.117670168834005E-2</v>
      </c>
    </row>
    <row r="1611" spans="1:4">
      <c r="A1611" s="59" t="s">
        <v>226</v>
      </c>
      <c r="B1611" s="59">
        <v>4.3283668171127099</v>
      </c>
      <c r="C1611" s="60">
        <f t="shared" si="62"/>
        <v>3.7617819740550118E-2</v>
      </c>
      <c r="D1611" s="61">
        <f t="shared" si="63"/>
        <v>5.1741513388037071E-2</v>
      </c>
    </row>
    <row r="1612" spans="1:4">
      <c r="A1612" s="59" t="s">
        <v>225</v>
      </c>
      <c r="B1612" s="59">
        <v>4.2907489973721598</v>
      </c>
      <c r="C1612" s="60">
        <f t="shared" si="62"/>
        <v>-6.3434716052860551E-2</v>
      </c>
      <c r="D1612" s="61">
        <f t="shared" si="63"/>
        <v>5.2867298031839399E-2</v>
      </c>
    </row>
    <row r="1613" spans="1:4">
      <c r="A1613" s="59" t="s">
        <v>224</v>
      </c>
      <c r="B1613" s="59">
        <v>4.3541837134250203</v>
      </c>
      <c r="C1613" s="60">
        <f t="shared" si="62"/>
        <v>-4.1664200819319319E-2</v>
      </c>
      <c r="D1613" s="61">
        <f t="shared" si="63"/>
        <v>5.2104743806038419E-2</v>
      </c>
    </row>
    <row r="1614" spans="1:4">
      <c r="A1614" s="59" t="s">
        <v>223</v>
      </c>
      <c r="B1614" s="59">
        <v>4.3958479142443396</v>
      </c>
      <c r="C1614" s="60">
        <f t="shared" si="62"/>
        <v>4.4105339288300627E-3</v>
      </c>
      <c r="D1614" s="61">
        <f t="shared" si="63"/>
        <v>5.2134236055682182E-2</v>
      </c>
    </row>
    <row r="1615" spans="1:4">
      <c r="A1615" s="59" t="s">
        <v>222</v>
      </c>
      <c r="B1615" s="59">
        <v>4.3914373803155096</v>
      </c>
      <c r="C1615" s="60">
        <f t="shared" si="62"/>
        <v>-7.1014048447270106E-2</v>
      </c>
      <c r="D1615" s="61">
        <f t="shared" si="63"/>
        <v>5.2178473685169896E-2</v>
      </c>
    </row>
    <row r="1616" spans="1:4">
      <c r="A1616" s="59" t="s">
        <v>221</v>
      </c>
      <c r="B1616" s="59">
        <v>4.4624514287627797</v>
      </c>
      <c r="C1616" s="60">
        <f t="shared" si="62"/>
        <v>-2.3854062451619917E-2</v>
      </c>
      <c r="D1616" s="61">
        <f t="shared" si="63"/>
        <v>5.2460914914148039E-2</v>
      </c>
    </row>
    <row r="1617" spans="1:4">
      <c r="A1617" s="59" t="s">
        <v>220</v>
      </c>
      <c r="B1617" s="59">
        <v>4.4863054912143996</v>
      </c>
      <c r="C1617" s="60">
        <f t="shared" si="62"/>
        <v>1.8147441796569908E-2</v>
      </c>
      <c r="D1617" s="61">
        <f t="shared" si="63"/>
        <v>5.2471583782981911E-2</v>
      </c>
    </row>
    <row r="1618" spans="1:4">
      <c r="A1618" s="59" t="s">
        <v>219</v>
      </c>
      <c r="B1618" s="59">
        <v>4.4681580494178297</v>
      </c>
      <c r="C1618" s="60">
        <f t="shared" si="62"/>
        <v>7.67614257156497E-2</v>
      </c>
      <c r="D1618" s="61">
        <f t="shared" si="63"/>
        <v>5.2631113906693623E-2</v>
      </c>
    </row>
    <row r="1619" spans="1:4">
      <c r="A1619" s="59" t="s">
        <v>218</v>
      </c>
      <c r="B1619" s="59">
        <v>4.39139662370218</v>
      </c>
      <c r="C1619" s="60">
        <f t="shared" si="62"/>
        <v>6.8122566996460243E-2</v>
      </c>
      <c r="D1619" s="61">
        <f t="shared" si="63"/>
        <v>5.1796432593022829E-2</v>
      </c>
    </row>
    <row r="1620" spans="1:4">
      <c r="A1620" s="59" t="s">
        <v>217</v>
      </c>
      <c r="B1620" s="59">
        <v>4.3232740567057197</v>
      </c>
      <c r="C1620" s="60">
        <f t="shared" si="62"/>
        <v>-2.2790346739800071E-2</v>
      </c>
      <c r="D1620" s="61">
        <f t="shared" si="63"/>
        <v>5.1448326563279009E-2</v>
      </c>
    </row>
    <row r="1621" spans="1:4">
      <c r="A1621" s="59" t="s">
        <v>216</v>
      </c>
      <c r="B1621" s="59">
        <v>4.3460644034455198</v>
      </c>
      <c r="C1621" s="60">
        <f t="shared" si="62"/>
        <v>-5.2725987911370176E-2</v>
      </c>
      <c r="D1621" s="61">
        <f t="shared" si="63"/>
        <v>5.1757659358140286E-2</v>
      </c>
    </row>
    <row r="1622" spans="1:4">
      <c r="A1622" s="59" t="s">
        <v>215</v>
      </c>
      <c r="B1622" s="59">
        <v>4.39879039135689</v>
      </c>
      <c r="C1622" s="60">
        <f t="shared" si="62"/>
        <v>-7.5658076157800735E-3</v>
      </c>
      <c r="D1622" s="61">
        <f t="shared" si="63"/>
        <v>5.2945916702183016E-2</v>
      </c>
    </row>
    <row r="1623" spans="1:4">
      <c r="A1623" s="59" t="s">
        <v>214</v>
      </c>
      <c r="B1623" s="59">
        <v>4.4063561989726701</v>
      </c>
      <c r="C1623" s="60">
        <f t="shared" si="62"/>
        <v>4.1039014844909794E-2</v>
      </c>
      <c r="D1623" s="61">
        <f t="shared" si="63"/>
        <v>5.4028274386931037E-2</v>
      </c>
    </row>
    <row r="1624" spans="1:4">
      <c r="A1624" s="59" t="s">
        <v>213</v>
      </c>
      <c r="B1624" s="59">
        <v>4.3653171841277603</v>
      </c>
      <c r="C1624" s="60">
        <f t="shared" si="62"/>
        <v>3.3280514659630001E-2</v>
      </c>
      <c r="D1624" s="61">
        <f t="shared" si="63"/>
        <v>5.4146319809657686E-2</v>
      </c>
    </row>
    <row r="1625" spans="1:4">
      <c r="A1625" s="59" t="s">
        <v>212</v>
      </c>
      <c r="B1625" s="59">
        <v>4.3320366694681303</v>
      </c>
      <c r="C1625" s="60">
        <f t="shared" si="62"/>
        <v>5.5437178720070257E-2</v>
      </c>
      <c r="D1625" s="61">
        <f t="shared" si="63"/>
        <v>5.4114936920938057E-2</v>
      </c>
    </row>
    <row r="1626" spans="1:4">
      <c r="A1626" s="59" t="s">
        <v>211</v>
      </c>
      <c r="B1626" s="59">
        <v>4.27659949074806</v>
      </c>
      <c r="C1626" s="60">
        <f t="shared" si="62"/>
        <v>-4.7252744253209578E-2</v>
      </c>
      <c r="D1626" s="61">
        <f t="shared" si="63"/>
        <v>5.3679093165895593E-2</v>
      </c>
    </row>
    <row r="1627" spans="1:4">
      <c r="A1627" s="59" t="s">
        <v>210</v>
      </c>
      <c r="B1627" s="59">
        <v>4.3238522350012696</v>
      </c>
      <c r="C1627" s="60">
        <f t="shared" si="62"/>
        <v>-7.0926867748480227E-2</v>
      </c>
      <c r="D1627" s="61">
        <f t="shared" si="63"/>
        <v>5.3676780632998425E-2</v>
      </c>
    </row>
    <row r="1628" spans="1:4">
      <c r="A1628" s="59" t="s">
        <v>209</v>
      </c>
      <c r="B1628" s="59">
        <v>4.3947791027497498</v>
      </c>
      <c r="C1628" s="60">
        <f t="shared" si="62"/>
        <v>3.285376656076977E-2</v>
      </c>
      <c r="D1628" s="61">
        <f t="shared" si="63"/>
        <v>5.3394524330768849E-2</v>
      </c>
    </row>
    <row r="1629" spans="1:4">
      <c r="A1629" s="59" t="s">
        <v>208</v>
      </c>
      <c r="B1629" s="59">
        <v>4.36192533618898</v>
      </c>
      <c r="C1629" s="60">
        <f t="shared" si="62"/>
        <v>-2.1112608194860272E-2</v>
      </c>
      <c r="D1629" s="61">
        <f t="shared" si="63"/>
        <v>5.3312823177648017E-2</v>
      </c>
    </row>
    <row r="1630" spans="1:4">
      <c r="A1630" s="59" t="s">
        <v>207</v>
      </c>
      <c r="B1630" s="59">
        <v>4.3830379443838403</v>
      </c>
      <c r="C1630" s="60">
        <f t="shared" si="62"/>
        <v>2.1008247368260236E-2</v>
      </c>
      <c r="D1630" s="61">
        <f t="shared" si="63"/>
        <v>5.3406085843280111E-2</v>
      </c>
    </row>
    <row r="1631" spans="1:4">
      <c r="A1631" s="59" t="s">
        <v>206</v>
      </c>
      <c r="B1631" s="59">
        <v>4.3620296970155801</v>
      </c>
      <c r="C1631" s="60">
        <f t="shared" si="62"/>
        <v>-4.1515278687540125E-2</v>
      </c>
      <c r="D1631" s="61">
        <f t="shared" si="63"/>
        <v>5.3740320753543895E-2</v>
      </c>
    </row>
    <row r="1632" spans="1:4">
      <c r="A1632" s="59" t="s">
        <v>205</v>
      </c>
      <c r="B1632" s="59">
        <v>4.4035449757031202</v>
      </c>
      <c r="C1632" s="60">
        <f t="shared" si="62"/>
        <v>1.6412906832250052E-2</v>
      </c>
      <c r="D1632" s="61">
        <f t="shared" si="63"/>
        <v>5.4157664243939189E-2</v>
      </c>
    </row>
    <row r="1633" spans="1:4">
      <c r="A1633" s="59" t="s">
        <v>204</v>
      </c>
      <c r="B1633" s="59">
        <v>4.3871320688708701</v>
      </c>
      <c r="C1633" s="60">
        <f t="shared" si="62"/>
        <v>1.6309612048420519E-2</v>
      </c>
      <c r="D1633" s="61">
        <f t="shared" si="63"/>
        <v>5.470396395052482E-2</v>
      </c>
    </row>
    <row r="1634" spans="1:4">
      <c r="A1634" s="59" t="s">
        <v>203</v>
      </c>
      <c r="B1634" s="59">
        <v>4.3708224568224496</v>
      </c>
      <c r="C1634" s="60">
        <f t="shared" si="62"/>
        <v>-9.990887606700305E-3</v>
      </c>
      <c r="D1634" s="61">
        <f t="shared" si="63"/>
        <v>5.5885440764869149E-2</v>
      </c>
    </row>
    <row r="1635" spans="1:4">
      <c r="A1635" s="19" t="s">
        <v>202</v>
      </c>
      <c r="B1635" s="19">
        <v>4.3808133444291499</v>
      </c>
      <c r="C1635" s="24">
        <f t="shared" si="62"/>
        <v>3.5499688188790124E-2</v>
      </c>
      <c r="D1635" s="25">
        <f t="shared" si="63"/>
        <v>5.6753779685399693E-2</v>
      </c>
    </row>
    <row r="1636" spans="1:4">
      <c r="A1636" s="19" t="s">
        <v>201</v>
      </c>
      <c r="B1636" s="19">
        <v>4.3453136562403598</v>
      </c>
      <c r="C1636" s="24">
        <f t="shared" si="62"/>
        <v>1.0141459841289446E-2</v>
      </c>
      <c r="D1636" s="25">
        <f t="shared" si="63"/>
        <v>5.7319811574136896E-2</v>
      </c>
    </row>
    <row r="1637" spans="1:4">
      <c r="A1637" s="19" t="s">
        <v>200</v>
      </c>
      <c r="B1637" s="19">
        <v>4.3351721963990704</v>
      </c>
      <c r="C1637" s="24">
        <f t="shared" si="62"/>
        <v>-3.2613329579429973E-2</v>
      </c>
      <c r="D1637" s="25">
        <f t="shared" si="63"/>
        <v>5.7537558628061487E-2</v>
      </c>
    </row>
    <row r="1638" spans="1:4">
      <c r="A1638" s="19" t="s">
        <v>199</v>
      </c>
      <c r="B1638" s="19">
        <v>4.3677855259785003</v>
      </c>
      <c r="C1638" s="24">
        <f t="shared" si="62"/>
        <v>-3.418550086856964E-2</v>
      </c>
      <c r="D1638" s="25">
        <f t="shared" si="63"/>
        <v>5.7381879065815274E-2</v>
      </c>
    </row>
    <row r="1639" spans="1:4">
      <c r="A1639" s="19" t="s">
        <v>198</v>
      </c>
      <c r="B1639" s="19">
        <v>4.40197102684707</v>
      </c>
      <c r="C1639" s="24">
        <f t="shared" si="62"/>
        <v>3.2300325322819567E-2</v>
      </c>
      <c r="D1639" s="25">
        <f t="shared" si="63"/>
        <v>5.7510267864377775E-2</v>
      </c>
    </row>
    <row r="1640" spans="1:4">
      <c r="A1640" s="19" t="s">
        <v>197</v>
      </c>
      <c r="B1640" s="19">
        <v>4.3696707015242504</v>
      </c>
      <c r="C1640" s="24">
        <f t="shared" si="62"/>
        <v>-5.69228047038699E-2</v>
      </c>
      <c r="D1640" s="25">
        <f t="shared" si="63"/>
        <v>5.7581803119401045E-2</v>
      </c>
    </row>
    <row r="1641" spans="1:4">
      <c r="A1641" s="19" t="s">
        <v>196</v>
      </c>
      <c r="B1641" s="19">
        <v>4.4265935062281203</v>
      </c>
      <c r="C1641" s="24">
        <f t="shared" si="62"/>
        <v>-2.7556197845999719E-2</v>
      </c>
      <c r="D1641" s="25">
        <f t="shared" si="63"/>
        <v>5.7130388111232167E-2</v>
      </c>
    </row>
    <row r="1642" spans="1:4">
      <c r="A1642" s="19" t="s">
        <v>195</v>
      </c>
      <c r="B1642" s="19">
        <v>4.45414970407412</v>
      </c>
      <c r="C1642" s="24">
        <f t="shared" si="62"/>
        <v>4.5385001525939828E-2</v>
      </c>
      <c r="D1642" s="25">
        <f t="shared" si="63"/>
        <v>5.7286673323706051E-2</v>
      </c>
    </row>
    <row r="1643" spans="1:4">
      <c r="A1643" s="19" t="s">
        <v>194</v>
      </c>
      <c r="B1643" s="19">
        <v>4.4087647025481802</v>
      </c>
      <c r="C1643" s="24">
        <f t="shared" si="62"/>
        <v>-8.0110524830080188E-2</v>
      </c>
      <c r="D1643" s="25">
        <f t="shared" si="63"/>
        <v>5.7854880974329663E-2</v>
      </c>
    </row>
    <row r="1644" spans="1:4">
      <c r="A1644" s="19" t="s">
        <v>193</v>
      </c>
      <c r="B1644" s="19">
        <v>4.4888752273782604</v>
      </c>
      <c r="C1644" s="24">
        <f t="shared" si="62"/>
        <v>-1.0659745174919522E-2</v>
      </c>
      <c r="D1644" s="25">
        <f t="shared" si="63"/>
        <v>5.8338170341537772E-2</v>
      </c>
    </row>
    <row r="1645" spans="1:4">
      <c r="A1645" s="19" t="s">
        <v>192</v>
      </c>
      <c r="B1645" s="19">
        <v>4.4995349725531799</v>
      </c>
      <c r="C1645" s="24">
        <f t="shared" si="62"/>
        <v>-5.5004488763703563E-3</v>
      </c>
      <c r="D1645" s="25">
        <f t="shared" si="63"/>
        <v>5.8503724693450408E-2</v>
      </c>
    </row>
    <row r="1646" spans="1:4">
      <c r="A1646" s="19" t="s">
        <v>191</v>
      </c>
      <c r="B1646" s="19">
        <v>4.5050354214295503</v>
      </c>
      <c r="C1646" s="24">
        <f t="shared" si="62"/>
        <v>2.9293915212580401E-2</v>
      </c>
      <c r="D1646" s="25">
        <f t="shared" si="63"/>
        <v>6.0700195521853254E-2</v>
      </c>
    </row>
    <row r="1647" spans="1:4">
      <c r="A1647" s="19" t="s">
        <v>190</v>
      </c>
      <c r="B1647" s="19">
        <v>4.4757415062169699</v>
      </c>
      <c r="C1647" s="24">
        <f t="shared" si="62"/>
        <v>3.9082660789580004E-2</v>
      </c>
      <c r="D1647" s="25">
        <f t="shared" si="63"/>
        <v>6.070416876216448E-2</v>
      </c>
    </row>
    <row r="1648" spans="1:4">
      <c r="A1648" s="19" t="s">
        <v>189</v>
      </c>
      <c r="B1648" s="19">
        <v>4.4366588454273899</v>
      </c>
      <c r="C1648" s="24">
        <f t="shared" si="62"/>
        <v>-9.587183091466045E-2</v>
      </c>
      <c r="D1648" s="25">
        <f t="shared" si="63"/>
        <v>6.0972130878953042E-2</v>
      </c>
    </row>
    <row r="1649" spans="1:4">
      <c r="A1649" s="19" t="s">
        <v>188</v>
      </c>
      <c r="B1649" s="19">
        <v>4.5325306763420503</v>
      </c>
      <c r="C1649" s="24">
        <f t="shared" si="62"/>
        <v>-2.6717459569259638E-2</v>
      </c>
      <c r="D1649" s="25">
        <f t="shared" si="63"/>
        <v>5.9519601234626011E-2</v>
      </c>
    </row>
    <row r="1650" spans="1:4">
      <c r="A1650" s="19" t="s">
        <v>187</v>
      </c>
      <c r="B1650" s="19">
        <v>4.55924813591131</v>
      </c>
      <c r="C1650" s="24">
        <f t="shared" si="62"/>
        <v>3.6482247718709893E-2</v>
      </c>
      <c r="D1650" s="25">
        <f t="shared" si="63"/>
        <v>5.9405651393288142E-2</v>
      </c>
    </row>
    <row r="1651" spans="1:4">
      <c r="A1651" s="19" t="s">
        <v>186</v>
      </c>
      <c r="B1651" s="19">
        <v>4.5227658881926001</v>
      </c>
      <c r="C1651" s="24">
        <f t="shared" si="62"/>
        <v>-3.3466341161680013E-2</v>
      </c>
      <c r="D1651" s="25">
        <f t="shared" si="63"/>
        <v>5.9286860487051229E-2</v>
      </c>
    </row>
    <row r="1652" spans="1:4">
      <c r="A1652" s="19" t="s">
        <v>185</v>
      </c>
      <c r="B1652" s="19">
        <v>4.5562322293542801</v>
      </c>
      <c r="C1652" s="24">
        <f t="shared" si="62"/>
        <v>-4.0545346640469937E-2</v>
      </c>
      <c r="D1652" s="25">
        <f t="shared" si="63"/>
        <v>6.1340742809563677E-2</v>
      </c>
    </row>
    <row r="1653" spans="1:4">
      <c r="A1653" s="19" t="s">
        <v>184</v>
      </c>
      <c r="B1653" s="19">
        <v>4.59677757599475</v>
      </c>
      <c r="C1653" s="24">
        <f t="shared" si="62"/>
        <v>5.0102641808670079E-2</v>
      </c>
      <c r="D1653" s="25">
        <f t="shared" si="63"/>
        <v>6.1054760980246238E-2</v>
      </c>
    </row>
    <row r="1654" spans="1:4">
      <c r="A1654" s="19" t="s">
        <v>183</v>
      </c>
      <c r="B1654" s="19">
        <v>4.5466749341860799</v>
      </c>
      <c r="C1654" s="24">
        <f t="shared" si="62"/>
        <v>5.0735486909750271E-2</v>
      </c>
      <c r="D1654" s="25">
        <f t="shared" si="63"/>
        <v>6.0808163898060735E-2</v>
      </c>
    </row>
    <row r="1655" spans="1:4">
      <c r="A1655" s="19" t="s">
        <v>182</v>
      </c>
      <c r="B1655" s="19">
        <v>4.4959394472763297</v>
      </c>
      <c r="C1655" s="24">
        <f t="shared" si="62"/>
        <v>1.0540273815789369E-2</v>
      </c>
      <c r="D1655" s="25">
        <f t="shared" si="63"/>
        <v>6.0984884479686259E-2</v>
      </c>
    </row>
    <row r="1656" spans="1:4">
      <c r="A1656" s="19" t="s">
        <v>181</v>
      </c>
      <c r="B1656" s="19">
        <v>4.4853991734605403</v>
      </c>
      <c r="C1656" s="24">
        <f t="shared" si="62"/>
        <v>7.535739783382045E-2</v>
      </c>
      <c r="D1656" s="25">
        <f t="shared" si="63"/>
        <v>6.1219399475842394E-2</v>
      </c>
    </row>
    <row r="1657" spans="1:4">
      <c r="A1657" s="19" t="s">
        <v>180</v>
      </c>
      <c r="B1657" s="19">
        <v>4.4100417756267198</v>
      </c>
      <c r="C1657" s="24">
        <f t="shared" si="62"/>
        <v>0.14713275381588975</v>
      </c>
      <c r="D1657" s="25">
        <f t="shared" si="63"/>
        <v>6.1123445302912964E-2</v>
      </c>
    </row>
    <row r="1658" spans="1:4">
      <c r="A1658" s="19" t="s">
        <v>179</v>
      </c>
      <c r="B1658" s="19">
        <v>4.2629090218108301</v>
      </c>
      <c r="C1658" s="24">
        <f t="shared" si="62"/>
        <v>6.4685195896659664E-2</v>
      </c>
      <c r="D1658" s="25">
        <f t="shared" si="63"/>
        <v>5.8029006384037518E-2</v>
      </c>
    </row>
    <row r="1659" spans="1:4">
      <c r="A1659" s="19" t="s">
        <v>178</v>
      </c>
      <c r="B1659" s="19">
        <v>4.1982238259141704</v>
      </c>
      <c r="C1659" s="24">
        <f t="shared" si="62"/>
        <v>-0.12669966545901978</v>
      </c>
      <c r="D1659" s="25">
        <f t="shared" si="63"/>
        <v>5.7450581239211401E-2</v>
      </c>
    </row>
    <row r="1660" spans="1:4">
      <c r="A1660" s="19" t="s">
        <v>177</v>
      </c>
      <c r="B1660" s="19">
        <v>4.3249234913731902</v>
      </c>
      <c r="C1660" s="24">
        <f t="shared" si="62"/>
        <v>-2.9148437074329792E-2</v>
      </c>
      <c r="D1660" s="25">
        <f t="shared" si="63"/>
        <v>5.5246688840190211E-2</v>
      </c>
    </row>
    <row r="1661" spans="1:4">
      <c r="A1661" s="19" t="s">
        <v>176</v>
      </c>
      <c r="B1661" s="19">
        <v>4.35407192844752</v>
      </c>
      <c r="C1661" s="24">
        <f t="shared" si="62"/>
        <v>7.0903798985000321E-2</v>
      </c>
      <c r="D1661" s="25">
        <f t="shared" si="63"/>
        <v>5.6016855008510828E-2</v>
      </c>
    </row>
    <row r="1662" spans="1:4">
      <c r="A1662" s="19" t="s">
        <v>175</v>
      </c>
      <c r="B1662" s="19">
        <v>4.2831681294625197</v>
      </c>
      <c r="C1662" s="24">
        <f t="shared" si="62"/>
        <v>3.607591281164968E-2</v>
      </c>
      <c r="D1662" s="25">
        <f t="shared" si="63"/>
        <v>5.6127876667276984E-2</v>
      </c>
    </row>
    <row r="1663" spans="1:4">
      <c r="A1663" s="19" t="s">
        <v>174</v>
      </c>
      <c r="B1663" s="19">
        <v>4.24709221665087</v>
      </c>
      <c r="C1663" s="24">
        <f t="shared" si="62"/>
        <v>2.1939569700360373E-2</v>
      </c>
      <c r="D1663" s="25">
        <f t="shared" si="63"/>
        <v>5.5908789283851568E-2</v>
      </c>
    </row>
    <row r="1664" spans="1:4">
      <c r="A1664" s="19" t="s">
        <v>173</v>
      </c>
      <c r="B1664" s="19">
        <v>4.2251526469505096</v>
      </c>
      <c r="C1664" s="24">
        <f t="shared" si="62"/>
        <v>3.3477878245319559E-2</v>
      </c>
      <c r="D1664" s="25">
        <f t="shared" si="63"/>
        <v>5.6037765287825808E-2</v>
      </c>
    </row>
    <row r="1665" spans="1:4">
      <c r="A1665" s="19" t="s">
        <v>172</v>
      </c>
      <c r="B1665" s="19">
        <v>4.1916747687051901</v>
      </c>
      <c r="C1665" s="24">
        <f t="shared" si="62"/>
        <v>4.1248445451190108E-2</v>
      </c>
      <c r="D1665" s="25">
        <f t="shared" si="63"/>
        <v>5.6570719857100195E-2</v>
      </c>
    </row>
    <row r="1666" spans="1:4">
      <c r="A1666" s="67" t="s">
        <v>171</v>
      </c>
      <c r="B1666" s="67">
        <v>4.150426323254</v>
      </c>
      <c r="C1666" s="68">
        <f t="shared" ref="C1666:C1729" si="64">B1666-B1667</f>
        <v>-4.4176730616600324E-2</v>
      </c>
      <c r="D1666" s="69">
        <f t="shared" ref="D1666:D1729" si="65">STDEV(C1666:C1725)</f>
        <v>5.6296747471725223E-2</v>
      </c>
    </row>
    <row r="1667" spans="1:4">
      <c r="A1667" s="67" t="s">
        <v>170</v>
      </c>
      <c r="B1667" s="67">
        <v>4.1946030538706003</v>
      </c>
      <c r="C1667" s="68">
        <f t="shared" si="64"/>
        <v>-4.9705328479989319E-2</v>
      </c>
      <c r="D1667" s="69">
        <f t="shared" si="65"/>
        <v>5.790676116640904E-2</v>
      </c>
    </row>
    <row r="1668" spans="1:4">
      <c r="A1668" s="67" t="s">
        <v>169</v>
      </c>
      <c r="B1668" s="67">
        <v>4.2443083823505896</v>
      </c>
      <c r="C1668" s="68">
        <f t="shared" si="64"/>
        <v>7.4877437693919191E-2</v>
      </c>
      <c r="D1668" s="69">
        <f t="shared" si="65"/>
        <v>5.760860562893378E-2</v>
      </c>
    </row>
    <row r="1669" spans="1:4">
      <c r="A1669" s="67" t="s">
        <v>168</v>
      </c>
      <c r="B1669" s="67">
        <v>4.1694309446566704</v>
      </c>
      <c r="C1669" s="68">
        <f t="shared" si="64"/>
        <v>6.2921137949030204E-2</v>
      </c>
      <c r="D1669" s="69">
        <f t="shared" si="65"/>
        <v>5.6701250717612457E-2</v>
      </c>
    </row>
    <row r="1670" spans="1:4">
      <c r="A1670" s="67" t="s">
        <v>167</v>
      </c>
      <c r="B1670" s="67">
        <v>4.1065098067076402</v>
      </c>
      <c r="C1670" s="68">
        <f t="shared" si="64"/>
        <v>6.2860005842329869E-2</v>
      </c>
      <c r="D1670" s="69">
        <f t="shared" si="65"/>
        <v>5.6677319011753401E-2</v>
      </c>
    </row>
    <row r="1671" spans="1:4">
      <c r="A1671" s="67" t="s">
        <v>166</v>
      </c>
      <c r="B1671" s="67">
        <v>4.0436498008653103</v>
      </c>
      <c r="C1671" s="68">
        <f t="shared" si="64"/>
        <v>9.4651176880500287E-2</v>
      </c>
      <c r="D1671" s="69">
        <f t="shared" si="65"/>
        <v>5.6399564928274123E-2</v>
      </c>
    </row>
    <row r="1672" spans="1:4">
      <c r="A1672" s="67" t="s">
        <v>165</v>
      </c>
      <c r="B1672" s="67">
        <v>3.9489986239848101</v>
      </c>
      <c r="C1672" s="68">
        <f t="shared" si="64"/>
        <v>-4.947501910559815E-3</v>
      </c>
      <c r="D1672" s="69">
        <f t="shared" si="65"/>
        <v>5.5861526525647666E-2</v>
      </c>
    </row>
    <row r="1673" spans="1:4">
      <c r="A1673" s="67" t="s">
        <v>164</v>
      </c>
      <c r="B1673" s="67">
        <v>3.9539461258953699</v>
      </c>
      <c r="C1673" s="68">
        <f t="shared" si="64"/>
        <v>-4.3505985056360164E-2</v>
      </c>
      <c r="D1673" s="69">
        <f t="shared" si="65"/>
        <v>5.5883598518869725E-2</v>
      </c>
    </row>
    <row r="1674" spans="1:4">
      <c r="A1674" s="67" t="s">
        <v>163</v>
      </c>
      <c r="B1674" s="67">
        <v>3.99745211095173</v>
      </c>
      <c r="C1674" s="68">
        <f t="shared" si="64"/>
        <v>-1.0115524375729823E-2</v>
      </c>
      <c r="D1674" s="69">
        <f t="shared" si="65"/>
        <v>5.6137193084879515E-2</v>
      </c>
    </row>
    <row r="1675" spans="1:4">
      <c r="A1675" s="67" t="s">
        <v>162</v>
      </c>
      <c r="B1675" s="67">
        <v>4.0075676353274599</v>
      </c>
      <c r="C1675" s="68">
        <f t="shared" si="64"/>
        <v>-8.1569038276319894E-2</v>
      </c>
      <c r="D1675" s="69">
        <f t="shared" si="65"/>
        <v>5.6137719172619935E-2</v>
      </c>
    </row>
    <row r="1676" spans="1:4">
      <c r="A1676" s="67" t="s">
        <v>161</v>
      </c>
      <c r="B1676" s="67">
        <v>4.0891366736037797</v>
      </c>
      <c r="C1676" s="68">
        <f t="shared" si="64"/>
        <v>-2.4933100376280493E-2</v>
      </c>
      <c r="D1676" s="69">
        <f t="shared" si="65"/>
        <v>5.5471064279574045E-2</v>
      </c>
    </row>
    <row r="1677" spans="1:4">
      <c r="A1677" s="67" t="s">
        <v>160</v>
      </c>
      <c r="B1677" s="67">
        <v>4.1140697739800602</v>
      </c>
      <c r="C1677" s="68">
        <f t="shared" si="64"/>
        <v>-2.7962407829029701E-2</v>
      </c>
      <c r="D1677" s="69">
        <f t="shared" si="65"/>
        <v>5.5417047391362592E-2</v>
      </c>
    </row>
    <row r="1678" spans="1:4">
      <c r="A1678" s="67" t="s">
        <v>159</v>
      </c>
      <c r="B1678" s="67">
        <v>4.1420321818090899</v>
      </c>
      <c r="C1678" s="68">
        <f t="shared" si="64"/>
        <v>9.8380960349899738E-3</v>
      </c>
      <c r="D1678" s="69">
        <f t="shared" si="65"/>
        <v>5.5386766582843208E-2</v>
      </c>
    </row>
    <row r="1679" spans="1:4">
      <c r="A1679" s="67" t="s">
        <v>158</v>
      </c>
      <c r="B1679" s="67">
        <v>4.1321940857741</v>
      </c>
      <c r="C1679" s="68">
        <f t="shared" si="64"/>
        <v>4.8554381751180209E-2</v>
      </c>
      <c r="D1679" s="69">
        <f t="shared" si="65"/>
        <v>5.5450989505339957E-2</v>
      </c>
    </row>
    <row r="1680" spans="1:4">
      <c r="A1680" s="67" t="s">
        <v>157</v>
      </c>
      <c r="B1680" s="67">
        <v>4.0836397040229198</v>
      </c>
      <c r="C1680" s="68">
        <f t="shared" si="64"/>
        <v>5.5998051397399884E-2</v>
      </c>
      <c r="D1680" s="69">
        <f t="shared" si="65"/>
        <v>5.5998705085578332E-2</v>
      </c>
    </row>
    <row r="1681" spans="1:4">
      <c r="A1681" s="67" t="s">
        <v>156</v>
      </c>
      <c r="B1681" s="67">
        <v>4.0276416526255199</v>
      </c>
      <c r="C1681" s="68">
        <f t="shared" si="64"/>
        <v>-9.8341326667489959E-2</v>
      </c>
      <c r="D1681" s="69">
        <f t="shared" si="65"/>
        <v>5.5484783200497781E-2</v>
      </c>
    </row>
    <row r="1682" spans="1:4">
      <c r="A1682" s="67" t="s">
        <v>155</v>
      </c>
      <c r="B1682" s="67">
        <v>4.1259829792930098</v>
      </c>
      <c r="C1682" s="68">
        <f t="shared" si="64"/>
        <v>-7.9502233863060212E-2</v>
      </c>
      <c r="D1682" s="69">
        <f t="shared" si="65"/>
        <v>5.4287262817590554E-2</v>
      </c>
    </row>
    <row r="1683" spans="1:4">
      <c r="A1683" s="67" t="s">
        <v>154</v>
      </c>
      <c r="B1683" s="67">
        <v>4.20548521315607</v>
      </c>
      <c r="C1683" s="68">
        <f t="shared" si="64"/>
        <v>-4.4570574471910263E-2</v>
      </c>
      <c r="D1683" s="69">
        <f t="shared" si="65"/>
        <v>5.3784496636358675E-2</v>
      </c>
    </row>
    <row r="1684" spans="1:4">
      <c r="A1684" s="67" t="s">
        <v>153</v>
      </c>
      <c r="B1684" s="67">
        <v>4.2500557876279803</v>
      </c>
      <c r="C1684" s="68">
        <f t="shared" si="64"/>
        <v>-2.7126863298399861E-2</v>
      </c>
      <c r="D1684" s="69">
        <f t="shared" si="65"/>
        <v>5.3591619439705085E-2</v>
      </c>
    </row>
    <row r="1685" spans="1:4">
      <c r="A1685" s="67" t="s">
        <v>152</v>
      </c>
      <c r="B1685" s="67">
        <v>4.2771826509263802</v>
      </c>
      <c r="C1685" s="68">
        <f t="shared" si="64"/>
        <v>-1.5994110091630098E-2</v>
      </c>
      <c r="D1685" s="69">
        <f t="shared" si="65"/>
        <v>5.3673615331934432E-2</v>
      </c>
    </row>
    <row r="1686" spans="1:4">
      <c r="A1686" s="67" t="s">
        <v>151</v>
      </c>
      <c r="B1686" s="67">
        <v>4.2931767610180103</v>
      </c>
      <c r="C1686" s="68">
        <f t="shared" si="64"/>
        <v>-4.7096585662269597E-2</v>
      </c>
      <c r="D1686" s="69">
        <f t="shared" si="65"/>
        <v>5.5345114036138933E-2</v>
      </c>
    </row>
    <row r="1687" spans="1:4">
      <c r="A1687" s="88" t="s">
        <v>150</v>
      </c>
      <c r="B1687" s="88">
        <v>4.3402733466802799</v>
      </c>
      <c r="C1687" s="89">
        <f t="shared" si="64"/>
        <v>-5.6948699137210568E-2</v>
      </c>
      <c r="D1687" s="90">
        <f t="shared" si="65"/>
        <v>5.5107063611219601E-2</v>
      </c>
    </row>
    <row r="1688" spans="1:4">
      <c r="A1688" s="88" t="s">
        <v>149</v>
      </c>
      <c r="B1688" s="88">
        <v>4.3972220458174904</v>
      </c>
      <c r="C1688" s="89">
        <f t="shared" si="64"/>
        <v>2.3813849445490476E-2</v>
      </c>
      <c r="D1688" s="90">
        <f t="shared" si="65"/>
        <v>5.52783813941514E-2</v>
      </c>
    </row>
    <row r="1689" spans="1:4">
      <c r="A1689" s="88" t="s">
        <v>148</v>
      </c>
      <c r="B1689" s="88">
        <v>4.373408196372</v>
      </c>
      <c r="C1689" s="89">
        <f t="shared" si="64"/>
        <v>3.2564359470390158E-2</v>
      </c>
      <c r="D1689" s="90">
        <f t="shared" si="65"/>
        <v>5.6722152736159367E-2</v>
      </c>
    </row>
    <row r="1690" spans="1:4">
      <c r="A1690" s="88" t="s">
        <v>147</v>
      </c>
      <c r="B1690" s="88">
        <v>4.3408438369016098</v>
      </c>
      <c r="C1690" s="89">
        <f t="shared" si="64"/>
        <v>5.1104645634719503E-2</v>
      </c>
      <c r="D1690" s="90">
        <f t="shared" si="65"/>
        <v>5.7977147227023525E-2</v>
      </c>
    </row>
    <row r="1691" spans="1:4">
      <c r="A1691" s="88" t="s">
        <v>146</v>
      </c>
      <c r="B1691" s="88">
        <v>4.2897391912668903</v>
      </c>
      <c r="C1691" s="89">
        <f t="shared" si="64"/>
        <v>-6.5814936605119279E-2</v>
      </c>
      <c r="D1691" s="90">
        <f t="shared" si="65"/>
        <v>5.7573055769354703E-2</v>
      </c>
    </row>
    <row r="1692" spans="1:4">
      <c r="A1692" s="88" t="s">
        <v>145</v>
      </c>
      <c r="B1692" s="88">
        <v>4.3555541278720096</v>
      </c>
      <c r="C1692" s="89">
        <f t="shared" si="64"/>
        <v>6.2344324595379419E-2</v>
      </c>
      <c r="D1692" s="90">
        <f t="shared" si="65"/>
        <v>5.908734664026323E-2</v>
      </c>
    </row>
    <row r="1693" spans="1:4">
      <c r="A1693" s="88" t="s">
        <v>144</v>
      </c>
      <c r="B1693" s="88">
        <v>4.2932098032766302</v>
      </c>
      <c r="C1693" s="89">
        <f t="shared" si="64"/>
        <v>-8.848627621001004E-2</v>
      </c>
      <c r="D1693" s="90">
        <f t="shared" si="65"/>
        <v>5.9010434507625484E-2</v>
      </c>
    </row>
    <row r="1694" spans="1:4">
      <c r="A1694" s="88" t="s">
        <v>143</v>
      </c>
      <c r="B1694" s="88">
        <v>4.3816960794866402</v>
      </c>
      <c r="C1694" s="89">
        <f t="shared" si="64"/>
        <v>-7.7268183195619677E-2</v>
      </c>
      <c r="D1694" s="90">
        <f t="shared" si="65"/>
        <v>6.0183972700214035E-2</v>
      </c>
    </row>
    <row r="1695" spans="1:4">
      <c r="A1695" s="88" t="s">
        <v>142</v>
      </c>
      <c r="B1695" s="88">
        <v>4.4589642626822599</v>
      </c>
      <c r="C1695" s="89">
        <f t="shared" si="64"/>
        <v>7.0701954252649912E-2</v>
      </c>
      <c r="D1695" s="90">
        <f t="shared" si="65"/>
        <v>6.2233103918441668E-2</v>
      </c>
    </row>
    <row r="1696" spans="1:4">
      <c r="A1696" s="88" t="s">
        <v>141</v>
      </c>
      <c r="B1696" s="88">
        <v>4.38826230842961</v>
      </c>
      <c r="C1696" s="89">
        <f t="shared" si="64"/>
        <v>3.9380452764260276E-2</v>
      </c>
      <c r="D1696" s="90">
        <f t="shared" si="65"/>
        <v>6.1510094098832124E-2</v>
      </c>
    </row>
    <row r="1697" spans="1:4">
      <c r="A1697" s="88" t="s">
        <v>140</v>
      </c>
      <c r="B1697" s="88">
        <v>4.3488818556653497</v>
      </c>
      <c r="C1697" s="89">
        <f t="shared" si="64"/>
        <v>-3.0253658776402403E-3</v>
      </c>
      <c r="D1697" s="90">
        <f t="shared" si="65"/>
        <v>6.146980146147233E-2</v>
      </c>
    </row>
    <row r="1698" spans="1:4">
      <c r="A1698" s="88" t="s">
        <v>139</v>
      </c>
      <c r="B1698" s="88">
        <v>4.3519072215429899</v>
      </c>
      <c r="C1698" s="89">
        <f t="shared" si="64"/>
        <v>4.6809781844899589E-2</v>
      </c>
      <c r="D1698" s="90">
        <f t="shared" si="65"/>
        <v>6.176306585712768E-2</v>
      </c>
    </row>
    <row r="1699" spans="1:4">
      <c r="A1699" s="88" t="s">
        <v>138</v>
      </c>
      <c r="B1699" s="88">
        <v>4.3050974396980903</v>
      </c>
      <c r="C1699" s="89">
        <f t="shared" si="64"/>
        <v>-3.7217342129340025E-2</v>
      </c>
      <c r="D1699" s="90">
        <f t="shared" si="65"/>
        <v>6.1553629117678713E-2</v>
      </c>
    </row>
    <row r="1700" spans="1:4">
      <c r="A1700" s="88" t="s">
        <v>137</v>
      </c>
      <c r="B1700" s="88">
        <v>4.3423147818274304</v>
      </c>
      <c r="C1700" s="89">
        <f t="shared" si="64"/>
        <v>-1.5831355443779671E-2</v>
      </c>
      <c r="D1700" s="90">
        <f t="shared" si="65"/>
        <v>6.1851672085107598E-2</v>
      </c>
    </row>
    <row r="1701" spans="1:4">
      <c r="A1701" s="88" t="s">
        <v>136</v>
      </c>
      <c r="B1701" s="88">
        <v>4.35814613727121</v>
      </c>
      <c r="C1701" s="89">
        <f t="shared" si="64"/>
        <v>-4.2242755655370168E-2</v>
      </c>
      <c r="D1701" s="90">
        <f t="shared" si="65"/>
        <v>6.6096870290991802E-2</v>
      </c>
    </row>
    <row r="1702" spans="1:4">
      <c r="A1702" s="88" t="s">
        <v>135</v>
      </c>
      <c r="B1702" s="88">
        <v>4.4003888929265802</v>
      </c>
      <c r="C1702" s="89">
        <f t="shared" si="64"/>
        <v>7.7423210728389869E-2</v>
      </c>
      <c r="D1702" s="90">
        <f t="shared" si="65"/>
        <v>6.6234947085702572E-2</v>
      </c>
    </row>
    <row r="1703" spans="1:4">
      <c r="A1703" s="88" t="s">
        <v>134</v>
      </c>
      <c r="B1703" s="88">
        <v>4.3229656821981903</v>
      </c>
      <c r="C1703" s="89">
        <f t="shared" si="64"/>
        <v>0.10403179423042008</v>
      </c>
      <c r="D1703" s="90">
        <f t="shared" si="65"/>
        <v>6.7282430460886333E-2</v>
      </c>
    </row>
    <row r="1704" spans="1:4">
      <c r="A1704" s="88" t="s">
        <v>133</v>
      </c>
      <c r="B1704" s="88">
        <v>4.2189338879677702</v>
      </c>
      <c r="C1704" s="89">
        <f t="shared" si="64"/>
        <v>-3.2637427548509734E-2</v>
      </c>
      <c r="D1704" s="90">
        <f t="shared" si="65"/>
        <v>6.6166202683739406E-2</v>
      </c>
    </row>
    <row r="1705" spans="1:4">
      <c r="A1705" s="88" t="s">
        <v>132</v>
      </c>
      <c r="B1705" s="88">
        <v>4.25157131551628</v>
      </c>
      <c r="C1705" s="89">
        <f t="shared" si="64"/>
        <v>0.13001651105599965</v>
      </c>
      <c r="D1705" s="90">
        <f t="shared" si="65"/>
        <v>6.6606381360585026E-2</v>
      </c>
    </row>
    <row r="1706" spans="1:4">
      <c r="A1706" s="19" t="s">
        <v>131</v>
      </c>
      <c r="B1706" s="19">
        <v>4.1215548044602803</v>
      </c>
      <c r="C1706" s="24">
        <f t="shared" si="64"/>
        <v>2.9907163988069918E-2</v>
      </c>
      <c r="D1706" s="25">
        <f t="shared" si="65"/>
        <v>6.4748601997054317E-2</v>
      </c>
    </row>
    <row r="1707" spans="1:4">
      <c r="A1707" s="19" t="s">
        <v>130</v>
      </c>
      <c r="B1707" s="19">
        <v>4.0916476404722104</v>
      </c>
      <c r="C1707" s="24">
        <f t="shared" si="64"/>
        <v>-4.9477251323929217E-2</v>
      </c>
      <c r="D1707" s="25">
        <f t="shared" si="65"/>
        <v>6.859286408221027E-2</v>
      </c>
    </row>
    <row r="1708" spans="1:4">
      <c r="A1708" s="19" t="s">
        <v>129</v>
      </c>
      <c r="B1708" s="19">
        <v>4.1411248917961396</v>
      </c>
      <c r="C1708" s="24">
        <f t="shared" si="64"/>
        <v>9.1590419663596379E-3</v>
      </c>
      <c r="D1708" s="25">
        <f t="shared" si="65"/>
        <v>6.9068417308935773E-2</v>
      </c>
    </row>
    <row r="1709" spans="1:4">
      <c r="A1709" s="19" t="s">
        <v>128</v>
      </c>
      <c r="B1709" s="19">
        <v>4.13196584982978</v>
      </c>
      <c r="C1709" s="24">
        <f t="shared" si="64"/>
        <v>2.5685472770179629E-2</v>
      </c>
      <c r="D1709" s="25">
        <f t="shared" si="65"/>
        <v>6.9714184366349491E-2</v>
      </c>
    </row>
    <row r="1710" spans="1:4">
      <c r="A1710" s="19" t="s">
        <v>127</v>
      </c>
      <c r="B1710" s="19">
        <v>4.1062803770596004</v>
      </c>
      <c r="C1710" s="24">
        <f t="shared" si="64"/>
        <v>2.6152555883500739E-3</v>
      </c>
      <c r="D1710" s="25">
        <f t="shared" si="65"/>
        <v>7.0689321593737045E-2</v>
      </c>
    </row>
    <row r="1711" spans="1:4">
      <c r="A1711" s="19" t="s">
        <v>126</v>
      </c>
      <c r="B1711" s="19">
        <v>4.1036651214712503</v>
      </c>
      <c r="C1711" s="24">
        <f t="shared" si="64"/>
        <v>-0.12100549327763943</v>
      </c>
      <c r="D1711" s="25">
        <f t="shared" si="65"/>
        <v>7.2090716651661418E-2</v>
      </c>
    </row>
    <row r="1712" spans="1:4">
      <c r="A1712" s="19" t="s">
        <v>125</v>
      </c>
      <c r="B1712" s="19">
        <v>4.2246706147488897</v>
      </c>
      <c r="C1712" s="24">
        <f t="shared" si="64"/>
        <v>1.6051608544209728E-2</v>
      </c>
      <c r="D1712" s="25">
        <f t="shared" si="65"/>
        <v>7.2891723182070906E-2</v>
      </c>
    </row>
    <row r="1713" spans="1:4">
      <c r="A1713" s="19" t="s">
        <v>124</v>
      </c>
      <c r="B1713" s="19">
        <v>4.20861900620468</v>
      </c>
      <c r="C1713" s="24">
        <f t="shared" si="64"/>
        <v>-7.1500679165401593E-3</v>
      </c>
      <c r="D1713" s="25">
        <f t="shared" si="65"/>
        <v>7.2961564199815379E-2</v>
      </c>
    </row>
    <row r="1714" spans="1:4">
      <c r="A1714" s="19" t="s">
        <v>123</v>
      </c>
      <c r="B1714" s="19">
        <v>4.2157690741212202</v>
      </c>
      <c r="C1714" s="24">
        <f t="shared" si="64"/>
        <v>-5.3613918379859626E-2</v>
      </c>
      <c r="D1714" s="25">
        <f t="shared" si="65"/>
        <v>7.2964988587861365E-2</v>
      </c>
    </row>
    <row r="1715" spans="1:4">
      <c r="A1715" s="19" t="s">
        <v>122</v>
      </c>
      <c r="B1715" s="19">
        <v>4.2693829925010798</v>
      </c>
      <c r="C1715" s="24">
        <f t="shared" si="64"/>
        <v>-3.8372559830920139E-2</v>
      </c>
      <c r="D1715" s="25">
        <f t="shared" si="65"/>
        <v>7.2828930602123643E-2</v>
      </c>
    </row>
    <row r="1716" spans="1:4">
      <c r="A1716" s="19" t="s">
        <v>121</v>
      </c>
      <c r="B1716" s="19">
        <v>4.3077555523319999</v>
      </c>
      <c r="C1716" s="24">
        <f t="shared" si="64"/>
        <v>-6.6940170656479836E-2</v>
      </c>
      <c r="D1716" s="25">
        <f t="shared" si="65"/>
        <v>7.2781734204229259E-2</v>
      </c>
    </row>
    <row r="1717" spans="1:4">
      <c r="A1717" s="19" t="s">
        <v>120</v>
      </c>
      <c r="B1717" s="19">
        <v>4.3746957229884798</v>
      </c>
      <c r="C1717" s="24">
        <f t="shared" si="64"/>
        <v>-1.1199524021909824E-2</v>
      </c>
      <c r="D1717" s="25">
        <f t="shared" si="65"/>
        <v>7.2596260781784105E-2</v>
      </c>
    </row>
    <row r="1718" spans="1:4">
      <c r="A1718" s="19" t="s">
        <v>119</v>
      </c>
      <c r="B1718" s="19">
        <v>4.3858952470103896</v>
      </c>
      <c r="C1718" s="24">
        <f t="shared" si="64"/>
        <v>-2.7635426909710326E-2</v>
      </c>
      <c r="D1718" s="25">
        <f t="shared" si="65"/>
        <v>7.2602097919222536E-2</v>
      </c>
    </row>
    <row r="1719" spans="1:4">
      <c r="A1719" s="19" t="s">
        <v>118</v>
      </c>
      <c r="B1719" s="19">
        <v>4.4135306739200999</v>
      </c>
      <c r="C1719" s="24">
        <f t="shared" si="64"/>
        <v>2.6285625302779891E-2</v>
      </c>
      <c r="D1719" s="25">
        <f t="shared" si="65"/>
        <v>7.2602646002443524E-2</v>
      </c>
    </row>
    <row r="1720" spans="1:4">
      <c r="A1720" s="19" t="s">
        <v>117</v>
      </c>
      <c r="B1720" s="19">
        <v>4.38724504861732</v>
      </c>
      <c r="C1720" s="24">
        <f t="shared" si="64"/>
        <v>7.6630066965550192E-2</v>
      </c>
      <c r="D1720" s="25">
        <f t="shared" si="65"/>
        <v>7.5727087646953878E-2</v>
      </c>
    </row>
    <row r="1721" spans="1:4">
      <c r="A1721" s="19" t="s">
        <v>116</v>
      </c>
      <c r="B1721" s="19">
        <v>4.3106149816517698</v>
      </c>
      <c r="C1721" s="24">
        <f t="shared" si="64"/>
        <v>-7.6888782260560617E-2</v>
      </c>
      <c r="D1721" s="25">
        <f t="shared" si="65"/>
        <v>7.4993704137223588E-2</v>
      </c>
    </row>
    <row r="1722" spans="1:4">
      <c r="A1722" s="19" t="s">
        <v>115</v>
      </c>
      <c r="B1722" s="19">
        <v>4.3875037639123304</v>
      </c>
      <c r="C1722" s="24">
        <f t="shared" si="64"/>
        <v>-4.8490695295999586E-3</v>
      </c>
      <c r="D1722" s="25">
        <f t="shared" si="65"/>
        <v>7.4454712239401602E-2</v>
      </c>
    </row>
    <row r="1723" spans="1:4">
      <c r="A1723" s="19" t="s">
        <v>114</v>
      </c>
      <c r="B1723" s="19">
        <v>4.3923528334419304</v>
      </c>
      <c r="C1723" s="24">
        <f t="shared" si="64"/>
        <v>3.5637256947440576E-2</v>
      </c>
      <c r="D1723" s="25">
        <f t="shared" si="65"/>
        <v>7.5307044372617343E-2</v>
      </c>
    </row>
    <row r="1724" spans="1:4">
      <c r="A1724" s="19" t="s">
        <v>113</v>
      </c>
      <c r="B1724" s="19">
        <v>4.3567155764944898</v>
      </c>
      <c r="C1724" s="24">
        <f t="shared" si="64"/>
        <v>6.7322603272099713E-2</v>
      </c>
      <c r="D1724" s="25">
        <f t="shared" si="65"/>
        <v>7.5529533332454726E-2</v>
      </c>
    </row>
    <row r="1725" spans="1:4">
      <c r="A1725" s="19" t="s">
        <v>112</v>
      </c>
      <c r="B1725" s="19">
        <v>4.2893929732223901</v>
      </c>
      <c r="C1725" s="24">
        <f t="shared" si="64"/>
        <v>4.4224129592098649E-3</v>
      </c>
      <c r="D1725" s="25">
        <f t="shared" si="65"/>
        <v>8.5887310261668015E-2</v>
      </c>
    </row>
    <row r="1726" spans="1:4">
      <c r="A1726" s="19" t="s">
        <v>111</v>
      </c>
      <c r="B1726" s="19">
        <v>4.2849705602631802</v>
      </c>
      <c r="C1726" s="24">
        <f t="shared" si="64"/>
        <v>-0.11489282522764999</v>
      </c>
      <c r="D1726" s="25">
        <f t="shared" si="65"/>
        <v>8.6723884952328384E-2</v>
      </c>
    </row>
    <row r="1727" spans="1:4">
      <c r="A1727" s="19" t="s">
        <v>110</v>
      </c>
      <c r="B1727" s="19">
        <v>4.3998633854908302</v>
      </c>
      <c r="C1727" s="24">
        <f t="shared" si="64"/>
        <v>-1.4842238882059711E-2</v>
      </c>
      <c r="D1727" s="25">
        <f t="shared" si="65"/>
        <v>8.5891602818573651E-2</v>
      </c>
    </row>
    <row r="1728" spans="1:4">
      <c r="A1728" s="19" t="s">
        <v>109</v>
      </c>
      <c r="B1728" s="19">
        <v>4.4147056243728899</v>
      </c>
      <c r="C1728" s="24">
        <f t="shared" si="64"/>
        <v>-8.9839006705503266E-3</v>
      </c>
      <c r="D1728" s="25">
        <f t="shared" si="65"/>
        <v>8.7318821323926946E-2</v>
      </c>
    </row>
    <row r="1729" spans="1:4">
      <c r="A1729" s="19" t="s">
        <v>108</v>
      </c>
      <c r="B1729" s="19">
        <v>4.4236895250434403</v>
      </c>
      <c r="C1729" s="24">
        <f t="shared" si="64"/>
        <v>6.1718696680260088E-2</v>
      </c>
      <c r="D1729" s="25">
        <f t="shared" si="65"/>
        <v>8.8754069422549209E-2</v>
      </c>
    </row>
    <row r="1730" spans="1:4">
      <c r="A1730" s="19" t="s">
        <v>107</v>
      </c>
      <c r="B1730" s="19">
        <v>4.3619708283631802</v>
      </c>
      <c r="C1730" s="24">
        <f t="shared" ref="C1730:C1793" si="66">B1730-B1731</f>
        <v>4.7276627214060341E-2</v>
      </c>
      <c r="D1730" s="25">
        <f t="shared" ref="D1730:D1793" si="67">STDEV(C1730:C1789)</f>
        <v>8.878416805525452E-2</v>
      </c>
    </row>
    <row r="1731" spans="1:4">
      <c r="A1731" s="19" t="s">
        <v>106</v>
      </c>
      <c r="B1731" s="19">
        <v>4.3146942011491198</v>
      </c>
      <c r="C1731" s="24">
        <f t="shared" si="66"/>
        <v>-8.7109021696240241E-2</v>
      </c>
      <c r="D1731" s="25">
        <f t="shared" si="67"/>
        <v>8.943220636923925E-2</v>
      </c>
    </row>
    <row r="1732" spans="1:4">
      <c r="A1732" s="19" t="s">
        <v>105</v>
      </c>
      <c r="B1732" s="19">
        <v>4.4018032228453601</v>
      </c>
      <c r="C1732" s="24">
        <f t="shared" si="66"/>
        <v>-2.0039624467569794E-2</v>
      </c>
      <c r="D1732" s="25">
        <f t="shared" si="67"/>
        <v>8.9046558042134766E-2</v>
      </c>
    </row>
    <row r="1733" spans="1:4">
      <c r="A1733" s="19" t="s">
        <v>104</v>
      </c>
      <c r="B1733" s="19">
        <v>4.4218428473129299</v>
      </c>
      <c r="C1733" s="24">
        <f t="shared" si="66"/>
        <v>-6.217578903622023E-2</v>
      </c>
      <c r="D1733" s="25">
        <f t="shared" si="67"/>
        <v>9.0327406576548197E-2</v>
      </c>
    </row>
    <row r="1734" spans="1:4">
      <c r="A1734" s="19" t="s">
        <v>103</v>
      </c>
      <c r="B1734" s="19">
        <v>4.4840186363491501</v>
      </c>
      <c r="C1734" s="24">
        <f t="shared" si="66"/>
        <v>-5.2994852350902732E-3</v>
      </c>
      <c r="D1734" s="25">
        <f t="shared" si="67"/>
        <v>9.3531617466945924E-2</v>
      </c>
    </row>
    <row r="1735" spans="1:4">
      <c r="A1735" s="19" t="s">
        <v>102</v>
      </c>
      <c r="B1735" s="19">
        <v>4.4893181215842404</v>
      </c>
      <c r="C1735" s="24">
        <f t="shared" si="66"/>
        <v>2.68136689318208E-2</v>
      </c>
      <c r="D1735" s="25">
        <f t="shared" si="67"/>
        <v>9.6930948980365014E-2</v>
      </c>
    </row>
    <row r="1736" spans="1:4">
      <c r="A1736" s="19" t="s">
        <v>101</v>
      </c>
      <c r="B1736" s="19">
        <v>4.4625044526524196</v>
      </c>
      <c r="C1736" s="24">
        <f t="shared" si="66"/>
        <v>-4.2768180437500192E-3</v>
      </c>
      <c r="D1736" s="25">
        <f t="shared" si="67"/>
        <v>9.7296261928756261E-2</v>
      </c>
    </row>
    <row r="1737" spans="1:4">
      <c r="A1737" s="19" t="s">
        <v>100</v>
      </c>
      <c r="B1737" s="19">
        <v>4.4667812706961696</v>
      </c>
      <c r="C1737" s="24">
        <f t="shared" si="66"/>
        <v>-2.2912736234160569E-2</v>
      </c>
      <c r="D1737" s="25">
        <f t="shared" si="67"/>
        <v>9.751872620091781E-2</v>
      </c>
    </row>
    <row r="1738" spans="1:4">
      <c r="A1738" s="19" t="s">
        <v>99</v>
      </c>
      <c r="B1738" s="19">
        <v>4.4896940069303302</v>
      </c>
      <c r="C1738" s="24">
        <f t="shared" si="66"/>
        <v>-3.2132819425319425E-2</v>
      </c>
      <c r="D1738" s="25">
        <f t="shared" si="67"/>
        <v>0.10546439639411802</v>
      </c>
    </row>
    <row r="1739" spans="1:4">
      <c r="A1739" s="19" t="s">
        <v>98</v>
      </c>
      <c r="B1739" s="19">
        <v>4.5218268263556496</v>
      </c>
      <c r="C1739" s="24">
        <f t="shared" si="66"/>
        <v>7.5013793440129817E-2</v>
      </c>
      <c r="D1739" s="25">
        <f t="shared" si="67"/>
        <v>0.11473135886857812</v>
      </c>
    </row>
    <row r="1740" spans="1:4">
      <c r="A1740" s="19" t="s">
        <v>97</v>
      </c>
      <c r="B1740" s="19">
        <v>4.4468130329155198</v>
      </c>
      <c r="C1740" s="24">
        <f t="shared" si="66"/>
        <v>-3.0435186968880146E-2</v>
      </c>
      <c r="D1740" s="25">
        <f t="shared" si="67"/>
        <v>0.11601585880044719</v>
      </c>
    </row>
    <row r="1741" spans="1:4">
      <c r="A1741" s="19" t="s">
        <v>96</v>
      </c>
      <c r="B1741" s="19">
        <v>4.4772482198843999</v>
      </c>
      <c r="C1741" s="24">
        <f t="shared" si="66"/>
        <v>-3.1413958195879665E-2</v>
      </c>
      <c r="D1741" s="25">
        <f t="shared" si="67"/>
        <v>0.12504174217088465</v>
      </c>
    </row>
    <row r="1742" spans="1:4">
      <c r="A1742" s="19" t="s">
        <v>95</v>
      </c>
      <c r="B1742" s="19">
        <v>4.5086621780802796</v>
      </c>
      <c r="C1742" s="24">
        <f t="shared" si="66"/>
        <v>4.2504471823029633E-2</v>
      </c>
      <c r="D1742" s="25">
        <f t="shared" si="67"/>
        <v>0.12513476947150171</v>
      </c>
    </row>
    <row r="1743" spans="1:4">
      <c r="A1743" s="19" t="s">
        <v>94</v>
      </c>
      <c r="B1743" s="19">
        <v>4.4661577062572499</v>
      </c>
      <c r="C1743" s="24">
        <f t="shared" si="66"/>
        <v>-2.4419100209180478E-2</v>
      </c>
      <c r="D1743" s="25">
        <f t="shared" si="67"/>
        <v>0.12527298555478986</v>
      </c>
    </row>
    <row r="1744" spans="1:4">
      <c r="A1744" s="19" t="s">
        <v>93</v>
      </c>
      <c r="B1744" s="19">
        <v>4.4905768064664304</v>
      </c>
      <c r="C1744" s="24">
        <f t="shared" si="66"/>
        <v>-3.6486885668769453E-2</v>
      </c>
      <c r="D1744" s="25">
        <f t="shared" si="67"/>
        <v>0.12573643300153711</v>
      </c>
    </row>
    <row r="1745" spans="1:4">
      <c r="A1745" s="19" t="s">
        <v>92</v>
      </c>
      <c r="B1745" s="19">
        <v>4.5270636921351999</v>
      </c>
      <c r="C1745" s="24">
        <f t="shared" si="66"/>
        <v>-0.10921720890434017</v>
      </c>
      <c r="D1745" s="25">
        <f t="shared" si="67"/>
        <v>0.12573378595552973</v>
      </c>
    </row>
    <row r="1746" spans="1:4">
      <c r="A1746" s="19" t="s">
        <v>91</v>
      </c>
      <c r="B1746" s="19">
        <v>4.63628090103954</v>
      </c>
      <c r="C1746" s="24">
        <f t="shared" si="66"/>
        <v>8.8787410173400971E-3</v>
      </c>
      <c r="D1746" s="25">
        <f t="shared" si="67"/>
        <v>0.12478033710656422</v>
      </c>
    </row>
    <row r="1747" spans="1:4">
      <c r="A1747" s="19" t="s">
        <v>90</v>
      </c>
      <c r="B1747" s="19">
        <v>4.6274021600222</v>
      </c>
      <c r="C1747" s="24">
        <f t="shared" si="66"/>
        <v>-6.6739879477800024E-2</v>
      </c>
      <c r="D1747" s="25">
        <f t="shared" si="67"/>
        <v>0.12488700081758816</v>
      </c>
    </row>
    <row r="1748" spans="1:4">
      <c r="A1748" s="19" t="s">
        <v>89</v>
      </c>
      <c r="B1748" s="19">
        <v>4.6941420395</v>
      </c>
      <c r="C1748" s="24">
        <f t="shared" si="66"/>
        <v>-0.10818709451845976</v>
      </c>
      <c r="D1748" s="25">
        <f t="shared" si="67"/>
        <v>0.1244660938730779</v>
      </c>
    </row>
    <row r="1749" spans="1:4">
      <c r="A1749" s="19" t="s">
        <v>88</v>
      </c>
      <c r="B1749" s="19">
        <v>4.8023291340184597</v>
      </c>
      <c r="C1749" s="24">
        <f t="shared" si="66"/>
        <v>9.3508664893970028E-2</v>
      </c>
      <c r="D1749" s="25">
        <f t="shared" si="67"/>
        <v>0.12346038321650529</v>
      </c>
    </row>
    <row r="1750" spans="1:4">
      <c r="A1750" s="19" t="s">
        <v>87</v>
      </c>
      <c r="B1750" s="19">
        <v>4.7088204691244897</v>
      </c>
      <c r="C1750" s="24">
        <f t="shared" si="66"/>
        <v>1.7116082173499692E-2</v>
      </c>
      <c r="D1750" s="25">
        <f t="shared" si="67"/>
        <v>0.12328651431716102</v>
      </c>
    </row>
    <row r="1751" spans="1:4">
      <c r="A1751" s="19" t="s">
        <v>86</v>
      </c>
      <c r="B1751" s="19">
        <v>4.69170438695099</v>
      </c>
      <c r="C1751" s="24">
        <f t="shared" si="66"/>
        <v>0.11352324798053015</v>
      </c>
      <c r="D1751" s="25">
        <f t="shared" si="67"/>
        <v>0.12333709152530051</v>
      </c>
    </row>
    <row r="1752" spans="1:4">
      <c r="A1752" s="19" t="s">
        <v>85</v>
      </c>
      <c r="B1752" s="19">
        <v>4.5781811389704599</v>
      </c>
      <c r="C1752" s="24">
        <f t="shared" si="66"/>
        <v>5.8157307784600043E-2</v>
      </c>
      <c r="D1752" s="25">
        <f t="shared" si="67"/>
        <v>0.12392524717643358</v>
      </c>
    </row>
    <row r="1753" spans="1:4">
      <c r="A1753" s="19" t="s">
        <v>84</v>
      </c>
      <c r="B1753" s="19">
        <v>4.5200238311858598</v>
      </c>
      <c r="C1753" s="24">
        <f t="shared" si="66"/>
        <v>0.1234058112808496</v>
      </c>
      <c r="D1753" s="25">
        <f t="shared" si="67"/>
        <v>0.12383978554707809</v>
      </c>
    </row>
    <row r="1754" spans="1:4">
      <c r="A1754" s="19" t="s">
        <v>83</v>
      </c>
      <c r="B1754" s="19">
        <v>4.3966180199050102</v>
      </c>
      <c r="C1754" s="24">
        <f t="shared" si="66"/>
        <v>-0.14449639814530979</v>
      </c>
      <c r="D1754" s="25">
        <f t="shared" si="67"/>
        <v>0.54089128590525126</v>
      </c>
    </row>
    <row r="1755" spans="1:4">
      <c r="A1755" s="19" t="s">
        <v>82</v>
      </c>
      <c r="B1755" s="19">
        <v>4.54111441805032</v>
      </c>
      <c r="C1755" s="24">
        <f t="shared" si="66"/>
        <v>-4.5303895499495539E-3</v>
      </c>
      <c r="D1755" s="25">
        <f t="shared" si="67"/>
        <v>0.54477155210103512</v>
      </c>
    </row>
    <row r="1756" spans="1:4">
      <c r="A1756" s="19" t="s">
        <v>81</v>
      </c>
      <c r="B1756" s="19">
        <v>4.5456448076002696</v>
      </c>
      <c r="C1756" s="24">
        <f t="shared" si="66"/>
        <v>-4.241559833251074E-2</v>
      </c>
      <c r="D1756" s="25">
        <f t="shared" si="67"/>
        <v>0.5494216103822529</v>
      </c>
    </row>
    <row r="1757" spans="1:4">
      <c r="A1757" s="19" t="s">
        <v>80</v>
      </c>
      <c r="B1757" s="19">
        <v>4.5880604059327803</v>
      </c>
      <c r="C1757" s="24">
        <f t="shared" si="66"/>
        <v>-5.0578810456779699E-2</v>
      </c>
      <c r="D1757" s="25">
        <f t="shared" si="67"/>
        <v>0.55406626965104566</v>
      </c>
    </row>
    <row r="1758" spans="1:4">
      <c r="A1758" s="19" t="s">
        <v>79</v>
      </c>
      <c r="B1758" s="19">
        <v>4.63863921638956</v>
      </c>
      <c r="C1758" s="24">
        <f t="shared" si="66"/>
        <v>2.9027392086610426E-2</v>
      </c>
      <c r="D1758" s="25">
        <f t="shared" si="67"/>
        <v>0.55879613672901285</v>
      </c>
    </row>
    <row r="1759" spans="1:4">
      <c r="A1759" s="19" t="s">
        <v>78</v>
      </c>
      <c r="B1759" s="19">
        <v>4.6096118243029496</v>
      </c>
      <c r="C1759" s="24">
        <f t="shared" si="66"/>
        <v>-6.1760147332860171E-2</v>
      </c>
      <c r="D1759" s="25">
        <f t="shared" si="67"/>
        <v>0.56389804157655321</v>
      </c>
    </row>
    <row r="1760" spans="1:4">
      <c r="A1760" s="19" t="s">
        <v>77</v>
      </c>
      <c r="B1760" s="19">
        <v>4.6713719716358098</v>
      </c>
      <c r="C1760" s="24">
        <f t="shared" si="66"/>
        <v>0.17552453899134957</v>
      </c>
      <c r="D1760" s="25">
        <f t="shared" si="67"/>
        <v>0.56883513294382149</v>
      </c>
    </row>
    <row r="1761" spans="1:4">
      <c r="A1761" s="19" t="s">
        <v>76</v>
      </c>
      <c r="B1761" s="19">
        <v>4.4958474326444602</v>
      </c>
      <c r="C1761" s="24">
        <f t="shared" si="66"/>
        <v>5.0790957970909822E-2</v>
      </c>
      <c r="D1761" s="25">
        <f t="shared" si="67"/>
        <v>0.57414345893445728</v>
      </c>
    </row>
    <row r="1762" spans="1:4">
      <c r="A1762" s="19" t="s">
        <v>75</v>
      </c>
      <c r="B1762" s="19">
        <v>4.4450564746735504</v>
      </c>
      <c r="C1762" s="24">
        <f t="shared" si="66"/>
        <v>-0.12335618098945922</v>
      </c>
      <c r="D1762" s="25">
        <f t="shared" si="67"/>
        <v>0.57972502344359922</v>
      </c>
    </row>
    <row r="1763" spans="1:4">
      <c r="A1763" s="19" t="s">
        <v>74</v>
      </c>
      <c r="B1763" s="19">
        <v>4.5684126556630096</v>
      </c>
      <c r="C1763" s="24">
        <f t="shared" si="66"/>
        <v>-6.2071330976560368E-2</v>
      </c>
      <c r="D1763" s="25">
        <f t="shared" si="67"/>
        <v>0.58473357616104027</v>
      </c>
    </row>
    <row r="1764" spans="1:4">
      <c r="A1764" s="19" t="s">
        <v>73</v>
      </c>
      <c r="B1764" s="19">
        <v>4.6304839866395699</v>
      </c>
      <c r="C1764" s="24">
        <f t="shared" si="66"/>
        <v>5.8337733007319592E-2</v>
      </c>
      <c r="D1764" s="25">
        <f t="shared" si="67"/>
        <v>0.59026473965124282</v>
      </c>
    </row>
    <row r="1765" spans="1:4">
      <c r="A1765" s="19" t="s">
        <v>72</v>
      </c>
      <c r="B1765" s="19">
        <v>4.5721462536322504</v>
      </c>
      <c r="C1765" s="24">
        <f t="shared" si="66"/>
        <v>-7.3263463300009768E-2</v>
      </c>
      <c r="D1765" s="25">
        <f t="shared" si="67"/>
        <v>0.59636070153033394</v>
      </c>
    </row>
    <row r="1766" spans="1:4">
      <c r="A1766" s="19" t="s">
        <v>71</v>
      </c>
      <c r="B1766" s="19">
        <v>4.6454097169322601</v>
      </c>
      <c r="C1766" s="24">
        <f t="shared" si="66"/>
        <v>0.1703359575940997</v>
      </c>
      <c r="D1766" s="25">
        <f t="shared" si="67"/>
        <v>0.60217138424447747</v>
      </c>
    </row>
    <row r="1767" spans="1:4">
      <c r="A1767" s="19" t="s">
        <v>70</v>
      </c>
      <c r="B1767" s="19">
        <v>4.4750737593381604</v>
      </c>
      <c r="C1767" s="24">
        <f t="shared" si="66"/>
        <v>7.0811114475920256E-2</v>
      </c>
      <c r="D1767" s="25">
        <f t="shared" si="67"/>
        <v>0.60858285102571918</v>
      </c>
    </row>
    <row r="1768" spans="1:4">
      <c r="A1768" s="19" t="s">
        <v>69</v>
      </c>
      <c r="B1768" s="19">
        <v>4.4042626448622402</v>
      </c>
      <c r="C1768" s="24">
        <f t="shared" si="66"/>
        <v>6.9997156149880446E-2</v>
      </c>
      <c r="D1768" s="25">
        <f t="shared" si="67"/>
        <v>0.61529673994958856</v>
      </c>
    </row>
    <row r="1769" spans="1:4">
      <c r="A1769" s="19" t="s">
        <v>68</v>
      </c>
      <c r="B1769" s="19">
        <v>4.3342654887123597</v>
      </c>
      <c r="C1769" s="24">
        <f t="shared" si="66"/>
        <v>-9.9194850430349923E-2</v>
      </c>
      <c r="D1769" s="25">
        <f t="shared" si="67"/>
        <v>0.62223709021572415</v>
      </c>
    </row>
    <row r="1770" spans="1:4">
      <c r="A1770" s="19" t="s">
        <v>67</v>
      </c>
      <c r="B1770" s="19">
        <v>4.4334603391427096</v>
      </c>
      <c r="C1770" s="24">
        <f t="shared" si="66"/>
        <v>0.10428652872368982</v>
      </c>
      <c r="D1770" s="25">
        <f t="shared" si="67"/>
        <v>0.62870820325282606</v>
      </c>
    </row>
    <row r="1771" spans="1:4">
      <c r="A1771" s="19" t="s">
        <v>66</v>
      </c>
      <c r="B1771" s="19">
        <v>4.3291738104190198</v>
      </c>
      <c r="C1771" s="24">
        <f t="shared" si="66"/>
        <v>-0.14732095677261015</v>
      </c>
      <c r="D1771" s="25">
        <f t="shared" si="67"/>
        <v>0.63614855792907976</v>
      </c>
    </row>
    <row r="1772" spans="1:4">
      <c r="A1772" s="19" t="s">
        <v>65</v>
      </c>
      <c r="B1772" s="19">
        <v>4.47649476719163</v>
      </c>
      <c r="C1772" s="24">
        <f t="shared" si="66"/>
        <v>-3.6715068858629962E-2</v>
      </c>
      <c r="D1772" s="25">
        <f t="shared" si="67"/>
        <v>0.64266596794566089</v>
      </c>
    </row>
    <row r="1773" spans="1:4">
      <c r="A1773" s="19" t="s">
        <v>64</v>
      </c>
      <c r="B1773" s="19">
        <v>4.5132098360502599</v>
      </c>
      <c r="C1773" s="24">
        <f t="shared" si="66"/>
        <v>8.2626784551997901E-4</v>
      </c>
      <c r="D1773" s="25">
        <f t="shared" si="67"/>
        <v>0.6502454568329884</v>
      </c>
    </row>
    <row r="1774" spans="1:4">
      <c r="A1774" s="19" t="s">
        <v>63</v>
      </c>
      <c r="B1774" s="19">
        <v>4.51238356820474</v>
      </c>
      <c r="C1774" s="24">
        <f t="shared" si="66"/>
        <v>-3.9609435651749791E-2</v>
      </c>
      <c r="D1774" s="25">
        <f t="shared" si="67"/>
        <v>0.65829094497328333</v>
      </c>
    </row>
    <row r="1775" spans="1:4">
      <c r="A1775" s="19" t="s">
        <v>62</v>
      </c>
      <c r="B1775" s="19">
        <v>4.5519930038564898</v>
      </c>
      <c r="C1775" s="24">
        <f t="shared" si="66"/>
        <v>-3.1699668368910139E-2</v>
      </c>
      <c r="D1775" s="25">
        <f t="shared" si="67"/>
        <v>0.66642614233207165</v>
      </c>
    </row>
    <row r="1776" spans="1:4">
      <c r="A1776" s="19" t="s">
        <v>61</v>
      </c>
      <c r="B1776" s="19">
        <v>4.5836926722253999</v>
      </c>
      <c r="C1776" s="24">
        <f t="shared" si="66"/>
        <v>4.5462393521809474E-2</v>
      </c>
      <c r="D1776" s="25">
        <f t="shared" si="67"/>
        <v>0.67491935670234582</v>
      </c>
    </row>
    <row r="1777" spans="1:4">
      <c r="A1777" s="19" t="s">
        <v>60</v>
      </c>
      <c r="B1777" s="19">
        <v>4.5382302787035904</v>
      </c>
      <c r="C1777" s="24">
        <f t="shared" si="66"/>
        <v>8.6035388514806854E-3</v>
      </c>
      <c r="D1777" s="25">
        <f t="shared" si="67"/>
        <v>0.68411124900299092</v>
      </c>
    </row>
    <row r="1778" spans="1:4">
      <c r="A1778" s="19" t="s">
        <v>59</v>
      </c>
      <c r="B1778" s="19">
        <v>4.5296267398521097</v>
      </c>
      <c r="C1778" s="24">
        <f t="shared" si="66"/>
        <v>-2.7728275833910132E-2</v>
      </c>
      <c r="D1778" s="25">
        <f t="shared" si="67"/>
        <v>0.69354011532093807</v>
      </c>
    </row>
    <row r="1779" spans="1:4">
      <c r="A1779" s="19" t="s">
        <v>58</v>
      </c>
      <c r="B1779" s="19">
        <v>4.5573550156860199</v>
      </c>
      <c r="C1779" s="24">
        <f t="shared" si="66"/>
        <v>-0.1721690057745402</v>
      </c>
      <c r="D1779" s="25">
        <f t="shared" si="67"/>
        <v>0.70315830709284088</v>
      </c>
    </row>
    <row r="1780" spans="1:4">
      <c r="A1780" s="19" t="s">
        <v>57</v>
      </c>
      <c r="B1780" s="19">
        <v>4.7295240214605601</v>
      </c>
      <c r="C1780" s="24">
        <f t="shared" si="66"/>
        <v>1.235700936520967E-2</v>
      </c>
      <c r="D1780" s="25">
        <f t="shared" si="67"/>
        <v>0.71173182309619154</v>
      </c>
    </row>
    <row r="1781" spans="1:4">
      <c r="A1781" s="19" t="s">
        <v>56</v>
      </c>
      <c r="B1781" s="19">
        <v>4.7171670120953504</v>
      </c>
      <c r="C1781" s="24">
        <f t="shared" si="66"/>
        <v>1.0248582465390399E-2</v>
      </c>
      <c r="D1781" s="25">
        <f t="shared" si="67"/>
        <v>0.72240917864565901</v>
      </c>
    </row>
    <row r="1782" spans="1:4">
      <c r="A1782" s="19" t="s">
        <v>55</v>
      </c>
      <c r="B1782" s="19">
        <v>4.70691842962996</v>
      </c>
      <c r="C1782" s="24">
        <f t="shared" si="66"/>
        <v>-9.2847551992299771E-2</v>
      </c>
      <c r="D1782" s="25">
        <f t="shared" si="67"/>
        <v>0.7335693171258566</v>
      </c>
    </row>
    <row r="1783" spans="1:4">
      <c r="A1783" s="19" t="s">
        <v>54</v>
      </c>
      <c r="B1783" s="19">
        <v>4.7997659816222598</v>
      </c>
      <c r="C1783" s="24">
        <f t="shared" si="66"/>
        <v>-6.9760403325520137E-2</v>
      </c>
      <c r="D1783" s="25">
        <f t="shared" si="67"/>
        <v>0.7443658265583345</v>
      </c>
    </row>
    <row r="1784" spans="1:4">
      <c r="A1784" s="19" t="s">
        <v>53</v>
      </c>
      <c r="B1784" s="19">
        <v>4.8695263849477799</v>
      </c>
      <c r="C1784" s="24">
        <f t="shared" si="66"/>
        <v>0.31615516120734011</v>
      </c>
      <c r="D1784" s="25">
        <f t="shared" si="67"/>
        <v>0.75590301701376517</v>
      </c>
    </row>
    <row r="1785" spans="1:4">
      <c r="A1785" s="19" t="s">
        <v>52</v>
      </c>
      <c r="B1785" s="19">
        <v>4.5533712237404398</v>
      </c>
      <c r="C1785" s="24">
        <f t="shared" si="66"/>
        <v>-9.8061829367160236E-2</v>
      </c>
      <c r="D1785" s="25">
        <f t="shared" si="67"/>
        <v>0.76871436460055187</v>
      </c>
    </row>
    <row r="1786" spans="1:4">
      <c r="A1786" s="19" t="s">
        <v>51</v>
      </c>
      <c r="B1786" s="19">
        <v>4.6514330531076</v>
      </c>
      <c r="C1786" s="24">
        <f t="shared" si="66"/>
        <v>-6.4420966483740294E-2</v>
      </c>
      <c r="D1786" s="25">
        <f t="shared" si="67"/>
        <v>0.78122465431319954</v>
      </c>
    </row>
    <row r="1787" spans="1:4">
      <c r="A1787" s="19" t="s">
        <v>50</v>
      </c>
      <c r="B1787" s="19">
        <v>4.7158540195913403</v>
      </c>
      <c r="C1787" s="24">
        <f t="shared" si="66"/>
        <v>-0.1272818535595901</v>
      </c>
      <c r="D1787" s="25">
        <f t="shared" si="67"/>
        <v>0.79477389291519362</v>
      </c>
    </row>
    <row r="1788" spans="1:4">
      <c r="A1788" s="19" t="s">
        <v>49</v>
      </c>
      <c r="B1788" s="19">
        <v>4.8431358731509304</v>
      </c>
      <c r="C1788" s="24">
        <f t="shared" si="66"/>
        <v>-0.13025962017300952</v>
      </c>
      <c r="D1788" s="25">
        <f t="shared" si="67"/>
        <v>0.80817393904455392</v>
      </c>
    </row>
    <row r="1789" spans="1:4">
      <c r="A1789" s="19" t="s">
        <v>48</v>
      </c>
      <c r="B1789" s="19">
        <v>4.9733954933239399</v>
      </c>
      <c r="C1789" s="24">
        <f t="shared" si="66"/>
        <v>-8.4635663312270459E-2</v>
      </c>
      <c r="D1789" s="25">
        <f t="shared" si="67"/>
        <v>0.82220299397162255</v>
      </c>
    </row>
    <row r="1790" spans="1:4">
      <c r="A1790" s="19" t="s">
        <v>47</v>
      </c>
      <c r="B1790" s="19">
        <v>5.0580311566362104</v>
      </c>
      <c r="C1790" s="24">
        <f t="shared" si="66"/>
        <v>8.9941523268200818E-2</v>
      </c>
      <c r="D1790" s="25">
        <f t="shared" si="67"/>
        <v>0.83771591636854204</v>
      </c>
    </row>
    <row r="1791" spans="1:4">
      <c r="A1791" s="19" t="s">
        <v>46</v>
      </c>
      <c r="B1791" s="19">
        <v>4.9680896333680096</v>
      </c>
      <c r="C1791" s="24">
        <f t="shared" si="66"/>
        <v>-5.2935641375870368E-2</v>
      </c>
      <c r="D1791" s="25">
        <f t="shared" si="67"/>
        <v>0.85613915163965215</v>
      </c>
    </row>
    <row r="1792" spans="1:4">
      <c r="A1792" s="19" t="s">
        <v>45</v>
      </c>
      <c r="B1792" s="19">
        <v>5.0210252747438799</v>
      </c>
      <c r="C1792" s="24">
        <f t="shared" si="66"/>
        <v>0.10766943106007965</v>
      </c>
      <c r="D1792" s="25">
        <f t="shared" si="67"/>
        <v>0.87422938310638032</v>
      </c>
    </row>
    <row r="1793" spans="1:4">
      <c r="A1793" s="19" t="s">
        <v>44</v>
      </c>
      <c r="B1793" s="19">
        <v>4.9133558436838003</v>
      </c>
      <c r="C1793" s="24">
        <f t="shared" si="66"/>
        <v>0.18858343884714035</v>
      </c>
      <c r="D1793" s="25">
        <f t="shared" si="67"/>
        <v>0.8953935088047732</v>
      </c>
    </row>
    <row r="1794" spans="1:4">
      <c r="A1794" s="19" t="s">
        <v>43</v>
      </c>
      <c r="B1794" s="19">
        <v>4.7247724048366599</v>
      </c>
      <c r="C1794" s="24">
        <f t="shared" ref="C1794:C1813" si="68">B1794-B1795</f>
        <v>0.19310931803481957</v>
      </c>
      <c r="D1794" s="25">
        <f t="shared" ref="D1794:D1813" si="69">STDEV(C1794:C1853)</f>
        <v>0.91859239685151162</v>
      </c>
    </row>
    <row r="1795" spans="1:4">
      <c r="A1795" s="19" t="s">
        <v>42</v>
      </c>
      <c r="B1795" s="19">
        <v>4.5316630868018404</v>
      </c>
      <c r="C1795" s="24">
        <f t="shared" si="68"/>
        <v>-7.2168170678429178E-2</v>
      </c>
      <c r="D1795" s="25">
        <f t="shared" si="69"/>
        <v>0.94370633970748519</v>
      </c>
    </row>
    <row r="1796" spans="1:4">
      <c r="A1796" s="19" t="s">
        <v>41</v>
      </c>
      <c r="B1796" s="19">
        <v>4.6038312574802696</v>
      </c>
      <c r="C1796" s="24">
        <f t="shared" si="68"/>
        <v>-5.3354051428930127E-2</v>
      </c>
      <c r="D1796" s="25">
        <f t="shared" si="69"/>
        <v>0.96797507048968556</v>
      </c>
    </row>
    <row r="1797" spans="1:4">
      <c r="A1797" s="19" t="s">
        <v>40</v>
      </c>
      <c r="B1797" s="19">
        <v>4.6571853089091997</v>
      </c>
      <c r="C1797" s="24">
        <f t="shared" si="68"/>
        <v>0.30888729144820992</v>
      </c>
      <c r="D1797" s="25">
        <f t="shared" si="69"/>
        <v>0.99459193443499994</v>
      </c>
    </row>
    <row r="1798" spans="1:4">
      <c r="A1798" s="19" t="s">
        <v>39</v>
      </c>
      <c r="B1798" s="19">
        <v>4.3482980174609898</v>
      </c>
      <c r="C1798" s="24">
        <f t="shared" si="68"/>
        <v>-0.34871624165276049</v>
      </c>
      <c r="D1798" s="25">
        <f t="shared" si="69"/>
        <v>1.0271680520783348</v>
      </c>
    </row>
    <row r="1799" spans="1:4">
      <c r="A1799" s="19" t="s">
        <v>38</v>
      </c>
      <c r="B1799" s="19">
        <v>4.6970142591137503</v>
      </c>
      <c r="C1799" s="24">
        <f t="shared" si="68"/>
        <v>0.15088815625427987</v>
      </c>
      <c r="D1799" s="25">
        <f t="shared" si="69"/>
        <v>1.0493346487967872</v>
      </c>
    </row>
    <row r="1800" spans="1:4">
      <c r="A1800" s="19" t="s">
        <v>37</v>
      </c>
      <c r="B1800" s="19">
        <v>4.5461261028594704</v>
      </c>
      <c r="C1800" s="24">
        <f t="shared" si="68"/>
        <v>0.36132681213523021</v>
      </c>
      <c r="D1800" s="25">
        <f t="shared" si="69"/>
        <v>1.0879494047382423</v>
      </c>
    </row>
    <row r="1801" spans="1:4">
      <c r="A1801" s="19" t="s">
        <v>36</v>
      </c>
      <c r="B1801" s="19">
        <v>4.1847992907242402</v>
      </c>
      <c r="C1801" s="24">
        <f t="shared" si="68"/>
        <v>5.8008130710570427E-2</v>
      </c>
      <c r="D1801" s="25">
        <f t="shared" si="69"/>
        <v>1.132320549211967</v>
      </c>
    </row>
    <row r="1802" spans="1:4">
      <c r="A1802" s="19" t="s">
        <v>35</v>
      </c>
      <c r="B1802" s="19">
        <v>4.1267911600136697</v>
      </c>
      <c r="C1802" s="24">
        <f t="shared" si="68"/>
        <v>6.429570895933967E-2</v>
      </c>
      <c r="D1802" s="25">
        <f t="shared" si="69"/>
        <v>1.1797669794977796</v>
      </c>
    </row>
    <row r="1803" spans="1:4">
      <c r="A1803" s="19" t="s">
        <v>34</v>
      </c>
      <c r="B1803" s="19">
        <v>4.0624954510543301</v>
      </c>
      <c r="C1803" s="24">
        <f t="shared" si="68"/>
        <v>9.660363300159025E-2</v>
      </c>
      <c r="D1803" s="25">
        <f t="shared" si="69"/>
        <v>1.233898947770774</v>
      </c>
    </row>
    <row r="1804" spans="1:4">
      <c r="A1804" s="19" t="s">
        <v>33</v>
      </c>
      <c r="B1804" s="19">
        <v>3.9658918180527398</v>
      </c>
      <c r="C1804" s="24">
        <f t="shared" si="68"/>
        <v>-3.6050679401490537E-2</v>
      </c>
      <c r="D1804" s="25">
        <f t="shared" si="69"/>
        <v>1.2971445491951807</v>
      </c>
    </row>
    <row r="1805" spans="1:4">
      <c r="A1805" s="19" t="s">
        <v>32</v>
      </c>
      <c r="B1805" s="19">
        <v>4.0019424974542304</v>
      </c>
      <c r="C1805" s="24">
        <f t="shared" si="68"/>
        <v>2.9190921524504532E-3</v>
      </c>
      <c r="D1805" s="25">
        <f t="shared" si="69"/>
        <v>1.3663492009680709</v>
      </c>
    </row>
    <row r="1806" spans="1:4">
      <c r="A1806" s="19" t="s">
        <v>31</v>
      </c>
      <c r="B1806" s="19">
        <v>3.9990234053017799</v>
      </c>
      <c r="C1806" s="24">
        <f t="shared" si="68"/>
        <v>5.0662557699469701E-2</v>
      </c>
      <c r="D1806" s="25">
        <f t="shared" si="69"/>
        <v>1.4499139840352822</v>
      </c>
    </row>
    <row r="1807" spans="1:4">
      <c r="A1807" s="19" t="s">
        <v>30</v>
      </c>
      <c r="B1807" s="19">
        <v>3.9483608476023102</v>
      </c>
      <c r="C1807" s="24">
        <f t="shared" si="68"/>
        <v>1.0651555853339989E-2</v>
      </c>
      <c r="D1807" s="25">
        <f t="shared" si="69"/>
        <v>1.5537659467015803</v>
      </c>
    </row>
    <row r="1808" spans="1:4">
      <c r="A1808" s="19" t="s">
        <v>29</v>
      </c>
      <c r="B1808" s="19">
        <v>3.9377092917489702</v>
      </c>
      <c r="C1808" s="24">
        <f t="shared" si="68"/>
        <v>3.2731228004401203E-3</v>
      </c>
      <c r="D1808" s="25">
        <f t="shared" si="69"/>
        <v>1.6809424870655512</v>
      </c>
    </row>
    <row r="1809" spans="1:4">
      <c r="A1809" s="19" t="s">
        <v>28</v>
      </c>
      <c r="B1809" s="19">
        <v>3.9344361689485301</v>
      </c>
      <c r="C1809" s="24">
        <f t="shared" si="68"/>
        <v>-4.9223952632940104E-2</v>
      </c>
      <c r="D1809" s="25">
        <f t="shared" si="69"/>
        <v>1.8450019644293529</v>
      </c>
    </row>
    <row r="1810" spans="1:4">
      <c r="A1810" s="19" t="s">
        <v>27</v>
      </c>
      <c r="B1810" s="19">
        <v>3.9836601215814702</v>
      </c>
      <c r="C1810" s="24">
        <f t="shared" si="68"/>
        <v>-1.5830502446999795E-2</v>
      </c>
      <c r="D1810" s="25">
        <f t="shared" si="69"/>
        <v>2.0609283183326497</v>
      </c>
    </row>
    <row r="1811" spans="1:4">
      <c r="A1811" s="19" t="s">
        <v>26</v>
      </c>
      <c r="B1811" s="19">
        <v>3.99949062402847</v>
      </c>
      <c r="C1811" s="24">
        <f t="shared" si="68"/>
        <v>-0.12977145577690008</v>
      </c>
      <c r="D1811" s="25">
        <f t="shared" si="69"/>
        <v>2.3851035514502317</v>
      </c>
    </row>
    <row r="1812" spans="1:4">
      <c r="A1812" s="19" t="s">
        <v>25</v>
      </c>
      <c r="B1812" s="19">
        <v>4.1292620798053701</v>
      </c>
      <c r="C1812" s="24">
        <f t="shared" si="68"/>
        <v>4.3842865255910191E-2</v>
      </c>
      <c r="D1812" s="25">
        <f t="shared" si="69"/>
        <v>2.85782604326864</v>
      </c>
    </row>
    <row r="1813" spans="1:4">
      <c r="A1813" s="19" t="s">
        <v>24</v>
      </c>
      <c r="B1813" s="19">
        <v>4.0854192145494599</v>
      </c>
      <c r="C1813" s="24">
        <f t="shared" si="68"/>
        <v>4.0854192145494599</v>
      </c>
      <c r="D1813" s="25" t="e">
        <f t="shared" si="69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9"/>
  <sheetViews>
    <sheetView topLeftCell="A26" workbookViewId="0">
      <selection activeCell="H72" sqref="H72"/>
    </sheetView>
  </sheetViews>
  <sheetFormatPr defaultRowHeight="15"/>
  <cols>
    <col min="2" max="2" width="9.7109375" bestFit="1" customWidth="1"/>
  </cols>
  <sheetData>
    <row r="3" spans="2:7">
      <c r="C3" s="105" t="s">
        <v>6</v>
      </c>
      <c r="D3" s="106"/>
      <c r="E3" s="106"/>
      <c r="F3" s="107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8"/>
  <sheetViews>
    <sheetView topLeftCell="A43" workbookViewId="0">
      <selection activeCell="J72" sqref="J72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 t="shared" ref="D4:D35" si="0">VLOOKUP(C4,M:N,2,0)</f>
        <v>5.5386980924786595</v>
      </c>
      <c r="E4" s="11">
        <f t="shared" ref="E4:E35" si="1">VLOOKUP(C4,Q:T,4,0)</f>
        <v>4.7949999999999999</v>
      </c>
      <c r="F4" s="85">
        <f t="shared" ref="F4:F35" si="2">D4-E4</f>
        <v>0.74369809247865959</v>
      </c>
      <c r="G4" s="11">
        <f t="shared" ref="G4:G35" si="3">VLOOKUP(TEXT(C4,"yyyy-mm-dd"),V:X,3,0)</f>
        <v>4.26321220258097</v>
      </c>
      <c r="H4" s="11">
        <f t="shared" ref="H4:H35" si="4"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42583</v>
      </c>
      <c r="M4" s="48">
        <f t="shared" ref="M4:M67" si="5">IF(WEEKDAY(DATE(YEAR(L4),MONTH(L4)+1,0),2)=6,DATE(YEAR(L4),MONTH(L4)+1,0)-1,IF(WEEKDAY(DATE(YEAR(L4),MONTH(L4)+1,0),2)=7,DATE(YEAR(L4),MONTH(L4)+1,0)-2,DATE(YEAR(L4),MONTH(L4)+1,0)))</f>
        <v>42613</v>
      </c>
      <c r="N4" s="51">
        <v>4.031350787034226</v>
      </c>
      <c r="P4" s="53" t="s">
        <v>1950</v>
      </c>
      <c r="Q4" s="23">
        <f>DATE(YEAR(OneWeekMtgRatesDataTable75[[#This Row],[asOf]]),MONTH(OneWeekMtgRatesDataTable75[[#This Row],[asOf]]),DAY(OneWeekMtgRatesDataTable75[[#This Row],[asOf]]))</f>
        <v>42578</v>
      </c>
      <c r="R4" s="22">
        <v>3.48</v>
      </c>
      <c r="S4" s="22">
        <v>0.5</v>
      </c>
      <c r="T4" s="22">
        <v>3.355</v>
      </c>
      <c r="V4" s="48" t="s">
        <v>1946</v>
      </c>
      <c r="W4" s="48" t="s">
        <v>1832</v>
      </c>
      <c r="X4" s="51">
        <v>2.3285237865503698</v>
      </c>
      <c r="Z4" s="48" t="s">
        <v>1946</v>
      </c>
      <c r="AA4" s="51">
        <v>0.98723561935022797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 t="shared" si="0"/>
        <v>5.5269246970767405</v>
      </c>
      <c r="E5" s="11">
        <f t="shared" si="1"/>
        <v>4.6349999999999998</v>
      </c>
      <c r="F5" s="85">
        <f t="shared" si="2"/>
        <v>0.89192469707674071</v>
      </c>
      <c r="G5" s="11">
        <f t="shared" si="3"/>
        <v>4.0911415079480502</v>
      </c>
      <c r="H5" s="11">
        <f t="shared" si="4"/>
        <v>0.52643167400000002</v>
      </c>
      <c r="I5" s="11">
        <f t="shared" ref="I5:I62" si="6">G5+H5</f>
        <v>4.6175731819480506</v>
      </c>
      <c r="J5" s="85">
        <f t="shared" ref="J5:J62" si="7">D5-I5</f>
        <v>0.90935151512868995</v>
      </c>
      <c r="L5" s="77">
        <v>42552</v>
      </c>
      <c r="M5" s="77">
        <f t="shared" si="5"/>
        <v>42580</v>
      </c>
      <c r="N5" s="78">
        <v>4.3772716415259563</v>
      </c>
      <c r="P5" s="22" t="s">
        <v>1951</v>
      </c>
      <c r="Q5" s="23">
        <f>DATE(YEAR(OneWeekMtgRatesDataTable75[[#This Row],[asOf]]),MONTH(OneWeekMtgRatesDataTable75[[#This Row],[asOf]]),DAY(OneWeekMtgRatesDataTable75[[#This Row],[asOf]]))</f>
        <v>42577</v>
      </c>
      <c r="R5" s="22">
        <v>3.48</v>
      </c>
      <c r="S5" s="22">
        <v>0.5</v>
      </c>
      <c r="T5" s="22">
        <v>3.355</v>
      </c>
      <c r="V5" s="48" t="s">
        <v>1947</v>
      </c>
      <c r="W5" s="48" t="s">
        <v>1832</v>
      </c>
      <c r="X5" s="51">
        <v>2.2903256966230399</v>
      </c>
      <c r="Z5" s="48" t="s">
        <v>1947</v>
      </c>
      <c r="AA5" s="51">
        <v>0.98723561935022797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 t="shared" si="0"/>
        <v>5.5168959579912817</v>
      </c>
      <c r="E6" s="11">
        <f t="shared" si="1"/>
        <v>4.45</v>
      </c>
      <c r="F6" s="85">
        <f t="shared" si="2"/>
        <v>1.0668959579912816</v>
      </c>
      <c r="G6" s="11">
        <f t="shared" si="3"/>
        <v>3.93235427092598</v>
      </c>
      <c r="H6" s="11">
        <f t="shared" si="4"/>
        <v>0.53274005999999996</v>
      </c>
      <c r="I6" s="11">
        <f t="shared" si="6"/>
        <v>4.4650943309259796</v>
      </c>
      <c r="J6" s="85">
        <f t="shared" si="7"/>
        <v>1.0518016270653021</v>
      </c>
      <c r="L6" s="48">
        <v>42522</v>
      </c>
      <c r="M6" s="48">
        <f t="shared" si="5"/>
        <v>42551</v>
      </c>
      <c r="N6" s="51">
        <v>4.3888062472012663</v>
      </c>
      <c r="P6" s="22" t="s">
        <v>1952</v>
      </c>
      <c r="Q6" s="23">
        <f>DATE(YEAR(OneWeekMtgRatesDataTable75[[#This Row],[asOf]]),MONTH(OneWeekMtgRatesDataTable75[[#This Row],[asOf]]),DAY(OneWeekMtgRatesDataTable75[[#This Row],[asOf]]))</f>
        <v>42576</v>
      </c>
      <c r="R6" s="22">
        <v>3.48</v>
      </c>
      <c r="S6" s="22">
        <v>0.5</v>
      </c>
      <c r="T6" s="22">
        <v>3.355</v>
      </c>
      <c r="V6" s="48" t="s">
        <v>1948</v>
      </c>
      <c r="W6" s="48" t="s">
        <v>1832</v>
      </c>
      <c r="X6" s="51">
        <v>2.2658760705109899</v>
      </c>
      <c r="Z6" s="48" t="s">
        <v>1948</v>
      </c>
      <c r="AA6" s="51">
        <v>0.98723561935022797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 t="shared" si="0"/>
        <v>5.5064525221557803</v>
      </c>
      <c r="E7" s="11">
        <f t="shared" si="1"/>
        <v>4.5249999999999995</v>
      </c>
      <c r="F7" s="85">
        <f t="shared" si="2"/>
        <v>0.98145252215578083</v>
      </c>
      <c r="G7" s="11">
        <f t="shared" si="3"/>
        <v>4.0210177977435997</v>
      </c>
      <c r="H7" s="11">
        <f t="shared" si="4"/>
        <v>0.53031096799999999</v>
      </c>
      <c r="I7" s="11">
        <f t="shared" si="6"/>
        <v>4.5513287657435999</v>
      </c>
      <c r="J7" s="85">
        <f t="shared" si="7"/>
        <v>0.95512375641218039</v>
      </c>
      <c r="L7" s="48">
        <v>42491</v>
      </c>
      <c r="M7" s="48">
        <f t="shared" si="5"/>
        <v>42521</v>
      </c>
      <c r="N7" s="51">
        <v>4.3996487387033456</v>
      </c>
      <c r="P7" s="22" t="s">
        <v>1953</v>
      </c>
      <c r="Q7" s="23">
        <f>DATE(YEAR(OneWeekMtgRatesDataTable75[[#This Row],[asOf]]),MONTH(OneWeekMtgRatesDataTable75[[#This Row],[asOf]]),DAY(OneWeekMtgRatesDataTable75[[#This Row],[asOf]]))</f>
        <v>42573</v>
      </c>
      <c r="R7" s="22">
        <v>3.48</v>
      </c>
      <c r="S7" s="22">
        <v>0.5</v>
      </c>
      <c r="T7" s="22">
        <v>3.355</v>
      </c>
      <c r="V7" s="48" t="s">
        <v>1949</v>
      </c>
      <c r="W7" s="48" t="s">
        <v>1832</v>
      </c>
      <c r="X7" s="51">
        <v>2.3214949111864098</v>
      </c>
      <c r="Z7" s="48" t="s">
        <v>1949</v>
      </c>
      <c r="AA7" s="51">
        <v>0.98723561935022797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 t="shared" si="0"/>
        <v>5.4966046806114619</v>
      </c>
      <c r="E8" s="11">
        <f t="shared" si="1"/>
        <v>4.34</v>
      </c>
      <c r="F8" s="85">
        <f t="shared" si="2"/>
        <v>1.156604680611462</v>
      </c>
      <c r="G8" s="11">
        <f t="shared" si="3"/>
        <v>3.8088238659156599</v>
      </c>
      <c r="H8" s="11">
        <f t="shared" si="4"/>
        <v>0.55152112200000003</v>
      </c>
      <c r="I8" s="11">
        <f t="shared" si="6"/>
        <v>4.3603449879156599</v>
      </c>
      <c r="J8" s="85">
        <f t="shared" si="7"/>
        <v>1.136259692695802</v>
      </c>
      <c r="L8" s="48">
        <v>42461</v>
      </c>
      <c r="M8" s="48">
        <f t="shared" si="5"/>
        <v>42489</v>
      </c>
      <c r="N8" s="51">
        <v>4.4094702252261353</v>
      </c>
      <c r="P8" s="22" t="s">
        <v>1954</v>
      </c>
      <c r="Q8" s="23">
        <f>DATE(YEAR(OneWeekMtgRatesDataTable75[[#This Row],[asOf]]),MONTH(OneWeekMtgRatesDataTable75[[#This Row],[asOf]]),DAY(OneWeekMtgRatesDataTable75[[#This Row],[asOf]]))</f>
        <v>42572</v>
      </c>
      <c r="R8" s="22">
        <v>3.48</v>
      </c>
      <c r="S8" s="22">
        <v>0.5</v>
      </c>
      <c r="T8" s="22">
        <v>3.355</v>
      </c>
      <c r="V8" s="48" t="s">
        <v>1950</v>
      </c>
      <c r="W8" s="48" t="s">
        <v>1832</v>
      </c>
      <c r="X8" s="51">
        <v>2.3415396621578699</v>
      </c>
      <c r="Z8" s="48" t="s">
        <v>1950</v>
      </c>
      <c r="AA8" s="51">
        <v>0.98469006528880598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 t="shared" si="0"/>
        <v>5.4853483193438421</v>
      </c>
      <c r="E9" s="11">
        <f t="shared" si="1"/>
        <v>4.1449999999999996</v>
      </c>
      <c r="F9" s="85">
        <f t="shared" si="2"/>
        <v>1.3403483193438426</v>
      </c>
      <c r="G9" s="11">
        <f t="shared" si="3"/>
        <v>3.4273948025536498</v>
      </c>
      <c r="H9" s="11">
        <f t="shared" si="4"/>
        <v>0.75074778399999997</v>
      </c>
      <c r="I9" s="11">
        <f t="shared" si="6"/>
        <v>4.1781425865536495</v>
      </c>
      <c r="J9" s="85">
        <f t="shared" si="7"/>
        <v>1.3072057327901927</v>
      </c>
      <c r="L9" s="48">
        <v>42430</v>
      </c>
      <c r="M9" s="48">
        <f t="shared" si="5"/>
        <v>42460</v>
      </c>
      <c r="N9" s="51">
        <v>4.4192941030859769</v>
      </c>
      <c r="P9" s="22" t="s">
        <v>1955</v>
      </c>
      <c r="Q9" s="23">
        <f>DATE(YEAR(OneWeekMtgRatesDataTable75[[#This Row],[asOf]]),MONTH(OneWeekMtgRatesDataTable75[[#This Row],[asOf]]),DAY(OneWeekMtgRatesDataTable75[[#This Row],[asOf]]))</f>
        <v>42571</v>
      </c>
      <c r="R9" s="22">
        <v>3.45</v>
      </c>
      <c r="S9" s="22">
        <v>0.5</v>
      </c>
      <c r="T9" s="22">
        <v>3.3250000000000002</v>
      </c>
      <c r="V9" s="48" t="s">
        <v>1951</v>
      </c>
      <c r="W9" s="48" t="s">
        <v>1832</v>
      </c>
      <c r="X9" s="51">
        <v>2.3913145424010498</v>
      </c>
      <c r="Z9" s="48" t="s">
        <v>1951</v>
      </c>
      <c r="AA9" s="51">
        <v>0.98469006528880598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 t="shared" si="0"/>
        <v>5.4705693261233552</v>
      </c>
      <c r="E10" s="11">
        <f t="shared" si="1"/>
        <v>3.89</v>
      </c>
      <c r="F10" s="85">
        <f t="shared" si="2"/>
        <v>1.5805693261233551</v>
      </c>
      <c r="G10" s="11">
        <f t="shared" si="3"/>
        <v>3.0385261527896099</v>
      </c>
      <c r="H10" s="11">
        <f t="shared" si="4"/>
        <v>0.88375178399999998</v>
      </c>
      <c r="I10" s="11">
        <f t="shared" si="6"/>
        <v>3.9222779367896097</v>
      </c>
      <c r="J10" s="85">
        <f t="shared" si="7"/>
        <v>1.5482913893337455</v>
      </c>
      <c r="L10" s="48">
        <v>42401</v>
      </c>
      <c r="M10" s="48">
        <f t="shared" si="5"/>
        <v>42429</v>
      </c>
      <c r="N10" s="51">
        <v>4.4265496169406138</v>
      </c>
      <c r="P10" s="22" t="s">
        <v>1956</v>
      </c>
      <c r="Q10" s="23">
        <f>DATE(YEAR(OneWeekMtgRatesDataTable75[[#This Row],[asOf]]),MONTH(OneWeekMtgRatesDataTable75[[#This Row],[asOf]]),DAY(OneWeekMtgRatesDataTable75[[#This Row],[asOf]]))</f>
        <v>42570</v>
      </c>
      <c r="R10" s="22">
        <v>3.45</v>
      </c>
      <c r="S10" s="22">
        <v>0.5</v>
      </c>
      <c r="T10" s="22">
        <v>3.3250000000000002</v>
      </c>
      <c r="V10" s="48" t="s">
        <v>1952</v>
      </c>
      <c r="W10" s="48" t="s">
        <v>1832</v>
      </c>
      <c r="X10" s="51">
        <v>2.3827340297619202</v>
      </c>
      <c r="Z10" s="48" t="s">
        <v>1952</v>
      </c>
      <c r="AA10" s="51">
        <v>0.98469006528880598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 t="shared" si="0"/>
        <v>5.4564253789048873</v>
      </c>
      <c r="E11" s="11">
        <f t="shared" si="1"/>
        <v>3.9249999999999998</v>
      </c>
      <c r="F11" s="85">
        <f t="shared" si="2"/>
        <v>1.5314253789048875</v>
      </c>
      <c r="G11" s="11">
        <f t="shared" si="3"/>
        <v>3.2515769978966</v>
      </c>
      <c r="H11" s="11">
        <f t="shared" si="4"/>
        <v>0.72847915200000002</v>
      </c>
      <c r="I11" s="11">
        <f t="shared" si="6"/>
        <v>3.9800561498966003</v>
      </c>
      <c r="J11" s="85">
        <f t="shared" si="7"/>
        <v>1.476369229008287</v>
      </c>
      <c r="L11" s="48">
        <v>42370</v>
      </c>
      <c r="M11" s="48">
        <f t="shared" si="5"/>
        <v>42398</v>
      </c>
      <c r="N11" s="51">
        <v>4.431926070340988</v>
      </c>
      <c r="P11" s="22" t="s">
        <v>1957</v>
      </c>
      <c r="Q11" s="23">
        <f>DATE(YEAR(OneWeekMtgRatesDataTable75[[#This Row],[asOf]]),MONTH(OneWeekMtgRatesDataTable75[[#This Row],[asOf]]),DAY(OneWeekMtgRatesDataTable75[[#This Row],[asOf]]))</f>
        <v>42569</v>
      </c>
      <c r="R11" s="22">
        <v>3.45</v>
      </c>
      <c r="S11" s="22">
        <v>0.5</v>
      </c>
      <c r="T11" s="22">
        <v>3.3250000000000002</v>
      </c>
      <c r="V11" s="48" t="s">
        <v>1953</v>
      </c>
      <c r="W11" s="48" t="s">
        <v>1832</v>
      </c>
      <c r="X11" s="51">
        <v>2.3723679310859498</v>
      </c>
      <c r="Z11" s="48" t="s">
        <v>1953</v>
      </c>
      <c r="AA11" s="51">
        <v>0.98469006528880598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 t="shared" si="0"/>
        <v>5.4364668645164951</v>
      </c>
      <c r="E12" s="11">
        <f t="shared" si="1"/>
        <v>3.9249999999999998</v>
      </c>
      <c r="F12" s="85">
        <f t="shared" si="2"/>
        <v>1.5114668645164953</v>
      </c>
      <c r="G12" s="11">
        <f t="shared" si="3"/>
        <v>3.1770193190764999</v>
      </c>
      <c r="H12" s="11">
        <f t="shared" si="4"/>
        <v>0.73271176400000004</v>
      </c>
      <c r="I12" s="11">
        <f t="shared" si="6"/>
        <v>3.9097310830765002</v>
      </c>
      <c r="J12" s="85">
        <f t="shared" si="7"/>
        <v>1.5267357814399949</v>
      </c>
      <c r="L12" s="48">
        <v>42339</v>
      </c>
      <c r="M12" s="48">
        <f t="shared" si="5"/>
        <v>42369</v>
      </c>
      <c r="N12" s="51">
        <v>4.4390051418489547</v>
      </c>
      <c r="P12" s="22" t="s">
        <v>1958</v>
      </c>
      <c r="Q12" s="23">
        <f>DATE(YEAR(OneWeekMtgRatesDataTable75[[#This Row],[asOf]]),MONTH(OneWeekMtgRatesDataTable75[[#This Row],[asOf]]),DAY(OneWeekMtgRatesDataTable75[[#This Row],[asOf]]))</f>
        <v>42566</v>
      </c>
      <c r="R12" s="22">
        <v>3.45</v>
      </c>
      <c r="S12" s="22">
        <v>0.5</v>
      </c>
      <c r="T12" s="22">
        <v>3.3250000000000002</v>
      </c>
      <c r="V12" s="48" t="s">
        <v>1954</v>
      </c>
      <c r="W12" s="48" t="s">
        <v>1832</v>
      </c>
      <c r="X12" s="51">
        <v>2.3508657378420699</v>
      </c>
      <c r="Z12" s="48" t="s">
        <v>1954</v>
      </c>
      <c r="AA12" s="51">
        <v>0.98469006528880598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 t="shared" si="0"/>
        <v>5.407081096925916</v>
      </c>
      <c r="E13" s="11">
        <f t="shared" si="1"/>
        <v>3.8600000000000003</v>
      </c>
      <c r="F13" s="85">
        <f t="shared" si="2"/>
        <v>1.5470810969259157</v>
      </c>
      <c r="G13" s="11">
        <f t="shared" si="3"/>
        <v>3.0169008574553802</v>
      </c>
      <c r="H13" s="11">
        <f t="shared" si="4"/>
        <v>0.75824650900000001</v>
      </c>
      <c r="I13" s="11">
        <f t="shared" si="6"/>
        <v>3.7751473664553803</v>
      </c>
      <c r="J13" s="85">
        <f t="shared" si="7"/>
        <v>1.6319337304705357</v>
      </c>
      <c r="L13" s="48">
        <v>42309</v>
      </c>
      <c r="M13" s="48">
        <f t="shared" si="5"/>
        <v>42338</v>
      </c>
      <c r="N13" s="51">
        <v>4.4463923254900974</v>
      </c>
      <c r="P13" s="22" t="s">
        <v>1959</v>
      </c>
      <c r="Q13" s="23">
        <f>DATE(YEAR(OneWeekMtgRatesDataTable75[[#This Row],[asOf]]),MONTH(OneWeekMtgRatesDataTable75[[#This Row],[asOf]]),DAY(OneWeekMtgRatesDataTable75[[#This Row],[asOf]]))</f>
        <v>42565</v>
      </c>
      <c r="R13" s="22">
        <v>3.45</v>
      </c>
      <c r="S13" s="22">
        <v>0.5</v>
      </c>
      <c r="T13" s="22">
        <v>3.3250000000000002</v>
      </c>
      <c r="V13" s="48" t="s">
        <v>1955</v>
      </c>
      <c r="W13" s="48" t="s">
        <v>1832</v>
      </c>
      <c r="X13" s="51">
        <v>2.34677807026147</v>
      </c>
      <c r="Z13" s="48" t="s">
        <v>1955</v>
      </c>
      <c r="AA13" s="51">
        <v>1.03779735401568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 t="shared" si="0"/>
        <v>5.3841264551661174</v>
      </c>
      <c r="E14" s="11">
        <f t="shared" si="1"/>
        <v>3.8200000000000003</v>
      </c>
      <c r="F14" s="85">
        <f t="shared" si="2"/>
        <v>1.5641264551661171</v>
      </c>
      <c r="G14" s="11">
        <f t="shared" si="3"/>
        <v>2.7762952709571298</v>
      </c>
      <c r="H14" s="11">
        <f t="shared" si="4"/>
        <v>0.94930419799999999</v>
      </c>
      <c r="I14" s="11">
        <f t="shared" si="6"/>
        <v>3.7255994689571299</v>
      </c>
      <c r="J14" s="85">
        <f t="shared" si="7"/>
        <v>1.6585269862089875</v>
      </c>
      <c r="L14" s="48">
        <v>42278</v>
      </c>
      <c r="M14" s="48">
        <f t="shared" si="5"/>
        <v>42307</v>
      </c>
      <c r="N14" s="51">
        <v>4.4525560402648088</v>
      </c>
      <c r="P14" s="22" t="s">
        <v>1960</v>
      </c>
      <c r="Q14" s="23">
        <f>DATE(YEAR(OneWeekMtgRatesDataTable75[[#This Row],[asOf]]),MONTH(OneWeekMtgRatesDataTable75[[#This Row],[asOf]]),DAY(OneWeekMtgRatesDataTable75[[#This Row],[asOf]]))</f>
        <v>42564</v>
      </c>
      <c r="R14" s="22">
        <v>3.42</v>
      </c>
      <c r="S14" s="22">
        <v>0.5</v>
      </c>
      <c r="T14" s="22">
        <v>3.2949999999999999</v>
      </c>
      <c r="V14" s="48" t="s">
        <v>1956</v>
      </c>
      <c r="W14" s="48" t="s">
        <v>1832</v>
      </c>
      <c r="X14" s="51">
        <v>2.3280330351195899</v>
      </c>
      <c r="Z14" s="48" t="s">
        <v>1956</v>
      </c>
      <c r="AA14" s="51">
        <v>1.03779735401568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 t="shared" si="0"/>
        <v>5.3594348559219069</v>
      </c>
      <c r="E15" s="11">
        <f t="shared" si="1"/>
        <v>3.85</v>
      </c>
      <c r="F15" s="85">
        <f t="shared" si="2"/>
        <v>1.5094348559219068</v>
      </c>
      <c r="G15" s="11">
        <f t="shared" si="3"/>
        <v>2.8817315463419</v>
      </c>
      <c r="H15" s="11">
        <f t="shared" si="4"/>
        <v>1.011170664</v>
      </c>
      <c r="I15" s="11">
        <f t="shared" si="6"/>
        <v>3.8929022103418998</v>
      </c>
      <c r="J15" s="85">
        <f t="shared" si="7"/>
        <v>1.4665326455800072</v>
      </c>
      <c r="L15" s="77">
        <v>42248</v>
      </c>
      <c r="M15" s="77">
        <f t="shared" si="5"/>
        <v>42277</v>
      </c>
      <c r="N15" s="78">
        <v>4.4597228143828191</v>
      </c>
      <c r="P15" s="22" t="s">
        <v>1961</v>
      </c>
      <c r="Q15" s="23">
        <f>DATE(YEAR(OneWeekMtgRatesDataTable75[[#This Row],[asOf]]),MONTH(OneWeekMtgRatesDataTable75[[#This Row],[asOf]]),DAY(OneWeekMtgRatesDataTable75[[#This Row],[asOf]]))</f>
        <v>42563</v>
      </c>
      <c r="R15" s="22">
        <v>3.42</v>
      </c>
      <c r="S15" s="22">
        <v>0.5</v>
      </c>
      <c r="T15" s="22">
        <v>3.2949999999999999</v>
      </c>
      <c r="V15" s="48" t="s">
        <v>1957</v>
      </c>
      <c r="W15" s="48" t="s">
        <v>1832</v>
      </c>
      <c r="X15" s="51">
        <v>2.3547084525242998</v>
      </c>
      <c r="Z15" s="48" t="s">
        <v>1957</v>
      </c>
      <c r="AA15" s="51">
        <v>1.03779735401568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 t="shared" si="0"/>
        <v>5.3179671663260333</v>
      </c>
      <c r="E16" s="11">
        <f t="shared" si="1"/>
        <v>3.9049999999999998</v>
      </c>
      <c r="F16" s="85">
        <f t="shared" si="2"/>
        <v>1.4129671663260335</v>
      </c>
      <c r="G16" s="11">
        <f t="shared" si="3"/>
        <v>3.0669215754139501</v>
      </c>
      <c r="H16" s="11">
        <f t="shared" si="4"/>
        <v>0.81408867699999998</v>
      </c>
      <c r="I16" s="11">
        <f t="shared" si="6"/>
        <v>3.88101025241395</v>
      </c>
      <c r="J16" s="85">
        <f t="shared" si="7"/>
        <v>1.4369569139120832</v>
      </c>
      <c r="L16" s="48">
        <v>42217</v>
      </c>
      <c r="M16" s="48">
        <f t="shared" si="5"/>
        <v>42247</v>
      </c>
      <c r="N16" s="51">
        <v>4.4671622862459683</v>
      </c>
      <c r="P16" s="22" t="s">
        <v>1962</v>
      </c>
      <c r="Q16" s="23">
        <f>DATE(YEAR(OneWeekMtgRatesDataTable75[[#This Row],[asOf]]),MONTH(OneWeekMtgRatesDataTable75[[#This Row],[asOf]]),DAY(OneWeekMtgRatesDataTable75[[#This Row],[asOf]]))</f>
        <v>42562</v>
      </c>
      <c r="R16" s="22">
        <v>3.42</v>
      </c>
      <c r="S16" s="22">
        <v>0.5</v>
      </c>
      <c r="T16" s="22">
        <v>3.2949999999999999</v>
      </c>
      <c r="V16" s="48" t="s">
        <v>1958</v>
      </c>
      <c r="W16" s="48" t="s">
        <v>1832</v>
      </c>
      <c r="X16" s="51">
        <v>2.3587572487332702</v>
      </c>
      <c r="Z16" s="48" t="s">
        <v>1958</v>
      </c>
      <c r="AA16" s="51">
        <v>1.03779735401568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 t="shared" si="0"/>
        <v>5.2953192445801882</v>
      </c>
      <c r="E17" s="11">
        <f t="shared" si="1"/>
        <v>3.79</v>
      </c>
      <c r="F17" s="85">
        <f t="shared" si="2"/>
        <v>1.5053192445801882</v>
      </c>
      <c r="G17" s="11">
        <f t="shared" si="3"/>
        <v>2.8585941716778001</v>
      </c>
      <c r="H17" s="11">
        <f t="shared" si="4"/>
        <v>0.90800277600000001</v>
      </c>
      <c r="I17" s="11">
        <f t="shared" si="6"/>
        <v>3.7665969476778001</v>
      </c>
      <c r="J17" s="85">
        <f t="shared" si="7"/>
        <v>1.5287222969023881</v>
      </c>
      <c r="L17" s="48">
        <v>42186</v>
      </c>
      <c r="M17" s="48">
        <f t="shared" si="5"/>
        <v>42216</v>
      </c>
      <c r="N17" s="51">
        <v>4.4745634645923493</v>
      </c>
      <c r="P17" s="22" t="s">
        <v>1963</v>
      </c>
      <c r="Q17" s="23">
        <f>DATE(YEAR(OneWeekMtgRatesDataTable75[[#This Row],[asOf]]),MONTH(OneWeekMtgRatesDataTable75[[#This Row],[asOf]]),DAY(OneWeekMtgRatesDataTable75[[#This Row],[asOf]]))</f>
        <v>42559</v>
      </c>
      <c r="R17" s="22">
        <v>3.42</v>
      </c>
      <c r="S17" s="22">
        <v>0.5</v>
      </c>
      <c r="T17" s="22">
        <v>3.2949999999999999</v>
      </c>
      <c r="V17" s="48" t="s">
        <v>1959</v>
      </c>
      <c r="W17" s="48" t="s">
        <v>1832</v>
      </c>
      <c r="X17" s="51">
        <v>2.3132728669173401</v>
      </c>
      <c r="Z17" s="48" t="s">
        <v>1959</v>
      </c>
      <c r="AA17" s="51">
        <v>1.03779735401568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 t="shared" si="0"/>
        <v>5.262915701300007</v>
      </c>
      <c r="E18" s="11">
        <f t="shared" si="1"/>
        <v>3.5949999999999998</v>
      </c>
      <c r="F18" s="85">
        <f t="shared" si="2"/>
        <v>1.6679157013000072</v>
      </c>
      <c r="G18" s="11">
        <f t="shared" si="3"/>
        <v>2.6463905286345102</v>
      </c>
      <c r="H18" s="11">
        <f t="shared" si="4"/>
        <v>0.95491305199999998</v>
      </c>
      <c r="I18" s="11">
        <f t="shared" si="6"/>
        <v>3.6013035806345099</v>
      </c>
      <c r="J18" s="85">
        <f t="shared" si="7"/>
        <v>1.661612120665497</v>
      </c>
      <c r="L18" s="48">
        <v>42156</v>
      </c>
      <c r="M18" s="48">
        <f t="shared" si="5"/>
        <v>42185</v>
      </c>
      <c r="N18" s="51">
        <v>4.4856325651762248</v>
      </c>
      <c r="P18" s="22" t="s">
        <v>1964</v>
      </c>
      <c r="Q18" s="23">
        <f>DATE(YEAR(OneWeekMtgRatesDataTable75[[#This Row],[asOf]]),MONTH(OneWeekMtgRatesDataTable75[[#This Row],[asOf]]),DAY(OneWeekMtgRatesDataTable75[[#This Row],[asOf]]))</f>
        <v>42558</v>
      </c>
      <c r="R18" s="22">
        <v>3.42</v>
      </c>
      <c r="S18" s="22">
        <v>0.5</v>
      </c>
      <c r="T18" s="22">
        <v>3.2949999999999999</v>
      </c>
      <c r="V18" s="48" t="s">
        <v>1960</v>
      </c>
      <c r="W18" s="48" t="s">
        <v>1832</v>
      </c>
      <c r="X18" s="51">
        <v>2.2780835111266402</v>
      </c>
      <c r="Z18" s="48" t="s">
        <v>1960</v>
      </c>
      <c r="AA18" s="51">
        <v>1.07356587249262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 t="shared" si="0"/>
        <v>5.2343159846207774</v>
      </c>
      <c r="E19" s="11">
        <f t="shared" si="1"/>
        <v>3.5700000000000003</v>
      </c>
      <c r="F19" s="85">
        <f t="shared" si="2"/>
        <v>1.6643159846207771</v>
      </c>
      <c r="G19" s="11">
        <f t="shared" si="3"/>
        <v>2.6237188553228199</v>
      </c>
      <c r="H19" s="11">
        <f t="shared" si="4"/>
        <v>0.971840386</v>
      </c>
      <c r="I19" s="11">
        <f t="shared" si="6"/>
        <v>3.5955592413228201</v>
      </c>
      <c r="J19" s="85">
        <f t="shared" si="7"/>
        <v>1.6387567432979573</v>
      </c>
      <c r="L19" s="48">
        <v>42125</v>
      </c>
      <c r="M19" s="48">
        <f t="shared" si="5"/>
        <v>42153</v>
      </c>
      <c r="N19" s="51">
        <v>4.4974583076521073</v>
      </c>
      <c r="P19" s="22" t="s">
        <v>1965</v>
      </c>
      <c r="Q19" s="23">
        <f>DATE(YEAR(OneWeekMtgRatesDataTable75[[#This Row],[asOf]]),MONTH(OneWeekMtgRatesDataTable75[[#This Row],[asOf]]),DAY(OneWeekMtgRatesDataTable75[[#This Row],[asOf]]))</f>
        <v>42557</v>
      </c>
      <c r="R19" s="22">
        <v>3.41</v>
      </c>
      <c r="S19" s="22">
        <v>0.5</v>
      </c>
      <c r="T19" s="22">
        <v>3.2850000000000001</v>
      </c>
      <c r="V19" s="48" t="s">
        <v>1961</v>
      </c>
      <c r="W19" s="48" t="s">
        <v>1832</v>
      </c>
      <c r="X19" s="51">
        <v>2.3035973514028201</v>
      </c>
      <c r="Z19" s="48" t="s">
        <v>1961</v>
      </c>
      <c r="AA19" s="51">
        <v>1.07356587249262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 t="shared" si="0"/>
        <v>5.199668792529347</v>
      </c>
      <c r="E20" s="11">
        <f t="shared" si="1"/>
        <v>3.4749999999999996</v>
      </c>
      <c r="F20" s="85">
        <f t="shared" si="2"/>
        <v>1.7246687925293473</v>
      </c>
      <c r="G20" s="11">
        <f t="shared" si="3"/>
        <v>2.3145960727619199</v>
      </c>
      <c r="H20" s="11">
        <f t="shared" si="4"/>
        <v>1.1138280009999999</v>
      </c>
      <c r="I20" s="11">
        <f t="shared" si="6"/>
        <v>3.4284240737619198</v>
      </c>
      <c r="J20" s="85">
        <f t="shared" si="7"/>
        <v>1.7712447187674272</v>
      </c>
      <c r="L20" s="48">
        <v>42095</v>
      </c>
      <c r="M20" s="48">
        <f t="shared" si="5"/>
        <v>42124</v>
      </c>
      <c r="N20" s="51">
        <v>4.5097670103927436</v>
      </c>
      <c r="P20" s="22" t="s">
        <v>1923</v>
      </c>
      <c r="Q20" s="23">
        <f>DATE(YEAR(OneWeekMtgRatesDataTable75[[#This Row],[asOf]]),MONTH(OneWeekMtgRatesDataTable75[[#This Row],[asOf]]),DAY(OneWeekMtgRatesDataTable75[[#This Row],[asOf]]))</f>
        <v>42556</v>
      </c>
      <c r="R20" s="22">
        <v>3.41</v>
      </c>
      <c r="S20" s="22">
        <v>0.5</v>
      </c>
      <c r="T20" s="22">
        <v>3.2850000000000001</v>
      </c>
      <c r="V20" s="48" t="s">
        <v>1962</v>
      </c>
      <c r="W20" s="48" t="s">
        <v>1832</v>
      </c>
      <c r="X20" s="51">
        <v>2.2498836736013899</v>
      </c>
      <c r="Z20" s="48" t="s">
        <v>1962</v>
      </c>
      <c r="AA20" s="51">
        <v>1.07356587249262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 t="shared" si="0"/>
        <v>5.1603138017448087</v>
      </c>
      <c r="E21" s="11">
        <f t="shared" si="1"/>
        <v>3.4749999999999996</v>
      </c>
      <c r="F21" s="85">
        <f t="shared" si="2"/>
        <v>1.685313801744809</v>
      </c>
      <c r="G21" s="11">
        <f t="shared" si="3"/>
        <v>2.3689486742097801</v>
      </c>
      <c r="H21" s="11">
        <f t="shared" si="4"/>
        <v>1.0417252560000001</v>
      </c>
      <c r="I21" s="11">
        <f t="shared" si="6"/>
        <v>3.4106739302097804</v>
      </c>
      <c r="J21" s="85">
        <f t="shared" si="7"/>
        <v>1.7496398715350283</v>
      </c>
      <c r="L21" s="48">
        <v>42064</v>
      </c>
      <c r="M21" s="48">
        <f t="shared" si="5"/>
        <v>42094</v>
      </c>
      <c r="N21" s="51">
        <v>4.5238127948380651</v>
      </c>
      <c r="P21" s="22" t="s">
        <v>1924</v>
      </c>
      <c r="Q21" s="23">
        <f>DATE(YEAR(OneWeekMtgRatesDataTable75[[#This Row],[asOf]]),MONTH(OneWeekMtgRatesDataTable75[[#This Row],[asOf]]),DAY(OneWeekMtgRatesDataTable75[[#This Row],[asOf]]))</f>
        <v>42552</v>
      </c>
      <c r="R21" s="22">
        <v>3.41</v>
      </c>
      <c r="S21" s="22">
        <v>0.5</v>
      </c>
      <c r="T21" s="22">
        <v>3.2850000000000001</v>
      </c>
      <c r="V21" s="48" t="s">
        <v>1963</v>
      </c>
      <c r="W21" s="48" t="s">
        <v>1832</v>
      </c>
      <c r="X21" s="51">
        <v>2.22171317291324</v>
      </c>
      <c r="Z21" s="48" t="s">
        <v>1964</v>
      </c>
      <c r="AA21" s="51">
        <v>1.07356587249262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 t="shared" si="0"/>
        <v>5.118001129913873</v>
      </c>
      <c r="E22" s="11">
        <f t="shared" si="1"/>
        <v>3.26</v>
      </c>
      <c r="F22" s="85">
        <f t="shared" si="2"/>
        <v>1.8580011299138732</v>
      </c>
      <c r="G22" s="11">
        <f t="shared" si="3"/>
        <v>2.0399140401394802</v>
      </c>
      <c r="H22" s="11">
        <f t="shared" si="4"/>
        <v>1.247359691</v>
      </c>
      <c r="I22" s="11">
        <f t="shared" si="6"/>
        <v>3.2872737311394804</v>
      </c>
      <c r="J22" s="85">
        <f t="shared" si="7"/>
        <v>1.8307273987743926</v>
      </c>
      <c r="L22" s="48">
        <v>42036</v>
      </c>
      <c r="M22" s="48">
        <f t="shared" si="5"/>
        <v>42062</v>
      </c>
      <c r="N22" s="51">
        <v>4.5361865866627618</v>
      </c>
      <c r="P22" s="22" t="s">
        <v>1925</v>
      </c>
      <c r="Q22" s="23">
        <f>DATE(YEAR(OneWeekMtgRatesDataTable75[[#This Row],[asOf]]),MONTH(OneWeekMtgRatesDataTable75[[#This Row],[asOf]]),DAY(OneWeekMtgRatesDataTable75[[#This Row],[asOf]]))</f>
        <v>42551</v>
      </c>
      <c r="R22" s="22">
        <v>3.41</v>
      </c>
      <c r="S22" s="22">
        <v>0.5</v>
      </c>
      <c r="T22" s="22">
        <v>3.2850000000000001</v>
      </c>
      <c r="V22" s="48" t="s">
        <v>1964</v>
      </c>
      <c r="W22" s="48" t="s">
        <v>1832</v>
      </c>
      <c r="X22" s="51">
        <v>2.2327355208775002</v>
      </c>
      <c r="Z22" s="48" t="s">
        <v>1965</v>
      </c>
      <c r="AA22" s="51">
        <v>0.990189488205382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 t="shared" si="0"/>
        <v>5.0870014693775971</v>
      </c>
      <c r="E23" s="11">
        <f t="shared" si="1"/>
        <v>3.3149999999999999</v>
      </c>
      <c r="F23" s="85">
        <f t="shared" si="2"/>
        <v>1.7720014693775972</v>
      </c>
      <c r="G23" s="11">
        <f t="shared" si="3"/>
        <v>2.1423497452898399</v>
      </c>
      <c r="H23" s="11">
        <f t="shared" si="4"/>
        <v>1.1145028619999999</v>
      </c>
      <c r="I23" s="11">
        <f t="shared" si="6"/>
        <v>3.2568526072898401</v>
      </c>
      <c r="J23" s="85">
        <f t="shared" si="7"/>
        <v>1.8301488620877571</v>
      </c>
      <c r="L23" s="48">
        <v>42005</v>
      </c>
      <c r="M23" s="48">
        <f t="shared" si="5"/>
        <v>42034</v>
      </c>
      <c r="N23" s="51">
        <v>4.5446755242495449</v>
      </c>
      <c r="P23" s="22" t="s">
        <v>1926</v>
      </c>
      <c r="Q23" s="23">
        <f>DATE(YEAR(OneWeekMtgRatesDataTable75[[#This Row],[asOf]]),MONTH(OneWeekMtgRatesDataTable75[[#This Row],[asOf]]),DAY(OneWeekMtgRatesDataTable75[[#This Row],[asOf]]))</f>
        <v>42550</v>
      </c>
      <c r="R23" s="22">
        <v>3.48</v>
      </c>
      <c r="S23" s="22">
        <v>0.5</v>
      </c>
      <c r="T23" s="22">
        <v>3.355</v>
      </c>
      <c r="V23" s="48" t="s">
        <v>1965</v>
      </c>
      <c r="W23" s="48" t="s">
        <v>1832</v>
      </c>
      <c r="X23" s="51">
        <v>2.19882717699562</v>
      </c>
      <c r="Z23" s="48" t="s">
        <v>1923</v>
      </c>
      <c r="AA23" s="51">
        <v>0.990189488205382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 t="shared" si="0"/>
        <v>5.0273809883485558</v>
      </c>
      <c r="E24" s="11">
        <f t="shared" si="1"/>
        <v>3.2649999999999997</v>
      </c>
      <c r="F24" s="85">
        <f t="shared" si="2"/>
        <v>1.7623809883485562</v>
      </c>
      <c r="G24" s="11">
        <f t="shared" si="3"/>
        <v>2.0725335490580301</v>
      </c>
      <c r="H24" s="11">
        <f t="shared" si="4"/>
        <v>1.162703399</v>
      </c>
      <c r="I24" s="11">
        <f t="shared" si="6"/>
        <v>3.2352369480580299</v>
      </c>
      <c r="J24" s="85">
        <f t="shared" si="7"/>
        <v>1.792144040290526</v>
      </c>
      <c r="L24" s="48">
        <v>41974</v>
      </c>
      <c r="M24" s="48">
        <f t="shared" si="5"/>
        <v>42004</v>
      </c>
      <c r="N24" s="51">
        <v>4.5528471823468397</v>
      </c>
      <c r="P24" s="22" t="s">
        <v>1927</v>
      </c>
      <c r="Q24" s="23">
        <f>DATE(YEAR(OneWeekMtgRatesDataTable75[[#This Row],[asOf]]),MONTH(OneWeekMtgRatesDataTable75[[#This Row],[asOf]]),DAY(OneWeekMtgRatesDataTable75[[#This Row],[asOf]]))</f>
        <v>42549</v>
      </c>
      <c r="R24" s="22">
        <v>3.48</v>
      </c>
      <c r="S24" s="22">
        <v>0.5</v>
      </c>
      <c r="T24" s="22">
        <v>3.355</v>
      </c>
      <c r="V24" s="48" t="s">
        <v>1923</v>
      </c>
      <c r="W24" s="48" t="s">
        <v>1832</v>
      </c>
      <c r="X24" s="51">
        <v>2.1596234413025202</v>
      </c>
      <c r="Z24" s="48" t="s">
        <v>1924</v>
      </c>
      <c r="AA24" s="51">
        <v>0.990189488205382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 t="shared" si="0"/>
        <v>4.9896715644186118</v>
      </c>
      <c r="E25" s="11">
        <f t="shared" si="1"/>
        <v>3.2649999999999997</v>
      </c>
      <c r="F25" s="85">
        <f t="shared" si="2"/>
        <v>1.7246715644186121</v>
      </c>
      <c r="G25" s="11">
        <f t="shared" si="3"/>
        <v>2.1517307112587098</v>
      </c>
      <c r="H25" s="11">
        <f t="shared" si="4"/>
        <v>1.106368019</v>
      </c>
      <c r="I25" s="11">
        <f t="shared" si="6"/>
        <v>3.2580987302587099</v>
      </c>
      <c r="J25" s="85">
        <f t="shared" si="7"/>
        <v>1.7315728341599019</v>
      </c>
      <c r="L25" s="48">
        <v>41944</v>
      </c>
      <c r="M25" s="48">
        <f t="shared" si="5"/>
        <v>41971</v>
      </c>
      <c r="N25" s="51">
        <v>4.5602421215425792</v>
      </c>
      <c r="P25" s="22" t="s">
        <v>1928</v>
      </c>
      <c r="Q25" s="23">
        <f>DATE(YEAR(OneWeekMtgRatesDataTable75[[#This Row],[asOf]]),MONTH(OneWeekMtgRatesDataTable75[[#This Row],[asOf]]),DAY(OneWeekMtgRatesDataTable75[[#This Row],[asOf]]))</f>
        <v>42548</v>
      </c>
      <c r="R25" s="22">
        <v>3.48</v>
      </c>
      <c r="S25" s="22">
        <v>0.5</v>
      </c>
      <c r="T25" s="22">
        <v>3.355</v>
      </c>
      <c r="V25" s="48" t="s">
        <v>1924</v>
      </c>
      <c r="W25" s="48" t="s">
        <v>1832</v>
      </c>
      <c r="X25" s="51">
        <v>2.2397995226071998</v>
      </c>
      <c r="Z25" s="48" t="s">
        <v>1925</v>
      </c>
      <c r="AA25" s="51">
        <v>0.990189488205382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 t="shared" si="0"/>
        <v>4.9407582426292791</v>
      </c>
      <c r="E26" s="11">
        <f t="shared" si="1"/>
        <v>3.48</v>
      </c>
      <c r="F26" s="85">
        <f t="shared" si="2"/>
        <v>1.4607582426292791</v>
      </c>
      <c r="G26" s="11">
        <f t="shared" si="3"/>
        <v>2.57376759097352</v>
      </c>
      <c r="H26" s="11">
        <f t="shared" si="4"/>
        <v>0.94516652099999998</v>
      </c>
      <c r="I26" s="11">
        <f t="shared" si="6"/>
        <v>3.51893411197352</v>
      </c>
      <c r="J26" s="85">
        <f t="shared" si="7"/>
        <v>1.4218241306557591</v>
      </c>
      <c r="L26" s="48">
        <v>41913</v>
      </c>
      <c r="M26" s="48">
        <f t="shared" si="5"/>
        <v>41943</v>
      </c>
      <c r="N26" s="51">
        <v>4.5658943906664327</v>
      </c>
      <c r="P26" s="22" t="s">
        <v>1929</v>
      </c>
      <c r="Q26" s="23">
        <f>DATE(YEAR(OneWeekMtgRatesDataTable75[[#This Row],[asOf]]),MONTH(OneWeekMtgRatesDataTable75[[#This Row],[asOf]]),DAY(OneWeekMtgRatesDataTable75[[#This Row],[asOf]]))</f>
        <v>42545</v>
      </c>
      <c r="R26" s="22">
        <v>3.48</v>
      </c>
      <c r="S26" s="22">
        <v>0.5</v>
      </c>
      <c r="T26" s="22">
        <v>3.355</v>
      </c>
      <c r="V26" s="48" t="s">
        <v>1925</v>
      </c>
      <c r="W26" s="48" t="s">
        <v>1832</v>
      </c>
      <c r="X26" s="51">
        <v>2.2474863691242</v>
      </c>
      <c r="Z26" s="48" t="s">
        <v>1926</v>
      </c>
      <c r="AA26" s="51">
        <v>0.97208037975313799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 t="shared" si="0"/>
        <v>4.892988164493576</v>
      </c>
      <c r="E27" s="11">
        <f t="shared" si="1"/>
        <v>3.4449999999999998</v>
      </c>
      <c r="F27" s="85">
        <f t="shared" si="2"/>
        <v>1.4479881644935761</v>
      </c>
      <c r="G27" s="11">
        <f t="shared" si="3"/>
        <v>2.5448374323223399</v>
      </c>
      <c r="H27" s="11">
        <f t="shared" si="4"/>
        <v>0.87581677800000002</v>
      </c>
      <c r="I27" s="11">
        <f t="shared" si="6"/>
        <v>3.4206542103223398</v>
      </c>
      <c r="J27" s="85">
        <f t="shared" si="7"/>
        <v>1.4723339541712361</v>
      </c>
      <c r="L27" s="48">
        <v>41883</v>
      </c>
      <c r="M27" s="48">
        <f t="shared" si="5"/>
        <v>41912</v>
      </c>
      <c r="N27" s="51">
        <v>4.5722568157169814</v>
      </c>
      <c r="P27" s="22" t="s">
        <v>1930</v>
      </c>
      <c r="Q27" s="23">
        <f>DATE(YEAR(OneWeekMtgRatesDataTable75[[#This Row],[asOf]]),MONTH(OneWeekMtgRatesDataTable75[[#This Row],[asOf]]),DAY(OneWeekMtgRatesDataTable75[[#This Row],[asOf]]))</f>
        <v>42544</v>
      </c>
      <c r="R27" s="22">
        <v>3.48</v>
      </c>
      <c r="S27" s="22">
        <v>0.5</v>
      </c>
      <c r="T27" s="22">
        <v>3.355</v>
      </c>
      <c r="V27" s="48" t="s">
        <v>1926</v>
      </c>
      <c r="W27" s="48" t="s">
        <v>1832</v>
      </c>
      <c r="X27" s="51">
        <v>2.2865529695176998</v>
      </c>
      <c r="Z27" s="48" t="s">
        <v>1927</v>
      </c>
      <c r="AA27" s="51">
        <v>0.97208037975313799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 t="shared" si="0"/>
        <v>#N/A</v>
      </c>
      <c r="E28" s="11">
        <f t="shared" si="1"/>
        <v>3.49</v>
      </c>
      <c r="F28" s="85" t="e">
        <f t="shared" si="2"/>
        <v>#N/A</v>
      </c>
      <c r="G28" s="11">
        <f t="shared" si="3"/>
        <v>2.6143335780898398</v>
      </c>
      <c r="H28" s="11">
        <f t="shared" si="4"/>
        <v>0.87842756300000002</v>
      </c>
      <c r="I28" s="11">
        <f t="shared" si="6"/>
        <v>3.49276114108984</v>
      </c>
      <c r="J28" s="85" t="e">
        <f t="shared" si="7"/>
        <v>#N/A</v>
      </c>
      <c r="L28" s="48">
        <v>41852</v>
      </c>
      <c r="M28" s="48">
        <f t="shared" si="5"/>
        <v>41880</v>
      </c>
      <c r="N28" s="51">
        <v>4.5792978774360824</v>
      </c>
      <c r="P28" s="22" t="s">
        <v>1931</v>
      </c>
      <c r="Q28" s="23">
        <f>DATE(YEAR(OneWeekMtgRatesDataTable75[[#This Row],[asOf]]),MONTH(OneWeekMtgRatesDataTable75[[#This Row],[asOf]]),DAY(OneWeekMtgRatesDataTable75[[#This Row],[asOf]]))</f>
        <v>42543</v>
      </c>
      <c r="R28" s="22">
        <v>3.56</v>
      </c>
      <c r="S28" s="22">
        <v>0.6</v>
      </c>
      <c r="T28" s="22">
        <v>3.46</v>
      </c>
      <c r="V28" s="48" t="s">
        <v>1927</v>
      </c>
      <c r="W28" s="48" t="s">
        <v>1832</v>
      </c>
      <c r="X28" s="51">
        <v>2.2924928729045799</v>
      </c>
      <c r="Z28" s="48" t="s">
        <v>1928</v>
      </c>
      <c r="AA28" s="51">
        <v>0.97208037975313799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 t="shared" si="0"/>
        <v>4.815479100009771</v>
      </c>
      <c r="E29" s="11">
        <f t="shared" si="1"/>
        <v>3.2749999999999999</v>
      </c>
      <c r="F29" s="85">
        <f t="shared" si="2"/>
        <v>1.5404791000097711</v>
      </c>
      <c r="G29" s="11">
        <f t="shared" si="3"/>
        <v>2.3535373905486399</v>
      </c>
      <c r="H29" s="11">
        <f t="shared" si="4"/>
        <v>0.91084602999999997</v>
      </c>
      <c r="I29" s="11">
        <f t="shared" si="6"/>
        <v>3.2643834205486399</v>
      </c>
      <c r="J29" s="85">
        <f t="shared" si="7"/>
        <v>1.551095679461131</v>
      </c>
      <c r="L29" s="48">
        <v>41821</v>
      </c>
      <c r="M29" s="48">
        <f t="shared" si="5"/>
        <v>41851</v>
      </c>
      <c r="N29" s="51">
        <v>4.5858312437735496</v>
      </c>
      <c r="P29" s="22" t="s">
        <v>1932</v>
      </c>
      <c r="Q29" s="23">
        <f>DATE(YEAR(OneWeekMtgRatesDataTable75[[#This Row],[asOf]]),MONTH(OneWeekMtgRatesDataTable75[[#This Row],[asOf]]),DAY(OneWeekMtgRatesDataTable75[[#This Row],[asOf]]))</f>
        <v>42542</v>
      </c>
      <c r="R29" s="22">
        <v>3.56</v>
      </c>
      <c r="S29" s="22">
        <v>0.6</v>
      </c>
      <c r="T29" s="22">
        <v>3.46</v>
      </c>
      <c r="V29" s="48" t="s">
        <v>1928</v>
      </c>
      <c r="W29" s="48" t="s">
        <v>1832</v>
      </c>
      <c r="X29" s="51">
        <v>2.28975271762293</v>
      </c>
      <c r="Z29" s="48" t="s">
        <v>1929</v>
      </c>
      <c r="AA29" s="51">
        <v>0.97208037975313799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 t="shared" si="0"/>
        <v>4.7738505439490275</v>
      </c>
      <c r="E30" s="11">
        <f t="shared" si="1"/>
        <v>3.835</v>
      </c>
      <c r="F30" s="85">
        <f t="shared" si="2"/>
        <v>0.93885054394902756</v>
      </c>
      <c r="G30" s="11">
        <f t="shared" si="3"/>
        <v>2.95731349620652</v>
      </c>
      <c r="H30" s="11">
        <f t="shared" si="4"/>
        <v>0.88486679899999998</v>
      </c>
      <c r="I30" s="11">
        <f t="shared" si="6"/>
        <v>3.84218029520652</v>
      </c>
      <c r="J30" s="85">
        <f t="shared" si="7"/>
        <v>0.93167024874250748</v>
      </c>
      <c r="L30" s="48">
        <v>41791</v>
      </c>
      <c r="M30" s="48">
        <f t="shared" si="5"/>
        <v>41820</v>
      </c>
      <c r="N30" s="51">
        <v>4.591883391976932</v>
      </c>
      <c r="P30" s="22" t="s">
        <v>1933</v>
      </c>
      <c r="Q30" s="23">
        <f>DATE(YEAR(OneWeekMtgRatesDataTable75[[#This Row],[asOf]]),MONTH(OneWeekMtgRatesDataTable75[[#This Row],[asOf]]),DAY(OneWeekMtgRatesDataTable75[[#This Row],[asOf]]))</f>
        <v>42541</v>
      </c>
      <c r="R30" s="22">
        <v>3.56</v>
      </c>
      <c r="S30" s="22">
        <v>0.6</v>
      </c>
      <c r="T30" s="22">
        <v>3.46</v>
      </c>
      <c r="V30" s="48" t="s">
        <v>1929</v>
      </c>
      <c r="W30" s="48" t="s">
        <v>1832</v>
      </c>
      <c r="X30" s="51">
        <v>2.42238784637689</v>
      </c>
      <c r="Z30" s="48" t="s">
        <v>1930</v>
      </c>
      <c r="AA30" s="51">
        <v>0.97208037975313799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 t="shared" si="0"/>
        <v>4.7354435589937571</v>
      </c>
      <c r="E31" s="11">
        <f t="shared" si="1"/>
        <v>4.2149999999999999</v>
      </c>
      <c r="F31" s="85">
        <f t="shared" si="2"/>
        <v>0.52044355899375727</v>
      </c>
      <c r="G31" s="11">
        <f t="shared" si="3"/>
        <v>3.3094496735702101</v>
      </c>
      <c r="H31" s="11">
        <f t="shared" si="4"/>
        <v>0.98456375299999999</v>
      </c>
      <c r="I31" s="11">
        <f t="shared" si="6"/>
        <v>4.2940134265702099</v>
      </c>
      <c r="J31" s="85">
        <f t="shared" si="7"/>
        <v>0.44143013242354723</v>
      </c>
      <c r="L31" s="48">
        <v>41760</v>
      </c>
      <c r="M31" s="48">
        <f t="shared" si="5"/>
        <v>41789</v>
      </c>
      <c r="N31" s="51">
        <v>4.5969808299056307</v>
      </c>
      <c r="P31" s="22" t="s">
        <v>1934</v>
      </c>
      <c r="Q31" s="23">
        <f>DATE(YEAR(OneWeekMtgRatesDataTable75[[#This Row],[asOf]]),MONTH(OneWeekMtgRatesDataTable75[[#This Row],[asOf]]),DAY(OneWeekMtgRatesDataTable75[[#This Row],[asOf]]))</f>
        <v>42538</v>
      </c>
      <c r="R31" s="22">
        <v>3.56</v>
      </c>
      <c r="S31" s="22">
        <v>0.6</v>
      </c>
      <c r="T31" s="22">
        <v>3.46</v>
      </c>
      <c r="V31" s="48" t="s">
        <v>1930</v>
      </c>
      <c r="W31" s="48" t="s">
        <v>1832</v>
      </c>
      <c r="X31" s="51">
        <v>2.5328661525509899</v>
      </c>
      <c r="Z31" s="48" t="s">
        <v>1931</v>
      </c>
      <c r="AA31" s="51">
        <v>0.94852570352587795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 t="shared" si="0"/>
        <v>4.6979710267704782</v>
      </c>
      <c r="E32" s="11">
        <f t="shared" si="1"/>
        <v>4.3149999999999995</v>
      </c>
      <c r="F32" s="85">
        <f t="shared" si="2"/>
        <v>0.38297102677047867</v>
      </c>
      <c r="G32" s="11">
        <f t="shared" si="3"/>
        <v>3.4095392657433901</v>
      </c>
      <c r="H32" s="11">
        <f t="shared" si="4"/>
        <v>0.89892210900000002</v>
      </c>
      <c r="I32" s="11">
        <f t="shared" si="6"/>
        <v>4.3084613747433904</v>
      </c>
      <c r="J32" s="85">
        <f t="shared" si="7"/>
        <v>0.38950965202708776</v>
      </c>
      <c r="L32" s="48">
        <v>41730</v>
      </c>
      <c r="M32" s="48">
        <f t="shared" si="5"/>
        <v>41759</v>
      </c>
      <c r="N32" s="51">
        <v>4.6020514387582372</v>
      </c>
      <c r="P32" s="22" t="s">
        <v>1935</v>
      </c>
      <c r="Q32" s="23">
        <f>DATE(YEAR(OneWeekMtgRatesDataTable75[[#This Row],[asOf]]),MONTH(OneWeekMtgRatesDataTable75[[#This Row],[asOf]]),DAY(OneWeekMtgRatesDataTable75[[#This Row],[asOf]]))</f>
        <v>42537</v>
      </c>
      <c r="R32" s="22">
        <v>3.56</v>
      </c>
      <c r="S32" s="22">
        <v>0.6</v>
      </c>
      <c r="T32" s="22">
        <v>3.46</v>
      </c>
      <c r="V32" s="48" t="s">
        <v>1931</v>
      </c>
      <c r="W32" s="48" t="s">
        <v>1832</v>
      </c>
      <c r="X32" s="51">
        <v>2.51044994669209</v>
      </c>
      <c r="Z32" s="48" t="s">
        <v>1932</v>
      </c>
      <c r="AA32" s="51">
        <v>0.94852570352587795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 t="shared" si="0"/>
        <v>4.670504005449029</v>
      </c>
      <c r="E33" s="11">
        <f t="shared" si="1"/>
        <v>4.4950000000000001</v>
      </c>
      <c r="F33" s="85">
        <f t="shared" si="2"/>
        <v>0.17550400544902889</v>
      </c>
      <c r="G33" s="11">
        <f t="shared" si="3"/>
        <v>3.5181082868119602</v>
      </c>
      <c r="H33" s="11">
        <f t="shared" si="4"/>
        <v>0.84777413199999996</v>
      </c>
      <c r="I33" s="11">
        <f t="shared" si="6"/>
        <v>4.3658824188119603</v>
      </c>
      <c r="J33" s="85">
        <f t="shared" si="7"/>
        <v>0.30462158663706873</v>
      </c>
      <c r="L33" s="48">
        <v>41699</v>
      </c>
      <c r="M33" s="48">
        <f t="shared" si="5"/>
        <v>41729</v>
      </c>
      <c r="N33" s="51">
        <v>4.6074732109581378</v>
      </c>
      <c r="P33" s="22" t="s">
        <v>1936</v>
      </c>
      <c r="Q33" s="23">
        <f>DATE(YEAR(OneWeekMtgRatesDataTable75[[#This Row],[asOf]]),MONTH(OneWeekMtgRatesDataTable75[[#This Row],[asOf]]),DAY(OneWeekMtgRatesDataTable75[[#This Row],[asOf]]))</f>
        <v>42536</v>
      </c>
      <c r="R33" s="22">
        <v>3.54</v>
      </c>
      <c r="S33" s="22">
        <v>0.5</v>
      </c>
      <c r="T33" s="22">
        <v>3.415</v>
      </c>
      <c r="V33" s="48" t="s">
        <v>1932</v>
      </c>
      <c r="W33" s="48" t="s">
        <v>1832</v>
      </c>
      <c r="X33" s="51">
        <v>2.5153297074650598</v>
      </c>
      <c r="Z33" s="48" t="s">
        <v>1933</v>
      </c>
      <c r="AA33" s="51">
        <v>0.94852570352587795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 t="shared" si="0"/>
        <v>4.653428980081042</v>
      </c>
      <c r="E34" s="11">
        <f t="shared" si="1"/>
        <v>4.1449999999999996</v>
      </c>
      <c r="F34" s="85">
        <f t="shared" si="2"/>
        <v>0.50842898008104243</v>
      </c>
      <c r="G34" s="11">
        <f t="shared" si="3"/>
        <v>3.2952489842634298</v>
      </c>
      <c r="H34" s="11">
        <f t="shared" si="4"/>
        <v>0.86603183500000003</v>
      </c>
      <c r="I34" s="11">
        <f t="shared" si="6"/>
        <v>4.1612808192634301</v>
      </c>
      <c r="J34" s="85">
        <f t="shared" si="7"/>
        <v>0.49214816081761192</v>
      </c>
      <c r="L34" s="48">
        <v>41671</v>
      </c>
      <c r="M34" s="48">
        <f t="shared" si="5"/>
        <v>41698</v>
      </c>
      <c r="N34" s="51">
        <v>4.6123161256965197</v>
      </c>
      <c r="P34" s="22" t="s">
        <v>1937</v>
      </c>
      <c r="Q34" s="23">
        <f>DATE(YEAR(OneWeekMtgRatesDataTable75[[#This Row],[asOf]]),MONTH(OneWeekMtgRatesDataTable75[[#This Row],[asOf]]),DAY(OneWeekMtgRatesDataTable75[[#This Row],[asOf]]))</f>
        <v>42535</v>
      </c>
      <c r="R34" s="22">
        <v>3.54</v>
      </c>
      <c r="S34" s="22">
        <v>0.5</v>
      </c>
      <c r="T34" s="22">
        <v>3.415</v>
      </c>
      <c r="V34" s="48" t="s">
        <v>1933</v>
      </c>
      <c r="W34" s="48" t="s">
        <v>1832</v>
      </c>
      <c r="X34" s="51">
        <v>2.50328408923819</v>
      </c>
      <c r="Z34" s="48" t="s">
        <v>1934</v>
      </c>
      <c r="AA34" s="51">
        <v>0.94852570352587795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 t="shared" si="0"/>
        <v>4.6436535921033224</v>
      </c>
      <c r="E35" s="11">
        <f t="shared" si="1"/>
        <v>4.1100000000000003</v>
      </c>
      <c r="F35" s="85">
        <f t="shared" si="2"/>
        <v>0.53365359210332208</v>
      </c>
      <c r="G35" s="11">
        <f t="shared" si="3"/>
        <v>3.1803565883984102</v>
      </c>
      <c r="H35" s="11">
        <f t="shared" si="4"/>
        <v>0.86417278799999997</v>
      </c>
      <c r="I35" s="11">
        <f t="shared" si="6"/>
        <v>4.04452937639841</v>
      </c>
      <c r="J35" s="85">
        <f t="shared" si="7"/>
        <v>0.59912421570491237</v>
      </c>
      <c r="L35" s="48">
        <v>41640</v>
      </c>
      <c r="M35" s="48">
        <f t="shared" si="5"/>
        <v>41670</v>
      </c>
      <c r="N35" s="51">
        <v>4.6181104888777318</v>
      </c>
      <c r="P35" s="22" t="s">
        <v>1938</v>
      </c>
      <c r="Q35" s="23">
        <f>DATE(YEAR(OneWeekMtgRatesDataTable75[[#This Row],[asOf]]),MONTH(OneWeekMtgRatesDataTable75[[#This Row],[asOf]]),DAY(OneWeekMtgRatesDataTable75[[#This Row],[asOf]]))</f>
        <v>42534</v>
      </c>
      <c r="R35" s="22">
        <v>3.54</v>
      </c>
      <c r="S35" s="22">
        <v>0.5</v>
      </c>
      <c r="T35" s="22">
        <v>3.415</v>
      </c>
      <c r="V35" s="48" t="s">
        <v>1934</v>
      </c>
      <c r="W35" s="48" t="s">
        <v>1832</v>
      </c>
      <c r="X35" s="51">
        <v>2.47900822312821</v>
      </c>
      <c r="Z35" s="48" t="s">
        <v>1935</v>
      </c>
      <c r="AA35" s="51">
        <v>0.94852570352587795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 t="shared" ref="D36:D67" si="8">VLOOKUP(C36,M:N,2,0)</f>
        <v>4.6346558364573793</v>
      </c>
      <c r="E36" s="11">
        <f t="shared" ref="E36:E61" si="9">VLOOKUP(C36,Q:T,4,0)</f>
        <v>4.335</v>
      </c>
      <c r="F36" s="85">
        <f t="shared" ref="F36:F62" si="10">D36-E36</f>
        <v>0.29965583645737937</v>
      </c>
      <c r="G36" s="11">
        <f t="shared" ref="G36:G68" si="11">VLOOKUP(TEXT(C36,"yyyy-mm-dd"),V:X,3,0)</f>
        <v>3.4152065149267101</v>
      </c>
      <c r="H36" s="11">
        <f t="shared" ref="H36:H68" si="12">VLOOKUP(TEXT(C36,"yyyy-mm-dd"),Z:AA,2,0)</f>
        <v>0.83041220000000004</v>
      </c>
      <c r="I36" s="11">
        <f t="shared" si="6"/>
        <v>4.2456187149267102</v>
      </c>
      <c r="J36" s="85">
        <f t="shared" si="7"/>
        <v>0.38903712153066916</v>
      </c>
      <c r="L36" s="48">
        <v>41609</v>
      </c>
      <c r="M36" s="48">
        <f t="shared" si="5"/>
        <v>41639</v>
      </c>
      <c r="N36" s="51">
        <v>4.6259751706737955</v>
      </c>
      <c r="P36" s="22" t="s">
        <v>1939</v>
      </c>
      <c r="Q36" s="23">
        <f>DATE(YEAR(OneWeekMtgRatesDataTable75[[#This Row],[asOf]]),MONTH(OneWeekMtgRatesDataTable75[[#This Row],[asOf]]),DAY(OneWeekMtgRatesDataTable75[[#This Row],[asOf]]))</f>
        <v>42531</v>
      </c>
      <c r="R36" s="22">
        <v>3.54</v>
      </c>
      <c r="S36" s="22">
        <v>0.5</v>
      </c>
      <c r="T36" s="22">
        <v>3.415</v>
      </c>
      <c r="V36" s="48" t="s">
        <v>1935</v>
      </c>
      <c r="W36" s="48" t="s">
        <v>1832</v>
      </c>
      <c r="X36" s="51">
        <v>2.4315261347107602</v>
      </c>
      <c r="Z36" s="48" t="s">
        <v>1936</v>
      </c>
      <c r="AA36" s="51">
        <v>0.95218299419774999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 t="shared" si="8"/>
        <v>4.6259751706737955</v>
      </c>
      <c r="E37" s="11">
        <f t="shared" si="9"/>
        <v>4.4800000000000004</v>
      </c>
      <c r="F37" s="85">
        <f t="shared" si="10"/>
        <v>0.14597517067379506</v>
      </c>
      <c r="G37" s="11">
        <f t="shared" si="11"/>
        <v>3.5930254960618</v>
      </c>
      <c r="H37" s="11">
        <f t="shared" si="12"/>
        <v>0.88295887900000003</v>
      </c>
      <c r="I37" s="11">
        <f t="shared" si="6"/>
        <v>4.4759843750617998</v>
      </c>
      <c r="J37" s="85">
        <f t="shared" si="7"/>
        <v>0.14999079561199569</v>
      </c>
      <c r="L37" s="48">
        <v>41579</v>
      </c>
      <c r="M37" s="48">
        <f t="shared" si="5"/>
        <v>41607</v>
      </c>
      <c r="N37" s="51">
        <v>4.6346558364573793</v>
      </c>
      <c r="P37" s="22" t="s">
        <v>1940</v>
      </c>
      <c r="Q37" s="23">
        <f>DATE(YEAR(OneWeekMtgRatesDataTable75[[#This Row],[asOf]]),MONTH(OneWeekMtgRatesDataTable75[[#This Row],[asOf]]),DAY(OneWeekMtgRatesDataTable75[[#This Row],[asOf]]))</f>
        <v>42530</v>
      </c>
      <c r="R37" s="22">
        <v>3.54</v>
      </c>
      <c r="S37" s="22">
        <v>0.5</v>
      </c>
      <c r="T37" s="22">
        <v>3.415</v>
      </c>
      <c r="V37" s="48" t="s">
        <v>1936</v>
      </c>
      <c r="W37" s="48" t="s">
        <v>1832</v>
      </c>
      <c r="X37" s="51">
        <v>2.45037012960805</v>
      </c>
      <c r="Z37" s="48" t="s">
        <v>1937</v>
      </c>
      <c r="AA37" s="51">
        <v>0.95218299419774999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 t="shared" si="8"/>
        <v>4.6181104888777318</v>
      </c>
      <c r="E38" s="11">
        <f t="shared" si="9"/>
        <v>4.1550000000000002</v>
      </c>
      <c r="F38" s="85">
        <f t="shared" si="10"/>
        <v>0.46311048887773154</v>
      </c>
      <c r="G38" s="11">
        <f t="shared" si="11"/>
        <v>3.3406752567006799</v>
      </c>
      <c r="H38" s="11">
        <f t="shared" si="12"/>
        <v>0.84322503699999996</v>
      </c>
      <c r="I38" s="11">
        <f t="shared" si="6"/>
        <v>4.1839002937006802</v>
      </c>
      <c r="J38" s="85">
        <f t="shared" si="7"/>
        <v>0.43421019517705162</v>
      </c>
      <c r="L38" s="48">
        <v>41548</v>
      </c>
      <c r="M38" s="48">
        <f t="shared" si="5"/>
        <v>41578</v>
      </c>
      <c r="N38" s="51">
        <v>4.6436535921033224</v>
      </c>
      <c r="P38" s="22" t="s">
        <v>1941</v>
      </c>
      <c r="Q38" s="23">
        <f>DATE(YEAR(OneWeekMtgRatesDataTable75[[#This Row],[asOf]]),MONTH(OneWeekMtgRatesDataTable75[[#This Row],[asOf]]),DAY(OneWeekMtgRatesDataTable75[[#This Row],[asOf]]))</f>
        <v>42529</v>
      </c>
      <c r="R38" s="22">
        <v>3.6</v>
      </c>
      <c r="S38" s="22">
        <v>0.5</v>
      </c>
      <c r="T38" s="22">
        <v>3.4750000000000001</v>
      </c>
      <c r="V38" s="48" t="s">
        <v>1937</v>
      </c>
      <c r="W38" s="48" t="s">
        <v>1832</v>
      </c>
      <c r="X38" s="51">
        <v>2.46769011076751</v>
      </c>
      <c r="Z38" s="48" t="s">
        <v>1938</v>
      </c>
      <c r="AA38" s="51">
        <v>0.95218299419774999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 t="shared" si="8"/>
        <v>4.6123161256965197</v>
      </c>
      <c r="E39" s="11">
        <f t="shared" si="9"/>
        <v>4.2050000000000001</v>
      </c>
      <c r="F39" s="85">
        <f t="shared" si="10"/>
        <v>0.40731612569651965</v>
      </c>
      <c r="G39" s="11">
        <f t="shared" si="11"/>
        <v>3.3514861848067001</v>
      </c>
      <c r="H39" s="11">
        <f t="shared" si="12"/>
        <v>0.88844338899999997</v>
      </c>
      <c r="I39" s="11">
        <f t="shared" si="6"/>
        <v>4.2399295738067</v>
      </c>
      <c r="J39" s="85">
        <f t="shared" si="7"/>
        <v>0.37238655188981973</v>
      </c>
      <c r="L39" s="48">
        <v>41518</v>
      </c>
      <c r="M39" s="48">
        <f t="shared" si="5"/>
        <v>41547</v>
      </c>
      <c r="N39" s="51">
        <v>4.653428980081042</v>
      </c>
      <c r="P39" s="22" t="s">
        <v>1942</v>
      </c>
      <c r="Q39" s="23">
        <f>DATE(YEAR(OneWeekMtgRatesDataTable75[[#This Row],[asOf]]),MONTH(OneWeekMtgRatesDataTable75[[#This Row],[asOf]]),DAY(OneWeekMtgRatesDataTable75[[#This Row],[asOf]]))</f>
        <v>42528</v>
      </c>
      <c r="R39" s="22">
        <v>3.6</v>
      </c>
      <c r="S39" s="22">
        <v>0.5</v>
      </c>
      <c r="T39" s="22">
        <v>3.4750000000000001</v>
      </c>
      <c r="V39" s="48" t="s">
        <v>1938</v>
      </c>
      <c r="W39" s="48" t="s">
        <v>1832</v>
      </c>
      <c r="X39" s="51">
        <v>2.45908468763596</v>
      </c>
      <c r="Z39" s="48" t="s">
        <v>1939</v>
      </c>
      <c r="AA39" s="51">
        <v>0.95218299419774999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 t="shared" si="8"/>
        <v>4.6074732109581378</v>
      </c>
      <c r="E40" s="11">
        <f t="shared" si="9"/>
        <v>4.335</v>
      </c>
      <c r="F40" s="85">
        <f t="shared" si="10"/>
        <v>0.27247321095813781</v>
      </c>
      <c r="G40" s="11">
        <f t="shared" si="11"/>
        <v>3.44685935064701</v>
      </c>
      <c r="H40" s="11">
        <f t="shared" si="12"/>
        <v>0.84709182999999999</v>
      </c>
      <c r="I40" s="11">
        <f t="shared" si="6"/>
        <v>4.2939511806470101</v>
      </c>
      <c r="J40" s="85">
        <f t="shared" si="7"/>
        <v>0.31352203031112769</v>
      </c>
      <c r="L40" s="48">
        <v>41487</v>
      </c>
      <c r="M40" s="48">
        <f t="shared" si="5"/>
        <v>41516</v>
      </c>
      <c r="N40" s="51">
        <v>4.670504005449029</v>
      </c>
      <c r="P40" s="22" t="s">
        <v>1943</v>
      </c>
      <c r="Q40" s="23">
        <f>DATE(YEAR(OneWeekMtgRatesDataTable75[[#This Row],[asOf]]),MONTH(OneWeekMtgRatesDataTable75[[#This Row],[asOf]]),DAY(OneWeekMtgRatesDataTable75[[#This Row],[asOf]]))</f>
        <v>42527</v>
      </c>
      <c r="R40" s="22">
        <v>3.6</v>
      </c>
      <c r="S40" s="22">
        <v>0.5</v>
      </c>
      <c r="T40" s="22">
        <v>3.4750000000000001</v>
      </c>
      <c r="V40" s="48" t="s">
        <v>1939</v>
      </c>
      <c r="W40" s="48" t="s">
        <v>1832</v>
      </c>
      <c r="X40" s="51">
        <v>2.4694934611032302</v>
      </c>
      <c r="Z40" s="48" t="s">
        <v>1940</v>
      </c>
      <c r="AA40" s="51">
        <v>0.95218299419774999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 t="shared" si="8"/>
        <v>4.6020514387582372</v>
      </c>
      <c r="E41" s="11">
        <f t="shared" si="9"/>
        <v>4.2149999999999999</v>
      </c>
      <c r="F41" s="85">
        <f t="shared" si="10"/>
        <v>0.38705143875823733</v>
      </c>
      <c r="G41" s="11">
        <f t="shared" si="11"/>
        <v>3.3274269650204</v>
      </c>
      <c r="H41" s="11">
        <f t="shared" si="12"/>
        <v>0.86267006199999996</v>
      </c>
      <c r="I41" s="11">
        <f t="shared" si="6"/>
        <v>4.1900970270203999</v>
      </c>
      <c r="J41" s="85">
        <f t="shared" si="7"/>
        <v>0.41195441173783731</v>
      </c>
      <c r="L41" s="48">
        <v>41456</v>
      </c>
      <c r="M41" s="48">
        <f t="shared" si="5"/>
        <v>41486</v>
      </c>
      <c r="N41" s="51">
        <v>4.6979710267704782</v>
      </c>
      <c r="P41" s="22" t="s">
        <v>1944</v>
      </c>
      <c r="Q41" s="23">
        <f>DATE(YEAR(OneWeekMtgRatesDataTable75[[#This Row],[asOf]]),MONTH(OneWeekMtgRatesDataTable75[[#This Row],[asOf]]),DAY(OneWeekMtgRatesDataTable75[[#This Row],[asOf]]))</f>
        <v>42524</v>
      </c>
      <c r="R41" s="22">
        <v>3.6</v>
      </c>
      <c r="S41" s="22">
        <v>0.5</v>
      </c>
      <c r="T41" s="22">
        <v>3.4750000000000001</v>
      </c>
      <c r="V41" s="48" t="s">
        <v>1940</v>
      </c>
      <c r="W41" s="48" t="s">
        <v>1832</v>
      </c>
      <c r="X41" s="51">
        <v>2.4857330932558601</v>
      </c>
      <c r="Z41" s="48" t="s">
        <v>1941</v>
      </c>
      <c r="AA41" s="51">
        <v>0.935198562926013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 t="shared" si="8"/>
        <v>4.5969808299056307</v>
      </c>
      <c r="E42" s="11">
        <f t="shared" si="9"/>
        <v>4.0149999999999997</v>
      </c>
      <c r="F42" s="85">
        <f t="shared" si="10"/>
        <v>0.58198082990563105</v>
      </c>
      <c r="G42" s="11">
        <f t="shared" si="11"/>
        <v>3.1327170492887499</v>
      </c>
      <c r="H42" s="11">
        <f t="shared" si="12"/>
        <v>0.844091288</v>
      </c>
      <c r="I42" s="11">
        <f t="shared" si="6"/>
        <v>3.9768083372887499</v>
      </c>
      <c r="J42" s="85">
        <f t="shared" si="7"/>
        <v>0.62017249261688079</v>
      </c>
      <c r="L42" s="48">
        <v>41426</v>
      </c>
      <c r="M42" s="48">
        <f t="shared" si="5"/>
        <v>41453</v>
      </c>
      <c r="N42" s="51">
        <v>4.7354435589937571</v>
      </c>
      <c r="P42" s="22" t="s">
        <v>1945</v>
      </c>
      <c r="Q42" s="23">
        <f>DATE(YEAR(OneWeekMtgRatesDataTable75[[#This Row],[asOf]]),MONTH(OneWeekMtgRatesDataTable75[[#This Row],[asOf]]),DAY(OneWeekMtgRatesDataTable75[[#This Row],[asOf]]))</f>
        <v>42523</v>
      </c>
      <c r="R42" s="22">
        <v>3.6</v>
      </c>
      <c r="S42" s="22">
        <v>0.5</v>
      </c>
      <c r="T42" s="22">
        <v>3.4750000000000001</v>
      </c>
      <c r="V42" s="48" t="s">
        <v>1941</v>
      </c>
      <c r="W42" s="48" t="s">
        <v>1832</v>
      </c>
      <c r="X42" s="51">
        <v>2.5005077726390401</v>
      </c>
      <c r="Z42" s="48" t="s">
        <v>1942</v>
      </c>
      <c r="AA42" s="51">
        <v>0.935198562926013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 t="shared" si="8"/>
        <v>4.591883391976932</v>
      </c>
      <c r="E43" s="11">
        <f t="shared" si="9"/>
        <v>3.9950000000000001</v>
      </c>
      <c r="F43" s="85">
        <f t="shared" si="10"/>
        <v>0.59688339197693185</v>
      </c>
      <c r="G43" s="11">
        <f t="shared" si="11"/>
        <v>3.16005861973392</v>
      </c>
      <c r="H43" s="11">
        <f t="shared" si="12"/>
        <v>0.78812707400000004</v>
      </c>
      <c r="I43" s="11">
        <f t="shared" si="6"/>
        <v>3.9481856937339201</v>
      </c>
      <c r="J43" s="85">
        <f t="shared" si="7"/>
        <v>0.64369769824301182</v>
      </c>
      <c r="L43" s="48">
        <v>41395</v>
      </c>
      <c r="M43" s="48">
        <f t="shared" si="5"/>
        <v>41425</v>
      </c>
      <c r="N43" s="51">
        <v>4.7738505439490275</v>
      </c>
      <c r="P43" s="22" t="s">
        <v>1903</v>
      </c>
      <c r="Q43" s="23">
        <f>DATE(YEAR(OneWeekMtgRatesDataTable75[[#This Row],[asOf]]),MONTH(OneWeekMtgRatesDataTable75[[#This Row],[asOf]]),DAY(OneWeekMtgRatesDataTable75[[#This Row],[asOf]]))</f>
        <v>42522</v>
      </c>
      <c r="R43" s="22">
        <v>3.66</v>
      </c>
      <c r="S43" s="22">
        <v>0.5</v>
      </c>
      <c r="T43" s="22">
        <v>3.5350000000000001</v>
      </c>
      <c r="V43" s="48" t="s">
        <v>1942</v>
      </c>
      <c r="W43" s="48" t="s">
        <v>1832</v>
      </c>
      <c r="X43" s="51">
        <v>2.5084011199927301</v>
      </c>
      <c r="Z43" s="48" t="s">
        <v>1943</v>
      </c>
      <c r="AA43" s="51">
        <v>0.935198562926013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 t="shared" si="8"/>
        <v>4.5858312437735496</v>
      </c>
      <c r="E44" s="11">
        <f t="shared" si="9"/>
        <v>4.0649999999999995</v>
      </c>
      <c r="F44" s="85">
        <f t="shared" si="10"/>
        <v>0.52083124377355006</v>
      </c>
      <c r="G44" s="11">
        <f t="shared" si="11"/>
        <v>3.2761065930147799</v>
      </c>
      <c r="H44" s="11">
        <f t="shared" si="12"/>
        <v>0.80388311499999998</v>
      </c>
      <c r="I44" s="11">
        <f t="shared" si="6"/>
        <v>4.0799897080147796</v>
      </c>
      <c r="J44" s="85">
        <f t="shared" si="7"/>
        <v>0.50584153575877</v>
      </c>
      <c r="L44" s="48">
        <v>41365</v>
      </c>
      <c r="M44" s="48">
        <f t="shared" si="5"/>
        <v>41394</v>
      </c>
      <c r="N44" s="51">
        <v>4.815479100009771</v>
      </c>
      <c r="P44" s="22" t="s">
        <v>1904</v>
      </c>
      <c r="Q44" s="23">
        <f>DATE(YEAR(OneWeekMtgRatesDataTable75[[#This Row],[asOf]]),MONTH(OneWeekMtgRatesDataTable75[[#This Row],[asOf]]),DAY(OneWeekMtgRatesDataTable75[[#This Row],[asOf]]))</f>
        <v>42521</v>
      </c>
      <c r="R44" s="22">
        <v>3.66</v>
      </c>
      <c r="S44" s="22">
        <v>0.5</v>
      </c>
      <c r="T44" s="22">
        <v>3.5350000000000001</v>
      </c>
      <c r="V44" s="48" t="s">
        <v>1943</v>
      </c>
      <c r="W44" s="48" t="s">
        <v>1832</v>
      </c>
      <c r="X44" s="51">
        <v>2.50890733570674</v>
      </c>
      <c r="Z44" s="48" t="s">
        <v>1944</v>
      </c>
      <c r="AA44" s="51">
        <v>0.935198562926013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 t="shared" si="8"/>
        <v>4.5792978774360824</v>
      </c>
      <c r="E45" s="11">
        <f t="shared" si="9"/>
        <v>3.9749999999999996</v>
      </c>
      <c r="F45" s="85">
        <f t="shared" si="10"/>
        <v>0.60429787743608276</v>
      </c>
      <c r="G45" s="11">
        <f t="shared" si="11"/>
        <v>3.0803371977218901</v>
      </c>
      <c r="H45" s="11">
        <f t="shared" si="12"/>
        <v>0.840106468</v>
      </c>
      <c r="I45" s="11">
        <f t="shared" si="6"/>
        <v>3.9204436657218902</v>
      </c>
      <c r="J45" s="85">
        <f t="shared" si="7"/>
        <v>0.65885421171419223</v>
      </c>
      <c r="L45" s="48">
        <v>41334</v>
      </c>
      <c r="M45" s="48">
        <f t="shared" si="5"/>
        <v>41362</v>
      </c>
      <c r="N45" s="51">
        <v>4.8553417742290383</v>
      </c>
      <c r="P45" s="22" t="s">
        <v>1905</v>
      </c>
      <c r="Q45" s="23">
        <f>DATE(YEAR(OneWeekMtgRatesDataTable75[[#This Row],[asOf]]),MONTH(OneWeekMtgRatesDataTable75[[#This Row],[asOf]]),DAY(OneWeekMtgRatesDataTable75[[#This Row],[asOf]]))</f>
        <v>42517</v>
      </c>
      <c r="R45" s="22">
        <v>3.66</v>
      </c>
      <c r="S45" s="22">
        <v>0.5</v>
      </c>
      <c r="T45" s="22">
        <v>3.5350000000000001</v>
      </c>
      <c r="V45" s="48" t="s">
        <v>1944</v>
      </c>
      <c r="W45" s="48" t="s">
        <v>1832</v>
      </c>
      <c r="X45" s="51">
        <v>2.50110738001568</v>
      </c>
      <c r="Z45" s="48" t="s">
        <v>1945</v>
      </c>
      <c r="AA45" s="51">
        <v>0.935198562926013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 t="shared" si="8"/>
        <v>4.5722568157169814</v>
      </c>
      <c r="E46" s="11">
        <f t="shared" si="9"/>
        <v>4.04</v>
      </c>
      <c r="F46" s="85">
        <f t="shared" si="10"/>
        <v>0.53225681571698136</v>
      </c>
      <c r="G46" s="11">
        <f t="shared" si="11"/>
        <v>3.2078957125058598</v>
      </c>
      <c r="H46" s="11">
        <f t="shared" si="12"/>
        <v>0.82472958799999996</v>
      </c>
      <c r="I46" s="11">
        <f t="shared" si="6"/>
        <v>4.0326253005058597</v>
      </c>
      <c r="J46" s="85">
        <f t="shared" si="7"/>
        <v>0.53963151521112174</v>
      </c>
      <c r="L46" s="48">
        <v>41306</v>
      </c>
      <c r="M46" s="48">
        <f t="shared" si="5"/>
        <v>41333</v>
      </c>
      <c r="N46" s="51">
        <v>4.892988164493576</v>
      </c>
      <c r="P46" s="22" t="s">
        <v>1906</v>
      </c>
      <c r="Q46" s="23">
        <f>DATE(YEAR(OneWeekMtgRatesDataTable75[[#This Row],[asOf]]),MONTH(OneWeekMtgRatesDataTable75[[#This Row],[asOf]]),DAY(OneWeekMtgRatesDataTable75[[#This Row],[asOf]]))</f>
        <v>42516</v>
      </c>
      <c r="R46" s="22">
        <v>3.66</v>
      </c>
      <c r="S46" s="22">
        <v>0.5</v>
      </c>
      <c r="T46" s="22">
        <v>3.5350000000000001</v>
      </c>
      <c r="V46" s="48" t="s">
        <v>1945</v>
      </c>
      <c r="W46" s="48" t="s">
        <v>1832</v>
      </c>
      <c r="X46" s="51">
        <v>2.5951614206570599</v>
      </c>
      <c r="Z46" s="48" t="s">
        <v>1903</v>
      </c>
      <c r="AA46" s="51">
        <v>0.89462225309558796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 t="shared" si="8"/>
        <v>4.5658943906664327</v>
      </c>
      <c r="E47" s="11">
        <f t="shared" si="9"/>
        <v>3.8949999999999996</v>
      </c>
      <c r="F47" s="85">
        <f t="shared" si="10"/>
        <v>0.67089439066643308</v>
      </c>
      <c r="G47" s="11">
        <f t="shared" si="11"/>
        <v>3.0097405474457601</v>
      </c>
      <c r="H47" s="11">
        <f t="shared" si="12"/>
        <v>0.88359443299999996</v>
      </c>
      <c r="I47" s="11">
        <f t="shared" si="6"/>
        <v>3.89333498044576</v>
      </c>
      <c r="J47" s="85">
        <f t="shared" si="7"/>
        <v>0.67255941022067267</v>
      </c>
      <c r="L47" s="48">
        <v>41275</v>
      </c>
      <c r="M47" s="48">
        <f t="shared" si="5"/>
        <v>41305</v>
      </c>
      <c r="N47" s="51">
        <v>4.9407582426292791</v>
      </c>
      <c r="P47" s="22" t="s">
        <v>1907</v>
      </c>
      <c r="Q47" s="23">
        <f>DATE(YEAR(OneWeekMtgRatesDataTable75[[#This Row],[asOf]]),MONTH(OneWeekMtgRatesDataTable75[[#This Row],[asOf]]),DAY(OneWeekMtgRatesDataTable75[[#This Row],[asOf]]))</f>
        <v>42515</v>
      </c>
      <c r="R47" s="22">
        <v>3.64</v>
      </c>
      <c r="S47" s="22">
        <v>0.5</v>
      </c>
      <c r="T47" s="22">
        <v>3.5150000000000001</v>
      </c>
      <c r="V47" s="48" t="s">
        <v>1903</v>
      </c>
      <c r="W47" s="48" t="s">
        <v>1832</v>
      </c>
      <c r="X47" s="51">
        <v>2.6061508171936398</v>
      </c>
      <c r="Z47" s="48" t="s">
        <v>1904</v>
      </c>
      <c r="AA47" s="51">
        <v>0.89462225309558796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 t="shared" si="8"/>
        <v>4.5602421215425792</v>
      </c>
      <c r="E48" s="11">
        <f t="shared" si="9"/>
        <v>3.7650000000000001</v>
      </c>
      <c r="F48" s="85">
        <f t="shared" si="10"/>
        <v>0.79524212154257912</v>
      </c>
      <c r="G48" s="11">
        <f t="shared" si="11"/>
        <v>2.84568526355815</v>
      </c>
      <c r="H48" s="11">
        <f t="shared" si="12"/>
        <v>0.90826415400000005</v>
      </c>
      <c r="I48" s="11">
        <f t="shared" si="6"/>
        <v>3.7539494175581503</v>
      </c>
      <c r="J48" s="85">
        <f t="shared" si="7"/>
        <v>0.80629270398442898</v>
      </c>
      <c r="L48" s="48">
        <v>41244</v>
      </c>
      <c r="M48" s="48">
        <f t="shared" si="5"/>
        <v>41274</v>
      </c>
      <c r="N48" s="51">
        <v>4.9896715644186118</v>
      </c>
      <c r="P48" s="22" t="s">
        <v>1908</v>
      </c>
      <c r="Q48" s="23">
        <f>DATE(YEAR(OneWeekMtgRatesDataTable75[[#This Row],[asOf]]),MONTH(OneWeekMtgRatesDataTable75[[#This Row],[asOf]]),DAY(OneWeekMtgRatesDataTable75[[#This Row],[asOf]]))</f>
        <v>42514</v>
      </c>
      <c r="R48" s="22">
        <v>3.64</v>
      </c>
      <c r="S48" s="22">
        <v>0.5</v>
      </c>
      <c r="T48" s="22">
        <v>3.5150000000000001</v>
      </c>
      <c r="V48" s="48" t="s">
        <v>1904</v>
      </c>
      <c r="W48" s="48" t="s">
        <v>1832</v>
      </c>
      <c r="X48" s="51">
        <v>2.5912536258674699</v>
      </c>
      <c r="Z48" s="48" t="s">
        <v>1905</v>
      </c>
      <c r="AA48" s="51">
        <v>0.89462225309558796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 t="shared" si="8"/>
        <v>4.5528471823468397</v>
      </c>
      <c r="E49" s="11">
        <f t="shared" si="9"/>
        <v>3.77</v>
      </c>
      <c r="F49" s="85">
        <f t="shared" si="10"/>
        <v>0.7828471823468397</v>
      </c>
      <c r="G49" s="11">
        <f t="shared" si="11"/>
        <v>2.8338661414623698</v>
      </c>
      <c r="H49" s="11">
        <f t="shared" si="12"/>
        <v>0.91047831099999998</v>
      </c>
      <c r="I49" s="11">
        <f t="shared" si="6"/>
        <v>3.7443444524623697</v>
      </c>
      <c r="J49" s="85">
        <f t="shared" si="7"/>
        <v>0.80850272988447003</v>
      </c>
      <c r="L49" s="48">
        <v>41214</v>
      </c>
      <c r="M49" s="48">
        <f t="shared" si="5"/>
        <v>41243</v>
      </c>
      <c r="N49" s="51">
        <v>5.0273809883485558</v>
      </c>
      <c r="P49" s="22" t="s">
        <v>1909</v>
      </c>
      <c r="Q49" s="23">
        <f>DATE(YEAR(OneWeekMtgRatesDataTable75[[#This Row],[asOf]]),MONTH(OneWeekMtgRatesDataTable75[[#This Row],[asOf]]),DAY(OneWeekMtgRatesDataTable75[[#This Row],[asOf]]))</f>
        <v>42513</v>
      </c>
      <c r="R49" s="22">
        <v>3.64</v>
      </c>
      <c r="S49" s="22">
        <v>0.5</v>
      </c>
      <c r="T49" s="22">
        <v>3.5150000000000001</v>
      </c>
      <c r="V49" s="48" t="s">
        <v>1905</v>
      </c>
      <c r="W49" s="48" t="s">
        <v>1832</v>
      </c>
      <c r="X49" s="51">
        <v>2.6025934291599802</v>
      </c>
      <c r="Z49" s="48" t="s">
        <v>1906</v>
      </c>
      <c r="AA49" s="51">
        <v>0.89462225309558796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 t="shared" si="8"/>
        <v>4.5446755242495449</v>
      </c>
      <c r="E50" s="11">
        <f t="shared" si="9"/>
        <v>3.5149999999999997</v>
      </c>
      <c r="F50" s="85">
        <f t="shared" si="10"/>
        <v>1.0296755242495452</v>
      </c>
      <c r="G50" s="11">
        <f t="shared" si="11"/>
        <v>2.4526687901347302</v>
      </c>
      <c r="H50" s="11">
        <f t="shared" si="12"/>
        <v>0.98490012900000001</v>
      </c>
      <c r="I50" s="11">
        <f t="shared" si="6"/>
        <v>3.4375689191347303</v>
      </c>
      <c r="J50" s="85">
        <f t="shared" si="7"/>
        <v>1.1071066051148146</v>
      </c>
      <c r="L50" s="48">
        <v>41183</v>
      </c>
      <c r="M50" s="48">
        <f t="shared" si="5"/>
        <v>41213</v>
      </c>
      <c r="N50" s="51">
        <v>5.0870014693775971</v>
      </c>
      <c r="P50" s="22" t="s">
        <v>1910</v>
      </c>
      <c r="Q50" s="23">
        <f>DATE(YEAR(OneWeekMtgRatesDataTable75[[#This Row],[asOf]]),MONTH(OneWeekMtgRatesDataTable75[[#This Row],[asOf]]),DAY(OneWeekMtgRatesDataTable75[[#This Row],[asOf]]))</f>
        <v>42510</v>
      </c>
      <c r="R50" s="22">
        <v>3.64</v>
      </c>
      <c r="S50" s="22">
        <v>0.5</v>
      </c>
      <c r="T50" s="22">
        <v>3.5150000000000001</v>
      </c>
      <c r="V50" s="48" t="s">
        <v>1906</v>
      </c>
      <c r="W50" s="48" t="s">
        <v>1832</v>
      </c>
      <c r="X50" s="51">
        <v>2.59920787607486</v>
      </c>
      <c r="Z50" s="48" t="s">
        <v>1907</v>
      </c>
      <c r="AA50" s="51">
        <v>0.93137135924501602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 t="shared" si="8"/>
        <v>4.5361865866627618</v>
      </c>
      <c r="E51" s="11">
        <f t="shared" si="9"/>
        <v>3.65</v>
      </c>
      <c r="F51" s="85">
        <f t="shared" si="10"/>
        <v>0.88618658666276184</v>
      </c>
      <c r="G51" s="11">
        <f t="shared" si="11"/>
        <v>2.7365985708724101</v>
      </c>
      <c r="H51" s="11">
        <f t="shared" si="12"/>
        <v>0.90845864499999995</v>
      </c>
      <c r="I51" s="11">
        <f t="shared" si="6"/>
        <v>3.6450572158724102</v>
      </c>
      <c r="J51" s="85">
        <f t="shared" si="7"/>
        <v>0.89112937079035159</v>
      </c>
      <c r="L51" s="48">
        <v>41153</v>
      </c>
      <c r="M51" s="48">
        <f t="shared" si="5"/>
        <v>41180</v>
      </c>
      <c r="N51" s="51">
        <v>5.118001129913873</v>
      </c>
      <c r="P51" s="22" t="s">
        <v>1911</v>
      </c>
      <c r="Q51" s="23">
        <f>DATE(YEAR(OneWeekMtgRatesDataTable75[[#This Row],[asOf]]),MONTH(OneWeekMtgRatesDataTable75[[#This Row],[asOf]]),DAY(OneWeekMtgRatesDataTable75[[#This Row],[asOf]]))</f>
        <v>42509</v>
      </c>
      <c r="R51" s="22">
        <v>3.64</v>
      </c>
      <c r="S51" s="22">
        <v>0.5</v>
      </c>
      <c r="T51" s="22">
        <v>3.5150000000000001</v>
      </c>
      <c r="V51" s="48" t="s">
        <v>1907</v>
      </c>
      <c r="W51" s="48" t="s">
        <v>1832</v>
      </c>
      <c r="X51" s="51">
        <v>2.6451164330337602</v>
      </c>
      <c r="Z51" s="48" t="s">
        <v>1908</v>
      </c>
      <c r="AA51" s="51">
        <v>0.93137135924501602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 t="shared" si="8"/>
        <v>4.5238127948380651</v>
      </c>
      <c r="E52" s="75">
        <f t="shared" si="9"/>
        <v>3.6</v>
      </c>
      <c r="F52" s="86">
        <f t="shared" si="10"/>
        <v>0.923812794838065</v>
      </c>
      <c r="G52" s="75">
        <f t="shared" si="11"/>
        <v>2.66103516127894</v>
      </c>
      <c r="H52" s="75">
        <f t="shared" si="12"/>
        <v>0.92742898200000001</v>
      </c>
      <c r="I52" s="75">
        <f t="shared" si="6"/>
        <v>3.5884641432789399</v>
      </c>
      <c r="J52" s="86">
        <f t="shared" si="7"/>
        <v>0.93534865155912517</v>
      </c>
      <c r="L52" s="48">
        <v>41122</v>
      </c>
      <c r="M52" s="48">
        <f t="shared" si="5"/>
        <v>41152</v>
      </c>
      <c r="N52" s="51">
        <v>5.1603138017448087</v>
      </c>
      <c r="P52" s="22" t="s">
        <v>1912</v>
      </c>
      <c r="Q52" s="23">
        <f>DATE(YEAR(OneWeekMtgRatesDataTable75[[#This Row],[asOf]]),MONTH(OneWeekMtgRatesDataTable75[[#This Row],[asOf]]),DAY(OneWeekMtgRatesDataTable75[[#This Row],[asOf]]))</f>
        <v>42508</v>
      </c>
      <c r="R52" s="22">
        <v>3.58</v>
      </c>
      <c r="S52" s="22">
        <v>0.6</v>
      </c>
      <c r="T52" s="22">
        <v>3.48</v>
      </c>
      <c r="V52" s="48" t="s">
        <v>1908</v>
      </c>
      <c r="W52" s="48" t="s">
        <v>1832</v>
      </c>
      <c r="X52" s="51">
        <v>2.6240146186215201</v>
      </c>
      <c r="Z52" s="48" t="s">
        <v>1909</v>
      </c>
      <c r="AA52" s="51">
        <v>0.93137135924501602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 t="shared" si="8"/>
        <v>4.5097670103927436</v>
      </c>
      <c r="E53" s="11">
        <f t="shared" si="9"/>
        <v>3.6999999999999997</v>
      </c>
      <c r="F53" s="85">
        <f t="shared" si="10"/>
        <v>0.8097670103927439</v>
      </c>
      <c r="G53" s="11">
        <f t="shared" si="11"/>
        <v>2.7480147229669498</v>
      </c>
      <c r="H53" s="11">
        <f t="shared" si="12"/>
        <v>0.90490640499999997</v>
      </c>
      <c r="I53" s="11">
        <f t="shared" si="6"/>
        <v>3.65292112796695</v>
      </c>
      <c r="J53" s="85">
        <f t="shared" si="7"/>
        <v>0.85684588242579363</v>
      </c>
      <c r="L53" s="48">
        <v>41091</v>
      </c>
      <c r="M53" s="48">
        <f t="shared" si="5"/>
        <v>41121</v>
      </c>
      <c r="N53" s="51">
        <v>5.199668792529347</v>
      </c>
      <c r="P53" s="22" t="s">
        <v>1913</v>
      </c>
      <c r="Q53" s="23">
        <f>DATE(YEAR(OneWeekMtgRatesDataTable75[[#This Row],[asOf]]),MONTH(OneWeekMtgRatesDataTable75[[#This Row],[asOf]]),DAY(OneWeekMtgRatesDataTable75[[#This Row],[asOf]]))</f>
        <v>42507</v>
      </c>
      <c r="R53" s="22">
        <v>3.58</v>
      </c>
      <c r="S53" s="22">
        <v>0.6</v>
      </c>
      <c r="T53" s="22">
        <v>3.48</v>
      </c>
      <c r="V53" s="48" t="s">
        <v>1909</v>
      </c>
      <c r="W53" s="48" t="s">
        <v>1832</v>
      </c>
      <c r="X53" s="51">
        <v>2.6073788484172402</v>
      </c>
      <c r="Z53" s="48" t="s">
        <v>1910</v>
      </c>
      <c r="AA53" s="51">
        <v>0.93137135924501602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 t="shared" si="8"/>
        <v>4.4974583076521073</v>
      </c>
      <c r="E54" s="11">
        <f t="shared" si="9"/>
        <v>3.77</v>
      </c>
      <c r="F54" s="85">
        <f t="shared" si="10"/>
        <v>0.72745830765210728</v>
      </c>
      <c r="G54" s="11">
        <f t="shared" si="11"/>
        <v>2.8125589424365498</v>
      </c>
      <c r="H54" s="11">
        <f t="shared" si="12"/>
        <v>0.90809149199999994</v>
      </c>
      <c r="I54" s="11">
        <f t="shared" si="6"/>
        <v>3.7206504344365499</v>
      </c>
      <c r="J54" s="85">
        <f t="shared" si="7"/>
        <v>0.77680787321555744</v>
      </c>
      <c r="L54" s="48">
        <v>41061</v>
      </c>
      <c r="M54" s="48">
        <f t="shared" si="5"/>
        <v>41089</v>
      </c>
      <c r="N54" s="51">
        <v>5.2343159846207774</v>
      </c>
      <c r="P54" s="22" t="s">
        <v>1914</v>
      </c>
      <c r="Q54" s="23">
        <f>DATE(YEAR(OneWeekMtgRatesDataTable75[[#This Row],[asOf]]),MONTH(OneWeekMtgRatesDataTable75[[#This Row],[asOf]]),DAY(OneWeekMtgRatesDataTable75[[#This Row],[asOf]]))</f>
        <v>42506</v>
      </c>
      <c r="R54" s="22">
        <v>3.58</v>
      </c>
      <c r="S54" s="22">
        <v>0.6</v>
      </c>
      <c r="T54" s="22">
        <v>3.48</v>
      </c>
      <c r="V54" s="48" t="s">
        <v>1910</v>
      </c>
      <c r="W54" s="48" t="s">
        <v>1832</v>
      </c>
      <c r="X54" s="51">
        <v>2.6144990771795702</v>
      </c>
      <c r="Z54" s="48" t="s">
        <v>1911</v>
      </c>
      <c r="AA54" s="51">
        <v>0.93137135924501602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 t="shared" si="8"/>
        <v>4.4856325651762248</v>
      </c>
      <c r="E55" s="11">
        <f t="shared" si="9"/>
        <v>3.98</v>
      </c>
      <c r="F55" s="85">
        <f t="shared" si="10"/>
        <v>0.50563256517622479</v>
      </c>
      <c r="G55" s="11">
        <f t="shared" si="11"/>
        <v>3.0732804432921599</v>
      </c>
      <c r="H55" s="11">
        <f t="shared" si="12"/>
        <v>0.88133173300000001</v>
      </c>
      <c r="I55" s="11">
        <f t="shared" si="6"/>
        <v>3.95461217629216</v>
      </c>
      <c r="J55" s="85">
        <f t="shared" si="7"/>
        <v>0.53102038888406478</v>
      </c>
      <c r="L55" s="48">
        <v>41030</v>
      </c>
      <c r="M55" s="48">
        <f t="shared" si="5"/>
        <v>41060</v>
      </c>
      <c r="N55" s="51">
        <v>5.262915701300007</v>
      </c>
      <c r="P55" s="22" t="s">
        <v>1915</v>
      </c>
      <c r="Q55" s="23">
        <f>DATE(YEAR(OneWeekMtgRatesDataTable75[[#This Row],[asOf]]),MONTH(OneWeekMtgRatesDataTable75[[#This Row],[asOf]]),DAY(OneWeekMtgRatesDataTable75[[#This Row],[asOf]]))</f>
        <v>42503</v>
      </c>
      <c r="R55" s="22">
        <v>3.58</v>
      </c>
      <c r="S55" s="22">
        <v>0.6</v>
      </c>
      <c r="T55" s="22">
        <v>3.48</v>
      </c>
      <c r="V55" s="48" t="s">
        <v>1911</v>
      </c>
      <c r="W55" s="48" t="s">
        <v>1832</v>
      </c>
      <c r="X55" s="51">
        <v>2.61087975726997</v>
      </c>
      <c r="Z55" s="48" t="s">
        <v>1912</v>
      </c>
      <c r="AA55" s="51">
        <v>0.93139308523528397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 t="shared" si="8"/>
        <v>4.4745634645923493</v>
      </c>
      <c r="E56" s="11">
        <f t="shared" si="9"/>
        <v>3.81</v>
      </c>
      <c r="F56" s="85">
        <f t="shared" si="10"/>
        <v>0.66456346459234927</v>
      </c>
      <c r="G56" s="11">
        <f t="shared" si="11"/>
        <v>2.9155081259623699</v>
      </c>
      <c r="H56" s="11">
        <f t="shared" si="12"/>
        <v>0.88950843400000001</v>
      </c>
      <c r="I56" s="11">
        <f t="shared" si="6"/>
        <v>3.80501655996237</v>
      </c>
      <c r="J56" s="85">
        <f t="shared" si="7"/>
        <v>0.66954690462997934</v>
      </c>
      <c r="L56" s="48">
        <v>41000</v>
      </c>
      <c r="M56" s="48">
        <f t="shared" si="5"/>
        <v>41029</v>
      </c>
      <c r="N56" s="51">
        <v>5.2953192445801882</v>
      </c>
      <c r="P56" s="22" t="s">
        <v>1916</v>
      </c>
      <c r="Q56" s="23">
        <f>DATE(YEAR(OneWeekMtgRatesDataTable75[[#This Row],[asOf]]),MONTH(OneWeekMtgRatesDataTable75[[#This Row],[asOf]]),DAY(OneWeekMtgRatesDataTable75[[#This Row],[asOf]]))</f>
        <v>42502</v>
      </c>
      <c r="R56" s="22">
        <v>3.58</v>
      </c>
      <c r="S56" s="22">
        <v>0.6</v>
      </c>
      <c r="T56" s="22">
        <v>3.48</v>
      </c>
      <c r="V56" s="48" t="s">
        <v>1912</v>
      </c>
      <c r="W56" s="48" t="s">
        <v>1832</v>
      </c>
      <c r="X56" s="51">
        <v>2.6588027556734102</v>
      </c>
      <c r="Z56" s="48" t="s">
        <v>1913</v>
      </c>
      <c r="AA56" s="51">
        <v>0.93139308523528397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 t="shared" si="8"/>
        <v>4.4671622862459683</v>
      </c>
      <c r="E57" s="11">
        <f t="shared" si="9"/>
        <v>3.79</v>
      </c>
      <c r="F57" s="85">
        <f t="shared" si="10"/>
        <v>0.6771622862459683</v>
      </c>
      <c r="G57" s="11">
        <f t="shared" si="11"/>
        <v>2.9344470402340699</v>
      </c>
      <c r="H57" s="11">
        <f t="shared" si="12"/>
        <v>0.87914752100000004</v>
      </c>
      <c r="I57" s="11">
        <f t="shared" si="6"/>
        <v>3.81359456123407</v>
      </c>
      <c r="J57" s="85">
        <f t="shared" si="7"/>
        <v>0.6535677250118983</v>
      </c>
      <c r="L57" s="48">
        <v>40969</v>
      </c>
      <c r="M57" s="48">
        <f t="shared" si="5"/>
        <v>40998</v>
      </c>
      <c r="N57" s="51">
        <v>5.3179671663260333</v>
      </c>
      <c r="P57" s="22" t="s">
        <v>1917</v>
      </c>
      <c r="Q57" s="23">
        <f>DATE(YEAR(OneWeekMtgRatesDataTable75[[#This Row],[asOf]]),MONTH(OneWeekMtgRatesDataTable75[[#This Row],[asOf]]),DAY(OneWeekMtgRatesDataTable75[[#This Row],[asOf]]))</f>
        <v>42501</v>
      </c>
      <c r="R57" s="22">
        <v>3.57</v>
      </c>
      <c r="S57" s="22">
        <v>0.5</v>
      </c>
      <c r="T57" s="22">
        <v>3.4449999999999998</v>
      </c>
      <c r="V57" s="48" t="s">
        <v>1913</v>
      </c>
      <c r="W57" s="48" t="s">
        <v>1832</v>
      </c>
      <c r="X57" s="51">
        <v>2.5507411556917998</v>
      </c>
      <c r="Z57" s="48" t="s">
        <v>1914</v>
      </c>
      <c r="AA57" s="51">
        <v>0.93139308523528397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 t="shared" si="8"/>
        <v>4.4597228143828191</v>
      </c>
      <c r="E58" s="11">
        <f t="shared" si="9"/>
        <v>3.75</v>
      </c>
      <c r="F58" s="85">
        <f t="shared" si="10"/>
        <v>0.70972281438281914</v>
      </c>
      <c r="G58" s="11">
        <f t="shared" si="11"/>
        <v>2.8018988061488499</v>
      </c>
      <c r="H58" s="11">
        <f t="shared" si="12"/>
        <v>0.90219892899999998</v>
      </c>
      <c r="I58" s="11">
        <f t="shared" si="6"/>
        <v>3.7040977351488498</v>
      </c>
      <c r="J58" s="85">
        <f t="shared" si="7"/>
        <v>0.75562507923396938</v>
      </c>
      <c r="L58" s="48">
        <v>40940</v>
      </c>
      <c r="M58" s="48">
        <f t="shared" si="5"/>
        <v>40968</v>
      </c>
      <c r="N58" s="51">
        <v>5.3594348559219069</v>
      </c>
      <c r="P58" s="22" t="s">
        <v>1918</v>
      </c>
      <c r="Q58" s="23">
        <f>DATE(YEAR(OneWeekMtgRatesDataTable75[[#This Row],[asOf]]),MONTH(OneWeekMtgRatesDataTable75[[#This Row],[asOf]]),DAY(OneWeekMtgRatesDataTable75[[#This Row],[asOf]]))</f>
        <v>42500</v>
      </c>
      <c r="R58" s="22">
        <v>3.57</v>
      </c>
      <c r="S58" s="22">
        <v>0.5</v>
      </c>
      <c r="T58" s="22">
        <v>3.4449999999999998</v>
      </c>
      <c r="V58" s="48" t="s">
        <v>1914</v>
      </c>
      <c r="W58" s="48" t="s">
        <v>1832</v>
      </c>
      <c r="X58" s="51">
        <v>2.5243153261906799</v>
      </c>
      <c r="Z58" s="48" t="s">
        <v>1915</v>
      </c>
      <c r="AA58" s="51">
        <v>0.93139308523528397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 t="shared" si="8"/>
        <v>4.4525560402648088</v>
      </c>
      <c r="E59" s="11">
        <f t="shared" si="9"/>
        <v>3.77</v>
      </c>
      <c r="F59" s="85">
        <f t="shared" si="10"/>
        <v>0.68255604026480876</v>
      </c>
      <c r="G59" s="11">
        <f t="shared" si="11"/>
        <v>2.8444181025455899</v>
      </c>
      <c r="H59" s="11">
        <f t="shared" si="12"/>
        <v>0.90714148400000005</v>
      </c>
      <c r="I59" s="11">
        <f t="shared" si="6"/>
        <v>3.7515595865455902</v>
      </c>
      <c r="J59" s="85">
        <f t="shared" si="7"/>
        <v>0.70099645371921859</v>
      </c>
      <c r="L59" s="48">
        <v>40909</v>
      </c>
      <c r="M59" s="48">
        <f t="shared" si="5"/>
        <v>40939</v>
      </c>
      <c r="N59" s="51">
        <v>5.3841264551661174</v>
      </c>
      <c r="P59" s="22" t="s">
        <v>1919</v>
      </c>
      <c r="Q59" s="23">
        <f>DATE(YEAR(OneWeekMtgRatesDataTable75[[#This Row],[asOf]]),MONTH(OneWeekMtgRatesDataTable75[[#This Row],[asOf]]),DAY(OneWeekMtgRatesDataTable75[[#This Row],[asOf]]))</f>
        <v>42499</v>
      </c>
      <c r="R59" s="22">
        <v>3.57</v>
      </c>
      <c r="S59" s="22">
        <v>0.5</v>
      </c>
      <c r="T59" s="22">
        <v>3.4449999999999998</v>
      </c>
      <c r="V59" s="48" t="s">
        <v>1915</v>
      </c>
      <c r="W59" s="48" t="s">
        <v>1832</v>
      </c>
      <c r="X59" s="51">
        <v>2.4834878565514402</v>
      </c>
      <c r="Z59" s="48" t="s">
        <v>1916</v>
      </c>
      <c r="AA59" s="51">
        <v>0.93139308523528397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 t="shared" si="8"/>
        <v>4.4463923254900974</v>
      </c>
      <c r="E60" s="11">
        <f t="shared" si="9"/>
        <v>3.83</v>
      </c>
      <c r="F60" s="85">
        <f t="shared" si="10"/>
        <v>0.61639232549009737</v>
      </c>
      <c r="G60" s="11">
        <f t="shared" si="11"/>
        <v>2.9474672658602201</v>
      </c>
      <c r="H60" s="11">
        <f t="shared" si="12"/>
        <v>0.90387693099999999</v>
      </c>
      <c r="I60" s="11">
        <f t="shared" si="6"/>
        <v>3.8513441968602202</v>
      </c>
      <c r="J60" s="85">
        <f t="shared" si="7"/>
        <v>0.59504812862987722</v>
      </c>
      <c r="L60" s="48">
        <v>40878</v>
      </c>
      <c r="M60" s="48">
        <f t="shared" si="5"/>
        <v>40907</v>
      </c>
      <c r="N60" s="51">
        <v>5.407081096925916</v>
      </c>
      <c r="P60" s="22" t="s">
        <v>1920</v>
      </c>
      <c r="Q60" s="23">
        <f>DATE(YEAR(OneWeekMtgRatesDataTable75[[#This Row],[asOf]]),MONTH(OneWeekMtgRatesDataTable75[[#This Row],[asOf]]),DAY(OneWeekMtgRatesDataTable75[[#This Row],[asOf]]))</f>
        <v>42496</v>
      </c>
      <c r="R60" s="22">
        <v>3.57</v>
      </c>
      <c r="S60" s="22">
        <v>0.5</v>
      </c>
      <c r="T60" s="22">
        <v>3.4449999999999998</v>
      </c>
      <c r="V60" s="48" t="s">
        <v>1916</v>
      </c>
      <c r="W60" s="48" t="s">
        <v>1832</v>
      </c>
      <c r="X60" s="51">
        <v>2.5257961096675898</v>
      </c>
      <c r="Z60" s="48" t="s">
        <v>1917</v>
      </c>
      <c r="AA60" s="51">
        <v>0.93901473766328802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 t="shared" si="8"/>
        <v>4.4390051418489547</v>
      </c>
      <c r="E61" s="11">
        <f t="shared" si="9"/>
        <v>3.87</v>
      </c>
      <c r="F61" s="85">
        <f t="shared" si="10"/>
        <v>0.56900514184895457</v>
      </c>
      <c r="G61" s="11">
        <f t="shared" si="11"/>
        <v>3.0053894082817201</v>
      </c>
      <c r="H61" s="11">
        <f t="shared" si="12"/>
        <v>0.87590262600000002</v>
      </c>
      <c r="I61" s="11">
        <f t="shared" si="6"/>
        <v>3.8812920342817199</v>
      </c>
      <c r="J61" s="85">
        <f t="shared" si="7"/>
        <v>0.5577131075672348</v>
      </c>
      <c r="L61" s="48">
        <v>40848</v>
      </c>
      <c r="M61" s="48">
        <f t="shared" si="5"/>
        <v>40877</v>
      </c>
      <c r="N61" s="51">
        <v>5.4364668645164951</v>
      </c>
      <c r="P61" s="22" t="s">
        <v>1921</v>
      </c>
      <c r="Q61" s="23">
        <f>DATE(YEAR(OneWeekMtgRatesDataTable75[[#This Row],[asOf]]),MONTH(OneWeekMtgRatesDataTable75[[#This Row],[asOf]]),DAY(OneWeekMtgRatesDataTable75[[#This Row],[asOf]]))</f>
        <v>42495</v>
      </c>
      <c r="R61" s="22">
        <v>3.57</v>
      </c>
      <c r="S61" s="22">
        <v>0.5</v>
      </c>
      <c r="T61" s="22">
        <v>3.4449999999999998</v>
      </c>
      <c r="V61" s="48" t="s">
        <v>1917</v>
      </c>
      <c r="W61" s="48" t="s">
        <v>1832</v>
      </c>
      <c r="X61" s="51">
        <v>2.5137546946134099</v>
      </c>
      <c r="Z61" s="48" t="s">
        <v>1918</v>
      </c>
      <c r="AA61" s="51">
        <v>0.93901473766328802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 t="shared" si="8"/>
        <v>4.431926070340988</v>
      </c>
      <c r="E62" s="75">
        <f>T4</f>
        <v>3.355</v>
      </c>
      <c r="F62" s="86">
        <f t="shared" si="10"/>
        <v>1.076926070340988</v>
      </c>
      <c r="G62" s="75">
        <f t="shared" si="11"/>
        <v>2.6475345232254401</v>
      </c>
      <c r="H62" s="75">
        <f t="shared" si="12"/>
        <v>0.93208019459837399</v>
      </c>
      <c r="I62" s="75">
        <f t="shared" si="6"/>
        <v>3.579614717823814</v>
      </c>
      <c r="J62" s="86">
        <f t="shared" si="7"/>
        <v>0.85231135251717394</v>
      </c>
      <c r="L62" s="48">
        <v>40817</v>
      </c>
      <c r="M62" s="48">
        <f t="shared" si="5"/>
        <v>40847</v>
      </c>
      <c r="N62" s="51">
        <v>5.4564253789048873</v>
      </c>
      <c r="P62" s="22" t="s">
        <v>1922</v>
      </c>
      <c r="Q62" s="23">
        <f>DATE(YEAR(OneWeekMtgRatesDataTable75[[#This Row],[asOf]]),MONTH(OneWeekMtgRatesDataTable75[[#This Row],[asOf]]),DAY(OneWeekMtgRatesDataTable75[[#This Row],[asOf]]))</f>
        <v>42494</v>
      </c>
      <c r="R62" s="22">
        <v>3.61</v>
      </c>
      <c r="S62" s="22">
        <v>0.6</v>
      </c>
      <c r="T62" s="22">
        <v>3.51</v>
      </c>
      <c r="V62" s="48" t="s">
        <v>1918</v>
      </c>
      <c r="W62" s="48" t="s">
        <v>1832</v>
      </c>
      <c r="X62" s="51">
        <v>2.5182072919323999</v>
      </c>
      <c r="Z62" s="48" t="s">
        <v>1919</v>
      </c>
      <c r="AA62" s="51">
        <v>0.93901473766328802</v>
      </c>
      <c r="AB62"/>
      <c r="AC62"/>
      <c r="AD62"/>
      <c r="AE62"/>
      <c r="AF62"/>
      <c r="AG62"/>
    </row>
    <row r="63" spans="3:33">
      <c r="C63" s="79">
        <v>42429</v>
      </c>
      <c r="D63" s="47">
        <f t="shared" si="8"/>
        <v>4.4265496169406138</v>
      </c>
      <c r="E63" s="11"/>
      <c r="F63" s="85"/>
      <c r="G63" s="11">
        <f t="shared" si="11"/>
        <v>2.52735457322752</v>
      </c>
      <c r="H63" s="11">
        <f t="shared" si="12"/>
        <v>0.98090021845741004</v>
      </c>
      <c r="I63" s="11">
        <f t="shared" ref="I63" si="13">G63+H63</f>
        <v>3.50825479168493</v>
      </c>
      <c r="J63" s="85">
        <f t="shared" ref="J63" si="14">D63-I63</f>
        <v>0.91829482525568373</v>
      </c>
      <c r="L63" s="48">
        <v>40787</v>
      </c>
      <c r="M63" s="48">
        <f t="shared" si="5"/>
        <v>40816</v>
      </c>
      <c r="N63" s="51">
        <v>5.4705693261233552</v>
      </c>
      <c r="P63" s="22" t="s">
        <v>1858</v>
      </c>
      <c r="Q63" s="23">
        <f>DATE(YEAR(OneWeekMtgRatesDataTable75[[#This Row],[asOf]]),MONTH(OneWeekMtgRatesDataTable75[[#This Row],[asOf]]),DAY(OneWeekMtgRatesDataTable75[[#This Row],[asOf]]))</f>
        <v>42493</v>
      </c>
      <c r="R63" s="22">
        <v>3.61</v>
      </c>
      <c r="S63" s="22">
        <v>0.6</v>
      </c>
      <c r="T63" s="22">
        <v>3.51</v>
      </c>
      <c r="V63" s="48" t="s">
        <v>1919</v>
      </c>
      <c r="W63" s="48" t="s">
        <v>1832</v>
      </c>
      <c r="X63" s="51">
        <v>2.5026837288081998</v>
      </c>
      <c r="Z63" s="48" t="s">
        <v>1920</v>
      </c>
      <c r="AA63" s="51">
        <v>0.93901473766328802</v>
      </c>
      <c r="AB63"/>
      <c r="AC63"/>
      <c r="AD63"/>
      <c r="AE63"/>
      <c r="AF63"/>
      <c r="AG63"/>
    </row>
    <row r="64" spans="3:33">
      <c r="C64" s="79">
        <v>42460</v>
      </c>
      <c r="D64" s="47">
        <f t="shared" si="8"/>
        <v>4.4192941030859769</v>
      </c>
      <c r="E64" s="11"/>
      <c r="F64" s="85"/>
      <c r="G64" s="11">
        <f t="shared" si="11"/>
        <v>2.5397621553493499</v>
      </c>
      <c r="H64" s="11">
        <f t="shared" si="12"/>
        <v>0.94850784650315301</v>
      </c>
      <c r="I64" s="11">
        <f t="shared" ref="I64:I65" si="15">G64+H64</f>
        <v>3.488270001852503</v>
      </c>
      <c r="J64" s="85">
        <f t="shared" ref="J64:J65" si="16">D64-I64</f>
        <v>0.9310241012334739</v>
      </c>
      <c r="L64" s="48">
        <v>40756</v>
      </c>
      <c r="M64" s="48">
        <f t="shared" si="5"/>
        <v>40786</v>
      </c>
      <c r="N64" s="51">
        <v>5.4853483193438421</v>
      </c>
      <c r="P64" s="22" t="s">
        <v>1859</v>
      </c>
      <c r="Q64" s="23">
        <f>DATE(YEAR(OneWeekMtgRatesDataTable75[[#This Row],[asOf]]),MONTH(OneWeekMtgRatesDataTable75[[#This Row],[asOf]]),DAY(OneWeekMtgRatesDataTable75[[#This Row],[asOf]]))</f>
        <v>42492</v>
      </c>
      <c r="R64" s="22">
        <v>3.61</v>
      </c>
      <c r="S64" s="22">
        <v>0.6</v>
      </c>
      <c r="T64" s="22">
        <v>3.51</v>
      </c>
      <c r="V64" s="48" t="s">
        <v>1920</v>
      </c>
      <c r="W64" s="48" t="s">
        <v>1832</v>
      </c>
      <c r="X64" s="51">
        <v>2.5169224725100698</v>
      </c>
      <c r="Z64" s="48" t="s">
        <v>1921</v>
      </c>
      <c r="AA64" s="51">
        <v>0.93901473766328802</v>
      </c>
      <c r="AB64"/>
      <c r="AC64"/>
      <c r="AD64"/>
      <c r="AE64"/>
      <c r="AF64"/>
      <c r="AG64"/>
    </row>
    <row r="65" spans="3:33">
      <c r="C65" s="79">
        <v>42489</v>
      </c>
      <c r="D65" s="47">
        <f t="shared" si="8"/>
        <v>4.4094702252261353</v>
      </c>
      <c r="E65" s="11"/>
      <c r="F65" s="85"/>
      <c r="G65" s="11">
        <f t="shared" si="11"/>
        <v>2.5646426996598599</v>
      </c>
      <c r="H65" s="11">
        <f t="shared" si="12"/>
        <v>0.90735927911730196</v>
      </c>
      <c r="I65" s="11">
        <f t="shared" si="15"/>
        <v>3.4720019787771621</v>
      </c>
      <c r="J65" s="85">
        <f t="shared" si="16"/>
        <v>0.9374682464489732</v>
      </c>
      <c r="L65" s="48">
        <v>40725</v>
      </c>
      <c r="M65" s="48">
        <f t="shared" si="5"/>
        <v>40753</v>
      </c>
      <c r="N65" s="51">
        <v>5.4966046806114619</v>
      </c>
      <c r="P65" s="22" t="s">
        <v>1860</v>
      </c>
      <c r="Q65" s="23">
        <f>DATE(YEAR(OneWeekMtgRatesDataTable75[[#This Row],[asOf]]),MONTH(OneWeekMtgRatesDataTable75[[#This Row],[asOf]]),DAY(OneWeekMtgRatesDataTable75[[#This Row],[asOf]]))</f>
        <v>42489</v>
      </c>
      <c r="R65" s="22">
        <v>3.61</v>
      </c>
      <c r="S65" s="22">
        <v>0.6</v>
      </c>
      <c r="T65" s="22">
        <v>3.51</v>
      </c>
      <c r="V65" s="48" t="s">
        <v>1921</v>
      </c>
      <c r="W65" s="48" t="s">
        <v>1832</v>
      </c>
      <c r="X65" s="51">
        <v>2.5164663859594998</v>
      </c>
      <c r="Z65" s="48" t="s">
        <v>1922</v>
      </c>
      <c r="AA65" s="51">
        <v>0.90735927911730196</v>
      </c>
      <c r="AB65"/>
      <c r="AC65"/>
      <c r="AD65"/>
      <c r="AE65"/>
      <c r="AF65"/>
      <c r="AG65"/>
    </row>
    <row r="66" spans="3:33">
      <c r="C66" s="79">
        <v>42521</v>
      </c>
      <c r="D66" s="47">
        <f t="shared" si="8"/>
        <v>4.3996487387033456</v>
      </c>
      <c r="E66" s="11"/>
      <c r="F66" s="85"/>
      <c r="G66" s="11">
        <f t="shared" si="11"/>
        <v>2.5912536258674699</v>
      </c>
      <c r="H66" s="11">
        <f t="shared" si="12"/>
        <v>0.89462225309558796</v>
      </c>
      <c r="I66" s="11">
        <f t="shared" ref="I66" si="17">G66+H66</f>
        <v>3.4858758789630579</v>
      </c>
      <c r="J66" s="85">
        <f t="shared" ref="J66" si="18">D66-I66</f>
        <v>0.91377285974028766</v>
      </c>
      <c r="L66" s="48">
        <v>40695</v>
      </c>
      <c r="M66" s="48">
        <f t="shared" si="5"/>
        <v>40724</v>
      </c>
      <c r="N66" s="51">
        <v>5.5064525221557803</v>
      </c>
      <c r="P66" s="22" t="s">
        <v>1861</v>
      </c>
      <c r="Q66" s="23">
        <f>DATE(YEAR(OneWeekMtgRatesDataTable75[[#This Row],[asOf]]),MONTH(OneWeekMtgRatesDataTable75[[#This Row],[asOf]]),DAY(OneWeekMtgRatesDataTable75[[#This Row],[asOf]]))</f>
        <v>42488</v>
      </c>
      <c r="R66" s="22">
        <v>3.61</v>
      </c>
      <c r="S66" s="22">
        <v>0.6</v>
      </c>
      <c r="T66" s="22">
        <v>3.51</v>
      </c>
      <c r="V66" s="48" t="s">
        <v>1922</v>
      </c>
      <c r="W66" s="48" t="s">
        <v>1832</v>
      </c>
      <c r="X66" s="51">
        <v>2.55214527077672</v>
      </c>
      <c r="Z66" s="48" t="s">
        <v>1858</v>
      </c>
      <c r="AA66" s="51">
        <v>0.90735927911730196</v>
      </c>
      <c r="AB66"/>
      <c r="AC66"/>
      <c r="AD66"/>
      <c r="AE66"/>
      <c r="AF66"/>
      <c r="AG66"/>
    </row>
    <row r="67" spans="3:33">
      <c r="C67" s="79">
        <v>42551</v>
      </c>
      <c r="D67" s="47">
        <f t="shared" si="8"/>
        <v>4.3888062472012663</v>
      </c>
      <c r="E67" s="11"/>
      <c r="F67" s="85"/>
      <c r="G67" s="11">
        <f t="shared" si="11"/>
        <v>2.2474863691242</v>
      </c>
      <c r="H67" s="11">
        <f t="shared" si="12"/>
        <v>0.990189488205382</v>
      </c>
      <c r="I67" s="11">
        <f t="shared" ref="I67" si="19">G67+H67</f>
        <v>3.2376758573295819</v>
      </c>
      <c r="J67" s="85">
        <f t="shared" ref="J67" si="20">D67-I67</f>
        <v>1.1511303898716845</v>
      </c>
      <c r="L67" s="48">
        <v>40664</v>
      </c>
      <c r="M67" s="48">
        <f t="shared" si="5"/>
        <v>40694</v>
      </c>
      <c r="N67" s="51">
        <v>5.5168959579912817</v>
      </c>
      <c r="P67" s="22" t="s">
        <v>1862</v>
      </c>
      <c r="Q67" s="23">
        <f>DATE(YEAR(OneWeekMtgRatesDataTable75[[#This Row],[asOf]]),MONTH(OneWeekMtgRatesDataTable75[[#This Row],[asOf]]),DAY(OneWeekMtgRatesDataTable75[[#This Row],[asOf]]))</f>
        <v>42487</v>
      </c>
      <c r="R67" s="22">
        <v>3.66</v>
      </c>
      <c r="S67" s="22">
        <v>0.6</v>
      </c>
      <c r="T67" s="22">
        <v>3.56</v>
      </c>
      <c r="V67" s="48" t="s">
        <v>1858</v>
      </c>
      <c r="W67" s="48" t="s">
        <v>1832</v>
      </c>
      <c r="X67" s="51">
        <v>2.5475265739167301</v>
      </c>
      <c r="Z67" s="48" t="s">
        <v>1860</v>
      </c>
      <c r="AA67" s="51">
        <v>0.90735927911730196</v>
      </c>
      <c r="AB67"/>
      <c r="AC67"/>
      <c r="AD67"/>
      <c r="AE67"/>
      <c r="AF67"/>
      <c r="AG67"/>
    </row>
    <row r="68" spans="3:33">
      <c r="C68" s="79">
        <v>42580</v>
      </c>
      <c r="D68" s="47">
        <f t="shared" ref="D68:D99" si="21">VLOOKUP(C68,M:N,2,0)</f>
        <v>4.3772716415259563</v>
      </c>
      <c r="E68" s="11"/>
      <c r="F68" s="85"/>
      <c r="G68" s="11">
        <f t="shared" si="11"/>
        <v>2.2658760705109899</v>
      </c>
      <c r="H68" s="11">
        <f t="shared" si="12"/>
        <v>0.98723561935022797</v>
      </c>
      <c r="I68" s="11">
        <f t="shared" ref="I68" si="22">G68+H68</f>
        <v>3.253111689861218</v>
      </c>
      <c r="J68" s="85">
        <f t="shared" ref="J68" si="23">D68-I68</f>
        <v>1.1241599516647383</v>
      </c>
      <c r="L68" s="48">
        <v>40634</v>
      </c>
      <c r="M68" s="48">
        <f t="shared" ref="M68:M131" si="24">IF(WEEKDAY(DATE(YEAR(L68),MONTH(L68)+1,0),2)=6,DATE(YEAR(L68),MONTH(L68)+1,0)-1,IF(WEEKDAY(DATE(YEAR(L68),MONTH(L68)+1,0),2)=7,DATE(YEAR(L68),MONTH(L68)+1,0)-2,DATE(YEAR(L68),MONTH(L68)+1,0)))</f>
        <v>40662</v>
      </c>
      <c r="N68" s="51">
        <v>5.5269246970767405</v>
      </c>
      <c r="P68" s="22" t="s">
        <v>1863</v>
      </c>
      <c r="Q68" s="23">
        <f>DATE(YEAR(OneWeekMtgRatesDataTable75[[#This Row],[asOf]]),MONTH(OneWeekMtgRatesDataTable75[[#This Row],[asOf]]),DAY(OneWeekMtgRatesDataTable75[[#This Row],[asOf]]))</f>
        <v>42486</v>
      </c>
      <c r="R68" s="22">
        <v>3.66</v>
      </c>
      <c r="S68" s="22">
        <v>0.6</v>
      </c>
      <c r="T68" s="22">
        <v>3.56</v>
      </c>
      <c r="V68" s="48" t="s">
        <v>1859</v>
      </c>
      <c r="W68" s="48" t="s">
        <v>1832</v>
      </c>
      <c r="X68" s="51">
        <v>2.6083213948699102</v>
      </c>
      <c r="Z68" s="48" t="s">
        <v>1861</v>
      </c>
      <c r="AA68" s="51">
        <v>0.90735927911730196</v>
      </c>
      <c r="AB68"/>
      <c r="AC68"/>
      <c r="AD68"/>
      <c r="AE68"/>
      <c r="AF68"/>
      <c r="AG68"/>
    </row>
    <row r="69" spans="3:33">
      <c r="L69" s="48">
        <v>40603</v>
      </c>
      <c r="M69" s="48">
        <f t="shared" si="24"/>
        <v>40633</v>
      </c>
      <c r="N69" s="51">
        <v>5.5386980924786595</v>
      </c>
      <c r="P69" s="22" t="s">
        <v>1864</v>
      </c>
      <c r="Q69" s="23">
        <f>DATE(YEAR(OneWeekMtgRatesDataTable75[[#This Row],[asOf]]),MONTH(OneWeekMtgRatesDataTable75[[#This Row],[asOf]]),DAY(OneWeekMtgRatesDataTable75[[#This Row],[asOf]]))</f>
        <v>42485</v>
      </c>
      <c r="R69" s="22">
        <v>3.66</v>
      </c>
      <c r="S69" s="22">
        <v>0.6</v>
      </c>
      <c r="T69" s="22">
        <v>3.56</v>
      </c>
      <c r="V69" s="48" t="s">
        <v>1860</v>
      </c>
      <c r="W69" s="48" t="s">
        <v>1832</v>
      </c>
      <c r="X69" s="51">
        <v>2.5646426996598599</v>
      </c>
      <c r="Z69" s="48" t="s">
        <v>1862</v>
      </c>
      <c r="AA69" s="51">
        <v>0.94834769078847103</v>
      </c>
      <c r="AB69"/>
      <c r="AC69"/>
      <c r="AD69"/>
      <c r="AE69"/>
      <c r="AF69"/>
      <c r="AG69"/>
    </row>
    <row r="70" spans="3:33">
      <c r="L70" s="48">
        <v>40575</v>
      </c>
      <c r="M70" s="48">
        <f t="shared" si="24"/>
        <v>40602</v>
      </c>
      <c r="N70" s="51">
        <v>5.5560536064770316</v>
      </c>
      <c r="P70" s="22" t="s">
        <v>1865</v>
      </c>
      <c r="Q70" s="23">
        <f>DATE(YEAR(OneWeekMtgRatesDataTable75[[#This Row],[asOf]]),MONTH(OneWeekMtgRatesDataTable75[[#This Row],[asOf]]),DAY(OneWeekMtgRatesDataTable75[[#This Row],[asOf]]))</f>
        <v>42482</v>
      </c>
      <c r="R70" s="22">
        <v>3.66</v>
      </c>
      <c r="S70" s="22">
        <v>0.6</v>
      </c>
      <c r="T70" s="22">
        <v>3.56</v>
      </c>
      <c r="V70" s="48" t="s">
        <v>1861</v>
      </c>
      <c r="W70" s="48" t="s">
        <v>1832</v>
      </c>
      <c r="X70" s="51">
        <v>2.5822903724603399</v>
      </c>
      <c r="Z70" s="48" t="s">
        <v>1863</v>
      </c>
      <c r="AA70" s="51">
        <v>0.94834769078847103</v>
      </c>
      <c r="AB70"/>
      <c r="AC70"/>
      <c r="AD70"/>
      <c r="AE70"/>
      <c r="AF70"/>
      <c r="AG70"/>
    </row>
    <row r="71" spans="3:33">
      <c r="L71" s="48">
        <v>40544</v>
      </c>
      <c r="M71" s="48">
        <f t="shared" si="24"/>
        <v>40574</v>
      </c>
      <c r="N71" s="51">
        <v>5.5763436778925639</v>
      </c>
      <c r="P71" s="22" t="s">
        <v>1866</v>
      </c>
      <c r="Q71" s="23">
        <f>DATE(YEAR(OneWeekMtgRatesDataTable75[[#This Row],[asOf]]),MONTH(OneWeekMtgRatesDataTable75[[#This Row],[asOf]]),DAY(OneWeekMtgRatesDataTable75[[#This Row],[asOf]]))</f>
        <v>42481</v>
      </c>
      <c r="R71" s="22">
        <v>3.66</v>
      </c>
      <c r="S71" s="22">
        <v>0.6</v>
      </c>
      <c r="T71" s="22">
        <v>3.56</v>
      </c>
      <c r="V71" s="48" t="s">
        <v>1862</v>
      </c>
      <c r="W71" s="48" t="s">
        <v>1832</v>
      </c>
      <c r="X71" s="51">
        <v>2.6300132369593099</v>
      </c>
      <c r="Z71" s="48" t="s">
        <v>1864</v>
      </c>
      <c r="AA71" s="51">
        <v>0.94834769078847103</v>
      </c>
      <c r="AB71"/>
      <c r="AC71"/>
      <c r="AD71"/>
      <c r="AE71"/>
      <c r="AF71"/>
      <c r="AG71"/>
    </row>
    <row r="72" spans="3:33">
      <c r="L72" s="48">
        <v>40513</v>
      </c>
      <c r="M72" s="48">
        <f t="shared" si="24"/>
        <v>40543</v>
      </c>
      <c r="N72" s="51">
        <v>5.6013602514067786</v>
      </c>
      <c r="P72" s="22" t="s">
        <v>1867</v>
      </c>
      <c r="Q72" s="23">
        <f>DATE(YEAR(OneWeekMtgRatesDataTable75[[#This Row],[asOf]]),MONTH(OneWeekMtgRatesDataTable75[[#This Row],[asOf]]),DAY(OneWeekMtgRatesDataTable75[[#This Row],[asOf]]))</f>
        <v>42480</v>
      </c>
      <c r="R72" s="22">
        <v>3.59</v>
      </c>
      <c r="S72" s="22">
        <v>0.6</v>
      </c>
      <c r="T72" s="22">
        <v>3.4899999999999998</v>
      </c>
      <c r="V72" s="48" t="s">
        <v>1863</v>
      </c>
      <c r="W72" s="48" t="s">
        <v>1832</v>
      </c>
      <c r="X72" s="51">
        <v>2.6761661289504999</v>
      </c>
      <c r="Z72" s="48" t="s">
        <v>1865</v>
      </c>
      <c r="AA72" s="51">
        <v>0.94834769078847103</v>
      </c>
      <c r="AB72"/>
      <c r="AC72"/>
      <c r="AD72"/>
      <c r="AE72"/>
      <c r="AF72"/>
      <c r="AG72"/>
    </row>
    <row r="73" spans="3:33">
      <c r="L73" s="48">
        <v>40483</v>
      </c>
      <c r="M73" s="48">
        <f t="shared" si="24"/>
        <v>40512</v>
      </c>
      <c r="N73" s="51">
        <v>5.6324669288986877</v>
      </c>
      <c r="P73" s="22" t="s">
        <v>1868</v>
      </c>
      <c r="Q73" s="23">
        <f>DATE(YEAR(OneWeekMtgRatesDataTable75[[#This Row],[asOf]]),MONTH(OneWeekMtgRatesDataTable75[[#This Row],[asOf]]),DAY(OneWeekMtgRatesDataTable75[[#This Row],[asOf]]))</f>
        <v>42479</v>
      </c>
      <c r="R73" s="22">
        <v>3.59</v>
      </c>
      <c r="S73" s="22">
        <v>0.6</v>
      </c>
      <c r="T73" s="22">
        <v>3.4899999999999998</v>
      </c>
      <c r="V73" s="48" t="s">
        <v>1864</v>
      </c>
      <c r="W73" s="48" t="s">
        <v>1832</v>
      </c>
      <c r="X73" s="51">
        <v>2.6615233310635298</v>
      </c>
      <c r="Z73" s="48" t="s">
        <v>1866</v>
      </c>
      <c r="AA73" s="51">
        <v>0.94834769078847103</v>
      </c>
      <c r="AB73"/>
      <c r="AC73"/>
      <c r="AD73"/>
      <c r="AE73"/>
      <c r="AF73"/>
      <c r="AG73"/>
    </row>
    <row r="74" spans="3:33">
      <c r="L74" s="48">
        <v>40452</v>
      </c>
      <c r="M74" s="48">
        <f t="shared" si="24"/>
        <v>40480</v>
      </c>
      <c r="N74" s="51">
        <v>5.6590403305137631</v>
      </c>
      <c r="P74" s="22" t="s">
        <v>1869</v>
      </c>
      <c r="Q74" s="23">
        <f>DATE(YEAR(OneWeekMtgRatesDataTable75[[#This Row],[asOf]]),MONTH(OneWeekMtgRatesDataTable75[[#This Row],[asOf]]),DAY(OneWeekMtgRatesDataTable75[[#This Row],[asOf]]))</f>
        <v>42478</v>
      </c>
      <c r="R74" s="22">
        <v>3.59</v>
      </c>
      <c r="S74" s="22">
        <v>0.6</v>
      </c>
      <c r="T74" s="22">
        <v>3.4899999999999998</v>
      </c>
      <c r="V74" s="48" t="s">
        <v>1865</v>
      </c>
      <c r="W74" s="48" t="s">
        <v>1832</v>
      </c>
      <c r="X74" s="51">
        <v>2.6550245016792</v>
      </c>
      <c r="Z74" s="48" t="s">
        <v>1868</v>
      </c>
      <c r="AA74" s="51">
        <v>0.96247243810223204</v>
      </c>
      <c r="AB74"/>
      <c r="AC74"/>
      <c r="AD74"/>
      <c r="AE74"/>
      <c r="AF74"/>
      <c r="AG74"/>
    </row>
    <row r="75" spans="3:33">
      <c r="L75" s="48">
        <v>40422</v>
      </c>
      <c r="M75" s="48">
        <f t="shared" si="24"/>
        <v>40451</v>
      </c>
      <c r="N75" s="51">
        <v>5.6844642521451529</v>
      </c>
      <c r="P75" s="22" t="s">
        <v>1870</v>
      </c>
      <c r="Q75" s="23">
        <f>DATE(YEAR(OneWeekMtgRatesDataTable75[[#This Row],[asOf]]),MONTH(OneWeekMtgRatesDataTable75[[#This Row],[asOf]]),DAY(OneWeekMtgRatesDataTable75[[#This Row],[asOf]]))</f>
        <v>42475</v>
      </c>
      <c r="R75" s="22">
        <v>3.59</v>
      </c>
      <c r="S75" s="22">
        <v>0.6</v>
      </c>
      <c r="T75" s="22">
        <v>3.4899999999999998</v>
      </c>
      <c r="V75" s="48" t="s">
        <v>1866</v>
      </c>
      <c r="W75" s="48" t="s">
        <v>1832</v>
      </c>
      <c r="X75" s="51">
        <v>2.6404764057609502</v>
      </c>
      <c r="Z75" s="48" t="s">
        <v>1870</v>
      </c>
      <c r="AA75" s="51">
        <v>0.96247243810223204</v>
      </c>
      <c r="AB75"/>
      <c r="AC75"/>
      <c r="AD75"/>
      <c r="AE75"/>
      <c r="AF75"/>
      <c r="AG75"/>
    </row>
    <row r="76" spans="3:33">
      <c r="L76" s="48">
        <v>40391</v>
      </c>
      <c r="M76" s="48">
        <f t="shared" si="24"/>
        <v>40421</v>
      </c>
      <c r="N76" s="51">
        <v>5.7099766814081239</v>
      </c>
      <c r="P76" s="22" t="s">
        <v>1871</v>
      </c>
      <c r="Q76" s="23">
        <f>DATE(YEAR(OneWeekMtgRatesDataTable75[[#This Row],[asOf]]),MONTH(OneWeekMtgRatesDataTable75[[#This Row],[asOf]]),DAY(OneWeekMtgRatesDataTable75[[#This Row],[asOf]]))</f>
        <v>42474</v>
      </c>
      <c r="R76" s="22">
        <v>3.59</v>
      </c>
      <c r="S76" s="22">
        <v>0.6</v>
      </c>
      <c r="T76" s="22">
        <v>3.4899999999999998</v>
      </c>
      <c r="V76" s="48" t="s">
        <v>1867</v>
      </c>
      <c r="W76" s="48" t="s">
        <v>1832</v>
      </c>
      <c r="X76" s="51">
        <v>2.6250547369401902</v>
      </c>
      <c r="Z76" s="48" t="s">
        <v>1871</v>
      </c>
      <c r="AA76" s="51">
        <v>0.96247243810223204</v>
      </c>
      <c r="AB76"/>
      <c r="AC76"/>
      <c r="AD76"/>
      <c r="AE76"/>
      <c r="AF76"/>
      <c r="AG76"/>
    </row>
    <row r="77" spans="3:33">
      <c r="L77" s="48">
        <v>40360</v>
      </c>
      <c r="M77" s="48">
        <f t="shared" si="24"/>
        <v>40389</v>
      </c>
      <c r="N77" s="51">
        <v>5.7262137777287352</v>
      </c>
      <c r="P77" s="22" t="s">
        <v>1872</v>
      </c>
      <c r="Q77" s="23">
        <f>DATE(YEAR(OneWeekMtgRatesDataTable75[[#This Row],[asOf]]),MONTH(OneWeekMtgRatesDataTable75[[#This Row],[asOf]]),DAY(OneWeekMtgRatesDataTable75[[#This Row],[asOf]]))</f>
        <v>42473</v>
      </c>
      <c r="R77" s="22">
        <v>3.58</v>
      </c>
      <c r="S77" s="22">
        <v>0.5</v>
      </c>
      <c r="T77" s="22">
        <v>3.4550000000000001</v>
      </c>
      <c r="V77" s="48" t="s">
        <v>1868</v>
      </c>
      <c r="W77" s="48" t="s">
        <v>1832</v>
      </c>
      <c r="X77" s="51">
        <v>2.5437168006359601</v>
      </c>
      <c r="Z77" s="48" t="s">
        <v>1872</v>
      </c>
      <c r="AA77" s="51">
        <v>0.94230167496133899</v>
      </c>
      <c r="AB77"/>
      <c r="AC77"/>
      <c r="AD77"/>
      <c r="AE77"/>
      <c r="AF77"/>
      <c r="AG77"/>
    </row>
    <row r="78" spans="3:33">
      <c r="L78" s="48">
        <v>40330</v>
      </c>
      <c r="M78" s="48">
        <f t="shared" si="24"/>
        <v>40359</v>
      </c>
      <c r="N78" s="51">
        <v>5.7403826140361209</v>
      </c>
      <c r="P78" s="22" t="s">
        <v>1873</v>
      </c>
      <c r="Q78" s="23">
        <f>DATE(YEAR(OneWeekMtgRatesDataTable75[[#This Row],[asOf]]),MONTH(OneWeekMtgRatesDataTable75[[#This Row],[asOf]]),DAY(OneWeekMtgRatesDataTable75[[#This Row],[asOf]]))</f>
        <v>42472</v>
      </c>
      <c r="R78" s="22">
        <v>3.58</v>
      </c>
      <c r="S78" s="22">
        <v>0.5</v>
      </c>
      <c r="T78" s="22">
        <v>3.4550000000000001</v>
      </c>
      <c r="V78" s="48" t="s">
        <v>1869</v>
      </c>
      <c r="W78" s="48" t="s">
        <v>1832</v>
      </c>
      <c r="X78" s="51">
        <v>2.5181131981013598</v>
      </c>
      <c r="Z78" s="48" t="s">
        <v>1873</v>
      </c>
      <c r="AA78" s="51">
        <v>0.94230167496133899</v>
      </c>
      <c r="AB78"/>
      <c r="AC78"/>
      <c r="AD78"/>
      <c r="AE78"/>
      <c r="AF78"/>
      <c r="AG78"/>
    </row>
    <row r="79" spans="3:33">
      <c r="L79" s="48">
        <v>40299</v>
      </c>
      <c r="M79" s="48">
        <f t="shared" si="24"/>
        <v>40329</v>
      </c>
      <c r="N79" s="51">
        <v>5.7574014669319959</v>
      </c>
      <c r="P79" s="22" t="s">
        <v>1874</v>
      </c>
      <c r="Q79" s="23">
        <f>DATE(YEAR(OneWeekMtgRatesDataTable75[[#This Row],[asOf]]),MONTH(OneWeekMtgRatesDataTable75[[#This Row],[asOf]]),DAY(OneWeekMtgRatesDataTable75[[#This Row],[asOf]]))</f>
        <v>42471</v>
      </c>
      <c r="R79" s="22">
        <v>3.58</v>
      </c>
      <c r="S79" s="22">
        <v>0.5</v>
      </c>
      <c r="T79" s="22">
        <v>3.4550000000000001</v>
      </c>
      <c r="V79" s="48" t="s">
        <v>1870</v>
      </c>
      <c r="W79" s="48" t="s">
        <v>1832</v>
      </c>
      <c r="X79" s="51">
        <v>2.50830487739315</v>
      </c>
      <c r="Z79" s="48" t="s">
        <v>1874</v>
      </c>
      <c r="AA79" s="51">
        <v>0.94230167496133899</v>
      </c>
      <c r="AB79"/>
      <c r="AC79"/>
      <c r="AD79"/>
      <c r="AE79"/>
      <c r="AF79"/>
      <c r="AG79"/>
    </row>
    <row r="80" spans="3:33">
      <c r="L80" s="48">
        <v>40269</v>
      </c>
      <c r="M80" s="48">
        <f t="shared" si="24"/>
        <v>40298</v>
      </c>
      <c r="N80" s="51">
        <v>5.7816058373302326</v>
      </c>
      <c r="P80" s="22" t="s">
        <v>1875</v>
      </c>
      <c r="Q80" s="23">
        <f>DATE(YEAR(OneWeekMtgRatesDataTable75[[#This Row],[asOf]]),MONTH(OneWeekMtgRatesDataTable75[[#This Row],[asOf]]),DAY(OneWeekMtgRatesDataTable75[[#This Row],[asOf]]))</f>
        <v>42468</v>
      </c>
      <c r="R80" s="22">
        <v>3.58</v>
      </c>
      <c r="S80" s="22">
        <v>0.5</v>
      </c>
      <c r="T80" s="22">
        <v>3.4550000000000001</v>
      </c>
      <c r="V80" s="48" t="s">
        <v>1871</v>
      </c>
      <c r="W80" s="48" t="s">
        <v>1832</v>
      </c>
      <c r="X80" s="51">
        <v>2.5130719329869802</v>
      </c>
      <c r="Z80" s="48" t="s">
        <v>1875</v>
      </c>
      <c r="AA80" s="51">
        <v>0.94230167496133899</v>
      </c>
      <c r="AB80"/>
      <c r="AC80"/>
      <c r="AD80"/>
      <c r="AE80"/>
      <c r="AF80"/>
      <c r="AG80"/>
    </row>
    <row r="81" spans="12:33">
      <c r="L81" s="48">
        <v>40238</v>
      </c>
      <c r="M81" s="48">
        <f t="shared" si="24"/>
        <v>40268</v>
      </c>
      <c r="N81" s="51">
        <v>5.8119794794187198</v>
      </c>
      <c r="P81" s="22" t="s">
        <v>1876</v>
      </c>
      <c r="Q81" s="23">
        <f>DATE(YEAR(OneWeekMtgRatesDataTable75[[#This Row],[asOf]]),MONTH(OneWeekMtgRatesDataTable75[[#This Row],[asOf]]),DAY(OneWeekMtgRatesDataTable75[[#This Row],[asOf]]))</f>
        <v>42467</v>
      </c>
      <c r="R81" s="22">
        <v>3.58</v>
      </c>
      <c r="S81" s="22">
        <v>0.5</v>
      </c>
      <c r="T81" s="22">
        <v>3.4550000000000001</v>
      </c>
      <c r="V81" s="48" t="s">
        <v>1872</v>
      </c>
      <c r="W81" s="48" t="s">
        <v>1832</v>
      </c>
      <c r="X81" s="51">
        <v>2.5121043496510298</v>
      </c>
      <c r="Z81" s="48" t="s">
        <v>1876</v>
      </c>
      <c r="AA81" s="51">
        <v>0.94230167496133899</v>
      </c>
      <c r="AB81"/>
      <c r="AC81"/>
      <c r="AD81"/>
      <c r="AE81"/>
      <c r="AF81"/>
      <c r="AG81"/>
    </row>
    <row r="82" spans="12:33">
      <c r="L82" s="48">
        <v>40210</v>
      </c>
      <c r="M82" s="48">
        <f t="shared" si="24"/>
        <v>40235</v>
      </c>
      <c r="N82" s="51">
        <v>5.8256235615266467</v>
      </c>
      <c r="P82" s="22" t="s">
        <v>1877</v>
      </c>
      <c r="Q82" s="23">
        <f>DATE(YEAR(OneWeekMtgRatesDataTable75[[#This Row],[asOf]]),MONTH(OneWeekMtgRatesDataTable75[[#This Row],[asOf]]),DAY(OneWeekMtgRatesDataTable75[[#This Row],[asOf]]))</f>
        <v>42466</v>
      </c>
      <c r="R82" s="22">
        <v>3.59</v>
      </c>
      <c r="S82" s="22">
        <v>0.5</v>
      </c>
      <c r="T82" s="22">
        <v>3.4649999999999999</v>
      </c>
      <c r="V82" s="48" t="s">
        <v>1873</v>
      </c>
      <c r="W82" s="48" t="s">
        <v>1832</v>
      </c>
      <c r="X82" s="51">
        <v>2.52514420347971</v>
      </c>
      <c r="Z82" s="48" t="s">
        <v>1877</v>
      </c>
      <c r="AA82" s="51">
        <v>0.94850784650315301</v>
      </c>
      <c r="AB82"/>
      <c r="AC82"/>
      <c r="AD82"/>
      <c r="AE82"/>
      <c r="AF82"/>
      <c r="AG82"/>
    </row>
    <row r="83" spans="12:33">
      <c r="L83" s="48">
        <v>40179</v>
      </c>
      <c r="M83" s="48">
        <f t="shared" si="24"/>
        <v>40207</v>
      </c>
      <c r="N83" s="51">
        <v>5.8412259886339042</v>
      </c>
      <c r="P83" s="22" t="s">
        <v>1878</v>
      </c>
      <c r="Q83" s="23">
        <f>DATE(YEAR(OneWeekMtgRatesDataTable75[[#This Row],[asOf]]),MONTH(OneWeekMtgRatesDataTable75[[#This Row],[asOf]]),DAY(OneWeekMtgRatesDataTable75[[#This Row],[asOf]]))</f>
        <v>42465</v>
      </c>
      <c r="R83" s="22">
        <v>3.59</v>
      </c>
      <c r="S83" s="22">
        <v>0.5</v>
      </c>
      <c r="T83" s="22">
        <v>3.4649999999999999</v>
      </c>
      <c r="V83" s="48" t="s">
        <v>1874</v>
      </c>
      <c r="W83" s="48" t="s">
        <v>1832</v>
      </c>
      <c r="X83" s="51">
        <v>2.4761946977279501</v>
      </c>
      <c r="Z83" s="48" t="s">
        <v>1878</v>
      </c>
      <c r="AA83" s="51">
        <v>0.94850784650315301</v>
      </c>
      <c r="AB83"/>
      <c r="AC83"/>
      <c r="AD83"/>
      <c r="AE83"/>
      <c r="AF83"/>
      <c r="AG83"/>
    </row>
    <row r="84" spans="12:33">
      <c r="L84" s="48">
        <v>40148</v>
      </c>
      <c r="M84" s="48">
        <f t="shared" si="24"/>
        <v>40178</v>
      </c>
      <c r="N84" s="51">
        <v>5.8570059579039615</v>
      </c>
      <c r="P84" s="22" t="s">
        <v>1879</v>
      </c>
      <c r="Q84" s="23">
        <f>DATE(YEAR(OneWeekMtgRatesDataTable75[[#This Row],[asOf]]),MONTH(OneWeekMtgRatesDataTable75[[#This Row],[asOf]]),DAY(OneWeekMtgRatesDataTable75[[#This Row],[asOf]]))</f>
        <v>42464</v>
      </c>
      <c r="R84" s="22">
        <v>3.59</v>
      </c>
      <c r="S84" s="22">
        <v>0.5</v>
      </c>
      <c r="T84" s="22">
        <v>3.4649999999999999</v>
      </c>
      <c r="V84" s="48" t="s">
        <v>1875</v>
      </c>
      <c r="W84" s="48" t="s">
        <v>1832</v>
      </c>
      <c r="X84" s="51">
        <v>2.47640548535824</v>
      </c>
      <c r="Z84" s="48" t="s">
        <v>1879</v>
      </c>
      <c r="AA84" s="51">
        <v>0.94850784650315301</v>
      </c>
      <c r="AB84"/>
      <c r="AC84"/>
      <c r="AD84"/>
      <c r="AE84"/>
      <c r="AF84"/>
      <c r="AG84"/>
    </row>
    <row r="85" spans="12:33">
      <c r="L85" s="48">
        <v>40118</v>
      </c>
      <c r="M85" s="48">
        <f t="shared" si="24"/>
        <v>40147</v>
      </c>
      <c r="N85" s="51">
        <v>5.8737226652101171</v>
      </c>
      <c r="P85" s="22" t="s">
        <v>1880</v>
      </c>
      <c r="Q85" s="23">
        <f>DATE(YEAR(OneWeekMtgRatesDataTable75[[#This Row],[asOf]]),MONTH(OneWeekMtgRatesDataTable75[[#This Row],[asOf]]),DAY(OneWeekMtgRatesDataTable75[[#This Row],[asOf]]))</f>
        <v>42461</v>
      </c>
      <c r="R85" s="22">
        <v>3.59</v>
      </c>
      <c r="S85" s="22">
        <v>0.5</v>
      </c>
      <c r="T85" s="22">
        <v>3.4649999999999999</v>
      </c>
      <c r="V85" s="48" t="s">
        <v>1876</v>
      </c>
      <c r="W85" s="48" t="s">
        <v>1832</v>
      </c>
      <c r="X85" s="51">
        <v>2.47278907327191</v>
      </c>
      <c r="Z85" s="48" t="s">
        <v>1880</v>
      </c>
      <c r="AA85" s="51">
        <v>0.94850784650315301</v>
      </c>
      <c r="AB85"/>
      <c r="AC85"/>
      <c r="AD85"/>
      <c r="AE85"/>
      <c r="AF85"/>
      <c r="AG85"/>
    </row>
    <row r="86" spans="12:33">
      <c r="L86" s="48">
        <v>40087</v>
      </c>
      <c r="M86" s="48">
        <f t="shared" si="24"/>
        <v>40116</v>
      </c>
      <c r="N86" s="51">
        <v>5.8884242763485313</v>
      </c>
      <c r="P86" s="22" t="s">
        <v>1881</v>
      </c>
      <c r="Q86" s="23">
        <f>DATE(YEAR(OneWeekMtgRatesDataTable75[[#This Row],[asOf]]),MONTH(OneWeekMtgRatesDataTable75[[#This Row],[asOf]]),DAY(OneWeekMtgRatesDataTable75[[#This Row],[asOf]]))</f>
        <v>42460</v>
      </c>
      <c r="R86" s="22">
        <v>3.59</v>
      </c>
      <c r="S86" s="22">
        <v>0.5</v>
      </c>
      <c r="T86" s="22">
        <v>3.4649999999999999</v>
      </c>
      <c r="V86" s="48" t="s">
        <v>1877</v>
      </c>
      <c r="W86" s="48" t="s">
        <v>1832</v>
      </c>
      <c r="X86" s="51">
        <v>2.5206676223705302</v>
      </c>
      <c r="Z86" s="48" t="s">
        <v>1881</v>
      </c>
      <c r="AA86" s="51">
        <v>0.94850784650315301</v>
      </c>
      <c r="AB86"/>
      <c r="AC86"/>
      <c r="AD86"/>
      <c r="AE86"/>
      <c r="AF86"/>
      <c r="AG86"/>
    </row>
    <row r="87" spans="12:33">
      <c r="L87" s="48">
        <v>40057</v>
      </c>
      <c r="M87" s="48">
        <f t="shared" si="24"/>
        <v>40086</v>
      </c>
      <c r="N87" s="51">
        <v>5.9020652824616899</v>
      </c>
      <c r="P87" s="22" t="s">
        <v>1882</v>
      </c>
      <c r="Q87" s="23">
        <f>DATE(YEAR(OneWeekMtgRatesDataTable75[[#This Row],[asOf]]),MONTH(OneWeekMtgRatesDataTable75[[#This Row],[asOf]]),DAY(OneWeekMtgRatesDataTable75[[#This Row],[asOf]]))</f>
        <v>42459</v>
      </c>
      <c r="R87" s="22">
        <v>3.71</v>
      </c>
      <c r="S87" s="22">
        <v>0.5</v>
      </c>
      <c r="T87" s="22">
        <v>3.585</v>
      </c>
      <c r="V87" s="48" t="s">
        <v>1878</v>
      </c>
      <c r="W87" s="48" t="s">
        <v>1832</v>
      </c>
      <c r="X87" s="51">
        <v>2.49044583951994</v>
      </c>
      <c r="Z87" s="48" t="s">
        <v>1882</v>
      </c>
      <c r="AA87" s="51">
        <v>0.90917936314590198</v>
      </c>
      <c r="AB87"/>
      <c r="AC87"/>
      <c r="AD87"/>
      <c r="AE87"/>
      <c r="AF87"/>
      <c r="AG87"/>
    </row>
    <row r="88" spans="12:33">
      <c r="L88" s="48">
        <v>40026</v>
      </c>
      <c r="M88" s="48">
        <f t="shared" si="24"/>
        <v>40056</v>
      </c>
      <c r="N88" s="51">
        <v>5.9206737443856285</v>
      </c>
      <c r="P88" s="22" t="s">
        <v>1883</v>
      </c>
      <c r="Q88" s="23">
        <f>DATE(YEAR(OneWeekMtgRatesDataTable75[[#This Row],[asOf]]),MONTH(OneWeekMtgRatesDataTable75[[#This Row],[asOf]]),DAY(OneWeekMtgRatesDataTable75[[#This Row],[asOf]]))</f>
        <v>42458</v>
      </c>
      <c r="R88" s="22">
        <v>3.71</v>
      </c>
      <c r="S88" s="22">
        <v>0.5</v>
      </c>
      <c r="T88" s="22">
        <v>3.585</v>
      </c>
      <c r="V88" s="48" t="s">
        <v>1879</v>
      </c>
      <c r="W88" s="48" t="s">
        <v>1832</v>
      </c>
      <c r="X88" s="51">
        <v>2.5272030973588802</v>
      </c>
      <c r="Z88" s="48" t="s">
        <v>1883</v>
      </c>
      <c r="AA88" s="51">
        <v>0.90917936314590198</v>
      </c>
      <c r="AB88"/>
      <c r="AC88"/>
      <c r="AD88"/>
      <c r="AE88"/>
      <c r="AF88"/>
      <c r="AG88"/>
    </row>
    <row r="89" spans="12:33">
      <c r="L89" s="48">
        <v>39995</v>
      </c>
      <c r="M89" s="48">
        <f t="shared" si="24"/>
        <v>40025</v>
      </c>
      <c r="N89" s="51">
        <v>5.9459184821418729</v>
      </c>
      <c r="P89" s="22" t="s">
        <v>1884</v>
      </c>
      <c r="Q89" s="23">
        <f>DATE(YEAR(OneWeekMtgRatesDataTable75[[#This Row],[asOf]]),MONTH(OneWeekMtgRatesDataTable75[[#This Row],[asOf]]),DAY(OneWeekMtgRatesDataTable75[[#This Row],[asOf]]))</f>
        <v>42457</v>
      </c>
      <c r="R89" s="22">
        <v>3.71</v>
      </c>
      <c r="S89" s="22">
        <v>0.5</v>
      </c>
      <c r="T89" s="22">
        <v>3.585</v>
      </c>
      <c r="V89" s="48" t="s">
        <v>1880</v>
      </c>
      <c r="W89" s="48" t="s">
        <v>1832</v>
      </c>
      <c r="X89" s="51">
        <v>2.5354129105946002</v>
      </c>
      <c r="Z89" s="48" t="s">
        <v>1884</v>
      </c>
      <c r="AA89" s="51">
        <v>0.90917936314590198</v>
      </c>
      <c r="AB89"/>
      <c r="AC89"/>
      <c r="AD89"/>
      <c r="AE89"/>
      <c r="AF89"/>
      <c r="AG89"/>
    </row>
    <row r="90" spans="12:33">
      <c r="L90" s="48">
        <v>39965</v>
      </c>
      <c r="M90" s="48">
        <f t="shared" si="24"/>
        <v>39994</v>
      </c>
      <c r="N90" s="51">
        <v>5.9842586230380119</v>
      </c>
      <c r="P90" s="22" t="s">
        <v>1885</v>
      </c>
      <c r="Q90" s="23">
        <f>DATE(YEAR(OneWeekMtgRatesDataTable75[[#This Row],[asOf]]),MONTH(OneWeekMtgRatesDataTable75[[#This Row],[asOf]]),DAY(OneWeekMtgRatesDataTable75[[#This Row],[asOf]]))</f>
        <v>42453</v>
      </c>
      <c r="R90" s="22">
        <v>3.71</v>
      </c>
      <c r="S90" s="22">
        <v>0.5</v>
      </c>
      <c r="T90" s="22">
        <v>3.585</v>
      </c>
      <c r="V90" s="48" t="s">
        <v>1881</v>
      </c>
      <c r="W90" s="48" t="s">
        <v>1832</v>
      </c>
      <c r="X90" s="51">
        <v>2.5397621553493499</v>
      </c>
      <c r="Z90" s="48" t="s">
        <v>1886</v>
      </c>
      <c r="AA90" s="51">
        <v>0.87942559518201602</v>
      </c>
      <c r="AB90"/>
      <c r="AC90"/>
      <c r="AD90"/>
      <c r="AE90"/>
      <c r="AF90"/>
      <c r="AG90"/>
    </row>
    <row r="91" spans="12:33">
      <c r="L91" s="48">
        <v>39934</v>
      </c>
      <c r="M91" s="48">
        <f t="shared" si="24"/>
        <v>39962</v>
      </c>
      <c r="N91" s="51">
        <v>6.0295570630048161</v>
      </c>
      <c r="P91" s="22" t="s">
        <v>1886</v>
      </c>
      <c r="Q91" s="23">
        <f>DATE(YEAR(OneWeekMtgRatesDataTable75[[#This Row],[asOf]]),MONTH(OneWeekMtgRatesDataTable75[[#This Row],[asOf]]),DAY(OneWeekMtgRatesDataTable75[[#This Row],[asOf]]))</f>
        <v>42452</v>
      </c>
      <c r="R91" s="22">
        <v>3.71</v>
      </c>
      <c r="S91" s="22">
        <v>0.5</v>
      </c>
      <c r="T91" s="22">
        <v>3.585</v>
      </c>
      <c r="V91" s="48" t="s">
        <v>1882</v>
      </c>
      <c r="W91" s="48" t="s">
        <v>1832</v>
      </c>
      <c r="X91" s="51">
        <v>2.5932132712975302</v>
      </c>
      <c r="Z91" s="48" t="s">
        <v>1887</v>
      </c>
      <c r="AA91" s="51">
        <v>0.87942559518201602</v>
      </c>
      <c r="AB91"/>
      <c r="AC91"/>
      <c r="AD91"/>
      <c r="AE91"/>
      <c r="AF91"/>
      <c r="AG91"/>
    </row>
    <row r="92" spans="12:33">
      <c r="L92" s="48">
        <v>39904</v>
      </c>
      <c r="M92" s="48">
        <f t="shared" si="24"/>
        <v>39933</v>
      </c>
      <c r="N92" s="51">
        <v>6.065928965343133</v>
      </c>
      <c r="P92" s="22" t="s">
        <v>1887</v>
      </c>
      <c r="Q92" s="23">
        <f>DATE(YEAR(OneWeekMtgRatesDataTable75[[#This Row],[asOf]]),MONTH(OneWeekMtgRatesDataTable75[[#This Row],[asOf]]),DAY(OneWeekMtgRatesDataTable75[[#This Row],[asOf]]))</f>
        <v>42451</v>
      </c>
      <c r="R92" s="22">
        <v>3.71</v>
      </c>
      <c r="S92" s="22">
        <v>0.5</v>
      </c>
      <c r="T92" s="22">
        <v>3.585</v>
      </c>
      <c r="V92" s="48" t="s">
        <v>1883</v>
      </c>
      <c r="W92" s="48" t="s">
        <v>1832</v>
      </c>
      <c r="X92" s="51">
        <v>2.5818538340504298</v>
      </c>
      <c r="Z92" s="48" t="s">
        <v>1888</v>
      </c>
      <c r="AA92" s="51">
        <v>0.87942559518201602</v>
      </c>
      <c r="AB92"/>
      <c r="AC92"/>
      <c r="AD92"/>
      <c r="AE92"/>
      <c r="AF92"/>
      <c r="AG92"/>
    </row>
    <row r="93" spans="12:33">
      <c r="L93" s="48">
        <v>39873</v>
      </c>
      <c r="M93" s="48">
        <f t="shared" si="24"/>
        <v>39903</v>
      </c>
      <c r="N93" s="51">
        <v>6.0941745852813369</v>
      </c>
      <c r="P93" s="22" t="s">
        <v>1888</v>
      </c>
      <c r="Q93" s="23">
        <f>DATE(YEAR(OneWeekMtgRatesDataTable75[[#This Row],[asOf]]),MONTH(OneWeekMtgRatesDataTable75[[#This Row],[asOf]]),DAY(OneWeekMtgRatesDataTable75[[#This Row],[asOf]]))</f>
        <v>42450</v>
      </c>
      <c r="R93" s="22">
        <v>3.71</v>
      </c>
      <c r="S93" s="22">
        <v>0.5</v>
      </c>
      <c r="T93" s="22">
        <v>3.585</v>
      </c>
      <c r="V93" s="48" t="s">
        <v>1884</v>
      </c>
      <c r="W93" s="48" t="s">
        <v>1832</v>
      </c>
      <c r="X93" s="51">
        <v>2.6784573232198698</v>
      </c>
      <c r="Z93" s="48" t="s">
        <v>1889</v>
      </c>
      <c r="AA93" s="51">
        <v>0.87942559518201602</v>
      </c>
      <c r="AB93"/>
      <c r="AC93"/>
      <c r="AD93"/>
      <c r="AE93"/>
      <c r="AF93"/>
      <c r="AG93"/>
    </row>
    <row r="94" spans="12:33">
      <c r="L94" s="48">
        <v>39845</v>
      </c>
      <c r="M94" s="48">
        <f t="shared" si="24"/>
        <v>39871</v>
      </c>
      <c r="N94" s="51">
        <v>6.1416460306786842</v>
      </c>
      <c r="P94" s="22" t="s">
        <v>1889</v>
      </c>
      <c r="Q94" s="23">
        <f>DATE(YEAR(OneWeekMtgRatesDataTable75[[#This Row],[asOf]]),MONTH(OneWeekMtgRatesDataTable75[[#This Row],[asOf]]),DAY(OneWeekMtgRatesDataTable75[[#This Row],[asOf]]))</f>
        <v>42447</v>
      </c>
      <c r="R94" s="22">
        <v>3.71</v>
      </c>
      <c r="S94" s="22">
        <v>0.5</v>
      </c>
      <c r="T94" s="22">
        <v>3.585</v>
      </c>
      <c r="V94" s="48" t="s">
        <v>1885</v>
      </c>
      <c r="W94" s="48" t="s">
        <v>1832</v>
      </c>
      <c r="X94" s="51">
        <v>2.6924441854195602</v>
      </c>
      <c r="Z94" s="48" t="s">
        <v>1890</v>
      </c>
      <c r="AA94" s="51">
        <v>0.87942559518201602</v>
      </c>
      <c r="AB94"/>
      <c r="AC94"/>
      <c r="AD94"/>
      <c r="AE94"/>
      <c r="AF94"/>
      <c r="AG94"/>
    </row>
    <row r="95" spans="12:33">
      <c r="L95" s="48">
        <v>39814</v>
      </c>
      <c r="M95" s="48">
        <f t="shared" si="24"/>
        <v>39843</v>
      </c>
      <c r="N95" s="51">
        <v>6.1646201319513665</v>
      </c>
      <c r="P95" s="22" t="s">
        <v>1890</v>
      </c>
      <c r="Q95" s="23">
        <f>DATE(YEAR(OneWeekMtgRatesDataTable75[[#This Row],[asOf]]),MONTH(OneWeekMtgRatesDataTable75[[#This Row],[asOf]]),DAY(OneWeekMtgRatesDataTable75[[#This Row],[asOf]]))</f>
        <v>42446</v>
      </c>
      <c r="R95" s="22">
        <v>3.71</v>
      </c>
      <c r="S95" s="22">
        <v>0.5</v>
      </c>
      <c r="T95" s="22">
        <v>3.585</v>
      </c>
      <c r="V95" s="48" t="s">
        <v>1886</v>
      </c>
      <c r="W95" s="48" t="s">
        <v>1832</v>
      </c>
      <c r="X95" s="51">
        <v>2.66584672213606</v>
      </c>
      <c r="Z95" s="48" t="s">
        <v>1891</v>
      </c>
      <c r="AA95" s="51">
        <v>0.90289359115288603</v>
      </c>
      <c r="AB95"/>
      <c r="AC95"/>
      <c r="AD95"/>
      <c r="AE95"/>
      <c r="AF95"/>
      <c r="AG95"/>
    </row>
    <row r="96" spans="12:33">
      <c r="L96" s="48">
        <v>39783</v>
      </c>
      <c r="M96" s="48">
        <f t="shared" si="24"/>
        <v>39813</v>
      </c>
      <c r="N96" s="51">
        <v>6.1702958742139051</v>
      </c>
      <c r="P96" s="22" t="s">
        <v>1891</v>
      </c>
      <c r="Q96" s="23">
        <f>DATE(YEAR(OneWeekMtgRatesDataTable75[[#This Row],[asOf]]),MONTH(OneWeekMtgRatesDataTable75[[#This Row],[asOf]]),DAY(OneWeekMtgRatesDataTable75[[#This Row],[asOf]]))</f>
        <v>42445</v>
      </c>
      <c r="R96" s="22">
        <v>3.73</v>
      </c>
      <c r="S96" s="22">
        <v>0.5</v>
      </c>
      <c r="T96" s="22">
        <v>3.605</v>
      </c>
      <c r="V96" s="48" t="s">
        <v>1887</v>
      </c>
      <c r="W96" s="48" t="s">
        <v>1832</v>
      </c>
      <c r="X96" s="51">
        <v>2.7181679952198698</v>
      </c>
      <c r="Z96" s="48" t="s">
        <v>1892</v>
      </c>
      <c r="AA96" s="51">
        <v>0.90289359115288603</v>
      </c>
      <c r="AB96"/>
      <c r="AC96"/>
      <c r="AD96"/>
      <c r="AE96"/>
      <c r="AF96"/>
      <c r="AG96"/>
    </row>
    <row r="97" spans="12:33">
      <c r="L97" s="48">
        <v>39753</v>
      </c>
      <c r="M97" s="48">
        <f t="shared" si="24"/>
        <v>39780</v>
      </c>
      <c r="N97" s="51">
        <v>6.1748878016905966</v>
      </c>
      <c r="P97" s="22" t="s">
        <v>1892</v>
      </c>
      <c r="Q97" s="23">
        <f>DATE(YEAR(OneWeekMtgRatesDataTable75[[#This Row],[asOf]]),MONTH(OneWeekMtgRatesDataTable75[[#This Row],[asOf]]),DAY(OneWeekMtgRatesDataTable75[[#This Row],[asOf]]))</f>
        <v>42444</v>
      </c>
      <c r="R97" s="22">
        <v>3.73</v>
      </c>
      <c r="S97" s="22">
        <v>0.5</v>
      </c>
      <c r="T97" s="22">
        <v>3.605</v>
      </c>
      <c r="V97" s="48" t="s">
        <v>1888</v>
      </c>
      <c r="W97" s="48" t="s">
        <v>1832</v>
      </c>
      <c r="X97" s="51">
        <v>2.6999804416345499</v>
      </c>
      <c r="Z97" s="48" t="s">
        <v>1893</v>
      </c>
      <c r="AA97" s="51">
        <v>0.90289359115288603</v>
      </c>
      <c r="AB97"/>
      <c r="AC97"/>
      <c r="AD97"/>
      <c r="AE97"/>
      <c r="AF97"/>
      <c r="AG97"/>
    </row>
    <row r="98" spans="12:33">
      <c r="L98" s="48">
        <v>39722</v>
      </c>
      <c r="M98" s="48">
        <f t="shared" si="24"/>
        <v>39752</v>
      </c>
      <c r="N98" s="51">
        <v>6.1765014481158218</v>
      </c>
      <c r="P98" s="22" t="s">
        <v>1893</v>
      </c>
      <c r="Q98" s="23">
        <f>DATE(YEAR(OneWeekMtgRatesDataTable75[[#This Row],[asOf]]),MONTH(OneWeekMtgRatesDataTable75[[#This Row],[asOf]]),DAY(OneWeekMtgRatesDataTable75[[#This Row],[asOf]]))</f>
        <v>42443</v>
      </c>
      <c r="R98" s="22">
        <v>3.73</v>
      </c>
      <c r="S98" s="22">
        <v>0.5</v>
      </c>
      <c r="T98" s="22">
        <v>3.605</v>
      </c>
      <c r="V98" s="48" t="s">
        <v>1889</v>
      </c>
      <c r="W98" s="48" t="s">
        <v>1832</v>
      </c>
      <c r="X98" s="51">
        <v>2.6443435040904602</v>
      </c>
      <c r="Z98" s="48" t="s">
        <v>1894</v>
      </c>
      <c r="AA98" s="51">
        <v>0.90289359115288603</v>
      </c>
      <c r="AB98"/>
      <c r="AC98"/>
      <c r="AD98"/>
      <c r="AE98"/>
      <c r="AF98"/>
      <c r="AG98"/>
    </row>
    <row r="99" spans="12:33">
      <c r="L99" s="48">
        <v>39692</v>
      </c>
      <c r="M99" s="48">
        <f t="shared" si="24"/>
        <v>39721</v>
      </c>
      <c r="N99" s="51">
        <v>6.1752963107168934</v>
      </c>
      <c r="P99" s="22" t="s">
        <v>1894</v>
      </c>
      <c r="Q99" s="23">
        <f>DATE(YEAR(OneWeekMtgRatesDataTable75[[#This Row],[asOf]]),MONTH(OneWeekMtgRatesDataTable75[[#This Row],[asOf]]),DAY(OneWeekMtgRatesDataTable75[[#This Row],[asOf]]))</f>
        <v>42440</v>
      </c>
      <c r="R99" s="22">
        <v>3.73</v>
      </c>
      <c r="S99" s="22">
        <v>0.5</v>
      </c>
      <c r="T99" s="22">
        <v>3.605</v>
      </c>
      <c r="V99" s="48" t="s">
        <v>1890</v>
      </c>
      <c r="W99" s="48" t="s">
        <v>1832</v>
      </c>
      <c r="X99" s="51">
        <v>2.6507645211895499</v>
      </c>
      <c r="Z99" s="48" t="s">
        <v>1895</v>
      </c>
      <c r="AA99" s="51">
        <v>0.90289359115288603</v>
      </c>
      <c r="AB99"/>
      <c r="AC99"/>
      <c r="AD99"/>
      <c r="AE99"/>
      <c r="AF99"/>
      <c r="AG99"/>
    </row>
    <row r="100" spans="12:33">
      <c r="L100" s="48">
        <v>39661</v>
      </c>
      <c r="M100" s="48">
        <f t="shared" si="24"/>
        <v>39689</v>
      </c>
      <c r="N100" s="51">
        <v>6.1715895277031061</v>
      </c>
      <c r="P100" s="22" t="s">
        <v>1895</v>
      </c>
      <c r="Q100" s="23">
        <f>DATE(YEAR(OneWeekMtgRatesDataTable75[[#This Row],[asOf]]),MONTH(OneWeekMtgRatesDataTable75[[#This Row],[asOf]]),DAY(OneWeekMtgRatesDataTable75[[#This Row],[asOf]]))</f>
        <v>42439</v>
      </c>
      <c r="R100" s="22">
        <v>3.73</v>
      </c>
      <c r="S100" s="22">
        <v>0.5</v>
      </c>
      <c r="T100" s="22">
        <v>3.605</v>
      </c>
      <c r="V100" s="48" t="s">
        <v>1891</v>
      </c>
      <c r="W100" s="48" t="s">
        <v>1832</v>
      </c>
      <c r="X100" s="51">
        <v>2.6989079918651599</v>
      </c>
      <c r="Z100" s="48" t="s">
        <v>1896</v>
      </c>
      <c r="AA100" s="51">
        <v>0.94898560229812201</v>
      </c>
      <c r="AB100"/>
      <c r="AC100"/>
      <c r="AD100"/>
      <c r="AE100"/>
      <c r="AF100"/>
      <c r="AG100"/>
    </row>
    <row r="101" spans="12:33">
      <c r="L101" s="48">
        <v>39630</v>
      </c>
      <c r="M101" s="48">
        <f t="shared" si="24"/>
        <v>39660</v>
      </c>
      <c r="N101" s="51">
        <v>6.1705488392184771</v>
      </c>
      <c r="P101" s="22" t="s">
        <v>1896</v>
      </c>
      <c r="Q101" s="23">
        <f>DATE(YEAR(OneWeekMtgRatesDataTable75[[#This Row],[asOf]]),MONTH(OneWeekMtgRatesDataTable75[[#This Row],[asOf]]),DAY(OneWeekMtgRatesDataTable75[[#This Row],[asOf]]))</f>
        <v>42438</v>
      </c>
      <c r="R101" s="22">
        <v>3.68</v>
      </c>
      <c r="S101" s="22">
        <v>0.5</v>
      </c>
      <c r="T101" s="22">
        <v>3.5550000000000002</v>
      </c>
      <c r="V101" s="48" t="s">
        <v>1892</v>
      </c>
      <c r="W101" s="48" t="s">
        <v>1832</v>
      </c>
      <c r="X101" s="51">
        <v>2.7488667702223699</v>
      </c>
      <c r="Z101" s="48" t="s">
        <v>1897</v>
      </c>
      <c r="AA101" s="51">
        <v>0.94898560229812201</v>
      </c>
      <c r="AB101"/>
      <c r="AC101"/>
      <c r="AD101"/>
      <c r="AE101"/>
      <c r="AF101"/>
      <c r="AG101"/>
    </row>
    <row r="102" spans="12:33">
      <c r="L102" s="48">
        <v>39600</v>
      </c>
      <c r="M102" s="48">
        <f t="shared" si="24"/>
        <v>39629</v>
      </c>
      <c r="N102" s="51">
        <v>6.1726451947693315</v>
      </c>
      <c r="P102" s="22" t="s">
        <v>1897</v>
      </c>
      <c r="Q102" s="23">
        <f>DATE(YEAR(OneWeekMtgRatesDataTable75[[#This Row],[asOf]]),MONTH(OneWeekMtgRatesDataTable75[[#This Row],[asOf]]),DAY(OneWeekMtgRatesDataTable75[[#This Row],[asOf]]))</f>
        <v>42437</v>
      </c>
      <c r="R102" s="22">
        <v>3.68</v>
      </c>
      <c r="S102" s="22">
        <v>0.5</v>
      </c>
      <c r="T102" s="22">
        <v>3.5550000000000002</v>
      </c>
      <c r="V102" s="48" t="s">
        <v>1893</v>
      </c>
      <c r="W102" s="48" t="s">
        <v>1832</v>
      </c>
      <c r="X102" s="51">
        <v>2.7302113432602999</v>
      </c>
      <c r="Z102" s="48" t="s">
        <v>1898</v>
      </c>
      <c r="AA102" s="51">
        <v>0.94898560229812201</v>
      </c>
      <c r="AB102"/>
      <c r="AC102"/>
      <c r="AD102"/>
      <c r="AE102"/>
      <c r="AF102"/>
      <c r="AG102"/>
    </row>
    <row r="103" spans="12:33">
      <c r="L103" s="48">
        <v>39569</v>
      </c>
      <c r="M103" s="48">
        <f t="shared" si="24"/>
        <v>39598</v>
      </c>
      <c r="N103" s="51">
        <v>6.1782766844115331</v>
      </c>
      <c r="P103" s="22" t="s">
        <v>1898</v>
      </c>
      <c r="Q103" s="23">
        <f>DATE(YEAR(OneWeekMtgRatesDataTable75[[#This Row],[asOf]]),MONTH(OneWeekMtgRatesDataTable75[[#This Row],[asOf]]),DAY(OneWeekMtgRatesDataTable75[[#This Row],[asOf]]))</f>
        <v>42436</v>
      </c>
      <c r="R103" s="22">
        <v>3.68</v>
      </c>
      <c r="S103" s="22">
        <v>0.5</v>
      </c>
      <c r="T103" s="22">
        <v>3.5550000000000002</v>
      </c>
      <c r="V103" s="48" t="s">
        <v>1894</v>
      </c>
      <c r="W103" s="48" t="s">
        <v>1832</v>
      </c>
      <c r="X103" s="51">
        <v>2.7411857736504301</v>
      </c>
      <c r="Z103" s="48" t="s">
        <v>1899</v>
      </c>
      <c r="AA103" s="51">
        <v>0.94898560229812201</v>
      </c>
      <c r="AB103"/>
      <c r="AC103"/>
      <c r="AD103"/>
      <c r="AE103"/>
      <c r="AF103"/>
      <c r="AG103"/>
    </row>
    <row r="104" spans="12:33">
      <c r="L104" s="48">
        <v>39539</v>
      </c>
      <c r="M104" s="48">
        <f t="shared" si="24"/>
        <v>39568</v>
      </c>
      <c r="N104" s="51">
        <v>6.1848396466282747</v>
      </c>
      <c r="P104" s="22" t="s">
        <v>1899</v>
      </c>
      <c r="Q104" s="23">
        <f>DATE(YEAR(OneWeekMtgRatesDataTable75[[#This Row],[asOf]]),MONTH(OneWeekMtgRatesDataTable75[[#This Row],[asOf]]),DAY(OneWeekMtgRatesDataTable75[[#This Row],[asOf]]))</f>
        <v>42433</v>
      </c>
      <c r="R104" s="22">
        <v>3.68</v>
      </c>
      <c r="S104" s="22">
        <v>0.5</v>
      </c>
      <c r="T104" s="22">
        <v>3.5550000000000002</v>
      </c>
      <c r="V104" s="48" t="s">
        <v>1895</v>
      </c>
      <c r="W104" s="48" t="s">
        <v>1832</v>
      </c>
      <c r="X104" s="51">
        <v>2.7087001450916599</v>
      </c>
      <c r="Z104" s="48" t="s">
        <v>1900</v>
      </c>
      <c r="AA104" s="51">
        <v>0.94898560229812201</v>
      </c>
      <c r="AB104"/>
      <c r="AC104"/>
      <c r="AD104"/>
      <c r="AE104"/>
      <c r="AF104"/>
      <c r="AG104"/>
    </row>
    <row r="105" spans="12:33">
      <c r="L105" s="48">
        <v>39508</v>
      </c>
      <c r="M105" s="48">
        <f t="shared" si="24"/>
        <v>39538</v>
      </c>
      <c r="N105" s="51">
        <v>6.1930936320383552</v>
      </c>
      <c r="O105" s="19"/>
      <c r="P105" s="19" t="s">
        <v>1900</v>
      </c>
      <c r="Q105" s="23">
        <f>DATE(YEAR(OneWeekMtgRatesDataTable75[[#This Row],[asOf]]),MONTH(OneWeekMtgRatesDataTable75[[#This Row],[asOf]]),DAY(OneWeekMtgRatesDataTable75[[#This Row],[asOf]]))</f>
        <v>42432</v>
      </c>
      <c r="R105" s="19">
        <v>3.68</v>
      </c>
      <c r="S105" s="19">
        <v>0.5</v>
      </c>
      <c r="T105" s="19">
        <v>3.5550000000000002</v>
      </c>
      <c r="V105" s="48" t="s">
        <v>1896</v>
      </c>
      <c r="W105" s="48" t="s">
        <v>1832</v>
      </c>
      <c r="X105" s="51">
        <v>2.6993160821671598</v>
      </c>
      <c r="Z105" s="48" t="s">
        <v>1901</v>
      </c>
      <c r="AA105" s="51">
        <v>0.98090021845741004</v>
      </c>
      <c r="AB105"/>
      <c r="AC105"/>
      <c r="AD105"/>
      <c r="AE105"/>
      <c r="AF105"/>
      <c r="AG105"/>
    </row>
    <row r="106" spans="12:33">
      <c r="L106" s="48">
        <v>39479</v>
      </c>
      <c r="M106" s="48">
        <f t="shared" si="24"/>
        <v>39507</v>
      </c>
      <c r="N106" s="51">
        <v>6.2021993835017177</v>
      </c>
      <c r="O106" s="19"/>
      <c r="P106" s="19" t="s">
        <v>1901</v>
      </c>
      <c r="Q106" s="23">
        <f>DATE(YEAR(OneWeekMtgRatesDataTable75[[#This Row],[asOf]]),MONTH(OneWeekMtgRatesDataTable75[[#This Row],[asOf]]),DAY(OneWeekMtgRatesDataTable75[[#This Row],[asOf]]))</f>
        <v>42431</v>
      </c>
      <c r="R106" s="19">
        <v>3.64</v>
      </c>
      <c r="S106" s="19">
        <v>0.5</v>
      </c>
      <c r="T106" s="19">
        <v>3.5150000000000001</v>
      </c>
      <c r="V106" s="48" t="s">
        <v>1897</v>
      </c>
      <c r="W106" s="48" t="s">
        <v>1832</v>
      </c>
      <c r="X106" s="51">
        <v>2.6318246797468499</v>
      </c>
      <c r="Z106" s="48" t="s">
        <v>1902</v>
      </c>
      <c r="AA106" s="51">
        <v>0.98090021845741004</v>
      </c>
      <c r="AB106"/>
      <c r="AC106"/>
      <c r="AD106"/>
      <c r="AE106"/>
      <c r="AF106"/>
      <c r="AG106"/>
    </row>
    <row r="107" spans="12:33">
      <c r="L107" s="48">
        <v>39448</v>
      </c>
      <c r="M107" s="48">
        <f t="shared" si="24"/>
        <v>39478</v>
      </c>
      <c r="N107" s="51">
        <v>6.2057051806566594</v>
      </c>
      <c r="O107" s="19"/>
      <c r="P107" s="19" t="s">
        <v>1902</v>
      </c>
      <c r="Q107" s="23">
        <f>DATE(YEAR(OneWeekMtgRatesDataTable75[[#This Row],[asOf]]),MONTH(OneWeekMtgRatesDataTable75[[#This Row],[asOf]]),DAY(OneWeekMtgRatesDataTable75[[#This Row],[asOf]]))</f>
        <v>42430</v>
      </c>
      <c r="R107" s="19">
        <v>3.64</v>
      </c>
      <c r="S107" s="19">
        <v>0.5</v>
      </c>
      <c r="T107" s="19">
        <v>3.5150000000000001</v>
      </c>
      <c r="V107" s="48" t="s">
        <v>1898</v>
      </c>
      <c r="W107" s="48" t="s">
        <v>1832</v>
      </c>
      <c r="X107" s="51">
        <v>2.6797159507930601</v>
      </c>
      <c r="Z107" s="48" t="s">
        <v>1840</v>
      </c>
      <c r="AA107" s="51">
        <v>0.98090021845741004</v>
      </c>
      <c r="AB107"/>
      <c r="AC107"/>
      <c r="AD107"/>
      <c r="AE107"/>
      <c r="AF107"/>
      <c r="AG107"/>
    </row>
    <row r="108" spans="12:33">
      <c r="L108" s="48">
        <v>39417</v>
      </c>
      <c r="M108" s="48">
        <f t="shared" si="24"/>
        <v>39447</v>
      </c>
      <c r="N108" s="51">
        <v>6.2022670055416613</v>
      </c>
      <c r="O108" s="19"/>
      <c r="P108" s="19" t="s">
        <v>1840</v>
      </c>
      <c r="Q108" s="23">
        <f>DATE(YEAR(OneWeekMtgRatesDataTable75[[#This Row],[asOf]]),MONTH(OneWeekMtgRatesDataTable75[[#This Row],[asOf]]),DAY(OneWeekMtgRatesDataTable75[[#This Row],[asOf]]))</f>
        <v>42429</v>
      </c>
      <c r="R108" s="19">
        <v>3.64</v>
      </c>
      <c r="S108" s="19">
        <v>0.5</v>
      </c>
      <c r="T108" s="19">
        <v>3.5150000000000001</v>
      </c>
      <c r="V108" s="48" t="s">
        <v>1899</v>
      </c>
      <c r="W108" s="48" t="s">
        <v>1832</v>
      </c>
      <c r="X108" s="51">
        <v>2.6456437130167698</v>
      </c>
      <c r="Z108" s="48" t="s">
        <v>1841</v>
      </c>
      <c r="AA108" s="51">
        <v>0.98090021845741004</v>
      </c>
      <c r="AB108"/>
      <c r="AC108"/>
      <c r="AD108"/>
      <c r="AE108"/>
      <c r="AF108"/>
      <c r="AG108"/>
    </row>
    <row r="109" spans="12:33">
      <c r="L109" s="48">
        <v>39387</v>
      </c>
      <c r="M109" s="48">
        <f t="shared" si="24"/>
        <v>39416</v>
      </c>
      <c r="N109" s="51">
        <v>6.1936750967948919</v>
      </c>
      <c r="O109" s="19"/>
      <c r="P109" s="19" t="s">
        <v>1841</v>
      </c>
      <c r="Q109" s="23">
        <f>DATE(YEAR(OneWeekMtgRatesDataTable75[[#This Row],[asOf]]),MONTH(OneWeekMtgRatesDataTable75[[#This Row],[asOf]]),DAY(OneWeekMtgRatesDataTable75[[#This Row],[asOf]]))</f>
        <v>42426</v>
      </c>
      <c r="R109" s="19">
        <v>3.64</v>
      </c>
      <c r="S109" s="19">
        <v>0.5</v>
      </c>
      <c r="T109" s="19">
        <v>3.5150000000000001</v>
      </c>
      <c r="V109" s="48" t="s">
        <v>1900</v>
      </c>
      <c r="W109" s="48" t="s">
        <v>1832</v>
      </c>
      <c r="X109" s="51">
        <v>2.6040316185117298</v>
      </c>
      <c r="Z109" s="48" t="s">
        <v>1842</v>
      </c>
      <c r="AA109" s="51">
        <v>0.98090021845741004</v>
      </c>
      <c r="AB109"/>
      <c r="AC109"/>
      <c r="AD109"/>
      <c r="AE109"/>
      <c r="AF109"/>
      <c r="AG109"/>
    </row>
    <row r="110" spans="12:33">
      <c r="L110" s="48">
        <v>39356</v>
      </c>
      <c r="M110" s="48">
        <f t="shared" si="24"/>
        <v>39386</v>
      </c>
      <c r="N110" s="51">
        <v>6.1835135173344398</v>
      </c>
      <c r="O110" s="19"/>
      <c r="P110" s="19" t="s">
        <v>1842</v>
      </c>
      <c r="Q110" s="23">
        <f>DATE(YEAR(OneWeekMtgRatesDataTable75[[#This Row],[asOf]]),MONTH(OneWeekMtgRatesDataTable75[[#This Row],[asOf]]),DAY(OneWeekMtgRatesDataTable75[[#This Row],[asOf]]))</f>
        <v>42425</v>
      </c>
      <c r="R110" s="19">
        <v>3.64</v>
      </c>
      <c r="S110" s="19">
        <v>0.5</v>
      </c>
      <c r="T110" s="19">
        <v>3.5150000000000001</v>
      </c>
      <c r="V110" s="48" t="s">
        <v>1901</v>
      </c>
      <c r="W110" s="48" t="s">
        <v>1832</v>
      </c>
      <c r="X110" s="51">
        <v>2.6371866759210301</v>
      </c>
      <c r="Z110" s="48" t="s">
        <v>1843</v>
      </c>
      <c r="AA110" s="51">
        <v>0.987490102898405</v>
      </c>
      <c r="AB110"/>
      <c r="AC110"/>
      <c r="AD110"/>
      <c r="AE110"/>
      <c r="AF110"/>
      <c r="AG110"/>
    </row>
    <row r="111" spans="12:33">
      <c r="L111" s="48">
        <v>39326</v>
      </c>
      <c r="M111" s="48">
        <f t="shared" si="24"/>
        <v>39353</v>
      </c>
      <c r="N111" s="51">
        <v>6.1699407294909925</v>
      </c>
      <c r="O111" s="19"/>
      <c r="P111" s="19" t="s">
        <v>1843</v>
      </c>
      <c r="Q111" s="23">
        <f>DATE(YEAR(OneWeekMtgRatesDataTable75[[#This Row],[asOf]]),MONTH(OneWeekMtgRatesDataTable75[[#This Row],[asOf]]),DAY(OneWeekMtgRatesDataTable75[[#This Row],[asOf]]))</f>
        <v>42424</v>
      </c>
      <c r="R111" s="19">
        <v>3.62</v>
      </c>
      <c r="S111" s="19">
        <v>0.6</v>
      </c>
      <c r="T111" s="19">
        <v>3.52</v>
      </c>
      <c r="V111" s="48" t="s">
        <v>1902</v>
      </c>
      <c r="W111" s="48" t="s">
        <v>1832</v>
      </c>
      <c r="X111" s="51">
        <v>2.6160113869012802</v>
      </c>
      <c r="Z111" s="48" t="s">
        <v>1844</v>
      </c>
      <c r="AA111" s="51">
        <v>0.987490102898405</v>
      </c>
      <c r="AB111"/>
      <c r="AC111"/>
      <c r="AD111"/>
      <c r="AE111"/>
      <c r="AF111"/>
      <c r="AG111"/>
    </row>
    <row r="112" spans="12:33">
      <c r="L112" s="48">
        <v>39295</v>
      </c>
      <c r="M112" s="48">
        <f t="shared" si="24"/>
        <v>39325</v>
      </c>
      <c r="N112" s="51">
        <v>6.154107596380725</v>
      </c>
      <c r="O112" s="19"/>
      <c r="P112" s="19" t="s">
        <v>1844</v>
      </c>
      <c r="Q112" s="23">
        <f>DATE(YEAR(OneWeekMtgRatesDataTable75[[#This Row],[asOf]]),MONTH(OneWeekMtgRatesDataTable75[[#This Row],[asOf]]),DAY(OneWeekMtgRatesDataTable75[[#This Row],[asOf]]))</f>
        <v>42423</v>
      </c>
      <c r="R112" s="19">
        <v>3.62</v>
      </c>
      <c r="S112" s="19">
        <v>0.6</v>
      </c>
      <c r="T112" s="19">
        <v>3.52</v>
      </c>
      <c r="V112" s="48" t="s">
        <v>1840</v>
      </c>
      <c r="W112" s="48" t="s">
        <v>1832</v>
      </c>
      <c r="X112" s="51">
        <v>2.52735457322752</v>
      </c>
      <c r="Z112" s="48" t="s">
        <v>1845</v>
      </c>
      <c r="AA112" s="51">
        <v>0.987490102898405</v>
      </c>
      <c r="AB112"/>
      <c r="AC112"/>
      <c r="AD112"/>
      <c r="AE112"/>
      <c r="AF112"/>
      <c r="AG112"/>
    </row>
    <row r="113" spans="12:33">
      <c r="L113" s="48">
        <v>39264</v>
      </c>
      <c r="M113" s="48">
        <f t="shared" si="24"/>
        <v>39294</v>
      </c>
      <c r="N113" s="51">
        <v>6.1419055944067713</v>
      </c>
      <c r="O113" s="19"/>
      <c r="P113" s="19" t="s">
        <v>1845</v>
      </c>
      <c r="Q113" s="23">
        <f>DATE(YEAR(OneWeekMtgRatesDataTable75[[#This Row],[asOf]]),MONTH(OneWeekMtgRatesDataTable75[[#This Row],[asOf]]),DAY(OneWeekMtgRatesDataTable75[[#This Row],[asOf]]))</f>
        <v>42422</v>
      </c>
      <c r="R113" s="19">
        <v>3.62</v>
      </c>
      <c r="S113" s="19">
        <v>0.6</v>
      </c>
      <c r="T113" s="19">
        <v>3.52</v>
      </c>
      <c r="V113" s="48" t="s">
        <v>1841</v>
      </c>
      <c r="W113" s="48" t="s">
        <v>1832</v>
      </c>
      <c r="X113" s="51">
        <v>2.5559111404476602</v>
      </c>
      <c r="Z113" s="48" t="s">
        <v>1846</v>
      </c>
      <c r="AA113" s="51">
        <v>0.987490102898405</v>
      </c>
      <c r="AB113"/>
      <c r="AC113"/>
      <c r="AD113"/>
      <c r="AE113"/>
      <c r="AF113"/>
      <c r="AG113"/>
    </row>
    <row r="114" spans="12:33">
      <c r="L114" s="48">
        <v>39234</v>
      </c>
      <c r="M114" s="48">
        <f t="shared" si="24"/>
        <v>39262</v>
      </c>
      <c r="N114" s="51">
        <v>6.133032412761577</v>
      </c>
      <c r="O114" s="19"/>
      <c r="P114" s="19" t="s">
        <v>1846</v>
      </c>
      <c r="Q114" s="23">
        <f>DATE(YEAR(OneWeekMtgRatesDataTable75[[#This Row],[asOf]]),MONTH(OneWeekMtgRatesDataTable75[[#This Row],[asOf]]),DAY(OneWeekMtgRatesDataTable75[[#This Row],[asOf]]))</f>
        <v>42419</v>
      </c>
      <c r="R114" s="19">
        <v>3.62</v>
      </c>
      <c r="S114" s="19">
        <v>0.6</v>
      </c>
      <c r="T114" s="19">
        <v>3.52</v>
      </c>
      <c r="V114" s="48" t="s">
        <v>1842</v>
      </c>
      <c r="W114" s="48" t="s">
        <v>1832</v>
      </c>
      <c r="X114" s="51">
        <v>2.4936082120119001</v>
      </c>
      <c r="Z114" s="48" t="s">
        <v>1847</v>
      </c>
      <c r="AA114" s="51">
        <v>0.987490102898405</v>
      </c>
      <c r="AB114"/>
      <c r="AC114"/>
      <c r="AD114"/>
      <c r="AE114"/>
      <c r="AF114"/>
      <c r="AG114"/>
    </row>
    <row r="115" spans="12:33">
      <c r="L115" s="48">
        <v>39203</v>
      </c>
      <c r="M115" s="48">
        <f t="shared" si="24"/>
        <v>39233</v>
      </c>
      <c r="N115" s="51">
        <v>6.128303820522186</v>
      </c>
      <c r="O115" s="19"/>
      <c r="P115" s="19" t="s">
        <v>1847</v>
      </c>
      <c r="Q115" s="23">
        <f>DATE(YEAR(OneWeekMtgRatesDataTable75[[#This Row],[asOf]]),MONTH(OneWeekMtgRatesDataTable75[[#This Row],[asOf]]),DAY(OneWeekMtgRatesDataTable75[[#This Row],[asOf]]))</f>
        <v>42418</v>
      </c>
      <c r="R115" s="19">
        <v>3.62</v>
      </c>
      <c r="S115" s="19">
        <v>0.6</v>
      </c>
      <c r="T115" s="19">
        <v>3.52</v>
      </c>
      <c r="V115" s="48" t="s">
        <v>1843</v>
      </c>
      <c r="W115" s="48" t="s">
        <v>1832</v>
      </c>
      <c r="X115" s="51">
        <v>2.5165312715175401</v>
      </c>
      <c r="Z115" s="48" t="s">
        <v>1848</v>
      </c>
      <c r="AA115" s="51">
        <v>0.97559029446074297</v>
      </c>
      <c r="AB115"/>
      <c r="AC115"/>
      <c r="AD115"/>
      <c r="AE115"/>
      <c r="AF115"/>
      <c r="AG115"/>
    </row>
    <row r="116" spans="12:33">
      <c r="L116" s="48">
        <v>39173</v>
      </c>
      <c r="M116" s="48">
        <f t="shared" si="24"/>
        <v>39202</v>
      </c>
      <c r="N116" s="51">
        <v>6.124880242364994</v>
      </c>
      <c r="O116" s="19"/>
      <c r="P116" s="19" t="s">
        <v>1848</v>
      </c>
      <c r="Q116" s="23">
        <f>DATE(YEAR(OneWeekMtgRatesDataTable75[[#This Row],[asOf]]),MONTH(OneWeekMtgRatesDataTable75[[#This Row],[asOf]]),DAY(OneWeekMtgRatesDataTable75[[#This Row],[asOf]]))</f>
        <v>42417</v>
      </c>
      <c r="R116" s="19">
        <v>3.65</v>
      </c>
      <c r="S116" s="19">
        <v>0.5</v>
      </c>
      <c r="T116" s="19">
        <v>3.5249999999999999</v>
      </c>
      <c r="V116" s="48" t="s">
        <v>1844</v>
      </c>
      <c r="W116" s="48" t="s">
        <v>1832</v>
      </c>
      <c r="X116" s="51">
        <v>2.5356667445590699</v>
      </c>
      <c r="Z116" s="48" t="s">
        <v>1849</v>
      </c>
      <c r="AA116" s="51">
        <v>0.97559029446074297</v>
      </c>
      <c r="AB116"/>
      <c r="AC116"/>
      <c r="AD116"/>
      <c r="AE116"/>
      <c r="AF116"/>
      <c r="AG116"/>
    </row>
    <row r="117" spans="12:33">
      <c r="L117" s="48">
        <v>39142</v>
      </c>
      <c r="M117" s="48">
        <f t="shared" si="24"/>
        <v>39171</v>
      </c>
      <c r="N117" s="51">
        <v>6.1208978214506908</v>
      </c>
      <c r="O117" s="19"/>
      <c r="P117" s="19" t="s">
        <v>1849</v>
      </c>
      <c r="Q117" s="23">
        <f>DATE(YEAR(OneWeekMtgRatesDataTable75[[#This Row],[asOf]]),MONTH(OneWeekMtgRatesDataTable75[[#This Row],[asOf]]),DAY(OneWeekMtgRatesDataTable75[[#This Row],[asOf]]))</f>
        <v>42416</v>
      </c>
      <c r="R117" s="19">
        <v>3.65</v>
      </c>
      <c r="S117" s="19">
        <v>0.5</v>
      </c>
      <c r="T117" s="19">
        <v>3.5249999999999999</v>
      </c>
      <c r="V117" s="48" t="s">
        <v>1845</v>
      </c>
      <c r="W117" s="48" t="s">
        <v>1832</v>
      </c>
      <c r="X117" s="51">
        <v>2.5540295471269099</v>
      </c>
      <c r="Z117" s="48" t="s">
        <v>1850</v>
      </c>
      <c r="AA117" s="51">
        <v>0.97559029446074297</v>
      </c>
      <c r="AB117"/>
      <c r="AC117"/>
      <c r="AD117"/>
      <c r="AE117"/>
      <c r="AF117"/>
      <c r="AG117"/>
    </row>
    <row r="118" spans="12:33">
      <c r="L118" s="48">
        <v>39114</v>
      </c>
      <c r="M118" s="48">
        <f t="shared" si="24"/>
        <v>39141</v>
      </c>
      <c r="N118" s="51">
        <v>6.1174359987783431</v>
      </c>
      <c r="O118" s="19"/>
      <c r="P118" s="19" t="s">
        <v>1850</v>
      </c>
      <c r="Q118" s="23">
        <f>DATE(YEAR(OneWeekMtgRatesDataTable75[[#This Row],[asOf]]),MONTH(OneWeekMtgRatesDataTable75[[#This Row],[asOf]]),DAY(OneWeekMtgRatesDataTable75[[#This Row],[asOf]]))</f>
        <v>42412</v>
      </c>
      <c r="R118" s="19">
        <v>3.65</v>
      </c>
      <c r="S118" s="19">
        <v>0.5</v>
      </c>
      <c r="T118" s="19">
        <v>3.5249999999999999</v>
      </c>
      <c r="V118" s="48" t="s">
        <v>1846</v>
      </c>
      <c r="W118" s="48" t="s">
        <v>1832</v>
      </c>
      <c r="X118" s="51">
        <v>2.5449659922268899</v>
      </c>
      <c r="Z118" s="48" t="s">
        <v>1851</v>
      </c>
      <c r="AA118" s="51">
        <v>0.97559029446074297</v>
      </c>
      <c r="AB118"/>
      <c r="AC118"/>
      <c r="AD118"/>
      <c r="AE118"/>
      <c r="AF118"/>
      <c r="AG118"/>
    </row>
    <row r="119" spans="12:33">
      <c r="L119" s="48">
        <v>39083</v>
      </c>
      <c r="M119" s="48">
        <f t="shared" si="24"/>
        <v>39113</v>
      </c>
      <c r="N119" s="51">
        <v>6.1151773281207404</v>
      </c>
      <c r="O119" s="19"/>
      <c r="P119" s="19" t="s">
        <v>1851</v>
      </c>
      <c r="Q119" s="23">
        <f>DATE(YEAR(OneWeekMtgRatesDataTable75[[#This Row],[asOf]]),MONTH(OneWeekMtgRatesDataTable75[[#This Row],[asOf]]),DAY(OneWeekMtgRatesDataTable75[[#This Row],[asOf]]))</f>
        <v>42411</v>
      </c>
      <c r="R119" s="19">
        <v>3.65</v>
      </c>
      <c r="S119" s="19">
        <v>0.5</v>
      </c>
      <c r="T119" s="19">
        <v>3.5249999999999999</v>
      </c>
      <c r="V119" s="48" t="s">
        <v>1847</v>
      </c>
      <c r="W119" s="48" t="s">
        <v>1832</v>
      </c>
      <c r="X119" s="51">
        <v>2.5443053522825401</v>
      </c>
      <c r="Z119" s="48" t="s">
        <v>1852</v>
      </c>
      <c r="AA119" s="51">
        <v>0.96099133410500004</v>
      </c>
      <c r="AB119"/>
      <c r="AC119"/>
      <c r="AD119"/>
      <c r="AE119"/>
      <c r="AF119"/>
      <c r="AG119"/>
    </row>
    <row r="120" spans="12:33">
      <c r="L120" s="48">
        <v>39052</v>
      </c>
      <c r="M120" s="48">
        <f t="shared" si="24"/>
        <v>39080</v>
      </c>
      <c r="N120" s="51">
        <v>6.1115836866910209</v>
      </c>
      <c r="O120" s="19"/>
      <c r="P120" s="19" t="s">
        <v>1852</v>
      </c>
      <c r="Q120" s="23">
        <f>DATE(YEAR(OneWeekMtgRatesDataTable75[[#This Row],[asOf]]),MONTH(OneWeekMtgRatesDataTable75[[#This Row],[asOf]]),DAY(OneWeekMtgRatesDataTable75[[#This Row],[asOf]]))</f>
        <v>42410</v>
      </c>
      <c r="R120" s="19">
        <v>3.65</v>
      </c>
      <c r="S120" s="19">
        <v>0.5</v>
      </c>
      <c r="T120" s="19">
        <v>3.5249999999999999</v>
      </c>
      <c r="V120" s="48" t="s">
        <v>1848</v>
      </c>
      <c r="W120" s="48" t="s">
        <v>1832</v>
      </c>
      <c r="X120" s="51">
        <v>2.60333938625172</v>
      </c>
      <c r="Z120" s="48" t="s">
        <v>1853</v>
      </c>
      <c r="AA120" s="51">
        <v>0.96099133410500004</v>
      </c>
      <c r="AB120"/>
      <c r="AC120"/>
      <c r="AD120"/>
      <c r="AE120"/>
      <c r="AF120"/>
      <c r="AG120"/>
    </row>
    <row r="121" spans="12:33">
      <c r="L121" s="48">
        <v>39022</v>
      </c>
      <c r="M121" s="48">
        <f t="shared" si="24"/>
        <v>39051</v>
      </c>
      <c r="N121" s="51">
        <v>6.1050261156587329</v>
      </c>
      <c r="O121" s="19"/>
      <c r="P121" s="19" t="s">
        <v>1853</v>
      </c>
      <c r="Q121" s="23">
        <f>DATE(YEAR(OneWeekMtgRatesDataTable75[[#This Row],[asOf]]),MONTH(OneWeekMtgRatesDataTable75[[#This Row],[asOf]]),DAY(OneWeekMtgRatesDataTable75[[#This Row],[asOf]]))</f>
        <v>42409</v>
      </c>
      <c r="R121" s="19">
        <v>3.65</v>
      </c>
      <c r="S121" s="19">
        <v>0.5</v>
      </c>
      <c r="T121" s="19">
        <v>3.5249999999999999</v>
      </c>
      <c r="V121" s="48" t="s">
        <v>1849</v>
      </c>
      <c r="W121" s="48" t="s">
        <v>1832</v>
      </c>
      <c r="X121" s="51">
        <v>2.5621450125099101</v>
      </c>
      <c r="Z121" s="48" t="s">
        <v>1854</v>
      </c>
      <c r="AA121" s="51">
        <v>0.96099133410500004</v>
      </c>
      <c r="AB121"/>
      <c r="AC121"/>
      <c r="AD121"/>
      <c r="AE121"/>
      <c r="AF121"/>
      <c r="AG121"/>
    </row>
    <row r="122" spans="12:33">
      <c r="L122" s="48">
        <v>38991</v>
      </c>
      <c r="M122" s="48">
        <f t="shared" si="24"/>
        <v>39021</v>
      </c>
      <c r="N122" s="51">
        <v>6.0967656028976611</v>
      </c>
      <c r="O122" s="19"/>
      <c r="P122" s="19" t="s">
        <v>1854</v>
      </c>
      <c r="Q122" s="23">
        <f>DATE(YEAR(OneWeekMtgRatesDataTable75[[#This Row],[asOf]]),MONTH(OneWeekMtgRatesDataTable75[[#This Row],[asOf]]),DAY(OneWeekMtgRatesDataTable75[[#This Row],[asOf]]))</f>
        <v>42408</v>
      </c>
      <c r="R122" s="19">
        <v>3.65</v>
      </c>
      <c r="S122" s="19">
        <v>0.5</v>
      </c>
      <c r="T122" s="19">
        <v>3.5249999999999999</v>
      </c>
      <c r="V122" s="48" t="s">
        <v>1850</v>
      </c>
      <c r="W122" s="48" t="s">
        <v>1832</v>
      </c>
      <c r="X122" s="51">
        <v>2.5557387123841</v>
      </c>
      <c r="Z122" s="48" t="s">
        <v>1855</v>
      </c>
      <c r="AA122" s="51">
        <v>0.96099133410500004</v>
      </c>
      <c r="AB122"/>
      <c r="AC122"/>
      <c r="AD122"/>
      <c r="AE122"/>
      <c r="AF122"/>
      <c r="AG122"/>
    </row>
    <row r="123" spans="12:33">
      <c r="L123" s="48">
        <v>38961</v>
      </c>
      <c r="M123" s="48">
        <f t="shared" si="24"/>
        <v>38989</v>
      </c>
      <c r="N123" s="51">
        <v>6.0837266053371089</v>
      </c>
      <c r="O123" s="19"/>
      <c r="P123" s="19" t="s">
        <v>1855</v>
      </c>
      <c r="Q123" s="23">
        <f>DATE(YEAR(OneWeekMtgRatesDataTable75[[#This Row],[asOf]]),MONTH(OneWeekMtgRatesDataTable75[[#This Row],[asOf]]),DAY(OneWeekMtgRatesDataTable75[[#This Row],[asOf]]))</f>
        <v>42405</v>
      </c>
      <c r="R123" s="19">
        <v>3.65</v>
      </c>
      <c r="S123" s="19">
        <v>0.5</v>
      </c>
      <c r="T123" s="19">
        <v>3.5249999999999999</v>
      </c>
      <c r="V123" s="48" t="s">
        <v>1851</v>
      </c>
      <c r="W123" s="48" t="s">
        <v>1832</v>
      </c>
      <c r="X123" s="51">
        <v>2.42881647726065</v>
      </c>
      <c r="Z123" s="48" t="s">
        <v>1856</v>
      </c>
      <c r="AA123" s="51">
        <v>0.96099133410500004</v>
      </c>
      <c r="AB123"/>
      <c r="AC123"/>
      <c r="AD123"/>
      <c r="AE123"/>
      <c r="AF123"/>
      <c r="AG123"/>
    </row>
    <row r="124" spans="12:33">
      <c r="L124" s="48">
        <v>38930</v>
      </c>
      <c r="M124" s="48">
        <f t="shared" si="24"/>
        <v>38960</v>
      </c>
      <c r="N124" s="51">
        <v>6.069785653114649</v>
      </c>
      <c r="O124" s="19"/>
      <c r="P124" s="19" t="s">
        <v>1856</v>
      </c>
      <c r="Q124" s="23">
        <f>DATE(YEAR(OneWeekMtgRatesDataTable75[[#This Row],[asOf]]),MONTH(OneWeekMtgRatesDataTable75[[#This Row],[asOf]]),DAY(OneWeekMtgRatesDataTable75[[#This Row],[asOf]]))</f>
        <v>42404</v>
      </c>
      <c r="R124" s="19">
        <v>3.65</v>
      </c>
      <c r="S124" s="19">
        <v>0.5</v>
      </c>
      <c r="T124" s="19">
        <v>3.5249999999999999</v>
      </c>
      <c r="V124" s="48" t="s">
        <v>1852</v>
      </c>
      <c r="W124" s="48" t="s">
        <v>1832</v>
      </c>
      <c r="X124" s="51">
        <v>2.4821302759437298</v>
      </c>
      <c r="Z124" s="48" t="s">
        <v>1857</v>
      </c>
      <c r="AA124" s="51">
        <v>0.93208019459837399</v>
      </c>
      <c r="AB124"/>
      <c r="AC124"/>
      <c r="AD124"/>
      <c r="AE124"/>
      <c r="AF124"/>
      <c r="AG124"/>
    </row>
    <row r="125" spans="12:33">
      <c r="L125" s="48">
        <v>38899</v>
      </c>
      <c r="M125" s="48">
        <f t="shared" si="24"/>
        <v>38929</v>
      </c>
      <c r="N125" s="51">
        <v>6.0550007104116164</v>
      </c>
      <c r="O125" s="19"/>
      <c r="P125" s="19" t="s">
        <v>1857</v>
      </c>
      <c r="Q125" s="23">
        <f>DATE(YEAR(OneWeekMtgRatesDataTable75[[#This Row],[asOf]]),MONTH(OneWeekMtgRatesDataTable75[[#This Row],[asOf]]),DAY(OneWeekMtgRatesDataTable75[[#This Row],[asOf]]))</f>
        <v>42403</v>
      </c>
      <c r="R125" s="19">
        <v>3.72</v>
      </c>
      <c r="S125" s="19">
        <v>0.6</v>
      </c>
      <c r="T125" s="19">
        <v>3.62</v>
      </c>
      <c r="V125" s="48" t="s">
        <v>1853</v>
      </c>
      <c r="W125" s="48" t="s">
        <v>1832</v>
      </c>
      <c r="X125" s="51">
        <v>2.5047286028973201</v>
      </c>
      <c r="Z125" s="48" t="s">
        <v>1831</v>
      </c>
      <c r="AA125" s="51">
        <v>0.93208019459837399</v>
      </c>
      <c r="AB125"/>
      <c r="AC125"/>
      <c r="AD125"/>
      <c r="AE125"/>
      <c r="AF125"/>
      <c r="AG125"/>
    </row>
    <row r="126" spans="12:33">
      <c r="L126" s="48">
        <v>38869</v>
      </c>
      <c r="M126" s="48">
        <f t="shared" si="24"/>
        <v>38898</v>
      </c>
      <c r="N126" s="51">
        <v>6.0428022320421233</v>
      </c>
      <c r="O126" s="19"/>
      <c r="P126" s="19" t="s">
        <v>1831</v>
      </c>
      <c r="Q126" s="23">
        <f>DATE(YEAR(OneWeekMtgRatesDataTable75[[#This Row],[asOf]]),MONTH(OneWeekMtgRatesDataTable75[[#This Row],[asOf]]),DAY(OneWeekMtgRatesDataTable75[[#This Row],[asOf]]))</f>
        <v>42402</v>
      </c>
      <c r="R126" s="19">
        <v>3.72</v>
      </c>
      <c r="S126" s="19">
        <v>0.6</v>
      </c>
      <c r="T126" s="19">
        <v>3.62</v>
      </c>
      <c r="V126" s="48" t="s">
        <v>1854</v>
      </c>
      <c r="W126" s="48" t="s">
        <v>1832</v>
      </c>
      <c r="X126" s="51">
        <v>2.5303433230650998</v>
      </c>
      <c r="Z126" s="48" t="s">
        <v>1807</v>
      </c>
      <c r="AA126" s="51">
        <v>0.93208019459837399</v>
      </c>
      <c r="AB126"/>
      <c r="AC126"/>
      <c r="AD126"/>
      <c r="AE126"/>
      <c r="AF126"/>
      <c r="AG126"/>
    </row>
    <row r="127" spans="12:33">
      <c r="L127" s="48">
        <v>38838</v>
      </c>
      <c r="M127" s="48">
        <f t="shared" si="24"/>
        <v>38868</v>
      </c>
      <c r="N127" s="51">
        <v>6.0321812195439115</v>
      </c>
      <c r="O127" s="19"/>
      <c r="P127" s="19" t="s">
        <v>1807</v>
      </c>
      <c r="Q127" s="23">
        <f>DATE(YEAR(OneWeekMtgRatesDataTable75[[#This Row],[asOf]]),MONTH(OneWeekMtgRatesDataTable75[[#This Row],[asOf]]),DAY(OneWeekMtgRatesDataTable75[[#This Row],[asOf]]))</f>
        <v>42401</v>
      </c>
      <c r="R127" s="19">
        <v>3.72</v>
      </c>
      <c r="S127" s="19">
        <v>0.6</v>
      </c>
      <c r="T127" s="19">
        <v>3.62</v>
      </c>
      <c r="V127" s="48" t="s">
        <v>1855</v>
      </c>
      <c r="W127" s="48" t="s">
        <v>1832</v>
      </c>
      <c r="X127" s="51">
        <v>2.6103236546711099</v>
      </c>
      <c r="Z127" s="48" t="s">
        <v>1808</v>
      </c>
      <c r="AA127" s="51">
        <v>0.93208019459837399</v>
      </c>
      <c r="AB127"/>
      <c r="AC127"/>
      <c r="AD127"/>
      <c r="AE127"/>
      <c r="AF127"/>
      <c r="AG127"/>
    </row>
    <row r="128" spans="12:33">
      <c r="L128" s="48">
        <v>38808</v>
      </c>
      <c r="M128" s="48">
        <f t="shared" si="24"/>
        <v>38835</v>
      </c>
      <c r="N128" s="51">
        <v>6.0247026465371158</v>
      </c>
      <c r="O128" s="19"/>
      <c r="P128" s="19" t="s">
        <v>1808</v>
      </c>
      <c r="Q128" s="23">
        <f>DATE(YEAR(OneWeekMtgRatesDataTable75[[#This Row],[asOf]]),MONTH(OneWeekMtgRatesDataTable75[[#This Row],[asOf]]),DAY(OneWeekMtgRatesDataTable75[[#This Row],[asOf]]))</f>
        <v>42398</v>
      </c>
      <c r="R128" s="19">
        <v>3.72</v>
      </c>
      <c r="S128" s="19">
        <v>0.6</v>
      </c>
      <c r="T128" s="19">
        <v>3.62</v>
      </c>
      <c r="V128" s="48" t="s">
        <v>1856</v>
      </c>
      <c r="W128" s="48" t="s">
        <v>1832</v>
      </c>
      <c r="X128" s="51">
        <v>2.6195226711190198</v>
      </c>
      <c r="Z128" s="48" t="s">
        <v>1809</v>
      </c>
      <c r="AA128" s="51">
        <v>0.93208019459837399</v>
      </c>
      <c r="AB128"/>
      <c r="AC128"/>
      <c r="AD128"/>
      <c r="AE128"/>
      <c r="AF128"/>
      <c r="AG128"/>
    </row>
    <row r="129" spans="12:33">
      <c r="L129" s="48">
        <v>38777</v>
      </c>
      <c r="M129" s="48">
        <f t="shared" si="24"/>
        <v>38807</v>
      </c>
      <c r="N129" s="51">
        <v>6.0200183295153664</v>
      </c>
      <c r="O129" s="19"/>
      <c r="P129" s="19" t="s">
        <v>1809</v>
      </c>
      <c r="Q129" s="23">
        <f>DATE(YEAR(OneWeekMtgRatesDataTable75[[#This Row],[asOf]]),MONTH(OneWeekMtgRatesDataTable75[[#This Row],[asOf]]),DAY(OneWeekMtgRatesDataTable75[[#This Row],[asOf]]))</f>
        <v>42397</v>
      </c>
      <c r="R129" s="19">
        <v>3.72</v>
      </c>
      <c r="S129" s="19">
        <v>0.6</v>
      </c>
      <c r="T129" s="19">
        <v>3.62</v>
      </c>
      <c r="V129" s="48" t="s">
        <v>1857</v>
      </c>
      <c r="W129" s="48" t="s">
        <v>1832</v>
      </c>
      <c r="X129" s="51">
        <v>2.6150928157028002</v>
      </c>
      <c r="Z129" s="48" t="s">
        <v>1810</v>
      </c>
      <c r="AA129" s="51">
        <v>0.92584729351585504</v>
      </c>
      <c r="AB129"/>
      <c r="AC129"/>
      <c r="AD129"/>
      <c r="AE129"/>
      <c r="AF129"/>
      <c r="AG129"/>
    </row>
    <row r="130" spans="12:33">
      <c r="L130" s="48">
        <v>38749</v>
      </c>
      <c r="M130" s="48">
        <f t="shared" si="24"/>
        <v>38776</v>
      </c>
      <c r="N130" s="51">
        <v>6.0154132596131431</v>
      </c>
      <c r="O130" s="19"/>
      <c r="P130" s="19" t="s">
        <v>1810</v>
      </c>
      <c r="Q130" s="23">
        <f>DATE(YEAR(OneWeekMtgRatesDataTable75[[#This Row],[asOf]]),MONTH(OneWeekMtgRatesDataTable75[[#This Row],[asOf]]),DAY(OneWeekMtgRatesDataTable75[[#This Row],[asOf]]))</f>
        <v>42396</v>
      </c>
      <c r="R130" s="19">
        <v>3.79</v>
      </c>
      <c r="S130" s="19">
        <v>0.6</v>
      </c>
      <c r="T130" s="19">
        <v>3.69</v>
      </c>
      <c r="V130" s="48" t="s">
        <v>1831</v>
      </c>
      <c r="W130" s="48" t="s">
        <v>1832</v>
      </c>
      <c r="X130" s="51">
        <v>2.6172888132357301</v>
      </c>
      <c r="Z130" s="48" t="s">
        <v>1811</v>
      </c>
      <c r="AA130" s="51">
        <v>0.92584729351585504</v>
      </c>
      <c r="AB130"/>
      <c r="AC130"/>
      <c r="AD130"/>
      <c r="AE130"/>
      <c r="AF130"/>
      <c r="AG130"/>
    </row>
    <row r="131" spans="12:33">
      <c r="L131" s="48">
        <v>38718</v>
      </c>
      <c r="M131" s="48">
        <f t="shared" si="24"/>
        <v>38748</v>
      </c>
      <c r="N131" s="51">
        <v>6.0114448276697781</v>
      </c>
      <c r="O131" s="19"/>
      <c r="P131" s="19" t="s">
        <v>1811</v>
      </c>
      <c r="Q131" s="23">
        <f>DATE(YEAR(OneWeekMtgRatesDataTable75[[#This Row],[asOf]]),MONTH(OneWeekMtgRatesDataTable75[[#This Row],[asOf]]),DAY(OneWeekMtgRatesDataTable75[[#This Row],[asOf]]))</f>
        <v>42395</v>
      </c>
      <c r="R131" s="19">
        <v>3.79</v>
      </c>
      <c r="S131" s="19">
        <v>0.6</v>
      </c>
      <c r="T131" s="19">
        <v>3.69</v>
      </c>
      <c r="V131" s="48" t="s">
        <v>1807</v>
      </c>
      <c r="W131" s="48" t="s">
        <v>1832</v>
      </c>
      <c r="X131" s="51">
        <v>2.7082747576934199</v>
      </c>
      <c r="Z131" s="48" t="s">
        <v>1812</v>
      </c>
      <c r="AA131" s="51">
        <v>0.92584729351585504</v>
      </c>
      <c r="AB131"/>
      <c r="AC131"/>
      <c r="AD131"/>
      <c r="AE131"/>
      <c r="AF131"/>
      <c r="AG131"/>
    </row>
    <row r="132" spans="12:33">
      <c r="L132" s="48">
        <v>38687</v>
      </c>
      <c r="M132" s="48">
        <f t="shared" ref="M132:M195" si="25">IF(WEEKDAY(DATE(YEAR(L132),MONTH(L132)+1,0),2)=6,DATE(YEAR(L132),MONTH(L132)+1,0)-1,IF(WEEKDAY(DATE(YEAR(L132),MONTH(L132)+1,0),2)=7,DATE(YEAR(L132),MONTH(L132)+1,0)-2,DATE(YEAR(L132),MONTH(L132)+1,0)))</f>
        <v>38716</v>
      </c>
      <c r="N132" s="51">
        <v>6.0081037414650309</v>
      </c>
      <c r="O132" s="19"/>
      <c r="P132" s="19" t="s">
        <v>1812</v>
      </c>
      <c r="Q132" s="23">
        <f>DATE(YEAR(OneWeekMtgRatesDataTable75[[#This Row],[asOf]]),MONTH(OneWeekMtgRatesDataTable75[[#This Row],[asOf]]),DAY(OneWeekMtgRatesDataTable75[[#This Row],[asOf]]))</f>
        <v>42394</v>
      </c>
      <c r="R132" s="19">
        <v>3.79</v>
      </c>
      <c r="S132" s="19">
        <v>0.6</v>
      </c>
      <c r="T132" s="19">
        <v>3.69</v>
      </c>
      <c r="V132" s="48" t="s">
        <v>1808</v>
      </c>
      <c r="W132" s="48" t="s">
        <v>1832</v>
      </c>
      <c r="X132" s="51">
        <v>2.6475345232254401</v>
      </c>
      <c r="Z132" s="48" t="s">
        <v>1813</v>
      </c>
      <c r="AA132" s="51">
        <v>0.92584729351585504</v>
      </c>
      <c r="AB132"/>
      <c r="AC132"/>
      <c r="AD132"/>
      <c r="AE132"/>
      <c r="AF132"/>
      <c r="AG132"/>
    </row>
    <row r="133" spans="12:33">
      <c r="L133" s="48">
        <v>38657</v>
      </c>
      <c r="M133" s="48">
        <f t="shared" si="25"/>
        <v>38686</v>
      </c>
      <c r="N133" s="51">
        <v>6.0095922398203516</v>
      </c>
      <c r="O133" s="19"/>
      <c r="P133" s="19" t="s">
        <v>1813</v>
      </c>
      <c r="Q133" s="23">
        <f>DATE(YEAR(OneWeekMtgRatesDataTable75[[#This Row],[asOf]]),MONTH(OneWeekMtgRatesDataTable75[[#This Row],[asOf]]),DAY(OneWeekMtgRatesDataTable75[[#This Row],[asOf]]))</f>
        <v>42391</v>
      </c>
      <c r="R133" s="19">
        <v>3.79</v>
      </c>
      <c r="S133" s="19">
        <v>0.6</v>
      </c>
      <c r="T133" s="19">
        <v>3.69</v>
      </c>
      <c r="V133" s="48" t="s">
        <v>1809</v>
      </c>
      <c r="W133" s="48" t="s">
        <v>1832</v>
      </c>
      <c r="X133" s="51">
        <v>2.70685241961761</v>
      </c>
      <c r="Z133" s="48" t="s">
        <v>1815</v>
      </c>
      <c r="AA133" s="51">
        <v>0.92584729351585504</v>
      </c>
      <c r="AB133"/>
      <c r="AC133"/>
      <c r="AD133"/>
      <c r="AE133"/>
      <c r="AF133"/>
      <c r="AG133"/>
    </row>
    <row r="134" spans="12:33">
      <c r="L134" s="48">
        <v>38626</v>
      </c>
      <c r="M134" s="48">
        <f t="shared" si="25"/>
        <v>38656</v>
      </c>
      <c r="N134" s="51">
        <v>6.0150666133711397</v>
      </c>
      <c r="O134" s="19"/>
      <c r="P134" s="19" t="s">
        <v>1814</v>
      </c>
      <c r="Q134" s="23">
        <f>DATE(YEAR(OneWeekMtgRatesDataTable75[[#This Row],[asOf]]),MONTH(OneWeekMtgRatesDataTable75[[#This Row],[asOf]]),DAY(OneWeekMtgRatesDataTable75[[#This Row],[asOf]]))</f>
        <v>42390</v>
      </c>
      <c r="R134" s="19">
        <v>3.79</v>
      </c>
      <c r="S134" s="19">
        <v>0.6</v>
      </c>
      <c r="T134" s="19">
        <v>3.69</v>
      </c>
      <c r="V134" s="48" t="s">
        <v>1810</v>
      </c>
      <c r="W134" s="48" t="s">
        <v>1832</v>
      </c>
      <c r="X134" s="51">
        <v>2.73574020589367</v>
      </c>
      <c r="Z134" s="48" t="s">
        <v>1816</v>
      </c>
      <c r="AA134" s="51">
        <v>0.94989804200000005</v>
      </c>
      <c r="AB134"/>
      <c r="AC134"/>
      <c r="AD134"/>
      <c r="AE134"/>
      <c r="AF134"/>
      <c r="AG134"/>
    </row>
    <row r="135" spans="12:33">
      <c r="L135" s="48">
        <v>38596</v>
      </c>
      <c r="M135" s="48">
        <f t="shared" si="25"/>
        <v>38625</v>
      </c>
      <c r="N135" s="51">
        <v>6.0224193008816895</v>
      </c>
      <c r="O135" s="19"/>
      <c r="P135" s="19" t="s">
        <v>1815</v>
      </c>
      <c r="Q135" s="23">
        <f>DATE(YEAR(OneWeekMtgRatesDataTable75[[#This Row],[asOf]]),MONTH(OneWeekMtgRatesDataTable75[[#This Row],[asOf]]),DAY(OneWeekMtgRatesDataTable75[[#This Row],[asOf]]))</f>
        <v>42389</v>
      </c>
      <c r="R135" s="19">
        <v>3.81</v>
      </c>
      <c r="S135" s="19">
        <v>0.6</v>
      </c>
      <c r="T135" s="19">
        <v>3.71</v>
      </c>
      <c r="V135" s="48" t="s">
        <v>1811</v>
      </c>
      <c r="W135" s="48" t="s">
        <v>1832</v>
      </c>
      <c r="X135" s="51">
        <v>2.7316832790579499</v>
      </c>
      <c r="Z135" s="48" t="s">
        <v>1817</v>
      </c>
      <c r="AA135" s="51">
        <v>0.94989804200000005</v>
      </c>
      <c r="AB135"/>
      <c r="AC135"/>
      <c r="AD135"/>
      <c r="AE135"/>
      <c r="AF135"/>
      <c r="AG135"/>
    </row>
    <row r="136" spans="12:33">
      <c r="L136" s="48">
        <v>38565</v>
      </c>
      <c r="M136" s="48">
        <f t="shared" si="25"/>
        <v>38595</v>
      </c>
      <c r="N136" s="51">
        <v>6.0330389042446155</v>
      </c>
      <c r="O136" s="19"/>
      <c r="P136" s="19" t="s">
        <v>1816</v>
      </c>
      <c r="Q136" s="23">
        <f>DATE(YEAR(OneWeekMtgRatesDataTable75[[#This Row],[asOf]]),MONTH(OneWeekMtgRatesDataTable75[[#This Row],[asOf]]),DAY(OneWeekMtgRatesDataTable75[[#This Row],[asOf]]))</f>
        <v>42388</v>
      </c>
      <c r="R136" s="19">
        <v>3.81</v>
      </c>
      <c r="S136" s="19">
        <v>0.6</v>
      </c>
      <c r="T136" s="19">
        <v>3.71</v>
      </c>
      <c r="V136" s="48" t="s">
        <v>1812</v>
      </c>
      <c r="W136" s="48" t="s">
        <v>1832</v>
      </c>
      <c r="X136" s="51">
        <v>2.7702129413051901</v>
      </c>
      <c r="Z136" s="48" t="s">
        <v>1818</v>
      </c>
      <c r="AA136" s="51">
        <v>0.94989804200000005</v>
      </c>
      <c r="AB136"/>
      <c r="AC136"/>
      <c r="AD136"/>
      <c r="AE136"/>
      <c r="AF136"/>
      <c r="AG136"/>
    </row>
    <row r="137" spans="12:33">
      <c r="L137" s="48">
        <v>38534</v>
      </c>
      <c r="M137" s="48">
        <f t="shared" si="25"/>
        <v>38562</v>
      </c>
      <c r="N137" s="51">
        <v>6.0442837025672125</v>
      </c>
      <c r="O137" s="19"/>
      <c r="P137" s="19" t="s">
        <v>1817</v>
      </c>
      <c r="Q137" s="23">
        <f>DATE(YEAR(OneWeekMtgRatesDataTable75[[#This Row],[asOf]]),MONTH(OneWeekMtgRatesDataTable75[[#This Row],[asOf]]),DAY(OneWeekMtgRatesDataTable75[[#This Row],[asOf]]))</f>
        <v>42384</v>
      </c>
      <c r="R137" s="19">
        <v>3.81</v>
      </c>
      <c r="S137" s="19">
        <v>0.6</v>
      </c>
      <c r="T137" s="19">
        <v>3.71</v>
      </c>
      <c r="V137" s="48" t="s">
        <v>1813</v>
      </c>
      <c r="W137" s="48" t="s">
        <v>1832</v>
      </c>
      <c r="X137" s="51">
        <v>2.7884908118762199</v>
      </c>
      <c r="Z137" s="48" t="s">
        <v>1819</v>
      </c>
      <c r="AA137" s="51">
        <v>0.94989804200000005</v>
      </c>
      <c r="AB137"/>
      <c r="AC137"/>
      <c r="AD137"/>
      <c r="AE137"/>
      <c r="AF137"/>
      <c r="AG137"/>
    </row>
    <row r="138" spans="12:33">
      <c r="L138" s="48">
        <v>38504</v>
      </c>
      <c r="M138" s="48">
        <f t="shared" si="25"/>
        <v>38533</v>
      </c>
      <c r="N138" s="51">
        <v>6.0534152973953574</v>
      </c>
      <c r="O138" s="19"/>
      <c r="P138" s="19" t="s">
        <v>1818</v>
      </c>
      <c r="Q138" s="23">
        <f>DATE(YEAR(OneWeekMtgRatesDataTable75[[#This Row],[asOf]]),MONTH(OneWeekMtgRatesDataTable75[[#This Row],[asOf]]),DAY(OneWeekMtgRatesDataTable75[[#This Row],[asOf]]))</f>
        <v>42383</v>
      </c>
      <c r="R138" s="19">
        <v>3.81</v>
      </c>
      <c r="S138" s="19">
        <v>0.6</v>
      </c>
      <c r="T138" s="19">
        <v>3.71</v>
      </c>
      <c r="V138" s="48" t="s">
        <v>1814</v>
      </c>
      <c r="W138" s="48" t="s">
        <v>1832</v>
      </c>
      <c r="X138" s="51">
        <v>2.7634717888750999</v>
      </c>
      <c r="Z138" s="48" t="s">
        <v>1820</v>
      </c>
      <c r="AA138" s="51">
        <v>0.88815502700000004</v>
      </c>
      <c r="AB138"/>
      <c r="AC138"/>
      <c r="AD138"/>
      <c r="AE138"/>
      <c r="AF138"/>
      <c r="AG138"/>
    </row>
    <row r="139" spans="12:33">
      <c r="L139" s="48">
        <v>38473</v>
      </c>
      <c r="M139" s="48">
        <f t="shared" si="25"/>
        <v>38503</v>
      </c>
      <c r="N139" s="51">
        <v>6.0593567559784667</v>
      </c>
      <c r="O139" s="19"/>
      <c r="P139" s="19" t="s">
        <v>1819</v>
      </c>
      <c r="Q139" s="23">
        <f>DATE(YEAR(OneWeekMtgRatesDataTable75[[#This Row],[asOf]]),MONTH(OneWeekMtgRatesDataTable75[[#This Row],[asOf]]),DAY(OneWeekMtgRatesDataTable75[[#This Row],[asOf]]))</f>
        <v>42382</v>
      </c>
      <c r="R139" s="19">
        <v>3.92</v>
      </c>
      <c r="S139" s="19">
        <v>0.6</v>
      </c>
      <c r="T139" s="19">
        <v>3.82</v>
      </c>
      <c r="V139" s="48" t="s">
        <v>1815</v>
      </c>
      <c r="W139" s="48" t="s">
        <v>1832</v>
      </c>
      <c r="X139" s="51">
        <v>2.7399955828051801</v>
      </c>
      <c r="Z139" s="48" t="s">
        <v>1821</v>
      </c>
      <c r="AA139" s="51">
        <v>0.88815502700000004</v>
      </c>
      <c r="AB139"/>
      <c r="AC139"/>
      <c r="AD139"/>
      <c r="AE139"/>
      <c r="AF139"/>
      <c r="AG139"/>
    </row>
    <row r="140" spans="12:33">
      <c r="L140" s="48">
        <v>38443</v>
      </c>
      <c r="M140" s="48">
        <f t="shared" si="25"/>
        <v>38471</v>
      </c>
      <c r="N140" s="51">
        <v>6.0668000832245879</v>
      </c>
      <c r="O140" s="19"/>
      <c r="P140" s="19" t="s">
        <v>1820</v>
      </c>
      <c r="Q140" s="23">
        <f>DATE(YEAR(OneWeekMtgRatesDataTable75[[#This Row],[asOf]]),MONTH(OneWeekMtgRatesDataTable75[[#This Row],[asOf]]),DAY(OneWeekMtgRatesDataTable75[[#This Row],[asOf]]))</f>
        <v>42381</v>
      </c>
      <c r="R140" s="19">
        <v>3.92</v>
      </c>
      <c r="S140" s="19">
        <v>0.6</v>
      </c>
      <c r="T140" s="19">
        <v>3.82</v>
      </c>
      <c r="V140" s="48" t="s">
        <v>1816</v>
      </c>
      <c r="W140" s="48" t="s">
        <v>1832</v>
      </c>
      <c r="X140" s="51">
        <v>2.78837847860318</v>
      </c>
      <c r="Z140" s="48" t="s">
        <v>1822</v>
      </c>
      <c r="AA140" s="51">
        <v>0.88815502700000004</v>
      </c>
      <c r="AB140"/>
      <c r="AC140"/>
      <c r="AD140"/>
      <c r="AE140"/>
      <c r="AF140"/>
      <c r="AG140"/>
    </row>
    <row r="141" spans="12:33">
      <c r="L141" s="48">
        <v>38412</v>
      </c>
      <c r="M141" s="48">
        <f t="shared" si="25"/>
        <v>38442</v>
      </c>
      <c r="N141" s="51">
        <v>6.0785938874519987</v>
      </c>
      <c r="O141" s="19"/>
      <c r="P141" s="19" t="s">
        <v>1821</v>
      </c>
      <c r="Q141" s="23">
        <f>DATE(YEAR(OneWeekMtgRatesDataTable75[[#This Row],[asOf]]),MONTH(OneWeekMtgRatesDataTable75[[#This Row],[asOf]]),DAY(OneWeekMtgRatesDataTable75[[#This Row],[asOf]]))</f>
        <v>42380</v>
      </c>
      <c r="R141" s="19">
        <v>3.92</v>
      </c>
      <c r="S141" s="19">
        <v>0.6</v>
      </c>
      <c r="T141" s="19">
        <v>3.82</v>
      </c>
      <c r="V141" s="48" t="s">
        <v>1817</v>
      </c>
      <c r="W141" s="48" t="s">
        <v>1832</v>
      </c>
      <c r="X141" s="51">
        <v>2.78255799649583</v>
      </c>
      <c r="Z141" s="48" t="s">
        <v>1823</v>
      </c>
      <c r="AA141" s="51">
        <v>0.88815502700000004</v>
      </c>
      <c r="AB141"/>
      <c r="AC141"/>
      <c r="AD141"/>
      <c r="AE141"/>
      <c r="AF141"/>
      <c r="AG141"/>
    </row>
    <row r="142" spans="12:33">
      <c r="L142" s="48">
        <v>38384</v>
      </c>
      <c r="M142" s="48">
        <f t="shared" si="25"/>
        <v>38411</v>
      </c>
      <c r="N142" s="51">
        <v>6.0882423130064458</v>
      </c>
      <c r="O142" s="19"/>
      <c r="P142" s="19" t="s">
        <v>1822</v>
      </c>
      <c r="Q142" s="23">
        <f>DATE(YEAR(OneWeekMtgRatesDataTable75[[#This Row],[asOf]]),MONTH(OneWeekMtgRatesDataTable75[[#This Row],[asOf]]),DAY(OneWeekMtgRatesDataTable75[[#This Row],[asOf]]))</f>
        <v>42377</v>
      </c>
      <c r="R142" s="19">
        <v>3.92</v>
      </c>
      <c r="S142" s="19">
        <v>0.6</v>
      </c>
      <c r="T142" s="19">
        <v>3.82</v>
      </c>
      <c r="V142" s="48" t="s">
        <v>1818</v>
      </c>
      <c r="W142" s="48" t="s">
        <v>1832</v>
      </c>
      <c r="X142" s="51">
        <v>2.82567876803239</v>
      </c>
      <c r="Z142" s="48" t="s">
        <v>1824</v>
      </c>
      <c r="AA142" s="51">
        <v>0.88815502700000004</v>
      </c>
      <c r="AB142"/>
      <c r="AC142"/>
      <c r="AD142"/>
      <c r="AE142"/>
      <c r="AF142"/>
      <c r="AG142"/>
    </row>
    <row r="143" spans="12:33">
      <c r="L143" s="48">
        <v>38353</v>
      </c>
      <c r="M143" s="48">
        <f t="shared" si="25"/>
        <v>38383</v>
      </c>
      <c r="N143" s="51">
        <v>6.0967223586045804</v>
      </c>
      <c r="O143" s="19"/>
      <c r="P143" s="19" t="s">
        <v>1823</v>
      </c>
      <c r="Q143" s="23">
        <f>DATE(YEAR(OneWeekMtgRatesDataTable75[[#This Row],[asOf]]),MONTH(OneWeekMtgRatesDataTable75[[#This Row],[asOf]]),DAY(OneWeekMtgRatesDataTable75[[#This Row],[asOf]]))</f>
        <v>42376</v>
      </c>
      <c r="R143" s="19">
        <v>3.92</v>
      </c>
      <c r="S143" s="19">
        <v>0.6</v>
      </c>
      <c r="T143" s="19">
        <v>3.82</v>
      </c>
      <c r="V143" s="48" t="s">
        <v>1819</v>
      </c>
      <c r="W143" s="48" t="s">
        <v>1832</v>
      </c>
      <c r="X143" s="51">
        <v>2.8127941632470699</v>
      </c>
      <c r="Z143" s="48" t="s">
        <v>1825</v>
      </c>
      <c r="AA143" s="51">
        <v>0.87590262600000002</v>
      </c>
      <c r="AB143"/>
      <c r="AC143"/>
      <c r="AD143"/>
      <c r="AE143"/>
      <c r="AF143"/>
      <c r="AG143"/>
    </row>
    <row r="144" spans="12:33">
      <c r="L144" s="48">
        <v>38322</v>
      </c>
      <c r="M144" s="48">
        <f t="shared" si="25"/>
        <v>38352</v>
      </c>
      <c r="N144" s="51">
        <v>6.1080721751256553</v>
      </c>
      <c r="O144" s="19"/>
      <c r="P144" s="19" t="s">
        <v>1824</v>
      </c>
      <c r="Q144" s="23">
        <f>DATE(YEAR(OneWeekMtgRatesDataTable75[[#This Row],[asOf]]),MONTH(OneWeekMtgRatesDataTable75[[#This Row],[asOf]]),DAY(OneWeekMtgRatesDataTable75[[#This Row],[asOf]]))</f>
        <v>42375</v>
      </c>
      <c r="R144" s="19">
        <v>3.97</v>
      </c>
      <c r="S144" s="19">
        <v>0.6</v>
      </c>
      <c r="T144" s="19">
        <v>3.87</v>
      </c>
      <c r="V144" s="48" t="s">
        <v>1820</v>
      </c>
      <c r="W144" s="48" t="s">
        <v>1832</v>
      </c>
      <c r="X144" s="51">
        <v>2.8424738889513801</v>
      </c>
      <c r="Z144" s="48" t="s">
        <v>1826</v>
      </c>
      <c r="AA144" s="51">
        <v>0.87590262600000002</v>
      </c>
      <c r="AB144"/>
      <c r="AC144"/>
      <c r="AD144"/>
      <c r="AE144"/>
      <c r="AF144"/>
      <c r="AG144"/>
    </row>
    <row r="145" spans="12:33">
      <c r="L145" s="48">
        <v>38292</v>
      </c>
      <c r="M145" s="48">
        <f t="shared" si="25"/>
        <v>38321</v>
      </c>
      <c r="N145" s="51">
        <v>6.118380817180574</v>
      </c>
      <c r="O145" s="19"/>
      <c r="P145" s="19" t="s">
        <v>1825</v>
      </c>
      <c r="Q145" s="23">
        <f>DATE(YEAR(OneWeekMtgRatesDataTable75[[#This Row],[asOf]]),MONTH(OneWeekMtgRatesDataTable75[[#This Row],[asOf]]),DAY(OneWeekMtgRatesDataTable75[[#This Row],[asOf]]))</f>
        <v>42374</v>
      </c>
      <c r="R145" s="19">
        <v>3.97</v>
      </c>
      <c r="S145" s="19">
        <v>0.6</v>
      </c>
      <c r="T145" s="19">
        <v>3.87</v>
      </c>
      <c r="V145" s="48" t="s">
        <v>1821</v>
      </c>
      <c r="W145" s="48" t="s">
        <v>1832</v>
      </c>
      <c r="X145" s="51">
        <v>2.8978342309890999</v>
      </c>
      <c r="Z145" s="48" t="s">
        <v>1791</v>
      </c>
      <c r="AA145" s="51">
        <v>0.87590262600000002</v>
      </c>
      <c r="AB145"/>
      <c r="AC145"/>
      <c r="AD145"/>
      <c r="AE145"/>
      <c r="AF145"/>
      <c r="AG145"/>
    </row>
    <row r="146" spans="12:33">
      <c r="L146" s="48">
        <v>38261</v>
      </c>
      <c r="M146" s="48">
        <f t="shared" si="25"/>
        <v>38289</v>
      </c>
      <c r="N146" s="51">
        <v>6.1283198780861348</v>
      </c>
      <c r="O146" s="19"/>
      <c r="P146" s="19" t="s">
        <v>1826</v>
      </c>
      <c r="Q146" s="23">
        <f>DATE(YEAR(OneWeekMtgRatesDataTable75[[#This Row],[asOf]]),MONTH(OneWeekMtgRatesDataTable75[[#This Row],[asOf]]),DAY(OneWeekMtgRatesDataTable75[[#This Row],[asOf]]))</f>
        <v>42373</v>
      </c>
      <c r="R146" s="19">
        <v>3.97</v>
      </c>
      <c r="S146" s="19">
        <v>0.6</v>
      </c>
      <c r="T146" s="19">
        <v>3.87</v>
      </c>
      <c r="V146" s="48" t="s">
        <v>1822</v>
      </c>
      <c r="W146" s="48" t="s">
        <v>1832</v>
      </c>
      <c r="X146" s="51">
        <v>2.88545680781831</v>
      </c>
      <c r="Z146" s="48" t="s">
        <v>1792</v>
      </c>
      <c r="AA146" s="51">
        <v>0.87590262600000002</v>
      </c>
      <c r="AB146"/>
      <c r="AC146"/>
      <c r="AD146"/>
      <c r="AE146"/>
      <c r="AF146"/>
      <c r="AG146"/>
    </row>
    <row r="147" spans="12:33">
      <c r="L147" s="48">
        <v>38231</v>
      </c>
      <c r="M147" s="48">
        <f t="shared" si="25"/>
        <v>38260</v>
      </c>
      <c r="N147" s="51">
        <v>6.1360962416500247</v>
      </c>
      <c r="O147" s="19"/>
      <c r="P147" s="19" t="s">
        <v>1791</v>
      </c>
      <c r="Q147" s="23">
        <f>DATE(YEAR(OneWeekMtgRatesDataTable75[[#This Row],[asOf]]),MONTH(OneWeekMtgRatesDataTable75[[#This Row],[asOf]]),DAY(OneWeekMtgRatesDataTable75[[#This Row],[asOf]]))</f>
        <v>42369</v>
      </c>
      <c r="R147" s="19">
        <v>3.97</v>
      </c>
      <c r="S147" s="19">
        <v>0.6</v>
      </c>
      <c r="T147" s="19">
        <v>3.87</v>
      </c>
      <c r="V147" s="48" t="s">
        <v>1823</v>
      </c>
      <c r="W147" s="48" t="s">
        <v>1832</v>
      </c>
      <c r="X147" s="51">
        <v>2.9119506998989602</v>
      </c>
      <c r="Z147" s="48" t="s">
        <v>1793</v>
      </c>
      <c r="AA147" s="51">
        <v>0.86144301700000003</v>
      </c>
      <c r="AB147"/>
      <c r="AC147"/>
      <c r="AD147"/>
      <c r="AE147"/>
      <c r="AF147"/>
      <c r="AG147"/>
    </row>
    <row r="148" spans="12:33">
      <c r="L148" s="48">
        <v>38200</v>
      </c>
      <c r="M148" s="48">
        <f t="shared" si="25"/>
        <v>38230</v>
      </c>
      <c r="N148" s="51">
        <v>6.1421875026844317</v>
      </c>
      <c r="O148" s="19"/>
      <c r="P148" s="19" t="s">
        <v>1792</v>
      </c>
      <c r="Q148" s="23">
        <f>DATE(YEAR(OneWeekMtgRatesDataTable75[[#This Row],[asOf]]),MONTH(OneWeekMtgRatesDataTable75[[#This Row],[asOf]]),DAY(OneWeekMtgRatesDataTable75[[#This Row],[asOf]]))</f>
        <v>42368</v>
      </c>
      <c r="R148" s="19">
        <v>4.01</v>
      </c>
      <c r="S148" s="19">
        <v>0.6</v>
      </c>
      <c r="T148" s="19">
        <v>3.9099999999999997</v>
      </c>
      <c r="V148" s="48" t="s">
        <v>1824</v>
      </c>
      <c r="W148" s="48" t="s">
        <v>1832</v>
      </c>
      <c r="X148" s="51">
        <v>2.9334005201837599</v>
      </c>
      <c r="Z148" s="48" t="s">
        <v>1794</v>
      </c>
      <c r="AA148" s="51">
        <v>0.86144301700000003</v>
      </c>
      <c r="AB148"/>
      <c r="AC148"/>
      <c r="AD148"/>
      <c r="AE148"/>
      <c r="AF148"/>
      <c r="AG148"/>
    </row>
    <row r="149" spans="12:33">
      <c r="L149" s="48">
        <v>38169</v>
      </c>
      <c r="M149" s="48">
        <f t="shared" si="25"/>
        <v>38198</v>
      </c>
      <c r="N149" s="51">
        <v>6.146706594202084</v>
      </c>
      <c r="O149" s="19"/>
      <c r="P149" s="19" t="s">
        <v>1793</v>
      </c>
      <c r="Q149" s="23">
        <f>DATE(YEAR(OneWeekMtgRatesDataTable75[[#This Row],[asOf]]),MONTH(OneWeekMtgRatesDataTable75[[#This Row],[asOf]]),DAY(OneWeekMtgRatesDataTable75[[#This Row],[asOf]]))</f>
        <v>42367</v>
      </c>
      <c r="R149" s="19">
        <v>4.01</v>
      </c>
      <c r="S149" s="19">
        <v>0.6</v>
      </c>
      <c r="T149" s="19">
        <v>3.9099999999999997</v>
      </c>
      <c r="V149" s="48" t="s">
        <v>1825</v>
      </c>
      <c r="W149" s="48" t="s">
        <v>1832</v>
      </c>
      <c r="X149" s="51">
        <v>2.99513727920968</v>
      </c>
      <c r="Z149" s="48" t="s">
        <v>1803</v>
      </c>
      <c r="AA149" s="51">
        <v>0.86144301700000003</v>
      </c>
      <c r="AB149"/>
      <c r="AC149"/>
      <c r="AD149"/>
      <c r="AE149"/>
      <c r="AF149"/>
      <c r="AG149"/>
    </row>
    <row r="150" spans="12:33">
      <c r="L150" s="48">
        <v>38139</v>
      </c>
      <c r="M150" s="48">
        <f t="shared" si="25"/>
        <v>38168</v>
      </c>
      <c r="N150" s="51">
        <v>6.1558719757116114</v>
      </c>
      <c r="O150" s="19"/>
      <c r="P150" s="19" t="s">
        <v>1794</v>
      </c>
      <c r="Q150" s="23">
        <f>DATE(YEAR(OneWeekMtgRatesDataTable75[[#This Row],[asOf]]),MONTH(OneWeekMtgRatesDataTable75[[#This Row],[asOf]]),DAY(OneWeekMtgRatesDataTable75[[#This Row],[asOf]]))</f>
        <v>42366</v>
      </c>
      <c r="R150" s="19">
        <v>4.01</v>
      </c>
      <c r="S150" s="19">
        <v>0.6</v>
      </c>
      <c r="T150" s="19">
        <v>3.9099999999999997</v>
      </c>
      <c r="V150" s="48" t="s">
        <v>1826</v>
      </c>
      <c r="W150" s="48" t="s">
        <v>1832</v>
      </c>
      <c r="X150" s="51">
        <v>2.993452685197</v>
      </c>
      <c r="Z150" s="48" t="s">
        <v>1795</v>
      </c>
      <c r="AA150" s="51">
        <v>0.86144301700000003</v>
      </c>
      <c r="AB150"/>
      <c r="AC150"/>
      <c r="AD150"/>
      <c r="AE150"/>
      <c r="AF150"/>
      <c r="AG150"/>
    </row>
    <row r="151" spans="12:33">
      <c r="L151" s="48">
        <v>38108</v>
      </c>
      <c r="M151" s="48">
        <f t="shared" si="25"/>
        <v>38138</v>
      </c>
      <c r="N151" s="51">
        <v>6.1755950636347592</v>
      </c>
      <c r="O151" s="19"/>
      <c r="P151" s="19" t="s">
        <v>1803</v>
      </c>
      <c r="Q151" s="23">
        <f>DATE(YEAR(OneWeekMtgRatesDataTable75[[#This Row],[asOf]]),MONTH(OneWeekMtgRatesDataTable75[[#This Row],[asOf]]),DAY(OneWeekMtgRatesDataTable75[[#This Row],[asOf]]))</f>
        <v>42362</v>
      </c>
      <c r="R151" s="19">
        <v>4.01</v>
      </c>
      <c r="S151" s="19">
        <v>0.6</v>
      </c>
      <c r="T151" s="19">
        <v>3.9099999999999997</v>
      </c>
      <c r="V151" s="48" t="s">
        <v>1791</v>
      </c>
      <c r="W151" s="48" t="s">
        <v>1832</v>
      </c>
      <c r="X151" s="51">
        <v>3.0053894082817201</v>
      </c>
      <c r="Z151" s="48" t="s">
        <v>1796</v>
      </c>
      <c r="AA151" s="51">
        <v>0.87298623200000003</v>
      </c>
      <c r="AB151"/>
      <c r="AC151"/>
      <c r="AD151"/>
      <c r="AE151"/>
      <c r="AF151"/>
      <c r="AG151"/>
    </row>
    <row r="152" spans="12:33">
      <c r="L152" s="48">
        <v>38078</v>
      </c>
      <c r="M152" s="48">
        <f t="shared" si="25"/>
        <v>38107</v>
      </c>
      <c r="N152" s="51">
        <v>6.2021392027685724</v>
      </c>
      <c r="O152" s="19"/>
      <c r="P152" s="19" t="s">
        <v>1795</v>
      </c>
      <c r="Q152" s="23">
        <f>DATE(YEAR(OneWeekMtgRatesDataTable75[[#This Row],[asOf]]),MONTH(OneWeekMtgRatesDataTable75[[#This Row],[asOf]]),DAY(OneWeekMtgRatesDataTable75[[#This Row],[asOf]]))</f>
        <v>42361</v>
      </c>
      <c r="R152" s="19">
        <v>3.96</v>
      </c>
      <c r="S152" s="19">
        <v>0.6</v>
      </c>
      <c r="T152" s="19">
        <v>3.86</v>
      </c>
      <c r="V152" s="48" t="s">
        <v>1792</v>
      </c>
      <c r="W152" s="48" t="s">
        <v>1832</v>
      </c>
      <c r="X152" s="51">
        <v>3.0484600868524701</v>
      </c>
      <c r="Z152" s="48" t="s">
        <v>1797</v>
      </c>
      <c r="AA152" s="51">
        <v>0.87298623200000003</v>
      </c>
      <c r="AB152"/>
      <c r="AC152"/>
      <c r="AD152"/>
      <c r="AE152"/>
      <c r="AF152"/>
      <c r="AG152"/>
    </row>
    <row r="153" spans="12:33">
      <c r="L153" s="48">
        <v>38047</v>
      </c>
      <c r="M153" s="48">
        <f t="shared" si="25"/>
        <v>38077</v>
      </c>
      <c r="N153" s="51">
        <v>6.2293176772732037</v>
      </c>
      <c r="O153" s="19"/>
      <c r="P153" s="19" t="s">
        <v>1796</v>
      </c>
      <c r="Q153" s="23">
        <f>DATE(YEAR(OneWeekMtgRatesDataTable75[[#This Row],[asOf]]),MONTH(OneWeekMtgRatesDataTable75[[#This Row],[asOf]]),DAY(OneWeekMtgRatesDataTable75[[#This Row],[asOf]]))</f>
        <v>42360</v>
      </c>
      <c r="R153" s="19">
        <v>3.96</v>
      </c>
      <c r="S153" s="19">
        <v>0.6</v>
      </c>
      <c r="T153" s="19">
        <v>3.86</v>
      </c>
      <c r="V153" s="48" t="s">
        <v>1793</v>
      </c>
      <c r="W153" s="48" t="s">
        <v>1832</v>
      </c>
      <c r="X153" s="51">
        <v>3.05738829293283</v>
      </c>
      <c r="Z153" s="48" t="s">
        <v>1798</v>
      </c>
      <c r="AA153" s="51">
        <v>0.87298623200000003</v>
      </c>
      <c r="AB153"/>
      <c r="AC153"/>
      <c r="AD153"/>
      <c r="AE153"/>
      <c r="AF153"/>
      <c r="AG153"/>
    </row>
    <row r="154" spans="12:33">
      <c r="L154" s="48">
        <v>38018</v>
      </c>
      <c r="M154" s="48">
        <f t="shared" si="25"/>
        <v>38044</v>
      </c>
      <c r="N154" s="51">
        <v>6.2474025795140857</v>
      </c>
      <c r="O154" s="19"/>
      <c r="P154" s="19" t="s">
        <v>1797</v>
      </c>
      <c r="Q154" s="23">
        <f>DATE(YEAR(OneWeekMtgRatesDataTable75[[#This Row],[asOf]]),MONTH(OneWeekMtgRatesDataTable75[[#This Row],[asOf]]),DAY(OneWeekMtgRatesDataTable75[[#This Row],[asOf]]))</f>
        <v>42359</v>
      </c>
      <c r="R154" s="19">
        <v>3.96</v>
      </c>
      <c r="S154" s="19">
        <v>0.6</v>
      </c>
      <c r="T154" s="19">
        <v>3.86</v>
      </c>
      <c r="V154" s="48" t="s">
        <v>1794</v>
      </c>
      <c r="W154" s="48" t="s">
        <v>1832</v>
      </c>
      <c r="X154" s="51">
        <v>3.0029644484734299</v>
      </c>
      <c r="Z154" s="48" t="s">
        <v>1799</v>
      </c>
      <c r="AA154" s="51">
        <v>0.87298623200000003</v>
      </c>
      <c r="AB154"/>
      <c r="AC154"/>
      <c r="AD154"/>
      <c r="AE154"/>
      <c r="AF154"/>
      <c r="AG154"/>
    </row>
    <row r="155" spans="12:33">
      <c r="L155" s="48">
        <v>37987</v>
      </c>
      <c r="M155" s="48">
        <f t="shared" si="25"/>
        <v>38016</v>
      </c>
      <c r="N155" s="51">
        <v>6.2645109377955928</v>
      </c>
      <c r="O155" s="19"/>
      <c r="P155" s="19" t="s">
        <v>1798</v>
      </c>
      <c r="Q155" s="23">
        <f>DATE(YEAR(OneWeekMtgRatesDataTable75[[#This Row],[asOf]]),MONTH(OneWeekMtgRatesDataTable75[[#This Row],[asOf]]),DAY(OneWeekMtgRatesDataTable75[[#This Row],[asOf]]))</f>
        <v>42356</v>
      </c>
      <c r="R155" s="19">
        <v>3.96</v>
      </c>
      <c r="S155" s="19">
        <v>0.6</v>
      </c>
      <c r="T155" s="19">
        <v>3.86</v>
      </c>
      <c r="V155" s="48" t="s">
        <v>1803</v>
      </c>
      <c r="W155" s="48" t="s">
        <v>1832</v>
      </c>
      <c r="X155" s="51">
        <v>3.0275766664066102</v>
      </c>
      <c r="Z155" s="48" t="s">
        <v>1800</v>
      </c>
      <c r="AA155" s="51">
        <v>0.87298623200000003</v>
      </c>
      <c r="AB155"/>
      <c r="AC155"/>
      <c r="AD155"/>
      <c r="AE155"/>
      <c r="AF155"/>
      <c r="AG155"/>
    </row>
    <row r="156" spans="12:33">
      <c r="L156" s="48">
        <v>37956</v>
      </c>
      <c r="M156" s="48">
        <f t="shared" si="25"/>
        <v>37986</v>
      </c>
      <c r="N156" s="51">
        <v>6.2819200874416623</v>
      </c>
      <c r="O156" s="19"/>
      <c r="P156" s="19" t="s">
        <v>1799</v>
      </c>
      <c r="Q156" s="23">
        <f>DATE(YEAR(OneWeekMtgRatesDataTable75[[#This Row],[asOf]]),MONTH(OneWeekMtgRatesDataTable75[[#This Row],[asOf]]),DAY(OneWeekMtgRatesDataTable75[[#This Row],[asOf]]))</f>
        <v>42355</v>
      </c>
      <c r="R156" s="19">
        <v>3.96</v>
      </c>
      <c r="S156" s="19">
        <v>0.6</v>
      </c>
      <c r="T156" s="19">
        <v>3.86</v>
      </c>
      <c r="V156" s="48" t="s">
        <v>1795</v>
      </c>
      <c r="W156" s="48" t="s">
        <v>1832</v>
      </c>
      <c r="X156" s="51">
        <v>3.0426080275796101</v>
      </c>
      <c r="Z156" s="48" t="s">
        <v>1801</v>
      </c>
      <c r="AA156" s="51">
        <v>0.86312978100000004</v>
      </c>
      <c r="AB156"/>
      <c r="AC156"/>
      <c r="AD156"/>
      <c r="AE156"/>
      <c r="AF156"/>
      <c r="AG156"/>
    </row>
    <row r="157" spans="12:33">
      <c r="L157" s="48">
        <v>37926</v>
      </c>
      <c r="M157" s="48">
        <f t="shared" si="25"/>
        <v>37953</v>
      </c>
      <c r="N157" s="51">
        <v>6.3046085393757219</v>
      </c>
      <c r="O157" s="19"/>
      <c r="P157" s="19" t="s">
        <v>1800</v>
      </c>
      <c r="Q157" s="23">
        <f>DATE(YEAR(OneWeekMtgRatesDataTable75[[#This Row],[asOf]]),MONTH(OneWeekMtgRatesDataTable75[[#This Row],[asOf]]),DAY(OneWeekMtgRatesDataTable75[[#This Row],[asOf]]))</f>
        <v>42354</v>
      </c>
      <c r="R157" s="19">
        <v>3.97</v>
      </c>
      <c r="S157" s="19">
        <v>0.6</v>
      </c>
      <c r="T157" s="19">
        <v>3.87</v>
      </c>
      <c r="V157" s="48" t="s">
        <v>1796</v>
      </c>
      <c r="W157" s="48" t="s">
        <v>1832</v>
      </c>
      <c r="X157" s="51">
        <v>3.0177597197552002</v>
      </c>
      <c r="Z157" s="48" t="s">
        <v>1802</v>
      </c>
      <c r="AA157" s="51">
        <v>0.86312978100000004</v>
      </c>
      <c r="AB157"/>
      <c r="AC157"/>
      <c r="AD157"/>
      <c r="AE157"/>
      <c r="AF157"/>
      <c r="AG157"/>
    </row>
    <row r="158" spans="12:33">
      <c r="L158" s="48">
        <v>37895</v>
      </c>
      <c r="M158" s="48">
        <f t="shared" si="25"/>
        <v>37925</v>
      </c>
      <c r="N158" s="51">
        <v>6.3344524264485775</v>
      </c>
      <c r="O158" s="19"/>
      <c r="P158" s="19" t="s">
        <v>1801</v>
      </c>
      <c r="Q158" s="23">
        <f>DATE(YEAR(OneWeekMtgRatesDataTable75[[#This Row],[asOf]]),MONTH(OneWeekMtgRatesDataTable75[[#This Row],[asOf]]),DAY(OneWeekMtgRatesDataTable75[[#This Row],[asOf]]))</f>
        <v>42353</v>
      </c>
      <c r="R158" s="19">
        <v>3.97</v>
      </c>
      <c r="S158" s="19">
        <v>0.6</v>
      </c>
      <c r="T158" s="19">
        <v>3.87</v>
      </c>
      <c r="V158" s="48" t="s">
        <v>1797</v>
      </c>
      <c r="W158" s="48" t="s">
        <v>1832</v>
      </c>
      <c r="X158" s="51">
        <v>2.9731174036640602</v>
      </c>
      <c r="Z158" s="48" t="s">
        <v>1782</v>
      </c>
      <c r="AA158" s="51">
        <v>0.86312978100000004</v>
      </c>
      <c r="AB158"/>
      <c r="AC158"/>
      <c r="AD158"/>
      <c r="AE158"/>
      <c r="AF158"/>
      <c r="AG158"/>
    </row>
    <row r="159" spans="12:33">
      <c r="L159" s="48">
        <v>37865</v>
      </c>
      <c r="M159" s="48">
        <f t="shared" si="25"/>
        <v>37894</v>
      </c>
      <c r="N159" s="51">
        <v>6.3792497475485561</v>
      </c>
      <c r="O159" s="19"/>
      <c r="P159" s="19" t="s">
        <v>1802</v>
      </c>
      <c r="Q159" s="23">
        <f>DATE(YEAR(OneWeekMtgRatesDataTable75[[#This Row],[asOf]]),MONTH(OneWeekMtgRatesDataTable75[[#This Row],[asOf]]),DAY(OneWeekMtgRatesDataTable75[[#This Row],[asOf]]))</f>
        <v>42352</v>
      </c>
      <c r="R159" s="19">
        <v>3.97</v>
      </c>
      <c r="S159" s="19">
        <v>0.6</v>
      </c>
      <c r="T159" s="19">
        <v>3.87</v>
      </c>
      <c r="V159" s="48" t="s">
        <v>1798</v>
      </c>
      <c r="W159" s="48" t="s">
        <v>1832</v>
      </c>
      <c r="X159" s="51">
        <v>2.9654454819851401</v>
      </c>
      <c r="Z159" s="48" t="s">
        <v>1783</v>
      </c>
      <c r="AA159" s="51">
        <v>0.86312978100000004</v>
      </c>
      <c r="AB159"/>
      <c r="AC159"/>
      <c r="AD159"/>
      <c r="AE159"/>
      <c r="AF159"/>
      <c r="AG159"/>
    </row>
    <row r="160" spans="12:33">
      <c r="L160" s="48">
        <v>37834</v>
      </c>
      <c r="M160" s="48">
        <f t="shared" si="25"/>
        <v>37862</v>
      </c>
      <c r="N160" s="51">
        <v>6.4590147589846314</v>
      </c>
      <c r="O160" s="19"/>
      <c r="P160" s="19" t="s">
        <v>1782</v>
      </c>
      <c r="Q160" s="23">
        <f>DATE(YEAR(OneWeekMtgRatesDataTable75[[#This Row],[asOf]]),MONTH(OneWeekMtgRatesDataTable75[[#This Row],[asOf]]),DAY(OneWeekMtgRatesDataTable75[[#This Row],[asOf]]))</f>
        <v>42349</v>
      </c>
      <c r="R160" s="19">
        <v>3.97</v>
      </c>
      <c r="S160" s="19">
        <v>0.6</v>
      </c>
      <c r="T160" s="19">
        <v>3.87</v>
      </c>
      <c r="V160" s="48" t="s">
        <v>1799</v>
      </c>
      <c r="W160" s="48" t="s">
        <v>1832</v>
      </c>
      <c r="X160" s="51">
        <v>2.9938542795846499</v>
      </c>
      <c r="Z160" s="48" t="s">
        <v>1784</v>
      </c>
      <c r="AA160" s="51">
        <v>0.86312978100000004</v>
      </c>
      <c r="AB160"/>
      <c r="AC160"/>
      <c r="AD160"/>
      <c r="AE160"/>
      <c r="AF160"/>
      <c r="AG160"/>
    </row>
    <row r="161" spans="12:33">
      <c r="L161" s="48">
        <v>37803</v>
      </c>
      <c r="M161" s="48">
        <f t="shared" si="25"/>
        <v>37833</v>
      </c>
      <c r="N161" s="51">
        <v>6.5425053781685376</v>
      </c>
      <c r="O161" s="19"/>
      <c r="P161" s="19" t="s">
        <v>1783</v>
      </c>
      <c r="Q161" s="23">
        <f>DATE(YEAR(OneWeekMtgRatesDataTable75[[#This Row],[asOf]]),MONTH(OneWeekMtgRatesDataTable75[[#This Row],[asOf]]),DAY(OneWeekMtgRatesDataTable75[[#This Row],[asOf]]))</f>
        <v>42348</v>
      </c>
      <c r="R161" s="19">
        <v>3.97</v>
      </c>
      <c r="S161" s="19">
        <v>0.6</v>
      </c>
      <c r="T161" s="19">
        <v>3.87</v>
      </c>
      <c r="V161" s="48" t="s">
        <v>1800</v>
      </c>
      <c r="W161" s="48" t="s">
        <v>1832</v>
      </c>
      <c r="X161" s="51">
        <v>3.0337070171743399</v>
      </c>
      <c r="Z161" s="48" t="s">
        <v>1785</v>
      </c>
      <c r="AA161" s="51">
        <v>0.89961092799999998</v>
      </c>
      <c r="AB161"/>
      <c r="AC161"/>
      <c r="AD161"/>
      <c r="AE161"/>
      <c r="AF161"/>
      <c r="AG161"/>
    </row>
    <row r="162" spans="12:33">
      <c r="L162" s="48">
        <v>37773</v>
      </c>
      <c r="M162" s="48">
        <f t="shared" si="25"/>
        <v>37802</v>
      </c>
      <c r="N162" s="51">
        <v>6.6218022465641893</v>
      </c>
      <c r="O162" s="19"/>
      <c r="P162" s="19" t="s">
        <v>1784</v>
      </c>
      <c r="Q162" s="23">
        <f>DATE(YEAR(OneWeekMtgRatesDataTable75[[#This Row],[asOf]]),MONTH(OneWeekMtgRatesDataTable75[[#This Row],[asOf]]),DAY(OneWeekMtgRatesDataTable75[[#This Row],[asOf]]))</f>
        <v>42347</v>
      </c>
      <c r="R162" s="19">
        <v>3.95</v>
      </c>
      <c r="S162" s="19">
        <v>0.6</v>
      </c>
      <c r="T162" s="19">
        <v>3.85</v>
      </c>
      <c r="V162" s="48" t="s">
        <v>1801</v>
      </c>
      <c r="W162" s="48" t="s">
        <v>1832</v>
      </c>
      <c r="X162" s="51">
        <v>3.0277544715368299</v>
      </c>
      <c r="Z162" s="48" t="s">
        <v>1786</v>
      </c>
      <c r="AA162" s="51">
        <v>0.89961092799999998</v>
      </c>
      <c r="AB162"/>
      <c r="AC162"/>
      <c r="AD162"/>
      <c r="AE162"/>
      <c r="AF162"/>
      <c r="AG162"/>
    </row>
    <row r="163" spans="12:33">
      <c r="L163" s="48">
        <v>37742</v>
      </c>
      <c r="M163" s="48">
        <f t="shared" si="25"/>
        <v>37771</v>
      </c>
      <c r="N163" s="51">
        <v>6.6956151701594155</v>
      </c>
      <c r="O163" s="19"/>
      <c r="P163" s="19" t="s">
        <v>1785</v>
      </c>
      <c r="Q163" s="23">
        <f>DATE(YEAR(OneWeekMtgRatesDataTable75[[#This Row],[asOf]]),MONTH(OneWeekMtgRatesDataTable75[[#This Row],[asOf]]),DAY(OneWeekMtgRatesDataTable75[[#This Row],[asOf]]))</f>
        <v>42346</v>
      </c>
      <c r="R163" s="19">
        <v>3.95</v>
      </c>
      <c r="S163" s="19">
        <v>0.6</v>
      </c>
      <c r="T163" s="19">
        <v>3.85</v>
      </c>
      <c r="V163" s="48" t="s">
        <v>1802</v>
      </c>
      <c r="W163" s="48" t="s">
        <v>1832</v>
      </c>
      <c r="X163" s="51">
        <v>2.9956917661864102</v>
      </c>
      <c r="Z163" s="48" t="s">
        <v>1787</v>
      </c>
      <c r="AA163" s="51">
        <v>0.89961092799999998</v>
      </c>
      <c r="AB163"/>
      <c r="AC163"/>
      <c r="AD163"/>
      <c r="AE163"/>
      <c r="AF163"/>
      <c r="AG163"/>
    </row>
    <row r="164" spans="12:33">
      <c r="L164" s="48">
        <v>37712</v>
      </c>
      <c r="M164" s="48">
        <f t="shared" si="25"/>
        <v>37741</v>
      </c>
      <c r="N164" s="51">
        <v>6.7631638643942598</v>
      </c>
      <c r="O164" s="19"/>
      <c r="P164" s="19" t="s">
        <v>1786</v>
      </c>
      <c r="Q164" s="23">
        <f>DATE(YEAR(OneWeekMtgRatesDataTable75[[#This Row],[asOf]]),MONTH(OneWeekMtgRatesDataTable75[[#This Row],[asOf]]),DAY(OneWeekMtgRatesDataTable75[[#This Row],[asOf]]))</f>
        <v>42345</v>
      </c>
      <c r="R164" s="19">
        <v>3.95</v>
      </c>
      <c r="S164" s="19">
        <v>0.6</v>
      </c>
      <c r="T164" s="19">
        <v>3.85</v>
      </c>
      <c r="V164" s="48" t="s">
        <v>1782</v>
      </c>
      <c r="W164" s="48" t="s">
        <v>1832</v>
      </c>
      <c r="X164" s="51">
        <v>2.93038775773327</v>
      </c>
      <c r="Z164" s="48" t="s">
        <v>1788</v>
      </c>
      <c r="AA164" s="51">
        <v>0.89961092799999998</v>
      </c>
      <c r="AB164"/>
      <c r="AC164"/>
      <c r="AD164"/>
      <c r="AE164"/>
      <c r="AF164"/>
      <c r="AG164"/>
    </row>
    <row r="165" spans="12:33">
      <c r="L165" s="48">
        <v>37681</v>
      </c>
      <c r="M165" s="48">
        <f t="shared" si="25"/>
        <v>37711</v>
      </c>
      <c r="N165" s="51">
        <v>6.8334412158562161</v>
      </c>
      <c r="O165" s="19"/>
      <c r="P165" s="19" t="s">
        <v>1787</v>
      </c>
      <c r="Q165" s="23">
        <f>DATE(YEAR(OneWeekMtgRatesDataTable75[[#This Row],[asOf]]),MONTH(OneWeekMtgRatesDataTable75[[#This Row],[asOf]]),DAY(OneWeekMtgRatesDataTable75[[#This Row],[asOf]]))</f>
        <v>42342</v>
      </c>
      <c r="R165" s="19">
        <v>3.95</v>
      </c>
      <c r="S165" s="19">
        <v>0.6</v>
      </c>
      <c r="T165" s="19">
        <v>3.85</v>
      </c>
      <c r="V165" s="48" t="s">
        <v>1783</v>
      </c>
      <c r="W165" s="48" t="s">
        <v>1832</v>
      </c>
      <c r="X165" s="51">
        <v>2.9975278287112799</v>
      </c>
      <c r="Z165" s="48" t="s">
        <v>1789</v>
      </c>
      <c r="AA165" s="51">
        <v>0.89961092799999998</v>
      </c>
      <c r="AB165"/>
      <c r="AC165"/>
      <c r="AD165"/>
      <c r="AE165"/>
      <c r="AF165"/>
      <c r="AG165"/>
    </row>
    <row r="166" spans="12:33">
      <c r="L166" s="48">
        <v>37653</v>
      </c>
      <c r="M166" s="48">
        <f t="shared" si="25"/>
        <v>37680</v>
      </c>
      <c r="N166" s="51">
        <v>6.8902486501505535</v>
      </c>
      <c r="O166" s="19"/>
      <c r="P166" s="19" t="s">
        <v>1788</v>
      </c>
      <c r="Q166" s="23">
        <f>DATE(YEAR(OneWeekMtgRatesDataTable75[[#This Row],[asOf]]),MONTH(OneWeekMtgRatesDataTable75[[#This Row],[asOf]]),DAY(OneWeekMtgRatesDataTable75[[#This Row],[asOf]]))</f>
        <v>42341</v>
      </c>
      <c r="R166" s="19">
        <v>3.95</v>
      </c>
      <c r="S166" s="19">
        <v>0.6</v>
      </c>
      <c r="T166" s="19">
        <v>3.85</v>
      </c>
      <c r="V166" s="48" t="s">
        <v>1784</v>
      </c>
      <c r="W166" s="48" t="s">
        <v>1832</v>
      </c>
      <c r="X166" s="51">
        <v>2.9584562580557998</v>
      </c>
      <c r="Z166" s="48" t="s">
        <v>1790</v>
      </c>
      <c r="AA166" s="51">
        <v>0.90387693099999999</v>
      </c>
      <c r="AB166"/>
      <c r="AC166"/>
      <c r="AD166"/>
      <c r="AE166"/>
      <c r="AF166"/>
      <c r="AG166"/>
    </row>
    <row r="167" spans="12:33">
      <c r="L167" s="48">
        <v>37622</v>
      </c>
      <c r="M167" s="48">
        <f t="shared" si="25"/>
        <v>37652</v>
      </c>
      <c r="N167" s="51">
        <v>6.9465510304239917</v>
      </c>
      <c r="O167" s="19"/>
      <c r="P167" s="19" t="s">
        <v>1789</v>
      </c>
      <c r="Q167" s="23">
        <f>DATE(YEAR(OneWeekMtgRatesDataTable75[[#This Row],[asOf]]),MONTH(OneWeekMtgRatesDataTable75[[#This Row],[asOf]]),DAY(OneWeekMtgRatesDataTable75[[#This Row],[asOf]]))</f>
        <v>42340</v>
      </c>
      <c r="R167" s="19">
        <v>3.93</v>
      </c>
      <c r="S167" s="19">
        <v>0.6</v>
      </c>
      <c r="T167" s="19">
        <v>3.83</v>
      </c>
      <c r="V167" s="48" t="s">
        <v>1785</v>
      </c>
      <c r="W167" s="48" t="s">
        <v>1832</v>
      </c>
      <c r="X167" s="51">
        <v>2.97492729888162</v>
      </c>
      <c r="Z167" s="48" t="s">
        <v>1771</v>
      </c>
      <c r="AA167" s="51">
        <v>0.90387693099999999</v>
      </c>
      <c r="AB167"/>
      <c r="AC167"/>
      <c r="AD167"/>
      <c r="AE167"/>
      <c r="AF167"/>
      <c r="AG167"/>
    </row>
    <row r="168" spans="12:33">
      <c r="L168" s="48">
        <v>37591</v>
      </c>
      <c r="M168" s="48">
        <f t="shared" si="25"/>
        <v>37621</v>
      </c>
      <c r="N168" s="51">
        <v>7.0105721975785684</v>
      </c>
      <c r="O168" s="19"/>
      <c r="P168" s="19" t="s">
        <v>1790</v>
      </c>
      <c r="Q168" s="23">
        <f>DATE(YEAR(OneWeekMtgRatesDataTable75[[#This Row],[asOf]]),MONTH(OneWeekMtgRatesDataTable75[[#This Row],[asOf]]),DAY(OneWeekMtgRatesDataTable75[[#This Row],[asOf]]))</f>
        <v>42339</v>
      </c>
      <c r="R168" s="19">
        <v>3.93</v>
      </c>
      <c r="S168" s="19">
        <v>0.6</v>
      </c>
      <c r="T168" s="19">
        <v>3.83</v>
      </c>
      <c r="V168" s="48" t="s">
        <v>1786</v>
      </c>
      <c r="W168" s="48" t="s">
        <v>1832</v>
      </c>
      <c r="X168" s="51">
        <v>2.9498986890501602</v>
      </c>
      <c r="Z168" s="48" t="s">
        <v>1772</v>
      </c>
      <c r="AA168" s="51">
        <v>0.90387693099999999</v>
      </c>
      <c r="AB168"/>
      <c r="AC168"/>
      <c r="AD168"/>
      <c r="AE168"/>
      <c r="AF168"/>
      <c r="AG168"/>
    </row>
    <row r="169" spans="12:33">
      <c r="L169" s="48">
        <v>37561</v>
      </c>
      <c r="M169" s="48">
        <f t="shared" si="25"/>
        <v>37589</v>
      </c>
      <c r="N169" s="51">
        <v>7.0649126448338757</v>
      </c>
      <c r="O169" s="19"/>
      <c r="P169" s="19" t="s">
        <v>1771</v>
      </c>
      <c r="Q169" s="23">
        <f>DATE(YEAR(OneWeekMtgRatesDataTable75[[#This Row],[asOf]]),MONTH(OneWeekMtgRatesDataTable75[[#This Row],[asOf]]),DAY(OneWeekMtgRatesDataTable75[[#This Row],[asOf]]))</f>
        <v>42338</v>
      </c>
      <c r="R169" s="19">
        <v>3.93</v>
      </c>
      <c r="S169" s="19">
        <v>0.6</v>
      </c>
      <c r="T169" s="19">
        <v>3.83</v>
      </c>
      <c r="V169" s="48" t="s">
        <v>1787</v>
      </c>
      <c r="W169" s="48" t="s">
        <v>1832</v>
      </c>
      <c r="X169" s="51">
        <v>2.9966381834712199</v>
      </c>
      <c r="Z169" s="48" t="s">
        <v>1773</v>
      </c>
      <c r="AA169" s="51">
        <v>0.90387693099999999</v>
      </c>
      <c r="AB169"/>
      <c r="AC169"/>
      <c r="AD169"/>
      <c r="AE169"/>
      <c r="AF169"/>
      <c r="AG169"/>
    </row>
    <row r="170" spans="12:33">
      <c r="L170" s="48">
        <v>37530</v>
      </c>
      <c r="M170" s="48">
        <f t="shared" si="25"/>
        <v>37560</v>
      </c>
      <c r="N170" s="51">
        <v>7.1159290973596354</v>
      </c>
      <c r="O170" s="19"/>
      <c r="P170" s="19" t="s">
        <v>1772</v>
      </c>
      <c r="Q170" s="23">
        <f>DATE(YEAR(OneWeekMtgRatesDataTable75[[#This Row],[asOf]]),MONTH(OneWeekMtgRatesDataTable75[[#This Row],[asOf]]),DAY(OneWeekMtgRatesDataTable75[[#This Row],[asOf]]))</f>
        <v>42335</v>
      </c>
      <c r="R170" s="19">
        <v>3.93</v>
      </c>
      <c r="S170" s="19">
        <v>0.6</v>
      </c>
      <c r="T170" s="19">
        <v>3.83</v>
      </c>
      <c r="V170" s="48" t="s">
        <v>1788</v>
      </c>
      <c r="W170" s="48" t="s">
        <v>1832</v>
      </c>
      <c r="X170" s="51">
        <v>3.0544306669029599</v>
      </c>
      <c r="Z170" s="48" t="s">
        <v>1774</v>
      </c>
      <c r="AA170" s="51">
        <v>0.86936456500000003</v>
      </c>
      <c r="AB170"/>
      <c r="AC170"/>
      <c r="AD170"/>
      <c r="AE170"/>
      <c r="AF170"/>
      <c r="AG170"/>
    </row>
    <row r="171" spans="12:33">
      <c r="L171" s="48">
        <v>37500</v>
      </c>
      <c r="M171" s="48">
        <f t="shared" si="25"/>
        <v>37529</v>
      </c>
      <c r="N171" s="51">
        <v>7.1562991500090742</v>
      </c>
      <c r="O171" s="19"/>
      <c r="P171" s="19" t="s">
        <v>1773</v>
      </c>
      <c r="Q171" s="23">
        <f>DATE(YEAR(OneWeekMtgRatesDataTable75[[#This Row],[asOf]]),MONTH(OneWeekMtgRatesDataTable75[[#This Row],[asOf]]),DAY(OneWeekMtgRatesDataTable75[[#This Row],[asOf]]))</f>
        <v>42333</v>
      </c>
      <c r="R171" s="19">
        <v>3.95</v>
      </c>
      <c r="S171" s="19">
        <v>0.7</v>
      </c>
      <c r="T171" s="19">
        <v>3.875</v>
      </c>
      <c r="V171" s="48" t="s">
        <v>1789</v>
      </c>
      <c r="W171" s="48" t="s">
        <v>1832</v>
      </c>
      <c r="X171" s="51">
        <v>2.9165593470462001</v>
      </c>
      <c r="Z171" s="48" t="s">
        <v>1775</v>
      </c>
      <c r="AA171" s="51">
        <v>0.86936456500000003</v>
      </c>
      <c r="AB171"/>
      <c r="AC171"/>
      <c r="AD171"/>
      <c r="AE171"/>
      <c r="AF171"/>
      <c r="AG171"/>
    </row>
    <row r="172" spans="12:33">
      <c r="L172" s="48">
        <v>37469</v>
      </c>
      <c r="M172" s="48">
        <f t="shared" si="25"/>
        <v>37498</v>
      </c>
      <c r="N172" s="51">
        <v>7.1857147743439533</v>
      </c>
      <c r="O172" s="19"/>
      <c r="P172" s="19" t="s">
        <v>1774</v>
      </c>
      <c r="Q172" s="23">
        <f>DATE(YEAR(OneWeekMtgRatesDataTable75[[#This Row],[asOf]]),MONTH(OneWeekMtgRatesDataTable75[[#This Row],[asOf]]),DAY(OneWeekMtgRatesDataTable75[[#This Row],[asOf]]))</f>
        <v>42332</v>
      </c>
      <c r="R172" s="19">
        <v>3.95</v>
      </c>
      <c r="S172" s="19">
        <v>0.7</v>
      </c>
      <c r="T172" s="19">
        <v>3.875</v>
      </c>
      <c r="V172" s="48" t="s">
        <v>1790</v>
      </c>
      <c r="W172" s="48" t="s">
        <v>1832</v>
      </c>
      <c r="X172" s="51">
        <v>2.8947298491443201</v>
      </c>
      <c r="Z172" s="48" t="s">
        <v>1776</v>
      </c>
      <c r="AA172" s="51">
        <v>0.86936456500000003</v>
      </c>
      <c r="AB172"/>
      <c r="AC172"/>
      <c r="AD172"/>
      <c r="AE172"/>
      <c r="AF172"/>
      <c r="AG172"/>
    </row>
    <row r="173" spans="12:33">
      <c r="L173" s="48">
        <v>37438</v>
      </c>
      <c r="M173" s="48">
        <f t="shared" si="25"/>
        <v>37468</v>
      </c>
      <c r="N173" s="51">
        <v>7.2034993165370738</v>
      </c>
      <c r="O173" s="19"/>
      <c r="P173" s="19" t="s">
        <v>1775</v>
      </c>
      <c r="Q173" s="23">
        <f>DATE(YEAR(OneWeekMtgRatesDataTable75[[#This Row],[asOf]]),MONTH(OneWeekMtgRatesDataTable75[[#This Row],[asOf]]),DAY(OneWeekMtgRatesDataTable75[[#This Row],[asOf]]))</f>
        <v>42331</v>
      </c>
      <c r="R173" s="19">
        <v>3.95</v>
      </c>
      <c r="S173" s="19">
        <v>0.7</v>
      </c>
      <c r="T173" s="19">
        <v>3.875</v>
      </c>
      <c r="V173" s="48" t="s">
        <v>1771</v>
      </c>
      <c r="W173" s="48" t="s">
        <v>1832</v>
      </c>
      <c r="X173" s="51">
        <v>2.9474672658602201</v>
      </c>
      <c r="Z173" s="48" t="s">
        <v>1777</v>
      </c>
      <c r="AA173" s="51">
        <v>0.86936456500000003</v>
      </c>
      <c r="AB173"/>
      <c r="AC173"/>
      <c r="AD173"/>
      <c r="AE173"/>
      <c r="AF173"/>
      <c r="AG173"/>
    </row>
    <row r="174" spans="12:33">
      <c r="L174" s="48">
        <v>37408</v>
      </c>
      <c r="M174" s="48">
        <f t="shared" si="25"/>
        <v>37435</v>
      </c>
      <c r="N174" s="51">
        <v>7.2160068963509065</v>
      </c>
      <c r="O174" s="19"/>
      <c r="P174" s="19" t="s">
        <v>1776</v>
      </c>
      <c r="Q174" s="23">
        <f>DATE(YEAR(OneWeekMtgRatesDataTable75[[#This Row],[asOf]]),MONTH(OneWeekMtgRatesDataTable75[[#This Row],[asOf]]),DAY(OneWeekMtgRatesDataTable75[[#This Row],[asOf]]))</f>
        <v>42328</v>
      </c>
      <c r="R174" s="19">
        <v>3.95</v>
      </c>
      <c r="S174" s="19">
        <v>0.7</v>
      </c>
      <c r="T174" s="19">
        <v>3.875</v>
      </c>
      <c r="V174" s="48" t="s">
        <v>1772</v>
      </c>
      <c r="W174" s="48" t="s">
        <v>1832</v>
      </c>
      <c r="X174" s="51">
        <v>2.9627998266716902</v>
      </c>
      <c r="Z174" s="48" t="s">
        <v>1778</v>
      </c>
      <c r="AA174" s="51">
        <v>0.86936456500000003</v>
      </c>
      <c r="AB174"/>
      <c r="AC174"/>
      <c r="AD174"/>
      <c r="AE174"/>
      <c r="AF174"/>
      <c r="AG174"/>
    </row>
    <row r="175" spans="12:33">
      <c r="L175" s="48">
        <v>37377</v>
      </c>
      <c r="M175" s="48">
        <f t="shared" si="25"/>
        <v>37407</v>
      </c>
      <c r="N175" s="51">
        <v>7.2269564299105413</v>
      </c>
      <c r="O175" s="19"/>
      <c r="P175" s="19" t="s">
        <v>1777</v>
      </c>
      <c r="Q175" s="23">
        <f>DATE(YEAR(OneWeekMtgRatesDataTable75[[#This Row],[asOf]]),MONTH(OneWeekMtgRatesDataTable75[[#This Row],[asOf]]),DAY(OneWeekMtgRatesDataTable75[[#This Row],[asOf]]))</f>
        <v>42327</v>
      </c>
      <c r="R175" s="19">
        <v>3.95</v>
      </c>
      <c r="S175" s="19">
        <v>0.7</v>
      </c>
      <c r="T175" s="19">
        <v>3.875</v>
      </c>
      <c r="V175" s="48" t="s">
        <v>1773</v>
      </c>
      <c r="W175" s="48" t="s">
        <v>1832</v>
      </c>
      <c r="X175" s="51">
        <v>2.9699990408330801</v>
      </c>
      <c r="Z175" s="48" t="s">
        <v>1779</v>
      </c>
      <c r="AA175" s="51">
        <v>0.87623495399999995</v>
      </c>
      <c r="AB175"/>
      <c r="AC175"/>
      <c r="AD175"/>
      <c r="AE175"/>
      <c r="AF175"/>
      <c r="AG175"/>
    </row>
    <row r="176" spans="12:33">
      <c r="L176" s="48">
        <v>37347</v>
      </c>
      <c r="M176" s="48">
        <f t="shared" si="25"/>
        <v>37376</v>
      </c>
      <c r="N176" s="51">
        <v>7.2396231504910524</v>
      </c>
      <c r="O176" s="19"/>
      <c r="P176" s="19" t="s">
        <v>1778</v>
      </c>
      <c r="Q176" s="23">
        <f>DATE(YEAR(OneWeekMtgRatesDataTable75[[#This Row],[asOf]]),MONTH(OneWeekMtgRatesDataTable75[[#This Row],[asOf]]),DAY(OneWeekMtgRatesDataTable75[[#This Row],[asOf]]))</f>
        <v>42326</v>
      </c>
      <c r="R176" s="19">
        <v>3.97</v>
      </c>
      <c r="S176" s="19">
        <v>0.6</v>
      </c>
      <c r="T176" s="19">
        <v>3.87</v>
      </c>
      <c r="V176" s="48" t="s">
        <v>1774</v>
      </c>
      <c r="W176" s="48" t="s">
        <v>1832</v>
      </c>
      <c r="X176" s="51">
        <v>2.9726150604600501</v>
      </c>
      <c r="Z176" s="48" t="s">
        <v>1780</v>
      </c>
      <c r="AA176" s="51">
        <v>0.87623495399999995</v>
      </c>
      <c r="AB176"/>
      <c r="AC176"/>
      <c r="AD176"/>
      <c r="AE176"/>
      <c r="AF176"/>
      <c r="AG176"/>
    </row>
    <row r="177" spans="12:33">
      <c r="L177" s="48">
        <v>37316</v>
      </c>
      <c r="M177" s="48">
        <f t="shared" si="25"/>
        <v>37344</v>
      </c>
      <c r="N177" s="51">
        <v>7.2569339081341999</v>
      </c>
      <c r="O177" s="19"/>
      <c r="P177" s="19" t="s">
        <v>1779</v>
      </c>
      <c r="Q177" s="23">
        <f>DATE(YEAR(OneWeekMtgRatesDataTable75[[#This Row],[asOf]]),MONTH(OneWeekMtgRatesDataTable75[[#This Row],[asOf]]),DAY(OneWeekMtgRatesDataTable75[[#This Row],[asOf]]))</f>
        <v>42325</v>
      </c>
      <c r="R177" s="19">
        <v>3.97</v>
      </c>
      <c r="S177" s="19">
        <v>0.6</v>
      </c>
      <c r="T177" s="19">
        <v>3.87</v>
      </c>
      <c r="V177" s="48" t="s">
        <v>1775</v>
      </c>
      <c r="W177" s="48" t="s">
        <v>1832</v>
      </c>
      <c r="X177" s="51">
        <v>2.9783756626827098</v>
      </c>
      <c r="Z177" s="48" t="s">
        <v>1781</v>
      </c>
      <c r="AA177" s="51">
        <v>0.87623495399999995</v>
      </c>
      <c r="AB177"/>
      <c r="AC177"/>
      <c r="AD177"/>
      <c r="AE177"/>
      <c r="AF177"/>
      <c r="AG177"/>
    </row>
    <row r="178" spans="12:33">
      <c r="L178" s="48">
        <v>37288</v>
      </c>
      <c r="M178" s="48">
        <f t="shared" si="25"/>
        <v>37315</v>
      </c>
      <c r="N178" s="51">
        <v>7.2763754914515228</v>
      </c>
      <c r="O178" s="19"/>
      <c r="P178" s="19" t="s">
        <v>1780</v>
      </c>
      <c r="Q178" s="23">
        <f>DATE(YEAR(OneWeekMtgRatesDataTable75[[#This Row],[asOf]]),MONTH(OneWeekMtgRatesDataTable75[[#This Row],[asOf]]),DAY(OneWeekMtgRatesDataTable75[[#This Row],[asOf]]))</f>
        <v>42324</v>
      </c>
      <c r="R178" s="19">
        <v>3.97</v>
      </c>
      <c r="S178" s="19">
        <v>0.6</v>
      </c>
      <c r="T178" s="19">
        <v>3.87</v>
      </c>
      <c r="V178" s="48" t="s">
        <v>1776</v>
      </c>
      <c r="W178" s="48" t="s">
        <v>1832</v>
      </c>
      <c r="X178" s="51">
        <v>2.9778815410804498</v>
      </c>
      <c r="Z178" s="48" t="s">
        <v>1743</v>
      </c>
      <c r="AA178" s="51">
        <v>0.87623495399999995</v>
      </c>
      <c r="AB178"/>
      <c r="AC178"/>
      <c r="AD178"/>
      <c r="AE178"/>
      <c r="AF178"/>
      <c r="AG178"/>
    </row>
    <row r="179" spans="12:33">
      <c r="L179" s="48">
        <v>37257</v>
      </c>
      <c r="M179" s="48">
        <f t="shared" si="25"/>
        <v>37287</v>
      </c>
      <c r="N179" s="51">
        <v>7.3028699366002687</v>
      </c>
      <c r="O179" s="19"/>
      <c r="P179" s="19" t="s">
        <v>1781</v>
      </c>
      <c r="Q179" s="23">
        <f>DATE(YEAR(OneWeekMtgRatesDataTable75[[#This Row],[asOf]]),MONTH(OneWeekMtgRatesDataTable75[[#This Row],[asOf]]),DAY(OneWeekMtgRatesDataTable75[[#This Row],[asOf]]))</f>
        <v>42321</v>
      </c>
      <c r="R179" s="19">
        <v>3.97</v>
      </c>
      <c r="S179" s="19">
        <v>0.6</v>
      </c>
      <c r="T179" s="19">
        <v>3.87</v>
      </c>
      <c r="V179" s="48" t="s">
        <v>1777</v>
      </c>
      <c r="W179" s="48" t="s">
        <v>1832</v>
      </c>
      <c r="X179" s="51">
        <v>2.9567440380932299</v>
      </c>
      <c r="Z179" s="48" t="s">
        <v>1744</v>
      </c>
      <c r="AA179" s="51">
        <v>0.87623495399999995</v>
      </c>
      <c r="AB179"/>
      <c r="AC179"/>
      <c r="AD179"/>
      <c r="AE179"/>
      <c r="AF179"/>
      <c r="AG179"/>
    </row>
    <row r="180" spans="12:33">
      <c r="L180" s="48">
        <v>37226</v>
      </c>
      <c r="M180" s="48">
        <f t="shared" si="25"/>
        <v>37256</v>
      </c>
      <c r="N180" s="51">
        <v>7.3401035174219702</v>
      </c>
      <c r="O180" s="19"/>
      <c r="P180" s="19" t="s">
        <v>1743</v>
      </c>
      <c r="Q180" s="23">
        <f>DATE(YEAR(OneWeekMtgRatesDataTable75[[#This Row],[asOf]]),MONTH(OneWeekMtgRatesDataTable75[[#This Row],[asOf]]),DAY(OneWeekMtgRatesDataTable75[[#This Row],[asOf]]))</f>
        <v>42320</v>
      </c>
      <c r="R180" s="19">
        <v>3.97</v>
      </c>
      <c r="S180" s="19">
        <v>0.6</v>
      </c>
      <c r="T180" s="19">
        <v>3.87</v>
      </c>
      <c r="V180" s="48" t="s">
        <v>1778</v>
      </c>
      <c r="W180" s="48" t="s">
        <v>1832</v>
      </c>
      <c r="X180" s="51">
        <v>2.97922271147955</v>
      </c>
      <c r="Z180" s="48" t="s">
        <v>1745</v>
      </c>
      <c r="AA180" s="51">
        <v>0.88642613400000003</v>
      </c>
      <c r="AB180"/>
      <c r="AC180"/>
      <c r="AD180"/>
      <c r="AE180"/>
      <c r="AF180"/>
      <c r="AG180"/>
    </row>
    <row r="181" spans="12:33">
      <c r="L181" s="48">
        <v>37196</v>
      </c>
      <c r="M181" s="48">
        <f t="shared" si="25"/>
        <v>37225</v>
      </c>
      <c r="N181" s="51">
        <v>7.3806635187928586</v>
      </c>
      <c r="O181" s="19"/>
      <c r="P181" s="19" t="s">
        <v>1744</v>
      </c>
      <c r="Q181" s="23">
        <f>DATE(YEAR(OneWeekMtgRatesDataTable75[[#This Row],[asOf]]),MONTH(OneWeekMtgRatesDataTable75[[#This Row],[asOf]]),DAY(OneWeekMtgRatesDataTable75[[#This Row],[asOf]]))</f>
        <v>42318</v>
      </c>
      <c r="R181" s="19">
        <v>3.98</v>
      </c>
      <c r="S181" s="19">
        <v>0.6</v>
      </c>
      <c r="T181" s="19">
        <v>3.88</v>
      </c>
      <c r="V181" s="48" t="s">
        <v>1779</v>
      </c>
      <c r="W181" s="48" t="s">
        <v>1832</v>
      </c>
      <c r="X181" s="51">
        <v>2.9829487992520902</v>
      </c>
      <c r="Z181" s="48" t="s">
        <v>1746</v>
      </c>
      <c r="AA181" s="51">
        <v>0.88642613400000003</v>
      </c>
      <c r="AB181"/>
      <c r="AC181"/>
      <c r="AD181"/>
      <c r="AE181"/>
      <c r="AF181"/>
      <c r="AG181"/>
    </row>
    <row r="182" spans="12:33">
      <c r="L182" s="48">
        <v>37165</v>
      </c>
      <c r="M182" s="48">
        <f t="shared" si="25"/>
        <v>37195</v>
      </c>
      <c r="N182" s="51">
        <v>7.410258503655573</v>
      </c>
      <c r="O182" s="19"/>
      <c r="P182" s="19" t="s">
        <v>1745</v>
      </c>
      <c r="Q182" s="23">
        <f>DATE(YEAR(OneWeekMtgRatesDataTable75[[#This Row],[asOf]]),MONTH(OneWeekMtgRatesDataTable75[[#This Row],[asOf]]),DAY(OneWeekMtgRatesDataTable75[[#This Row],[asOf]]))</f>
        <v>42317</v>
      </c>
      <c r="R182" s="19">
        <v>3.98</v>
      </c>
      <c r="S182" s="19">
        <v>0.6</v>
      </c>
      <c r="T182" s="19">
        <v>3.88</v>
      </c>
      <c r="V182" s="48" t="s">
        <v>1780</v>
      </c>
      <c r="W182" s="48" t="s">
        <v>1832</v>
      </c>
      <c r="X182" s="51">
        <v>2.9962349476624799</v>
      </c>
      <c r="Z182" s="48" t="s">
        <v>1747</v>
      </c>
      <c r="AA182" s="51">
        <v>0.88642613400000003</v>
      </c>
      <c r="AB182"/>
      <c r="AC182"/>
      <c r="AD182"/>
      <c r="AE182"/>
      <c r="AF182"/>
      <c r="AG182"/>
    </row>
    <row r="183" spans="12:33">
      <c r="L183" s="48">
        <v>37135</v>
      </c>
      <c r="M183" s="48">
        <f t="shared" si="25"/>
        <v>37162</v>
      </c>
      <c r="N183" s="51">
        <v>7.4274568059626684</v>
      </c>
      <c r="O183" s="19"/>
      <c r="P183" s="19" t="s">
        <v>1746</v>
      </c>
      <c r="Q183" s="23">
        <f>DATE(YEAR(OneWeekMtgRatesDataTable75[[#This Row],[asOf]]),MONTH(OneWeekMtgRatesDataTable75[[#This Row],[asOf]]),DAY(OneWeekMtgRatesDataTable75[[#This Row],[asOf]]))</f>
        <v>42314</v>
      </c>
      <c r="R183" s="19">
        <v>3.98</v>
      </c>
      <c r="S183" s="19">
        <v>0.6</v>
      </c>
      <c r="T183" s="19">
        <v>3.88</v>
      </c>
      <c r="V183" s="48" t="s">
        <v>1781</v>
      </c>
      <c r="W183" s="48" t="s">
        <v>1832</v>
      </c>
      <c r="X183" s="51">
        <v>3.0032203766891601</v>
      </c>
      <c r="Z183" s="48" t="s">
        <v>1748</v>
      </c>
      <c r="AA183" s="51">
        <v>0.88642613400000003</v>
      </c>
      <c r="AB183"/>
      <c r="AC183"/>
      <c r="AD183"/>
      <c r="AE183"/>
      <c r="AF183"/>
      <c r="AG183"/>
    </row>
    <row r="184" spans="12:33">
      <c r="L184" s="48">
        <v>37104</v>
      </c>
      <c r="M184" s="48">
        <f t="shared" si="25"/>
        <v>37134</v>
      </c>
      <c r="N184" s="51">
        <v>7.4436498896780892</v>
      </c>
      <c r="O184" s="19"/>
      <c r="P184" s="19" t="s">
        <v>1747</v>
      </c>
      <c r="Q184" s="23">
        <f>DATE(YEAR(OneWeekMtgRatesDataTable75[[#This Row],[asOf]]),MONTH(OneWeekMtgRatesDataTable75[[#This Row],[asOf]]),DAY(OneWeekMtgRatesDataTable75[[#This Row],[asOf]]))</f>
        <v>42313</v>
      </c>
      <c r="R184" s="19">
        <v>3.98</v>
      </c>
      <c r="S184" s="19">
        <v>0.6</v>
      </c>
      <c r="T184" s="19">
        <v>3.88</v>
      </c>
      <c r="V184" s="48" t="s">
        <v>1743</v>
      </c>
      <c r="W184" s="48" t="s">
        <v>1832</v>
      </c>
      <c r="X184" s="51">
        <v>3.0415503408748101</v>
      </c>
      <c r="Z184" s="48" t="s">
        <v>1749</v>
      </c>
      <c r="AA184" s="51">
        <v>0.90714148400000005</v>
      </c>
      <c r="AB184"/>
      <c r="AC184"/>
      <c r="AD184"/>
      <c r="AE184"/>
      <c r="AF184"/>
      <c r="AG184"/>
    </row>
    <row r="185" spans="12:33">
      <c r="L185" s="48">
        <v>37073</v>
      </c>
      <c r="M185" s="48">
        <f t="shared" si="25"/>
        <v>37103</v>
      </c>
      <c r="N185" s="51">
        <v>7.4576310311595044</v>
      </c>
      <c r="O185" s="19"/>
      <c r="P185" s="19" t="s">
        <v>1748</v>
      </c>
      <c r="Q185" s="23">
        <f>DATE(YEAR(OneWeekMtgRatesDataTable75[[#This Row],[asOf]]),MONTH(OneWeekMtgRatesDataTable75[[#This Row],[asOf]]),DAY(OneWeekMtgRatesDataTable75[[#This Row],[asOf]]))</f>
        <v>42312</v>
      </c>
      <c r="R185" s="19">
        <v>3.87</v>
      </c>
      <c r="S185" s="19">
        <v>0.6</v>
      </c>
      <c r="T185" s="19">
        <v>3.77</v>
      </c>
      <c r="V185" s="48" t="s">
        <v>1744</v>
      </c>
      <c r="W185" s="48" t="s">
        <v>1832</v>
      </c>
      <c r="X185" s="51">
        <v>3.0240881034818901</v>
      </c>
      <c r="Z185" s="48" t="s">
        <v>1750</v>
      </c>
      <c r="AA185" s="51">
        <v>0.90714148400000005</v>
      </c>
      <c r="AB185"/>
      <c r="AC185"/>
      <c r="AD185"/>
      <c r="AE185"/>
      <c r="AF185"/>
      <c r="AG185"/>
    </row>
    <row r="186" spans="12:33">
      <c r="L186" s="48">
        <v>37043</v>
      </c>
      <c r="M186" s="48">
        <f t="shared" si="25"/>
        <v>37071</v>
      </c>
      <c r="N186" s="51">
        <v>7.4751311307147246</v>
      </c>
      <c r="O186" s="19"/>
      <c r="P186" s="19" t="s">
        <v>1749</v>
      </c>
      <c r="Q186" s="23">
        <f>DATE(YEAR(OneWeekMtgRatesDataTable75[[#This Row],[asOf]]),MONTH(OneWeekMtgRatesDataTable75[[#This Row],[asOf]]),DAY(OneWeekMtgRatesDataTable75[[#This Row],[asOf]]))</f>
        <v>42311</v>
      </c>
      <c r="R186" s="19">
        <v>3.87</v>
      </c>
      <c r="S186" s="19">
        <v>0.6</v>
      </c>
      <c r="T186" s="19">
        <v>3.77</v>
      </c>
      <c r="V186" s="48" t="s">
        <v>1745</v>
      </c>
      <c r="W186" s="48" t="s">
        <v>1832</v>
      </c>
      <c r="X186" s="51">
        <v>3.0394713990433302</v>
      </c>
      <c r="Z186" s="48" t="s">
        <v>1751</v>
      </c>
      <c r="AA186" s="51">
        <v>0.90714148400000005</v>
      </c>
      <c r="AB186"/>
      <c r="AC186"/>
      <c r="AD186"/>
      <c r="AE186"/>
      <c r="AF186"/>
      <c r="AG186"/>
    </row>
    <row r="187" spans="12:33">
      <c r="L187" s="48">
        <v>37012</v>
      </c>
      <c r="M187" s="48">
        <f t="shared" si="25"/>
        <v>37042</v>
      </c>
      <c r="N187" s="51">
        <v>7.4992216353381203</v>
      </c>
      <c r="O187" s="19"/>
      <c r="P187" s="19" t="s">
        <v>1750</v>
      </c>
      <c r="Q187" s="23">
        <f>DATE(YEAR(OneWeekMtgRatesDataTable75[[#This Row],[asOf]]),MONTH(OneWeekMtgRatesDataTable75[[#This Row],[asOf]]),DAY(OneWeekMtgRatesDataTable75[[#This Row],[asOf]]))</f>
        <v>42310</v>
      </c>
      <c r="R187" s="19">
        <v>3.87</v>
      </c>
      <c r="S187" s="19">
        <v>0.6</v>
      </c>
      <c r="T187" s="19">
        <v>3.77</v>
      </c>
      <c r="V187" s="48" t="s">
        <v>1746</v>
      </c>
      <c r="W187" s="48" t="s">
        <v>1832</v>
      </c>
      <c r="X187" s="51">
        <v>3.0126979954339599</v>
      </c>
      <c r="Z187" s="48" t="s">
        <v>1752</v>
      </c>
      <c r="AA187" s="51">
        <v>0.90714148400000005</v>
      </c>
      <c r="AB187"/>
      <c r="AC187"/>
      <c r="AD187"/>
      <c r="AE187"/>
      <c r="AF187"/>
      <c r="AG187"/>
    </row>
    <row r="188" spans="12:33">
      <c r="L188" s="48">
        <v>36982</v>
      </c>
      <c r="M188" s="48">
        <f t="shared" si="25"/>
        <v>37011</v>
      </c>
      <c r="N188" s="51">
        <v>7.5247913018060943</v>
      </c>
      <c r="O188" s="19"/>
      <c r="P188" s="19" t="s">
        <v>1751</v>
      </c>
      <c r="Q188" s="23">
        <f>DATE(YEAR(OneWeekMtgRatesDataTable75[[#This Row],[asOf]]),MONTH(OneWeekMtgRatesDataTable75[[#This Row],[asOf]]),DAY(OneWeekMtgRatesDataTable75[[#This Row],[asOf]]))</f>
        <v>42307</v>
      </c>
      <c r="R188" s="19">
        <v>3.87</v>
      </c>
      <c r="S188" s="19">
        <v>0.6</v>
      </c>
      <c r="T188" s="19">
        <v>3.77</v>
      </c>
      <c r="V188" s="48" t="s">
        <v>1747</v>
      </c>
      <c r="W188" s="48" t="s">
        <v>1832</v>
      </c>
      <c r="X188" s="51">
        <v>2.9388026853832501</v>
      </c>
      <c r="Z188" s="48" t="s">
        <v>1753</v>
      </c>
      <c r="AA188" s="51">
        <v>0.90714148400000005</v>
      </c>
      <c r="AB188"/>
      <c r="AC188"/>
      <c r="AD188"/>
      <c r="AE188"/>
      <c r="AF188"/>
      <c r="AG188"/>
    </row>
    <row r="189" spans="12:33">
      <c r="L189" s="48">
        <v>36951</v>
      </c>
      <c r="M189" s="48">
        <f t="shared" si="25"/>
        <v>36980</v>
      </c>
      <c r="N189" s="51">
        <v>7.5507360977577989</v>
      </c>
      <c r="O189" s="19"/>
      <c r="P189" s="19" t="s">
        <v>1752</v>
      </c>
      <c r="Q189" s="23">
        <f>DATE(YEAR(OneWeekMtgRatesDataTable75[[#This Row],[asOf]]),MONTH(OneWeekMtgRatesDataTable75[[#This Row],[asOf]]),DAY(OneWeekMtgRatesDataTable75[[#This Row],[asOf]]))</f>
        <v>42306</v>
      </c>
      <c r="R189" s="19">
        <v>3.87</v>
      </c>
      <c r="S189" s="19">
        <v>0.6</v>
      </c>
      <c r="T189" s="19">
        <v>3.77</v>
      </c>
      <c r="V189" s="48" t="s">
        <v>1748</v>
      </c>
      <c r="W189" s="48" t="s">
        <v>1832</v>
      </c>
      <c r="X189" s="51">
        <v>2.9340630334667899</v>
      </c>
      <c r="Z189" s="48" t="s">
        <v>1754</v>
      </c>
      <c r="AA189" s="51">
        <v>0.94665395600000002</v>
      </c>
      <c r="AB189"/>
      <c r="AC189"/>
      <c r="AD189"/>
      <c r="AE189"/>
      <c r="AF189"/>
      <c r="AG189"/>
    </row>
    <row r="190" spans="12:33">
      <c r="L190" s="48">
        <v>36923</v>
      </c>
      <c r="M190" s="48">
        <f t="shared" si="25"/>
        <v>36950</v>
      </c>
      <c r="N190" s="51">
        <v>7.5672076678487716</v>
      </c>
      <c r="O190" s="19"/>
      <c r="P190" s="19" t="s">
        <v>1753</v>
      </c>
      <c r="Q190" s="23">
        <f>DATE(YEAR(OneWeekMtgRatesDataTable75[[#This Row],[asOf]]),MONTH(OneWeekMtgRatesDataTable75[[#This Row],[asOf]]),DAY(OneWeekMtgRatesDataTable75[[#This Row],[asOf]]))</f>
        <v>42305</v>
      </c>
      <c r="R190" s="19">
        <v>3.76</v>
      </c>
      <c r="S190" s="19">
        <v>0.6</v>
      </c>
      <c r="T190" s="19">
        <v>3.6599999999999997</v>
      </c>
      <c r="V190" s="48" t="s">
        <v>1749</v>
      </c>
      <c r="W190" s="48" t="s">
        <v>1832</v>
      </c>
      <c r="X190" s="51">
        <v>2.8982983852453801</v>
      </c>
      <c r="Z190" s="48" t="s">
        <v>1755</v>
      </c>
      <c r="AA190" s="51">
        <v>0.94665395600000002</v>
      </c>
      <c r="AB190"/>
      <c r="AC190"/>
      <c r="AD190"/>
      <c r="AE190"/>
      <c r="AF190"/>
      <c r="AG190"/>
    </row>
    <row r="191" spans="12:33">
      <c r="L191" s="48">
        <v>36892</v>
      </c>
      <c r="M191" s="48">
        <f t="shared" si="25"/>
        <v>36922</v>
      </c>
      <c r="N191" s="51">
        <v>7.5724879062711921</v>
      </c>
      <c r="O191" s="19"/>
      <c r="P191" s="19" t="s">
        <v>1754</v>
      </c>
      <c r="Q191" s="23">
        <f>DATE(YEAR(OneWeekMtgRatesDataTable75[[#This Row],[asOf]]),MONTH(OneWeekMtgRatesDataTable75[[#This Row],[asOf]]),DAY(OneWeekMtgRatesDataTable75[[#This Row],[asOf]]))</f>
        <v>42304</v>
      </c>
      <c r="R191" s="19">
        <v>3.76</v>
      </c>
      <c r="S191" s="19">
        <v>0.6</v>
      </c>
      <c r="T191" s="19">
        <v>3.6599999999999997</v>
      </c>
      <c r="V191" s="48" t="s">
        <v>1750</v>
      </c>
      <c r="W191" s="48" t="s">
        <v>1832</v>
      </c>
      <c r="X191" s="51">
        <v>2.8650468207927799</v>
      </c>
      <c r="Z191" s="48" t="s">
        <v>1756</v>
      </c>
      <c r="AA191" s="51">
        <v>0.94665395600000002</v>
      </c>
      <c r="AB191"/>
      <c r="AC191"/>
      <c r="AD191"/>
      <c r="AE191"/>
      <c r="AF191"/>
      <c r="AG191"/>
    </row>
    <row r="192" spans="12:33">
      <c r="L192" s="48">
        <v>36861</v>
      </c>
      <c r="M192" s="48">
        <f t="shared" si="25"/>
        <v>36889</v>
      </c>
      <c r="N192" s="51">
        <v>7.5666187030211685</v>
      </c>
      <c r="O192" s="19"/>
      <c r="P192" s="19" t="s">
        <v>1755</v>
      </c>
      <c r="Q192" s="23">
        <f>DATE(YEAR(OneWeekMtgRatesDataTable75[[#This Row],[asOf]]),MONTH(OneWeekMtgRatesDataTable75[[#This Row],[asOf]]),DAY(OneWeekMtgRatesDataTable75[[#This Row],[asOf]]))</f>
        <v>42303</v>
      </c>
      <c r="R192" s="19">
        <v>3.76</v>
      </c>
      <c r="S192" s="19">
        <v>0.6</v>
      </c>
      <c r="T192" s="19">
        <v>3.6599999999999997</v>
      </c>
      <c r="V192" s="48" t="s">
        <v>1751</v>
      </c>
      <c r="W192" s="48" t="s">
        <v>1832</v>
      </c>
      <c r="X192" s="51">
        <v>2.8444181025455899</v>
      </c>
      <c r="Z192" s="48" t="s">
        <v>1757</v>
      </c>
      <c r="AA192" s="51">
        <v>0.94665395600000002</v>
      </c>
      <c r="AB192"/>
      <c r="AC192"/>
      <c r="AD192"/>
      <c r="AE192"/>
      <c r="AF192"/>
      <c r="AG192"/>
    </row>
    <row r="193" spans="12:33">
      <c r="L193" s="48">
        <v>36831</v>
      </c>
      <c r="M193" s="48">
        <f t="shared" si="25"/>
        <v>36860</v>
      </c>
      <c r="N193" s="51">
        <v>7.5589205010841924</v>
      </c>
      <c r="O193" s="19"/>
      <c r="P193" s="19" t="s">
        <v>1756</v>
      </c>
      <c r="Q193" s="23">
        <f>DATE(YEAR(OneWeekMtgRatesDataTable75[[#This Row],[asOf]]),MONTH(OneWeekMtgRatesDataTable75[[#This Row],[asOf]]),DAY(OneWeekMtgRatesDataTable75[[#This Row],[asOf]]))</f>
        <v>42300</v>
      </c>
      <c r="R193" s="19">
        <v>3.76</v>
      </c>
      <c r="S193" s="19">
        <v>0.6</v>
      </c>
      <c r="T193" s="19">
        <v>3.6599999999999997</v>
      </c>
      <c r="V193" s="48" t="s">
        <v>1752</v>
      </c>
      <c r="W193" s="48" t="s">
        <v>1832</v>
      </c>
      <c r="X193" s="51">
        <v>2.8760429870518398</v>
      </c>
      <c r="Z193" s="48" t="s">
        <v>1758</v>
      </c>
      <c r="AA193" s="51">
        <v>0.94665395600000002</v>
      </c>
      <c r="AB193"/>
      <c r="AC193"/>
      <c r="AD193"/>
      <c r="AE193"/>
      <c r="AF193"/>
      <c r="AG193"/>
    </row>
    <row r="194" spans="12:33">
      <c r="L194" s="48">
        <v>36800</v>
      </c>
      <c r="M194" s="48">
        <f t="shared" si="25"/>
        <v>36830</v>
      </c>
      <c r="N194" s="51">
        <v>7.5487930983438503</v>
      </c>
      <c r="O194" s="19"/>
      <c r="P194" s="19" t="s">
        <v>1757</v>
      </c>
      <c r="Q194" s="23">
        <f>DATE(YEAR(OneWeekMtgRatesDataTable75[[#This Row],[asOf]]),MONTH(OneWeekMtgRatesDataTable75[[#This Row],[asOf]]),DAY(OneWeekMtgRatesDataTable75[[#This Row],[asOf]]))</f>
        <v>42299</v>
      </c>
      <c r="R194" s="19">
        <v>3.76</v>
      </c>
      <c r="S194" s="19">
        <v>0.6</v>
      </c>
      <c r="T194" s="19">
        <v>3.6599999999999997</v>
      </c>
      <c r="V194" s="48" t="s">
        <v>1753</v>
      </c>
      <c r="W194" s="48" t="s">
        <v>1832</v>
      </c>
      <c r="X194" s="51">
        <v>2.7958120452124602</v>
      </c>
      <c r="Z194" s="48" t="s">
        <v>1759</v>
      </c>
      <c r="AA194" s="51">
        <v>0.93781489699999998</v>
      </c>
      <c r="AB194"/>
      <c r="AC194"/>
      <c r="AD194"/>
      <c r="AE194"/>
      <c r="AF194"/>
      <c r="AG194"/>
    </row>
    <row r="195" spans="12:33">
      <c r="L195" s="48">
        <v>36770</v>
      </c>
      <c r="M195" s="48">
        <f t="shared" si="25"/>
        <v>36798</v>
      </c>
      <c r="N195" s="51">
        <v>7.5354422685922451</v>
      </c>
      <c r="O195" s="19"/>
      <c r="P195" s="19" t="s">
        <v>1758</v>
      </c>
      <c r="Q195" s="23">
        <f>DATE(YEAR(OneWeekMtgRatesDataTable75[[#This Row],[asOf]]),MONTH(OneWeekMtgRatesDataTable75[[#This Row],[asOf]]),DAY(OneWeekMtgRatesDataTable75[[#This Row],[asOf]]))</f>
        <v>42298</v>
      </c>
      <c r="R195" s="19">
        <v>3.79</v>
      </c>
      <c r="S195" s="19">
        <v>0.6</v>
      </c>
      <c r="T195" s="19">
        <v>3.69</v>
      </c>
      <c r="V195" s="48" t="s">
        <v>1754</v>
      </c>
      <c r="W195" s="48" t="s">
        <v>1832</v>
      </c>
      <c r="X195" s="51">
        <v>2.7239833090670502</v>
      </c>
      <c r="Z195" s="48" t="s">
        <v>1760</v>
      </c>
      <c r="AA195" s="51">
        <v>0.93781489699999998</v>
      </c>
      <c r="AB195"/>
      <c r="AC195"/>
      <c r="AD195"/>
      <c r="AE195"/>
      <c r="AF195"/>
      <c r="AG195"/>
    </row>
    <row r="196" spans="12:33">
      <c r="L196" s="48">
        <v>36739</v>
      </c>
      <c r="M196" s="48">
        <f t="shared" ref="M196:M259" si="26">IF(WEEKDAY(DATE(YEAR(L196),MONTH(L196)+1,0),2)=6,DATE(YEAR(L196),MONTH(L196)+1,0)-1,IF(WEEKDAY(DATE(YEAR(L196),MONTH(L196)+1,0),2)=7,DATE(YEAR(L196),MONTH(L196)+1,0)-2,DATE(YEAR(L196),MONTH(L196)+1,0)))</f>
        <v>36769</v>
      </c>
      <c r="N196" s="51">
        <v>7.5216530258550787</v>
      </c>
      <c r="O196" s="19"/>
      <c r="P196" s="19" t="s">
        <v>1759</v>
      </c>
      <c r="Q196" s="23">
        <f>DATE(YEAR(OneWeekMtgRatesDataTable75[[#This Row],[asOf]]),MONTH(OneWeekMtgRatesDataTable75[[#This Row],[asOf]]),DAY(OneWeekMtgRatesDataTable75[[#This Row],[asOf]]))</f>
        <v>42297</v>
      </c>
      <c r="R196" s="19">
        <v>3.79</v>
      </c>
      <c r="S196" s="19">
        <v>0.6</v>
      </c>
      <c r="T196" s="19">
        <v>3.69</v>
      </c>
      <c r="V196" s="48" t="s">
        <v>1755</v>
      </c>
      <c r="W196" s="48" t="s">
        <v>1832</v>
      </c>
      <c r="X196" s="51">
        <v>2.7558575864349502</v>
      </c>
      <c r="Z196" s="48" t="s">
        <v>1761</v>
      </c>
      <c r="AA196" s="51">
        <v>0.93781489699999998</v>
      </c>
      <c r="AB196"/>
      <c r="AC196"/>
      <c r="AD196"/>
      <c r="AE196"/>
      <c r="AF196"/>
      <c r="AG196"/>
    </row>
    <row r="197" spans="12:33">
      <c r="L197" s="48">
        <v>36708</v>
      </c>
      <c r="M197" s="48">
        <f t="shared" si="26"/>
        <v>36738</v>
      </c>
      <c r="N197" s="51">
        <v>7.5040146726364769</v>
      </c>
      <c r="O197" s="19"/>
      <c r="P197" s="19" t="s">
        <v>1760</v>
      </c>
      <c r="Q197" s="23">
        <f>DATE(YEAR(OneWeekMtgRatesDataTable75[[#This Row],[asOf]]),MONTH(OneWeekMtgRatesDataTable75[[#This Row],[asOf]]),DAY(OneWeekMtgRatesDataTable75[[#This Row],[asOf]]))</f>
        <v>42296</v>
      </c>
      <c r="R197" s="19">
        <v>3.79</v>
      </c>
      <c r="S197" s="19">
        <v>0.6</v>
      </c>
      <c r="T197" s="19">
        <v>3.69</v>
      </c>
      <c r="V197" s="48" t="s">
        <v>1756</v>
      </c>
      <c r="W197" s="48" t="s">
        <v>1832</v>
      </c>
      <c r="X197" s="51">
        <v>2.77127537293183</v>
      </c>
      <c r="Z197" s="48" t="s">
        <v>1762</v>
      </c>
      <c r="AA197" s="51">
        <v>0.93781489699999998</v>
      </c>
      <c r="AB197"/>
      <c r="AC197"/>
      <c r="AD197"/>
      <c r="AE197"/>
      <c r="AF197"/>
      <c r="AG197"/>
    </row>
    <row r="198" spans="12:33">
      <c r="L198" s="48">
        <v>36678</v>
      </c>
      <c r="M198" s="48">
        <f t="shared" si="26"/>
        <v>36707</v>
      </c>
      <c r="N198" s="51">
        <v>7.4871217928603127</v>
      </c>
      <c r="O198" s="19"/>
      <c r="P198" s="19" t="s">
        <v>1761</v>
      </c>
      <c r="Q198" s="23">
        <f>DATE(YEAR(OneWeekMtgRatesDataTable75[[#This Row],[asOf]]),MONTH(OneWeekMtgRatesDataTable75[[#This Row],[asOf]]),DAY(OneWeekMtgRatesDataTable75[[#This Row],[asOf]]))</f>
        <v>42293</v>
      </c>
      <c r="R198" s="19">
        <v>3.79</v>
      </c>
      <c r="S198" s="19">
        <v>0.6</v>
      </c>
      <c r="T198" s="19">
        <v>3.69</v>
      </c>
      <c r="V198" s="48" t="s">
        <v>1757</v>
      </c>
      <c r="W198" s="48" t="s">
        <v>1832</v>
      </c>
      <c r="X198" s="51">
        <v>2.7173642653119501</v>
      </c>
      <c r="Z198" s="48" t="s">
        <v>1763</v>
      </c>
      <c r="AA198" s="51">
        <v>0.93781489699999998</v>
      </c>
      <c r="AB198"/>
      <c r="AC198"/>
      <c r="AD198"/>
      <c r="AE198"/>
      <c r="AF198"/>
      <c r="AG198"/>
    </row>
    <row r="199" spans="12:33">
      <c r="L199" s="48">
        <v>36647</v>
      </c>
      <c r="M199" s="48">
        <f t="shared" si="26"/>
        <v>36677</v>
      </c>
      <c r="N199" s="51">
        <v>7.4732020786550706</v>
      </c>
      <c r="O199" s="19"/>
      <c r="P199" s="19" t="s">
        <v>1762</v>
      </c>
      <c r="Q199" s="23">
        <f>DATE(YEAR(OneWeekMtgRatesDataTable75[[#This Row],[asOf]]),MONTH(OneWeekMtgRatesDataTable75[[#This Row],[asOf]]),DAY(OneWeekMtgRatesDataTable75[[#This Row],[asOf]]))</f>
        <v>42292</v>
      </c>
      <c r="R199" s="19">
        <v>3.79</v>
      </c>
      <c r="S199" s="19">
        <v>0.6</v>
      </c>
      <c r="T199" s="19">
        <v>3.69</v>
      </c>
      <c r="V199" s="48" t="s">
        <v>1758</v>
      </c>
      <c r="W199" s="48" t="s">
        <v>1832</v>
      </c>
      <c r="X199" s="51">
        <v>2.7446763066937101</v>
      </c>
      <c r="Z199" s="48" t="s">
        <v>1764</v>
      </c>
      <c r="AA199" s="51">
        <v>0.89828005</v>
      </c>
      <c r="AB199"/>
      <c r="AC199"/>
      <c r="AD199"/>
      <c r="AE199"/>
      <c r="AF199"/>
      <c r="AG199"/>
    </row>
    <row r="200" spans="12:33">
      <c r="L200" s="48">
        <v>36617</v>
      </c>
      <c r="M200" s="48">
        <f t="shared" si="26"/>
        <v>36644</v>
      </c>
      <c r="N200" s="51">
        <v>7.4607988464454733</v>
      </c>
      <c r="O200" s="19"/>
      <c r="P200" s="19" t="s">
        <v>1763</v>
      </c>
      <c r="Q200" s="23">
        <f>DATE(YEAR(OneWeekMtgRatesDataTable75[[#This Row],[asOf]]),MONTH(OneWeekMtgRatesDataTable75[[#This Row],[asOf]]),DAY(OneWeekMtgRatesDataTable75[[#This Row],[asOf]]))</f>
        <v>42291</v>
      </c>
      <c r="R200" s="19">
        <v>3.82</v>
      </c>
      <c r="S200" s="19">
        <v>0.6</v>
      </c>
      <c r="T200" s="19">
        <v>3.7199999999999998</v>
      </c>
      <c r="V200" s="48" t="s">
        <v>1759</v>
      </c>
      <c r="W200" s="48" t="s">
        <v>1832</v>
      </c>
      <c r="X200" s="51">
        <v>2.7729349961757701</v>
      </c>
      <c r="Z200" s="48" t="s">
        <v>1765</v>
      </c>
      <c r="AA200" s="51">
        <v>0.89828005</v>
      </c>
      <c r="AB200"/>
      <c r="AC200"/>
      <c r="AD200"/>
      <c r="AE200"/>
      <c r="AF200"/>
      <c r="AG200"/>
    </row>
    <row r="201" spans="12:33">
      <c r="L201" s="48">
        <v>36586</v>
      </c>
      <c r="M201" s="48">
        <f t="shared" si="26"/>
        <v>36616</v>
      </c>
      <c r="N201" s="51">
        <v>7.4486291993832108</v>
      </c>
      <c r="O201" s="19"/>
      <c r="P201" s="19" t="s">
        <v>1764</v>
      </c>
      <c r="Q201" s="23">
        <f>DATE(YEAR(OneWeekMtgRatesDataTable75[[#This Row],[asOf]]),MONTH(OneWeekMtgRatesDataTable75[[#This Row],[asOf]]),DAY(OneWeekMtgRatesDataTable75[[#This Row],[asOf]]))</f>
        <v>42290</v>
      </c>
      <c r="R201" s="19">
        <v>3.82</v>
      </c>
      <c r="S201" s="19">
        <v>0.6</v>
      </c>
      <c r="T201" s="19">
        <v>3.7199999999999998</v>
      </c>
      <c r="V201" s="48" t="s">
        <v>1760</v>
      </c>
      <c r="W201" s="48" t="s">
        <v>1832</v>
      </c>
      <c r="X201" s="51">
        <v>2.7352021596982001</v>
      </c>
      <c r="Z201" s="48" t="s">
        <v>1766</v>
      </c>
      <c r="AA201" s="51">
        <v>0.89828005</v>
      </c>
      <c r="AB201"/>
      <c r="AC201"/>
      <c r="AD201"/>
      <c r="AE201"/>
      <c r="AF201"/>
      <c r="AG201"/>
    </row>
    <row r="202" spans="12:33">
      <c r="L202" s="48">
        <v>36557</v>
      </c>
      <c r="M202" s="48">
        <f t="shared" si="26"/>
        <v>36585</v>
      </c>
      <c r="N202" s="51">
        <v>7.4400957197323567</v>
      </c>
      <c r="O202" s="19"/>
      <c r="P202" s="19" t="s">
        <v>1765</v>
      </c>
      <c r="Q202" s="23">
        <f>DATE(YEAR(OneWeekMtgRatesDataTable75[[#This Row],[asOf]]),MONTH(OneWeekMtgRatesDataTable75[[#This Row],[asOf]]),DAY(OneWeekMtgRatesDataTable75[[#This Row],[asOf]]))</f>
        <v>42286</v>
      </c>
      <c r="R202" s="19">
        <v>3.82</v>
      </c>
      <c r="S202" s="19">
        <v>0.6</v>
      </c>
      <c r="T202" s="19">
        <v>3.7199999999999998</v>
      </c>
      <c r="V202" s="48" t="s">
        <v>1761</v>
      </c>
      <c r="W202" s="48" t="s">
        <v>1832</v>
      </c>
      <c r="X202" s="51">
        <v>2.7334728347211201</v>
      </c>
      <c r="Z202" s="48" t="s">
        <v>1767</v>
      </c>
      <c r="AA202" s="51">
        <v>0.89828005</v>
      </c>
      <c r="AB202"/>
      <c r="AC202"/>
      <c r="AD202"/>
      <c r="AE202"/>
      <c r="AF202"/>
      <c r="AG202"/>
    </row>
    <row r="203" spans="12:33">
      <c r="L203" s="48">
        <v>36526</v>
      </c>
      <c r="M203" s="48">
        <f t="shared" si="26"/>
        <v>36556</v>
      </c>
      <c r="N203" s="51">
        <v>7.4327729206536164</v>
      </c>
      <c r="O203" s="19"/>
      <c r="P203" s="19" t="s">
        <v>1766</v>
      </c>
      <c r="Q203" s="23">
        <f>DATE(YEAR(OneWeekMtgRatesDataTable75[[#This Row],[asOf]]),MONTH(OneWeekMtgRatesDataTable75[[#This Row],[asOf]]),DAY(OneWeekMtgRatesDataTable75[[#This Row],[asOf]]))</f>
        <v>42285</v>
      </c>
      <c r="R203" s="19">
        <v>3.82</v>
      </c>
      <c r="S203" s="19">
        <v>0.6</v>
      </c>
      <c r="T203" s="19">
        <v>3.7199999999999998</v>
      </c>
      <c r="V203" s="48" t="s">
        <v>1762</v>
      </c>
      <c r="W203" s="48" t="s">
        <v>1832</v>
      </c>
      <c r="X203" s="51">
        <v>2.73044392273518</v>
      </c>
      <c r="Z203" s="48" t="s">
        <v>1768</v>
      </c>
      <c r="AA203" s="51">
        <v>0.90219892899999998</v>
      </c>
      <c r="AB203"/>
      <c r="AC203"/>
      <c r="AD203"/>
      <c r="AE203"/>
      <c r="AF203"/>
      <c r="AG203"/>
    </row>
    <row r="204" spans="12:33">
      <c r="L204" s="48">
        <v>36495</v>
      </c>
      <c r="M204" s="48">
        <f t="shared" si="26"/>
        <v>36525</v>
      </c>
      <c r="N204" s="51">
        <v>7.4272840359167187</v>
      </c>
      <c r="O204" s="19"/>
      <c r="P204" s="19" t="s">
        <v>1767</v>
      </c>
      <c r="Q204" s="23">
        <f>DATE(YEAR(OneWeekMtgRatesDataTable75[[#This Row],[asOf]]),MONTH(OneWeekMtgRatesDataTable75[[#This Row],[asOf]]),DAY(OneWeekMtgRatesDataTable75[[#This Row],[asOf]]))</f>
        <v>42284</v>
      </c>
      <c r="R204" s="19">
        <v>3.76</v>
      </c>
      <c r="S204" s="19">
        <v>0.6</v>
      </c>
      <c r="T204" s="19">
        <v>3.6599999999999997</v>
      </c>
      <c r="V204" s="48" t="s">
        <v>1763</v>
      </c>
      <c r="W204" s="48" t="s">
        <v>1832</v>
      </c>
      <c r="X204" s="51">
        <v>2.7081035827114999</v>
      </c>
      <c r="Z204" s="48" t="s">
        <v>1769</v>
      </c>
      <c r="AA204" s="51">
        <v>0.90219892899999998</v>
      </c>
      <c r="AB204"/>
      <c r="AC204"/>
      <c r="AD204"/>
      <c r="AE204"/>
      <c r="AF204"/>
      <c r="AG204"/>
    </row>
    <row r="205" spans="12:33">
      <c r="L205" s="48">
        <v>36465</v>
      </c>
      <c r="M205" s="48">
        <f t="shared" si="26"/>
        <v>36494</v>
      </c>
      <c r="N205" s="51">
        <v>7.4220899726854297</v>
      </c>
      <c r="O205" s="19"/>
      <c r="P205" s="19" t="s">
        <v>1768</v>
      </c>
      <c r="Q205" s="23">
        <f>DATE(YEAR(OneWeekMtgRatesDataTable75[[#This Row],[asOf]]),MONTH(OneWeekMtgRatesDataTable75[[#This Row],[asOf]]),DAY(OneWeekMtgRatesDataTable75[[#This Row],[asOf]]))</f>
        <v>42283</v>
      </c>
      <c r="R205" s="19">
        <v>3.76</v>
      </c>
      <c r="S205" s="19">
        <v>0.6</v>
      </c>
      <c r="T205" s="19">
        <v>3.6599999999999997</v>
      </c>
      <c r="V205" s="48" t="s">
        <v>1764</v>
      </c>
      <c r="W205" s="48" t="s">
        <v>1832</v>
      </c>
      <c r="X205" s="51">
        <v>2.7891999400544001</v>
      </c>
      <c r="Z205" s="48" t="s">
        <v>1770</v>
      </c>
      <c r="AA205" s="51">
        <v>0.90219892899999998</v>
      </c>
      <c r="AB205"/>
      <c r="AC205"/>
      <c r="AD205"/>
      <c r="AE205"/>
      <c r="AF205"/>
      <c r="AG205"/>
    </row>
    <row r="206" spans="12:33">
      <c r="L206" s="48">
        <v>36434</v>
      </c>
      <c r="M206" s="48">
        <f t="shared" si="26"/>
        <v>36462</v>
      </c>
      <c r="N206" s="51">
        <v>7.4170138337306941</v>
      </c>
      <c r="O206" s="19"/>
      <c r="P206" s="19" t="s">
        <v>1769</v>
      </c>
      <c r="Q206" s="23">
        <f>DATE(YEAR(OneWeekMtgRatesDataTable75[[#This Row],[asOf]]),MONTH(OneWeekMtgRatesDataTable75[[#This Row],[asOf]]),DAY(OneWeekMtgRatesDataTable75[[#This Row],[asOf]]))</f>
        <v>42282</v>
      </c>
      <c r="R206" s="19">
        <v>3.76</v>
      </c>
      <c r="S206" s="19">
        <v>0.6</v>
      </c>
      <c r="T206" s="19">
        <v>3.6599999999999997</v>
      </c>
      <c r="V206" s="48" t="s">
        <v>1765</v>
      </c>
      <c r="W206" s="48" t="s">
        <v>1832</v>
      </c>
      <c r="X206" s="51">
        <v>2.8165675160693602</v>
      </c>
      <c r="Z206" s="48" t="s">
        <v>1623</v>
      </c>
      <c r="AA206" s="51">
        <v>0.90219892899999998</v>
      </c>
      <c r="AB206"/>
      <c r="AC206"/>
      <c r="AD206"/>
      <c r="AE206"/>
      <c r="AF206"/>
      <c r="AG206"/>
    </row>
    <row r="207" spans="12:33">
      <c r="L207" s="48">
        <v>36404</v>
      </c>
      <c r="M207" s="48">
        <f t="shared" si="26"/>
        <v>36433</v>
      </c>
      <c r="N207" s="51">
        <v>7.4125988659590858</v>
      </c>
      <c r="O207" s="19"/>
      <c r="P207" s="19" t="s">
        <v>1770</v>
      </c>
      <c r="Q207" s="23">
        <f>DATE(YEAR(OneWeekMtgRatesDataTable75[[#This Row],[asOf]]),MONTH(OneWeekMtgRatesDataTable75[[#This Row],[asOf]]),DAY(OneWeekMtgRatesDataTable75[[#This Row],[asOf]]))</f>
        <v>42279</v>
      </c>
      <c r="R207" s="19">
        <v>3.76</v>
      </c>
      <c r="S207" s="19">
        <v>0.6</v>
      </c>
      <c r="T207" s="19">
        <v>3.6599999999999997</v>
      </c>
      <c r="V207" s="48" t="s">
        <v>1766</v>
      </c>
      <c r="W207" s="48" t="s">
        <v>1832</v>
      </c>
      <c r="X207" s="51">
        <v>2.81486937200697</v>
      </c>
      <c r="Z207" s="48" t="s">
        <v>1624</v>
      </c>
      <c r="AA207" s="51">
        <v>0.90219892899999998</v>
      </c>
      <c r="AB207"/>
      <c r="AC207"/>
      <c r="AD207"/>
      <c r="AE207"/>
      <c r="AF207"/>
      <c r="AG207"/>
    </row>
    <row r="208" spans="12:33">
      <c r="L208" s="48">
        <v>36373</v>
      </c>
      <c r="M208" s="48">
        <f t="shared" si="26"/>
        <v>36403</v>
      </c>
      <c r="N208" s="51">
        <v>7.4095902251755978</v>
      </c>
      <c r="O208" s="19"/>
      <c r="P208" s="19" t="s">
        <v>1623</v>
      </c>
      <c r="Q208" s="23">
        <f>DATE(YEAR(OneWeekMtgRatesDataTable75[[#This Row],[asOf]]),MONTH(OneWeekMtgRatesDataTable75[[#This Row],[asOf]]),DAY(OneWeekMtgRatesDataTable75[[#This Row],[asOf]]))</f>
        <v>42278</v>
      </c>
      <c r="R208" s="19">
        <v>3.76</v>
      </c>
      <c r="S208" s="19">
        <v>0.6</v>
      </c>
      <c r="T208" s="19">
        <v>3.6599999999999997</v>
      </c>
      <c r="V208" s="48" t="s">
        <v>1767</v>
      </c>
      <c r="W208" s="48" t="s">
        <v>1832</v>
      </c>
      <c r="X208" s="51">
        <v>2.77010275743095</v>
      </c>
      <c r="Z208" s="48" t="s">
        <v>1625</v>
      </c>
      <c r="AA208" s="51">
        <v>0.90925936399999996</v>
      </c>
      <c r="AB208"/>
      <c r="AC208"/>
      <c r="AD208"/>
      <c r="AE208"/>
      <c r="AF208"/>
      <c r="AG208"/>
    </row>
    <row r="209" spans="12:33">
      <c r="L209" s="48">
        <v>36342</v>
      </c>
      <c r="M209" s="48">
        <f t="shared" si="26"/>
        <v>36371</v>
      </c>
      <c r="N209" s="51">
        <v>7.4127033466040517</v>
      </c>
      <c r="O209" s="19"/>
      <c r="P209" s="19" t="s">
        <v>1624</v>
      </c>
      <c r="Q209" s="23">
        <f>DATE(YEAR(OneWeekMtgRatesDataTable75[[#This Row],[asOf]]),MONTH(OneWeekMtgRatesDataTable75[[#This Row],[asOf]]),DAY(OneWeekMtgRatesDataTable75[[#This Row],[asOf]]))</f>
        <v>42277</v>
      </c>
      <c r="R209" s="19">
        <v>3.85</v>
      </c>
      <c r="S209" s="19">
        <v>0.6</v>
      </c>
      <c r="T209" s="19">
        <v>3.75</v>
      </c>
      <c r="V209" s="48" t="s">
        <v>1768</v>
      </c>
      <c r="W209" s="48" t="s">
        <v>1832</v>
      </c>
      <c r="X209" s="51">
        <v>2.7570320859498798</v>
      </c>
      <c r="Z209" s="48" t="s">
        <v>1626</v>
      </c>
      <c r="AA209" s="51">
        <v>0.90925936399999996</v>
      </c>
      <c r="AB209"/>
      <c r="AC209"/>
      <c r="AD209"/>
      <c r="AE209"/>
      <c r="AF209"/>
      <c r="AG209"/>
    </row>
    <row r="210" spans="12:33">
      <c r="L210" s="48">
        <v>36312</v>
      </c>
      <c r="M210" s="48">
        <f t="shared" si="26"/>
        <v>36341</v>
      </c>
      <c r="N210" s="51">
        <v>7.4255880456726953</v>
      </c>
      <c r="O210" s="19"/>
      <c r="P210" s="19" t="s">
        <v>1625</v>
      </c>
      <c r="Q210" s="23">
        <f>DATE(YEAR(OneWeekMtgRatesDataTable75[[#This Row],[asOf]]),MONTH(OneWeekMtgRatesDataTable75[[#This Row],[asOf]]),DAY(OneWeekMtgRatesDataTable75[[#This Row],[asOf]]))</f>
        <v>42276</v>
      </c>
      <c r="R210" s="19">
        <v>3.85</v>
      </c>
      <c r="S210" s="19">
        <v>0.6</v>
      </c>
      <c r="T210" s="19">
        <v>3.75</v>
      </c>
      <c r="V210" s="48" t="s">
        <v>1769</v>
      </c>
      <c r="W210" s="48" t="s">
        <v>1832</v>
      </c>
      <c r="X210" s="51">
        <v>2.7734212235563001</v>
      </c>
      <c r="Z210" s="48" t="s">
        <v>1627</v>
      </c>
      <c r="AA210" s="51">
        <v>0.90925936399999996</v>
      </c>
      <c r="AB210"/>
      <c r="AC210"/>
      <c r="AD210"/>
      <c r="AE210"/>
      <c r="AF210"/>
      <c r="AG210"/>
    </row>
    <row r="211" spans="12:33">
      <c r="L211" s="48">
        <v>36281</v>
      </c>
      <c r="M211" s="48">
        <f t="shared" si="26"/>
        <v>36311</v>
      </c>
      <c r="N211" s="51">
        <v>7.4441522318998361</v>
      </c>
      <c r="O211" s="19"/>
      <c r="P211" s="19" t="s">
        <v>1626</v>
      </c>
      <c r="Q211" s="23">
        <f>DATE(YEAR(OneWeekMtgRatesDataTable75[[#This Row],[asOf]]),MONTH(OneWeekMtgRatesDataTable75[[#This Row],[asOf]]),DAY(OneWeekMtgRatesDataTable75[[#This Row],[asOf]]))</f>
        <v>42275</v>
      </c>
      <c r="R211" s="19">
        <v>3.85</v>
      </c>
      <c r="S211" s="19">
        <v>0.6</v>
      </c>
      <c r="T211" s="19">
        <v>3.75</v>
      </c>
      <c r="V211" s="48" t="s">
        <v>1770</v>
      </c>
      <c r="W211" s="48" t="s">
        <v>1832</v>
      </c>
      <c r="X211" s="51">
        <v>2.7296334551710499</v>
      </c>
      <c r="Z211" s="48" t="s">
        <v>1628</v>
      </c>
      <c r="AA211" s="51">
        <v>0.90925936399999996</v>
      </c>
      <c r="AB211"/>
      <c r="AC211"/>
      <c r="AD211"/>
      <c r="AE211"/>
      <c r="AF211"/>
      <c r="AG211"/>
    </row>
    <row r="212" spans="12:33">
      <c r="L212" s="48">
        <v>36251</v>
      </c>
      <c r="M212" s="48">
        <f t="shared" si="26"/>
        <v>36280</v>
      </c>
      <c r="N212" s="51">
        <v>7.4658435130156562</v>
      </c>
      <c r="O212" s="19"/>
      <c r="P212" s="19" t="s">
        <v>1627</v>
      </c>
      <c r="Q212" s="23">
        <f>DATE(YEAR(OneWeekMtgRatesDataTable75[[#This Row],[asOf]]),MONTH(OneWeekMtgRatesDataTable75[[#This Row],[asOf]]),DAY(OneWeekMtgRatesDataTable75[[#This Row],[asOf]]))</f>
        <v>42272</v>
      </c>
      <c r="R212" s="19">
        <v>3.85</v>
      </c>
      <c r="S212" s="19">
        <v>0.6</v>
      </c>
      <c r="T212" s="19">
        <v>3.75</v>
      </c>
      <c r="V212" s="48" t="s">
        <v>1623</v>
      </c>
      <c r="W212" s="48" t="s">
        <v>1832</v>
      </c>
      <c r="X212" s="51">
        <v>2.7784102270308701</v>
      </c>
      <c r="Z212" s="48" t="s">
        <v>1629</v>
      </c>
      <c r="AA212" s="51">
        <v>0.90925936399999996</v>
      </c>
      <c r="AB212"/>
      <c r="AC212"/>
      <c r="AD212"/>
      <c r="AE212"/>
      <c r="AF212"/>
      <c r="AG212"/>
    </row>
    <row r="213" spans="12:33">
      <c r="L213" s="48">
        <v>36220</v>
      </c>
      <c r="M213" s="48">
        <f t="shared" si="26"/>
        <v>36250</v>
      </c>
      <c r="N213" s="51">
        <v>7.4945471518839906</v>
      </c>
      <c r="O213" s="19"/>
      <c r="P213" s="19" t="s">
        <v>1628</v>
      </c>
      <c r="Q213" s="23">
        <f>DATE(YEAR(OneWeekMtgRatesDataTable75[[#This Row],[asOf]]),MONTH(OneWeekMtgRatesDataTable75[[#This Row],[asOf]]),DAY(OneWeekMtgRatesDataTable75[[#This Row],[asOf]]))</f>
        <v>42271</v>
      </c>
      <c r="R213" s="19">
        <v>3.85</v>
      </c>
      <c r="S213" s="19">
        <v>0.6</v>
      </c>
      <c r="T213" s="19">
        <v>3.75</v>
      </c>
      <c r="V213" s="48" t="s">
        <v>1624</v>
      </c>
      <c r="W213" s="48" t="s">
        <v>1832</v>
      </c>
      <c r="X213" s="51">
        <v>2.8018988061488499</v>
      </c>
      <c r="Z213" s="48" t="s">
        <v>1630</v>
      </c>
      <c r="AA213" s="51">
        <v>0.86198685799999997</v>
      </c>
      <c r="AB213"/>
      <c r="AC213"/>
      <c r="AD213"/>
      <c r="AE213"/>
      <c r="AF213"/>
      <c r="AG213"/>
    </row>
    <row r="214" spans="12:33">
      <c r="L214" s="48">
        <v>36192</v>
      </c>
      <c r="M214" s="48">
        <f t="shared" si="26"/>
        <v>36217</v>
      </c>
      <c r="N214" s="51">
        <v>7.5272976913806762</v>
      </c>
      <c r="O214" s="19"/>
      <c r="P214" s="19" t="s">
        <v>1629</v>
      </c>
      <c r="Q214" s="23">
        <f>DATE(YEAR(OneWeekMtgRatesDataTable75[[#This Row],[asOf]]),MONTH(OneWeekMtgRatesDataTable75[[#This Row],[asOf]]),DAY(OneWeekMtgRatesDataTable75[[#This Row],[asOf]]))</f>
        <v>42270</v>
      </c>
      <c r="R214" s="19">
        <v>3.86</v>
      </c>
      <c r="S214" s="19">
        <v>0.7</v>
      </c>
      <c r="T214" s="19">
        <v>3.7849999999999997</v>
      </c>
      <c r="V214" s="48" t="s">
        <v>1625</v>
      </c>
      <c r="W214" s="48" t="s">
        <v>1832</v>
      </c>
      <c r="X214" s="51">
        <v>2.8124515814242899</v>
      </c>
      <c r="Z214" s="48" t="s">
        <v>1631</v>
      </c>
      <c r="AA214" s="51">
        <v>0.86198685799999997</v>
      </c>
      <c r="AB214"/>
      <c r="AC214"/>
      <c r="AD214"/>
      <c r="AE214"/>
      <c r="AF214"/>
      <c r="AG214"/>
    </row>
    <row r="215" spans="12:33">
      <c r="L215" s="48">
        <v>36161</v>
      </c>
      <c r="M215" s="48">
        <f t="shared" si="26"/>
        <v>36189</v>
      </c>
      <c r="N215" s="51">
        <v>7.5663623292007589</v>
      </c>
      <c r="O215" s="19"/>
      <c r="P215" s="19" t="s">
        <v>1630</v>
      </c>
      <c r="Q215" s="23">
        <f>DATE(YEAR(OneWeekMtgRatesDataTable75[[#This Row],[asOf]]),MONTH(OneWeekMtgRatesDataTable75[[#This Row],[asOf]]),DAY(OneWeekMtgRatesDataTable75[[#This Row],[asOf]]))</f>
        <v>42269</v>
      </c>
      <c r="R215" s="19">
        <v>3.86</v>
      </c>
      <c r="S215" s="19">
        <v>0.7</v>
      </c>
      <c r="T215" s="19">
        <v>3.7849999999999997</v>
      </c>
      <c r="V215" s="48" t="s">
        <v>1626</v>
      </c>
      <c r="W215" s="48" t="s">
        <v>1832</v>
      </c>
      <c r="X215" s="51">
        <v>2.8546348135519901</v>
      </c>
      <c r="Z215" s="48" t="s">
        <v>1632</v>
      </c>
      <c r="AA215" s="51">
        <v>0.86198685799999997</v>
      </c>
      <c r="AB215"/>
      <c r="AC215"/>
      <c r="AD215"/>
      <c r="AE215"/>
      <c r="AF215"/>
      <c r="AG215"/>
    </row>
    <row r="216" spans="12:33">
      <c r="L216" s="48">
        <v>36130</v>
      </c>
      <c r="M216" s="48">
        <f t="shared" si="26"/>
        <v>36160</v>
      </c>
      <c r="N216" s="51">
        <v>7.616672582784827</v>
      </c>
      <c r="O216" s="19"/>
      <c r="P216" s="19" t="s">
        <v>1631</v>
      </c>
      <c r="Q216" s="23">
        <f>DATE(YEAR(OneWeekMtgRatesDataTable75[[#This Row],[asOf]]),MONTH(OneWeekMtgRatesDataTable75[[#This Row],[asOf]]),DAY(OneWeekMtgRatesDataTable75[[#This Row],[asOf]]))</f>
        <v>42268</v>
      </c>
      <c r="R216" s="19">
        <v>3.86</v>
      </c>
      <c r="S216" s="19">
        <v>0.7</v>
      </c>
      <c r="T216" s="19">
        <v>3.7849999999999997</v>
      </c>
      <c r="V216" s="48" t="s">
        <v>1627</v>
      </c>
      <c r="W216" s="48" t="s">
        <v>1832</v>
      </c>
      <c r="X216" s="51">
        <v>2.8987506443333801</v>
      </c>
      <c r="Z216" s="48" t="s">
        <v>1633</v>
      </c>
      <c r="AA216" s="51">
        <v>0.86198685799999997</v>
      </c>
      <c r="AB216"/>
      <c r="AC216"/>
      <c r="AD216"/>
      <c r="AE216"/>
      <c r="AF216"/>
      <c r="AG216"/>
    </row>
    <row r="217" spans="12:33">
      <c r="L217" s="48">
        <v>36100</v>
      </c>
      <c r="M217" s="48">
        <f t="shared" si="26"/>
        <v>36129</v>
      </c>
      <c r="N217" s="51">
        <v>7.6690404267619279</v>
      </c>
      <c r="O217" s="19"/>
      <c r="P217" s="19" t="s">
        <v>1632</v>
      </c>
      <c r="Q217" s="23">
        <f>DATE(YEAR(OneWeekMtgRatesDataTable75[[#This Row],[asOf]]),MONTH(OneWeekMtgRatesDataTable75[[#This Row],[asOf]]),DAY(OneWeekMtgRatesDataTable75[[#This Row],[asOf]]))</f>
        <v>42265</v>
      </c>
      <c r="R217" s="19">
        <v>3.86</v>
      </c>
      <c r="S217" s="19">
        <v>0.7</v>
      </c>
      <c r="T217" s="19">
        <v>3.7849999999999997</v>
      </c>
      <c r="V217" s="48" t="s">
        <v>1628</v>
      </c>
      <c r="W217" s="48" t="s">
        <v>1832</v>
      </c>
      <c r="X217" s="51">
        <v>2.8712695086990299</v>
      </c>
      <c r="Z217" s="48" t="s">
        <v>1634</v>
      </c>
      <c r="AA217" s="51">
        <v>0.86198685799999997</v>
      </c>
      <c r="AB217"/>
      <c r="AC217"/>
      <c r="AD217"/>
      <c r="AE217"/>
      <c r="AF217"/>
      <c r="AG217"/>
    </row>
    <row r="218" spans="12:33">
      <c r="L218" s="48">
        <v>36069</v>
      </c>
      <c r="M218" s="48">
        <f t="shared" si="26"/>
        <v>36098</v>
      </c>
      <c r="N218" s="51">
        <v>7.7096326766398615</v>
      </c>
      <c r="O218" s="19"/>
      <c r="P218" s="19" t="s">
        <v>1633</v>
      </c>
      <c r="Q218" s="23">
        <f>DATE(YEAR(OneWeekMtgRatesDataTable75[[#This Row],[asOf]]),MONTH(OneWeekMtgRatesDataTable75[[#This Row],[asOf]]),DAY(OneWeekMtgRatesDataTable75[[#This Row],[asOf]]))</f>
        <v>42264</v>
      </c>
      <c r="R218" s="19">
        <v>3.86</v>
      </c>
      <c r="S218" s="19">
        <v>0.7</v>
      </c>
      <c r="T218" s="19">
        <v>3.7849999999999997</v>
      </c>
      <c r="V218" s="48" t="s">
        <v>1629</v>
      </c>
      <c r="W218" s="48" t="s">
        <v>1832</v>
      </c>
      <c r="X218" s="51">
        <v>2.8734950564364601</v>
      </c>
      <c r="Z218" s="48" t="s">
        <v>1635</v>
      </c>
      <c r="AA218" s="51">
        <v>0.89873051900000001</v>
      </c>
      <c r="AB218"/>
      <c r="AC218"/>
      <c r="AD218"/>
      <c r="AE218"/>
      <c r="AF218"/>
      <c r="AG218"/>
    </row>
    <row r="219" spans="12:33">
      <c r="L219" s="48">
        <v>36039</v>
      </c>
      <c r="M219" s="48">
        <f t="shared" si="26"/>
        <v>36068</v>
      </c>
      <c r="N219" s="51">
        <v>7.7431594941262842</v>
      </c>
      <c r="O219" s="19"/>
      <c r="P219" s="19" t="s">
        <v>1634</v>
      </c>
      <c r="Q219" s="23">
        <f>DATE(YEAR(OneWeekMtgRatesDataTable75[[#This Row],[asOf]]),MONTH(OneWeekMtgRatesDataTable75[[#This Row],[asOf]]),DAY(OneWeekMtgRatesDataTable75[[#This Row],[asOf]]))</f>
        <v>42263</v>
      </c>
      <c r="R219" s="19">
        <v>3.91</v>
      </c>
      <c r="S219" s="19">
        <v>0.6</v>
      </c>
      <c r="T219" s="19">
        <v>3.81</v>
      </c>
      <c r="V219" s="48" t="s">
        <v>1630</v>
      </c>
      <c r="W219" s="48" t="s">
        <v>1832</v>
      </c>
      <c r="X219" s="51">
        <v>2.8594352216235301</v>
      </c>
      <c r="Z219" s="48" t="s">
        <v>1636</v>
      </c>
      <c r="AA219" s="51">
        <v>0.89873051900000001</v>
      </c>
      <c r="AB219"/>
      <c r="AC219"/>
      <c r="AD219"/>
      <c r="AE219"/>
      <c r="AF219"/>
      <c r="AG219"/>
    </row>
    <row r="220" spans="12:33">
      <c r="L220" s="48">
        <v>36008</v>
      </c>
      <c r="M220" s="48">
        <f t="shared" si="26"/>
        <v>36038</v>
      </c>
      <c r="N220" s="51">
        <v>7.7762079544700118</v>
      </c>
      <c r="O220" s="19"/>
      <c r="P220" s="19" t="s">
        <v>1635</v>
      </c>
      <c r="Q220" s="23">
        <f>DATE(YEAR(OneWeekMtgRatesDataTable75[[#This Row],[asOf]]),MONTH(OneWeekMtgRatesDataTable75[[#This Row],[asOf]]),DAY(OneWeekMtgRatesDataTable75[[#This Row],[asOf]]))</f>
        <v>42262</v>
      </c>
      <c r="R220" s="19">
        <v>3.91</v>
      </c>
      <c r="S220" s="19">
        <v>0.6</v>
      </c>
      <c r="T220" s="19">
        <v>3.81</v>
      </c>
      <c r="V220" s="48" t="s">
        <v>1631</v>
      </c>
      <c r="W220" s="48" t="s">
        <v>1832</v>
      </c>
      <c r="X220" s="51">
        <v>2.91486476009828</v>
      </c>
      <c r="Z220" s="48" t="s">
        <v>1637</v>
      </c>
      <c r="AA220" s="51">
        <v>0.89873051900000001</v>
      </c>
      <c r="AB220"/>
      <c r="AC220"/>
      <c r="AD220"/>
      <c r="AE220"/>
      <c r="AF220"/>
      <c r="AG220"/>
    </row>
    <row r="221" spans="12:33">
      <c r="L221" s="48">
        <v>35977</v>
      </c>
      <c r="M221" s="48">
        <f t="shared" si="26"/>
        <v>36007</v>
      </c>
      <c r="N221" s="51">
        <v>7.8081378821182739</v>
      </c>
      <c r="O221" s="19"/>
      <c r="P221" s="19" t="s">
        <v>1636</v>
      </c>
      <c r="Q221" s="23">
        <f>DATE(YEAR(OneWeekMtgRatesDataTable75[[#This Row],[asOf]]),MONTH(OneWeekMtgRatesDataTable75[[#This Row],[asOf]]),DAY(OneWeekMtgRatesDataTable75[[#This Row],[asOf]]))</f>
        <v>42261</v>
      </c>
      <c r="R221" s="19">
        <v>3.91</v>
      </c>
      <c r="S221" s="19">
        <v>0.6</v>
      </c>
      <c r="T221" s="19">
        <v>3.81</v>
      </c>
      <c r="V221" s="48" t="s">
        <v>1632</v>
      </c>
      <c r="W221" s="48" t="s">
        <v>1832</v>
      </c>
      <c r="X221" s="51">
        <v>2.8362882018725202</v>
      </c>
      <c r="Z221" s="48" t="s">
        <v>1638</v>
      </c>
      <c r="AA221" s="51">
        <v>0.89873051900000001</v>
      </c>
      <c r="AB221"/>
      <c r="AC221"/>
      <c r="AD221"/>
      <c r="AE221"/>
      <c r="AF221"/>
      <c r="AG221"/>
    </row>
    <row r="222" spans="12:33">
      <c r="L222" s="48">
        <v>35947</v>
      </c>
      <c r="M222" s="48">
        <f t="shared" si="26"/>
        <v>35976</v>
      </c>
      <c r="N222" s="51">
        <v>7.8409685491637964</v>
      </c>
      <c r="O222" s="19"/>
      <c r="P222" s="19" t="s">
        <v>1637</v>
      </c>
      <c r="Q222" s="23">
        <f>DATE(YEAR(OneWeekMtgRatesDataTable75[[#This Row],[asOf]]),MONTH(OneWeekMtgRatesDataTable75[[#This Row],[asOf]]),DAY(OneWeekMtgRatesDataTable75[[#This Row],[asOf]]))</f>
        <v>42258</v>
      </c>
      <c r="R222" s="19">
        <v>3.91</v>
      </c>
      <c r="S222" s="19">
        <v>0.6</v>
      </c>
      <c r="T222" s="19">
        <v>3.81</v>
      </c>
      <c r="V222" s="48" t="s">
        <v>1633</v>
      </c>
      <c r="W222" s="48" t="s">
        <v>1832</v>
      </c>
      <c r="X222" s="51">
        <v>2.8946199392202701</v>
      </c>
      <c r="Z222" s="48" t="s">
        <v>1639</v>
      </c>
      <c r="AA222" s="51">
        <v>0.89873051900000001</v>
      </c>
      <c r="AB222"/>
      <c r="AC222"/>
      <c r="AD222"/>
      <c r="AE222"/>
      <c r="AF222"/>
      <c r="AG222"/>
    </row>
    <row r="223" spans="12:33">
      <c r="L223" s="48">
        <v>35916</v>
      </c>
      <c r="M223" s="48">
        <f t="shared" si="26"/>
        <v>35944</v>
      </c>
      <c r="N223" s="51">
        <v>7.8732501348460895</v>
      </c>
      <c r="O223" s="19"/>
      <c r="P223" s="19" t="s">
        <v>1638</v>
      </c>
      <c r="Q223" s="23">
        <f>DATE(YEAR(OneWeekMtgRatesDataTable75[[#This Row],[asOf]]),MONTH(OneWeekMtgRatesDataTable75[[#This Row],[asOf]]),DAY(OneWeekMtgRatesDataTable75[[#This Row],[asOf]]))</f>
        <v>42257</v>
      </c>
      <c r="R223" s="19">
        <v>3.91</v>
      </c>
      <c r="S223" s="19">
        <v>0.6</v>
      </c>
      <c r="T223" s="19">
        <v>3.81</v>
      </c>
      <c r="V223" s="48" t="s">
        <v>1634</v>
      </c>
      <c r="W223" s="48" t="s">
        <v>1832</v>
      </c>
      <c r="X223" s="51">
        <v>2.9926621611582802</v>
      </c>
      <c r="Z223" s="48" t="s">
        <v>1640</v>
      </c>
      <c r="AA223" s="51">
        <v>0.86967053800000005</v>
      </c>
      <c r="AB223"/>
      <c r="AC223"/>
      <c r="AD223"/>
      <c r="AE223"/>
      <c r="AF223"/>
      <c r="AG223"/>
    </row>
    <row r="224" spans="12:33">
      <c r="L224" s="48">
        <v>35886</v>
      </c>
      <c r="M224" s="48">
        <f t="shared" si="26"/>
        <v>35915</v>
      </c>
      <c r="N224" s="51">
        <v>7.9091342123585928</v>
      </c>
      <c r="O224" s="19"/>
      <c r="P224" s="19" t="s">
        <v>1639</v>
      </c>
      <c r="Q224" s="23">
        <f>DATE(YEAR(OneWeekMtgRatesDataTable75[[#This Row],[asOf]]),MONTH(OneWeekMtgRatesDataTable75[[#This Row],[asOf]]),DAY(OneWeekMtgRatesDataTable75[[#This Row],[asOf]]))</f>
        <v>42256</v>
      </c>
      <c r="R224" s="19">
        <v>3.9</v>
      </c>
      <c r="S224" s="19">
        <v>0.6</v>
      </c>
      <c r="T224" s="19">
        <v>3.8</v>
      </c>
      <c r="V224" s="48" t="s">
        <v>1635</v>
      </c>
      <c r="W224" s="48" t="s">
        <v>1832</v>
      </c>
      <c r="X224" s="51">
        <v>2.9912109118513701</v>
      </c>
      <c r="Z224" s="48" t="s">
        <v>1641</v>
      </c>
      <c r="AA224" s="51">
        <v>0.86967053800000005</v>
      </c>
      <c r="AB224"/>
      <c r="AC224"/>
      <c r="AD224"/>
      <c r="AE224"/>
      <c r="AF224"/>
      <c r="AG224"/>
    </row>
    <row r="225" spans="12:33">
      <c r="L225" s="48">
        <v>35855</v>
      </c>
      <c r="M225" s="48">
        <f t="shared" si="26"/>
        <v>35885</v>
      </c>
      <c r="N225" s="51">
        <v>7.9485791833034725</v>
      </c>
      <c r="O225" s="19"/>
      <c r="P225" s="19" t="s">
        <v>1640</v>
      </c>
      <c r="Q225" s="23">
        <f>DATE(YEAR(OneWeekMtgRatesDataTable75[[#This Row],[asOf]]),MONTH(OneWeekMtgRatesDataTable75[[#This Row],[asOf]]),DAY(OneWeekMtgRatesDataTable75[[#This Row],[asOf]]))</f>
        <v>42255</v>
      </c>
      <c r="R225" s="19">
        <v>3.9</v>
      </c>
      <c r="S225" s="19">
        <v>0.6</v>
      </c>
      <c r="T225" s="19">
        <v>3.8</v>
      </c>
      <c r="V225" s="48" t="s">
        <v>1636</v>
      </c>
      <c r="W225" s="48" t="s">
        <v>1832</v>
      </c>
      <c r="X225" s="51">
        <v>2.90800506731745</v>
      </c>
      <c r="Z225" s="48" t="s">
        <v>1642</v>
      </c>
      <c r="AA225" s="51">
        <v>0.86967053800000005</v>
      </c>
      <c r="AB225"/>
      <c r="AC225"/>
      <c r="AD225"/>
      <c r="AE225"/>
      <c r="AF225"/>
      <c r="AG225"/>
    </row>
    <row r="226" spans="12:33">
      <c r="L226" s="48">
        <v>35827</v>
      </c>
      <c r="M226" s="48">
        <f t="shared" si="26"/>
        <v>35853</v>
      </c>
      <c r="N226" s="51">
        <v>7.9803201067185565</v>
      </c>
      <c r="O226" s="19"/>
      <c r="P226" s="19" t="s">
        <v>1641</v>
      </c>
      <c r="Q226" s="23">
        <f>DATE(YEAR(OneWeekMtgRatesDataTable75[[#This Row],[asOf]]),MONTH(OneWeekMtgRatesDataTable75[[#This Row],[asOf]]),DAY(OneWeekMtgRatesDataTable75[[#This Row],[asOf]]))</f>
        <v>42251</v>
      </c>
      <c r="R226" s="19">
        <v>3.9</v>
      </c>
      <c r="S226" s="19">
        <v>0.6</v>
      </c>
      <c r="T226" s="19">
        <v>3.8</v>
      </c>
      <c r="V226" s="48" t="s">
        <v>1637</v>
      </c>
      <c r="W226" s="48" t="s">
        <v>1832</v>
      </c>
      <c r="X226" s="51">
        <v>2.9154645829543302</v>
      </c>
      <c r="Z226" s="48" t="s">
        <v>1643</v>
      </c>
      <c r="AA226" s="51">
        <v>0.86967053800000005</v>
      </c>
      <c r="AB226"/>
      <c r="AC226"/>
      <c r="AD226"/>
      <c r="AE226"/>
      <c r="AF226"/>
      <c r="AG226"/>
    </row>
    <row r="227" spans="12:33">
      <c r="L227" s="48">
        <v>35796</v>
      </c>
      <c r="M227" s="48">
        <f t="shared" si="26"/>
        <v>35825</v>
      </c>
      <c r="N227" s="51">
        <v>7.9997066256292477</v>
      </c>
      <c r="O227" s="19"/>
      <c r="P227" s="19" t="s">
        <v>1642</v>
      </c>
      <c r="Q227" s="23">
        <f>DATE(YEAR(OneWeekMtgRatesDataTable75[[#This Row],[asOf]]),MONTH(OneWeekMtgRatesDataTable75[[#This Row],[asOf]]),DAY(OneWeekMtgRatesDataTable75[[#This Row],[asOf]]))</f>
        <v>42250</v>
      </c>
      <c r="R227" s="19">
        <v>3.9</v>
      </c>
      <c r="S227" s="19">
        <v>0.6</v>
      </c>
      <c r="T227" s="19">
        <v>3.8</v>
      </c>
      <c r="V227" s="48" t="s">
        <v>1638</v>
      </c>
      <c r="W227" s="48" t="s">
        <v>1832</v>
      </c>
      <c r="X227" s="51">
        <v>2.9327229891480799</v>
      </c>
      <c r="Z227" s="48" t="s">
        <v>1644</v>
      </c>
      <c r="AA227" s="51">
        <v>0.87914752100000004</v>
      </c>
      <c r="AB227"/>
      <c r="AC227"/>
      <c r="AD227"/>
      <c r="AE227"/>
      <c r="AF227"/>
      <c r="AG227"/>
    </row>
    <row r="228" spans="12:33">
      <c r="L228" s="48">
        <v>35765</v>
      </c>
      <c r="M228" s="48">
        <f t="shared" si="26"/>
        <v>35795</v>
      </c>
      <c r="N228" s="51">
        <v>8.0168982544408749</v>
      </c>
      <c r="O228" s="19"/>
      <c r="P228" s="19" t="s">
        <v>1643</v>
      </c>
      <c r="Q228" s="23">
        <f>DATE(YEAR(OneWeekMtgRatesDataTable75[[#This Row],[asOf]]),MONTH(OneWeekMtgRatesDataTable75[[#This Row],[asOf]]),DAY(OneWeekMtgRatesDataTable75[[#This Row],[asOf]]))</f>
        <v>42249</v>
      </c>
      <c r="R228" s="19">
        <v>3.89</v>
      </c>
      <c r="S228" s="19">
        <v>0.6</v>
      </c>
      <c r="T228" s="19">
        <v>3.79</v>
      </c>
      <c r="V228" s="48" t="s">
        <v>1639</v>
      </c>
      <c r="W228" s="48" t="s">
        <v>1832</v>
      </c>
      <c r="X228" s="51">
        <v>2.9027513521030701</v>
      </c>
      <c r="Z228" s="48" t="s">
        <v>1602</v>
      </c>
      <c r="AA228" s="51">
        <v>0.87914752100000004</v>
      </c>
      <c r="AB228"/>
      <c r="AC228"/>
      <c r="AD228"/>
      <c r="AE228"/>
      <c r="AF228"/>
      <c r="AG228"/>
    </row>
    <row r="229" spans="12:33">
      <c r="L229" s="48">
        <v>35735</v>
      </c>
      <c r="M229" s="48">
        <f t="shared" si="26"/>
        <v>35762</v>
      </c>
      <c r="N229" s="51">
        <v>8.0312505301912083</v>
      </c>
      <c r="O229" s="19"/>
      <c r="P229" s="19" t="s">
        <v>1644</v>
      </c>
      <c r="Q229" s="23">
        <f>DATE(YEAR(OneWeekMtgRatesDataTable75[[#This Row],[asOf]]),MONTH(OneWeekMtgRatesDataTable75[[#This Row],[asOf]]),DAY(OneWeekMtgRatesDataTable75[[#This Row],[asOf]]))</f>
        <v>42248</v>
      </c>
      <c r="R229" s="19">
        <v>3.89</v>
      </c>
      <c r="S229" s="19">
        <v>0.6</v>
      </c>
      <c r="T229" s="19">
        <v>3.79</v>
      </c>
      <c r="V229" s="48" t="s">
        <v>1640</v>
      </c>
      <c r="W229" s="48" t="s">
        <v>1832</v>
      </c>
      <c r="X229" s="51">
        <v>2.9185627226684798</v>
      </c>
      <c r="Z229" s="48" t="s">
        <v>1603</v>
      </c>
      <c r="AA229" s="51">
        <v>0.87914752100000004</v>
      </c>
      <c r="AB229"/>
      <c r="AC229"/>
      <c r="AD229"/>
      <c r="AE229"/>
      <c r="AF229"/>
      <c r="AG229"/>
    </row>
    <row r="230" spans="12:33">
      <c r="L230" s="48">
        <v>35704</v>
      </c>
      <c r="M230" s="48">
        <f t="shared" si="26"/>
        <v>35734</v>
      </c>
      <c r="N230" s="51">
        <v>8.0433350462232411</v>
      </c>
      <c r="O230" s="19"/>
      <c r="P230" s="19" t="s">
        <v>1602</v>
      </c>
      <c r="Q230" s="23">
        <f>DATE(YEAR(OneWeekMtgRatesDataTable75[[#This Row],[asOf]]),MONTH(OneWeekMtgRatesDataTable75[[#This Row],[asOf]]),DAY(OneWeekMtgRatesDataTable75[[#This Row],[asOf]]))</f>
        <v>42247</v>
      </c>
      <c r="R230" s="19">
        <v>3.89</v>
      </c>
      <c r="S230" s="19">
        <v>0.6</v>
      </c>
      <c r="T230" s="19">
        <v>3.79</v>
      </c>
      <c r="V230" s="48" t="s">
        <v>1641</v>
      </c>
      <c r="W230" s="48" t="s">
        <v>1832</v>
      </c>
      <c r="X230" s="51">
        <v>2.8787744272910301</v>
      </c>
      <c r="Z230" s="48" t="s">
        <v>1604</v>
      </c>
      <c r="AA230" s="51">
        <v>0.87914752100000004</v>
      </c>
      <c r="AB230"/>
      <c r="AC230"/>
      <c r="AD230"/>
      <c r="AE230"/>
      <c r="AF230"/>
      <c r="AG230"/>
    </row>
    <row r="231" spans="12:33">
      <c r="L231" s="48">
        <v>35674</v>
      </c>
      <c r="M231" s="48">
        <f t="shared" si="26"/>
        <v>35703</v>
      </c>
      <c r="N231" s="51">
        <v>8.0537471508111853</v>
      </c>
      <c r="O231" s="19"/>
      <c r="P231" s="19" t="s">
        <v>1603</v>
      </c>
      <c r="Q231" s="23">
        <f>DATE(YEAR(OneWeekMtgRatesDataTable75[[#This Row],[asOf]]),MONTH(OneWeekMtgRatesDataTable75[[#This Row],[asOf]]),DAY(OneWeekMtgRatesDataTable75[[#This Row],[asOf]]))</f>
        <v>42244</v>
      </c>
      <c r="R231" s="19">
        <v>3.89</v>
      </c>
      <c r="S231" s="19">
        <v>0.6</v>
      </c>
      <c r="T231" s="19">
        <v>3.79</v>
      </c>
      <c r="V231" s="48" t="s">
        <v>1642</v>
      </c>
      <c r="W231" s="48" t="s">
        <v>1832</v>
      </c>
      <c r="X231" s="51">
        <v>2.90498942377981</v>
      </c>
      <c r="Z231" s="48" t="s">
        <v>1605</v>
      </c>
      <c r="AA231" s="51">
        <v>0.87914752100000004</v>
      </c>
      <c r="AB231"/>
      <c r="AC231"/>
      <c r="AD231"/>
      <c r="AE231"/>
      <c r="AF231"/>
      <c r="AG231"/>
    </row>
    <row r="232" spans="12:33">
      <c r="L232" s="48">
        <v>35643</v>
      </c>
      <c r="M232" s="48">
        <f t="shared" si="26"/>
        <v>35671</v>
      </c>
      <c r="N232" s="51">
        <v>8.0614786803101079</v>
      </c>
      <c r="O232" s="19"/>
      <c r="P232" s="19" t="s">
        <v>1604</v>
      </c>
      <c r="Q232" s="23">
        <f>DATE(YEAR(OneWeekMtgRatesDataTable75[[#This Row],[asOf]]),MONTH(OneWeekMtgRatesDataTable75[[#This Row],[asOf]]),DAY(OneWeekMtgRatesDataTable75[[#This Row],[asOf]]))</f>
        <v>42243</v>
      </c>
      <c r="R232" s="19">
        <v>3.89</v>
      </c>
      <c r="S232" s="19">
        <v>0.6</v>
      </c>
      <c r="T232" s="19">
        <v>3.79</v>
      </c>
      <c r="V232" s="48" t="s">
        <v>1643</v>
      </c>
      <c r="W232" s="48" t="s">
        <v>1832</v>
      </c>
      <c r="X232" s="51">
        <v>2.9358931445910401</v>
      </c>
      <c r="Z232" s="48" t="s">
        <v>1606</v>
      </c>
      <c r="AA232" s="51">
        <v>0.89217615699999997</v>
      </c>
      <c r="AB232"/>
      <c r="AC232"/>
      <c r="AD232"/>
      <c r="AE232"/>
      <c r="AF232"/>
      <c r="AG232"/>
    </row>
    <row r="233" spans="12:33">
      <c r="L233" s="48">
        <v>35612</v>
      </c>
      <c r="M233" s="48">
        <f t="shared" si="26"/>
        <v>35642</v>
      </c>
      <c r="N233" s="51">
        <v>8.0655126131371784</v>
      </c>
      <c r="O233" s="19"/>
      <c r="P233" s="19" t="s">
        <v>1605</v>
      </c>
      <c r="Q233" s="23">
        <f>DATE(YEAR(OneWeekMtgRatesDataTable75[[#This Row],[asOf]]),MONTH(OneWeekMtgRatesDataTable75[[#This Row],[asOf]]),DAY(OneWeekMtgRatesDataTable75[[#This Row],[asOf]]))</f>
        <v>42242</v>
      </c>
      <c r="R233" s="19">
        <v>3.84</v>
      </c>
      <c r="S233" s="19">
        <v>0.6</v>
      </c>
      <c r="T233" s="19">
        <v>3.7399999999999998</v>
      </c>
      <c r="V233" s="48" t="s">
        <v>1644</v>
      </c>
      <c r="W233" s="48" t="s">
        <v>1832</v>
      </c>
      <c r="X233" s="51">
        <v>2.9096799662845698</v>
      </c>
      <c r="Z233" s="48" t="s">
        <v>1607</v>
      </c>
      <c r="AA233" s="51">
        <v>0.89217615699999997</v>
      </c>
      <c r="AB233"/>
      <c r="AC233"/>
      <c r="AD233"/>
      <c r="AE233"/>
      <c r="AF233"/>
      <c r="AG233"/>
    </row>
    <row r="234" spans="12:33">
      <c r="L234" s="48">
        <v>35582</v>
      </c>
      <c r="M234" s="48">
        <f t="shared" si="26"/>
        <v>35611</v>
      </c>
      <c r="N234" s="51">
        <v>8.06645112468623</v>
      </c>
      <c r="O234" s="19"/>
      <c r="P234" s="19" t="s">
        <v>1606</v>
      </c>
      <c r="Q234" s="23">
        <f>DATE(YEAR(OneWeekMtgRatesDataTable75[[#This Row],[asOf]]),MONTH(OneWeekMtgRatesDataTable75[[#This Row],[asOf]]),DAY(OneWeekMtgRatesDataTable75[[#This Row],[asOf]]))</f>
        <v>42241</v>
      </c>
      <c r="R234" s="19">
        <v>3.84</v>
      </c>
      <c r="S234" s="19">
        <v>0.6</v>
      </c>
      <c r="T234" s="19">
        <v>3.7399999999999998</v>
      </c>
      <c r="V234" s="48" t="s">
        <v>1602</v>
      </c>
      <c r="W234" s="48" t="s">
        <v>1832</v>
      </c>
      <c r="X234" s="51">
        <v>2.9344470402340699</v>
      </c>
      <c r="Z234" s="48" t="s">
        <v>1608</v>
      </c>
      <c r="AA234" s="51">
        <v>0.89217615699999997</v>
      </c>
      <c r="AB234"/>
      <c r="AC234"/>
      <c r="AD234"/>
      <c r="AE234"/>
      <c r="AF234"/>
      <c r="AG234"/>
    </row>
    <row r="235" spans="12:33">
      <c r="L235" s="48">
        <v>35551</v>
      </c>
      <c r="M235" s="48">
        <f t="shared" si="26"/>
        <v>35580</v>
      </c>
      <c r="N235" s="51">
        <v>8.0670902971413909</v>
      </c>
      <c r="O235" s="19"/>
      <c r="P235" s="19" t="s">
        <v>1607</v>
      </c>
      <c r="Q235" s="23">
        <f>DATE(YEAR(OneWeekMtgRatesDataTable75[[#This Row],[asOf]]),MONTH(OneWeekMtgRatesDataTable75[[#This Row],[asOf]]),DAY(OneWeekMtgRatesDataTable75[[#This Row],[asOf]]))</f>
        <v>42240</v>
      </c>
      <c r="R235" s="19">
        <v>3.84</v>
      </c>
      <c r="S235" s="19">
        <v>0.6</v>
      </c>
      <c r="T235" s="19">
        <v>3.7399999999999998</v>
      </c>
      <c r="V235" s="48" t="s">
        <v>1603</v>
      </c>
      <c r="W235" s="48" t="s">
        <v>1832</v>
      </c>
      <c r="X235" s="51">
        <v>2.9130814289562301</v>
      </c>
      <c r="Z235" s="48" t="s">
        <v>1609</v>
      </c>
      <c r="AA235" s="51">
        <v>0.89217615699999997</v>
      </c>
      <c r="AB235"/>
      <c r="AC235"/>
      <c r="AD235"/>
      <c r="AE235"/>
      <c r="AF235"/>
      <c r="AG235"/>
    </row>
    <row r="236" spans="12:33">
      <c r="L236" s="48">
        <v>35521</v>
      </c>
      <c r="M236" s="48">
        <f t="shared" si="26"/>
        <v>35550</v>
      </c>
      <c r="N236" s="51">
        <v>8.069603379997579</v>
      </c>
      <c r="O236" s="19"/>
      <c r="P236" s="19" t="s">
        <v>1608</v>
      </c>
      <c r="Q236" s="23">
        <f>DATE(YEAR(OneWeekMtgRatesDataTable75[[#This Row],[asOf]]),MONTH(OneWeekMtgRatesDataTable75[[#This Row],[asOf]]),DAY(OneWeekMtgRatesDataTable75[[#This Row],[asOf]]))</f>
        <v>42237</v>
      </c>
      <c r="R236" s="19">
        <v>3.84</v>
      </c>
      <c r="S236" s="19">
        <v>0.6</v>
      </c>
      <c r="T236" s="19">
        <v>3.7399999999999998</v>
      </c>
      <c r="V236" s="48" t="s">
        <v>1604</v>
      </c>
      <c r="W236" s="48" t="s">
        <v>1832</v>
      </c>
      <c r="X236" s="51">
        <v>2.9085457311755398</v>
      </c>
      <c r="Z236" s="48" t="s">
        <v>1610</v>
      </c>
      <c r="AA236" s="51">
        <v>0.89217615699999997</v>
      </c>
      <c r="AB236"/>
      <c r="AC236"/>
      <c r="AD236"/>
      <c r="AE236"/>
      <c r="AF236"/>
      <c r="AG236"/>
    </row>
    <row r="237" spans="12:33">
      <c r="L237" s="48">
        <v>35490</v>
      </c>
      <c r="M237" s="48">
        <f t="shared" si="26"/>
        <v>35520</v>
      </c>
      <c r="N237" s="51">
        <v>8.0735178715643201</v>
      </c>
      <c r="O237" s="19"/>
      <c r="P237" s="19" t="s">
        <v>1609</v>
      </c>
      <c r="Q237" s="23">
        <f>DATE(YEAR(OneWeekMtgRatesDataTable75[[#This Row],[asOf]]),MONTH(OneWeekMtgRatesDataTable75[[#This Row],[asOf]]),DAY(OneWeekMtgRatesDataTable75[[#This Row],[asOf]]))</f>
        <v>42236</v>
      </c>
      <c r="R237" s="19">
        <v>3.84</v>
      </c>
      <c r="S237" s="19">
        <v>0.6</v>
      </c>
      <c r="T237" s="19">
        <v>3.7399999999999998</v>
      </c>
      <c r="V237" s="48" t="s">
        <v>1605</v>
      </c>
      <c r="W237" s="48" t="s">
        <v>1832</v>
      </c>
      <c r="X237" s="51">
        <v>2.9117942461472701</v>
      </c>
      <c r="Z237" s="48" t="s">
        <v>1611</v>
      </c>
      <c r="AA237" s="51">
        <v>0.91068757</v>
      </c>
      <c r="AB237"/>
      <c r="AC237"/>
      <c r="AD237"/>
      <c r="AE237"/>
      <c r="AF237"/>
      <c r="AG237"/>
    </row>
    <row r="238" spans="12:33">
      <c r="L238" s="48">
        <v>35462</v>
      </c>
      <c r="M238" s="48">
        <f t="shared" si="26"/>
        <v>35489</v>
      </c>
      <c r="N238" s="51">
        <v>8.0774040648105103</v>
      </c>
      <c r="O238" s="19"/>
      <c r="P238" s="19" t="s">
        <v>1610</v>
      </c>
      <c r="Q238" s="23">
        <f>DATE(YEAR(OneWeekMtgRatesDataTable75[[#This Row],[asOf]]),MONTH(OneWeekMtgRatesDataTable75[[#This Row],[asOf]]),DAY(OneWeekMtgRatesDataTable75[[#This Row],[asOf]]))</f>
        <v>42235</v>
      </c>
      <c r="R238" s="19">
        <v>3.93</v>
      </c>
      <c r="S238" s="19">
        <v>0.6</v>
      </c>
      <c r="T238" s="19">
        <v>3.83</v>
      </c>
      <c r="V238" s="48" t="s">
        <v>1606</v>
      </c>
      <c r="W238" s="48" t="s">
        <v>1832</v>
      </c>
      <c r="X238" s="51">
        <v>2.9080768711615201</v>
      </c>
      <c r="Z238" s="48" t="s">
        <v>1612</v>
      </c>
      <c r="AA238" s="51">
        <v>0.91068757</v>
      </c>
      <c r="AB238"/>
      <c r="AC238"/>
      <c r="AD238"/>
      <c r="AE238"/>
      <c r="AF238"/>
      <c r="AG238"/>
    </row>
    <row r="239" spans="12:33">
      <c r="L239" s="48">
        <v>35431</v>
      </c>
      <c r="M239" s="48">
        <f t="shared" si="26"/>
        <v>35461</v>
      </c>
      <c r="N239" s="51">
        <v>8.0825292023912745</v>
      </c>
      <c r="O239" s="19"/>
      <c r="P239" s="19" t="s">
        <v>1611</v>
      </c>
      <c r="Q239" s="23">
        <f>DATE(YEAR(OneWeekMtgRatesDataTable75[[#This Row],[asOf]]),MONTH(OneWeekMtgRatesDataTable75[[#This Row],[asOf]]),DAY(OneWeekMtgRatesDataTable75[[#This Row],[asOf]]))</f>
        <v>42234</v>
      </c>
      <c r="R239" s="19">
        <v>3.93</v>
      </c>
      <c r="S239" s="19">
        <v>0.6</v>
      </c>
      <c r="T239" s="19">
        <v>3.83</v>
      </c>
      <c r="V239" s="48" t="s">
        <v>1607</v>
      </c>
      <c r="W239" s="48" t="s">
        <v>1832</v>
      </c>
      <c r="X239" s="51">
        <v>2.79004351105465</v>
      </c>
      <c r="Z239" s="48" t="s">
        <v>1613</v>
      </c>
      <c r="AA239" s="51">
        <v>0.91068757</v>
      </c>
      <c r="AB239"/>
      <c r="AC239"/>
      <c r="AD239"/>
      <c r="AE239"/>
      <c r="AF239"/>
      <c r="AG239"/>
    </row>
    <row r="240" spans="12:33">
      <c r="L240" s="48">
        <v>35400</v>
      </c>
      <c r="M240" s="48">
        <f t="shared" si="26"/>
        <v>35430</v>
      </c>
      <c r="N240" s="51">
        <v>8.0873620934183101</v>
      </c>
      <c r="O240" s="19"/>
      <c r="P240" s="19" t="s">
        <v>1612</v>
      </c>
      <c r="Q240" s="23">
        <f>DATE(YEAR(OneWeekMtgRatesDataTable75[[#This Row],[asOf]]),MONTH(OneWeekMtgRatesDataTable75[[#This Row],[asOf]]),DAY(OneWeekMtgRatesDataTable75[[#This Row],[asOf]]))</f>
        <v>42233</v>
      </c>
      <c r="R240" s="19">
        <v>3.93</v>
      </c>
      <c r="S240" s="19">
        <v>0.6</v>
      </c>
      <c r="T240" s="19">
        <v>3.83</v>
      </c>
      <c r="V240" s="48" t="s">
        <v>1608</v>
      </c>
      <c r="W240" s="48" t="s">
        <v>1832</v>
      </c>
      <c r="X240" s="51">
        <v>2.8344803887664098</v>
      </c>
      <c r="Z240" s="48" t="s">
        <v>1614</v>
      </c>
      <c r="AA240" s="51">
        <v>0.91068757</v>
      </c>
      <c r="AB240"/>
      <c r="AC240"/>
      <c r="AD240"/>
      <c r="AE240"/>
      <c r="AF240"/>
      <c r="AG240"/>
    </row>
    <row r="241" spans="12:33">
      <c r="L241" s="48">
        <v>35370</v>
      </c>
      <c r="M241" s="48">
        <f t="shared" si="26"/>
        <v>35398</v>
      </c>
      <c r="N241" s="51">
        <v>8.0889297010211969</v>
      </c>
      <c r="O241" s="19"/>
      <c r="P241" s="19" t="s">
        <v>1613</v>
      </c>
      <c r="Q241" s="23">
        <f>DATE(YEAR(OneWeekMtgRatesDataTable75[[#This Row],[asOf]]),MONTH(OneWeekMtgRatesDataTable75[[#This Row],[asOf]]),DAY(OneWeekMtgRatesDataTable75[[#This Row],[asOf]]))</f>
        <v>42230</v>
      </c>
      <c r="R241" s="19">
        <v>3.93</v>
      </c>
      <c r="S241" s="19">
        <v>0.6</v>
      </c>
      <c r="T241" s="19">
        <v>3.83</v>
      </c>
      <c r="V241" s="48" t="s">
        <v>1609</v>
      </c>
      <c r="W241" s="48" t="s">
        <v>1832</v>
      </c>
      <c r="X241" s="51">
        <v>2.85986737962509</v>
      </c>
      <c r="Z241" s="48" t="s">
        <v>1615</v>
      </c>
      <c r="AA241" s="51">
        <v>0.91068757</v>
      </c>
      <c r="AB241"/>
      <c r="AC241"/>
      <c r="AD241"/>
      <c r="AE241"/>
      <c r="AF241"/>
      <c r="AG241"/>
    </row>
    <row r="242" spans="12:33">
      <c r="L242" s="48">
        <v>35339</v>
      </c>
      <c r="M242" s="48">
        <f t="shared" si="26"/>
        <v>35369</v>
      </c>
      <c r="N242" s="51">
        <v>8.0886018301222631</v>
      </c>
      <c r="O242" s="19"/>
      <c r="P242" s="19" t="s">
        <v>1614</v>
      </c>
      <c r="Q242" s="23">
        <f>DATE(YEAR(OneWeekMtgRatesDataTable75[[#This Row],[asOf]]),MONTH(OneWeekMtgRatesDataTable75[[#This Row],[asOf]]),DAY(OneWeekMtgRatesDataTable75[[#This Row],[asOf]]))</f>
        <v>42229</v>
      </c>
      <c r="R242" s="19">
        <v>3.93</v>
      </c>
      <c r="S242" s="19">
        <v>0.6</v>
      </c>
      <c r="T242" s="19">
        <v>3.83</v>
      </c>
      <c r="V242" s="48" t="s">
        <v>1610</v>
      </c>
      <c r="W242" s="48" t="s">
        <v>1832</v>
      </c>
      <c r="X242" s="51">
        <v>2.8898853758214198</v>
      </c>
      <c r="Z242" s="48" t="s">
        <v>1616</v>
      </c>
      <c r="AA242" s="51">
        <v>0.85718384999999997</v>
      </c>
      <c r="AB242"/>
      <c r="AC242"/>
      <c r="AD242"/>
      <c r="AE242"/>
      <c r="AF242"/>
      <c r="AG242"/>
    </row>
    <row r="243" spans="12:33">
      <c r="L243" s="48">
        <v>35309</v>
      </c>
      <c r="M243" s="48">
        <f t="shared" si="26"/>
        <v>35338</v>
      </c>
      <c r="N243" s="51">
        <v>8.0877681077937051</v>
      </c>
      <c r="O243" s="19"/>
      <c r="P243" s="19" t="s">
        <v>1615</v>
      </c>
      <c r="Q243" s="23">
        <f>DATE(YEAR(OneWeekMtgRatesDataTable75[[#This Row],[asOf]]),MONTH(OneWeekMtgRatesDataTable75[[#This Row],[asOf]]),DAY(OneWeekMtgRatesDataTable75[[#This Row],[asOf]]))</f>
        <v>42228</v>
      </c>
      <c r="R243" s="19">
        <v>3.94</v>
      </c>
      <c r="S243" s="19">
        <v>0.6</v>
      </c>
      <c r="T243" s="19">
        <v>3.84</v>
      </c>
      <c r="V243" s="48" t="s">
        <v>1611</v>
      </c>
      <c r="W243" s="48" t="s">
        <v>1832</v>
      </c>
      <c r="X243" s="51">
        <v>2.9596582925735899</v>
      </c>
      <c r="Z243" s="48" t="s">
        <v>1617</v>
      </c>
      <c r="AA243" s="51">
        <v>0.85718384999999997</v>
      </c>
      <c r="AB243"/>
      <c r="AC243"/>
      <c r="AD243"/>
      <c r="AE243"/>
      <c r="AF243"/>
      <c r="AG243"/>
    </row>
    <row r="244" spans="12:33">
      <c r="L244" s="48">
        <v>35278</v>
      </c>
      <c r="M244" s="48">
        <f t="shared" si="26"/>
        <v>35307</v>
      </c>
      <c r="N244" s="51">
        <v>8.0841885463758203</v>
      </c>
      <c r="O244" s="19"/>
      <c r="P244" s="19" t="s">
        <v>1616</v>
      </c>
      <c r="Q244" s="23">
        <f>DATE(YEAR(OneWeekMtgRatesDataTable75[[#This Row],[asOf]]),MONTH(OneWeekMtgRatesDataTable75[[#This Row],[asOf]]),DAY(OneWeekMtgRatesDataTable75[[#This Row],[asOf]]))</f>
        <v>42227</v>
      </c>
      <c r="R244" s="19">
        <v>3.94</v>
      </c>
      <c r="S244" s="19">
        <v>0.6</v>
      </c>
      <c r="T244" s="19">
        <v>3.84</v>
      </c>
      <c r="V244" s="48" t="s">
        <v>1612</v>
      </c>
      <c r="W244" s="48" t="s">
        <v>1832</v>
      </c>
      <c r="X244" s="51">
        <v>2.9357435322539001</v>
      </c>
      <c r="Z244" s="48" t="s">
        <v>1618</v>
      </c>
      <c r="AA244" s="51">
        <v>0.85718384999999997</v>
      </c>
      <c r="AB244"/>
      <c r="AC244"/>
      <c r="AD244"/>
      <c r="AE244"/>
      <c r="AF244"/>
      <c r="AG244"/>
    </row>
    <row r="245" spans="12:33">
      <c r="L245" s="48">
        <v>35247</v>
      </c>
      <c r="M245" s="48">
        <f t="shared" si="26"/>
        <v>35277</v>
      </c>
      <c r="N245" s="51">
        <v>8.0829929403002119</v>
      </c>
      <c r="O245" s="19"/>
      <c r="P245" s="19" t="s">
        <v>1617</v>
      </c>
      <c r="Q245" s="23">
        <f>DATE(YEAR(OneWeekMtgRatesDataTable75[[#This Row],[asOf]]),MONTH(OneWeekMtgRatesDataTable75[[#This Row],[asOf]]),DAY(OneWeekMtgRatesDataTable75[[#This Row],[asOf]]))</f>
        <v>42226</v>
      </c>
      <c r="R245" s="19">
        <v>3.94</v>
      </c>
      <c r="S245" s="19">
        <v>0.6</v>
      </c>
      <c r="T245" s="19">
        <v>3.84</v>
      </c>
      <c r="V245" s="48" t="s">
        <v>1613</v>
      </c>
      <c r="W245" s="48" t="s">
        <v>1832</v>
      </c>
      <c r="X245" s="51">
        <v>2.9622833477952701</v>
      </c>
      <c r="Z245" s="48" t="s">
        <v>1619</v>
      </c>
      <c r="AA245" s="51">
        <v>0.85718384999999997</v>
      </c>
      <c r="AB245"/>
      <c r="AC245"/>
      <c r="AD245"/>
      <c r="AE245"/>
      <c r="AF245"/>
      <c r="AG245"/>
    </row>
    <row r="246" spans="12:33">
      <c r="L246" s="48">
        <v>35217</v>
      </c>
      <c r="M246" s="48">
        <f t="shared" si="26"/>
        <v>35244</v>
      </c>
      <c r="N246" s="51">
        <v>8.0841832422707984</v>
      </c>
      <c r="O246" s="19"/>
      <c r="P246" s="19" t="s">
        <v>1618</v>
      </c>
      <c r="Q246" s="23">
        <f>DATE(YEAR(OneWeekMtgRatesDataTable75[[#This Row],[asOf]]),MONTH(OneWeekMtgRatesDataTable75[[#This Row],[asOf]]),DAY(OneWeekMtgRatesDataTable75[[#This Row],[asOf]]))</f>
        <v>42223</v>
      </c>
      <c r="R246" s="19">
        <v>3.94</v>
      </c>
      <c r="S246" s="19">
        <v>0.6</v>
      </c>
      <c r="T246" s="19">
        <v>3.84</v>
      </c>
      <c r="V246" s="48" t="s">
        <v>1614</v>
      </c>
      <c r="W246" s="48" t="s">
        <v>1832</v>
      </c>
      <c r="X246" s="51">
        <v>2.94154866689746</v>
      </c>
      <c r="Z246" s="48" t="s">
        <v>1620</v>
      </c>
      <c r="AA246" s="51">
        <v>0.85718384999999997</v>
      </c>
      <c r="AB246"/>
      <c r="AC246"/>
      <c r="AD246"/>
      <c r="AE246"/>
      <c r="AF246"/>
      <c r="AG246"/>
    </row>
    <row r="247" spans="12:33">
      <c r="L247" s="48">
        <v>35186</v>
      </c>
      <c r="M247" s="48">
        <f t="shared" si="26"/>
        <v>35216</v>
      </c>
      <c r="N247" s="51">
        <v>8.0904136506117315</v>
      </c>
      <c r="O247" s="19"/>
      <c r="P247" s="19" t="s">
        <v>1619</v>
      </c>
      <c r="Q247" s="23">
        <f>DATE(YEAR(OneWeekMtgRatesDataTable75[[#This Row],[asOf]]),MONTH(OneWeekMtgRatesDataTable75[[#This Row],[asOf]]),DAY(OneWeekMtgRatesDataTable75[[#This Row],[asOf]]))</f>
        <v>42222</v>
      </c>
      <c r="R247" s="19">
        <v>3.94</v>
      </c>
      <c r="S247" s="19">
        <v>0.6</v>
      </c>
      <c r="T247" s="19">
        <v>3.84</v>
      </c>
      <c r="V247" s="48" t="s">
        <v>1615</v>
      </c>
      <c r="W247" s="48" t="s">
        <v>1832</v>
      </c>
      <c r="X247" s="51">
        <v>2.8863432484098199</v>
      </c>
      <c r="Z247" s="48" t="s">
        <v>1621</v>
      </c>
      <c r="AA247" s="51">
        <v>0.88950843400000001</v>
      </c>
      <c r="AB247"/>
      <c r="AC247"/>
      <c r="AD247"/>
      <c r="AE247"/>
      <c r="AF247"/>
      <c r="AG247"/>
    </row>
    <row r="248" spans="12:33">
      <c r="L248" s="48">
        <v>35156</v>
      </c>
      <c r="M248" s="48">
        <f t="shared" si="26"/>
        <v>35185</v>
      </c>
      <c r="N248" s="51">
        <v>8.1049924404683242</v>
      </c>
      <c r="O248" s="19"/>
      <c r="P248" s="19" t="s">
        <v>1620</v>
      </c>
      <c r="Q248" s="23">
        <f>DATE(YEAR(OneWeekMtgRatesDataTable75[[#This Row],[asOf]]),MONTH(OneWeekMtgRatesDataTable75[[#This Row],[asOf]]),DAY(OneWeekMtgRatesDataTable75[[#This Row],[asOf]]))</f>
        <v>42221</v>
      </c>
      <c r="R248" s="19">
        <v>3.91</v>
      </c>
      <c r="S248" s="19">
        <v>0.6</v>
      </c>
      <c r="T248" s="19">
        <v>3.81</v>
      </c>
      <c r="V248" s="48" t="s">
        <v>1616</v>
      </c>
      <c r="W248" s="48" t="s">
        <v>1832</v>
      </c>
      <c r="X248" s="51">
        <v>2.8894517792115599</v>
      </c>
      <c r="Z248" s="48" t="s">
        <v>1622</v>
      </c>
      <c r="AA248" s="51">
        <v>0.88950843400000001</v>
      </c>
      <c r="AB248"/>
      <c r="AC248"/>
      <c r="AD248"/>
      <c r="AE248"/>
      <c r="AF248"/>
      <c r="AG248"/>
    </row>
    <row r="249" spans="12:33">
      <c r="L249" s="48">
        <v>35125</v>
      </c>
      <c r="M249" s="48">
        <f t="shared" si="26"/>
        <v>35153</v>
      </c>
      <c r="N249" s="51">
        <v>8.1274231837146047</v>
      </c>
      <c r="O249" s="19"/>
      <c r="P249" s="19" t="s">
        <v>1621</v>
      </c>
      <c r="Q249" s="23">
        <f>DATE(YEAR(OneWeekMtgRatesDataTable75[[#This Row],[asOf]]),MONTH(OneWeekMtgRatesDataTable75[[#This Row],[asOf]]),DAY(OneWeekMtgRatesDataTable75[[#This Row],[asOf]]))</f>
        <v>42220</v>
      </c>
      <c r="R249" s="19">
        <v>3.91</v>
      </c>
      <c r="S249" s="19">
        <v>0.6</v>
      </c>
      <c r="T249" s="19">
        <v>3.81</v>
      </c>
      <c r="V249" s="48" t="s">
        <v>1617</v>
      </c>
      <c r="W249" s="48" t="s">
        <v>1832</v>
      </c>
      <c r="X249" s="51">
        <v>2.9753003706109098</v>
      </c>
      <c r="Z249" s="48" t="s">
        <v>1580</v>
      </c>
      <c r="AA249" s="51">
        <v>0.88950843400000001</v>
      </c>
      <c r="AB249"/>
      <c r="AC249"/>
      <c r="AD249"/>
      <c r="AE249"/>
      <c r="AF249"/>
      <c r="AG249"/>
    </row>
    <row r="250" spans="12:33">
      <c r="L250" s="48">
        <v>35096</v>
      </c>
      <c r="M250" s="48">
        <f t="shared" si="26"/>
        <v>35124</v>
      </c>
      <c r="N250" s="51">
        <v>8.1512713104782932</v>
      </c>
      <c r="O250" s="19"/>
      <c r="P250" s="19" t="s">
        <v>1622</v>
      </c>
      <c r="Q250" s="23">
        <f>DATE(YEAR(OneWeekMtgRatesDataTable75[[#This Row],[asOf]]),MONTH(OneWeekMtgRatesDataTable75[[#This Row],[asOf]]),DAY(OneWeekMtgRatesDataTable75[[#This Row],[asOf]]))</f>
        <v>42219</v>
      </c>
      <c r="R250" s="19">
        <v>3.91</v>
      </c>
      <c r="S250" s="19">
        <v>0.6</v>
      </c>
      <c r="T250" s="19">
        <v>3.81</v>
      </c>
      <c r="V250" s="48" t="s">
        <v>1618</v>
      </c>
      <c r="W250" s="48" t="s">
        <v>1832</v>
      </c>
      <c r="X250" s="51">
        <v>2.92350190324946</v>
      </c>
      <c r="Z250" s="48" t="s">
        <v>1581</v>
      </c>
      <c r="AA250" s="51">
        <v>0.88950843400000001</v>
      </c>
      <c r="AB250"/>
      <c r="AC250"/>
      <c r="AD250"/>
      <c r="AE250"/>
      <c r="AF250"/>
      <c r="AG250"/>
    </row>
    <row r="251" spans="12:33">
      <c r="L251" s="48">
        <v>35065</v>
      </c>
      <c r="M251" s="48">
        <f t="shared" si="26"/>
        <v>35095</v>
      </c>
      <c r="N251" s="51">
        <v>8.1711165786410458</v>
      </c>
      <c r="O251" s="19"/>
      <c r="P251" s="19" t="s">
        <v>1580</v>
      </c>
      <c r="Q251" s="23">
        <f>DATE(YEAR(OneWeekMtgRatesDataTable75[[#This Row],[asOf]]),MONTH(OneWeekMtgRatesDataTable75[[#This Row],[asOf]]),DAY(OneWeekMtgRatesDataTable75[[#This Row],[asOf]]))</f>
        <v>42216</v>
      </c>
      <c r="R251" s="19">
        <v>3.91</v>
      </c>
      <c r="S251" s="19">
        <v>0.6</v>
      </c>
      <c r="T251" s="19">
        <v>3.81</v>
      </c>
      <c r="V251" s="48" t="s">
        <v>1619</v>
      </c>
      <c r="W251" s="48" t="s">
        <v>1832</v>
      </c>
      <c r="X251" s="51">
        <v>2.9719648499802398</v>
      </c>
      <c r="Z251" s="48" t="s">
        <v>1582</v>
      </c>
      <c r="AA251" s="51">
        <v>0.88950843400000001</v>
      </c>
      <c r="AB251"/>
      <c r="AC251"/>
      <c r="AD251"/>
      <c r="AE251"/>
      <c r="AF251"/>
      <c r="AG251"/>
    </row>
    <row r="252" spans="12:33">
      <c r="L252" s="48">
        <v>35034</v>
      </c>
      <c r="M252" s="48">
        <f t="shared" si="26"/>
        <v>35062</v>
      </c>
      <c r="N252" s="51">
        <v>8.1876020349072149</v>
      </c>
      <c r="O252" s="19"/>
      <c r="P252" s="19" t="s">
        <v>1581</v>
      </c>
      <c r="Q252" s="23">
        <f>DATE(YEAR(OneWeekMtgRatesDataTable75[[#This Row],[asOf]]),MONTH(OneWeekMtgRatesDataTable75[[#This Row],[asOf]]),DAY(OneWeekMtgRatesDataTable75[[#This Row],[asOf]]))</f>
        <v>42215</v>
      </c>
      <c r="R252" s="19">
        <v>3.91</v>
      </c>
      <c r="S252" s="19">
        <v>0.6</v>
      </c>
      <c r="T252" s="19">
        <v>3.81</v>
      </c>
      <c r="V252" s="48" t="s">
        <v>1620</v>
      </c>
      <c r="W252" s="48" t="s">
        <v>1832</v>
      </c>
      <c r="X252" s="51">
        <v>3.0089114844805001</v>
      </c>
      <c r="Z252" s="48" t="s">
        <v>1583</v>
      </c>
      <c r="AA252" s="51">
        <v>0.88927169699999997</v>
      </c>
      <c r="AB252"/>
      <c r="AC252"/>
      <c r="AD252"/>
      <c r="AE252"/>
      <c r="AF252"/>
      <c r="AG252"/>
    </row>
    <row r="253" spans="12:33">
      <c r="L253" s="48">
        <v>35004</v>
      </c>
      <c r="M253" s="48">
        <f t="shared" si="26"/>
        <v>35033</v>
      </c>
      <c r="N253" s="51">
        <v>8.2028633813301877</v>
      </c>
      <c r="O253" s="19"/>
      <c r="P253" s="19" t="s">
        <v>1582</v>
      </c>
      <c r="Q253" s="23">
        <f>DATE(YEAR(OneWeekMtgRatesDataTable75[[#This Row],[asOf]]),MONTH(OneWeekMtgRatesDataTable75[[#This Row],[asOf]]),DAY(OneWeekMtgRatesDataTable75[[#This Row],[asOf]]))</f>
        <v>42214</v>
      </c>
      <c r="R253" s="19">
        <v>3.98</v>
      </c>
      <c r="S253" s="19">
        <v>0.6</v>
      </c>
      <c r="T253" s="19">
        <v>3.88</v>
      </c>
      <c r="V253" s="48" t="s">
        <v>1621</v>
      </c>
      <c r="W253" s="48" t="s">
        <v>1832</v>
      </c>
      <c r="X253" s="51">
        <v>2.9592567116727899</v>
      </c>
      <c r="Z253" s="48" t="s">
        <v>1584</v>
      </c>
      <c r="AA253" s="51">
        <v>0.88927169699999997</v>
      </c>
      <c r="AB253"/>
      <c r="AC253"/>
      <c r="AD253"/>
      <c r="AE253"/>
      <c r="AF253"/>
      <c r="AG253"/>
    </row>
    <row r="254" spans="12:33">
      <c r="L254" s="48">
        <v>34973</v>
      </c>
      <c r="M254" s="48">
        <f t="shared" si="26"/>
        <v>35003</v>
      </c>
      <c r="N254" s="51">
        <v>8.2147088187470452</v>
      </c>
      <c r="O254" s="19"/>
      <c r="P254" s="19" t="s">
        <v>1583</v>
      </c>
      <c r="Q254" s="23">
        <f>DATE(YEAR(OneWeekMtgRatesDataTable75[[#This Row],[asOf]]),MONTH(OneWeekMtgRatesDataTable75[[#This Row],[asOf]]),DAY(OneWeekMtgRatesDataTable75[[#This Row],[asOf]]))</f>
        <v>42213</v>
      </c>
      <c r="R254" s="19">
        <v>3.98</v>
      </c>
      <c r="S254" s="19">
        <v>0.6</v>
      </c>
      <c r="T254" s="19">
        <v>3.88</v>
      </c>
      <c r="V254" s="48" t="s">
        <v>1622</v>
      </c>
      <c r="W254" s="48" t="s">
        <v>1832</v>
      </c>
      <c r="X254" s="51">
        <v>2.8859588833612699</v>
      </c>
      <c r="Z254" s="48" t="s">
        <v>1585</v>
      </c>
      <c r="AA254" s="51">
        <v>0.88927169699999997</v>
      </c>
      <c r="AB254"/>
      <c r="AC254"/>
      <c r="AD254"/>
      <c r="AE254"/>
      <c r="AF254"/>
      <c r="AG254"/>
    </row>
    <row r="255" spans="12:33">
      <c r="L255" s="48">
        <v>34943</v>
      </c>
      <c r="M255" s="48">
        <f t="shared" si="26"/>
        <v>34971</v>
      </c>
      <c r="N255" s="51">
        <v>8.2246710407407146</v>
      </c>
      <c r="O255" s="19"/>
      <c r="P255" s="19" t="s">
        <v>1584</v>
      </c>
      <c r="Q255" s="23">
        <f>DATE(YEAR(OneWeekMtgRatesDataTable75[[#This Row],[asOf]]),MONTH(OneWeekMtgRatesDataTable75[[#This Row],[asOf]]),DAY(OneWeekMtgRatesDataTable75[[#This Row],[asOf]]))</f>
        <v>42212</v>
      </c>
      <c r="R255" s="19">
        <v>3.98</v>
      </c>
      <c r="S255" s="19">
        <v>0.6</v>
      </c>
      <c r="T255" s="19">
        <v>3.88</v>
      </c>
      <c r="V255" s="48" t="s">
        <v>1580</v>
      </c>
      <c r="W255" s="48" t="s">
        <v>1832</v>
      </c>
      <c r="X255" s="51">
        <v>2.9155081259623699</v>
      </c>
      <c r="Z255" s="48" t="s">
        <v>1586</v>
      </c>
      <c r="AA255" s="51">
        <v>0.88927169699999997</v>
      </c>
      <c r="AB255"/>
      <c r="AC255"/>
      <c r="AD255"/>
      <c r="AE255"/>
      <c r="AF255"/>
      <c r="AG255"/>
    </row>
    <row r="256" spans="12:33">
      <c r="L256" s="48">
        <v>34912</v>
      </c>
      <c r="M256" s="48">
        <f t="shared" si="26"/>
        <v>34942</v>
      </c>
      <c r="N256" s="51">
        <v>8.2373980883445945</v>
      </c>
      <c r="O256" s="19"/>
      <c r="P256" s="19" t="s">
        <v>1585</v>
      </c>
      <c r="Q256" s="23">
        <f>DATE(YEAR(OneWeekMtgRatesDataTable75[[#This Row],[asOf]]),MONTH(OneWeekMtgRatesDataTable75[[#This Row],[asOf]]),DAY(OneWeekMtgRatesDataTable75[[#This Row],[asOf]]))</f>
        <v>42209</v>
      </c>
      <c r="R256" s="19">
        <v>3.98</v>
      </c>
      <c r="S256" s="19">
        <v>0.6</v>
      </c>
      <c r="T256" s="19">
        <v>3.88</v>
      </c>
      <c r="V256" s="48" t="s">
        <v>1581</v>
      </c>
      <c r="W256" s="48" t="s">
        <v>1832</v>
      </c>
      <c r="X256" s="51">
        <v>2.9944455468035298</v>
      </c>
      <c r="Z256" s="48" t="s">
        <v>1587</v>
      </c>
      <c r="AA256" s="51">
        <v>0.88927169699999997</v>
      </c>
      <c r="AB256"/>
      <c r="AC256"/>
      <c r="AD256"/>
      <c r="AE256"/>
      <c r="AF256"/>
      <c r="AG256"/>
    </row>
    <row r="257" spans="12:33">
      <c r="L257" s="48">
        <v>34881</v>
      </c>
      <c r="M257" s="48">
        <f t="shared" si="26"/>
        <v>34911</v>
      </c>
      <c r="N257" s="51">
        <v>8.2495432651499492</v>
      </c>
      <c r="O257" s="19"/>
      <c r="P257" s="19" t="s">
        <v>1586</v>
      </c>
      <c r="Q257" s="23">
        <f>DATE(YEAR(OneWeekMtgRatesDataTable75[[#This Row],[asOf]]),MONTH(OneWeekMtgRatesDataTable75[[#This Row],[asOf]]),DAY(OneWeekMtgRatesDataTable75[[#This Row],[asOf]]))</f>
        <v>42208</v>
      </c>
      <c r="R257" s="19">
        <v>3.98</v>
      </c>
      <c r="S257" s="19">
        <v>0.6</v>
      </c>
      <c r="T257" s="19">
        <v>3.88</v>
      </c>
      <c r="V257" s="48" t="s">
        <v>1582</v>
      </c>
      <c r="W257" s="48" t="s">
        <v>1832</v>
      </c>
      <c r="X257" s="51">
        <v>2.9952166878972601</v>
      </c>
      <c r="Z257" s="48" t="s">
        <v>1588</v>
      </c>
      <c r="AA257" s="51">
        <v>0.88674357199999998</v>
      </c>
      <c r="AB257"/>
      <c r="AC257"/>
      <c r="AD257"/>
      <c r="AE257"/>
      <c r="AF257"/>
      <c r="AG257"/>
    </row>
    <row r="258" spans="12:33">
      <c r="L258" s="48">
        <v>34851</v>
      </c>
      <c r="M258" s="48">
        <f t="shared" si="26"/>
        <v>34880</v>
      </c>
      <c r="N258" s="51">
        <v>8.2540363033744075</v>
      </c>
      <c r="O258" s="19"/>
      <c r="P258" s="19" t="s">
        <v>1587</v>
      </c>
      <c r="Q258" s="23">
        <f>DATE(YEAR(OneWeekMtgRatesDataTable75[[#This Row],[asOf]]),MONTH(OneWeekMtgRatesDataTable75[[#This Row],[asOf]]),DAY(OneWeekMtgRatesDataTable75[[#This Row],[asOf]]))</f>
        <v>42207</v>
      </c>
      <c r="R258" s="19">
        <v>4.04</v>
      </c>
      <c r="S258" s="19">
        <v>0.6</v>
      </c>
      <c r="T258" s="19">
        <v>3.94</v>
      </c>
      <c r="V258" s="48" t="s">
        <v>1583</v>
      </c>
      <c r="W258" s="48" t="s">
        <v>1832</v>
      </c>
      <c r="X258" s="51">
        <v>2.9700273705701301</v>
      </c>
      <c r="Z258" s="48" t="s">
        <v>1589</v>
      </c>
      <c r="AA258" s="51">
        <v>0.88674357199999998</v>
      </c>
      <c r="AB258"/>
      <c r="AC258"/>
      <c r="AD258"/>
      <c r="AE258"/>
      <c r="AF258"/>
      <c r="AG258"/>
    </row>
    <row r="259" spans="12:33">
      <c r="L259" s="48">
        <v>34820</v>
      </c>
      <c r="M259" s="48">
        <f t="shared" si="26"/>
        <v>34850</v>
      </c>
      <c r="N259" s="51">
        <v>8.2518091429982547</v>
      </c>
      <c r="O259" s="19"/>
      <c r="P259" s="19" t="s">
        <v>1588</v>
      </c>
      <c r="Q259" s="23">
        <f>DATE(YEAR(OneWeekMtgRatesDataTable75[[#This Row],[asOf]]),MONTH(OneWeekMtgRatesDataTable75[[#This Row],[asOf]]),DAY(OneWeekMtgRatesDataTable75[[#This Row],[asOf]]))</f>
        <v>42206</v>
      </c>
      <c r="R259" s="19">
        <v>4.04</v>
      </c>
      <c r="S259" s="19">
        <v>0.6</v>
      </c>
      <c r="T259" s="19">
        <v>3.94</v>
      </c>
      <c r="V259" s="48" t="s">
        <v>1584</v>
      </c>
      <c r="W259" s="48" t="s">
        <v>1832</v>
      </c>
      <c r="X259" s="51">
        <v>2.9768819813504899</v>
      </c>
      <c r="Z259" s="48" t="s">
        <v>1590</v>
      </c>
      <c r="AA259" s="51">
        <v>0.88674357199999998</v>
      </c>
      <c r="AB259"/>
      <c r="AC259"/>
      <c r="AD259"/>
      <c r="AE259"/>
      <c r="AF259"/>
      <c r="AG259"/>
    </row>
    <row r="260" spans="12:33">
      <c r="L260" s="48">
        <v>34790</v>
      </c>
      <c r="M260" s="48">
        <f t="shared" ref="M260:M275" si="27">IF(WEEKDAY(DATE(YEAR(L260),MONTH(L260)+1,0),2)=6,DATE(YEAR(L260),MONTH(L260)+1,0)-1,IF(WEEKDAY(DATE(YEAR(L260),MONTH(L260)+1,0),2)=7,DATE(YEAR(L260),MONTH(L260)+1,0)-2,DATE(YEAR(L260),MONTH(L260)+1,0)))</f>
        <v>34817</v>
      </c>
      <c r="N260" s="51">
        <v>8.2470580977929728</v>
      </c>
      <c r="O260" s="19"/>
      <c r="P260" s="19" t="s">
        <v>1589</v>
      </c>
      <c r="Q260" s="23">
        <f>DATE(YEAR(OneWeekMtgRatesDataTable75[[#This Row],[asOf]]),MONTH(OneWeekMtgRatesDataTable75[[#This Row],[asOf]]),DAY(OneWeekMtgRatesDataTable75[[#This Row],[asOf]]))</f>
        <v>42205</v>
      </c>
      <c r="R260" s="19">
        <v>4.04</v>
      </c>
      <c r="S260" s="19">
        <v>0.6</v>
      </c>
      <c r="T260" s="19">
        <v>3.94</v>
      </c>
      <c r="V260" s="48" t="s">
        <v>1585</v>
      </c>
      <c r="W260" s="48" t="s">
        <v>1832</v>
      </c>
      <c r="X260" s="51">
        <v>3.00880742941581</v>
      </c>
      <c r="Z260" s="48" t="s">
        <v>1591</v>
      </c>
      <c r="AA260" s="51">
        <v>0.88674357199999998</v>
      </c>
      <c r="AB260"/>
      <c r="AC260"/>
      <c r="AD260"/>
      <c r="AE260"/>
      <c r="AF260"/>
      <c r="AG260"/>
    </row>
    <row r="261" spans="12:33">
      <c r="L261" s="48">
        <v>34759</v>
      </c>
      <c r="M261" s="48">
        <f t="shared" si="27"/>
        <v>34789</v>
      </c>
      <c r="N261" s="51">
        <v>8.2420843433986501</v>
      </c>
      <c r="O261" s="19"/>
      <c r="P261" s="19" t="s">
        <v>1590</v>
      </c>
      <c r="Q261" s="23">
        <f>DATE(YEAR(OneWeekMtgRatesDataTable75[[#This Row],[asOf]]),MONTH(OneWeekMtgRatesDataTable75[[#This Row],[asOf]]),DAY(OneWeekMtgRatesDataTable75[[#This Row],[asOf]]))</f>
        <v>42202</v>
      </c>
      <c r="R261" s="19">
        <v>4.04</v>
      </c>
      <c r="S261" s="19">
        <v>0.6</v>
      </c>
      <c r="T261" s="19">
        <v>3.94</v>
      </c>
      <c r="V261" s="48" t="s">
        <v>1586</v>
      </c>
      <c r="W261" s="48" t="s">
        <v>1832</v>
      </c>
      <c r="X261" s="51">
        <v>3.00152435884748</v>
      </c>
      <c r="Z261" s="48" t="s">
        <v>1592</v>
      </c>
      <c r="AA261" s="51">
        <v>0.88674357199999998</v>
      </c>
      <c r="AB261"/>
      <c r="AC261"/>
      <c r="AD261"/>
      <c r="AE261"/>
      <c r="AF261"/>
      <c r="AG261"/>
    </row>
    <row r="262" spans="12:33">
      <c r="L262" s="48">
        <v>34731</v>
      </c>
      <c r="M262" s="48">
        <f t="shared" si="27"/>
        <v>34758</v>
      </c>
      <c r="N262" s="51">
        <v>8.2385757623650715</v>
      </c>
      <c r="O262" s="19"/>
      <c r="P262" s="19" t="s">
        <v>1591</v>
      </c>
      <c r="Q262" s="23">
        <f>DATE(YEAR(OneWeekMtgRatesDataTable75[[#This Row],[asOf]]),MONTH(OneWeekMtgRatesDataTable75[[#This Row],[asOf]]),DAY(OneWeekMtgRatesDataTable75[[#This Row],[asOf]]))</f>
        <v>42201</v>
      </c>
      <c r="R262" s="19">
        <v>4.04</v>
      </c>
      <c r="S262" s="19">
        <v>0.6</v>
      </c>
      <c r="T262" s="19">
        <v>3.94</v>
      </c>
      <c r="V262" s="48" t="s">
        <v>1587</v>
      </c>
      <c r="W262" s="48" t="s">
        <v>1832</v>
      </c>
      <c r="X262" s="51">
        <v>3.0272722743659699</v>
      </c>
      <c r="Z262" s="48" t="s">
        <v>1593</v>
      </c>
      <c r="AA262" s="51">
        <v>0.89927364399999998</v>
      </c>
      <c r="AB262"/>
      <c r="AC262"/>
      <c r="AD262"/>
      <c r="AE262"/>
      <c r="AF262"/>
      <c r="AG262"/>
    </row>
    <row r="263" spans="12:33">
      <c r="L263" s="48">
        <v>34700</v>
      </c>
      <c r="M263" s="48">
        <f t="shared" si="27"/>
        <v>34730</v>
      </c>
      <c r="N263" s="51">
        <v>8.2327596202299436</v>
      </c>
      <c r="O263" s="19"/>
      <c r="P263" s="19" t="s">
        <v>1592</v>
      </c>
      <c r="Q263" s="23">
        <f>DATE(YEAR(OneWeekMtgRatesDataTable75[[#This Row],[asOf]]),MONTH(OneWeekMtgRatesDataTable75[[#This Row],[asOf]]),DAY(OneWeekMtgRatesDataTable75[[#This Row],[asOf]]))</f>
        <v>42200</v>
      </c>
      <c r="R263" s="19">
        <v>4.09</v>
      </c>
      <c r="S263" s="19">
        <v>0.6</v>
      </c>
      <c r="T263" s="19">
        <v>3.9899999999999998</v>
      </c>
      <c r="V263" s="48" t="s">
        <v>1588</v>
      </c>
      <c r="W263" s="48" t="s">
        <v>1832</v>
      </c>
      <c r="X263" s="51">
        <v>3.04099858929172</v>
      </c>
      <c r="Z263" s="48" t="s">
        <v>1594</v>
      </c>
      <c r="AA263" s="51">
        <v>0.89927364399999998</v>
      </c>
      <c r="AB263"/>
      <c r="AC263"/>
      <c r="AD263"/>
      <c r="AE263"/>
      <c r="AF263"/>
      <c r="AG263"/>
    </row>
    <row r="264" spans="12:33">
      <c r="L264" s="48">
        <v>34669</v>
      </c>
      <c r="M264" s="48">
        <f t="shared" si="27"/>
        <v>34698</v>
      </c>
      <c r="N264" s="51">
        <v>8.226453344951894</v>
      </c>
      <c r="O264" s="19"/>
      <c r="P264" s="19" t="s">
        <v>1593</v>
      </c>
      <c r="Q264" s="23">
        <f>DATE(YEAR(OneWeekMtgRatesDataTable75[[#This Row],[asOf]]),MONTH(OneWeekMtgRatesDataTable75[[#This Row],[asOf]]),DAY(OneWeekMtgRatesDataTable75[[#This Row],[asOf]]))</f>
        <v>42199</v>
      </c>
      <c r="R264" s="19">
        <v>4.09</v>
      </c>
      <c r="S264" s="19">
        <v>0.6</v>
      </c>
      <c r="T264" s="19">
        <v>3.9899999999999998</v>
      </c>
      <c r="V264" s="48" t="s">
        <v>1589</v>
      </c>
      <c r="W264" s="48" t="s">
        <v>1832</v>
      </c>
      <c r="X264" s="51">
        <v>3.07026860246684</v>
      </c>
      <c r="Z264" s="48" t="s">
        <v>1595</v>
      </c>
      <c r="AA264" s="51">
        <v>0.89927364399999998</v>
      </c>
      <c r="AB264"/>
      <c r="AC264"/>
      <c r="AD264"/>
      <c r="AE264"/>
      <c r="AF264"/>
      <c r="AG264"/>
    </row>
    <row r="265" spans="12:33">
      <c r="L265" s="48">
        <v>34639</v>
      </c>
      <c r="M265" s="48">
        <f t="shared" si="27"/>
        <v>34668</v>
      </c>
      <c r="N265" s="51">
        <v>8.2197433009495953</v>
      </c>
      <c r="O265" s="19"/>
      <c r="P265" s="19" t="s">
        <v>1594</v>
      </c>
      <c r="Q265" s="23">
        <f>DATE(YEAR(OneWeekMtgRatesDataTable75[[#This Row],[asOf]]),MONTH(OneWeekMtgRatesDataTable75[[#This Row],[asOf]]),DAY(OneWeekMtgRatesDataTable75[[#This Row],[asOf]]))</f>
        <v>42198</v>
      </c>
      <c r="R265" s="19">
        <v>4.09</v>
      </c>
      <c r="S265" s="19">
        <v>0.6</v>
      </c>
      <c r="T265" s="19">
        <v>3.9899999999999998</v>
      </c>
      <c r="V265" s="48" t="s">
        <v>1590</v>
      </c>
      <c r="W265" s="48" t="s">
        <v>1832</v>
      </c>
      <c r="X265" s="51">
        <v>3.0508649511892498</v>
      </c>
      <c r="Z265" s="48" t="s">
        <v>1596</v>
      </c>
      <c r="AA265" s="51">
        <v>0.89927364399999998</v>
      </c>
      <c r="AB265"/>
      <c r="AC265"/>
      <c r="AD265"/>
      <c r="AE265"/>
      <c r="AF265"/>
      <c r="AG265"/>
    </row>
    <row r="266" spans="12:33">
      <c r="L266" s="62">
        <v>34608</v>
      </c>
      <c r="M266" s="62">
        <f t="shared" si="27"/>
        <v>34638</v>
      </c>
      <c r="N266" s="63">
        <v>8.2146633475349766</v>
      </c>
      <c r="O266" s="19"/>
      <c r="P266" s="19" t="s">
        <v>1595</v>
      </c>
      <c r="Q266" s="23">
        <f>DATE(YEAR(OneWeekMtgRatesDataTable75[[#This Row],[asOf]]),MONTH(OneWeekMtgRatesDataTable75[[#This Row],[asOf]]),DAY(OneWeekMtgRatesDataTable75[[#This Row],[asOf]]))</f>
        <v>42195</v>
      </c>
      <c r="R266" s="19">
        <v>4.09</v>
      </c>
      <c r="S266" s="19">
        <v>0.6</v>
      </c>
      <c r="T266" s="19">
        <v>3.9899999999999998</v>
      </c>
      <c r="V266" s="48" t="s">
        <v>1591</v>
      </c>
      <c r="W266" s="48" t="s">
        <v>1832</v>
      </c>
      <c r="X266" s="51">
        <v>3.0642370952529001</v>
      </c>
      <c r="Z266" s="48" t="s">
        <v>1597</v>
      </c>
      <c r="AA266" s="51">
        <v>0.89927364399999998</v>
      </c>
      <c r="AB266"/>
      <c r="AC266"/>
      <c r="AD266"/>
      <c r="AE266"/>
      <c r="AF266"/>
      <c r="AG266"/>
    </row>
    <row r="267" spans="12:33">
      <c r="L267" s="48">
        <v>34578</v>
      </c>
      <c r="M267" s="48">
        <f t="shared" si="27"/>
        <v>34607</v>
      </c>
      <c r="N267" s="51">
        <v>8.2140530170326009</v>
      </c>
      <c r="O267" s="19"/>
      <c r="P267" s="19" t="s">
        <v>1596</v>
      </c>
      <c r="Q267" s="23">
        <f>DATE(YEAR(OneWeekMtgRatesDataTable75[[#This Row],[asOf]]),MONTH(OneWeekMtgRatesDataTable75[[#This Row],[asOf]]),DAY(OneWeekMtgRatesDataTable75[[#This Row],[asOf]]))</f>
        <v>42194</v>
      </c>
      <c r="R267" s="19">
        <v>4.09</v>
      </c>
      <c r="S267" s="19">
        <v>0.6</v>
      </c>
      <c r="T267" s="19">
        <v>3.9899999999999998</v>
      </c>
      <c r="V267" s="48" t="s">
        <v>1592</v>
      </c>
      <c r="W267" s="48" t="s">
        <v>1832</v>
      </c>
      <c r="X267" s="51">
        <v>3.0651881254767099</v>
      </c>
      <c r="Z267" s="48" t="s">
        <v>1598</v>
      </c>
      <c r="AA267" s="51">
        <v>0.85212125599999999</v>
      </c>
      <c r="AB267"/>
      <c r="AC267"/>
      <c r="AD267"/>
      <c r="AE267"/>
      <c r="AF267"/>
      <c r="AG267"/>
    </row>
    <row r="268" spans="12:33">
      <c r="L268" s="48">
        <v>34547</v>
      </c>
      <c r="M268" s="48">
        <f t="shared" si="27"/>
        <v>34577</v>
      </c>
      <c r="N268" s="51">
        <v>8.2148615693187956</v>
      </c>
      <c r="O268" s="19"/>
      <c r="P268" s="19" t="s">
        <v>1597</v>
      </c>
      <c r="Q268" s="23">
        <f>DATE(YEAR(OneWeekMtgRatesDataTable75[[#This Row],[asOf]]),MONTH(OneWeekMtgRatesDataTable75[[#This Row],[asOf]]),DAY(OneWeekMtgRatesDataTable75[[#This Row],[asOf]]))</f>
        <v>42193</v>
      </c>
      <c r="R268" s="19">
        <v>4.04</v>
      </c>
      <c r="S268" s="19">
        <v>0.6</v>
      </c>
      <c r="T268" s="19">
        <v>3.94</v>
      </c>
      <c r="V268" s="48" t="s">
        <v>1593</v>
      </c>
      <c r="W268" s="48" t="s">
        <v>1832</v>
      </c>
      <c r="X268" s="51">
        <v>3.1081065530197201</v>
      </c>
      <c r="Z268" s="48" t="s">
        <v>1599</v>
      </c>
      <c r="AA268" s="51">
        <v>0.85212125599999999</v>
      </c>
      <c r="AB268"/>
      <c r="AC268"/>
      <c r="AD268"/>
      <c r="AE268"/>
      <c r="AF268"/>
      <c r="AG268"/>
    </row>
    <row r="269" spans="12:33">
      <c r="L269" s="70">
        <v>34516</v>
      </c>
      <c r="M269" s="70">
        <f t="shared" si="27"/>
        <v>34544</v>
      </c>
      <c r="N269" s="71">
        <v>8.2167262441025386</v>
      </c>
      <c r="O269" s="19"/>
      <c r="P269" s="19" t="s">
        <v>1598</v>
      </c>
      <c r="Q269" s="23">
        <f>DATE(YEAR(OneWeekMtgRatesDataTable75[[#This Row],[asOf]]),MONTH(OneWeekMtgRatesDataTable75[[#This Row],[asOf]]),DAY(OneWeekMtgRatesDataTable75[[#This Row],[asOf]]))</f>
        <v>42192</v>
      </c>
      <c r="R269" s="19">
        <v>4.04</v>
      </c>
      <c r="S269" s="19">
        <v>0.6</v>
      </c>
      <c r="T269" s="19">
        <v>3.94</v>
      </c>
      <c r="V269" s="48" t="s">
        <v>1594</v>
      </c>
      <c r="W269" s="48" t="s">
        <v>1832</v>
      </c>
      <c r="X269" s="51">
        <v>3.1440801611331</v>
      </c>
      <c r="Z269" s="48" t="s">
        <v>1600</v>
      </c>
      <c r="AA269" s="51">
        <v>0.85212125599999999</v>
      </c>
      <c r="AB269"/>
      <c r="AC269"/>
      <c r="AD269"/>
      <c r="AE269"/>
      <c r="AF269"/>
      <c r="AG269"/>
    </row>
    <row r="270" spans="12:33">
      <c r="L270" s="91">
        <v>34486</v>
      </c>
      <c r="M270" s="91">
        <f t="shared" si="27"/>
        <v>34515</v>
      </c>
      <c r="N270" s="92">
        <v>8.2217767583119237</v>
      </c>
      <c r="O270" s="19"/>
      <c r="P270" s="19" t="s">
        <v>1599</v>
      </c>
      <c r="Q270" s="23">
        <f>DATE(YEAR(OneWeekMtgRatesDataTable75[[#This Row],[asOf]]),MONTH(OneWeekMtgRatesDataTable75[[#This Row],[asOf]]),DAY(OneWeekMtgRatesDataTable75[[#This Row],[asOf]]))</f>
        <v>42191</v>
      </c>
      <c r="R270" s="19">
        <v>4.04</v>
      </c>
      <c r="S270" s="19">
        <v>0.6</v>
      </c>
      <c r="T270" s="19">
        <v>3.94</v>
      </c>
      <c r="V270" s="48" t="s">
        <v>1595</v>
      </c>
      <c r="W270" s="48" t="s">
        <v>1832</v>
      </c>
      <c r="X270" s="51">
        <v>3.1469144966257199</v>
      </c>
      <c r="Z270" s="48" t="s">
        <v>1601</v>
      </c>
      <c r="AA270" s="51">
        <v>0.85212125599999999</v>
      </c>
      <c r="AB270"/>
      <c r="AC270"/>
      <c r="AD270"/>
      <c r="AE270"/>
      <c r="AF270"/>
      <c r="AG270"/>
    </row>
    <row r="271" spans="12:33">
      <c r="L271" s="48">
        <v>34455</v>
      </c>
      <c r="M271" s="48">
        <f t="shared" si="27"/>
        <v>34485</v>
      </c>
      <c r="N271" s="51">
        <v>8.2362761538218656</v>
      </c>
      <c r="O271" s="19"/>
      <c r="P271" s="19" t="s">
        <v>1600</v>
      </c>
      <c r="Q271" s="23">
        <f>DATE(YEAR(OneWeekMtgRatesDataTable75[[#This Row],[asOf]]),MONTH(OneWeekMtgRatesDataTable75[[#This Row],[asOf]]),DAY(OneWeekMtgRatesDataTable75[[#This Row],[asOf]]))</f>
        <v>42187</v>
      </c>
      <c r="R271" s="19">
        <v>4.04</v>
      </c>
      <c r="S271" s="19">
        <v>0.6</v>
      </c>
      <c r="T271" s="19">
        <v>3.94</v>
      </c>
      <c r="V271" s="48" t="s">
        <v>1596</v>
      </c>
      <c r="W271" s="48" t="s">
        <v>1832</v>
      </c>
      <c r="X271" s="51">
        <v>3.0519928057207899</v>
      </c>
      <c r="Z271" s="48" t="s">
        <v>1554</v>
      </c>
      <c r="AA271" s="51">
        <v>0.88133173300000001</v>
      </c>
      <c r="AB271"/>
      <c r="AC271"/>
      <c r="AD271"/>
      <c r="AE271"/>
      <c r="AF271"/>
      <c r="AG271"/>
    </row>
    <row r="272" spans="12:33">
      <c r="L272" s="48">
        <v>34425</v>
      </c>
      <c r="M272" s="48">
        <f t="shared" si="27"/>
        <v>34453</v>
      </c>
      <c r="N272" s="51">
        <v>8.266394897206375</v>
      </c>
      <c r="O272" s="19"/>
      <c r="P272" s="19" t="s">
        <v>1601</v>
      </c>
      <c r="Q272" s="23">
        <f>DATE(YEAR(OneWeekMtgRatesDataTable75[[#This Row],[asOf]]),MONTH(OneWeekMtgRatesDataTable75[[#This Row],[asOf]]),DAY(OneWeekMtgRatesDataTable75[[#This Row],[asOf]]))</f>
        <v>42186</v>
      </c>
      <c r="R272" s="19">
        <v>4.08</v>
      </c>
      <c r="S272" s="19">
        <v>0.6</v>
      </c>
      <c r="T272" s="19">
        <v>3.98</v>
      </c>
      <c r="V272" s="48" t="s">
        <v>1597</v>
      </c>
      <c r="W272" s="48" t="s">
        <v>1832</v>
      </c>
      <c r="X272" s="51">
        <v>2.9791453962399599</v>
      </c>
      <c r="Z272" s="48" t="s">
        <v>1555</v>
      </c>
      <c r="AA272" s="51">
        <v>0.88133173300000001</v>
      </c>
      <c r="AB272"/>
      <c r="AC272"/>
      <c r="AD272"/>
      <c r="AE272"/>
      <c r="AF272"/>
      <c r="AG272"/>
    </row>
    <row r="273" spans="12:33">
      <c r="L273" s="48">
        <v>34394</v>
      </c>
      <c r="M273" s="48">
        <f t="shared" si="27"/>
        <v>34424</v>
      </c>
      <c r="N273" s="51">
        <v>8.3121316924845114</v>
      </c>
      <c r="O273" s="19"/>
      <c r="P273" s="19" t="s">
        <v>1554</v>
      </c>
      <c r="Q273" s="23">
        <f>DATE(YEAR(OneWeekMtgRatesDataTable75[[#This Row],[asOf]]),MONTH(OneWeekMtgRatesDataTable75[[#This Row],[asOf]]),DAY(OneWeekMtgRatesDataTable75[[#This Row],[asOf]]))</f>
        <v>42185</v>
      </c>
      <c r="R273" s="19">
        <v>4.08</v>
      </c>
      <c r="S273" s="19">
        <v>0.6</v>
      </c>
      <c r="T273" s="19">
        <v>3.98</v>
      </c>
      <c r="V273" s="48" t="s">
        <v>1598</v>
      </c>
      <c r="W273" s="48" t="s">
        <v>1832</v>
      </c>
      <c r="X273" s="51">
        <v>3.00985191194196</v>
      </c>
      <c r="Z273" s="48" t="s">
        <v>1556</v>
      </c>
      <c r="AA273" s="51">
        <v>0.88133173300000001</v>
      </c>
      <c r="AB273"/>
      <c r="AC273"/>
      <c r="AD273"/>
      <c r="AE273"/>
      <c r="AF273"/>
      <c r="AG273"/>
    </row>
    <row r="274" spans="12:33">
      <c r="L274" s="48">
        <v>34366</v>
      </c>
      <c r="M274" s="48">
        <f t="shared" si="27"/>
        <v>34393</v>
      </c>
      <c r="N274" s="51">
        <v>8.3582193899169948</v>
      </c>
      <c r="O274" s="19"/>
      <c r="P274" s="19" t="s">
        <v>1555</v>
      </c>
      <c r="Q274" s="23">
        <f>DATE(YEAR(OneWeekMtgRatesDataTable75[[#This Row],[asOf]]),MONTH(OneWeekMtgRatesDataTable75[[#This Row],[asOf]]),DAY(OneWeekMtgRatesDataTable75[[#This Row],[asOf]]))</f>
        <v>42184</v>
      </c>
      <c r="R274" s="19">
        <v>4.08</v>
      </c>
      <c r="S274" s="19">
        <v>0.6</v>
      </c>
      <c r="T274" s="19">
        <v>3.98</v>
      </c>
      <c r="V274" s="48" t="s">
        <v>1599</v>
      </c>
      <c r="W274" s="48" t="s">
        <v>1832</v>
      </c>
      <c r="X274" s="51">
        <v>3.0409627195865201</v>
      </c>
      <c r="Z274" s="48" t="s">
        <v>1557</v>
      </c>
      <c r="AA274" s="51">
        <v>0.88133173300000001</v>
      </c>
      <c r="AB274"/>
      <c r="AC274"/>
      <c r="AD274"/>
      <c r="AE274"/>
      <c r="AF274"/>
      <c r="AG274"/>
    </row>
    <row r="275" spans="12:33">
      <c r="L275" s="48">
        <v>34335</v>
      </c>
      <c r="M275" s="48">
        <f t="shared" si="27"/>
        <v>34365</v>
      </c>
      <c r="N275" s="51">
        <v>8.4205052659075985</v>
      </c>
      <c r="O275" s="19"/>
      <c r="P275" s="19" t="s">
        <v>1556</v>
      </c>
      <c r="Q275" s="23">
        <f>DATE(YEAR(OneWeekMtgRatesDataTable75[[#This Row],[asOf]]),MONTH(OneWeekMtgRatesDataTable75[[#This Row],[asOf]]),DAY(OneWeekMtgRatesDataTable75[[#This Row],[asOf]]))</f>
        <v>42181</v>
      </c>
      <c r="R275" s="19">
        <v>4.08</v>
      </c>
      <c r="S275" s="19">
        <v>0.6</v>
      </c>
      <c r="T275" s="19">
        <v>3.98</v>
      </c>
      <c r="V275" s="48" t="s">
        <v>1600</v>
      </c>
      <c r="W275" s="48" t="s">
        <v>1832</v>
      </c>
      <c r="X275" s="51">
        <v>3.1329453977786899</v>
      </c>
      <c r="Z275" s="48" t="s">
        <v>1558</v>
      </c>
      <c r="AA275" s="51">
        <v>0.88133173300000001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1557</v>
      </c>
      <c r="Q276" s="23">
        <f>DATE(YEAR(OneWeekMtgRatesDataTable75[[#This Row],[asOf]]),MONTH(OneWeekMtgRatesDataTable75[[#This Row],[asOf]]),DAY(OneWeekMtgRatesDataTable75[[#This Row],[asOf]]))</f>
        <v>42180</v>
      </c>
      <c r="R276" s="19">
        <v>4.08</v>
      </c>
      <c r="S276" s="19">
        <v>0.6</v>
      </c>
      <c r="T276" s="19">
        <v>3.98</v>
      </c>
      <c r="V276" s="48" t="s">
        <v>1601</v>
      </c>
      <c r="W276" s="48" t="s">
        <v>1832</v>
      </c>
      <c r="X276" s="51">
        <v>3.16276525236256</v>
      </c>
      <c r="Z276" s="48" t="s">
        <v>1559</v>
      </c>
      <c r="AA276" s="51">
        <v>0.85723884800000005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1558</v>
      </c>
      <c r="Q277" s="23">
        <f>DATE(YEAR(OneWeekMtgRatesDataTable75[[#This Row],[asOf]]),MONTH(OneWeekMtgRatesDataTable75[[#This Row],[asOf]]),DAY(OneWeekMtgRatesDataTable75[[#This Row],[asOf]]))</f>
        <v>42179</v>
      </c>
      <c r="R277" s="19">
        <v>4.0199999999999996</v>
      </c>
      <c r="S277" s="19">
        <v>0.7</v>
      </c>
      <c r="T277" s="19">
        <v>3.9449999999999994</v>
      </c>
      <c r="V277" s="48" t="s">
        <v>1554</v>
      </c>
      <c r="W277" s="48" t="s">
        <v>1832</v>
      </c>
      <c r="X277" s="51">
        <v>3.0732804432921599</v>
      </c>
      <c r="Z277" s="48" t="s">
        <v>1560</v>
      </c>
      <c r="AA277" s="51">
        <v>0.85723884800000005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1559</v>
      </c>
      <c r="Q278" s="23">
        <f>DATE(YEAR(OneWeekMtgRatesDataTable75[[#This Row],[asOf]]),MONTH(OneWeekMtgRatesDataTable75[[#This Row],[asOf]]),DAY(OneWeekMtgRatesDataTable75[[#This Row],[asOf]]))</f>
        <v>42178</v>
      </c>
      <c r="R278" s="19">
        <v>4.0199999999999996</v>
      </c>
      <c r="S278" s="19">
        <v>0.7</v>
      </c>
      <c r="T278" s="19">
        <v>3.9449999999999994</v>
      </c>
      <c r="V278" s="48" t="s">
        <v>1555</v>
      </c>
      <c r="W278" s="48" t="s">
        <v>1832</v>
      </c>
      <c r="X278" s="51">
        <v>3.0851869199683102</v>
      </c>
      <c r="Z278" s="48" t="s">
        <v>1561</v>
      </c>
      <c r="AA278" s="51">
        <v>0.85723884800000005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1560</v>
      </c>
      <c r="Q279" s="23">
        <f>DATE(YEAR(OneWeekMtgRatesDataTable75[[#This Row],[asOf]]),MONTH(OneWeekMtgRatesDataTable75[[#This Row],[asOf]]),DAY(OneWeekMtgRatesDataTable75[[#This Row],[asOf]]))</f>
        <v>42177</v>
      </c>
      <c r="R279" s="19">
        <v>4.0199999999999996</v>
      </c>
      <c r="S279" s="19">
        <v>0.7</v>
      </c>
      <c r="T279" s="19">
        <v>3.9449999999999994</v>
      </c>
      <c r="V279" s="48" t="s">
        <v>1556</v>
      </c>
      <c r="W279" s="48" t="s">
        <v>1832</v>
      </c>
      <c r="X279" s="51">
        <v>3.2022687944333499</v>
      </c>
      <c r="Z279" s="48" t="s">
        <v>1562</v>
      </c>
      <c r="AA279" s="51">
        <v>0.85723884800000005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1561</v>
      </c>
      <c r="Q280" s="23">
        <f>DATE(YEAR(OneWeekMtgRatesDataTable75[[#This Row],[asOf]]),MONTH(OneWeekMtgRatesDataTable75[[#This Row],[asOf]]),DAY(OneWeekMtgRatesDataTable75[[#This Row],[asOf]]))</f>
        <v>42174</v>
      </c>
      <c r="R280" s="19">
        <v>4.0199999999999996</v>
      </c>
      <c r="S280" s="19">
        <v>0.7</v>
      </c>
      <c r="T280" s="19">
        <v>3.9449999999999994</v>
      </c>
      <c r="V280" s="48" t="s">
        <v>1557</v>
      </c>
      <c r="W280" s="48" t="s">
        <v>1832</v>
      </c>
      <c r="X280" s="51">
        <v>3.1158923075545402</v>
      </c>
      <c r="Z280" s="48" t="s">
        <v>1563</v>
      </c>
      <c r="AA280" s="51">
        <v>0.85723884800000005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1562</v>
      </c>
      <c r="Q281" s="23">
        <f>DATE(YEAR(OneWeekMtgRatesDataTable75[[#This Row],[asOf]]),MONTH(OneWeekMtgRatesDataTable75[[#This Row],[asOf]]),DAY(OneWeekMtgRatesDataTable75[[#This Row],[asOf]]))</f>
        <v>42173</v>
      </c>
      <c r="R281" s="19">
        <v>4.0199999999999996</v>
      </c>
      <c r="S281" s="19">
        <v>0.7</v>
      </c>
      <c r="T281" s="19">
        <v>3.9449999999999994</v>
      </c>
      <c r="V281" s="48" t="s">
        <v>1558</v>
      </c>
      <c r="W281" s="48" t="s">
        <v>1832</v>
      </c>
      <c r="X281" s="51">
        <v>3.0912606104251101</v>
      </c>
      <c r="Z281" s="48" t="s">
        <v>1564</v>
      </c>
      <c r="AA281" s="51">
        <v>0.83278277700000003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1563</v>
      </c>
      <c r="Q282" s="23">
        <f>DATE(YEAR(OneWeekMtgRatesDataTable75[[#This Row],[asOf]]),MONTH(OneWeekMtgRatesDataTable75[[#This Row],[asOf]]),DAY(OneWeekMtgRatesDataTable75[[#This Row],[asOf]]))</f>
        <v>42172</v>
      </c>
      <c r="R282" s="19">
        <v>4</v>
      </c>
      <c r="S282" s="19">
        <v>0.7</v>
      </c>
      <c r="T282" s="19">
        <v>3.9249999999999998</v>
      </c>
      <c r="V282" s="48" t="s">
        <v>1559</v>
      </c>
      <c r="W282" s="48" t="s">
        <v>1832</v>
      </c>
      <c r="X282" s="51">
        <v>3.1219045210798799</v>
      </c>
      <c r="Z282" s="48" t="s">
        <v>1565</v>
      </c>
      <c r="AA282" s="51">
        <v>0.83278277700000003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1564</v>
      </c>
      <c r="Q283" s="23">
        <f>DATE(YEAR(OneWeekMtgRatesDataTable75[[#This Row],[asOf]]),MONTH(OneWeekMtgRatesDataTable75[[#This Row],[asOf]]),DAY(OneWeekMtgRatesDataTable75[[#This Row],[asOf]]))</f>
        <v>42171</v>
      </c>
      <c r="R283" s="19">
        <v>4</v>
      </c>
      <c r="S283" s="19">
        <v>0.7</v>
      </c>
      <c r="T283" s="19">
        <v>3.9249999999999998</v>
      </c>
      <c r="V283" s="48" t="s">
        <v>1560</v>
      </c>
      <c r="W283" s="48" t="s">
        <v>1832</v>
      </c>
      <c r="X283" s="51">
        <v>3.0761568887156101</v>
      </c>
      <c r="Z283" s="48" t="s">
        <v>1566</v>
      </c>
      <c r="AA283" s="51">
        <v>0.83278277700000003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1565</v>
      </c>
      <c r="Q284" s="23">
        <f>DATE(YEAR(OneWeekMtgRatesDataTable75[[#This Row],[asOf]]),MONTH(OneWeekMtgRatesDataTable75[[#This Row],[asOf]]),DAY(OneWeekMtgRatesDataTable75[[#This Row],[asOf]]))</f>
        <v>42170</v>
      </c>
      <c r="R284" s="19">
        <v>4</v>
      </c>
      <c r="S284" s="19">
        <v>0.7</v>
      </c>
      <c r="T284" s="19">
        <v>3.9249999999999998</v>
      </c>
      <c r="V284" s="48" t="s">
        <v>1561</v>
      </c>
      <c r="W284" s="48" t="s">
        <v>1832</v>
      </c>
      <c r="X284" s="51">
        <v>2.9822174038917302</v>
      </c>
      <c r="Z284" s="48" t="s">
        <v>1567</v>
      </c>
      <c r="AA284" s="51">
        <v>0.83278277700000003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1566</v>
      </c>
      <c r="Q285" s="23">
        <f>DATE(YEAR(OneWeekMtgRatesDataTable75[[#This Row],[asOf]]),MONTH(OneWeekMtgRatesDataTable75[[#This Row],[asOf]]),DAY(OneWeekMtgRatesDataTable75[[#This Row],[asOf]]))</f>
        <v>42167</v>
      </c>
      <c r="R285" s="19">
        <v>4</v>
      </c>
      <c r="S285" s="19">
        <v>0.7</v>
      </c>
      <c r="T285" s="19">
        <v>3.9249999999999998</v>
      </c>
      <c r="V285" s="48" t="s">
        <v>1562</v>
      </c>
      <c r="W285" s="48" t="s">
        <v>1832</v>
      </c>
      <c r="X285" s="51">
        <v>3.0468019127231698</v>
      </c>
      <c r="Z285" s="48" t="s">
        <v>1568</v>
      </c>
      <c r="AA285" s="51">
        <v>0.83278277700000003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1567</v>
      </c>
      <c r="Q286" s="23">
        <f>DATE(YEAR(OneWeekMtgRatesDataTable75[[#This Row],[asOf]]),MONTH(OneWeekMtgRatesDataTable75[[#This Row],[asOf]]),DAY(OneWeekMtgRatesDataTable75[[#This Row],[asOf]]))</f>
        <v>42166</v>
      </c>
      <c r="R286" s="19">
        <v>4</v>
      </c>
      <c r="S286" s="19">
        <v>0.7</v>
      </c>
      <c r="T286" s="19">
        <v>3.9249999999999998</v>
      </c>
      <c r="V286" s="48" t="s">
        <v>1563</v>
      </c>
      <c r="W286" s="48" t="s">
        <v>1832</v>
      </c>
      <c r="X286" s="51">
        <v>3.03216152423493</v>
      </c>
      <c r="Z286" s="48" t="s">
        <v>1569</v>
      </c>
      <c r="AA286" s="51">
        <v>0.85462320199999997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1568</v>
      </c>
      <c r="Q287" s="23">
        <f>DATE(YEAR(OneWeekMtgRatesDataTable75[[#This Row],[asOf]]),MONTH(OneWeekMtgRatesDataTable75[[#This Row],[asOf]]),DAY(OneWeekMtgRatesDataTable75[[#This Row],[asOf]]))</f>
        <v>42165</v>
      </c>
      <c r="R287" s="19">
        <v>4.04</v>
      </c>
      <c r="S287" s="19">
        <v>0.6</v>
      </c>
      <c r="T287" s="19">
        <v>3.94</v>
      </c>
      <c r="V287" s="48" t="s">
        <v>1564</v>
      </c>
      <c r="W287" s="48" t="s">
        <v>1832</v>
      </c>
      <c r="X287" s="51">
        <v>3.0537402902567599</v>
      </c>
      <c r="Z287" s="48" t="s">
        <v>1570</v>
      </c>
      <c r="AA287" s="51">
        <v>0.85462320199999997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1569</v>
      </c>
      <c r="Q288" s="23">
        <f>DATE(YEAR(OneWeekMtgRatesDataTable75[[#This Row],[asOf]]),MONTH(OneWeekMtgRatesDataTable75[[#This Row],[asOf]]),DAY(OneWeekMtgRatesDataTable75[[#This Row],[asOf]]))</f>
        <v>42164</v>
      </c>
      <c r="R288" s="19">
        <v>4.04</v>
      </c>
      <c r="S288" s="19">
        <v>0.6</v>
      </c>
      <c r="T288" s="19">
        <v>3.94</v>
      </c>
      <c r="V288" s="48" t="s">
        <v>1565</v>
      </c>
      <c r="W288" s="48" t="s">
        <v>1832</v>
      </c>
      <c r="X288" s="51">
        <v>3.0848485059502999</v>
      </c>
      <c r="Z288" s="48" t="s">
        <v>1571</v>
      </c>
      <c r="AA288" s="51">
        <v>0.85462320199999997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1570</v>
      </c>
      <c r="Q289" s="23">
        <f>DATE(YEAR(OneWeekMtgRatesDataTable75[[#This Row],[asOf]]),MONTH(OneWeekMtgRatesDataTable75[[#This Row],[asOf]]),DAY(OneWeekMtgRatesDataTable75[[#This Row],[asOf]]))</f>
        <v>42163</v>
      </c>
      <c r="R289" s="19">
        <v>4.04</v>
      </c>
      <c r="S289" s="19">
        <v>0.6</v>
      </c>
      <c r="T289" s="19">
        <v>3.94</v>
      </c>
      <c r="V289" s="48" t="s">
        <v>1566</v>
      </c>
      <c r="W289" s="48" t="s">
        <v>1832</v>
      </c>
      <c r="X289" s="51">
        <v>3.0919401279735599</v>
      </c>
      <c r="Z289" s="48" t="s">
        <v>1572</v>
      </c>
      <c r="AA289" s="51">
        <v>0.85462320199999997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1571</v>
      </c>
      <c r="Q290" s="23">
        <f>DATE(YEAR(OneWeekMtgRatesDataTable75[[#This Row],[asOf]]),MONTH(OneWeekMtgRatesDataTable75[[#This Row],[asOf]]),DAY(OneWeekMtgRatesDataTable75[[#This Row],[asOf]]))</f>
        <v>42160</v>
      </c>
      <c r="R290" s="19">
        <v>4.04</v>
      </c>
      <c r="S290" s="19">
        <v>0.6</v>
      </c>
      <c r="T290" s="19">
        <v>3.94</v>
      </c>
      <c r="V290" s="48" t="s">
        <v>1567</v>
      </c>
      <c r="W290" s="48" t="s">
        <v>1832</v>
      </c>
      <c r="X290" s="51">
        <v>3.0761153132050598</v>
      </c>
      <c r="Z290" s="48" t="s">
        <v>1573</v>
      </c>
      <c r="AA290" s="51">
        <v>0.85462320199999997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1572</v>
      </c>
      <c r="Q291" s="23">
        <f>DATE(YEAR(OneWeekMtgRatesDataTable75[[#This Row],[asOf]]),MONTH(OneWeekMtgRatesDataTable75[[#This Row],[asOf]]),DAY(OneWeekMtgRatesDataTable75[[#This Row],[asOf]]))</f>
        <v>42159</v>
      </c>
      <c r="R291" s="19">
        <v>4.04</v>
      </c>
      <c r="S291" s="19">
        <v>0.6</v>
      </c>
      <c r="T291" s="19">
        <v>3.94</v>
      </c>
      <c r="V291" s="48" t="s">
        <v>1568</v>
      </c>
      <c r="W291" s="48" t="s">
        <v>1832</v>
      </c>
      <c r="X291" s="51">
        <v>3.1773446759928401</v>
      </c>
      <c r="Z291" s="48" t="s">
        <v>1574</v>
      </c>
      <c r="AA291" s="51">
        <v>0.90809149199999994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1573</v>
      </c>
      <c r="Q292" s="23">
        <f>DATE(YEAR(OneWeekMtgRatesDataTable75[[#This Row],[asOf]]),MONTH(OneWeekMtgRatesDataTable75[[#This Row],[asOf]]),DAY(OneWeekMtgRatesDataTable75[[#This Row],[asOf]]))</f>
        <v>42158</v>
      </c>
      <c r="R292" s="19">
        <v>3.87</v>
      </c>
      <c r="S292" s="19">
        <v>0.6</v>
      </c>
      <c r="T292" s="19">
        <v>3.77</v>
      </c>
      <c r="V292" s="48" t="s">
        <v>1569</v>
      </c>
      <c r="W292" s="48" t="s">
        <v>1832</v>
      </c>
      <c r="X292" s="51">
        <v>3.1292995796246399</v>
      </c>
      <c r="Z292" s="48" t="s">
        <v>1526</v>
      </c>
      <c r="AA292" s="51">
        <v>0.90809149199999994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1574</v>
      </c>
      <c r="Q293" s="23">
        <f>DATE(YEAR(OneWeekMtgRatesDataTable75[[#This Row],[asOf]]),MONTH(OneWeekMtgRatesDataTable75[[#This Row],[asOf]]),DAY(OneWeekMtgRatesDataTable75[[#This Row],[asOf]]))</f>
        <v>42157</v>
      </c>
      <c r="R293" s="19">
        <v>3.87</v>
      </c>
      <c r="S293" s="19">
        <v>0.6</v>
      </c>
      <c r="T293" s="19">
        <v>3.77</v>
      </c>
      <c r="V293" s="48" t="s">
        <v>1570</v>
      </c>
      <c r="W293" s="48" t="s">
        <v>1832</v>
      </c>
      <c r="X293" s="51">
        <v>3.0852280715370801</v>
      </c>
      <c r="Z293" s="48" t="s">
        <v>1527</v>
      </c>
      <c r="AA293" s="51">
        <v>0.90809149199999994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1526</v>
      </c>
      <c r="Q294" s="23">
        <f>DATE(YEAR(OneWeekMtgRatesDataTable75[[#This Row],[asOf]]),MONTH(OneWeekMtgRatesDataTable75[[#This Row],[asOf]]),DAY(OneWeekMtgRatesDataTable75[[#This Row],[asOf]]))</f>
        <v>42156</v>
      </c>
      <c r="R294" s="19">
        <v>3.87</v>
      </c>
      <c r="S294" s="19">
        <v>0.6</v>
      </c>
      <c r="T294" s="19">
        <v>3.77</v>
      </c>
      <c r="V294" s="48" t="s">
        <v>1571</v>
      </c>
      <c r="W294" s="48" t="s">
        <v>1832</v>
      </c>
      <c r="X294" s="51">
        <v>3.1185389251118698</v>
      </c>
      <c r="Z294" s="48" t="s">
        <v>1528</v>
      </c>
      <c r="AA294" s="51">
        <v>0.90809149199999994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1527</v>
      </c>
      <c r="Q295" s="23">
        <f>DATE(YEAR(OneWeekMtgRatesDataTable75[[#This Row],[asOf]]),MONTH(OneWeekMtgRatesDataTable75[[#This Row],[asOf]]),DAY(OneWeekMtgRatesDataTable75[[#This Row],[asOf]]))</f>
        <v>42153</v>
      </c>
      <c r="R295" s="19">
        <v>3.87</v>
      </c>
      <c r="S295" s="19">
        <v>0.6</v>
      </c>
      <c r="T295" s="19">
        <v>3.77</v>
      </c>
      <c r="V295" s="48" t="s">
        <v>1572</v>
      </c>
      <c r="W295" s="48" t="s">
        <v>1832</v>
      </c>
      <c r="X295" s="51">
        <v>3.0256748636149999</v>
      </c>
      <c r="Z295" s="48" t="s">
        <v>1529</v>
      </c>
      <c r="AA295" s="51">
        <v>0.90809149199999994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1528</v>
      </c>
      <c r="Q296" s="23">
        <f>DATE(YEAR(OneWeekMtgRatesDataTable75[[#This Row],[asOf]]),MONTH(OneWeekMtgRatesDataTable75[[#This Row],[asOf]]),DAY(OneWeekMtgRatesDataTable75[[#This Row],[asOf]]))</f>
        <v>42152</v>
      </c>
      <c r="R296" s="19">
        <v>3.87</v>
      </c>
      <c r="S296" s="19">
        <v>0.6</v>
      </c>
      <c r="T296" s="19">
        <v>3.77</v>
      </c>
      <c r="V296" s="48" t="s">
        <v>1573</v>
      </c>
      <c r="W296" s="48" t="s">
        <v>1832</v>
      </c>
      <c r="X296" s="51">
        <v>3.0744144315737501</v>
      </c>
      <c r="Z296" s="48" t="s">
        <v>1530</v>
      </c>
      <c r="AA296" s="51">
        <v>0.87408042799999996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1529</v>
      </c>
      <c r="Q297" s="23">
        <f>DATE(YEAR(OneWeekMtgRatesDataTable75[[#This Row],[asOf]]),MONTH(OneWeekMtgRatesDataTable75[[#This Row],[asOf]]),DAY(OneWeekMtgRatesDataTable75[[#This Row],[asOf]]))</f>
        <v>42151</v>
      </c>
      <c r="R297" s="19">
        <v>3.87</v>
      </c>
      <c r="S297" s="19">
        <v>0.6</v>
      </c>
      <c r="T297" s="19">
        <v>3.77</v>
      </c>
      <c r="V297" s="48" t="s">
        <v>1574</v>
      </c>
      <c r="W297" s="48" t="s">
        <v>1832</v>
      </c>
      <c r="X297" s="51">
        <v>2.96123512742628</v>
      </c>
      <c r="Z297" s="48" t="s">
        <v>1531</v>
      </c>
      <c r="AA297" s="51">
        <v>0.87408042799999996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1530</v>
      </c>
      <c r="Q298" s="23">
        <f>DATE(YEAR(OneWeekMtgRatesDataTable75[[#This Row],[asOf]]),MONTH(OneWeekMtgRatesDataTable75[[#This Row],[asOf]]),DAY(OneWeekMtgRatesDataTable75[[#This Row],[asOf]]))</f>
        <v>42150</v>
      </c>
      <c r="R298" s="19">
        <v>3.87</v>
      </c>
      <c r="S298" s="19">
        <v>0.6</v>
      </c>
      <c r="T298" s="19">
        <v>3.77</v>
      </c>
      <c r="V298" s="48" t="s">
        <v>1526</v>
      </c>
      <c r="W298" s="48" t="s">
        <v>1832</v>
      </c>
      <c r="X298" s="51">
        <v>2.8873082715202201</v>
      </c>
      <c r="Z298" s="48" t="s">
        <v>1532</v>
      </c>
      <c r="AA298" s="51">
        <v>0.87408042799999996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1531</v>
      </c>
      <c r="Q299" s="23">
        <f>DATE(YEAR(OneWeekMtgRatesDataTable75[[#This Row],[asOf]]),MONTH(OneWeekMtgRatesDataTable75[[#This Row],[asOf]]),DAY(OneWeekMtgRatesDataTable75[[#This Row],[asOf]]))</f>
        <v>42146</v>
      </c>
      <c r="R299" s="19">
        <v>3.87</v>
      </c>
      <c r="S299" s="19">
        <v>0.6</v>
      </c>
      <c r="T299" s="19">
        <v>3.77</v>
      </c>
      <c r="V299" s="48" t="s">
        <v>1527</v>
      </c>
      <c r="W299" s="48" t="s">
        <v>1832</v>
      </c>
      <c r="X299" s="51">
        <v>2.8125589424365498</v>
      </c>
      <c r="Z299" s="48" t="s">
        <v>1533</v>
      </c>
      <c r="AA299" s="51">
        <v>0.87408042799999996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1532</v>
      </c>
      <c r="Q300" s="23">
        <f>DATE(YEAR(OneWeekMtgRatesDataTable75[[#This Row],[asOf]]),MONTH(OneWeekMtgRatesDataTable75[[#This Row],[asOf]]),DAY(OneWeekMtgRatesDataTable75[[#This Row],[asOf]]))</f>
        <v>42145</v>
      </c>
      <c r="R300" s="19">
        <v>3.87</v>
      </c>
      <c r="S300" s="19">
        <v>0.6</v>
      </c>
      <c r="T300" s="19">
        <v>3.77</v>
      </c>
      <c r="V300" s="48" t="s">
        <v>1528</v>
      </c>
      <c r="W300" s="48" t="s">
        <v>1832</v>
      </c>
      <c r="X300" s="51">
        <v>2.8413672152174398</v>
      </c>
      <c r="Z300" s="48" t="s">
        <v>1534</v>
      </c>
      <c r="AA300" s="51">
        <v>0.85264674799999995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1533</v>
      </c>
      <c r="Q301" s="23">
        <f>DATE(YEAR(OneWeekMtgRatesDataTable75[[#This Row],[asOf]]),MONTH(OneWeekMtgRatesDataTable75[[#This Row],[asOf]]),DAY(OneWeekMtgRatesDataTable75[[#This Row],[asOf]]))</f>
        <v>42144</v>
      </c>
      <c r="R301" s="19">
        <v>3.84</v>
      </c>
      <c r="S301" s="19">
        <v>0.7</v>
      </c>
      <c r="T301" s="19">
        <v>3.7649999999999997</v>
      </c>
      <c r="V301" s="48" t="s">
        <v>1529</v>
      </c>
      <c r="W301" s="48" t="s">
        <v>1832</v>
      </c>
      <c r="X301" s="51">
        <v>2.8460665334928898</v>
      </c>
      <c r="Z301" s="48" t="s">
        <v>1535</v>
      </c>
      <c r="AA301" s="51">
        <v>0.85264674799999995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1534</v>
      </c>
      <c r="Q302" s="23">
        <f>DATE(YEAR(OneWeekMtgRatesDataTable75[[#This Row],[asOf]]),MONTH(OneWeekMtgRatesDataTable75[[#This Row],[asOf]]),DAY(OneWeekMtgRatesDataTable75[[#This Row],[asOf]]))</f>
        <v>42143</v>
      </c>
      <c r="R302" s="19">
        <v>3.84</v>
      </c>
      <c r="S302" s="19">
        <v>0.7</v>
      </c>
      <c r="T302" s="19">
        <v>3.7649999999999997</v>
      </c>
      <c r="V302" s="48" t="s">
        <v>1530</v>
      </c>
      <c r="W302" s="48" t="s">
        <v>1832</v>
      </c>
      <c r="X302" s="51">
        <v>2.8500704386135798</v>
      </c>
      <c r="Z302" s="48" t="s">
        <v>1536</v>
      </c>
      <c r="AA302" s="51">
        <v>0.85264674799999995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1535</v>
      </c>
      <c r="Q303" s="23">
        <f>DATE(YEAR(OneWeekMtgRatesDataTable75[[#This Row],[asOf]]),MONTH(OneWeekMtgRatesDataTable75[[#This Row],[asOf]]),DAY(OneWeekMtgRatesDataTable75[[#This Row],[asOf]]))</f>
        <v>42142</v>
      </c>
      <c r="R303" s="19">
        <v>3.84</v>
      </c>
      <c r="S303" s="19">
        <v>0.7</v>
      </c>
      <c r="T303" s="19">
        <v>3.7649999999999997</v>
      </c>
      <c r="V303" s="48" t="s">
        <v>1531</v>
      </c>
      <c r="W303" s="48" t="s">
        <v>1832</v>
      </c>
      <c r="X303" s="51">
        <v>2.8915210158303699</v>
      </c>
      <c r="Z303" s="48" t="s">
        <v>1537</v>
      </c>
      <c r="AA303" s="51">
        <v>0.85264674799999995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1536</v>
      </c>
      <c r="Q304" s="23">
        <f>DATE(YEAR(OneWeekMtgRatesDataTable75[[#This Row],[asOf]]),MONTH(OneWeekMtgRatesDataTable75[[#This Row],[asOf]]),DAY(OneWeekMtgRatesDataTable75[[#This Row],[asOf]]))</f>
        <v>42139</v>
      </c>
      <c r="R304" s="19">
        <v>3.84</v>
      </c>
      <c r="S304" s="19">
        <v>0.7</v>
      </c>
      <c r="T304" s="19">
        <v>3.7649999999999997</v>
      </c>
      <c r="V304" s="48" t="s">
        <v>1532</v>
      </c>
      <c r="W304" s="48" t="s">
        <v>1832</v>
      </c>
      <c r="X304" s="51">
        <v>2.8599760435846102</v>
      </c>
      <c r="Z304" s="48" t="s">
        <v>1538</v>
      </c>
      <c r="AA304" s="51">
        <v>0.85264674799999995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1537</v>
      </c>
      <c r="Q305" s="23">
        <f>DATE(YEAR(OneWeekMtgRatesDataTable75[[#This Row],[asOf]]),MONTH(OneWeekMtgRatesDataTable75[[#This Row],[asOf]]),DAY(OneWeekMtgRatesDataTable75[[#This Row],[asOf]]))</f>
        <v>42138</v>
      </c>
      <c r="R305" s="19">
        <v>3.84</v>
      </c>
      <c r="S305" s="19">
        <v>0.7</v>
      </c>
      <c r="T305" s="19">
        <v>3.7649999999999997</v>
      </c>
      <c r="V305" s="48" t="s">
        <v>1533</v>
      </c>
      <c r="W305" s="48" t="s">
        <v>1832</v>
      </c>
      <c r="X305" s="51">
        <v>2.9102623265110599</v>
      </c>
      <c r="Z305" s="48" t="s">
        <v>1539</v>
      </c>
      <c r="AA305" s="51">
        <v>0.86178913800000001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1538</v>
      </c>
      <c r="Q306" s="23">
        <f>DATE(YEAR(OneWeekMtgRatesDataTable75[[#This Row],[asOf]]),MONTH(OneWeekMtgRatesDataTable75[[#This Row],[asOf]]),DAY(OneWeekMtgRatesDataTable75[[#This Row],[asOf]]))</f>
        <v>42137</v>
      </c>
      <c r="R306" s="19">
        <v>3.85</v>
      </c>
      <c r="S306" s="19">
        <v>0.6</v>
      </c>
      <c r="T306" s="19">
        <v>3.75</v>
      </c>
      <c r="V306" s="48" t="s">
        <v>1534</v>
      </c>
      <c r="W306" s="48" t="s">
        <v>1832</v>
      </c>
      <c r="X306" s="51">
        <v>2.9214483553786899</v>
      </c>
      <c r="Z306" s="48" t="s">
        <v>1540</v>
      </c>
      <c r="AA306" s="51">
        <v>0.86178913800000001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1539</v>
      </c>
      <c r="Q307" s="23">
        <f>DATE(YEAR(OneWeekMtgRatesDataTable75[[#This Row],[asOf]]),MONTH(OneWeekMtgRatesDataTable75[[#This Row],[asOf]]),DAY(OneWeekMtgRatesDataTable75[[#This Row],[asOf]]))</f>
        <v>42136</v>
      </c>
      <c r="R307" s="19">
        <v>3.85</v>
      </c>
      <c r="S307" s="19">
        <v>0.6</v>
      </c>
      <c r="T307" s="19">
        <v>3.75</v>
      </c>
      <c r="V307" s="48" t="s">
        <v>1535</v>
      </c>
      <c r="W307" s="48" t="s">
        <v>1832</v>
      </c>
      <c r="X307" s="51">
        <v>2.8896799307946499</v>
      </c>
      <c r="Z307" s="48" t="s">
        <v>1525</v>
      </c>
      <c r="AA307" s="51">
        <v>0.86178913800000001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1540</v>
      </c>
      <c r="Q308" s="23">
        <f>DATE(YEAR(OneWeekMtgRatesDataTable75[[#This Row],[asOf]]),MONTH(OneWeekMtgRatesDataTable75[[#This Row],[asOf]]),DAY(OneWeekMtgRatesDataTable75[[#This Row],[asOf]]))</f>
        <v>42135</v>
      </c>
      <c r="R308" s="19">
        <v>3.85</v>
      </c>
      <c r="S308" s="19">
        <v>0.6</v>
      </c>
      <c r="T308" s="19">
        <v>3.75</v>
      </c>
      <c r="V308" s="48" t="s">
        <v>1536</v>
      </c>
      <c r="W308" s="48" t="s">
        <v>1832</v>
      </c>
      <c r="X308" s="51">
        <v>2.82631669904023</v>
      </c>
      <c r="Z308" s="48" t="s">
        <v>23</v>
      </c>
      <c r="AA308" s="51">
        <v>0.86178913800000001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1525</v>
      </c>
      <c r="Q309" s="23">
        <f>DATE(YEAR(OneWeekMtgRatesDataTable75[[#This Row],[asOf]]),MONTH(OneWeekMtgRatesDataTable75[[#This Row],[asOf]]),DAY(OneWeekMtgRatesDataTable75[[#This Row],[asOf]]))</f>
        <v>42132</v>
      </c>
      <c r="R309" s="19">
        <v>3.85</v>
      </c>
      <c r="S309" s="19">
        <v>0.6</v>
      </c>
      <c r="T309" s="19">
        <v>3.75</v>
      </c>
      <c r="V309" s="48" t="s">
        <v>1537</v>
      </c>
      <c r="W309" s="48" t="s">
        <v>1832</v>
      </c>
      <c r="X309" s="51">
        <v>2.9068905487933598</v>
      </c>
      <c r="Z309" s="48" t="s">
        <v>1524</v>
      </c>
      <c r="AA309" s="51">
        <v>0.86178913800000001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23</v>
      </c>
      <c r="Q310" s="23">
        <f>DATE(YEAR(OneWeekMtgRatesDataTable75[[#This Row],[asOf]]),MONTH(OneWeekMtgRatesDataTable75[[#This Row],[asOf]]),DAY(OneWeekMtgRatesDataTable75[[#This Row],[asOf]]))</f>
        <v>42131</v>
      </c>
      <c r="R310" s="19">
        <v>3.85</v>
      </c>
      <c r="S310" s="19">
        <v>0.6</v>
      </c>
      <c r="T310" s="19">
        <v>3.75</v>
      </c>
      <c r="V310" s="48" t="s">
        <v>1538</v>
      </c>
      <c r="W310" s="48" t="s">
        <v>1832</v>
      </c>
      <c r="X310" s="51">
        <v>2.9586092652733198</v>
      </c>
      <c r="Z310" s="48" t="s">
        <v>1523</v>
      </c>
      <c r="AA310" s="51">
        <v>0.90490640499999997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1524</v>
      </c>
      <c r="Q311" s="23">
        <f>DATE(YEAR(OneWeekMtgRatesDataTable75[[#This Row],[asOf]]),MONTH(OneWeekMtgRatesDataTable75[[#This Row],[asOf]]),DAY(OneWeekMtgRatesDataTable75[[#This Row],[asOf]]))</f>
        <v>42130</v>
      </c>
      <c r="R311" s="19">
        <v>3.8</v>
      </c>
      <c r="S311" s="19">
        <v>0.6</v>
      </c>
      <c r="T311" s="19">
        <v>3.6999999999999997</v>
      </c>
      <c r="V311" s="48" t="s">
        <v>1539</v>
      </c>
      <c r="W311" s="48" t="s">
        <v>1832</v>
      </c>
      <c r="X311" s="51">
        <v>2.9362897451124002</v>
      </c>
      <c r="Z311" s="48" t="s">
        <v>1522</v>
      </c>
      <c r="AA311" s="51">
        <v>0.90490640499999997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1523</v>
      </c>
      <c r="Q312" s="23">
        <f>DATE(YEAR(OneWeekMtgRatesDataTable75[[#This Row],[asOf]]),MONTH(OneWeekMtgRatesDataTable75[[#This Row],[asOf]]),DAY(OneWeekMtgRatesDataTable75[[#This Row],[asOf]]))</f>
        <v>42129</v>
      </c>
      <c r="R312" s="19">
        <v>3.8</v>
      </c>
      <c r="S312" s="19">
        <v>0.6</v>
      </c>
      <c r="T312" s="19">
        <v>3.6999999999999997</v>
      </c>
      <c r="V312" s="48" t="s">
        <v>1540</v>
      </c>
      <c r="W312" s="48" t="s">
        <v>1832</v>
      </c>
      <c r="X312" s="51">
        <v>2.9199815904284798</v>
      </c>
      <c r="Z312" s="48" t="s">
        <v>1521</v>
      </c>
      <c r="AA312" s="51">
        <v>0.90490640499999997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1522</v>
      </c>
      <c r="Q313" s="23">
        <f>DATE(YEAR(OneWeekMtgRatesDataTable75[[#This Row],[asOf]]),MONTH(OneWeekMtgRatesDataTable75[[#This Row],[asOf]]),DAY(OneWeekMtgRatesDataTable75[[#This Row],[asOf]]))</f>
        <v>42128</v>
      </c>
      <c r="R313" s="19">
        <v>3.8</v>
      </c>
      <c r="S313" s="19">
        <v>0.6</v>
      </c>
      <c r="T313" s="19">
        <v>3.6999999999999997</v>
      </c>
      <c r="V313" s="48" t="s">
        <v>1525</v>
      </c>
      <c r="W313" s="48" t="s">
        <v>1832</v>
      </c>
      <c r="X313" s="51">
        <v>2.8101076932532698</v>
      </c>
      <c r="Z313" s="48" t="s">
        <v>1520</v>
      </c>
      <c r="AA313" s="51">
        <v>0.90490640499999997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1521</v>
      </c>
      <c r="Q314" s="23">
        <f>DATE(YEAR(OneWeekMtgRatesDataTable75[[#This Row],[asOf]]),MONTH(OneWeekMtgRatesDataTable75[[#This Row],[asOf]]),DAY(OneWeekMtgRatesDataTable75[[#This Row],[asOf]]))</f>
        <v>42125</v>
      </c>
      <c r="R314" s="19">
        <v>3.8</v>
      </c>
      <c r="S314" s="19">
        <v>0.6</v>
      </c>
      <c r="T314" s="19">
        <v>3.6999999999999997</v>
      </c>
      <c r="V314" s="48" t="s">
        <v>23</v>
      </c>
      <c r="W314" s="48" t="s">
        <v>1832</v>
      </c>
      <c r="X314" s="51">
        <v>2.86177796804412</v>
      </c>
      <c r="Z314" s="48" t="s">
        <v>1519</v>
      </c>
      <c r="AA314" s="51">
        <v>0.90490640499999997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1520</v>
      </c>
      <c r="Q315" s="23">
        <f>DATE(YEAR(OneWeekMtgRatesDataTable75[[#This Row],[asOf]]),MONTH(OneWeekMtgRatesDataTable75[[#This Row],[asOf]]),DAY(OneWeekMtgRatesDataTable75[[#This Row],[asOf]]))</f>
        <v>42124</v>
      </c>
      <c r="R315" s="19">
        <v>3.8</v>
      </c>
      <c r="S315" s="19">
        <v>0.6</v>
      </c>
      <c r="T315" s="19">
        <v>3.6999999999999997</v>
      </c>
      <c r="V315" s="48" t="s">
        <v>1524</v>
      </c>
      <c r="W315" s="48" t="s">
        <v>1832</v>
      </c>
      <c r="X315" s="51">
        <v>2.91930519695658</v>
      </c>
      <c r="Z315" s="48" t="s">
        <v>1518</v>
      </c>
      <c r="AA315" s="51">
        <v>0.94210798500000004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1519</v>
      </c>
      <c r="Q316" s="23">
        <f>DATE(YEAR(OneWeekMtgRatesDataTable75[[#This Row],[asOf]]),MONTH(OneWeekMtgRatesDataTable75[[#This Row],[asOf]]),DAY(OneWeekMtgRatesDataTable75[[#This Row],[asOf]]))</f>
        <v>42123</v>
      </c>
      <c r="R316" s="19">
        <v>3.68</v>
      </c>
      <c r="S316" s="19">
        <v>0.6</v>
      </c>
      <c r="T316" s="19">
        <v>3.58</v>
      </c>
      <c r="V316" s="48" t="s">
        <v>1523</v>
      </c>
      <c r="W316" s="48" t="s">
        <v>1832</v>
      </c>
      <c r="X316" s="51">
        <v>2.8756484754346898</v>
      </c>
      <c r="Z316" s="48" t="s">
        <v>1517</v>
      </c>
      <c r="AA316" s="51">
        <v>0.94210798500000004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1518</v>
      </c>
      <c r="Q317" s="23">
        <f>DATE(YEAR(OneWeekMtgRatesDataTable75[[#This Row],[asOf]]),MONTH(OneWeekMtgRatesDataTable75[[#This Row],[asOf]]),DAY(OneWeekMtgRatesDataTable75[[#This Row],[asOf]]))</f>
        <v>42122</v>
      </c>
      <c r="R317" s="19">
        <v>3.68</v>
      </c>
      <c r="S317" s="19">
        <v>0.6</v>
      </c>
      <c r="T317" s="19">
        <v>3.58</v>
      </c>
      <c r="V317" s="48" t="s">
        <v>1522</v>
      </c>
      <c r="W317" s="48" t="s">
        <v>1832</v>
      </c>
      <c r="X317" s="51">
        <v>2.8416760056146502</v>
      </c>
      <c r="Z317" s="48" t="s">
        <v>1516</v>
      </c>
      <c r="AA317" s="51">
        <v>0.94210798500000004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1517</v>
      </c>
      <c r="Q318" s="23">
        <f>DATE(YEAR(OneWeekMtgRatesDataTable75[[#This Row],[asOf]]),MONTH(OneWeekMtgRatesDataTable75[[#This Row],[asOf]]),DAY(OneWeekMtgRatesDataTable75[[#This Row],[asOf]]))</f>
        <v>42121</v>
      </c>
      <c r="R318" s="19">
        <v>3.68</v>
      </c>
      <c r="S318" s="19">
        <v>0.6</v>
      </c>
      <c r="T318" s="19">
        <v>3.58</v>
      </c>
      <c r="V318" s="48" t="s">
        <v>1521</v>
      </c>
      <c r="W318" s="48" t="s">
        <v>1832</v>
      </c>
      <c r="X318" s="51">
        <v>2.8064099070641602</v>
      </c>
      <c r="Z318" s="48" t="s">
        <v>1515</v>
      </c>
      <c r="AA318" s="51">
        <v>0.94210798500000004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1516</v>
      </c>
      <c r="Q319" s="23">
        <f>DATE(YEAR(OneWeekMtgRatesDataTable75[[#This Row],[asOf]]),MONTH(OneWeekMtgRatesDataTable75[[#This Row],[asOf]]),DAY(OneWeekMtgRatesDataTable75[[#This Row],[asOf]]))</f>
        <v>42118</v>
      </c>
      <c r="R319" s="19">
        <v>3.68</v>
      </c>
      <c r="S319" s="19">
        <v>0.6</v>
      </c>
      <c r="T319" s="19">
        <v>3.58</v>
      </c>
      <c r="V319" s="48" t="s">
        <v>1520</v>
      </c>
      <c r="W319" s="48" t="s">
        <v>1832</v>
      </c>
      <c r="X319" s="51">
        <v>2.7480147229669498</v>
      </c>
      <c r="Z319" s="48" t="s">
        <v>1514</v>
      </c>
      <c r="AA319" s="51">
        <v>0.94210798500000004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1515</v>
      </c>
      <c r="Q320" s="23">
        <f>DATE(YEAR(OneWeekMtgRatesDataTable75[[#This Row],[asOf]]),MONTH(OneWeekMtgRatesDataTable75[[#This Row],[asOf]]),DAY(OneWeekMtgRatesDataTable75[[#This Row],[asOf]]))</f>
        <v>42117</v>
      </c>
      <c r="R320" s="19">
        <v>3.68</v>
      </c>
      <c r="S320" s="19">
        <v>0.6</v>
      </c>
      <c r="T320" s="19">
        <v>3.58</v>
      </c>
      <c r="V320" s="48" t="s">
        <v>1519</v>
      </c>
      <c r="W320" s="48" t="s">
        <v>1832</v>
      </c>
      <c r="X320" s="51">
        <v>2.7467458715573199</v>
      </c>
      <c r="Z320" s="48" t="s">
        <v>1513</v>
      </c>
      <c r="AA320" s="51">
        <v>0.96741087100000001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1514</v>
      </c>
      <c r="Q321" s="23">
        <f>DATE(YEAR(OneWeekMtgRatesDataTable75[[#This Row],[asOf]]),MONTH(OneWeekMtgRatesDataTable75[[#This Row],[asOf]]),DAY(OneWeekMtgRatesDataTable75[[#This Row],[asOf]]))</f>
        <v>42116</v>
      </c>
      <c r="R321" s="19">
        <v>3.65</v>
      </c>
      <c r="S321" s="19">
        <v>0.6</v>
      </c>
      <c r="T321" s="19">
        <v>3.55</v>
      </c>
      <c r="V321" s="48" t="s">
        <v>1518</v>
      </c>
      <c r="W321" s="48" t="s">
        <v>1832</v>
      </c>
      <c r="X321" s="51">
        <v>2.6991414546305501</v>
      </c>
      <c r="Z321" s="48" t="s">
        <v>1512</v>
      </c>
      <c r="AA321" s="51">
        <v>0.96741087100000001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1513</v>
      </c>
      <c r="Q322" s="23">
        <f>DATE(YEAR(OneWeekMtgRatesDataTable75[[#This Row],[asOf]]),MONTH(OneWeekMtgRatesDataTable75[[#This Row],[asOf]]),DAY(OneWeekMtgRatesDataTable75[[#This Row],[asOf]]))</f>
        <v>42115</v>
      </c>
      <c r="R322" s="19">
        <v>3.65</v>
      </c>
      <c r="S322" s="19">
        <v>0.6</v>
      </c>
      <c r="T322" s="19">
        <v>3.55</v>
      </c>
      <c r="V322" s="48" t="s">
        <v>1517</v>
      </c>
      <c r="W322" s="48" t="s">
        <v>1832</v>
      </c>
      <c r="X322" s="51">
        <v>2.6437338504186898</v>
      </c>
      <c r="Z322" s="48" t="s">
        <v>1511</v>
      </c>
      <c r="AA322" s="51">
        <v>0.96741087100000001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1512</v>
      </c>
      <c r="Q323" s="23">
        <f>DATE(YEAR(OneWeekMtgRatesDataTable75[[#This Row],[asOf]]),MONTH(OneWeekMtgRatesDataTable75[[#This Row],[asOf]]),DAY(OneWeekMtgRatesDataTable75[[#This Row],[asOf]]))</f>
        <v>42114</v>
      </c>
      <c r="R323" s="19">
        <v>3.65</v>
      </c>
      <c r="S323" s="19">
        <v>0.6</v>
      </c>
      <c r="T323" s="19">
        <v>3.55</v>
      </c>
      <c r="V323" s="48" t="s">
        <v>1516</v>
      </c>
      <c r="W323" s="48" t="s">
        <v>1832</v>
      </c>
      <c r="X323" s="51">
        <v>2.62955921776924</v>
      </c>
      <c r="Z323" s="48" t="s">
        <v>1510</v>
      </c>
      <c r="AA323" s="51">
        <v>0.96741087100000001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1511</v>
      </c>
      <c r="Q324" s="23">
        <f>DATE(YEAR(OneWeekMtgRatesDataTable75[[#This Row],[asOf]]),MONTH(OneWeekMtgRatesDataTable75[[#This Row],[asOf]]),DAY(OneWeekMtgRatesDataTable75[[#This Row],[asOf]]))</f>
        <v>42111</v>
      </c>
      <c r="R324" s="19">
        <v>3.65</v>
      </c>
      <c r="S324" s="19">
        <v>0.6</v>
      </c>
      <c r="T324" s="19">
        <v>3.55</v>
      </c>
      <c r="V324" s="48" t="s">
        <v>1515</v>
      </c>
      <c r="W324" s="48" t="s">
        <v>1832</v>
      </c>
      <c r="X324" s="51">
        <v>2.6562875815293401</v>
      </c>
      <c r="Z324" s="48" t="s">
        <v>1509</v>
      </c>
      <c r="AA324" s="51">
        <v>0.96741087100000001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1510</v>
      </c>
      <c r="Q325" s="23">
        <f>DATE(YEAR(OneWeekMtgRatesDataTable75[[#This Row],[asOf]]),MONTH(OneWeekMtgRatesDataTable75[[#This Row],[asOf]]),DAY(OneWeekMtgRatesDataTable75[[#This Row],[asOf]]))</f>
        <v>42110</v>
      </c>
      <c r="R325" s="19">
        <v>3.65</v>
      </c>
      <c r="S325" s="19">
        <v>0.6</v>
      </c>
      <c r="T325" s="19">
        <v>3.55</v>
      </c>
      <c r="V325" s="48" t="s">
        <v>1514</v>
      </c>
      <c r="W325" s="48" t="s">
        <v>1832</v>
      </c>
      <c r="X325" s="51">
        <v>2.6753264137467299</v>
      </c>
      <c r="Z325" s="48" t="s">
        <v>1508</v>
      </c>
      <c r="AA325" s="51">
        <v>0.93496156699999999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1509</v>
      </c>
      <c r="Q326" s="23">
        <f>DATE(YEAR(OneWeekMtgRatesDataTable75[[#This Row],[asOf]]),MONTH(OneWeekMtgRatesDataTable75[[#This Row],[asOf]]),DAY(OneWeekMtgRatesDataTable75[[#This Row],[asOf]]))</f>
        <v>42109</v>
      </c>
      <c r="R326" s="19">
        <v>3.67</v>
      </c>
      <c r="S326" s="19">
        <v>0.7</v>
      </c>
      <c r="T326" s="19">
        <v>3.5949999999999998</v>
      </c>
      <c r="V326" s="48" t="s">
        <v>1513</v>
      </c>
      <c r="W326" s="48" t="s">
        <v>1832</v>
      </c>
      <c r="X326" s="51">
        <v>2.62252108008507</v>
      </c>
      <c r="Z326" s="48" t="s">
        <v>1507</v>
      </c>
      <c r="AA326" s="51">
        <v>0.93496156699999999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1508</v>
      </c>
      <c r="Q327" s="23">
        <f>DATE(YEAR(OneWeekMtgRatesDataTable75[[#This Row],[asOf]]),MONTH(OneWeekMtgRatesDataTable75[[#This Row],[asOf]]),DAY(OneWeekMtgRatesDataTable75[[#This Row],[asOf]]))</f>
        <v>42108</v>
      </c>
      <c r="R327" s="19">
        <v>3.67</v>
      </c>
      <c r="S327" s="19">
        <v>0.7</v>
      </c>
      <c r="T327" s="19">
        <v>3.5949999999999998</v>
      </c>
      <c r="V327" s="48" t="s">
        <v>1512</v>
      </c>
      <c r="W327" s="48" t="s">
        <v>1832</v>
      </c>
      <c r="X327" s="51">
        <v>2.59858921707026</v>
      </c>
      <c r="Z327" s="48" t="s">
        <v>1506</v>
      </c>
      <c r="AA327" s="51">
        <v>0.93496156699999999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1507</v>
      </c>
      <c r="Q328" s="23">
        <f>DATE(YEAR(OneWeekMtgRatesDataTable75[[#This Row],[asOf]]),MONTH(OneWeekMtgRatesDataTable75[[#This Row],[asOf]]),DAY(OneWeekMtgRatesDataTable75[[#This Row],[asOf]]))</f>
        <v>42107</v>
      </c>
      <c r="R328" s="19">
        <v>3.67</v>
      </c>
      <c r="S328" s="19">
        <v>0.7</v>
      </c>
      <c r="T328" s="19">
        <v>3.5949999999999998</v>
      </c>
      <c r="V328" s="48" t="s">
        <v>1511</v>
      </c>
      <c r="W328" s="48" t="s">
        <v>1832</v>
      </c>
      <c r="X328" s="51">
        <v>2.56712042045777</v>
      </c>
      <c r="Z328" s="48" t="s">
        <v>1505</v>
      </c>
      <c r="AA328" s="51">
        <v>0.93496156699999999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1506</v>
      </c>
      <c r="Q329" s="23">
        <f>DATE(YEAR(OneWeekMtgRatesDataTable75[[#This Row],[asOf]]),MONTH(OneWeekMtgRatesDataTable75[[#This Row],[asOf]]),DAY(OneWeekMtgRatesDataTable75[[#This Row],[asOf]]))</f>
        <v>42104</v>
      </c>
      <c r="R329" s="19">
        <v>3.67</v>
      </c>
      <c r="S329" s="19">
        <v>0.7</v>
      </c>
      <c r="T329" s="19">
        <v>3.5949999999999998</v>
      </c>
      <c r="V329" s="48" t="s">
        <v>1510</v>
      </c>
      <c r="W329" s="48" t="s">
        <v>1832</v>
      </c>
      <c r="X329" s="51">
        <v>2.5759029417987498</v>
      </c>
      <c r="Z329" s="48" t="s">
        <v>1504</v>
      </c>
      <c r="AA329" s="51">
        <v>0.93496156699999999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1505</v>
      </c>
      <c r="Q330" s="23">
        <f>DATE(YEAR(OneWeekMtgRatesDataTable75[[#This Row],[asOf]]),MONTH(OneWeekMtgRatesDataTable75[[#This Row],[asOf]]),DAY(OneWeekMtgRatesDataTable75[[#This Row],[asOf]]))</f>
        <v>42103</v>
      </c>
      <c r="R330" s="19">
        <v>3.67</v>
      </c>
      <c r="S330" s="19">
        <v>0.7</v>
      </c>
      <c r="T330" s="19">
        <v>3.5949999999999998</v>
      </c>
      <c r="V330" s="48" t="s">
        <v>1509</v>
      </c>
      <c r="W330" s="48" t="s">
        <v>1832</v>
      </c>
      <c r="X330" s="51">
        <v>2.58469358456979</v>
      </c>
      <c r="Z330" s="48" t="s">
        <v>1503</v>
      </c>
      <c r="AA330" s="51">
        <v>0.920719065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1504</v>
      </c>
      <c r="Q331" s="23">
        <f>DATE(YEAR(OneWeekMtgRatesDataTable75[[#This Row],[asOf]]),MONTH(OneWeekMtgRatesDataTable75[[#This Row],[asOf]]),DAY(OneWeekMtgRatesDataTable75[[#This Row],[asOf]]))</f>
        <v>42102</v>
      </c>
      <c r="R331" s="19">
        <v>3.66</v>
      </c>
      <c r="S331" s="19">
        <v>0.6</v>
      </c>
      <c r="T331" s="19">
        <v>3.56</v>
      </c>
      <c r="V331" s="48" t="s">
        <v>1508</v>
      </c>
      <c r="W331" s="48" t="s">
        <v>1832</v>
      </c>
      <c r="X331" s="51">
        <v>2.5968587672613901</v>
      </c>
      <c r="Z331" s="48" t="s">
        <v>1502</v>
      </c>
      <c r="AA331" s="51">
        <v>0.920719065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1503</v>
      </c>
      <c r="Q332" s="23">
        <f>DATE(YEAR(OneWeekMtgRatesDataTable75[[#This Row],[asOf]]),MONTH(OneWeekMtgRatesDataTable75[[#This Row],[asOf]]),DAY(OneWeekMtgRatesDataTable75[[#This Row],[asOf]]))</f>
        <v>42101</v>
      </c>
      <c r="R332" s="19">
        <v>3.66</v>
      </c>
      <c r="S332" s="19">
        <v>0.6</v>
      </c>
      <c r="T332" s="19">
        <v>3.56</v>
      </c>
      <c r="V332" s="48" t="s">
        <v>1507</v>
      </c>
      <c r="W332" s="48" t="s">
        <v>1832</v>
      </c>
      <c r="X332" s="51">
        <v>2.64134045041691</v>
      </c>
      <c r="Z332" s="48" t="s">
        <v>1501</v>
      </c>
      <c r="AA332" s="51">
        <v>0.920719065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1502</v>
      </c>
      <c r="Q333" s="23">
        <f>DATE(YEAR(OneWeekMtgRatesDataTable75[[#This Row],[asOf]]),MONTH(OneWeekMtgRatesDataTable75[[#This Row],[asOf]]),DAY(OneWeekMtgRatesDataTable75[[#This Row],[asOf]]))</f>
        <v>42100</v>
      </c>
      <c r="R333" s="19">
        <v>3.66</v>
      </c>
      <c r="S333" s="19">
        <v>0.6</v>
      </c>
      <c r="T333" s="19">
        <v>3.56</v>
      </c>
      <c r="V333" s="48" t="s">
        <v>1506</v>
      </c>
      <c r="W333" s="48" t="s">
        <v>1832</v>
      </c>
      <c r="X333" s="51">
        <v>2.6673945625319102</v>
      </c>
      <c r="Z333" s="48" t="s">
        <v>1500</v>
      </c>
      <c r="AA333" s="51">
        <v>0.920719065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1501</v>
      </c>
      <c r="Q334" s="23">
        <f>DATE(YEAR(OneWeekMtgRatesDataTable75[[#This Row],[asOf]]),MONTH(OneWeekMtgRatesDataTable75[[#This Row],[asOf]]),DAY(OneWeekMtgRatesDataTable75[[#This Row],[asOf]]))</f>
        <v>42097</v>
      </c>
      <c r="R334" s="19">
        <v>3.66</v>
      </c>
      <c r="S334" s="19">
        <v>0.6</v>
      </c>
      <c r="T334" s="19">
        <v>3.56</v>
      </c>
      <c r="V334" s="48" t="s">
        <v>1505</v>
      </c>
      <c r="W334" s="48" t="s">
        <v>1832</v>
      </c>
      <c r="X334" s="51">
        <v>2.6476582784281</v>
      </c>
      <c r="Z334" s="48" t="s">
        <v>1499</v>
      </c>
      <c r="AA334" s="51">
        <v>0.920719065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1500</v>
      </c>
      <c r="Q335" s="23">
        <f>DATE(YEAR(OneWeekMtgRatesDataTable75[[#This Row],[asOf]]),MONTH(OneWeekMtgRatesDataTable75[[#This Row],[asOf]]),DAY(OneWeekMtgRatesDataTable75[[#This Row],[asOf]]))</f>
        <v>42096</v>
      </c>
      <c r="R335" s="19">
        <v>3.66</v>
      </c>
      <c r="S335" s="19">
        <v>0.6</v>
      </c>
      <c r="T335" s="19">
        <v>3.56</v>
      </c>
      <c r="V335" s="48" t="s">
        <v>1504</v>
      </c>
      <c r="W335" s="48" t="s">
        <v>1832</v>
      </c>
      <c r="X335" s="51">
        <v>2.62032151165119</v>
      </c>
      <c r="Z335" s="48" t="s">
        <v>1498</v>
      </c>
      <c r="AA335" s="51">
        <v>0.92742898200000001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1499</v>
      </c>
      <c r="Q336" s="23">
        <f>DATE(YEAR(OneWeekMtgRatesDataTable75[[#This Row],[asOf]]),MONTH(OneWeekMtgRatesDataTable75[[#This Row],[asOf]]),DAY(OneWeekMtgRatesDataTable75[[#This Row],[asOf]]))</f>
        <v>42095</v>
      </c>
      <c r="R336" s="19">
        <v>3.7</v>
      </c>
      <c r="S336" s="19">
        <v>0.6</v>
      </c>
      <c r="T336" s="19">
        <v>3.6</v>
      </c>
      <c r="V336" s="48" t="s">
        <v>1503</v>
      </c>
      <c r="W336" s="48" t="s">
        <v>1832</v>
      </c>
      <c r="X336" s="51">
        <v>2.6287824588785198</v>
      </c>
      <c r="Z336" s="48" t="s">
        <v>1497</v>
      </c>
      <c r="AA336" s="51">
        <v>0.92742898200000001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1498</v>
      </c>
      <c r="Q337" s="23">
        <f>DATE(YEAR(OneWeekMtgRatesDataTable75[[#This Row],[asOf]]),MONTH(OneWeekMtgRatesDataTable75[[#This Row],[asOf]]),DAY(OneWeekMtgRatesDataTable75[[#This Row],[asOf]]))</f>
        <v>42094</v>
      </c>
      <c r="R337" s="19">
        <v>3.7</v>
      </c>
      <c r="S337" s="19">
        <v>0.6</v>
      </c>
      <c r="T337" s="19">
        <v>3.6</v>
      </c>
      <c r="V337" s="48" t="s">
        <v>1502</v>
      </c>
      <c r="W337" s="48" t="s">
        <v>1832</v>
      </c>
      <c r="X337" s="51">
        <v>2.63391710374052</v>
      </c>
      <c r="Z337" s="48" t="s">
        <v>1496</v>
      </c>
      <c r="AA337" s="51">
        <v>0.92742898200000001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1497</v>
      </c>
      <c r="Q338" s="23">
        <f>DATE(YEAR(OneWeekMtgRatesDataTable75[[#This Row],[asOf]]),MONTH(OneWeekMtgRatesDataTable75[[#This Row],[asOf]]),DAY(OneWeekMtgRatesDataTable75[[#This Row],[asOf]]))</f>
        <v>42093</v>
      </c>
      <c r="R338" s="19">
        <v>3.7</v>
      </c>
      <c r="S338" s="19">
        <v>0.6</v>
      </c>
      <c r="T338" s="19">
        <v>3.6</v>
      </c>
      <c r="V338" s="48" t="s">
        <v>1501</v>
      </c>
      <c r="W338" s="48" t="s">
        <v>1832</v>
      </c>
      <c r="X338" s="51">
        <v>2.5908884215358099</v>
      </c>
      <c r="Z338" s="48" t="s">
        <v>1495</v>
      </c>
      <c r="AA338" s="51">
        <v>0.92742898200000001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1496</v>
      </c>
      <c r="Q339" s="23">
        <f>DATE(YEAR(OneWeekMtgRatesDataTable75[[#This Row],[asOf]]),MONTH(OneWeekMtgRatesDataTable75[[#This Row],[asOf]]),DAY(OneWeekMtgRatesDataTable75[[#This Row],[asOf]]))</f>
        <v>42090</v>
      </c>
      <c r="R339" s="19">
        <v>3.7</v>
      </c>
      <c r="S339" s="19">
        <v>0.6</v>
      </c>
      <c r="T339" s="19">
        <v>3.6</v>
      </c>
      <c r="V339" s="48" t="s">
        <v>1500</v>
      </c>
      <c r="W339" s="48" t="s">
        <v>1832</v>
      </c>
      <c r="X339" s="51">
        <v>2.6512826680006101</v>
      </c>
      <c r="Z339" s="48" t="s">
        <v>1494</v>
      </c>
      <c r="AA339" s="51">
        <v>0.92742898200000001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1495</v>
      </c>
      <c r="Q340" s="23">
        <f>DATE(YEAR(OneWeekMtgRatesDataTable75[[#This Row],[asOf]]),MONTH(OneWeekMtgRatesDataTable75[[#This Row],[asOf]]),DAY(OneWeekMtgRatesDataTable75[[#This Row],[asOf]]))</f>
        <v>42089</v>
      </c>
      <c r="R340" s="19">
        <v>3.7</v>
      </c>
      <c r="S340" s="19">
        <v>0.6</v>
      </c>
      <c r="T340" s="19">
        <v>3.6</v>
      </c>
      <c r="V340" s="48" t="s">
        <v>1499</v>
      </c>
      <c r="W340" s="48" t="s">
        <v>1832</v>
      </c>
      <c r="X340" s="51">
        <v>2.5992657753902901</v>
      </c>
      <c r="Z340" s="48" t="s">
        <v>1493</v>
      </c>
      <c r="AA340" s="51">
        <v>0.88836167499999996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1494</v>
      </c>
      <c r="Q341" s="23">
        <f>DATE(YEAR(OneWeekMtgRatesDataTable75[[#This Row],[asOf]]),MONTH(OneWeekMtgRatesDataTable75[[#This Row],[asOf]]),DAY(OneWeekMtgRatesDataTable75[[#This Row],[asOf]]))</f>
        <v>42088</v>
      </c>
      <c r="R341" s="19">
        <v>3.69</v>
      </c>
      <c r="S341" s="19">
        <v>0.6</v>
      </c>
      <c r="T341" s="19">
        <v>3.59</v>
      </c>
      <c r="V341" s="48" t="s">
        <v>1498</v>
      </c>
      <c r="W341" s="48" t="s">
        <v>1832</v>
      </c>
      <c r="X341" s="51">
        <v>2.66103516127894</v>
      </c>
      <c r="Z341" s="48" t="s">
        <v>1492</v>
      </c>
      <c r="AA341" s="51">
        <v>0.88836167499999996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1493</v>
      </c>
      <c r="Q342" s="23">
        <f>DATE(YEAR(OneWeekMtgRatesDataTable75[[#This Row],[asOf]]),MONTH(OneWeekMtgRatesDataTable75[[#This Row],[asOf]]),DAY(OneWeekMtgRatesDataTable75[[#This Row],[asOf]]))</f>
        <v>42087</v>
      </c>
      <c r="R342" s="19">
        <v>3.69</v>
      </c>
      <c r="S342" s="19">
        <v>0.6</v>
      </c>
      <c r="T342" s="19">
        <v>3.59</v>
      </c>
      <c r="V342" s="48" t="s">
        <v>1497</v>
      </c>
      <c r="W342" s="48" t="s">
        <v>1832</v>
      </c>
      <c r="X342" s="51">
        <v>2.6906214304432701</v>
      </c>
      <c r="Z342" s="48" t="s">
        <v>1491</v>
      </c>
      <c r="AA342" s="51">
        <v>0.88836167499999996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1492</v>
      </c>
      <c r="Q343" s="23">
        <f>DATE(YEAR(OneWeekMtgRatesDataTable75[[#This Row],[asOf]]),MONTH(OneWeekMtgRatesDataTable75[[#This Row],[asOf]]),DAY(OneWeekMtgRatesDataTable75[[#This Row],[asOf]]))</f>
        <v>42086</v>
      </c>
      <c r="R343" s="19">
        <v>3.69</v>
      </c>
      <c r="S343" s="19">
        <v>0.6</v>
      </c>
      <c r="T343" s="19">
        <v>3.59</v>
      </c>
      <c r="V343" s="48" t="s">
        <v>1496</v>
      </c>
      <c r="W343" s="48" t="s">
        <v>1832</v>
      </c>
      <c r="X343" s="51">
        <v>2.6934832462996599</v>
      </c>
      <c r="Z343" s="48" t="s">
        <v>1490</v>
      </c>
      <c r="AA343" s="51">
        <v>0.88836167499999996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1491</v>
      </c>
      <c r="Q344" s="23">
        <f>DATE(YEAR(OneWeekMtgRatesDataTable75[[#This Row],[asOf]]),MONTH(OneWeekMtgRatesDataTable75[[#This Row],[asOf]]),DAY(OneWeekMtgRatesDataTable75[[#This Row],[asOf]]))</f>
        <v>42083</v>
      </c>
      <c r="R344" s="19">
        <v>3.69</v>
      </c>
      <c r="S344" s="19">
        <v>0.6</v>
      </c>
      <c r="T344" s="19">
        <v>3.59</v>
      </c>
      <c r="V344" s="48" t="s">
        <v>1495</v>
      </c>
      <c r="W344" s="48" t="s">
        <v>1832</v>
      </c>
      <c r="X344" s="51">
        <v>2.7519990602785001</v>
      </c>
      <c r="Z344" s="48" t="s">
        <v>1489</v>
      </c>
      <c r="AA344" s="51">
        <v>0.88836167499999996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1490</v>
      </c>
      <c r="Q345" s="23">
        <f>DATE(YEAR(OneWeekMtgRatesDataTable75[[#This Row],[asOf]]),MONTH(OneWeekMtgRatesDataTable75[[#This Row],[asOf]]),DAY(OneWeekMtgRatesDataTable75[[#This Row],[asOf]]))</f>
        <v>42082</v>
      </c>
      <c r="R345" s="19">
        <v>3.69</v>
      </c>
      <c r="S345" s="19">
        <v>0.6</v>
      </c>
      <c r="T345" s="19">
        <v>3.59</v>
      </c>
      <c r="V345" s="48" t="s">
        <v>1494</v>
      </c>
      <c r="W345" s="48" t="s">
        <v>1832</v>
      </c>
      <c r="X345" s="51">
        <v>2.6641693960453199</v>
      </c>
      <c r="Z345" s="48" t="s">
        <v>1488</v>
      </c>
      <c r="AA345" s="51">
        <v>0.89554164999999997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1489</v>
      </c>
      <c r="Q346" s="23">
        <f>DATE(YEAR(OneWeekMtgRatesDataTable75[[#This Row],[asOf]]),MONTH(OneWeekMtgRatesDataTable75[[#This Row],[asOf]]),DAY(OneWeekMtgRatesDataTable75[[#This Row],[asOf]]))</f>
        <v>42081</v>
      </c>
      <c r="R346" s="19">
        <v>3.78</v>
      </c>
      <c r="S346" s="19">
        <v>0.6</v>
      </c>
      <c r="T346" s="19">
        <v>3.6799999999999997</v>
      </c>
      <c r="V346" s="48" t="s">
        <v>1493</v>
      </c>
      <c r="W346" s="48" t="s">
        <v>1832</v>
      </c>
      <c r="X346" s="51">
        <v>2.60984671554638</v>
      </c>
      <c r="Z346" s="48" t="s">
        <v>1487</v>
      </c>
      <c r="AA346" s="51">
        <v>0.89554164999999997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1488</v>
      </c>
      <c r="Q347" s="23">
        <f>DATE(YEAR(OneWeekMtgRatesDataTable75[[#This Row],[asOf]]),MONTH(OneWeekMtgRatesDataTable75[[#This Row],[asOf]]),DAY(OneWeekMtgRatesDataTable75[[#This Row],[asOf]]))</f>
        <v>42080</v>
      </c>
      <c r="R347" s="19">
        <v>3.78</v>
      </c>
      <c r="S347" s="19">
        <v>0.6</v>
      </c>
      <c r="T347" s="19">
        <v>3.6799999999999997</v>
      </c>
      <c r="V347" s="48" t="s">
        <v>1492</v>
      </c>
      <c r="W347" s="48" t="s">
        <v>1832</v>
      </c>
      <c r="X347" s="51">
        <v>2.6575094779916602</v>
      </c>
      <c r="Z347" s="48" t="s">
        <v>1486</v>
      </c>
      <c r="AA347" s="51">
        <v>0.89554164999999997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1487</v>
      </c>
      <c r="Q348" s="23">
        <f>DATE(YEAR(OneWeekMtgRatesDataTable75[[#This Row],[asOf]]),MONTH(OneWeekMtgRatesDataTable75[[#This Row],[asOf]]),DAY(OneWeekMtgRatesDataTable75[[#This Row],[asOf]]))</f>
        <v>42079</v>
      </c>
      <c r="R348" s="19">
        <v>3.78</v>
      </c>
      <c r="S348" s="19">
        <v>0.6</v>
      </c>
      <c r="T348" s="19">
        <v>3.6799999999999997</v>
      </c>
      <c r="V348" s="48" t="s">
        <v>1491</v>
      </c>
      <c r="W348" s="48" t="s">
        <v>1832</v>
      </c>
      <c r="X348" s="51">
        <v>2.6717729385436999</v>
      </c>
      <c r="Z348" s="48" t="s">
        <v>1485</v>
      </c>
      <c r="AA348" s="51">
        <v>0.89554164999999997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1486</v>
      </c>
      <c r="Q349" s="23">
        <f>DATE(YEAR(OneWeekMtgRatesDataTable75[[#This Row],[asOf]]),MONTH(OneWeekMtgRatesDataTable75[[#This Row],[asOf]]),DAY(OneWeekMtgRatesDataTable75[[#This Row],[asOf]]))</f>
        <v>42076</v>
      </c>
      <c r="R349" s="19">
        <v>3.78</v>
      </c>
      <c r="S349" s="19">
        <v>0.6</v>
      </c>
      <c r="T349" s="19">
        <v>3.6799999999999997</v>
      </c>
      <c r="V349" s="48" t="s">
        <v>1490</v>
      </c>
      <c r="W349" s="48" t="s">
        <v>1832</v>
      </c>
      <c r="X349" s="51">
        <v>2.70955656376128</v>
      </c>
      <c r="Z349" s="48" t="s">
        <v>1484</v>
      </c>
      <c r="AA349" s="51">
        <v>0.89554164999999997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1485</v>
      </c>
      <c r="Q350" s="23">
        <f>DATE(YEAR(OneWeekMtgRatesDataTable75[[#This Row],[asOf]]),MONTH(OneWeekMtgRatesDataTable75[[#This Row],[asOf]]),DAY(OneWeekMtgRatesDataTable75[[#This Row],[asOf]]))</f>
        <v>42075</v>
      </c>
      <c r="R350" s="19">
        <v>3.78</v>
      </c>
      <c r="S350" s="19">
        <v>0.6</v>
      </c>
      <c r="T350" s="19">
        <v>3.6799999999999997</v>
      </c>
      <c r="V350" s="48" t="s">
        <v>1489</v>
      </c>
      <c r="W350" s="48" t="s">
        <v>1832</v>
      </c>
      <c r="X350" s="51">
        <v>2.6928489030954199</v>
      </c>
      <c r="Z350" s="48" t="s">
        <v>1483</v>
      </c>
      <c r="AA350" s="51">
        <v>0.85983776899999997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1484</v>
      </c>
      <c r="Q351" s="23">
        <f>DATE(YEAR(OneWeekMtgRatesDataTable75[[#This Row],[asOf]]),MONTH(OneWeekMtgRatesDataTable75[[#This Row],[asOf]]),DAY(OneWeekMtgRatesDataTable75[[#This Row],[asOf]]))</f>
        <v>42074</v>
      </c>
      <c r="R351" s="19">
        <v>3.86</v>
      </c>
      <c r="S351" s="19">
        <v>0.6</v>
      </c>
      <c r="T351" s="19">
        <v>3.76</v>
      </c>
      <c r="V351" s="48" t="s">
        <v>1488</v>
      </c>
      <c r="W351" s="48" t="s">
        <v>1832</v>
      </c>
      <c r="X351" s="51">
        <v>2.79584100930466</v>
      </c>
      <c r="Z351" s="48" t="s">
        <v>1482</v>
      </c>
      <c r="AA351" s="51">
        <v>0.85983776899999997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1483</v>
      </c>
      <c r="Q352" s="23">
        <f>DATE(YEAR(OneWeekMtgRatesDataTable75[[#This Row],[asOf]]),MONTH(OneWeekMtgRatesDataTable75[[#This Row],[asOf]]),DAY(OneWeekMtgRatesDataTable75[[#This Row],[asOf]]))</f>
        <v>42073</v>
      </c>
      <c r="R352" s="19">
        <v>3.86</v>
      </c>
      <c r="S352" s="19">
        <v>0.6</v>
      </c>
      <c r="T352" s="19">
        <v>3.76</v>
      </c>
      <c r="V352" s="48" t="s">
        <v>1487</v>
      </c>
      <c r="W352" s="48" t="s">
        <v>1832</v>
      </c>
      <c r="X352" s="51">
        <v>2.8241768518279202</v>
      </c>
      <c r="Z352" s="48" t="s">
        <v>1481</v>
      </c>
      <c r="AA352" s="51">
        <v>0.85983776899999997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1482</v>
      </c>
      <c r="Q353" s="23">
        <f>DATE(YEAR(OneWeekMtgRatesDataTable75[[#This Row],[asOf]]),MONTH(OneWeekMtgRatesDataTable75[[#This Row],[asOf]]),DAY(OneWeekMtgRatesDataTable75[[#This Row],[asOf]]))</f>
        <v>42072</v>
      </c>
      <c r="R353" s="19">
        <v>3.86</v>
      </c>
      <c r="S353" s="19">
        <v>0.6</v>
      </c>
      <c r="T353" s="19">
        <v>3.76</v>
      </c>
      <c r="V353" s="48" t="s">
        <v>1486</v>
      </c>
      <c r="W353" s="48" t="s">
        <v>1832</v>
      </c>
      <c r="X353" s="51">
        <v>2.8315057491425</v>
      </c>
      <c r="Z353" s="48" t="s">
        <v>1480</v>
      </c>
      <c r="AA353" s="51">
        <v>0.85983776899999997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1481</v>
      </c>
      <c r="Q354" s="23">
        <f>DATE(YEAR(OneWeekMtgRatesDataTable75[[#This Row],[asOf]]),MONTH(OneWeekMtgRatesDataTable75[[#This Row],[asOf]]),DAY(OneWeekMtgRatesDataTable75[[#This Row],[asOf]]))</f>
        <v>42069</v>
      </c>
      <c r="R354" s="19">
        <v>3.86</v>
      </c>
      <c r="S354" s="19">
        <v>0.6</v>
      </c>
      <c r="T354" s="19">
        <v>3.76</v>
      </c>
      <c r="V354" s="48" t="s">
        <v>1485</v>
      </c>
      <c r="W354" s="48" t="s">
        <v>1832</v>
      </c>
      <c r="X354" s="51">
        <v>2.8138191102539798</v>
      </c>
      <c r="Z354" s="48" t="s">
        <v>1479</v>
      </c>
      <c r="AA354" s="51">
        <v>0.85983776899999997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1480</v>
      </c>
      <c r="Q355" s="23">
        <f>DATE(YEAR(OneWeekMtgRatesDataTable75[[#This Row],[asOf]]),MONTH(OneWeekMtgRatesDataTable75[[#This Row],[asOf]]),DAY(OneWeekMtgRatesDataTable75[[#This Row],[asOf]]))</f>
        <v>42068</v>
      </c>
      <c r="R355" s="19">
        <v>3.86</v>
      </c>
      <c r="S355" s="19">
        <v>0.6</v>
      </c>
      <c r="T355" s="19">
        <v>3.76</v>
      </c>
      <c r="V355" s="48" t="s">
        <v>1484</v>
      </c>
      <c r="W355" s="48" t="s">
        <v>1832</v>
      </c>
      <c r="X355" s="51">
        <v>2.8278353033181198</v>
      </c>
      <c r="Z355" s="48" t="s">
        <v>1478</v>
      </c>
      <c r="AA355" s="51">
        <v>0.90845864499999995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1479</v>
      </c>
      <c r="Q356" s="23">
        <f>DATE(YEAR(OneWeekMtgRatesDataTable75[[#This Row],[asOf]]),MONTH(OneWeekMtgRatesDataTable75[[#This Row],[asOf]]),DAY(OneWeekMtgRatesDataTable75[[#This Row],[asOf]]))</f>
        <v>42067</v>
      </c>
      <c r="R356" s="19">
        <v>3.75</v>
      </c>
      <c r="S356" s="19">
        <v>0.6</v>
      </c>
      <c r="T356" s="19">
        <v>3.65</v>
      </c>
      <c r="V356" s="48" t="s">
        <v>1483</v>
      </c>
      <c r="W356" s="48" t="s">
        <v>1832</v>
      </c>
      <c r="X356" s="51">
        <v>2.84635033680676</v>
      </c>
      <c r="Z356" s="48" t="s">
        <v>1477</v>
      </c>
      <c r="AA356" s="51">
        <v>0.90845864499999995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1478</v>
      </c>
      <c r="Q357" s="23">
        <f>DATE(YEAR(OneWeekMtgRatesDataTable75[[#This Row],[asOf]]),MONTH(OneWeekMtgRatesDataTable75[[#This Row],[asOf]]),DAY(OneWeekMtgRatesDataTable75[[#This Row],[asOf]]))</f>
        <v>42066</v>
      </c>
      <c r="R357" s="19">
        <v>3.75</v>
      </c>
      <c r="S357" s="19">
        <v>0.6</v>
      </c>
      <c r="T357" s="19">
        <v>3.65</v>
      </c>
      <c r="V357" s="48" t="s">
        <v>1482</v>
      </c>
      <c r="W357" s="48" t="s">
        <v>1832</v>
      </c>
      <c r="X357" s="51">
        <v>2.90222752352993</v>
      </c>
      <c r="Z357" s="48" t="s">
        <v>1476</v>
      </c>
      <c r="AA357" s="51">
        <v>0.90845864499999995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1477</v>
      </c>
      <c r="Q358" s="23">
        <f>DATE(YEAR(OneWeekMtgRatesDataTable75[[#This Row],[asOf]]),MONTH(OneWeekMtgRatesDataTable75[[#This Row],[asOf]]),DAY(OneWeekMtgRatesDataTable75[[#This Row],[asOf]]))</f>
        <v>42065</v>
      </c>
      <c r="R358" s="19">
        <v>3.75</v>
      </c>
      <c r="S358" s="19">
        <v>0.6</v>
      </c>
      <c r="T358" s="19">
        <v>3.65</v>
      </c>
      <c r="V358" s="48" t="s">
        <v>1481</v>
      </c>
      <c r="W358" s="48" t="s">
        <v>1832</v>
      </c>
      <c r="X358" s="51">
        <v>2.9303170109018999</v>
      </c>
      <c r="Z358" s="48" t="s">
        <v>1475</v>
      </c>
      <c r="AA358" s="51">
        <v>0.90845864499999995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1476</v>
      </c>
      <c r="Q359" s="23">
        <f>DATE(YEAR(OneWeekMtgRatesDataTable75[[#This Row],[asOf]]),MONTH(OneWeekMtgRatesDataTable75[[#This Row],[asOf]]),DAY(OneWeekMtgRatesDataTable75[[#This Row],[asOf]]))</f>
        <v>42062</v>
      </c>
      <c r="R359" s="19">
        <v>3.75</v>
      </c>
      <c r="S359" s="19">
        <v>0.6</v>
      </c>
      <c r="T359" s="19">
        <v>3.65</v>
      </c>
      <c r="V359" s="48" t="s">
        <v>1480</v>
      </c>
      <c r="W359" s="48" t="s">
        <v>1832</v>
      </c>
      <c r="X359" s="51">
        <v>2.81556157497667</v>
      </c>
      <c r="Z359" s="48" t="s">
        <v>1474</v>
      </c>
      <c r="AA359" s="51">
        <v>0.90845864499999995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1475</v>
      </c>
      <c r="Q360" s="23">
        <f>DATE(YEAR(OneWeekMtgRatesDataTable75[[#This Row],[asOf]]),MONTH(OneWeekMtgRatesDataTable75[[#This Row],[asOf]]),DAY(OneWeekMtgRatesDataTable75[[#This Row],[asOf]]))</f>
        <v>42061</v>
      </c>
      <c r="R360" s="19">
        <v>3.75</v>
      </c>
      <c r="S360" s="19">
        <v>0.6</v>
      </c>
      <c r="T360" s="19">
        <v>3.65</v>
      </c>
      <c r="V360" s="48" t="s">
        <v>1479</v>
      </c>
      <c r="W360" s="48" t="s">
        <v>1832</v>
      </c>
      <c r="X360" s="51">
        <v>2.8241837227534399</v>
      </c>
      <c r="Z360" s="48" t="s">
        <v>1473</v>
      </c>
      <c r="AA360" s="51">
        <v>0.87572881800000002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1474</v>
      </c>
      <c r="Q361" s="23">
        <f>DATE(YEAR(OneWeekMtgRatesDataTable75[[#This Row],[asOf]]),MONTH(OneWeekMtgRatesDataTable75[[#This Row],[asOf]]),DAY(OneWeekMtgRatesDataTable75[[#This Row],[asOf]]))</f>
        <v>42060</v>
      </c>
      <c r="R361" s="19">
        <v>3.8</v>
      </c>
      <c r="S361" s="19">
        <v>0.6</v>
      </c>
      <c r="T361" s="19">
        <v>3.6999999999999997</v>
      </c>
      <c r="V361" s="48" t="s">
        <v>1478</v>
      </c>
      <c r="W361" s="48" t="s">
        <v>1832</v>
      </c>
      <c r="X361" s="51">
        <v>2.8341999400292899</v>
      </c>
      <c r="Z361" s="48" t="s">
        <v>1472</v>
      </c>
      <c r="AA361" s="51">
        <v>0.87572881800000002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1473</v>
      </c>
      <c r="Q362" s="23">
        <f>DATE(YEAR(OneWeekMtgRatesDataTable75[[#This Row],[asOf]]),MONTH(OneWeekMtgRatesDataTable75[[#This Row],[asOf]]),DAY(OneWeekMtgRatesDataTable75[[#This Row],[asOf]]))</f>
        <v>42059</v>
      </c>
      <c r="R362" s="19">
        <v>3.8</v>
      </c>
      <c r="S362" s="19">
        <v>0.6</v>
      </c>
      <c r="T362" s="19">
        <v>3.6999999999999997</v>
      </c>
      <c r="V362" s="48" t="s">
        <v>1477</v>
      </c>
      <c r="W362" s="48" t="s">
        <v>1832</v>
      </c>
      <c r="X362" s="51">
        <v>2.7916349569467398</v>
      </c>
      <c r="Z362" s="48" t="s">
        <v>1471</v>
      </c>
      <c r="AA362" s="51">
        <v>0.87572881800000002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1472</v>
      </c>
      <c r="Q363" s="23">
        <f>DATE(YEAR(OneWeekMtgRatesDataTable75[[#This Row],[asOf]]),MONTH(OneWeekMtgRatesDataTable75[[#This Row],[asOf]]),DAY(OneWeekMtgRatesDataTable75[[#This Row],[asOf]]))</f>
        <v>42058</v>
      </c>
      <c r="R363" s="19">
        <v>3.8</v>
      </c>
      <c r="S363" s="19">
        <v>0.6</v>
      </c>
      <c r="T363" s="19">
        <v>3.6999999999999997</v>
      </c>
      <c r="V363" s="48" t="s">
        <v>1476</v>
      </c>
      <c r="W363" s="48" t="s">
        <v>1832</v>
      </c>
      <c r="X363" s="51">
        <v>2.7365985708724101</v>
      </c>
      <c r="Z363" s="48" t="s">
        <v>1470</v>
      </c>
      <c r="AA363" s="51">
        <v>0.87572881800000002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1471</v>
      </c>
      <c r="Q364" s="23">
        <f>DATE(YEAR(OneWeekMtgRatesDataTable75[[#This Row],[asOf]]),MONTH(OneWeekMtgRatesDataTable75[[#This Row],[asOf]]),DAY(OneWeekMtgRatesDataTable75[[#This Row],[asOf]]))</f>
        <v>42055</v>
      </c>
      <c r="R364" s="19">
        <v>3.8</v>
      </c>
      <c r="S364" s="19">
        <v>0.6</v>
      </c>
      <c r="T364" s="19">
        <v>3.6999999999999997</v>
      </c>
      <c r="V364" s="48" t="s">
        <v>1475</v>
      </c>
      <c r="W364" s="48" t="s">
        <v>1832</v>
      </c>
      <c r="X364" s="51">
        <v>2.7641939622688101</v>
      </c>
      <c r="Z364" s="48" t="s">
        <v>1469</v>
      </c>
      <c r="AA364" s="51">
        <v>0.87572881800000002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1470</v>
      </c>
      <c r="Q365" s="23">
        <f>DATE(YEAR(OneWeekMtgRatesDataTable75[[#This Row],[asOf]]),MONTH(OneWeekMtgRatesDataTable75[[#This Row],[asOf]]),DAY(OneWeekMtgRatesDataTable75[[#This Row],[asOf]]))</f>
        <v>42054</v>
      </c>
      <c r="R365" s="19">
        <v>3.8</v>
      </c>
      <c r="S365" s="19">
        <v>0.6</v>
      </c>
      <c r="T365" s="19">
        <v>3.6999999999999997</v>
      </c>
      <c r="V365" s="48" t="s">
        <v>1474</v>
      </c>
      <c r="W365" s="48" t="s">
        <v>1832</v>
      </c>
      <c r="X365" s="51">
        <v>2.7262373083687401</v>
      </c>
      <c r="Z365" s="48" t="s">
        <v>1468</v>
      </c>
      <c r="AA365" s="51">
        <v>0.90928562599999996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1469</v>
      </c>
      <c r="Q366" s="23">
        <f>DATE(YEAR(OneWeekMtgRatesDataTable75[[#This Row],[asOf]]),MONTH(OneWeekMtgRatesDataTable75[[#This Row],[asOf]]),DAY(OneWeekMtgRatesDataTable75[[#This Row],[asOf]]))</f>
        <v>42053</v>
      </c>
      <c r="R366" s="19">
        <v>3.76</v>
      </c>
      <c r="S366" s="19">
        <v>0.6</v>
      </c>
      <c r="T366" s="19">
        <v>3.6599999999999997</v>
      </c>
      <c r="V366" s="48" t="s">
        <v>1473</v>
      </c>
      <c r="W366" s="48" t="s">
        <v>1832</v>
      </c>
      <c r="X366" s="51">
        <v>2.7456841844873301</v>
      </c>
      <c r="Z366" s="48" t="s">
        <v>1467</v>
      </c>
      <c r="AA366" s="51">
        <v>0.90928562599999996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1468</v>
      </c>
      <c r="Q367" s="23">
        <f>DATE(YEAR(OneWeekMtgRatesDataTable75[[#This Row],[asOf]]),MONTH(OneWeekMtgRatesDataTable75[[#This Row],[asOf]]),DAY(OneWeekMtgRatesDataTable75[[#This Row],[asOf]]))</f>
        <v>42052</v>
      </c>
      <c r="R367" s="19">
        <v>3.76</v>
      </c>
      <c r="S367" s="19">
        <v>0.6</v>
      </c>
      <c r="T367" s="19">
        <v>3.6599999999999997</v>
      </c>
      <c r="V367" s="48" t="s">
        <v>1472</v>
      </c>
      <c r="W367" s="48" t="s">
        <v>1832</v>
      </c>
      <c r="X367" s="51">
        <v>2.8051692512697501</v>
      </c>
      <c r="Z367" s="48" t="s">
        <v>1466</v>
      </c>
      <c r="AA367" s="51">
        <v>0.90928562599999996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1467</v>
      </c>
      <c r="Q368" s="23">
        <f>DATE(YEAR(OneWeekMtgRatesDataTable75[[#This Row],[asOf]]),MONTH(OneWeekMtgRatesDataTable75[[#This Row],[asOf]]),DAY(OneWeekMtgRatesDataTable75[[#This Row],[asOf]]))</f>
        <v>42048</v>
      </c>
      <c r="R368" s="19">
        <v>3.76</v>
      </c>
      <c r="S368" s="19">
        <v>0.6</v>
      </c>
      <c r="T368" s="19">
        <v>3.6599999999999997</v>
      </c>
      <c r="V368" s="48" t="s">
        <v>1471</v>
      </c>
      <c r="W368" s="48" t="s">
        <v>1832</v>
      </c>
      <c r="X368" s="51">
        <v>2.8495343936509898</v>
      </c>
      <c r="Z368" s="48" t="s">
        <v>1465</v>
      </c>
      <c r="AA368" s="51">
        <v>0.90928562599999996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1466</v>
      </c>
      <c r="Q369" s="23">
        <f>DATE(YEAR(OneWeekMtgRatesDataTable75[[#This Row],[asOf]]),MONTH(OneWeekMtgRatesDataTable75[[#This Row],[asOf]]),DAY(OneWeekMtgRatesDataTable75[[#This Row],[asOf]]))</f>
        <v>42047</v>
      </c>
      <c r="R369" s="19">
        <v>3.76</v>
      </c>
      <c r="S369" s="19">
        <v>0.6</v>
      </c>
      <c r="T369" s="19">
        <v>3.6599999999999997</v>
      </c>
      <c r="V369" s="48" t="s">
        <v>1470</v>
      </c>
      <c r="W369" s="48" t="s">
        <v>1832</v>
      </c>
      <c r="X369" s="51">
        <v>2.8310816393070799</v>
      </c>
      <c r="Z369" s="48" t="s">
        <v>1464</v>
      </c>
      <c r="AA369" s="51">
        <v>1.0111831520000001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1465</v>
      </c>
      <c r="Q370" s="23">
        <f>DATE(YEAR(OneWeekMtgRatesDataTable75[[#This Row],[asOf]]),MONTH(OneWeekMtgRatesDataTable75[[#This Row],[asOf]]),DAY(OneWeekMtgRatesDataTable75[[#This Row],[asOf]]))</f>
        <v>42046</v>
      </c>
      <c r="R370" s="19">
        <v>3.69</v>
      </c>
      <c r="S370" s="19">
        <v>0.6</v>
      </c>
      <c r="T370" s="19">
        <v>3.59</v>
      </c>
      <c r="V370" s="48" t="s">
        <v>1469</v>
      </c>
      <c r="W370" s="48" t="s">
        <v>1832</v>
      </c>
      <c r="X370" s="51">
        <v>2.80663775198708</v>
      </c>
      <c r="Z370" s="48" t="s">
        <v>1463</v>
      </c>
      <c r="AA370" s="51">
        <v>1.0111831520000001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1464</v>
      </c>
      <c r="Q371" s="23">
        <f>DATE(YEAR(OneWeekMtgRatesDataTable75[[#This Row],[asOf]]),MONTH(OneWeekMtgRatesDataTable75[[#This Row],[asOf]]),DAY(OneWeekMtgRatesDataTable75[[#This Row],[asOf]]))</f>
        <v>42045</v>
      </c>
      <c r="R371" s="19">
        <v>3.69</v>
      </c>
      <c r="S371" s="19">
        <v>0.6</v>
      </c>
      <c r="T371" s="19">
        <v>3.59</v>
      </c>
      <c r="V371" s="48" t="s">
        <v>1468</v>
      </c>
      <c r="W371" s="48" t="s">
        <v>1832</v>
      </c>
      <c r="X371" s="51">
        <v>2.8647464299960101</v>
      </c>
      <c r="Z371" s="48" t="s">
        <v>1462</v>
      </c>
      <c r="AA371" s="51">
        <v>1.0111831520000001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1463</v>
      </c>
      <c r="Q372" s="23">
        <f>DATE(YEAR(OneWeekMtgRatesDataTable75[[#This Row],[asOf]]),MONTH(OneWeekMtgRatesDataTable75[[#This Row],[asOf]]),DAY(OneWeekMtgRatesDataTable75[[#This Row],[asOf]]))</f>
        <v>42044</v>
      </c>
      <c r="R372" s="19">
        <v>3.69</v>
      </c>
      <c r="S372" s="19">
        <v>0.6</v>
      </c>
      <c r="T372" s="19">
        <v>3.59</v>
      </c>
      <c r="V372" s="48" t="s">
        <v>1467</v>
      </c>
      <c r="W372" s="48" t="s">
        <v>1832</v>
      </c>
      <c r="X372" s="51">
        <v>2.7439532601441399</v>
      </c>
      <c r="Z372" s="48" t="s">
        <v>1461</v>
      </c>
      <c r="AA372" s="51">
        <v>1.0111831520000001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1462</v>
      </c>
      <c r="Q373" s="23">
        <f>DATE(YEAR(OneWeekMtgRatesDataTable75[[#This Row],[asOf]]),MONTH(OneWeekMtgRatesDataTable75[[#This Row],[asOf]]),DAY(OneWeekMtgRatesDataTable75[[#This Row],[asOf]]))</f>
        <v>42041</v>
      </c>
      <c r="R373" s="19">
        <v>3.69</v>
      </c>
      <c r="S373" s="19">
        <v>0.6</v>
      </c>
      <c r="T373" s="19">
        <v>3.59</v>
      </c>
      <c r="V373" s="48" t="s">
        <v>1466</v>
      </c>
      <c r="W373" s="48" t="s">
        <v>1832</v>
      </c>
      <c r="X373" s="51">
        <v>2.7217472845669599</v>
      </c>
      <c r="Z373" s="48" t="s">
        <v>1460</v>
      </c>
      <c r="AA373" s="51">
        <v>1.0111831520000001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1461</v>
      </c>
      <c r="Q374" s="23">
        <f>DATE(YEAR(OneWeekMtgRatesDataTable75[[#This Row],[asOf]]),MONTH(OneWeekMtgRatesDataTable75[[#This Row],[asOf]]),DAY(OneWeekMtgRatesDataTable75[[#This Row],[asOf]]))</f>
        <v>42040</v>
      </c>
      <c r="R374" s="19">
        <v>3.69</v>
      </c>
      <c r="S374" s="19">
        <v>0.6</v>
      </c>
      <c r="T374" s="19">
        <v>3.59</v>
      </c>
      <c r="V374" s="48" t="s">
        <v>1465</v>
      </c>
      <c r="W374" s="48" t="s">
        <v>1832</v>
      </c>
      <c r="X374" s="51">
        <v>2.7390944645368598</v>
      </c>
      <c r="Z374" s="48" t="s">
        <v>1459</v>
      </c>
      <c r="AA374" s="51">
        <v>0.98490012900000001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1460</v>
      </c>
      <c r="Q375" s="23">
        <f>DATE(YEAR(OneWeekMtgRatesDataTable75[[#This Row],[asOf]]),MONTH(OneWeekMtgRatesDataTable75[[#This Row],[asOf]]),DAY(OneWeekMtgRatesDataTable75[[#This Row],[asOf]]))</f>
        <v>42039</v>
      </c>
      <c r="R375" s="19">
        <v>3.59</v>
      </c>
      <c r="S375" s="19">
        <v>0.7</v>
      </c>
      <c r="T375" s="19">
        <v>3.5149999999999997</v>
      </c>
      <c r="V375" s="48" t="s">
        <v>1464</v>
      </c>
      <c r="W375" s="48" t="s">
        <v>1832</v>
      </c>
      <c r="X375" s="51">
        <v>2.7450619013759301</v>
      </c>
      <c r="Z375" s="48" t="s">
        <v>1458</v>
      </c>
      <c r="AA375" s="51">
        <v>0.98490012900000001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1459</v>
      </c>
      <c r="Q376" s="23">
        <f>DATE(YEAR(OneWeekMtgRatesDataTable75[[#This Row],[asOf]]),MONTH(OneWeekMtgRatesDataTable75[[#This Row],[asOf]]),DAY(OneWeekMtgRatesDataTable75[[#This Row],[asOf]]))</f>
        <v>42038</v>
      </c>
      <c r="R376" s="19">
        <v>3.59</v>
      </c>
      <c r="S376" s="19">
        <v>0.7</v>
      </c>
      <c r="T376" s="19">
        <v>3.5149999999999997</v>
      </c>
      <c r="V376" s="48" t="s">
        <v>1463</v>
      </c>
      <c r="W376" s="48" t="s">
        <v>1832</v>
      </c>
      <c r="X376" s="51">
        <v>2.6856648240007002</v>
      </c>
      <c r="Z376" s="48" t="s">
        <v>1457</v>
      </c>
      <c r="AA376" s="51">
        <v>0.98490012900000001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1458</v>
      </c>
      <c r="Q377" s="23">
        <f>DATE(YEAR(OneWeekMtgRatesDataTable75[[#This Row],[asOf]]),MONTH(OneWeekMtgRatesDataTable75[[#This Row],[asOf]]),DAY(OneWeekMtgRatesDataTable75[[#This Row],[asOf]]))</f>
        <v>42037</v>
      </c>
      <c r="R377" s="19">
        <v>3.59</v>
      </c>
      <c r="S377" s="19">
        <v>0.7</v>
      </c>
      <c r="T377" s="19">
        <v>3.5149999999999997</v>
      </c>
      <c r="V377" s="48" t="s">
        <v>1462</v>
      </c>
      <c r="W377" s="48" t="s">
        <v>1832</v>
      </c>
      <c r="X377" s="51">
        <v>2.6748566998957601</v>
      </c>
      <c r="Z377" s="48" t="s">
        <v>1456</v>
      </c>
      <c r="AA377" s="51">
        <v>0.98490012900000001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1457</v>
      </c>
      <c r="Q378" s="23">
        <f>DATE(YEAR(OneWeekMtgRatesDataTable75[[#This Row],[asOf]]),MONTH(OneWeekMtgRatesDataTable75[[#This Row],[asOf]]),DAY(OneWeekMtgRatesDataTable75[[#This Row],[asOf]]))</f>
        <v>42034</v>
      </c>
      <c r="R378" s="19">
        <v>3.59</v>
      </c>
      <c r="S378" s="19">
        <v>0.7</v>
      </c>
      <c r="T378" s="19">
        <v>3.5149999999999997</v>
      </c>
      <c r="V378" s="48" t="s">
        <v>1461</v>
      </c>
      <c r="W378" s="48" t="s">
        <v>1832</v>
      </c>
      <c r="X378" s="51">
        <v>2.5588939804772202</v>
      </c>
      <c r="Z378" s="48" t="s">
        <v>1455</v>
      </c>
      <c r="AA378" s="51">
        <v>0.98490012900000001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1456</v>
      </c>
      <c r="Q379" s="23">
        <f>DATE(YEAR(OneWeekMtgRatesDataTable75[[#This Row],[asOf]]),MONTH(OneWeekMtgRatesDataTable75[[#This Row],[asOf]]),DAY(OneWeekMtgRatesDataTable75[[#This Row],[asOf]]))</f>
        <v>42033</v>
      </c>
      <c r="R379" s="19">
        <v>3.59</v>
      </c>
      <c r="S379" s="19">
        <v>0.7</v>
      </c>
      <c r="T379" s="19">
        <v>3.5149999999999997</v>
      </c>
      <c r="V379" s="48" t="s">
        <v>1460</v>
      </c>
      <c r="W379" s="48" t="s">
        <v>1832</v>
      </c>
      <c r="X379" s="51">
        <v>2.56620444102245</v>
      </c>
      <c r="Z379" s="48" t="s">
        <v>1454</v>
      </c>
      <c r="AA379" s="51">
        <v>1.0133311899999999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1455</v>
      </c>
      <c r="Q380" s="23">
        <f>DATE(YEAR(OneWeekMtgRatesDataTable75[[#This Row],[asOf]]),MONTH(OneWeekMtgRatesDataTable75[[#This Row],[asOf]]),DAY(OneWeekMtgRatesDataTable75[[#This Row],[asOf]]))</f>
        <v>42032</v>
      </c>
      <c r="R380" s="19">
        <v>3.66</v>
      </c>
      <c r="S380" s="19">
        <v>0.6</v>
      </c>
      <c r="T380" s="19">
        <v>3.56</v>
      </c>
      <c r="V380" s="48" t="s">
        <v>1459</v>
      </c>
      <c r="W380" s="48" t="s">
        <v>1832</v>
      </c>
      <c r="X380" s="51">
        <v>2.5386092043872699</v>
      </c>
      <c r="Z380" s="48" t="s">
        <v>1453</v>
      </c>
      <c r="AA380" s="51">
        <v>1.0133311899999999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1454</v>
      </c>
      <c r="Q381" s="23">
        <f>DATE(YEAR(OneWeekMtgRatesDataTable75[[#This Row],[asOf]]),MONTH(OneWeekMtgRatesDataTable75[[#This Row],[asOf]]),DAY(OneWeekMtgRatesDataTable75[[#This Row],[asOf]]))</f>
        <v>42031</v>
      </c>
      <c r="R381" s="19">
        <v>3.66</v>
      </c>
      <c r="S381" s="19">
        <v>0.6</v>
      </c>
      <c r="T381" s="19">
        <v>3.56</v>
      </c>
      <c r="V381" s="48" t="s">
        <v>1458</v>
      </c>
      <c r="W381" s="48" t="s">
        <v>1832</v>
      </c>
      <c r="X381" s="51">
        <v>2.4482414321452199</v>
      </c>
      <c r="Z381" s="48" t="s">
        <v>1452</v>
      </c>
      <c r="AA381" s="51">
        <v>1.0133311899999999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1453</v>
      </c>
      <c r="Q382" s="23">
        <f>DATE(YEAR(OneWeekMtgRatesDataTable75[[#This Row],[asOf]]),MONTH(OneWeekMtgRatesDataTable75[[#This Row],[asOf]]),DAY(OneWeekMtgRatesDataTable75[[#This Row],[asOf]]))</f>
        <v>42030</v>
      </c>
      <c r="R382" s="19">
        <v>3.66</v>
      </c>
      <c r="S382" s="19">
        <v>0.6</v>
      </c>
      <c r="T382" s="19">
        <v>3.56</v>
      </c>
      <c r="V382" s="48" t="s">
        <v>1457</v>
      </c>
      <c r="W382" s="48" t="s">
        <v>1832</v>
      </c>
      <c r="X382" s="51">
        <v>2.4526687901347302</v>
      </c>
      <c r="Z382" s="48" t="s">
        <v>1451</v>
      </c>
      <c r="AA382" s="51">
        <v>1.0133311899999999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1452</v>
      </c>
      <c r="Q383" s="23">
        <f>DATE(YEAR(OneWeekMtgRatesDataTable75[[#This Row],[asOf]]),MONTH(OneWeekMtgRatesDataTable75[[#This Row],[asOf]]),DAY(OneWeekMtgRatesDataTable75[[#This Row],[asOf]]))</f>
        <v>42027</v>
      </c>
      <c r="R383" s="19">
        <v>3.66</v>
      </c>
      <c r="S383" s="19">
        <v>0.6</v>
      </c>
      <c r="T383" s="19">
        <v>3.56</v>
      </c>
      <c r="V383" s="48" t="s">
        <v>1456</v>
      </c>
      <c r="W383" s="48" t="s">
        <v>1832</v>
      </c>
      <c r="X383" s="51">
        <v>2.5133603709402799</v>
      </c>
      <c r="Z383" s="48" t="s">
        <v>1450</v>
      </c>
      <c r="AA383" s="51">
        <v>1.0133311899999999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1451</v>
      </c>
      <c r="Q384" s="23">
        <f>DATE(YEAR(OneWeekMtgRatesDataTable75[[#This Row],[asOf]]),MONTH(OneWeekMtgRatesDataTable75[[#This Row],[asOf]]),DAY(OneWeekMtgRatesDataTable75[[#This Row],[asOf]]))</f>
        <v>42026</v>
      </c>
      <c r="R384" s="19">
        <v>3.66</v>
      </c>
      <c r="S384" s="19">
        <v>0.6</v>
      </c>
      <c r="T384" s="19">
        <v>3.56</v>
      </c>
      <c r="V384" s="48" t="s">
        <v>1455</v>
      </c>
      <c r="W384" s="48" t="s">
        <v>1832</v>
      </c>
      <c r="X384" s="51">
        <v>2.5075854882079498</v>
      </c>
      <c r="Z384" s="48" t="s">
        <v>1449</v>
      </c>
      <c r="AA384" s="51">
        <v>0.96240997299999997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1450</v>
      </c>
      <c r="Q385" s="23">
        <f>DATE(YEAR(OneWeekMtgRatesDataTable75[[#This Row],[asOf]]),MONTH(OneWeekMtgRatesDataTable75[[#This Row],[asOf]]),DAY(OneWeekMtgRatesDataTable75[[#This Row],[asOf]]))</f>
        <v>42025</v>
      </c>
      <c r="R385" s="19">
        <v>3.63</v>
      </c>
      <c r="S385" s="19">
        <v>0.7</v>
      </c>
      <c r="T385" s="19">
        <v>3.5549999999999997</v>
      </c>
      <c r="V385" s="48" t="s">
        <v>1454</v>
      </c>
      <c r="W385" s="48" t="s">
        <v>1832</v>
      </c>
      <c r="X385" s="51">
        <v>2.58566791572217</v>
      </c>
      <c r="Z385" s="48" t="s">
        <v>1448</v>
      </c>
      <c r="AA385" s="51">
        <v>0.96240997299999997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1449</v>
      </c>
      <c r="Q386" s="23">
        <f>DATE(YEAR(OneWeekMtgRatesDataTable75[[#This Row],[asOf]]),MONTH(OneWeekMtgRatesDataTable75[[#This Row],[asOf]]),DAY(OneWeekMtgRatesDataTable75[[#This Row],[asOf]]))</f>
        <v>42024</v>
      </c>
      <c r="R386" s="19">
        <v>3.63</v>
      </c>
      <c r="S386" s="19">
        <v>0.7</v>
      </c>
      <c r="T386" s="19">
        <v>3.5549999999999997</v>
      </c>
      <c r="V386" s="48" t="s">
        <v>1453</v>
      </c>
      <c r="W386" s="48" t="s">
        <v>1832</v>
      </c>
      <c r="X386" s="51">
        <v>2.5964187919228277</v>
      </c>
      <c r="Z386" s="48" t="s">
        <v>1447</v>
      </c>
      <c r="AA386" s="51">
        <v>0.96240997299999997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1448</v>
      </c>
      <c r="Q387" s="23">
        <f>DATE(YEAR(OneWeekMtgRatesDataTable75[[#This Row],[asOf]]),MONTH(OneWeekMtgRatesDataTable75[[#This Row],[asOf]]),DAY(OneWeekMtgRatesDataTable75[[#This Row],[asOf]]))</f>
        <v>42020</v>
      </c>
      <c r="R387" s="19">
        <v>3.63</v>
      </c>
      <c r="S387" s="19">
        <v>0.7</v>
      </c>
      <c r="T387" s="19">
        <v>3.5549999999999997</v>
      </c>
      <c r="V387" s="48" t="s">
        <v>1452</v>
      </c>
      <c r="W387" s="48" t="s">
        <v>1832</v>
      </c>
      <c r="X387" s="51">
        <v>2.5688065849413189</v>
      </c>
      <c r="Z387" s="48" t="s">
        <v>1446</v>
      </c>
      <c r="AA387" s="51">
        <v>0.96240997299999997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1447</v>
      </c>
      <c r="Q388" s="23">
        <f>DATE(YEAR(OneWeekMtgRatesDataTable75[[#This Row],[asOf]]),MONTH(OneWeekMtgRatesDataTable75[[#This Row],[asOf]]),DAY(OneWeekMtgRatesDataTable75[[#This Row],[asOf]]))</f>
        <v>42019</v>
      </c>
      <c r="R388" s="19">
        <v>3.63</v>
      </c>
      <c r="S388" s="19">
        <v>0.7</v>
      </c>
      <c r="T388" s="19">
        <v>3.5549999999999997</v>
      </c>
      <c r="V388" s="48" t="s">
        <v>1451</v>
      </c>
      <c r="W388" s="48" t="s">
        <v>1832</v>
      </c>
      <c r="X388" s="51">
        <v>2.6170205733531602</v>
      </c>
      <c r="Z388" s="48" t="s">
        <v>1445</v>
      </c>
      <c r="AA388" s="51">
        <v>0.94926924700000004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1446</v>
      </c>
      <c r="Q389" s="23">
        <f>DATE(YEAR(OneWeekMtgRatesDataTable75[[#This Row],[asOf]]),MONTH(OneWeekMtgRatesDataTable75[[#This Row],[asOf]]),DAY(OneWeekMtgRatesDataTable75[[#This Row],[asOf]]))</f>
        <v>42018</v>
      </c>
      <c r="R389" s="19">
        <v>3.66</v>
      </c>
      <c r="S389" s="19">
        <v>0.6</v>
      </c>
      <c r="T389" s="19">
        <v>3.56</v>
      </c>
      <c r="V389" s="48" t="s">
        <v>1450</v>
      </c>
      <c r="W389" s="48" t="s">
        <v>1832</v>
      </c>
      <c r="X389" s="51">
        <v>2.6084944348331098</v>
      </c>
      <c r="Z389" s="48" t="s">
        <v>1444</v>
      </c>
      <c r="AA389" s="51">
        <v>0.94926924700000004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1445</v>
      </c>
      <c r="Q390" s="23">
        <f>DATE(YEAR(OneWeekMtgRatesDataTable75[[#This Row],[asOf]]),MONTH(OneWeekMtgRatesDataTable75[[#This Row],[asOf]]),DAY(OneWeekMtgRatesDataTable75[[#This Row],[asOf]]))</f>
        <v>42017</v>
      </c>
      <c r="R390" s="19">
        <v>3.66</v>
      </c>
      <c r="S390" s="19">
        <v>0.6</v>
      </c>
      <c r="T390" s="19">
        <v>3.56</v>
      </c>
      <c r="V390" s="48" t="s">
        <v>1449</v>
      </c>
      <c r="W390" s="48" t="s">
        <v>1832</v>
      </c>
      <c r="X390" s="51">
        <v>2.55737179181423</v>
      </c>
      <c r="Z390" s="48" t="s">
        <v>1443</v>
      </c>
      <c r="AA390" s="51">
        <v>0.94926924700000004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1444</v>
      </c>
      <c r="Q391" s="23">
        <f>DATE(YEAR(OneWeekMtgRatesDataTable75[[#This Row],[asOf]]),MONTH(OneWeekMtgRatesDataTable75[[#This Row],[asOf]]),DAY(OneWeekMtgRatesDataTable75[[#This Row],[asOf]]))</f>
        <v>42016</v>
      </c>
      <c r="R391" s="19">
        <v>3.66</v>
      </c>
      <c r="S391" s="19">
        <v>0.6</v>
      </c>
      <c r="T391" s="19">
        <v>3.56</v>
      </c>
      <c r="V391" s="48" t="s">
        <v>1448</v>
      </c>
      <c r="W391" s="48" t="s">
        <v>1832</v>
      </c>
      <c r="X391" s="51">
        <v>2.5454794820645601</v>
      </c>
      <c r="Z391" s="48" t="s">
        <v>1442</v>
      </c>
      <c r="AA391" s="51">
        <v>0.94926924700000004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1443</v>
      </c>
      <c r="Q392" s="23">
        <f>DATE(YEAR(OneWeekMtgRatesDataTable75[[#This Row],[asOf]]),MONTH(OneWeekMtgRatesDataTable75[[#This Row],[asOf]]),DAY(OneWeekMtgRatesDataTable75[[#This Row],[asOf]]))</f>
        <v>42013</v>
      </c>
      <c r="R392" s="19">
        <v>3.66</v>
      </c>
      <c r="S392" s="19">
        <v>0.6</v>
      </c>
      <c r="T392" s="19">
        <v>3.56</v>
      </c>
      <c r="V392" s="48" t="s">
        <v>1447</v>
      </c>
      <c r="W392" s="48" t="s">
        <v>1832</v>
      </c>
      <c r="X392" s="51">
        <v>2.4553295319883701</v>
      </c>
      <c r="Z392" s="48" t="s">
        <v>1441</v>
      </c>
      <c r="AA392" s="51">
        <v>0.94926924700000004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1442</v>
      </c>
      <c r="Q393" s="23">
        <f>DATE(YEAR(OneWeekMtgRatesDataTable75[[#This Row],[asOf]]),MONTH(OneWeekMtgRatesDataTable75[[#This Row],[asOf]]),DAY(OneWeekMtgRatesDataTable75[[#This Row],[asOf]]))</f>
        <v>42012</v>
      </c>
      <c r="R393" s="19">
        <v>3.66</v>
      </c>
      <c r="S393" s="19">
        <v>0.6</v>
      </c>
      <c r="T393" s="19">
        <v>3.56</v>
      </c>
      <c r="V393" s="48" t="s">
        <v>1446</v>
      </c>
      <c r="W393" s="48" t="s">
        <v>1832</v>
      </c>
      <c r="X393" s="51">
        <v>2.49106608048328</v>
      </c>
      <c r="Z393" s="48" t="s">
        <v>1440</v>
      </c>
      <c r="AA393" s="51">
        <v>0.91047831099999998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1441</v>
      </c>
      <c r="Q394" s="23">
        <f>DATE(YEAR(OneWeekMtgRatesDataTable75[[#This Row],[asOf]]),MONTH(OneWeekMtgRatesDataTable75[[#This Row],[asOf]]),DAY(OneWeekMtgRatesDataTable75[[#This Row],[asOf]]))</f>
        <v>42011</v>
      </c>
      <c r="R394" s="19">
        <v>3.73</v>
      </c>
      <c r="S394" s="19">
        <v>0.6</v>
      </c>
      <c r="T394" s="19">
        <v>3.63</v>
      </c>
      <c r="V394" s="48" t="s">
        <v>1445</v>
      </c>
      <c r="W394" s="48" t="s">
        <v>1832</v>
      </c>
      <c r="X394" s="51">
        <v>2.57954379421794</v>
      </c>
      <c r="Z394" s="48" t="s">
        <v>1439</v>
      </c>
      <c r="AA394" s="51">
        <v>0.91047831099999998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1440</v>
      </c>
      <c r="Q395" s="23">
        <f>DATE(YEAR(OneWeekMtgRatesDataTable75[[#This Row],[asOf]]),MONTH(OneWeekMtgRatesDataTable75[[#This Row],[asOf]]),DAY(OneWeekMtgRatesDataTable75[[#This Row],[asOf]]))</f>
        <v>42010</v>
      </c>
      <c r="R395" s="19">
        <v>3.73</v>
      </c>
      <c r="S395" s="19">
        <v>0.6</v>
      </c>
      <c r="T395" s="19">
        <v>3.63</v>
      </c>
      <c r="V395" s="48" t="s">
        <v>1444</v>
      </c>
      <c r="W395" s="48" t="s">
        <v>1832</v>
      </c>
      <c r="X395" s="51">
        <v>2.5936190223084101</v>
      </c>
      <c r="Z395" s="48" t="s">
        <v>1438</v>
      </c>
      <c r="AA395" s="51">
        <v>0.91047831099999998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1439</v>
      </c>
      <c r="Q396" s="23">
        <f>DATE(YEAR(OneWeekMtgRatesDataTable75[[#This Row],[asOf]]),MONTH(OneWeekMtgRatesDataTable75[[#This Row],[asOf]]),DAY(OneWeekMtgRatesDataTable75[[#This Row],[asOf]]))</f>
        <v>42009</v>
      </c>
      <c r="R396" s="19">
        <v>3.73</v>
      </c>
      <c r="S396" s="19">
        <v>0.6</v>
      </c>
      <c r="T396" s="19">
        <v>3.63</v>
      </c>
      <c r="V396" s="48" t="s">
        <v>1443</v>
      </c>
      <c r="W396" s="48" t="s">
        <v>1832</v>
      </c>
      <c r="X396" s="51">
        <v>2.6462920309129299</v>
      </c>
      <c r="Z396" s="48" t="s">
        <v>1437</v>
      </c>
      <c r="AA396" s="51">
        <v>0.91047831099999998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1438</v>
      </c>
      <c r="Q397" s="23">
        <f>DATE(YEAR(OneWeekMtgRatesDataTable75[[#This Row],[asOf]]),MONTH(OneWeekMtgRatesDataTable75[[#This Row],[asOf]]),DAY(OneWeekMtgRatesDataTable75[[#This Row],[asOf]]))</f>
        <v>42006</v>
      </c>
      <c r="R397" s="19">
        <v>3.73</v>
      </c>
      <c r="S397" s="19">
        <v>0.6</v>
      </c>
      <c r="T397" s="19">
        <v>3.63</v>
      </c>
      <c r="V397" s="48" t="s">
        <v>1442</v>
      </c>
      <c r="W397" s="48" t="s">
        <v>1832</v>
      </c>
      <c r="X397" s="51">
        <v>2.6774292062275329</v>
      </c>
      <c r="Z397" s="48" t="s">
        <v>1436</v>
      </c>
      <c r="AA397" s="51">
        <v>0.86246175700000005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1437</v>
      </c>
      <c r="Q398" s="23">
        <f>DATE(YEAR(OneWeekMtgRatesDataTable75[[#This Row],[asOf]]),MONTH(OneWeekMtgRatesDataTable75[[#This Row],[asOf]]),DAY(OneWeekMtgRatesDataTable75[[#This Row],[asOf]]))</f>
        <v>42004</v>
      </c>
      <c r="R398" s="19">
        <v>3.87</v>
      </c>
      <c r="S398" s="19">
        <v>0.6</v>
      </c>
      <c r="T398" s="19">
        <v>3.77</v>
      </c>
      <c r="V398" s="48" t="s">
        <v>1441</v>
      </c>
      <c r="W398" s="48" t="s">
        <v>1832</v>
      </c>
      <c r="X398" s="51">
        <v>2.6248431051869581</v>
      </c>
      <c r="Z398" s="48" t="s">
        <v>1435</v>
      </c>
      <c r="AA398" s="51">
        <v>0.86246175700000005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1436</v>
      </c>
      <c r="Q399" s="23">
        <f>DATE(YEAR(OneWeekMtgRatesDataTable75[[#This Row],[asOf]]),MONTH(OneWeekMtgRatesDataTable75[[#This Row],[asOf]]),DAY(OneWeekMtgRatesDataTable75[[#This Row],[asOf]]))</f>
        <v>42003</v>
      </c>
      <c r="R399" s="19">
        <v>3.87</v>
      </c>
      <c r="S399" s="19">
        <v>0.6</v>
      </c>
      <c r="T399" s="19">
        <v>3.77</v>
      </c>
      <c r="V399" s="48" t="s">
        <v>1440</v>
      </c>
      <c r="W399" s="48" t="s">
        <v>1832</v>
      </c>
      <c r="X399" s="51">
        <v>2.61636453709349</v>
      </c>
      <c r="Z399" s="48" t="s">
        <v>1434</v>
      </c>
      <c r="AA399" s="51">
        <v>0.86246175700000005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1435</v>
      </c>
      <c r="Q400" s="23">
        <f>DATE(YEAR(OneWeekMtgRatesDataTable75[[#This Row],[asOf]]),MONTH(OneWeekMtgRatesDataTable75[[#This Row],[asOf]]),DAY(OneWeekMtgRatesDataTable75[[#This Row],[asOf]]))</f>
        <v>42002</v>
      </c>
      <c r="R400" s="19">
        <v>3.87</v>
      </c>
      <c r="S400" s="19">
        <v>0.6</v>
      </c>
      <c r="T400" s="19">
        <v>3.77</v>
      </c>
      <c r="V400" s="48" t="s">
        <v>1439</v>
      </c>
      <c r="W400" s="48" t="s">
        <v>1832</v>
      </c>
      <c r="X400" s="51">
        <v>2.6962701266687499</v>
      </c>
      <c r="Z400" s="48" t="s">
        <v>1433</v>
      </c>
      <c r="AA400" s="51">
        <v>0.86246175700000005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1434</v>
      </c>
      <c r="Q401" s="23">
        <f>DATE(YEAR(OneWeekMtgRatesDataTable75[[#This Row],[asOf]]),MONTH(OneWeekMtgRatesDataTable75[[#This Row],[asOf]]),DAY(OneWeekMtgRatesDataTable75[[#This Row],[asOf]]))</f>
        <v>41999</v>
      </c>
      <c r="R401" s="19">
        <v>3.87</v>
      </c>
      <c r="S401" s="19">
        <v>0.6</v>
      </c>
      <c r="T401" s="19">
        <v>3.77</v>
      </c>
      <c r="V401" s="48" t="s">
        <v>1438</v>
      </c>
      <c r="W401" s="48" t="s">
        <v>1832</v>
      </c>
      <c r="X401" s="51">
        <v>2.7854452423976599</v>
      </c>
      <c r="Z401" s="48" t="s">
        <v>1432</v>
      </c>
      <c r="AA401" s="51">
        <v>0.87648274699999995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1433</v>
      </c>
      <c r="Q402" s="23">
        <f>DATE(YEAR(OneWeekMtgRatesDataTable75[[#This Row],[asOf]]),MONTH(OneWeekMtgRatesDataTable75[[#This Row],[asOf]]),DAY(OneWeekMtgRatesDataTable75[[#This Row],[asOf]]))</f>
        <v>41997</v>
      </c>
      <c r="R402" s="19">
        <v>3.83</v>
      </c>
      <c r="S402" s="19">
        <v>0.6</v>
      </c>
      <c r="T402" s="19">
        <v>3.73</v>
      </c>
      <c r="V402" s="48" t="s">
        <v>1437</v>
      </c>
      <c r="W402" s="48" t="s">
        <v>1832</v>
      </c>
      <c r="X402" s="51">
        <v>2.8338661414623698</v>
      </c>
      <c r="Z402" s="48" t="s">
        <v>1431</v>
      </c>
      <c r="AA402" s="51">
        <v>0.87648274699999995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1432</v>
      </c>
      <c r="Q403" s="23">
        <f>DATE(YEAR(OneWeekMtgRatesDataTable75[[#This Row],[asOf]]),MONTH(OneWeekMtgRatesDataTable75[[#This Row],[asOf]]),DAY(OneWeekMtgRatesDataTable75[[#This Row],[asOf]]))</f>
        <v>41996</v>
      </c>
      <c r="R403" s="19">
        <v>3.83</v>
      </c>
      <c r="S403" s="19">
        <v>0.6</v>
      </c>
      <c r="T403" s="19">
        <v>3.73</v>
      </c>
      <c r="V403" s="48" t="s">
        <v>1436</v>
      </c>
      <c r="W403" s="48" t="s">
        <v>1832</v>
      </c>
      <c r="X403" s="51">
        <v>2.8519980737177399</v>
      </c>
      <c r="Z403" s="48" t="s">
        <v>1430</v>
      </c>
      <c r="AA403" s="51">
        <v>0.87648274699999995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1431</v>
      </c>
      <c r="Q404" s="23">
        <f>DATE(YEAR(OneWeekMtgRatesDataTable75[[#This Row],[asOf]]),MONTH(OneWeekMtgRatesDataTable75[[#This Row],[asOf]]),DAY(OneWeekMtgRatesDataTable75[[#This Row],[asOf]]))</f>
        <v>41995</v>
      </c>
      <c r="R404" s="19">
        <v>3.83</v>
      </c>
      <c r="S404" s="19">
        <v>0.6</v>
      </c>
      <c r="T404" s="19">
        <v>3.73</v>
      </c>
      <c r="V404" s="48" t="s">
        <v>1435</v>
      </c>
      <c r="W404" s="48" t="s">
        <v>1832</v>
      </c>
      <c r="X404" s="51">
        <v>2.8609798255384802</v>
      </c>
      <c r="Z404" s="48" t="s">
        <v>1429</v>
      </c>
      <c r="AA404" s="51">
        <v>0.87648274699999995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1430</v>
      </c>
      <c r="Q405" s="23">
        <f>DATE(YEAR(OneWeekMtgRatesDataTable75[[#This Row],[asOf]]),MONTH(OneWeekMtgRatesDataTable75[[#This Row],[asOf]]),DAY(OneWeekMtgRatesDataTable75[[#This Row],[asOf]]))</f>
        <v>41992</v>
      </c>
      <c r="R405" s="19">
        <v>3.83</v>
      </c>
      <c r="S405" s="19">
        <v>0.6</v>
      </c>
      <c r="T405" s="19">
        <v>3.73</v>
      </c>
      <c r="V405" s="48" t="s">
        <v>1434</v>
      </c>
      <c r="W405" s="48" t="s">
        <v>1832</v>
      </c>
      <c r="X405" s="51">
        <v>2.8912427168811901</v>
      </c>
      <c r="Z405" s="48" t="s">
        <v>1428</v>
      </c>
      <c r="AA405" s="51">
        <v>0.87648274699999995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1429</v>
      </c>
      <c r="Q406" s="23">
        <f>DATE(YEAR(OneWeekMtgRatesDataTable75[[#This Row],[asOf]]),MONTH(OneWeekMtgRatesDataTable75[[#This Row],[asOf]]),DAY(OneWeekMtgRatesDataTable75[[#This Row],[asOf]]))</f>
        <v>41991</v>
      </c>
      <c r="R406" s="19">
        <v>3.83</v>
      </c>
      <c r="S406" s="19">
        <v>0.6</v>
      </c>
      <c r="T406" s="19">
        <v>3.73</v>
      </c>
      <c r="V406" s="48" t="s">
        <v>1433</v>
      </c>
      <c r="W406" s="48" t="s">
        <v>1832</v>
      </c>
      <c r="X406" s="51">
        <v>2.90975275027838</v>
      </c>
      <c r="Z406" s="48" t="s">
        <v>1427</v>
      </c>
      <c r="AA406" s="51">
        <v>0.90431313800000002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1428</v>
      </c>
      <c r="Q407" s="23">
        <f>DATE(YEAR(OneWeekMtgRatesDataTable75[[#This Row],[asOf]]),MONTH(OneWeekMtgRatesDataTable75[[#This Row],[asOf]]),DAY(OneWeekMtgRatesDataTable75[[#This Row],[asOf]]))</f>
        <v>41990</v>
      </c>
      <c r="R407" s="19">
        <v>3.8</v>
      </c>
      <c r="S407" s="19">
        <v>0.6</v>
      </c>
      <c r="T407" s="19">
        <v>3.6999999999999997</v>
      </c>
      <c r="V407" s="48" t="s">
        <v>1432</v>
      </c>
      <c r="W407" s="48" t="s">
        <v>1832</v>
      </c>
      <c r="X407" s="51">
        <v>2.91032440435752</v>
      </c>
      <c r="Z407" s="48" t="s">
        <v>1426</v>
      </c>
      <c r="AA407" s="51">
        <v>0.90431313800000002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1427</v>
      </c>
      <c r="Q408" s="23">
        <f>DATE(YEAR(OneWeekMtgRatesDataTable75[[#This Row],[asOf]]),MONTH(OneWeekMtgRatesDataTable75[[#This Row],[asOf]]),DAY(OneWeekMtgRatesDataTable75[[#This Row],[asOf]]))</f>
        <v>41989</v>
      </c>
      <c r="R408" s="19">
        <v>3.8</v>
      </c>
      <c r="S408" s="19">
        <v>0.6</v>
      </c>
      <c r="T408" s="19">
        <v>3.6999999999999997</v>
      </c>
      <c r="V408" s="48" t="s">
        <v>1431</v>
      </c>
      <c r="W408" s="48" t="s">
        <v>1832</v>
      </c>
      <c r="X408" s="51">
        <v>2.8256441971088901</v>
      </c>
      <c r="Z408" s="48" t="s">
        <v>1425</v>
      </c>
      <c r="AA408" s="51">
        <v>0.90431313800000002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1426</v>
      </c>
      <c r="Q409" s="23">
        <f>DATE(YEAR(OneWeekMtgRatesDataTable75[[#This Row],[asOf]]),MONTH(OneWeekMtgRatesDataTable75[[#This Row],[asOf]]),DAY(OneWeekMtgRatesDataTable75[[#This Row],[asOf]]))</f>
        <v>41988</v>
      </c>
      <c r="R409" s="19">
        <v>3.8</v>
      </c>
      <c r="S409" s="19">
        <v>0.6</v>
      </c>
      <c r="T409" s="19">
        <v>3.6999999999999997</v>
      </c>
      <c r="V409" s="48" t="s">
        <v>1430</v>
      </c>
      <c r="W409" s="48" t="s">
        <v>1832</v>
      </c>
      <c r="X409" s="51">
        <v>2.8337398573021799</v>
      </c>
      <c r="Z409" s="48" t="s">
        <v>1424</v>
      </c>
      <c r="AA409" s="51">
        <v>0.90431313800000002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1425</v>
      </c>
      <c r="Q410" s="23">
        <f>DATE(YEAR(OneWeekMtgRatesDataTable75[[#This Row],[asOf]]),MONTH(OneWeekMtgRatesDataTable75[[#This Row],[asOf]]),DAY(OneWeekMtgRatesDataTable75[[#This Row],[asOf]]))</f>
        <v>41985</v>
      </c>
      <c r="R410" s="19">
        <v>3.8</v>
      </c>
      <c r="S410" s="19">
        <v>0.6</v>
      </c>
      <c r="T410" s="19">
        <v>3.6999999999999997</v>
      </c>
      <c r="V410" s="48" t="s">
        <v>1429</v>
      </c>
      <c r="W410" s="48" t="s">
        <v>1832</v>
      </c>
      <c r="X410" s="51">
        <v>2.8582300067965201</v>
      </c>
      <c r="Z410" s="48" t="s">
        <v>1423</v>
      </c>
      <c r="AA410" s="51">
        <v>0.90431313800000002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1424</v>
      </c>
      <c r="Q411" s="23">
        <f>DATE(YEAR(OneWeekMtgRatesDataTable75[[#This Row],[asOf]]),MONTH(OneWeekMtgRatesDataTable75[[#This Row],[asOf]]),DAY(OneWeekMtgRatesDataTable75[[#This Row],[asOf]]))</f>
        <v>41984</v>
      </c>
      <c r="R411" s="19">
        <v>3.8</v>
      </c>
      <c r="S411" s="19">
        <v>0.6</v>
      </c>
      <c r="T411" s="19">
        <v>3.6999999999999997</v>
      </c>
      <c r="V411" s="48" t="s">
        <v>1428</v>
      </c>
      <c r="W411" s="48" t="s">
        <v>1832</v>
      </c>
      <c r="X411" s="51">
        <v>2.8371501312702399</v>
      </c>
      <c r="Z411" s="48" t="s">
        <v>1422</v>
      </c>
      <c r="AA411" s="51">
        <v>0.87366934699999999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1423</v>
      </c>
      <c r="Q412" s="23">
        <f>DATE(YEAR(OneWeekMtgRatesDataTable75[[#This Row],[asOf]]),MONTH(OneWeekMtgRatesDataTable75[[#This Row],[asOf]]),DAY(OneWeekMtgRatesDataTable75[[#This Row],[asOf]]))</f>
        <v>41983</v>
      </c>
      <c r="R412" s="19">
        <v>3.93</v>
      </c>
      <c r="S412" s="19">
        <v>0.5</v>
      </c>
      <c r="T412" s="19">
        <v>3.8050000000000002</v>
      </c>
      <c r="V412" s="48" t="s">
        <v>1427</v>
      </c>
      <c r="W412" s="48" t="s">
        <v>1832</v>
      </c>
      <c r="X412" s="51">
        <v>2.7872489970640002</v>
      </c>
      <c r="Z412" s="48" t="s">
        <v>1421</v>
      </c>
      <c r="AA412" s="51">
        <v>0.87366934699999999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1422</v>
      </c>
      <c r="Q413" s="23">
        <f>DATE(YEAR(OneWeekMtgRatesDataTable75[[#This Row],[asOf]]),MONTH(OneWeekMtgRatesDataTable75[[#This Row],[asOf]]),DAY(OneWeekMtgRatesDataTable75[[#This Row],[asOf]]))</f>
        <v>41982</v>
      </c>
      <c r="R413" s="19">
        <v>3.93</v>
      </c>
      <c r="S413" s="19">
        <v>0.5</v>
      </c>
      <c r="T413" s="19">
        <v>3.8050000000000002</v>
      </c>
      <c r="V413" s="48" t="s">
        <v>1426</v>
      </c>
      <c r="W413" s="48" t="s">
        <v>1832</v>
      </c>
      <c r="X413" s="51">
        <v>2.8291749929655099</v>
      </c>
      <c r="Z413" s="48" t="s">
        <v>1420</v>
      </c>
      <c r="AA413" s="51">
        <v>0.87366934699999999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1421</v>
      </c>
      <c r="Q414" s="23">
        <f>DATE(YEAR(OneWeekMtgRatesDataTable75[[#This Row],[asOf]]),MONTH(OneWeekMtgRatesDataTable75[[#This Row],[asOf]]),DAY(OneWeekMtgRatesDataTable75[[#This Row],[asOf]]))</f>
        <v>41981</v>
      </c>
      <c r="R414" s="19">
        <v>3.93</v>
      </c>
      <c r="S414" s="19">
        <v>0.5</v>
      </c>
      <c r="T414" s="19">
        <v>3.8050000000000002</v>
      </c>
      <c r="V414" s="48" t="s">
        <v>1425</v>
      </c>
      <c r="W414" s="48" t="s">
        <v>1832</v>
      </c>
      <c r="X414" s="51">
        <v>2.80057780204395</v>
      </c>
      <c r="Z414" s="48" t="s">
        <v>1419</v>
      </c>
      <c r="AA414" s="51">
        <v>0.87366934699999999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1420</v>
      </c>
      <c r="Q415" s="23">
        <f>DATE(YEAR(OneWeekMtgRatesDataTable75[[#This Row],[asOf]]),MONTH(OneWeekMtgRatesDataTable75[[#This Row],[asOf]]),DAY(OneWeekMtgRatesDataTable75[[#This Row],[asOf]]))</f>
        <v>41978</v>
      </c>
      <c r="R415" s="19">
        <v>3.93</v>
      </c>
      <c r="S415" s="19">
        <v>0.5</v>
      </c>
      <c r="T415" s="19">
        <v>3.8050000000000002</v>
      </c>
      <c r="V415" s="48" t="s">
        <v>1424</v>
      </c>
      <c r="W415" s="48" t="s">
        <v>1832</v>
      </c>
      <c r="X415" s="51">
        <v>2.8634343397483599</v>
      </c>
      <c r="Z415" s="48" t="s">
        <v>1418</v>
      </c>
      <c r="AA415" s="51">
        <v>0.87366934699999999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1419</v>
      </c>
      <c r="Q416" s="23">
        <f>DATE(YEAR(OneWeekMtgRatesDataTable75[[#This Row],[asOf]]),MONTH(OneWeekMtgRatesDataTable75[[#This Row],[asOf]]),DAY(OneWeekMtgRatesDataTable75[[#This Row],[asOf]]))</f>
        <v>41977</v>
      </c>
      <c r="R416" s="19">
        <v>3.93</v>
      </c>
      <c r="S416" s="19">
        <v>0.5</v>
      </c>
      <c r="T416" s="19">
        <v>3.8050000000000002</v>
      </c>
      <c r="V416" s="48" t="s">
        <v>1423</v>
      </c>
      <c r="W416" s="48" t="s">
        <v>1832</v>
      </c>
      <c r="X416" s="51">
        <v>2.8515070487427501</v>
      </c>
      <c r="Z416" s="48" t="s">
        <v>1417</v>
      </c>
      <c r="AA416" s="51">
        <v>0.90826415400000005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1418</v>
      </c>
      <c r="Q417" s="23">
        <f>DATE(YEAR(OneWeekMtgRatesDataTable75[[#This Row],[asOf]]),MONTH(OneWeekMtgRatesDataTable75[[#This Row],[asOf]]),DAY(OneWeekMtgRatesDataTable75[[#This Row],[asOf]]))</f>
        <v>41976</v>
      </c>
      <c r="R417" s="19">
        <v>3.89</v>
      </c>
      <c r="S417" s="19">
        <v>0.5</v>
      </c>
      <c r="T417" s="19">
        <v>3.7650000000000001</v>
      </c>
      <c r="V417" s="48" t="s">
        <v>1422</v>
      </c>
      <c r="W417" s="48" t="s">
        <v>1832</v>
      </c>
      <c r="X417" s="51">
        <v>2.8860238028398202</v>
      </c>
      <c r="Z417" s="48" t="s">
        <v>1416</v>
      </c>
      <c r="AA417" s="51">
        <v>0.90826415400000005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1417</v>
      </c>
      <c r="Q418" s="23">
        <f>DATE(YEAR(OneWeekMtgRatesDataTable75[[#This Row],[asOf]]),MONTH(OneWeekMtgRatesDataTable75[[#This Row],[asOf]]),DAY(OneWeekMtgRatesDataTable75[[#This Row],[asOf]]))</f>
        <v>41975</v>
      </c>
      <c r="R418" s="19">
        <v>3.89</v>
      </c>
      <c r="S418" s="19">
        <v>0.5</v>
      </c>
      <c r="T418" s="19">
        <v>3.7650000000000001</v>
      </c>
      <c r="V418" s="48" t="s">
        <v>1421</v>
      </c>
      <c r="W418" s="48" t="s">
        <v>1832</v>
      </c>
      <c r="X418" s="51">
        <v>2.9087586637234901</v>
      </c>
      <c r="Z418" s="48" t="s">
        <v>1415</v>
      </c>
      <c r="AA418" s="51">
        <v>0.90826415400000005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1416</v>
      </c>
      <c r="Q419" s="23">
        <f>DATE(YEAR(OneWeekMtgRatesDataTable75[[#This Row],[asOf]]),MONTH(OneWeekMtgRatesDataTable75[[#This Row],[asOf]]),DAY(OneWeekMtgRatesDataTable75[[#This Row],[asOf]]))</f>
        <v>41974</v>
      </c>
      <c r="R419" s="19">
        <v>3.89</v>
      </c>
      <c r="S419" s="19">
        <v>0.5</v>
      </c>
      <c r="T419" s="19">
        <v>3.7650000000000001</v>
      </c>
      <c r="V419" s="48" t="s">
        <v>1420</v>
      </c>
      <c r="W419" s="48" t="s">
        <v>1832</v>
      </c>
      <c r="X419" s="51">
        <v>2.9546349103912699</v>
      </c>
      <c r="Z419" s="48" t="s">
        <v>1414</v>
      </c>
      <c r="AA419" s="51">
        <v>0.90826415400000005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1415</v>
      </c>
      <c r="Q420" s="23">
        <f>DATE(YEAR(OneWeekMtgRatesDataTable75[[#This Row],[asOf]]),MONTH(OneWeekMtgRatesDataTable75[[#This Row],[asOf]]),DAY(OneWeekMtgRatesDataTable75[[#This Row],[asOf]]))</f>
        <v>41971</v>
      </c>
      <c r="R420" s="19">
        <v>3.89</v>
      </c>
      <c r="S420" s="19">
        <v>0.5</v>
      </c>
      <c r="T420" s="19">
        <v>3.7650000000000001</v>
      </c>
      <c r="V420" s="48" t="s">
        <v>1419</v>
      </c>
      <c r="W420" s="48" t="s">
        <v>1832</v>
      </c>
      <c r="X420" s="51">
        <v>2.90250988237801</v>
      </c>
      <c r="Z420" s="48" t="s">
        <v>1413</v>
      </c>
      <c r="AA420" s="51">
        <v>0.86645888699999996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1414</v>
      </c>
      <c r="Q421" s="23">
        <f>DATE(YEAR(OneWeekMtgRatesDataTable75[[#This Row],[asOf]]),MONTH(OneWeekMtgRatesDataTable75[[#This Row],[asOf]]),DAY(OneWeekMtgRatesDataTable75[[#This Row],[asOf]]))</f>
        <v>41969</v>
      </c>
      <c r="R421" s="19">
        <v>3.97</v>
      </c>
      <c r="S421" s="19">
        <v>0.5</v>
      </c>
      <c r="T421" s="19">
        <v>3.8450000000000002</v>
      </c>
      <c r="V421" s="48" t="s">
        <v>1418</v>
      </c>
      <c r="W421" s="48" t="s">
        <v>1832</v>
      </c>
      <c r="X421" s="51">
        <v>2.9323159668402701</v>
      </c>
      <c r="Z421" s="48" t="s">
        <v>1412</v>
      </c>
      <c r="AA421" s="51">
        <v>0.86645888699999996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1413</v>
      </c>
      <c r="Q422" s="23">
        <f>DATE(YEAR(OneWeekMtgRatesDataTable75[[#This Row],[asOf]]),MONTH(OneWeekMtgRatesDataTable75[[#This Row],[asOf]]),DAY(OneWeekMtgRatesDataTable75[[#This Row],[asOf]]))</f>
        <v>41968</v>
      </c>
      <c r="R422" s="19">
        <v>3.97</v>
      </c>
      <c r="S422" s="19">
        <v>0.5</v>
      </c>
      <c r="T422" s="19">
        <v>3.8450000000000002</v>
      </c>
      <c r="V422" s="48" t="s">
        <v>1417</v>
      </c>
      <c r="W422" s="48" t="s">
        <v>1832</v>
      </c>
      <c r="X422" s="51">
        <v>2.92504129119764</v>
      </c>
      <c r="Z422" s="48" t="s">
        <v>1411</v>
      </c>
      <c r="AA422" s="51">
        <v>0.86645888699999996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1412</v>
      </c>
      <c r="Q423" s="23">
        <f>DATE(YEAR(OneWeekMtgRatesDataTable75[[#This Row],[asOf]]),MONTH(OneWeekMtgRatesDataTable75[[#This Row],[asOf]]),DAY(OneWeekMtgRatesDataTable75[[#This Row],[asOf]]))</f>
        <v>41967</v>
      </c>
      <c r="R423" s="19">
        <v>3.97</v>
      </c>
      <c r="S423" s="19">
        <v>0.5</v>
      </c>
      <c r="T423" s="19">
        <v>3.8450000000000002</v>
      </c>
      <c r="V423" s="48" t="s">
        <v>1416</v>
      </c>
      <c r="W423" s="48" t="s">
        <v>1832</v>
      </c>
      <c r="X423" s="51">
        <v>2.8622800897906999</v>
      </c>
      <c r="Z423" s="48" t="s">
        <v>1410</v>
      </c>
      <c r="AA423" s="51">
        <v>0.86645888699999996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1411</v>
      </c>
      <c r="Q424" s="23">
        <f>DATE(YEAR(OneWeekMtgRatesDataTable75[[#This Row],[asOf]]),MONTH(OneWeekMtgRatesDataTable75[[#This Row],[asOf]]),DAY(OneWeekMtgRatesDataTable75[[#This Row],[asOf]]))</f>
        <v>41964</v>
      </c>
      <c r="R424" s="19">
        <v>3.97</v>
      </c>
      <c r="S424" s="19">
        <v>0.5</v>
      </c>
      <c r="T424" s="19">
        <v>3.8450000000000002</v>
      </c>
      <c r="V424" s="48" t="s">
        <v>1415</v>
      </c>
      <c r="W424" s="48" t="s">
        <v>1832</v>
      </c>
      <c r="X424" s="51">
        <v>2.84568526355815</v>
      </c>
      <c r="Z424" s="48" t="s">
        <v>1409</v>
      </c>
      <c r="AA424" s="51">
        <v>0.86645888699999996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1410</v>
      </c>
      <c r="Q425" s="23">
        <f>DATE(YEAR(OneWeekMtgRatesDataTable75[[#This Row],[asOf]]),MONTH(OneWeekMtgRatesDataTable75[[#This Row],[asOf]]),DAY(OneWeekMtgRatesDataTable75[[#This Row],[asOf]]))</f>
        <v>41963</v>
      </c>
      <c r="R425" s="19">
        <v>3.97</v>
      </c>
      <c r="S425" s="19">
        <v>0.5</v>
      </c>
      <c r="T425" s="19">
        <v>3.8450000000000002</v>
      </c>
      <c r="V425" s="48" t="s">
        <v>1414</v>
      </c>
      <c r="W425" s="48" t="s">
        <v>1832</v>
      </c>
      <c r="X425" s="51">
        <v>2.8840952878375998</v>
      </c>
      <c r="Z425" s="48" t="s">
        <v>1408</v>
      </c>
      <c r="AA425" s="51">
        <v>0.85345182500000005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1409</v>
      </c>
      <c r="Q426" s="23">
        <f>DATE(YEAR(OneWeekMtgRatesDataTable75[[#This Row],[asOf]]),MONTH(OneWeekMtgRatesDataTable75[[#This Row],[asOf]]),DAY(OneWeekMtgRatesDataTable75[[#This Row],[asOf]]))</f>
        <v>41962</v>
      </c>
      <c r="R426" s="19">
        <v>3.99</v>
      </c>
      <c r="S426" s="19">
        <v>0.5</v>
      </c>
      <c r="T426" s="19">
        <v>3.8650000000000002</v>
      </c>
      <c r="V426" s="48" t="s">
        <v>1413</v>
      </c>
      <c r="W426" s="48" t="s">
        <v>1832</v>
      </c>
      <c r="X426" s="51">
        <v>2.8987235748393099</v>
      </c>
      <c r="Z426" s="48" t="s">
        <v>1407</v>
      </c>
      <c r="AA426" s="51">
        <v>0.85345182500000005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1408</v>
      </c>
      <c r="Q427" s="23">
        <f>DATE(YEAR(OneWeekMtgRatesDataTable75[[#This Row],[asOf]]),MONTH(OneWeekMtgRatesDataTable75[[#This Row],[asOf]]),DAY(OneWeekMtgRatesDataTable75[[#This Row],[asOf]]))</f>
        <v>41961</v>
      </c>
      <c r="R427" s="19">
        <v>3.99</v>
      </c>
      <c r="S427" s="19">
        <v>0.5</v>
      </c>
      <c r="T427" s="19">
        <v>3.8650000000000002</v>
      </c>
      <c r="V427" s="48" t="s">
        <v>1412</v>
      </c>
      <c r="W427" s="48" t="s">
        <v>1832</v>
      </c>
      <c r="X427" s="51">
        <v>2.9533754292471799</v>
      </c>
      <c r="Z427" s="48" t="s">
        <v>1406</v>
      </c>
      <c r="AA427" s="51">
        <v>0.85345182500000005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1407</v>
      </c>
      <c r="Q428" s="23">
        <f>DATE(YEAR(OneWeekMtgRatesDataTable75[[#This Row],[asOf]]),MONTH(OneWeekMtgRatesDataTable75[[#This Row],[asOf]]),DAY(OneWeekMtgRatesDataTable75[[#This Row],[asOf]]))</f>
        <v>41960</v>
      </c>
      <c r="R428" s="19">
        <v>3.99</v>
      </c>
      <c r="S428" s="19">
        <v>0.5</v>
      </c>
      <c r="T428" s="19">
        <v>3.8650000000000002</v>
      </c>
      <c r="V428" s="48" t="s">
        <v>1411</v>
      </c>
      <c r="W428" s="48" t="s">
        <v>1832</v>
      </c>
      <c r="X428" s="51">
        <v>2.96503071609644</v>
      </c>
      <c r="Z428" s="48" t="s">
        <v>1405</v>
      </c>
      <c r="AA428" s="51">
        <v>0.85345182500000005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1406</v>
      </c>
      <c r="Q429" s="23">
        <f>DATE(YEAR(OneWeekMtgRatesDataTable75[[#This Row],[asOf]]),MONTH(OneWeekMtgRatesDataTable75[[#This Row],[asOf]]),DAY(OneWeekMtgRatesDataTable75[[#This Row],[asOf]]))</f>
        <v>41957</v>
      </c>
      <c r="R429" s="19">
        <v>3.99</v>
      </c>
      <c r="S429" s="19">
        <v>0.5</v>
      </c>
      <c r="T429" s="19">
        <v>3.8650000000000002</v>
      </c>
      <c r="V429" s="48" t="s">
        <v>1410</v>
      </c>
      <c r="W429" s="48" t="s">
        <v>1832</v>
      </c>
      <c r="X429" s="51">
        <v>2.9824542230370898</v>
      </c>
      <c r="Z429" s="48" t="s">
        <v>1404</v>
      </c>
      <c r="AA429" s="51">
        <v>0.85345182500000005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1405</v>
      </c>
      <c r="Q430" s="23">
        <f>DATE(YEAR(OneWeekMtgRatesDataTable75[[#This Row],[asOf]]),MONTH(OneWeekMtgRatesDataTable75[[#This Row],[asOf]]),DAY(OneWeekMtgRatesDataTable75[[#This Row],[asOf]]))</f>
        <v>41956</v>
      </c>
      <c r="R430" s="19">
        <v>3.99</v>
      </c>
      <c r="S430" s="19">
        <v>0.5</v>
      </c>
      <c r="T430" s="19">
        <v>3.8650000000000002</v>
      </c>
      <c r="V430" s="48" t="s">
        <v>1409</v>
      </c>
      <c r="W430" s="48" t="s">
        <v>1832</v>
      </c>
      <c r="X430" s="51">
        <v>3.0039537946355401</v>
      </c>
      <c r="Z430" s="48" t="s">
        <v>1403</v>
      </c>
      <c r="AA430" s="51">
        <v>0.86817520699999995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1404</v>
      </c>
      <c r="Q431" s="23">
        <f>DATE(YEAR(OneWeekMtgRatesDataTable75[[#This Row],[asOf]]),MONTH(OneWeekMtgRatesDataTable75[[#This Row],[asOf]]),DAY(OneWeekMtgRatesDataTable75[[#This Row],[asOf]]))</f>
        <v>41955</v>
      </c>
      <c r="R431" s="19">
        <v>4.01</v>
      </c>
      <c r="S431" s="19">
        <v>0.5</v>
      </c>
      <c r="T431" s="19">
        <v>3.8849999999999998</v>
      </c>
      <c r="V431" s="48" t="s">
        <v>1408</v>
      </c>
      <c r="W431" s="48" t="s">
        <v>1832</v>
      </c>
      <c r="X431" s="51">
        <v>2.98225794262494</v>
      </c>
      <c r="Z431" s="48" t="s">
        <v>1402</v>
      </c>
      <c r="AA431" s="51">
        <v>0.86817520699999995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1403</v>
      </c>
      <c r="Q432" s="23">
        <f>DATE(YEAR(OneWeekMtgRatesDataTable75[[#This Row],[asOf]]),MONTH(OneWeekMtgRatesDataTable75[[#This Row],[asOf]]),DAY(OneWeekMtgRatesDataTable75[[#This Row],[asOf]]))</f>
        <v>41953</v>
      </c>
      <c r="R432" s="19">
        <v>4.01</v>
      </c>
      <c r="S432" s="19">
        <v>0.5</v>
      </c>
      <c r="T432" s="19">
        <v>3.8849999999999998</v>
      </c>
      <c r="V432" s="48" t="s">
        <v>1407</v>
      </c>
      <c r="W432" s="48" t="s">
        <v>1832</v>
      </c>
      <c r="X432" s="51">
        <v>2.9940977333827501</v>
      </c>
      <c r="Z432" s="48" t="s">
        <v>1401</v>
      </c>
      <c r="AA432" s="51">
        <v>0.86817520699999995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1402</v>
      </c>
      <c r="Q433" s="23">
        <f>DATE(YEAR(OneWeekMtgRatesDataTable75[[#This Row],[asOf]]),MONTH(OneWeekMtgRatesDataTable75[[#This Row],[asOf]]),DAY(OneWeekMtgRatesDataTable75[[#This Row],[asOf]]))</f>
        <v>41950</v>
      </c>
      <c r="R433" s="19">
        <v>4.01</v>
      </c>
      <c r="S433" s="19">
        <v>0.5</v>
      </c>
      <c r="T433" s="19">
        <v>3.8849999999999998</v>
      </c>
      <c r="V433" s="48" t="s">
        <v>1406</v>
      </c>
      <c r="W433" s="48" t="s">
        <v>1832</v>
      </c>
      <c r="X433" s="51">
        <v>2.9883080633805301</v>
      </c>
      <c r="Z433" s="48" t="s">
        <v>1400</v>
      </c>
      <c r="AA433" s="51">
        <v>0.86817520699999995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1401</v>
      </c>
      <c r="Q434" s="23">
        <f>DATE(YEAR(OneWeekMtgRatesDataTable75[[#This Row],[asOf]]),MONTH(OneWeekMtgRatesDataTable75[[#This Row],[asOf]]),DAY(OneWeekMtgRatesDataTable75[[#This Row],[asOf]]))</f>
        <v>41949</v>
      </c>
      <c r="R434" s="19">
        <v>4.01</v>
      </c>
      <c r="S434" s="19">
        <v>0.5</v>
      </c>
      <c r="T434" s="19">
        <v>3.8849999999999998</v>
      </c>
      <c r="V434" s="48" t="s">
        <v>1405</v>
      </c>
      <c r="W434" s="48" t="s">
        <v>1832</v>
      </c>
      <c r="X434" s="51">
        <v>3.0240880311784402</v>
      </c>
      <c r="Z434" s="48" t="s">
        <v>1399</v>
      </c>
      <c r="AA434" s="51">
        <v>0.88359443299999996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1400</v>
      </c>
      <c r="Q435" s="23">
        <f>DATE(YEAR(OneWeekMtgRatesDataTable75[[#This Row],[asOf]]),MONTH(OneWeekMtgRatesDataTable75[[#This Row],[asOf]]),DAY(OneWeekMtgRatesDataTable75[[#This Row],[asOf]]))</f>
        <v>41948</v>
      </c>
      <c r="R435" s="19">
        <v>4.0199999999999996</v>
      </c>
      <c r="S435" s="19">
        <v>0.5</v>
      </c>
      <c r="T435" s="19">
        <v>3.8949999999999996</v>
      </c>
      <c r="V435" s="48" t="s">
        <v>1404</v>
      </c>
      <c r="W435" s="48" t="s">
        <v>1832</v>
      </c>
      <c r="X435" s="51">
        <v>3.03648433223462</v>
      </c>
      <c r="Z435" s="48" t="s">
        <v>1398</v>
      </c>
      <c r="AA435" s="51">
        <v>0.88359443299999996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1399</v>
      </c>
      <c r="Q436" s="23">
        <f>DATE(YEAR(OneWeekMtgRatesDataTable75[[#This Row],[asOf]]),MONTH(OneWeekMtgRatesDataTable75[[#This Row],[asOf]]),DAY(OneWeekMtgRatesDataTable75[[#This Row],[asOf]]))</f>
        <v>41947</v>
      </c>
      <c r="R436" s="19">
        <v>4.0199999999999996</v>
      </c>
      <c r="S436" s="19">
        <v>0.5</v>
      </c>
      <c r="T436" s="19">
        <v>3.8949999999999996</v>
      </c>
      <c r="V436" s="48" t="s">
        <v>1403</v>
      </c>
      <c r="W436" s="48" t="s">
        <v>1832</v>
      </c>
      <c r="X436" s="51">
        <v>3.0363365323845302</v>
      </c>
      <c r="Z436" s="48" t="s">
        <v>1397</v>
      </c>
      <c r="AA436" s="51">
        <v>0.88359443299999996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1398</v>
      </c>
      <c r="Q437" s="23">
        <f>DATE(YEAR(OneWeekMtgRatesDataTable75[[#This Row],[asOf]]),MONTH(OneWeekMtgRatesDataTable75[[#This Row],[asOf]]),DAY(OneWeekMtgRatesDataTable75[[#This Row],[asOf]]))</f>
        <v>41946</v>
      </c>
      <c r="R437" s="19">
        <v>4.0199999999999996</v>
      </c>
      <c r="S437" s="19">
        <v>0.5</v>
      </c>
      <c r="T437" s="19">
        <v>3.8949999999999996</v>
      </c>
      <c r="V437" s="48" t="s">
        <v>1402</v>
      </c>
      <c r="W437" s="48" t="s">
        <v>1832</v>
      </c>
      <c r="X437" s="51">
        <v>3.00136099640791</v>
      </c>
      <c r="Z437" s="48" t="s">
        <v>1396</v>
      </c>
      <c r="AA437" s="51">
        <v>0.88359443299999996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1397</v>
      </c>
      <c r="Q438" s="23">
        <f>DATE(YEAR(OneWeekMtgRatesDataTable75[[#This Row],[asOf]]),MONTH(OneWeekMtgRatesDataTable75[[#This Row],[asOf]]),DAY(OneWeekMtgRatesDataTable75[[#This Row],[asOf]]))</f>
        <v>41943</v>
      </c>
      <c r="R438" s="19">
        <v>4.0199999999999996</v>
      </c>
      <c r="S438" s="19">
        <v>0.5</v>
      </c>
      <c r="T438" s="19">
        <v>3.8949999999999996</v>
      </c>
      <c r="V438" s="48" t="s">
        <v>1401</v>
      </c>
      <c r="W438" s="48" t="s">
        <v>1832</v>
      </c>
      <c r="X438" s="51">
        <v>3.05201083744713</v>
      </c>
      <c r="Z438" s="48" t="s">
        <v>1395</v>
      </c>
      <c r="AA438" s="51">
        <v>0.88359443299999996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1396</v>
      </c>
      <c r="Q439" s="23">
        <f>DATE(YEAR(OneWeekMtgRatesDataTable75[[#This Row],[asOf]]),MONTH(OneWeekMtgRatesDataTable75[[#This Row],[asOf]]),DAY(OneWeekMtgRatesDataTable75[[#This Row],[asOf]]))</f>
        <v>41942</v>
      </c>
      <c r="R439" s="19">
        <v>4.0199999999999996</v>
      </c>
      <c r="S439" s="19">
        <v>0.5</v>
      </c>
      <c r="T439" s="19">
        <v>3.8949999999999996</v>
      </c>
      <c r="V439" s="48" t="s">
        <v>1400</v>
      </c>
      <c r="W439" s="48" t="s">
        <v>1832</v>
      </c>
      <c r="X439" s="51">
        <v>3.04444949772784</v>
      </c>
      <c r="Z439" s="48" t="s">
        <v>1394</v>
      </c>
      <c r="AA439" s="51">
        <v>0.89511154999999998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1395</v>
      </c>
      <c r="Q440" s="23">
        <f>DATE(YEAR(OneWeekMtgRatesDataTable75[[#This Row],[asOf]]),MONTH(OneWeekMtgRatesDataTable75[[#This Row],[asOf]]),DAY(OneWeekMtgRatesDataTable75[[#This Row],[asOf]]))</f>
        <v>41941</v>
      </c>
      <c r="R440" s="19">
        <v>3.98</v>
      </c>
      <c r="S440" s="19">
        <v>0.5</v>
      </c>
      <c r="T440" s="19">
        <v>3.855</v>
      </c>
      <c r="V440" s="48" t="s">
        <v>1399</v>
      </c>
      <c r="W440" s="48" t="s">
        <v>1832</v>
      </c>
      <c r="X440" s="51">
        <v>3.0442418004482401</v>
      </c>
      <c r="Z440" s="48" t="s">
        <v>1393</v>
      </c>
      <c r="AA440" s="51">
        <v>0.89511154999999998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1394</v>
      </c>
      <c r="Q441" s="23">
        <f>DATE(YEAR(OneWeekMtgRatesDataTable75[[#This Row],[asOf]]),MONTH(OneWeekMtgRatesDataTable75[[#This Row],[asOf]]),DAY(OneWeekMtgRatesDataTable75[[#This Row],[asOf]]))</f>
        <v>41940</v>
      </c>
      <c r="R441" s="19">
        <v>3.98</v>
      </c>
      <c r="S441" s="19">
        <v>0.5</v>
      </c>
      <c r="T441" s="19">
        <v>3.855</v>
      </c>
      <c r="V441" s="48" t="s">
        <v>1398</v>
      </c>
      <c r="W441" s="48" t="s">
        <v>1832</v>
      </c>
      <c r="X441" s="51">
        <v>3.04727792085342</v>
      </c>
      <c r="Z441" s="48" t="s">
        <v>1392</v>
      </c>
      <c r="AA441" s="51">
        <v>0.89511154999999998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1393</v>
      </c>
      <c r="Q442" s="23">
        <f>DATE(YEAR(OneWeekMtgRatesDataTable75[[#This Row],[asOf]]),MONTH(OneWeekMtgRatesDataTable75[[#This Row],[asOf]]),DAY(OneWeekMtgRatesDataTable75[[#This Row],[asOf]]))</f>
        <v>41939</v>
      </c>
      <c r="R442" s="19">
        <v>3.98</v>
      </c>
      <c r="S442" s="19">
        <v>0.5</v>
      </c>
      <c r="T442" s="19">
        <v>3.855</v>
      </c>
      <c r="V442" s="48" t="s">
        <v>1397</v>
      </c>
      <c r="W442" s="48" t="s">
        <v>1832</v>
      </c>
      <c r="X442" s="51">
        <v>3.0097405474457601</v>
      </c>
      <c r="Z442" s="48" t="s">
        <v>1391</v>
      </c>
      <c r="AA442" s="51">
        <v>0.89511154999999998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1392</v>
      </c>
      <c r="Q443" s="23">
        <f>DATE(YEAR(OneWeekMtgRatesDataTable75[[#This Row],[asOf]]),MONTH(OneWeekMtgRatesDataTable75[[#This Row],[asOf]]),DAY(OneWeekMtgRatesDataTable75[[#This Row],[asOf]]))</f>
        <v>41936</v>
      </c>
      <c r="R443" s="19">
        <v>3.98</v>
      </c>
      <c r="S443" s="19">
        <v>0.5</v>
      </c>
      <c r="T443" s="19">
        <v>3.855</v>
      </c>
      <c r="V443" s="48" t="s">
        <v>1396</v>
      </c>
      <c r="W443" s="48" t="s">
        <v>1832</v>
      </c>
      <c r="X443" s="51">
        <v>2.9884141965756501</v>
      </c>
      <c r="Z443" s="48" t="s">
        <v>1390</v>
      </c>
      <c r="AA443" s="51">
        <v>0.89511154999999998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1391</v>
      </c>
      <c r="Q444" s="23">
        <f>DATE(YEAR(OneWeekMtgRatesDataTable75[[#This Row],[asOf]]),MONTH(OneWeekMtgRatesDataTable75[[#This Row],[asOf]]),DAY(OneWeekMtgRatesDataTable75[[#This Row],[asOf]]))</f>
        <v>41935</v>
      </c>
      <c r="R444" s="19">
        <v>3.98</v>
      </c>
      <c r="S444" s="19">
        <v>0.5</v>
      </c>
      <c r="T444" s="19">
        <v>3.855</v>
      </c>
      <c r="V444" s="48" t="s">
        <v>1395</v>
      </c>
      <c r="W444" s="48" t="s">
        <v>1832</v>
      </c>
      <c r="X444" s="51">
        <v>3.0090985385111702</v>
      </c>
      <c r="Z444" s="48" t="s">
        <v>1389</v>
      </c>
      <c r="AA444" s="51">
        <v>0.91180688700000001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1390</v>
      </c>
      <c r="Q445" s="23">
        <f>DATE(YEAR(OneWeekMtgRatesDataTable75[[#This Row],[asOf]]),MONTH(OneWeekMtgRatesDataTable75[[#This Row],[asOf]]),DAY(OneWeekMtgRatesDataTable75[[#This Row],[asOf]]))</f>
        <v>41934</v>
      </c>
      <c r="R445" s="19">
        <v>3.92</v>
      </c>
      <c r="S445" s="19">
        <v>0.5</v>
      </c>
      <c r="T445" s="19">
        <v>3.7949999999999999</v>
      </c>
      <c r="V445" s="48" t="s">
        <v>1394</v>
      </c>
      <c r="W445" s="48" t="s">
        <v>1832</v>
      </c>
      <c r="X445" s="51">
        <v>2.9732615646767</v>
      </c>
      <c r="Z445" s="48" t="s">
        <v>1388</v>
      </c>
      <c r="AA445" s="51">
        <v>0.91180688700000001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1389</v>
      </c>
      <c r="Q446" s="23">
        <f>DATE(YEAR(OneWeekMtgRatesDataTable75[[#This Row],[asOf]]),MONTH(OneWeekMtgRatesDataTable75[[#This Row],[asOf]]),DAY(OneWeekMtgRatesDataTable75[[#This Row],[asOf]]))</f>
        <v>41933</v>
      </c>
      <c r="R446" s="19">
        <v>3.92</v>
      </c>
      <c r="S446" s="19">
        <v>0.5</v>
      </c>
      <c r="T446" s="19">
        <v>3.7949999999999999</v>
      </c>
      <c r="V446" s="48" t="s">
        <v>1393</v>
      </c>
      <c r="W446" s="48" t="s">
        <v>1832</v>
      </c>
      <c r="X446" s="51">
        <v>2.95063055740501</v>
      </c>
      <c r="Z446" s="48" t="s">
        <v>1387</v>
      </c>
      <c r="AA446" s="51">
        <v>0.91180688700000001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1388</v>
      </c>
      <c r="Q447" s="23">
        <f>DATE(YEAR(OneWeekMtgRatesDataTable75[[#This Row],[asOf]]),MONTH(OneWeekMtgRatesDataTable75[[#This Row],[asOf]]),DAY(OneWeekMtgRatesDataTable75[[#This Row],[asOf]]))</f>
        <v>41932</v>
      </c>
      <c r="R447" s="19">
        <v>3.92</v>
      </c>
      <c r="S447" s="19">
        <v>0.5</v>
      </c>
      <c r="T447" s="19">
        <v>3.7949999999999999</v>
      </c>
      <c r="V447" s="48" t="s">
        <v>1392</v>
      </c>
      <c r="W447" s="48" t="s">
        <v>1832</v>
      </c>
      <c r="X447" s="51">
        <v>2.9670641789919698</v>
      </c>
      <c r="Z447" s="48" t="s">
        <v>1386</v>
      </c>
      <c r="AA447" s="51">
        <v>0.91180688700000001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1387</v>
      </c>
      <c r="Q448" s="23">
        <f>DATE(YEAR(OneWeekMtgRatesDataTable75[[#This Row],[asOf]]),MONTH(OneWeekMtgRatesDataTable75[[#This Row],[asOf]]),DAY(OneWeekMtgRatesDataTable75[[#This Row],[asOf]]))</f>
        <v>41929</v>
      </c>
      <c r="R448" s="19">
        <v>3.92</v>
      </c>
      <c r="S448" s="19">
        <v>0.5</v>
      </c>
      <c r="T448" s="19">
        <v>3.7949999999999999</v>
      </c>
      <c r="V448" s="48" t="s">
        <v>1391</v>
      </c>
      <c r="W448" s="48" t="s">
        <v>1832</v>
      </c>
      <c r="X448" s="51">
        <v>2.9569729972046299</v>
      </c>
      <c r="Z448" s="48" t="s">
        <v>1385</v>
      </c>
      <c r="AA448" s="51">
        <v>0.91180688700000001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1386</v>
      </c>
      <c r="Q449" s="23">
        <f>DATE(YEAR(OneWeekMtgRatesDataTable75[[#This Row],[asOf]]),MONTH(OneWeekMtgRatesDataTable75[[#This Row],[asOf]]),DAY(OneWeekMtgRatesDataTable75[[#This Row],[asOf]]))</f>
        <v>41928</v>
      </c>
      <c r="R449" s="19">
        <v>3.92</v>
      </c>
      <c r="S449" s="19">
        <v>0.5</v>
      </c>
      <c r="T449" s="19">
        <v>3.7949999999999999</v>
      </c>
      <c r="V449" s="48" t="s">
        <v>1390</v>
      </c>
      <c r="W449" s="48" t="s">
        <v>1832</v>
      </c>
      <c r="X449" s="51">
        <v>2.91560839979166</v>
      </c>
      <c r="Z449" s="48" t="s">
        <v>1384</v>
      </c>
      <c r="AA449" s="51">
        <v>0.90219902100000005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1385</v>
      </c>
      <c r="Q450" s="23">
        <f>DATE(YEAR(OneWeekMtgRatesDataTable75[[#This Row],[asOf]]),MONTH(OneWeekMtgRatesDataTable75[[#This Row],[asOf]]),DAY(OneWeekMtgRatesDataTable75[[#This Row],[asOf]]))</f>
        <v>41927</v>
      </c>
      <c r="R450" s="19">
        <v>3.97</v>
      </c>
      <c r="S450" s="19">
        <v>0.5</v>
      </c>
      <c r="T450" s="19">
        <v>3.8450000000000002</v>
      </c>
      <c r="V450" s="48" t="s">
        <v>1389</v>
      </c>
      <c r="W450" s="48" t="s">
        <v>1832</v>
      </c>
      <c r="X450" s="51">
        <v>2.90260596221672</v>
      </c>
      <c r="Z450" s="48" t="s">
        <v>1383</v>
      </c>
      <c r="AA450" s="51">
        <v>0.90219902100000005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1384</v>
      </c>
      <c r="Q451" s="23">
        <f>DATE(YEAR(OneWeekMtgRatesDataTable75[[#This Row],[asOf]]),MONTH(OneWeekMtgRatesDataTable75[[#This Row],[asOf]]),DAY(OneWeekMtgRatesDataTable75[[#This Row],[asOf]]))</f>
        <v>41926</v>
      </c>
      <c r="R451" s="19">
        <v>3.97</v>
      </c>
      <c r="S451" s="19">
        <v>0.5</v>
      </c>
      <c r="T451" s="19">
        <v>3.8450000000000002</v>
      </c>
      <c r="V451" s="48" t="s">
        <v>1388</v>
      </c>
      <c r="W451" s="48" t="s">
        <v>1832</v>
      </c>
      <c r="X451" s="51">
        <v>2.88228276625992</v>
      </c>
      <c r="Z451" s="48" t="s">
        <v>1382</v>
      </c>
      <c r="AA451" s="51">
        <v>0.90219902100000005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1383</v>
      </c>
      <c r="Q452" s="23">
        <f>DATE(YEAR(OneWeekMtgRatesDataTable75[[#This Row],[asOf]]),MONTH(OneWeekMtgRatesDataTable75[[#This Row],[asOf]]),DAY(OneWeekMtgRatesDataTable75[[#This Row],[asOf]]))</f>
        <v>41922</v>
      </c>
      <c r="R452" s="19">
        <v>3.97</v>
      </c>
      <c r="S452" s="19">
        <v>0.5</v>
      </c>
      <c r="T452" s="19">
        <v>3.8450000000000002</v>
      </c>
      <c r="V452" s="48" t="s">
        <v>1387</v>
      </c>
      <c r="W452" s="48" t="s">
        <v>1832</v>
      </c>
      <c r="X452" s="51">
        <v>2.9089681552965998</v>
      </c>
      <c r="Z452" s="48" t="s">
        <v>1381</v>
      </c>
      <c r="AA452" s="51">
        <v>0.90219902100000005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1382</v>
      </c>
      <c r="Q453" s="23">
        <f>DATE(YEAR(OneWeekMtgRatesDataTable75[[#This Row],[asOf]]),MONTH(OneWeekMtgRatesDataTable75[[#This Row],[asOf]]),DAY(OneWeekMtgRatesDataTable75[[#This Row],[asOf]]))</f>
        <v>41921</v>
      </c>
      <c r="R453" s="19">
        <v>3.97</v>
      </c>
      <c r="S453" s="19">
        <v>0.5</v>
      </c>
      <c r="T453" s="19">
        <v>3.8450000000000002</v>
      </c>
      <c r="V453" s="48" t="s">
        <v>1386</v>
      </c>
      <c r="W453" s="48" t="s">
        <v>1832</v>
      </c>
      <c r="X453" s="51">
        <v>2.88997696662019</v>
      </c>
      <c r="Z453" s="48" t="s">
        <v>1380</v>
      </c>
      <c r="AA453" s="51">
        <v>0.85375816599999999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1381</v>
      </c>
      <c r="Q454" s="23">
        <f>DATE(YEAR(OneWeekMtgRatesDataTable75[[#This Row],[asOf]]),MONTH(OneWeekMtgRatesDataTable75[[#This Row],[asOf]]),DAY(OneWeekMtgRatesDataTable75[[#This Row],[asOf]]))</f>
        <v>41920</v>
      </c>
      <c r="R454" s="19">
        <v>4.12</v>
      </c>
      <c r="S454" s="19">
        <v>0.5</v>
      </c>
      <c r="T454" s="19">
        <v>3.9950000000000001</v>
      </c>
      <c r="V454" s="48" t="s">
        <v>1385</v>
      </c>
      <c r="W454" s="48" t="s">
        <v>1832</v>
      </c>
      <c r="X454" s="51">
        <v>2.8012763487796</v>
      </c>
      <c r="Z454" s="48" t="s">
        <v>1379</v>
      </c>
      <c r="AA454" s="51">
        <v>0.85375816599999999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1380</v>
      </c>
      <c r="Q455" s="23">
        <f>DATE(YEAR(OneWeekMtgRatesDataTable75[[#This Row],[asOf]]),MONTH(OneWeekMtgRatesDataTable75[[#This Row],[asOf]]),DAY(OneWeekMtgRatesDataTable75[[#This Row],[asOf]]))</f>
        <v>41919</v>
      </c>
      <c r="R455" s="19">
        <v>4.12</v>
      </c>
      <c r="S455" s="19">
        <v>0.5</v>
      </c>
      <c r="T455" s="19">
        <v>3.9950000000000001</v>
      </c>
      <c r="V455" s="48" t="s">
        <v>1384</v>
      </c>
      <c r="W455" s="48" t="s">
        <v>1832</v>
      </c>
      <c r="X455" s="51">
        <v>2.9156735260487601</v>
      </c>
      <c r="Z455" s="48" t="s">
        <v>1378</v>
      </c>
      <c r="AA455" s="51">
        <v>0.85375816599999999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1379</v>
      </c>
      <c r="Q456" s="23">
        <f>DATE(YEAR(OneWeekMtgRatesDataTable75[[#This Row],[asOf]]),MONTH(OneWeekMtgRatesDataTable75[[#This Row],[asOf]]),DAY(OneWeekMtgRatesDataTable75[[#This Row],[asOf]]))</f>
        <v>41918</v>
      </c>
      <c r="R456" s="19">
        <v>4.12</v>
      </c>
      <c r="S456" s="19">
        <v>0.5</v>
      </c>
      <c r="T456" s="19">
        <v>3.9950000000000001</v>
      </c>
      <c r="V456" s="48" t="s">
        <v>1383</v>
      </c>
      <c r="W456" s="48" t="s">
        <v>1832</v>
      </c>
      <c r="X456" s="51">
        <v>3.0064713691768699</v>
      </c>
      <c r="Z456" s="48" t="s">
        <v>1377</v>
      </c>
      <c r="AA456" s="51">
        <v>0.85375816599999999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1378</v>
      </c>
      <c r="Q457" s="23">
        <f>DATE(YEAR(OneWeekMtgRatesDataTable75[[#This Row],[asOf]]),MONTH(OneWeekMtgRatesDataTable75[[#This Row],[asOf]]),DAY(OneWeekMtgRatesDataTable75[[#This Row],[asOf]]))</f>
        <v>41915</v>
      </c>
      <c r="R457" s="19">
        <v>4.12</v>
      </c>
      <c r="S457" s="19">
        <v>0.5</v>
      </c>
      <c r="T457" s="19">
        <v>3.9950000000000001</v>
      </c>
      <c r="V457" s="48" t="s">
        <v>1382</v>
      </c>
      <c r="W457" s="48" t="s">
        <v>1832</v>
      </c>
      <c r="X457" s="51">
        <v>3.0093512074845101</v>
      </c>
      <c r="Z457" s="48" t="s">
        <v>1376</v>
      </c>
      <c r="AA457" s="51">
        <v>0.85375816599999999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1377</v>
      </c>
      <c r="Q458" s="23">
        <f>DATE(YEAR(OneWeekMtgRatesDataTable75[[#This Row],[asOf]]),MONTH(OneWeekMtgRatesDataTable75[[#This Row],[asOf]]),DAY(OneWeekMtgRatesDataTable75[[#This Row],[asOf]]))</f>
        <v>41914</v>
      </c>
      <c r="R458" s="19">
        <v>4.12</v>
      </c>
      <c r="S458" s="19">
        <v>0.5</v>
      </c>
      <c r="T458" s="19">
        <v>3.9950000000000001</v>
      </c>
      <c r="V458" s="48" t="s">
        <v>1381</v>
      </c>
      <c r="W458" s="48" t="s">
        <v>1832</v>
      </c>
      <c r="X458" s="51">
        <v>3.00695688776984</v>
      </c>
      <c r="Z458" s="48" t="s">
        <v>1375</v>
      </c>
      <c r="AA458" s="51">
        <v>0.82472958799999996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1376</v>
      </c>
      <c r="Q459" s="23">
        <f>DATE(YEAR(OneWeekMtgRatesDataTable75[[#This Row],[asOf]]),MONTH(OneWeekMtgRatesDataTable75[[#This Row],[asOf]]),DAY(OneWeekMtgRatesDataTable75[[#This Row],[asOf]]))</f>
        <v>41913</v>
      </c>
      <c r="R459" s="19">
        <v>4.1900000000000004</v>
      </c>
      <c r="S459" s="19">
        <v>0.4</v>
      </c>
      <c r="T459" s="19">
        <v>4.04</v>
      </c>
      <c r="V459" s="48" t="s">
        <v>1380</v>
      </c>
      <c r="W459" s="48" t="s">
        <v>1832</v>
      </c>
      <c r="X459" s="51">
        <v>3.05716566753143</v>
      </c>
      <c r="Z459" s="48" t="s">
        <v>1374</v>
      </c>
      <c r="AA459" s="51">
        <v>0.82472958799999996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1375</v>
      </c>
      <c r="Q460" s="23">
        <f>DATE(YEAR(OneWeekMtgRatesDataTable75[[#This Row],[asOf]]),MONTH(OneWeekMtgRatesDataTable75[[#This Row],[asOf]]),DAY(OneWeekMtgRatesDataTable75[[#This Row],[asOf]]))</f>
        <v>41912</v>
      </c>
      <c r="R460" s="19">
        <v>4.1900000000000004</v>
      </c>
      <c r="S460" s="19">
        <v>0.4</v>
      </c>
      <c r="T460" s="19">
        <v>4.04</v>
      </c>
      <c r="V460" s="48" t="s">
        <v>1379</v>
      </c>
      <c r="W460" s="48" t="s">
        <v>1832</v>
      </c>
      <c r="X460" s="51">
        <v>3.12297819640008</v>
      </c>
      <c r="Z460" s="48" t="s">
        <v>1373</v>
      </c>
      <c r="AA460" s="51">
        <v>0.82472958799999996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1374</v>
      </c>
      <c r="Q461" s="23">
        <f>DATE(YEAR(OneWeekMtgRatesDataTable75[[#This Row],[asOf]]),MONTH(OneWeekMtgRatesDataTable75[[#This Row],[asOf]]),DAY(OneWeekMtgRatesDataTable75[[#This Row],[asOf]]))</f>
        <v>41911</v>
      </c>
      <c r="R461" s="19">
        <v>4.1900000000000004</v>
      </c>
      <c r="S461" s="19">
        <v>0.4</v>
      </c>
      <c r="T461" s="19">
        <v>4.04</v>
      </c>
      <c r="V461" s="48" t="s">
        <v>1378</v>
      </c>
      <c r="W461" s="48" t="s">
        <v>1832</v>
      </c>
      <c r="X461" s="51">
        <v>3.14080245533752</v>
      </c>
      <c r="Z461" s="48" t="s">
        <v>1372</v>
      </c>
      <c r="AA461" s="51">
        <v>0.82472958799999996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1373</v>
      </c>
      <c r="Q462" s="23">
        <f>DATE(YEAR(OneWeekMtgRatesDataTable75[[#This Row],[asOf]]),MONTH(OneWeekMtgRatesDataTable75[[#This Row],[asOf]]),DAY(OneWeekMtgRatesDataTable75[[#This Row],[asOf]]))</f>
        <v>41908</v>
      </c>
      <c r="R462" s="19">
        <v>4.1900000000000004</v>
      </c>
      <c r="S462" s="19">
        <v>0.4</v>
      </c>
      <c r="T462" s="19">
        <v>4.04</v>
      </c>
      <c r="V462" s="48" t="s">
        <v>1377</v>
      </c>
      <c r="W462" s="48" t="s">
        <v>1832</v>
      </c>
      <c r="X462" s="51">
        <v>3.13610168579967</v>
      </c>
      <c r="Z462" s="48" t="s">
        <v>1371</v>
      </c>
      <c r="AA462" s="51">
        <v>0.82472958799999996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1372</v>
      </c>
      <c r="Q463" s="23">
        <f>DATE(YEAR(OneWeekMtgRatesDataTable75[[#This Row],[asOf]]),MONTH(OneWeekMtgRatesDataTable75[[#This Row],[asOf]]),DAY(OneWeekMtgRatesDataTable75[[#This Row],[asOf]]))</f>
        <v>41907</v>
      </c>
      <c r="R463" s="19">
        <v>4.1900000000000004</v>
      </c>
      <c r="S463" s="19">
        <v>0.4</v>
      </c>
      <c r="T463" s="19">
        <v>4.04</v>
      </c>
      <c r="V463" s="48" t="s">
        <v>1376</v>
      </c>
      <c r="W463" s="48" t="s">
        <v>1832</v>
      </c>
      <c r="X463" s="51">
        <v>3.1187867017573798</v>
      </c>
      <c r="Z463" s="48" t="s">
        <v>1370</v>
      </c>
      <c r="AA463" s="51">
        <v>0.82615699899999995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1371</v>
      </c>
      <c r="Q464" s="23">
        <f>DATE(YEAR(OneWeekMtgRatesDataTable75[[#This Row],[asOf]]),MONTH(OneWeekMtgRatesDataTable75[[#This Row],[asOf]]),DAY(OneWeekMtgRatesDataTable75[[#This Row],[asOf]]))</f>
        <v>41906</v>
      </c>
      <c r="R464" s="19">
        <v>4.2</v>
      </c>
      <c r="S464" s="19">
        <v>0.5</v>
      </c>
      <c r="T464" s="19">
        <v>4.0750000000000002</v>
      </c>
      <c r="V464" s="48" t="s">
        <v>1375</v>
      </c>
      <c r="W464" s="48" t="s">
        <v>1832</v>
      </c>
      <c r="X464" s="51">
        <v>3.2078957125058598</v>
      </c>
      <c r="Z464" s="48" t="s">
        <v>1369</v>
      </c>
      <c r="AA464" s="51">
        <v>0.82615699899999995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1370</v>
      </c>
      <c r="Q465" s="23">
        <f>DATE(YEAR(OneWeekMtgRatesDataTable75[[#This Row],[asOf]]),MONTH(OneWeekMtgRatesDataTable75[[#This Row],[asOf]]),DAY(OneWeekMtgRatesDataTable75[[#This Row],[asOf]]))</f>
        <v>41905</v>
      </c>
      <c r="R465" s="19">
        <v>4.2</v>
      </c>
      <c r="S465" s="19">
        <v>0.5</v>
      </c>
      <c r="T465" s="19">
        <v>4.0750000000000002</v>
      </c>
      <c r="V465" s="48" t="s">
        <v>1374</v>
      </c>
      <c r="W465" s="48" t="s">
        <v>1832</v>
      </c>
      <c r="X465" s="51">
        <v>3.1926835363021802</v>
      </c>
      <c r="Z465" s="48" t="s">
        <v>1368</v>
      </c>
      <c r="AA465" s="51">
        <v>0.82615699899999995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1369</v>
      </c>
      <c r="Q466" s="23">
        <f>DATE(YEAR(OneWeekMtgRatesDataTable75[[#This Row],[asOf]]),MONTH(OneWeekMtgRatesDataTable75[[#This Row],[asOf]]),DAY(OneWeekMtgRatesDataTable75[[#This Row],[asOf]]))</f>
        <v>41904</v>
      </c>
      <c r="R466" s="19">
        <v>4.2</v>
      </c>
      <c r="S466" s="19">
        <v>0.5</v>
      </c>
      <c r="T466" s="19">
        <v>4.0750000000000002</v>
      </c>
      <c r="V466" s="48" t="s">
        <v>1373</v>
      </c>
      <c r="W466" s="48" t="s">
        <v>1832</v>
      </c>
      <c r="X466" s="51">
        <v>3.21516848659176</v>
      </c>
      <c r="Z466" s="48" t="s">
        <v>1367</v>
      </c>
      <c r="AA466" s="51">
        <v>0.82615699899999995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1368</v>
      </c>
      <c r="Q467" s="23">
        <f>DATE(YEAR(OneWeekMtgRatesDataTable75[[#This Row],[asOf]]),MONTH(OneWeekMtgRatesDataTable75[[#This Row],[asOf]]),DAY(OneWeekMtgRatesDataTable75[[#This Row],[asOf]]))</f>
        <v>41901</v>
      </c>
      <c r="R467" s="19">
        <v>4.2</v>
      </c>
      <c r="S467" s="19">
        <v>0.5</v>
      </c>
      <c r="T467" s="19">
        <v>4.0750000000000002</v>
      </c>
      <c r="V467" s="48" t="s">
        <v>1372</v>
      </c>
      <c r="W467" s="48" t="s">
        <v>1832</v>
      </c>
      <c r="X467" s="51">
        <v>3.19667473354923</v>
      </c>
      <c r="Z467" s="48" t="s">
        <v>1366</v>
      </c>
      <c r="AA467" s="51">
        <v>0.82615699899999995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1367</v>
      </c>
      <c r="Q468" s="23">
        <f>DATE(YEAR(OneWeekMtgRatesDataTable75[[#This Row],[asOf]]),MONTH(OneWeekMtgRatesDataTable75[[#This Row],[asOf]]),DAY(OneWeekMtgRatesDataTable75[[#This Row],[asOf]]))</f>
        <v>41900</v>
      </c>
      <c r="R468" s="19">
        <v>4.2</v>
      </c>
      <c r="S468" s="19">
        <v>0.5</v>
      </c>
      <c r="T468" s="19">
        <v>4.0750000000000002</v>
      </c>
      <c r="V468" s="48" t="s">
        <v>1371</v>
      </c>
      <c r="W468" s="48" t="s">
        <v>1832</v>
      </c>
      <c r="X468" s="51">
        <v>3.24020380359058</v>
      </c>
      <c r="Z468" s="48" t="s">
        <v>1365</v>
      </c>
      <c r="AA468" s="51">
        <v>0.80679490700000001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1366</v>
      </c>
      <c r="Q469" s="23">
        <f>DATE(YEAR(OneWeekMtgRatesDataTable75[[#This Row],[asOf]]),MONTH(OneWeekMtgRatesDataTable75[[#This Row],[asOf]]),DAY(OneWeekMtgRatesDataTable75[[#This Row],[asOf]]))</f>
        <v>41899</v>
      </c>
      <c r="R469" s="19">
        <v>4.2300000000000004</v>
      </c>
      <c r="S469" s="19">
        <v>0.5</v>
      </c>
      <c r="T469" s="19">
        <v>4.1050000000000004</v>
      </c>
      <c r="V469" s="48" t="s">
        <v>1370</v>
      </c>
      <c r="W469" s="48" t="s">
        <v>1832</v>
      </c>
      <c r="X469" s="51">
        <v>3.2147148443632201</v>
      </c>
      <c r="Z469" s="48" t="s">
        <v>1364</v>
      </c>
      <c r="AA469" s="51">
        <v>0.80679490700000001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1365</v>
      </c>
      <c r="Q470" s="23">
        <f>DATE(YEAR(OneWeekMtgRatesDataTable75[[#This Row],[asOf]]),MONTH(OneWeekMtgRatesDataTable75[[#This Row],[asOf]]),DAY(OneWeekMtgRatesDataTable75[[#This Row],[asOf]]))</f>
        <v>41898</v>
      </c>
      <c r="R470" s="19">
        <v>4.2300000000000004</v>
      </c>
      <c r="S470" s="19">
        <v>0.5</v>
      </c>
      <c r="T470" s="19">
        <v>4.1050000000000004</v>
      </c>
      <c r="V470" s="48" t="s">
        <v>1369</v>
      </c>
      <c r="W470" s="48" t="s">
        <v>1832</v>
      </c>
      <c r="X470" s="51">
        <v>3.2397623305872298</v>
      </c>
      <c r="Z470" s="48" t="s">
        <v>1363</v>
      </c>
      <c r="AA470" s="51">
        <v>0.80679490700000001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1364</v>
      </c>
      <c r="Q471" s="23">
        <f>DATE(YEAR(OneWeekMtgRatesDataTable75[[#This Row],[asOf]]),MONTH(OneWeekMtgRatesDataTable75[[#This Row],[asOf]]),DAY(OneWeekMtgRatesDataTable75[[#This Row],[asOf]]))</f>
        <v>41897</v>
      </c>
      <c r="R471" s="19">
        <v>4.2300000000000004</v>
      </c>
      <c r="S471" s="19">
        <v>0.5</v>
      </c>
      <c r="T471" s="19">
        <v>4.1050000000000004</v>
      </c>
      <c r="V471" s="48" t="s">
        <v>1368</v>
      </c>
      <c r="W471" s="48" t="s">
        <v>1832</v>
      </c>
      <c r="X471" s="51">
        <v>3.2564979130093699</v>
      </c>
      <c r="Z471" s="48" t="s">
        <v>1362</v>
      </c>
      <c r="AA471" s="51">
        <v>0.80679490700000001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1363</v>
      </c>
      <c r="Q472" s="23">
        <f>DATE(YEAR(OneWeekMtgRatesDataTable75[[#This Row],[asOf]]),MONTH(OneWeekMtgRatesDataTable75[[#This Row],[asOf]]),DAY(OneWeekMtgRatesDataTable75[[#This Row],[asOf]]))</f>
        <v>41894</v>
      </c>
      <c r="R472" s="19">
        <v>4.2300000000000004</v>
      </c>
      <c r="S472" s="19">
        <v>0.5</v>
      </c>
      <c r="T472" s="19">
        <v>4.1050000000000004</v>
      </c>
      <c r="V472" s="48" t="s">
        <v>1367</v>
      </c>
      <c r="W472" s="48" t="s">
        <v>1832</v>
      </c>
      <c r="X472" s="51">
        <v>3.3001731665241301</v>
      </c>
      <c r="Z472" s="48" t="s">
        <v>1361</v>
      </c>
      <c r="AA472" s="51">
        <v>0.80679490700000001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1362</v>
      </c>
      <c r="Q473" s="23">
        <f>DATE(YEAR(OneWeekMtgRatesDataTable75[[#This Row],[asOf]]),MONTH(OneWeekMtgRatesDataTable75[[#This Row],[asOf]]),DAY(OneWeekMtgRatesDataTable75[[#This Row],[asOf]]))</f>
        <v>41893</v>
      </c>
      <c r="R473" s="19">
        <v>4.2300000000000004</v>
      </c>
      <c r="S473" s="19">
        <v>0.5</v>
      </c>
      <c r="T473" s="19">
        <v>4.1050000000000004</v>
      </c>
      <c r="V473" s="48" t="s">
        <v>1366</v>
      </c>
      <c r="W473" s="48" t="s">
        <v>1832</v>
      </c>
      <c r="X473" s="51">
        <v>3.2889456294412902</v>
      </c>
      <c r="Z473" s="48" t="s">
        <v>1360</v>
      </c>
      <c r="AA473" s="51">
        <v>0.87067892099999999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1361</v>
      </c>
      <c r="Q474" s="23">
        <f>DATE(YEAR(OneWeekMtgRatesDataTable75[[#This Row],[asOf]]),MONTH(OneWeekMtgRatesDataTable75[[#This Row],[asOf]]),DAY(OneWeekMtgRatesDataTable75[[#This Row],[asOf]]))</f>
        <v>41892</v>
      </c>
      <c r="R474" s="19">
        <v>4.12</v>
      </c>
      <c r="S474" s="19">
        <v>0.5</v>
      </c>
      <c r="T474" s="19">
        <v>3.9950000000000001</v>
      </c>
      <c r="V474" s="48" t="s">
        <v>1365</v>
      </c>
      <c r="W474" s="48" t="s">
        <v>1832</v>
      </c>
      <c r="X474" s="51">
        <v>3.28408302284724</v>
      </c>
      <c r="Z474" s="48" t="s">
        <v>1359</v>
      </c>
      <c r="AA474" s="51">
        <v>0.87067892099999999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1360</v>
      </c>
      <c r="Q475" s="23">
        <f>DATE(YEAR(OneWeekMtgRatesDataTable75[[#This Row],[asOf]]),MONTH(OneWeekMtgRatesDataTable75[[#This Row],[asOf]]),DAY(OneWeekMtgRatesDataTable75[[#This Row],[asOf]]))</f>
        <v>41891</v>
      </c>
      <c r="R475" s="19">
        <v>4.12</v>
      </c>
      <c r="S475" s="19">
        <v>0.5</v>
      </c>
      <c r="T475" s="19">
        <v>3.9950000000000001</v>
      </c>
      <c r="V475" s="48" t="s">
        <v>1364</v>
      </c>
      <c r="W475" s="48" t="s">
        <v>1832</v>
      </c>
      <c r="X475" s="51">
        <v>3.2813411057709199</v>
      </c>
      <c r="Z475" s="48" t="s">
        <v>1358</v>
      </c>
      <c r="AA475" s="51">
        <v>0.87067892099999999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1359</v>
      </c>
      <c r="Q476" s="23">
        <f>DATE(YEAR(OneWeekMtgRatesDataTable75[[#This Row],[asOf]]),MONTH(OneWeekMtgRatesDataTable75[[#This Row],[asOf]]),DAY(OneWeekMtgRatesDataTable75[[#This Row],[asOf]]))</f>
        <v>41890</v>
      </c>
      <c r="R476" s="19">
        <v>4.12</v>
      </c>
      <c r="S476" s="19">
        <v>0.5</v>
      </c>
      <c r="T476" s="19">
        <v>3.9950000000000001</v>
      </c>
      <c r="V476" s="48" t="s">
        <v>1363</v>
      </c>
      <c r="W476" s="48" t="s">
        <v>1832</v>
      </c>
      <c r="X476" s="51">
        <v>3.3013053863626398</v>
      </c>
      <c r="Z476" s="48" t="s">
        <v>1357</v>
      </c>
      <c r="AA476" s="51">
        <v>0.87067892099999999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1358</v>
      </c>
      <c r="Q477" s="23">
        <f>DATE(YEAR(OneWeekMtgRatesDataTable75[[#This Row],[asOf]]),MONTH(OneWeekMtgRatesDataTable75[[#This Row],[asOf]]),DAY(OneWeekMtgRatesDataTable75[[#This Row],[asOf]]))</f>
        <v>41887</v>
      </c>
      <c r="R477" s="19">
        <v>4.12</v>
      </c>
      <c r="S477" s="19">
        <v>0.5</v>
      </c>
      <c r="T477" s="19">
        <v>3.9950000000000001</v>
      </c>
      <c r="V477" s="48" t="s">
        <v>1362</v>
      </c>
      <c r="W477" s="48" t="s">
        <v>1832</v>
      </c>
      <c r="X477" s="51">
        <v>3.2385398598967701</v>
      </c>
      <c r="Z477" s="48" t="s">
        <v>1356</v>
      </c>
      <c r="AA477" s="51">
        <v>0.87067892099999999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1357</v>
      </c>
      <c r="Q478" s="23">
        <f>DATE(YEAR(OneWeekMtgRatesDataTable75[[#This Row],[asOf]]),MONTH(OneWeekMtgRatesDataTable75[[#This Row],[asOf]]),DAY(OneWeekMtgRatesDataTable75[[#This Row],[asOf]]))</f>
        <v>41886</v>
      </c>
      <c r="R478" s="19">
        <v>4.12</v>
      </c>
      <c r="S478" s="19">
        <v>0.5</v>
      </c>
      <c r="T478" s="19">
        <v>3.9950000000000001</v>
      </c>
      <c r="V478" s="48" t="s">
        <v>1361</v>
      </c>
      <c r="W478" s="48" t="s">
        <v>1832</v>
      </c>
      <c r="X478" s="51">
        <v>3.23966504008277</v>
      </c>
      <c r="Z478" s="48" t="s">
        <v>1355</v>
      </c>
      <c r="AA478" s="51">
        <v>0.840106468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1356</v>
      </c>
      <c r="Q479" s="23">
        <f>DATE(YEAR(OneWeekMtgRatesDataTable75[[#This Row],[asOf]]),MONTH(OneWeekMtgRatesDataTable75[[#This Row],[asOf]]),DAY(OneWeekMtgRatesDataTable75[[#This Row],[asOf]]))</f>
        <v>41885</v>
      </c>
      <c r="R479" s="19">
        <v>4.0999999999999996</v>
      </c>
      <c r="S479" s="19">
        <v>0.5</v>
      </c>
      <c r="T479" s="19">
        <v>3.9749999999999996</v>
      </c>
      <c r="V479" s="48" t="s">
        <v>1360</v>
      </c>
      <c r="W479" s="48" t="s">
        <v>1832</v>
      </c>
      <c r="X479" s="51">
        <v>3.20426354311416</v>
      </c>
      <c r="Z479" s="48" t="s">
        <v>1354</v>
      </c>
      <c r="AA479" s="51">
        <v>0.840106468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1355</v>
      </c>
      <c r="Q480" s="23">
        <f>DATE(YEAR(OneWeekMtgRatesDataTable75[[#This Row],[asOf]]),MONTH(OneWeekMtgRatesDataTable75[[#This Row],[asOf]]),DAY(OneWeekMtgRatesDataTable75[[#This Row],[asOf]]))</f>
        <v>41884</v>
      </c>
      <c r="R480" s="19">
        <v>4.0999999999999996</v>
      </c>
      <c r="S480" s="19">
        <v>0.5</v>
      </c>
      <c r="T480" s="19">
        <v>3.9749999999999996</v>
      </c>
      <c r="V480" s="48" t="s">
        <v>1359</v>
      </c>
      <c r="W480" s="48" t="s">
        <v>1832</v>
      </c>
      <c r="X480" s="51">
        <v>3.1760802516618698</v>
      </c>
      <c r="Z480" s="48" t="s">
        <v>1353</v>
      </c>
      <c r="AA480" s="51">
        <v>0.840106468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1354</v>
      </c>
      <c r="Q481" s="23">
        <f>DATE(YEAR(OneWeekMtgRatesDataTable75[[#This Row],[asOf]]),MONTH(OneWeekMtgRatesDataTable75[[#This Row],[asOf]]),DAY(OneWeekMtgRatesDataTable75[[#This Row],[asOf]]))</f>
        <v>41880</v>
      </c>
      <c r="R481" s="19">
        <v>4.0999999999999996</v>
      </c>
      <c r="S481" s="19">
        <v>0.5</v>
      </c>
      <c r="T481" s="19">
        <v>3.9749999999999996</v>
      </c>
      <c r="V481" s="48" t="s">
        <v>1358</v>
      </c>
      <c r="W481" s="48" t="s">
        <v>1832</v>
      </c>
      <c r="X481" s="51">
        <v>3.1681849384338299</v>
      </c>
      <c r="Z481" s="48" t="s">
        <v>1352</v>
      </c>
      <c r="AA481" s="51">
        <v>0.840106468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1353</v>
      </c>
      <c r="Q482" s="23">
        <f>DATE(YEAR(OneWeekMtgRatesDataTable75[[#This Row],[asOf]]),MONTH(OneWeekMtgRatesDataTable75[[#This Row],[asOf]]),DAY(OneWeekMtgRatesDataTable75[[#This Row],[asOf]]))</f>
        <v>41879</v>
      </c>
      <c r="R482" s="19">
        <v>4.0999999999999996</v>
      </c>
      <c r="S482" s="19">
        <v>0.5</v>
      </c>
      <c r="T482" s="19">
        <v>3.9749999999999996</v>
      </c>
      <c r="V482" s="48" t="s">
        <v>1357</v>
      </c>
      <c r="W482" s="48" t="s">
        <v>1832</v>
      </c>
      <c r="X482" s="51">
        <v>3.1528316914569898</v>
      </c>
      <c r="Z482" s="48" t="s">
        <v>1351</v>
      </c>
      <c r="AA482" s="51">
        <v>0.83075347300000002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1352</v>
      </c>
      <c r="Q483" s="23">
        <f>DATE(YEAR(OneWeekMtgRatesDataTable75[[#This Row],[asOf]]),MONTH(OneWeekMtgRatesDataTable75[[#This Row],[asOf]]),DAY(OneWeekMtgRatesDataTable75[[#This Row],[asOf]]))</f>
        <v>41878</v>
      </c>
      <c r="R483" s="19">
        <v>4.0999999999999996</v>
      </c>
      <c r="S483" s="19">
        <v>0.5</v>
      </c>
      <c r="T483" s="19">
        <v>3.9749999999999996</v>
      </c>
      <c r="V483" s="48" t="s">
        <v>1356</v>
      </c>
      <c r="W483" s="48" t="s">
        <v>1832</v>
      </c>
      <c r="X483" s="51">
        <v>3.1253552915520499</v>
      </c>
      <c r="Z483" s="48" t="s">
        <v>1350</v>
      </c>
      <c r="AA483" s="51">
        <v>0.83075347300000002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1351</v>
      </c>
      <c r="Q484" s="23">
        <f>DATE(YEAR(OneWeekMtgRatesDataTable75[[#This Row],[asOf]]),MONTH(OneWeekMtgRatesDataTable75[[#This Row],[asOf]]),DAY(OneWeekMtgRatesDataTable75[[#This Row],[asOf]]))</f>
        <v>41877</v>
      </c>
      <c r="R484" s="19">
        <v>4.0999999999999996</v>
      </c>
      <c r="S484" s="19">
        <v>0.5</v>
      </c>
      <c r="T484" s="19">
        <v>3.9749999999999996</v>
      </c>
      <c r="V484" s="48" t="s">
        <v>1355</v>
      </c>
      <c r="W484" s="48" t="s">
        <v>1832</v>
      </c>
      <c r="X484" s="51">
        <v>3.1334692922129599</v>
      </c>
      <c r="Z484" s="48" t="s">
        <v>1349</v>
      </c>
      <c r="AA484" s="51">
        <v>0.83075347300000002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1350</v>
      </c>
      <c r="Q485" s="23">
        <f>DATE(YEAR(OneWeekMtgRatesDataTable75[[#This Row],[asOf]]),MONTH(OneWeekMtgRatesDataTable75[[#This Row],[asOf]]),DAY(OneWeekMtgRatesDataTable75[[#This Row],[asOf]]))</f>
        <v>41876</v>
      </c>
      <c r="R485" s="19">
        <v>4.0999999999999996</v>
      </c>
      <c r="S485" s="19">
        <v>0.5</v>
      </c>
      <c r="T485" s="19">
        <v>3.9749999999999996</v>
      </c>
      <c r="V485" s="48" t="s">
        <v>1354</v>
      </c>
      <c r="W485" s="48" t="s">
        <v>1832</v>
      </c>
      <c r="X485" s="51">
        <v>3.0803371977218901</v>
      </c>
      <c r="Z485" s="48" t="s">
        <v>1348</v>
      </c>
      <c r="AA485" s="51">
        <v>0.83075347300000002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1349</v>
      </c>
      <c r="Q486" s="23">
        <f>DATE(YEAR(OneWeekMtgRatesDataTable75[[#This Row],[asOf]]),MONTH(OneWeekMtgRatesDataTable75[[#This Row],[asOf]]),DAY(OneWeekMtgRatesDataTable75[[#This Row],[asOf]]))</f>
        <v>41873</v>
      </c>
      <c r="R486" s="19">
        <v>4.0999999999999996</v>
      </c>
      <c r="S486" s="19">
        <v>0.5</v>
      </c>
      <c r="T486" s="19">
        <v>3.9749999999999996</v>
      </c>
      <c r="V486" s="48" t="s">
        <v>1353</v>
      </c>
      <c r="W486" s="48" t="s">
        <v>1832</v>
      </c>
      <c r="X486" s="51">
        <v>3.0781225342059799</v>
      </c>
      <c r="Z486" s="48" t="s">
        <v>1347</v>
      </c>
      <c r="AA486" s="51">
        <v>0.83075347300000002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1348</v>
      </c>
      <c r="Q487" s="23">
        <f>DATE(YEAR(OneWeekMtgRatesDataTable75[[#This Row],[asOf]]),MONTH(OneWeekMtgRatesDataTable75[[#This Row],[asOf]]),DAY(OneWeekMtgRatesDataTable75[[#This Row],[asOf]]))</f>
        <v>41872</v>
      </c>
      <c r="R487" s="19">
        <v>4.0999999999999996</v>
      </c>
      <c r="S487" s="19">
        <v>0.5</v>
      </c>
      <c r="T487" s="19">
        <v>3.9749999999999996</v>
      </c>
      <c r="V487" s="48" t="s">
        <v>1352</v>
      </c>
      <c r="W487" s="48" t="s">
        <v>1832</v>
      </c>
      <c r="X487" s="51">
        <v>3.09887022841253</v>
      </c>
      <c r="Z487" s="48" t="s">
        <v>1346</v>
      </c>
      <c r="AA487" s="51">
        <v>0.84212003400000002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1347</v>
      </c>
      <c r="Q488" s="23">
        <f>DATE(YEAR(OneWeekMtgRatesDataTable75[[#This Row],[asOf]]),MONTH(OneWeekMtgRatesDataTable75[[#This Row],[asOf]]),DAY(OneWeekMtgRatesDataTable75[[#This Row],[asOf]]))</f>
        <v>41871</v>
      </c>
      <c r="R488" s="19">
        <v>4.0999999999999996</v>
      </c>
      <c r="S488" s="19">
        <v>0.5</v>
      </c>
      <c r="T488" s="19">
        <v>3.9749999999999996</v>
      </c>
      <c r="V488" s="48" t="s">
        <v>1351</v>
      </c>
      <c r="W488" s="48" t="s">
        <v>1832</v>
      </c>
      <c r="X488" s="51">
        <v>3.12943696082093</v>
      </c>
      <c r="Z488" s="48" t="s">
        <v>1345</v>
      </c>
      <c r="AA488" s="51">
        <v>0.84212003400000002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1346</v>
      </c>
      <c r="Q489" s="23">
        <f>DATE(YEAR(OneWeekMtgRatesDataTable75[[#This Row],[asOf]]),MONTH(OneWeekMtgRatesDataTable75[[#This Row],[asOf]]),DAY(OneWeekMtgRatesDataTable75[[#This Row],[asOf]]))</f>
        <v>41870</v>
      </c>
      <c r="R489" s="19">
        <v>4.0999999999999996</v>
      </c>
      <c r="S489" s="19">
        <v>0.5</v>
      </c>
      <c r="T489" s="19">
        <v>3.9749999999999996</v>
      </c>
      <c r="V489" s="48" t="s">
        <v>1350</v>
      </c>
      <c r="W489" s="48" t="s">
        <v>1832</v>
      </c>
      <c r="X489" s="51">
        <v>3.1385592562937199</v>
      </c>
      <c r="Z489" s="48" t="s">
        <v>1344</v>
      </c>
      <c r="AA489" s="51">
        <v>0.84212003400000002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1345</v>
      </c>
      <c r="Q490" s="23">
        <f>DATE(YEAR(OneWeekMtgRatesDataTable75[[#This Row],[asOf]]),MONTH(OneWeekMtgRatesDataTable75[[#This Row],[asOf]]),DAY(OneWeekMtgRatesDataTable75[[#This Row],[asOf]]))</f>
        <v>41869</v>
      </c>
      <c r="R490" s="19">
        <v>4.0999999999999996</v>
      </c>
      <c r="S490" s="19">
        <v>0.5</v>
      </c>
      <c r="T490" s="19">
        <v>3.9749999999999996</v>
      </c>
      <c r="V490" s="48" t="s">
        <v>1349</v>
      </c>
      <c r="W490" s="48" t="s">
        <v>1832</v>
      </c>
      <c r="X490" s="51">
        <v>3.1508216358267802</v>
      </c>
      <c r="Z490" s="48" t="s">
        <v>1343</v>
      </c>
      <c r="AA490" s="51">
        <v>0.84212003400000002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1344</v>
      </c>
      <c r="Q491" s="23">
        <f>DATE(YEAR(OneWeekMtgRatesDataTable75[[#This Row],[asOf]]),MONTH(OneWeekMtgRatesDataTable75[[#This Row],[asOf]]),DAY(OneWeekMtgRatesDataTable75[[#This Row],[asOf]]))</f>
        <v>41866</v>
      </c>
      <c r="R491" s="19">
        <v>4.0999999999999996</v>
      </c>
      <c r="S491" s="19">
        <v>0.5</v>
      </c>
      <c r="T491" s="19">
        <v>3.9749999999999996</v>
      </c>
      <c r="V491" s="48" t="s">
        <v>1348</v>
      </c>
      <c r="W491" s="48" t="s">
        <v>1832</v>
      </c>
      <c r="X491" s="51">
        <v>3.1567795766011701</v>
      </c>
      <c r="Z491" s="48" t="s">
        <v>1342</v>
      </c>
      <c r="AA491" s="51">
        <v>0.84212003400000002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1343</v>
      </c>
      <c r="Q492" s="23">
        <f>DATE(YEAR(OneWeekMtgRatesDataTable75[[#This Row],[asOf]]),MONTH(OneWeekMtgRatesDataTable75[[#This Row],[asOf]]),DAY(OneWeekMtgRatesDataTable75[[#This Row],[asOf]]))</f>
        <v>41865</v>
      </c>
      <c r="R492" s="19">
        <v>4.0999999999999996</v>
      </c>
      <c r="S492" s="19">
        <v>0.5</v>
      </c>
      <c r="T492" s="19">
        <v>3.9749999999999996</v>
      </c>
      <c r="V492" s="48" t="s">
        <v>1347</v>
      </c>
      <c r="W492" s="48" t="s">
        <v>1832</v>
      </c>
      <c r="X492" s="51">
        <v>3.1828839679523702</v>
      </c>
      <c r="Z492" s="48" t="s">
        <v>1341</v>
      </c>
      <c r="AA492" s="51">
        <v>0.83390389200000004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1342</v>
      </c>
      <c r="Q493" s="23">
        <f>DATE(YEAR(OneWeekMtgRatesDataTable75[[#This Row],[asOf]]),MONTH(OneWeekMtgRatesDataTable75[[#This Row],[asOf]]),DAY(OneWeekMtgRatesDataTable75[[#This Row],[asOf]]))</f>
        <v>41864</v>
      </c>
      <c r="R493" s="19">
        <v>4.12</v>
      </c>
      <c r="S493" s="19">
        <v>0.6</v>
      </c>
      <c r="T493" s="19">
        <v>4.0200000000000005</v>
      </c>
      <c r="V493" s="48" t="s">
        <v>1346</v>
      </c>
      <c r="W493" s="48" t="s">
        <v>1832</v>
      </c>
      <c r="X493" s="51">
        <v>3.1648384217316798</v>
      </c>
      <c r="Z493" s="48" t="s">
        <v>1340</v>
      </c>
      <c r="AA493" s="51">
        <v>0.83390389200000004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1341</v>
      </c>
      <c r="Q494" s="23">
        <f>DATE(YEAR(OneWeekMtgRatesDataTable75[[#This Row],[asOf]]),MONTH(OneWeekMtgRatesDataTable75[[#This Row],[asOf]]),DAY(OneWeekMtgRatesDataTable75[[#This Row],[asOf]]))</f>
        <v>41863</v>
      </c>
      <c r="R494" s="19">
        <v>4.12</v>
      </c>
      <c r="S494" s="19">
        <v>0.6</v>
      </c>
      <c r="T494" s="19">
        <v>4.0200000000000005</v>
      </c>
      <c r="V494" s="48" t="s">
        <v>1345</v>
      </c>
      <c r="W494" s="48" t="s">
        <v>1832</v>
      </c>
      <c r="X494" s="51">
        <v>3.1399786597886301</v>
      </c>
      <c r="Z494" s="48" t="s">
        <v>1339</v>
      </c>
      <c r="AA494" s="51">
        <v>0.83390389200000004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1340</v>
      </c>
      <c r="Q495" s="23">
        <f>DATE(YEAR(OneWeekMtgRatesDataTable75[[#This Row],[asOf]]),MONTH(OneWeekMtgRatesDataTable75[[#This Row],[asOf]]),DAY(OneWeekMtgRatesDataTable75[[#This Row],[asOf]]))</f>
        <v>41862</v>
      </c>
      <c r="R495" s="19">
        <v>4.12</v>
      </c>
      <c r="S495" s="19">
        <v>0.6</v>
      </c>
      <c r="T495" s="19">
        <v>4.0200000000000005</v>
      </c>
      <c r="V495" s="48" t="s">
        <v>1344</v>
      </c>
      <c r="W495" s="48" t="s">
        <v>1832</v>
      </c>
      <c r="X495" s="51">
        <v>3.0935764216510502</v>
      </c>
      <c r="Z495" s="48" t="s">
        <v>1338</v>
      </c>
      <c r="AA495" s="51">
        <v>0.83390389200000004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1339</v>
      </c>
      <c r="Q496" s="23">
        <f>DATE(YEAR(OneWeekMtgRatesDataTable75[[#This Row],[asOf]]),MONTH(OneWeekMtgRatesDataTable75[[#This Row],[asOf]]),DAY(OneWeekMtgRatesDataTable75[[#This Row],[asOf]]))</f>
        <v>41859</v>
      </c>
      <c r="R496" s="19">
        <v>4.12</v>
      </c>
      <c r="S496" s="19">
        <v>0.6</v>
      </c>
      <c r="T496" s="19">
        <v>4.0200000000000005</v>
      </c>
      <c r="V496" s="48" t="s">
        <v>1343</v>
      </c>
      <c r="W496" s="48" t="s">
        <v>1832</v>
      </c>
      <c r="X496" s="51">
        <v>3.1399551635126901</v>
      </c>
      <c r="Z496" s="48" t="s">
        <v>1337</v>
      </c>
      <c r="AA496" s="51">
        <v>0.83390389200000004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1338</v>
      </c>
      <c r="Q497" s="23">
        <f>DATE(YEAR(OneWeekMtgRatesDataTable75[[#This Row],[asOf]]),MONTH(OneWeekMtgRatesDataTable75[[#This Row],[asOf]]),DAY(OneWeekMtgRatesDataTable75[[#This Row],[asOf]]))</f>
        <v>41858</v>
      </c>
      <c r="R497" s="19">
        <v>4.12</v>
      </c>
      <c r="S497" s="19">
        <v>0.6</v>
      </c>
      <c r="T497" s="19">
        <v>4.0200000000000005</v>
      </c>
      <c r="V497" s="48" t="s">
        <v>1342</v>
      </c>
      <c r="W497" s="48" t="s">
        <v>1832</v>
      </c>
      <c r="X497" s="51">
        <v>3.1611594965890202</v>
      </c>
      <c r="Z497" s="48" t="s">
        <v>1336</v>
      </c>
      <c r="AA497" s="51">
        <v>0.80388311499999998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1337</v>
      </c>
      <c r="Q498" s="23">
        <f>DATE(YEAR(OneWeekMtgRatesDataTable75[[#This Row],[asOf]]),MONTH(OneWeekMtgRatesDataTable75[[#This Row],[asOf]]),DAY(OneWeekMtgRatesDataTable75[[#This Row],[asOf]]))</f>
        <v>41857</v>
      </c>
      <c r="R498" s="19">
        <v>4.1399999999999997</v>
      </c>
      <c r="S498" s="19">
        <v>0.7</v>
      </c>
      <c r="T498" s="19">
        <v>4.0649999999999995</v>
      </c>
      <c r="V498" s="48" t="s">
        <v>1341</v>
      </c>
      <c r="W498" s="48" t="s">
        <v>1832</v>
      </c>
      <c r="X498" s="51">
        <v>3.1921232293895798</v>
      </c>
      <c r="Z498" s="48" t="s">
        <v>1335</v>
      </c>
      <c r="AA498" s="51">
        <v>0.80388311499999998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1336</v>
      </c>
      <c r="Q499" s="23">
        <f>DATE(YEAR(OneWeekMtgRatesDataTable75[[#This Row],[asOf]]),MONTH(OneWeekMtgRatesDataTable75[[#This Row],[asOf]]),DAY(OneWeekMtgRatesDataTable75[[#This Row],[asOf]]))</f>
        <v>41856</v>
      </c>
      <c r="R499" s="19">
        <v>4.1399999999999997</v>
      </c>
      <c r="S499" s="19">
        <v>0.7</v>
      </c>
      <c r="T499" s="19">
        <v>4.0649999999999995</v>
      </c>
      <c r="V499" s="48" t="s">
        <v>1340</v>
      </c>
      <c r="W499" s="48" t="s">
        <v>1832</v>
      </c>
      <c r="X499" s="51">
        <v>3.1826449451887</v>
      </c>
      <c r="Z499" s="48" t="s">
        <v>1334</v>
      </c>
      <c r="AA499" s="51">
        <v>0.80388311499999998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1335</v>
      </c>
      <c r="Q500" s="23">
        <f>DATE(YEAR(OneWeekMtgRatesDataTable75[[#This Row],[asOf]]),MONTH(OneWeekMtgRatesDataTable75[[#This Row],[asOf]]),DAY(OneWeekMtgRatesDataTable75[[#This Row],[asOf]]))</f>
        <v>41855</v>
      </c>
      <c r="R500" s="19">
        <v>4.1399999999999997</v>
      </c>
      <c r="S500" s="19">
        <v>0.7</v>
      </c>
      <c r="T500" s="19">
        <v>4.0649999999999995</v>
      </c>
      <c r="V500" s="48" t="s">
        <v>1339</v>
      </c>
      <c r="W500" s="48" t="s">
        <v>1832</v>
      </c>
      <c r="X500" s="51">
        <v>3.1721768972748698</v>
      </c>
      <c r="Z500" s="48" t="s">
        <v>1333</v>
      </c>
      <c r="AA500" s="51">
        <v>0.80388311499999998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1334</v>
      </c>
      <c r="Q501" s="23">
        <f>DATE(YEAR(OneWeekMtgRatesDataTable75[[#This Row],[asOf]]),MONTH(OneWeekMtgRatesDataTable75[[#This Row],[asOf]]),DAY(OneWeekMtgRatesDataTable75[[#This Row],[asOf]]))</f>
        <v>41852</v>
      </c>
      <c r="R501" s="19">
        <v>4.1399999999999997</v>
      </c>
      <c r="S501" s="19">
        <v>0.7</v>
      </c>
      <c r="T501" s="19">
        <v>4.0649999999999995</v>
      </c>
      <c r="V501" s="48" t="s">
        <v>1338</v>
      </c>
      <c r="W501" s="48" t="s">
        <v>1832</v>
      </c>
      <c r="X501" s="51">
        <v>3.1812952620623198</v>
      </c>
      <c r="Z501" s="48" t="s">
        <v>1332</v>
      </c>
      <c r="AA501" s="51">
        <v>0.80388311499999998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1333</v>
      </c>
      <c r="Q502" s="23">
        <f>DATE(YEAR(OneWeekMtgRatesDataTable75[[#This Row],[asOf]]),MONTH(OneWeekMtgRatesDataTable75[[#This Row],[asOf]]),DAY(OneWeekMtgRatesDataTable75[[#This Row],[asOf]]))</f>
        <v>41851</v>
      </c>
      <c r="R502" s="19">
        <v>4.1399999999999997</v>
      </c>
      <c r="S502" s="19">
        <v>0.7</v>
      </c>
      <c r="T502" s="19">
        <v>4.0649999999999995</v>
      </c>
      <c r="V502" s="48" t="s">
        <v>1337</v>
      </c>
      <c r="W502" s="48" t="s">
        <v>1832</v>
      </c>
      <c r="X502" s="51">
        <v>3.2168042301856699</v>
      </c>
      <c r="Z502" s="48" t="s">
        <v>1331</v>
      </c>
      <c r="AA502" s="51">
        <v>0.84940851799999995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1332</v>
      </c>
      <c r="Q503" s="23">
        <f>DATE(YEAR(OneWeekMtgRatesDataTable75[[#This Row],[asOf]]),MONTH(OneWeekMtgRatesDataTable75[[#This Row],[asOf]]),DAY(OneWeekMtgRatesDataTable75[[#This Row],[asOf]]))</f>
        <v>41850</v>
      </c>
      <c r="R503" s="19">
        <v>4.12</v>
      </c>
      <c r="S503" s="19">
        <v>0.6</v>
      </c>
      <c r="T503" s="19">
        <v>4.0200000000000005</v>
      </c>
      <c r="V503" s="48" t="s">
        <v>1336</v>
      </c>
      <c r="W503" s="48" t="s">
        <v>1832</v>
      </c>
      <c r="X503" s="51">
        <v>3.21632428795722</v>
      </c>
      <c r="Z503" s="48" t="s">
        <v>1330</v>
      </c>
      <c r="AA503" s="51">
        <v>0.84940851799999995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1331</v>
      </c>
      <c r="Q504" s="23">
        <f>DATE(YEAR(OneWeekMtgRatesDataTable75[[#This Row],[asOf]]),MONTH(OneWeekMtgRatesDataTable75[[#This Row],[asOf]]),DAY(OneWeekMtgRatesDataTable75[[#This Row],[asOf]]))</f>
        <v>41849</v>
      </c>
      <c r="R504" s="19">
        <v>4.12</v>
      </c>
      <c r="S504" s="19">
        <v>0.6</v>
      </c>
      <c r="T504" s="19">
        <v>4.0200000000000005</v>
      </c>
      <c r="V504" s="48" t="s">
        <v>1335</v>
      </c>
      <c r="W504" s="48" t="s">
        <v>1832</v>
      </c>
      <c r="X504" s="51">
        <v>3.2178217897536898</v>
      </c>
      <c r="Z504" s="48" t="s">
        <v>1329</v>
      </c>
      <c r="AA504" s="51">
        <v>0.84940851799999995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1330</v>
      </c>
      <c r="Q505" s="23">
        <f>DATE(YEAR(OneWeekMtgRatesDataTable75[[#This Row],[asOf]]),MONTH(OneWeekMtgRatesDataTable75[[#This Row],[asOf]]),DAY(OneWeekMtgRatesDataTable75[[#This Row],[asOf]]))</f>
        <v>41848</v>
      </c>
      <c r="R505" s="19">
        <v>4.12</v>
      </c>
      <c r="S505" s="19">
        <v>0.6</v>
      </c>
      <c r="T505" s="19">
        <v>4.0200000000000005</v>
      </c>
      <c r="V505" s="48" t="s">
        <v>1334</v>
      </c>
      <c r="W505" s="48" t="s">
        <v>1832</v>
      </c>
      <c r="X505" s="51">
        <v>3.2284236378811801</v>
      </c>
      <c r="Z505" s="48" t="s">
        <v>1328</v>
      </c>
      <c r="AA505" s="51">
        <v>0.84940851799999995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1329</v>
      </c>
      <c r="Q506" s="23">
        <f>DATE(YEAR(OneWeekMtgRatesDataTable75[[#This Row],[asOf]]),MONTH(OneWeekMtgRatesDataTable75[[#This Row],[asOf]]),DAY(OneWeekMtgRatesDataTable75[[#This Row],[asOf]]))</f>
        <v>41845</v>
      </c>
      <c r="R506" s="19">
        <v>4.12</v>
      </c>
      <c r="S506" s="19">
        <v>0.6</v>
      </c>
      <c r="T506" s="19">
        <v>4.0200000000000005</v>
      </c>
      <c r="V506" s="48" t="s">
        <v>1333</v>
      </c>
      <c r="W506" s="48" t="s">
        <v>1832</v>
      </c>
      <c r="X506" s="51">
        <v>3.2761065930147799</v>
      </c>
      <c r="Z506" s="48" t="s">
        <v>1327</v>
      </c>
      <c r="AA506" s="51">
        <v>0.84940851799999995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1328</v>
      </c>
      <c r="Q507" s="23">
        <f>DATE(YEAR(OneWeekMtgRatesDataTable75[[#This Row],[asOf]]),MONTH(OneWeekMtgRatesDataTable75[[#This Row],[asOf]]),DAY(OneWeekMtgRatesDataTable75[[#This Row],[asOf]]))</f>
        <v>41844</v>
      </c>
      <c r="R507" s="19">
        <v>4.12</v>
      </c>
      <c r="S507" s="19">
        <v>0.6</v>
      </c>
      <c r="T507" s="19">
        <v>4.0200000000000005</v>
      </c>
      <c r="V507" s="48" t="s">
        <v>1332</v>
      </c>
      <c r="W507" s="48" t="s">
        <v>1832</v>
      </c>
      <c r="X507" s="51">
        <v>3.2657922043638301</v>
      </c>
      <c r="Z507" s="48" t="s">
        <v>1326</v>
      </c>
      <c r="AA507" s="51">
        <v>0.81383103099999998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1327</v>
      </c>
      <c r="Q508" s="23">
        <f>DATE(YEAR(OneWeekMtgRatesDataTable75[[#This Row],[asOf]]),MONTH(OneWeekMtgRatesDataTable75[[#This Row],[asOf]]),DAY(OneWeekMtgRatesDataTable75[[#This Row],[asOf]]))</f>
        <v>41843</v>
      </c>
      <c r="R508" s="19">
        <v>4.13</v>
      </c>
      <c r="S508" s="19">
        <v>0.6</v>
      </c>
      <c r="T508" s="19">
        <v>4.03</v>
      </c>
      <c r="V508" s="48" t="s">
        <v>1331</v>
      </c>
      <c r="W508" s="48" t="s">
        <v>1832</v>
      </c>
      <c r="X508" s="51">
        <v>3.1823757597493798</v>
      </c>
      <c r="Z508" s="48" t="s">
        <v>1325</v>
      </c>
      <c r="AA508" s="51">
        <v>0.81383103099999998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1326</v>
      </c>
      <c r="Q509" s="23">
        <f>DATE(YEAR(OneWeekMtgRatesDataTable75[[#This Row],[asOf]]),MONTH(OneWeekMtgRatesDataTable75[[#This Row],[asOf]]),DAY(OneWeekMtgRatesDataTable75[[#This Row],[asOf]]))</f>
        <v>41842</v>
      </c>
      <c r="R509" s="19">
        <v>4.13</v>
      </c>
      <c r="S509" s="19">
        <v>0.6</v>
      </c>
      <c r="T509" s="19">
        <v>4.03</v>
      </c>
      <c r="V509" s="48" t="s">
        <v>1330</v>
      </c>
      <c r="W509" s="48" t="s">
        <v>1832</v>
      </c>
      <c r="X509" s="51">
        <v>3.2049602013827001</v>
      </c>
      <c r="Z509" s="48" t="s">
        <v>1324</v>
      </c>
      <c r="AA509" s="51">
        <v>0.81383103099999998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1325</v>
      </c>
      <c r="Q510" s="23">
        <f>DATE(YEAR(OneWeekMtgRatesDataTable75[[#This Row],[asOf]]),MONTH(OneWeekMtgRatesDataTable75[[#This Row],[asOf]]),DAY(OneWeekMtgRatesDataTable75[[#This Row],[asOf]]))</f>
        <v>41841</v>
      </c>
      <c r="R510" s="19">
        <v>4.13</v>
      </c>
      <c r="S510" s="19">
        <v>0.6</v>
      </c>
      <c r="T510" s="19">
        <v>4.03</v>
      </c>
      <c r="V510" s="48" t="s">
        <v>1329</v>
      </c>
      <c r="W510" s="48" t="s">
        <v>1832</v>
      </c>
      <c r="X510" s="51">
        <v>3.1915306555493599</v>
      </c>
      <c r="Z510" s="48" t="s">
        <v>1323</v>
      </c>
      <c r="AA510" s="51">
        <v>0.81383103099999998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1324</v>
      </c>
      <c r="Q511" s="23">
        <f>DATE(YEAR(OneWeekMtgRatesDataTable75[[#This Row],[asOf]]),MONTH(OneWeekMtgRatesDataTable75[[#This Row],[asOf]]),DAY(OneWeekMtgRatesDataTable75[[#This Row],[asOf]]))</f>
        <v>41838</v>
      </c>
      <c r="R511" s="19">
        <v>4.13</v>
      </c>
      <c r="S511" s="19">
        <v>0.6</v>
      </c>
      <c r="T511" s="19">
        <v>4.03</v>
      </c>
      <c r="V511" s="48" t="s">
        <v>1328</v>
      </c>
      <c r="W511" s="48" t="s">
        <v>1832</v>
      </c>
      <c r="X511" s="51">
        <v>3.2359256063250199</v>
      </c>
      <c r="Z511" s="48" t="s">
        <v>1322</v>
      </c>
      <c r="AA511" s="51">
        <v>0.81383103099999998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1323</v>
      </c>
      <c r="Q512" s="23">
        <f>DATE(YEAR(OneWeekMtgRatesDataTable75[[#This Row],[asOf]]),MONTH(OneWeekMtgRatesDataTable75[[#This Row],[asOf]]),DAY(OneWeekMtgRatesDataTable75[[#This Row],[asOf]]))</f>
        <v>41837</v>
      </c>
      <c r="R512" s="19">
        <v>4.13</v>
      </c>
      <c r="S512" s="19">
        <v>0.6</v>
      </c>
      <c r="T512" s="19">
        <v>4.03</v>
      </c>
      <c r="V512" s="48" t="s">
        <v>1327</v>
      </c>
      <c r="W512" s="48" t="s">
        <v>1832</v>
      </c>
      <c r="X512" s="51">
        <v>3.18443166753908</v>
      </c>
      <c r="Z512" s="48" t="s">
        <v>1321</v>
      </c>
      <c r="AA512" s="51">
        <v>0.82509417699999998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1322</v>
      </c>
      <c r="Q513" s="23">
        <f>DATE(YEAR(OneWeekMtgRatesDataTable75[[#This Row],[asOf]]),MONTH(OneWeekMtgRatesDataTable75[[#This Row],[asOf]]),DAY(OneWeekMtgRatesDataTable75[[#This Row],[asOf]]))</f>
        <v>41836</v>
      </c>
      <c r="R513" s="19">
        <v>4.13</v>
      </c>
      <c r="S513" s="19">
        <v>0.6</v>
      </c>
      <c r="T513" s="19">
        <v>4.03</v>
      </c>
      <c r="V513" s="48" t="s">
        <v>1326</v>
      </c>
      <c r="W513" s="48" t="s">
        <v>1832</v>
      </c>
      <c r="X513" s="51">
        <v>3.1713427686584299</v>
      </c>
      <c r="Z513" s="48" t="s">
        <v>1320</v>
      </c>
      <c r="AA513" s="51">
        <v>0.82509417699999998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1321</v>
      </c>
      <c r="Q514" s="23">
        <f>DATE(YEAR(OneWeekMtgRatesDataTable75[[#This Row],[asOf]]),MONTH(OneWeekMtgRatesDataTable75[[#This Row],[asOf]]),DAY(OneWeekMtgRatesDataTable75[[#This Row],[asOf]]))</f>
        <v>41835</v>
      </c>
      <c r="R514" s="19">
        <v>4.13</v>
      </c>
      <c r="S514" s="19">
        <v>0.6</v>
      </c>
      <c r="T514" s="19">
        <v>4.03</v>
      </c>
      <c r="V514" s="48" t="s">
        <v>1325</v>
      </c>
      <c r="W514" s="48" t="s">
        <v>1832</v>
      </c>
      <c r="X514" s="51">
        <v>3.1797287048205698</v>
      </c>
      <c r="Z514" s="48" t="s">
        <v>1319</v>
      </c>
      <c r="AA514" s="51">
        <v>0.82509417699999998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1320</v>
      </c>
      <c r="Q515" s="23">
        <f>DATE(YEAR(OneWeekMtgRatesDataTable75[[#This Row],[asOf]]),MONTH(OneWeekMtgRatesDataTable75[[#This Row],[asOf]]),DAY(OneWeekMtgRatesDataTable75[[#This Row],[asOf]]))</f>
        <v>41834</v>
      </c>
      <c r="R515" s="19">
        <v>4.13</v>
      </c>
      <c r="S515" s="19">
        <v>0.6</v>
      </c>
      <c r="T515" s="19">
        <v>4.03</v>
      </c>
      <c r="V515" s="48" t="s">
        <v>1324</v>
      </c>
      <c r="W515" s="48" t="s">
        <v>1832</v>
      </c>
      <c r="X515" s="51">
        <v>3.1834552504580702</v>
      </c>
      <c r="Z515" s="48" t="s">
        <v>1318</v>
      </c>
      <c r="AA515" s="51">
        <v>0.82509417699999998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1319</v>
      </c>
      <c r="Q516" s="23">
        <f>DATE(YEAR(OneWeekMtgRatesDataTable75[[#This Row],[asOf]]),MONTH(OneWeekMtgRatesDataTable75[[#This Row],[asOf]]),DAY(OneWeekMtgRatesDataTable75[[#This Row],[asOf]]))</f>
        <v>41831</v>
      </c>
      <c r="R516" s="19">
        <v>4.13</v>
      </c>
      <c r="S516" s="19">
        <v>0.6</v>
      </c>
      <c r="T516" s="19">
        <v>4.03</v>
      </c>
      <c r="V516" s="48" t="s">
        <v>1323</v>
      </c>
      <c r="W516" s="48" t="s">
        <v>1832</v>
      </c>
      <c r="X516" s="51">
        <v>3.1839990162061</v>
      </c>
      <c r="Z516" s="48" t="s">
        <v>1317</v>
      </c>
      <c r="AA516" s="51">
        <v>0.82509417699999998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1318</v>
      </c>
      <c r="Q517" s="23">
        <f>DATE(YEAR(OneWeekMtgRatesDataTable75[[#This Row],[asOf]]),MONTH(OneWeekMtgRatesDataTable75[[#This Row],[asOf]]),DAY(OneWeekMtgRatesDataTable75[[#This Row],[asOf]]))</f>
        <v>41830</v>
      </c>
      <c r="R517" s="19">
        <v>4.13</v>
      </c>
      <c r="S517" s="19">
        <v>0.6</v>
      </c>
      <c r="T517" s="19">
        <v>4.03</v>
      </c>
      <c r="V517" s="48" t="s">
        <v>1322</v>
      </c>
      <c r="W517" s="48" t="s">
        <v>1832</v>
      </c>
      <c r="X517" s="51">
        <v>3.23587971649664</v>
      </c>
      <c r="Z517" s="48" t="s">
        <v>1316</v>
      </c>
      <c r="AA517" s="51">
        <v>0.80064650199999998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1317</v>
      </c>
      <c r="Q518" s="23">
        <f>DATE(YEAR(OneWeekMtgRatesDataTable75[[#This Row],[asOf]]),MONTH(OneWeekMtgRatesDataTable75[[#This Row],[asOf]]),DAY(OneWeekMtgRatesDataTable75[[#This Row],[asOf]]))</f>
        <v>41829</v>
      </c>
      <c r="R518" s="19">
        <v>4.1500000000000004</v>
      </c>
      <c r="S518" s="19">
        <v>0.7</v>
      </c>
      <c r="T518" s="19">
        <v>4.0750000000000002</v>
      </c>
      <c r="V518" s="48" t="s">
        <v>1321</v>
      </c>
      <c r="W518" s="48" t="s">
        <v>1832</v>
      </c>
      <c r="X518" s="51">
        <v>3.2327612765480098</v>
      </c>
      <c r="Z518" s="48" t="s">
        <v>1315</v>
      </c>
      <c r="AA518" s="51">
        <v>0.80064650199999998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1316</v>
      </c>
      <c r="Q519" s="23">
        <f>DATE(YEAR(OneWeekMtgRatesDataTable75[[#This Row],[asOf]]),MONTH(OneWeekMtgRatesDataTable75[[#This Row],[asOf]]),DAY(OneWeekMtgRatesDataTable75[[#This Row],[asOf]]))</f>
        <v>41828</v>
      </c>
      <c r="R519" s="19">
        <v>4.1500000000000004</v>
      </c>
      <c r="S519" s="19">
        <v>0.7</v>
      </c>
      <c r="T519" s="19">
        <v>4.0750000000000002</v>
      </c>
      <c r="V519" s="48" t="s">
        <v>1320</v>
      </c>
      <c r="W519" s="48" t="s">
        <v>1832</v>
      </c>
      <c r="X519" s="51">
        <v>3.22381281335216</v>
      </c>
      <c r="Z519" s="48" t="s">
        <v>1314</v>
      </c>
      <c r="AA519" s="51">
        <v>0.80064650199999998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1315</v>
      </c>
      <c r="Q520" s="23">
        <f>DATE(YEAR(OneWeekMtgRatesDataTable75[[#This Row],[asOf]]),MONTH(OneWeekMtgRatesDataTable75[[#This Row],[asOf]]),DAY(OneWeekMtgRatesDataTable75[[#This Row],[asOf]]))</f>
        <v>41827</v>
      </c>
      <c r="R520" s="19">
        <v>4.1500000000000004</v>
      </c>
      <c r="S520" s="19">
        <v>0.7</v>
      </c>
      <c r="T520" s="19">
        <v>4.0750000000000002</v>
      </c>
      <c r="V520" s="48" t="s">
        <v>1319</v>
      </c>
      <c r="W520" s="48" t="s">
        <v>1832</v>
      </c>
      <c r="X520" s="51">
        <v>3.1874045932907902</v>
      </c>
      <c r="Z520" s="48" t="s">
        <v>1313</v>
      </c>
      <c r="AA520" s="51">
        <v>0.80064650199999998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1314</v>
      </c>
      <c r="Q521" s="23">
        <f>DATE(YEAR(OneWeekMtgRatesDataTable75[[#This Row],[asOf]]),MONTH(OneWeekMtgRatesDataTable75[[#This Row],[asOf]]),DAY(OneWeekMtgRatesDataTable75[[#This Row],[asOf]]))</f>
        <v>41823</v>
      </c>
      <c r="R521" s="19">
        <v>4.1500000000000004</v>
      </c>
      <c r="S521" s="19">
        <v>0.7</v>
      </c>
      <c r="T521" s="19">
        <v>4.0750000000000002</v>
      </c>
      <c r="V521" s="48" t="s">
        <v>1318</v>
      </c>
      <c r="W521" s="48" t="s">
        <v>1832</v>
      </c>
      <c r="X521" s="51">
        <v>3.20098644724558</v>
      </c>
      <c r="Z521" s="48" t="s">
        <v>1312</v>
      </c>
      <c r="AA521" s="51">
        <v>0.78812707400000004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1313</v>
      </c>
      <c r="Q522" s="23">
        <f>DATE(YEAR(OneWeekMtgRatesDataTable75[[#This Row],[asOf]]),MONTH(OneWeekMtgRatesDataTable75[[#This Row],[asOf]]),DAY(OneWeekMtgRatesDataTable75[[#This Row],[asOf]]))</f>
        <v>41822</v>
      </c>
      <c r="R522" s="19">
        <v>4.12</v>
      </c>
      <c r="S522" s="19">
        <v>0.5</v>
      </c>
      <c r="T522" s="19">
        <v>3.9950000000000001</v>
      </c>
      <c r="V522" s="48" t="s">
        <v>1317</v>
      </c>
      <c r="W522" s="48" t="s">
        <v>1832</v>
      </c>
      <c r="X522" s="51">
        <v>3.2185084565507598</v>
      </c>
      <c r="Z522" s="48" t="s">
        <v>1311</v>
      </c>
      <c r="AA522" s="51">
        <v>0.78812707400000004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1312</v>
      </c>
      <c r="Q523" s="23">
        <f>DATE(YEAR(OneWeekMtgRatesDataTable75[[#This Row],[asOf]]),MONTH(OneWeekMtgRatesDataTable75[[#This Row],[asOf]]),DAY(OneWeekMtgRatesDataTable75[[#This Row],[asOf]]))</f>
        <v>41821</v>
      </c>
      <c r="R523" s="19">
        <v>4.12</v>
      </c>
      <c r="S523" s="19">
        <v>0.5</v>
      </c>
      <c r="T523" s="19">
        <v>3.9950000000000001</v>
      </c>
      <c r="V523" s="48" t="s">
        <v>1316</v>
      </c>
      <c r="W523" s="48" t="s">
        <v>1832</v>
      </c>
      <c r="X523" s="51">
        <v>3.2329417252497299</v>
      </c>
      <c r="Z523" s="48" t="s">
        <v>1310</v>
      </c>
      <c r="AA523" s="51">
        <v>0.78812707400000004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1311</v>
      </c>
      <c r="Q524" s="23">
        <f>DATE(YEAR(OneWeekMtgRatesDataTable75[[#This Row],[asOf]]),MONTH(OneWeekMtgRatesDataTable75[[#This Row],[asOf]]),DAY(OneWeekMtgRatesDataTable75[[#This Row],[asOf]]))</f>
        <v>41820</v>
      </c>
      <c r="R524" s="19">
        <v>4.12</v>
      </c>
      <c r="S524" s="19">
        <v>0.5</v>
      </c>
      <c r="T524" s="19">
        <v>3.9950000000000001</v>
      </c>
      <c r="V524" s="48" t="s">
        <v>1315</v>
      </c>
      <c r="W524" s="48" t="s">
        <v>1832</v>
      </c>
      <c r="X524" s="51">
        <v>3.2664759262762</v>
      </c>
      <c r="Z524" s="48" t="s">
        <v>1309</v>
      </c>
      <c r="AA524" s="51">
        <v>0.78812707400000004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1310</v>
      </c>
      <c r="Q525" s="23">
        <f>DATE(YEAR(OneWeekMtgRatesDataTable75[[#This Row],[asOf]]),MONTH(OneWeekMtgRatesDataTable75[[#This Row],[asOf]]),DAY(OneWeekMtgRatesDataTable75[[#This Row],[asOf]]))</f>
        <v>41817</v>
      </c>
      <c r="R525" s="19">
        <v>4.12</v>
      </c>
      <c r="S525" s="19">
        <v>0.5</v>
      </c>
      <c r="T525" s="19">
        <v>3.9950000000000001</v>
      </c>
      <c r="V525" s="48" t="s">
        <v>1314</v>
      </c>
      <c r="W525" s="48" t="s">
        <v>1832</v>
      </c>
      <c r="X525" s="51">
        <v>3.2816971853818702</v>
      </c>
      <c r="Z525" s="48" t="s">
        <v>1308</v>
      </c>
      <c r="AA525" s="51">
        <v>0.78812707400000004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1309</v>
      </c>
      <c r="Q526" s="23">
        <f>DATE(YEAR(OneWeekMtgRatesDataTable75[[#This Row],[asOf]]),MONTH(OneWeekMtgRatesDataTable75[[#This Row],[asOf]]),DAY(OneWeekMtgRatesDataTable75[[#This Row],[asOf]]))</f>
        <v>41816</v>
      </c>
      <c r="R526" s="19">
        <v>4.12</v>
      </c>
      <c r="S526" s="19">
        <v>0.5</v>
      </c>
      <c r="T526" s="19">
        <v>3.9950000000000001</v>
      </c>
      <c r="V526" s="48" t="s">
        <v>1313</v>
      </c>
      <c r="W526" s="48" t="s">
        <v>1832</v>
      </c>
      <c r="X526" s="51">
        <v>3.25804857470149</v>
      </c>
      <c r="Z526" s="48" t="s">
        <v>1307</v>
      </c>
      <c r="AA526" s="51">
        <v>0.81375933700000003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1308</v>
      </c>
      <c r="Q527" s="23">
        <f>DATE(YEAR(OneWeekMtgRatesDataTable75[[#This Row],[asOf]]),MONTH(OneWeekMtgRatesDataTable75[[#This Row],[asOf]]),DAY(OneWeekMtgRatesDataTable75[[#This Row],[asOf]]))</f>
        <v>41815</v>
      </c>
      <c r="R527" s="19">
        <v>4.1399999999999997</v>
      </c>
      <c r="S527" s="19">
        <v>0.5</v>
      </c>
      <c r="T527" s="19">
        <v>4.0149999999999997</v>
      </c>
      <c r="V527" s="48" t="s">
        <v>1312</v>
      </c>
      <c r="W527" s="48" t="s">
        <v>1832</v>
      </c>
      <c r="X527" s="51">
        <v>3.2107808202984001</v>
      </c>
      <c r="Z527" s="48" t="s">
        <v>1306</v>
      </c>
      <c r="AA527" s="51">
        <v>0.81375933700000003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1307</v>
      </c>
      <c r="Q528" s="23">
        <f>DATE(YEAR(OneWeekMtgRatesDataTable75[[#This Row],[asOf]]),MONTH(OneWeekMtgRatesDataTable75[[#This Row],[asOf]]),DAY(OneWeekMtgRatesDataTable75[[#This Row],[asOf]]))</f>
        <v>41814</v>
      </c>
      <c r="R528" s="19">
        <v>4.1399999999999997</v>
      </c>
      <c r="S528" s="19">
        <v>0.5</v>
      </c>
      <c r="T528" s="19">
        <v>4.0149999999999997</v>
      </c>
      <c r="V528" s="48" t="s">
        <v>1311</v>
      </c>
      <c r="W528" s="48" t="s">
        <v>1832</v>
      </c>
      <c r="X528" s="51">
        <v>3.16005861973392</v>
      </c>
      <c r="Z528" s="48" t="s">
        <v>1305</v>
      </c>
      <c r="AA528" s="51">
        <v>0.81375933700000003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1306</v>
      </c>
      <c r="Q529" s="23">
        <f>DATE(YEAR(OneWeekMtgRatesDataTable75[[#This Row],[asOf]]),MONTH(OneWeekMtgRatesDataTable75[[#This Row],[asOf]]),DAY(OneWeekMtgRatesDataTable75[[#This Row],[asOf]]))</f>
        <v>41813</v>
      </c>
      <c r="R529" s="19">
        <v>4.1399999999999997</v>
      </c>
      <c r="S529" s="19">
        <v>0.5</v>
      </c>
      <c r="T529" s="19">
        <v>4.0149999999999997</v>
      </c>
      <c r="V529" s="48" t="s">
        <v>1310</v>
      </c>
      <c r="W529" s="48" t="s">
        <v>1832</v>
      </c>
      <c r="X529" s="51">
        <v>3.1723768258530498</v>
      </c>
      <c r="Z529" s="48" t="s">
        <v>1304</v>
      </c>
      <c r="AA529" s="51">
        <v>0.81375933700000003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1305</v>
      </c>
      <c r="Q530" s="23">
        <f>DATE(YEAR(OneWeekMtgRatesDataTable75[[#This Row],[asOf]]),MONTH(OneWeekMtgRatesDataTable75[[#This Row],[asOf]]),DAY(OneWeekMtgRatesDataTable75[[#This Row],[asOf]]))</f>
        <v>41810</v>
      </c>
      <c r="R530" s="19">
        <v>4.1399999999999997</v>
      </c>
      <c r="S530" s="19">
        <v>0.5</v>
      </c>
      <c r="T530" s="19">
        <v>4.0149999999999997</v>
      </c>
      <c r="V530" s="48" t="s">
        <v>1309</v>
      </c>
      <c r="W530" s="48" t="s">
        <v>1832</v>
      </c>
      <c r="X530" s="51">
        <v>3.1705026484021301</v>
      </c>
      <c r="Z530" s="48" t="s">
        <v>1303</v>
      </c>
      <c r="AA530" s="51">
        <v>0.81375933700000003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1304</v>
      </c>
      <c r="Q531" s="23">
        <f>DATE(YEAR(OneWeekMtgRatesDataTable75[[#This Row],[asOf]]),MONTH(OneWeekMtgRatesDataTable75[[#This Row],[asOf]]),DAY(OneWeekMtgRatesDataTable75[[#This Row],[asOf]]))</f>
        <v>41809</v>
      </c>
      <c r="R531" s="19">
        <v>4.1399999999999997</v>
      </c>
      <c r="S531" s="19">
        <v>0.5</v>
      </c>
      <c r="T531" s="19">
        <v>4.0149999999999997</v>
      </c>
      <c r="V531" s="48" t="s">
        <v>1308</v>
      </c>
      <c r="W531" s="48" t="s">
        <v>1832</v>
      </c>
      <c r="X531" s="51">
        <v>3.1948973800231402</v>
      </c>
      <c r="Z531" s="48" t="s">
        <v>1302</v>
      </c>
      <c r="AA531" s="51">
        <v>0.83559014799999998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1303</v>
      </c>
      <c r="Q532" s="23">
        <f>DATE(YEAR(OneWeekMtgRatesDataTable75[[#This Row],[asOf]]),MONTH(OneWeekMtgRatesDataTable75[[#This Row],[asOf]]),DAY(OneWeekMtgRatesDataTable75[[#This Row],[asOf]]))</f>
        <v>41808</v>
      </c>
      <c r="R532" s="19">
        <v>4.17</v>
      </c>
      <c r="S532" s="19">
        <v>0.6</v>
      </c>
      <c r="T532" s="19">
        <v>4.07</v>
      </c>
      <c r="V532" s="48" t="s">
        <v>1307</v>
      </c>
      <c r="W532" s="48" t="s">
        <v>1832</v>
      </c>
      <c r="X532" s="51">
        <v>3.2180523990892298</v>
      </c>
      <c r="Z532" s="48" t="s">
        <v>1301</v>
      </c>
      <c r="AA532" s="51">
        <v>0.83559014799999998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1302</v>
      </c>
      <c r="Q533" s="23">
        <f>DATE(YEAR(OneWeekMtgRatesDataTable75[[#This Row],[asOf]]),MONTH(OneWeekMtgRatesDataTable75[[#This Row],[asOf]]),DAY(OneWeekMtgRatesDataTable75[[#This Row],[asOf]]))</f>
        <v>41807</v>
      </c>
      <c r="R533" s="19">
        <v>4.17</v>
      </c>
      <c r="S533" s="19">
        <v>0.6</v>
      </c>
      <c r="T533" s="19">
        <v>4.07</v>
      </c>
      <c r="V533" s="48" t="s">
        <v>1306</v>
      </c>
      <c r="W533" s="48" t="s">
        <v>1832</v>
      </c>
      <c r="X533" s="51">
        <v>3.2420059350164898</v>
      </c>
      <c r="Z533" s="48" t="s">
        <v>1300</v>
      </c>
      <c r="AA533" s="51">
        <v>0.83559014799999998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1301</v>
      </c>
      <c r="Q534" s="23">
        <f>DATE(YEAR(OneWeekMtgRatesDataTable75[[#This Row],[asOf]]),MONTH(OneWeekMtgRatesDataTable75[[#This Row],[asOf]]),DAY(OneWeekMtgRatesDataTable75[[#This Row],[asOf]]))</f>
        <v>41806</v>
      </c>
      <c r="R534" s="19">
        <v>4.17</v>
      </c>
      <c r="S534" s="19">
        <v>0.6</v>
      </c>
      <c r="T534" s="19">
        <v>4.07</v>
      </c>
      <c r="V534" s="48" t="s">
        <v>1305</v>
      </c>
      <c r="W534" s="48" t="s">
        <v>1832</v>
      </c>
      <c r="X534" s="51">
        <v>3.2387092672418598</v>
      </c>
      <c r="Z534" s="48" t="s">
        <v>1299</v>
      </c>
      <c r="AA534" s="51">
        <v>0.83559014799999998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1300</v>
      </c>
      <c r="Q535" s="23">
        <f>DATE(YEAR(OneWeekMtgRatesDataTable75[[#This Row],[asOf]]),MONTH(OneWeekMtgRatesDataTable75[[#This Row],[asOf]]),DAY(OneWeekMtgRatesDataTable75[[#This Row],[asOf]]))</f>
        <v>41803</v>
      </c>
      <c r="R535" s="19">
        <v>4.17</v>
      </c>
      <c r="S535" s="19">
        <v>0.6</v>
      </c>
      <c r="T535" s="19">
        <v>4.07</v>
      </c>
      <c r="V535" s="48" t="s">
        <v>1304</v>
      </c>
      <c r="W535" s="48" t="s">
        <v>1832</v>
      </c>
      <c r="X535" s="51">
        <v>3.2406996477189098</v>
      </c>
      <c r="Z535" s="48" t="s">
        <v>1298</v>
      </c>
      <c r="AA535" s="51">
        <v>0.83559014799999998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1299</v>
      </c>
      <c r="Q536" s="23">
        <f>DATE(YEAR(OneWeekMtgRatesDataTable75[[#This Row],[asOf]]),MONTH(OneWeekMtgRatesDataTable75[[#This Row],[asOf]]),DAY(OneWeekMtgRatesDataTable75[[#This Row],[asOf]]))</f>
        <v>41802</v>
      </c>
      <c r="R536" s="19">
        <v>4.17</v>
      </c>
      <c r="S536" s="19">
        <v>0.6</v>
      </c>
      <c r="T536" s="19">
        <v>4.07</v>
      </c>
      <c r="V536" s="48" t="s">
        <v>1303</v>
      </c>
      <c r="W536" s="48" t="s">
        <v>1832</v>
      </c>
      <c r="X536" s="51">
        <v>3.2554507349207298</v>
      </c>
      <c r="Z536" s="48" t="s">
        <v>1297</v>
      </c>
      <c r="AA536" s="51">
        <v>0.81759330100000005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1298</v>
      </c>
      <c r="Q537" s="23">
        <f>DATE(YEAR(OneWeekMtgRatesDataTable75[[#This Row],[asOf]]),MONTH(OneWeekMtgRatesDataTable75[[#This Row],[asOf]]),DAY(OneWeekMtgRatesDataTable75[[#This Row],[asOf]]))</f>
        <v>41801</v>
      </c>
      <c r="R537" s="19">
        <v>4.2</v>
      </c>
      <c r="S537" s="19">
        <v>0.6</v>
      </c>
      <c r="T537" s="19">
        <v>4.1000000000000005</v>
      </c>
      <c r="V537" s="48" t="s">
        <v>1302</v>
      </c>
      <c r="W537" s="48" t="s">
        <v>1832</v>
      </c>
      <c r="X537" s="51">
        <v>3.2955237008358602</v>
      </c>
      <c r="Z537" s="48" t="s">
        <v>1296</v>
      </c>
      <c r="AA537" s="51">
        <v>0.81759330100000005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1297</v>
      </c>
      <c r="Q538" s="23">
        <f>DATE(YEAR(OneWeekMtgRatesDataTable75[[#This Row],[asOf]]),MONTH(OneWeekMtgRatesDataTable75[[#This Row],[asOf]]),DAY(OneWeekMtgRatesDataTable75[[#This Row],[asOf]]))</f>
        <v>41800</v>
      </c>
      <c r="R538" s="19">
        <v>4.2</v>
      </c>
      <c r="S538" s="19">
        <v>0.6</v>
      </c>
      <c r="T538" s="19">
        <v>4.1000000000000005</v>
      </c>
      <c r="V538" s="48" t="s">
        <v>1301</v>
      </c>
      <c r="W538" s="48" t="s">
        <v>1832</v>
      </c>
      <c r="X538" s="51">
        <v>3.2401980086341502</v>
      </c>
      <c r="Z538" s="48" t="s">
        <v>1295</v>
      </c>
      <c r="AA538" s="51">
        <v>0.81759330100000005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1296</v>
      </c>
      <c r="Q539" s="23">
        <f>DATE(YEAR(OneWeekMtgRatesDataTable75[[#This Row],[asOf]]),MONTH(OneWeekMtgRatesDataTable75[[#This Row],[asOf]]),DAY(OneWeekMtgRatesDataTable75[[#This Row],[asOf]]))</f>
        <v>41799</v>
      </c>
      <c r="R539" s="19">
        <v>4.2</v>
      </c>
      <c r="S539" s="19">
        <v>0.6</v>
      </c>
      <c r="T539" s="19">
        <v>4.1000000000000005</v>
      </c>
      <c r="V539" s="48" t="s">
        <v>1300</v>
      </c>
      <c r="W539" s="48" t="s">
        <v>1832</v>
      </c>
      <c r="X539" s="51">
        <v>3.2532056158969298</v>
      </c>
      <c r="Z539" s="48" t="s">
        <v>1294</v>
      </c>
      <c r="AA539" s="51">
        <v>0.81759330100000005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1295</v>
      </c>
      <c r="Q540" s="23">
        <f>DATE(YEAR(OneWeekMtgRatesDataTable75[[#This Row],[asOf]]),MONTH(OneWeekMtgRatesDataTable75[[#This Row],[asOf]]),DAY(OneWeekMtgRatesDataTable75[[#This Row],[asOf]]))</f>
        <v>41796</v>
      </c>
      <c r="R540" s="19">
        <v>4.2</v>
      </c>
      <c r="S540" s="19">
        <v>0.6</v>
      </c>
      <c r="T540" s="19">
        <v>4.1000000000000005</v>
      </c>
      <c r="V540" s="48" t="s">
        <v>1299</v>
      </c>
      <c r="W540" s="48" t="s">
        <v>1832</v>
      </c>
      <c r="X540" s="51">
        <v>3.2368252535266899</v>
      </c>
      <c r="Z540" s="48" t="s">
        <v>1293</v>
      </c>
      <c r="AA540" s="51">
        <v>0.81759330100000005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1294</v>
      </c>
      <c r="Q541" s="23">
        <f>DATE(YEAR(OneWeekMtgRatesDataTable75[[#This Row],[asOf]]),MONTH(OneWeekMtgRatesDataTable75[[#This Row],[asOf]]),DAY(OneWeekMtgRatesDataTable75[[#This Row],[asOf]]))</f>
        <v>41795</v>
      </c>
      <c r="R541" s="19">
        <v>4.2</v>
      </c>
      <c r="S541" s="19">
        <v>0.6</v>
      </c>
      <c r="T541" s="19">
        <v>4.1000000000000005</v>
      </c>
      <c r="V541" s="48" t="s">
        <v>1298</v>
      </c>
      <c r="W541" s="48" t="s">
        <v>1832</v>
      </c>
      <c r="X541" s="51">
        <v>3.2835967922496798</v>
      </c>
      <c r="Z541" s="48" t="s">
        <v>1292</v>
      </c>
      <c r="AA541" s="51">
        <v>0.844091288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1293</v>
      </c>
      <c r="Q542" s="23">
        <f>DATE(YEAR(OneWeekMtgRatesDataTable75[[#This Row],[asOf]]),MONTH(OneWeekMtgRatesDataTable75[[#This Row],[asOf]]),DAY(OneWeekMtgRatesDataTable75[[#This Row],[asOf]]))</f>
        <v>41794</v>
      </c>
      <c r="R542" s="19">
        <v>4.1399999999999997</v>
      </c>
      <c r="S542" s="19">
        <v>0.5</v>
      </c>
      <c r="T542" s="19">
        <v>4.0149999999999997</v>
      </c>
      <c r="V542" s="48" t="s">
        <v>1297</v>
      </c>
      <c r="W542" s="48" t="s">
        <v>1832</v>
      </c>
      <c r="X542" s="51">
        <v>3.2863723435874199</v>
      </c>
      <c r="Z542" s="48" t="s">
        <v>1291</v>
      </c>
      <c r="AA542" s="51">
        <v>0.844091288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1292</v>
      </c>
      <c r="Q543" s="23">
        <f>DATE(YEAR(OneWeekMtgRatesDataTable75[[#This Row],[asOf]]),MONTH(OneWeekMtgRatesDataTable75[[#This Row],[asOf]]),DAY(OneWeekMtgRatesDataTable75[[#This Row],[asOf]]))</f>
        <v>41793</v>
      </c>
      <c r="R543" s="19">
        <v>4.1399999999999997</v>
      </c>
      <c r="S543" s="19">
        <v>0.5</v>
      </c>
      <c r="T543" s="19">
        <v>4.0149999999999997</v>
      </c>
      <c r="V543" s="48" t="s">
        <v>1296</v>
      </c>
      <c r="W543" s="48" t="s">
        <v>1832</v>
      </c>
      <c r="X543" s="51">
        <v>3.2647835350343399</v>
      </c>
      <c r="Z543" s="48" t="s">
        <v>1290</v>
      </c>
      <c r="AA543" s="51">
        <v>0.844091288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1291</v>
      </c>
      <c r="Q544" s="23">
        <f>DATE(YEAR(OneWeekMtgRatesDataTable75[[#This Row],[asOf]]),MONTH(OneWeekMtgRatesDataTable75[[#This Row],[asOf]]),DAY(OneWeekMtgRatesDataTable75[[#This Row],[asOf]]))</f>
        <v>41792</v>
      </c>
      <c r="R544" s="19">
        <v>4.1399999999999997</v>
      </c>
      <c r="S544" s="19">
        <v>0.5</v>
      </c>
      <c r="T544" s="19">
        <v>4.0149999999999997</v>
      </c>
      <c r="V544" s="48" t="s">
        <v>1295</v>
      </c>
      <c r="W544" s="48" t="s">
        <v>1832</v>
      </c>
      <c r="X544" s="51">
        <v>3.24953377621733</v>
      </c>
      <c r="Z544" s="48" t="s">
        <v>1289</v>
      </c>
      <c r="AA544" s="51">
        <v>0.844091288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1290</v>
      </c>
      <c r="Q545" s="23">
        <f>DATE(YEAR(OneWeekMtgRatesDataTable75[[#This Row],[asOf]]),MONTH(OneWeekMtgRatesDataTable75[[#This Row],[asOf]]),DAY(OneWeekMtgRatesDataTable75[[#This Row],[asOf]]))</f>
        <v>41789</v>
      </c>
      <c r="R545" s="19">
        <v>4.1399999999999997</v>
      </c>
      <c r="S545" s="19">
        <v>0.5</v>
      </c>
      <c r="T545" s="19">
        <v>4.0149999999999997</v>
      </c>
      <c r="V545" s="48" t="s">
        <v>1294</v>
      </c>
      <c r="W545" s="48" t="s">
        <v>1832</v>
      </c>
      <c r="X545" s="51">
        <v>3.2377628105001701</v>
      </c>
      <c r="Z545" s="48" t="s">
        <v>1288</v>
      </c>
      <c r="AA545" s="51">
        <v>0.844091288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1289</v>
      </c>
      <c r="Q546" s="23">
        <f>DATE(YEAR(OneWeekMtgRatesDataTable75[[#This Row],[asOf]]),MONTH(OneWeekMtgRatesDataTable75[[#This Row],[asOf]]),DAY(OneWeekMtgRatesDataTable75[[#This Row],[asOf]]))</f>
        <v>41788</v>
      </c>
      <c r="R546" s="19">
        <v>4.1399999999999997</v>
      </c>
      <c r="S546" s="19">
        <v>0.5</v>
      </c>
      <c r="T546" s="19">
        <v>4.0149999999999997</v>
      </c>
      <c r="V546" s="48" t="s">
        <v>1293</v>
      </c>
      <c r="W546" s="48" t="s">
        <v>1832</v>
      </c>
      <c r="X546" s="51">
        <v>3.2635254657079802</v>
      </c>
      <c r="Z546" s="48" t="s">
        <v>1287</v>
      </c>
      <c r="AA546" s="51">
        <v>0.83946977700000003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1288</v>
      </c>
      <c r="Q547" s="23">
        <f>DATE(YEAR(OneWeekMtgRatesDataTable75[[#This Row],[asOf]]),MONTH(OneWeekMtgRatesDataTable75[[#This Row],[asOf]]),DAY(OneWeekMtgRatesDataTable75[[#This Row],[asOf]]))</f>
        <v>41787</v>
      </c>
      <c r="R547" s="19">
        <v>4.12</v>
      </c>
      <c r="S547" s="19">
        <v>0.6</v>
      </c>
      <c r="T547" s="19">
        <v>4.0200000000000005</v>
      </c>
      <c r="V547" s="48" t="s">
        <v>1292</v>
      </c>
      <c r="W547" s="48" t="s">
        <v>1832</v>
      </c>
      <c r="X547" s="51">
        <v>3.2594551208520199</v>
      </c>
      <c r="Z547" s="48" t="s">
        <v>1286</v>
      </c>
      <c r="AA547" s="51">
        <v>0.83946977700000003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1287</v>
      </c>
      <c r="Q548" s="23">
        <f>DATE(YEAR(OneWeekMtgRatesDataTable75[[#This Row],[asOf]]),MONTH(OneWeekMtgRatesDataTable75[[#This Row],[asOf]]),DAY(OneWeekMtgRatesDataTable75[[#This Row],[asOf]]))</f>
        <v>41786</v>
      </c>
      <c r="R548" s="19">
        <v>4.12</v>
      </c>
      <c r="S548" s="19">
        <v>0.6</v>
      </c>
      <c r="T548" s="19">
        <v>4.0200000000000005</v>
      </c>
      <c r="V548" s="48" t="s">
        <v>1291</v>
      </c>
      <c r="W548" s="48" t="s">
        <v>1832</v>
      </c>
      <c r="X548" s="51">
        <v>3.2077358231055602</v>
      </c>
      <c r="Z548" s="48" t="s">
        <v>1285</v>
      </c>
      <c r="AA548" s="51">
        <v>0.83946977700000003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1286</v>
      </c>
      <c r="Q549" s="23">
        <f>DATE(YEAR(OneWeekMtgRatesDataTable75[[#This Row],[asOf]]),MONTH(OneWeekMtgRatesDataTable75[[#This Row],[asOf]]),DAY(OneWeekMtgRatesDataTable75[[#This Row],[asOf]]))</f>
        <v>41782</v>
      </c>
      <c r="R549" s="19">
        <v>4.12</v>
      </c>
      <c r="S549" s="19">
        <v>0.6</v>
      </c>
      <c r="T549" s="19">
        <v>4.0200000000000005</v>
      </c>
      <c r="V549" s="48" t="s">
        <v>1290</v>
      </c>
      <c r="W549" s="48" t="s">
        <v>1832</v>
      </c>
      <c r="X549" s="51">
        <v>3.1327170492887499</v>
      </c>
      <c r="Z549" s="48" t="s">
        <v>1284</v>
      </c>
      <c r="AA549" s="51">
        <v>0.83946977700000003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1285</v>
      </c>
      <c r="Q550" s="23">
        <f>DATE(YEAR(OneWeekMtgRatesDataTable75[[#This Row],[asOf]]),MONTH(OneWeekMtgRatesDataTable75[[#This Row],[asOf]]),DAY(OneWeekMtgRatesDataTable75[[#This Row],[asOf]]))</f>
        <v>41781</v>
      </c>
      <c r="R550" s="19">
        <v>4.12</v>
      </c>
      <c r="S550" s="19">
        <v>0.6</v>
      </c>
      <c r="T550" s="19">
        <v>4.0200000000000005</v>
      </c>
      <c r="V550" s="48" t="s">
        <v>1289</v>
      </c>
      <c r="W550" s="48" t="s">
        <v>1832</v>
      </c>
      <c r="X550" s="51">
        <v>3.12360003836893</v>
      </c>
      <c r="Z550" s="48" t="s">
        <v>1283</v>
      </c>
      <c r="AA550" s="51">
        <v>0.84724827700000005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1284</v>
      </c>
      <c r="Q551" s="23">
        <f>DATE(YEAR(OneWeekMtgRatesDataTable75[[#This Row],[asOf]]),MONTH(OneWeekMtgRatesDataTable75[[#This Row],[asOf]]),DAY(OneWeekMtgRatesDataTable75[[#This Row],[asOf]]))</f>
        <v>41780</v>
      </c>
      <c r="R551" s="19">
        <v>4.1399999999999997</v>
      </c>
      <c r="S551" s="19">
        <v>0.6</v>
      </c>
      <c r="T551" s="19">
        <v>4.04</v>
      </c>
      <c r="V551" s="48" t="s">
        <v>1288</v>
      </c>
      <c r="W551" s="48" t="s">
        <v>1832</v>
      </c>
      <c r="X551" s="51">
        <v>3.0965824543668101</v>
      </c>
      <c r="Z551" s="48" t="s">
        <v>1282</v>
      </c>
      <c r="AA551" s="51">
        <v>0.84724827700000005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1283</v>
      </c>
      <c r="Q552" s="23">
        <f>DATE(YEAR(OneWeekMtgRatesDataTable75[[#This Row],[asOf]]),MONTH(OneWeekMtgRatesDataTable75[[#This Row],[asOf]]),DAY(OneWeekMtgRatesDataTable75[[#This Row],[asOf]]))</f>
        <v>41779</v>
      </c>
      <c r="R552" s="19">
        <v>4.1399999999999997</v>
      </c>
      <c r="S552" s="19">
        <v>0.6</v>
      </c>
      <c r="T552" s="19">
        <v>4.04</v>
      </c>
      <c r="V552" s="48" t="s">
        <v>1287</v>
      </c>
      <c r="W552" s="48" t="s">
        <v>1832</v>
      </c>
      <c r="X552" s="51">
        <v>3.1863361498629699</v>
      </c>
      <c r="Z552" s="48" t="s">
        <v>1281</v>
      </c>
      <c r="AA552" s="51">
        <v>0.84724827700000005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1282</v>
      </c>
      <c r="Q553" s="23">
        <f>DATE(YEAR(OneWeekMtgRatesDataTable75[[#This Row],[asOf]]),MONTH(OneWeekMtgRatesDataTable75[[#This Row],[asOf]]),DAY(OneWeekMtgRatesDataTable75[[#This Row],[asOf]]))</f>
        <v>41778</v>
      </c>
      <c r="R553" s="19">
        <v>4.1399999999999997</v>
      </c>
      <c r="S553" s="19">
        <v>0.6</v>
      </c>
      <c r="T553" s="19">
        <v>4.04</v>
      </c>
      <c r="V553" s="48" t="s">
        <v>1286</v>
      </c>
      <c r="W553" s="48" t="s">
        <v>1832</v>
      </c>
      <c r="X553" s="51">
        <v>3.2062850314999101</v>
      </c>
      <c r="Z553" s="48" t="s">
        <v>1280</v>
      </c>
      <c r="AA553" s="51">
        <v>0.84724827700000005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1281</v>
      </c>
      <c r="Q554" s="23">
        <f>DATE(YEAR(OneWeekMtgRatesDataTable75[[#This Row],[asOf]]),MONTH(OneWeekMtgRatesDataTable75[[#This Row],[asOf]]),DAY(OneWeekMtgRatesDataTable75[[#This Row],[asOf]]))</f>
        <v>41775</v>
      </c>
      <c r="R554" s="19">
        <v>4.1399999999999997</v>
      </c>
      <c r="S554" s="19">
        <v>0.6</v>
      </c>
      <c r="T554" s="19">
        <v>4.04</v>
      </c>
      <c r="V554" s="48" t="s">
        <v>1285</v>
      </c>
      <c r="W554" s="48" t="s">
        <v>1832</v>
      </c>
      <c r="X554" s="51">
        <v>3.2144312113226099</v>
      </c>
      <c r="Z554" s="48" t="s">
        <v>1279</v>
      </c>
      <c r="AA554" s="51">
        <v>0.84724827700000005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1280</v>
      </c>
      <c r="Q555" s="23">
        <f>DATE(YEAR(OneWeekMtgRatesDataTable75[[#This Row],[asOf]]),MONTH(OneWeekMtgRatesDataTable75[[#This Row],[asOf]]),DAY(OneWeekMtgRatesDataTable75[[#This Row],[asOf]]))</f>
        <v>41774</v>
      </c>
      <c r="R555" s="19">
        <v>4.1399999999999997</v>
      </c>
      <c r="S555" s="19">
        <v>0.6</v>
      </c>
      <c r="T555" s="19">
        <v>4.04</v>
      </c>
      <c r="V555" s="48" t="s">
        <v>1284</v>
      </c>
      <c r="W555" s="48" t="s">
        <v>1832</v>
      </c>
      <c r="X555" s="51">
        <v>3.2003729321605299</v>
      </c>
      <c r="Z555" s="48" t="s">
        <v>1278</v>
      </c>
      <c r="AA555" s="51">
        <v>0.83878032700000005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1279</v>
      </c>
      <c r="Q556" s="23">
        <f>DATE(YEAR(OneWeekMtgRatesDataTable75[[#This Row],[asOf]]),MONTH(OneWeekMtgRatesDataTable75[[#This Row],[asOf]]),DAY(OneWeekMtgRatesDataTable75[[#This Row],[asOf]]))</f>
        <v>41773</v>
      </c>
      <c r="R556" s="19">
        <v>4.2</v>
      </c>
      <c r="S556" s="19">
        <v>0.6</v>
      </c>
      <c r="T556" s="19">
        <v>4.1000000000000005</v>
      </c>
      <c r="V556" s="48" t="s">
        <v>1283</v>
      </c>
      <c r="W556" s="48" t="s">
        <v>1832</v>
      </c>
      <c r="X556" s="51">
        <v>3.1906249352690699</v>
      </c>
      <c r="Z556" s="48" t="s">
        <v>1277</v>
      </c>
      <c r="AA556" s="51">
        <v>0.83878032700000005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1278</v>
      </c>
      <c r="Q557" s="23">
        <f>DATE(YEAR(OneWeekMtgRatesDataTable75[[#This Row],[asOf]]),MONTH(OneWeekMtgRatesDataTable75[[#This Row],[asOf]]),DAY(OneWeekMtgRatesDataTable75[[#This Row],[asOf]]))</f>
        <v>41772</v>
      </c>
      <c r="R557" s="19">
        <v>4.2</v>
      </c>
      <c r="S557" s="19">
        <v>0.6</v>
      </c>
      <c r="T557" s="19">
        <v>4.1000000000000005</v>
      </c>
      <c r="V557" s="48" t="s">
        <v>1282</v>
      </c>
      <c r="W557" s="48" t="s">
        <v>1832</v>
      </c>
      <c r="X557" s="51">
        <v>3.2249711814966302</v>
      </c>
      <c r="Z557" s="48" t="s">
        <v>1276</v>
      </c>
      <c r="AA557" s="51">
        <v>0.83878032700000005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1277</v>
      </c>
      <c r="Q558" s="23">
        <f>DATE(YEAR(OneWeekMtgRatesDataTable75[[#This Row],[asOf]]),MONTH(OneWeekMtgRatesDataTable75[[#This Row],[asOf]]),DAY(OneWeekMtgRatesDataTable75[[#This Row],[asOf]]))</f>
        <v>41771</v>
      </c>
      <c r="R558" s="19">
        <v>4.2</v>
      </c>
      <c r="S558" s="19">
        <v>0.6</v>
      </c>
      <c r="T558" s="19">
        <v>4.1000000000000005</v>
      </c>
      <c r="V558" s="48" t="s">
        <v>1281</v>
      </c>
      <c r="W558" s="48" t="s">
        <v>1832</v>
      </c>
      <c r="X558" s="51">
        <v>3.2071722937792901</v>
      </c>
      <c r="Z558" s="48" t="s">
        <v>1275</v>
      </c>
      <c r="AA558" s="51">
        <v>0.83878032700000005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1276</v>
      </c>
      <c r="Q559" s="23">
        <f>DATE(YEAR(OneWeekMtgRatesDataTable75[[#This Row],[asOf]]),MONTH(OneWeekMtgRatesDataTable75[[#This Row],[asOf]]),DAY(OneWeekMtgRatesDataTable75[[#This Row],[asOf]]))</f>
        <v>41768</v>
      </c>
      <c r="R559" s="19">
        <v>4.2</v>
      </c>
      <c r="S559" s="19">
        <v>0.6</v>
      </c>
      <c r="T559" s="19">
        <v>4.1000000000000005</v>
      </c>
      <c r="V559" s="48" t="s">
        <v>1280</v>
      </c>
      <c r="W559" s="48" t="s">
        <v>1832</v>
      </c>
      <c r="X559" s="51">
        <v>3.1795097734540301</v>
      </c>
      <c r="Z559" s="48" t="s">
        <v>1274</v>
      </c>
      <c r="AA559" s="51">
        <v>0.83878032700000005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1275</v>
      </c>
      <c r="Q560" s="23">
        <f>DATE(YEAR(OneWeekMtgRatesDataTable75[[#This Row],[asOf]]),MONTH(OneWeekMtgRatesDataTable75[[#This Row],[asOf]]),DAY(OneWeekMtgRatesDataTable75[[#This Row],[asOf]]))</f>
        <v>41767</v>
      </c>
      <c r="R560" s="19">
        <v>4.2</v>
      </c>
      <c r="S560" s="19">
        <v>0.6</v>
      </c>
      <c r="T560" s="19">
        <v>4.1000000000000005</v>
      </c>
      <c r="V560" s="48" t="s">
        <v>1279</v>
      </c>
      <c r="W560" s="48" t="s">
        <v>1832</v>
      </c>
      <c r="X560" s="51">
        <v>3.1970892272743101</v>
      </c>
      <c r="Z560" s="48" t="s">
        <v>1273</v>
      </c>
      <c r="AA560" s="51">
        <v>0.86267006199999996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1274</v>
      </c>
      <c r="Q561" s="23">
        <f>DATE(YEAR(OneWeekMtgRatesDataTable75[[#This Row],[asOf]]),MONTH(OneWeekMtgRatesDataTable75[[#This Row],[asOf]]),DAY(OneWeekMtgRatesDataTable75[[#This Row],[asOf]]))</f>
        <v>41766</v>
      </c>
      <c r="R561" s="19">
        <v>4.21</v>
      </c>
      <c r="S561" s="19">
        <v>0.6</v>
      </c>
      <c r="T561" s="19">
        <v>4.1100000000000003</v>
      </c>
      <c r="V561" s="48" t="s">
        <v>1278</v>
      </c>
      <c r="W561" s="48" t="s">
        <v>1832</v>
      </c>
      <c r="X561" s="51">
        <v>3.2728026621506001</v>
      </c>
      <c r="Z561" s="48" t="s">
        <v>1272</v>
      </c>
      <c r="AA561" s="51">
        <v>0.86267006199999996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1273</v>
      </c>
      <c r="Q562" s="23">
        <f>DATE(YEAR(OneWeekMtgRatesDataTable75[[#This Row],[asOf]]),MONTH(OneWeekMtgRatesDataTable75[[#This Row],[asOf]]),DAY(OneWeekMtgRatesDataTable75[[#This Row],[asOf]]))</f>
        <v>41765</v>
      </c>
      <c r="R562" s="19">
        <v>4.21</v>
      </c>
      <c r="S562" s="19">
        <v>0.6</v>
      </c>
      <c r="T562" s="19">
        <v>4.1100000000000003</v>
      </c>
      <c r="V562" s="48" t="s">
        <v>1277</v>
      </c>
      <c r="W562" s="48" t="s">
        <v>1832</v>
      </c>
      <c r="X562" s="51">
        <v>3.2957313796738501</v>
      </c>
      <c r="Z562" s="48" t="s">
        <v>1271</v>
      </c>
      <c r="AA562" s="51">
        <v>0.86267006199999996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1272</v>
      </c>
      <c r="Q563" s="23">
        <f>DATE(YEAR(OneWeekMtgRatesDataTable75[[#This Row],[asOf]]),MONTH(OneWeekMtgRatesDataTable75[[#This Row],[asOf]]),DAY(OneWeekMtgRatesDataTable75[[#This Row],[asOf]]))</f>
        <v>41764</v>
      </c>
      <c r="R563" s="19">
        <v>4.21</v>
      </c>
      <c r="S563" s="19">
        <v>0.6</v>
      </c>
      <c r="T563" s="19">
        <v>4.1100000000000003</v>
      </c>
      <c r="V563" s="48" t="s">
        <v>1276</v>
      </c>
      <c r="W563" s="48" t="s">
        <v>1832</v>
      </c>
      <c r="X563" s="51">
        <v>3.26793441628852</v>
      </c>
      <c r="Z563" s="48" t="s">
        <v>1270</v>
      </c>
      <c r="AA563" s="51">
        <v>0.86267006199999996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1271</v>
      </c>
      <c r="Q564" s="23">
        <f>DATE(YEAR(OneWeekMtgRatesDataTable75[[#This Row],[asOf]]),MONTH(OneWeekMtgRatesDataTable75[[#This Row],[asOf]]),DAY(OneWeekMtgRatesDataTable75[[#This Row],[asOf]]))</f>
        <v>41761</v>
      </c>
      <c r="R564" s="19">
        <v>4.21</v>
      </c>
      <c r="S564" s="19">
        <v>0.6</v>
      </c>
      <c r="T564" s="19">
        <v>4.1100000000000003</v>
      </c>
      <c r="V564" s="48" t="s">
        <v>1275</v>
      </c>
      <c r="W564" s="48" t="s">
        <v>1832</v>
      </c>
      <c r="X564" s="51">
        <v>3.2302009300383201</v>
      </c>
      <c r="Z564" s="48" t="s">
        <v>1269</v>
      </c>
      <c r="AA564" s="51">
        <v>0.86267006199999996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1270</v>
      </c>
      <c r="Q565" s="23">
        <f>DATE(YEAR(OneWeekMtgRatesDataTable75[[#This Row],[asOf]]),MONTH(OneWeekMtgRatesDataTable75[[#This Row],[asOf]]),DAY(OneWeekMtgRatesDataTable75[[#This Row],[asOf]]))</f>
        <v>41760</v>
      </c>
      <c r="R565" s="19">
        <v>4.21</v>
      </c>
      <c r="S565" s="19">
        <v>0.6</v>
      </c>
      <c r="T565" s="19">
        <v>4.1100000000000003</v>
      </c>
      <c r="V565" s="48" t="s">
        <v>1274</v>
      </c>
      <c r="W565" s="48" t="s">
        <v>1832</v>
      </c>
      <c r="X565" s="51">
        <v>3.2365593112173601</v>
      </c>
      <c r="Z565" s="48" t="s">
        <v>1268</v>
      </c>
      <c r="AA565" s="51">
        <v>0.82585339800000002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1269</v>
      </c>
      <c r="Q566" s="23">
        <f>DATE(YEAR(OneWeekMtgRatesDataTable75[[#This Row],[asOf]]),MONTH(OneWeekMtgRatesDataTable75[[#This Row],[asOf]]),DAY(OneWeekMtgRatesDataTable75[[#This Row],[asOf]]))</f>
        <v>41759</v>
      </c>
      <c r="R566" s="19">
        <v>4.29</v>
      </c>
      <c r="S566" s="19">
        <v>0.7</v>
      </c>
      <c r="T566" s="19">
        <v>4.2149999999999999</v>
      </c>
      <c r="V566" s="48" t="s">
        <v>1273</v>
      </c>
      <c r="W566" s="48" t="s">
        <v>1832</v>
      </c>
      <c r="X566" s="51">
        <v>3.2676928756403698</v>
      </c>
      <c r="Z566" s="48" t="s">
        <v>1267</v>
      </c>
      <c r="AA566" s="51">
        <v>0.82585339800000002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1268</v>
      </c>
      <c r="Q567" s="23">
        <f>DATE(YEAR(OneWeekMtgRatesDataTable75[[#This Row],[asOf]]),MONTH(OneWeekMtgRatesDataTable75[[#This Row],[asOf]]),DAY(OneWeekMtgRatesDataTable75[[#This Row],[asOf]]))</f>
        <v>41758</v>
      </c>
      <c r="R567" s="19">
        <v>4.29</v>
      </c>
      <c r="S567" s="19">
        <v>0.7</v>
      </c>
      <c r="T567" s="19">
        <v>4.2149999999999999</v>
      </c>
      <c r="V567" s="48" t="s">
        <v>1272</v>
      </c>
      <c r="W567" s="48" t="s">
        <v>1832</v>
      </c>
      <c r="X567" s="51">
        <v>3.28849941945206</v>
      </c>
      <c r="Z567" s="48" t="s">
        <v>1266</v>
      </c>
      <c r="AA567" s="51">
        <v>0.82585339800000002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1267</v>
      </c>
      <c r="Q568" s="23">
        <f>DATE(YEAR(OneWeekMtgRatesDataTable75[[#This Row],[asOf]]),MONTH(OneWeekMtgRatesDataTable75[[#This Row],[asOf]]),DAY(OneWeekMtgRatesDataTable75[[#This Row],[asOf]]))</f>
        <v>41757</v>
      </c>
      <c r="R568" s="19">
        <v>4.29</v>
      </c>
      <c r="S568" s="19">
        <v>0.7</v>
      </c>
      <c r="T568" s="19">
        <v>4.2149999999999999</v>
      </c>
      <c r="V568" s="48" t="s">
        <v>1271</v>
      </c>
      <c r="W568" s="48" t="s">
        <v>1832</v>
      </c>
      <c r="X568" s="51">
        <v>3.27582122809376</v>
      </c>
      <c r="Z568" s="48" t="s">
        <v>1265</v>
      </c>
      <c r="AA568" s="51">
        <v>0.82585339800000002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1266</v>
      </c>
      <c r="Q569" s="23">
        <f>DATE(YEAR(OneWeekMtgRatesDataTable75[[#This Row],[asOf]]),MONTH(OneWeekMtgRatesDataTable75[[#This Row],[asOf]]),DAY(OneWeekMtgRatesDataTable75[[#This Row],[asOf]]))</f>
        <v>41754</v>
      </c>
      <c r="R569" s="19">
        <v>4.29</v>
      </c>
      <c r="S569" s="19">
        <v>0.7</v>
      </c>
      <c r="T569" s="19">
        <v>4.2149999999999999</v>
      </c>
      <c r="V569" s="48" t="s">
        <v>1270</v>
      </c>
      <c r="W569" s="48" t="s">
        <v>1832</v>
      </c>
      <c r="X569" s="51">
        <v>3.2875255326595201</v>
      </c>
      <c r="Z569" s="48" t="s">
        <v>1264</v>
      </c>
      <c r="AA569" s="51">
        <v>0.82585339800000002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1265</v>
      </c>
      <c r="Q570" s="23">
        <f>DATE(YEAR(OneWeekMtgRatesDataTable75[[#This Row],[asOf]]),MONTH(OneWeekMtgRatesDataTable75[[#This Row],[asOf]]),DAY(OneWeekMtgRatesDataTable75[[#This Row],[asOf]]))</f>
        <v>41753</v>
      </c>
      <c r="R570" s="19">
        <v>4.29</v>
      </c>
      <c r="S570" s="19">
        <v>0.7</v>
      </c>
      <c r="T570" s="19">
        <v>4.2149999999999999</v>
      </c>
      <c r="V570" s="48" t="s">
        <v>1269</v>
      </c>
      <c r="W570" s="48" t="s">
        <v>1832</v>
      </c>
      <c r="X570" s="51">
        <v>3.3274269650204</v>
      </c>
      <c r="Z570" s="48" t="s">
        <v>1263</v>
      </c>
      <c r="AA570" s="51">
        <v>0.86274867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1264</v>
      </c>
      <c r="Q571" s="23">
        <f>DATE(YEAR(OneWeekMtgRatesDataTable75[[#This Row],[asOf]]),MONTH(OneWeekMtgRatesDataTable75[[#This Row],[asOf]]),DAY(OneWeekMtgRatesDataTable75[[#This Row],[asOf]]))</f>
        <v>41752</v>
      </c>
      <c r="R571" s="19">
        <v>4.33</v>
      </c>
      <c r="S571" s="19">
        <v>0.6</v>
      </c>
      <c r="T571" s="19">
        <v>4.2300000000000004</v>
      </c>
      <c r="V571" s="48" t="s">
        <v>1268</v>
      </c>
      <c r="W571" s="48" t="s">
        <v>1832</v>
      </c>
      <c r="X571" s="51">
        <v>3.3733743387763999</v>
      </c>
      <c r="Z571" s="48" t="s">
        <v>1262</v>
      </c>
      <c r="AA571" s="51">
        <v>0.86274867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1263</v>
      </c>
      <c r="Q572" s="23">
        <f>DATE(YEAR(OneWeekMtgRatesDataTable75[[#This Row],[asOf]]),MONTH(OneWeekMtgRatesDataTable75[[#This Row],[asOf]]),DAY(OneWeekMtgRatesDataTable75[[#This Row],[asOf]]))</f>
        <v>41751</v>
      </c>
      <c r="R572" s="19">
        <v>4.33</v>
      </c>
      <c r="S572" s="19">
        <v>0.6</v>
      </c>
      <c r="T572" s="19">
        <v>4.2300000000000004</v>
      </c>
      <c r="V572" s="48" t="s">
        <v>1267</v>
      </c>
      <c r="W572" s="48" t="s">
        <v>1832</v>
      </c>
      <c r="X572" s="51">
        <v>3.3514611406408399</v>
      </c>
      <c r="Z572" s="48" t="s">
        <v>1261</v>
      </c>
      <c r="AA572" s="51">
        <v>0.86274867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1262</v>
      </c>
      <c r="Q573" s="23">
        <f>DATE(YEAR(OneWeekMtgRatesDataTable75[[#This Row],[asOf]]),MONTH(OneWeekMtgRatesDataTable75[[#This Row],[asOf]]),DAY(OneWeekMtgRatesDataTable75[[#This Row],[asOf]]))</f>
        <v>41750</v>
      </c>
      <c r="R573" s="19">
        <v>4.33</v>
      </c>
      <c r="S573" s="19">
        <v>0.6</v>
      </c>
      <c r="T573" s="19">
        <v>4.2300000000000004</v>
      </c>
      <c r="V573" s="48" t="s">
        <v>1266</v>
      </c>
      <c r="W573" s="48" t="s">
        <v>1832</v>
      </c>
      <c r="X573" s="51">
        <v>3.34407232938596</v>
      </c>
      <c r="Z573" s="48" t="s">
        <v>1260</v>
      </c>
      <c r="AA573" s="51">
        <v>0.86274867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1261</v>
      </c>
      <c r="Q574" s="23">
        <f>DATE(YEAR(OneWeekMtgRatesDataTable75[[#This Row],[asOf]]),MONTH(OneWeekMtgRatesDataTable75[[#This Row],[asOf]]),DAY(OneWeekMtgRatesDataTable75[[#This Row],[asOf]]))</f>
        <v>41746</v>
      </c>
      <c r="R574" s="19">
        <v>4.33</v>
      </c>
      <c r="S574" s="19">
        <v>0.6</v>
      </c>
      <c r="T574" s="19">
        <v>4.2300000000000004</v>
      </c>
      <c r="V574" s="48" t="s">
        <v>1265</v>
      </c>
      <c r="W574" s="48" t="s">
        <v>1832</v>
      </c>
      <c r="X574" s="51">
        <v>3.3653149178353798</v>
      </c>
      <c r="Z574" s="48" t="s">
        <v>1259</v>
      </c>
      <c r="AA574" s="51">
        <v>0.85360778299999995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1260</v>
      </c>
      <c r="Q575" s="23">
        <f>DATE(YEAR(OneWeekMtgRatesDataTable75[[#This Row],[asOf]]),MONTH(OneWeekMtgRatesDataTable75[[#This Row],[asOf]]),DAY(OneWeekMtgRatesDataTable75[[#This Row],[asOf]]))</f>
        <v>41745</v>
      </c>
      <c r="R575" s="19">
        <v>4.2699999999999996</v>
      </c>
      <c r="S575" s="19">
        <v>0.7</v>
      </c>
      <c r="T575" s="19">
        <v>4.1949999999999994</v>
      </c>
      <c r="V575" s="48" t="s">
        <v>1264</v>
      </c>
      <c r="W575" s="48" t="s">
        <v>1832</v>
      </c>
      <c r="X575" s="51">
        <v>3.3712594555921802</v>
      </c>
      <c r="Z575" s="48" t="s">
        <v>1258</v>
      </c>
      <c r="AA575" s="51">
        <v>0.85360778299999995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1259</v>
      </c>
      <c r="Q576" s="23">
        <f>DATE(YEAR(OneWeekMtgRatesDataTable75[[#This Row],[asOf]]),MONTH(OneWeekMtgRatesDataTable75[[#This Row],[asOf]]),DAY(OneWeekMtgRatesDataTable75[[#This Row],[asOf]]))</f>
        <v>41744</v>
      </c>
      <c r="R576" s="19">
        <v>4.2699999999999996</v>
      </c>
      <c r="S576" s="19">
        <v>0.7</v>
      </c>
      <c r="T576" s="19">
        <v>4.1949999999999994</v>
      </c>
      <c r="V576" s="48" t="s">
        <v>1263</v>
      </c>
      <c r="W576" s="48" t="s">
        <v>1832</v>
      </c>
      <c r="X576" s="51">
        <v>3.41581155049382</v>
      </c>
      <c r="Z576" s="48" t="s">
        <v>1257</v>
      </c>
      <c r="AA576" s="51">
        <v>0.85360778299999995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1258</v>
      </c>
      <c r="Q577" s="23">
        <f>DATE(YEAR(OneWeekMtgRatesDataTable75[[#This Row],[asOf]]),MONTH(OneWeekMtgRatesDataTable75[[#This Row],[asOf]]),DAY(OneWeekMtgRatesDataTable75[[#This Row],[asOf]]))</f>
        <v>41743</v>
      </c>
      <c r="R577" s="19">
        <v>4.2699999999999996</v>
      </c>
      <c r="S577" s="19">
        <v>0.7</v>
      </c>
      <c r="T577" s="19">
        <v>4.1949999999999994</v>
      </c>
      <c r="V577" s="48" t="s">
        <v>1262</v>
      </c>
      <c r="W577" s="48" t="s">
        <v>1832</v>
      </c>
      <c r="X577" s="51">
        <v>3.4214944697037502</v>
      </c>
      <c r="Z577" s="48" t="s">
        <v>1256</v>
      </c>
      <c r="AA577" s="51">
        <v>0.85360778299999995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1257</v>
      </c>
      <c r="Q578" s="23">
        <f>DATE(YEAR(OneWeekMtgRatesDataTable75[[#This Row],[asOf]]),MONTH(OneWeekMtgRatesDataTable75[[#This Row],[asOf]]),DAY(OneWeekMtgRatesDataTable75[[#This Row],[asOf]]))</f>
        <v>41740</v>
      </c>
      <c r="R578" s="19">
        <v>4.2699999999999996</v>
      </c>
      <c r="S578" s="19">
        <v>0.7</v>
      </c>
      <c r="T578" s="19">
        <v>4.1949999999999994</v>
      </c>
      <c r="V578" s="48" t="s">
        <v>1261</v>
      </c>
      <c r="W578" s="48" t="s">
        <v>1832</v>
      </c>
      <c r="X578" s="51">
        <v>3.40802093158428</v>
      </c>
      <c r="Z578" s="48" t="s">
        <v>1255</v>
      </c>
      <c r="AA578" s="51">
        <v>0.85360778299999995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1256</v>
      </c>
      <c r="Q579" s="23">
        <f>DATE(YEAR(OneWeekMtgRatesDataTable75[[#This Row],[asOf]]),MONTH(OneWeekMtgRatesDataTable75[[#This Row],[asOf]]),DAY(OneWeekMtgRatesDataTable75[[#This Row],[asOf]]))</f>
        <v>41739</v>
      </c>
      <c r="R579" s="19">
        <v>4.2699999999999996</v>
      </c>
      <c r="S579" s="19">
        <v>0.7</v>
      </c>
      <c r="T579" s="19">
        <v>4.1949999999999994</v>
      </c>
      <c r="V579" s="48" t="s">
        <v>1260</v>
      </c>
      <c r="W579" s="48" t="s">
        <v>1832</v>
      </c>
      <c r="X579" s="51">
        <v>3.35080102179215</v>
      </c>
      <c r="Z579" s="48" t="s">
        <v>1254</v>
      </c>
      <c r="AA579" s="51">
        <v>0.88258709000000002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1255</v>
      </c>
      <c r="Q580" s="23">
        <f>DATE(YEAR(OneWeekMtgRatesDataTable75[[#This Row],[asOf]]),MONTH(OneWeekMtgRatesDataTable75[[#This Row],[asOf]]),DAY(OneWeekMtgRatesDataTable75[[#This Row],[asOf]]))</f>
        <v>41738</v>
      </c>
      <c r="R580" s="19">
        <v>4.34</v>
      </c>
      <c r="S580" s="19">
        <v>0.7</v>
      </c>
      <c r="T580" s="19">
        <v>4.2649999999999997</v>
      </c>
      <c r="V580" s="48" t="s">
        <v>1259</v>
      </c>
      <c r="W580" s="48" t="s">
        <v>1832</v>
      </c>
      <c r="X580" s="51">
        <v>3.33793129587505</v>
      </c>
      <c r="Z580" s="48" t="s">
        <v>1253</v>
      </c>
      <c r="AA580" s="51">
        <v>0.88258709000000002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1254</v>
      </c>
      <c r="Q581" s="23">
        <f>DATE(YEAR(OneWeekMtgRatesDataTable75[[#This Row],[asOf]]),MONTH(OneWeekMtgRatesDataTable75[[#This Row],[asOf]]),DAY(OneWeekMtgRatesDataTable75[[#This Row],[asOf]]))</f>
        <v>41737</v>
      </c>
      <c r="R581" s="19">
        <v>4.34</v>
      </c>
      <c r="S581" s="19">
        <v>0.7</v>
      </c>
      <c r="T581" s="19">
        <v>4.2649999999999997</v>
      </c>
      <c r="V581" s="48" t="s">
        <v>1258</v>
      </c>
      <c r="W581" s="48" t="s">
        <v>1832</v>
      </c>
      <c r="X581" s="51">
        <v>3.3408272423510099</v>
      </c>
      <c r="Z581" s="48" t="s">
        <v>1252</v>
      </c>
      <c r="AA581" s="51">
        <v>0.88258709000000002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1253</v>
      </c>
      <c r="Q582" s="23">
        <f>DATE(YEAR(OneWeekMtgRatesDataTable75[[#This Row],[asOf]]),MONTH(OneWeekMtgRatesDataTable75[[#This Row],[asOf]]),DAY(OneWeekMtgRatesDataTable75[[#This Row],[asOf]]))</f>
        <v>41736</v>
      </c>
      <c r="R582" s="19">
        <v>4.34</v>
      </c>
      <c r="S582" s="19">
        <v>0.7</v>
      </c>
      <c r="T582" s="19">
        <v>4.2649999999999997</v>
      </c>
      <c r="V582" s="48" t="s">
        <v>1257</v>
      </c>
      <c r="W582" s="48" t="s">
        <v>1832</v>
      </c>
      <c r="X582" s="51">
        <v>3.31617276522991</v>
      </c>
      <c r="Z582" s="48" t="s">
        <v>1251</v>
      </c>
      <c r="AA582" s="51">
        <v>0.88258709000000002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1252</v>
      </c>
      <c r="Q583" s="23">
        <f>DATE(YEAR(OneWeekMtgRatesDataTable75[[#This Row],[asOf]]),MONTH(OneWeekMtgRatesDataTable75[[#This Row],[asOf]]),DAY(OneWeekMtgRatesDataTable75[[#This Row],[asOf]]))</f>
        <v>41733</v>
      </c>
      <c r="R583" s="19">
        <v>4.34</v>
      </c>
      <c r="S583" s="19">
        <v>0.7</v>
      </c>
      <c r="T583" s="19">
        <v>4.2649999999999997</v>
      </c>
      <c r="V583" s="48" t="s">
        <v>1256</v>
      </c>
      <c r="W583" s="48" t="s">
        <v>1832</v>
      </c>
      <c r="X583" s="51">
        <v>3.3155243251593798</v>
      </c>
      <c r="Z583" s="48" t="s">
        <v>1250</v>
      </c>
      <c r="AA583" s="51">
        <v>0.88258709000000002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1251</v>
      </c>
      <c r="Q584" s="23">
        <f>DATE(YEAR(OneWeekMtgRatesDataTable75[[#This Row],[asOf]]),MONTH(OneWeekMtgRatesDataTable75[[#This Row],[asOf]]),DAY(OneWeekMtgRatesDataTable75[[#This Row],[asOf]]))</f>
        <v>41732</v>
      </c>
      <c r="R584" s="19">
        <v>4.34</v>
      </c>
      <c r="S584" s="19">
        <v>0.7</v>
      </c>
      <c r="T584" s="19">
        <v>4.2649999999999997</v>
      </c>
      <c r="V584" s="48" t="s">
        <v>1255</v>
      </c>
      <c r="W584" s="48" t="s">
        <v>1832</v>
      </c>
      <c r="X584" s="51">
        <v>3.3750941774744798</v>
      </c>
      <c r="Z584" s="48" t="s">
        <v>1249</v>
      </c>
      <c r="AA584" s="51">
        <v>0.84709182999999999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1250</v>
      </c>
      <c r="Q585" s="23">
        <f>DATE(YEAR(OneWeekMtgRatesDataTable75[[#This Row],[asOf]]),MONTH(OneWeekMtgRatesDataTable75[[#This Row],[asOf]]),DAY(OneWeekMtgRatesDataTable75[[#This Row],[asOf]]))</f>
        <v>41731</v>
      </c>
      <c r="R585" s="19">
        <v>4.41</v>
      </c>
      <c r="S585" s="19">
        <v>0.7</v>
      </c>
      <c r="T585" s="19">
        <v>4.335</v>
      </c>
      <c r="V585" s="48" t="s">
        <v>1254</v>
      </c>
      <c r="W585" s="48" t="s">
        <v>1832</v>
      </c>
      <c r="X585" s="51">
        <v>3.3731827621311399</v>
      </c>
      <c r="Z585" s="48" t="s">
        <v>1248</v>
      </c>
      <c r="AA585" s="51">
        <v>0.84709182999999999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1249</v>
      </c>
      <c r="Q586" s="23">
        <f>DATE(YEAR(OneWeekMtgRatesDataTable75[[#This Row],[asOf]]),MONTH(OneWeekMtgRatesDataTable75[[#This Row],[asOf]]),DAY(OneWeekMtgRatesDataTable75[[#This Row],[asOf]]))</f>
        <v>41730</v>
      </c>
      <c r="R586" s="19">
        <v>4.41</v>
      </c>
      <c r="S586" s="19">
        <v>0.7</v>
      </c>
      <c r="T586" s="19">
        <v>4.335</v>
      </c>
      <c r="V586" s="48" t="s">
        <v>1253</v>
      </c>
      <c r="W586" s="48" t="s">
        <v>1832</v>
      </c>
      <c r="X586" s="51">
        <v>3.39509627944707</v>
      </c>
      <c r="Z586" s="48" t="s">
        <v>1247</v>
      </c>
      <c r="AA586" s="51">
        <v>0.84709182999999999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1248</v>
      </c>
      <c r="Q587" s="23">
        <f>DATE(YEAR(OneWeekMtgRatesDataTable75[[#This Row],[asOf]]),MONTH(OneWeekMtgRatesDataTable75[[#This Row],[asOf]]),DAY(OneWeekMtgRatesDataTable75[[#This Row],[asOf]]))</f>
        <v>41729</v>
      </c>
      <c r="R587" s="19">
        <v>4.41</v>
      </c>
      <c r="S587" s="19">
        <v>0.7</v>
      </c>
      <c r="T587" s="19">
        <v>4.335</v>
      </c>
      <c r="V587" s="48" t="s">
        <v>1252</v>
      </c>
      <c r="W587" s="48" t="s">
        <v>1832</v>
      </c>
      <c r="X587" s="51">
        <v>3.4295560527023699</v>
      </c>
      <c r="Z587" s="48" t="s">
        <v>1246</v>
      </c>
      <c r="AA587" s="51">
        <v>0.84709182999999999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1247</v>
      </c>
      <c r="Q588" s="23">
        <f>DATE(YEAR(OneWeekMtgRatesDataTable75[[#This Row],[asOf]]),MONTH(OneWeekMtgRatesDataTable75[[#This Row],[asOf]]),DAY(OneWeekMtgRatesDataTable75[[#This Row],[asOf]]))</f>
        <v>41726</v>
      </c>
      <c r="R588" s="19">
        <v>4.41</v>
      </c>
      <c r="S588" s="19">
        <v>0.7</v>
      </c>
      <c r="T588" s="19">
        <v>4.335</v>
      </c>
      <c r="V588" s="48" t="s">
        <v>1251</v>
      </c>
      <c r="W588" s="48" t="s">
        <v>1832</v>
      </c>
      <c r="X588" s="51">
        <v>3.4840318134841599</v>
      </c>
      <c r="Z588" s="48" t="s">
        <v>1245</v>
      </c>
      <c r="AA588" s="51">
        <v>0.84709182999999999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1246</v>
      </c>
      <c r="Q589" s="23">
        <f>DATE(YEAR(OneWeekMtgRatesDataTable75[[#This Row],[asOf]]),MONTH(OneWeekMtgRatesDataTable75[[#This Row],[asOf]]),DAY(OneWeekMtgRatesDataTable75[[#This Row],[asOf]]))</f>
        <v>41725</v>
      </c>
      <c r="R589" s="19">
        <v>4.41</v>
      </c>
      <c r="S589" s="19">
        <v>0.7</v>
      </c>
      <c r="T589" s="19">
        <v>4.335</v>
      </c>
      <c r="V589" s="48" t="s">
        <v>1250</v>
      </c>
      <c r="W589" s="48" t="s">
        <v>1832</v>
      </c>
      <c r="X589" s="51">
        <v>3.5066269417846301</v>
      </c>
      <c r="Z589" s="48" t="s">
        <v>1244</v>
      </c>
      <c r="AA589" s="51">
        <v>0.82079480299999996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1245</v>
      </c>
      <c r="Q590" s="23">
        <f>DATE(YEAR(OneWeekMtgRatesDataTable75[[#This Row],[asOf]]),MONTH(OneWeekMtgRatesDataTable75[[#This Row],[asOf]]),DAY(OneWeekMtgRatesDataTable75[[#This Row],[asOf]]))</f>
        <v>41724</v>
      </c>
      <c r="R590" s="19">
        <v>4.4000000000000004</v>
      </c>
      <c r="S590" s="19">
        <v>0.6</v>
      </c>
      <c r="T590" s="19">
        <v>4.3000000000000007</v>
      </c>
      <c r="V590" s="48" t="s">
        <v>1249</v>
      </c>
      <c r="W590" s="48" t="s">
        <v>1832</v>
      </c>
      <c r="X590" s="51">
        <v>3.4727016332033198</v>
      </c>
      <c r="Z590" s="48" t="s">
        <v>1243</v>
      </c>
      <c r="AA590" s="51">
        <v>0.82079480299999996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1244</v>
      </c>
      <c r="Q591" s="23">
        <f>DATE(YEAR(OneWeekMtgRatesDataTable75[[#This Row],[asOf]]),MONTH(OneWeekMtgRatesDataTable75[[#This Row],[asOf]]),DAY(OneWeekMtgRatesDataTable75[[#This Row],[asOf]]))</f>
        <v>41723</v>
      </c>
      <c r="R591" s="19">
        <v>4.4000000000000004</v>
      </c>
      <c r="S591" s="19">
        <v>0.6</v>
      </c>
      <c r="T591" s="19">
        <v>4.3000000000000007</v>
      </c>
      <c r="V591" s="48" t="s">
        <v>1248</v>
      </c>
      <c r="W591" s="48" t="s">
        <v>1832</v>
      </c>
      <c r="X591" s="51">
        <v>3.44685935064701</v>
      </c>
      <c r="Z591" s="48" t="s">
        <v>1242</v>
      </c>
      <c r="AA591" s="51">
        <v>0.82079480299999996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1243</v>
      </c>
      <c r="Q592" s="23">
        <f>DATE(YEAR(OneWeekMtgRatesDataTable75[[#This Row],[asOf]]),MONTH(OneWeekMtgRatesDataTable75[[#This Row],[asOf]]),DAY(OneWeekMtgRatesDataTable75[[#This Row],[asOf]]))</f>
        <v>41722</v>
      </c>
      <c r="R592" s="19">
        <v>4.4000000000000004</v>
      </c>
      <c r="S592" s="19">
        <v>0.6</v>
      </c>
      <c r="T592" s="19">
        <v>4.3000000000000007</v>
      </c>
      <c r="V592" s="48" t="s">
        <v>1247</v>
      </c>
      <c r="W592" s="48" t="s">
        <v>1832</v>
      </c>
      <c r="X592" s="51">
        <v>3.4306094277170498</v>
      </c>
      <c r="Z592" s="48" t="s">
        <v>1241</v>
      </c>
      <c r="AA592" s="51">
        <v>0.82079480299999996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1242</v>
      </c>
      <c r="Q593" s="23">
        <f>DATE(YEAR(OneWeekMtgRatesDataTable75[[#This Row],[asOf]]),MONTH(OneWeekMtgRatesDataTable75[[#This Row],[asOf]]),DAY(OneWeekMtgRatesDataTable75[[#This Row],[asOf]]))</f>
        <v>41719</v>
      </c>
      <c r="R593" s="19">
        <v>4.4000000000000004</v>
      </c>
      <c r="S593" s="19">
        <v>0.6</v>
      </c>
      <c r="T593" s="19">
        <v>4.3000000000000007</v>
      </c>
      <c r="V593" s="48" t="s">
        <v>1246</v>
      </c>
      <c r="W593" s="48" t="s">
        <v>1832</v>
      </c>
      <c r="X593" s="51">
        <v>3.4052671978447102</v>
      </c>
      <c r="Z593" s="48" t="s">
        <v>1240</v>
      </c>
      <c r="AA593" s="51">
        <v>0.82079480299999996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1241</v>
      </c>
      <c r="Q594" s="23">
        <f>DATE(YEAR(OneWeekMtgRatesDataTable75[[#This Row],[asOf]]),MONTH(OneWeekMtgRatesDataTable75[[#This Row],[asOf]]),DAY(OneWeekMtgRatesDataTable75[[#This Row],[asOf]]))</f>
        <v>41718</v>
      </c>
      <c r="R594" s="19">
        <v>4.4000000000000004</v>
      </c>
      <c r="S594" s="19">
        <v>0.6</v>
      </c>
      <c r="T594" s="19">
        <v>4.3000000000000007</v>
      </c>
      <c r="V594" s="48" t="s">
        <v>1245</v>
      </c>
      <c r="W594" s="48" t="s">
        <v>1832</v>
      </c>
      <c r="X594" s="51">
        <v>3.4217405544715098</v>
      </c>
      <c r="Z594" s="48" t="s">
        <v>1239</v>
      </c>
      <c r="AA594" s="51">
        <v>0.83318476299999999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1240</v>
      </c>
      <c r="Q595" s="23">
        <f>DATE(YEAR(OneWeekMtgRatesDataTable75[[#This Row],[asOf]]),MONTH(OneWeekMtgRatesDataTable75[[#This Row],[asOf]]),DAY(OneWeekMtgRatesDataTable75[[#This Row],[asOf]]))</f>
        <v>41717</v>
      </c>
      <c r="R595" s="19">
        <v>4.32</v>
      </c>
      <c r="S595" s="19">
        <v>0.6</v>
      </c>
      <c r="T595" s="19">
        <v>4.2200000000000006</v>
      </c>
      <c r="V595" s="48" t="s">
        <v>1244</v>
      </c>
      <c r="W595" s="48" t="s">
        <v>1832</v>
      </c>
      <c r="X595" s="51">
        <v>3.4519694257459901</v>
      </c>
      <c r="Z595" s="48" t="s">
        <v>1238</v>
      </c>
      <c r="AA595" s="51">
        <v>0.83318476299999999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1239</v>
      </c>
      <c r="Q596" s="23">
        <f>DATE(YEAR(OneWeekMtgRatesDataTable75[[#This Row],[asOf]]),MONTH(OneWeekMtgRatesDataTable75[[#This Row],[asOf]]),DAY(OneWeekMtgRatesDataTable75[[#This Row],[asOf]]))</f>
        <v>41716</v>
      </c>
      <c r="R596" s="19">
        <v>4.32</v>
      </c>
      <c r="S596" s="19">
        <v>0.6</v>
      </c>
      <c r="T596" s="19">
        <v>4.2200000000000006</v>
      </c>
      <c r="V596" s="48" t="s">
        <v>1243</v>
      </c>
      <c r="W596" s="48" t="s">
        <v>1832</v>
      </c>
      <c r="X596" s="51">
        <v>3.45266754883475</v>
      </c>
      <c r="Z596" s="48" t="s">
        <v>1237</v>
      </c>
      <c r="AA596" s="51">
        <v>0.83318476299999999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1238</v>
      </c>
      <c r="Q597" s="23">
        <f>DATE(YEAR(OneWeekMtgRatesDataTable75[[#This Row],[asOf]]),MONTH(OneWeekMtgRatesDataTable75[[#This Row],[asOf]]),DAY(OneWeekMtgRatesDataTable75[[#This Row],[asOf]]))</f>
        <v>41715</v>
      </c>
      <c r="R597" s="19">
        <v>4.32</v>
      </c>
      <c r="S597" s="19">
        <v>0.6</v>
      </c>
      <c r="T597" s="19">
        <v>4.2200000000000006</v>
      </c>
      <c r="V597" s="48" t="s">
        <v>1242</v>
      </c>
      <c r="W597" s="48" t="s">
        <v>1832</v>
      </c>
      <c r="X597" s="51">
        <v>3.4523536219729101</v>
      </c>
      <c r="Z597" s="48" t="s">
        <v>1236</v>
      </c>
      <c r="AA597" s="51">
        <v>0.83318476299999999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1237</v>
      </c>
      <c r="Q598" s="23">
        <f>DATE(YEAR(OneWeekMtgRatesDataTable75[[#This Row],[asOf]]),MONTH(OneWeekMtgRatesDataTable75[[#This Row],[asOf]]),DAY(OneWeekMtgRatesDataTable75[[#This Row],[asOf]]))</f>
        <v>41712</v>
      </c>
      <c r="R598" s="19">
        <v>4.32</v>
      </c>
      <c r="S598" s="19">
        <v>0.6</v>
      </c>
      <c r="T598" s="19">
        <v>4.2200000000000006</v>
      </c>
      <c r="V598" s="48" t="s">
        <v>1241</v>
      </c>
      <c r="W598" s="48" t="s">
        <v>1832</v>
      </c>
      <c r="X598" s="51">
        <v>3.4858096996422701</v>
      </c>
      <c r="Z598" s="48" t="s">
        <v>1235</v>
      </c>
      <c r="AA598" s="51">
        <v>0.83318476299999999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1236</v>
      </c>
      <c r="Q599" s="23">
        <f>DATE(YEAR(OneWeekMtgRatesDataTable75[[#This Row],[asOf]]),MONTH(OneWeekMtgRatesDataTable75[[#This Row],[asOf]]),DAY(OneWeekMtgRatesDataTable75[[#This Row],[asOf]]))</f>
        <v>41711</v>
      </c>
      <c r="R599" s="19">
        <v>4.32</v>
      </c>
      <c r="S599" s="19">
        <v>0.6</v>
      </c>
      <c r="T599" s="19">
        <v>4.2200000000000006</v>
      </c>
      <c r="V599" s="48" t="s">
        <v>1240</v>
      </c>
      <c r="W599" s="48" t="s">
        <v>1832</v>
      </c>
      <c r="X599" s="51">
        <v>3.4724096295378999</v>
      </c>
      <c r="Z599" s="48" t="s">
        <v>1234</v>
      </c>
      <c r="AA599" s="51">
        <v>0.84227253199999996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1235</v>
      </c>
      <c r="Q600" s="23">
        <f>DATE(YEAR(OneWeekMtgRatesDataTable75[[#This Row],[asOf]]),MONTH(OneWeekMtgRatesDataTable75[[#This Row],[asOf]]),DAY(OneWeekMtgRatesDataTable75[[#This Row],[asOf]]))</f>
        <v>41710</v>
      </c>
      <c r="R600" s="19">
        <v>4.37</v>
      </c>
      <c r="S600" s="19">
        <v>0.6</v>
      </c>
      <c r="T600" s="19">
        <v>4.2700000000000005</v>
      </c>
      <c r="V600" s="48" t="s">
        <v>1239</v>
      </c>
      <c r="W600" s="48" t="s">
        <v>1832</v>
      </c>
      <c r="X600" s="51">
        <v>3.3942283451593398</v>
      </c>
      <c r="Z600" s="48" t="s">
        <v>1233</v>
      </c>
      <c r="AA600" s="51">
        <v>0.84227253199999996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1234</v>
      </c>
      <c r="Q601" s="23">
        <f>DATE(YEAR(OneWeekMtgRatesDataTable75[[#This Row],[asOf]]),MONTH(OneWeekMtgRatesDataTable75[[#This Row],[asOf]]),DAY(OneWeekMtgRatesDataTable75[[#This Row],[asOf]]))</f>
        <v>41709</v>
      </c>
      <c r="R601" s="19">
        <v>4.37</v>
      </c>
      <c r="S601" s="19">
        <v>0.6</v>
      </c>
      <c r="T601" s="19">
        <v>4.2700000000000005</v>
      </c>
      <c r="V601" s="48" t="s">
        <v>1238</v>
      </c>
      <c r="W601" s="48" t="s">
        <v>1832</v>
      </c>
      <c r="X601" s="51">
        <v>3.4174617229589801</v>
      </c>
      <c r="Z601" s="48" t="s">
        <v>1232</v>
      </c>
      <c r="AA601" s="51">
        <v>0.84227253199999996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1233</v>
      </c>
      <c r="Q602" s="23">
        <f>DATE(YEAR(OneWeekMtgRatesDataTable75[[#This Row],[asOf]]),MONTH(OneWeekMtgRatesDataTable75[[#This Row],[asOf]]),DAY(OneWeekMtgRatesDataTable75[[#This Row],[asOf]]))</f>
        <v>41708</v>
      </c>
      <c r="R602" s="19">
        <v>4.37</v>
      </c>
      <c r="S602" s="19">
        <v>0.6</v>
      </c>
      <c r="T602" s="19">
        <v>4.2700000000000005</v>
      </c>
      <c r="V602" s="48" t="s">
        <v>1237</v>
      </c>
      <c r="W602" s="48" t="s">
        <v>1832</v>
      </c>
      <c r="X602" s="51">
        <v>3.3634875299273701</v>
      </c>
      <c r="Z602" s="48" t="s">
        <v>1231</v>
      </c>
      <c r="AA602" s="51">
        <v>0.84227253199999996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1232</v>
      </c>
      <c r="Q603" s="23">
        <f>DATE(YEAR(OneWeekMtgRatesDataTable75[[#This Row],[asOf]]),MONTH(OneWeekMtgRatesDataTable75[[#This Row],[asOf]]),DAY(OneWeekMtgRatesDataTable75[[#This Row],[asOf]]))</f>
        <v>41705</v>
      </c>
      <c r="R603" s="19">
        <v>4.37</v>
      </c>
      <c r="S603" s="19">
        <v>0.6</v>
      </c>
      <c r="T603" s="19">
        <v>4.2700000000000005</v>
      </c>
      <c r="V603" s="48" t="s">
        <v>1236</v>
      </c>
      <c r="W603" s="48" t="s">
        <v>1832</v>
      </c>
      <c r="X603" s="51">
        <v>3.34843875975199</v>
      </c>
      <c r="Z603" s="48" t="s">
        <v>1230</v>
      </c>
      <c r="AA603" s="51">
        <v>0.84227253199999996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1231</v>
      </c>
      <c r="Q604" s="23">
        <f>DATE(YEAR(OneWeekMtgRatesDataTable75[[#This Row],[asOf]]),MONTH(OneWeekMtgRatesDataTable75[[#This Row],[asOf]]),DAY(OneWeekMtgRatesDataTable75[[#This Row],[asOf]]))</f>
        <v>41704</v>
      </c>
      <c r="R604" s="19">
        <v>4.37</v>
      </c>
      <c r="S604" s="19">
        <v>0.6</v>
      </c>
      <c r="T604" s="19">
        <v>4.2700000000000005</v>
      </c>
      <c r="V604" s="48" t="s">
        <v>1235</v>
      </c>
      <c r="W604" s="48" t="s">
        <v>1832</v>
      </c>
      <c r="X604" s="51">
        <v>3.4085893370598099</v>
      </c>
      <c r="Z604" s="48" t="s">
        <v>1229</v>
      </c>
      <c r="AA604" s="51">
        <v>0.88844338899999997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1230</v>
      </c>
      <c r="Q605" s="23">
        <f>DATE(YEAR(OneWeekMtgRatesDataTable75[[#This Row],[asOf]]),MONTH(OneWeekMtgRatesDataTable75[[#This Row],[asOf]]),DAY(OneWeekMtgRatesDataTable75[[#This Row],[asOf]]))</f>
        <v>41703</v>
      </c>
      <c r="R605" s="19">
        <v>4.28</v>
      </c>
      <c r="S605" s="19">
        <v>0.7</v>
      </c>
      <c r="T605" s="19">
        <v>4.2050000000000001</v>
      </c>
      <c r="V605" s="48" t="s">
        <v>1234</v>
      </c>
      <c r="W605" s="48" t="s">
        <v>1832</v>
      </c>
      <c r="X605" s="51">
        <v>3.4438493655509599</v>
      </c>
      <c r="Z605" s="48" t="s">
        <v>1228</v>
      </c>
      <c r="AA605" s="51">
        <v>0.88844338899999997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1229</v>
      </c>
      <c r="Q606" s="23">
        <f>DATE(YEAR(OneWeekMtgRatesDataTable75[[#This Row],[asOf]]),MONTH(OneWeekMtgRatesDataTable75[[#This Row],[asOf]]),DAY(OneWeekMtgRatesDataTable75[[#This Row],[asOf]]))</f>
        <v>41702</v>
      </c>
      <c r="R606" s="19">
        <v>4.28</v>
      </c>
      <c r="S606" s="19">
        <v>0.7</v>
      </c>
      <c r="T606" s="19">
        <v>4.2050000000000001</v>
      </c>
      <c r="V606" s="48" t="s">
        <v>1233</v>
      </c>
      <c r="W606" s="48" t="s">
        <v>1832</v>
      </c>
      <c r="X606" s="51">
        <v>3.4465671397565498</v>
      </c>
      <c r="Z606" s="48" t="s">
        <v>1227</v>
      </c>
      <c r="AA606" s="51">
        <v>0.88844338899999997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1228</v>
      </c>
      <c r="Q607" s="23">
        <f>DATE(YEAR(OneWeekMtgRatesDataTable75[[#This Row],[asOf]]),MONTH(OneWeekMtgRatesDataTable75[[#This Row],[asOf]]),DAY(OneWeekMtgRatesDataTable75[[#This Row],[asOf]]))</f>
        <v>41701</v>
      </c>
      <c r="R607" s="19">
        <v>4.28</v>
      </c>
      <c r="S607" s="19">
        <v>0.7</v>
      </c>
      <c r="T607" s="19">
        <v>4.2050000000000001</v>
      </c>
      <c r="V607" s="48" t="s">
        <v>1232</v>
      </c>
      <c r="W607" s="48" t="s">
        <v>1832</v>
      </c>
      <c r="X607" s="51">
        <v>3.4613667705973898</v>
      </c>
      <c r="Z607" s="48" t="s">
        <v>1226</v>
      </c>
      <c r="AA607" s="51">
        <v>0.88844338899999997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1227</v>
      </c>
      <c r="Q608" s="23">
        <f>DATE(YEAR(OneWeekMtgRatesDataTable75[[#This Row],[asOf]]),MONTH(OneWeekMtgRatesDataTable75[[#This Row],[asOf]]),DAY(OneWeekMtgRatesDataTable75[[#This Row],[asOf]]))</f>
        <v>41698</v>
      </c>
      <c r="R608" s="19">
        <v>4.28</v>
      </c>
      <c r="S608" s="19">
        <v>0.7</v>
      </c>
      <c r="T608" s="19">
        <v>4.2050000000000001</v>
      </c>
      <c r="V608" s="48" t="s">
        <v>1231</v>
      </c>
      <c r="W608" s="48" t="s">
        <v>1832</v>
      </c>
      <c r="X608" s="51">
        <v>3.4237035729301399</v>
      </c>
      <c r="Z608" s="48" t="s">
        <v>1225</v>
      </c>
      <c r="AA608" s="51">
        <v>0.88844338899999997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1226</v>
      </c>
      <c r="Q609" s="23">
        <f>DATE(YEAR(OneWeekMtgRatesDataTable75[[#This Row],[asOf]]),MONTH(OneWeekMtgRatesDataTable75[[#This Row],[asOf]]),DAY(OneWeekMtgRatesDataTable75[[#This Row],[asOf]]))</f>
        <v>41697</v>
      </c>
      <c r="R609" s="19">
        <v>4.28</v>
      </c>
      <c r="S609" s="19">
        <v>0.7</v>
      </c>
      <c r="T609" s="19">
        <v>4.2050000000000001</v>
      </c>
      <c r="V609" s="48" t="s">
        <v>1230</v>
      </c>
      <c r="W609" s="48" t="s">
        <v>1832</v>
      </c>
      <c r="X609" s="51">
        <v>3.40151851180392</v>
      </c>
      <c r="Z609" s="48" t="s">
        <v>1224</v>
      </c>
      <c r="AA609" s="51">
        <v>0.844118445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1225</v>
      </c>
      <c r="Q610" s="23">
        <f>DATE(YEAR(OneWeekMtgRatesDataTable75[[#This Row],[asOf]]),MONTH(OneWeekMtgRatesDataTable75[[#This Row],[asOf]]),DAY(OneWeekMtgRatesDataTable75[[#This Row],[asOf]]))</f>
        <v>41696</v>
      </c>
      <c r="R610" s="19">
        <v>4.37</v>
      </c>
      <c r="S610" s="19">
        <v>0.7</v>
      </c>
      <c r="T610" s="19">
        <v>4.2949999999999999</v>
      </c>
      <c r="V610" s="48" t="s">
        <v>1229</v>
      </c>
      <c r="W610" s="48" t="s">
        <v>1832</v>
      </c>
      <c r="X610" s="51">
        <v>3.3983132593490502</v>
      </c>
      <c r="Z610" s="48" t="s">
        <v>1223</v>
      </c>
      <c r="AA610" s="51">
        <v>0.844118445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1224</v>
      </c>
      <c r="Q611" s="23">
        <f>DATE(YEAR(OneWeekMtgRatesDataTable75[[#This Row],[asOf]]),MONTH(OneWeekMtgRatesDataTable75[[#This Row],[asOf]]),DAY(OneWeekMtgRatesDataTable75[[#This Row],[asOf]]))</f>
        <v>41695</v>
      </c>
      <c r="R611" s="19">
        <v>4.37</v>
      </c>
      <c r="S611" s="19">
        <v>0.7</v>
      </c>
      <c r="T611" s="19">
        <v>4.2949999999999999</v>
      </c>
      <c r="V611" s="48" t="s">
        <v>1228</v>
      </c>
      <c r="W611" s="48" t="s">
        <v>1832</v>
      </c>
      <c r="X611" s="51">
        <v>3.32529881785555</v>
      </c>
      <c r="Z611" s="48" t="s">
        <v>1222</v>
      </c>
      <c r="AA611" s="51">
        <v>0.844118445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1223</v>
      </c>
      <c r="Q612" s="23">
        <f>DATE(YEAR(OneWeekMtgRatesDataTable75[[#This Row],[asOf]]),MONTH(OneWeekMtgRatesDataTable75[[#This Row],[asOf]]),DAY(OneWeekMtgRatesDataTable75[[#This Row],[asOf]]))</f>
        <v>41694</v>
      </c>
      <c r="R612" s="19">
        <v>4.37</v>
      </c>
      <c r="S612" s="19">
        <v>0.7</v>
      </c>
      <c r="T612" s="19">
        <v>4.2949999999999999</v>
      </c>
      <c r="V612" s="48" t="s">
        <v>1227</v>
      </c>
      <c r="W612" s="48" t="s">
        <v>1832</v>
      </c>
      <c r="X612" s="51">
        <v>3.3514861848067001</v>
      </c>
      <c r="Z612" s="48" t="s">
        <v>1221</v>
      </c>
      <c r="AA612" s="51">
        <v>0.844118445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1222</v>
      </c>
      <c r="Q613" s="23">
        <f>DATE(YEAR(OneWeekMtgRatesDataTable75[[#This Row],[asOf]]),MONTH(OneWeekMtgRatesDataTable75[[#This Row],[asOf]]),DAY(OneWeekMtgRatesDataTable75[[#This Row],[asOf]]))</f>
        <v>41691</v>
      </c>
      <c r="R613" s="19">
        <v>4.37</v>
      </c>
      <c r="S613" s="19">
        <v>0.7</v>
      </c>
      <c r="T613" s="19">
        <v>4.2949999999999999</v>
      </c>
      <c r="V613" s="48" t="s">
        <v>1226</v>
      </c>
      <c r="W613" s="48" t="s">
        <v>1832</v>
      </c>
      <c r="X613" s="51">
        <v>3.3370205659412702</v>
      </c>
      <c r="Z613" s="48" t="s">
        <v>1220</v>
      </c>
      <c r="AA613" s="51">
        <v>0.844118445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1221</v>
      </c>
      <c r="Q614" s="23">
        <f>DATE(YEAR(OneWeekMtgRatesDataTable75[[#This Row],[asOf]]),MONTH(OneWeekMtgRatesDataTable75[[#This Row],[asOf]]),DAY(OneWeekMtgRatesDataTable75[[#This Row],[asOf]]))</f>
        <v>41690</v>
      </c>
      <c r="R614" s="19">
        <v>4.37</v>
      </c>
      <c r="S614" s="19">
        <v>0.7</v>
      </c>
      <c r="T614" s="19">
        <v>4.2949999999999999</v>
      </c>
      <c r="V614" s="48" t="s">
        <v>1225</v>
      </c>
      <c r="W614" s="48" t="s">
        <v>1832</v>
      </c>
      <c r="X614" s="51">
        <v>3.36185561650391</v>
      </c>
      <c r="Z614" s="48" t="s">
        <v>1219</v>
      </c>
      <c r="AA614" s="51">
        <v>0.82605526299999998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1220</v>
      </c>
      <c r="Q615" s="23">
        <f>DATE(YEAR(OneWeekMtgRatesDataTable75[[#This Row],[asOf]]),MONTH(OneWeekMtgRatesDataTable75[[#This Row],[asOf]]),DAY(OneWeekMtgRatesDataTable75[[#This Row],[asOf]]))</f>
        <v>41689</v>
      </c>
      <c r="R615" s="19">
        <v>4.33</v>
      </c>
      <c r="S615" s="19">
        <v>0.7</v>
      </c>
      <c r="T615" s="19">
        <v>4.2549999999999999</v>
      </c>
      <c r="V615" s="48" t="s">
        <v>1224</v>
      </c>
      <c r="W615" s="48" t="s">
        <v>1832</v>
      </c>
      <c r="X615" s="51">
        <v>3.3762483730993802</v>
      </c>
      <c r="Z615" s="48" t="s">
        <v>1218</v>
      </c>
      <c r="AA615" s="51">
        <v>0.82605526299999998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1219</v>
      </c>
      <c r="Q616" s="23">
        <f>DATE(YEAR(OneWeekMtgRatesDataTable75[[#This Row],[asOf]]),MONTH(OneWeekMtgRatesDataTable75[[#This Row],[asOf]]),DAY(OneWeekMtgRatesDataTable75[[#This Row],[asOf]]))</f>
        <v>41688</v>
      </c>
      <c r="R616" s="19">
        <v>4.33</v>
      </c>
      <c r="S616" s="19">
        <v>0.7</v>
      </c>
      <c r="T616" s="19">
        <v>4.2549999999999999</v>
      </c>
      <c r="V616" s="48" t="s">
        <v>1223</v>
      </c>
      <c r="W616" s="48" t="s">
        <v>1832</v>
      </c>
      <c r="X616" s="51">
        <v>3.4298763218774999</v>
      </c>
      <c r="Z616" s="48" t="s">
        <v>1217</v>
      </c>
      <c r="AA616" s="51">
        <v>0.82605526299999998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1218</v>
      </c>
      <c r="Q617" s="23">
        <f>DATE(YEAR(OneWeekMtgRatesDataTable75[[#This Row],[asOf]]),MONTH(OneWeekMtgRatesDataTable75[[#This Row],[asOf]]),DAY(OneWeekMtgRatesDataTable75[[#This Row],[asOf]]))</f>
        <v>41684</v>
      </c>
      <c r="R617" s="19">
        <v>4.33</v>
      </c>
      <c r="S617" s="19">
        <v>0.7</v>
      </c>
      <c r="T617" s="19">
        <v>4.2549999999999999</v>
      </c>
      <c r="V617" s="48" t="s">
        <v>1222</v>
      </c>
      <c r="W617" s="48" t="s">
        <v>1832</v>
      </c>
      <c r="X617" s="51">
        <v>3.4238152467223899</v>
      </c>
      <c r="Z617" s="48" t="s">
        <v>1216</v>
      </c>
      <c r="AA617" s="51">
        <v>0.82605526299999998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1217</v>
      </c>
      <c r="Q618" s="23">
        <f>DATE(YEAR(OneWeekMtgRatesDataTable75[[#This Row],[asOf]]),MONTH(OneWeekMtgRatesDataTable75[[#This Row],[asOf]]),DAY(OneWeekMtgRatesDataTable75[[#This Row],[asOf]]))</f>
        <v>41683</v>
      </c>
      <c r="R618" s="19">
        <v>4.33</v>
      </c>
      <c r="S618" s="19">
        <v>0.7</v>
      </c>
      <c r="T618" s="19">
        <v>4.2549999999999999</v>
      </c>
      <c r="V618" s="48" t="s">
        <v>1221</v>
      </c>
      <c r="W618" s="48" t="s">
        <v>1832</v>
      </c>
      <c r="X618" s="51">
        <v>3.4409874974018302</v>
      </c>
      <c r="Z618" s="48" t="s">
        <v>1215</v>
      </c>
      <c r="AA618" s="51">
        <v>0.82452595900000003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1216</v>
      </c>
      <c r="Q619" s="23">
        <f>DATE(YEAR(OneWeekMtgRatesDataTable75[[#This Row],[asOf]]),MONTH(OneWeekMtgRatesDataTable75[[#This Row],[asOf]]),DAY(OneWeekMtgRatesDataTable75[[#This Row],[asOf]]))</f>
        <v>41682</v>
      </c>
      <c r="R619" s="19">
        <v>4.28</v>
      </c>
      <c r="S619" s="19">
        <v>0.7</v>
      </c>
      <c r="T619" s="19">
        <v>4.2050000000000001</v>
      </c>
      <c r="V619" s="48" t="s">
        <v>1220</v>
      </c>
      <c r="W619" s="48" t="s">
        <v>1832</v>
      </c>
      <c r="X619" s="51">
        <v>3.4208462339079002</v>
      </c>
      <c r="Z619" s="48" t="s">
        <v>1214</v>
      </c>
      <c r="AA619" s="51">
        <v>0.82452595900000003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1215</v>
      </c>
      <c r="Q620" s="23">
        <f>DATE(YEAR(OneWeekMtgRatesDataTable75[[#This Row],[asOf]]),MONTH(OneWeekMtgRatesDataTable75[[#This Row],[asOf]]),DAY(OneWeekMtgRatesDataTable75[[#This Row],[asOf]]))</f>
        <v>41681</v>
      </c>
      <c r="R620" s="19">
        <v>4.28</v>
      </c>
      <c r="S620" s="19">
        <v>0.7</v>
      </c>
      <c r="T620" s="19">
        <v>4.2050000000000001</v>
      </c>
      <c r="V620" s="48" t="s">
        <v>1219</v>
      </c>
      <c r="W620" s="48" t="s">
        <v>1832</v>
      </c>
      <c r="X620" s="51">
        <v>3.4022510541238402</v>
      </c>
      <c r="Z620" s="48" t="s">
        <v>1213</v>
      </c>
      <c r="AA620" s="51">
        <v>0.82452595900000003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1214</v>
      </c>
      <c r="Q621" s="23">
        <f>DATE(YEAR(OneWeekMtgRatesDataTable75[[#This Row],[asOf]]),MONTH(OneWeekMtgRatesDataTable75[[#This Row],[asOf]]),DAY(OneWeekMtgRatesDataTable75[[#This Row],[asOf]]))</f>
        <v>41680</v>
      </c>
      <c r="R621" s="19">
        <v>4.28</v>
      </c>
      <c r="S621" s="19">
        <v>0.7</v>
      </c>
      <c r="T621" s="19">
        <v>4.2050000000000001</v>
      </c>
      <c r="V621" s="48" t="s">
        <v>1218</v>
      </c>
      <c r="W621" s="48" t="s">
        <v>1832</v>
      </c>
      <c r="X621" s="51">
        <v>3.42404687499962</v>
      </c>
      <c r="Z621" s="48" t="s">
        <v>1212</v>
      </c>
      <c r="AA621" s="51">
        <v>0.82452595900000003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1213</v>
      </c>
      <c r="Q622" s="23">
        <f>DATE(YEAR(OneWeekMtgRatesDataTable75[[#This Row],[asOf]]),MONTH(OneWeekMtgRatesDataTable75[[#This Row],[asOf]]),DAY(OneWeekMtgRatesDataTable75[[#This Row],[asOf]]))</f>
        <v>41677</v>
      </c>
      <c r="R622" s="19">
        <v>4.28</v>
      </c>
      <c r="S622" s="19">
        <v>0.7</v>
      </c>
      <c r="T622" s="19">
        <v>4.2050000000000001</v>
      </c>
      <c r="V622" s="48" t="s">
        <v>1217</v>
      </c>
      <c r="W622" s="48" t="s">
        <v>1832</v>
      </c>
      <c r="X622" s="51">
        <v>3.3963820586764299</v>
      </c>
      <c r="Z622" s="48" t="s">
        <v>1211</v>
      </c>
      <c r="AA622" s="51">
        <v>0.82452595900000003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1212</v>
      </c>
      <c r="Q623" s="23">
        <f>DATE(YEAR(OneWeekMtgRatesDataTable75[[#This Row],[asOf]]),MONTH(OneWeekMtgRatesDataTable75[[#This Row],[asOf]]),DAY(OneWeekMtgRatesDataTable75[[#This Row],[asOf]]))</f>
        <v>41676</v>
      </c>
      <c r="R623" s="19">
        <v>4.28</v>
      </c>
      <c r="S623" s="19">
        <v>0.7</v>
      </c>
      <c r="T623" s="19">
        <v>4.2050000000000001</v>
      </c>
      <c r="V623" s="48" t="s">
        <v>1216</v>
      </c>
      <c r="W623" s="48" t="s">
        <v>1832</v>
      </c>
      <c r="X623" s="51">
        <v>3.4367814236357002</v>
      </c>
      <c r="Z623" s="48" t="s">
        <v>1210</v>
      </c>
      <c r="AA623" s="51">
        <v>0.84322503699999996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1211</v>
      </c>
      <c r="Q624" s="23">
        <f>DATE(YEAR(OneWeekMtgRatesDataTable75[[#This Row],[asOf]]),MONTH(OneWeekMtgRatesDataTable75[[#This Row],[asOf]]),DAY(OneWeekMtgRatesDataTable75[[#This Row],[asOf]]))</f>
        <v>41675</v>
      </c>
      <c r="R624" s="19">
        <v>4.2300000000000004</v>
      </c>
      <c r="S624" s="19">
        <v>0.7</v>
      </c>
      <c r="T624" s="19">
        <v>4.1550000000000002</v>
      </c>
      <c r="V624" s="48" t="s">
        <v>1215</v>
      </c>
      <c r="W624" s="48" t="s">
        <v>1832</v>
      </c>
      <c r="X624" s="51">
        <v>3.3874003692749199</v>
      </c>
      <c r="Z624" s="48" t="s">
        <v>1209</v>
      </c>
      <c r="AA624" s="51">
        <v>0.84322503699999996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1210</v>
      </c>
      <c r="Q625" s="23">
        <f>DATE(YEAR(OneWeekMtgRatesDataTable75[[#This Row],[asOf]]),MONTH(OneWeekMtgRatesDataTable75[[#This Row],[asOf]]),DAY(OneWeekMtgRatesDataTable75[[#This Row],[asOf]]))</f>
        <v>41674</v>
      </c>
      <c r="R625" s="19">
        <v>4.2300000000000004</v>
      </c>
      <c r="S625" s="19">
        <v>0.7</v>
      </c>
      <c r="T625" s="19">
        <v>4.1550000000000002</v>
      </c>
      <c r="V625" s="48" t="s">
        <v>1214</v>
      </c>
      <c r="W625" s="48" t="s">
        <v>1832</v>
      </c>
      <c r="X625" s="51">
        <v>3.34761054294983</v>
      </c>
      <c r="Z625" s="48" t="s">
        <v>1208</v>
      </c>
      <c r="AA625" s="51">
        <v>0.84322503699999996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1209</v>
      </c>
      <c r="Q626" s="23">
        <f>DATE(YEAR(OneWeekMtgRatesDataTable75[[#This Row],[asOf]]),MONTH(OneWeekMtgRatesDataTable75[[#This Row],[asOf]]),DAY(OneWeekMtgRatesDataTable75[[#This Row],[asOf]]))</f>
        <v>41673</v>
      </c>
      <c r="R626" s="19">
        <v>4.2300000000000004</v>
      </c>
      <c r="S626" s="19">
        <v>0.7</v>
      </c>
      <c r="T626" s="19">
        <v>4.1550000000000002</v>
      </c>
      <c r="V626" s="48" t="s">
        <v>1213</v>
      </c>
      <c r="W626" s="48" t="s">
        <v>1832</v>
      </c>
      <c r="X626" s="51">
        <v>3.34300170180666</v>
      </c>
      <c r="Z626" s="48" t="s">
        <v>1207</v>
      </c>
      <c r="AA626" s="51">
        <v>0.84322503699999996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1208</v>
      </c>
      <c r="Q627" s="23">
        <f>DATE(YEAR(OneWeekMtgRatesDataTable75[[#This Row],[asOf]]),MONTH(OneWeekMtgRatesDataTable75[[#This Row],[asOf]]),DAY(OneWeekMtgRatesDataTable75[[#This Row],[asOf]]))</f>
        <v>41670</v>
      </c>
      <c r="R627" s="19">
        <v>4.2300000000000004</v>
      </c>
      <c r="S627" s="19">
        <v>0.7</v>
      </c>
      <c r="T627" s="19">
        <v>4.1550000000000002</v>
      </c>
      <c r="V627" s="48" t="s">
        <v>1212</v>
      </c>
      <c r="W627" s="48" t="s">
        <v>1832</v>
      </c>
      <c r="X627" s="51">
        <v>3.3799296471468399</v>
      </c>
      <c r="Z627" s="48" t="s">
        <v>1206</v>
      </c>
      <c r="AA627" s="51">
        <v>0.84322503699999996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1207</v>
      </c>
      <c r="Q628" s="23">
        <f>DATE(YEAR(OneWeekMtgRatesDataTable75[[#This Row],[asOf]]),MONTH(OneWeekMtgRatesDataTable75[[#This Row],[asOf]]),DAY(OneWeekMtgRatesDataTable75[[#This Row],[asOf]]))</f>
        <v>41669</v>
      </c>
      <c r="R628" s="19">
        <v>4.2300000000000004</v>
      </c>
      <c r="S628" s="19">
        <v>0.7</v>
      </c>
      <c r="T628" s="19">
        <v>4.1550000000000002</v>
      </c>
      <c r="V628" s="48" t="s">
        <v>1211</v>
      </c>
      <c r="W628" s="48" t="s">
        <v>1832</v>
      </c>
      <c r="X628" s="51">
        <v>3.3584090078904199</v>
      </c>
      <c r="Z628" s="48" t="s">
        <v>1205</v>
      </c>
      <c r="AA628" s="51">
        <v>0.86348562100000004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1206</v>
      </c>
      <c r="Q629" s="23">
        <f>DATE(YEAR(OneWeekMtgRatesDataTable75[[#This Row],[asOf]]),MONTH(OneWeekMtgRatesDataTable75[[#This Row],[asOf]]),DAY(OneWeekMtgRatesDataTable75[[#This Row],[asOf]]))</f>
        <v>41668</v>
      </c>
      <c r="R629" s="19">
        <v>4.32</v>
      </c>
      <c r="S629" s="19">
        <v>0.7</v>
      </c>
      <c r="T629" s="19">
        <v>4.2450000000000001</v>
      </c>
      <c r="V629" s="48" t="s">
        <v>1210</v>
      </c>
      <c r="W629" s="48" t="s">
        <v>1832</v>
      </c>
      <c r="X629" s="51">
        <v>3.3111616483337998</v>
      </c>
      <c r="Z629" s="48" t="s">
        <v>1204</v>
      </c>
      <c r="AA629" s="51">
        <v>0.86348562100000004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1205</v>
      </c>
      <c r="Q630" s="23">
        <f>DATE(YEAR(OneWeekMtgRatesDataTable75[[#This Row],[asOf]]),MONTH(OneWeekMtgRatesDataTable75[[#This Row],[asOf]]),DAY(OneWeekMtgRatesDataTable75[[#This Row],[asOf]]))</f>
        <v>41667</v>
      </c>
      <c r="R630" s="19">
        <v>4.32</v>
      </c>
      <c r="S630" s="19">
        <v>0.7</v>
      </c>
      <c r="T630" s="19">
        <v>4.2450000000000001</v>
      </c>
      <c r="V630" s="48" t="s">
        <v>1209</v>
      </c>
      <c r="W630" s="48" t="s">
        <v>1832</v>
      </c>
      <c r="X630" s="51">
        <v>3.2710992042590501</v>
      </c>
      <c r="Z630" s="48" t="s">
        <v>1203</v>
      </c>
      <c r="AA630" s="51">
        <v>0.86348562100000004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1204</v>
      </c>
      <c r="Q631" s="23">
        <f>DATE(YEAR(OneWeekMtgRatesDataTable75[[#This Row],[asOf]]),MONTH(OneWeekMtgRatesDataTable75[[#This Row],[asOf]]),DAY(OneWeekMtgRatesDataTable75[[#This Row],[asOf]]))</f>
        <v>41666</v>
      </c>
      <c r="R631" s="19">
        <v>4.32</v>
      </c>
      <c r="S631" s="19">
        <v>0.7</v>
      </c>
      <c r="T631" s="19">
        <v>4.2450000000000001</v>
      </c>
      <c r="V631" s="48" t="s">
        <v>1208</v>
      </c>
      <c r="W631" s="48" t="s">
        <v>1832</v>
      </c>
      <c r="X631" s="51">
        <v>3.3406752567006799</v>
      </c>
      <c r="Z631" s="48" t="s">
        <v>1202</v>
      </c>
      <c r="AA631" s="51">
        <v>0.86348562100000004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1203</v>
      </c>
      <c r="Q632" s="23">
        <f>DATE(YEAR(OneWeekMtgRatesDataTable75[[#This Row],[asOf]]),MONTH(OneWeekMtgRatesDataTable75[[#This Row],[asOf]]),DAY(OneWeekMtgRatesDataTable75[[#This Row],[asOf]]))</f>
        <v>41663</v>
      </c>
      <c r="R632" s="19">
        <v>4.32</v>
      </c>
      <c r="S632" s="19">
        <v>0.7</v>
      </c>
      <c r="T632" s="19">
        <v>4.2450000000000001</v>
      </c>
      <c r="V632" s="48" t="s">
        <v>1207</v>
      </c>
      <c r="W632" s="48" t="s">
        <v>1832</v>
      </c>
      <c r="X632" s="51">
        <v>3.3710250871978902</v>
      </c>
      <c r="Z632" s="48" t="s">
        <v>1201</v>
      </c>
      <c r="AA632" s="51">
        <v>0.86348562100000004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1202</v>
      </c>
      <c r="Q633" s="23">
        <f>DATE(YEAR(OneWeekMtgRatesDataTable75[[#This Row],[asOf]]),MONTH(OneWeekMtgRatesDataTable75[[#This Row],[asOf]]),DAY(OneWeekMtgRatesDataTable75[[#This Row],[asOf]]))</f>
        <v>41662</v>
      </c>
      <c r="R633" s="19">
        <v>4.32</v>
      </c>
      <c r="S633" s="19">
        <v>0.7</v>
      </c>
      <c r="T633" s="19">
        <v>4.2450000000000001</v>
      </c>
      <c r="V633" s="48" t="s">
        <v>1206</v>
      </c>
      <c r="W633" s="48" t="s">
        <v>1832</v>
      </c>
      <c r="X633" s="51">
        <v>3.3611475085431901</v>
      </c>
      <c r="Z633" s="48" t="s">
        <v>1200</v>
      </c>
      <c r="AA633" s="51">
        <v>0.84471417199999999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1201</v>
      </c>
      <c r="Q634" s="23">
        <f>DATE(YEAR(OneWeekMtgRatesDataTable75[[#This Row],[asOf]]),MONTH(OneWeekMtgRatesDataTable75[[#This Row],[asOf]]),DAY(OneWeekMtgRatesDataTable75[[#This Row],[asOf]]))</f>
        <v>41661</v>
      </c>
      <c r="R634" s="19">
        <v>4.3899999999999997</v>
      </c>
      <c r="S634" s="19">
        <v>0.7</v>
      </c>
      <c r="T634" s="19">
        <v>4.3149999999999995</v>
      </c>
      <c r="V634" s="48" t="s">
        <v>1205</v>
      </c>
      <c r="W634" s="48" t="s">
        <v>1832</v>
      </c>
      <c r="X634" s="51">
        <v>3.4146699129436402</v>
      </c>
      <c r="Z634" s="48" t="s">
        <v>1199</v>
      </c>
      <c r="AA634" s="51">
        <v>0.84471417199999999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1200</v>
      </c>
      <c r="Q635" s="23">
        <f>DATE(YEAR(OneWeekMtgRatesDataTable75[[#This Row],[asOf]]),MONTH(OneWeekMtgRatesDataTable75[[#This Row],[asOf]]),DAY(OneWeekMtgRatesDataTable75[[#This Row],[asOf]]))</f>
        <v>41660</v>
      </c>
      <c r="R635" s="19">
        <v>4.3899999999999997</v>
      </c>
      <c r="S635" s="19">
        <v>0.7</v>
      </c>
      <c r="T635" s="19">
        <v>4.3149999999999995</v>
      </c>
      <c r="V635" s="48" t="s">
        <v>1204</v>
      </c>
      <c r="W635" s="48" t="s">
        <v>1832</v>
      </c>
      <c r="X635" s="51">
        <v>3.4248929817112499</v>
      </c>
      <c r="Z635" s="48" t="s">
        <v>1198</v>
      </c>
      <c r="AA635" s="51">
        <v>0.84471417199999999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1199</v>
      </c>
      <c r="Q636" s="23">
        <f>DATE(YEAR(OneWeekMtgRatesDataTable75[[#This Row],[asOf]]),MONTH(OneWeekMtgRatesDataTable75[[#This Row],[asOf]]),DAY(OneWeekMtgRatesDataTable75[[#This Row],[asOf]]))</f>
        <v>41656</v>
      </c>
      <c r="R636" s="19">
        <v>4.3899999999999997</v>
      </c>
      <c r="S636" s="19">
        <v>0.7</v>
      </c>
      <c r="T636" s="19">
        <v>4.3149999999999995</v>
      </c>
      <c r="V636" s="48" t="s">
        <v>1203</v>
      </c>
      <c r="W636" s="48" t="s">
        <v>1832</v>
      </c>
      <c r="X636" s="51">
        <v>3.3821795348389898</v>
      </c>
      <c r="Z636" s="48" t="s">
        <v>1197</v>
      </c>
      <c r="AA636" s="51">
        <v>0.84471417199999999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1198</v>
      </c>
      <c r="Q637" s="23">
        <f>DATE(YEAR(OneWeekMtgRatesDataTable75[[#This Row],[asOf]]),MONTH(OneWeekMtgRatesDataTable75[[#This Row],[asOf]]),DAY(OneWeekMtgRatesDataTable75[[#This Row],[asOf]]))</f>
        <v>41655</v>
      </c>
      <c r="R637" s="19">
        <v>4.3899999999999997</v>
      </c>
      <c r="S637" s="19">
        <v>0.7</v>
      </c>
      <c r="T637" s="19">
        <v>4.3149999999999995</v>
      </c>
      <c r="V637" s="48" t="s">
        <v>1202</v>
      </c>
      <c r="W637" s="48" t="s">
        <v>1832</v>
      </c>
      <c r="X637" s="51">
        <v>3.42598487814407</v>
      </c>
      <c r="Z637" s="48" t="s">
        <v>1196</v>
      </c>
      <c r="AA637" s="51">
        <v>0.85129572099999995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1197</v>
      </c>
      <c r="Q638" s="23">
        <f>DATE(YEAR(OneWeekMtgRatesDataTable75[[#This Row],[asOf]]),MONTH(OneWeekMtgRatesDataTable75[[#This Row],[asOf]]),DAY(OneWeekMtgRatesDataTable75[[#This Row],[asOf]]))</f>
        <v>41654</v>
      </c>
      <c r="R638" s="19">
        <v>4.41</v>
      </c>
      <c r="S638" s="19">
        <v>0.7</v>
      </c>
      <c r="T638" s="19">
        <v>4.335</v>
      </c>
      <c r="V638" s="48" t="s">
        <v>1201</v>
      </c>
      <c r="W638" s="48" t="s">
        <v>1832</v>
      </c>
      <c r="X638" s="51">
        <v>3.4813003413665098</v>
      </c>
      <c r="Z638" s="48" t="s">
        <v>1195</v>
      </c>
      <c r="AA638" s="51">
        <v>0.85129572099999995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1196</v>
      </c>
      <c r="Q639" s="23">
        <f>DATE(YEAR(OneWeekMtgRatesDataTable75[[#This Row],[asOf]]),MONTH(OneWeekMtgRatesDataTable75[[#This Row],[asOf]]),DAY(OneWeekMtgRatesDataTable75[[#This Row],[asOf]]))</f>
        <v>41653</v>
      </c>
      <c r="R639" s="19">
        <v>4.41</v>
      </c>
      <c r="S639" s="19">
        <v>0.7</v>
      </c>
      <c r="T639" s="19">
        <v>4.335</v>
      </c>
      <c r="V639" s="48" t="s">
        <v>1200</v>
      </c>
      <c r="W639" s="48" t="s">
        <v>1832</v>
      </c>
      <c r="X639" s="51">
        <v>3.4306167460721202</v>
      </c>
      <c r="Z639" s="48" t="s">
        <v>1194</v>
      </c>
      <c r="AA639" s="51">
        <v>0.85129572099999995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1195</v>
      </c>
      <c r="Q640" s="23">
        <f>DATE(YEAR(OneWeekMtgRatesDataTable75[[#This Row],[asOf]]),MONTH(OneWeekMtgRatesDataTable75[[#This Row],[asOf]]),DAY(OneWeekMtgRatesDataTable75[[#This Row],[asOf]]))</f>
        <v>41652</v>
      </c>
      <c r="R640" s="19">
        <v>4.41</v>
      </c>
      <c r="S640" s="19">
        <v>0.7</v>
      </c>
      <c r="T640" s="19">
        <v>4.335</v>
      </c>
      <c r="V640" s="48" t="s">
        <v>1199</v>
      </c>
      <c r="W640" s="48" t="s">
        <v>1832</v>
      </c>
      <c r="X640" s="51">
        <v>3.4370844050238198</v>
      </c>
      <c r="Z640" s="48" t="s">
        <v>1193</v>
      </c>
      <c r="AA640" s="51">
        <v>0.85129572099999995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1194</v>
      </c>
      <c r="Q641" s="23">
        <f>DATE(YEAR(OneWeekMtgRatesDataTable75[[#This Row],[asOf]]),MONTH(OneWeekMtgRatesDataTable75[[#This Row],[asOf]]),DAY(OneWeekMtgRatesDataTable75[[#This Row],[asOf]]))</f>
        <v>41649</v>
      </c>
      <c r="R641" s="19">
        <v>4.41</v>
      </c>
      <c r="S641" s="19">
        <v>0.7</v>
      </c>
      <c r="T641" s="19">
        <v>4.335</v>
      </c>
      <c r="V641" s="48" t="s">
        <v>1198</v>
      </c>
      <c r="W641" s="48" t="s">
        <v>1832</v>
      </c>
      <c r="X641" s="51">
        <v>3.4570560243786002</v>
      </c>
      <c r="Z641" s="48" t="s">
        <v>1192</v>
      </c>
      <c r="AA641" s="51">
        <v>0.85129572099999995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1193</v>
      </c>
      <c r="Q642" s="23">
        <f>DATE(YEAR(OneWeekMtgRatesDataTable75[[#This Row],[asOf]]),MONTH(OneWeekMtgRatesDataTable75[[#This Row],[asOf]]),DAY(OneWeekMtgRatesDataTable75[[#This Row],[asOf]]))</f>
        <v>41648</v>
      </c>
      <c r="R642" s="19">
        <v>4.41</v>
      </c>
      <c r="S642" s="19">
        <v>0.7</v>
      </c>
      <c r="T642" s="19">
        <v>4.335</v>
      </c>
      <c r="V642" s="48" t="s">
        <v>1197</v>
      </c>
      <c r="W642" s="48" t="s">
        <v>1832</v>
      </c>
      <c r="X642" s="51">
        <v>3.4947799465752998</v>
      </c>
      <c r="Z642" s="48" t="s">
        <v>1191</v>
      </c>
      <c r="AA642" s="51">
        <v>0.88295887900000003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1192</v>
      </c>
      <c r="Q643" s="23">
        <f>DATE(YEAR(OneWeekMtgRatesDataTable75[[#This Row],[asOf]]),MONTH(OneWeekMtgRatesDataTable75[[#This Row],[asOf]]),DAY(OneWeekMtgRatesDataTable75[[#This Row],[asOf]]))</f>
        <v>41647</v>
      </c>
      <c r="R643" s="19">
        <v>4.51</v>
      </c>
      <c r="S643" s="19">
        <v>0.7</v>
      </c>
      <c r="T643" s="19">
        <v>4.4349999999999996</v>
      </c>
      <c r="V643" s="48" t="s">
        <v>1196</v>
      </c>
      <c r="W643" s="48" t="s">
        <v>1832</v>
      </c>
      <c r="X643" s="51">
        <v>3.4834111891672799</v>
      </c>
      <c r="Z643" s="48" t="s">
        <v>1190</v>
      </c>
      <c r="AA643" s="51">
        <v>0.88295887900000003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1191</v>
      </c>
      <c r="Q644" s="23">
        <f>DATE(YEAR(OneWeekMtgRatesDataTable75[[#This Row],[asOf]]),MONTH(OneWeekMtgRatesDataTable75[[#This Row],[asOf]]),DAY(OneWeekMtgRatesDataTable75[[#This Row],[asOf]]))</f>
        <v>41646</v>
      </c>
      <c r="R644" s="19">
        <v>4.51</v>
      </c>
      <c r="S644" s="19">
        <v>0.7</v>
      </c>
      <c r="T644" s="19">
        <v>4.4349999999999996</v>
      </c>
      <c r="V644" s="48" t="s">
        <v>1195</v>
      </c>
      <c r="W644" s="48" t="s">
        <v>1832</v>
      </c>
      <c r="X644" s="51">
        <v>3.4264575978101499</v>
      </c>
      <c r="Z644" s="48" t="s">
        <v>1189</v>
      </c>
      <c r="AA644" s="51">
        <v>0.88295887900000003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1190</v>
      </c>
      <c r="Q645" s="23">
        <f>DATE(YEAR(OneWeekMtgRatesDataTable75[[#This Row],[asOf]]),MONTH(OneWeekMtgRatesDataTable75[[#This Row],[asOf]]),DAY(OneWeekMtgRatesDataTable75[[#This Row],[asOf]]))</f>
        <v>41645</v>
      </c>
      <c r="R645" s="19">
        <v>4.51</v>
      </c>
      <c r="S645" s="19">
        <v>0.7</v>
      </c>
      <c r="T645" s="19">
        <v>4.4349999999999996</v>
      </c>
      <c r="V645" s="48" t="s">
        <v>1194</v>
      </c>
      <c r="W645" s="48" t="s">
        <v>1832</v>
      </c>
      <c r="X645" s="51">
        <v>3.4718387266108799</v>
      </c>
      <c r="Z645" s="48" t="s">
        <v>1188</v>
      </c>
      <c r="AA645" s="51">
        <v>0.88295887900000003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1189</v>
      </c>
      <c r="Q646" s="23">
        <f>DATE(YEAR(OneWeekMtgRatesDataTable75[[#This Row],[asOf]]),MONTH(OneWeekMtgRatesDataTable75[[#This Row],[asOf]]),DAY(OneWeekMtgRatesDataTable75[[#This Row],[asOf]]))</f>
        <v>41642</v>
      </c>
      <c r="R646" s="19">
        <v>4.51</v>
      </c>
      <c r="S646" s="19">
        <v>0.7</v>
      </c>
      <c r="T646" s="19">
        <v>4.4349999999999996</v>
      </c>
      <c r="V646" s="48" t="s">
        <v>1193</v>
      </c>
      <c r="W646" s="48" t="s">
        <v>1832</v>
      </c>
      <c r="X646" s="51">
        <v>3.5749416796778899</v>
      </c>
      <c r="Z646" s="48" t="s">
        <v>1187</v>
      </c>
      <c r="AA646" s="51">
        <v>0.88295887900000003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1188</v>
      </c>
      <c r="Q647" s="23">
        <f>DATE(YEAR(OneWeekMtgRatesDataTable75[[#This Row],[asOf]]),MONTH(OneWeekMtgRatesDataTable75[[#This Row],[asOf]]),DAY(OneWeekMtgRatesDataTable75[[#This Row],[asOf]]))</f>
        <v>41641</v>
      </c>
      <c r="R647" s="19">
        <v>4.51</v>
      </c>
      <c r="S647" s="19">
        <v>0.7</v>
      </c>
      <c r="T647" s="19">
        <v>4.4349999999999996</v>
      </c>
      <c r="V647" s="48" t="s">
        <v>1192</v>
      </c>
      <c r="W647" s="48" t="s">
        <v>1832</v>
      </c>
      <c r="X647" s="51">
        <v>3.5963712535882499</v>
      </c>
      <c r="Z647" s="48" t="s">
        <v>1186</v>
      </c>
      <c r="AA647" s="51">
        <v>0.839377755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1187</v>
      </c>
      <c r="Q648" s="23">
        <f>DATE(YEAR(OneWeekMtgRatesDataTable75[[#This Row],[asOf]]),MONTH(OneWeekMtgRatesDataTable75[[#This Row],[asOf]]),DAY(OneWeekMtgRatesDataTable75[[#This Row],[asOf]]))</f>
        <v>41639</v>
      </c>
      <c r="R648" s="19">
        <v>4.53</v>
      </c>
      <c r="S648" s="19">
        <v>0.8</v>
      </c>
      <c r="T648" s="19">
        <v>4.4800000000000004</v>
      </c>
      <c r="V648" s="48" t="s">
        <v>1191</v>
      </c>
      <c r="W648" s="48" t="s">
        <v>1832</v>
      </c>
      <c r="X648" s="51">
        <v>3.5428500405358099</v>
      </c>
      <c r="Z648" s="48" t="s">
        <v>1185</v>
      </c>
      <c r="AA648" s="51">
        <v>0.839377755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1186</v>
      </c>
      <c r="Q649" s="23">
        <f>DATE(YEAR(OneWeekMtgRatesDataTable75[[#This Row],[asOf]]),MONTH(OneWeekMtgRatesDataTable75[[#This Row],[asOf]]),DAY(OneWeekMtgRatesDataTable75[[#This Row],[asOf]]))</f>
        <v>41638</v>
      </c>
      <c r="R649" s="19">
        <v>4.53</v>
      </c>
      <c r="S649" s="19">
        <v>0.8</v>
      </c>
      <c r="T649" s="19">
        <v>4.4800000000000004</v>
      </c>
      <c r="V649" s="48" t="s">
        <v>1190</v>
      </c>
      <c r="W649" s="48" t="s">
        <v>1832</v>
      </c>
      <c r="X649" s="51">
        <v>3.5763485946615199</v>
      </c>
      <c r="Z649" s="48" t="s">
        <v>1184</v>
      </c>
      <c r="AA649" s="51">
        <v>0.839377755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1185</v>
      </c>
      <c r="Q650" s="23">
        <f>DATE(YEAR(OneWeekMtgRatesDataTable75[[#This Row],[asOf]]),MONTH(OneWeekMtgRatesDataTable75[[#This Row],[asOf]]),DAY(OneWeekMtgRatesDataTable75[[#This Row],[asOf]]))</f>
        <v>41635</v>
      </c>
      <c r="R650" s="19">
        <v>4.53</v>
      </c>
      <c r="S650" s="19">
        <v>0.8</v>
      </c>
      <c r="T650" s="19">
        <v>4.4800000000000004</v>
      </c>
      <c r="V650" s="48" t="s">
        <v>1189</v>
      </c>
      <c r="W650" s="48" t="s">
        <v>1832</v>
      </c>
      <c r="X650" s="51">
        <v>3.6032550852643102</v>
      </c>
      <c r="Z650" s="48" t="s">
        <v>1183</v>
      </c>
      <c r="AA650" s="51">
        <v>0.839377755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1184</v>
      </c>
      <c r="Q651" s="23">
        <f>DATE(YEAR(OneWeekMtgRatesDataTable75[[#This Row],[asOf]]),MONTH(OneWeekMtgRatesDataTable75[[#This Row],[asOf]]),DAY(OneWeekMtgRatesDataTable75[[#This Row],[asOf]]))</f>
        <v>41634</v>
      </c>
      <c r="R651" s="19">
        <v>4.53</v>
      </c>
      <c r="S651" s="19">
        <v>0.8</v>
      </c>
      <c r="T651" s="19">
        <v>4.4800000000000004</v>
      </c>
      <c r="V651" s="48" t="s">
        <v>1188</v>
      </c>
      <c r="W651" s="48" t="s">
        <v>1832</v>
      </c>
      <c r="X651" s="51">
        <v>3.5996964231875999</v>
      </c>
      <c r="Z651" s="48" t="s">
        <v>1182</v>
      </c>
      <c r="AA651" s="51">
        <v>0.86605114999999999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1183</v>
      </c>
      <c r="Q652" s="23">
        <f>DATE(YEAR(OneWeekMtgRatesDataTable75[[#This Row],[asOf]]),MONTH(OneWeekMtgRatesDataTable75[[#This Row],[asOf]]),DAY(OneWeekMtgRatesDataTable75[[#This Row],[asOf]]))</f>
        <v>41632</v>
      </c>
      <c r="R652" s="19">
        <v>4.4800000000000004</v>
      </c>
      <c r="S652" s="19">
        <v>0.7</v>
      </c>
      <c r="T652" s="19">
        <v>4.4050000000000002</v>
      </c>
      <c r="V652" s="48" t="s">
        <v>1187</v>
      </c>
      <c r="W652" s="48" t="s">
        <v>1832</v>
      </c>
      <c r="X652" s="51">
        <v>3.5930254960618</v>
      </c>
      <c r="Z652" s="48" t="s">
        <v>1181</v>
      </c>
      <c r="AA652" s="51">
        <v>0.86605114999999999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1182</v>
      </c>
      <c r="Q653" s="23">
        <f>DATE(YEAR(OneWeekMtgRatesDataTable75[[#This Row],[asOf]]),MONTH(OneWeekMtgRatesDataTable75[[#This Row],[asOf]]),DAY(OneWeekMtgRatesDataTable75[[#This Row],[asOf]]))</f>
        <v>41631</v>
      </c>
      <c r="R653" s="19">
        <v>4.4800000000000004</v>
      </c>
      <c r="S653" s="19">
        <v>0.7</v>
      </c>
      <c r="T653" s="19">
        <v>4.4050000000000002</v>
      </c>
      <c r="V653" s="48" t="s">
        <v>1186</v>
      </c>
      <c r="W653" s="48" t="s">
        <v>1832</v>
      </c>
      <c r="X653" s="51">
        <v>3.5746743392906399</v>
      </c>
      <c r="Z653" s="48" t="s">
        <v>1180</v>
      </c>
      <c r="AA653" s="51">
        <v>0.86605114999999999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1181</v>
      </c>
      <c r="Q654" s="23">
        <f>DATE(YEAR(OneWeekMtgRatesDataTable75[[#This Row],[asOf]]),MONTH(OneWeekMtgRatesDataTable75[[#This Row],[asOf]]),DAY(OneWeekMtgRatesDataTable75[[#This Row],[asOf]]))</f>
        <v>41628</v>
      </c>
      <c r="R654" s="19">
        <v>4.4800000000000004</v>
      </c>
      <c r="S654" s="19">
        <v>0.7</v>
      </c>
      <c r="T654" s="19">
        <v>4.4050000000000002</v>
      </c>
      <c r="V654" s="48" t="s">
        <v>1185</v>
      </c>
      <c r="W654" s="48" t="s">
        <v>1832</v>
      </c>
      <c r="X654" s="51">
        <v>3.60938046615082</v>
      </c>
      <c r="Z654" s="48" t="s">
        <v>1179</v>
      </c>
      <c r="AA654" s="51">
        <v>0.86605114999999999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1180</v>
      </c>
      <c r="Q655" s="23">
        <f>DATE(YEAR(OneWeekMtgRatesDataTable75[[#This Row],[asOf]]),MONTH(OneWeekMtgRatesDataTable75[[#This Row],[asOf]]),DAY(OneWeekMtgRatesDataTable75[[#This Row],[asOf]]))</f>
        <v>41627</v>
      </c>
      <c r="R655" s="19">
        <v>4.4800000000000004</v>
      </c>
      <c r="S655" s="19">
        <v>0.7</v>
      </c>
      <c r="T655" s="19">
        <v>4.4050000000000002</v>
      </c>
      <c r="V655" s="48" t="s">
        <v>1184</v>
      </c>
      <c r="W655" s="48" t="s">
        <v>1832</v>
      </c>
      <c r="X655" s="51">
        <v>3.6110841836329799</v>
      </c>
      <c r="Z655" s="48" t="s">
        <v>1178</v>
      </c>
      <c r="AA655" s="51">
        <v>0.830431794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1179</v>
      </c>
      <c r="Q656" s="23">
        <f>DATE(YEAR(OneWeekMtgRatesDataTable75[[#This Row],[asOf]]),MONTH(OneWeekMtgRatesDataTable75[[#This Row],[asOf]]),DAY(OneWeekMtgRatesDataTable75[[#This Row],[asOf]]))</f>
        <v>41626</v>
      </c>
      <c r="R656" s="19">
        <v>4.47</v>
      </c>
      <c r="S656" s="19">
        <v>0.7</v>
      </c>
      <c r="T656" s="19">
        <v>4.3949999999999996</v>
      </c>
      <c r="V656" s="48" t="s">
        <v>1183</v>
      </c>
      <c r="W656" s="48" t="s">
        <v>1832</v>
      </c>
      <c r="X656" s="51">
        <v>3.6100621369380201</v>
      </c>
      <c r="Z656" s="48" t="s">
        <v>1177</v>
      </c>
      <c r="AA656" s="51">
        <v>0.830431794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1178</v>
      </c>
      <c r="Q657" s="23">
        <f>DATE(YEAR(OneWeekMtgRatesDataTable75[[#This Row],[asOf]]),MONTH(OneWeekMtgRatesDataTable75[[#This Row],[asOf]]),DAY(OneWeekMtgRatesDataTable75[[#This Row],[asOf]]))</f>
        <v>41625</v>
      </c>
      <c r="R657" s="19">
        <v>4.47</v>
      </c>
      <c r="S657" s="19">
        <v>0.7</v>
      </c>
      <c r="T657" s="19">
        <v>4.3949999999999996</v>
      </c>
      <c r="V657" s="48" t="s">
        <v>1182</v>
      </c>
      <c r="W657" s="48" t="s">
        <v>1832</v>
      </c>
      <c r="X657" s="51">
        <v>3.5422520494722902</v>
      </c>
      <c r="Z657" s="48" t="s">
        <v>1176</v>
      </c>
      <c r="AA657" s="51">
        <v>0.830431794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1177</v>
      </c>
      <c r="Q658" s="23">
        <f>DATE(YEAR(OneWeekMtgRatesDataTable75[[#This Row],[asOf]]),MONTH(OneWeekMtgRatesDataTable75[[#This Row],[asOf]]),DAY(OneWeekMtgRatesDataTable75[[#This Row],[asOf]]))</f>
        <v>41624</v>
      </c>
      <c r="R658" s="19">
        <v>4.47</v>
      </c>
      <c r="S658" s="19">
        <v>0.7</v>
      </c>
      <c r="T658" s="19">
        <v>4.3949999999999996</v>
      </c>
      <c r="V658" s="48" t="s">
        <v>1181</v>
      </c>
      <c r="W658" s="48" t="s">
        <v>1832</v>
      </c>
      <c r="X658" s="51">
        <v>3.5207189291483099</v>
      </c>
      <c r="Z658" s="48" t="s">
        <v>1175</v>
      </c>
      <c r="AA658" s="51">
        <v>0.830431794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1176</v>
      </c>
      <c r="Q659" s="23">
        <f>DATE(YEAR(OneWeekMtgRatesDataTable75[[#This Row],[asOf]]),MONTH(OneWeekMtgRatesDataTable75[[#This Row],[asOf]]),DAY(OneWeekMtgRatesDataTable75[[#This Row],[asOf]]))</f>
        <v>41621</v>
      </c>
      <c r="R659" s="19">
        <v>4.47</v>
      </c>
      <c r="S659" s="19">
        <v>0.7</v>
      </c>
      <c r="T659" s="19">
        <v>4.3949999999999996</v>
      </c>
      <c r="V659" s="48" t="s">
        <v>1180</v>
      </c>
      <c r="W659" s="48" t="s">
        <v>1832</v>
      </c>
      <c r="X659" s="51">
        <v>3.5894558660793101</v>
      </c>
      <c r="Z659" s="48" t="s">
        <v>1174</v>
      </c>
      <c r="AA659" s="51">
        <v>0.830431794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1175</v>
      </c>
      <c r="Q660" s="23">
        <f>DATE(YEAR(OneWeekMtgRatesDataTable75[[#This Row],[asOf]]),MONTH(OneWeekMtgRatesDataTable75[[#This Row],[asOf]]),DAY(OneWeekMtgRatesDataTable75[[#This Row],[asOf]]))</f>
        <v>41620</v>
      </c>
      <c r="R660" s="19">
        <v>4.47</v>
      </c>
      <c r="S660" s="19">
        <v>0.7</v>
      </c>
      <c r="T660" s="19">
        <v>4.3949999999999996</v>
      </c>
      <c r="V660" s="48" t="s">
        <v>1179</v>
      </c>
      <c r="W660" s="48" t="s">
        <v>1832</v>
      </c>
      <c r="X660" s="51">
        <v>3.5422755368494498</v>
      </c>
      <c r="Z660" s="48" t="s">
        <v>1173</v>
      </c>
      <c r="AA660" s="51">
        <v>0.85550847600000002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1174</v>
      </c>
      <c r="Q661" s="23">
        <f>DATE(YEAR(OneWeekMtgRatesDataTable75[[#This Row],[asOf]]),MONTH(OneWeekMtgRatesDataTable75[[#This Row],[asOf]]),DAY(OneWeekMtgRatesDataTable75[[#This Row],[asOf]]))</f>
        <v>41619</v>
      </c>
      <c r="R661" s="19">
        <v>4.42</v>
      </c>
      <c r="S661" s="19">
        <v>0.7</v>
      </c>
      <c r="T661" s="19">
        <v>4.3449999999999998</v>
      </c>
      <c r="V661" s="48" t="s">
        <v>1178</v>
      </c>
      <c r="W661" s="48" t="s">
        <v>1832</v>
      </c>
      <c r="X661" s="51">
        <v>3.4998898139893</v>
      </c>
      <c r="Z661" s="48" t="s">
        <v>1172</v>
      </c>
      <c r="AA661" s="51">
        <v>0.85550847600000002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1173</v>
      </c>
      <c r="Q662" s="23">
        <f>DATE(YEAR(OneWeekMtgRatesDataTable75[[#This Row],[asOf]]),MONTH(OneWeekMtgRatesDataTable75[[#This Row],[asOf]]),DAY(OneWeekMtgRatesDataTable75[[#This Row],[asOf]]))</f>
        <v>41618</v>
      </c>
      <c r="R662" s="19">
        <v>4.42</v>
      </c>
      <c r="S662" s="19">
        <v>0.7</v>
      </c>
      <c r="T662" s="19">
        <v>4.3449999999999998</v>
      </c>
      <c r="V662" s="48" t="s">
        <v>1177</v>
      </c>
      <c r="W662" s="48" t="s">
        <v>1832</v>
      </c>
      <c r="X662" s="51">
        <v>3.5307245323139602</v>
      </c>
      <c r="Z662" s="48" t="s">
        <v>1171</v>
      </c>
      <c r="AA662" s="51">
        <v>0.85550847600000002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1172</v>
      </c>
      <c r="Q663" s="23">
        <f>DATE(YEAR(OneWeekMtgRatesDataTable75[[#This Row],[asOf]]),MONTH(OneWeekMtgRatesDataTable75[[#This Row],[asOf]]),DAY(OneWeekMtgRatesDataTable75[[#This Row],[asOf]]))</f>
        <v>41617</v>
      </c>
      <c r="R663" s="19">
        <v>4.42</v>
      </c>
      <c r="S663" s="19">
        <v>0.7</v>
      </c>
      <c r="T663" s="19">
        <v>4.3449999999999998</v>
      </c>
      <c r="V663" s="48" t="s">
        <v>1176</v>
      </c>
      <c r="W663" s="48" t="s">
        <v>1832</v>
      </c>
      <c r="X663" s="51">
        <v>3.5290996894050202</v>
      </c>
      <c r="Z663" s="48" t="s">
        <v>1170</v>
      </c>
      <c r="AA663" s="51">
        <v>0.85550847600000002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1171</v>
      </c>
      <c r="Q664" s="23">
        <f>DATE(YEAR(OneWeekMtgRatesDataTable75[[#This Row],[asOf]]),MONTH(OneWeekMtgRatesDataTable75[[#This Row],[asOf]]),DAY(OneWeekMtgRatesDataTable75[[#This Row],[asOf]]))</f>
        <v>41614</v>
      </c>
      <c r="R664" s="19">
        <v>4.42</v>
      </c>
      <c r="S664" s="19">
        <v>0.7</v>
      </c>
      <c r="T664" s="19">
        <v>4.3449999999999998</v>
      </c>
      <c r="V664" s="48" t="s">
        <v>1175</v>
      </c>
      <c r="W664" s="48" t="s">
        <v>1832</v>
      </c>
      <c r="X664" s="51">
        <v>3.5427546786903199</v>
      </c>
      <c r="Z664" s="48" t="s">
        <v>1169</v>
      </c>
      <c r="AA664" s="51">
        <v>0.85550847600000002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1170</v>
      </c>
      <c r="Q665" s="23">
        <f>DATE(YEAR(OneWeekMtgRatesDataTable75[[#This Row],[asOf]]),MONTH(OneWeekMtgRatesDataTable75[[#This Row],[asOf]]),DAY(OneWeekMtgRatesDataTable75[[#This Row],[asOf]]))</f>
        <v>41613</v>
      </c>
      <c r="R665" s="19">
        <v>4.42</v>
      </c>
      <c r="S665" s="19">
        <v>0.7</v>
      </c>
      <c r="T665" s="19">
        <v>4.3449999999999998</v>
      </c>
      <c r="V665" s="48" t="s">
        <v>1174</v>
      </c>
      <c r="W665" s="48" t="s">
        <v>1832</v>
      </c>
      <c r="X665" s="51">
        <v>3.5156873221910101</v>
      </c>
      <c r="Z665" s="48" t="s">
        <v>1168</v>
      </c>
      <c r="AA665" s="51">
        <v>0.83041220000000004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1169</v>
      </c>
      <c r="Q666" s="23">
        <f>DATE(YEAR(OneWeekMtgRatesDataTable75[[#This Row],[asOf]]),MONTH(OneWeekMtgRatesDataTable75[[#This Row],[asOf]]),DAY(OneWeekMtgRatesDataTable75[[#This Row],[asOf]]))</f>
        <v>41612</v>
      </c>
      <c r="R666" s="19">
        <v>4.46</v>
      </c>
      <c r="S666" s="19">
        <v>0.5</v>
      </c>
      <c r="T666" s="19">
        <v>4.335</v>
      </c>
      <c r="V666" s="48" t="s">
        <v>1173</v>
      </c>
      <c r="W666" s="48" t="s">
        <v>1832</v>
      </c>
      <c r="X666" s="51">
        <v>3.46476327795386</v>
      </c>
      <c r="Z666" s="48" t="s">
        <v>1167</v>
      </c>
      <c r="AA666" s="51">
        <v>0.83041220000000004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1168</v>
      </c>
      <c r="Q667" s="23">
        <f>DATE(YEAR(OneWeekMtgRatesDataTable75[[#This Row],[asOf]]),MONTH(OneWeekMtgRatesDataTable75[[#This Row],[asOf]]),DAY(OneWeekMtgRatesDataTable75[[#This Row],[asOf]]))</f>
        <v>41611</v>
      </c>
      <c r="R667" s="19">
        <v>4.46</v>
      </c>
      <c r="S667" s="19">
        <v>0.5</v>
      </c>
      <c r="T667" s="19">
        <v>4.335</v>
      </c>
      <c r="V667" s="48" t="s">
        <v>1172</v>
      </c>
      <c r="W667" s="48" t="s">
        <v>1832</v>
      </c>
      <c r="X667" s="51">
        <v>3.5044888951704301</v>
      </c>
      <c r="Z667" s="48" t="s">
        <v>1166</v>
      </c>
      <c r="AA667" s="51">
        <v>0.83041220000000004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1167</v>
      </c>
      <c r="Q668" s="23">
        <f>DATE(YEAR(OneWeekMtgRatesDataTable75[[#This Row],[asOf]]),MONTH(OneWeekMtgRatesDataTable75[[#This Row],[asOf]]),DAY(OneWeekMtgRatesDataTable75[[#This Row],[asOf]]))</f>
        <v>41610</v>
      </c>
      <c r="R668" s="19">
        <v>4.46</v>
      </c>
      <c r="S668" s="19">
        <v>0.5</v>
      </c>
      <c r="T668" s="19">
        <v>4.335</v>
      </c>
      <c r="V668" s="48" t="s">
        <v>1171</v>
      </c>
      <c r="W668" s="48" t="s">
        <v>1832</v>
      </c>
      <c r="X668" s="51">
        <v>3.5357721713068302</v>
      </c>
      <c r="Z668" s="48" t="s">
        <v>1165</v>
      </c>
      <c r="AA668" s="51">
        <v>0.83041220000000004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1166</v>
      </c>
      <c r="Q669" s="23">
        <f>DATE(YEAR(OneWeekMtgRatesDataTable75[[#This Row],[asOf]]),MONTH(OneWeekMtgRatesDataTable75[[#This Row],[asOf]]),DAY(OneWeekMtgRatesDataTable75[[#This Row],[asOf]]))</f>
        <v>41607</v>
      </c>
      <c r="R669" s="19">
        <v>4.46</v>
      </c>
      <c r="S669" s="19">
        <v>0.5</v>
      </c>
      <c r="T669" s="19">
        <v>4.335</v>
      </c>
      <c r="V669" s="48" t="s">
        <v>1170</v>
      </c>
      <c r="W669" s="48" t="s">
        <v>1832</v>
      </c>
      <c r="X669" s="51">
        <v>3.5521293611692002</v>
      </c>
      <c r="Z669" s="48" t="s">
        <v>1164</v>
      </c>
      <c r="AA669" s="51">
        <v>0.81071558200000005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1165</v>
      </c>
      <c r="Q670" s="23">
        <f>DATE(YEAR(OneWeekMtgRatesDataTable75[[#This Row],[asOf]]),MONTH(OneWeekMtgRatesDataTable75[[#This Row],[asOf]]),DAY(OneWeekMtgRatesDataTable75[[#This Row],[asOf]]))</f>
        <v>41605</v>
      </c>
      <c r="R670" s="19">
        <v>4.29</v>
      </c>
      <c r="S670" s="19">
        <v>0.7</v>
      </c>
      <c r="T670" s="19">
        <v>4.2149999999999999</v>
      </c>
      <c r="V670" s="48" t="s">
        <v>1169</v>
      </c>
      <c r="W670" s="48" t="s">
        <v>1832</v>
      </c>
      <c r="X670" s="51">
        <v>3.53796119815684</v>
      </c>
      <c r="Z670" s="48" t="s">
        <v>1163</v>
      </c>
      <c r="AA670" s="51">
        <v>0.81071558200000005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1164</v>
      </c>
      <c r="Q671" s="23">
        <f>DATE(YEAR(OneWeekMtgRatesDataTable75[[#This Row],[asOf]]),MONTH(OneWeekMtgRatesDataTable75[[#This Row],[asOf]]),DAY(OneWeekMtgRatesDataTable75[[#This Row],[asOf]]))</f>
        <v>41604</v>
      </c>
      <c r="R671" s="19">
        <v>4.29</v>
      </c>
      <c r="S671" s="19">
        <v>0.7</v>
      </c>
      <c r="T671" s="19">
        <v>4.2149999999999999</v>
      </c>
      <c r="V671" s="48" t="s">
        <v>1168</v>
      </c>
      <c r="W671" s="48" t="s">
        <v>1832</v>
      </c>
      <c r="X671" s="51">
        <v>3.4820134464127701</v>
      </c>
      <c r="Z671" s="48" t="s">
        <v>1162</v>
      </c>
      <c r="AA671" s="51">
        <v>0.81071558200000005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1163</v>
      </c>
      <c r="Q672" s="23">
        <f>DATE(YEAR(OneWeekMtgRatesDataTable75[[#This Row],[asOf]]),MONTH(OneWeekMtgRatesDataTable75[[#This Row],[asOf]]),DAY(OneWeekMtgRatesDataTable75[[#This Row],[asOf]]))</f>
        <v>41603</v>
      </c>
      <c r="R672" s="19">
        <v>4.29</v>
      </c>
      <c r="S672" s="19">
        <v>0.7</v>
      </c>
      <c r="T672" s="19">
        <v>4.2149999999999999</v>
      </c>
      <c r="V672" s="48" t="s">
        <v>1167</v>
      </c>
      <c r="W672" s="48" t="s">
        <v>1832</v>
      </c>
      <c r="X672" s="51">
        <v>3.48278493540972</v>
      </c>
      <c r="Z672" s="48" t="s">
        <v>1161</v>
      </c>
      <c r="AA672" s="51">
        <v>0.81071558200000005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1162</v>
      </c>
      <c r="Q673" s="23">
        <f>DATE(YEAR(OneWeekMtgRatesDataTable75[[#This Row],[asOf]]),MONTH(OneWeekMtgRatesDataTable75[[#This Row],[asOf]]),DAY(OneWeekMtgRatesDataTable75[[#This Row],[asOf]]))</f>
        <v>41600</v>
      </c>
      <c r="R673" s="19">
        <v>4.29</v>
      </c>
      <c r="S673" s="19">
        <v>0.7</v>
      </c>
      <c r="T673" s="19">
        <v>4.2149999999999999</v>
      </c>
      <c r="V673" s="48" t="s">
        <v>1166</v>
      </c>
      <c r="W673" s="48" t="s">
        <v>1832</v>
      </c>
      <c r="X673" s="51">
        <v>3.4152065149267101</v>
      </c>
      <c r="Z673" s="48" t="s">
        <v>1160</v>
      </c>
      <c r="AA673" s="51">
        <v>0.81071558200000005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1161</v>
      </c>
      <c r="Q674" s="23">
        <f>DATE(YEAR(OneWeekMtgRatesDataTable75[[#This Row],[asOf]]),MONTH(OneWeekMtgRatesDataTable75[[#This Row],[asOf]]),DAY(OneWeekMtgRatesDataTable75[[#This Row],[asOf]]))</f>
        <v>41599</v>
      </c>
      <c r="R674" s="19">
        <v>4.29</v>
      </c>
      <c r="S674" s="19">
        <v>0.7</v>
      </c>
      <c r="T674" s="19">
        <v>4.2149999999999999</v>
      </c>
      <c r="V674" s="48" t="s">
        <v>1165</v>
      </c>
      <c r="W674" s="48" t="s">
        <v>1832</v>
      </c>
      <c r="X674" s="51">
        <v>3.41186502861204</v>
      </c>
      <c r="Z674" s="48" t="s">
        <v>1159</v>
      </c>
      <c r="AA674" s="51">
        <v>0.89491633100000001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1160</v>
      </c>
      <c r="Q675" s="23">
        <f>DATE(YEAR(OneWeekMtgRatesDataTable75[[#This Row],[asOf]]),MONTH(OneWeekMtgRatesDataTable75[[#This Row],[asOf]]),DAY(OneWeekMtgRatesDataTable75[[#This Row],[asOf]]))</f>
        <v>41598</v>
      </c>
      <c r="R675" s="19">
        <v>4.22</v>
      </c>
      <c r="S675" s="19">
        <v>0.7</v>
      </c>
      <c r="T675" s="19">
        <v>4.1449999999999996</v>
      </c>
      <c r="V675" s="48" t="s">
        <v>1164</v>
      </c>
      <c r="W675" s="48" t="s">
        <v>1832</v>
      </c>
      <c r="X675" s="51">
        <v>3.36567559686896</v>
      </c>
      <c r="Z675" s="48" t="s">
        <v>1158</v>
      </c>
      <c r="AA675" s="51">
        <v>0.89491633100000001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1159</v>
      </c>
      <c r="Q676" s="23">
        <f>DATE(YEAR(OneWeekMtgRatesDataTable75[[#This Row],[asOf]]),MONTH(OneWeekMtgRatesDataTable75[[#This Row],[asOf]]),DAY(OneWeekMtgRatesDataTable75[[#This Row],[asOf]]))</f>
        <v>41597</v>
      </c>
      <c r="R676" s="19">
        <v>4.22</v>
      </c>
      <c r="S676" s="19">
        <v>0.7</v>
      </c>
      <c r="T676" s="19">
        <v>4.1449999999999996</v>
      </c>
      <c r="V676" s="48" t="s">
        <v>1163</v>
      </c>
      <c r="W676" s="48" t="s">
        <v>1832</v>
      </c>
      <c r="X676" s="51">
        <v>3.3786024673164099</v>
      </c>
      <c r="Z676" s="48" t="s">
        <v>1157</v>
      </c>
      <c r="AA676" s="51">
        <v>0.89491633100000001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1158</v>
      </c>
      <c r="Q677" s="23">
        <f>DATE(YEAR(OneWeekMtgRatesDataTable75[[#This Row],[asOf]]),MONTH(OneWeekMtgRatesDataTable75[[#This Row],[asOf]]),DAY(OneWeekMtgRatesDataTable75[[#This Row],[asOf]]))</f>
        <v>41596</v>
      </c>
      <c r="R677" s="19">
        <v>4.22</v>
      </c>
      <c r="S677" s="19">
        <v>0.7</v>
      </c>
      <c r="T677" s="19">
        <v>4.1449999999999996</v>
      </c>
      <c r="V677" s="48" t="s">
        <v>1162</v>
      </c>
      <c r="W677" s="48" t="s">
        <v>1832</v>
      </c>
      <c r="X677" s="51">
        <v>3.3765717476056198</v>
      </c>
      <c r="Z677" s="48" t="s">
        <v>1156</v>
      </c>
      <c r="AA677" s="51">
        <v>0.89491633100000001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1157</v>
      </c>
      <c r="Q678" s="23">
        <f>DATE(YEAR(OneWeekMtgRatesDataTable75[[#This Row],[asOf]]),MONTH(OneWeekMtgRatesDataTable75[[#This Row],[asOf]]),DAY(OneWeekMtgRatesDataTable75[[#This Row],[asOf]]))</f>
        <v>41593</v>
      </c>
      <c r="R678" s="19">
        <v>4.22</v>
      </c>
      <c r="S678" s="19">
        <v>0.7</v>
      </c>
      <c r="T678" s="19">
        <v>4.1449999999999996</v>
      </c>
      <c r="V678" s="48" t="s">
        <v>1161</v>
      </c>
      <c r="W678" s="48" t="s">
        <v>1832</v>
      </c>
      <c r="X678" s="51">
        <v>3.3902241574747198</v>
      </c>
      <c r="Z678" s="48" t="s">
        <v>1155</v>
      </c>
      <c r="AA678" s="51">
        <v>0.89491633100000001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1156</v>
      </c>
      <c r="Q679" s="23">
        <f>DATE(YEAR(OneWeekMtgRatesDataTable75[[#This Row],[asOf]]),MONTH(OneWeekMtgRatesDataTable75[[#This Row],[asOf]]),DAY(OneWeekMtgRatesDataTable75[[#This Row],[asOf]]))</f>
        <v>41592</v>
      </c>
      <c r="R679" s="19">
        <v>4.22</v>
      </c>
      <c r="S679" s="19">
        <v>0.7</v>
      </c>
      <c r="T679" s="19">
        <v>4.1449999999999996</v>
      </c>
      <c r="V679" s="48" t="s">
        <v>1160</v>
      </c>
      <c r="W679" s="48" t="s">
        <v>1832</v>
      </c>
      <c r="X679" s="51">
        <v>3.3953888640544201</v>
      </c>
      <c r="Z679" s="48" t="s">
        <v>1154</v>
      </c>
      <c r="AA679" s="51">
        <v>0.85197165399999997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1155</v>
      </c>
      <c r="Q680" s="23">
        <f>DATE(YEAR(OneWeekMtgRatesDataTable75[[#This Row],[asOf]]),MONTH(OneWeekMtgRatesDataTable75[[#This Row],[asOf]]),DAY(OneWeekMtgRatesDataTable75[[#This Row],[asOf]]))</f>
        <v>41591</v>
      </c>
      <c r="R680" s="19">
        <v>4.3499999999999996</v>
      </c>
      <c r="S680" s="19">
        <v>0.7</v>
      </c>
      <c r="T680" s="19">
        <v>4.2749999999999995</v>
      </c>
      <c r="V680" s="48" t="s">
        <v>1159</v>
      </c>
      <c r="W680" s="48" t="s">
        <v>1832</v>
      </c>
      <c r="X680" s="51">
        <v>3.3249162804545902</v>
      </c>
      <c r="Z680" s="48" t="s">
        <v>1153</v>
      </c>
      <c r="AA680" s="51">
        <v>0.85197165399999997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1154</v>
      </c>
      <c r="Q681" s="23">
        <f>DATE(YEAR(OneWeekMtgRatesDataTable75[[#This Row],[asOf]]),MONTH(OneWeekMtgRatesDataTable75[[#This Row],[asOf]]),DAY(OneWeekMtgRatesDataTable75[[#This Row],[asOf]]))</f>
        <v>41590</v>
      </c>
      <c r="R681" s="19">
        <v>4.3499999999999996</v>
      </c>
      <c r="S681" s="19">
        <v>0.7</v>
      </c>
      <c r="T681" s="19">
        <v>4.2749999999999995</v>
      </c>
      <c r="V681" s="48" t="s">
        <v>1158</v>
      </c>
      <c r="W681" s="48" t="s">
        <v>1832</v>
      </c>
      <c r="X681" s="51">
        <v>3.2892170945558501</v>
      </c>
      <c r="Z681" s="48" t="s">
        <v>1152</v>
      </c>
      <c r="AA681" s="51">
        <v>0.85197165399999997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1153</v>
      </c>
      <c r="Q682" s="23">
        <f>DATE(YEAR(OneWeekMtgRatesDataTable75[[#This Row],[asOf]]),MONTH(OneWeekMtgRatesDataTable75[[#This Row],[asOf]]),DAY(OneWeekMtgRatesDataTable75[[#This Row],[asOf]]))</f>
        <v>41586</v>
      </c>
      <c r="R682" s="19">
        <v>4.3499999999999996</v>
      </c>
      <c r="S682" s="19">
        <v>0.7</v>
      </c>
      <c r="T682" s="19">
        <v>4.2749999999999995</v>
      </c>
      <c r="V682" s="48" t="s">
        <v>1157</v>
      </c>
      <c r="W682" s="48" t="s">
        <v>1832</v>
      </c>
      <c r="X682" s="51">
        <v>3.3274975263328299</v>
      </c>
      <c r="Z682" s="48" t="s">
        <v>1151</v>
      </c>
      <c r="AA682" s="51">
        <v>0.85197165399999997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1152</v>
      </c>
      <c r="Q683" s="23">
        <f>DATE(YEAR(OneWeekMtgRatesDataTable75[[#This Row],[asOf]]),MONTH(OneWeekMtgRatesDataTable75[[#This Row],[asOf]]),DAY(OneWeekMtgRatesDataTable75[[#This Row],[asOf]]))</f>
        <v>41585</v>
      </c>
      <c r="R683" s="19">
        <v>4.3499999999999996</v>
      </c>
      <c r="S683" s="19">
        <v>0.7</v>
      </c>
      <c r="T683" s="19">
        <v>4.2749999999999995</v>
      </c>
      <c r="V683" s="48" t="s">
        <v>1156</v>
      </c>
      <c r="W683" s="48" t="s">
        <v>1832</v>
      </c>
      <c r="X683" s="51">
        <v>3.33440232330382</v>
      </c>
      <c r="Z683" s="48" t="s">
        <v>1150</v>
      </c>
      <c r="AA683" s="51">
        <v>0.86417278799999997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1151</v>
      </c>
      <c r="Q684" s="23">
        <f>DATE(YEAR(OneWeekMtgRatesDataTable75[[#This Row],[asOf]]),MONTH(OneWeekMtgRatesDataTable75[[#This Row],[asOf]]),DAY(OneWeekMtgRatesDataTable75[[#This Row],[asOf]]))</f>
        <v>41584</v>
      </c>
      <c r="R684" s="19">
        <v>4.16</v>
      </c>
      <c r="S684" s="19">
        <v>0.8</v>
      </c>
      <c r="T684" s="19">
        <v>4.1100000000000003</v>
      </c>
      <c r="V684" s="48" t="s">
        <v>1155</v>
      </c>
      <c r="W684" s="48" t="s">
        <v>1832</v>
      </c>
      <c r="X684" s="51">
        <v>3.3863287913399098</v>
      </c>
      <c r="Z684" s="48" t="s">
        <v>1149</v>
      </c>
      <c r="AA684" s="51">
        <v>0.86417278799999997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1150</v>
      </c>
      <c r="Q685" s="23">
        <f>DATE(YEAR(OneWeekMtgRatesDataTable75[[#This Row],[asOf]]),MONTH(OneWeekMtgRatesDataTable75[[#This Row],[asOf]]),DAY(OneWeekMtgRatesDataTable75[[#This Row],[asOf]]))</f>
        <v>41583</v>
      </c>
      <c r="R685" s="19">
        <v>4.16</v>
      </c>
      <c r="S685" s="19">
        <v>0.8</v>
      </c>
      <c r="T685" s="19">
        <v>4.1100000000000003</v>
      </c>
      <c r="V685" s="48" t="s">
        <v>1154</v>
      </c>
      <c r="W685" s="48" t="s">
        <v>1832</v>
      </c>
      <c r="X685" s="51">
        <v>3.42394236396553</v>
      </c>
      <c r="Z685" s="48" t="s">
        <v>1148</v>
      </c>
      <c r="AA685" s="51">
        <v>0.86417278799999997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1149</v>
      </c>
      <c r="Q686" s="23">
        <f>DATE(YEAR(OneWeekMtgRatesDataTable75[[#This Row],[asOf]]),MONTH(OneWeekMtgRatesDataTable75[[#This Row],[asOf]]),DAY(OneWeekMtgRatesDataTable75[[#This Row],[asOf]]))</f>
        <v>41582</v>
      </c>
      <c r="R686" s="19">
        <v>4.16</v>
      </c>
      <c r="S686" s="19">
        <v>0.8</v>
      </c>
      <c r="T686" s="19">
        <v>4.1100000000000003</v>
      </c>
      <c r="V686" s="48" t="s">
        <v>1153</v>
      </c>
      <c r="W686" s="48" t="s">
        <v>1832</v>
      </c>
      <c r="X686" s="51">
        <v>3.4185329478981301</v>
      </c>
      <c r="Z686" s="48" t="s">
        <v>1147</v>
      </c>
      <c r="AA686" s="51">
        <v>0.86417278799999997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1148</v>
      </c>
      <c r="Q687" s="23">
        <f>DATE(YEAR(OneWeekMtgRatesDataTable75[[#This Row],[asOf]]),MONTH(OneWeekMtgRatesDataTable75[[#This Row],[asOf]]),DAY(OneWeekMtgRatesDataTable75[[#This Row],[asOf]]))</f>
        <v>41579</v>
      </c>
      <c r="R687" s="19">
        <v>4.16</v>
      </c>
      <c r="S687" s="19">
        <v>0.8</v>
      </c>
      <c r="T687" s="19">
        <v>4.1100000000000003</v>
      </c>
      <c r="V687" s="48" t="s">
        <v>1152</v>
      </c>
      <c r="W687" s="48" t="s">
        <v>1832</v>
      </c>
      <c r="X687" s="51">
        <v>3.2915305734964</v>
      </c>
      <c r="Z687" s="48" t="s">
        <v>1146</v>
      </c>
      <c r="AA687" s="51">
        <v>0.86417278799999997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1147</v>
      </c>
      <c r="Q688" s="23">
        <f>DATE(YEAR(OneWeekMtgRatesDataTable75[[#This Row],[asOf]]),MONTH(OneWeekMtgRatesDataTable75[[#This Row],[asOf]]),DAY(OneWeekMtgRatesDataTable75[[#This Row],[asOf]]))</f>
        <v>41578</v>
      </c>
      <c r="R688" s="19">
        <v>4.16</v>
      </c>
      <c r="S688" s="19">
        <v>0.8</v>
      </c>
      <c r="T688" s="19">
        <v>4.1100000000000003</v>
      </c>
      <c r="V688" s="48" t="s">
        <v>1151</v>
      </c>
      <c r="W688" s="48" t="s">
        <v>1832</v>
      </c>
      <c r="X688" s="51">
        <v>3.2997347907142101</v>
      </c>
      <c r="Z688" s="48" t="s">
        <v>1145</v>
      </c>
      <c r="AA688" s="51">
        <v>0.85360660499999996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1146</v>
      </c>
      <c r="Q689" s="23">
        <f>DATE(YEAR(OneWeekMtgRatesDataTable75[[#This Row],[asOf]]),MONTH(OneWeekMtgRatesDataTable75[[#This Row],[asOf]]),DAY(OneWeekMtgRatesDataTable75[[#This Row],[asOf]]))</f>
        <v>41577</v>
      </c>
      <c r="R689" s="19">
        <v>4.0999999999999996</v>
      </c>
      <c r="S689" s="19">
        <v>0.7</v>
      </c>
      <c r="T689" s="19">
        <v>4.0249999999999995</v>
      </c>
      <c r="V689" s="48" t="s">
        <v>1150</v>
      </c>
      <c r="W689" s="48" t="s">
        <v>1832</v>
      </c>
      <c r="X689" s="51">
        <v>3.31200880777374</v>
      </c>
      <c r="Z689" s="48" t="s">
        <v>1144</v>
      </c>
      <c r="AA689" s="51">
        <v>0.85360660499999996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1145</v>
      </c>
      <c r="Q690" s="23">
        <f>DATE(YEAR(OneWeekMtgRatesDataTable75[[#This Row],[asOf]]),MONTH(OneWeekMtgRatesDataTable75[[#This Row],[asOf]]),DAY(OneWeekMtgRatesDataTable75[[#This Row],[asOf]]))</f>
        <v>41576</v>
      </c>
      <c r="R690" s="19">
        <v>4.0999999999999996</v>
      </c>
      <c r="S690" s="19">
        <v>0.7</v>
      </c>
      <c r="T690" s="19">
        <v>4.0249999999999995</v>
      </c>
      <c r="V690" s="48" t="s">
        <v>1149</v>
      </c>
      <c r="W690" s="48" t="s">
        <v>1832</v>
      </c>
      <c r="X690" s="51">
        <v>3.2387584524434998</v>
      </c>
      <c r="Z690" s="48" t="s">
        <v>1143</v>
      </c>
      <c r="AA690" s="51">
        <v>0.85360660499999996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1144</v>
      </c>
      <c r="Q691" s="23">
        <f>DATE(YEAR(OneWeekMtgRatesDataTable75[[#This Row],[asOf]]),MONTH(OneWeekMtgRatesDataTable75[[#This Row],[asOf]]),DAY(OneWeekMtgRatesDataTable75[[#This Row],[asOf]]))</f>
        <v>41575</v>
      </c>
      <c r="R691" s="19">
        <v>4.0999999999999996</v>
      </c>
      <c r="S691" s="19">
        <v>0.7</v>
      </c>
      <c r="T691" s="19">
        <v>4.0249999999999995</v>
      </c>
      <c r="V691" s="48" t="s">
        <v>1148</v>
      </c>
      <c r="W691" s="48" t="s">
        <v>1832</v>
      </c>
      <c r="X691" s="51">
        <v>3.25928309164834</v>
      </c>
      <c r="Z691" s="48" t="s">
        <v>1142</v>
      </c>
      <c r="AA691" s="51">
        <v>0.85360660499999996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1143</v>
      </c>
      <c r="Q692" s="23">
        <f>DATE(YEAR(OneWeekMtgRatesDataTable75[[#This Row],[asOf]]),MONTH(OneWeekMtgRatesDataTable75[[#This Row],[asOf]]),DAY(OneWeekMtgRatesDataTable75[[#This Row],[asOf]]))</f>
        <v>41572</v>
      </c>
      <c r="R692" s="19">
        <v>4.0999999999999996</v>
      </c>
      <c r="S692" s="19">
        <v>0.7</v>
      </c>
      <c r="T692" s="19">
        <v>4.0249999999999995</v>
      </c>
      <c r="V692" s="48" t="s">
        <v>1147</v>
      </c>
      <c r="W692" s="48" t="s">
        <v>1832</v>
      </c>
      <c r="X692" s="51">
        <v>3.1803565883984102</v>
      </c>
      <c r="Z692" s="48" t="s">
        <v>1141</v>
      </c>
      <c r="AA692" s="51">
        <v>0.85360660499999996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1142</v>
      </c>
      <c r="Q693" s="23">
        <f>DATE(YEAR(OneWeekMtgRatesDataTable75[[#This Row],[asOf]]),MONTH(OneWeekMtgRatesDataTable75[[#This Row],[asOf]]),DAY(OneWeekMtgRatesDataTable75[[#This Row],[asOf]]))</f>
        <v>41571</v>
      </c>
      <c r="R693" s="19">
        <v>4.0999999999999996</v>
      </c>
      <c r="S693" s="19">
        <v>0.7</v>
      </c>
      <c r="T693" s="19">
        <v>4.0249999999999995</v>
      </c>
      <c r="V693" s="48" t="s">
        <v>1146</v>
      </c>
      <c r="W693" s="48" t="s">
        <v>1832</v>
      </c>
      <c r="X693" s="51">
        <v>3.1611386444386498</v>
      </c>
      <c r="Z693" s="48" t="s">
        <v>1140</v>
      </c>
      <c r="AA693" s="51">
        <v>0.84753171800000004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1141</v>
      </c>
      <c r="Q694" s="23">
        <f>DATE(YEAR(OneWeekMtgRatesDataTable75[[#This Row],[asOf]]),MONTH(OneWeekMtgRatesDataTable75[[#This Row],[asOf]]),DAY(OneWeekMtgRatesDataTable75[[#This Row],[asOf]]))</f>
        <v>41570</v>
      </c>
      <c r="R694" s="19">
        <v>4.13</v>
      </c>
      <c r="S694" s="19">
        <v>0.8</v>
      </c>
      <c r="T694" s="19">
        <v>4.08</v>
      </c>
      <c r="V694" s="48" t="s">
        <v>1145</v>
      </c>
      <c r="W694" s="48" t="s">
        <v>1832</v>
      </c>
      <c r="X694" s="51">
        <v>3.1543237441163701</v>
      </c>
      <c r="Z694" s="48" t="s">
        <v>1139</v>
      </c>
      <c r="AA694" s="51">
        <v>0.84753171800000004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1140</v>
      </c>
      <c r="Q695" s="23">
        <f>DATE(YEAR(OneWeekMtgRatesDataTable75[[#This Row],[asOf]]),MONTH(OneWeekMtgRatesDataTable75[[#This Row],[asOf]]),DAY(OneWeekMtgRatesDataTable75[[#This Row],[asOf]]))</f>
        <v>41569</v>
      </c>
      <c r="R695" s="19">
        <v>4.13</v>
      </c>
      <c r="S695" s="19">
        <v>0.8</v>
      </c>
      <c r="T695" s="19">
        <v>4.08</v>
      </c>
      <c r="V695" s="48" t="s">
        <v>1144</v>
      </c>
      <c r="W695" s="48" t="s">
        <v>1832</v>
      </c>
      <c r="X695" s="51">
        <v>3.1593236616906499</v>
      </c>
      <c r="Z695" s="48" t="s">
        <v>1138</v>
      </c>
      <c r="AA695" s="51">
        <v>0.84753171800000004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1139</v>
      </c>
      <c r="Q696" s="23">
        <f>DATE(YEAR(OneWeekMtgRatesDataTable75[[#This Row],[asOf]]),MONTH(OneWeekMtgRatesDataTable75[[#This Row],[asOf]]),DAY(OneWeekMtgRatesDataTable75[[#This Row],[asOf]]))</f>
        <v>41568</v>
      </c>
      <c r="R696" s="19">
        <v>4.13</v>
      </c>
      <c r="S696" s="19">
        <v>0.8</v>
      </c>
      <c r="T696" s="19">
        <v>4.08</v>
      </c>
      <c r="V696" s="48" t="s">
        <v>1143</v>
      </c>
      <c r="W696" s="48" t="s">
        <v>1832</v>
      </c>
      <c r="X696" s="51">
        <v>3.1521212861919801</v>
      </c>
      <c r="Z696" s="48" t="s">
        <v>1137</v>
      </c>
      <c r="AA696" s="51">
        <v>0.84753171800000004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1138</v>
      </c>
      <c r="Q697" s="23">
        <f>DATE(YEAR(OneWeekMtgRatesDataTable75[[#This Row],[asOf]]),MONTH(OneWeekMtgRatesDataTable75[[#This Row],[asOf]]),DAY(OneWeekMtgRatesDataTable75[[#This Row],[asOf]]))</f>
        <v>41565</v>
      </c>
      <c r="R697" s="19">
        <v>4.13</v>
      </c>
      <c r="S697" s="19">
        <v>0.8</v>
      </c>
      <c r="T697" s="19">
        <v>4.08</v>
      </c>
      <c r="V697" s="48" t="s">
        <v>1142</v>
      </c>
      <c r="W697" s="48" t="s">
        <v>1832</v>
      </c>
      <c r="X697" s="51">
        <v>3.1772287212477002</v>
      </c>
      <c r="Z697" s="48" t="s">
        <v>1136</v>
      </c>
      <c r="AA697" s="51">
        <v>0.84753171800000004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1137</v>
      </c>
      <c r="Q698" s="23">
        <f>DATE(YEAR(OneWeekMtgRatesDataTable75[[#This Row],[asOf]]),MONTH(OneWeekMtgRatesDataTable75[[#This Row],[asOf]]),DAY(OneWeekMtgRatesDataTable75[[#This Row],[asOf]]))</f>
        <v>41564</v>
      </c>
      <c r="R698" s="19">
        <v>4.13</v>
      </c>
      <c r="S698" s="19">
        <v>0.8</v>
      </c>
      <c r="T698" s="19">
        <v>4.08</v>
      </c>
      <c r="V698" s="48" t="s">
        <v>1141</v>
      </c>
      <c r="W698" s="48" t="s">
        <v>1832</v>
      </c>
      <c r="X698" s="51">
        <v>3.1541714940092298</v>
      </c>
      <c r="Z698" s="48" t="s">
        <v>1135</v>
      </c>
      <c r="AA698" s="51">
        <v>0.84001905600000004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1136</v>
      </c>
      <c r="Q699" s="23">
        <f>DATE(YEAR(OneWeekMtgRatesDataTable75[[#This Row],[asOf]]),MONTH(OneWeekMtgRatesDataTable75[[#This Row],[asOf]]),DAY(OneWeekMtgRatesDataTable75[[#This Row],[asOf]]))</f>
        <v>41563</v>
      </c>
      <c r="R699" s="19">
        <v>4.28</v>
      </c>
      <c r="S699" s="19">
        <v>0.7</v>
      </c>
      <c r="T699" s="19">
        <v>4.2050000000000001</v>
      </c>
      <c r="V699" s="48" t="s">
        <v>1140</v>
      </c>
      <c r="W699" s="48" t="s">
        <v>1832</v>
      </c>
      <c r="X699" s="51">
        <v>3.18365964576661</v>
      </c>
      <c r="Z699" s="48" t="s">
        <v>1134</v>
      </c>
      <c r="AA699" s="51">
        <v>0.84001905600000004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1135</v>
      </c>
      <c r="Q700" s="23">
        <f>DATE(YEAR(OneWeekMtgRatesDataTable75[[#This Row],[asOf]]),MONTH(OneWeekMtgRatesDataTable75[[#This Row],[asOf]]),DAY(OneWeekMtgRatesDataTable75[[#This Row],[asOf]]))</f>
        <v>41562</v>
      </c>
      <c r="R700" s="19">
        <v>4.28</v>
      </c>
      <c r="S700" s="19">
        <v>0.7</v>
      </c>
      <c r="T700" s="19">
        <v>4.2050000000000001</v>
      </c>
      <c r="V700" s="48" t="s">
        <v>1139</v>
      </c>
      <c r="W700" s="48" t="s">
        <v>1832</v>
      </c>
      <c r="X700" s="51">
        <v>3.2809533512237801</v>
      </c>
      <c r="Z700" s="48" t="s">
        <v>1133</v>
      </c>
      <c r="AA700" s="51">
        <v>0.84001905600000004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1134</v>
      </c>
      <c r="Q701" s="23">
        <f>DATE(YEAR(OneWeekMtgRatesDataTable75[[#This Row],[asOf]]),MONTH(OneWeekMtgRatesDataTable75[[#This Row],[asOf]]),DAY(OneWeekMtgRatesDataTable75[[#This Row],[asOf]]))</f>
        <v>41558</v>
      </c>
      <c r="R701" s="19">
        <v>4.28</v>
      </c>
      <c r="S701" s="19">
        <v>0.7</v>
      </c>
      <c r="T701" s="19">
        <v>4.2050000000000001</v>
      </c>
      <c r="V701" s="48" t="s">
        <v>1138</v>
      </c>
      <c r="W701" s="48" t="s">
        <v>1832</v>
      </c>
      <c r="X701" s="51">
        <v>3.2585675716606302</v>
      </c>
      <c r="Z701" s="48" t="s">
        <v>1132</v>
      </c>
      <c r="AA701" s="51">
        <v>0.84001905600000004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1133</v>
      </c>
      <c r="Q702" s="23">
        <f>DATE(YEAR(OneWeekMtgRatesDataTable75[[#This Row],[asOf]]),MONTH(OneWeekMtgRatesDataTable75[[#This Row],[asOf]]),DAY(OneWeekMtgRatesDataTable75[[#This Row],[asOf]]))</f>
        <v>41557</v>
      </c>
      <c r="R702" s="19">
        <v>4.28</v>
      </c>
      <c r="S702" s="19">
        <v>0.7</v>
      </c>
      <c r="T702" s="19">
        <v>4.2050000000000001</v>
      </c>
      <c r="V702" s="48" t="s">
        <v>1137</v>
      </c>
      <c r="W702" s="48" t="s">
        <v>1832</v>
      </c>
      <c r="X702" s="51">
        <v>3.2546149111271299</v>
      </c>
      <c r="Z702" s="48" t="s">
        <v>1131</v>
      </c>
      <c r="AA702" s="51">
        <v>0.83763999200000006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1132</v>
      </c>
      <c r="Q703" s="23">
        <f>DATE(YEAR(OneWeekMtgRatesDataTable75[[#This Row],[asOf]]),MONTH(OneWeekMtgRatesDataTable75[[#This Row],[asOf]]),DAY(OneWeekMtgRatesDataTable75[[#This Row],[asOf]]))</f>
        <v>41556</v>
      </c>
      <c r="R703" s="19">
        <v>4.2300000000000004</v>
      </c>
      <c r="S703" s="19">
        <v>0.7</v>
      </c>
      <c r="T703" s="19">
        <v>4.1550000000000002</v>
      </c>
      <c r="V703" s="48" t="s">
        <v>1136</v>
      </c>
      <c r="W703" s="48" t="s">
        <v>1832</v>
      </c>
      <c r="X703" s="51">
        <v>3.34533036324394</v>
      </c>
      <c r="Z703" s="48" t="s">
        <v>1130</v>
      </c>
      <c r="AA703" s="51">
        <v>0.83763999200000006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1131</v>
      </c>
      <c r="Q704" s="23">
        <f>DATE(YEAR(OneWeekMtgRatesDataTable75[[#This Row],[asOf]]),MONTH(OneWeekMtgRatesDataTable75[[#This Row],[asOf]]),DAY(OneWeekMtgRatesDataTable75[[#This Row],[asOf]]))</f>
        <v>41555</v>
      </c>
      <c r="R704" s="19">
        <v>4.2300000000000004</v>
      </c>
      <c r="S704" s="19">
        <v>0.7</v>
      </c>
      <c r="T704" s="19">
        <v>4.1550000000000002</v>
      </c>
      <c r="V704" s="48" t="s">
        <v>1135</v>
      </c>
      <c r="W704" s="48" t="s">
        <v>1832</v>
      </c>
      <c r="X704" s="51">
        <v>3.3897329963191098</v>
      </c>
      <c r="Z704" s="48" t="s">
        <v>1129</v>
      </c>
      <c r="AA704" s="51">
        <v>0.83763999200000006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1130</v>
      </c>
      <c r="Q705" s="23">
        <f>DATE(YEAR(OneWeekMtgRatesDataTable75[[#This Row],[asOf]]),MONTH(OneWeekMtgRatesDataTable75[[#This Row],[asOf]]),DAY(OneWeekMtgRatesDataTable75[[#This Row],[asOf]]))</f>
        <v>41554</v>
      </c>
      <c r="R705" s="19">
        <v>4.2300000000000004</v>
      </c>
      <c r="S705" s="19">
        <v>0.7</v>
      </c>
      <c r="T705" s="19">
        <v>4.1550000000000002</v>
      </c>
      <c r="V705" s="48" t="s">
        <v>1134</v>
      </c>
      <c r="W705" s="48" t="s">
        <v>1832</v>
      </c>
      <c r="X705" s="51">
        <v>3.3488826952464001</v>
      </c>
      <c r="Z705" s="48" t="s">
        <v>1128</v>
      </c>
      <c r="AA705" s="51">
        <v>0.83763999200000006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1129</v>
      </c>
      <c r="Q706" s="23">
        <f>DATE(YEAR(OneWeekMtgRatesDataTable75[[#This Row],[asOf]]),MONTH(OneWeekMtgRatesDataTable75[[#This Row],[asOf]]),DAY(OneWeekMtgRatesDataTable75[[#This Row],[asOf]]))</f>
        <v>41551</v>
      </c>
      <c r="R706" s="19">
        <v>4.2300000000000004</v>
      </c>
      <c r="S706" s="19">
        <v>0.7</v>
      </c>
      <c r="T706" s="19">
        <v>4.1550000000000002</v>
      </c>
      <c r="V706" s="48" t="s">
        <v>1133</v>
      </c>
      <c r="W706" s="48" t="s">
        <v>1832</v>
      </c>
      <c r="X706" s="51">
        <v>3.3459270723169801</v>
      </c>
      <c r="Z706" s="48" t="s">
        <v>1127</v>
      </c>
      <c r="AA706" s="51">
        <v>0.83763999200000006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1128</v>
      </c>
      <c r="Q707" s="23">
        <f>DATE(YEAR(OneWeekMtgRatesDataTable75[[#This Row],[asOf]]),MONTH(OneWeekMtgRatesDataTable75[[#This Row],[asOf]]),DAY(OneWeekMtgRatesDataTable75[[#This Row],[asOf]]))</f>
        <v>41550</v>
      </c>
      <c r="R707" s="19">
        <v>4.2300000000000004</v>
      </c>
      <c r="S707" s="19">
        <v>0.7</v>
      </c>
      <c r="T707" s="19">
        <v>4.1550000000000002</v>
      </c>
      <c r="V707" s="48" t="s">
        <v>1132</v>
      </c>
      <c r="W707" s="48" t="s">
        <v>1832</v>
      </c>
      <c r="X707" s="51">
        <v>3.3312145702916398</v>
      </c>
      <c r="Z707" s="48" t="s">
        <v>1126</v>
      </c>
      <c r="AA707" s="51">
        <v>0.86603183500000003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1127</v>
      </c>
      <c r="Q708" s="23">
        <f>DATE(YEAR(OneWeekMtgRatesDataTable75[[#This Row],[asOf]]),MONTH(OneWeekMtgRatesDataTable75[[#This Row],[asOf]]),DAY(OneWeekMtgRatesDataTable75[[#This Row],[asOf]]))</f>
        <v>41549</v>
      </c>
      <c r="R708" s="19">
        <v>4.22</v>
      </c>
      <c r="S708" s="19">
        <v>0.7</v>
      </c>
      <c r="T708" s="19">
        <v>4.1449999999999996</v>
      </c>
      <c r="V708" s="48" t="s">
        <v>1131</v>
      </c>
      <c r="W708" s="48" t="s">
        <v>1832</v>
      </c>
      <c r="X708" s="51">
        <v>3.32900541071837</v>
      </c>
      <c r="Z708" s="48" t="s">
        <v>1125</v>
      </c>
      <c r="AA708" s="51">
        <v>0.86603183500000003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1126</v>
      </c>
      <c r="Q709" s="23">
        <f>DATE(YEAR(OneWeekMtgRatesDataTable75[[#This Row],[asOf]]),MONTH(OneWeekMtgRatesDataTable75[[#This Row],[asOf]]),DAY(OneWeekMtgRatesDataTable75[[#This Row],[asOf]]))</f>
        <v>41548</v>
      </c>
      <c r="R709" s="19">
        <v>4.22</v>
      </c>
      <c r="S709" s="19">
        <v>0.7</v>
      </c>
      <c r="T709" s="19">
        <v>4.1449999999999996</v>
      </c>
      <c r="V709" s="48" t="s">
        <v>1130</v>
      </c>
      <c r="W709" s="48" t="s">
        <v>1832</v>
      </c>
      <c r="X709" s="51">
        <v>3.3152163432269299</v>
      </c>
      <c r="Z709" s="48" t="s">
        <v>1124</v>
      </c>
      <c r="AA709" s="51">
        <v>0.86603183500000003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1125</v>
      </c>
      <c r="Q710" s="23">
        <f>DATE(YEAR(OneWeekMtgRatesDataTable75[[#This Row],[asOf]]),MONTH(OneWeekMtgRatesDataTable75[[#This Row],[asOf]]),DAY(OneWeekMtgRatesDataTable75[[#This Row],[asOf]]))</f>
        <v>41547</v>
      </c>
      <c r="R710" s="19">
        <v>4.22</v>
      </c>
      <c r="S710" s="19">
        <v>0.7</v>
      </c>
      <c r="T710" s="19">
        <v>4.1449999999999996</v>
      </c>
      <c r="V710" s="48" t="s">
        <v>1129</v>
      </c>
      <c r="W710" s="48" t="s">
        <v>1832</v>
      </c>
      <c r="X710" s="51">
        <v>3.3143904621736602</v>
      </c>
      <c r="Z710" s="48" t="s">
        <v>1123</v>
      </c>
      <c r="AA710" s="51">
        <v>0.86603183500000003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1124</v>
      </c>
      <c r="Q711" s="23">
        <f>DATE(YEAR(OneWeekMtgRatesDataTable75[[#This Row],[asOf]]),MONTH(OneWeekMtgRatesDataTable75[[#This Row],[asOf]]),DAY(OneWeekMtgRatesDataTable75[[#This Row],[asOf]]))</f>
        <v>41544</v>
      </c>
      <c r="R711" s="19">
        <v>4.22</v>
      </c>
      <c r="S711" s="19">
        <v>0.7</v>
      </c>
      <c r="T711" s="19">
        <v>4.1449999999999996</v>
      </c>
      <c r="V711" s="48" t="s">
        <v>1128</v>
      </c>
      <c r="W711" s="48" t="s">
        <v>1832</v>
      </c>
      <c r="X711" s="51">
        <v>3.2850779326666601</v>
      </c>
      <c r="Z711" s="48" t="s">
        <v>1122</v>
      </c>
      <c r="AA711" s="51">
        <v>0.86603183500000003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1123</v>
      </c>
      <c r="Q712" s="23">
        <f>DATE(YEAR(OneWeekMtgRatesDataTable75[[#This Row],[asOf]]),MONTH(OneWeekMtgRatesDataTable75[[#This Row],[asOf]]),DAY(OneWeekMtgRatesDataTable75[[#This Row],[asOf]]))</f>
        <v>41543</v>
      </c>
      <c r="R712" s="19">
        <v>4.22</v>
      </c>
      <c r="S712" s="19">
        <v>0.7</v>
      </c>
      <c r="T712" s="19">
        <v>4.1449999999999996</v>
      </c>
      <c r="V712" s="48" t="s">
        <v>1127</v>
      </c>
      <c r="W712" s="48" t="s">
        <v>1832</v>
      </c>
      <c r="X712" s="51">
        <v>3.3078730296866699</v>
      </c>
      <c r="Z712" s="48" t="s">
        <v>1121</v>
      </c>
      <c r="AA712" s="51">
        <v>0.84250774799999995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1122</v>
      </c>
      <c r="Q713" s="23">
        <f>DATE(YEAR(OneWeekMtgRatesDataTable75[[#This Row],[asOf]]),MONTH(OneWeekMtgRatesDataTable75[[#This Row],[asOf]]),DAY(OneWeekMtgRatesDataTable75[[#This Row],[asOf]]))</f>
        <v>41542</v>
      </c>
      <c r="R713" s="19">
        <v>4.32</v>
      </c>
      <c r="S713" s="19">
        <v>0.7</v>
      </c>
      <c r="T713" s="19">
        <v>4.2450000000000001</v>
      </c>
      <c r="V713" s="48" t="s">
        <v>1126</v>
      </c>
      <c r="W713" s="48" t="s">
        <v>1832</v>
      </c>
      <c r="X713" s="51">
        <v>3.31544213268957</v>
      </c>
      <c r="Z713" s="48" t="s">
        <v>1120</v>
      </c>
      <c r="AA713" s="51">
        <v>0.84250774799999995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1121</v>
      </c>
      <c r="Q714" s="23">
        <f>DATE(YEAR(OneWeekMtgRatesDataTable75[[#This Row],[asOf]]),MONTH(OneWeekMtgRatesDataTable75[[#This Row],[asOf]]),DAY(OneWeekMtgRatesDataTable75[[#This Row],[asOf]]))</f>
        <v>41541</v>
      </c>
      <c r="R714" s="19">
        <v>4.32</v>
      </c>
      <c r="S714" s="19">
        <v>0.7</v>
      </c>
      <c r="T714" s="19">
        <v>4.2450000000000001</v>
      </c>
      <c r="V714" s="48" t="s">
        <v>1125</v>
      </c>
      <c r="W714" s="48" t="s">
        <v>1832</v>
      </c>
      <c r="X714" s="51">
        <v>3.2952489842634298</v>
      </c>
      <c r="Z714" s="48" t="s">
        <v>1119</v>
      </c>
      <c r="AA714" s="51">
        <v>0.84250774799999995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1120</v>
      </c>
      <c r="Q715" s="23">
        <f>DATE(YEAR(OneWeekMtgRatesDataTable75[[#This Row],[asOf]]),MONTH(OneWeekMtgRatesDataTable75[[#This Row],[asOf]]),DAY(OneWeekMtgRatesDataTable75[[#This Row],[asOf]]))</f>
        <v>41540</v>
      </c>
      <c r="R715" s="19">
        <v>4.32</v>
      </c>
      <c r="S715" s="19">
        <v>0.7</v>
      </c>
      <c r="T715" s="19">
        <v>4.2450000000000001</v>
      </c>
      <c r="V715" s="48" t="s">
        <v>1124</v>
      </c>
      <c r="W715" s="48" t="s">
        <v>1832</v>
      </c>
      <c r="X715" s="51">
        <v>3.2948871217977098</v>
      </c>
      <c r="Z715" s="48" t="s">
        <v>1118</v>
      </c>
      <c r="AA715" s="51">
        <v>0.84250774799999995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1119</v>
      </c>
      <c r="Q716" s="23">
        <f>DATE(YEAR(OneWeekMtgRatesDataTable75[[#This Row],[asOf]]),MONTH(OneWeekMtgRatesDataTable75[[#This Row],[asOf]]),DAY(OneWeekMtgRatesDataTable75[[#This Row],[asOf]]))</f>
        <v>41537</v>
      </c>
      <c r="R716" s="19">
        <v>4.32</v>
      </c>
      <c r="S716" s="19">
        <v>0.7</v>
      </c>
      <c r="T716" s="19">
        <v>4.2450000000000001</v>
      </c>
      <c r="V716" s="48" t="s">
        <v>1123</v>
      </c>
      <c r="W716" s="48" t="s">
        <v>1832</v>
      </c>
      <c r="X716" s="51">
        <v>3.3233487722912298</v>
      </c>
      <c r="Z716" s="48" t="s">
        <v>1117</v>
      </c>
      <c r="AA716" s="51">
        <v>0.84250774799999995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1118</v>
      </c>
      <c r="Q717" s="23">
        <f>DATE(YEAR(OneWeekMtgRatesDataTable75[[#This Row],[asOf]]),MONTH(OneWeekMtgRatesDataTable75[[#This Row],[asOf]]),DAY(OneWeekMtgRatesDataTable75[[#This Row],[asOf]]))</f>
        <v>41536</v>
      </c>
      <c r="R717" s="19">
        <v>4.32</v>
      </c>
      <c r="S717" s="19">
        <v>0.7</v>
      </c>
      <c r="T717" s="19">
        <v>4.2450000000000001</v>
      </c>
      <c r="V717" s="48" t="s">
        <v>1122</v>
      </c>
      <c r="W717" s="48" t="s">
        <v>1832</v>
      </c>
      <c r="X717" s="51">
        <v>3.2961562018547901</v>
      </c>
      <c r="Z717" s="48" t="s">
        <v>1116</v>
      </c>
      <c r="AA717" s="51">
        <v>0.81456784100000001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1117</v>
      </c>
      <c r="Q718" s="23">
        <f>DATE(YEAR(OneWeekMtgRatesDataTable75[[#This Row],[asOf]]),MONTH(OneWeekMtgRatesDataTable75[[#This Row],[asOf]]),DAY(OneWeekMtgRatesDataTable75[[#This Row],[asOf]]))</f>
        <v>41535</v>
      </c>
      <c r="R718" s="19">
        <v>4.5</v>
      </c>
      <c r="S718" s="19">
        <v>0.7</v>
      </c>
      <c r="T718" s="19">
        <v>4.4249999999999998</v>
      </c>
      <c r="V718" s="48" t="s">
        <v>1121</v>
      </c>
      <c r="W718" s="48" t="s">
        <v>1832</v>
      </c>
      <c r="X718" s="51">
        <v>3.34069195374131</v>
      </c>
      <c r="Z718" s="48" t="s">
        <v>1115</v>
      </c>
      <c r="AA718" s="51">
        <v>0.81456784100000001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1116</v>
      </c>
      <c r="Q719" s="23">
        <f>DATE(YEAR(OneWeekMtgRatesDataTable75[[#This Row],[asOf]]),MONTH(OneWeekMtgRatesDataTable75[[#This Row],[asOf]]),DAY(OneWeekMtgRatesDataTable75[[#This Row],[asOf]]))</f>
        <v>41534</v>
      </c>
      <c r="R719" s="19">
        <v>4.5</v>
      </c>
      <c r="S719" s="19">
        <v>0.7</v>
      </c>
      <c r="T719" s="19">
        <v>4.4249999999999998</v>
      </c>
      <c r="V719" s="48" t="s">
        <v>1120</v>
      </c>
      <c r="W719" s="48" t="s">
        <v>1832</v>
      </c>
      <c r="X719" s="51">
        <v>3.4029034600998802</v>
      </c>
      <c r="Z719" s="48" t="s">
        <v>1114</v>
      </c>
      <c r="AA719" s="51">
        <v>0.81456784100000001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1115</v>
      </c>
      <c r="Q720" s="23">
        <f>DATE(YEAR(OneWeekMtgRatesDataTable75[[#This Row],[asOf]]),MONTH(OneWeekMtgRatesDataTable75[[#This Row],[asOf]]),DAY(OneWeekMtgRatesDataTable75[[#This Row],[asOf]]))</f>
        <v>41533</v>
      </c>
      <c r="R720" s="19">
        <v>4.5</v>
      </c>
      <c r="S720" s="19">
        <v>0.7</v>
      </c>
      <c r="T720" s="19">
        <v>4.4249999999999998</v>
      </c>
      <c r="V720" s="48" t="s">
        <v>1119</v>
      </c>
      <c r="W720" s="48" t="s">
        <v>1832</v>
      </c>
      <c r="X720" s="51">
        <v>3.43160773905766</v>
      </c>
      <c r="Z720" s="48" t="s">
        <v>1113</v>
      </c>
      <c r="AA720" s="51">
        <v>0.81456784100000001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1114</v>
      </c>
      <c r="Q721" s="23">
        <f>DATE(YEAR(OneWeekMtgRatesDataTable75[[#This Row],[asOf]]),MONTH(OneWeekMtgRatesDataTable75[[#This Row],[asOf]]),DAY(OneWeekMtgRatesDataTable75[[#This Row],[asOf]]))</f>
        <v>41530</v>
      </c>
      <c r="R721" s="19">
        <v>4.5</v>
      </c>
      <c r="S721" s="19">
        <v>0.7</v>
      </c>
      <c r="T721" s="19">
        <v>4.4249999999999998</v>
      </c>
      <c r="V721" s="48" t="s">
        <v>1118</v>
      </c>
      <c r="W721" s="48" t="s">
        <v>1832</v>
      </c>
      <c r="X721" s="51">
        <v>3.4234814698257399</v>
      </c>
      <c r="Z721" s="48" t="s">
        <v>1112</v>
      </c>
      <c r="AA721" s="51">
        <v>0.81456784100000001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1113</v>
      </c>
      <c r="Q722" s="23">
        <f>DATE(YEAR(OneWeekMtgRatesDataTable75[[#This Row],[asOf]]),MONTH(OneWeekMtgRatesDataTable75[[#This Row],[asOf]]),DAY(OneWeekMtgRatesDataTable75[[#This Row],[asOf]]))</f>
        <v>41529</v>
      </c>
      <c r="R722" s="19">
        <v>4.5</v>
      </c>
      <c r="S722" s="19">
        <v>0.7</v>
      </c>
      <c r="T722" s="19">
        <v>4.4249999999999998</v>
      </c>
      <c r="V722" s="48" t="s">
        <v>1117</v>
      </c>
      <c r="W722" s="48" t="s">
        <v>1832</v>
      </c>
      <c r="X722" s="51">
        <v>3.4041075181539902</v>
      </c>
      <c r="Z722" s="48" t="s">
        <v>1111</v>
      </c>
      <c r="AA722" s="51">
        <v>0.91072084200000003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1112</v>
      </c>
      <c r="Q723" s="23">
        <f>DATE(YEAR(OneWeekMtgRatesDataTable75[[#This Row],[asOf]]),MONTH(OneWeekMtgRatesDataTable75[[#This Row],[asOf]]),DAY(OneWeekMtgRatesDataTable75[[#This Row],[asOf]]))</f>
        <v>41528</v>
      </c>
      <c r="R723" s="19">
        <v>4.57</v>
      </c>
      <c r="S723" s="19">
        <v>0.8</v>
      </c>
      <c r="T723" s="19">
        <v>4.5200000000000005</v>
      </c>
      <c r="V723" s="48" t="s">
        <v>1116</v>
      </c>
      <c r="W723" s="48" t="s">
        <v>1832</v>
      </c>
      <c r="X723" s="51">
        <v>3.5862960100393702</v>
      </c>
      <c r="Z723" s="48" t="s">
        <v>1110</v>
      </c>
      <c r="AA723" s="51">
        <v>0.91072084200000003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1111</v>
      </c>
      <c r="Q724" s="23">
        <f>DATE(YEAR(OneWeekMtgRatesDataTable75[[#This Row],[asOf]]),MONTH(OneWeekMtgRatesDataTable75[[#This Row],[asOf]]),DAY(OneWeekMtgRatesDataTable75[[#This Row],[asOf]]))</f>
        <v>41527</v>
      </c>
      <c r="R724" s="19">
        <v>4.57</v>
      </c>
      <c r="S724" s="19">
        <v>0.8</v>
      </c>
      <c r="T724" s="19">
        <v>4.5200000000000005</v>
      </c>
      <c r="V724" s="48" t="s">
        <v>1115</v>
      </c>
      <c r="W724" s="48" t="s">
        <v>1832</v>
      </c>
      <c r="X724" s="51">
        <v>3.6050291044242799</v>
      </c>
      <c r="Z724" s="48" t="s">
        <v>1109</v>
      </c>
      <c r="AA724" s="51">
        <v>0.91072084200000003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1110</v>
      </c>
      <c r="Q725" s="23">
        <f>DATE(YEAR(OneWeekMtgRatesDataTable75[[#This Row],[asOf]]),MONTH(OneWeekMtgRatesDataTable75[[#This Row],[asOf]]),DAY(OneWeekMtgRatesDataTable75[[#This Row],[asOf]]))</f>
        <v>41526</v>
      </c>
      <c r="R725" s="19">
        <v>4.57</v>
      </c>
      <c r="S725" s="19">
        <v>0.8</v>
      </c>
      <c r="T725" s="19">
        <v>4.5200000000000005</v>
      </c>
      <c r="V725" s="48" t="s">
        <v>1114</v>
      </c>
      <c r="W725" s="48" t="s">
        <v>1832</v>
      </c>
      <c r="X725" s="51">
        <v>3.65073359446493</v>
      </c>
      <c r="Z725" s="48" t="s">
        <v>1108</v>
      </c>
      <c r="AA725" s="51">
        <v>0.91072084200000003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1109</v>
      </c>
      <c r="Q726" s="23">
        <f>DATE(YEAR(OneWeekMtgRatesDataTable75[[#This Row],[asOf]]),MONTH(OneWeekMtgRatesDataTable75[[#This Row],[asOf]]),DAY(OneWeekMtgRatesDataTable75[[#This Row],[asOf]]))</f>
        <v>41523</v>
      </c>
      <c r="R726" s="19">
        <v>4.57</v>
      </c>
      <c r="S726" s="19">
        <v>0.8</v>
      </c>
      <c r="T726" s="19">
        <v>4.5200000000000005</v>
      </c>
      <c r="V726" s="48" t="s">
        <v>1113</v>
      </c>
      <c r="W726" s="48" t="s">
        <v>1832</v>
      </c>
      <c r="X726" s="51">
        <v>3.6662950351399499</v>
      </c>
      <c r="Z726" s="48" t="s">
        <v>1107</v>
      </c>
      <c r="AA726" s="51">
        <v>0.91072084200000003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1108</v>
      </c>
      <c r="Q727" s="23">
        <f>DATE(YEAR(OneWeekMtgRatesDataTable75[[#This Row],[asOf]]),MONTH(OneWeekMtgRatesDataTable75[[#This Row],[asOf]]),DAY(OneWeekMtgRatesDataTable75[[#This Row],[asOf]]))</f>
        <v>41522</v>
      </c>
      <c r="R727" s="19">
        <v>4.57</v>
      </c>
      <c r="S727" s="19">
        <v>0.8</v>
      </c>
      <c r="T727" s="19">
        <v>4.5200000000000005</v>
      </c>
      <c r="V727" s="48" t="s">
        <v>1112</v>
      </c>
      <c r="W727" s="48" t="s">
        <v>1832</v>
      </c>
      <c r="X727" s="51">
        <v>3.66717920569566</v>
      </c>
      <c r="Z727" s="48" t="s">
        <v>1106</v>
      </c>
      <c r="AA727" s="51">
        <v>0.84777413199999996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1107</v>
      </c>
      <c r="Q728" s="23">
        <f>DATE(YEAR(OneWeekMtgRatesDataTable75[[#This Row],[asOf]]),MONTH(OneWeekMtgRatesDataTable75[[#This Row],[asOf]]),DAY(OneWeekMtgRatesDataTable75[[#This Row],[asOf]]))</f>
        <v>41521</v>
      </c>
      <c r="R728" s="19">
        <v>4.57</v>
      </c>
      <c r="S728" s="19">
        <v>0.7</v>
      </c>
      <c r="T728" s="19">
        <v>4.4950000000000001</v>
      </c>
      <c r="V728" s="48" t="s">
        <v>1111</v>
      </c>
      <c r="W728" s="48" t="s">
        <v>1832</v>
      </c>
      <c r="X728" s="51">
        <v>3.70255706458429</v>
      </c>
      <c r="Z728" s="48" t="s">
        <v>1105</v>
      </c>
      <c r="AA728" s="51">
        <v>0.84777413199999996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1106</v>
      </c>
      <c r="Q729" s="23">
        <f>DATE(YEAR(OneWeekMtgRatesDataTable75[[#This Row],[asOf]]),MONTH(OneWeekMtgRatesDataTable75[[#This Row],[asOf]]),DAY(OneWeekMtgRatesDataTable75[[#This Row],[asOf]]))</f>
        <v>41520</v>
      </c>
      <c r="R729" s="19">
        <v>4.57</v>
      </c>
      <c r="S729" s="19">
        <v>0.7</v>
      </c>
      <c r="T729" s="19">
        <v>4.4950000000000001</v>
      </c>
      <c r="V729" s="48" t="s">
        <v>1110</v>
      </c>
      <c r="W729" s="48" t="s">
        <v>1832</v>
      </c>
      <c r="X729" s="51">
        <v>3.6494917316156599</v>
      </c>
      <c r="Z729" s="48" t="s">
        <v>1104</v>
      </c>
      <c r="AA729" s="51">
        <v>0.84777413199999996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1105</v>
      </c>
      <c r="Q730" s="23">
        <f>DATE(YEAR(OneWeekMtgRatesDataTable75[[#This Row],[asOf]]),MONTH(OneWeekMtgRatesDataTable75[[#This Row],[asOf]]),DAY(OneWeekMtgRatesDataTable75[[#This Row],[asOf]]))</f>
        <v>41516</v>
      </c>
      <c r="R730" s="19">
        <v>4.57</v>
      </c>
      <c r="S730" s="19">
        <v>0.7</v>
      </c>
      <c r="T730" s="19">
        <v>4.4950000000000001</v>
      </c>
      <c r="V730" s="48" t="s">
        <v>1109</v>
      </c>
      <c r="W730" s="48" t="s">
        <v>1832</v>
      </c>
      <c r="X730" s="51">
        <v>3.7212376856688798</v>
      </c>
      <c r="Z730" s="48" t="s">
        <v>1103</v>
      </c>
      <c r="AA730" s="51">
        <v>0.84777413199999996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1104</v>
      </c>
      <c r="Q731" s="23">
        <f>DATE(YEAR(OneWeekMtgRatesDataTable75[[#This Row],[asOf]]),MONTH(OneWeekMtgRatesDataTable75[[#This Row],[asOf]]),DAY(OneWeekMtgRatesDataTable75[[#This Row],[asOf]]))</f>
        <v>41515</v>
      </c>
      <c r="R731" s="19">
        <v>4.57</v>
      </c>
      <c r="S731" s="19">
        <v>0.7</v>
      </c>
      <c r="T731" s="19">
        <v>4.4950000000000001</v>
      </c>
      <c r="V731" s="48" t="s">
        <v>1108</v>
      </c>
      <c r="W731" s="48" t="s">
        <v>1832</v>
      </c>
      <c r="X731" s="51">
        <v>3.7866951063074699</v>
      </c>
      <c r="Z731" s="48" t="s">
        <v>1102</v>
      </c>
      <c r="AA731" s="51">
        <v>0.89138719499999997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1103</v>
      </c>
      <c r="Q732" s="23">
        <f>DATE(YEAR(OneWeekMtgRatesDataTable75[[#This Row],[asOf]]),MONTH(OneWeekMtgRatesDataTable75[[#This Row],[asOf]]),DAY(OneWeekMtgRatesDataTable75[[#This Row],[asOf]]))</f>
        <v>41514</v>
      </c>
      <c r="R732" s="19">
        <v>4.51</v>
      </c>
      <c r="S732" s="19">
        <v>0.7</v>
      </c>
      <c r="T732" s="19">
        <v>4.4349999999999996</v>
      </c>
      <c r="V732" s="48" t="s">
        <v>1107</v>
      </c>
      <c r="W732" s="48" t="s">
        <v>1832</v>
      </c>
      <c r="X732" s="51">
        <v>3.6795741616596702</v>
      </c>
      <c r="Z732" s="48" t="s">
        <v>1101</v>
      </c>
      <c r="AA732" s="51">
        <v>0.89138719499999997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1102</v>
      </c>
      <c r="Q733" s="23">
        <f>DATE(YEAR(OneWeekMtgRatesDataTable75[[#This Row],[asOf]]),MONTH(OneWeekMtgRatesDataTable75[[#This Row],[asOf]]),DAY(OneWeekMtgRatesDataTable75[[#This Row],[asOf]]))</f>
        <v>41513</v>
      </c>
      <c r="R733" s="19">
        <v>4.51</v>
      </c>
      <c r="S733" s="19">
        <v>0.7</v>
      </c>
      <c r="T733" s="19">
        <v>4.4349999999999996</v>
      </c>
      <c r="V733" s="48" t="s">
        <v>1106</v>
      </c>
      <c r="W733" s="48" t="s">
        <v>1832</v>
      </c>
      <c r="X733" s="51">
        <v>3.6230343632850399</v>
      </c>
      <c r="Z733" s="48" t="s">
        <v>1100</v>
      </c>
      <c r="AA733" s="51">
        <v>0.89138719499999997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1101</v>
      </c>
      <c r="Q734" s="23">
        <f>DATE(YEAR(OneWeekMtgRatesDataTable75[[#This Row],[asOf]]),MONTH(OneWeekMtgRatesDataTable75[[#This Row],[asOf]]),DAY(OneWeekMtgRatesDataTable75[[#This Row],[asOf]]))</f>
        <v>41512</v>
      </c>
      <c r="R734" s="19">
        <v>4.51</v>
      </c>
      <c r="S734" s="19">
        <v>0.7</v>
      </c>
      <c r="T734" s="19">
        <v>4.4349999999999996</v>
      </c>
      <c r="V734" s="48" t="s">
        <v>1105</v>
      </c>
      <c r="W734" s="48" t="s">
        <v>1832</v>
      </c>
      <c r="X734" s="51">
        <v>3.5181082868119602</v>
      </c>
      <c r="Z734" s="48" t="s">
        <v>1099</v>
      </c>
      <c r="AA734" s="51">
        <v>0.89138719499999997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1100</v>
      </c>
      <c r="Q735" s="23">
        <f>DATE(YEAR(OneWeekMtgRatesDataTable75[[#This Row],[asOf]]),MONTH(OneWeekMtgRatesDataTable75[[#This Row],[asOf]]),DAY(OneWeekMtgRatesDataTable75[[#This Row],[asOf]]))</f>
        <v>41509</v>
      </c>
      <c r="R735" s="19">
        <v>4.51</v>
      </c>
      <c r="S735" s="19">
        <v>0.7</v>
      </c>
      <c r="T735" s="19">
        <v>4.4349999999999996</v>
      </c>
      <c r="V735" s="48" t="s">
        <v>1104</v>
      </c>
      <c r="W735" s="48" t="s">
        <v>1832</v>
      </c>
      <c r="X735" s="51">
        <v>3.5163998212649701</v>
      </c>
      <c r="Z735" s="48" t="s">
        <v>1098</v>
      </c>
      <c r="AA735" s="51">
        <v>0.89138719499999997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1099</v>
      </c>
      <c r="Q736" s="23">
        <f>DATE(YEAR(OneWeekMtgRatesDataTable75[[#This Row],[asOf]]),MONTH(OneWeekMtgRatesDataTable75[[#This Row],[asOf]]),DAY(OneWeekMtgRatesDataTable75[[#This Row],[asOf]]))</f>
        <v>41508</v>
      </c>
      <c r="R736" s="19">
        <v>4.51</v>
      </c>
      <c r="S736" s="19">
        <v>0.7</v>
      </c>
      <c r="T736" s="19">
        <v>4.4349999999999996</v>
      </c>
      <c r="V736" s="48" t="s">
        <v>1103</v>
      </c>
      <c r="W736" s="48" t="s">
        <v>1832</v>
      </c>
      <c r="X736" s="51">
        <v>3.5645215625566</v>
      </c>
      <c r="Z736" s="48" t="s">
        <v>1097</v>
      </c>
      <c r="AA736" s="51">
        <v>0.90499821899999999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1098</v>
      </c>
      <c r="Q737" s="23">
        <f>DATE(YEAR(OneWeekMtgRatesDataTable75[[#This Row],[asOf]]),MONTH(OneWeekMtgRatesDataTable75[[#This Row],[asOf]]),DAY(OneWeekMtgRatesDataTable75[[#This Row],[asOf]]))</f>
        <v>41507</v>
      </c>
      <c r="R737" s="19">
        <v>4.58</v>
      </c>
      <c r="S737" s="19">
        <v>0.8</v>
      </c>
      <c r="T737" s="19">
        <v>4.53</v>
      </c>
      <c r="V737" s="48" t="s">
        <v>1102</v>
      </c>
      <c r="W737" s="48" t="s">
        <v>1832</v>
      </c>
      <c r="X737" s="51">
        <v>3.4950120682199999</v>
      </c>
      <c r="Z737" s="48" t="s">
        <v>1096</v>
      </c>
      <c r="AA737" s="51">
        <v>0.90499821899999999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1097</v>
      </c>
      <c r="Q738" s="23">
        <f>DATE(YEAR(OneWeekMtgRatesDataTable75[[#This Row],[asOf]]),MONTH(OneWeekMtgRatesDataTable75[[#This Row],[asOf]]),DAY(OneWeekMtgRatesDataTable75[[#This Row],[asOf]]))</f>
        <v>41506</v>
      </c>
      <c r="R738" s="19">
        <v>4.58</v>
      </c>
      <c r="S738" s="19">
        <v>0.8</v>
      </c>
      <c r="T738" s="19">
        <v>4.53</v>
      </c>
      <c r="V738" s="48" t="s">
        <v>1101</v>
      </c>
      <c r="W738" s="48" t="s">
        <v>1832</v>
      </c>
      <c r="X738" s="51">
        <v>3.5649427405180001</v>
      </c>
      <c r="Z738" s="48" t="s">
        <v>1095</v>
      </c>
      <c r="AA738" s="51">
        <v>0.90499821899999999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1096</v>
      </c>
      <c r="Q739" s="23">
        <f>DATE(YEAR(OneWeekMtgRatesDataTable75[[#This Row],[asOf]]),MONTH(OneWeekMtgRatesDataTable75[[#This Row],[asOf]]),DAY(OneWeekMtgRatesDataTable75[[#This Row],[asOf]]))</f>
        <v>41505</v>
      </c>
      <c r="R739" s="19">
        <v>4.58</v>
      </c>
      <c r="S739" s="19">
        <v>0.8</v>
      </c>
      <c r="T739" s="19">
        <v>4.53</v>
      </c>
      <c r="V739" s="48" t="s">
        <v>1100</v>
      </c>
      <c r="W739" s="48" t="s">
        <v>1832</v>
      </c>
      <c r="X739" s="51">
        <v>3.6014591745782401</v>
      </c>
      <c r="Z739" s="48" t="s">
        <v>1094</v>
      </c>
      <c r="AA739" s="51">
        <v>0.90499821899999999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1095</v>
      </c>
      <c r="Q740" s="23">
        <f>DATE(YEAR(OneWeekMtgRatesDataTable75[[#This Row],[asOf]]),MONTH(OneWeekMtgRatesDataTable75[[#This Row],[asOf]]),DAY(OneWeekMtgRatesDataTable75[[#This Row],[asOf]]))</f>
        <v>41502</v>
      </c>
      <c r="R740" s="19">
        <v>4.58</v>
      </c>
      <c r="S740" s="19">
        <v>0.8</v>
      </c>
      <c r="T740" s="19">
        <v>4.53</v>
      </c>
      <c r="V740" s="48" t="s">
        <v>1099</v>
      </c>
      <c r="W740" s="48" t="s">
        <v>1832</v>
      </c>
      <c r="X740" s="51">
        <v>3.7101937917241501</v>
      </c>
      <c r="Z740" s="48" t="s">
        <v>1093</v>
      </c>
      <c r="AA740" s="51">
        <v>0.90499821899999999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1094</v>
      </c>
      <c r="Q741" s="23">
        <f>DATE(YEAR(OneWeekMtgRatesDataTable75[[#This Row],[asOf]]),MONTH(OneWeekMtgRatesDataTable75[[#This Row],[asOf]]),DAY(OneWeekMtgRatesDataTable75[[#This Row],[asOf]]))</f>
        <v>41501</v>
      </c>
      <c r="R741" s="19">
        <v>4.58</v>
      </c>
      <c r="S741" s="19">
        <v>0.8</v>
      </c>
      <c r="T741" s="19">
        <v>4.53</v>
      </c>
      <c r="V741" s="48" t="s">
        <v>1098</v>
      </c>
      <c r="W741" s="48" t="s">
        <v>1832</v>
      </c>
      <c r="X741" s="51">
        <v>3.6746442970123199</v>
      </c>
      <c r="Z741" s="48" t="s">
        <v>1092</v>
      </c>
      <c r="AA741" s="51">
        <v>0.88362698200000001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1093</v>
      </c>
      <c r="Q742" s="23">
        <f>DATE(YEAR(OneWeekMtgRatesDataTable75[[#This Row],[asOf]]),MONTH(OneWeekMtgRatesDataTable75[[#This Row],[asOf]]),DAY(OneWeekMtgRatesDataTable75[[#This Row],[asOf]]))</f>
        <v>41500</v>
      </c>
      <c r="R742" s="19">
        <v>4.4000000000000004</v>
      </c>
      <c r="S742" s="19">
        <v>0.7</v>
      </c>
      <c r="T742" s="19">
        <v>4.3250000000000002</v>
      </c>
      <c r="V742" s="48" t="s">
        <v>1097</v>
      </c>
      <c r="W742" s="48" t="s">
        <v>1832</v>
      </c>
      <c r="X742" s="51">
        <v>3.63068303363114</v>
      </c>
      <c r="Z742" s="48" t="s">
        <v>1091</v>
      </c>
      <c r="AA742" s="51">
        <v>0.88362698200000001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1092</v>
      </c>
      <c r="Q743" s="23">
        <f>DATE(YEAR(OneWeekMtgRatesDataTable75[[#This Row],[asOf]]),MONTH(OneWeekMtgRatesDataTable75[[#This Row],[asOf]]),DAY(OneWeekMtgRatesDataTable75[[#This Row],[asOf]]))</f>
        <v>41499</v>
      </c>
      <c r="R743" s="19">
        <v>4.4000000000000004</v>
      </c>
      <c r="S743" s="19">
        <v>0.7</v>
      </c>
      <c r="T743" s="19">
        <v>4.3250000000000002</v>
      </c>
      <c r="V743" s="48" t="s">
        <v>1096</v>
      </c>
      <c r="W743" s="48" t="s">
        <v>1832</v>
      </c>
      <c r="X743" s="51">
        <v>3.71104784086622</v>
      </c>
      <c r="Z743" s="48" t="s">
        <v>1090</v>
      </c>
      <c r="AA743" s="51">
        <v>0.88362698200000001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1091</v>
      </c>
      <c r="Q744" s="23">
        <f>DATE(YEAR(OneWeekMtgRatesDataTable75[[#This Row],[asOf]]),MONTH(OneWeekMtgRatesDataTable75[[#This Row],[asOf]]),DAY(OneWeekMtgRatesDataTable75[[#This Row],[asOf]]))</f>
        <v>41498</v>
      </c>
      <c r="R744" s="19">
        <v>4.4000000000000004</v>
      </c>
      <c r="S744" s="19">
        <v>0.7</v>
      </c>
      <c r="T744" s="19">
        <v>4.3250000000000002</v>
      </c>
      <c r="V744" s="48" t="s">
        <v>1095</v>
      </c>
      <c r="W744" s="48" t="s">
        <v>1832</v>
      </c>
      <c r="X744" s="51">
        <v>3.63422852757154</v>
      </c>
      <c r="Z744" s="48" t="s">
        <v>1089</v>
      </c>
      <c r="AA744" s="51">
        <v>0.88362698200000001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1090</v>
      </c>
      <c r="Q745" s="23">
        <f>DATE(YEAR(OneWeekMtgRatesDataTable75[[#This Row],[asOf]]),MONTH(OneWeekMtgRatesDataTable75[[#This Row],[asOf]]),DAY(OneWeekMtgRatesDataTable75[[#This Row],[asOf]]))</f>
        <v>41495</v>
      </c>
      <c r="R745" s="19">
        <v>4.4000000000000004</v>
      </c>
      <c r="S745" s="19">
        <v>0.7</v>
      </c>
      <c r="T745" s="19">
        <v>4.3250000000000002</v>
      </c>
      <c r="V745" s="48" t="s">
        <v>1094</v>
      </c>
      <c r="W745" s="48" t="s">
        <v>1832</v>
      </c>
      <c r="X745" s="51">
        <v>3.5424603238556802</v>
      </c>
      <c r="Z745" s="48" t="s">
        <v>1088</v>
      </c>
      <c r="AA745" s="51">
        <v>0.88362698200000001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1089</v>
      </c>
      <c r="Q746" s="23">
        <f>DATE(YEAR(OneWeekMtgRatesDataTable75[[#This Row],[asOf]]),MONTH(OneWeekMtgRatesDataTable75[[#This Row],[asOf]]),DAY(OneWeekMtgRatesDataTable75[[#This Row],[asOf]]))</f>
        <v>41494</v>
      </c>
      <c r="R746" s="19">
        <v>4.4000000000000004</v>
      </c>
      <c r="S746" s="19">
        <v>0.7</v>
      </c>
      <c r="T746" s="19">
        <v>4.3250000000000002</v>
      </c>
      <c r="V746" s="48" t="s">
        <v>1093</v>
      </c>
      <c r="W746" s="48" t="s">
        <v>1832</v>
      </c>
      <c r="X746" s="51">
        <v>3.48408848788866</v>
      </c>
      <c r="Z746" s="48" t="s">
        <v>1087</v>
      </c>
      <c r="AA746" s="51">
        <v>0.89892210900000002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1088</v>
      </c>
      <c r="Q747" s="23">
        <f>DATE(YEAR(OneWeekMtgRatesDataTable75[[#This Row],[asOf]]),MONTH(OneWeekMtgRatesDataTable75[[#This Row],[asOf]]),DAY(OneWeekMtgRatesDataTable75[[#This Row],[asOf]]))</f>
        <v>41493</v>
      </c>
      <c r="R747" s="19">
        <v>4.4000000000000004</v>
      </c>
      <c r="S747" s="19">
        <v>0.7</v>
      </c>
      <c r="T747" s="19">
        <v>4.3250000000000002</v>
      </c>
      <c r="V747" s="48" t="s">
        <v>1092</v>
      </c>
      <c r="W747" s="48" t="s">
        <v>1832</v>
      </c>
      <c r="X747" s="51">
        <v>3.48659769885389</v>
      </c>
      <c r="Z747" s="48" t="s">
        <v>1086</v>
      </c>
      <c r="AA747" s="51">
        <v>0.89892210900000002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1087</v>
      </c>
      <c r="Q748" s="23">
        <f>DATE(YEAR(OneWeekMtgRatesDataTable75[[#This Row],[asOf]]),MONTH(OneWeekMtgRatesDataTable75[[#This Row],[asOf]]),DAY(OneWeekMtgRatesDataTable75[[#This Row],[asOf]]))</f>
        <v>41492</v>
      </c>
      <c r="R748" s="19">
        <v>4.4000000000000004</v>
      </c>
      <c r="S748" s="19">
        <v>0.7</v>
      </c>
      <c r="T748" s="19">
        <v>4.3250000000000002</v>
      </c>
      <c r="V748" s="48" t="s">
        <v>1091</v>
      </c>
      <c r="W748" s="48" t="s">
        <v>1832</v>
      </c>
      <c r="X748" s="51">
        <v>3.38388390000057</v>
      </c>
      <c r="Z748" s="48" t="s">
        <v>1085</v>
      </c>
      <c r="AA748" s="51">
        <v>0.89892210900000002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1086</v>
      </c>
      <c r="Q749" s="23">
        <f>DATE(YEAR(OneWeekMtgRatesDataTable75[[#This Row],[asOf]]),MONTH(OneWeekMtgRatesDataTable75[[#This Row],[asOf]]),DAY(OneWeekMtgRatesDataTable75[[#This Row],[asOf]]))</f>
        <v>41491</v>
      </c>
      <c r="R749" s="19">
        <v>4.4000000000000004</v>
      </c>
      <c r="S749" s="19">
        <v>0.7</v>
      </c>
      <c r="T749" s="19">
        <v>4.3250000000000002</v>
      </c>
      <c r="V749" s="48" t="s">
        <v>1090</v>
      </c>
      <c r="W749" s="48" t="s">
        <v>1832</v>
      </c>
      <c r="X749" s="51">
        <v>3.3639509131930398</v>
      </c>
      <c r="Z749" s="48" t="s">
        <v>1084</v>
      </c>
      <c r="AA749" s="51">
        <v>0.89892210900000002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1085</v>
      </c>
      <c r="Q750" s="23">
        <f>DATE(YEAR(OneWeekMtgRatesDataTable75[[#This Row],[asOf]]),MONTH(OneWeekMtgRatesDataTable75[[#This Row],[asOf]]),DAY(OneWeekMtgRatesDataTable75[[#This Row],[asOf]]))</f>
        <v>41488</v>
      </c>
      <c r="R750" s="19">
        <v>4.4000000000000004</v>
      </c>
      <c r="S750" s="19">
        <v>0.7</v>
      </c>
      <c r="T750" s="19">
        <v>4.3250000000000002</v>
      </c>
      <c r="V750" s="48" t="s">
        <v>1089</v>
      </c>
      <c r="W750" s="48" t="s">
        <v>1832</v>
      </c>
      <c r="X750" s="51">
        <v>3.3814879030485301</v>
      </c>
      <c r="Z750" s="48" t="s">
        <v>1083</v>
      </c>
      <c r="AA750" s="51">
        <v>0.89892210900000002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1084</v>
      </c>
      <c r="Q751" s="23">
        <f>DATE(YEAR(OneWeekMtgRatesDataTable75[[#This Row],[asOf]]),MONTH(OneWeekMtgRatesDataTable75[[#This Row],[asOf]]),DAY(OneWeekMtgRatesDataTable75[[#This Row],[asOf]]))</f>
        <v>41487</v>
      </c>
      <c r="R751" s="19">
        <v>4.4000000000000004</v>
      </c>
      <c r="S751" s="19">
        <v>0.7</v>
      </c>
      <c r="T751" s="19">
        <v>4.3250000000000002</v>
      </c>
      <c r="V751" s="48" t="s">
        <v>1088</v>
      </c>
      <c r="W751" s="48" t="s">
        <v>1832</v>
      </c>
      <c r="X751" s="51">
        <v>3.40952934683791</v>
      </c>
      <c r="Z751" s="48" t="s">
        <v>1082</v>
      </c>
      <c r="AA751" s="51">
        <v>0.89281952899999995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1083</v>
      </c>
      <c r="Q752" s="23">
        <f>DATE(YEAR(OneWeekMtgRatesDataTable75[[#This Row],[asOf]]),MONTH(OneWeekMtgRatesDataTable75[[#This Row],[asOf]]),DAY(OneWeekMtgRatesDataTable75[[#This Row],[asOf]]))</f>
        <v>41486</v>
      </c>
      <c r="R752" s="19">
        <v>4.3899999999999997</v>
      </c>
      <c r="S752" s="19">
        <v>0.7</v>
      </c>
      <c r="T752" s="19">
        <v>4.3149999999999995</v>
      </c>
      <c r="V752" s="48" t="s">
        <v>1087</v>
      </c>
      <c r="W752" s="48" t="s">
        <v>1832</v>
      </c>
      <c r="X752" s="51">
        <v>3.44308693748463</v>
      </c>
      <c r="Z752" s="48" t="s">
        <v>1081</v>
      </c>
      <c r="AA752" s="51">
        <v>0.89281952899999995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1082</v>
      </c>
      <c r="Q753" s="23">
        <f>DATE(YEAR(OneWeekMtgRatesDataTable75[[#This Row],[asOf]]),MONTH(OneWeekMtgRatesDataTable75[[#This Row],[asOf]]),DAY(OneWeekMtgRatesDataTable75[[#This Row],[asOf]]))</f>
        <v>41485</v>
      </c>
      <c r="R753" s="19">
        <v>4.3899999999999997</v>
      </c>
      <c r="S753" s="19">
        <v>0.7</v>
      </c>
      <c r="T753" s="19">
        <v>4.3149999999999995</v>
      </c>
      <c r="V753" s="48" t="s">
        <v>1086</v>
      </c>
      <c r="W753" s="48" t="s">
        <v>1832</v>
      </c>
      <c r="X753" s="51">
        <v>3.4178117990662802</v>
      </c>
      <c r="Z753" s="48" t="s">
        <v>1080</v>
      </c>
      <c r="AA753" s="51">
        <v>0.89281952899999995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1081</v>
      </c>
      <c r="Q754" s="23">
        <f>DATE(YEAR(OneWeekMtgRatesDataTable75[[#This Row],[asOf]]),MONTH(OneWeekMtgRatesDataTable75[[#This Row],[asOf]]),DAY(OneWeekMtgRatesDataTable75[[#This Row],[asOf]]))</f>
        <v>41484</v>
      </c>
      <c r="R754" s="19">
        <v>4.3899999999999997</v>
      </c>
      <c r="S754" s="19">
        <v>0.7</v>
      </c>
      <c r="T754" s="19">
        <v>4.3149999999999995</v>
      </c>
      <c r="V754" s="48" t="s">
        <v>1085</v>
      </c>
      <c r="W754" s="48" t="s">
        <v>1832</v>
      </c>
      <c r="X754" s="51">
        <v>3.4035662511479701</v>
      </c>
      <c r="Z754" s="48" t="s">
        <v>1079</v>
      </c>
      <c r="AA754" s="51">
        <v>0.89281952899999995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1080</v>
      </c>
      <c r="Q755" s="23">
        <f>DATE(YEAR(OneWeekMtgRatesDataTable75[[#This Row],[asOf]]),MONTH(OneWeekMtgRatesDataTable75[[#This Row],[asOf]]),DAY(OneWeekMtgRatesDataTable75[[#This Row],[asOf]]))</f>
        <v>41481</v>
      </c>
      <c r="R755" s="19">
        <v>4.3899999999999997</v>
      </c>
      <c r="S755" s="19">
        <v>0.7</v>
      </c>
      <c r="T755" s="19">
        <v>4.3149999999999995</v>
      </c>
      <c r="V755" s="48" t="s">
        <v>1084</v>
      </c>
      <c r="W755" s="48" t="s">
        <v>1832</v>
      </c>
      <c r="X755" s="51">
        <v>3.5328707550914098</v>
      </c>
      <c r="Z755" s="48" t="s">
        <v>1078</v>
      </c>
      <c r="AA755" s="51">
        <v>0.89281952899999995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1079</v>
      </c>
      <c r="Q756" s="23">
        <f>DATE(YEAR(OneWeekMtgRatesDataTable75[[#This Row],[asOf]]),MONTH(OneWeekMtgRatesDataTable75[[#This Row],[asOf]]),DAY(OneWeekMtgRatesDataTable75[[#This Row],[asOf]]))</f>
        <v>41480</v>
      </c>
      <c r="R756" s="19">
        <v>4.3899999999999997</v>
      </c>
      <c r="S756" s="19">
        <v>0.7</v>
      </c>
      <c r="T756" s="19">
        <v>4.3149999999999995</v>
      </c>
      <c r="V756" s="48" t="s">
        <v>1083</v>
      </c>
      <c r="W756" s="48" t="s">
        <v>1832</v>
      </c>
      <c r="X756" s="51">
        <v>3.4095392657433901</v>
      </c>
      <c r="Z756" s="48" t="s">
        <v>1077</v>
      </c>
      <c r="AA756" s="51">
        <v>0.87836810700000001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1078</v>
      </c>
      <c r="Q757" s="23">
        <f>DATE(YEAR(OneWeekMtgRatesDataTable75[[#This Row],[asOf]]),MONTH(OneWeekMtgRatesDataTable75[[#This Row],[asOf]]),DAY(OneWeekMtgRatesDataTable75[[#This Row],[asOf]]))</f>
        <v>41479</v>
      </c>
      <c r="R757" s="19">
        <v>4.3099999999999996</v>
      </c>
      <c r="S757" s="19">
        <v>0.8</v>
      </c>
      <c r="T757" s="19">
        <v>4.26</v>
      </c>
      <c r="V757" s="48" t="s">
        <v>1082</v>
      </c>
      <c r="W757" s="48" t="s">
        <v>1832</v>
      </c>
      <c r="X757" s="51">
        <v>3.4285967572115399</v>
      </c>
      <c r="Z757" s="48" t="s">
        <v>1076</v>
      </c>
      <c r="AA757" s="51">
        <v>0.87836810700000001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1077</v>
      </c>
      <c r="Q758" s="23">
        <f>DATE(YEAR(OneWeekMtgRatesDataTable75[[#This Row],[asOf]]),MONTH(OneWeekMtgRatesDataTable75[[#This Row],[asOf]]),DAY(OneWeekMtgRatesDataTable75[[#This Row],[asOf]]))</f>
        <v>41478</v>
      </c>
      <c r="R758" s="19">
        <v>4.3099999999999996</v>
      </c>
      <c r="S758" s="19">
        <v>0.8</v>
      </c>
      <c r="T758" s="19">
        <v>4.26</v>
      </c>
      <c r="V758" s="48" t="s">
        <v>1081</v>
      </c>
      <c r="W758" s="48" t="s">
        <v>1832</v>
      </c>
      <c r="X758" s="51">
        <v>3.4061464314062202</v>
      </c>
      <c r="Z758" s="48" t="s">
        <v>1075</v>
      </c>
      <c r="AA758" s="51">
        <v>0.87836810700000001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1076</v>
      </c>
      <c r="Q759" s="23">
        <f>DATE(YEAR(OneWeekMtgRatesDataTable75[[#This Row],[asOf]]),MONTH(OneWeekMtgRatesDataTable75[[#This Row],[asOf]]),DAY(OneWeekMtgRatesDataTable75[[#This Row],[asOf]]))</f>
        <v>41477</v>
      </c>
      <c r="R759" s="19">
        <v>4.3099999999999996</v>
      </c>
      <c r="S759" s="19">
        <v>0.8</v>
      </c>
      <c r="T759" s="19">
        <v>4.26</v>
      </c>
      <c r="V759" s="48" t="s">
        <v>1080</v>
      </c>
      <c r="W759" s="48" t="s">
        <v>1832</v>
      </c>
      <c r="X759" s="51">
        <v>3.3953206082541598</v>
      </c>
      <c r="Z759" s="48" t="s">
        <v>1074</v>
      </c>
      <c r="AA759" s="51">
        <v>0.87836810700000001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1075</v>
      </c>
      <c r="Q760" s="23">
        <f>DATE(YEAR(OneWeekMtgRatesDataTable75[[#This Row],[asOf]]),MONTH(OneWeekMtgRatesDataTable75[[#This Row],[asOf]]),DAY(OneWeekMtgRatesDataTable75[[#This Row],[asOf]]))</f>
        <v>41474</v>
      </c>
      <c r="R760" s="19">
        <v>4.3099999999999996</v>
      </c>
      <c r="S760" s="19">
        <v>0.8</v>
      </c>
      <c r="T760" s="19">
        <v>4.26</v>
      </c>
      <c r="V760" s="48" t="s">
        <v>1079</v>
      </c>
      <c r="W760" s="48" t="s">
        <v>1832</v>
      </c>
      <c r="X760" s="51">
        <v>3.4407863915877401</v>
      </c>
      <c r="Z760" s="48" t="s">
        <v>1073</v>
      </c>
      <c r="AA760" s="51">
        <v>0.87836810700000001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1074</v>
      </c>
      <c r="Q761" s="23">
        <f>DATE(YEAR(OneWeekMtgRatesDataTable75[[#This Row],[asOf]]),MONTH(OneWeekMtgRatesDataTable75[[#This Row],[asOf]]),DAY(OneWeekMtgRatesDataTable75[[#This Row],[asOf]]))</f>
        <v>41473</v>
      </c>
      <c r="R761" s="19">
        <v>4.3099999999999996</v>
      </c>
      <c r="S761" s="19">
        <v>0.8</v>
      </c>
      <c r="T761" s="19">
        <v>4.26</v>
      </c>
      <c r="V761" s="48" t="s">
        <v>1078</v>
      </c>
      <c r="W761" s="48" t="s">
        <v>1832</v>
      </c>
      <c r="X761" s="51">
        <v>3.4296755954575699</v>
      </c>
      <c r="Z761" s="48" t="s">
        <v>1072</v>
      </c>
      <c r="AA761" s="51">
        <v>0.88718035699999998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1073</v>
      </c>
      <c r="Q762" s="23">
        <f>DATE(YEAR(OneWeekMtgRatesDataTable75[[#This Row],[asOf]]),MONTH(OneWeekMtgRatesDataTable75[[#This Row],[asOf]]),DAY(OneWeekMtgRatesDataTable75[[#This Row],[asOf]]))</f>
        <v>41472</v>
      </c>
      <c r="R762" s="19">
        <v>4.37</v>
      </c>
      <c r="S762" s="19">
        <v>0.7</v>
      </c>
      <c r="T762" s="19">
        <v>4.2949999999999999</v>
      </c>
      <c r="V762" s="48" t="s">
        <v>1077</v>
      </c>
      <c r="W762" s="48" t="s">
        <v>1832</v>
      </c>
      <c r="X762" s="51">
        <v>3.3639050543487601</v>
      </c>
      <c r="Z762" s="48" t="s">
        <v>1071</v>
      </c>
      <c r="AA762" s="51">
        <v>0.88718035699999998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1072</v>
      </c>
      <c r="Q763" s="23">
        <f>DATE(YEAR(OneWeekMtgRatesDataTable75[[#This Row],[asOf]]),MONTH(OneWeekMtgRatesDataTable75[[#This Row],[asOf]]),DAY(OneWeekMtgRatesDataTable75[[#This Row],[asOf]]))</f>
        <v>41471</v>
      </c>
      <c r="R763" s="19">
        <v>4.37</v>
      </c>
      <c r="S763" s="19">
        <v>0.7</v>
      </c>
      <c r="T763" s="19">
        <v>4.2949999999999999</v>
      </c>
      <c r="V763" s="48" t="s">
        <v>1076</v>
      </c>
      <c r="W763" s="48" t="s">
        <v>1832</v>
      </c>
      <c r="X763" s="51">
        <v>3.3220828709767098</v>
      </c>
      <c r="Z763" s="48" t="s">
        <v>1070</v>
      </c>
      <c r="AA763" s="51">
        <v>0.88718035699999998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1071</v>
      </c>
      <c r="Q764" s="23">
        <f>DATE(YEAR(OneWeekMtgRatesDataTable75[[#This Row],[asOf]]),MONTH(OneWeekMtgRatesDataTable75[[#This Row],[asOf]]),DAY(OneWeekMtgRatesDataTable75[[#This Row],[asOf]]))</f>
        <v>41470</v>
      </c>
      <c r="R764" s="19">
        <v>4.37</v>
      </c>
      <c r="S764" s="19">
        <v>0.7</v>
      </c>
      <c r="T764" s="19">
        <v>4.2949999999999999</v>
      </c>
      <c r="V764" s="48" t="s">
        <v>1075</v>
      </c>
      <c r="W764" s="48" t="s">
        <v>1832</v>
      </c>
      <c r="X764" s="51">
        <v>3.3313912756576198</v>
      </c>
      <c r="Z764" s="48" t="s">
        <v>1069</v>
      </c>
      <c r="AA764" s="51">
        <v>0.88718035699999998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1070</v>
      </c>
      <c r="Q765" s="23">
        <f>DATE(YEAR(OneWeekMtgRatesDataTable75[[#This Row],[asOf]]),MONTH(OneWeekMtgRatesDataTable75[[#This Row],[asOf]]),DAY(OneWeekMtgRatesDataTable75[[#This Row],[asOf]]))</f>
        <v>41467</v>
      </c>
      <c r="R765" s="19">
        <v>4.37</v>
      </c>
      <c r="S765" s="19">
        <v>0.7</v>
      </c>
      <c r="T765" s="19">
        <v>4.2949999999999999</v>
      </c>
      <c r="V765" s="48" t="s">
        <v>1074</v>
      </c>
      <c r="W765" s="48" t="s">
        <v>1832</v>
      </c>
      <c r="X765" s="51">
        <v>3.38884755763491</v>
      </c>
      <c r="Z765" s="48" t="s">
        <v>1068</v>
      </c>
      <c r="AA765" s="51">
        <v>0.88718035699999998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1069</v>
      </c>
      <c r="Q766" s="23">
        <f>DATE(YEAR(OneWeekMtgRatesDataTable75[[#This Row],[asOf]]),MONTH(OneWeekMtgRatesDataTable75[[#This Row],[asOf]]),DAY(OneWeekMtgRatesDataTable75[[#This Row],[asOf]]))</f>
        <v>41466</v>
      </c>
      <c r="R766" s="19">
        <v>4.37</v>
      </c>
      <c r="S766" s="19">
        <v>0.7</v>
      </c>
      <c r="T766" s="19">
        <v>4.2949999999999999</v>
      </c>
      <c r="V766" s="48" t="s">
        <v>1073</v>
      </c>
      <c r="W766" s="48" t="s">
        <v>1832</v>
      </c>
      <c r="X766" s="51">
        <v>3.34386583598301</v>
      </c>
      <c r="Z766" s="48" t="s">
        <v>1067</v>
      </c>
      <c r="AA766" s="51">
        <v>0.893240653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1068</v>
      </c>
      <c r="Q767" s="23">
        <f>DATE(YEAR(OneWeekMtgRatesDataTable75[[#This Row],[asOf]]),MONTH(OneWeekMtgRatesDataTable75[[#This Row],[asOf]]),DAY(OneWeekMtgRatesDataTable75[[#This Row],[asOf]]))</f>
        <v>41465</v>
      </c>
      <c r="R767" s="19">
        <v>4.51</v>
      </c>
      <c r="S767" s="19">
        <v>0.8</v>
      </c>
      <c r="T767" s="19">
        <v>4.46</v>
      </c>
      <c r="V767" s="48" t="s">
        <v>1072</v>
      </c>
      <c r="W767" s="48" t="s">
        <v>1832</v>
      </c>
      <c r="X767" s="51">
        <v>3.3914708524147601</v>
      </c>
      <c r="Z767" s="48" t="s">
        <v>1066</v>
      </c>
      <c r="AA767" s="51">
        <v>0.893240653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1067</v>
      </c>
      <c r="Q768" s="23">
        <f>DATE(YEAR(OneWeekMtgRatesDataTable75[[#This Row],[asOf]]),MONTH(OneWeekMtgRatesDataTable75[[#This Row],[asOf]]),DAY(OneWeekMtgRatesDataTable75[[#This Row],[asOf]]))</f>
        <v>41464</v>
      </c>
      <c r="R768" s="19">
        <v>4.51</v>
      </c>
      <c r="S768" s="19">
        <v>0.8</v>
      </c>
      <c r="T768" s="19">
        <v>4.46</v>
      </c>
      <c r="V768" s="48" t="s">
        <v>1071</v>
      </c>
      <c r="W768" s="48" t="s">
        <v>1832</v>
      </c>
      <c r="X768" s="51">
        <v>3.40503285889704</v>
      </c>
      <c r="Z768" s="48" t="s">
        <v>1065</v>
      </c>
      <c r="AA768" s="51">
        <v>0.893240653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1066</v>
      </c>
      <c r="Q769" s="23">
        <f>DATE(YEAR(OneWeekMtgRatesDataTable75[[#This Row],[asOf]]),MONTH(OneWeekMtgRatesDataTable75[[#This Row],[asOf]]),DAY(OneWeekMtgRatesDataTable75[[#This Row],[asOf]]))</f>
        <v>41463</v>
      </c>
      <c r="R769" s="19">
        <v>4.51</v>
      </c>
      <c r="S769" s="19">
        <v>0.8</v>
      </c>
      <c r="T769" s="19">
        <v>4.46</v>
      </c>
      <c r="V769" s="48" t="s">
        <v>1070</v>
      </c>
      <c r="W769" s="48" t="s">
        <v>1832</v>
      </c>
      <c r="X769" s="51">
        <v>3.4748173662638</v>
      </c>
      <c r="Z769" s="48" t="s">
        <v>1064</v>
      </c>
      <c r="AA769" s="51">
        <v>0.893240653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1065</v>
      </c>
      <c r="Q770" s="23">
        <f>DATE(YEAR(OneWeekMtgRatesDataTable75[[#This Row],[asOf]]),MONTH(OneWeekMtgRatesDataTable75[[#This Row],[asOf]]),DAY(OneWeekMtgRatesDataTable75[[#This Row],[asOf]]))</f>
        <v>41460</v>
      </c>
      <c r="R770" s="19">
        <v>4.51</v>
      </c>
      <c r="S770" s="19">
        <v>0.8</v>
      </c>
      <c r="T770" s="19">
        <v>4.46</v>
      </c>
      <c r="V770" s="48" t="s">
        <v>1069</v>
      </c>
      <c r="W770" s="48" t="s">
        <v>1832</v>
      </c>
      <c r="X770" s="51">
        <v>3.4679725505405199</v>
      </c>
      <c r="Z770" s="48" t="s">
        <v>1063</v>
      </c>
      <c r="AA770" s="51">
        <v>0.98456375299999999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1064</v>
      </c>
      <c r="Q771" s="23">
        <f>DATE(YEAR(OneWeekMtgRatesDataTable75[[#This Row],[asOf]]),MONTH(OneWeekMtgRatesDataTable75[[#This Row],[asOf]]),DAY(OneWeekMtgRatesDataTable75[[#This Row],[asOf]]))</f>
        <v>41458</v>
      </c>
      <c r="R771" s="19">
        <v>4.29</v>
      </c>
      <c r="S771" s="19">
        <v>0.7</v>
      </c>
      <c r="T771" s="19">
        <v>4.2149999999999999</v>
      </c>
      <c r="V771" s="48" t="s">
        <v>1068</v>
      </c>
      <c r="W771" s="48" t="s">
        <v>1832</v>
      </c>
      <c r="X771" s="51">
        <v>3.58537205832996</v>
      </c>
      <c r="Z771" s="48" t="s">
        <v>1062</v>
      </c>
      <c r="AA771" s="51">
        <v>0.98456375299999999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1063</v>
      </c>
      <c r="Q772" s="23">
        <f>DATE(YEAR(OneWeekMtgRatesDataTable75[[#This Row],[asOf]]),MONTH(OneWeekMtgRatesDataTable75[[#This Row],[asOf]]),DAY(OneWeekMtgRatesDataTable75[[#This Row],[asOf]]))</f>
        <v>41457</v>
      </c>
      <c r="R772" s="19">
        <v>4.29</v>
      </c>
      <c r="S772" s="19">
        <v>0.7</v>
      </c>
      <c r="T772" s="19">
        <v>4.2149999999999999</v>
      </c>
      <c r="V772" s="48" t="s">
        <v>1067</v>
      </c>
      <c r="W772" s="48" t="s">
        <v>1832</v>
      </c>
      <c r="X772" s="51">
        <v>3.4880159980232399</v>
      </c>
      <c r="Z772" s="48" t="s">
        <v>1061</v>
      </c>
      <c r="AA772" s="51">
        <v>0.98456375299999999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1062</v>
      </c>
      <c r="Q773" s="23">
        <f>DATE(YEAR(OneWeekMtgRatesDataTable75[[#This Row],[asOf]]),MONTH(OneWeekMtgRatesDataTable75[[#This Row],[asOf]]),DAY(OneWeekMtgRatesDataTable75[[#This Row],[asOf]]))</f>
        <v>41456</v>
      </c>
      <c r="R773" s="19">
        <v>4.29</v>
      </c>
      <c r="S773" s="19">
        <v>0.7</v>
      </c>
      <c r="T773" s="19">
        <v>4.2149999999999999</v>
      </c>
      <c r="V773" s="48" t="s">
        <v>1066</v>
      </c>
      <c r="W773" s="48" t="s">
        <v>1832</v>
      </c>
      <c r="X773" s="51">
        <v>3.5446391609564598</v>
      </c>
      <c r="Z773" s="48" t="s">
        <v>1060</v>
      </c>
      <c r="AA773" s="51">
        <v>0.98456375299999999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1061</v>
      </c>
      <c r="Q774" s="23">
        <f>DATE(YEAR(OneWeekMtgRatesDataTable75[[#This Row],[asOf]]),MONTH(OneWeekMtgRatesDataTable75[[#This Row],[asOf]]),DAY(OneWeekMtgRatesDataTable75[[#This Row],[asOf]]))</f>
        <v>41453</v>
      </c>
      <c r="R774" s="19">
        <v>4.29</v>
      </c>
      <c r="S774" s="19">
        <v>0.7</v>
      </c>
      <c r="T774" s="19">
        <v>4.2149999999999999</v>
      </c>
      <c r="V774" s="48" t="s">
        <v>1065</v>
      </c>
      <c r="W774" s="48" t="s">
        <v>1832</v>
      </c>
      <c r="X774" s="51">
        <v>3.6732513531495798</v>
      </c>
      <c r="Z774" s="48" t="s">
        <v>1059</v>
      </c>
      <c r="AA774" s="51">
        <v>0.98456375299999999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1060</v>
      </c>
      <c r="Q775" s="23">
        <f>DATE(YEAR(OneWeekMtgRatesDataTable75[[#This Row],[asOf]]),MONTH(OneWeekMtgRatesDataTable75[[#This Row],[asOf]]),DAY(OneWeekMtgRatesDataTable75[[#This Row],[asOf]]))</f>
        <v>41452</v>
      </c>
      <c r="R775" s="19">
        <v>4.29</v>
      </c>
      <c r="S775" s="19">
        <v>0.7</v>
      </c>
      <c r="T775" s="19">
        <v>4.2149999999999999</v>
      </c>
      <c r="V775" s="48" t="s">
        <v>1064</v>
      </c>
      <c r="W775" s="48" t="s">
        <v>1832</v>
      </c>
      <c r="X775" s="51">
        <v>3.3689245044101299</v>
      </c>
      <c r="Z775" s="48" t="s">
        <v>1058</v>
      </c>
      <c r="AA775" s="51">
        <v>0.88065906400000005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1059</v>
      </c>
      <c r="Q776" s="23">
        <f>DATE(YEAR(OneWeekMtgRatesDataTable75[[#This Row],[asOf]]),MONTH(OneWeekMtgRatesDataTable75[[#This Row],[asOf]]),DAY(OneWeekMtgRatesDataTable75[[#This Row],[asOf]]))</f>
        <v>41451</v>
      </c>
      <c r="R776" s="19">
        <v>4.46</v>
      </c>
      <c r="S776" s="19">
        <v>0.8</v>
      </c>
      <c r="T776" s="19">
        <v>4.41</v>
      </c>
      <c r="V776" s="48" t="s">
        <v>1063</v>
      </c>
      <c r="W776" s="48" t="s">
        <v>1832</v>
      </c>
      <c r="X776" s="51">
        <v>3.3118182496923301</v>
      </c>
      <c r="Z776" s="48" t="s">
        <v>1057</v>
      </c>
      <c r="AA776" s="51">
        <v>0.88065906400000005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1058</v>
      </c>
      <c r="Q777" s="23">
        <f>DATE(YEAR(OneWeekMtgRatesDataTable75[[#This Row],[asOf]]),MONTH(OneWeekMtgRatesDataTable75[[#This Row],[asOf]]),DAY(OneWeekMtgRatesDataTable75[[#This Row],[asOf]]))</f>
        <v>41450</v>
      </c>
      <c r="R777" s="19">
        <v>4.46</v>
      </c>
      <c r="S777" s="19">
        <v>0.8</v>
      </c>
      <c r="T777" s="19">
        <v>4.41</v>
      </c>
      <c r="V777" s="48" t="s">
        <v>1062</v>
      </c>
      <c r="W777" s="48" t="s">
        <v>1832</v>
      </c>
      <c r="X777" s="51">
        <v>3.2979461773808199</v>
      </c>
      <c r="Z777" s="48" t="s">
        <v>1056</v>
      </c>
      <c r="AA777" s="51">
        <v>0.88065906400000005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1057</v>
      </c>
      <c r="Q778" s="23">
        <f>DATE(YEAR(OneWeekMtgRatesDataTable75[[#This Row],[asOf]]),MONTH(OneWeekMtgRatesDataTable75[[#This Row],[asOf]]),DAY(OneWeekMtgRatesDataTable75[[#This Row],[asOf]]))</f>
        <v>41449</v>
      </c>
      <c r="R778" s="19">
        <v>4.46</v>
      </c>
      <c r="S778" s="19">
        <v>0.8</v>
      </c>
      <c r="T778" s="19">
        <v>4.41</v>
      </c>
      <c r="V778" s="48" t="s">
        <v>1061</v>
      </c>
      <c r="W778" s="48" t="s">
        <v>1832</v>
      </c>
      <c r="X778" s="51">
        <v>3.3094496735702101</v>
      </c>
      <c r="Z778" s="48" t="s">
        <v>1055</v>
      </c>
      <c r="AA778" s="51">
        <v>0.88065906400000005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1056</v>
      </c>
      <c r="Q779" s="23">
        <f>DATE(YEAR(OneWeekMtgRatesDataTable75[[#This Row],[asOf]]),MONTH(OneWeekMtgRatesDataTable75[[#This Row],[asOf]]),DAY(OneWeekMtgRatesDataTable75[[#This Row],[asOf]]))</f>
        <v>41446</v>
      </c>
      <c r="R779" s="19">
        <v>4.46</v>
      </c>
      <c r="S779" s="19">
        <v>0.8</v>
      </c>
      <c r="T779" s="19">
        <v>4.41</v>
      </c>
      <c r="V779" s="48" t="s">
        <v>1060</v>
      </c>
      <c r="W779" s="48" t="s">
        <v>1832</v>
      </c>
      <c r="X779" s="51">
        <v>3.3206581307608101</v>
      </c>
      <c r="Z779" s="48" t="s">
        <v>1054</v>
      </c>
      <c r="AA779" s="51">
        <v>0.88065906400000005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1055</v>
      </c>
      <c r="Q780" s="23">
        <f>DATE(YEAR(OneWeekMtgRatesDataTable75[[#This Row],[asOf]]),MONTH(OneWeekMtgRatesDataTable75[[#This Row],[asOf]]),DAY(OneWeekMtgRatesDataTable75[[#This Row],[asOf]]))</f>
        <v>41445</v>
      </c>
      <c r="R780" s="19">
        <v>4.46</v>
      </c>
      <c r="S780" s="19">
        <v>0.8</v>
      </c>
      <c r="T780" s="19">
        <v>4.41</v>
      </c>
      <c r="V780" s="48" t="s">
        <v>1059</v>
      </c>
      <c r="W780" s="48" t="s">
        <v>1832</v>
      </c>
      <c r="X780" s="51">
        <v>3.44274839511578</v>
      </c>
      <c r="Z780" s="48" t="s">
        <v>1053</v>
      </c>
      <c r="AA780" s="51">
        <v>0.91416362100000004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1054</v>
      </c>
      <c r="Q781" s="23">
        <f>DATE(YEAR(OneWeekMtgRatesDataTable75[[#This Row],[asOf]]),MONTH(OneWeekMtgRatesDataTable75[[#This Row],[asOf]]),DAY(OneWeekMtgRatesDataTable75[[#This Row],[asOf]]))</f>
        <v>41444</v>
      </c>
      <c r="R781" s="19">
        <v>3.93</v>
      </c>
      <c r="S781" s="19">
        <v>0.8</v>
      </c>
      <c r="T781" s="19">
        <v>3.8800000000000003</v>
      </c>
      <c r="V781" s="48" t="s">
        <v>1058</v>
      </c>
      <c r="W781" s="48" t="s">
        <v>1832</v>
      </c>
      <c r="X781" s="51">
        <v>3.4979073592115801</v>
      </c>
      <c r="Z781" s="48" t="s">
        <v>1052</v>
      </c>
      <c r="AA781" s="51">
        <v>0.91416362100000004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1053</v>
      </c>
      <c r="Q782" s="23">
        <f>DATE(YEAR(OneWeekMtgRatesDataTable75[[#This Row],[asOf]]),MONTH(OneWeekMtgRatesDataTable75[[#This Row],[asOf]]),DAY(OneWeekMtgRatesDataTable75[[#This Row],[asOf]]))</f>
        <v>41443</v>
      </c>
      <c r="R782" s="19">
        <v>3.93</v>
      </c>
      <c r="S782" s="19">
        <v>0.8</v>
      </c>
      <c r="T782" s="19">
        <v>3.8800000000000003</v>
      </c>
      <c r="V782" s="48" t="s">
        <v>1057</v>
      </c>
      <c r="W782" s="48" t="s">
        <v>1832</v>
      </c>
      <c r="X782" s="51">
        <v>3.4842821250923999</v>
      </c>
      <c r="Z782" s="48" t="s">
        <v>1051</v>
      </c>
      <c r="AA782" s="51">
        <v>0.91416362100000004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1052</v>
      </c>
      <c r="Q783" s="23">
        <f>DATE(YEAR(OneWeekMtgRatesDataTable75[[#This Row],[asOf]]),MONTH(OneWeekMtgRatesDataTable75[[#This Row],[asOf]]),DAY(OneWeekMtgRatesDataTable75[[#This Row],[asOf]]))</f>
        <v>41442</v>
      </c>
      <c r="R783" s="19">
        <v>3.93</v>
      </c>
      <c r="S783" s="19">
        <v>0.8</v>
      </c>
      <c r="T783" s="19">
        <v>3.8800000000000003</v>
      </c>
      <c r="V783" s="48" t="s">
        <v>1056</v>
      </c>
      <c r="W783" s="48" t="s">
        <v>1832</v>
      </c>
      <c r="X783" s="51">
        <v>3.4290560333253501</v>
      </c>
      <c r="Z783" s="48" t="s">
        <v>1050</v>
      </c>
      <c r="AA783" s="51">
        <v>0.91416362100000004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1051</v>
      </c>
      <c r="Q784" s="23">
        <f>DATE(YEAR(OneWeekMtgRatesDataTable75[[#This Row],[asOf]]),MONTH(OneWeekMtgRatesDataTable75[[#This Row],[asOf]]),DAY(OneWeekMtgRatesDataTable75[[#This Row],[asOf]]))</f>
        <v>41439</v>
      </c>
      <c r="R784" s="19">
        <v>3.93</v>
      </c>
      <c r="S784" s="19">
        <v>0.8</v>
      </c>
      <c r="T784" s="19">
        <v>3.8800000000000003</v>
      </c>
      <c r="V784" s="48" t="s">
        <v>1055</v>
      </c>
      <c r="W784" s="48" t="s">
        <v>1832</v>
      </c>
      <c r="X784" s="51">
        <v>3.2731873242540099</v>
      </c>
      <c r="Z784" s="48" t="s">
        <v>1049</v>
      </c>
      <c r="AA784" s="51">
        <v>0.91416362100000004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1050</v>
      </c>
      <c r="Q785" s="23">
        <f>DATE(YEAR(OneWeekMtgRatesDataTable75[[#This Row],[asOf]]),MONTH(OneWeekMtgRatesDataTable75[[#This Row],[asOf]]),DAY(OneWeekMtgRatesDataTable75[[#This Row],[asOf]]))</f>
        <v>41438</v>
      </c>
      <c r="R785" s="19">
        <v>3.93</v>
      </c>
      <c r="S785" s="19">
        <v>0.8</v>
      </c>
      <c r="T785" s="19">
        <v>3.8800000000000003</v>
      </c>
      <c r="V785" s="48" t="s">
        <v>1054</v>
      </c>
      <c r="W785" s="48" t="s">
        <v>1832</v>
      </c>
      <c r="X785" s="51">
        <v>3.1273804098375502</v>
      </c>
      <c r="Z785" s="48" t="s">
        <v>1048</v>
      </c>
      <c r="AA785" s="51">
        <v>0.87785175599999998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1049</v>
      </c>
      <c r="Q786" s="23">
        <f>DATE(YEAR(OneWeekMtgRatesDataTable75[[#This Row],[asOf]]),MONTH(OneWeekMtgRatesDataTable75[[#This Row],[asOf]]),DAY(OneWeekMtgRatesDataTable75[[#This Row],[asOf]]))</f>
        <v>41437</v>
      </c>
      <c r="R786" s="19">
        <v>3.98</v>
      </c>
      <c r="S786" s="19">
        <v>0.7</v>
      </c>
      <c r="T786" s="19">
        <v>3.9049999999999998</v>
      </c>
      <c r="V786" s="48" t="s">
        <v>1053</v>
      </c>
      <c r="W786" s="48" t="s">
        <v>1832</v>
      </c>
      <c r="X786" s="51">
        <v>2.9821306488123902</v>
      </c>
      <c r="Z786" s="48" t="s">
        <v>1047</v>
      </c>
      <c r="AA786" s="51">
        <v>0.87785175599999998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1048</v>
      </c>
      <c r="Q787" s="23">
        <f>DATE(YEAR(OneWeekMtgRatesDataTable75[[#This Row],[asOf]]),MONTH(OneWeekMtgRatesDataTable75[[#This Row],[asOf]]),DAY(OneWeekMtgRatesDataTable75[[#This Row],[asOf]]))</f>
        <v>41436</v>
      </c>
      <c r="R787" s="19">
        <v>3.98</v>
      </c>
      <c r="S787" s="19">
        <v>0.7</v>
      </c>
      <c r="T787" s="19">
        <v>3.9049999999999998</v>
      </c>
      <c r="V787" s="48" t="s">
        <v>1052</v>
      </c>
      <c r="W787" s="48" t="s">
        <v>1832</v>
      </c>
      <c r="X787" s="51">
        <v>2.9838518305616502</v>
      </c>
      <c r="Z787" s="48" t="s">
        <v>1046</v>
      </c>
      <c r="AA787" s="51">
        <v>0.87785175599999998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1047</v>
      </c>
      <c r="Q788" s="23">
        <f>DATE(YEAR(OneWeekMtgRatesDataTable75[[#This Row],[asOf]]),MONTH(OneWeekMtgRatesDataTable75[[#This Row],[asOf]]),DAY(OneWeekMtgRatesDataTable75[[#This Row],[asOf]]))</f>
        <v>41435</v>
      </c>
      <c r="R788" s="19">
        <v>3.98</v>
      </c>
      <c r="S788" s="19">
        <v>0.7</v>
      </c>
      <c r="T788" s="19">
        <v>3.9049999999999998</v>
      </c>
      <c r="V788" s="48" t="s">
        <v>1051</v>
      </c>
      <c r="W788" s="48" t="s">
        <v>1832</v>
      </c>
      <c r="X788" s="51">
        <v>2.93282407442446</v>
      </c>
      <c r="Z788" s="48" t="s">
        <v>1045</v>
      </c>
      <c r="AA788" s="51">
        <v>0.87785175599999998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1046</v>
      </c>
      <c r="Q789" s="23">
        <f>DATE(YEAR(OneWeekMtgRatesDataTable75[[#This Row],[asOf]]),MONTH(OneWeekMtgRatesDataTable75[[#This Row],[asOf]]),DAY(OneWeekMtgRatesDataTable75[[#This Row],[asOf]]))</f>
        <v>41432</v>
      </c>
      <c r="R789" s="19">
        <v>3.98</v>
      </c>
      <c r="S789" s="19">
        <v>0.7</v>
      </c>
      <c r="T789" s="19">
        <v>3.9049999999999998</v>
      </c>
      <c r="V789" s="48" t="s">
        <v>1050</v>
      </c>
      <c r="W789" s="48" t="s">
        <v>1832</v>
      </c>
      <c r="X789" s="51">
        <v>2.97051771574304</v>
      </c>
      <c r="Z789" s="48" t="s">
        <v>1044</v>
      </c>
      <c r="AA789" s="51">
        <v>0.87785175599999998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1045</v>
      </c>
      <c r="Q790" s="23">
        <f>DATE(YEAR(OneWeekMtgRatesDataTable75[[#This Row],[asOf]]),MONTH(OneWeekMtgRatesDataTable75[[#This Row],[asOf]]),DAY(OneWeekMtgRatesDataTable75[[#This Row],[asOf]]))</f>
        <v>41431</v>
      </c>
      <c r="R790" s="19">
        <v>3.98</v>
      </c>
      <c r="S790" s="19">
        <v>0.7</v>
      </c>
      <c r="T790" s="19">
        <v>3.9049999999999998</v>
      </c>
      <c r="V790" s="48" t="s">
        <v>1049</v>
      </c>
      <c r="W790" s="48" t="s">
        <v>1832</v>
      </c>
      <c r="X790" s="51">
        <v>3.0172986003180302</v>
      </c>
      <c r="Z790" s="48" t="s">
        <v>1043</v>
      </c>
      <c r="AA790" s="51">
        <v>0.88486679899999998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1044</v>
      </c>
      <c r="Q791" s="23">
        <f>DATE(YEAR(OneWeekMtgRatesDataTable75[[#This Row],[asOf]]),MONTH(OneWeekMtgRatesDataTable75[[#This Row],[asOf]]),DAY(OneWeekMtgRatesDataTable75[[#This Row],[asOf]]))</f>
        <v>41430</v>
      </c>
      <c r="R791" s="19">
        <v>3.91</v>
      </c>
      <c r="S791" s="19">
        <v>0.7</v>
      </c>
      <c r="T791" s="19">
        <v>3.835</v>
      </c>
      <c r="V791" s="48" t="s">
        <v>1048</v>
      </c>
      <c r="W791" s="48" t="s">
        <v>1832</v>
      </c>
      <c r="X791" s="51">
        <v>2.9886237940572</v>
      </c>
      <c r="Z791" s="48" t="s">
        <v>1042</v>
      </c>
      <c r="AA791" s="51">
        <v>0.88486679899999998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1043</v>
      </c>
      <c r="Q792" s="23">
        <f>DATE(YEAR(OneWeekMtgRatesDataTable75[[#This Row],[asOf]]),MONTH(OneWeekMtgRatesDataTable75[[#This Row],[asOf]]),DAY(OneWeekMtgRatesDataTable75[[#This Row],[asOf]]))</f>
        <v>41429</v>
      </c>
      <c r="R792" s="19">
        <v>3.91</v>
      </c>
      <c r="S792" s="19">
        <v>0.7</v>
      </c>
      <c r="T792" s="19">
        <v>3.835</v>
      </c>
      <c r="V792" s="48" t="s">
        <v>1047</v>
      </c>
      <c r="W792" s="48" t="s">
        <v>1832</v>
      </c>
      <c r="X792" s="51">
        <v>3.0187503286824402</v>
      </c>
      <c r="Z792" s="48" t="s">
        <v>1041</v>
      </c>
      <c r="AA792" s="51">
        <v>0.88486679899999998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1042</v>
      </c>
      <c r="Q793" s="23">
        <f>DATE(YEAR(OneWeekMtgRatesDataTable75[[#This Row],[asOf]]),MONTH(OneWeekMtgRatesDataTable75[[#This Row],[asOf]]),DAY(OneWeekMtgRatesDataTable75[[#This Row],[asOf]]))</f>
        <v>41428</v>
      </c>
      <c r="R793" s="19">
        <v>3.91</v>
      </c>
      <c r="S793" s="19">
        <v>0.7</v>
      </c>
      <c r="T793" s="19">
        <v>3.835</v>
      </c>
      <c r="V793" s="48" t="s">
        <v>1046</v>
      </c>
      <c r="W793" s="48" t="s">
        <v>1832</v>
      </c>
      <c r="X793" s="51">
        <v>2.9931159990094902</v>
      </c>
      <c r="Z793" s="48" t="s">
        <v>1040</v>
      </c>
      <c r="AA793" s="51">
        <v>0.88486679899999998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1041</v>
      </c>
      <c r="Q794" s="23">
        <f>DATE(YEAR(OneWeekMtgRatesDataTable75[[#This Row],[asOf]]),MONTH(OneWeekMtgRatesDataTable75[[#This Row],[asOf]]),DAY(OneWeekMtgRatesDataTable75[[#This Row],[asOf]]))</f>
        <v>41425</v>
      </c>
      <c r="R794" s="19">
        <v>3.91</v>
      </c>
      <c r="S794" s="19">
        <v>0.7</v>
      </c>
      <c r="T794" s="19">
        <v>3.835</v>
      </c>
      <c r="V794" s="48" t="s">
        <v>1045</v>
      </c>
      <c r="W794" s="48" t="s">
        <v>1832</v>
      </c>
      <c r="X794" s="51">
        <v>2.9363931746100702</v>
      </c>
      <c r="Z794" s="48" t="s">
        <v>1039</v>
      </c>
      <c r="AA794" s="51">
        <v>0.88486679899999998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1040</v>
      </c>
      <c r="Q795" s="23">
        <f>DATE(YEAR(OneWeekMtgRatesDataTable75[[#This Row],[asOf]]),MONTH(OneWeekMtgRatesDataTable75[[#This Row],[asOf]]),DAY(OneWeekMtgRatesDataTable75[[#This Row],[asOf]]))</f>
        <v>41424</v>
      </c>
      <c r="R795" s="19">
        <v>3.91</v>
      </c>
      <c r="S795" s="19">
        <v>0.7</v>
      </c>
      <c r="T795" s="19">
        <v>3.835</v>
      </c>
      <c r="V795" s="48" t="s">
        <v>1044</v>
      </c>
      <c r="W795" s="48" t="s">
        <v>1832</v>
      </c>
      <c r="X795" s="51">
        <v>2.9737219853978498</v>
      </c>
      <c r="Z795" s="48" t="s">
        <v>1038</v>
      </c>
      <c r="AA795" s="51">
        <v>0.83189190199999996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1039</v>
      </c>
      <c r="Q796" s="23">
        <f>DATE(YEAR(OneWeekMtgRatesDataTable75[[#This Row],[asOf]]),MONTH(OneWeekMtgRatesDataTable75[[#This Row],[asOf]]),DAY(OneWeekMtgRatesDataTable75[[#This Row],[asOf]]))</f>
        <v>41423</v>
      </c>
      <c r="R796" s="19">
        <v>3.81</v>
      </c>
      <c r="S796" s="19">
        <v>0.8</v>
      </c>
      <c r="T796" s="19">
        <v>3.7600000000000002</v>
      </c>
      <c r="V796" s="48" t="s">
        <v>1043</v>
      </c>
      <c r="W796" s="48" t="s">
        <v>1832</v>
      </c>
      <c r="X796" s="51">
        <v>2.9897357672895799</v>
      </c>
      <c r="Z796" s="48" t="s">
        <v>1037</v>
      </c>
      <c r="AA796" s="51">
        <v>0.83189190199999996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1038</v>
      </c>
      <c r="Q797" s="23">
        <f>DATE(YEAR(OneWeekMtgRatesDataTable75[[#This Row],[asOf]]),MONTH(OneWeekMtgRatesDataTable75[[#This Row],[asOf]]),DAY(OneWeekMtgRatesDataTable75[[#This Row],[asOf]]))</f>
        <v>41422</v>
      </c>
      <c r="R797" s="19">
        <v>3.81</v>
      </c>
      <c r="S797" s="19">
        <v>0.8</v>
      </c>
      <c r="T797" s="19">
        <v>3.7600000000000002</v>
      </c>
      <c r="V797" s="48" t="s">
        <v>1042</v>
      </c>
      <c r="W797" s="48" t="s">
        <v>1832</v>
      </c>
      <c r="X797" s="51">
        <v>2.9603245306419401</v>
      </c>
      <c r="Z797" s="48" t="s">
        <v>1036</v>
      </c>
      <c r="AA797" s="51">
        <v>0.83189190199999996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1037</v>
      </c>
      <c r="Q798" s="23">
        <f>DATE(YEAR(OneWeekMtgRatesDataTable75[[#This Row],[asOf]]),MONTH(OneWeekMtgRatesDataTable75[[#This Row],[asOf]]),DAY(OneWeekMtgRatesDataTable75[[#This Row],[asOf]]))</f>
        <v>41418</v>
      </c>
      <c r="R798" s="19">
        <v>3.81</v>
      </c>
      <c r="S798" s="19">
        <v>0.8</v>
      </c>
      <c r="T798" s="19">
        <v>3.7600000000000002</v>
      </c>
      <c r="V798" s="48" t="s">
        <v>1041</v>
      </c>
      <c r="W798" s="48" t="s">
        <v>1832</v>
      </c>
      <c r="X798" s="51">
        <v>2.95731349620652</v>
      </c>
      <c r="Z798" s="48" t="s">
        <v>1035</v>
      </c>
      <c r="AA798" s="51">
        <v>0.83189190199999996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1036</v>
      </c>
      <c r="Q799" s="23">
        <f>DATE(YEAR(OneWeekMtgRatesDataTable75[[#This Row],[asOf]]),MONTH(OneWeekMtgRatesDataTable75[[#This Row],[asOf]]),DAY(OneWeekMtgRatesDataTable75[[#This Row],[asOf]]))</f>
        <v>41417</v>
      </c>
      <c r="R799" s="19">
        <v>3.81</v>
      </c>
      <c r="S799" s="19">
        <v>0.8</v>
      </c>
      <c r="T799" s="19">
        <v>3.7600000000000002</v>
      </c>
      <c r="V799" s="48" t="s">
        <v>1040</v>
      </c>
      <c r="W799" s="48" t="s">
        <v>1832</v>
      </c>
      <c r="X799" s="51">
        <v>2.9046454407398898</v>
      </c>
      <c r="Z799" s="48" t="s">
        <v>1034</v>
      </c>
      <c r="AA799" s="51">
        <v>0.82917950100000004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1035</v>
      </c>
      <c r="Q800" s="23">
        <f>DATE(YEAR(OneWeekMtgRatesDataTable75[[#This Row],[asOf]]),MONTH(OneWeekMtgRatesDataTable75[[#This Row],[asOf]]),DAY(OneWeekMtgRatesDataTable75[[#This Row],[asOf]]))</f>
        <v>41416</v>
      </c>
      <c r="R800" s="19">
        <v>3.59</v>
      </c>
      <c r="S800" s="19">
        <v>0.7</v>
      </c>
      <c r="T800" s="19">
        <v>3.5149999999999997</v>
      </c>
      <c r="V800" s="48" t="s">
        <v>1039</v>
      </c>
      <c r="W800" s="48" t="s">
        <v>1832</v>
      </c>
      <c r="X800" s="51">
        <v>2.9196928046626902</v>
      </c>
      <c r="Z800" s="48" t="s">
        <v>1033</v>
      </c>
      <c r="AA800" s="51">
        <v>0.82917950100000004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1034</v>
      </c>
      <c r="Q801" s="23">
        <f>DATE(YEAR(OneWeekMtgRatesDataTable75[[#This Row],[asOf]]),MONTH(OneWeekMtgRatesDataTable75[[#This Row],[asOf]]),DAY(OneWeekMtgRatesDataTable75[[#This Row],[asOf]]))</f>
        <v>41415</v>
      </c>
      <c r="R801" s="19">
        <v>3.59</v>
      </c>
      <c r="S801" s="19">
        <v>0.7</v>
      </c>
      <c r="T801" s="19">
        <v>3.5149999999999997</v>
      </c>
      <c r="V801" s="48" t="s">
        <v>1038</v>
      </c>
      <c r="W801" s="48" t="s">
        <v>1832</v>
      </c>
      <c r="X801" s="51">
        <v>2.9439593784478002</v>
      </c>
      <c r="Z801" s="48" t="s">
        <v>1032</v>
      </c>
      <c r="AA801" s="51">
        <v>0.82917950100000004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1033</v>
      </c>
      <c r="Q802" s="23">
        <f>DATE(YEAR(OneWeekMtgRatesDataTable75[[#This Row],[asOf]]),MONTH(OneWeekMtgRatesDataTable75[[#This Row],[asOf]]),DAY(OneWeekMtgRatesDataTable75[[#This Row],[asOf]]))</f>
        <v>41414</v>
      </c>
      <c r="R802" s="19">
        <v>3.59</v>
      </c>
      <c r="S802" s="19">
        <v>0.7</v>
      </c>
      <c r="T802" s="19">
        <v>3.5149999999999997</v>
      </c>
      <c r="V802" s="48" t="s">
        <v>1037</v>
      </c>
      <c r="W802" s="48" t="s">
        <v>1832</v>
      </c>
      <c r="X802" s="51">
        <v>2.8149731764108399</v>
      </c>
      <c r="Z802" s="48" t="s">
        <v>1031</v>
      </c>
      <c r="AA802" s="51">
        <v>0.82917950100000004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1032</v>
      </c>
      <c r="Q803" s="23">
        <f>DATE(YEAR(OneWeekMtgRatesDataTable75[[#This Row],[asOf]]),MONTH(OneWeekMtgRatesDataTable75[[#This Row],[asOf]]),DAY(OneWeekMtgRatesDataTable75[[#This Row],[asOf]]))</f>
        <v>41411</v>
      </c>
      <c r="R803" s="19">
        <v>3.59</v>
      </c>
      <c r="S803" s="19">
        <v>0.7</v>
      </c>
      <c r="T803" s="19">
        <v>3.5149999999999997</v>
      </c>
      <c r="V803" s="48" t="s">
        <v>1036</v>
      </c>
      <c r="W803" s="48" t="s">
        <v>1832</v>
      </c>
      <c r="X803" s="51">
        <v>2.8219074459123799</v>
      </c>
      <c r="Z803" s="48" t="s">
        <v>1030</v>
      </c>
      <c r="AA803" s="51">
        <v>0.82917950100000004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1031</v>
      </c>
      <c r="Q804" s="23">
        <f>DATE(YEAR(OneWeekMtgRatesDataTable75[[#This Row],[asOf]]),MONTH(OneWeekMtgRatesDataTable75[[#This Row],[asOf]]),DAY(OneWeekMtgRatesDataTable75[[#This Row],[asOf]]))</f>
        <v>41410</v>
      </c>
      <c r="R804" s="19">
        <v>3.59</v>
      </c>
      <c r="S804" s="19">
        <v>0.7</v>
      </c>
      <c r="T804" s="19">
        <v>3.5149999999999997</v>
      </c>
      <c r="V804" s="48" t="s">
        <v>1035</v>
      </c>
      <c r="W804" s="48" t="s">
        <v>1832</v>
      </c>
      <c r="X804" s="51">
        <v>2.78843998218461</v>
      </c>
      <c r="Z804" s="48" t="s">
        <v>1029</v>
      </c>
      <c r="AA804" s="51">
        <v>0.89859093899999998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1030</v>
      </c>
      <c r="Q805" s="23">
        <f>DATE(YEAR(OneWeekMtgRatesDataTable75[[#This Row],[asOf]]),MONTH(OneWeekMtgRatesDataTable75[[#This Row],[asOf]]),DAY(OneWeekMtgRatesDataTable75[[#This Row],[asOf]]))</f>
        <v>41409</v>
      </c>
      <c r="R805" s="19">
        <v>3.51</v>
      </c>
      <c r="S805" s="19">
        <v>0.7</v>
      </c>
      <c r="T805" s="19">
        <v>3.4349999999999996</v>
      </c>
      <c r="V805" s="48" t="s">
        <v>1034</v>
      </c>
      <c r="W805" s="48" t="s">
        <v>1832</v>
      </c>
      <c r="X805" s="51">
        <v>2.6645260639550199</v>
      </c>
      <c r="Z805" s="48" t="s">
        <v>1028</v>
      </c>
      <c r="AA805" s="51">
        <v>0.89859093899999998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1029</v>
      </c>
      <c r="Q806" s="23">
        <f>DATE(YEAR(OneWeekMtgRatesDataTable75[[#This Row],[asOf]]),MONTH(OneWeekMtgRatesDataTable75[[#This Row],[asOf]]),DAY(OneWeekMtgRatesDataTable75[[#This Row],[asOf]]))</f>
        <v>41408</v>
      </c>
      <c r="R806" s="19">
        <v>3.51</v>
      </c>
      <c r="S806" s="19">
        <v>0.7</v>
      </c>
      <c r="T806" s="19">
        <v>3.4349999999999996</v>
      </c>
      <c r="V806" s="48" t="s">
        <v>1033</v>
      </c>
      <c r="W806" s="48" t="s">
        <v>1832</v>
      </c>
      <c r="X806" s="51">
        <v>2.7128835423314301</v>
      </c>
      <c r="Z806" s="48" t="s">
        <v>1027</v>
      </c>
      <c r="AA806" s="51">
        <v>0.89859093899999998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1028</v>
      </c>
      <c r="Q807" s="23">
        <f>DATE(YEAR(OneWeekMtgRatesDataTable75[[#This Row],[asOf]]),MONTH(OneWeekMtgRatesDataTable75[[#This Row],[asOf]]),DAY(OneWeekMtgRatesDataTable75[[#This Row],[asOf]]))</f>
        <v>41407</v>
      </c>
      <c r="R807" s="19">
        <v>3.51</v>
      </c>
      <c r="S807" s="19">
        <v>0.7</v>
      </c>
      <c r="T807" s="19">
        <v>3.4349999999999996</v>
      </c>
      <c r="V807" s="48" t="s">
        <v>1032</v>
      </c>
      <c r="W807" s="48" t="s">
        <v>1832</v>
      </c>
      <c r="X807" s="51">
        <v>2.6858134280305799</v>
      </c>
      <c r="Z807" s="48" t="s">
        <v>1026</v>
      </c>
      <c r="AA807" s="51">
        <v>0.89859093899999998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1027</v>
      </c>
      <c r="Q808" s="23">
        <f>DATE(YEAR(OneWeekMtgRatesDataTable75[[#This Row],[asOf]]),MONTH(OneWeekMtgRatesDataTable75[[#This Row],[asOf]]),DAY(OneWeekMtgRatesDataTable75[[#This Row],[asOf]]))</f>
        <v>41404</v>
      </c>
      <c r="R808" s="19">
        <v>3.51</v>
      </c>
      <c r="S808" s="19">
        <v>0.7</v>
      </c>
      <c r="T808" s="19">
        <v>3.4349999999999996</v>
      </c>
      <c r="V808" s="48" t="s">
        <v>1031</v>
      </c>
      <c r="W808" s="48" t="s">
        <v>1832</v>
      </c>
      <c r="X808" s="51">
        <v>2.5638774739999999</v>
      </c>
      <c r="Z808" s="48" t="s">
        <v>1025</v>
      </c>
      <c r="AA808" s="51">
        <v>0.89859093899999998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1026</v>
      </c>
      <c r="Q809" s="23">
        <f>DATE(YEAR(OneWeekMtgRatesDataTable75[[#This Row],[asOf]]),MONTH(OneWeekMtgRatesDataTable75[[#This Row],[asOf]]),DAY(OneWeekMtgRatesDataTable75[[#This Row],[asOf]]))</f>
        <v>41403</v>
      </c>
      <c r="R809" s="19">
        <v>3.51</v>
      </c>
      <c r="S809" s="19">
        <v>0.7</v>
      </c>
      <c r="T809" s="19">
        <v>3.4349999999999996</v>
      </c>
      <c r="V809" s="48" t="s">
        <v>1030</v>
      </c>
      <c r="W809" s="48" t="s">
        <v>1832</v>
      </c>
      <c r="X809" s="51">
        <v>2.6618664133932302</v>
      </c>
      <c r="Z809" s="48" t="s">
        <v>1024</v>
      </c>
      <c r="AA809" s="51">
        <v>0.90495480800000005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1025</v>
      </c>
      <c r="Q810" s="23">
        <f>DATE(YEAR(OneWeekMtgRatesDataTable75[[#This Row],[asOf]]),MONTH(OneWeekMtgRatesDataTable75[[#This Row],[asOf]]),DAY(OneWeekMtgRatesDataTable75[[#This Row],[asOf]]))</f>
        <v>41402</v>
      </c>
      <c r="R810" s="19">
        <v>3.42</v>
      </c>
      <c r="S810" s="19">
        <v>0.7</v>
      </c>
      <c r="T810" s="19">
        <v>3.3449999999999998</v>
      </c>
      <c r="V810" s="48" t="s">
        <v>1029</v>
      </c>
      <c r="W810" s="48" t="s">
        <v>1832</v>
      </c>
      <c r="X810" s="51">
        <v>2.6627244928863401</v>
      </c>
      <c r="Z810" s="48" t="s">
        <v>1023</v>
      </c>
      <c r="AA810" s="51">
        <v>0.90495480800000005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1024</v>
      </c>
      <c r="Q811" s="23">
        <f>DATE(YEAR(OneWeekMtgRatesDataTable75[[#This Row],[asOf]]),MONTH(OneWeekMtgRatesDataTable75[[#This Row],[asOf]]),DAY(OneWeekMtgRatesDataTable75[[#This Row],[asOf]]))</f>
        <v>41401</v>
      </c>
      <c r="R811" s="19">
        <v>3.42</v>
      </c>
      <c r="S811" s="19">
        <v>0.7</v>
      </c>
      <c r="T811" s="19">
        <v>3.3449999999999998</v>
      </c>
      <c r="V811" s="48" t="s">
        <v>1028</v>
      </c>
      <c r="W811" s="48" t="s">
        <v>1832</v>
      </c>
      <c r="X811" s="51">
        <v>2.6209995675214</v>
      </c>
      <c r="Z811" s="48" t="s">
        <v>1022</v>
      </c>
      <c r="AA811" s="51">
        <v>0.90495480800000005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1023</v>
      </c>
      <c r="Q812" s="23">
        <f>DATE(YEAR(OneWeekMtgRatesDataTable75[[#This Row],[asOf]]),MONTH(OneWeekMtgRatesDataTable75[[#This Row],[asOf]]),DAY(OneWeekMtgRatesDataTable75[[#This Row],[asOf]]))</f>
        <v>41400</v>
      </c>
      <c r="R812" s="19">
        <v>3.42</v>
      </c>
      <c r="S812" s="19">
        <v>0.7</v>
      </c>
      <c r="T812" s="19">
        <v>3.3449999999999998</v>
      </c>
      <c r="V812" s="48" t="s">
        <v>1027</v>
      </c>
      <c r="W812" s="48" t="s">
        <v>1832</v>
      </c>
      <c r="X812" s="51">
        <v>2.5868571182044802</v>
      </c>
      <c r="Z812" s="48" t="s">
        <v>1021</v>
      </c>
      <c r="AA812" s="51">
        <v>0.90495480800000005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1022</v>
      </c>
      <c r="Q813" s="23">
        <f>DATE(YEAR(OneWeekMtgRatesDataTable75[[#This Row],[asOf]]),MONTH(OneWeekMtgRatesDataTable75[[#This Row],[asOf]]),DAY(OneWeekMtgRatesDataTable75[[#This Row],[asOf]]))</f>
        <v>41397</v>
      </c>
      <c r="R813" s="19">
        <v>3.42</v>
      </c>
      <c r="S813" s="19">
        <v>0.7</v>
      </c>
      <c r="T813" s="19">
        <v>3.3449999999999998</v>
      </c>
      <c r="V813" s="48" t="s">
        <v>1026</v>
      </c>
      <c r="W813" s="48" t="s">
        <v>1832</v>
      </c>
      <c r="X813" s="51">
        <v>2.49665490312618</v>
      </c>
      <c r="Z813" s="48" t="s">
        <v>1020</v>
      </c>
      <c r="AA813" s="51">
        <v>0.90495480800000005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1021</v>
      </c>
      <c r="Q814" s="23">
        <f>DATE(YEAR(OneWeekMtgRatesDataTable75[[#This Row],[asOf]]),MONTH(OneWeekMtgRatesDataTable75[[#This Row],[asOf]]),DAY(OneWeekMtgRatesDataTable75[[#This Row],[asOf]]))</f>
        <v>41396</v>
      </c>
      <c r="R814" s="19">
        <v>3.42</v>
      </c>
      <c r="S814" s="19">
        <v>0.7</v>
      </c>
      <c r="T814" s="19">
        <v>3.3449999999999998</v>
      </c>
      <c r="V814" s="48" t="s">
        <v>1025</v>
      </c>
      <c r="W814" s="48" t="s">
        <v>1832</v>
      </c>
      <c r="X814" s="51">
        <v>2.4724453435903899</v>
      </c>
      <c r="Z814" s="48" t="s">
        <v>1019</v>
      </c>
      <c r="AA814" s="51">
        <v>0.91084602999999997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1020</v>
      </c>
      <c r="Q815" s="23">
        <f>DATE(YEAR(OneWeekMtgRatesDataTable75[[#This Row],[asOf]]),MONTH(OneWeekMtgRatesDataTable75[[#This Row],[asOf]]),DAY(OneWeekMtgRatesDataTable75[[#This Row],[asOf]]))</f>
        <v>41395</v>
      </c>
      <c r="R815" s="19">
        <v>3.35</v>
      </c>
      <c r="S815" s="19">
        <v>0.7</v>
      </c>
      <c r="T815" s="19">
        <v>3.2749999999999999</v>
      </c>
      <c r="V815" s="48" t="s">
        <v>1024</v>
      </c>
      <c r="W815" s="48" t="s">
        <v>1832</v>
      </c>
      <c r="X815" s="51">
        <v>2.48894298716524</v>
      </c>
      <c r="Z815" s="48" t="s">
        <v>1018</v>
      </c>
      <c r="AA815" s="51">
        <v>0.91084602999999997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1019</v>
      </c>
      <c r="Q816" s="23">
        <f>DATE(YEAR(OneWeekMtgRatesDataTable75[[#This Row],[asOf]]),MONTH(OneWeekMtgRatesDataTable75[[#This Row],[asOf]]),DAY(OneWeekMtgRatesDataTable75[[#This Row],[asOf]]))</f>
        <v>41394</v>
      </c>
      <c r="R816" s="19">
        <v>3.35</v>
      </c>
      <c r="S816" s="19">
        <v>0.7</v>
      </c>
      <c r="T816" s="19">
        <v>3.2749999999999999</v>
      </c>
      <c r="V816" s="48" t="s">
        <v>1023</v>
      </c>
      <c r="W816" s="48" t="s">
        <v>1832</v>
      </c>
      <c r="X816" s="51">
        <v>2.4724031733010898</v>
      </c>
      <c r="Z816" s="48" t="s">
        <v>1017</v>
      </c>
      <c r="AA816" s="51">
        <v>0.91084602999999997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1018</v>
      </c>
      <c r="Q817" s="23">
        <f>DATE(YEAR(OneWeekMtgRatesDataTable75[[#This Row],[asOf]]),MONTH(OneWeekMtgRatesDataTable75[[#This Row],[asOf]]),DAY(OneWeekMtgRatesDataTable75[[#This Row],[asOf]]))</f>
        <v>41393</v>
      </c>
      <c r="R817" s="19">
        <v>3.35</v>
      </c>
      <c r="S817" s="19">
        <v>0.7</v>
      </c>
      <c r="T817" s="19">
        <v>3.2749999999999999</v>
      </c>
      <c r="V817" s="48" t="s">
        <v>1022</v>
      </c>
      <c r="W817" s="48" t="s">
        <v>1832</v>
      </c>
      <c r="X817" s="51">
        <v>2.4561501214153099</v>
      </c>
      <c r="Z817" s="48" t="s">
        <v>1016</v>
      </c>
      <c r="AA817" s="51">
        <v>0.91084602999999997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1017</v>
      </c>
      <c r="Q818" s="23">
        <f>DATE(YEAR(OneWeekMtgRatesDataTable75[[#This Row],[asOf]]),MONTH(OneWeekMtgRatesDataTable75[[#This Row],[asOf]]),DAY(OneWeekMtgRatesDataTable75[[#This Row],[asOf]]))</f>
        <v>41390</v>
      </c>
      <c r="R818" s="19">
        <v>3.35</v>
      </c>
      <c r="S818" s="19">
        <v>0.7</v>
      </c>
      <c r="T818" s="19">
        <v>3.2749999999999999</v>
      </c>
      <c r="V818" s="48" t="s">
        <v>1021</v>
      </c>
      <c r="W818" s="48" t="s">
        <v>1832</v>
      </c>
      <c r="X818" s="51">
        <v>2.3421036791460899</v>
      </c>
      <c r="Z818" s="48" t="s">
        <v>1015</v>
      </c>
      <c r="AA818" s="51">
        <v>0.91084602999999997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1016</v>
      </c>
      <c r="Q819" s="23">
        <f>DATE(YEAR(OneWeekMtgRatesDataTable75[[#This Row],[asOf]]),MONTH(OneWeekMtgRatesDataTable75[[#This Row],[asOf]]),DAY(OneWeekMtgRatesDataTable75[[#This Row],[asOf]]))</f>
        <v>41389</v>
      </c>
      <c r="R819" s="19">
        <v>3.35</v>
      </c>
      <c r="S819" s="19">
        <v>0.7</v>
      </c>
      <c r="T819" s="19">
        <v>3.2749999999999999</v>
      </c>
      <c r="V819" s="48" t="s">
        <v>1020</v>
      </c>
      <c r="W819" s="48" t="s">
        <v>1832</v>
      </c>
      <c r="X819" s="51">
        <v>2.31035596660836</v>
      </c>
      <c r="Z819" s="48" t="s">
        <v>1014</v>
      </c>
      <c r="AA819" s="51">
        <v>0.87366480599999996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1015</v>
      </c>
      <c r="Q820" s="23">
        <f>DATE(YEAR(OneWeekMtgRatesDataTable75[[#This Row],[asOf]]),MONTH(OneWeekMtgRatesDataTable75[[#This Row],[asOf]]),DAY(OneWeekMtgRatesDataTable75[[#This Row],[asOf]]))</f>
        <v>41388</v>
      </c>
      <c r="R820" s="19">
        <v>3.4</v>
      </c>
      <c r="S820" s="19">
        <v>0.8</v>
      </c>
      <c r="T820" s="19">
        <v>3.35</v>
      </c>
      <c r="V820" s="48" t="s">
        <v>1019</v>
      </c>
      <c r="W820" s="48" t="s">
        <v>1832</v>
      </c>
      <c r="X820" s="51">
        <v>2.3535373905486399</v>
      </c>
      <c r="Z820" s="48" t="s">
        <v>1013</v>
      </c>
      <c r="AA820" s="51">
        <v>0.87366480599999996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1014</v>
      </c>
      <c r="Q821" s="23">
        <f>DATE(YEAR(OneWeekMtgRatesDataTable75[[#This Row],[asOf]]),MONTH(OneWeekMtgRatesDataTable75[[#This Row],[asOf]]),DAY(OneWeekMtgRatesDataTable75[[#This Row],[asOf]]))</f>
        <v>41387</v>
      </c>
      <c r="R821" s="19">
        <v>3.4</v>
      </c>
      <c r="S821" s="19">
        <v>0.8</v>
      </c>
      <c r="T821" s="19">
        <v>3.35</v>
      </c>
      <c r="V821" s="48" t="s">
        <v>1018</v>
      </c>
      <c r="W821" s="48" t="s">
        <v>1832</v>
      </c>
      <c r="X821" s="51">
        <v>2.37447920783596</v>
      </c>
      <c r="Z821" s="48" t="s">
        <v>1012</v>
      </c>
      <c r="AA821" s="51">
        <v>0.87366480599999996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1013</v>
      </c>
      <c r="Q822" s="23">
        <f>DATE(YEAR(OneWeekMtgRatesDataTable75[[#This Row],[asOf]]),MONTH(OneWeekMtgRatesDataTable75[[#This Row],[asOf]]),DAY(OneWeekMtgRatesDataTable75[[#This Row],[asOf]]))</f>
        <v>41386</v>
      </c>
      <c r="R822" s="19">
        <v>3.4</v>
      </c>
      <c r="S822" s="19">
        <v>0.8</v>
      </c>
      <c r="T822" s="19">
        <v>3.35</v>
      </c>
      <c r="V822" s="48" t="s">
        <v>1017</v>
      </c>
      <c r="W822" s="48" t="s">
        <v>1832</v>
      </c>
      <c r="X822" s="51">
        <v>2.3795080679074299</v>
      </c>
      <c r="Z822" s="48" t="s">
        <v>1011</v>
      </c>
      <c r="AA822" s="51">
        <v>0.87366480599999996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1012</v>
      </c>
      <c r="Q823" s="23">
        <f>DATE(YEAR(OneWeekMtgRatesDataTable75[[#This Row],[asOf]]),MONTH(OneWeekMtgRatesDataTable75[[#This Row],[asOf]]),DAY(OneWeekMtgRatesDataTable75[[#This Row],[asOf]]))</f>
        <v>41383</v>
      </c>
      <c r="R823" s="19">
        <v>3.4</v>
      </c>
      <c r="S823" s="19">
        <v>0.8</v>
      </c>
      <c r="T823" s="19">
        <v>3.35</v>
      </c>
      <c r="V823" s="48" t="s">
        <v>1016</v>
      </c>
      <c r="W823" s="48" t="s">
        <v>1832</v>
      </c>
      <c r="X823" s="51">
        <v>2.4323453281375</v>
      </c>
      <c r="Z823" s="48" t="s">
        <v>1010</v>
      </c>
      <c r="AA823" s="51">
        <v>0.87366480599999996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1011</v>
      </c>
      <c r="Q824" s="23">
        <f>DATE(YEAR(OneWeekMtgRatesDataTable75[[#This Row],[asOf]]),MONTH(OneWeekMtgRatesDataTable75[[#This Row],[asOf]]),DAY(OneWeekMtgRatesDataTable75[[#This Row],[asOf]]))</f>
        <v>41382</v>
      </c>
      <c r="R824" s="19">
        <v>3.4</v>
      </c>
      <c r="S824" s="19">
        <v>0.8</v>
      </c>
      <c r="T824" s="19">
        <v>3.35</v>
      </c>
      <c r="V824" s="48" t="s">
        <v>1015</v>
      </c>
      <c r="W824" s="48" t="s">
        <v>1832</v>
      </c>
      <c r="X824" s="51">
        <v>2.4323883653727401</v>
      </c>
      <c r="Z824" s="48" t="s">
        <v>1009</v>
      </c>
      <c r="AA824" s="51">
        <v>0.89712483700000001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1010</v>
      </c>
      <c r="Q825" s="23">
        <f>DATE(YEAR(OneWeekMtgRatesDataTable75[[#This Row],[asOf]]),MONTH(OneWeekMtgRatesDataTable75[[#This Row],[asOf]]),DAY(OneWeekMtgRatesDataTable75[[#This Row],[asOf]]))</f>
        <v>41381</v>
      </c>
      <c r="R825" s="19">
        <v>3.41</v>
      </c>
      <c r="S825" s="19">
        <v>0.7</v>
      </c>
      <c r="T825" s="19">
        <v>3.335</v>
      </c>
      <c r="V825" s="48" t="s">
        <v>1014</v>
      </c>
      <c r="W825" s="48" t="s">
        <v>1832</v>
      </c>
      <c r="X825" s="51">
        <v>2.4375323431689502</v>
      </c>
      <c r="Z825" s="48" t="s">
        <v>1008</v>
      </c>
      <c r="AA825" s="51">
        <v>0.89712483700000001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1009</v>
      </c>
      <c r="Q826" s="23">
        <f>DATE(YEAR(OneWeekMtgRatesDataTable75[[#This Row],[asOf]]),MONTH(OneWeekMtgRatesDataTable75[[#This Row],[asOf]]),DAY(OneWeekMtgRatesDataTable75[[#This Row],[asOf]]))</f>
        <v>41380</v>
      </c>
      <c r="R826" s="19">
        <v>3.41</v>
      </c>
      <c r="S826" s="19">
        <v>0.7</v>
      </c>
      <c r="T826" s="19">
        <v>3.335</v>
      </c>
      <c r="V826" s="48" t="s">
        <v>1013</v>
      </c>
      <c r="W826" s="48" t="s">
        <v>1832</v>
      </c>
      <c r="X826" s="51">
        <v>2.4460987781161698</v>
      </c>
      <c r="Z826" s="48" t="s">
        <v>1007</v>
      </c>
      <c r="AA826" s="51">
        <v>0.89712483700000001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1008</v>
      </c>
      <c r="Q827" s="23">
        <f>DATE(YEAR(OneWeekMtgRatesDataTable75[[#This Row],[asOf]]),MONTH(OneWeekMtgRatesDataTable75[[#This Row],[asOf]]),DAY(OneWeekMtgRatesDataTable75[[#This Row],[asOf]]))</f>
        <v>41379</v>
      </c>
      <c r="R827" s="19">
        <v>3.41</v>
      </c>
      <c r="S827" s="19">
        <v>0.7</v>
      </c>
      <c r="T827" s="19">
        <v>3.335</v>
      </c>
      <c r="V827" s="48" t="s">
        <v>1012</v>
      </c>
      <c r="W827" s="48" t="s">
        <v>1832</v>
      </c>
      <c r="X827" s="51">
        <v>2.4478292625910401</v>
      </c>
      <c r="Z827" s="48" t="s">
        <v>1006</v>
      </c>
      <c r="AA827" s="51">
        <v>0.89712483700000001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1007</v>
      </c>
      <c r="Q828" s="23">
        <f>DATE(YEAR(OneWeekMtgRatesDataTable75[[#This Row],[asOf]]),MONTH(OneWeekMtgRatesDataTable75[[#This Row],[asOf]]),DAY(OneWeekMtgRatesDataTable75[[#This Row],[asOf]]))</f>
        <v>41376</v>
      </c>
      <c r="R828" s="19">
        <v>3.41</v>
      </c>
      <c r="S828" s="19">
        <v>0.7</v>
      </c>
      <c r="T828" s="19">
        <v>3.335</v>
      </c>
      <c r="V828" s="48" t="s">
        <v>1011</v>
      </c>
      <c r="W828" s="48" t="s">
        <v>1832</v>
      </c>
      <c r="X828" s="51">
        <v>2.43192110209089</v>
      </c>
      <c r="Z828" s="48" t="s">
        <v>1005</v>
      </c>
      <c r="AA828" s="51">
        <v>0.89712483700000001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1006</v>
      </c>
      <c r="Q829" s="23">
        <f>DATE(YEAR(OneWeekMtgRatesDataTable75[[#This Row],[asOf]]),MONTH(OneWeekMtgRatesDataTable75[[#This Row],[asOf]]),DAY(OneWeekMtgRatesDataTable75[[#This Row],[asOf]]))</f>
        <v>41375</v>
      </c>
      <c r="R829" s="19">
        <v>3.41</v>
      </c>
      <c r="S829" s="19">
        <v>0.7</v>
      </c>
      <c r="T829" s="19">
        <v>3.335</v>
      </c>
      <c r="V829" s="48" t="s">
        <v>1010</v>
      </c>
      <c r="W829" s="48" t="s">
        <v>1832</v>
      </c>
      <c r="X829" s="51">
        <v>2.4500518771238999</v>
      </c>
      <c r="Z829" s="48" t="s">
        <v>1004</v>
      </c>
      <c r="AA829" s="51">
        <v>0.89390476699999999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1005</v>
      </c>
      <c r="Q830" s="23">
        <f>DATE(YEAR(OneWeekMtgRatesDataTable75[[#This Row],[asOf]]),MONTH(OneWeekMtgRatesDataTable75[[#This Row],[asOf]]),DAY(OneWeekMtgRatesDataTable75[[#This Row],[asOf]]))</f>
        <v>41374</v>
      </c>
      <c r="R830" s="19">
        <v>3.43</v>
      </c>
      <c r="S830" s="19">
        <v>0.8</v>
      </c>
      <c r="T830" s="19">
        <v>3.3800000000000003</v>
      </c>
      <c r="V830" s="48" t="s">
        <v>1009</v>
      </c>
      <c r="W830" s="48" t="s">
        <v>1832</v>
      </c>
      <c r="X830" s="51">
        <v>2.45465029105896</v>
      </c>
      <c r="Z830" s="48" t="s">
        <v>1003</v>
      </c>
      <c r="AA830" s="51">
        <v>0.89390476699999999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1004</v>
      </c>
      <c r="Q831" s="23">
        <f>DATE(YEAR(OneWeekMtgRatesDataTable75[[#This Row],[asOf]]),MONTH(OneWeekMtgRatesDataTable75[[#This Row],[asOf]]),DAY(OneWeekMtgRatesDataTable75[[#This Row],[asOf]]))</f>
        <v>41373</v>
      </c>
      <c r="R831" s="19">
        <v>3.43</v>
      </c>
      <c r="S831" s="19">
        <v>0.8</v>
      </c>
      <c r="T831" s="19">
        <v>3.3800000000000003</v>
      </c>
      <c r="V831" s="48" t="s">
        <v>1008</v>
      </c>
      <c r="W831" s="48" t="s">
        <v>1832</v>
      </c>
      <c r="X831" s="51">
        <v>2.4306597894947899</v>
      </c>
      <c r="Z831" s="48" t="s">
        <v>1002</v>
      </c>
      <c r="AA831" s="51">
        <v>0.89390476699999999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1003</v>
      </c>
      <c r="Q832" s="23">
        <f>DATE(YEAR(OneWeekMtgRatesDataTable75[[#This Row],[asOf]]),MONTH(OneWeekMtgRatesDataTable75[[#This Row],[asOf]]),DAY(OneWeekMtgRatesDataTable75[[#This Row],[asOf]]))</f>
        <v>41372</v>
      </c>
      <c r="R832" s="19">
        <v>3.43</v>
      </c>
      <c r="S832" s="19">
        <v>0.8</v>
      </c>
      <c r="T832" s="19">
        <v>3.3800000000000003</v>
      </c>
      <c r="V832" s="48" t="s">
        <v>1007</v>
      </c>
      <c r="W832" s="48" t="s">
        <v>1832</v>
      </c>
      <c r="X832" s="51">
        <v>2.4532379481842601</v>
      </c>
      <c r="Z832" s="48" t="s">
        <v>1001</v>
      </c>
      <c r="AA832" s="51">
        <v>0.89390476699999999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1002</v>
      </c>
      <c r="Q833" s="23">
        <f>DATE(YEAR(OneWeekMtgRatesDataTable75[[#This Row],[asOf]]),MONTH(OneWeekMtgRatesDataTable75[[#This Row],[asOf]]),DAY(OneWeekMtgRatesDataTable75[[#This Row],[asOf]]))</f>
        <v>41369</v>
      </c>
      <c r="R833" s="19">
        <v>3.43</v>
      </c>
      <c r="S833" s="19">
        <v>0.8</v>
      </c>
      <c r="T833" s="19">
        <v>3.3800000000000003</v>
      </c>
      <c r="V833" s="48" t="s">
        <v>1006</v>
      </c>
      <c r="W833" s="48" t="s">
        <v>1832</v>
      </c>
      <c r="X833" s="51">
        <v>2.5180760618821498</v>
      </c>
      <c r="Z833" s="48" t="s">
        <v>1000</v>
      </c>
      <c r="AA833" s="51">
        <v>0.89390476699999999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1001</v>
      </c>
      <c r="Q834" s="23">
        <f>DATE(YEAR(OneWeekMtgRatesDataTable75[[#This Row],[asOf]]),MONTH(OneWeekMtgRatesDataTable75[[#This Row],[asOf]]),DAY(OneWeekMtgRatesDataTable75[[#This Row],[asOf]]))</f>
        <v>41368</v>
      </c>
      <c r="R834" s="19">
        <v>3.43</v>
      </c>
      <c r="S834" s="19">
        <v>0.8</v>
      </c>
      <c r="T834" s="19">
        <v>3.3800000000000003</v>
      </c>
      <c r="V834" s="48" t="s">
        <v>1005</v>
      </c>
      <c r="W834" s="48" t="s">
        <v>1832</v>
      </c>
      <c r="X834" s="51">
        <v>2.54479183649527</v>
      </c>
      <c r="Z834" s="48" t="s">
        <v>999</v>
      </c>
      <c r="AA834" s="51">
        <v>0.87842756300000002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1000</v>
      </c>
      <c r="Q835" s="23">
        <f>DATE(YEAR(OneWeekMtgRatesDataTable75[[#This Row],[asOf]]),MONTH(OneWeekMtgRatesDataTable75[[#This Row],[asOf]]),DAY(OneWeekMtgRatesDataTable75[[#This Row],[asOf]]))</f>
        <v>41367</v>
      </c>
      <c r="R835" s="19">
        <v>3.54</v>
      </c>
      <c r="S835" s="19">
        <v>0.8</v>
      </c>
      <c r="T835" s="19">
        <v>3.49</v>
      </c>
      <c r="V835" s="48" t="s">
        <v>1004</v>
      </c>
      <c r="W835" s="48" t="s">
        <v>1832</v>
      </c>
      <c r="X835" s="51">
        <v>2.4893778182677</v>
      </c>
      <c r="Z835" s="48" t="s">
        <v>998</v>
      </c>
      <c r="AA835" s="51">
        <v>0.87842756300000002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999</v>
      </c>
      <c r="Q836" s="23">
        <f>DATE(YEAR(OneWeekMtgRatesDataTable75[[#This Row],[asOf]]),MONTH(OneWeekMtgRatesDataTable75[[#This Row],[asOf]]),DAY(OneWeekMtgRatesDataTable75[[#This Row],[asOf]]))</f>
        <v>41366</v>
      </c>
      <c r="R836" s="19">
        <v>3.54</v>
      </c>
      <c r="S836" s="19">
        <v>0.8</v>
      </c>
      <c r="T836" s="19">
        <v>3.49</v>
      </c>
      <c r="V836" s="48" t="s">
        <v>1003</v>
      </c>
      <c r="W836" s="48" t="s">
        <v>1832</v>
      </c>
      <c r="X836" s="51">
        <v>2.4769497822755899</v>
      </c>
      <c r="Z836" s="48" t="s">
        <v>997</v>
      </c>
      <c r="AA836" s="51">
        <v>0.87842756300000002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998</v>
      </c>
      <c r="Q837" s="23">
        <f>DATE(YEAR(OneWeekMtgRatesDataTable75[[#This Row],[asOf]]),MONTH(OneWeekMtgRatesDataTable75[[#This Row],[asOf]]),DAY(OneWeekMtgRatesDataTable75[[#This Row],[asOf]]))</f>
        <v>41365</v>
      </c>
      <c r="R837" s="19">
        <v>3.54</v>
      </c>
      <c r="S837" s="19">
        <v>0.8</v>
      </c>
      <c r="T837" s="19">
        <v>3.49</v>
      </c>
      <c r="V837" s="48" t="s">
        <v>1002</v>
      </c>
      <c r="W837" s="48" t="s">
        <v>1832</v>
      </c>
      <c r="X837" s="51">
        <v>2.4173832768427301</v>
      </c>
      <c r="Z837" s="48" t="s">
        <v>996</v>
      </c>
      <c r="AA837" s="51">
        <v>0.87842756300000002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997</v>
      </c>
      <c r="Q838" s="23">
        <f>DATE(YEAR(OneWeekMtgRatesDataTable75[[#This Row],[asOf]]),MONTH(OneWeekMtgRatesDataTable75[[#This Row],[asOf]]),DAY(OneWeekMtgRatesDataTable75[[#This Row],[asOf]]))</f>
        <v>41361</v>
      </c>
      <c r="R838" s="19">
        <v>3.54</v>
      </c>
      <c r="S838" s="19">
        <v>0.8</v>
      </c>
      <c r="T838" s="19">
        <v>3.49</v>
      </c>
      <c r="V838" s="48" t="s">
        <v>1001</v>
      </c>
      <c r="W838" s="48" t="s">
        <v>1832</v>
      </c>
      <c r="X838" s="51">
        <v>2.4858730996264899</v>
      </c>
      <c r="Z838" s="48" t="s">
        <v>995</v>
      </c>
      <c r="AA838" s="51">
        <v>0.83934645500000005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996</v>
      </c>
      <c r="Q839" s="23">
        <f>DATE(YEAR(OneWeekMtgRatesDataTable75[[#This Row],[asOf]]),MONTH(OneWeekMtgRatesDataTable75[[#This Row],[asOf]]),DAY(OneWeekMtgRatesDataTable75[[#This Row],[asOf]]))</f>
        <v>41360</v>
      </c>
      <c r="R839" s="19">
        <v>3.57</v>
      </c>
      <c r="S839" s="19">
        <v>0.8</v>
      </c>
      <c r="T839" s="19">
        <v>3.52</v>
      </c>
      <c r="V839" s="48" t="s">
        <v>1000</v>
      </c>
      <c r="W839" s="48" t="s">
        <v>1832</v>
      </c>
      <c r="X839" s="51">
        <v>2.5647186741288901</v>
      </c>
      <c r="Z839" s="48" t="s">
        <v>994</v>
      </c>
      <c r="AA839" s="51">
        <v>0.83934645500000005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995</v>
      </c>
      <c r="Q840" s="23">
        <f>DATE(YEAR(OneWeekMtgRatesDataTable75[[#This Row],[asOf]]),MONTH(OneWeekMtgRatesDataTable75[[#This Row],[asOf]]),DAY(OneWeekMtgRatesDataTable75[[#This Row],[asOf]]))</f>
        <v>41359</v>
      </c>
      <c r="R840" s="19">
        <v>3.57</v>
      </c>
      <c r="S840" s="19">
        <v>0.8</v>
      </c>
      <c r="T840" s="19">
        <v>3.52</v>
      </c>
      <c r="V840" s="48" t="s">
        <v>999</v>
      </c>
      <c r="W840" s="48" t="s">
        <v>1832</v>
      </c>
      <c r="X840" s="51">
        <v>2.6101991222676499</v>
      </c>
      <c r="Z840" s="48" t="s">
        <v>993</v>
      </c>
      <c r="AA840" s="51">
        <v>0.83934645500000005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994</v>
      </c>
      <c r="Q841" s="23">
        <f>DATE(YEAR(OneWeekMtgRatesDataTable75[[#This Row],[asOf]]),MONTH(OneWeekMtgRatesDataTable75[[#This Row],[asOf]]),DAY(OneWeekMtgRatesDataTable75[[#This Row],[asOf]]))</f>
        <v>41358</v>
      </c>
      <c r="R841" s="19">
        <v>3.57</v>
      </c>
      <c r="S841" s="19">
        <v>0.8</v>
      </c>
      <c r="T841" s="19">
        <v>3.52</v>
      </c>
      <c r="V841" s="48" t="s">
        <v>998</v>
      </c>
      <c r="W841" s="48" t="s">
        <v>1832</v>
      </c>
      <c r="X841" s="51">
        <v>2.5951295555522802</v>
      </c>
      <c r="Z841" s="48" t="s">
        <v>992</v>
      </c>
      <c r="AA841" s="51">
        <v>0.83934645500000005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993</v>
      </c>
      <c r="Q842" s="23">
        <f>DATE(YEAR(OneWeekMtgRatesDataTable75[[#This Row],[asOf]]),MONTH(OneWeekMtgRatesDataTable75[[#This Row],[asOf]]),DAY(OneWeekMtgRatesDataTable75[[#This Row],[asOf]]))</f>
        <v>41355</v>
      </c>
      <c r="R842" s="19">
        <v>3.57</v>
      </c>
      <c r="S842" s="19">
        <v>0.8</v>
      </c>
      <c r="T842" s="19">
        <v>3.52</v>
      </c>
      <c r="V842" s="48" t="s">
        <v>997</v>
      </c>
      <c r="W842" s="48" t="s">
        <v>1832</v>
      </c>
      <c r="X842" s="51">
        <v>2.6143335780898398</v>
      </c>
      <c r="Z842" s="48" t="s">
        <v>991</v>
      </c>
      <c r="AA842" s="51">
        <v>0.83934645500000005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992</v>
      </c>
      <c r="Q843" s="23">
        <f>DATE(YEAR(OneWeekMtgRatesDataTable75[[#This Row],[asOf]]),MONTH(OneWeekMtgRatesDataTable75[[#This Row],[asOf]]),DAY(OneWeekMtgRatesDataTable75[[#This Row],[asOf]]))</f>
        <v>41354</v>
      </c>
      <c r="R843" s="19">
        <v>3.57</v>
      </c>
      <c r="S843" s="19">
        <v>0.8</v>
      </c>
      <c r="T843" s="19">
        <v>3.52</v>
      </c>
      <c r="V843" s="48" t="s">
        <v>996</v>
      </c>
      <c r="W843" s="48" t="s">
        <v>1832</v>
      </c>
      <c r="X843" s="51">
        <v>2.6080685310037901</v>
      </c>
      <c r="Z843" s="48" t="s">
        <v>990</v>
      </c>
      <c r="AA843" s="51">
        <v>0.86557968799999996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991</v>
      </c>
      <c r="Q844" s="23">
        <f>DATE(YEAR(OneWeekMtgRatesDataTable75[[#This Row],[asOf]]),MONTH(OneWeekMtgRatesDataTable75[[#This Row],[asOf]]),DAY(OneWeekMtgRatesDataTable75[[#This Row],[asOf]]))</f>
        <v>41353</v>
      </c>
      <c r="R844" s="19">
        <v>3.54</v>
      </c>
      <c r="S844" s="19">
        <v>0.8</v>
      </c>
      <c r="T844" s="19">
        <v>3.49</v>
      </c>
      <c r="V844" s="48" t="s">
        <v>995</v>
      </c>
      <c r="W844" s="48" t="s">
        <v>1832</v>
      </c>
      <c r="X844" s="51">
        <v>2.6425583507311501</v>
      </c>
      <c r="Z844" s="48" t="s">
        <v>989</v>
      </c>
      <c r="AA844" s="51">
        <v>0.86557968799999996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990</v>
      </c>
      <c r="Q845" s="23">
        <f>DATE(YEAR(OneWeekMtgRatesDataTable75[[#This Row],[asOf]]),MONTH(OneWeekMtgRatesDataTable75[[#This Row],[asOf]]),DAY(OneWeekMtgRatesDataTable75[[#This Row],[asOf]]))</f>
        <v>41352</v>
      </c>
      <c r="R845" s="19">
        <v>3.54</v>
      </c>
      <c r="S845" s="19">
        <v>0.8</v>
      </c>
      <c r="T845" s="19">
        <v>3.49</v>
      </c>
      <c r="V845" s="48" t="s">
        <v>994</v>
      </c>
      <c r="W845" s="48" t="s">
        <v>1832</v>
      </c>
      <c r="X845" s="51">
        <v>2.6394759315969498</v>
      </c>
      <c r="Z845" s="48" t="s">
        <v>988</v>
      </c>
      <c r="AA845" s="51">
        <v>0.86557968799999996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989</v>
      </c>
      <c r="Q846" s="23">
        <f>DATE(YEAR(OneWeekMtgRatesDataTable75[[#This Row],[asOf]]),MONTH(OneWeekMtgRatesDataTable75[[#This Row],[asOf]]),DAY(OneWeekMtgRatesDataTable75[[#This Row],[asOf]]))</f>
        <v>41351</v>
      </c>
      <c r="R846" s="19">
        <v>3.54</v>
      </c>
      <c r="S846" s="19">
        <v>0.8</v>
      </c>
      <c r="T846" s="19">
        <v>3.49</v>
      </c>
      <c r="V846" s="48" t="s">
        <v>993</v>
      </c>
      <c r="W846" s="48" t="s">
        <v>1832</v>
      </c>
      <c r="X846" s="51">
        <v>2.6414844586182298</v>
      </c>
      <c r="Z846" s="48" t="s">
        <v>987</v>
      </c>
      <c r="AA846" s="51">
        <v>0.86557968799999996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988</v>
      </c>
      <c r="Q847" s="23">
        <f>DATE(YEAR(OneWeekMtgRatesDataTable75[[#This Row],[asOf]]),MONTH(OneWeekMtgRatesDataTable75[[#This Row],[asOf]]),DAY(OneWeekMtgRatesDataTable75[[#This Row],[asOf]]))</f>
        <v>41348</v>
      </c>
      <c r="R847" s="19">
        <v>3.54</v>
      </c>
      <c r="S847" s="19">
        <v>0.8</v>
      </c>
      <c r="T847" s="19">
        <v>3.49</v>
      </c>
      <c r="V847" s="48" t="s">
        <v>992</v>
      </c>
      <c r="W847" s="48" t="s">
        <v>1832</v>
      </c>
      <c r="X847" s="51">
        <v>2.6762749111600002</v>
      </c>
      <c r="Z847" s="48" t="s">
        <v>986</v>
      </c>
      <c r="AA847" s="51">
        <v>0.86557968799999996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987</v>
      </c>
      <c r="Q848" s="23">
        <f>DATE(YEAR(OneWeekMtgRatesDataTable75[[#This Row],[asOf]]),MONTH(OneWeekMtgRatesDataTable75[[#This Row],[asOf]]),DAY(OneWeekMtgRatesDataTable75[[#This Row],[asOf]]))</f>
        <v>41347</v>
      </c>
      <c r="R848" s="19">
        <v>3.54</v>
      </c>
      <c r="S848" s="19">
        <v>0.8</v>
      </c>
      <c r="T848" s="19">
        <v>3.49</v>
      </c>
      <c r="V848" s="48" t="s">
        <v>991</v>
      </c>
      <c r="W848" s="48" t="s">
        <v>1832</v>
      </c>
      <c r="X848" s="51">
        <v>2.6469827013594598</v>
      </c>
      <c r="Z848" s="48" t="s">
        <v>985</v>
      </c>
      <c r="AA848" s="51">
        <v>0.88622952799999999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986</v>
      </c>
      <c r="Q849" s="23">
        <f>DATE(YEAR(OneWeekMtgRatesDataTable75[[#This Row],[asOf]]),MONTH(OneWeekMtgRatesDataTable75[[#This Row],[asOf]]),DAY(OneWeekMtgRatesDataTable75[[#This Row],[asOf]]))</f>
        <v>41346</v>
      </c>
      <c r="R849" s="19">
        <v>3.63</v>
      </c>
      <c r="S849" s="19">
        <v>0.8</v>
      </c>
      <c r="T849" s="19">
        <v>3.58</v>
      </c>
      <c r="V849" s="48" t="s">
        <v>990</v>
      </c>
      <c r="W849" s="48" t="s">
        <v>1832</v>
      </c>
      <c r="X849" s="51">
        <v>2.6068633017671599</v>
      </c>
      <c r="Z849" s="48" t="s">
        <v>984</v>
      </c>
      <c r="AA849" s="51">
        <v>0.88622952799999999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985</v>
      </c>
      <c r="Q850" s="23">
        <f>DATE(YEAR(OneWeekMtgRatesDataTable75[[#This Row],[asOf]]),MONTH(OneWeekMtgRatesDataTable75[[#This Row],[asOf]]),DAY(OneWeekMtgRatesDataTable75[[#This Row],[asOf]]))</f>
        <v>41345</v>
      </c>
      <c r="R850" s="19">
        <v>3.63</v>
      </c>
      <c r="S850" s="19">
        <v>0.8</v>
      </c>
      <c r="T850" s="19">
        <v>3.58</v>
      </c>
      <c r="V850" s="48" t="s">
        <v>989</v>
      </c>
      <c r="W850" s="48" t="s">
        <v>1832</v>
      </c>
      <c r="X850" s="51">
        <v>2.6296268135310301</v>
      </c>
      <c r="Z850" s="48" t="s">
        <v>983</v>
      </c>
      <c r="AA850" s="51">
        <v>0.88622952799999999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984</v>
      </c>
      <c r="Q851" s="23">
        <f>DATE(YEAR(OneWeekMtgRatesDataTable75[[#This Row],[asOf]]),MONTH(OneWeekMtgRatesDataTable75[[#This Row],[asOf]]),DAY(OneWeekMtgRatesDataTable75[[#This Row],[asOf]]))</f>
        <v>41344</v>
      </c>
      <c r="R851" s="19">
        <v>3.63</v>
      </c>
      <c r="S851" s="19">
        <v>0.8</v>
      </c>
      <c r="T851" s="19">
        <v>3.58</v>
      </c>
      <c r="V851" s="48" t="s">
        <v>988</v>
      </c>
      <c r="W851" s="48" t="s">
        <v>1832</v>
      </c>
      <c r="X851" s="51">
        <v>2.6643363272696798</v>
      </c>
      <c r="Z851" s="48" t="s">
        <v>982</v>
      </c>
      <c r="AA851" s="51">
        <v>0.88622952799999999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983</v>
      </c>
      <c r="Q852" s="23">
        <f>DATE(YEAR(OneWeekMtgRatesDataTable75[[#This Row],[asOf]]),MONTH(OneWeekMtgRatesDataTable75[[#This Row],[asOf]]),DAY(OneWeekMtgRatesDataTable75[[#This Row],[asOf]]))</f>
        <v>41341</v>
      </c>
      <c r="R852" s="19">
        <v>3.63</v>
      </c>
      <c r="S852" s="19">
        <v>0.8</v>
      </c>
      <c r="T852" s="19">
        <v>3.58</v>
      </c>
      <c r="V852" s="48" t="s">
        <v>987</v>
      </c>
      <c r="W852" s="48" t="s">
        <v>1832</v>
      </c>
      <c r="X852" s="51">
        <v>2.7054585787984</v>
      </c>
      <c r="Z852" s="48" t="s">
        <v>981</v>
      </c>
      <c r="AA852" s="51">
        <v>0.88622952799999999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982</v>
      </c>
      <c r="Q853" s="23">
        <f>DATE(YEAR(OneWeekMtgRatesDataTable75[[#This Row],[asOf]]),MONTH(OneWeekMtgRatesDataTable75[[#This Row],[asOf]]),DAY(OneWeekMtgRatesDataTable75[[#This Row],[asOf]]))</f>
        <v>41340</v>
      </c>
      <c r="R853" s="19">
        <v>3.63</v>
      </c>
      <c r="S853" s="19">
        <v>0.8</v>
      </c>
      <c r="T853" s="19">
        <v>3.58</v>
      </c>
      <c r="V853" s="48" t="s">
        <v>986</v>
      </c>
      <c r="W853" s="48" t="s">
        <v>1832</v>
      </c>
      <c r="X853" s="51">
        <v>2.70043867478531</v>
      </c>
      <c r="Z853" s="48" t="s">
        <v>980</v>
      </c>
      <c r="AA853" s="51">
        <v>0.87581677800000002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981</v>
      </c>
      <c r="Q854" s="23">
        <f>DATE(YEAR(OneWeekMtgRatesDataTable75[[#This Row],[asOf]]),MONTH(OneWeekMtgRatesDataTable75[[#This Row],[asOf]]),DAY(OneWeekMtgRatesDataTable75[[#This Row],[asOf]]))</f>
        <v>41339</v>
      </c>
      <c r="R854" s="19">
        <v>3.52</v>
      </c>
      <c r="S854" s="19">
        <v>0.7</v>
      </c>
      <c r="T854" s="19">
        <v>3.4449999999999998</v>
      </c>
      <c r="V854" s="48" t="s">
        <v>985</v>
      </c>
      <c r="W854" s="48" t="s">
        <v>1832</v>
      </c>
      <c r="X854" s="51">
        <v>2.7064552884836801</v>
      </c>
      <c r="Z854" s="48" t="s">
        <v>979</v>
      </c>
      <c r="AA854" s="51">
        <v>0.87581677800000002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980</v>
      </c>
      <c r="Q855" s="23">
        <f>DATE(YEAR(OneWeekMtgRatesDataTable75[[#This Row],[asOf]]),MONTH(OneWeekMtgRatesDataTable75[[#This Row],[asOf]]),DAY(OneWeekMtgRatesDataTable75[[#This Row],[asOf]]))</f>
        <v>41338</v>
      </c>
      <c r="R855" s="19">
        <v>3.52</v>
      </c>
      <c r="S855" s="19">
        <v>0.7</v>
      </c>
      <c r="T855" s="19">
        <v>3.4449999999999998</v>
      </c>
      <c r="V855" s="48" t="s">
        <v>984</v>
      </c>
      <c r="W855" s="48" t="s">
        <v>1832</v>
      </c>
      <c r="X855" s="51">
        <v>2.7399845789483299</v>
      </c>
      <c r="Z855" s="48" t="s">
        <v>978</v>
      </c>
      <c r="AA855" s="51">
        <v>0.87581677800000002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979</v>
      </c>
      <c r="Q856" s="23">
        <f>DATE(YEAR(OneWeekMtgRatesDataTable75[[#This Row],[asOf]]),MONTH(OneWeekMtgRatesDataTable75[[#This Row],[asOf]]),DAY(OneWeekMtgRatesDataTable75[[#This Row],[asOf]]))</f>
        <v>41337</v>
      </c>
      <c r="R856" s="19">
        <v>3.52</v>
      </c>
      <c r="S856" s="19">
        <v>0.7</v>
      </c>
      <c r="T856" s="19">
        <v>3.4449999999999998</v>
      </c>
      <c r="V856" s="48" t="s">
        <v>983</v>
      </c>
      <c r="W856" s="48" t="s">
        <v>1832</v>
      </c>
      <c r="X856" s="51">
        <v>2.7519155244705402</v>
      </c>
      <c r="Z856" s="48" t="s">
        <v>977</v>
      </c>
      <c r="AA856" s="51">
        <v>0.87581677800000002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978</v>
      </c>
      <c r="Q857" s="23">
        <f>DATE(YEAR(OneWeekMtgRatesDataTable75[[#This Row],[asOf]]),MONTH(OneWeekMtgRatesDataTable75[[#This Row],[asOf]]),DAY(OneWeekMtgRatesDataTable75[[#This Row],[asOf]]))</f>
        <v>41334</v>
      </c>
      <c r="R857" s="19">
        <v>3.52</v>
      </c>
      <c r="S857" s="19">
        <v>0.7</v>
      </c>
      <c r="T857" s="19">
        <v>3.4449999999999998</v>
      </c>
      <c r="V857" s="48" t="s">
        <v>982</v>
      </c>
      <c r="W857" s="48" t="s">
        <v>1832</v>
      </c>
      <c r="X857" s="51">
        <v>2.6733074908689098</v>
      </c>
      <c r="Z857" s="48" t="s">
        <v>976</v>
      </c>
      <c r="AA857" s="51">
        <v>0.87581677800000002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977</v>
      </c>
      <c r="Q858" s="23">
        <f>DATE(YEAR(OneWeekMtgRatesDataTable75[[#This Row],[asOf]]),MONTH(OneWeekMtgRatesDataTable75[[#This Row],[asOf]]),DAY(OneWeekMtgRatesDataTable75[[#This Row],[asOf]]))</f>
        <v>41333</v>
      </c>
      <c r="R858" s="19">
        <v>3.52</v>
      </c>
      <c r="S858" s="19">
        <v>0.7</v>
      </c>
      <c r="T858" s="19">
        <v>3.4449999999999998</v>
      </c>
      <c r="V858" s="48" t="s">
        <v>981</v>
      </c>
      <c r="W858" s="48" t="s">
        <v>1832</v>
      </c>
      <c r="X858" s="51">
        <v>2.6125524232747801</v>
      </c>
      <c r="Z858" s="48" t="s">
        <v>975</v>
      </c>
      <c r="AA858" s="51">
        <v>0.88366861399999996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976</v>
      </c>
      <c r="Q859" s="23">
        <f>DATE(YEAR(OneWeekMtgRatesDataTable75[[#This Row],[asOf]]),MONTH(OneWeekMtgRatesDataTable75[[#This Row],[asOf]]),DAY(OneWeekMtgRatesDataTable75[[#This Row],[asOf]]))</f>
        <v>41332</v>
      </c>
      <c r="R859" s="19">
        <v>3.51</v>
      </c>
      <c r="S859" s="19">
        <v>0.8</v>
      </c>
      <c r="T859" s="19">
        <v>3.46</v>
      </c>
      <c r="V859" s="48" t="s">
        <v>980</v>
      </c>
      <c r="W859" s="48" t="s">
        <v>1832</v>
      </c>
      <c r="X859" s="51">
        <v>2.56075645776348</v>
      </c>
      <c r="Z859" s="48" t="s">
        <v>974</v>
      </c>
      <c r="AA859" s="51">
        <v>0.88366861399999996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975</v>
      </c>
      <c r="Q860" s="23">
        <f>DATE(YEAR(OneWeekMtgRatesDataTable75[[#This Row],[asOf]]),MONTH(OneWeekMtgRatesDataTable75[[#This Row],[asOf]]),DAY(OneWeekMtgRatesDataTable75[[#This Row],[asOf]]))</f>
        <v>41331</v>
      </c>
      <c r="R860" s="19">
        <v>3.51</v>
      </c>
      <c r="S860" s="19">
        <v>0.8</v>
      </c>
      <c r="T860" s="19">
        <v>3.46</v>
      </c>
      <c r="V860" s="48" t="s">
        <v>979</v>
      </c>
      <c r="W860" s="48" t="s">
        <v>1832</v>
      </c>
      <c r="X860" s="51">
        <v>2.5457760046441602</v>
      </c>
      <c r="Z860" s="48" t="s">
        <v>973</v>
      </c>
      <c r="AA860" s="51">
        <v>0.88366861399999996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974</v>
      </c>
      <c r="Q861" s="23">
        <f>DATE(YEAR(OneWeekMtgRatesDataTable75[[#This Row],[asOf]]),MONTH(OneWeekMtgRatesDataTable75[[#This Row],[asOf]]),DAY(OneWeekMtgRatesDataTable75[[#This Row],[asOf]]))</f>
        <v>41330</v>
      </c>
      <c r="R861" s="19">
        <v>3.51</v>
      </c>
      <c r="S861" s="19">
        <v>0.8</v>
      </c>
      <c r="T861" s="19">
        <v>3.46</v>
      </c>
      <c r="V861" s="48" t="s">
        <v>978</v>
      </c>
      <c r="W861" s="48" t="s">
        <v>1832</v>
      </c>
      <c r="X861" s="51">
        <v>2.5299300395983999</v>
      </c>
      <c r="Z861" s="48" t="s">
        <v>972</v>
      </c>
      <c r="AA861" s="51">
        <v>0.88366861399999996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973</v>
      </c>
      <c r="Q862" s="23">
        <f>DATE(YEAR(OneWeekMtgRatesDataTable75[[#This Row],[asOf]]),MONTH(OneWeekMtgRatesDataTable75[[#This Row],[asOf]]),DAY(OneWeekMtgRatesDataTable75[[#This Row],[asOf]]))</f>
        <v>41327</v>
      </c>
      <c r="R862" s="19">
        <v>3.51</v>
      </c>
      <c r="S862" s="19">
        <v>0.8</v>
      </c>
      <c r="T862" s="19">
        <v>3.46</v>
      </c>
      <c r="V862" s="48" t="s">
        <v>977</v>
      </c>
      <c r="W862" s="48" t="s">
        <v>1832</v>
      </c>
      <c r="X862" s="51">
        <v>2.5448374323223399</v>
      </c>
      <c r="Z862" s="48" t="s">
        <v>971</v>
      </c>
      <c r="AA862" s="51">
        <v>0.88366861399999996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972</v>
      </c>
      <c r="Q863" s="23">
        <f>DATE(YEAR(OneWeekMtgRatesDataTable75[[#This Row],[asOf]]),MONTH(OneWeekMtgRatesDataTable75[[#This Row],[asOf]]),DAY(OneWeekMtgRatesDataTable75[[#This Row],[asOf]]))</f>
        <v>41326</v>
      </c>
      <c r="R863" s="19">
        <v>3.51</v>
      </c>
      <c r="S863" s="19">
        <v>0.8</v>
      </c>
      <c r="T863" s="19">
        <v>3.46</v>
      </c>
      <c r="V863" s="48" t="s">
        <v>976</v>
      </c>
      <c r="W863" s="48" t="s">
        <v>1832</v>
      </c>
      <c r="X863" s="51">
        <v>2.5732198821136101</v>
      </c>
      <c r="Z863" s="48" t="s">
        <v>970</v>
      </c>
      <c r="AA863" s="51">
        <v>0.88988438400000003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971</v>
      </c>
      <c r="Q864" s="23">
        <f>DATE(YEAR(OneWeekMtgRatesDataTable75[[#This Row],[asOf]]),MONTH(OneWeekMtgRatesDataTable75[[#This Row],[asOf]]),DAY(OneWeekMtgRatesDataTable75[[#This Row],[asOf]]))</f>
        <v>41325</v>
      </c>
      <c r="R864" s="19">
        <v>3.56</v>
      </c>
      <c r="S864" s="19">
        <v>0.8</v>
      </c>
      <c r="T864" s="19">
        <v>3.5100000000000002</v>
      </c>
      <c r="V864" s="48" t="s">
        <v>975</v>
      </c>
      <c r="W864" s="48" t="s">
        <v>1832</v>
      </c>
      <c r="X864" s="51">
        <v>2.5389569445759999</v>
      </c>
      <c r="Z864" s="48" t="s">
        <v>969</v>
      </c>
      <c r="AA864" s="51">
        <v>0.88988438400000003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970</v>
      </c>
      <c r="Q865" s="23">
        <f>DATE(YEAR(OneWeekMtgRatesDataTable75[[#This Row],[asOf]]),MONTH(OneWeekMtgRatesDataTable75[[#This Row],[asOf]]),DAY(OneWeekMtgRatesDataTable75[[#This Row],[asOf]]))</f>
        <v>41324</v>
      </c>
      <c r="R865" s="19">
        <v>3.56</v>
      </c>
      <c r="S865" s="19">
        <v>0.8</v>
      </c>
      <c r="T865" s="19">
        <v>3.5100000000000002</v>
      </c>
      <c r="V865" s="48" t="s">
        <v>974</v>
      </c>
      <c r="W865" s="48" t="s">
        <v>1832</v>
      </c>
      <c r="X865" s="51">
        <v>2.5578588429933502</v>
      </c>
      <c r="Z865" s="48" t="s">
        <v>968</v>
      </c>
      <c r="AA865" s="51">
        <v>0.88988438400000003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969</v>
      </c>
      <c r="Q866" s="23">
        <f>DATE(YEAR(OneWeekMtgRatesDataTable75[[#This Row],[asOf]]),MONTH(OneWeekMtgRatesDataTable75[[#This Row],[asOf]]),DAY(OneWeekMtgRatesDataTable75[[#This Row],[asOf]]))</f>
        <v>41320</v>
      </c>
      <c r="R866" s="19">
        <v>3.56</v>
      </c>
      <c r="S866" s="19">
        <v>0.8</v>
      </c>
      <c r="T866" s="19">
        <v>3.5100000000000002</v>
      </c>
      <c r="V866" s="48" t="s">
        <v>973</v>
      </c>
      <c r="W866" s="48" t="s">
        <v>1832</v>
      </c>
      <c r="X866" s="51">
        <v>2.6251399034844098</v>
      </c>
      <c r="Z866" s="48" t="s">
        <v>967</v>
      </c>
      <c r="AA866" s="51">
        <v>0.88988438400000003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968</v>
      </c>
      <c r="Q867" s="23">
        <f>DATE(YEAR(OneWeekMtgRatesDataTable75[[#This Row],[asOf]]),MONTH(OneWeekMtgRatesDataTable75[[#This Row],[asOf]]),DAY(OneWeekMtgRatesDataTable75[[#This Row],[asOf]]))</f>
        <v>41319</v>
      </c>
      <c r="R867" s="19">
        <v>3.56</v>
      </c>
      <c r="S867" s="19">
        <v>0.8</v>
      </c>
      <c r="T867" s="19">
        <v>3.5100000000000002</v>
      </c>
      <c r="V867" s="48" t="s">
        <v>972</v>
      </c>
      <c r="W867" s="48" t="s">
        <v>1832</v>
      </c>
      <c r="X867" s="51">
        <v>2.6257405351132901</v>
      </c>
      <c r="Z867" s="48" t="s">
        <v>966</v>
      </c>
      <c r="AA867" s="51">
        <v>0.90384962700000004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967</v>
      </c>
      <c r="Q868" s="23">
        <f>DATE(YEAR(OneWeekMtgRatesDataTable75[[#This Row],[asOf]]),MONTH(OneWeekMtgRatesDataTable75[[#This Row],[asOf]]),DAY(OneWeekMtgRatesDataTable75[[#This Row],[asOf]]))</f>
        <v>41318</v>
      </c>
      <c r="R868" s="19">
        <v>3.53</v>
      </c>
      <c r="S868" s="19">
        <v>0.8</v>
      </c>
      <c r="T868" s="19">
        <v>3.48</v>
      </c>
      <c r="V868" s="48" t="s">
        <v>971</v>
      </c>
      <c r="W868" s="48" t="s">
        <v>1832</v>
      </c>
      <c r="X868" s="51">
        <v>2.63796949913782</v>
      </c>
      <c r="Z868" s="48" t="s">
        <v>965</v>
      </c>
      <c r="AA868" s="51">
        <v>0.90384962700000004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966</v>
      </c>
      <c r="Q869" s="23">
        <f>DATE(YEAR(OneWeekMtgRatesDataTable75[[#This Row],[asOf]]),MONTH(OneWeekMtgRatesDataTable75[[#This Row],[asOf]]),DAY(OneWeekMtgRatesDataTable75[[#This Row],[asOf]]))</f>
        <v>41317</v>
      </c>
      <c r="R869" s="19">
        <v>3.53</v>
      </c>
      <c r="S869" s="19">
        <v>0.8</v>
      </c>
      <c r="T869" s="19">
        <v>3.48</v>
      </c>
      <c r="V869" s="48" t="s">
        <v>970</v>
      </c>
      <c r="W869" s="48" t="s">
        <v>1832</v>
      </c>
      <c r="X869" s="51">
        <v>2.6380211947179002</v>
      </c>
      <c r="Z869" s="48" t="s">
        <v>964</v>
      </c>
      <c r="AA869" s="51">
        <v>0.90384962700000004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965</v>
      </c>
      <c r="Q870" s="23">
        <f>DATE(YEAR(OneWeekMtgRatesDataTable75[[#This Row],[asOf]]),MONTH(OneWeekMtgRatesDataTable75[[#This Row],[asOf]]),DAY(OneWeekMtgRatesDataTable75[[#This Row],[asOf]]))</f>
        <v>41316</v>
      </c>
      <c r="R870" s="19">
        <v>3.53</v>
      </c>
      <c r="S870" s="19">
        <v>0.8</v>
      </c>
      <c r="T870" s="19">
        <v>3.48</v>
      </c>
      <c r="V870" s="48" t="s">
        <v>969</v>
      </c>
      <c r="W870" s="48" t="s">
        <v>1832</v>
      </c>
      <c r="X870" s="51">
        <v>2.6207856725732901</v>
      </c>
      <c r="Z870" s="48" t="s">
        <v>963</v>
      </c>
      <c r="AA870" s="51">
        <v>0.90384962700000004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964</v>
      </c>
      <c r="Q871" s="23">
        <f>DATE(YEAR(OneWeekMtgRatesDataTable75[[#This Row],[asOf]]),MONTH(OneWeekMtgRatesDataTable75[[#This Row],[asOf]]),DAY(OneWeekMtgRatesDataTable75[[#This Row],[asOf]]))</f>
        <v>41313</v>
      </c>
      <c r="R871" s="19">
        <v>3.53</v>
      </c>
      <c r="S871" s="19">
        <v>0.8</v>
      </c>
      <c r="T871" s="19">
        <v>3.48</v>
      </c>
      <c r="V871" s="48" t="s">
        <v>968</v>
      </c>
      <c r="W871" s="48" t="s">
        <v>1832</v>
      </c>
      <c r="X871" s="51">
        <v>2.6085491789438602</v>
      </c>
      <c r="Z871" s="48" t="s">
        <v>962</v>
      </c>
      <c r="AA871" s="51">
        <v>0.90384962700000004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963</v>
      </c>
      <c r="Q872" s="23">
        <f>DATE(YEAR(OneWeekMtgRatesDataTable75[[#This Row],[asOf]]),MONTH(OneWeekMtgRatesDataTable75[[#This Row],[asOf]]),DAY(OneWeekMtgRatesDataTable75[[#This Row],[asOf]]))</f>
        <v>41312</v>
      </c>
      <c r="R872" s="19">
        <v>3.53</v>
      </c>
      <c r="S872" s="19">
        <v>0.8</v>
      </c>
      <c r="T872" s="19">
        <v>3.48</v>
      </c>
      <c r="V872" s="48" t="s">
        <v>967</v>
      </c>
      <c r="W872" s="48" t="s">
        <v>1832</v>
      </c>
      <c r="X872" s="51">
        <v>2.6537197373142098</v>
      </c>
      <c r="Z872" s="48" t="s">
        <v>961</v>
      </c>
      <c r="AA872" s="51">
        <v>0.94516652099999998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962</v>
      </c>
      <c r="Q873" s="23">
        <f>DATE(YEAR(OneWeekMtgRatesDataTable75[[#This Row],[asOf]]),MONTH(OneWeekMtgRatesDataTable75[[#This Row],[asOf]]),DAY(OneWeekMtgRatesDataTable75[[#This Row],[asOf]]))</f>
        <v>41311</v>
      </c>
      <c r="R873" s="19">
        <v>3.53</v>
      </c>
      <c r="S873" s="19">
        <v>0.8</v>
      </c>
      <c r="T873" s="19">
        <v>3.48</v>
      </c>
      <c r="V873" s="48" t="s">
        <v>966</v>
      </c>
      <c r="W873" s="48" t="s">
        <v>1832</v>
      </c>
      <c r="X873" s="51">
        <v>2.6070118411689598</v>
      </c>
      <c r="Z873" s="48" t="s">
        <v>960</v>
      </c>
      <c r="AA873" s="51">
        <v>0.94516652099999998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961</v>
      </c>
      <c r="Q874" s="23">
        <f>DATE(YEAR(OneWeekMtgRatesDataTable75[[#This Row],[asOf]]),MONTH(OneWeekMtgRatesDataTable75[[#This Row],[asOf]]),DAY(OneWeekMtgRatesDataTable75[[#This Row],[asOf]]))</f>
        <v>41310</v>
      </c>
      <c r="R874" s="19">
        <v>3.53</v>
      </c>
      <c r="S874" s="19">
        <v>0.8</v>
      </c>
      <c r="T874" s="19">
        <v>3.48</v>
      </c>
      <c r="V874" s="48" t="s">
        <v>965</v>
      </c>
      <c r="W874" s="48" t="s">
        <v>1832</v>
      </c>
      <c r="X874" s="51">
        <v>2.56530846465939</v>
      </c>
      <c r="Z874" s="48" t="s">
        <v>959</v>
      </c>
      <c r="AA874" s="51">
        <v>0.94516652099999998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960</v>
      </c>
      <c r="Q875" s="23">
        <f>DATE(YEAR(OneWeekMtgRatesDataTable75[[#This Row],[asOf]]),MONTH(OneWeekMtgRatesDataTable75[[#This Row],[asOf]]),DAY(OneWeekMtgRatesDataTable75[[#This Row],[asOf]]))</f>
        <v>41309</v>
      </c>
      <c r="R875" s="19">
        <v>3.53</v>
      </c>
      <c r="S875" s="19">
        <v>0.8</v>
      </c>
      <c r="T875" s="19">
        <v>3.48</v>
      </c>
      <c r="V875" s="48" t="s">
        <v>964</v>
      </c>
      <c r="W875" s="48" t="s">
        <v>1832</v>
      </c>
      <c r="X875" s="51">
        <v>2.5731755488249699</v>
      </c>
      <c r="Z875" s="48" t="s">
        <v>958</v>
      </c>
      <c r="AA875" s="51">
        <v>0.94516652099999998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959</v>
      </c>
      <c r="Q876" s="23">
        <f>DATE(YEAR(OneWeekMtgRatesDataTable75[[#This Row],[asOf]]),MONTH(OneWeekMtgRatesDataTable75[[#This Row],[asOf]]),DAY(OneWeekMtgRatesDataTable75[[#This Row],[asOf]]))</f>
        <v>41306</v>
      </c>
      <c r="R876" s="19">
        <v>3.53</v>
      </c>
      <c r="S876" s="19">
        <v>0.8</v>
      </c>
      <c r="T876" s="19">
        <v>3.48</v>
      </c>
      <c r="V876" s="48" t="s">
        <v>963</v>
      </c>
      <c r="W876" s="48" t="s">
        <v>1832</v>
      </c>
      <c r="X876" s="51">
        <v>2.5513624904448799</v>
      </c>
      <c r="Z876" s="48" t="s">
        <v>957</v>
      </c>
      <c r="AA876" s="51">
        <v>0.94516652099999998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958</v>
      </c>
      <c r="Q877" s="23">
        <f>DATE(YEAR(OneWeekMtgRatesDataTable75[[#This Row],[asOf]]),MONTH(OneWeekMtgRatesDataTable75[[#This Row],[asOf]]),DAY(OneWeekMtgRatesDataTable75[[#This Row],[asOf]]))</f>
        <v>41305</v>
      </c>
      <c r="R877" s="19">
        <v>3.53</v>
      </c>
      <c r="S877" s="19">
        <v>0.8</v>
      </c>
      <c r="T877" s="19">
        <v>3.48</v>
      </c>
      <c r="V877" s="48" t="s">
        <v>962</v>
      </c>
      <c r="W877" s="48" t="s">
        <v>1832</v>
      </c>
      <c r="X877" s="51">
        <v>2.55943207517402</v>
      </c>
      <c r="Z877" s="48" t="s">
        <v>956</v>
      </c>
      <c r="AA877" s="51">
        <v>0.99132234900000005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957</v>
      </c>
      <c r="Q878" s="23">
        <f>DATE(YEAR(OneWeekMtgRatesDataTable75[[#This Row],[asOf]]),MONTH(OneWeekMtgRatesDataTable75[[#This Row],[asOf]]),DAY(OneWeekMtgRatesDataTable75[[#This Row],[asOf]]))</f>
        <v>41304</v>
      </c>
      <c r="R878" s="19">
        <v>3.53</v>
      </c>
      <c r="S878" s="19">
        <v>0.7</v>
      </c>
      <c r="T878" s="19">
        <v>3.4549999999999996</v>
      </c>
      <c r="V878" s="48" t="s">
        <v>961</v>
      </c>
      <c r="W878" s="48" t="s">
        <v>1832</v>
      </c>
      <c r="X878" s="51">
        <v>2.6005196496782901</v>
      </c>
      <c r="Z878" s="48" t="s">
        <v>955</v>
      </c>
      <c r="AA878" s="51">
        <v>0.99132234900000005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956</v>
      </c>
      <c r="Q879" s="23">
        <f>DATE(YEAR(OneWeekMtgRatesDataTable75[[#This Row],[asOf]]),MONTH(OneWeekMtgRatesDataTable75[[#This Row],[asOf]]),DAY(OneWeekMtgRatesDataTable75[[#This Row],[asOf]]))</f>
        <v>41303</v>
      </c>
      <c r="R879" s="19">
        <v>3.53</v>
      </c>
      <c r="S879" s="19">
        <v>0.7</v>
      </c>
      <c r="T879" s="19">
        <v>3.4549999999999996</v>
      </c>
      <c r="V879" s="48" t="s">
        <v>960</v>
      </c>
      <c r="W879" s="48" t="s">
        <v>1832</v>
      </c>
      <c r="X879" s="51">
        <v>2.5556270132589098</v>
      </c>
      <c r="Z879" s="48" t="s">
        <v>954</v>
      </c>
      <c r="AA879" s="51">
        <v>0.99132234900000005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955</v>
      </c>
      <c r="Q880" s="23">
        <f>DATE(YEAR(OneWeekMtgRatesDataTable75[[#This Row],[asOf]]),MONTH(OneWeekMtgRatesDataTable75[[#This Row],[asOf]]),DAY(OneWeekMtgRatesDataTable75[[#This Row],[asOf]]))</f>
        <v>41302</v>
      </c>
      <c r="R880" s="19">
        <v>3.53</v>
      </c>
      <c r="S880" s="19">
        <v>0.7</v>
      </c>
      <c r="T880" s="19">
        <v>3.4549999999999996</v>
      </c>
      <c r="V880" s="48" t="s">
        <v>959</v>
      </c>
      <c r="W880" s="48" t="s">
        <v>1832</v>
      </c>
      <c r="X880" s="51">
        <v>2.5914055356862402</v>
      </c>
      <c r="Z880" s="48" t="s">
        <v>953</v>
      </c>
      <c r="AA880" s="51">
        <v>0.99132234900000005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954</v>
      </c>
      <c r="Q881" s="23">
        <f>DATE(YEAR(OneWeekMtgRatesDataTable75[[#This Row],[asOf]]),MONTH(OneWeekMtgRatesDataTable75[[#This Row],[asOf]]),DAY(OneWeekMtgRatesDataTable75[[#This Row],[asOf]]))</f>
        <v>41299</v>
      </c>
      <c r="R881" s="19">
        <v>3.53</v>
      </c>
      <c r="S881" s="19">
        <v>0.7</v>
      </c>
      <c r="T881" s="19">
        <v>3.4549999999999996</v>
      </c>
      <c r="V881" s="48" t="s">
        <v>958</v>
      </c>
      <c r="W881" s="48" t="s">
        <v>1832</v>
      </c>
      <c r="X881" s="51">
        <v>2.57376759097352</v>
      </c>
      <c r="Z881" s="48" t="s">
        <v>952</v>
      </c>
      <c r="AA881" s="51">
        <v>0.99132234900000005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953</v>
      </c>
      <c r="Q882" s="23">
        <f>DATE(YEAR(OneWeekMtgRatesDataTable75[[#This Row],[asOf]]),MONTH(OneWeekMtgRatesDataTable75[[#This Row],[asOf]]),DAY(OneWeekMtgRatesDataTable75[[#This Row],[asOf]]))</f>
        <v>41298</v>
      </c>
      <c r="R882" s="19">
        <v>3.53</v>
      </c>
      <c r="S882" s="19">
        <v>0.7</v>
      </c>
      <c r="T882" s="19">
        <v>3.4549999999999996</v>
      </c>
      <c r="V882" s="48" t="s">
        <v>957</v>
      </c>
      <c r="W882" s="48" t="s">
        <v>1832</v>
      </c>
      <c r="X882" s="51">
        <v>2.5772925233697599</v>
      </c>
      <c r="Z882" s="48" t="s">
        <v>951</v>
      </c>
      <c r="AA882" s="51">
        <v>1.014171006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952</v>
      </c>
      <c r="Q883" s="23">
        <f>DATE(YEAR(OneWeekMtgRatesDataTable75[[#This Row],[asOf]]),MONTH(OneWeekMtgRatesDataTable75[[#This Row],[asOf]]),DAY(OneWeekMtgRatesDataTable75[[#This Row],[asOf]]))</f>
        <v>41297</v>
      </c>
      <c r="R883" s="19">
        <v>3.42</v>
      </c>
      <c r="S883" s="19">
        <v>0.7</v>
      </c>
      <c r="T883" s="19">
        <v>3.3449999999999998</v>
      </c>
      <c r="V883" s="48" t="s">
        <v>956</v>
      </c>
      <c r="W883" s="48" t="s">
        <v>1832</v>
      </c>
      <c r="X883" s="51">
        <v>2.5598092537420398</v>
      </c>
      <c r="Z883" s="48" t="s">
        <v>950</v>
      </c>
      <c r="AA883" s="51">
        <v>1.014171006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951</v>
      </c>
      <c r="Q884" s="23">
        <f>DATE(YEAR(OneWeekMtgRatesDataTable75[[#This Row],[asOf]]),MONTH(OneWeekMtgRatesDataTable75[[#This Row],[asOf]]),DAY(OneWeekMtgRatesDataTable75[[#This Row],[asOf]]))</f>
        <v>41296</v>
      </c>
      <c r="R884" s="19">
        <v>3.42</v>
      </c>
      <c r="S884" s="19">
        <v>0.7</v>
      </c>
      <c r="T884" s="19">
        <v>3.3449999999999998</v>
      </c>
      <c r="V884" s="48" t="s">
        <v>955</v>
      </c>
      <c r="W884" s="48" t="s">
        <v>1832</v>
      </c>
      <c r="X884" s="51">
        <v>2.5393282304868099</v>
      </c>
      <c r="Z884" s="48" t="s">
        <v>949</v>
      </c>
      <c r="AA884" s="51">
        <v>1.014171006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950</v>
      </c>
      <c r="Q885" s="23">
        <f>DATE(YEAR(OneWeekMtgRatesDataTable75[[#This Row],[asOf]]),MONTH(OneWeekMtgRatesDataTable75[[#This Row],[asOf]]),DAY(OneWeekMtgRatesDataTable75[[#This Row],[asOf]]))</f>
        <v>41292</v>
      </c>
      <c r="R885" s="19">
        <v>3.42</v>
      </c>
      <c r="S885" s="19">
        <v>0.7</v>
      </c>
      <c r="T885" s="19">
        <v>3.3449999999999998</v>
      </c>
      <c r="V885" s="48" t="s">
        <v>954</v>
      </c>
      <c r="W885" s="48" t="s">
        <v>1832</v>
      </c>
      <c r="X885" s="51">
        <v>2.50531849536197</v>
      </c>
      <c r="Z885" s="48" t="s">
        <v>948</v>
      </c>
      <c r="AA885" s="51">
        <v>1.014171006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949</v>
      </c>
      <c r="Q886" s="23">
        <f>DATE(YEAR(OneWeekMtgRatesDataTable75[[#This Row],[asOf]]),MONTH(OneWeekMtgRatesDataTable75[[#This Row],[asOf]]),DAY(OneWeekMtgRatesDataTable75[[#This Row],[asOf]]))</f>
        <v>41291</v>
      </c>
      <c r="R886" s="19">
        <v>3.42</v>
      </c>
      <c r="S886" s="19">
        <v>0.7</v>
      </c>
      <c r="T886" s="19">
        <v>3.3449999999999998</v>
      </c>
      <c r="V886" s="48" t="s">
        <v>953</v>
      </c>
      <c r="W886" s="48" t="s">
        <v>1832</v>
      </c>
      <c r="X886" s="51">
        <v>2.3674188938348699</v>
      </c>
      <c r="Z886" s="48" t="s">
        <v>947</v>
      </c>
      <c r="AA886" s="51">
        <v>1.014594861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948</v>
      </c>
      <c r="Q887" s="23">
        <f>DATE(YEAR(OneWeekMtgRatesDataTable75[[#This Row],[asOf]]),MONTH(OneWeekMtgRatesDataTable75[[#This Row],[asOf]]),DAY(OneWeekMtgRatesDataTable75[[#This Row],[asOf]]))</f>
        <v>41290</v>
      </c>
      <c r="R887" s="19">
        <v>3.38</v>
      </c>
      <c r="S887" s="19">
        <v>0.7</v>
      </c>
      <c r="T887" s="19">
        <v>3.3049999999999997</v>
      </c>
      <c r="V887" s="48" t="s">
        <v>952</v>
      </c>
      <c r="W887" s="48" t="s">
        <v>1832</v>
      </c>
      <c r="X887" s="51">
        <v>2.3433125325998301</v>
      </c>
      <c r="Z887" s="48" t="s">
        <v>946</v>
      </c>
      <c r="AA887" s="51">
        <v>1.014594861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947</v>
      </c>
      <c r="Q888" s="23">
        <f>DATE(YEAR(OneWeekMtgRatesDataTable75[[#This Row],[asOf]]),MONTH(OneWeekMtgRatesDataTable75[[#This Row],[asOf]]),DAY(OneWeekMtgRatesDataTable75[[#This Row],[asOf]]))</f>
        <v>41289</v>
      </c>
      <c r="R888" s="19">
        <v>3.38</v>
      </c>
      <c r="S888" s="19">
        <v>0.7</v>
      </c>
      <c r="T888" s="19">
        <v>3.3049999999999997</v>
      </c>
      <c r="V888" s="48" t="s">
        <v>951</v>
      </c>
      <c r="W888" s="48" t="s">
        <v>1832</v>
      </c>
      <c r="X888" s="51">
        <v>2.35220774246172</v>
      </c>
      <c r="Z888" s="48" t="s">
        <v>945</v>
      </c>
      <c r="AA888" s="51">
        <v>1.014594861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946</v>
      </c>
      <c r="Q889" s="23">
        <f>DATE(YEAR(OneWeekMtgRatesDataTable75[[#This Row],[asOf]]),MONTH(OneWeekMtgRatesDataTable75[[#This Row],[asOf]]),DAY(OneWeekMtgRatesDataTable75[[#This Row],[asOf]]))</f>
        <v>41288</v>
      </c>
      <c r="R889" s="19">
        <v>3.38</v>
      </c>
      <c r="S889" s="19">
        <v>0.7</v>
      </c>
      <c r="T889" s="19">
        <v>3.3049999999999997</v>
      </c>
      <c r="V889" s="48" t="s">
        <v>950</v>
      </c>
      <c r="W889" s="48" t="s">
        <v>1832</v>
      </c>
      <c r="X889" s="51">
        <v>2.3502791672529901</v>
      </c>
      <c r="Z889" s="48" t="s">
        <v>944</v>
      </c>
      <c r="AA889" s="51">
        <v>1.014594861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945</v>
      </c>
      <c r="Q890" s="23">
        <f>DATE(YEAR(OneWeekMtgRatesDataTable75[[#This Row],[asOf]]),MONTH(OneWeekMtgRatesDataTable75[[#This Row],[asOf]]),DAY(OneWeekMtgRatesDataTable75[[#This Row],[asOf]]))</f>
        <v>41285</v>
      </c>
      <c r="R890" s="19">
        <v>3.38</v>
      </c>
      <c r="S890" s="19">
        <v>0.7</v>
      </c>
      <c r="T890" s="19">
        <v>3.3049999999999997</v>
      </c>
      <c r="V890" s="48" t="s">
        <v>949</v>
      </c>
      <c r="W890" s="48" t="s">
        <v>1832</v>
      </c>
      <c r="X890" s="51">
        <v>2.3689111618910199</v>
      </c>
      <c r="Z890" s="48" t="s">
        <v>943</v>
      </c>
      <c r="AA890" s="51">
        <v>1.014594861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944</v>
      </c>
      <c r="Q891" s="23">
        <f>DATE(YEAR(OneWeekMtgRatesDataTable75[[#This Row],[asOf]]),MONTH(OneWeekMtgRatesDataTable75[[#This Row],[asOf]]),DAY(OneWeekMtgRatesDataTable75[[#This Row],[asOf]]))</f>
        <v>41284</v>
      </c>
      <c r="R891" s="19">
        <v>3.38</v>
      </c>
      <c r="S891" s="19">
        <v>0.7</v>
      </c>
      <c r="T891" s="19">
        <v>3.3049999999999997</v>
      </c>
      <c r="V891" s="48" t="s">
        <v>948</v>
      </c>
      <c r="W891" s="48" t="s">
        <v>1832</v>
      </c>
      <c r="X891" s="51">
        <v>2.2944098288443899</v>
      </c>
      <c r="Z891" s="48" t="s">
        <v>942</v>
      </c>
      <c r="AA891" s="51">
        <v>1.1069595169999999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943</v>
      </c>
      <c r="Q892" s="23">
        <f>DATE(YEAR(OneWeekMtgRatesDataTable75[[#This Row],[asOf]]),MONTH(OneWeekMtgRatesDataTable75[[#This Row],[asOf]]),DAY(OneWeekMtgRatesDataTable75[[#This Row],[asOf]]))</f>
        <v>41283</v>
      </c>
      <c r="R892" s="19">
        <v>3.4</v>
      </c>
      <c r="S892" s="19">
        <v>0.7</v>
      </c>
      <c r="T892" s="19">
        <v>3.3249999999999997</v>
      </c>
      <c r="V892" s="48" t="s">
        <v>947</v>
      </c>
      <c r="W892" s="48" t="s">
        <v>1832</v>
      </c>
      <c r="X892" s="51">
        <v>2.2938425272831502</v>
      </c>
      <c r="Z892" s="48" t="s">
        <v>941</v>
      </c>
      <c r="AA892" s="51">
        <v>1.1069595169999999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942</v>
      </c>
      <c r="Q893" s="23">
        <f>DATE(YEAR(OneWeekMtgRatesDataTable75[[#This Row],[asOf]]),MONTH(OneWeekMtgRatesDataTable75[[#This Row],[asOf]]),DAY(OneWeekMtgRatesDataTable75[[#This Row],[asOf]]))</f>
        <v>41282</v>
      </c>
      <c r="R893" s="19">
        <v>3.4</v>
      </c>
      <c r="S893" s="19">
        <v>0.7</v>
      </c>
      <c r="T893" s="19">
        <v>3.3249999999999997</v>
      </c>
      <c r="V893" s="48" t="s">
        <v>946</v>
      </c>
      <c r="W893" s="48" t="s">
        <v>1832</v>
      </c>
      <c r="X893" s="51">
        <v>2.2784009909774001</v>
      </c>
      <c r="Z893" s="48" t="s">
        <v>940</v>
      </c>
      <c r="AA893" s="51">
        <v>1.1069595169999999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941</v>
      </c>
      <c r="Q894" s="23">
        <f>DATE(YEAR(OneWeekMtgRatesDataTable75[[#This Row],[asOf]]),MONTH(OneWeekMtgRatesDataTable75[[#This Row],[asOf]]),DAY(OneWeekMtgRatesDataTable75[[#This Row],[asOf]]))</f>
        <v>41281</v>
      </c>
      <c r="R894" s="19">
        <v>3.4</v>
      </c>
      <c r="S894" s="19">
        <v>0.7</v>
      </c>
      <c r="T894" s="19">
        <v>3.3249999999999997</v>
      </c>
      <c r="V894" s="48" t="s">
        <v>945</v>
      </c>
      <c r="W894" s="48" t="s">
        <v>1832</v>
      </c>
      <c r="X894" s="51">
        <v>2.2816853967186499</v>
      </c>
      <c r="Z894" s="48" t="s">
        <v>939</v>
      </c>
      <c r="AA894" s="51">
        <v>1.1069595169999999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940</v>
      </c>
      <c r="Q895" s="23">
        <f>DATE(YEAR(OneWeekMtgRatesDataTable75[[#This Row],[asOf]]),MONTH(OneWeekMtgRatesDataTable75[[#This Row],[asOf]]),DAY(OneWeekMtgRatesDataTable75[[#This Row],[asOf]]))</f>
        <v>41278</v>
      </c>
      <c r="R895" s="19">
        <v>3.4</v>
      </c>
      <c r="S895" s="19">
        <v>0.7</v>
      </c>
      <c r="T895" s="19">
        <v>3.3249999999999997</v>
      </c>
      <c r="V895" s="48" t="s">
        <v>944</v>
      </c>
      <c r="W895" s="48" t="s">
        <v>1832</v>
      </c>
      <c r="X895" s="51">
        <v>2.3058062237430601</v>
      </c>
      <c r="Z895" s="48" t="s">
        <v>938</v>
      </c>
      <c r="AA895" s="51">
        <v>1.1069595169999999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939</v>
      </c>
      <c r="Q896" s="23">
        <f>DATE(YEAR(OneWeekMtgRatesDataTable75[[#This Row],[asOf]]),MONTH(OneWeekMtgRatesDataTable75[[#This Row],[asOf]]),DAY(OneWeekMtgRatesDataTable75[[#This Row],[asOf]]))</f>
        <v>41277</v>
      </c>
      <c r="R896" s="19">
        <v>3.4</v>
      </c>
      <c r="S896" s="19">
        <v>0.7</v>
      </c>
      <c r="T896" s="19">
        <v>3.3249999999999997</v>
      </c>
      <c r="V896" s="48" t="s">
        <v>943</v>
      </c>
      <c r="W896" s="48" t="s">
        <v>1832</v>
      </c>
      <c r="X896" s="51">
        <v>2.2542377381479901</v>
      </c>
      <c r="Z896" s="48" t="s">
        <v>937</v>
      </c>
      <c r="AA896" s="51">
        <v>1.106368019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938</v>
      </c>
      <c r="Q897" s="23">
        <f>DATE(YEAR(OneWeekMtgRatesDataTable75[[#This Row],[asOf]]),MONTH(OneWeekMtgRatesDataTable75[[#This Row],[asOf]]),DAY(OneWeekMtgRatesDataTable75[[#This Row],[asOf]]))</f>
        <v>41276</v>
      </c>
      <c r="R897" s="19">
        <v>3.34</v>
      </c>
      <c r="S897" s="19">
        <v>0.7</v>
      </c>
      <c r="T897" s="19">
        <v>3.2649999999999997</v>
      </c>
      <c r="V897" s="48" t="s">
        <v>942</v>
      </c>
      <c r="W897" s="48" t="s">
        <v>1832</v>
      </c>
      <c r="X897" s="51">
        <v>2.2872202205924901</v>
      </c>
      <c r="Z897" s="48" t="s">
        <v>936</v>
      </c>
      <c r="AA897" s="51">
        <v>1.106368019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937</v>
      </c>
      <c r="Q898" s="23">
        <f>DATE(YEAR(OneWeekMtgRatesDataTable75[[#This Row],[asOf]]),MONTH(OneWeekMtgRatesDataTable75[[#This Row],[asOf]]),DAY(OneWeekMtgRatesDataTable75[[#This Row],[asOf]]))</f>
        <v>41274</v>
      </c>
      <c r="R898" s="19">
        <v>3.34</v>
      </c>
      <c r="S898" s="19">
        <v>0.7</v>
      </c>
      <c r="T898" s="19">
        <v>3.2649999999999997</v>
      </c>
      <c r="V898" s="48" t="s">
        <v>941</v>
      </c>
      <c r="W898" s="48" t="s">
        <v>1832</v>
      </c>
      <c r="X898" s="51">
        <v>2.3132421541265802</v>
      </c>
      <c r="Z898" s="48" t="s">
        <v>935</v>
      </c>
      <c r="AA898" s="51">
        <v>1.106368019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936</v>
      </c>
      <c r="Q899" s="23">
        <f>DATE(YEAR(OneWeekMtgRatesDataTable75[[#This Row],[asOf]]),MONTH(OneWeekMtgRatesDataTable75[[#This Row],[asOf]]),DAY(OneWeekMtgRatesDataTable75[[#This Row],[asOf]]))</f>
        <v>41271</v>
      </c>
      <c r="R899" s="19">
        <v>3.34</v>
      </c>
      <c r="S899" s="19">
        <v>0.7</v>
      </c>
      <c r="T899" s="19">
        <v>3.2649999999999997</v>
      </c>
      <c r="V899" s="48" t="s">
        <v>940</v>
      </c>
      <c r="W899" s="48" t="s">
        <v>1832</v>
      </c>
      <c r="X899" s="51">
        <v>2.3583903097049501</v>
      </c>
      <c r="Z899" s="48" t="s">
        <v>934</v>
      </c>
      <c r="AA899" s="51">
        <v>1.106368019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935</v>
      </c>
      <c r="Q900" s="23">
        <f>DATE(YEAR(OneWeekMtgRatesDataTable75[[#This Row],[asOf]]),MONTH(OneWeekMtgRatesDataTable75[[#This Row],[asOf]]),DAY(OneWeekMtgRatesDataTable75[[#This Row],[asOf]]))</f>
        <v>41270</v>
      </c>
      <c r="R900" s="19">
        <v>3.34</v>
      </c>
      <c r="S900" s="19">
        <v>0.7</v>
      </c>
      <c r="T900" s="19">
        <v>3.2649999999999997</v>
      </c>
      <c r="V900" s="48" t="s">
        <v>939</v>
      </c>
      <c r="W900" s="48" t="s">
        <v>1832</v>
      </c>
      <c r="X900" s="51">
        <v>2.33893527316877</v>
      </c>
      <c r="Z900" s="48" t="s">
        <v>933</v>
      </c>
      <c r="AA900" s="51">
        <v>1.094288556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934</v>
      </c>
      <c r="Q901" s="23">
        <f>DATE(YEAR(OneWeekMtgRatesDataTable75[[#This Row],[asOf]]),MONTH(OneWeekMtgRatesDataTable75[[#This Row],[asOf]]),DAY(OneWeekMtgRatesDataTable75[[#This Row],[asOf]]))</f>
        <v>41269</v>
      </c>
      <c r="R901" s="19">
        <v>3.35</v>
      </c>
      <c r="S901" s="19">
        <v>0.7</v>
      </c>
      <c r="T901" s="19">
        <v>3.2749999999999999</v>
      </c>
      <c r="V901" s="48" t="s">
        <v>938</v>
      </c>
      <c r="W901" s="48" t="s">
        <v>1832</v>
      </c>
      <c r="X901" s="51">
        <v>2.2179772298988301</v>
      </c>
      <c r="Z901" s="48" t="s">
        <v>932</v>
      </c>
      <c r="AA901" s="51">
        <v>1.094288556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933</v>
      </c>
      <c r="Q902" s="23">
        <f>DATE(YEAR(OneWeekMtgRatesDataTable75[[#This Row],[asOf]]),MONTH(OneWeekMtgRatesDataTable75[[#This Row],[asOf]]),DAY(OneWeekMtgRatesDataTable75[[#This Row],[asOf]]))</f>
        <v>41267</v>
      </c>
      <c r="R902" s="19">
        <v>3.35</v>
      </c>
      <c r="S902" s="19">
        <v>0.7</v>
      </c>
      <c r="T902" s="19">
        <v>3.2749999999999999</v>
      </c>
      <c r="V902" s="48" t="s">
        <v>937</v>
      </c>
      <c r="W902" s="48" t="s">
        <v>1832</v>
      </c>
      <c r="X902" s="51">
        <v>2.1517307112587098</v>
      </c>
      <c r="Z902" s="48" t="s">
        <v>931</v>
      </c>
      <c r="AA902" s="51">
        <v>1.094288556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932</v>
      </c>
      <c r="Q903" s="23">
        <f>DATE(YEAR(OneWeekMtgRatesDataTable75[[#This Row],[asOf]]),MONTH(OneWeekMtgRatesDataTable75[[#This Row],[asOf]]),DAY(OneWeekMtgRatesDataTable75[[#This Row],[asOf]]))</f>
        <v>41264</v>
      </c>
      <c r="R903" s="19">
        <v>3.35</v>
      </c>
      <c r="S903" s="19">
        <v>0.7</v>
      </c>
      <c r="T903" s="19">
        <v>3.2749999999999999</v>
      </c>
      <c r="V903" s="48" t="s">
        <v>936</v>
      </c>
      <c r="W903" s="48" t="s">
        <v>1832</v>
      </c>
      <c r="X903" s="51">
        <v>2.1401763219910399</v>
      </c>
      <c r="Z903" s="48" t="s">
        <v>930</v>
      </c>
      <c r="AA903" s="51">
        <v>1.094288556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931</v>
      </c>
      <c r="Q904" s="23">
        <f>DATE(YEAR(OneWeekMtgRatesDataTable75[[#This Row],[asOf]]),MONTH(OneWeekMtgRatesDataTable75[[#This Row],[asOf]]),DAY(OneWeekMtgRatesDataTable75[[#This Row],[asOf]]))</f>
        <v>41263</v>
      </c>
      <c r="R904" s="19">
        <v>3.35</v>
      </c>
      <c r="S904" s="19">
        <v>0.7</v>
      </c>
      <c r="T904" s="19">
        <v>3.2749999999999999</v>
      </c>
      <c r="V904" s="48" t="s">
        <v>935</v>
      </c>
      <c r="W904" s="48" t="s">
        <v>1832</v>
      </c>
      <c r="X904" s="51">
        <v>2.12227766952706</v>
      </c>
      <c r="Z904" s="48" t="s">
        <v>929</v>
      </c>
      <c r="AA904" s="51">
        <v>1.105704743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930</v>
      </c>
      <c r="Q905" s="23">
        <f>DATE(YEAR(OneWeekMtgRatesDataTable75[[#This Row],[asOf]]),MONTH(OneWeekMtgRatesDataTable75[[#This Row],[asOf]]),DAY(OneWeekMtgRatesDataTable75[[#This Row],[asOf]]))</f>
        <v>41262</v>
      </c>
      <c r="R905" s="19">
        <v>3.37</v>
      </c>
      <c r="S905" s="19">
        <v>0.7</v>
      </c>
      <c r="T905" s="19">
        <v>3.2949999999999999</v>
      </c>
      <c r="V905" s="48" t="s">
        <v>934</v>
      </c>
      <c r="W905" s="48" t="s">
        <v>1832</v>
      </c>
      <c r="X905" s="51">
        <v>2.1575085514306598</v>
      </c>
      <c r="Z905" s="48" t="s">
        <v>928</v>
      </c>
      <c r="AA905" s="51">
        <v>1.105704743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929</v>
      </c>
      <c r="Q906" s="23">
        <f>DATE(YEAR(OneWeekMtgRatesDataTable75[[#This Row],[asOf]]),MONTH(OneWeekMtgRatesDataTable75[[#This Row],[asOf]]),DAY(OneWeekMtgRatesDataTable75[[#This Row],[asOf]]))</f>
        <v>41261</v>
      </c>
      <c r="R906" s="19">
        <v>3.37</v>
      </c>
      <c r="S906" s="19">
        <v>0.7</v>
      </c>
      <c r="T906" s="19">
        <v>3.2949999999999999</v>
      </c>
      <c r="V906" s="48" t="s">
        <v>933</v>
      </c>
      <c r="W906" s="48" t="s">
        <v>1832</v>
      </c>
      <c r="X906" s="51">
        <v>2.1781660184228402</v>
      </c>
      <c r="Z906" s="48" t="s">
        <v>927</v>
      </c>
      <c r="AA906" s="51">
        <v>1.105704743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928</v>
      </c>
      <c r="Q907" s="23">
        <f>DATE(YEAR(OneWeekMtgRatesDataTable75[[#This Row],[asOf]]),MONTH(OneWeekMtgRatesDataTable75[[#This Row],[asOf]]),DAY(OneWeekMtgRatesDataTable75[[#This Row],[asOf]]))</f>
        <v>41260</v>
      </c>
      <c r="R907" s="19">
        <v>3.37</v>
      </c>
      <c r="S907" s="19">
        <v>0.7</v>
      </c>
      <c r="T907" s="19">
        <v>3.2949999999999999</v>
      </c>
      <c r="V907" s="48" t="s">
        <v>932</v>
      </c>
      <c r="W907" s="48" t="s">
        <v>1832</v>
      </c>
      <c r="X907" s="51">
        <v>2.14957407921754</v>
      </c>
      <c r="Z907" s="48" t="s">
        <v>926</v>
      </c>
      <c r="AA907" s="51">
        <v>1.105704743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927</v>
      </c>
      <c r="Q908" s="23">
        <f>DATE(YEAR(OneWeekMtgRatesDataTable75[[#This Row],[asOf]]),MONTH(OneWeekMtgRatesDataTable75[[#This Row],[asOf]]),DAY(OneWeekMtgRatesDataTable75[[#This Row],[asOf]]))</f>
        <v>41257</v>
      </c>
      <c r="R908" s="19">
        <v>3.37</v>
      </c>
      <c r="S908" s="19">
        <v>0.7</v>
      </c>
      <c r="T908" s="19">
        <v>3.2949999999999999</v>
      </c>
      <c r="V908" s="48" t="s">
        <v>931</v>
      </c>
      <c r="W908" s="48" t="s">
        <v>1832</v>
      </c>
      <c r="X908" s="51">
        <v>2.18927927513684</v>
      </c>
      <c r="Z908" s="48" t="s">
        <v>925</v>
      </c>
      <c r="AA908" s="51">
        <v>1.105704743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926</v>
      </c>
      <c r="Q909" s="23">
        <f>DATE(YEAR(OneWeekMtgRatesDataTable75[[#This Row],[asOf]]),MONTH(OneWeekMtgRatesDataTable75[[#This Row],[asOf]]),DAY(OneWeekMtgRatesDataTable75[[#This Row],[asOf]]))</f>
        <v>41256</v>
      </c>
      <c r="R909" s="19">
        <v>3.37</v>
      </c>
      <c r="S909" s="19">
        <v>0.7</v>
      </c>
      <c r="T909" s="19">
        <v>3.2949999999999999</v>
      </c>
      <c r="V909" s="48" t="s">
        <v>930</v>
      </c>
      <c r="W909" s="48" t="s">
        <v>1832</v>
      </c>
      <c r="X909" s="51">
        <v>2.20825796099597</v>
      </c>
      <c r="Z909" s="48" t="s">
        <v>924</v>
      </c>
      <c r="AA909" s="51">
        <v>1.1892056580000001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925</v>
      </c>
      <c r="Q910" s="23">
        <f>DATE(YEAR(OneWeekMtgRatesDataTable75[[#This Row],[asOf]]),MONTH(OneWeekMtgRatesDataTable75[[#This Row],[asOf]]),DAY(OneWeekMtgRatesDataTable75[[#This Row],[asOf]]))</f>
        <v>41255</v>
      </c>
      <c r="R910" s="19">
        <v>3.32</v>
      </c>
      <c r="S910" s="19">
        <v>0.7</v>
      </c>
      <c r="T910" s="19">
        <v>3.2449999999999997</v>
      </c>
      <c r="V910" s="48" t="s">
        <v>929</v>
      </c>
      <c r="W910" s="48" t="s">
        <v>1832</v>
      </c>
      <c r="X910" s="51">
        <v>2.2549632116225702</v>
      </c>
      <c r="Z910" s="48" t="s">
        <v>923</v>
      </c>
      <c r="AA910" s="51">
        <v>1.1892056580000001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924</v>
      </c>
      <c r="Q911" s="23">
        <f>DATE(YEAR(OneWeekMtgRatesDataTable75[[#This Row],[asOf]]),MONTH(OneWeekMtgRatesDataTable75[[#This Row],[asOf]]),DAY(OneWeekMtgRatesDataTable75[[#This Row],[asOf]]))</f>
        <v>41254</v>
      </c>
      <c r="R911" s="19">
        <v>3.32</v>
      </c>
      <c r="S911" s="19">
        <v>0.7</v>
      </c>
      <c r="T911" s="19">
        <v>3.2449999999999997</v>
      </c>
      <c r="V911" s="48" t="s">
        <v>928</v>
      </c>
      <c r="W911" s="48" t="s">
        <v>1832</v>
      </c>
      <c r="X911" s="51">
        <v>2.1860869431888501</v>
      </c>
      <c r="Z911" s="48" t="s">
        <v>922</v>
      </c>
      <c r="AA911" s="51">
        <v>1.1892056580000001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923</v>
      </c>
      <c r="Q912" s="23">
        <f>DATE(YEAR(OneWeekMtgRatesDataTable75[[#This Row],[asOf]]),MONTH(OneWeekMtgRatesDataTable75[[#This Row],[asOf]]),DAY(OneWeekMtgRatesDataTable75[[#This Row],[asOf]]))</f>
        <v>41253</v>
      </c>
      <c r="R912" s="19">
        <v>3.32</v>
      </c>
      <c r="S912" s="19">
        <v>0.7</v>
      </c>
      <c r="T912" s="19">
        <v>3.2449999999999997</v>
      </c>
      <c r="V912" s="48" t="s">
        <v>927</v>
      </c>
      <c r="W912" s="48" t="s">
        <v>1832</v>
      </c>
      <c r="X912" s="51">
        <v>2.1747058079367898</v>
      </c>
      <c r="Z912" s="48" t="s">
        <v>921</v>
      </c>
      <c r="AA912" s="51">
        <v>1.1892056580000001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922</v>
      </c>
      <c r="Q913" s="23">
        <f>DATE(YEAR(OneWeekMtgRatesDataTable75[[#This Row],[asOf]]),MONTH(OneWeekMtgRatesDataTable75[[#This Row],[asOf]]),DAY(OneWeekMtgRatesDataTable75[[#This Row],[asOf]]))</f>
        <v>41250</v>
      </c>
      <c r="R913" s="19">
        <v>3.32</v>
      </c>
      <c r="S913" s="19">
        <v>0.7</v>
      </c>
      <c r="T913" s="19">
        <v>3.2449999999999997</v>
      </c>
      <c r="V913" s="48" t="s">
        <v>926</v>
      </c>
      <c r="W913" s="48" t="s">
        <v>1832</v>
      </c>
      <c r="X913" s="51">
        <v>2.17954329599754</v>
      </c>
      <c r="Z913" s="48" t="s">
        <v>920</v>
      </c>
      <c r="AA913" s="51">
        <v>1.1892056580000001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921</v>
      </c>
      <c r="Q914" s="23">
        <f>DATE(YEAR(OneWeekMtgRatesDataTable75[[#This Row],[asOf]]),MONTH(OneWeekMtgRatesDataTable75[[#This Row],[asOf]]),DAY(OneWeekMtgRatesDataTable75[[#This Row],[asOf]]))</f>
        <v>41249</v>
      </c>
      <c r="R914" s="19">
        <v>3.32</v>
      </c>
      <c r="S914" s="19">
        <v>0.7</v>
      </c>
      <c r="T914" s="19">
        <v>3.2449999999999997</v>
      </c>
      <c r="V914" s="48" t="s">
        <v>925</v>
      </c>
      <c r="W914" s="48" t="s">
        <v>1832</v>
      </c>
      <c r="X914" s="51">
        <v>2.1698452448822598</v>
      </c>
      <c r="Z914" s="48" t="s">
        <v>919</v>
      </c>
      <c r="AA914" s="51">
        <v>1.162703399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920</v>
      </c>
      <c r="Q915" s="23">
        <f>DATE(YEAR(OneWeekMtgRatesDataTable75[[#This Row],[asOf]]),MONTH(OneWeekMtgRatesDataTable75[[#This Row],[asOf]]),DAY(OneWeekMtgRatesDataTable75[[#This Row],[asOf]]))</f>
        <v>41248</v>
      </c>
      <c r="R915" s="19">
        <v>3.34</v>
      </c>
      <c r="S915" s="19">
        <v>0.7</v>
      </c>
      <c r="T915" s="19">
        <v>3.2649999999999997</v>
      </c>
      <c r="V915" s="48" t="s">
        <v>924</v>
      </c>
      <c r="W915" s="48" t="s">
        <v>1832</v>
      </c>
      <c r="X915" s="51">
        <v>2.1257047070821802</v>
      </c>
      <c r="Z915" s="48" t="s">
        <v>918</v>
      </c>
      <c r="AA915" s="51">
        <v>1.162703399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919</v>
      </c>
      <c r="Q916" s="23">
        <f>DATE(YEAR(OneWeekMtgRatesDataTable75[[#This Row],[asOf]]),MONTH(OneWeekMtgRatesDataTable75[[#This Row],[asOf]]),DAY(OneWeekMtgRatesDataTable75[[#This Row],[asOf]]))</f>
        <v>41247</v>
      </c>
      <c r="R916" s="19">
        <v>3.34</v>
      </c>
      <c r="S916" s="19">
        <v>0.7</v>
      </c>
      <c r="T916" s="19">
        <v>3.2649999999999997</v>
      </c>
      <c r="V916" s="48" t="s">
        <v>923</v>
      </c>
      <c r="W916" s="48" t="s">
        <v>1832</v>
      </c>
      <c r="X916" s="51">
        <v>2.1263199579473602</v>
      </c>
      <c r="Z916" s="48" t="s">
        <v>917</v>
      </c>
      <c r="AA916" s="51">
        <v>1.162703399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918</v>
      </c>
      <c r="Q917" s="23">
        <f>DATE(YEAR(OneWeekMtgRatesDataTable75[[#This Row],[asOf]]),MONTH(OneWeekMtgRatesDataTable75[[#This Row],[asOf]]),DAY(OneWeekMtgRatesDataTable75[[#This Row],[asOf]]))</f>
        <v>41246</v>
      </c>
      <c r="R917" s="19">
        <v>3.34</v>
      </c>
      <c r="S917" s="19">
        <v>0.7</v>
      </c>
      <c r="T917" s="19">
        <v>3.2649999999999997</v>
      </c>
      <c r="V917" s="48" t="s">
        <v>922</v>
      </c>
      <c r="W917" s="48" t="s">
        <v>1832</v>
      </c>
      <c r="X917" s="51">
        <v>2.1663327490122799</v>
      </c>
      <c r="Z917" s="48" t="s">
        <v>916</v>
      </c>
      <c r="AA917" s="51">
        <v>1.162703399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917</v>
      </c>
      <c r="Q918" s="23">
        <f>DATE(YEAR(OneWeekMtgRatesDataTable75[[#This Row],[asOf]]),MONTH(OneWeekMtgRatesDataTable75[[#This Row],[asOf]]),DAY(OneWeekMtgRatesDataTable75[[#This Row],[asOf]]))</f>
        <v>41243</v>
      </c>
      <c r="R918" s="19">
        <v>3.34</v>
      </c>
      <c r="S918" s="19">
        <v>0.7</v>
      </c>
      <c r="T918" s="19">
        <v>3.2649999999999997</v>
      </c>
      <c r="V918" s="48" t="s">
        <v>921</v>
      </c>
      <c r="W918" s="48" t="s">
        <v>1832</v>
      </c>
      <c r="X918" s="51">
        <v>2.1082736282319798</v>
      </c>
      <c r="Z918" s="48" t="s">
        <v>915</v>
      </c>
      <c r="AA918" s="51">
        <v>1.162703399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916</v>
      </c>
      <c r="Q919" s="23">
        <f>DATE(YEAR(OneWeekMtgRatesDataTable75[[#This Row],[asOf]]),MONTH(OneWeekMtgRatesDataTable75[[#This Row],[asOf]]),DAY(OneWeekMtgRatesDataTable75[[#This Row],[asOf]]))</f>
        <v>41242</v>
      </c>
      <c r="R919" s="19">
        <v>3.34</v>
      </c>
      <c r="S919" s="19">
        <v>0.7</v>
      </c>
      <c r="T919" s="19">
        <v>3.2649999999999997</v>
      </c>
      <c r="V919" s="48" t="s">
        <v>920</v>
      </c>
      <c r="W919" s="48" t="s">
        <v>1832</v>
      </c>
      <c r="X919" s="51">
        <v>2.0799414922025399</v>
      </c>
      <c r="Z919" s="48" t="s">
        <v>914</v>
      </c>
      <c r="AA919" s="51">
        <v>1.1284005640000001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915</v>
      </c>
      <c r="Q920" s="23">
        <f>DATE(YEAR(OneWeekMtgRatesDataTable75[[#This Row],[asOf]]),MONTH(OneWeekMtgRatesDataTable75[[#This Row],[asOf]]),DAY(OneWeekMtgRatesDataTable75[[#This Row],[asOf]]))</f>
        <v>41241</v>
      </c>
      <c r="R920" s="19">
        <v>3.32</v>
      </c>
      <c r="S920" s="19">
        <v>0.8</v>
      </c>
      <c r="T920" s="19">
        <v>3.27</v>
      </c>
      <c r="V920" s="48" t="s">
        <v>919</v>
      </c>
      <c r="W920" s="48" t="s">
        <v>1832</v>
      </c>
      <c r="X920" s="51">
        <v>2.0678302367394399</v>
      </c>
      <c r="Z920" s="48" t="s">
        <v>913</v>
      </c>
      <c r="AA920" s="51">
        <v>1.1284005640000001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914</v>
      </c>
      <c r="Q921" s="23">
        <f>DATE(YEAR(OneWeekMtgRatesDataTable75[[#This Row],[asOf]]),MONTH(OneWeekMtgRatesDataTable75[[#This Row],[asOf]]),DAY(OneWeekMtgRatesDataTable75[[#This Row],[asOf]]))</f>
        <v>41240</v>
      </c>
      <c r="R921" s="19">
        <v>3.32</v>
      </c>
      <c r="S921" s="19">
        <v>0.8</v>
      </c>
      <c r="T921" s="19">
        <v>3.27</v>
      </c>
      <c r="V921" s="48" t="s">
        <v>918</v>
      </c>
      <c r="W921" s="48" t="s">
        <v>1832</v>
      </c>
      <c r="X921" s="51">
        <v>2.0862225711456399</v>
      </c>
      <c r="Z921" s="48" t="s">
        <v>912</v>
      </c>
      <c r="AA921" s="51">
        <v>1.1284005640000001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913</v>
      </c>
      <c r="Q922" s="23">
        <f>DATE(YEAR(OneWeekMtgRatesDataTable75[[#This Row],[asOf]]),MONTH(OneWeekMtgRatesDataTable75[[#This Row],[asOf]]),DAY(OneWeekMtgRatesDataTable75[[#This Row],[asOf]]))</f>
        <v>41239</v>
      </c>
      <c r="R922" s="19">
        <v>3.32</v>
      </c>
      <c r="S922" s="19">
        <v>0.8</v>
      </c>
      <c r="T922" s="19">
        <v>3.27</v>
      </c>
      <c r="V922" s="48" t="s">
        <v>917</v>
      </c>
      <c r="W922" s="48" t="s">
        <v>1832</v>
      </c>
      <c r="X922" s="51">
        <v>2.0725335490580301</v>
      </c>
      <c r="Z922" s="48" t="s">
        <v>911</v>
      </c>
      <c r="AA922" s="51">
        <v>1.1284005640000001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912</v>
      </c>
      <c r="Q923" s="23">
        <f>DATE(YEAR(OneWeekMtgRatesDataTable75[[#This Row],[asOf]]),MONTH(OneWeekMtgRatesDataTable75[[#This Row],[asOf]]),DAY(OneWeekMtgRatesDataTable75[[#This Row],[asOf]]))</f>
        <v>41236</v>
      </c>
      <c r="R923" s="19">
        <v>3.32</v>
      </c>
      <c r="S923" s="19">
        <v>0.8</v>
      </c>
      <c r="T923" s="19">
        <v>3.27</v>
      </c>
      <c r="V923" s="48" t="s">
        <v>916</v>
      </c>
      <c r="W923" s="48" t="s">
        <v>1832</v>
      </c>
      <c r="X923" s="51">
        <v>2.0724438614292899</v>
      </c>
      <c r="Z923" s="48" t="s">
        <v>910</v>
      </c>
      <c r="AA923" s="51">
        <v>1.183377009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911</v>
      </c>
      <c r="Q924" s="23">
        <f>DATE(YEAR(OneWeekMtgRatesDataTable75[[#This Row],[asOf]]),MONTH(OneWeekMtgRatesDataTable75[[#This Row],[asOf]]),DAY(OneWeekMtgRatesDataTable75[[#This Row],[asOf]]))</f>
        <v>41234</v>
      </c>
      <c r="R924" s="19">
        <v>3.31</v>
      </c>
      <c r="S924" s="19">
        <v>0.7</v>
      </c>
      <c r="T924" s="19">
        <v>3.2349999999999999</v>
      </c>
      <c r="V924" s="48" t="s">
        <v>915</v>
      </c>
      <c r="W924" s="48" t="s">
        <v>1832</v>
      </c>
      <c r="X924" s="51">
        <v>2.0509742576327699</v>
      </c>
      <c r="Z924" s="48" t="s">
        <v>909</v>
      </c>
      <c r="AA924" s="51">
        <v>1.183377009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910</v>
      </c>
      <c r="Q925" s="23">
        <f>DATE(YEAR(OneWeekMtgRatesDataTable75[[#This Row],[asOf]]),MONTH(OneWeekMtgRatesDataTable75[[#This Row],[asOf]]),DAY(OneWeekMtgRatesDataTable75[[#This Row],[asOf]]))</f>
        <v>41233</v>
      </c>
      <c r="R925" s="19">
        <v>3.31</v>
      </c>
      <c r="S925" s="19">
        <v>0.7</v>
      </c>
      <c r="T925" s="19">
        <v>3.2349999999999999</v>
      </c>
      <c r="V925" s="48" t="s">
        <v>914</v>
      </c>
      <c r="W925" s="48" t="s">
        <v>1832</v>
      </c>
      <c r="X925" s="51">
        <v>2.0440489527996202</v>
      </c>
      <c r="Z925" s="48" t="s">
        <v>908</v>
      </c>
      <c r="AA925" s="51">
        <v>1.183377009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909</v>
      </c>
      <c r="Q926" s="23">
        <f>DATE(YEAR(OneWeekMtgRatesDataTable75[[#This Row],[asOf]]),MONTH(OneWeekMtgRatesDataTable75[[#This Row],[asOf]]),DAY(OneWeekMtgRatesDataTable75[[#This Row],[asOf]]))</f>
        <v>41232</v>
      </c>
      <c r="R926" s="19">
        <v>3.31</v>
      </c>
      <c r="S926" s="19">
        <v>0.7</v>
      </c>
      <c r="T926" s="19">
        <v>3.2349999999999999</v>
      </c>
      <c r="V926" s="48" t="s">
        <v>913</v>
      </c>
      <c r="W926" s="48" t="s">
        <v>1832</v>
      </c>
      <c r="X926" s="51">
        <v>2.1328988734204701</v>
      </c>
      <c r="Z926" s="48" t="s">
        <v>907</v>
      </c>
      <c r="AA926" s="51">
        <v>1.183377009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908</v>
      </c>
      <c r="Q927" s="23">
        <f>DATE(YEAR(OneWeekMtgRatesDataTable75[[#This Row],[asOf]]),MONTH(OneWeekMtgRatesDataTable75[[#This Row],[asOf]]),DAY(OneWeekMtgRatesDataTable75[[#This Row],[asOf]]))</f>
        <v>41229</v>
      </c>
      <c r="R927" s="19">
        <v>3.31</v>
      </c>
      <c r="S927" s="19">
        <v>0.7</v>
      </c>
      <c r="T927" s="19">
        <v>3.2349999999999999</v>
      </c>
      <c r="V927" s="48" t="s">
        <v>912</v>
      </c>
      <c r="W927" s="48" t="s">
        <v>1832</v>
      </c>
      <c r="X927" s="51">
        <v>2.2012643194611901</v>
      </c>
      <c r="Z927" s="48" t="s">
        <v>906</v>
      </c>
      <c r="AA927" s="51">
        <v>1.183377009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907</v>
      </c>
      <c r="Q928" s="23">
        <f>DATE(YEAR(OneWeekMtgRatesDataTable75[[#This Row],[asOf]]),MONTH(OneWeekMtgRatesDataTable75[[#This Row],[asOf]]),DAY(OneWeekMtgRatesDataTable75[[#This Row],[asOf]]))</f>
        <v>41228</v>
      </c>
      <c r="R928" s="19">
        <v>3.31</v>
      </c>
      <c r="S928" s="19">
        <v>0.7</v>
      </c>
      <c r="T928" s="19">
        <v>3.2349999999999999</v>
      </c>
      <c r="V928" s="48" t="s">
        <v>911</v>
      </c>
      <c r="W928" s="48" t="s">
        <v>1832</v>
      </c>
      <c r="X928" s="51">
        <v>2.1925425327534098</v>
      </c>
      <c r="Z928" s="48" t="s">
        <v>905</v>
      </c>
      <c r="AA928" s="51">
        <v>1.1417668459999999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906</v>
      </c>
      <c r="Q929" s="23">
        <f>DATE(YEAR(OneWeekMtgRatesDataTable75[[#This Row],[asOf]]),MONTH(OneWeekMtgRatesDataTable75[[#This Row],[asOf]]),DAY(OneWeekMtgRatesDataTable75[[#This Row],[asOf]]))</f>
        <v>41227</v>
      </c>
      <c r="R929" s="19">
        <v>3.34</v>
      </c>
      <c r="S929" s="19">
        <v>0.7</v>
      </c>
      <c r="T929" s="19">
        <v>3.2649999999999997</v>
      </c>
      <c r="V929" s="48" t="s">
        <v>910</v>
      </c>
      <c r="W929" s="48" t="s">
        <v>1832</v>
      </c>
      <c r="X929" s="51">
        <v>2.1420411801194499</v>
      </c>
      <c r="Z929" s="48" t="s">
        <v>904</v>
      </c>
      <c r="AA929" s="51">
        <v>1.1417668459999999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905</v>
      </c>
      <c r="Q930" s="23">
        <f>DATE(YEAR(OneWeekMtgRatesDataTable75[[#This Row],[asOf]]),MONTH(OneWeekMtgRatesDataTable75[[#This Row],[asOf]]),DAY(OneWeekMtgRatesDataTable75[[#This Row],[asOf]]))</f>
        <v>41226</v>
      </c>
      <c r="R930" s="19">
        <v>3.34</v>
      </c>
      <c r="S930" s="19">
        <v>0.7</v>
      </c>
      <c r="T930" s="19">
        <v>3.2649999999999997</v>
      </c>
      <c r="V930" s="48" t="s">
        <v>909</v>
      </c>
      <c r="W930" s="48" t="s">
        <v>1832</v>
      </c>
      <c r="X930" s="51">
        <v>2.0699676944682599</v>
      </c>
      <c r="Z930" s="48" t="s">
        <v>903</v>
      </c>
      <c r="AA930" s="51">
        <v>1.1417668459999999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904</v>
      </c>
      <c r="Q931" s="23">
        <f>DATE(YEAR(OneWeekMtgRatesDataTable75[[#This Row],[asOf]]),MONTH(OneWeekMtgRatesDataTable75[[#This Row],[asOf]]),DAY(OneWeekMtgRatesDataTable75[[#This Row],[asOf]]))</f>
        <v>41222</v>
      </c>
      <c r="R931" s="19">
        <v>3.34</v>
      </c>
      <c r="S931" s="19">
        <v>0.7</v>
      </c>
      <c r="T931" s="19">
        <v>3.2649999999999997</v>
      </c>
      <c r="V931" s="48" t="s">
        <v>908</v>
      </c>
      <c r="W931" s="48" t="s">
        <v>1832</v>
      </c>
      <c r="X931" s="51">
        <v>2.0361071292777302</v>
      </c>
      <c r="Z931" s="48" t="s">
        <v>902</v>
      </c>
      <c r="AA931" s="51">
        <v>1.1417668459999999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903</v>
      </c>
      <c r="Q932" s="23">
        <f>DATE(YEAR(OneWeekMtgRatesDataTable75[[#This Row],[asOf]]),MONTH(OneWeekMtgRatesDataTable75[[#This Row],[asOf]]),DAY(OneWeekMtgRatesDataTable75[[#This Row],[asOf]]))</f>
        <v>41221</v>
      </c>
      <c r="R932" s="19">
        <v>3.34</v>
      </c>
      <c r="S932" s="19">
        <v>0.7</v>
      </c>
      <c r="T932" s="19">
        <v>3.2649999999999997</v>
      </c>
      <c r="V932" s="48" t="s">
        <v>907</v>
      </c>
      <c r="W932" s="48" t="s">
        <v>1832</v>
      </c>
      <c r="X932" s="51">
        <v>2.0923386430292501</v>
      </c>
      <c r="Z932" s="48" t="s">
        <v>901</v>
      </c>
      <c r="AA932" s="51">
        <v>1.1145028619999999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902</v>
      </c>
      <c r="Q933" s="23">
        <f>DATE(YEAR(OneWeekMtgRatesDataTable75[[#This Row],[asOf]]),MONTH(OneWeekMtgRatesDataTable75[[#This Row],[asOf]]),DAY(OneWeekMtgRatesDataTable75[[#This Row],[asOf]]))</f>
        <v>41220</v>
      </c>
      <c r="R933" s="19">
        <v>3.4</v>
      </c>
      <c r="S933" s="19">
        <v>0.7</v>
      </c>
      <c r="T933" s="19">
        <v>3.3249999999999997</v>
      </c>
      <c r="V933" s="48" t="s">
        <v>906</v>
      </c>
      <c r="W933" s="48" t="s">
        <v>1832</v>
      </c>
      <c r="X933" s="51">
        <v>2.1343540804519301</v>
      </c>
      <c r="Z933" s="48" t="s">
        <v>900</v>
      </c>
      <c r="AA933" s="51">
        <v>1.1145028619999999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901</v>
      </c>
      <c r="Q934" s="23">
        <f>DATE(YEAR(OneWeekMtgRatesDataTable75[[#This Row],[asOf]]),MONTH(OneWeekMtgRatesDataTable75[[#This Row],[asOf]]),DAY(OneWeekMtgRatesDataTable75[[#This Row],[asOf]]))</f>
        <v>41219</v>
      </c>
      <c r="R934" s="19">
        <v>3.4</v>
      </c>
      <c r="S934" s="19">
        <v>0.7</v>
      </c>
      <c r="T934" s="19">
        <v>3.3249999999999997</v>
      </c>
      <c r="V934" s="48" t="s">
        <v>905</v>
      </c>
      <c r="W934" s="48" t="s">
        <v>1832</v>
      </c>
      <c r="X934" s="51">
        <v>2.0829778986268401</v>
      </c>
      <c r="Z934" s="48" t="s">
        <v>899</v>
      </c>
      <c r="AA934" s="51">
        <v>1.1145028619999999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900</v>
      </c>
      <c r="Q935" s="23">
        <f>DATE(YEAR(OneWeekMtgRatesDataTable75[[#This Row],[asOf]]),MONTH(OneWeekMtgRatesDataTable75[[#This Row],[asOf]]),DAY(OneWeekMtgRatesDataTable75[[#This Row],[asOf]]))</f>
        <v>41218</v>
      </c>
      <c r="R935" s="19">
        <v>3.4</v>
      </c>
      <c r="S935" s="19">
        <v>0.7</v>
      </c>
      <c r="T935" s="19">
        <v>3.3249999999999997</v>
      </c>
      <c r="V935" s="48" t="s">
        <v>904</v>
      </c>
      <c r="W935" s="48" t="s">
        <v>1832</v>
      </c>
      <c r="X935" s="51">
        <v>2.0595956654124499</v>
      </c>
      <c r="Z935" s="48" t="s">
        <v>898</v>
      </c>
      <c r="AA935" s="51">
        <v>1.1145028619999999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899</v>
      </c>
      <c r="Q936" s="23">
        <f>DATE(YEAR(OneWeekMtgRatesDataTable75[[#This Row],[asOf]]),MONTH(OneWeekMtgRatesDataTable75[[#This Row],[asOf]]),DAY(OneWeekMtgRatesDataTable75[[#This Row],[asOf]]))</f>
        <v>41215</v>
      </c>
      <c r="R936" s="19">
        <v>3.4</v>
      </c>
      <c r="S936" s="19">
        <v>0.7</v>
      </c>
      <c r="T936" s="19">
        <v>3.3249999999999997</v>
      </c>
      <c r="V936" s="48" t="s">
        <v>903</v>
      </c>
      <c r="W936" s="48" t="s">
        <v>1832</v>
      </c>
      <c r="X936" s="51">
        <v>2.04956432037537</v>
      </c>
      <c r="Z936" s="48" t="s">
        <v>897</v>
      </c>
      <c r="AA936" s="51">
        <v>1.1145028619999999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898</v>
      </c>
      <c r="Q937" s="23">
        <f>DATE(YEAR(OneWeekMtgRatesDataTable75[[#This Row],[asOf]]),MONTH(OneWeekMtgRatesDataTable75[[#This Row],[asOf]]),DAY(OneWeekMtgRatesDataTable75[[#This Row],[asOf]]))</f>
        <v>41214</v>
      </c>
      <c r="R937" s="19">
        <v>3.4</v>
      </c>
      <c r="S937" s="19">
        <v>0.7</v>
      </c>
      <c r="T937" s="19">
        <v>3.3249999999999997</v>
      </c>
      <c r="V937" s="48" t="s">
        <v>902</v>
      </c>
      <c r="W937" s="48" t="s">
        <v>1832</v>
      </c>
      <c r="X937" s="51">
        <v>2.0919724577728598</v>
      </c>
      <c r="Z937" s="48" t="s">
        <v>896</v>
      </c>
      <c r="AA937" s="51">
        <v>1.1294682069999999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897</v>
      </c>
      <c r="Q938" s="23">
        <f>DATE(YEAR(OneWeekMtgRatesDataTable75[[#This Row],[asOf]]),MONTH(OneWeekMtgRatesDataTable75[[#This Row],[asOf]]),DAY(OneWeekMtgRatesDataTable75[[#This Row],[asOf]]))</f>
        <v>41213</v>
      </c>
      <c r="R938" s="19">
        <v>3.39</v>
      </c>
      <c r="S938" s="19">
        <v>0.7</v>
      </c>
      <c r="T938" s="19">
        <v>3.3149999999999999</v>
      </c>
      <c r="V938" s="48" t="s">
        <v>901</v>
      </c>
      <c r="W938" s="48" t="s">
        <v>1832</v>
      </c>
      <c r="X938" s="51">
        <v>2.2488911274377399</v>
      </c>
      <c r="Z938" s="48" t="s">
        <v>895</v>
      </c>
      <c r="AA938" s="51">
        <v>1.1294682069999999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896</v>
      </c>
      <c r="Q939" s="23">
        <f>DATE(YEAR(OneWeekMtgRatesDataTable75[[#This Row],[asOf]]),MONTH(OneWeekMtgRatesDataTable75[[#This Row],[asOf]]),DAY(OneWeekMtgRatesDataTable75[[#This Row],[asOf]]))</f>
        <v>41211</v>
      </c>
      <c r="R939" s="19">
        <v>3.39</v>
      </c>
      <c r="S939" s="19">
        <v>0.7</v>
      </c>
      <c r="T939" s="19">
        <v>3.3149999999999999</v>
      </c>
      <c r="V939" s="48" t="s">
        <v>900</v>
      </c>
      <c r="W939" s="48" t="s">
        <v>1832</v>
      </c>
      <c r="X939" s="51">
        <v>2.1479421519661601</v>
      </c>
      <c r="Z939" s="48" t="s">
        <v>894</v>
      </c>
      <c r="AA939" s="51">
        <v>1.1294682069999999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895</v>
      </c>
      <c r="Q940" s="23">
        <f>DATE(YEAR(OneWeekMtgRatesDataTable75[[#This Row],[asOf]]),MONTH(OneWeekMtgRatesDataTable75[[#This Row],[asOf]]),DAY(OneWeekMtgRatesDataTable75[[#This Row],[asOf]]))</f>
        <v>41208</v>
      </c>
      <c r="R940" s="19">
        <v>3.39</v>
      </c>
      <c r="S940" s="19">
        <v>0.7</v>
      </c>
      <c r="T940" s="19">
        <v>3.3149999999999999</v>
      </c>
      <c r="V940" s="48" t="s">
        <v>899</v>
      </c>
      <c r="W940" s="48" t="s">
        <v>1832</v>
      </c>
      <c r="X940" s="51">
        <v>2.1949310629738199</v>
      </c>
      <c r="Z940" s="48" t="s">
        <v>893</v>
      </c>
      <c r="AA940" s="51">
        <v>1.1294682069999999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894</v>
      </c>
      <c r="Q941" s="23">
        <f>DATE(YEAR(OneWeekMtgRatesDataTable75[[#This Row],[asOf]]),MONTH(OneWeekMtgRatesDataTable75[[#This Row],[asOf]]),DAY(OneWeekMtgRatesDataTable75[[#This Row],[asOf]]))</f>
        <v>41207</v>
      </c>
      <c r="R941" s="19">
        <v>3.39</v>
      </c>
      <c r="S941" s="19">
        <v>0.7</v>
      </c>
      <c r="T941" s="19">
        <v>3.3149999999999999</v>
      </c>
      <c r="V941" s="48" t="s">
        <v>898</v>
      </c>
      <c r="W941" s="48" t="s">
        <v>1832</v>
      </c>
      <c r="X941" s="51">
        <v>2.2324289694544102</v>
      </c>
      <c r="Z941" s="48" t="s">
        <v>892</v>
      </c>
      <c r="AA941" s="51">
        <v>1.221532633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893</v>
      </c>
      <c r="Q942" s="23">
        <f>DATE(YEAR(OneWeekMtgRatesDataTable75[[#This Row],[asOf]]),MONTH(OneWeekMtgRatesDataTable75[[#This Row],[asOf]]),DAY(OneWeekMtgRatesDataTable75[[#This Row],[asOf]]))</f>
        <v>41206</v>
      </c>
      <c r="R942" s="19">
        <v>3.41</v>
      </c>
      <c r="S942" s="19">
        <v>0.7</v>
      </c>
      <c r="T942" s="19">
        <v>3.335</v>
      </c>
      <c r="V942" s="48" t="s">
        <v>897</v>
      </c>
      <c r="W942" s="48" t="s">
        <v>1832</v>
      </c>
      <c r="X942" s="51">
        <v>2.1423497452898399</v>
      </c>
      <c r="Z942" s="48" t="s">
        <v>891</v>
      </c>
      <c r="AA942" s="51">
        <v>1.221532633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892</v>
      </c>
      <c r="Q943" s="23">
        <f>DATE(YEAR(OneWeekMtgRatesDataTable75[[#This Row],[asOf]]),MONTH(OneWeekMtgRatesDataTable75[[#This Row],[asOf]]),DAY(OneWeekMtgRatesDataTable75[[#This Row],[asOf]]))</f>
        <v>41205</v>
      </c>
      <c r="R943" s="19">
        <v>3.41</v>
      </c>
      <c r="S943" s="19">
        <v>0.7</v>
      </c>
      <c r="T943" s="19">
        <v>3.335</v>
      </c>
      <c r="V943" s="48" t="s">
        <v>896</v>
      </c>
      <c r="W943" s="48" t="s">
        <v>1832</v>
      </c>
      <c r="X943" s="51">
        <v>2.1758632003490601</v>
      </c>
      <c r="Z943" s="48" t="s">
        <v>890</v>
      </c>
      <c r="AA943" s="51">
        <v>1.221532633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891</v>
      </c>
      <c r="Q944" s="23">
        <f>DATE(YEAR(OneWeekMtgRatesDataTable75[[#This Row],[asOf]]),MONTH(OneWeekMtgRatesDataTable75[[#This Row],[asOf]]),DAY(OneWeekMtgRatesDataTable75[[#This Row],[asOf]]))</f>
        <v>41204</v>
      </c>
      <c r="R944" s="19">
        <v>3.41</v>
      </c>
      <c r="S944" s="19">
        <v>0.7</v>
      </c>
      <c r="T944" s="19">
        <v>3.335</v>
      </c>
      <c r="V944" s="48" t="s">
        <v>895</v>
      </c>
      <c r="W944" s="48" t="s">
        <v>1832</v>
      </c>
      <c r="X944" s="51">
        <v>2.2062412812927401</v>
      </c>
      <c r="Z944" s="48" t="s">
        <v>889</v>
      </c>
      <c r="AA944" s="51">
        <v>1.221532633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890</v>
      </c>
      <c r="Q945" s="23">
        <f>DATE(YEAR(OneWeekMtgRatesDataTable75[[#This Row],[asOf]]),MONTH(OneWeekMtgRatesDataTable75[[#This Row],[asOf]]),DAY(OneWeekMtgRatesDataTable75[[#This Row],[asOf]]))</f>
        <v>41201</v>
      </c>
      <c r="R945" s="19">
        <v>3.41</v>
      </c>
      <c r="S945" s="19">
        <v>0.7</v>
      </c>
      <c r="T945" s="19">
        <v>3.335</v>
      </c>
      <c r="V945" s="48" t="s">
        <v>894</v>
      </c>
      <c r="W945" s="48" t="s">
        <v>1832</v>
      </c>
      <c r="X945" s="51">
        <v>2.2775343256732099</v>
      </c>
      <c r="Z945" s="48" t="s">
        <v>888</v>
      </c>
      <c r="AA945" s="51">
        <v>1.221532633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889</v>
      </c>
      <c r="Q946" s="23">
        <f>DATE(YEAR(OneWeekMtgRatesDataTable75[[#This Row],[asOf]]),MONTH(OneWeekMtgRatesDataTable75[[#This Row],[asOf]]),DAY(OneWeekMtgRatesDataTable75[[#This Row],[asOf]]))</f>
        <v>41200</v>
      </c>
      <c r="R946" s="19">
        <v>3.41</v>
      </c>
      <c r="S946" s="19">
        <v>0.7</v>
      </c>
      <c r="T946" s="19">
        <v>3.335</v>
      </c>
      <c r="V946" s="48" t="s">
        <v>893</v>
      </c>
      <c r="W946" s="48" t="s">
        <v>1832</v>
      </c>
      <c r="X946" s="51">
        <v>2.2250151290701798</v>
      </c>
      <c r="Z946" s="48" t="s">
        <v>887</v>
      </c>
      <c r="AA946" s="51">
        <v>1.231325928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888</v>
      </c>
      <c r="Q947" s="23">
        <f>DATE(YEAR(OneWeekMtgRatesDataTable75[[#This Row],[asOf]]),MONTH(OneWeekMtgRatesDataTable75[[#This Row],[asOf]]),DAY(OneWeekMtgRatesDataTable75[[#This Row],[asOf]]))</f>
        <v>41199</v>
      </c>
      <c r="R947" s="19">
        <v>3.37</v>
      </c>
      <c r="S947" s="19">
        <v>0.7</v>
      </c>
      <c r="T947" s="19">
        <v>3.2949999999999999</v>
      </c>
      <c r="V947" s="48" t="s">
        <v>892</v>
      </c>
      <c r="W947" s="48" t="s">
        <v>1832</v>
      </c>
      <c r="X947" s="51">
        <v>2.1883122196514102</v>
      </c>
      <c r="Z947" s="48" t="s">
        <v>886</v>
      </c>
      <c r="AA947" s="51">
        <v>1.231325928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887</v>
      </c>
      <c r="Q948" s="23">
        <f>DATE(YEAR(OneWeekMtgRatesDataTable75[[#This Row],[asOf]]),MONTH(OneWeekMtgRatesDataTable75[[#This Row],[asOf]]),DAY(OneWeekMtgRatesDataTable75[[#This Row],[asOf]]))</f>
        <v>41198</v>
      </c>
      <c r="R948" s="19">
        <v>3.37</v>
      </c>
      <c r="S948" s="19">
        <v>0.7</v>
      </c>
      <c r="T948" s="19">
        <v>3.2949999999999999</v>
      </c>
      <c r="V948" s="48" t="s">
        <v>891</v>
      </c>
      <c r="W948" s="48" t="s">
        <v>1832</v>
      </c>
      <c r="X948" s="51">
        <v>2.2048003727510999</v>
      </c>
      <c r="Z948" s="48" t="s">
        <v>885</v>
      </c>
      <c r="AA948" s="51">
        <v>1.231325928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886</v>
      </c>
      <c r="Q949" s="23">
        <f>DATE(YEAR(OneWeekMtgRatesDataTable75[[#This Row],[asOf]]),MONTH(OneWeekMtgRatesDataTable75[[#This Row],[asOf]]),DAY(OneWeekMtgRatesDataTable75[[#This Row],[asOf]]))</f>
        <v>41197</v>
      </c>
      <c r="R949" s="19">
        <v>3.37</v>
      </c>
      <c r="S949" s="19">
        <v>0.7</v>
      </c>
      <c r="T949" s="19">
        <v>3.2949999999999999</v>
      </c>
      <c r="V949" s="48" t="s">
        <v>890</v>
      </c>
      <c r="W949" s="48" t="s">
        <v>1832</v>
      </c>
      <c r="X949" s="51">
        <v>2.17149064090427</v>
      </c>
      <c r="Z949" s="48" t="s">
        <v>884</v>
      </c>
      <c r="AA949" s="51">
        <v>1.231325928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885</v>
      </c>
      <c r="Q950" s="23">
        <f>DATE(YEAR(OneWeekMtgRatesDataTable75[[#This Row],[asOf]]),MONTH(OneWeekMtgRatesDataTable75[[#This Row],[asOf]]),DAY(OneWeekMtgRatesDataTable75[[#This Row],[asOf]]))</f>
        <v>41194</v>
      </c>
      <c r="R950" s="19">
        <v>3.37</v>
      </c>
      <c r="S950" s="19">
        <v>0.7</v>
      </c>
      <c r="T950" s="19">
        <v>3.2949999999999999</v>
      </c>
      <c r="V950" s="48" t="s">
        <v>889</v>
      </c>
      <c r="W950" s="48" t="s">
        <v>1832</v>
      </c>
      <c r="X950" s="51">
        <v>2.23804060063864</v>
      </c>
      <c r="Z950" s="48" t="s">
        <v>883</v>
      </c>
      <c r="AA950" s="51">
        <v>1.231325928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884</v>
      </c>
      <c r="Q951" s="23">
        <f>DATE(YEAR(OneWeekMtgRatesDataTable75[[#This Row],[asOf]]),MONTH(OneWeekMtgRatesDataTable75[[#This Row],[asOf]]),DAY(OneWeekMtgRatesDataTable75[[#This Row],[asOf]]))</f>
        <v>41193</v>
      </c>
      <c r="R951" s="19">
        <v>3.37</v>
      </c>
      <c r="S951" s="19">
        <v>0.7</v>
      </c>
      <c r="T951" s="19">
        <v>3.2949999999999999</v>
      </c>
      <c r="V951" s="48" t="s">
        <v>888</v>
      </c>
      <c r="W951" s="48" t="s">
        <v>1832</v>
      </c>
      <c r="X951" s="51">
        <v>2.1999397264302898</v>
      </c>
      <c r="Z951" s="48" t="s">
        <v>882</v>
      </c>
      <c r="AA951" s="51">
        <v>1.2712583070000001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883</v>
      </c>
      <c r="Q952" s="23">
        <f>DATE(YEAR(OneWeekMtgRatesDataTable75[[#This Row],[asOf]]),MONTH(OneWeekMtgRatesDataTable75[[#This Row],[asOf]]),DAY(OneWeekMtgRatesDataTable75[[#This Row],[asOf]]))</f>
        <v>41192</v>
      </c>
      <c r="R952" s="19">
        <v>3.39</v>
      </c>
      <c r="S952" s="19">
        <v>0.7</v>
      </c>
      <c r="T952" s="19">
        <v>3.3149999999999999</v>
      </c>
      <c r="V952" s="48" t="s">
        <v>887</v>
      </c>
      <c r="W952" s="48" t="s">
        <v>1832</v>
      </c>
      <c r="X952" s="51">
        <v>2.0903131154582399</v>
      </c>
      <c r="Z952" s="48" t="s">
        <v>881</v>
      </c>
      <c r="AA952" s="51">
        <v>1.2712583070000001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882</v>
      </c>
      <c r="Q953" s="23">
        <f>DATE(YEAR(OneWeekMtgRatesDataTable75[[#This Row],[asOf]]),MONTH(OneWeekMtgRatesDataTable75[[#This Row],[asOf]]),DAY(OneWeekMtgRatesDataTable75[[#This Row],[asOf]]))</f>
        <v>41191</v>
      </c>
      <c r="R953" s="19">
        <v>3.39</v>
      </c>
      <c r="S953" s="19">
        <v>0.7</v>
      </c>
      <c r="T953" s="19">
        <v>3.3149999999999999</v>
      </c>
      <c r="V953" s="48" t="s">
        <v>886</v>
      </c>
      <c r="W953" s="48" t="s">
        <v>1832</v>
      </c>
      <c r="X953" s="51">
        <v>2.0433983497425001</v>
      </c>
      <c r="Z953" s="48" t="s">
        <v>880</v>
      </c>
      <c r="AA953" s="51">
        <v>1.2712583070000001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881</v>
      </c>
      <c r="Q954" s="23">
        <f>DATE(YEAR(OneWeekMtgRatesDataTable75[[#This Row],[asOf]]),MONTH(OneWeekMtgRatesDataTable75[[#This Row],[asOf]]),DAY(OneWeekMtgRatesDataTable75[[#This Row],[asOf]]))</f>
        <v>41187</v>
      </c>
      <c r="R954" s="19">
        <v>3.39</v>
      </c>
      <c r="S954" s="19">
        <v>0.7</v>
      </c>
      <c r="T954" s="19">
        <v>3.3149999999999999</v>
      </c>
      <c r="V954" s="48" t="s">
        <v>885</v>
      </c>
      <c r="W954" s="48" t="s">
        <v>1832</v>
      </c>
      <c r="X954" s="51">
        <v>2.0148705784973</v>
      </c>
      <c r="Z954" s="48" t="s">
        <v>879</v>
      </c>
      <c r="AA954" s="51">
        <v>1.2712583070000001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880</v>
      </c>
      <c r="Q955" s="23">
        <f>DATE(YEAR(OneWeekMtgRatesDataTable75[[#This Row],[asOf]]),MONTH(OneWeekMtgRatesDataTable75[[#This Row],[asOf]]),DAY(OneWeekMtgRatesDataTable75[[#This Row],[asOf]]))</f>
        <v>41186</v>
      </c>
      <c r="R955" s="19">
        <v>3.39</v>
      </c>
      <c r="S955" s="19">
        <v>0.7</v>
      </c>
      <c r="T955" s="19">
        <v>3.3149999999999999</v>
      </c>
      <c r="V955" s="48" t="s">
        <v>884</v>
      </c>
      <c r="W955" s="48" t="s">
        <v>1832</v>
      </c>
      <c r="X955" s="51">
        <v>2.0188150642087299</v>
      </c>
      <c r="Z955" s="48" t="s">
        <v>878</v>
      </c>
      <c r="AA955" s="51">
        <v>1.247359691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879</v>
      </c>
      <c r="Q956" s="23">
        <f>DATE(YEAR(OneWeekMtgRatesDataTable75[[#This Row],[asOf]]),MONTH(OneWeekMtgRatesDataTable75[[#This Row],[asOf]]),DAY(OneWeekMtgRatesDataTable75[[#This Row],[asOf]]))</f>
        <v>41185</v>
      </c>
      <c r="R956" s="19">
        <v>3.36</v>
      </c>
      <c r="S956" s="19">
        <v>0.6</v>
      </c>
      <c r="T956" s="19">
        <v>3.26</v>
      </c>
      <c r="V956" s="48" t="s">
        <v>883</v>
      </c>
      <c r="W956" s="48" t="s">
        <v>1832</v>
      </c>
      <c r="X956" s="51">
        <v>2.0566984028863402</v>
      </c>
      <c r="Z956" s="48" t="s">
        <v>877</v>
      </c>
      <c r="AA956" s="51">
        <v>1.247359691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878</v>
      </c>
      <c r="Q957" s="23">
        <f>DATE(YEAR(OneWeekMtgRatesDataTable75[[#This Row],[asOf]]),MONTH(OneWeekMtgRatesDataTable75[[#This Row],[asOf]]),DAY(OneWeekMtgRatesDataTable75[[#This Row],[asOf]]))</f>
        <v>41184</v>
      </c>
      <c r="R957" s="19">
        <v>3.36</v>
      </c>
      <c r="S957" s="19">
        <v>0.6</v>
      </c>
      <c r="T957" s="19">
        <v>3.26</v>
      </c>
      <c r="V957" s="48" t="s">
        <v>882</v>
      </c>
      <c r="W957" s="48" t="s">
        <v>1832</v>
      </c>
      <c r="X957" s="51">
        <v>2.1121992044017102</v>
      </c>
      <c r="Z957" s="48" t="s">
        <v>876</v>
      </c>
      <c r="AA957" s="51">
        <v>1.247359691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877</v>
      </c>
      <c r="Q958" s="23">
        <f>DATE(YEAR(OneWeekMtgRatesDataTable75[[#This Row],[asOf]]),MONTH(OneWeekMtgRatesDataTable75[[#This Row],[asOf]]),DAY(OneWeekMtgRatesDataTable75[[#This Row],[asOf]]))</f>
        <v>41183</v>
      </c>
      <c r="R958" s="19">
        <v>3.36</v>
      </c>
      <c r="S958" s="19">
        <v>0.6</v>
      </c>
      <c r="T958" s="19">
        <v>3.26</v>
      </c>
      <c r="V958" s="48" t="s">
        <v>881</v>
      </c>
      <c r="W958" s="48" t="s">
        <v>1832</v>
      </c>
      <c r="X958" s="51">
        <v>2.0999165140206202</v>
      </c>
      <c r="Z958" s="48" t="s">
        <v>875</v>
      </c>
      <c r="AA958" s="51">
        <v>1.247359691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876</v>
      </c>
      <c r="Q959" s="23">
        <f>DATE(YEAR(OneWeekMtgRatesDataTable75[[#This Row],[asOf]]),MONTH(OneWeekMtgRatesDataTable75[[#This Row],[asOf]]),DAY(OneWeekMtgRatesDataTable75[[#This Row],[asOf]]))</f>
        <v>41180</v>
      </c>
      <c r="R959" s="19">
        <v>3.36</v>
      </c>
      <c r="S959" s="19">
        <v>0.6</v>
      </c>
      <c r="T959" s="19">
        <v>3.26</v>
      </c>
      <c r="V959" s="48" t="s">
        <v>880</v>
      </c>
      <c r="W959" s="48" t="s">
        <v>1832</v>
      </c>
      <c r="X959" s="51">
        <v>2.0658821659188802</v>
      </c>
      <c r="Z959" s="48" t="s">
        <v>874</v>
      </c>
      <c r="AA959" s="51">
        <v>1.247359691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875</v>
      </c>
      <c r="Q960" s="23">
        <f>DATE(YEAR(OneWeekMtgRatesDataTable75[[#This Row],[asOf]]),MONTH(OneWeekMtgRatesDataTable75[[#This Row],[asOf]]),DAY(OneWeekMtgRatesDataTable75[[#This Row],[asOf]]))</f>
        <v>41179</v>
      </c>
      <c r="R960" s="19">
        <v>3.36</v>
      </c>
      <c r="S960" s="19">
        <v>0.6</v>
      </c>
      <c r="T960" s="19">
        <v>3.26</v>
      </c>
      <c r="V960" s="48" t="s">
        <v>879</v>
      </c>
      <c r="W960" s="48" t="s">
        <v>1832</v>
      </c>
      <c r="X960" s="51">
        <v>1.9744446236261499</v>
      </c>
      <c r="Z960" s="48" t="s">
        <v>873</v>
      </c>
      <c r="AA960" s="51">
        <v>1.1429034170000001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874</v>
      </c>
      <c r="Q961" s="23">
        <f>DATE(YEAR(OneWeekMtgRatesDataTable75[[#This Row],[asOf]]),MONTH(OneWeekMtgRatesDataTable75[[#This Row],[asOf]]),DAY(OneWeekMtgRatesDataTable75[[#This Row],[asOf]]))</f>
        <v>41178</v>
      </c>
      <c r="R961" s="19">
        <v>3.4</v>
      </c>
      <c r="S961" s="19">
        <v>0.6</v>
      </c>
      <c r="T961" s="19">
        <v>3.3</v>
      </c>
      <c r="V961" s="48" t="s">
        <v>878</v>
      </c>
      <c r="W961" s="48" t="s">
        <v>1832</v>
      </c>
      <c r="X961" s="51">
        <v>1.89926870046304</v>
      </c>
      <c r="Z961" s="48" t="s">
        <v>872</v>
      </c>
      <c r="AA961" s="51">
        <v>1.1429034170000001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873</v>
      </c>
      <c r="Q962" s="23">
        <f>DATE(YEAR(OneWeekMtgRatesDataTable75[[#This Row],[asOf]]),MONTH(OneWeekMtgRatesDataTable75[[#This Row],[asOf]]),DAY(OneWeekMtgRatesDataTable75[[#This Row],[asOf]]))</f>
        <v>41177</v>
      </c>
      <c r="R962" s="19">
        <v>3.4</v>
      </c>
      <c r="S962" s="19">
        <v>0.6</v>
      </c>
      <c r="T962" s="19">
        <v>3.3</v>
      </c>
      <c r="V962" s="48" t="s">
        <v>877</v>
      </c>
      <c r="W962" s="48" t="s">
        <v>1832</v>
      </c>
      <c r="X962" s="51">
        <v>1.9791061697796299</v>
      </c>
      <c r="Z962" s="48" t="s">
        <v>871</v>
      </c>
      <c r="AA962" s="51">
        <v>1.1429034170000001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872</v>
      </c>
      <c r="Q963" s="23">
        <f>DATE(YEAR(OneWeekMtgRatesDataTable75[[#This Row],[asOf]]),MONTH(OneWeekMtgRatesDataTable75[[#This Row],[asOf]]),DAY(OneWeekMtgRatesDataTable75[[#This Row],[asOf]]))</f>
        <v>41176</v>
      </c>
      <c r="R963" s="19">
        <v>3.4</v>
      </c>
      <c r="S963" s="19">
        <v>0.6</v>
      </c>
      <c r="T963" s="19">
        <v>3.3</v>
      </c>
      <c r="V963" s="48" t="s">
        <v>876</v>
      </c>
      <c r="W963" s="48" t="s">
        <v>1832</v>
      </c>
      <c r="X963" s="51">
        <v>2.0399140401394802</v>
      </c>
      <c r="Z963" s="48" t="s">
        <v>870</v>
      </c>
      <c r="AA963" s="51">
        <v>1.1429034170000001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871</v>
      </c>
      <c r="Q964" s="23">
        <f>DATE(YEAR(OneWeekMtgRatesDataTable75[[#This Row],[asOf]]),MONTH(OneWeekMtgRatesDataTable75[[#This Row],[asOf]]),DAY(OneWeekMtgRatesDataTable75[[#This Row],[asOf]]))</f>
        <v>41173</v>
      </c>
      <c r="R964" s="19">
        <v>3.4</v>
      </c>
      <c r="S964" s="19">
        <v>0.6</v>
      </c>
      <c r="T964" s="19">
        <v>3.3</v>
      </c>
      <c r="V964" s="48" t="s">
        <v>875</v>
      </c>
      <c r="W964" s="48" t="s">
        <v>1832</v>
      </c>
      <c r="X964" s="51">
        <v>2.0509749333657501</v>
      </c>
      <c r="Z964" s="48" t="s">
        <v>869</v>
      </c>
      <c r="AA964" s="51">
        <v>1.1429034170000001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870</v>
      </c>
      <c r="Q965" s="23">
        <f>DATE(YEAR(OneWeekMtgRatesDataTable75[[#This Row],[asOf]]),MONTH(OneWeekMtgRatesDataTable75[[#This Row],[asOf]]),DAY(OneWeekMtgRatesDataTable75[[#This Row],[asOf]]))</f>
        <v>41172</v>
      </c>
      <c r="R965" s="19">
        <v>3.4</v>
      </c>
      <c r="S965" s="19">
        <v>0.6</v>
      </c>
      <c r="T965" s="19">
        <v>3.3</v>
      </c>
      <c r="V965" s="48" t="s">
        <v>874</v>
      </c>
      <c r="W965" s="48" t="s">
        <v>1832</v>
      </c>
      <c r="X965" s="51">
        <v>1.9736635579989501</v>
      </c>
      <c r="Z965" s="48" t="s">
        <v>868</v>
      </c>
      <c r="AA965" s="51">
        <v>1.0438632000000001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869</v>
      </c>
      <c r="Q966" s="23">
        <f>DATE(YEAR(OneWeekMtgRatesDataTable75[[#This Row],[asOf]]),MONTH(OneWeekMtgRatesDataTable75[[#This Row],[asOf]]),DAY(OneWeekMtgRatesDataTable75[[#This Row],[asOf]]))</f>
        <v>41171</v>
      </c>
      <c r="R966" s="19">
        <v>3.49</v>
      </c>
      <c r="S966" s="19">
        <v>0.6</v>
      </c>
      <c r="T966" s="19">
        <v>3.39</v>
      </c>
      <c r="V966" s="48" t="s">
        <v>873</v>
      </c>
      <c r="W966" s="48" t="s">
        <v>1832</v>
      </c>
      <c r="X966" s="51">
        <v>1.9795562323798399</v>
      </c>
      <c r="Z966" s="48" t="s">
        <v>867</v>
      </c>
      <c r="AA966" s="51">
        <v>1.0438632000000001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868</v>
      </c>
      <c r="Q967" s="23">
        <f>DATE(YEAR(OneWeekMtgRatesDataTable75[[#This Row],[asOf]]),MONTH(OneWeekMtgRatesDataTable75[[#This Row],[asOf]]),DAY(OneWeekMtgRatesDataTable75[[#This Row],[asOf]]))</f>
        <v>41170</v>
      </c>
      <c r="R967" s="19">
        <v>3.49</v>
      </c>
      <c r="S967" s="19">
        <v>0.6</v>
      </c>
      <c r="T967" s="19">
        <v>3.39</v>
      </c>
      <c r="V967" s="48" t="s">
        <v>872</v>
      </c>
      <c r="W967" s="48" t="s">
        <v>1832</v>
      </c>
      <c r="X967" s="51">
        <v>2.0433470771670201</v>
      </c>
      <c r="Z967" s="48" t="s">
        <v>866</v>
      </c>
      <c r="AA967" s="51">
        <v>1.0438632000000001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867</v>
      </c>
      <c r="Q968" s="23">
        <f>DATE(YEAR(OneWeekMtgRatesDataTable75[[#This Row],[asOf]]),MONTH(OneWeekMtgRatesDataTable75[[#This Row],[asOf]]),DAY(OneWeekMtgRatesDataTable75[[#This Row],[asOf]]))</f>
        <v>41169</v>
      </c>
      <c r="R968" s="19">
        <v>3.49</v>
      </c>
      <c r="S968" s="19">
        <v>0.6</v>
      </c>
      <c r="T968" s="19">
        <v>3.39</v>
      </c>
      <c r="V968" s="48" t="s">
        <v>871</v>
      </c>
      <c r="W968" s="48" t="s">
        <v>1832</v>
      </c>
      <c r="X968" s="51">
        <v>2.0967004826224001</v>
      </c>
      <c r="Z968" s="48" t="s">
        <v>865</v>
      </c>
      <c r="AA968" s="51">
        <v>1.0438632000000001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866</v>
      </c>
      <c r="Q969" s="23">
        <f>DATE(YEAR(OneWeekMtgRatesDataTable75[[#This Row],[asOf]]),MONTH(OneWeekMtgRatesDataTable75[[#This Row],[asOf]]),DAY(OneWeekMtgRatesDataTable75[[#This Row],[asOf]]))</f>
        <v>41166</v>
      </c>
      <c r="R969" s="19">
        <v>3.49</v>
      </c>
      <c r="S969" s="19">
        <v>0.6</v>
      </c>
      <c r="T969" s="19">
        <v>3.39</v>
      </c>
      <c r="V969" s="48" t="s">
        <v>870</v>
      </c>
      <c r="W969" s="48" t="s">
        <v>1832</v>
      </c>
      <c r="X969" s="51">
        <v>2.1699341948075102</v>
      </c>
      <c r="Z969" s="48" t="s">
        <v>864</v>
      </c>
      <c r="AA969" s="51">
        <v>1.0438632000000001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865</v>
      </c>
      <c r="Q970" s="23">
        <f>DATE(YEAR(OneWeekMtgRatesDataTable75[[#This Row],[asOf]]),MONTH(OneWeekMtgRatesDataTable75[[#This Row],[asOf]]),DAY(OneWeekMtgRatesDataTable75[[#This Row],[asOf]]))</f>
        <v>41165</v>
      </c>
      <c r="R970" s="19">
        <v>3.49</v>
      </c>
      <c r="S970" s="19">
        <v>0.6</v>
      </c>
      <c r="T970" s="19">
        <v>3.39</v>
      </c>
      <c r="V970" s="48" t="s">
        <v>869</v>
      </c>
      <c r="W970" s="48" t="s">
        <v>1832</v>
      </c>
      <c r="X970" s="51">
        <v>2.2108565855724298</v>
      </c>
      <c r="Z970" s="48" t="s">
        <v>863</v>
      </c>
      <c r="AA970" s="51">
        <v>1.0794750120000001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864</v>
      </c>
      <c r="Q971" s="23">
        <f>DATE(YEAR(OneWeekMtgRatesDataTable75[[#This Row],[asOf]]),MONTH(OneWeekMtgRatesDataTable75[[#This Row],[asOf]]),DAY(OneWeekMtgRatesDataTable75[[#This Row],[asOf]]))</f>
        <v>41164</v>
      </c>
      <c r="R971" s="19">
        <v>3.55</v>
      </c>
      <c r="S971" s="19">
        <v>0.6</v>
      </c>
      <c r="T971" s="19">
        <v>3.4499999999999997</v>
      </c>
      <c r="V971" s="48" t="s">
        <v>868</v>
      </c>
      <c r="W971" s="48" t="s">
        <v>1832</v>
      </c>
      <c r="X971" s="51">
        <v>2.2693986193058602</v>
      </c>
      <c r="Z971" s="48" t="s">
        <v>862</v>
      </c>
      <c r="AA971" s="51">
        <v>1.0794750120000001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863</v>
      </c>
      <c r="Q972" s="23">
        <f>DATE(YEAR(OneWeekMtgRatesDataTable75[[#This Row],[asOf]]),MONTH(OneWeekMtgRatesDataTable75[[#This Row],[asOf]]),DAY(OneWeekMtgRatesDataTable75[[#This Row],[asOf]]))</f>
        <v>41163</v>
      </c>
      <c r="R972" s="19">
        <v>3.55</v>
      </c>
      <c r="S972" s="19">
        <v>0.6</v>
      </c>
      <c r="T972" s="19">
        <v>3.4499999999999997</v>
      </c>
      <c r="V972" s="48" t="s">
        <v>867</v>
      </c>
      <c r="W972" s="48" t="s">
        <v>1832</v>
      </c>
      <c r="X972" s="51">
        <v>2.2811650726171102</v>
      </c>
      <c r="Z972" s="48" t="s">
        <v>861</v>
      </c>
      <c r="AA972" s="51">
        <v>1.0794750120000001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862</v>
      </c>
      <c r="Q973" s="23">
        <f>DATE(YEAR(OneWeekMtgRatesDataTable75[[#This Row],[asOf]]),MONTH(OneWeekMtgRatesDataTable75[[#This Row],[asOf]]),DAY(OneWeekMtgRatesDataTable75[[#This Row],[asOf]]))</f>
        <v>41162</v>
      </c>
      <c r="R973" s="19">
        <v>3.55</v>
      </c>
      <c r="S973" s="19">
        <v>0.6</v>
      </c>
      <c r="T973" s="19">
        <v>3.4499999999999997</v>
      </c>
      <c r="V973" s="48" t="s">
        <v>866</v>
      </c>
      <c r="W973" s="48" t="s">
        <v>1832</v>
      </c>
      <c r="X973" s="51">
        <v>2.2680491660278101</v>
      </c>
      <c r="Z973" s="48" t="s">
        <v>860</v>
      </c>
      <c r="AA973" s="51">
        <v>1.0794750120000001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861</v>
      </c>
      <c r="Q974" s="23">
        <f>DATE(YEAR(OneWeekMtgRatesDataTable75[[#This Row],[asOf]]),MONTH(OneWeekMtgRatesDataTable75[[#This Row],[asOf]]),DAY(OneWeekMtgRatesDataTable75[[#This Row],[asOf]]))</f>
        <v>41159</v>
      </c>
      <c r="R974" s="19">
        <v>3.55</v>
      </c>
      <c r="S974" s="19">
        <v>0.6</v>
      </c>
      <c r="T974" s="19">
        <v>3.4499999999999997</v>
      </c>
      <c r="V974" s="48" t="s">
        <v>865</v>
      </c>
      <c r="W974" s="48" t="s">
        <v>1832</v>
      </c>
      <c r="X974" s="51">
        <v>2.2060134697218898</v>
      </c>
      <c r="Z974" s="48" t="s">
        <v>859</v>
      </c>
      <c r="AA974" s="51">
        <v>1.0794750120000001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860</v>
      </c>
      <c r="Q975" s="23">
        <f>DATE(YEAR(OneWeekMtgRatesDataTable75[[#This Row],[asOf]]),MONTH(OneWeekMtgRatesDataTable75[[#This Row],[asOf]]),DAY(OneWeekMtgRatesDataTable75[[#This Row],[asOf]]))</f>
        <v>41158</v>
      </c>
      <c r="R975" s="19">
        <v>3.55</v>
      </c>
      <c r="S975" s="19">
        <v>0.6</v>
      </c>
      <c r="T975" s="19">
        <v>3.4499999999999997</v>
      </c>
      <c r="V975" s="48" t="s">
        <v>864</v>
      </c>
      <c r="W975" s="48" t="s">
        <v>1832</v>
      </c>
      <c r="X975" s="51">
        <v>2.4292166245487601</v>
      </c>
      <c r="Z975" s="48" t="s">
        <v>858</v>
      </c>
      <c r="AA975" s="51">
        <v>1.0417252560000001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859</v>
      </c>
      <c r="Q976" s="23">
        <f>DATE(YEAR(OneWeekMtgRatesDataTable75[[#This Row],[asOf]]),MONTH(OneWeekMtgRatesDataTable75[[#This Row],[asOf]]),DAY(OneWeekMtgRatesDataTable75[[#This Row],[asOf]]))</f>
        <v>41157</v>
      </c>
      <c r="R976" s="19">
        <v>3.55</v>
      </c>
      <c r="S976" s="19">
        <v>0.7</v>
      </c>
      <c r="T976" s="19">
        <v>3.4749999999999996</v>
      </c>
      <c r="V976" s="48" t="s">
        <v>863</v>
      </c>
      <c r="W976" s="48" t="s">
        <v>1832</v>
      </c>
      <c r="X976" s="51">
        <v>2.3937114953982901</v>
      </c>
      <c r="Z976" s="48" t="s">
        <v>857</v>
      </c>
      <c r="AA976" s="51">
        <v>1.0417252560000001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858</v>
      </c>
      <c r="Q977" s="23">
        <f>DATE(YEAR(OneWeekMtgRatesDataTable75[[#This Row],[asOf]]),MONTH(OneWeekMtgRatesDataTable75[[#This Row],[asOf]]),DAY(OneWeekMtgRatesDataTable75[[#This Row],[asOf]]))</f>
        <v>41156</v>
      </c>
      <c r="R977" s="19">
        <v>3.55</v>
      </c>
      <c r="S977" s="19">
        <v>0.7</v>
      </c>
      <c r="T977" s="19">
        <v>3.4749999999999996</v>
      </c>
      <c r="V977" s="48" t="s">
        <v>862</v>
      </c>
      <c r="W977" s="48" t="s">
        <v>1832</v>
      </c>
      <c r="X977" s="51">
        <v>2.3778465565534201</v>
      </c>
      <c r="Z977" s="48" t="s">
        <v>856</v>
      </c>
      <c r="AA977" s="51">
        <v>1.0417252560000001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857</v>
      </c>
      <c r="Q978" s="23">
        <f>DATE(YEAR(OneWeekMtgRatesDataTable75[[#This Row],[asOf]]),MONTH(OneWeekMtgRatesDataTable75[[#This Row],[asOf]]),DAY(OneWeekMtgRatesDataTable75[[#This Row],[asOf]]))</f>
        <v>41152</v>
      </c>
      <c r="R978" s="19">
        <v>3.55</v>
      </c>
      <c r="S978" s="19">
        <v>0.7</v>
      </c>
      <c r="T978" s="19">
        <v>3.4749999999999996</v>
      </c>
      <c r="V978" s="48" t="s">
        <v>861</v>
      </c>
      <c r="W978" s="48" t="s">
        <v>1832</v>
      </c>
      <c r="X978" s="51">
        <v>2.3738371878590399</v>
      </c>
      <c r="Z978" s="48" t="s">
        <v>855</v>
      </c>
      <c r="AA978" s="51">
        <v>1.0417252560000001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856</v>
      </c>
      <c r="Q979" s="23">
        <f>DATE(YEAR(OneWeekMtgRatesDataTable75[[#This Row],[asOf]]),MONTH(OneWeekMtgRatesDataTable75[[#This Row],[asOf]]),DAY(OneWeekMtgRatesDataTable75[[#This Row],[asOf]]))</f>
        <v>41151</v>
      </c>
      <c r="R979" s="19">
        <v>3.55</v>
      </c>
      <c r="S979" s="19">
        <v>0.7</v>
      </c>
      <c r="T979" s="19">
        <v>3.4749999999999996</v>
      </c>
      <c r="V979" s="48" t="s">
        <v>860</v>
      </c>
      <c r="W979" s="48" t="s">
        <v>1832</v>
      </c>
      <c r="X979" s="51">
        <v>2.4560721347491201</v>
      </c>
      <c r="Z979" s="48" t="s">
        <v>854</v>
      </c>
      <c r="AA979" s="51">
        <v>0.971825881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855</v>
      </c>
      <c r="Q980" s="23">
        <f>DATE(YEAR(OneWeekMtgRatesDataTable75[[#This Row],[asOf]]),MONTH(OneWeekMtgRatesDataTable75[[#This Row],[asOf]]),DAY(OneWeekMtgRatesDataTable75[[#This Row],[asOf]]))</f>
        <v>41150</v>
      </c>
      <c r="R980" s="19">
        <v>3.59</v>
      </c>
      <c r="S980" s="19">
        <v>0.6</v>
      </c>
      <c r="T980" s="19">
        <v>3.4899999999999998</v>
      </c>
      <c r="V980" s="48" t="s">
        <v>859</v>
      </c>
      <c r="W980" s="48" t="s">
        <v>1832</v>
      </c>
      <c r="X980" s="51">
        <v>2.39527607095176</v>
      </c>
      <c r="Z980" s="48" t="s">
        <v>853</v>
      </c>
      <c r="AA980" s="51">
        <v>0.971825881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854</v>
      </c>
      <c r="Q981" s="23">
        <f>DATE(YEAR(OneWeekMtgRatesDataTable75[[#This Row],[asOf]]),MONTH(OneWeekMtgRatesDataTable75[[#This Row],[asOf]]),DAY(OneWeekMtgRatesDataTable75[[#This Row],[asOf]]))</f>
        <v>41149</v>
      </c>
      <c r="R981" s="19">
        <v>3.59</v>
      </c>
      <c r="S981" s="19">
        <v>0.6</v>
      </c>
      <c r="T981" s="19">
        <v>3.4899999999999998</v>
      </c>
      <c r="V981" s="48" t="s">
        <v>858</v>
      </c>
      <c r="W981" s="48" t="s">
        <v>1832</v>
      </c>
      <c r="X981" s="51">
        <v>2.3841669341916099</v>
      </c>
      <c r="Z981" s="48" t="s">
        <v>852</v>
      </c>
      <c r="AA981" s="51">
        <v>0.971825881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853</v>
      </c>
      <c r="Q982" s="23">
        <f>DATE(YEAR(OneWeekMtgRatesDataTable75[[#This Row],[asOf]]),MONTH(OneWeekMtgRatesDataTable75[[#This Row],[asOf]]),DAY(OneWeekMtgRatesDataTable75[[#This Row],[asOf]]))</f>
        <v>41148</v>
      </c>
      <c r="R982" s="19">
        <v>3.59</v>
      </c>
      <c r="S982" s="19">
        <v>0.6</v>
      </c>
      <c r="T982" s="19">
        <v>3.4899999999999998</v>
      </c>
      <c r="V982" s="48" t="s">
        <v>857</v>
      </c>
      <c r="W982" s="48" t="s">
        <v>1832</v>
      </c>
      <c r="X982" s="51">
        <v>2.3689486742097801</v>
      </c>
      <c r="Z982" s="48" t="s">
        <v>851</v>
      </c>
      <c r="AA982" s="51">
        <v>0.971825881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852</v>
      </c>
      <c r="Q983" s="23">
        <f>DATE(YEAR(OneWeekMtgRatesDataTable75[[#This Row],[asOf]]),MONTH(OneWeekMtgRatesDataTable75[[#This Row],[asOf]]),DAY(OneWeekMtgRatesDataTable75[[#This Row],[asOf]]))</f>
        <v>41145</v>
      </c>
      <c r="R983" s="19">
        <v>3.59</v>
      </c>
      <c r="S983" s="19">
        <v>0.6</v>
      </c>
      <c r="T983" s="19">
        <v>3.4899999999999998</v>
      </c>
      <c r="V983" s="48" t="s">
        <v>856</v>
      </c>
      <c r="W983" s="48" t="s">
        <v>1832</v>
      </c>
      <c r="X983" s="51">
        <v>2.4337082726962702</v>
      </c>
      <c r="Z983" s="48" t="s">
        <v>850</v>
      </c>
      <c r="AA983" s="51">
        <v>0.971825881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851</v>
      </c>
      <c r="Q984" s="23">
        <f>DATE(YEAR(OneWeekMtgRatesDataTable75[[#This Row],[asOf]]),MONTH(OneWeekMtgRatesDataTable75[[#This Row],[asOf]]),DAY(OneWeekMtgRatesDataTable75[[#This Row],[asOf]]))</f>
        <v>41144</v>
      </c>
      <c r="R984" s="19">
        <v>3.59</v>
      </c>
      <c r="S984" s="19">
        <v>0.6</v>
      </c>
      <c r="T984" s="19">
        <v>3.4899999999999998</v>
      </c>
      <c r="V984" s="48" t="s">
        <v>855</v>
      </c>
      <c r="W984" s="48" t="s">
        <v>1832</v>
      </c>
      <c r="X984" s="51">
        <v>2.4687840450515499</v>
      </c>
      <c r="Z984" s="48" t="s">
        <v>849</v>
      </c>
      <c r="AA984" s="51">
        <v>1.026303712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850</v>
      </c>
      <c r="Q985" s="23">
        <f>DATE(YEAR(OneWeekMtgRatesDataTable75[[#This Row],[asOf]]),MONTH(OneWeekMtgRatesDataTable75[[#This Row],[asOf]]),DAY(OneWeekMtgRatesDataTable75[[#This Row],[asOf]]))</f>
        <v>41143</v>
      </c>
      <c r="R985" s="19">
        <v>3.66</v>
      </c>
      <c r="S985" s="19">
        <v>0.7</v>
      </c>
      <c r="T985" s="19">
        <v>3.585</v>
      </c>
      <c r="V985" s="48" t="s">
        <v>854</v>
      </c>
      <c r="W985" s="48" t="s">
        <v>1832</v>
      </c>
      <c r="X985" s="51">
        <v>2.4110384199427202</v>
      </c>
      <c r="Z985" s="48" t="s">
        <v>848</v>
      </c>
      <c r="AA985" s="51">
        <v>1.026303712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849</v>
      </c>
      <c r="Q986" s="23">
        <f>DATE(YEAR(OneWeekMtgRatesDataTable75[[#This Row],[asOf]]),MONTH(OneWeekMtgRatesDataTable75[[#This Row],[asOf]]),DAY(OneWeekMtgRatesDataTable75[[#This Row],[asOf]]))</f>
        <v>41142</v>
      </c>
      <c r="R986" s="19">
        <v>3.66</v>
      </c>
      <c r="S986" s="19">
        <v>0.7</v>
      </c>
      <c r="T986" s="19">
        <v>3.585</v>
      </c>
      <c r="V986" s="48" t="s">
        <v>853</v>
      </c>
      <c r="W986" s="48" t="s">
        <v>1832</v>
      </c>
      <c r="X986" s="51">
        <v>2.4407526300903402</v>
      </c>
      <c r="Z986" s="48" t="s">
        <v>847</v>
      </c>
      <c r="AA986" s="51">
        <v>1.026303712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848</v>
      </c>
      <c r="Q987" s="23">
        <f>DATE(YEAR(OneWeekMtgRatesDataTable75[[#This Row],[asOf]]),MONTH(OneWeekMtgRatesDataTable75[[#This Row],[asOf]]),DAY(OneWeekMtgRatesDataTable75[[#This Row],[asOf]]))</f>
        <v>41141</v>
      </c>
      <c r="R987" s="19">
        <v>3.66</v>
      </c>
      <c r="S987" s="19">
        <v>0.7</v>
      </c>
      <c r="T987" s="19">
        <v>3.585</v>
      </c>
      <c r="V987" s="48" t="s">
        <v>852</v>
      </c>
      <c r="W987" s="48" t="s">
        <v>1832</v>
      </c>
      <c r="X987" s="51">
        <v>2.4760934642707801</v>
      </c>
      <c r="Z987" s="48" t="s">
        <v>846</v>
      </c>
      <c r="AA987" s="51">
        <v>1.026303712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847</v>
      </c>
      <c r="Q988" s="23">
        <f>DATE(YEAR(OneWeekMtgRatesDataTable75[[#This Row],[asOf]]),MONTH(OneWeekMtgRatesDataTable75[[#This Row],[asOf]]),DAY(OneWeekMtgRatesDataTable75[[#This Row],[asOf]]))</f>
        <v>41138</v>
      </c>
      <c r="R988" s="19">
        <v>3.66</v>
      </c>
      <c r="S988" s="19">
        <v>0.7</v>
      </c>
      <c r="T988" s="19">
        <v>3.585</v>
      </c>
      <c r="V988" s="48" t="s">
        <v>851</v>
      </c>
      <c r="W988" s="48" t="s">
        <v>1832</v>
      </c>
      <c r="X988" s="51">
        <v>2.4447051610431401</v>
      </c>
      <c r="Z988" s="48" t="s">
        <v>845</v>
      </c>
      <c r="AA988" s="51">
        <v>1.026303712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846</v>
      </c>
      <c r="Q989" s="23">
        <f>DATE(YEAR(OneWeekMtgRatesDataTable75[[#This Row],[asOf]]),MONTH(OneWeekMtgRatesDataTable75[[#This Row],[asOf]]),DAY(OneWeekMtgRatesDataTable75[[#This Row],[asOf]]))</f>
        <v>41137</v>
      </c>
      <c r="R989" s="19">
        <v>3.66</v>
      </c>
      <c r="S989" s="19">
        <v>0.7</v>
      </c>
      <c r="T989" s="19">
        <v>3.585</v>
      </c>
      <c r="V989" s="48" t="s">
        <v>850</v>
      </c>
      <c r="W989" s="48" t="s">
        <v>1832</v>
      </c>
      <c r="X989" s="51">
        <v>2.5120707644049798</v>
      </c>
      <c r="Z989" s="48" t="s">
        <v>844</v>
      </c>
      <c r="AA989" s="51">
        <v>1.071542561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845</v>
      </c>
      <c r="Q990" s="23">
        <f>DATE(YEAR(OneWeekMtgRatesDataTable75[[#This Row],[asOf]]),MONTH(OneWeekMtgRatesDataTable75[[#This Row],[asOf]]),DAY(OneWeekMtgRatesDataTable75[[#This Row],[asOf]]))</f>
        <v>41136</v>
      </c>
      <c r="R990" s="19">
        <v>3.62</v>
      </c>
      <c r="S990" s="19">
        <v>0.6</v>
      </c>
      <c r="T990" s="19">
        <v>3.52</v>
      </c>
      <c r="V990" s="48" t="s">
        <v>849</v>
      </c>
      <c r="W990" s="48" t="s">
        <v>1832</v>
      </c>
      <c r="X990" s="51">
        <v>2.6258914158610902</v>
      </c>
      <c r="Z990" s="48" t="s">
        <v>843</v>
      </c>
      <c r="AA990" s="51">
        <v>1.071542561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844</v>
      </c>
      <c r="Q991" s="23">
        <f>DATE(YEAR(OneWeekMtgRatesDataTable75[[#This Row],[asOf]]),MONTH(OneWeekMtgRatesDataTable75[[#This Row],[asOf]]),DAY(OneWeekMtgRatesDataTable75[[#This Row],[asOf]]))</f>
        <v>41135</v>
      </c>
      <c r="R991" s="19">
        <v>3.62</v>
      </c>
      <c r="S991" s="19">
        <v>0.6</v>
      </c>
      <c r="T991" s="19">
        <v>3.52</v>
      </c>
      <c r="V991" s="48" t="s">
        <v>848</v>
      </c>
      <c r="W991" s="48" t="s">
        <v>1832</v>
      </c>
      <c r="X991" s="51">
        <v>2.6186769861639401</v>
      </c>
      <c r="Z991" s="48" t="s">
        <v>842</v>
      </c>
      <c r="AA991" s="51">
        <v>1.071542561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843</v>
      </c>
      <c r="Q992" s="23">
        <f>DATE(YEAR(OneWeekMtgRatesDataTable75[[#This Row],[asOf]]),MONTH(OneWeekMtgRatesDataTable75[[#This Row],[asOf]]),DAY(OneWeekMtgRatesDataTable75[[#This Row],[asOf]]))</f>
        <v>41134</v>
      </c>
      <c r="R992" s="19">
        <v>3.62</v>
      </c>
      <c r="S992" s="19">
        <v>0.6</v>
      </c>
      <c r="T992" s="19">
        <v>3.52</v>
      </c>
      <c r="V992" s="48" t="s">
        <v>847</v>
      </c>
      <c r="W992" s="48" t="s">
        <v>1832</v>
      </c>
      <c r="X992" s="51">
        <v>2.6390371038052001</v>
      </c>
      <c r="Z992" s="48" t="s">
        <v>841</v>
      </c>
      <c r="AA992" s="51">
        <v>1.071542561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842</v>
      </c>
      <c r="Q993" s="23">
        <f>DATE(YEAR(OneWeekMtgRatesDataTable75[[#This Row],[asOf]]),MONTH(OneWeekMtgRatesDataTable75[[#This Row],[asOf]]),DAY(OneWeekMtgRatesDataTable75[[#This Row],[asOf]]))</f>
        <v>41131</v>
      </c>
      <c r="R993" s="19">
        <v>3.62</v>
      </c>
      <c r="S993" s="19">
        <v>0.6</v>
      </c>
      <c r="T993" s="19">
        <v>3.52</v>
      </c>
      <c r="V993" s="48" t="s">
        <v>846</v>
      </c>
      <c r="W993" s="48" t="s">
        <v>1832</v>
      </c>
      <c r="X993" s="51">
        <v>2.67019432510418</v>
      </c>
      <c r="Z993" s="48" t="s">
        <v>840</v>
      </c>
      <c r="AA993" s="51">
        <v>1.071542561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841</v>
      </c>
      <c r="Q994" s="23">
        <f>DATE(YEAR(OneWeekMtgRatesDataTable75[[#This Row],[asOf]]),MONTH(OneWeekMtgRatesDataTable75[[#This Row],[asOf]]),DAY(OneWeekMtgRatesDataTable75[[#This Row],[asOf]]))</f>
        <v>41130</v>
      </c>
      <c r="R994" s="19">
        <v>3.62</v>
      </c>
      <c r="S994" s="19">
        <v>0.6</v>
      </c>
      <c r="T994" s="19">
        <v>3.52</v>
      </c>
      <c r="V994" s="48" t="s">
        <v>845</v>
      </c>
      <c r="W994" s="48" t="s">
        <v>1832</v>
      </c>
      <c r="X994" s="51">
        <v>2.6381335660023502</v>
      </c>
      <c r="Z994" s="48" t="s">
        <v>839</v>
      </c>
      <c r="AA994" s="51">
        <v>1.1203370159999999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840</v>
      </c>
      <c r="Q995" s="23">
        <f>DATE(YEAR(OneWeekMtgRatesDataTable75[[#This Row],[asOf]]),MONTH(OneWeekMtgRatesDataTable75[[#This Row],[asOf]]),DAY(OneWeekMtgRatesDataTable75[[#This Row],[asOf]]))</f>
        <v>41129</v>
      </c>
      <c r="R995" s="19">
        <v>3.59</v>
      </c>
      <c r="S995" s="19">
        <v>0.6</v>
      </c>
      <c r="T995" s="19">
        <v>3.4899999999999998</v>
      </c>
      <c r="V995" s="48" t="s">
        <v>844</v>
      </c>
      <c r="W995" s="48" t="s">
        <v>1832</v>
      </c>
      <c r="X995" s="51">
        <v>2.5032104637526098</v>
      </c>
      <c r="Z995" s="48" t="s">
        <v>838</v>
      </c>
      <c r="AA995" s="51">
        <v>1.1203370159999999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839</v>
      </c>
      <c r="Q996" s="23">
        <f>DATE(YEAR(OneWeekMtgRatesDataTable75[[#This Row],[asOf]]),MONTH(OneWeekMtgRatesDataTable75[[#This Row],[asOf]]),DAY(OneWeekMtgRatesDataTable75[[#This Row],[asOf]]))</f>
        <v>41128</v>
      </c>
      <c r="R996" s="19">
        <v>3.59</v>
      </c>
      <c r="S996" s="19">
        <v>0.6</v>
      </c>
      <c r="T996" s="19">
        <v>3.4899999999999998</v>
      </c>
      <c r="V996" s="48" t="s">
        <v>843</v>
      </c>
      <c r="W996" s="48" t="s">
        <v>1832</v>
      </c>
      <c r="X996" s="51">
        <v>2.4326197879338101</v>
      </c>
      <c r="Z996" s="48" t="s">
        <v>837</v>
      </c>
      <c r="AA996" s="51">
        <v>1.1203370159999999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838</v>
      </c>
      <c r="Q997" s="23">
        <f>DATE(YEAR(OneWeekMtgRatesDataTable75[[#This Row],[asOf]]),MONTH(OneWeekMtgRatesDataTable75[[#This Row],[asOf]]),DAY(OneWeekMtgRatesDataTable75[[#This Row],[asOf]]))</f>
        <v>41127</v>
      </c>
      <c r="R997" s="19">
        <v>3.59</v>
      </c>
      <c r="S997" s="19">
        <v>0.6</v>
      </c>
      <c r="T997" s="19">
        <v>3.4899999999999998</v>
      </c>
      <c r="V997" s="48" t="s">
        <v>842</v>
      </c>
      <c r="W997" s="48" t="s">
        <v>1832</v>
      </c>
      <c r="X997" s="51">
        <v>2.43734688080974</v>
      </c>
      <c r="Z997" s="48" t="s">
        <v>836</v>
      </c>
      <c r="AA997" s="51">
        <v>1.1203370159999999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837</v>
      </c>
      <c r="Q998" s="23">
        <f>DATE(YEAR(OneWeekMtgRatesDataTable75[[#This Row],[asOf]]),MONTH(OneWeekMtgRatesDataTable75[[#This Row],[asOf]]),DAY(OneWeekMtgRatesDataTable75[[#This Row],[asOf]]))</f>
        <v>41124</v>
      </c>
      <c r="R998" s="19">
        <v>3.59</v>
      </c>
      <c r="S998" s="19">
        <v>0.6</v>
      </c>
      <c r="T998" s="19">
        <v>3.4899999999999998</v>
      </c>
      <c r="V998" s="48" t="s">
        <v>841</v>
      </c>
      <c r="W998" s="48" t="s">
        <v>1832</v>
      </c>
      <c r="X998" s="51">
        <v>2.45717074132124</v>
      </c>
      <c r="Z998" s="48" t="s">
        <v>835</v>
      </c>
      <c r="AA998" s="51">
        <v>1.1203370159999999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836</v>
      </c>
      <c r="Q999" s="23">
        <f>DATE(YEAR(OneWeekMtgRatesDataTable75[[#This Row],[asOf]]),MONTH(OneWeekMtgRatesDataTable75[[#This Row],[asOf]]),DAY(OneWeekMtgRatesDataTable75[[#This Row],[asOf]]))</f>
        <v>41123</v>
      </c>
      <c r="R999" s="19">
        <v>3.59</v>
      </c>
      <c r="S999" s="19">
        <v>0.6</v>
      </c>
      <c r="T999" s="19">
        <v>3.4899999999999998</v>
      </c>
      <c r="V999" s="48" t="s">
        <v>840</v>
      </c>
      <c r="W999" s="48" t="s">
        <v>1832</v>
      </c>
      <c r="X999" s="51">
        <v>2.45387778372179</v>
      </c>
      <c r="Z999" s="48" t="s">
        <v>834</v>
      </c>
      <c r="AA999" s="51">
        <v>1.1138280009999999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835</v>
      </c>
      <c r="Q1000" s="23">
        <f>DATE(YEAR(OneWeekMtgRatesDataTable75[[#This Row],[asOf]]),MONTH(OneWeekMtgRatesDataTable75[[#This Row],[asOf]]),DAY(OneWeekMtgRatesDataTable75[[#This Row],[asOf]]))</f>
        <v>41122</v>
      </c>
      <c r="R1000" s="19">
        <v>3.55</v>
      </c>
      <c r="S1000" s="19">
        <v>0.7</v>
      </c>
      <c r="T1000" s="19">
        <v>3.4749999999999996</v>
      </c>
      <c r="V1000" s="48" t="s">
        <v>839</v>
      </c>
      <c r="W1000" s="48" t="s">
        <v>1832</v>
      </c>
      <c r="X1000" s="51">
        <v>2.4648279812140101</v>
      </c>
      <c r="Z1000" s="48" t="s">
        <v>833</v>
      </c>
      <c r="AA1000" s="51">
        <v>1.1138280009999999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834</v>
      </c>
      <c r="Q1001" s="23">
        <f>DATE(YEAR(OneWeekMtgRatesDataTable75[[#This Row],[asOf]]),MONTH(OneWeekMtgRatesDataTable75[[#This Row],[asOf]]),DAY(OneWeekMtgRatesDataTable75[[#This Row],[asOf]]))</f>
        <v>41121</v>
      </c>
      <c r="R1001" s="19">
        <v>3.55</v>
      </c>
      <c r="S1001" s="19">
        <v>0.7</v>
      </c>
      <c r="T1001" s="19">
        <v>3.4749999999999996</v>
      </c>
      <c r="V1001" s="48" t="s">
        <v>838</v>
      </c>
      <c r="W1001" s="48" t="s">
        <v>1832</v>
      </c>
      <c r="X1001" s="51">
        <v>2.4102554462908099</v>
      </c>
      <c r="Z1001" s="48" t="s">
        <v>832</v>
      </c>
      <c r="AA1001" s="51">
        <v>1.1138280009999999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833</v>
      </c>
      <c r="Q1002" s="23">
        <f>DATE(YEAR(OneWeekMtgRatesDataTable75[[#This Row],[asOf]]),MONTH(OneWeekMtgRatesDataTable75[[#This Row],[asOf]]),DAY(OneWeekMtgRatesDataTable75[[#This Row],[asOf]]))</f>
        <v>41120</v>
      </c>
      <c r="R1002" s="19">
        <v>3.55</v>
      </c>
      <c r="S1002" s="19">
        <v>0.7</v>
      </c>
      <c r="T1002" s="19">
        <v>3.4749999999999996</v>
      </c>
      <c r="V1002" s="48" t="s">
        <v>837</v>
      </c>
      <c r="W1002" s="48" t="s">
        <v>1832</v>
      </c>
      <c r="X1002" s="51">
        <v>2.42675409444622</v>
      </c>
      <c r="Z1002" s="48" t="s">
        <v>831</v>
      </c>
      <c r="AA1002" s="51">
        <v>1.1138280009999999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832</v>
      </c>
      <c r="Q1003" s="23">
        <f>DATE(YEAR(OneWeekMtgRatesDataTable75[[#This Row],[asOf]]),MONTH(OneWeekMtgRatesDataTable75[[#This Row],[asOf]]),DAY(OneWeekMtgRatesDataTable75[[#This Row],[asOf]]))</f>
        <v>41117</v>
      </c>
      <c r="R1003" s="19">
        <v>3.55</v>
      </c>
      <c r="S1003" s="19">
        <v>0.7</v>
      </c>
      <c r="T1003" s="19">
        <v>3.4749999999999996</v>
      </c>
      <c r="V1003" s="48" t="s">
        <v>836</v>
      </c>
      <c r="W1003" s="48" t="s">
        <v>1832</v>
      </c>
      <c r="X1003" s="51">
        <v>2.33657189118883</v>
      </c>
      <c r="Z1003" s="48" t="s">
        <v>830</v>
      </c>
      <c r="AA1003" s="51">
        <v>1.1138280009999999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831</v>
      </c>
      <c r="Q1004" s="23">
        <f>DATE(YEAR(OneWeekMtgRatesDataTable75[[#This Row],[asOf]]),MONTH(OneWeekMtgRatesDataTable75[[#This Row],[asOf]]),DAY(OneWeekMtgRatesDataTable75[[#This Row],[asOf]]))</f>
        <v>41116</v>
      </c>
      <c r="R1004" s="19">
        <v>3.55</v>
      </c>
      <c r="S1004" s="19">
        <v>0.7</v>
      </c>
      <c r="T1004" s="19">
        <v>3.4749999999999996</v>
      </c>
      <c r="V1004" s="48" t="s">
        <v>835</v>
      </c>
      <c r="W1004" s="48" t="s">
        <v>1832</v>
      </c>
      <c r="X1004" s="51">
        <v>2.3658814096234999</v>
      </c>
      <c r="Z1004" s="48" t="s">
        <v>829</v>
      </c>
      <c r="AA1004" s="51">
        <v>1.0408564220000001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830</v>
      </c>
      <c r="Q1005" s="23">
        <f>DATE(YEAR(OneWeekMtgRatesDataTable75[[#This Row],[asOf]]),MONTH(OneWeekMtgRatesDataTable75[[#This Row],[asOf]]),DAY(OneWeekMtgRatesDataTable75[[#This Row],[asOf]]))</f>
        <v>41115</v>
      </c>
      <c r="R1005" s="19">
        <v>3.49</v>
      </c>
      <c r="S1005" s="19">
        <v>0.7</v>
      </c>
      <c r="T1005" s="19">
        <v>3.415</v>
      </c>
      <c r="V1005" s="48" t="s">
        <v>834</v>
      </c>
      <c r="W1005" s="48" t="s">
        <v>1832</v>
      </c>
      <c r="X1005" s="51">
        <v>2.3145960727619199</v>
      </c>
      <c r="Z1005" s="48" t="s">
        <v>828</v>
      </c>
      <c r="AA1005" s="51">
        <v>1.0408564220000001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829</v>
      </c>
      <c r="Q1006" s="23">
        <f>DATE(YEAR(OneWeekMtgRatesDataTable75[[#This Row],[asOf]]),MONTH(OneWeekMtgRatesDataTable75[[#This Row],[asOf]]),DAY(OneWeekMtgRatesDataTable75[[#This Row],[asOf]]))</f>
        <v>41114</v>
      </c>
      <c r="R1006" s="19">
        <v>3.49</v>
      </c>
      <c r="S1006" s="19">
        <v>0.7</v>
      </c>
      <c r="T1006" s="19">
        <v>3.415</v>
      </c>
      <c r="V1006" s="48" t="s">
        <v>833</v>
      </c>
      <c r="W1006" s="48" t="s">
        <v>1832</v>
      </c>
      <c r="X1006" s="51">
        <v>2.3365107534465399</v>
      </c>
      <c r="Z1006" s="48" t="s">
        <v>827</v>
      </c>
      <c r="AA1006" s="51">
        <v>1.0408564220000001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828</v>
      </c>
      <c r="Q1007" s="23">
        <f>DATE(YEAR(OneWeekMtgRatesDataTable75[[#This Row],[asOf]]),MONTH(OneWeekMtgRatesDataTable75[[#This Row],[asOf]]),DAY(OneWeekMtgRatesDataTable75[[#This Row],[asOf]]))</f>
        <v>41113</v>
      </c>
      <c r="R1007" s="19">
        <v>3.49</v>
      </c>
      <c r="S1007" s="19">
        <v>0.7</v>
      </c>
      <c r="T1007" s="19">
        <v>3.415</v>
      </c>
      <c r="V1007" s="48" t="s">
        <v>832</v>
      </c>
      <c r="W1007" s="48" t="s">
        <v>1832</v>
      </c>
      <c r="X1007" s="51">
        <v>2.4685368274640398</v>
      </c>
      <c r="Z1007" s="48" t="s">
        <v>826</v>
      </c>
      <c r="AA1007" s="51">
        <v>1.0408564220000001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827</v>
      </c>
      <c r="Q1008" s="23">
        <f>DATE(YEAR(OneWeekMtgRatesDataTable75[[#This Row],[asOf]]),MONTH(OneWeekMtgRatesDataTable75[[#This Row],[asOf]]),DAY(OneWeekMtgRatesDataTable75[[#This Row],[asOf]]))</f>
        <v>41110</v>
      </c>
      <c r="R1008" s="19">
        <v>3.49</v>
      </c>
      <c r="S1008" s="19">
        <v>0.7</v>
      </c>
      <c r="T1008" s="19">
        <v>3.415</v>
      </c>
      <c r="V1008" s="48" t="s">
        <v>831</v>
      </c>
      <c r="W1008" s="48" t="s">
        <v>1832</v>
      </c>
      <c r="X1008" s="51">
        <v>2.2877898548229898</v>
      </c>
      <c r="Z1008" s="48" t="s">
        <v>825</v>
      </c>
      <c r="AA1008" s="51">
        <v>1.0408564220000001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826</v>
      </c>
      <c r="Q1009" s="23">
        <f>DATE(YEAR(OneWeekMtgRatesDataTable75[[#This Row],[asOf]]),MONTH(OneWeekMtgRatesDataTable75[[#This Row],[asOf]]),DAY(OneWeekMtgRatesDataTable75[[#This Row],[asOf]]))</f>
        <v>41109</v>
      </c>
      <c r="R1009" s="19">
        <v>3.49</v>
      </c>
      <c r="S1009" s="19">
        <v>0.7</v>
      </c>
      <c r="T1009" s="19">
        <v>3.415</v>
      </c>
      <c r="V1009" s="48" t="s">
        <v>830</v>
      </c>
      <c r="W1009" s="48" t="s">
        <v>1832</v>
      </c>
      <c r="X1009" s="51">
        <v>2.2633680242154099</v>
      </c>
      <c r="Z1009" s="48" t="s">
        <v>824</v>
      </c>
      <c r="AA1009" s="51">
        <v>1.021625628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825</v>
      </c>
      <c r="Q1010" s="23">
        <f>DATE(YEAR(OneWeekMtgRatesDataTable75[[#This Row],[asOf]]),MONTH(OneWeekMtgRatesDataTable75[[#This Row],[asOf]]),DAY(OneWeekMtgRatesDataTable75[[#This Row],[asOf]]))</f>
        <v>41108</v>
      </c>
      <c r="R1010" s="19">
        <v>3.53</v>
      </c>
      <c r="S1010" s="19">
        <v>0.7</v>
      </c>
      <c r="T1010" s="19">
        <v>3.4549999999999996</v>
      </c>
      <c r="V1010" s="48" t="s">
        <v>829</v>
      </c>
      <c r="W1010" s="48" t="s">
        <v>1832</v>
      </c>
      <c r="X1010" s="51">
        <v>2.2471779895370898</v>
      </c>
      <c r="Z1010" s="48" t="s">
        <v>823</v>
      </c>
      <c r="AA1010" s="51">
        <v>1.021625628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824</v>
      </c>
      <c r="Q1011" s="23">
        <f>DATE(YEAR(OneWeekMtgRatesDataTable75[[#This Row],[asOf]]),MONTH(OneWeekMtgRatesDataTable75[[#This Row],[asOf]]),DAY(OneWeekMtgRatesDataTable75[[#This Row],[asOf]]))</f>
        <v>41107</v>
      </c>
      <c r="R1011" s="19">
        <v>3.53</v>
      </c>
      <c r="S1011" s="19">
        <v>0.7</v>
      </c>
      <c r="T1011" s="19">
        <v>3.4549999999999996</v>
      </c>
      <c r="V1011" s="48" t="s">
        <v>828</v>
      </c>
      <c r="W1011" s="48" t="s">
        <v>1832</v>
      </c>
      <c r="X1011" s="51">
        <v>2.27723185682542</v>
      </c>
      <c r="Z1011" s="48" t="s">
        <v>822</v>
      </c>
      <c r="AA1011" s="51">
        <v>1.021625628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823</v>
      </c>
      <c r="Q1012" s="23">
        <f>DATE(YEAR(OneWeekMtgRatesDataTable75[[#This Row],[asOf]]),MONTH(OneWeekMtgRatesDataTable75[[#This Row],[asOf]]),DAY(OneWeekMtgRatesDataTable75[[#This Row],[asOf]]))</f>
        <v>41106</v>
      </c>
      <c r="R1012" s="19">
        <v>3.53</v>
      </c>
      <c r="S1012" s="19">
        <v>0.7</v>
      </c>
      <c r="T1012" s="19">
        <v>3.4549999999999996</v>
      </c>
      <c r="V1012" s="48" t="s">
        <v>827</v>
      </c>
      <c r="W1012" s="48" t="s">
        <v>1832</v>
      </c>
      <c r="X1012" s="51">
        <v>2.32496037866738</v>
      </c>
      <c r="Z1012" s="48" t="s">
        <v>821</v>
      </c>
      <c r="AA1012" s="51">
        <v>1.021625628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822</v>
      </c>
      <c r="Q1013" s="23">
        <f>DATE(YEAR(OneWeekMtgRatesDataTable75[[#This Row],[asOf]]),MONTH(OneWeekMtgRatesDataTable75[[#This Row],[asOf]]),DAY(OneWeekMtgRatesDataTable75[[#This Row],[asOf]]))</f>
        <v>41103</v>
      </c>
      <c r="R1013" s="19">
        <v>3.53</v>
      </c>
      <c r="S1013" s="19">
        <v>0.7</v>
      </c>
      <c r="T1013" s="19">
        <v>3.4549999999999996</v>
      </c>
      <c r="V1013" s="48" t="s">
        <v>826</v>
      </c>
      <c r="W1013" s="48" t="s">
        <v>1832</v>
      </c>
      <c r="X1013" s="51">
        <v>2.3931217438343899</v>
      </c>
      <c r="Z1013" s="48" t="s">
        <v>820</v>
      </c>
      <c r="AA1013" s="51">
        <v>1.021625628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821</v>
      </c>
      <c r="Q1014" s="23">
        <f>DATE(YEAR(OneWeekMtgRatesDataTable75[[#This Row],[asOf]]),MONTH(OneWeekMtgRatesDataTable75[[#This Row],[asOf]]),DAY(OneWeekMtgRatesDataTable75[[#This Row],[asOf]]))</f>
        <v>41102</v>
      </c>
      <c r="R1014" s="19">
        <v>3.53</v>
      </c>
      <c r="S1014" s="19">
        <v>0.7</v>
      </c>
      <c r="T1014" s="19">
        <v>3.4549999999999996</v>
      </c>
      <c r="V1014" s="48" t="s">
        <v>825</v>
      </c>
      <c r="W1014" s="48" t="s">
        <v>1832</v>
      </c>
      <c r="X1014" s="51">
        <v>2.3758504228028601</v>
      </c>
      <c r="Z1014" s="48" t="s">
        <v>819</v>
      </c>
      <c r="AA1014" s="51">
        <v>0.99417922400000003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820</v>
      </c>
      <c r="Q1015" s="23">
        <f>DATE(YEAR(OneWeekMtgRatesDataTable75[[#This Row],[asOf]]),MONTH(OneWeekMtgRatesDataTable75[[#This Row],[asOf]]),DAY(OneWeekMtgRatesDataTable75[[#This Row],[asOf]]))</f>
        <v>41101</v>
      </c>
      <c r="R1015" s="19">
        <v>3.56</v>
      </c>
      <c r="S1015" s="19">
        <v>0.7</v>
      </c>
      <c r="T1015" s="19">
        <v>3.4849999999999999</v>
      </c>
      <c r="V1015" s="48" t="s">
        <v>824</v>
      </c>
      <c r="W1015" s="48" t="s">
        <v>1832</v>
      </c>
      <c r="X1015" s="51">
        <v>2.4360959184987601</v>
      </c>
      <c r="Z1015" s="48" t="s">
        <v>818</v>
      </c>
      <c r="AA1015" s="51">
        <v>0.99417922400000003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819</v>
      </c>
      <c r="Q1016" s="23">
        <f>DATE(YEAR(OneWeekMtgRatesDataTable75[[#This Row],[asOf]]),MONTH(OneWeekMtgRatesDataTable75[[#This Row],[asOf]]),DAY(OneWeekMtgRatesDataTable75[[#This Row],[asOf]]))</f>
        <v>41100</v>
      </c>
      <c r="R1016" s="19">
        <v>3.56</v>
      </c>
      <c r="S1016" s="19">
        <v>0.7</v>
      </c>
      <c r="T1016" s="19">
        <v>3.4849999999999999</v>
      </c>
      <c r="V1016" s="48" t="s">
        <v>823</v>
      </c>
      <c r="W1016" s="48" t="s">
        <v>1832</v>
      </c>
      <c r="X1016" s="51">
        <v>2.3968423718228902</v>
      </c>
      <c r="Z1016" s="48" t="s">
        <v>817</v>
      </c>
      <c r="AA1016" s="51">
        <v>0.99417922400000003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818</v>
      </c>
      <c r="Q1017" s="23">
        <f>DATE(YEAR(OneWeekMtgRatesDataTable75[[#This Row],[asOf]]),MONTH(OneWeekMtgRatesDataTable75[[#This Row],[asOf]]),DAY(OneWeekMtgRatesDataTable75[[#This Row],[asOf]]))</f>
        <v>41099</v>
      </c>
      <c r="R1017" s="19">
        <v>3.56</v>
      </c>
      <c r="S1017" s="19">
        <v>0.7</v>
      </c>
      <c r="T1017" s="19">
        <v>3.4849999999999999</v>
      </c>
      <c r="V1017" s="48" t="s">
        <v>822</v>
      </c>
      <c r="W1017" s="48" t="s">
        <v>1832</v>
      </c>
      <c r="X1017" s="51">
        <v>2.45850252986091</v>
      </c>
      <c r="Z1017" s="48" t="s">
        <v>816</v>
      </c>
      <c r="AA1017" s="51">
        <v>0.99417922400000003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817</v>
      </c>
      <c r="Q1018" s="23">
        <f>DATE(YEAR(OneWeekMtgRatesDataTable75[[#This Row],[asOf]]),MONTH(OneWeekMtgRatesDataTable75[[#This Row],[asOf]]),DAY(OneWeekMtgRatesDataTable75[[#This Row],[asOf]]))</f>
        <v>41096</v>
      </c>
      <c r="R1018" s="19">
        <v>3.56</v>
      </c>
      <c r="S1018" s="19">
        <v>0.7</v>
      </c>
      <c r="T1018" s="19">
        <v>3.4849999999999999</v>
      </c>
      <c r="V1018" s="48" t="s">
        <v>821</v>
      </c>
      <c r="W1018" s="48" t="s">
        <v>1832</v>
      </c>
      <c r="X1018" s="51">
        <v>2.4034266466938199</v>
      </c>
      <c r="Z1018" s="48" t="s">
        <v>815</v>
      </c>
      <c r="AA1018" s="51">
        <v>0.99417922400000003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816</v>
      </c>
      <c r="Q1019" s="23">
        <f>DATE(YEAR(OneWeekMtgRatesDataTable75[[#This Row],[asOf]]),MONTH(OneWeekMtgRatesDataTable75[[#This Row],[asOf]]),DAY(OneWeekMtgRatesDataTable75[[#This Row],[asOf]]))</f>
        <v>41095</v>
      </c>
      <c r="R1019" s="19">
        <v>3.56</v>
      </c>
      <c r="S1019" s="19">
        <v>0.7</v>
      </c>
      <c r="T1019" s="19">
        <v>3.4849999999999999</v>
      </c>
      <c r="V1019" s="48" t="s">
        <v>820</v>
      </c>
      <c r="W1019" s="48" t="s">
        <v>1832</v>
      </c>
      <c r="X1019" s="51">
        <v>2.4116172706611501</v>
      </c>
      <c r="Z1019" s="48" t="s">
        <v>814</v>
      </c>
      <c r="AA1019" s="51">
        <v>0.971840386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815</v>
      </c>
      <c r="Q1020" s="23">
        <f>DATE(YEAR(OneWeekMtgRatesDataTable75[[#This Row],[asOf]]),MONTH(OneWeekMtgRatesDataTable75[[#This Row],[asOf]]),DAY(OneWeekMtgRatesDataTable75[[#This Row],[asOf]]))</f>
        <v>41093</v>
      </c>
      <c r="R1020" s="19">
        <v>3.62</v>
      </c>
      <c r="S1020" s="19">
        <v>0.8</v>
      </c>
      <c r="T1020" s="19">
        <v>3.5700000000000003</v>
      </c>
      <c r="V1020" s="48" t="s">
        <v>819</v>
      </c>
      <c r="W1020" s="48" t="s">
        <v>1832</v>
      </c>
      <c r="X1020" s="51">
        <v>2.42302981927218</v>
      </c>
      <c r="Z1020" s="48" t="s">
        <v>813</v>
      </c>
      <c r="AA1020" s="51">
        <v>0.971840386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814</v>
      </c>
      <c r="Q1021" s="23">
        <f>DATE(YEAR(OneWeekMtgRatesDataTable75[[#This Row],[asOf]]),MONTH(OneWeekMtgRatesDataTable75[[#This Row],[asOf]]),DAY(OneWeekMtgRatesDataTable75[[#This Row],[asOf]]))</f>
        <v>41092</v>
      </c>
      <c r="R1021" s="19">
        <v>3.62</v>
      </c>
      <c r="S1021" s="19">
        <v>0.8</v>
      </c>
      <c r="T1021" s="19">
        <v>3.5700000000000003</v>
      </c>
      <c r="V1021" s="48" t="s">
        <v>818</v>
      </c>
      <c r="W1021" s="48" t="s">
        <v>1832</v>
      </c>
      <c r="X1021" s="51">
        <v>2.4491972100580299</v>
      </c>
      <c r="Z1021" s="48" t="s">
        <v>812</v>
      </c>
      <c r="AA1021" s="51">
        <v>0.971840386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813</v>
      </c>
      <c r="Q1022" s="23">
        <f>DATE(YEAR(OneWeekMtgRatesDataTable75[[#This Row],[asOf]]),MONTH(OneWeekMtgRatesDataTable75[[#This Row],[asOf]]),DAY(OneWeekMtgRatesDataTable75[[#This Row],[asOf]]))</f>
        <v>41089</v>
      </c>
      <c r="R1022" s="19">
        <v>3.62</v>
      </c>
      <c r="S1022" s="19">
        <v>0.8</v>
      </c>
      <c r="T1022" s="19">
        <v>3.5700000000000003</v>
      </c>
      <c r="V1022" s="48" t="s">
        <v>817</v>
      </c>
      <c r="W1022" s="48" t="s">
        <v>1832</v>
      </c>
      <c r="X1022" s="51">
        <v>2.4766480457309101</v>
      </c>
      <c r="Z1022" s="48" t="s">
        <v>811</v>
      </c>
      <c r="AA1022" s="51">
        <v>0.971840386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812</v>
      </c>
      <c r="Q1023" s="23">
        <f>DATE(YEAR(OneWeekMtgRatesDataTable75[[#This Row],[asOf]]),MONTH(OneWeekMtgRatesDataTable75[[#This Row],[asOf]]),DAY(OneWeekMtgRatesDataTable75[[#This Row],[asOf]]))</f>
        <v>41088</v>
      </c>
      <c r="R1023" s="19">
        <v>3.62</v>
      </c>
      <c r="S1023" s="19">
        <v>0.8</v>
      </c>
      <c r="T1023" s="19">
        <v>3.5700000000000003</v>
      </c>
      <c r="V1023" s="48" t="s">
        <v>816</v>
      </c>
      <c r="W1023" s="48" t="s">
        <v>1832</v>
      </c>
      <c r="X1023" s="51">
        <v>2.5563795134905498</v>
      </c>
      <c r="Z1023" s="48" t="s">
        <v>810</v>
      </c>
      <c r="AA1023" s="51">
        <v>0.96884999100000002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811</v>
      </c>
      <c r="Q1024" s="23">
        <f>DATE(YEAR(OneWeekMtgRatesDataTable75[[#This Row],[asOf]]),MONTH(OneWeekMtgRatesDataTable75[[#This Row],[asOf]]),DAY(OneWeekMtgRatesDataTable75[[#This Row],[asOf]]))</f>
        <v>41087</v>
      </c>
      <c r="R1024" s="19">
        <v>3.66</v>
      </c>
      <c r="S1024" s="19">
        <v>0.7</v>
      </c>
      <c r="T1024" s="19">
        <v>3.585</v>
      </c>
      <c r="V1024" s="48" t="s">
        <v>815</v>
      </c>
      <c r="W1024" s="48" t="s">
        <v>1832</v>
      </c>
      <c r="X1024" s="51">
        <v>2.58328220354782</v>
      </c>
      <c r="Z1024" s="48" t="s">
        <v>809</v>
      </c>
      <c r="AA1024" s="51">
        <v>0.96884999100000002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810</v>
      </c>
      <c r="Q1025" s="23">
        <f>DATE(YEAR(OneWeekMtgRatesDataTable75[[#This Row],[asOf]]),MONTH(OneWeekMtgRatesDataTable75[[#This Row],[asOf]]),DAY(OneWeekMtgRatesDataTable75[[#This Row],[asOf]]))</f>
        <v>41086</v>
      </c>
      <c r="R1025" s="19">
        <v>3.66</v>
      </c>
      <c r="S1025" s="19">
        <v>0.7</v>
      </c>
      <c r="T1025" s="19">
        <v>3.585</v>
      </c>
      <c r="V1025" s="48" t="s">
        <v>814</v>
      </c>
      <c r="W1025" s="48" t="s">
        <v>1832</v>
      </c>
      <c r="X1025" s="51">
        <v>2.54531844167705</v>
      </c>
      <c r="Z1025" s="48" t="s">
        <v>808</v>
      </c>
      <c r="AA1025" s="51">
        <v>0.96884999100000002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809</v>
      </c>
      <c r="Q1026" s="23">
        <f>DATE(YEAR(OneWeekMtgRatesDataTable75[[#This Row],[asOf]]),MONTH(OneWeekMtgRatesDataTable75[[#This Row],[asOf]]),DAY(OneWeekMtgRatesDataTable75[[#This Row],[asOf]]))</f>
        <v>41085</v>
      </c>
      <c r="R1026" s="19">
        <v>3.66</v>
      </c>
      <c r="S1026" s="19">
        <v>0.7</v>
      </c>
      <c r="T1026" s="19">
        <v>3.585</v>
      </c>
      <c r="V1026" s="48" t="s">
        <v>813</v>
      </c>
      <c r="W1026" s="48" t="s">
        <v>1832</v>
      </c>
      <c r="X1026" s="51">
        <v>2.6237188553228199</v>
      </c>
      <c r="Z1026" s="48" t="s">
        <v>807</v>
      </c>
      <c r="AA1026" s="51">
        <v>0.96884999100000002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808</v>
      </c>
      <c r="Q1027" s="23">
        <f>DATE(YEAR(OneWeekMtgRatesDataTable75[[#This Row],[asOf]]),MONTH(OneWeekMtgRatesDataTable75[[#This Row],[asOf]]),DAY(OneWeekMtgRatesDataTable75[[#This Row],[asOf]]))</f>
        <v>41082</v>
      </c>
      <c r="R1027" s="19">
        <v>3.66</v>
      </c>
      <c r="S1027" s="19">
        <v>0.7</v>
      </c>
      <c r="T1027" s="19">
        <v>3.585</v>
      </c>
      <c r="V1027" s="48" t="s">
        <v>812</v>
      </c>
      <c r="W1027" s="48" t="s">
        <v>1832</v>
      </c>
      <c r="X1027" s="51">
        <v>2.5509636037861898</v>
      </c>
      <c r="Z1027" s="48" t="s">
        <v>806</v>
      </c>
      <c r="AA1027" s="51">
        <v>0.96884999100000002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807</v>
      </c>
      <c r="Q1028" s="23">
        <f>DATE(YEAR(OneWeekMtgRatesDataTable75[[#This Row],[asOf]]),MONTH(OneWeekMtgRatesDataTable75[[#This Row],[asOf]]),DAY(OneWeekMtgRatesDataTable75[[#This Row],[asOf]]))</f>
        <v>41081</v>
      </c>
      <c r="R1028" s="19">
        <v>3.66</v>
      </c>
      <c r="S1028" s="19">
        <v>0.7</v>
      </c>
      <c r="T1028" s="19">
        <v>3.585</v>
      </c>
      <c r="V1028" s="48" t="s">
        <v>811</v>
      </c>
      <c r="W1028" s="48" t="s">
        <v>1832</v>
      </c>
      <c r="X1028" s="51">
        <v>2.5886723749410501</v>
      </c>
      <c r="Z1028" s="48" t="s">
        <v>805</v>
      </c>
      <c r="AA1028" s="51">
        <v>0.96597913599999996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806</v>
      </c>
      <c r="Q1029" s="23">
        <f>DATE(YEAR(OneWeekMtgRatesDataTable75[[#This Row],[asOf]]),MONTH(OneWeekMtgRatesDataTable75[[#This Row],[asOf]]),DAY(OneWeekMtgRatesDataTable75[[#This Row],[asOf]]))</f>
        <v>41080</v>
      </c>
      <c r="R1029" s="19">
        <v>3.66</v>
      </c>
      <c r="S1029" s="19">
        <v>0.7</v>
      </c>
      <c r="T1029" s="19">
        <v>3.585</v>
      </c>
      <c r="V1029" s="48" t="s">
        <v>810</v>
      </c>
      <c r="W1029" s="48" t="s">
        <v>1832</v>
      </c>
      <c r="X1029" s="51">
        <v>2.6163872152587899</v>
      </c>
      <c r="Z1029" s="48" t="s">
        <v>804</v>
      </c>
      <c r="AA1029" s="51">
        <v>0.96597913599999996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805</v>
      </c>
      <c r="Q1030" s="23">
        <f>DATE(YEAR(OneWeekMtgRatesDataTable75[[#This Row],[asOf]]),MONTH(OneWeekMtgRatesDataTable75[[#This Row],[asOf]]),DAY(OneWeekMtgRatesDataTable75[[#This Row],[asOf]]))</f>
        <v>41079</v>
      </c>
      <c r="R1030" s="19">
        <v>3.66</v>
      </c>
      <c r="S1030" s="19">
        <v>0.7</v>
      </c>
      <c r="T1030" s="19">
        <v>3.585</v>
      </c>
      <c r="V1030" s="48" t="s">
        <v>809</v>
      </c>
      <c r="W1030" s="48" t="s">
        <v>1832</v>
      </c>
      <c r="X1030" s="51">
        <v>2.57850061271707</v>
      </c>
      <c r="Z1030" s="48" t="s">
        <v>803</v>
      </c>
      <c r="AA1030" s="51">
        <v>0.96597913599999996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804</v>
      </c>
      <c r="Q1031" s="23">
        <f>DATE(YEAR(OneWeekMtgRatesDataTable75[[#This Row],[asOf]]),MONTH(OneWeekMtgRatesDataTable75[[#This Row],[asOf]]),DAY(OneWeekMtgRatesDataTable75[[#This Row],[asOf]]))</f>
        <v>41078</v>
      </c>
      <c r="R1031" s="19">
        <v>3.66</v>
      </c>
      <c r="S1031" s="19">
        <v>0.7</v>
      </c>
      <c r="T1031" s="19">
        <v>3.585</v>
      </c>
      <c r="V1031" s="48" t="s">
        <v>808</v>
      </c>
      <c r="W1031" s="48" t="s">
        <v>1832</v>
      </c>
      <c r="X1031" s="51">
        <v>2.6681925280418901</v>
      </c>
      <c r="Z1031" s="48" t="s">
        <v>802</v>
      </c>
      <c r="AA1031" s="51">
        <v>0.96597913599999996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803</v>
      </c>
      <c r="Q1032" s="23">
        <f>DATE(YEAR(OneWeekMtgRatesDataTable75[[#This Row],[asOf]]),MONTH(OneWeekMtgRatesDataTable75[[#This Row],[asOf]]),DAY(OneWeekMtgRatesDataTable75[[#This Row],[asOf]]))</f>
        <v>41075</v>
      </c>
      <c r="R1032" s="19">
        <v>3.66</v>
      </c>
      <c r="S1032" s="19">
        <v>0.7</v>
      </c>
      <c r="T1032" s="19">
        <v>3.585</v>
      </c>
      <c r="V1032" s="48" t="s">
        <v>807</v>
      </c>
      <c r="W1032" s="48" t="s">
        <v>1832</v>
      </c>
      <c r="X1032" s="51">
        <v>2.61404533663225</v>
      </c>
      <c r="Z1032" s="48" t="s">
        <v>801</v>
      </c>
      <c r="AA1032" s="51">
        <v>0.96597913599999996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802</v>
      </c>
      <c r="Q1033" s="23">
        <f>DATE(YEAR(OneWeekMtgRatesDataTable75[[#This Row],[asOf]]),MONTH(OneWeekMtgRatesDataTable75[[#This Row],[asOf]]),DAY(OneWeekMtgRatesDataTable75[[#This Row],[asOf]]))</f>
        <v>41074</v>
      </c>
      <c r="R1033" s="19">
        <v>3.66</v>
      </c>
      <c r="S1033" s="19">
        <v>0.7</v>
      </c>
      <c r="T1033" s="19">
        <v>3.585</v>
      </c>
      <c r="V1033" s="48" t="s">
        <v>806</v>
      </c>
      <c r="W1033" s="48" t="s">
        <v>1832</v>
      </c>
      <c r="X1033" s="51">
        <v>2.6422120111570599</v>
      </c>
      <c r="Z1033" s="48" t="s">
        <v>800</v>
      </c>
      <c r="AA1033" s="51">
        <v>0.95912365200000005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801</v>
      </c>
      <c r="Q1034" s="23">
        <f>DATE(YEAR(OneWeekMtgRatesDataTable75[[#This Row],[asOf]]),MONTH(OneWeekMtgRatesDataTable75[[#This Row],[asOf]]),DAY(OneWeekMtgRatesDataTable75[[#This Row],[asOf]]))</f>
        <v>41073</v>
      </c>
      <c r="R1034" s="19">
        <v>3.71</v>
      </c>
      <c r="S1034" s="19">
        <v>0.7</v>
      </c>
      <c r="T1034" s="19">
        <v>3.6349999999999998</v>
      </c>
      <c r="V1034" s="48" t="s">
        <v>805</v>
      </c>
      <c r="W1034" s="48" t="s">
        <v>1832</v>
      </c>
      <c r="X1034" s="51">
        <v>2.5989008122860202</v>
      </c>
      <c r="Z1034" s="48" t="s">
        <v>799</v>
      </c>
      <c r="AA1034" s="51">
        <v>0.95912365200000005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800</v>
      </c>
      <c r="Q1035" s="23">
        <f>DATE(YEAR(OneWeekMtgRatesDataTable75[[#This Row],[asOf]]),MONTH(OneWeekMtgRatesDataTable75[[#This Row],[asOf]]),DAY(OneWeekMtgRatesDataTable75[[#This Row],[asOf]]))</f>
        <v>41072</v>
      </c>
      <c r="R1035" s="19">
        <v>3.71</v>
      </c>
      <c r="S1035" s="19">
        <v>0.7</v>
      </c>
      <c r="T1035" s="19">
        <v>3.6349999999999998</v>
      </c>
      <c r="V1035" s="48" t="s">
        <v>804</v>
      </c>
      <c r="W1035" s="48" t="s">
        <v>1832</v>
      </c>
      <c r="X1035" s="51">
        <v>2.5951502868946998</v>
      </c>
      <c r="Z1035" s="48" t="s">
        <v>798</v>
      </c>
      <c r="AA1035" s="51">
        <v>0.95912365200000005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799</v>
      </c>
      <c r="Q1036" s="23">
        <f>DATE(YEAR(OneWeekMtgRatesDataTable75[[#This Row],[asOf]]),MONTH(OneWeekMtgRatesDataTable75[[#This Row],[asOf]]),DAY(OneWeekMtgRatesDataTable75[[#This Row],[asOf]]))</f>
        <v>41071</v>
      </c>
      <c r="R1036" s="19">
        <v>3.71</v>
      </c>
      <c r="S1036" s="19">
        <v>0.7</v>
      </c>
      <c r="T1036" s="19">
        <v>3.6349999999999998</v>
      </c>
      <c r="V1036" s="48" t="s">
        <v>803</v>
      </c>
      <c r="W1036" s="48" t="s">
        <v>1832</v>
      </c>
      <c r="X1036" s="51">
        <v>2.6135481549442598</v>
      </c>
      <c r="Z1036" s="48" t="s">
        <v>797</v>
      </c>
      <c r="AA1036" s="51">
        <v>0.95912365200000005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798</v>
      </c>
      <c r="Q1037" s="23">
        <f>DATE(YEAR(OneWeekMtgRatesDataTable75[[#This Row],[asOf]]),MONTH(OneWeekMtgRatesDataTable75[[#This Row],[asOf]]),DAY(OneWeekMtgRatesDataTable75[[#This Row],[asOf]]))</f>
        <v>41068</v>
      </c>
      <c r="R1037" s="19">
        <v>3.71</v>
      </c>
      <c r="S1037" s="19">
        <v>0.7</v>
      </c>
      <c r="T1037" s="19">
        <v>3.6349999999999998</v>
      </c>
      <c r="V1037" s="48" t="s">
        <v>802</v>
      </c>
      <c r="W1037" s="48" t="s">
        <v>1832</v>
      </c>
      <c r="X1037" s="51">
        <v>2.63093877997242</v>
      </c>
      <c r="Z1037" s="48" t="s">
        <v>796</v>
      </c>
      <c r="AA1037" s="51">
        <v>0.95912365200000005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797</v>
      </c>
      <c r="Q1038" s="23">
        <f>DATE(YEAR(OneWeekMtgRatesDataTable75[[#This Row],[asOf]]),MONTH(OneWeekMtgRatesDataTable75[[#This Row],[asOf]]),DAY(OneWeekMtgRatesDataTable75[[#This Row],[asOf]]))</f>
        <v>41067</v>
      </c>
      <c r="R1038" s="19">
        <v>3.71</v>
      </c>
      <c r="S1038" s="19">
        <v>0.7</v>
      </c>
      <c r="T1038" s="19">
        <v>3.6349999999999998</v>
      </c>
      <c r="V1038" s="48" t="s">
        <v>801</v>
      </c>
      <c r="W1038" s="48" t="s">
        <v>1832</v>
      </c>
      <c r="X1038" s="51">
        <v>2.6525646200106201</v>
      </c>
      <c r="Z1038" s="48" t="s">
        <v>795</v>
      </c>
      <c r="AA1038" s="51">
        <v>0.95491305199999998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796</v>
      </c>
      <c r="Q1039" s="23">
        <f>DATE(YEAR(OneWeekMtgRatesDataTable75[[#This Row],[asOf]]),MONTH(OneWeekMtgRatesDataTable75[[#This Row],[asOf]]),DAY(OneWeekMtgRatesDataTable75[[#This Row],[asOf]]))</f>
        <v>41066</v>
      </c>
      <c r="R1039" s="19">
        <v>3.67</v>
      </c>
      <c r="S1039" s="19">
        <v>0.7</v>
      </c>
      <c r="T1039" s="19">
        <v>3.5949999999999998</v>
      </c>
      <c r="V1039" s="48" t="s">
        <v>800</v>
      </c>
      <c r="W1039" s="48" t="s">
        <v>1832</v>
      </c>
      <c r="X1039" s="51">
        <v>2.6959588926221301</v>
      </c>
      <c r="Z1039" s="48" t="s">
        <v>794</v>
      </c>
      <c r="AA1039" s="51">
        <v>0.95491305199999998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795</v>
      </c>
      <c r="Q1040" s="23">
        <f>DATE(YEAR(OneWeekMtgRatesDataTable75[[#This Row],[asOf]]),MONTH(OneWeekMtgRatesDataTable75[[#This Row],[asOf]]),DAY(OneWeekMtgRatesDataTable75[[#This Row],[asOf]]))</f>
        <v>41065</v>
      </c>
      <c r="R1040" s="19">
        <v>3.67</v>
      </c>
      <c r="S1040" s="19">
        <v>0.7</v>
      </c>
      <c r="T1040" s="19">
        <v>3.5949999999999998</v>
      </c>
      <c r="V1040" s="48" t="s">
        <v>799</v>
      </c>
      <c r="W1040" s="48" t="s">
        <v>1832</v>
      </c>
      <c r="X1040" s="51">
        <v>2.6398968961248501</v>
      </c>
      <c r="Z1040" s="48" t="s">
        <v>793</v>
      </c>
      <c r="AA1040" s="51">
        <v>0.95491305199999998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794</v>
      </c>
      <c r="Q1041" s="23">
        <f>DATE(YEAR(OneWeekMtgRatesDataTable75[[#This Row],[asOf]]),MONTH(OneWeekMtgRatesDataTable75[[#This Row],[asOf]]),DAY(OneWeekMtgRatesDataTable75[[#This Row],[asOf]]))</f>
        <v>41064</v>
      </c>
      <c r="R1041" s="19">
        <v>3.67</v>
      </c>
      <c r="S1041" s="19">
        <v>0.7</v>
      </c>
      <c r="T1041" s="19">
        <v>3.5949999999999998</v>
      </c>
      <c r="V1041" s="48" t="s">
        <v>798</v>
      </c>
      <c r="W1041" s="48" t="s">
        <v>1832</v>
      </c>
      <c r="X1041" s="51">
        <v>2.6791053539735099</v>
      </c>
      <c r="Z1041" s="48" t="s">
        <v>792</v>
      </c>
      <c r="AA1041" s="51">
        <v>0.95491305199999998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793</v>
      </c>
      <c r="Q1042" s="23">
        <f>DATE(YEAR(OneWeekMtgRatesDataTable75[[#This Row],[asOf]]),MONTH(OneWeekMtgRatesDataTable75[[#This Row],[asOf]]),DAY(OneWeekMtgRatesDataTable75[[#This Row],[asOf]]))</f>
        <v>41061</v>
      </c>
      <c r="R1042" s="19">
        <v>3.67</v>
      </c>
      <c r="S1042" s="19">
        <v>0.7</v>
      </c>
      <c r="T1042" s="19">
        <v>3.5949999999999998</v>
      </c>
      <c r="V1042" s="48" t="s">
        <v>797</v>
      </c>
      <c r="W1042" s="48" t="s">
        <v>1832</v>
      </c>
      <c r="X1042" s="51">
        <v>2.6775785563630401</v>
      </c>
      <c r="Z1042" s="48" t="s">
        <v>791</v>
      </c>
      <c r="AA1042" s="51">
        <v>0.95491305199999998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792</v>
      </c>
      <c r="Q1043" s="23">
        <f>DATE(YEAR(OneWeekMtgRatesDataTable75[[#This Row],[asOf]]),MONTH(OneWeekMtgRatesDataTable75[[#This Row],[asOf]]),DAY(OneWeekMtgRatesDataTable75[[#This Row],[asOf]]))</f>
        <v>41060</v>
      </c>
      <c r="R1043" s="19">
        <v>3.67</v>
      </c>
      <c r="S1043" s="19">
        <v>0.7</v>
      </c>
      <c r="T1043" s="19">
        <v>3.5949999999999998</v>
      </c>
      <c r="V1043" s="48" t="s">
        <v>796</v>
      </c>
      <c r="W1043" s="48" t="s">
        <v>1832</v>
      </c>
      <c r="X1043" s="51">
        <v>2.7069899299945201</v>
      </c>
      <c r="Z1043" s="48" t="s">
        <v>790</v>
      </c>
      <c r="AA1043" s="51">
        <v>1.012368462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791</v>
      </c>
      <c r="Q1044" s="23">
        <f>DATE(YEAR(OneWeekMtgRatesDataTable75[[#This Row],[asOf]]),MONTH(OneWeekMtgRatesDataTable75[[#This Row],[asOf]]),DAY(OneWeekMtgRatesDataTable75[[#This Row],[asOf]]))</f>
        <v>41059</v>
      </c>
      <c r="R1044" s="19">
        <v>3.75</v>
      </c>
      <c r="S1044" s="19">
        <v>0.8</v>
      </c>
      <c r="T1044" s="19">
        <v>3.7</v>
      </c>
      <c r="V1044" s="48" t="s">
        <v>795</v>
      </c>
      <c r="W1044" s="48" t="s">
        <v>1832</v>
      </c>
      <c r="X1044" s="51">
        <v>2.67215902179854</v>
      </c>
      <c r="Z1044" s="48" t="s">
        <v>789</v>
      </c>
      <c r="AA1044" s="51">
        <v>1.012368462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790</v>
      </c>
      <c r="Q1045" s="23">
        <f>DATE(YEAR(OneWeekMtgRatesDataTable75[[#This Row],[asOf]]),MONTH(OneWeekMtgRatesDataTable75[[#This Row],[asOf]]),DAY(OneWeekMtgRatesDataTable75[[#This Row],[asOf]]))</f>
        <v>41058</v>
      </c>
      <c r="R1045" s="19">
        <v>3.75</v>
      </c>
      <c r="S1045" s="19">
        <v>0.8</v>
      </c>
      <c r="T1045" s="19">
        <v>3.7</v>
      </c>
      <c r="V1045" s="48" t="s">
        <v>794</v>
      </c>
      <c r="W1045" s="48" t="s">
        <v>1832</v>
      </c>
      <c r="X1045" s="51">
        <v>2.62225605452167</v>
      </c>
      <c r="Z1045" s="48" t="s">
        <v>788</v>
      </c>
      <c r="AA1045" s="51">
        <v>1.012368462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789</v>
      </c>
      <c r="Q1046" s="23">
        <f>DATE(YEAR(OneWeekMtgRatesDataTable75[[#This Row],[asOf]]),MONTH(OneWeekMtgRatesDataTable75[[#This Row],[asOf]]),DAY(OneWeekMtgRatesDataTable75[[#This Row],[asOf]]))</f>
        <v>41054</v>
      </c>
      <c r="R1046" s="19">
        <v>3.75</v>
      </c>
      <c r="S1046" s="19">
        <v>0.8</v>
      </c>
      <c r="T1046" s="19">
        <v>3.7</v>
      </c>
      <c r="V1046" s="48" t="s">
        <v>793</v>
      </c>
      <c r="W1046" s="48" t="s">
        <v>1832</v>
      </c>
      <c r="X1046" s="51">
        <v>2.5315862032348999</v>
      </c>
      <c r="Z1046" s="48" t="s">
        <v>787</v>
      </c>
      <c r="AA1046" s="51">
        <v>1.012368462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788</v>
      </c>
      <c r="Q1047" s="23">
        <f>DATE(YEAR(OneWeekMtgRatesDataTable75[[#This Row],[asOf]]),MONTH(OneWeekMtgRatesDataTable75[[#This Row],[asOf]]),DAY(OneWeekMtgRatesDataTable75[[#This Row],[asOf]]))</f>
        <v>41053</v>
      </c>
      <c r="R1047" s="19">
        <v>3.75</v>
      </c>
      <c r="S1047" s="19">
        <v>0.8</v>
      </c>
      <c r="T1047" s="19">
        <v>3.7</v>
      </c>
      <c r="V1047" s="48" t="s">
        <v>792</v>
      </c>
      <c r="W1047" s="48" t="s">
        <v>1832</v>
      </c>
      <c r="X1047" s="51">
        <v>2.6463905286345102</v>
      </c>
      <c r="Z1047" s="48" t="s">
        <v>786</v>
      </c>
      <c r="AA1047" s="51">
        <v>0.93226042600000003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787</v>
      </c>
      <c r="Q1048" s="23">
        <f>DATE(YEAR(OneWeekMtgRatesDataTable75[[#This Row],[asOf]]),MONTH(OneWeekMtgRatesDataTable75[[#This Row],[asOf]]),DAY(OneWeekMtgRatesDataTable75[[#This Row],[asOf]]))</f>
        <v>41052</v>
      </c>
      <c r="R1048" s="19">
        <v>3.78</v>
      </c>
      <c r="S1048" s="19">
        <v>0.8</v>
      </c>
      <c r="T1048" s="19">
        <v>3.73</v>
      </c>
      <c r="V1048" s="48" t="s">
        <v>791</v>
      </c>
      <c r="W1048" s="48" t="s">
        <v>1832</v>
      </c>
      <c r="X1048" s="51">
        <v>2.6848642616862599</v>
      </c>
      <c r="Z1048" s="48" t="s">
        <v>785</v>
      </c>
      <c r="AA1048" s="51">
        <v>0.93226042600000003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786</v>
      </c>
      <c r="Q1049" s="23">
        <f>DATE(YEAR(OneWeekMtgRatesDataTable75[[#This Row],[asOf]]),MONTH(OneWeekMtgRatesDataTable75[[#This Row],[asOf]]),DAY(OneWeekMtgRatesDataTable75[[#This Row],[asOf]]))</f>
        <v>41051</v>
      </c>
      <c r="R1049" s="19">
        <v>3.78</v>
      </c>
      <c r="S1049" s="19">
        <v>0.8</v>
      </c>
      <c r="T1049" s="19">
        <v>3.73</v>
      </c>
      <c r="V1049" s="48" t="s">
        <v>790</v>
      </c>
      <c r="W1049" s="48" t="s">
        <v>1832</v>
      </c>
      <c r="X1049" s="51">
        <v>2.77148784579206</v>
      </c>
      <c r="Z1049" s="48" t="s">
        <v>784</v>
      </c>
      <c r="AA1049" s="51">
        <v>0.93226042600000003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785</v>
      </c>
      <c r="Q1050" s="23">
        <f>DATE(YEAR(OneWeekMtgRatesDataTable75[[#This Row],[asOf]]),MONTH(OneWeekMtgRatesDataTable75[[#This Row],[asOf]]),DAY(OneWeekMtgRatesDataTable75[[#This Row],[asOf]]))</f>
        <v>41050</v>
      </c>
      <c r="R1050" s="19">
        <v>3.78</v>
      </c>
      <c r="S1050" s="19">
        <v>0.8</v>
      </c>
      <c r="T1050" s="19">
        <v>3.73</v>
      </c>
      <c r="V1050" s="48" t="s">
        <v>789</v>
      </c>
      <c r="W1050" s="48" t="s">
        <v>1832</v>
      </c>
      <c r="X1050" s="51">
        <v>2.7634534959262198</v>
      </c>
      <c r="Z1050" s="48" t="s">
        <v>783</v>
      </c>
      <c r="AA1050" s="51">
        <v>0.93226042600000003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784</v>
      </c>
      <c r="Q1051" s="23">
        <f>DATE(YEAR(OneWeekMtgRatesDataTable75[[#This Row],[asOf]]),MONTH(OneWeekMtgRatesDataTable75[[#This Row],[asOf]]),DAY(OneWeekMtgRatesDataTable75[[#This Row],[asOf]]))</f>
        <v>41047</v>
      </c>
      <c r="R1051" s="19">
        <v>3.78</v>
      </c>
      <c r="S1051" s="19">
        <v>0.8</v>
      </c>
      <c r="T1051" s="19">
        <v>3.73</v>
      </c>
      <c r="V1051" s="48" t="s">
        <v>788</v>
      </c>
      <c r="W1051" s="48" t="s">
        <v>1832</v>
      </c>
      <c r="X1051" s="51">
        <v>2.7605421873144298</v>
      </c>
      <c r="Z1051" s="48" t="s">
        <v>782</v>
      </c>
      <c r="AA1051" s="51">
        <v>0.93226042600000003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783</v>
      </c>
      <c r="Q1052" s="23">
        <f>DATE(YEAR(OneWeekMtgRatesDataTable75[[#This Row],[asOf]]),MONTH(OneWeekMtgRatesDataTable75[[#This Row],[asOf]]),DAY(OneWeekMtgRatesDataTable75[[#This Row],[asOf]]))</f>
        <v>41046</v>
      </c>
      <c r="R1052" s="19">
        <v>3.78</v>
      </c>
      <c r="S1052" s="19">
        <v>0.8</v>
      </c>
      <c r="T1052" s="19">
        <v>3.73</v>
      </c>
      <c r="V1052" s="48" t="s">
        <v>787</v>
      </c>
      <c r="W1052" s="48" t="s">
        <v>1832</v>
      </c>
      <c r="X1052" s="51">
        <v>2.7350812469927099</v>
      </c>
      <c r="Z1052" s="48" t="s">
        <v>781</v>
      </c>
      <c r="AA1052" s="51">
        <v>0.90097138499999996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782</v>
      </c>
      <c r="Q1053" s="23">
        <f>DATE(YEAR(OneWeekMtgRatesDataTable75[[#This Row],[asOf]]),MONTH(OneWeekMtgRatesDataTable75[[#This Row],[asOf]]),DAY(OneWeekMtgRatesDataTable75[[#This Row],[asOf]]))</f>
        <v>41045</v>
      </c>
      <c r="R1053" s="19">
        <v>3.79</v>
      </c>
      <c r="S1053" s="19">
        <v>0.7</v>
      </c>
      <c r="T1053" s="19">
        <v>3.7149999999999999</v>
      </c>
      <c r="V1053" s="48" t="s">
        <v>786</v>
      </c>
      <c r="W1053" s="48" t="s">
        <v>1832</v>
      </c>
      <c r="X1053" s="51">
        <v>2.76969358536605</v>
      </c>
      <c r="Z1053" s="48" t="s">
        <v>780</v>
      </c>
      <c r="AA1053" s="51">
        <v>0.90097138499999996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781</v>
      </c>
      <c r="Q1054" s="23">
        <f>DATE(YEAR(OneWeekMtgRatesDataTable75[[#This Row],[asOf]]),MONTH(OneWeekMtgRatesDataTable75[[#This Row],[asOf]]),DAY(OneWeekMtgRatesDataTable75[[#This Row],[asOf]]))</f>
        <v>41044</v>
      </c>
      <c r="R1054" s="19">
        <v>3.79</v>
      </c>
      <c r="S1054" s="19">
        <v>0.7</v>
      </c>
      <c r="T1054" s="19">
        <v>3.7149999999999999</v>
      </c>
      <c r="V1054" s="48" t="s">
        <v>785</v>
      </c>
      <c r="W1054" s="48" t="s">
        <v>1832</v>
      </c>
      <c r="X1054" s="51">
        <v>2.73357010628694</v>
      </c>
      <c r="Z1054" s="48" t="s">
        <v>779</v>
      </c>
      <c r="AA1054" s="51">
        <v>0.90097138499999996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780</v>
      </c>
      <c r="Q1055" s="23">
        <f>DATE(YEAR(OneWeekMtgRatesDataTable75[[#This Row],[asOf]]),MONTH(OneWeekMtgRatesDataTable75[[#This Row],[asOf]]),DAY(OneWeekMtgRatesDataTable75[[#This Row],[asOf]]))</f>
        <v>41043</v>
      </c>
      <c r="R1055" s="19">
        <v>3.79</v>
      </c>
      <c r="S1055" s="19">
        <v>0.7</v>
      </c>
      <c r="T1055" s="19">
        <v>3.7149999999999999</v>
      </c>
      <c r="V1055" s="48" t="s">
        <v>784</v>
      </c>
      <c r="W1055" s="48" t="s">
        <v>1832</v>
      </c>
      <c r="X1055" s="51">
        <v>2.67797206633489</v>
      </c>
      <c r="Z1055" s="48" t="s">
        <v>778</v>
      </c>
      <c r="AA1055" s="51">
        <v>0.90097138499999996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779</v>
      </c>
      <c r="Q1056" s="23">
        <f>DATE(YEAR(OneWeekMtgRatesDataTable75[[#This Row],[asOf]]),MONTH(OneWeekMtgRatesDataTable75[[#This Row],[asOf]]),DAY(OneWeekMtgRatesDataTable75[[#This Row],[asOf]]))</f>
        <v>41040</v>
      </c>
      <c r="R1056" s="19">
        <v>3.79</v>
      </c>
      <c r="S1056" s="19">
        <v>0.7</v>
      </c>
      <c r="T1056" s="19">
        <v>3.7149999999999999</v>
      </c>
      <c r="V1056" s="48" t="s">
        <v>783</v>
      </c>
      <c r="W1056" s="48" t="s">
        <v>1832</v>
      </c>
      <c r="X1056" s="51">
        <v>2.6718406862121098</v>
      </c>
      <c r="Z1056" s="48" t="s">
        <v>777</v>
      </c>
      <c r="AA1056" s="51">
        <v>0.90097138499999996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778</v>
      </c>
      <c r="Q1057" s="23">
        <f>DATE(YEAR(OneWeekMtgRatesDataTable75[[#This Row],[asOf]]),MONTH(OneWeekMtgRatesDataTable75[[#This Row],[asOf]]),DAY(OneWeekMtgRatesDataTable75[[#This Row],[asOf]]))</f>
        <v>41039</v>
      </c>
      <c r="R1057" s="19">
        <v>3.79</v>
      </c>
      <c r="S1057" s="19">
        <v>0.7</v>
      </c>
      <c r="T1057" s="19">
        <v>3.7149999999999999</v>
      </c>
      <c r="V1057" s="48" t="s">
        <v>782</v>
      </c>
      <c r="W1057" s="48" t="s">
        <v>1832</v>
      </c>
      <c r="X1057" s="51">
        <v>2.7401286983352402</v>
      </c>
      <c r="Z1057" s="48" t="s">
        <v>776</v>
      </c>
      <c r="AA1057" s="51">
        <v>0.91262067000000002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777</v>
      </c>
      <c r="Q1058" s="23">
        <f>DATE(YEAR(OneWeekMtgRatesDataTable75[[#This Row],[asOf]]),MONTH(OneWeekMtgRatesDataTable75[[#This Row],[asOf]]),DAY(OneWeekMtgRatesDataTable75[[#This Row],[asOf]]))</f>
        <v>41038</v>
      </c>
      <c r="R1058" s="19">
        <v>3.83</v>
      </c>
      <c r="S1058" s="19">
        <v>0.7</v>
      </c>
      <c r="T1058" s="19">
        <v>3.7549999999999999</v>
      </c>
      <c r="V1058" s="48" t="s">
        <v>781</v>
      </c>
      <c r="W1058" s="48" t="s">
        <v>1832</v>
      </c>
      <c r="X1058" s="51">
        <v>2.7697091879875599</v>
      </c>
      <c r="Z1058" s="48" t="s">
        <v>775</v>
      </c>
      <c r="AA1058" s="51">
        <v>0.91262067000000002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776</v>
      </c>
      <c r="Q1059" s="23">
        <f>DATE(YEAR(OneWeekMtgRatesDataTable75[[#This Row],[asOf]]),MONTH(OneWeekMtgRatesDataTable75[[#This Row],[asOf]]),DAY(OneWeekMtgRatesDataTable75[[#This Row],[asOf]]))</f>
        <v>41037</v>
      </c>
      <c r="R1059" s="19">
        <v>3.83</v>
      </c>
      <c r="S1059" s="19">
        <v>0.7</v>
      </c>
      <c r="T1059" s="19">
        <v>3.7549999999999999</v>
      </c>
      <c r="V1059" s="48" t="s">
        <v>780</v>
      </c>
      <c r="W1059" s="48" t="s">
        <v>1832</v>
      </c>
      <c r="X1059" s="51">
        <v>2.7739749118365999</v>
      </c>
      <c r="Z1059" s="48" t="s">
        <v>774</v>
      </c>
      <c r="AA1059" s="51">
        <v>0.91262067000000002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775</v>
      </c>
      <c r="Q1060" s="23">
        <f>DATE(YEAR(OneWeekMtgRatesDataTable75[[#This Row],[asOf]]),MONTH(OneWeekMtgRatesDataTable75[[#This Row],[asOf]]),DAY(OneWeekMtgRatesDataTable75[[#This Row],[asOf]]))</f>
        <v>41036</v>
      </c>
      <c r="R1060" s="19">
        <v>3.83</v>
      </c>
      <c r="S1060" s="19">
        <v>0.7</v>
      </c>
      <c r="T1060" s="19">
        <v>3.7549999999999999</v>
      </c>
      <c r="V1060" s="48" t="s">
        <v>779</v>
      </c>
      <c r="W1060" s="48" t="s">
        <v>1832</v>
      </c>
      <c r="X1060" s="51">
        <v>2.8052772077153998</v>
      </c>
      <c r="Z1060" s="48" t="s">
        <v>773</v>
      </c>
      <c r="AA1060" s="51">
        <v>0.91262067000000002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774</v>
      </c>
      <c r="Q1061" s="23">
        <f>DATE(YEAR(OneWeekMtgRatesDataTable75[[#This Row],[asOf]]),MONTH(OneWeekMtgRatesDataTable75[[#This Row],[asOf]]),DAY(OneWeekMtgRatesDataTable75[[#This Row],[asOf]]))</f>
        <v>41033</v>
      </c>
      <c r="R1061" s="19">
        <v>3.83</v>
      </c>
      <c r="S1061" s="19">
        <v>0.7</v>
      </c>
      <c r="T1061" s="19">
        <v>3.7549999999999999</v>
      </c>
      <c r="V1061" s="48" t="s">
        <v>778</v>
      </c>
      <c r="W1061" s="48" t="s">
        <v>1832</v>
      </c>
      <c r="X1061" s="51">
        <v>2.8246078637178802</v>
      </c>
      <c r="Z1061" s="48" t="s">
        <v>772</v>
      </c>
      <c r="AA1061" s="51">
        <v>0.91262067000000002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773</v>
      </c>
      <c r="Q1062" s="23">
        <f>DATE(YEAR(OneWeekMtgRatesDataTable75[[#This Row],[asOf]]),MONTH(OneWeekMtgRatesDataTable75[[#This Row],[asOf]]),DAY(OneWeekMtgRatesDataTable75[[#This Row],[asOf]]))</f>
        <v>41032</v>
      </c>
      <c r="R1062" s="19">
        <v>3.83</v>
      </c>
      <c r="S1062" s="19">
        <v>0.7</v>
      </c>
      <c r="T1062" s="19">
        <v>3.7549999999999999</v>
      </c>
      <c r="V1062" s="48" t="s">
        <v>777</v>
      </c>
      <c r="W1062" s="48" t="s">
        <v>1832</v>
      </c>
      <c r="X1062" s="51">
        <v>2.8327642978398999</v>
      </c>
      <c r="Z1062" s="48" t="s">
        <v>771</v>
      </c>
      <c r="AA1062" s="51">
        <v>0.90800277600000001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772</v>
      </c>
      <c r="Q1063" s="23">
        <f>DATE(YEAR(OneWeekMtgRatesDataTable75[[#This Row],[asOf]]),MONTH(OneWeekMtgRatesDataTable75[[#This Row],[asOf]]),DAY(OneWeekMtgRatesDataTable75[[#This Row],[asOf]]))</f>
        <v>41031</v>
      </c>
      <c r="R1063" s="19">
        <v>3.84</v>
      </c>
      <c r="S1063" s="19">
        <v>0.8</v>
      </c>
      <c r="T1063" s="19">
        <v>3.79</v>
      </c>
      <c r="V1063" s="48" t="s">
        <v>776</v>
      </c>
      <c r="W1063" s="48" t="s">
        <v>1832</v>
      </c>
      <c r="X1063" s="51">
        <v>2.8457023219339699</v>
      </c>
      <c r="Z1063" s="48" t="s">
        <v>770</v>
      </c>
      <c r="AA1063" s="51">
        <v>0.90800277600000001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771</v>
      </c>
      <c r="Q1064" s="23">
        <f>DATE(YEAR(OneWeekMtgRatesDataTable75[[#This Row],[asOf]]),MONTH(OneWeekMtgRatesDataTable75[[#This Row],[asOf]]),DAY(OneWeekMtgRatesDataTable75[[#This Row],[asOf]]))</f>
        <v>41030</v>
      </c>
      <c r="R1064" s="19">
        <v>3.84</v>
      </c>
      <c r="S1064" s="19">
        <v>0.8</v>
      </c>
      <c r="T1064" s="19">
        <v>3.79</v>
      </c>
      <c r="V1064" s="48" t="s">
        <v>775</v>
      </c>
      <c r="W1064" s="48" t="s">
        <v>1832</v>
      </c>
      <c r="X1064" s="51">
        <v>2.85847369417964</v>
      </c>
      <c r="Z1064" s="48" t="s">
        <v>769</v>
      </c>
      <c r="AA1064" s="51">
        <v>0.90800277600000001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770</v>
      </c>
      <c r="Q1065" s="23">
        <f>DATE(YEAR(OneWeekMtgRatesDataTable75[[#This Row],[asOf]]),MONTH(OneWeekMtgRatesDataTable75[[#This Row],[asOf]]),DAY(OneWeekMtgRatesDataTable75[[#This Row],[asOf]]))</f>
        <v>41029</v>
      </c>
      <c r="R1065" s="19">
        <v>3.84</v>
      </c>
      <c r="S1065" s="19">
        <v>0.8</v>
      </c>
      <c r="T1065" s="19">
        <v>3.79</v>
      </c>
      <c r="V1065" s="48" t="s">
        <v>774</v>
      </c>
      <c r="W1065" s="48" t="s">
        <v>1832</v>
      </c>
      <c r="X1065" s="51">
        <v>2.8508681241779898</v>
      </c>
      <c r="Z1065" s="48" t="s">
        <v>768</v>
      </c>
      <c r="AA1065" s="51">
        <v>0.90800277600000001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769</v>
      </c>
      <c r="Q1066" s="23">
        <f>DATE(YEAR(OneWeekMtgRatesDataTable75[[#This Row],[asOf]]),MONTH(OneWeekMtgRatesDataTable75[[#This Row],[asOf]]),DAY(OneWeekMtgRatesDataTable75[[#This Row],[asOf]]))</f>
        <v>41026</v>
      </c>
      <c r="R1066" s="19">
        <v>3.84</v>
      </c>
      <c r="S1066" s="19">
        <v>0.8</v>
      </c>
      <c r="T1066" s="19">
        <v>3.79</v>
      </c>
      <c r="V1066" s="48" t="s">
        <v>773</v>
      </c>
      <c r="W1066" s="48" t="s">
        <v>1832</v>
      </c>
      <c r="X1066" s="51">
        <v>2.88233463781564</v>
      </c>
      <c r="Z1066" s="48" t="s">
        <v>767</v>
      </c>
      <c r="AA1066" s="51">
        <v>0.90800277600000001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768</v>
      </c>
      <c r="Q1067" s="23">
        <f>DATE(YEAR(OneWeekMtgRatesDataTable75[[#This Row],[asOf]]),MONTH(OneWeekMtgRatesDataTable75[[#This Row],[asOf]]),DAY(OneWeekMtgRatesDataTable75[[#This Row],[asOf]]))</f>
        <v>41025</v>
      </c>
      <c r="R1067" s="19">
        <v>3.84</v>
      </c>
      <c r="S1067" s="19">
        <v>0.8</v>
      </c>
      <c r="T1067" s="19">
        <v>3.79</v>
      </c>
      <c r="V1067" s="48" t="s">
        <v>772</v>
      </c>
      <c r="W1067" s="48" t="s">
        <v>1832</v>
      </c>
      <c r="X1067" s="51">
        <v>2.8733809550088201</v>
      </c>
      <c r="Z1067" s="48" t="s">
        <v>766</v>
      </c>
      <c r="AA1067" s="51">
        <v>0.90892898700000002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767</v>
      </c>
      <c r="Q1068" s="23">
        <f>DATE(YEAR(OneWeekMtgRatesDataTable75[[#This Row],[asOf]]),MONTH(OneWeekMtgRatesDataTable75[[#This Row],[asOf]]),DAY(OneWeekMtgRatesDataTable75[[#This Row],[asOf]]))</f>
        <v>41024</v>
      </c>
      <c r="R1068" s="19">
        <v>3.88</v>
      </c>
      <c r="S1068" s="19">
        <v>0.7</v>
      </c>
      <c r="T1068" s="19">
        <v>3.8049999999999997</v>
      </c>
      <c r="V1068" s="48" t="s">
        <v>771</v>
      </c>
      <c r="W1068" s="48" t="s">
        <v>1832</v>
      </c>
      <c r="X1068" s="51">
        <v>2.8908484323394701</v>
      </c>
      <c r="Z1068" s="48" t="s">
        <v>765</v>
      </c>
      <c r="AA1068" s="51">
        <v>0.90892898700000002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766</v>
      </c>
      <c r="Q1069" s="23">
        <f>DATE(YEAR(OneWeekMtgRatesDataTable75[[#This Row],[asOf]]),MONTH(OneWeekMtgRatesDataTable75[[#This Row],[asOf]]),DAY(OneWeekMtgRatesDataTable75[[#This Row],[asOf]]))</f>
        <v>41023</v>
      </c>
      <c r="R1069" s="19">
        <v>3.88</v>
      </c>
      <c r="S1069" s="19">
        <v>0.7</v>
      </c>
      <c r="T1069" s="19">
        <v>3.8049999999999997</v>
      </c>
      <c r="V1069" s="48" t="s">
        <v>770</v>
      </c>
      <c r="W1069" s="48" t="s">
        <v>1832</v>
      </c>
      <c r="X1069" s="51">
        <v>2.8585941716778001</v>
      </c>
      <c r="Z1069" s="48" t="s">
        <v>764</v>
      </c>
      <c r="AA1069" s="51">
        <v>0.90892898700000002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765</v>
      </c>
      <c r="Q1070" s="23">
        <f>DATE(YEAR(OneWeekMtgRatesDataTable75[[#This Row],[asOf]]),MONTH(OneWeekMtgRatesDataTable75[[#This Row],[asOf]]),DAY(OneWeekMtgRatesDataTable75[[#This Row],[asOf]]))</f>
        <v>41022</v>
      </c>
      <c r="R1070" s="19">
        <v>3.88</v>
      </c>
      <c r="S1070" s="19">
        <v>0.7</v>
      </c>
      <c r="T1070" s="19">
        <v>3.8049999999999997</v>
      </c>
      <c r="V1070" s="48" t="s">
        <v>769</v>
      </c>
      <c r="W1070" s="48" t="s">
        <v>1832</v>
      </c>
      <c r="X1070" s="51">
        <v>2.8716721168117001</v>
      </c>
      <c r="Z1070" s="48" t="s">
        <v>763</v>
      </c>
      <c r="AA1070" s="51">
        <v>0.90892898700000002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764</v>
      </c>
      <c r="Q1071" s="23">
        <f>DATE(YEAR(OneWeekMtgRatesDataTable75[[#This Row],[asOf]]),MONTH(OneWeekMtgRatesDataTable75[[#This Row],[asOf]]),DAY(OneWeekMtgRatesDataTable75[[#This Row],[asOf]]))</f>
        <v>41019</v>
      </c>
      <c r="R1071" s="19">
        <v>3.88</v>
      </c>
      <c r="S1071" s="19">
        <v>0.7</v>
      </c>
      <c r="T1071" s="19">
        <v>3.8049999999999997</v>
      </c>
      <c r="V1071" s="48" t="s">
        <v>768</v>
      </c>
      <c r="W1071" s="48" t="s">
        <v>1832</v>
      </c>
      <c r="X1071" s="51">
        <v>2.8924009736045302</v>
      </c>
      <c r="Z1071" s="48" t="s">
        <v>762</v>
      </c>
      <c r="AA1071" s="51">
        <v>0.90892898700000002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763</v>
      </c>
      <c r="Q1072" s="23">
        <f>DATE(YEAR(OneWeekMtgRatesDataTable75[[#This Row],[asOf]]),MONTH(OneWeekMtgRatesDataTable75[[#This Row],[asOf]]),DAY(OneWeekMtgRatesDataTable75[[#This Row],[asOf]]))</f>
        <v>41018</v>
      </c>
      <c r="R1072" s="19">
        <v>3.88</v>
      </c>
      <c r="S1072" s="19">
        <v>0.7</v>
      </c>
      <c r="T1072" s="19">
        <v>3.8049999999999997</v>
      </c>
      <c r="V1072" s="48" t="s">
        <v>767</v>
      </c>
      <c r="W1072" s="48" t="s">
        <v>1832</v>
      </c>
      <c r="X1072" s="51">
        <v>2.9224114614009999</v>
      </c>
      <c r="Z1072" s="48" t="s">
        <v>761</v>
      </c>
      <c r="AA1072" s="51">
        <v>0.85740605800000003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762</v>
      </c>
      <c r="Q1073" s="23">
        <f>DATE(YEAR(OneWeekMtgRatesDataTable75[[#This Row],[asOf]]),MONTH(OneWeekMtgRatesDataTable75[[#This Row],[asOf]]),DAY(OneWeekMtgRatesDataTable75[[#This Row],[asOf]]))</f>
        <v>41017</v>
      </c>
      <c r="R1073" s="19">
        <v>3.9</v>
      </c>
      <c r="S1073" s="19">
        <v>0.8</v>
      </c>
      <c r="T1073" s="19">
        <v>3.85</v>
      </c>
      <c r="V1073" s="48" t="s">
        <v>766</v>
      </c>
      <c r="W1073" s="48" t="s">
        <v>1832</v>
      </c>
      <c r="X1073" s="51">
        <v>2.9009701197976399</v>
      </c>
      <c r="Z1073" s="48" t="s">
        <v>760</v>
      </c>
      <c r="AA1073" s="51">
        <v>0.85740605800000003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761</v>
      </c>
      <c r="Q1074" s="23">
        <f>DATE(YEAR(OneWeekMtgRatesDataTable75[[#This Row],[asOf]]),MONTH(OneWeekMtgRatesDataTable75[[#This Row],[asOf]]),DAY(OneWeekMtgRatesDataTable75[[#This Row],[asOf]]))</f>
        <v>41016</v>
      </c>
      <c r="R1074" s="19">
        <v>3.9</v>
      </c>
      <c r="S1074" s="19">
        <v>0.8</v>
      </c>
      <c r="T1074" s="19">
        <v>3.85</v>
      </c>
      <c r="V1074" s="48" t="s">
        <v>765</v>
      </c>
      <c r="W1074" s="48" t="s">
        <v>1832</v>
      </c>
      <c r="X1074" s="51">
        <v>2.8708141508909</v>
      </c>
      <c r="Z1074" s="48" t="s">
        <v>759</v>
      </c>
      <c r="AA1074" s="51">
        <v>0.85740605800000003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760</v>
      </c>
      <c r="Q1075" s="23">
        <f>DATE(YEAR(OneWeekMtgRatesDataTable75[[#This Row],[asOf]]),MONTH(OneWeekMtgRatesDataTable75[[#This Row],[asOf]]),DAY(OneWeekMtgRatesDataTable75[[#This Row],[asOf]]))</f>
        <v>41015</v>
      </c>
      <c r="R1075" s="19">
        <v>3.9</v>
      </c>
      <c r="S1075" s="19">
        <v>0.8</v>
      </c>
      <c r="T1075" s="19">
        <v>3.85</v>
      </c>
      <c r="V1075" s="48" t="s">
        <v>764</v>
      </c>
      <c r="W1075" s="48" t="s">
        <v>1832</v>
      </c>
      <c r="X1075" s="51">
        <v>2.90335136163185</v>
      </c>
      <c r="Z1075" s="48" t="s">
        <v>758</v>
      </c>
      <c r="AA1075" s="51">
        <v>0.85740605800000003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759</v>
      </c>
      <c r="Q1076" s="23">
        <f>DATE(YEAR(OneWeekMtgRatesDataTable75[[#This Row],[asOf]]),MONTH(OneWeekMtgRatesDataTable75[[#This Row],[asOf]]),DAY(OneWeekMtgRatesDataTable75[[#This Row],[asOf]]))</f>
        <v>41012</v>
      </c>
      <c r="R1076" s="19">
        <v>3.9</v>
      </c>
      <c r="S1076" s="19">
        <v>0.8</v>
      </c>
      <c r="T1076" s="19">
        <v>3.85</v>
      </c>
      <c r="V1076" s="48" t="s">
        <v>763</v>
      </c>
      <c r="W1076" s="48" t="s">
        <v>1832</v>
      </c>
      <c r="X1076" s="51">
        <v>2.8874390264499499</v>
      </c>
      <c r="Z1076" s="48" t="s">
        <v>757</v>
      </c>
      <c r="AA1076" s="51">
        <v>0.85740605800000003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758</v>
      </c>
      <c r="Q1077" s="23">
        <f>DATE(YEAR(OneWeekMtgRatesDataTable75[[#This Row],[asOf]]),MONTH(OneWeekMtgRatesDataTable75[[#This Row],[asOf]]),DAY(OneWeekMtgRatesDataTable75[[#This Row],[asOf]]))</f>
        <v>41011</v>
      </c>
      <c r="R1077" s="19">
        <v>3.9</v>
      </c>
      <c r="S1077" s="19">
        <v>0.8</v>
      </c>
      <c r="T1077" s="19">
        <v>3.85</v>
      </c>
      <c r="V1077" s="48" t="s">
        <v>762</v>
      </c>
      <c r="W1077" s="48" t="s">
        <v>1832</v>
      </c>
      <c r="X1077" s="51">
        <v>2.9304565344863098</v>
      </c>
      <c r="Z1077" s="48" t="s">
        <v>756</v>
      </c>
      <c r="AA1077" s="51">
        <v>0.82348794199999997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757</v>
      </c>
      <c r="Q1078" s="23">
        <f>DATE(YEAR(OneWeekMtgRatesDataTable75[[#This Row],[asOf]]),MONTH(OneWeekMtgRatesDataTable75[[#This Row],[asOf]]),DAY(OneWeekMtgRatesDataTable75[[#This Row],[asOf]]))</f>
        <v>41010</v>
      </c>
      <c r="R1078" s="19">
        <v>3.88</v>
      </c>
      <c r="S1078" s="19">
        <v>0.7</v>
      </c>
      <c r="T1078" s="19">
        <v>3.8049999999999997</v>
      </c>
      <c r="V1078" s="48" t="s">
        <v>761</v>
      </c>
      <c r="W1078" s="48" t="s">
        <v>1832</v>
      </c>
      <c r="X1078" s="51">
        <v>2.9570995386029302</v>
      </c>
      <c r="Z1078" s="48" t="s">
        <v>755</v>
      </c>
      <c r="AA1078" s="51">
        <v>0.82348794199999997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756</v>
      </c>
      <c r="Q1079" s="23">
        <f>DATE(YEAR(OneWeekMtgRatesDataTable75[[#This Row],[asOf]]),MONTH(OneWeekMtgRatesDataTable75[[#This Row],[asOf]]),DAY(OneWeekMtgRatesDataTable75[[#This Row],[asOf]]))</f>
        <v>41009</v>
      </c>
      <c r="R1079" s="19">
        <v>3.88</v>
      </c>
      <c r="S1079" s="19">
        <v>0.7</v>
      </c>
      <c r="T1079" s="19">
        <v>3.8049999999999997</v>
      </c>
      <c r="V1079" s="48" t="s">
        <v>760</v>
      </c>
      <c r="W1079" s="48" t="s">
        <v>1832</v>
      </c>
      <c r="X1079" s="51">
        <v>2.91808321555345</v>
      </c>
      <c r="Z1079" s="48" t="s">
        <v>754</v>
      </c>
      <c r="AA1079" s="51">
        <v>0.82348794199999997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755</v>
      </c>
      <c r="Q1080" s="23">
        <f>DATE(YEAR(OneWeekMtgRatesDataTable75[[#This Row],[asOf]]),MONTH(OneWeekMtgRatesDataTable75[[#This Row],[asOf]]),DAY(OneWeekMtgRatesDataTable75[[#This Row],[asOf]]))</f>
        <v>41008</v>
      </c>
      <c r="R1080" s="19">
        <v>3.88</v>
      </c>
      <c r="S1080" s="19">
        <v>0.7</v>
      </c>
      <c r="T1080" s="19">
        <v>3.8049999999999997</v>
      </c>
      <c r="V1080" s="48" t="s">
        <v>759</v>
      </c>
      <c r="W1080" s="48" t="s">
        <v>1832</v>
      </c>
      <c r="X1080" s="51">
        <v>2.93226575052006</v>
      </c>
      <c r="Z1080" s="48" t="s">
        <v>753</v>
      </c>
      <c r="AA1080" s="51">
        <v>0.82348794199999997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754</v>
      </c>
      <c r="Q1081" s="23">
        <f>DATE(YEAR(OneWeekMtgRatesDataTable75[[#This Row],[asOf]]),MONTH(OneWeekMtgRatesDataTable75[[#This Row],[asOf]]),DAY(OneWeekMtgRatesDataTable75[[#This Row],[asOf]]))</f>
        <v>41005</v>
      </c>
      <c r="R1081" s="19">
        <v>3.88</v>
      </c>
      <c r="S1081" s="19">
        <v>0.7</v>
      </c>
      <c r="T1081" s="19">
        <v>3.8049999999999997</v>
      </c>
      <c r="V1081" s="48" t="s">
        <v>758</v>
      </c>
      <c r="W1081" s="48" t="s">
        <v>1832</v>
      </c>
      <c r="X1081" s="51">
        <v>2.9674500244903301</v>
      </c>
      <c r="Z1081" s="48" t="s">
        <v>752</v>
      </c>
      <c r="AA1081" s="51">
        <v>0.82348794199999997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753</v>
      </c>
      <c r="Q1082" s="23">
        <f>DATE(YEAR(OneWeekMtgRatesDataTable75[[#This Row],[asOf]]),MONTH(OneWeekMtgRatesDataTable75[[#This Row],[asOf]]),DAY(OneWeekMtgRatesDataTable75[[#This Row],[asOf]]))</f>
        <v>41004</v>
      </c>
      <c r="R1082" s="19">
        <v>3.88</v>
      </c>
      <c r="S1082" s="19">
        <v>0.7</v>
      </c>
      <c r="T1082" s="19">
        <v>3.8049999999999997</v>
      </c>
      <c r="V1082" s="48" t="s">
        <v>757</v>
      </c>
      <c r="W1082" s="48" t="s">
        <v>1832</v>
      </c>
      <c r="X1082" s="51">
        <v>2.9307831448374801</v>
      </c>
      <c r="Z1082" s="48" t="s">
        <v>751</v>
      </c>
      <c r="AA1082" s="51">
        <v>0.81408867699999998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752</v>
      </c>
      <c r="Q1083" s="23">
        <f>DATE(YEAR(OneWeekMtgRatesDataTable75[[#This Row],[asOf]]),MONTH(OneWeekMtgRatesDataTable75[[#This Row],[asOf]]),DAY(OneWeekMtgRatesDataTable75[[#This Row],[asOf]]))</f>
        <v>41003</v>
      </c>
      <c r="R1083" s="19">
        <v>3.98</v>
      </c>
      <c r="S1083" s="19">
        <v>0.7</v>
      </c>
      <c r="T1083" s="19">
        <v>3.9049999999999998</v>
      </c>
      <c r="V1083" s="48" t="s">
        <v>756</v>
      </c>
      <c r="W1083" s="48" t="s">
        <v>1832</v>
      </c>
      <c r="X1083" s="51">
        <v>2.9109852395687899</v>
      </c>
      <c r="Z1083" s="48" t="s">
        <v>750</v>
      </c>
      <c r="AA1083" s="51">
        <v>0.81408867699999998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751</v>
      </c>
      <c r="Q1084" s="23">
        <f>DATE(YEAR(OneWeekMtgRatesDataTable75[[#This Row],[asOf]]),MONTH(OneWeekMtgRatesDataTable75[[#This Row],[asOf]]),DAY(OneWeekMtgRatesDataTable75[[#This Row],[asOf]]))</f>
        <v>41002</v>
      </c>
      <c r="R1084" s="19">
        <v>3.98</v>
      </c>
      <c r="S1084" s="19">
        <v>0.7</v>
      </c>
      <c r="T1084" s="19">
        <v>3.9049999999999998</v>
      </c>
      <c r="V1084" s="48" t="s">
        <v>755</v>
      </c>
      <c r="W1084" s="48" t="s">
        <v>1832</v>
      </c>
      <c r="X1084" s="51">
        <v>2.9115161148392898</v>
      </c>
      <c r="Z1084" s="48" t="s">
        <v>749</v>
      </c>
      <c r="AA1084" s="51">
        <v>0.81408867699999998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750</v>
      </c>
      <c r="Q1085" s="23">
        <f>DATE(YEAR(OneWeekMtgRatesDataTable75[[#This Row],[asOf]]),MONTH(OneWeekMtgRatesDataTable75[[#This Row],[asOf]]),DAY(OneWeekMtgRatesDataTable75[[#This Row],[asOf]]))</f>
        <v>41001</v>
      </c>
      <c r="R1085" s="19">
        <v>3.98</v>
      </c>
      <c r="S1085" s="19">
        <v>0.7</v>
      </c>
      <c r="T1085" s="19">
        <v>3.9049999999999998</v>
      </c>
      <c r="V1085" s="48" t="s">
        <v>754</v>
      </c>
      <c r="W1085" s="48" t="s">
        <v>1832</v>
      </c>
      <c r="X1085" s="51">
        <v>2.93072207475555</v>
      </c>
      <c r="Z1085" s="48" t="s">
        <v>748</v>
      </c>
      <c r="AA1085" s="51">
        <v>0.81408867699999998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749</v>
      </c>
      <c r="Q1086" s="23">
        <f>DATE(YEAR(OneWeekMtgRatesDataTable75[[#This Row],[asOf]]),MONTH(OneWeekMtgRatesDataTable75[[#This Row],[asOf]]),DAY(OneWeekMtgRatesDataTable75[[#This Row],[asOf]]))</f>
        <v>40998</v>
      </c>
      <c r="R1086" s="19">
        <v>3.98</v>
      </c>
      <c r="S1086" s="19">
        <v>0.7</v>
      </c>
      <c r="T1086" s="19">
        <v>3.9049999999999998</v>
      </c>
      <c r="V1086" s="48" t="s">
        <v>753</v>
      </c>
      <c r="W1086" s="48" t="s">
        <v>1832</v>
      </c>
      <c r="X1086" s="51">
        <v>3.0539631363774702</v>
      </c>
      <c r="Z1086" s="48" t="s">
        <v>747</v>
      </c>
      <c r="AA1086" s="51">
        <v>0.81408867699999998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748</v>
      </c>
      <c r="Q1087" s="23">
        <f>DATE(YEAR(OneWeekMtgRatesDataTable75[[#This Row],[asOf]]),MONTH(OneWeekMtgRatesDataTable75[[#This Row],[asOf]]),DAY(OneWeekMtgRatesDataTable75[[#This Row],[asOf]]))</f>
        <v>40997</v>
      </c>
      <c r="R1087" s="19">
        <v>3.98</v>
      </c>
      <c r="S1087" s="19">
        <v>0.7</v>
      </c>
      <c r="T1087" s="19">
        <v>3.9049999999999998</v>
      </c>
      <c r="V1087" s="48" t="s">
        <v>752</v>
      </c>
      <c r="W1087" s="48" t="s">
        <v>1832</v>
      </c>
      <c r="X1087" s="51">
        <v>3.10879854950432</v>
      </c>
      <c r="Z1087" s="48" t="s">
        <v>746</v>
      </c>
      <c r="AA1087" s="51">
        <v>0.84499129299999998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747</v>
      </c>
      <c r="Q1088" s="23">
        <f>DATE(YEAR(OneWeekMtgRatesDataTable75[[#This Row],[asOf]]),MONTH(OneWeekMtgRatesDataTable75[[#This Row],[asOf]]),DAY(OneWeekMtgRatesDataTable75[[#This Row],[asOf]]))</f>
        <v>40996</v>
      </c>
      <c r="R1088" s="19">
        <v>3.99</v>
      </c>
      <c r="S1088" s="19">
        <v>0.7</v>
      </c>
      <c r="T1088" s="19">
        <v>3.915</v>
      </c>
      <c r="V1088" s="48" t="s">
        <v>751</v>
      </c>
      <c r="W1088" s="48" t="s">
        <v>1832</v>
      </c>
      <c r="X1088" s="51">
        <v>3.1649158455545399</v>
      </c>
      <c r="Z1088" s="48" t="s">
        <v>745</v>
      </c>
      <c r="AA1088" s="51">
        <v>0.84499129299999998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746</v>
      </c>
      <c r="Q1089" s="23">
        <f>DATE(YEAR(OneWeekMtgRatesDataTable75[[#This Row],[asOf]]),MONTH(OneWeekMtgRatesDataTable75[[#This Row],[asOf]]),DAY(OneWeekMtgRatesDataTable75[[#This Row],[asOf]]))</f>
        <v>40995</v>
      </c>
      <c r="R1089" s="19">
        <v>3.99</v>
      </c>
      <c r="S1089" s="19">
        <v>0.7</v>
      </c>
      <c r="T1089" s="19">
        <v>3.915</v>
      </c>
      <c r="V1089" s="48" t="s">
        <v>750</v>
      </c>
      <c r="W1089" s="48" t="s">
        <v>1832</v>
      </c>
      <c r="X1089" s="51">
        <v>3.0449639552276002</v>
      </c>
      <c r="Z1089" s="48" t="s">
        <v>744</v>
      </c>
      <c r="AA1089" s="51">
        <v>0.84499129299999998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745</v>
      </c>
      <c r="Q1090" s="23">
        <f>DATE(YEAR(OneWeekMtgRatesDataTable75[[#This Row],[asOf]]),MONTH(OneWeekMtgRatesDataTable75[[#This Row],[asOf]]),DAY(OneWeekMtgRatesDataTable75[[#This Row],[asOf]]))</f>
        <v>40994</v>
      </c>
      <c r="R1090" s="19">
        <v>3.99</v>
      </c>
      <c r="S1090" s="19">
        <v>0.7</v>
      </c>
      <c r="T1090" s="19">
        <v>3.915</v>
      </c>
      <c r="V1090" s="48" t="s">
        <v>749</v>
      </c>
      <c r="W1090" s="48" t="s">
        <v>1832</v>
      </c>
      <c r="X1090" s="51">
        <v>3.0669215754139501</v>
      </c>
      <c r="Z1090" s="48" t="s">
        <v>743</v>
      </c>
      <c r="AA1090" s="51">
        <v>0.84499129299999998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744</v>
      </c>
      <c r="Q1091" s="23">
        <f>DATE(YEAR(OneWeekMtgRatesDataTable75[[#This Row],[asOf]]),MONTH(OneWeekMtgRatesDataTable75[[#This Row],[asOf]]),DAY(OneWeekMtgRatesDataTable75[[#This Row],[asOf]]))</f>
        <v>40991</v>
      </c>
      <c r="R1091" s="19">
        <v>3.99</v>
      </c>
      <c r="S1091" s="19">
        <v>0.7</v>
      </c>
      <c r="T1091" s="19">
        <v>3.915</v>
      </c>
      <c r="V1091" s="48" t="s">
        <v>748</v>
      </c>
      <c r="W1091" s="48" t="s">
        <v>1832</v>
      </c>
      <c r="X1091" s="51">
        <v>3.0219603652996301</v>
      </c>
      <c r="Z1091" s="48" t="s">
        <v>742</v>
      </c>
      <c r="AA1091" s="51">
        <v>0.84499129299999998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743</v>
      </c>
      <c r="Q1092" s="23">
        <f>DATE(YEAR(OneWeekMtgRatesDataTable75[[#This Row],[asOf]]),MONTH(OneWeekMtgRatesDataTable75[[#This Row],[asOf]]),DAY(OneWeekMtgRatesDataTable75[[#This Row],[asOf]]))</f>
        <v>40990</v>
      </c>
      <c r="R1092" s="19">
        <v>3.99</v>
      </c>
      <c r="S1092" s="19">
        <v>0.7</v>
      </c>
      <c r="T1092" s="19">
        <v>3.915</v>
      </c>
      <c r="V1092" s="48" t="s">
        <v>747</v>
      </c>
      <c r="W1092" s="48" t="s">
        <v>1832</v>
      </c>
      <c r="X1092" s="51">
        <v>3.0568438879801101</v>
      </c>
      <c r="Z1092" s="48" t="s">
        <v>741</v>
      </c>
      <c r="AA1092" s="51">
        <v>0.88343591799999999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742</v>
      </c>
      <c r="Q1093" s="23">
        <f>DATE(YEAR(OneWeekMtgRatesDataTable75[[#This Row],[asOf]]),MONTH(OneWeekMtgRatesDataTable75[[#This Row],[asOf]]),DAY(OneWeekMtgRatesDataTable75[[#This Row],[asOf]]))</f>
        <v>40989</v>
      </c>
      <c r="R1093" s="19">
        <v>4.08</v>
      </c>
      <c r="S1093" s="19">
        <v>0.8</v>
      </c>
      <c r="T1093" s="19">
        <v>4.03</v>
      </c>
      <c r="V1093" s="48" t="s">
        <v>746</v>
      </c>
      <c r="W1093" s="48" t="s">
        <v>1832</v>
      </c>
      <c r="X1093" s="51">
        <v>3.0399029769438499</v>
      </c>
      <c r="Z1093" s="48" t="s">
        <v>740</v>
      </c>
      <c r="AA1093" s="51">
        <v>0.88343591799999999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741</v>
      </c>
      <c r="Q1094" s="23">
        <f>DATE(YEAR(OneWeekMtgRatesDataTable75[[#This Row],[asOf]]),MONTH(OneWeekMtgRatesDataTable75[[#This Row],[asOf]]),DAY(OneWeekMtgRatesDataTable75[[#This Row],[asOf]]))</f>
        <v>40988</v>
      </c>
      <c r="R1094" s="19">
        <v>4.08</v>
      </c>
      <c r="S1094" s="19">
        <v>0.8</v>
      </c>
      <c r="T1094" s="19">
        <v>4.03</v>
      </c>
      <c r="V1094" s="48" t="s">
        <v>745</v>
      </c>
      <c r="W1094" s="48" t="s">
        <v>1832</v>
      </c>
      <c r="X1094" s="51">
        <v>3.1182772307865498</v>
      </c>
      <c r="Z1094" s="48" t="s">
        <v>739</v>
      </c>
      <c r="AA1094" s="51">
        <v>0.88343591799999999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740</v>
      </c>
      <c r="Q1095" s="23">
        <f>DATE(YEAR(OneWeekMtgRatesDataTable75[[#This Row],[asOf]]),MONTH(OneWeekMtgRatesDataTable75[[#This Row],[asOf]]),DAY(OneWeekMtgRatesDataTable75[[#This Row],[asOf]]))</f>
        <v>40987</v>
      </c>
      <c r="R1095" s="19">
        <v>4.08</v>
      </c>
      <c r="S1095" s="19">
        <v>0.8</v>
      </c>
      <c r="T1095" s="19">
        <v>4.03</v>
      </c>
      <c r="V1095" s="48" t="s">
        <v>744</v>
      </c>
      <c r="W1095" s="48" t="s">
        <v>1832</v>
      </c>
      <c r="X1095" s="51">
        <v>3.1324491901767901</v>
      </c>
      <c r="Z1095" s="48" t="s">
        <v>738</v>
      </c>
      <c r="AA1095" s="51">
        <v>0.88343591799999999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739</v>
      </c>
      <c r="Q1096" s="23">
        <f>DATE(YEAR(OneWeekMtgRatesDataTable75[[#This Row],[asOf]]),MONTH(OneWeekMtgRatesDataTable75[[#This Row],[asOf]]),DAY(OneWeekMtgRatesDataTable75[[#This Row],[asOf]]))</f>
        <v>40984</v>
      </c>
      <c r="R1096" s="19">
        <v>4.08</v>
      </c>
      <c r="S1096" s="19">
        <v>0.8</v>
      </c>
      <c r="T1096" s="19">
        <v>4.03</v>
      </c>
      <c r="V1096" s="48" t="s">
        <v>743</v>
      </c>
      <c r="W1096" s="48" t="s">
        <v>1832</v>
      </c>
      <c r="X1096" s="51">
        <v>3.1570833298388399</v>
      </c>
      <c r="Z1096" s="48" t="s">
        <v>737</v>
      </c>
      <c r="AA1096" s="51">
        <v>0.88343591799999999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738</v>
      </c>
      <c r="Q1097" s="23">
        <f>DATE(YEAR(OneWeekMtgRatesDataTable75[[#This Row],[asOf]]),MONTH(OneWeekMtgRatesDataTable75[[#This Row],[asOf]]),DAY(OneWeekMtgRatesDataTable75[[#This Row],[asOf]]))</f>
        <v>40983</v>
      </c>
      <c r="R1097" s="19">
        <v>4.08</v>
      </c>
      <c r="S1097" s="19">
        <v>0.8</v>
      </c>
      <c r="T1097" s="19">
        <v>4.03</v>
      </c>
      <c r="V1097" s="48" t="s">
        <v>742</v>
      </c>
      <c r="W1097" s="48" t="s">
        <v>1832</v>
      </c>
      <c r="X1097" s="51">
        <v>3.15731967015545</v>
      </c>
      <c r="Z1097" s="48" t="s">
        <v>736</v>
      </c>
      <c r="AA1097" s="51">
        <v>0.93300387699999998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737</v>
      </c>
      <c r="Q1098" s="23">
        <f>DATE(YEAR(OneWeekMtgRatesDataTable75[[#This Row],[asOf]]),MONTH(OneWeekMtgRatesDataTable75[[#This Row],[asOf]]),DAY(OneWeekMtgRatesDataTable75[[#This Row],[asOf]]))</f>
        <v>40982</v>
      </c>
      <c r="R1098" s="19">
        <v>3.92</v>
      </c>
      <c r="S1098" s="19">
        <v>0.8</v>
      </c>
      <c r="T1098" s="19">
        <v>3.87</v>
      </c>
      <c r="V1098" s="48" t="s">
        <v>741</v>
      </c>
      <c r="W1098" s="48" t="s">
        <v>1832</v>
      </c>
      <c r="X1098" s="51">
        <v>3.24144029220705</v>
      </c>
      <c r="Z1098" s="48" t="s">
        <v>735</v>
      </c>
      <c r="AA1098" s="51">
        <v>0.93300387699999998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736</v>
      </c>
      <c r="Q1099" s="23">
        <f>DATE(YEAR(OneWeekMtgRatesDataTable75[[#This Row],[asOf]]),MONTH(OneWeekMtgRatesDataTable75[[#This Row],[asOf]]),DAY(OneWeekMtgRatesDataTable75[[#This Row],[asOf]]))</f>
        <v>40981</v>
      </c>
      <c r="R1099" s="19">
        <v>3.92</v>
      </c>
      <c r="S1099" s="19">
        <v>0.8</v>
      </c>
      <c r="T1099" s="19">
        <v>3.87</v>
      </c>
      <c r="V1099" s="48" t="s">
        <v>740</v>
      </c>
      <c r="W1099" s="48" t="s">
        <v>1832</v>
      </c>
      <c r="X1099" s="51">
        <v>3.2363757673390801</v>
      </c>
      <c r="Z1099" s="48" t="s">
        <v>734</v>
      </c>
      <c r="AA1099" s="51">
        <v>0.93300387699999998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735</v>
      </c>
      <c r="Q1100" s="23">
        <f>DATE(YEAR(OneWeekMtgRatesDataTable75[[#This Row],[asOf]]),MONTH(OneWeekMtgRatesDataTable75[[#This Row],[asOf]]),DAY(OneWeekMtgRatesDataTable75[[#This Row],[asOf]]))</f>
        <v>40980</v>
      </c>
      <c r="R1100" s="19">
        <v>3.92</v>
      </c>
      <c r="S1100" s="19">
        <v>0.8</v>
      </c>
      <c r="T1100" s="19">
        <v>3.87</v>
      </c>
      <c r="V1100" s="48" t="s">
        <v>739</v>
      </c>
      <c r="W1100" s="48" t="s">
        <v>1832</v>
      </c>
      <c r="X1100" s="51">
        <v>3.13095195050672</v>
      </c>
      <c r="Z1100" s="48" t="s">
        <v>733</v>
      </c>
      <c r="AA1100" s="51">
        <v>0.93300387699999998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734</v>
      </c>
      <c r="Q1101" s="23">
        <f>DATE(YEAR(OneWeekMtgRatesDataTable75[[#This Row],[asOf]]),MONTH(OneWeekMtgRatesDataTable75[[#This Row],[asOf]]),DAY(OneWeekMtgRatesDataTable75[[#This Row],[asOf]]))</f>
        <v>40977</v>
      </c>
      <c r="R1101" s="19">
        <v>3.92</v>
      </c>
      <c r="S1101" s="19">
        <v>0.8</v>
      </c>
      <c r="T1101" s="19">
        <v>3.87</v>
      </c>
      <c r="V1101" s="48" t="s">
        <v>738</v>
      </c>
      <c r="W1101" s="48" t="s">
        <v>1832</v>
      </c>
      <c r="X1101" s="51">
        <v>3.1589558563859499</v>
      </c>
      <c r="Z1101" s="48" t="s">
        <v>732</v>
      </c>
      <c r="AA1101" s="51">
        <v>0.93300387699999998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733</v>
      </c>
      <c r="Q1102" s="23">
        <f>DATE(YEAR(OneWeekMtgRatesDataTable75[[#This Row],[asOf]]),MONTH(OneWeekMtgRatesDataTable75[[#This Row],[asOf]]),DAY(OneWeekMtgRatesDataTable75[[#This Row],[asOf]]))</f>
        <v>40976</v>
      </c>
      <c r="R1102" s="19">
        <v>3.92</v>
      </c>
      <c r="S1102" s="19">
        <v>0.8</v>
      </c>
      <c r="T1102" s="19">
        <v>3.87</v>
      </c>
      <c r="V1102" s="48" t="s">
        <v>737</v>
      </c>
      <c r="W1102" s="48" t="s">
        <v>1832</v>
      </c>
      <c r="X1102" s="51">
        <v>3.1695853606328299</v>
      </c>
      <c r="Z1102" s="48" t="s">
        <v>731</v>
      </c>
      <c r="AA1102" s="51">
        <v>1.011170664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732</v>
      </c>
      <c r="Q1103" s="23">
        <f>DATE(YEAR(OneWeekMtgRatesDataTable75[[#This Row],[asOf]]),MONTH(OneWeekMtgRatesDataTable75[[#This Row],[asOf]]),DAY(OneWeekMtgRatesDataTable75[[#This Row],[asOf]]))</f>
        <v>40975</v>
      </c>
      <c r="R1103" s="19">
        <v>3.88</v>
      </c>
      <c r="S1103" s="19">
        <v>0.8</v>
      </c>
      <c r="T1103" s="19">
        <v>3.83</v>
      </c>
      <c r="V1103" s="48" t="s">
        <v>736</v>
      </c>
      <c r="W1103" s="48" t="s">
        <v>1832</v>
      </c>
      <c r="X1103" s="51">
        <v>2.99140124187609</v>
      </c>
      <c r="Z1103" s="48" t="s">
        <v>730</v>
      </c>
      <c r="AA1103" s="51">
        <v>1.011170664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731</v>
      </c>
      <c r="Q1104" s="23">
        <f>DATE(YEAR(OneWeekMtgRatesDataTable75[[#This Row],[asOf]]),MONTH(OneWeekMtgRatesDataTable75[[#This Row],[asOf]]),DAY(OneWeekMtgRatesDataTable75[[#This Row],[asOf]]))</f>
        <v>40974</v>
      </c>
      <c r="R1104" s="19">
        <v>3.88</v>
      </c>
      <c r="S1104" s="19">
        <v>0.8</v>
      </c>
      <c r="T1104" s="19">
        <v>3.83</v>
      </c>
      <c r="V1104" s="48" t="s">
        <v>735</v>
      </c>
      <c r="W1104" s="48" t="s">
        <v>1832</v>
      </c>
      <c r="X1104" s="51">
        <v>2.9162427900275998</v>
      </c>
      <c r="Z1104" s="48" t="s">
        <v>729</v>
      </c>
      <c r="AA1104" s="51">
        <v>1.011170664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730</v>
      </c>
      <c r="Q1105" s="23">
        <f>DATE(YEAR(OneWeekMtgRatesDataTable75[[#This Row],[asOf]]),MONTH(OneWeekMtgRatesDataTable75[[#This Row],[asOf]]),DAY(OneWeekMtgRatesDataTable75[[#This Row],[asOf]]))</f>
        <v>40973</v>
      </c>
      <c r="R1105" s="19">
        <v>3.88</v>
      </c>
      <c r="S1105" s="19">
        <v>0.8</v>
      </c>
      <c r="T1105" s="19">
        <v>3.83</v>
      </c>
      <c r="V1105" s="48" t="s">
        <v>734</v>
      </c>
      <c r="W1105" s="48" t="s">
        <v>1832</v>
      </c>
      <c r="X1105" s="51">
        <v>2.9219507354995198</v>
      </c>
      <c r="Z1105" s="48" t="s">
        <v>728</v>
      </c>
      <c r="AA1105" s="51">
        <v>1.011170664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729</v>
      </c>
      <c r="Q1106" s="23">
        <f>DATE(YEAR(OneWeekMtgRatesDataTable75[[#This Row],[asOf]]),MONTH(OneWeekMtgRatesDataTable75[[#This Row],[asOf]]),DAY(OneWeekMtgRatesDataTable75[[#This Row],[asOf]]))</f>
        <v>40970</v>
      </c>
      <c r="R1106" s="19">
        <v>3.88</v>
      </c>
      <c r="S1106" s="19">
        <v>0.8</v>
      </c>
      <c r="T1106" s="19">
        <v>3.83</v>
      </c>
      <c r="V1106" s="48" t="s">
        <v>733</v>
      </c>
      <c r="W1106" s="48" t="s">
        <v>1832</v>
      </c>
      <c r="X1106" s="51">
        <v>2.9336402803405499</v>
      </c>
      <c r="Z1106" s="48" t="s">
        <v>727</v>
      </c>
      <c r="AA1106" s="51">
        <v>1.011170664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728</v>
      </c>
      <c r="Q1107" s="23">
        <f>DATE(YEAR(OneWeekMtgRatesDataTable75[[#This Row],[asOf]]),MONTH(OneWeekMtgRatesDataTable75[[#This Row],[asOf]]),DAY(OneWeekMtgRatesDataTable75[[#This Row],[asOf]]))</f>
        <v>40969</v>
      </c>
      <c r="R1107" s="19">
        <v>3.88</v>
      </c>
      <c r="S1107" s="19">
        <v>0.8</v>
      </c>
      <c r="T1107" s="19">
        <v>3.83</v>
      </c>
      <c r="V1107" s="48" t="s">
        <v>732</v>
      </c>
      <c r="W1107" s="48" t="s">
        <v>1832</v>
      </c>
      <c r="X1107" s="51">
        <v>2.8996218577463</v>
      </c>
      <c r="Z1107" s="48" t="s">
        <v>726</v>
      </c>
      <c r="AA1107" s="51">
        <v>1.0259197099999999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727</v>
      </c>
      <c r="Q1108" s="23">
        <f>DATE(YEAR(OneWeekMtgRatesDataTable75[[#This Row],[asOf]]),MONTH(OneWeekMtgRatesDataTable75[[#This Row],[asOf]]),DAY(OneWeekMtgRatesDataTable75[[#This Row],[asOf]]))</f>
        <v>40968</v>
      </c>
      <c r="R1108" s="19">
        <v>3.9</v>
      </c>
      <c r="S1108" s="19">
        <v>0.8</v>
      </c>
      <c r="T1108" s="19">
        <v>3.85</v>
      </c>
      <c r="V1108" s="48" t="s">
        <v>731</v>
      </c>
      <c r="W1108" s="48" t="s">
        <v>1832</v>
      </c>
      <c r="X1108" s="51">
        <v>2.8650613840049299</v>
      </c>
      <c r="Z1108" s="48" t="s">
        <v>725</v>
      </c>
      <c r="AA1108" s="51">
        <v>1.0259197099999999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726</v>
      </c>
      <c r="Q1109" s="23">
        <f>DATE(YEAR(OneWeekMtgRatesDataTable75[[#This Row],[asOf]]),MONTH(OneWeekMtgRatesDataTable75[[#This Row],[asOf]]),DAY(OneWeekMtgRatesDataTable75[[#This Row],[asOf]]))</f>
        <v>40967</v>
      </c>
      <c r="R1109" s="19">
        <v>3.9</v>
      </c>
      <c r="S1109" s="19">
        <v>0.8</v>
      </c>
      <c r="T1109" s="19">
        <v>3.85</v>
      </c>
      <c r="V1109" s="48" t="s">
        <v>730</v>
      </c>
      <c r="W1109" s="48" t="s">
        <v>1832</v>
      </c>
      <c r="X1109" s="51">
        <v>2.9007707644806802</v>
      </c>
      <c r="Z1109" s="48" t="s">
        <v>724</v>
      </c>
      <c r="AA1109" s="51">
        <v>1.0259197099999999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725</v>
      </c>
      <c r="Q1110" s="23">
        <f>DATE(YEAR(OneWeekMtgRatesDataTable75[[#This Row],[asOf]]),MONTH(OneWeekMtgRatesDataTable75[[#This Row],[asOf]]),DAY(OneWeekMtgRatesDataTable75[[#This Row],[asOf]]))</f>
        <v>40966</v>
      </c>
      <c r="R1110" s="19">
        <v>3.9</v>
      </c>
      <c r="S1110" s="19">
        <v>0.8</v>
      </c>
      <c r="T1110" s="19">
        <v>3.85</v>
      </c>
      <c r="V1110" s="48" t="s">
        <v>729</v>
      </c>
      <c r="W1110" s="48" t="s">
        <v>1832</v>
      </c>
      <c r="X1110" s="51">
        <v>2.89080300621736</v>
      </c>
      <c r="Z1110" s="48" t="s">
        <v>723</v>
      </c>
      <c r="AA1110" s="51">
        <v>1.0259197099999999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724</v>
      </c>
      <c r="Q1111" s="23">
        <f>DATE(YEAR(OneWeekMtgRatesDataTable75[[#This Row],[asOf]]),MONTH(OneWeekMtgRatesDataTable75[[#This Row],[asOf]]),DAY(OneWeekMtgRatesDataTable75[[#This Row],[asOf]]))</f>
        <v>40963</v>
      </c>
      <c r="R1111" s="19">
        <v>3.9</v>
      </c>
      <c r="S1111" s="19">
        <v>0.8</v>
      </c>
      <c r="T1111" s="19">
        <v>3.85</v>
      </c>
      <c r="V1111" s="48" t="s">
        <v>728</v>
      </c>
      <c r="W1111" s="48" t="s">
        <v>1832</v>
      </c>
      <c r="X1111" s="51">
        <v>2.9287236028717998</v>
      </c>
      <c r="Z1111" s="48" t="s">
        <v>722</v>
      </c>
      <c r="AA1111" s="51">
        <v>1.0259197099999999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723</v>
      </c>
      <c r="Q1112" s="23">
        <f>DATE(YEAR(OneWeekMtgRatesDataTable75[[#This Row],[asOf]]),MONTH(OneWeekMtgRatesDataTable75[[#This Row],[asOf]]),DAY(OneWeekMtgRatesDataTable75[[#This Row],[asOf]]))</f>
        <v>40962</v>
      </c>
      <c r="R1112" s="19">
        <v>3.9</v>
      </c>
      <c r="S1112" s="19">
        <v>0.8</v>
      </c>
      <c r="T1112" s="19">
        <v>3.85</v>
      </c>
      <c r="V1112" s="48" t="s">
        <v>727</v>
      </c>
      <c r="W1112" s="48" t="s">
        <v>1832</v>
      </c>
      <c r="X1112" s="51">
        <v>2.8817315463419</v>
      </c>
      <c r="Z1112" s="48" t="s">
        <v>721</v>
      </c>
      <c r="AA1112" s="51">
        <v>1.0155769219999999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722</v>
      </c>
      <c r="Q1113" s="23">
        <f>DATE(YEAR(OneWeekMtgRatesDataTable75[[#This Row],[asOf]]),MONTH(OneWeekMtgRatesDataTable75[[#This Row],[asOf]]),DAY(OneWeekMtgRatesDataTable75[[#This Row],[asOf]]))</f>
        <v>40961</v>
      </c>
      <c r="R1113" s="19">
        <v>3.95</v>
      </c>
      <c r="S1113" s="19">
        <v>0.8</v>
      </c>
      <c r="T1113" s="19">
        <v>3.9000000000000004</v>
      </c>
      <c r="V1113" s="48" t="s">
        <v>726</v>
      </c>
      <c r="W1113" s="48" t="s">
        <v>1832</v>
      </c>
      <c r="X1113" s="51">
        <v>2.8101961676338898</v>
      </c>
      <c r="Z1113" s="48" t="s">
        <v>720</v>
      </c>
      <c r="AA1113" s="51">
        <v>1.0155769219999999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721</v>
      </c>
      <c r="Q1114" s="23">
        <f>DATE(YEAR(OneWeekMtgRatesDataTable75[[#This Row],[asOf]]),MONTH(OneWeekMtgRatesDataTable75[[#This Row],[asOf]]),DAY(OneWeekMtgRatesDataTable75[[#This Row],[asOf]]))</f>
        <v>40960</v>
      </c>
      <c r="R1114" s="19">
        <v>3.95</v>
      </c>
      <c r="S1114" s="19">
        <v>0.8</v>
      </c>
      <c r="T1114" s="19">
        <v>3.9000000000000004</v>
      </c>
      <c r="V1114" s="48" t="s">
        <v>725</v>
      </c>
      <c r="W1114" s="48" t="s">
        <v>1832</v>
      </c>
      <c r="X1114" s="51">
        <v>2.8205390519018301</v>
      </c>
      <c r="Z1114" s="48" t="s">
        <v>719</v>
      </c>
      <c r="AA1114" s="51">
        <v>1.0155769219999999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720</v>
      </c>
      <c r="Q1115" s="23">
        <f>DATE(YEAR(OneWeekMtgRatesDataTable75[[#This Row],[asOf]]),MONTH(OneWeekMtgRatesDataTable75[[#This Row],[asOf]]),DAY(OneWeekMtgRatesDataTable75[[#This Row],[asOf]]))</f>
        <v>40956</v>
      </c>
      <c r="R1115" s="19">
        <v>3.95</v>
      </c>
      <c r="S1115" s="19">
        <v>0.8</v>
      </c>
      <c r="T1115" s="19">
        <v>3.9000000000000004</v>
      </c>
      <c r="V1115" s="48" t="s">
        <v>724</v>
      </c>
      <c r="W1115" s="48" t="s">
        <v>1832</v>
      </c>
      <c r="X1115" s="51">
        <v>2.8468470783678899</v>
      </c>
      <c r="Z1115" s="48" t="s">
        <v>718</v>
      </c>
      <c r="AA1115" s="51">
        <v>1.0155769219999999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719</v>
      </c>
      <c r="Q1116" s="23">
        <f>DATE(YEAR(OneWeekMtgRatesDataTable75[[#This Row],[asOf]]),MONTH(OneWeekMtgRatesDataTable75[[#This Row],[asOf]]),DAY(OneWeekMtgRatesDataTable75[[#This Row],[asOf]]))</f>
        <v>40955</v>
      </c>
      <c r="R1116" s="19">
        <v>3.95</v>
      </c>
      <c r="S1116" s="19">
        <v>0.8</v>
      </c>
      <c r="T1116" s="19">
        <v>3.9000000000000004</v>
      </c>
      <c r="V1116" s="48" t="s">
        <v>723</v>
      </c>
      <c r="W1116" s="48" t="s">
        <v>1832</v>
      </c>
      <c r="X1116" s="51">
        <v>2.8348328361096802</v>
      </c>
      <c r="Z1116" s="48" t="s">
        <v>717</v>
      </c>
      <c r="AA1116" s="51">
        <v>1.050098787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718</v>
      </c>
      <c r="Q1117" s="23">
        <f>DATE(YEAR(OneWeekMtgRatesDataTable75[[#This Row],[asOf]]),MONTH(OneWeekMtgRatesDataTable75[[#This Row],[asOf]]),DAY(OneWeekMtgRatesDataTable75[[#This Row],[asOf]]))</f>
        <v>40954</v>
      </c>
      <c r="R1117" s="19">
        <v>3.87</v>
      </c>
      <c r="S1117" s="19">
        <v>0.8</v>
      </c>
      <c r="T1117" s="19">
        <v>3.8200000000000003</v>
      </c>
      <c r="V1117" s="48" t="s">
        <v>722</v>
      </c>
      <c r="W1117" s="48" t="s">
        <v>1832</v>
      </c>
      <c r="X1117" s="51">
        <v>2.8731313932433</v>
      </c>
      <c r="Z1117" s="48" t="s">
        <v>716</v>
      </c>
      <c r="AA1117" s="51">
        <v>1.050098787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717</v>
      </c>
      <c r="Q1118" s="23">
        <f>DATE(YEAR(OneWeekMtgRatesDataTable75[[#This Row],[asOf]]),MONTH(OneWeekMtgRatesDataTable75[[#This Row],[asOf]]),DAY(OneWeekMtgRatesDataTable75[[#This Row],[asOf]]))</f>
        <v>40953</v>
      </c>
      <c r="R1118" s="19">
        <v>3.87</v>
      </c>
      <c r="S1118" s="19">
        <v>0.8</v>
      </c>
      <c r="T1118" s="19">
        <v>3.8200000000000003</v>
      </c>
      <c r="V1118" s="48" t="s">
        <v>721</v>
      </c>
      <c r="W1118" s="48" t="s">
        <v>1832</v>
      </c>
      <c r="X1118" s="51">
        <v>2.9231559987667999</v>
      </c>
      <c r="Z1118" s="48" t="s">
        <v>715</v>
      </c>
      <c r="AA1118" s="51">
        <v>1.050098787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716</v>
      </c>
      <c r="Q1119" s="23">
        <f>DATE(YEAR(OneWeekMtgRatesDataTable75[[#This Row],[asOf]]),MONTH(OneWeekMtgRatesDataTable75[[#This Row],[asOf]]),DAY(OneWeekMtgRatesDataTable75[[#This Row],[asOf]]))</f>
        <v>40952</v>
      </c>
      <c r="R1119" s="19">
        <v>3.87</v>
      </c>
      <c r="S1119" s="19">
        <v>0.8</v>
      </c>
      <c r="T1119" s="19">
        <v>3.8200000000000003</v>
      </c>
      <c r="V1119" s="48" t="s">
        <v>720</v>
      </c>
      <c r="W1119" s="48" t="s">
        <v>1832</v>
      </c>
      <c r="X1119" s="51">
        <v>2.8683607059376999</v>
      </c>
      <c r="Z1119" s="48" t="s">
        <v>714</v>
      </c>
      <c r="AA1119" s="51">
        <v>1.050098787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715</v>
      </c>
      <c r="Q1120" s="23">
        <f>DATE(YEAR(OneWeekMtgRatesDataTable75[[#This Row],[asOf]]),MONTH(OneWeekMtgRatesDataTable75[[#This Row],[asOf]]),DAY(OneWeekMtgRatesDataTable75[[#This Row],[asOf]]))</f>
        <v>40949</v>
      </c>
      <c r="R1120" s="19">
        <v>3.87</v>
      </c>
      <c r="S1120" s="19">
        <v>0.8</v>
      </c>
      <c r="T1120" s="19">
        <v>3.8200000000000003</v>
      </c>
      <c r="V1120" s="48" t="s">
        <v>719</v>
      </c>
      <c r="W1120" s="48" t="s">
        <v>1832</v>
      </c>
      <c r="X1120" s="51">
        <v>2.8316730610652701</v>
      </c>
      <c r="Z1120" s="48" t="s">
        <v>713</v>
      </c>
      <c r="AA1120" s="51">
        <v>1.050098787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714</v>
      </c>
      <c r="Q1121" s="23">
        <f>DATE(YEAR(OneWeekMtgRatesDataTable75[[#This Row],[asOf]]),MONTH(OneWeekMtgRatesDataTable75[[#This Row],[asOf]]),DAY(OneWeekMtgRatesDataTable75[[#This Row],[asOf]]))</f>
        <v>40948</v>
      </c>
      <c r="R1121" s="19">
        <v>3.87</v>
      </c>
      <c r="S1121" s="19">
        <v>0.8</v>
      </c>
      <c r="T1121" s="19">
        <v>3.8200000000000003</v>
      </c>
      <c r="V1121" s="48" t="s">
        <v>718</v>
      </c>
      <c r="W1121" s="48" t="s">
        <v>1832</v>
      </c>
      <c r="X1121" s="51">
        <v>2.78221187240857</v>
      </c>
      <c r="Z1121" s="48" t="s">
        <v>712</v>
      </c>
      <c r="AA1121" s="51">
        <v>1.0179971919999999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713</v>
      </c>
      <c r="Q1122" s="23">
        <f>DATE(YEAR(OneWeekMtgRatesDataTable75[[#This Row],[asOf]]),MONTH(OneWeekMtgRatesDataTable75[[#This Row],[asOf]]),DAY(OneWeekMtgRatesDataTable75[[#This Row],[asOf]]))</f>
        <v>40947</v>
      </c>
      <c r="R1122" s="19">
        <v>3.87</v>
      </c>
      <c r="S1122" s="19">
        <v>0.8</v>
      </c>
      <c r="T1122" s="19">
        <v>3.8200000000000003</v>
      </c>
      <c r="V1122" s="48" t="s">
        <v>717</v>
      </c>
      <c r="W1122" s="48" t="s">
        <v>1832</v>
      </c>
      <c r="X1122" s="51">
        <v>2.7668146373676499</v>
      </c>
      <c r="Z1122" s="48" t="s">
        <v>711</v>
      </c>
      <c r="AA1122" s="51">
        <v>1.0179971919999999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712</v>
      </c>
      <c r="Q1123" s="23">
        <f>DATE(YEAR(OneWeekMtgRatesDataTable75[[#This Row],[asOf]]),MONTH(OneWeekMtgRatesDataTable75[[#This Row],[asOf]]),DAY(OneWeekMtgRatesDataTable75[[#This Row],[asOf]]))</f>
        <v>40946</v>
      </c>
      <c r="R1123" s="19">
        <v>3.87</v>
      </c>
      <c r="S1123" s="19">
        <v>0.8</v>
      </c>
      <c r="T1123" s="19">
        <v>3.8200000000000003</v>
      </c>
      <c r="V1123" s="48" t="s">
        <v>716</v>
      </c>
      <c r="W1123" s="48" t="s">
        <v>1832</v>
      </c>
      <c r="X1123" s="51">
        <v>2.8174854723691301</v>
      </c>
      <c r="Z1123" s="48" t="s">
        <v>710</v>
      </c>
      <c r="AA1123" s="51">
        <v>1.0179971919999999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711</v>
      </c>
      <c r="Q1124" s="23">
        <f>DATE(YEAR(OneWeekMtgRatesDataTable75[[#This Row],[asOf]]),MONTH(OneWeekMtgRatesDataTable75[[#This Row],[asOf]]),DAY(OneWeekMtgRatesDataTable75[[#This Row],[asOf]]))</f>
        <v>40945</v>
      </c>
      <c r="R1124" s="19">
        <v>3.87</v>
      </c>
      <c r="S1124" s="19">
        <v>0.8</v>
      </c>
      <c r="T1124" s="19">
        <v>3.8200000000000003</v>
      </c>
      <c r="V1124" s="48" t="s">
        <v>715</v>
      </c>
      <c r="W1124" s="48" t="s">
        <v>1832</v>
      </c>
      <c r="X1124" s="51">
        <v>2.8097489693642799</v>
      </c>
      <c r="Z1124" s="48" t="s">
        <v>709</v>
      </c>
      <c r="AA1124" s="51">
        <v>1.0179971919999999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710</v>
      </c>
      <c r="Q1125" s="23">
        <f>DATE(YEAR(OneWeekMtgRatesDataTable75[[#This Row],[asOf]]),MONTH(OneWeekMtgRatesDataTable75[[#This Row],[asOf]]),DAY(OneWeekMtgRatesDataTable75[[#This Row],[asOf]]))</f>
        <v>40942</v>
      </c>
      <c r="R1125" s="19">
        <v>3.87</v>
      </c>
      <c r="S1125" s="19">
        <v>0.8</v>
      </c>
      <c r="T1125" s="19">
        <v>3.8200000000000003</v>
      </c>
      <c r="V1125" s="48" t="s">
        <v>714</v>
      </c>
      <c r="W1125" s="48" t="s">
        <v>1832</v>
      </c>
      <c r="X1125" s="51">
        <v>2.8458544397299299</v>
      </c>
      <c r="Z1125" s="48" t="s">
        <v>708</v>
      </c>
      <c r="AA1125" s="51">
        <v>1.0179971919999999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709</v>
      </c>
      <c r="Q1126" s="23">
        <f>DATE(YEAR(OneWeekMtgRatesDataTable75[[#This Row],[asOf]]),MONTH(OneWeekMtgRatesDataTable75[[#This Row],[asOf]]),DAY(OneWeekMtgRatesDataTable75[[#This Row],[asOf]]))</f>
        <v>40941</v>
      </c>
      <c r="R1126" s="19">
        <v>3.87</v>
      </c>
      <c r="S1126" s="19">
        <v>0.8</v>
      </c>
      <c r="T1126" s="19">
        <v>3.8200000000000003</v>
      </c>
      <c r="V1126" s="48" t="s">
        <v>713</v>
      </c>
      <c r="W1126" s="48" t="s">
        <v>1832</v>
      </c>
      <c r="X1126" s="51">
        <v>2.7670306950221799</v>
      </c>
      <c r="Z1126" s="48" t="s">
        <v>707</v>
      </c>
      <c r="AA1126" s="51">
        <v>0.94930419799999999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708</v>
      </c>
      <c r="Q1127" s="23">
        <f>DATE(YEAR(OneWeekMtgRatesDataTable75[[#This Row],[asOf]]),MONTH(OneWeekMtgRatesDataTable75[[#This Row],[asOf]]),DAY(OneWeekMtgRatesDataTable75[[#This Row],[asOf]]))</f>
        <v>40940</v>
      </c>
      <c r="R1127" s="19">
        <v>3.87</v>
      </c>
      <c r="S1127" s="19">
        <v>0.8</v>
      </c>
      <c r="T1127" s="19">
        <v>3.8200000000000003</v>
      </c>
      <c r="V1127" s="48" t="s">
        <v>712</v>
      </c>
      <c r="W1127" s="48" t="s">
        <v>1832</v>
      </c>
      <c r="X1127" s="51">
        <v>2.7946021127853302</v>
      </c>
      <c r="Z1127" s="48" t="s">
        <v>706</v>
      </c>
      <c r="AA1127" s="51">
        <v>0.94930419799999999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707</v>
      </c>
      <c r="Q1128" s="23">
        <f>DATE(YEAR(OneWeekMtgRatesDataTable75[[#This Row],[asOf]]),MONTH(OneWeekMtgRatesDataTable75[[#This Row],[asOf]]),DAY(OneWeekMtgRatesDataTable75[[#This Row],[asOf]]))</f>
        <v>40939</v>
      </c>
      <c r="R1128" s="19">
        <v>3.87</v>
      </c>
      <c r="S1128" s="19">
        <v>0.8</v>
      </c>
      <c r="T1128" s="19">
        <v>3.8200000000000003</v>
      </c>
      <c r="V1128" s="48" t="s">
        <v>711</v>
      </c>
      <c r="W1128" s="48" t="s">
        <v>1832</v>
      </c>
      <c r="X1128" s="51">
        <v>2.7613284335862098</v>
      </c>
      <c r="Z1128" s="48" t="s">
        <v>705</v>
      </c>
      <c r="AA1128" s="51">
        <v>0.94930419799999999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706</v>
      </c>
      <c r="Q1129" s="23">
        <f>DATE(YEAR(OneWeekMtgRatesDataTable75[[#This Row],[asOf]]),MONTH(OneWeekMtgRatesDataTable75[[#This Row],[asOf]]),DAY(OneWeekMtgRatesDataTable75[[#This Row],[asOf]]))</f>
        <v>40938</v>
      </c>
      <c r="R1129" s="19">
        <v>3.87</v>
      </c>
      <c r="S1129" s="19">
        <v>0.8</v>
      </c>
      <c r="T1129" s="19">
        <v>3.8200000000000003</v>
      </c>
      <c r="V1129" s="48" t="s">
        <v>710</v>
      </c>
      <c r="W1129" s="48" t="s">
        <v>1832</v>
      </c>
      <c r="X1129" s="51">
        <v>2.8101423093636502</v>
      </c>
      <c r="Z1129" s="48" t="s">
        <v>704</v>
      </c>
      <c r="AA1129" s="51">
        <v>0.94930419799999999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705</v>
      </c>
      <c r="Q1130" s="23">
        <f>DATE(YEAR(OneWeekMtgRatesDataTable75[[#This Row],[asOf]]),MONTH(OneWeekMtgRatesDataTable75[[#This Row],[asOf]]),DAY(OneWeekMtgRatesDataTable75[[#This Row],[asOf]]))</f>
        <v>40935</v>
      </c>
      <c r="R1130" s="19">
        <v>3.87</v>
      </c>
      <c r="S1130" s="19">
        <v>0.8</v>
      </c>
      <c r="T1130" s="19">
        <v>3.8200000000000003</v>
      </c>
      <c r="V1130" s="48" t="s">
        <v>709</v>
      </c>
      <c r="W1130" s="48" t="s">
        <v>1832</v>
      </c>
      <c r="X1130" s="51">
        <v>2.7164025154935398</v>
      </c>
      <c r="Z1130" s="48" t="s">
        <v>703</v>
      </c>
      <c r="AA1130" s="51">
        <v>0.94930419799999999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704</v>
      </c>
      <c r="Q1131" s="23">
        <f>DATE(YEAR(OneWeekMtgRatesDataTable75[[#This Row],[asOf]]),MONTH(OneWeekMtgRatesDataTable75[[#This Row],[asOf]]),DAY(OneWeekMtgRatesDataTable75[[#This Row],[asOf]]))</f>
        <v>40934</v>
      </c>
      <c r="R1131" s="19">
        <v>3.87</v>
      </c>
      <c r="S1131" s="19">
        <v>0.8</v>
      </c>
      <c r="T1131" s="19">
        <v>3.8200000000000003</v>
      </c>
      <c r="V1131" s="48" t="s">
        <v>708</v>
      </c>
      <c r="W1131" s="48" t="s">
        <v>1832</v>
      </c>
      <c r="X1131" s="51">
        <v>2.77294304324607</v>
      </c>
      <c r="Z1131" s="48" t="s">
        <v>702</v>
      </c>
      <c r="AA1131" s="51">
        <v>0.97144026400000005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703</v>
      </c>
      <c r="Q1132" s="23">
        <f>DATE(YEAR(OneWeekMtgRatesDataTable75[[#This Row],[asOf]]),MONTH(OneWeekMtgRatesDataTable75[[#This Row],[asOf]]),DAY(OneWeekMtgRatesDataTable75[[#This Row],[asOf]]))</f>
        <v>40933</v>
      </c>
      <c r="R1132" s="19">
        <v>3.98</v>
      </c>
      <c r="S1132" s="19">
        <v>0.7</v>
      </c>
      <c r="T1132" s="19">
        <v>3.9049999999999998</v>
      </c>
      <c r="V1132" s="48" t="s">
        <v>707</v>
      </c>
      <c r="W1132" s="48" t="s">
        <v>1832</v>
      </c>
      <c r="X1132" s="51">
        <v>2.7762952709571298</v>
      </c>
      <c r="Z1132" s="48" t="s">
        <v>701</v>
      </c>
      <c r="AA1132" s="51">
        <v>0.97144026400000005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702</v>
      </c>
      <c r="Q1133" s="23">
        <f>DATE(YEAR(OneWeekMtgRatesDataTable75[[#This Row],[asOf]]),MONTH(OneWeekMtgRatesDataTable75[[#This Row],[asOf]]),DAY(OneWeekMtgRatesDataTable75[[#This Row],[asOf]]))</f>
        <v>40932</v>
      </c>
      <c r="R1133" s="19">
        <v>3.98</v>
      </c>
      <c r="S1133" s="19">
        <v>0.7</v>
      </c>
      <c r="T1133" s="19">
        <v>3.9049999999999998</v>
      </c>
      <c r="V1133" s="48" t="s">
        <v>706</v>
      </c>
      <c r="W1133" s="48" t="s">
        <v>1832</v>
      </c>
      <c r="X1133" s="51">
        <v>2.8089477142816799</v>
      </c>
      <c r="Z1133" s="48" t="s">
        <v>700</v>
      </c>
      <c r="AA1133" s="51">
        <v>0.97144026400000005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701</v>
      </c>
      <c r="Q1134" s="23">
        <f>DATE(YEAR(OneWeekMtgRatesDataTable75[[#This Row],[asOf]]),MONTH(OneWeekMtgRatesDataTable75[[#This Row],[asOf]]),DAY(OneWeekMtgRatesDataTable75[[#This Row],[asOf]]))</f>
        <v>40931</v>
      </c>
      <c r="R1134" s="19">
        <v>3.98</v>
      </c>
      <c r="S1134" s="19">
        <v>0.7</v>
      </c>
      <c r="T1134" s="19">
        <v>3.9049999999999998</v>
      </c>
      <c r="V1134" s="48" t="s">
        <v>705</v>
      </c>
      <c r="W1134" s="48" t="s">
        <v>1832</v>
      </c>
      <c r="X1134" s="51">
        <v>2.8082441725420599</v>
      </c>
      <c r="Z1134" s="48" t="s">
        <v>699</v>
      </c>
      <c r="AA1134" s="51">
        <v>0.97144026400000005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700</v>
      </c>
      <c r="Q1135" s="23">
        <f>DATE(YEAR(OneWeekMtgRatesDataTable75[[#This Row],[asOf]]),MONTH(OneWeekMtgRatesDataTable75[[#This Row],[asOf]]),DAY(OneWeekMtgRatesDataTable75[[#This Row],[asOf]]))</f>
        <v>40928</v>
      </c>
      <c r="R1135" s="19">
        <v>3.98</v>
      </c>
      <c r="S1135" s="19">
        <v>0.7</v>
      </c>
      <c r="T1135" s="19">
        <v>3.9049999999999998</v>
      </c>
      <c r="V1135" s="48" t="s">
        <v>704</v>
      </c>
      <c r="W1135" s="48" t="s">
        <v>1832</v>
      </c>
      <c r="X1135" s="51">
        <v>2.8435838400443298</v>
      </c>
      <c r="Z1135" s="48" t="s">
        <v>698</v>
      </c>
      <c r="AA1135" s="51">
        <v>0.97144026400000005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699</v>
      </c>
      <c r="Q1136" s="23">
        <f>DATE(YEAR(OneWeekMtgRatesDataTable75[[#This Row],[asOf]]),MONTH(OneWeekMtgRatesDataTable75[[#This Row],[asOf]]),DAY(OneWeekMtgRatesDataTable75[[#This Row],[asOf]]))</f>
        <v>40927</v>
      </c>
      <c r="R1136" s="19">
        <v>3.98</v>
      </c>
      <c r="S1136" s="19">
        <v>0.7</v>
      </c>
      <c r="T1136" s="19">
        <v>3.9049999999999998</v>
      </c>
      <c r="V1136" s="48" t="s">
        <v>703</v>
      </c>
      <c r="W1136" s="48" t="s">
        <v>1832</v>
      </c>
      <c r="X1136" s="51">
        <v>2.9051562775956401</v>
      </c>
      <c r="Z1136" s="48" t="s">
        <v>697</v>
      </c>
      <c r="AA1136" s="51">
        <v>0.92604694200000004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698</v>
      </c>
      <c r="Q1137" s="23">
        <f>DATE(YEAR(OneWeekMtgRatesDataTable75[[#This Row],[asOf]]),MONTH(OneWeekMtgRatesDataTable75[[#This Row],[asOf]]),DAY(OneWeekMtgRatesDataTable75[[#This Row],[asOf]]))</f>
        <v>40926</v>
      </c>
      <c r="R1137" s="19">
        <v>3.88</v>
      </c>
      <c r="S1137" s="19">
        <v>0.8</v>
      </c>
      <c r="T1137" s="19">
        <v>3.83</v>
      </c>
      <c r="V1137" s="48" t="s">
        <v>702</v>
      </c>
      <c r="W1137" s="48" t="s">
        <v>1832</v>
      </c>
      <c r="X1137" s="51">
        <v>2.95988088830397</v>
      </c>
      <c r="Z1137" s="48" t="s">
        <v>696</v>
      </c>
      <c r="AA1137" s="51">
        <v>0.92604694200000004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697</v>
      </c>
      <c r="Q1138" s="23">
        <f>DATE(YEAR(OneWeekMtgRatesDataTable75[[#This Row],[asOf]]),MONTH(OneWeekMtgRatesDataTable75[[#This Row],[asOf]]),DAY(OneWeekMtgRatesDataTable75[[#This Row],[asOf]]))</f>
        <v>40925</v>
      </c>
      <c r="R1138" s="19">
        <v>3.88</v>
      </c>
      <c r="S1138" s="19">
        <v>0.8</v>
      </c>
      <c r="T1138" s="19">
        <v>3.83</v>
      </c>
      <c r="V1138" s="48" t="s">
        <v>701</v>
      </c>
      <c r="W1138" s="48" t="s">
        <v>1832</v>
      </c>
      <c r="X1138" s="51">
        <v>2.9725641421192601</v>
      </c>
      <c r="Z1138" s="48" t="s">
        <v>695</v>
      </c>
      <c r="AA1138" s="51">
        <v>0.92604694200000004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696</v>
      </c>
      <c r="Q1139" s="23">
        <f>DATE(YEAR(OneWeekMtgRatesDataTable75[[#This Row],[asOf]]),MONTH(OneWeekMtgRatesDataTable75[[#This Row],[asOf]]),DAY(OneWeekMtgRatesDataTable75[[#This Row],[asOf]]))</f>
        <v>40921</v>
      </c>
      <c r="R1139" s="19">
        <v>3.88</v>
      </c>
      <c r="S1139" s="19">
        <v>0.8</v>
      </c>
      <c r="T1139" s="19">
        <v>3.83</v>
      </c>
      <c r="V1139" s="48" t="s">
        <v>700</v>
      </c>
      <c r="W1139" s="48" t="s">
        <v>1832</v>
      </c>
      <c r="X1139" s="51">
        <v>2.9761108761892499</v>
      </c>
      <c r="Z1139" s="48" t="s">
        <v>694</v>
      </c>
      <c r="AA1139" s="51">
        <v>0.92604694200000004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695</v>
      </c>
      <c r="Q1140" s="23">
        <f>DATE(YEAR(OneWeekMtgRatesDataTable75[[#This Row],[asOf]]),MONTH(OneWeekMtgRatesDataTable75[[#This Row],[asOf]]),DAY(OneWeekMtgRatesDataTable75[[#This Row],[asOf]]))</f>
        <v>40920</v>
      </c>
      <c r="R1140" s="19">
        <v>3.88</v>
      </c>
      <c r="S1140" s="19">
        <v>0.8</v>
      </c>
      <c r="T1140" s="19">
        <v>3.83</v>
      </c>
      <c r="V1140" s="48" t="s">
        <v>699</v>
      </c>
      <c r="W1140" s="48" t="s">
        <v>1832</v>
      </c>
      <c r="X1140" s="51">
        <v>2.96476682464895</v>
      </c>
      <c r="Z1140" s="48" t="s">
        <v>693</v>
      </c>
      <c r="AA1140" s="51">
        <v>0.85157682199999996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694</v>
      </c>
      <c r="Q1141" s="23">
        <f>DATE(YEAR(OneWeekMtgRatesDataTable75[[#This Row],[asOf]]),MONTH(OneWeekMtgRatesDataTable75[[#This Row],[asOf]]),DAY(OneWeekMtgRatesDataTable75[[#This Row],[asOf]]))</f>
        <v>40919</v>
      </c>
      <c r="R1141" s="19">
        <v>3.89</v>
      </c>
      <c r="S1141" s="19">
        <v>0.7</v>
      </c>
      <c r="T1141" s="19">
        <v>3.8149999999999999</v>
      </c>
      <c r="V1141" s="48" t="s">
        <v>698</v>
      </c>
      <c r="W1141" s="48" t="s">
        <v>1832</v>
      </c>
      <c r="X1141" s="51">
        <v>2.9029521947901298</v>
      </c>
      <c r="Z1141" s="48" t="s">
        <v>692</v>
      </c>
      <c r="AA1141" s="51">
        <v>0.85157682199999996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693</v>
      </c>
      <c r="Q1142" s="23">
        <f>DATE(YEAR(OneWeekMtgRatesDataTable75[[#This Row],[asOf]]),MONTH(OneWeekMtgRatesDataTable75[[#This Row],[asOf]]),DAY(OneWeekMtgRatesDataTable75[[#This Row],[asOf]]))</f>
        <v>40918</v>
      </c>
      <c r="R1142" s="19">
        <v>3.89</v>
      </c>
      <c r="S1142" s="19">
        <v>0.7</v>
      </c>
      <c r="T1142" s="19">
        <v>3.8149999999999999</v>
      </c>
      <c r="V1142" s="48" t="s">
        <v>697</v>
      </c>
      <c r="W1142" s="48" t="s">
        <v>1832</v>
      </c>
      <c r="X1142" s="51">
        <v>2.86264141643864</v>
      </c>
      <c r="Z1142" s="48" t="s">
        <v>691</v>
      </c>
      <c r="AA1142" s="51">
        <v>0.85157682199999996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692</v>
      </c>
      <c r="Q1143" s="23">
        <f>DATE(YEAR(OneWeekMtgRatesDataTable75[[#This Row],[asOf]]),MONTH(OneWeekMtgRatesDataTable75[[#This Row],[asOf]]),DAY(OneWeekMtgRatesDataTable75[[#This Row],[asOf]]))</f>
        <v>40917</v>
      </c>
      <c r="R1143" s="19">
        <v>3.89</v>
      </c>
      <c r="S1143" s="19">
        <v>0.7</v>
      </c>
      <c r="T1143" s="19">
        <v>3.8149999999999999</v>
      </c>
      <c r="V1143" s="48" t="s">
        <v>696</v>
      </c>
      <c r="W1143" s="48" t="s">
        <v>1832</v>
      </c>
      <c r="X1143" s="51">
        <v>2.81630541701854</v>
      </c>
      <c r="Z1143" s="48" t="s">
        <v>690</v>
      </c>
      <c r="AA1143" s="51">
        <v>0.85157682199999996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691</v>
      </c>
      <c r="Q1144" s="23">
        <f>DATE(YEAR(OneWeekMtgRatesDataTable75[[#This Row],[asOf]]),MONTH(OneWeekMtgRatesDataTable75[[#This Row],[asOf]]),DAY(OneWeekMtgRatesDataTable75[[#This Row],[asOf]]))</f>
        <v>40914</v>
      </c>
      <c r="R1144" s="19">
        <v>3.89</v>
      </c>
      <c r="S1144" s="19">
        <v>0.7</v>
      </c>
      <c r="T1144" s="19">
        <v>3.8149999999999999</v>
      </c>
      <c r="V1144" s="48" t="s">
        <v>695</v>
      </c>
      <c r="W1144" s="48" t="s">
        <v>1832</v>
      </c>
      <c r="X1144" s="51">
        <v>2.8523399167499401</v>
      </c>
      <c r="Z1144" s="48" t="s">
        <v>689</v>
      </c>
      <c r="AA1144" s="51">
        <v>0.85157682199999996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690</v>
      </c>
      <c r="Q1145" s="23">
        <f>DATE(YEAR(OneWeekMtgRatesDataTable75[[#This Row],[asOf]]),MONTH(OneWeekMtgRatesDataTable75[[#This Row],[asOf]]),DAY(OneWeekMtgRatesDataTable75[[#This Row],[asOf]]))</f>
        <v>40913</v>
      </c>
      <c r="R1145" s="19">
        <v>3.89</v>
      </c>
      <c r="S1145" s="19">
        <v>0.7</v>
      </c>
      <c r="T1145" s="19">
        <v>3.8149999999999999</v>
      </c>
      <c r="V1145" s="48" t="s">
        <v>694</v>
      </c>
      <c r="W1145" s="48" t="s">
        <v>1832</v>
      </c>
      <c r="X1145" s="51">
        <v>2.8837720214222302</v>
      </c>
      <c r="Z1145" s="48" t="s">
        <v>688</v>
      </c>
      <c r="AA1145" s="51">
        <v>0.75824650900000001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689</v>
      </c>
      <c r="Q1146" s="23">
        <f>DATE(YEAR(OneWeekMtgRatesDataTable75[[#This Row],[asOf]]),MONTH(OneWeekMtgRatesDataTable75[[#This Row],[asOf]]),DAY(OneWeekMtgRatesDataTable75[[#This Row],[asOf]]))</f>
        <v>40912</v>
      </c>
      <c r="R1146" s="19">
        <v>3.91</v>
      </c>
      <c r="S1146" s="19">
        <v>0.8</v>
      </c>
      <c r="T1146" s="19">
        <v>3.8600000000000003</v>
      </c>
      <c r="V1146" s="48" t="s">
        <v>693</v>
      </c>
      <c r="W1146" s="48" t="s">
        <v>1832</v>
      </c>
      <c r="X1146" s="51">
        <v>2.9177878153619399</v>
      </c>
      <c r="Z1146" s="48" t="s">
        <v>687</v>
      </c>
      <c r="AA1146" s="51">
        <v>0.75824650900000001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688</v>
      </c>
      <c r="Q1147" s="23">
        <f>DATE(YEAR(OneWeekMtgRatesDataTable75[[#This Row],[asOf]]),MONTH(OneWeekMtgRatesDataTable75[[#This Row],[asOf]]),DAY(OneWeekMtgRatesDataTable75[[#This Row],[asOf]]))</f>
        <v>40911</v>
      </c>
      <c r="R1147" s="19">
        <v>3.91</v>
      </c>
      <c r="S1147" s="19">
        <v>0.8</v>
      </c>
      <c r="T1147" s="19">
        <v>3.8600000000000003</v>
      </c>
      <c r="V1147" s="48" t="s">
        <v>692</v>
      </c>
      <c r="W1147" s="48" t="s">
        <v>1832</v>
      </c>
      <c r="X1147" s="51">
        <v>2.8757178049708001</v>
      </c>
      <c r="Z1147" s="48" t="s">
        <v>686</v>
      </c>
      <c r="AA1147" s="51">
        <v>0.75824650900000001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687</v>
      </c>
      <c r="Q1148" s="23">
        <f>DATE(YEAR(OneWeekMtgRatesDataTable75[[#This Row],[asOf]]),MONTH(OneWeekMtgRatesDataTable75[[#This Row],[asOf]]),DAY(OneWeekMtgRatesDataTable75[[#This Row],[asOf]]))</f>
        <v>40907</v>
      </c>
      <c r="R1148" s="19">
        <v>3.91</v>
      </c>
      <c r="S1148" s="19">
        <v>0.8</v>
      </c>
      <c r="T1148" s="19">
        <v>3.8600000000000003</v>
      </c>
      <c r="V1148" s="48" t="s">
        <v>691</v>
      </c>
      <c r="W1148" s="48" t="s">
        <v>1832</v>
      </c>
      <c r="X1148" s="51">
        <v>2.85737725851964</v>
      </c>
      <c r="Z1148" s="48" t="s">
        <v>685</v>
      </c>
      <c r="AA1148" s="51">
        <v>0.75824650900000001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686</v>
      </c>
      <c r="Q1149" s="23">
        <f>DATE(YEAR(OneWeekMtgRatesDataTable75[[#This Row],[asOf]]),MONTH(OneWeekMtgRatesDataTable75[[#This Row],[asOf]]),DAY(OneWeekMtgRatesDataTable75[[#This Row],[asOf]]))</f>
        <v>40906</v>
      </c>
      <c r="R1149" s="19">
        <v>3.91</v>
      </c>
      <c r="S1149" s="19">
        <v>0.8</v>
      </c>
      <c r="T1149" s="19">
        <v>3.8600000000000003</v>
      </c>
      <c r="V1149" s="48" t="s">
        <v>690</v>
      </c>
      <c r="W1149" s="48" t="s">
        <v>1832</v>
      </c>
      <c r="X1149" s="51">
        <v>2.91011038878244</v>
      </c>
      <c r="Z1149" s="48" t="s">
        <v>684</v>
      </c>
      <c r="AA1149" s="51">
        <v>0.79175926799999996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685</v>
      </c>
      <c r="Q1150" s="23">
        <f>DATE(YEAR(OneWeekMtgRatesDataTable75[[#This Row],[asOf]]),MONTH(OneWeekMtgRatesDataTable75[[#This Row],[asOf]]),DAY(OneWeekMtgRatesDataTable75[[#This Row],[asOf]]))</f>
        <v>40905</v>
      </c>
      <c r="R1150" s="19">
        <v>3.95</v>
      </c>
      <c r="S1150" s="19">
        <v>0.7</v>
      </c>
      <c r="T1150" s="19">
        <v>3.875</v>
      </c>
      <c r="V1150" s="48" t="s">
        <v>689</v>
      </c>
      <c r="W1150" s="48" t="s">
        <v>1832</v>
      </c>
      <c r="X1150" s="51">
        <v>2.99570308668953</v>
      </c>
      <c r="Z1150" s="48" t="s">
        <v>683</v>
      </c>
      <c r="AA1150" s="51">
        <v>0.79175926799999996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684</v>
      </c>
      <c r="Q1151" s="23">
        <f>DATE(YEAR(OneWeekMtgRatesDataTable75[[#This Row],[asOf]]),MONTH(OneWeekMtgRatesDataTable75[[#This Row],[asOf]]),DAY(OneWeekMtgRatesDataTable75[[#This Row],[asOf]]))</f>
        <v>40904</v>
      </c>
      <c r="R1151" s="19">
        <v>3.95</v>
      </c>
      <c r="S1151" s="19">
        <v>0.7</v>
      </c>
      <c r="T1151" s="19">
        <v>3.875</v>
      </c>
      <c r="V1151" s="48" t="s">
        <v>688</v>
      </c>
      <c r="W1151" s="48" t="s">
        <v>1832</v>
      </c>
      <c r="X1151" s="51">
        <v>2.9922052054175601</v>
      </c>
      <c r="Z1151" s="48" t="s">
        <v>682</v>
      </c>
      <c r="AA1151" s="51">
        <v>0.79175926799999996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683</v>
      </c>
      <c r="Q1152" s="23">
        <f>DATE(YEAR(OneWeekMtgRatesDataTable75[[#This Row],[asOf]]),MONTH(OneWeekMtgRatesDataTable75[[#This Row],[asOf]]),DAY(OneWeekMtgRatesDataTable75[[#This Row],[asOf]]))</f>
        <v>40900</v>
      </c>
      <c r="R1152" s="19">
        <v>3.95</v>
      </c>
      <c r="S1152" s="19">
        <v>0.7</v>
      </c>
      <c r="T1152" s="19">
        <v>3.875</v>
      </c>
      <c r="V1152" s="48" t="s">
        <v>687</v>
      </c>
      <c r="W1152" s="48" t="s">
        <v>1832</v>
      </c>
      <c r="X1152" s="51">
        <v>3.0169008574553802</v>
      </c>
      <c r="Z1152" s="48" t="s">
        <v>681</v>
      </c>
      <c r="AA1152" s="51">
        <v>0.79175926799999996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682</v>
      </c>
      <c r="Q1153" s="23">
        <f>DATE(YEAR(OneWeekMtgRatesDataTable75[[#This Row],[asOf]]),MONTH(OneWeekMtgRatesDataTable75[[#This Row],[asOf]]),DAY(OneWeekMtgRatesDataTable75[[#This Row],[asOf]]))</f>
        <v>40899</v>
      </c>
      <c r="R1153" s="19">
        <v>3.95</v>
      </c>
      <c r="S1153" s="19">
        <v>0.7</v>
      </c>
      <c r="T1153" s="19">
        <v>3.875</v>
      </c>
      <c r="V1153" s="48" t="s">
        <v>686</v>
      </c>
      <c r="W1153" s="48" t="s">
        <v>1832</v>
      </c>
      <c r="X1153" s="51">
        <v>3.02888356326996</v>
      </c>
      <c r="Z1153" s="48" t="s">
        <v>680</v>
      </c>
      <c r="AA1153" s="51">
        <v>0.80668367299999999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681</v>
      </c>
      <c r="Q1154" s="23">
        <f>DATE(YEAR(OneWeekMtgRatesDataTable75[[#This Row],[asOf]]),MONTH(OneWeekMtgRatesDataTable75[[#This Row],[asOf]]),DAY(OneWeekMtgRatesDataTable75[[#This Row],[asOf]]))</f>
        <v>40898</v>
      </c>
      <c r="R1154" s="19">
        <v>3.91</v>
      </c>
      <c r="S1154" s="19">
        <v>0.7</v>
      </c>
      <c r="T1154" s="19">
        <v>3.835</v>
      </c>
      <c r="V1154" s="48" t="s">
        <v>685</v>
      </c>
      <c r="W1154" s="48" t="s">
        <v>1832</v>
      </c>
      <c r="X1154" s="51">
        <v>3.0482411283834199</v>
      </c>
      <c r="Z1154" s="48" t="s">
        <v>679</v>
      </c>
      <c r="AA1154" s="51">
        <v>0.80668367299999999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680</v>
      </c>
      <c r="Q1155" s="23">
        <f>DATE(YEAR(OneWeekMtgRatesDataTable75[[#This Row],[asOf]]),MONTH(OneWeekMtgRatesDataTable75[[#This Row],[asOf]]),DAY(OneWeekMtgRatesDataTable75[[#This Row],[asOf]]))</f>
        <v>40897</v>
      </c>
      <c r="R1155" s="19">
        <v>3.91</v>
      </c>
      <c r="S1155" s="19">
        <v>0.7</v>
      </c>
      <c r="T1155" s="19">
        <v>3.835</v>
      </c>
      <c r="V1155" s="48" t="s">
        <v>684</v>
      </c>
      <c r="W1155" s="48" t="s">
        <v>1832</v>
      </c>
      <c r="X1155" s="51">
        <v>3.1525411390212401</v>
      </c>
      <c r="Z1155" s="48" t="s">
        <v>678</v>
      </c>
      <c r="AA1155" s="51">
        <v>0.80668367299999999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679</v>
      </c>
      <c r="Q1156" s="23">
        <f>DATE(YEAR(OneWeekMtgRatesDataTable75[[#This Row],[asOf]]),MONTH(OneWeekMtgRatesDataTable75[[#This Row],[asOf]]),DAY(OneWeekMtgRatesDataTable75[[#This Row],[asOf]]))</f>
        <v>40896</v>
      </c>
      <c r="R1156" s="19">
        <v>3.91</v>
      </c>
      <c r="S1156" s="19">
        <v>0.7</v>
      </c>
      <c r="T1156" s="19">
        <v>3.835</v>
      </c>
      <c r="V1156" s="48" t="s">
        <v>683</v>
      </c>
      <c r="W1156" s="48" t="s">
        <v>1832</v>
      </c>
      <c r="X1156" s="51">
        <v>3.1705040957732402</v>
      </c>
      <c r="Z1156" s="48" t="s">
        <v>677</v>
      </c>
      <c r="AA1156" s="51">
        <v>0.80668367299999999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678</v>
      </c>
      <c r="Q1157" s="23">
        <f>DATE(YEAR(OneWeekMtgRatesDataTable75[[#This Row],[asOf]]),MONTH(OneWeekMtgRatesDataTable75[[#This Row],[asOf]]),DAY(OneWeekMtgRatesDataTable75[[#This Row],[asOf]]))</f>
        <v>40893</v>
      </c>
      <c r="R1157" s="19">
        <v>3.91</v>
      </c>
      <c r="S1157" s="19">
        <v>0.7</v>
      </c>
      <c r="T1157" s="19">
        <v>3.835</v>
      </c>
      <c r="V1157" s="48" t="s">
        <v>682</v>
      </c>
      <c r="W1157" s="48" t="s">
        <v>1832</v>
      </c>
      <c r="X1157" s="51">
        <v>3.0957276012742798</v>
      </c>
      <c r="Z1157" s="48" t="s">
        <v>676</v>
      </c>
      <c r="AA1157" s="51">
        <v>0.80668367299999999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677</v>
      </c>
      <c r="Q1158" s="23">
        <f>DATE(YEAR(OneWeekMtgRatesDataTable75[[#This Row],[asOf]]),MONTH(OneWeekMtgRatesDataTable75[[#This Row],[asOf]]),DAY(OneWeekMtgRatesDataTable75[[#This Row],[asOf]]))</f>
        <v>40892</v>
      </c>
      <c r="R1158" s="19">
        <v>3.91</v>
      </c>
      <c r="S1158" s="19">
        <v>0.7</v>
      </c>
      <c r="T1158" s="19">
        <v>3.835</v>
      </c>
      <c r="V1158" s="48" t="s">
        <v>681</v>
      </c>
      <c r="W1158" s="48" t="s">
        <v>1832</v>
      </c>
      <c r="X1158" s="51">
        <v>3.1062066033086002</v>
      </c>
      <c r="Z1158" s="48" t="s">
        <v>675</v>
      </c>
      <c r="AA1158" s="51">
        <v>0.761209786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676</v>
      </c>
      <c r="Q1159" s="23">
        <f>DATE(YEAR(OneWeekMtgRatesDataTable75[[#This Row],[asOf]]),MONTH(OneWeekMtgRatesDataTable75[[#This Row],[asOf]]),DAY(OneWeekMtgRatesDataTable75[[#This Row],[asOf]]))</f>
        <v>40891</v>
      </c>
      <c r="R1159" s="19">
        <v>3.94</v>
      </c>
      <c r="S1159" s="19">
        <v>0.8</v>
      </c>
      <c r="T1159" s="19">
        <v>3.89</v>
      </c>
      <c r="V1159" s="48" t="s">
        <v>680</v>
      </c>
      <c r="W1159" s="48" t="s">
        <v>1832</v>
      </c>
      <c r="X1159" s="51">
        <v>3.0682671271732498</v>
      </c>
      <c r="Z1159" s="48" t="s">
        <v>674</v>
      </c>
      <c r="AA1159" s="51">
        <v>0.761209786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675</v>
      </c>
      <c r="Q1160" s="23">
        <f>DATE(YEAR(OneWeekMtgRatesDataTable75[[#This Row],[asOf]]),MONTH(OneWeekMtgRatesDataTable75[[#This Row],[asOf]]),DAY(OneWeekMtgRatesDataTable75[[#This Row],[asOf]]))</f>
        <v>40890</v>
      </c>
      <c r="R1160" s="19">
        <v>3.94</v>
      </c>
      <c r="S1160" s="19">
        <v>0.8</v>
      </c>
      <c r="T1160" s="19">
        <v>3.89</v>
      </c>
      <c r="V1160" s="48" t="s">
        <v>679</v>
      </c>
      <c r="W1160" s="48" t="s">
        <v>1832</v>
      </c>
      <c r="X1160" s="51">
        <v>2.9894475753554</v>
      </c>
      <c r="Z1160" s="48" t="s">
        <v>673</v>
      </c>
      <c r="AA1160" s="51">
        <v>0.761209786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674</v>
      </c>
      <c r="Q1161" s="23">
        <f>DATE(YEAR(OneWeekMtgRatesDataTable75[[#This Row],[asOf]]),MONTH(OneWeekMtgRatesDataTable75[[#This Row],[asOf]]),DAY(OneWeekMtgRatesDataTable75[[#This Row],[asOf]]))</f>
        <v>40889</v>
      </c>
      <c r="R1161" s="19">
        <v>3.94</v>
      </c>
      <c r="S1161" s="19">
        <v>0.8</v>
      </c>
      <c r="T1161" s="19">
        <v>3.89</v>
      </c>
      <c r="V1161" s="48" t="s">
        <v>678</v>
      </c>
      <c r="W1161" s="48" t="s">
        <v>1832</v>
      </c>
      <c r="X1161" s="51">
        <v>3.0010367845375399</v>
      </c>
      <c r="Z1161" s="48" t="s">
        <v>672</v>
      </c>
      <c r="AA1161" s="51">
        <v>0.761209786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673</v>
      </c>
      <c r="Q1162" s="23">
        <f>DATE(YEAR(OneWeekMtgRatesDataTable75[[#This Row],[asOf]]),MONTH(OneWeekMtgRatesDataTable75[[#This Row],[asOf]]),DAY(OneWeekMtgRatesDataTable75[[#This Row],[asOf]]))</f>
        <v>40886</v>
      </c>
      <c r="R1162" s="19">
        <v>3.94</v>
      </c>
      <c r="S1162" s="19">
        <v>0.8</v>
      </c>
      <c r="T1162" s="19">
        <v>3.89</v>
      </c>
      <c r="V1162" s="48" t="s">
        <v>677</v>
      </c>
      <c r="W1162" s="48" t="s">
        <v>1832</v>
      </c>
      <c r="X1162" s="51">
        <v>3.0512455688630302</v>
      </c>
      <c r="Z1162" s="48" t="s">
        <v>671</v>
      </c>
      <c r="AA1162" s="51">
        <v>0.761209786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672</v>
      </c>
      <c r="Q1163" s="23">
        <f>DATE(YEAR(OneWeekMtgRatesDataTable75[[#This Row],[asOf]]),MONTH(OneWeekMtgRatesDataTable75[[#This Row],[asOf]]),DAY(OneWeekMtgRatesDataTable75[[#This Row],[asOf]]))</f>
        <v>40885</v>
      </c>
      <c r="R1163" s="19">
        <v>3.94</v>
      </c>
      <c r="S1163" s="19">
        <v>0.8</v>
      </c>
      <c r="T1163" s="19">
        <v>3.89</v>
      </c>
      <c r="V1163" s="48" t="s">
        <v>676</v>
      </c>
      <c r="W1163" s="48" t="s">
        <v>1832</v>
      </c>
      <c r="X1163" s="51">
        <v>3.0099010383254599</v>
      </c>
      <c r="Z1163" s="48" t="s">
        <v>670</v>
      </c>
      <c r="AA1163" s="51">
        <v>0.73271176400000004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671</v>
      </c>
      <c r="Q1164" s="23">
        <f>DATE(YEAR(OneWeekMtgRatesDataTable75[[#This Row],[asOf]]),MONTH(OneWeekMtgRatesDataTable75[[#This Row],[asOf]]),DAY(OneWeekMtgRatesDataTable75[[#This Row],[asOf]]))</f>
        <v>40884</v>
      </c>
      <c r="R1164" s="19">
        <v>3.99</v>
      </c>
      <c r="S1164" s="19">
        <v>0.7</v>
      </c>
      <c r="T1164" s="19">
        <v>3.915</v>
      </c>
      <c r="V1164" s="48" t="s">
        <v>675</v>
      </c>
      <c r="W1164" s="48" t="s">
        <v>1832</v>
      </c>
      <c r="X1164" s="51">
        <v>3.0836009703649698</v>
      </c>
      <c r="Z1164" s="48" t="s">
        <v>669</v>
      </c>
      <c r="AA1164" s="51">
        <v>0.73271176400000004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670</v>
      </c>
      <c r="Q1165" s="23">
        <f>DATE(YEAR(OneWeekMtgRatesDataTable75[[#This Row],[asOf]]),MONTH(OneWeekMtgRatesDataTable75[[#This Row],[asOf]]),DAY(OneWeekMtgRatesDataTable75[[#This Row],[asOf]]))</f>
        <v>40883</v>
      </c>
      <c r="R1165" s="19">
        <v>3.99</v>
      </c>
      <c r="S1165" s="19">
        <v>0.7</v>
      </c>
      <c r="T1165" s="19">
        <v>3.915</v>
      </c>
      <c r="V1165" s="48" t="s">
        <v>674</v>
      </c>
      <c r="W1165" s="48" t="s">
        <v>1832</v>
      </c>
      <c r="X1165" s="51">
        <v>3.12818591225721</v>
      </c>
      <c r="Z1165" s="48" t="s">
        <v>668</v>
      </c>
      <c r="AA1165" s="51">
        <v>0.73271176400000004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669</v>
      </c>
      <c r="Q1166" s="23">
        <f>DATE(YEAR(OneWeekMtgRatesDataTable75[[#This Row],[asOf]]),MONTH(OneWeekMtgRatesDataTable75[[#This Row],[asOf]]),DAY(OneWeekMtgRatesDataTable75[[#This Row],[asOf]]))</f>
        <v>40882</v>
      </c>
      <c r="R1166" s="19">
        <v>3.99</v>
      </c>
      <c r="S1166" s="19">
        <v>0.7</v>
      </c>
      <c r="T1166" s="19">
        <v>3.915</v>
      </c>
      <c r="V1166" s="48" t="s">
        <v>673</v>
      </c>
      <c r="W1166" s="48" t="s">
        <v>1832</v>
      </c>
      <c r="X1166" s="51">
        <v>3.13668507715898</v>
      </c>
      <c r="Z1166" s="48" t="s">
        <v>667</v>
      </c>
      <c r="AA1166" s="51">
        <v>0.73271176400000004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668</v>
      </c>
      <c r="Q1167" s="23">
        <f>DATE(YEAR(OneWeekMtgRatesDataTable75[[#This Row],[asOf]]),MONTH(OneWeekMtgRatesDataTable75[[#This Row],[asOf]]),DAY(OneWeekMtgRatesDataTable75[[#This Row],[asOf]]))</f>
        <v>40879</v>
      </c>
      <c r="R1167" s="19">
        <v>3.99</v>
      </c>
      <c r="S1167" s="19">
        <v>0.7</v>
      </c>
      <c r="T1167" s="19">
        <v>3.915</v>
      </c>
      <c r="V1167" s="48" t="s">
        <v>672</v>
      </c>
      <c r="W1167" s="48" t="s">
        <v>1832</v>
      </c>
      <c r="X1167" s="51">
        <v>3.0582086355581701</v>
      </c>
      <c r="Z1167" s="48" t="s">
        <v>666</v>
      </c>
      <c r="AA1167" s="51">
        <v>0.73271176400000004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667</v>
      </c>
      <c r="Q1168" s="23">
        <f>DATE(YEAR(OneWeekMtgRatesDataTable75[[#This Row],[asOf]]),MONTH(OneWeekMtgRatesDataTable75[[#This Row],[asOf]]),DAY(OneWeekMtgRatesDataTable75[[#This Row],[asOf]]))</f>
        <v>40878</v>
      </c>
      <c r="R1168" s="19">
        <v>3.99</v>
      </c>
      <c r="S1168" s="19">
        <v>0.7</v>
      </c>
      <c r="T1168" s="19">
        <v>3.915</v>
      </c>
      <c r="V1168" s="48" t="s">
        <v>671</v>
      </c>
      <c r="W1168" s="48" t="s">
        <v>1832</v>
      </c>
      <c r="X1168" s="51">
        <v>3.0901166558694499</v>
      </c>
      <c r="Z1168" s="48" t="s">
        <v>665</v>
      </c>
      <c r="AA1168" s="51">
        <v>0.73638915699999996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666</v>
      </c>
      <c r="Q1169" s="23">
        <f>DATE(YEAR(OneWeekMtgRatesDataTable75[[#This Row],[asOf]]),MONTH(OneWeekMtgRatesDataTable75[[#This Row],[asOf]]),DAY(OneWeekMtgRatesDataTable75[[#This Row],[asOf]]))</f>
        <v>40877</v>
      </c>
      <c r="R1169" s="19">
        <v>4</v>
      </c>
      <c r="S1169" s="19">
        <v>0.7</v>
      </c>
      <c r="T1169" s="19">
        <v>3.9249999999999998</v>
      </c>
      <c r="V1169" s="48" t="s">
        <v>670</v>
      </c>
      <c r="W1169" s="48" t="s">
        <v>1832</v>
      </c>
      <c r="X1169" s="51">
        <v>3.1701948375886699</v>
      </c>
      <c r="Z1169" s="48" t="s">
        <v>664</v>
      </c>
      <c r="AA1169" s="51">
        <v>0.73638915699999996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665</v>
      </c>
      <c r="Q1170" s="23">
        <f>DATE(YEAR(OneWeekMtgRatesDataTable75[[#This Row],[asOf]]),MONTH(OneWeekMtgRatesDataTable75[[#This Row],[asOf]]),DAY(OneWeekMtgRatesDataTable75[[#This Row],[asOf]]))</f>
        <v>40876</v>
      </c>
      <c r="R1170" s="19">
        <v>4</v>
      </c>
      <c r="S1170" s="19">
        <v>0.7</v>
      </c>
      <c r="T1170" s="19">
        <v>3.9249999999999998</v>
      </c>
      <c r="V1170" s="48" t="s">
        <v>669</v>
      </c>
      <c r="W1170" s="48" t="s">
        <v>1832</v>
      </c>
      <c r="X1170" s="51">
        <v>3.1564944605964</v>
      </c>
      <c r="Z1170" s="48" t="s">
        <v>663</v>
      </c>
      <c r="AA1170" s="51">
        <v>0.73638915699999996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664</v>
      </c>
      <c r="Q1171" s="23">
        <f>DATE(YEAR(OneWeekMtgRatesDataTable75[[#This Row],[asOf]]),MONTH(OneWeekMtgRatesDataTable75[[#This Row],[asOf]]),DAY(OneWeekMtgRatesDataTable75[[#This Row],[asOf]]))</f>
        <v>40875</v>
      </c>
      <c r="R1171" s="19">
        <v>4</v>
      </c>
      <c r="S1171" s="19">
        <v>0.7</v>
      </c>
      <c r="T1171" s="19">
        <v>3.9249999999999998</v>
      </c>
      <c r="V1171" s="48" t="s">
        <v>668</v>
      </c>
      <c r="W1171" s="48" t="s">
        <v>1832</v>
      </c>
      <c r="X1171" s="51">
        <v>3.1429302987422898</v>
      </c>
      <c r="Z1171" s="48" t="s">
        <v>662</v>
      </c>
      <c r="AA1171" s="51">
        <v>0.73638915699999996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663</v>
      </c>
      <c r="Q1172" s="23">
        <f>DATE(YEAR(OneWeekMtgRatesDataTable75[[#This Row],[asOf]]),MONTH(OneWeekMtgRatesDataTable75[[#This Row],[asOf]]),DAY(OneWeekMtgRatesDataTable75[[#This Row],[asOf]]))</f>
        <v>40872</v>
      </c>
      <c r="R1172" s="19">
        <v>4</v>
      </c>
      <c r="S1172" s="19">
        <v>0.7</v>
      </c>
      <c r="T1172" s="19">
        <v>3.9249999999999998</v>
      </c>
      <c r="V1172" s="48" t="s">
        <v>667</v>
      </c>
      <c r="W1172" s="48" t="s">
        <v>1832</v>
      </c>
      <c r="X1172" s="51">
        <v>3.2092148157425902</v>
      </c>
      <c r="Z1172" s="48" t="s">
        <v>661</v>
      </c>
      <c r="AA1172" s="51">
        <v>0.72230434499999996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662</v>
      </c>
      <c r="Q1173" s="23">
        <f>DATE(YEAR(OneWeekMtgRatesDataTable75[[#This Row],[asOf]]),MONTH(OneWeekMtgRatesDataTable75[[#This Row],[asOf]]),DAY(OneWeekMtgRatesDataTable75[[#This Row],[asOf]]))</f>
        <v>40870</v>
      </c>
      <c r="R1173" s="19">
        <v>3.98</v>
      </c>
      <c r="S1173" s="19">
        <v>0.7</v>
      </c>
      <c r="T1173" s="19">
        <v>3.9049999999999998</v>
      </c>
      <c r="V1173" s="48" t="s">
        <v>666</v>
      </c>
      <c r="W1173" s="48" t="s">
        <v>1832</v>
      </c>
      <c r="X1173" s="51">
        <v>3.1770193190764999</v>
      </c>
      <c r="Z1173" s="48" t="s">
        <v>660</v>
      </c>
      <c r="AA1173" s="51">
        <v>0.72230434499999996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661</v>
      </c>
      <c r="Q1174" s="23">
        <f>DATE(YEAR(OneWeekMtgRatesDataTable75[[#This Row],[asOf]]),MONTH(OneWeekMtgRatesDataTable75[[#This Row],[asOf]]),DAY(OneWeekMtgRatesDataTable75[[#This Row],[asOf]]))</f>
        <v>40869</v>
      </c>
      <c r="R1174" s="19">
        <v>3.98</v>
      </c>
      <c r="S1174" s="19">
        <v>0.7</v>
      </c>
      <c r="T1174" s="19">
        <v>3.9049999999999998</v>
      </c>
      <c r="V1174" s="48" t="s">
        <v>665</v>
      </c>
      <c r="W1174" s="48" t="s">
        <v>1832</v>
      </c>
      <c r="X1174" s="51">
        <v>3.18160535509739</v>
      </c>
      <c r="Z1174" s="48" t="s">
        <v>659</v>
      </c>
      <c r="AA1174" s="51">
        <v>0.72230434499999996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660</v>
      </c>
      <c r="Q1175" s="23">
        <f>DATE(YEAR(OneWeekMtgRatesDataTable75[[#This Row],[asOf]]),MONTH(OneWeekMtgRatesDataTable75[[#This Row],[asOf]]),DAY(OneWeekMtgRatesDataTable75[[#This Row],[asOf]]))</f>
        <v>40868</v>
      </c>
      <c r="R1175" s="19">
        <v>3.98</v>
      </c>
      <c r="S1175" s="19">
        <v>0.7</v>
      </c>
      <c r="T1175" s="19">
        <v>3.9049999999999998</v>
      </c>
      <c r="V1175" s="48" t="s">
        <v>664</v>
      </c>
      <c r="W1175" s="48" t="s">
        <v>1832</v>
      </c>
      <c r="X1175" s="51">
        <v>3.1879027130286501</v>
      </c>
      <c r="Z1175" s="48" t="s">
        <v>658</v>
      </c>
      <c r="AA1175" s="51">
        <v>0.72230434499999996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659</v>
      </c>
      <c r="Q1176" s="23">
        <f>DATE(YEAR(OneWeekMtgRatesDataTable75[[#This Row],[asOf]]),MONTH(OneWeekMtgRatesDataTable75[[#This Row],[asOf]]),DAY(OneWeekMtgRatesDataTable75[[#This Row],[asOf]]))</f>
        <v>40865</v>
      </c>
      <c r="R1176" s="19">
        <v>3.98</v>
      </c>
      <c r="S1176" s="19">
        <v>0.7</v>
      </c>
      <c r="T1176" s="19">
        <v>3.9049999999999998</v>
      </c>
      <c r="V1176" s="48" t="s">
        <v>663</v>
      </c>
      <c r="W1176" s="48" t="s">
        <v>1832</v>
      </c>
      <c r="X1176" s="51">
        <v>3.2226255567609399</v>
      </c>
      <c r="Z1176" s="48" t="s">
        <v>657</v>
      </c>
      <c r="AA1176" s="51">
        <v>0.72230434499999996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658</v>
      </c>
      <c r="Q1177" s="23">
        <f>DATE(YEAR(OneWeekMtgRatesDataTable75[[#This Row],[asOf]]),MONTH(OneWeekMtgRatesDataTable75[[#This Row],[asOf]]),DAY(OneWeekMtgRatesDataTable75[[#This Row],[asOf]]))</f>
        <v>40864</v>
      </c>
      <c r="R1177" s="19">
        <v>3.98</v>
      </c>
      <c r="S1177" s="19">
        <v>0.7</v>
      </c>
      <c r="T1177" s="19">
        <v>3.9049999999999998</v>
      </c>
      <c r="V1177" s="48" t="s">
        <v>662</v>
      </c>
      <c r="W1177" s="48" t="s">
        <v>1832</v>
      </c>
      <c r="X1177" s="51">
        <v>3.1451663238468299</v>
      </c>
      <c r="Z1177" s="48" t="s">
        <v>656</v>
      </c>
      <c r="AA1177" s="51">
        <v>0.75895472900000005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657</v>
      </c>
      <c r="Q1178" s="23">
        <f>DATE(YEAR(OneWeekMtgRatesDataTable75[[#This Row],[asOf]]),MONTH(OneWeekMtgRatesDataTable75[[#This Row],[asOf]]),DAY(OneWeekMtgRatesDataTable75[[#This Row],[asOf]]))</f>
        <v>40863</v>
      </c>
      <c r="R1178" s="19">
        <v>4</v>
      </c>
      <c r="S1178" s="19">
        <v>0.7</v>
      </c>
      <c r="T1178" s="19">
        <v>3.9249999999999998</v>
      </c>
      <c r="V1178" s="48" t="s">
        <v>661</v>
      </c>
      <c r="W1178" s="48" t="s">
        <v>1832</v>
      </c>
      <c r="X1178" s="51">
        <v>3.1441680368371498</v>
      </c>
      <c r="Z1178" s="48" t="s">
        <v>655</v>
      </c>
      <c r="AA1178" s="51">
        <v>0.75895472900000005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656</v>
      </c>
      <c r="Q1179" s="23">
        <f>DATE(YEAR(OneWeekMtgRatesDataTable75[[#This Row],[asOf]]),MONTH(OneWeekMtgRatesDataTable75[[#This Row],[asOf]]),DAY(OneWeekMtgRatesDataTable75[[#This Row],[asOf]]))</f>
        <v>40862</v>
      </c>
      <c r="R1179" s="19">
        <v>4</v>
      </c>
      <c r="S1179" s="19">
        <v>0.7</v>
      </c>
      <c r="T1179" s="19">
        <v>3.9249999999999998</v>
      </c>
      <c r="V1179" s="48" t="s">
        <v>660</v>
      </c>
      <c r="W1179" s="48" t="s">
        <v>1832</v>
      </c>
      <c r="X1179" s="51">
        <v>3.1766805050266198</v>
      </c>
      <c r="Z1179" s="48" t="s">
        <v>654</v>
      </c>
      <c r="AA1179" s="51">
        <v>0.75895472900000005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655</v>
      </c>
      <c r="Q1180" s="23">
        <f>DATE(YEAR(OneWeekMtgRatesDataTable75[[#This Row],[asOf]]),MONTH(OneWeekMtgRatesDataTable75[[#This Row],[asOf]]),DAY(OneWeekMtgRatesDataTable75[[#This Row],[asOf]]))</f>
        <v>40861</v>
      </c>
      <c r="R1180" s="19">
        <v>4</v>
      </c>
      <c r="S1180" s="19">
        <v>0.7</v>
      </c>
      <c r="T1180" s="19">
        <v>3.9249999999999998</v>
      </c>
      <c r="V1180" s="48" t="s">
        <v>659</v>
      </c>
      <c r="W1180" s="48" t="s">
        <v>1832</v>
      </c>
      <c r="X1180" s="51">
        <v>3.2133365381632499</v>
      </c>
      <c r="Z1180" s="48" t="s">
        <v>653</v>
      </c>
      <c r="AA1180" s="51">
        <v>0.75895472900000005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654</v>
      </c>
      <c r="Q1181" s="23">
        <f>DATE(YEAR(OneWeekMtgRatesDataTable75[[#This Row],[asOf]]),MONTH(OneWeekMtgRatesDataTable75[[#This Row],[asOf]]),DAY(OneWeekMtgRatesDataTable75[[#This Row],[asOf]]))</f>
        <v>40857</v>
      </c>
      <c r="R1181" s="19">
        <v>4</v>
      </c>
      <c r="S1181" s="19">
        <v>0.7</v>
      </c>
      <c r="T1181" s="19">
        <v>3.9249999999999998</v>
      </c>
      <c r="V1181" s="48" t="s">
        <v>658</v>
      </c>
      <c r="W1181" s="48" t="s">
        <v>1832</v>
      </c>
      <c r="X1181" s="51">
        <v>3.1637028117931498</v>
      </c>
      <c r="Z1181" s="48" t="s">
        <v>652</v>
      </c>
      <c r="AA1181" s="51">
        <v>0.66078835499999999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653</v>
      </c>
      <c r="Q1182" s="23">
        <f>DATE(YEAR(OneWeekMtgRatesDataTable75[[#This Row],[asOf]]),MONTH(OneWeekMtgRatesDataTable75[[#This Row],[asOf]]),DAY(OneWeekMtgRatesDataTable75[[#This Row],[asOf]]))</f>
        <v>40856</v>
      </c>
      <c r="R1182" s="19">
        <v>3.99</v>
      </c>
      <c r="S1182" s="19">
        <v>0.7</v>
      </c>
      <c r="T1182" s="19">
        <v>3.915</v>
      </c>
      <c r="V1182" s="48" t="s">
        <v>657</v>
      </c>
      <c r="W1182" s="48" t="s">
        <v>1832</v>
      </c>
      <c r="X1182" s="51">
        <v>3.2014386947341</v>
      </c>
      <c r="Z1182" s="48" t="s">
        <v>651</v>
      </c>
      <c r="AA1182" s="51">
        <v>0.66078835499999999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652</v>
      </c>
      <c r="Q1183" s="23">
        <f>DATE(YEAR(OneWeekMtgRatesDataTable75[[#This Row],[asOf]]),MONTH(OneWeekMtgRatesDataTable75[[#This Row],[asOf]]),DAY(OneWeekMtgRatesDataTable75[[#This Row],[asOf]]))</f>
        <v>40855</v>
      </c>
      <c r="R1183" s="19">
        <v>3.99</v>
      </c>
      <c r="S1183" s="19">
        <v>0.7</v>
      </c>
      <c r="T1183" s="19">
        <v>3.915</v>
      </c>
      <c r="V1183" s="48" t="s">
        <v>656</v>
      </c>
      <c r="W1183" s="48" t="s">
        <v>1832</v>
      </c>
      <c r="X1183" s="51">
        <v>3.21923846967334</v>
      </c>
      <c r="Z1183" s="48" t="s">
        <v>650</v>
      </c>
      <c r="AA1183" s="51">
        <v>0.66078835499999999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651</v>
      </c>
      <c r="Q1184" s="23">
        <f>DATE(YEAR(OneWeekMtgRatesDataTable75[[#This Row],[asOf]]),MONTH(OneWeekMtgRatesDataTable75[[#This Row],[asOf]]),DAY(OneWeekMtgRatesDataTable75[[#This Row],[asOf]]))</f>
        <v>40854</v>
      </c>
      <c r="R1184" s="19">
        <v>3.99</v>
      </c>
      <c r="S1184" s="19">
        <v>0.7</v>
      </c>
      <c r="T1184" s="19">
        <v>3.915</v>
      </c>
      <c r="V1184" s="48" t="s">
        <v>655</v>
      </c>
      <c r="W1184" s="48" t="s">
        <v>1832</v>
      </c>
      <c r="X1184" s="51">
        <v>3.1932759720766599</v>
      </c>
      <c r="Z1184" s="48" t="s">
        <v>649</v>
      </c>
      <c r="AA1184" s="51">
        <v>0.66078835499999999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650</v>
      </c>
      <c r="Q1185" s="23">
        <f>DATE(YEAR(OneWeekMtgRatesDataTable75[[#This Row],[asOf]]),MONTH(OneWeekMtgRatesDataTable75[[#This Row],[asOf]]),DAY(OneWeekMtgRatesDataTable75[[#This Row],[asOf]]))</f>
        <v>40851</v>
      </c>
      <c r="R1185" s="19">
        <v>3.99</v>
      </c>
      <c r="S1185" s="19">
        <v>0.7</v>
      </c>
      <c r="T1185" s="19">
        <v>3.915</v>
      </c>
      <c r="V1185" s="48" t="s">
        <v>654</v>
      </c>
      <c r="W1185" s="48" t="s">
        <v>1832</v>
      </c>
      <c r="X1185" s="51">
        <v>3.1968294834055402</v>
      </c>
      <c r="Z1185" s="48" t="s">
        <v>648</v>
      </c>
      <c r="AA1185" s="51">
        <v>0.66078835499999999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649</v>
      </c>
      <c r="Q1186" s="23">
        <f>DATE(YEAR(OneWeekMtgRatesDataTable75[[#This Row],[asOf]]),MONTH(OneWeekMtgRatesDataTable75[[#This Row],[asOf]]),DAY(OneWeekMtgRatesDataTable75[[#This Row],[asOf]]))</f>
        <v>40850</v>
      </c>
      <c r="R1186" s="19">
        <v>3.99</v>
      </c>
      <c r="S1186" s="19">
        <v>0.7</v>
      </c>
      <c r="T1186" s="19">
        <v>3.915</v>
      </c>
      <c r="V1186" s="48" t="s">
        <v>653</v>
      </c>
      <c r="W1186" s="48" t="s">
        <v>1832</v>
      </c>
      <c r="X1186" s="51">
        <v>3.1408308394137698</v>
      </c>
      <c r="Z1186" s="48" t="s">
        <v>647</v>
      </c>
      <c r="AA1186" s="51">
        <v>0.72847915200000002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648</v>
      </c>
      <c r="Q1187" s="23">
        <f>DATE(YEAR(OneWeekMtgRatesDataTable75[[#This Row],[asOf]]),MONTH(OneWeekMtgRatesDataTable75[[#This Row],[asOf]]),DAY(OneWeekMtgRatesDataTable75[[#This Row],[asOf]]))</f>
        <v>40849</v>
      </c>
      <c r="R1187" s="19">
        <v>4</v>
      </c>
      <c r="S1187" s="19">
        <v>0.7</v>
      </c>
      <c r="T1187" s="19">
        <v>3.9249999999999998</v>
      </c>
      <c r="V1187" s="48" t="s">
        <v>652</v>
      </c>
      <c r="W1187" s="48" t="s">
        <v>1832</v>
      </c>
      <c r="X1187" s="51">
        <v>3.1915310433588799</v>
      </c>
      <c r="Z1187" s="48" t="s">
        <v>646</v>
      </c>
      <c r="AA1187" s="51">
        <v>0.72847915200000002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647</v>
      </c>
      <c r="Q1188" s="23">
        <f>DATE(YEAR(OneWeekMtgRatesDataTable75[[#This Row],[asOf]]),MONTH(OneWeekMtgRatesDataTable75[[#This Row],[asOf]]),DAY(OneWeekMtgRatesDataTable75[[#This Row],[asOf]]))</f>
        <v>40848</v>
      </c>
      <c r="R1188" s="19">
        <v>4</v>
      </c>
      <c r="S1188" s="19">
        <v>0.7</v>
      </c>
      <c r="T1188" s="19">
        <v>3.9249999999999998</v>
      </c>
      <c r="V1188" s="48" t="s">
        <v>651</v>
      </c>
      <c r="W1188" s="48" t="s">
        <v>1832</v>
      </c>
      <c r="X1188" s="51">
        <v>3.1153555046375301</v>
      </c>
      <c r="Z1188" s="48" t="s">
        <v>645</v>
      </c>
      <c r="AA1188" s="51">
        <v>0.72847915200000002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646</v>
      </c>
      <c r="Q1189" s="23">
        <f>DATE(YEAR(OneWeekMtgRatesDataTable75[[#This Row],[asOf]]),MONTH(OneWeekMtgRatesDataTable75[[#This Row],[asOf]]),DAY(OneWeekMtgRatesDataTable75[[#This Row],[asOf]]))</f>
        <v>40847</v>
      </c>
      <c r="R1189" s="19">
        <v>4</v>
      </c>
      <c r="S1189" s="19">
        <v>0.7</v>
      </c>
      <c r="T1189" s="19">
        <v>3.9249999999999998</v>
      </c>
      <c r="V1189" s="48" t="s">
        <v>650</v>
      </c>
      <c r="W1189" s="48" t="s">
        <v>1832</v>
      </c>
      <c r="X1189" s="51">
        <v>3.1459189472432798</v>
      </c>
      <c r="Z1189" s="48" t="s">
        <v>644</v>
      </c>
      <c r="AA1189" s="51">
        <v>0.72847915200000002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645</v>
      </c>
      <c r="Q1190" s="23">
        <f>DATE(YEAR(OneWeekMtgRatesDataTable75[[#This Row],[asOf]]),MONTH(OneWeekMtgRatesDataTable75[[#This Row],[asOf]]),DAY(OneWeekMtgRatesDataTable75[[#This Row],[asOf]]))</f>
        <v>40844</v>
      </c>
      <c r="R1190" s="19">
        <v>4</v>
      </c>
      <c r="S1190" s="19">
        <v>0.7</v>
      </c>
      <c r="T1190" s="19">
        <v>3.9249999999999998</v>
      </c>
      <c r="V1190" s="48" t="s">
        <v>649</v>
      </c>
      <c r="W1190" s="48" t="s">
        <v>1832</v>
      </c>
      <c r="X1190" s="51">
        <v>3.1865900219174601</v>
      </c>
      <c r="Z1190" s="48" t="s">
        <v>643</v>
      </c>
      <c r="AA1190" s="51">
        <v>0.72847915200000002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644</v>
      </c>
      <c r="Q1191" s="23">
        <f>DATE(YEAR(OneWeekMtgRatesDataTable75[[#This Row],[asOf]]),MONTH(OneWeekMtgRatesDataTable75[[#This Row],[asOf]]),DAY(OneWeekMtgRatesDataTable75[[#This Row],[asOf]]))</f>
        <v>40843</v>
      </c>
      <c r="R1191" s="19">
        <v>4</v>
      </c>
      <c r="S1191" s="19">
        <v>0.7</v>
      </c>
      <c r="T1191" s="19">
        <v>3.9249999999999998</v>
      </c>
      <c r="V1191" s="48" t="s">
        <v>648</v>
      </c>
      <c r="W1191" s="48" t="s">
        <v>1832</v>
      </c>
      <c r="X1191" s="51">
        <v>3.1403563464711799</v>
      </c>
      <c r="Z1191" s="48" t="s">
        <v>642</v>
      </c>
      <c r="AA1191" s="51">
        <v>0.747045195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643</v>
      </c>
      <c r="Q1192" s="23">
        <f>DATE(YEAR(OneWeekMtgRatesDataTable75[[#This Row],[asOf]]),MONTH(OneWeekMtgRatesDataTable75[[#This Row],[asOf]]),DAY(OneWeekMtgRatesDataTable75[[#This Row],[asOf]]))</f>
        <v>40842</v>
      </c>
      <c r="R1192" s="19">
        <v>4.0999999999999996</v>
      </c>
      <c r="S1192" s="19">
        <v>0.8</v>
      </c>
      <c r="T1192" s="19">
        <v>4.05</v>
      </c>
      <c r="V1192" s="48" t="s">
        <v>647</v>
      </c>
      <c r="W1192" s="48" t="s">
        <v>1832</v>
      </c>
      <c r="X1192" s="51">
        <v>3.1279977145133802</v>
      </c>
      <c r="Z1192" s="48" t="s">
        <v>641</v>
      </c>
      <c r="AA1192" s="51">
        <v>0.747045195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642</v>
      </c>
      <c r="Q1193" s="23">
        <f>DATE(YEAR(OneWeekMtgRatesDataTable75[[#This Row],[asOf]]),MONTH(OneWeekMtgRatesDataTable75[[#This Row],[asOf]]),DAY(OneWeekMtgRatesDataTable75[[#This Row],[asOf]]))</f>
        <v>40841</v>
      </c>
      <c r="R1193" s="19">
        <v>4.0999999999999996</v>
      </c>
      <c r="S1193" s="19">
        <v>0.8</v>
      </c>
      <c r="T1193" s="19">
        <v>4.05</v>
      </c>
      <c r="V1193" s="48" t="s">
        <v>646</v>
      </c>
      <c r="W1193" s="48" t="s">
        <v>1832</v>
      </c>
      <c r="X1193" s="51">
        <v>3.2515769978966</v>
      </c>
      <c r="Z1193" s="48" t="s">
        <v>640</v>
      </c>
      <c r="AA1193" s="51">
        <v>0.747045195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641</v>
      </c>
      <c r="Q1194" s="23">
        <f>DATE(YEAR(OneWeekMtgRatesDataTable75[[#This Row],[asOf]]),MONTH(OneWeekMtgRatesDataTable75[[#This Row],[asOf]]),DAY(OneWeekMtgRatesDataTable75[[#This Row],[asOf]]))</f>
        <v>40840</v>
      </c>
      <c r="R1194" s="19">
        <v>4.0999999999999996</v>
      </c>
      <c r="S1194" s="19">
        <v>0.8</v>
      </c>
      <c r="T1194" s="19">
        <v>4.05</v>
      </c>
      <c r="V1194" s="48" t="s">
        <v>645</v>
      </c>
      <c r="W1194" s="48" t="s">
        <v>1832</v>
      </c>
      <c r="X1194" s="51">
        <v>3.3602109055046498</v>
      </c>
      <c r="Z1194" s="48" t="s">
        <v>639</v>
      </c>
      <c r="AA1194" s="51">
        <v>0.747045195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640</v>
      </c>
      <c r="Q1195" s="23">
        <f>DATE(YEAR(OneWeekMtgRatesDataTable75[[#This Row],[asOf]]),MONTH(OneWeekMtgRatesDataTable75[[#This Row],[asOf]]),DAY(OneWeekMtgRatesDataTable75[[#This Row],[asOf]]))</f>
        <v>40837</v>
      </c>
      <c r="R1195" s="19">
        <v>4.0999999999999996</v>
      </c>
      <c r="S1195" s="19">
        <v>0.8</v>
      </c>
      <c r="T1195" s="19">
        <v>4.05</v>
      </c>
      <c r="V1195" s="48" t="s">
        <v>644</v>
      </c>
      <c r="W1195" s="48" t="s">
        <v>1832</v>
      </c>
      <c r="X1195" s="51">
        <v>3.4409162615373701</v>
      </c>
      <c r="Z1195" s="48" t="s">
        <v>638</v>
      </c>
      <c r="AA1195" s="51">
        <v>0.747045195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639</v>
      </c>
      <c r="Q1196" s="23">
        <f>DATE(YEAR(OneWeekMtgRatesDataTable75[[#This Row],[asOf]]),MONTH(OneWeekMtgRatesDataTable75[[#This Row],[asOf]]),DAY(OneWeekMtgRatesDataTable75[[#This Row],[asOf]]))</f>
        <v>40836</v>
      </c>
      <c r="R1196" s="19">
        <v>4.0999999999999996</v>
      </c>
      <c r="S1196" s="19">
        <v>0.8</v>
      </c>
      <c r="T1196" s="19">
        <v>4.05</v>
      </c>
      <c r="V1196" s="48" t="s">
        <v>643</v>
      </c>
      <c r="W1196" s="48" t="s">
        <v>1832</v>
      </c>
      <c r="X1196" s="51">
        <v>3.3217981772157801</v>
      </c>
      <c r="Z1196" s="48" t="s">
        <v>637</v>
      </c>
      <c r="AA1196" s="51">
        <v>0.78916606899999997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638</v>
      </c>
      <c r="Q1197" s="23">
        <f>DATE(YEAR(OneWeekMtgRatesDataTable75[[#This Row],[asOf]]),MONTH(OneWeekMtgRatesDataTable75[[#This Row],[asOf]]),DAY(OneWeekMtgRatesDataTable75[[#This Row],[asOf]]))</f>
        <v>40835</v>
      </c>
      <c r="R1197" s="19">
        <v>4.1100000000000003</v>
      </c>
      <c r="S1197" s="19">
        <v>0.8</v>
      </c>
      <c r="T1197" s="19">
        <v>4.0600000000000005</v>
      </c>
      <c r="V1197" s="48" t="s">
        <v>642</v>
      </c>
      <c r="W1197" s="48" t="s">
        <v>1832</v>
      </c>
      <c r="X1197" s="51">
        <v>3.26466509083714</v>
      </c>
      <c r="Z1197" s="48" t="s">
        <v>636</v>
      </c>
      <c r="AA1197" s="51">
        <v>0.78916606899999997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637</v>
      </c>
      <c r="Q1198" s="23">
        <f>DATE(YEAR(OneWeekMtgRatesDataTable75[[#This Row],[asOf]]),MONTH(OneWeekMtgRatesDataTable75[[#This Row],[asOf]]),DAY(OneWeekMtgRatesDataTable75[[#This Row],[asOf]]))</f>
        <v>40834</v>
      </c>
      <c r="R1198" s="19">
        <v>4.1100000000000003</v>
      </c>
      <c r="S1198" s="19">
        <v>0.8</v>
      </c>
      <c r="T1198" s="19">
        <v>4.0600000000000005</v>
      </c>
      <c r="V1198" s="48" t="s">
        <v>641</v>
      </c>
      <c r="W1198" s="48" t="s">
        <v>1832</v>
      </c>
      <c r="X1198" s="51">
        <v>3.3634960671290699</v>
      </c>
      <c r="Z1198" s="48" t="s">
        <v>635</v>
      </c>
      <c r="AA1198" s="51">
        <v>0.78916606899999997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636</v>
      </c>
      <c r="Q1199" s="23">
        <f>DATE(YEAR(OneWeekMtgRatesDataTable75[[#This Row],[asOf]]),MONTH(OneWeekMtgRatesDataTable75[[#This Row],[asOf]]),DAY(OneWeekMtgRatesDataTable75[[#This Row],[asOf]]))</f>
        <v>40833</v>
      </c>
      <c r="R1199" s="19">
        <v>4.1100000000000003</v>
      </c>
      <c r="S1199" s="19">
        <v>0.8</v>
      </c>
      <c r="T1199" s="19">
        <v>4.0600000000000005</v>
      </c>
      <c r="V1199" s="48" t="s">
        <v>640</v>
      </c>
      <c r="W1199" s="48" t="s">
        <v>1832</v>
      </c>
      <c r="X1199" s="51">
        <v>3.3306571574489601</v>
      </c>
      <c r="Z1199" s="48" t="s">
        <v>634</v>
      </c>
      <c r="AA1199" s="51">
        <v>0.78916606899999997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635</v>
      </c>
      <c r="Q1200" s="23">
        <f>DATE(YEAR(OneWeekMtgRatesDataTable75[[#This Row],[asOf]]),MONTH(OneWeekMtgRatesDataTable75[[#This Row],[asOf]]),DAY(OneWeekMtgRatesDataTable75[[#This Row],[asOf]]))</f>
        <v>40830</v>
      </c>
      <c r="R1200" s="19">
        <v>4.1100000000000003</v>
      </c>
      <c r="S1200" s="19">
        <v>0.8</v>
      </c>
      <c r="T1200" s="19">
        <v>4.0600000000000005</v>
      </c>
      <c r="V1200" s="48" t="s">
        <v>639</v>
      </c>
      <c r="W1200" s="48" t="s">
        <v>1832</v>
      </c>
      <c r="X1200" s="51">
        <v>3.3269877497661899</v>
      </c>
      <c r="Z1200" s="48" t="s">
        <v>633</v>
      </c>
      <c r="AA1200" s="51">
        <v>0.78916606899999997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634</v>
      </c>
      <c r="Q1201" s="23">
        <f>DATE(YEAR(OneWeekMtgRatesDataTable75[[#This Row],[asOf]]),MONTH(OneWeekMtgRatesDataTable75[[#This Row],[asOf]]),DAY(OneWeekMtgRatesDataTable75[[#This Row],[asOf]]))</f>
        <v>40829</v>
      </c>
      <c r="R1201" s="19">
        <v>4.1100000000000003</v>
      </c>
      <c r="S1201" s="19">
        <v>0.8</v>
      </c>
      <c r="T1201" s="19">
        <v>4.0600000000000005</v>
      </c>
      <c r="V1201" s="48" t="s">
        <v>638</v>
      </c>
      <c r="W1201" s="48" t="s">
        <v>1832</v>
      </c>
      <c r="X1201" s="51">
        <v>3.3017117850831799</v>
      </c>
      <c r="Z1201" s="48" t="s">
        <v>632</v>
      </c>
      <c r="AA1201" s="51">
        <v>0.84068673299999996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633</v>
      </c>
      <c r="Q1202" s="23">
        <f>DATE(YEAR(OneWeekMtgRatesDataTable75[[#This Row],[asOf]]),MONTH(OneWeekMtgRatesDataTable75[[#This Row],[asOf]]),DAY(OneWeekMtgRatesDataTable75[[#This Row],[asOf]]))</f>
        <v>40828</v>
      </c>
      <c r="R1202" s="19">
        <v>4.12</v>
      </c>
      <c r="S1202" s="19">
        <v>0.8</v>
      </c>
      <c r="T1202" s="19">
        <v>4.07</v>
      </c>
      <c r="V1202" s="48" t="s">
        <v>637</v>
      </c>
      <c r="W1202" s="48" t="s">
        <v>1832</v>
      </c>
      <c r="X1202" s="51">
        <v>3.2937414945904302</v>
      </c>
      <c r="Z1202" s="48" t="s">
        <v>631</v>
      </c>
      <c r="AA1202" s="51">
        <v>0.84068673299999996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632</v>
      </c>
      <c r="Q1203" s="23">
        <f>DATE(YEAR(OneWeekMtgRatesDataTable75[[#This Row],[asOf]]),MONTH(OneWeekMtgRatesDataTable75[[#This Row],[asOf]]),DAY(OneWeekMtgRatesDataTable75[[#This Row],[asOf]]))</f>
        <v>40827</v>
      </c>
      <c r="R1203" s="19">
        <v>4.12</v>
      </c>
      <c r="S1203" s="19">
        <v>0.8</v>
      </c>
      <c r="T1203" s="19">
        <v>4.07</v>
      </c>
      <c r="V1203" s="48" t="s">
        <v>636</v>
      </c>
      <c r="W1203" s="48" t="s">
        <v>1832</v>
      </c>
      <c r="X1203" s="51">
        <v>3.29814365265038</v>
      </c>
      <c r="Z1203" s="48" t="s">
        <v>630</v>
      </c>
      <c r="AA1203" s="51">
        <v>0.84068673299999996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631</v>
      </c>
      <c r="Q1204" s="23">
        <f>DATE(YEAR(OneWeekMtgRatesDataTable75[[#This Row],[asOf]]),MONTH(OneWeekMtgRatesDataTable75[[#This Row],[asOf]]),DAY(OneWeekMtgRatesDataTable75[[#This Row],[asOf]]))</f>
        <v>40823</v>
      </c>
      <c r="R1204" s="19">
        <v>4.12</v>
      </c>
      <c r="S1204" s="19">
        <v>0.8</v>
      </c>
      <c r="T1204" s="19">
        <v>4.07</v>
      </c>
      <c r="V1204" s="48" t="s">
        <v>635</v>
      </c>
      <c r="W1204" s="48" t="s">
        <v>1832</v>
      </c>
      <c r="X1204" s="51">
        <v>3.3644554409980398</v>
      </c>
      <c r="Z1204" s="48" t="s">
        <v>629</v>
      </c>
      <c r="AA1204" s="51">
        <v>0.84068673299999996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630</v>
      </c>
      <c r="Q1205" s="23">
        <f>DATE(YEAR(OneWeekMtgRatesDataTable75[[#This Row],[asOf]]),MONTH(OneWeekMtgRatesDataTable75[[#This Row],[asOf]]),DAY(OneWeekMtgRatesDataTable75[[#This Row],[asOf]]))</f>
        <v>40822</v>
      </c>
      <c r="R1205" s="19">
        <v>4.12</v>
      </c>
      <c r="S1205" s="19">
        <v>0.8</v>
      </c>
      <c r="T1205" s="19">
        <v>4.07</v>
      </c>
      <c r="V1205" s="48" t="s">
        <v>634</v>
      </c>
      <c r="W1205" s="48" t="s">
        <v>1832</v>
      </c>
      <c r="X1205" s="51">
        <v>3.3067216512953301</v>
      </c>
      <c r="Z1205" s="48" t="s">
        <v>628</v>
      </c>
      <c r="AA1205" s="51">
        <v>0.88375178399999998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629</v>
      </c>
      <c r="Q1206" s="23">
        <f>DATE(YEAR(OneWeekMtgRatesDataTable75[[#This Row],[asOf]]),MONTH(OneWeekMtgRatesDataTable75[[#This Row],[asOf]]),DAY(OneWeekMtgRatesDataTable75[[#This Row],[asOf]]))</f>
        <v>40821</v>
      </c>
      <c r="R1206" s="19">
        <v>3.94</v>
      </c>
      <c r="S1206" s="19">
        <v>0.8</v>
      </c>
      <c r="T1206" s="19">
        <v>3.89</v>
      </c>
      <c r="V1206" s="48" t="s">
        <v>633</v>
      </c>
      <c r="W1206" s="48" t="s">
        <v>1832</v>
      </c>
      <c r="X1206" s="51">
        <v>3.3378096663708501</v>
      </c>
      <c r="Z1206" s="48" t="s">
        <v>627</v>
      </c>
      <c r="AA1206" s="51">
        <v>0.88375178399999998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628</v>
      </c>
      <c r="Q1207" s="23">
        <f>DATE(YEAR(OneWeekMtgRatesDataTable75[[#This Row],[asOf]]),MONTH(OneWeekMtgRatesDataTable75[[#This Row],[asOf]]),DAY(OneWeekMtgRatesDataTable75[[#This Row],[asOf]]))</f>
        <v>40820</v>
      </c>
      <c r="R1207" s="19">
        <v>3.94</v>
      </c>
      <c r="S1207" s="19">
        <v>0.8</v>
      </c>
      <c r="T1207" s="19">
        <v>3.89</v>
      </c>
      <c r="V1207" s="48" t="s">
        <v>632</v>
      </c>
      <c r="W1207" s="48" t="s">
        <v>1832</v>
      </c>
      <c r="X1207" s="51">
        <v>3.3168034791382999</v>
      </c>
      <c r="Z1207" s="48" t="s">
        <v>626</v>
      </c>
      <c r="AA1207" s="51">
        <v>0.88375178399999998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627</v>
      </c>
      <c r="Q1208" s="23">
        <f>DATE(YEAR(OneWeekMtgRatesDataTable75[[#This Row],[asOf]]),MONTH(OneWeekMtgRatesDataTable75[[#This Row],[asOf]]),DAY(OneWeekMtgRatesDataTable75[[#This Row],[asOf]]))</f>
        <v>40819</v>
      </c>
      <c r="R1208" s="19">
        <v>3.94</v>
      </c>
      <c r="S1208" s="19">
        <v>0.8</v>
      </c>
      <c r="T1208" s="19">
        <v>3.89</v>
      </c>
      <c r="V1208" s="48" t="s">
        <v>631</v>
      </c>
      <c r="W1208" s="48" t="s">
        <v>1832</v>
      </c>
      <c r="X1208" s="51">
        <v>3.2827632035572001</v>
      </c>
      <c r="Z1208" s="48" t="s">
        <v>625</v>
      </c>
      <c r="AA1208" s="51">
        <v>0.88375178399999998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626</v>
      </c>
      <c r="Q1209" s="23">
        <f>DATE(YEAR(OneWeekMtgRatesDataTable75[[#This Row],[asOf]]),MONTH(OneWeekMtgRatesDataTable75[[#This Row],[asOf]]),DAY(OneWeekMtgRatesDataTable75[[#This Row],[asOf]]))</f>
        <v>40816</v>
      </c>
      <c r="R1209" s="19">
        <v>3.94</v>
      </c>
      <c r="S1209" s="19">
        <v>0.8</v>
      </c>
      <c r="T1209" s="19">
        <v>3.89</v>
      </c>
      <c r="V1209" s="48" t="s">
        <v>630</v>
      </c>
      <c r="W1209" s="48" t="s">
        <v>1832</v>
      </c>
      <c r="X1209" s="51">
        <v>3.1859593753289501</v>
      </c>
      <c r="Z1209" s="48" t="s">
        <v>624</v>
      </c>
      <c r="AA1209" s="51">
        <v>0.88375178399999998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625</v>
      </c>
      <c r="Q1210" s="23">
        <f>DATE(YEAR(OneWeekMtgRatesDataTable75[[#This Row],[asOf]]),MONTH(OneWeekMtgRatesDataTable75[[#This Row],[asOf]]),DAY(OneWeekMtgRatesDataTable75[[#This Row],[asOf]]))</f>
        <v>40815</v>
      </c>
      <c r="R1210" s="19">
        <v>3.94</v>
      </c>
      <c r="S1210" s="19">
        <v>0.8</v>
      </c>
      <c r="T1210" s="19">
        <v>3.89</v>
      </c>
      <c r="V1210" s="48" t="s">
        <v>629</v>
      </c>
      <c r="W1210" s="48" t="s">
        <v>1832</v>
      </c>
      <c r="X1210" s="51">
        <v>3.1183780726897798</v>
      </c>
      <c r="Z1210" s="48" t="s">
        <v>623</v>
      </c>
      <c r="AA1210" s="51">
        <v>0.772820956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624</v>
      </c>
      <c r="Q1211" s="23">
        <f>DATE(YEAR(OneWeekMtgRatesDataTable75[[#This Row],[asOf]]),MONTH(OneWeekMtgRatesDataTable75[[#This Row],[asOf]]),DAY(OneWeekMtgRatesDataTable75[[#This Row],[asOf]]))</f>
        <v>40814</v>
      </c>
      <c r="R1211" s="19">
        <v>4.01</v>
      </c>
      <c r="S1211" s="19">
        <v>0.7</v>
      </c>
      <c r="T1211" s="19">
        <v>3.9349999999999996</v>
      </c>
      <c r="V1211" s="48" t="s">
        <v>628</v>
      </c>
      <c r="W1211" s="48" t="s">
        <v>1832</v>
      </c>
      <c r="X1211" s="51">
        <v>3.0428155900438001</v>
      </c>
      <c r="Z1211" s="48" t="s">
        <v>622</v>
      </c>
      <c r="AA1211" s="51">
        <v>0.772820956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623</v>
      </c>
      <c r="Q1212" s="23">
        <f>DATE(YEAR(OneWeekMtgRatesDataTable75[[#This Row],[asOf]]),MONTH(OneWeekMtgRatesDataTable75[[#This Row],[asOf]]),DAY(OneWeekMtgRatesDataTable75[[#This Row],[asOf]]))</f>
        <v>40813</v>
      </c>
      <c r="R1212" s="19">
        <v>4.01</v>
      </c>
      <c r="S1212" s="19">
        <v>0.7</v>
      </c>
      <c r="T1212" s="19">
        <v>3.9349999999999996</v>
      </c>
      <c r="V1212" s="48" t="s">
        <v>627</v>
      </c>
      <c r="W1212" s="48" t="s">
        <v>1832</v>
      </c>
      <c r="X1212" s="51">
        <v>2.9658180500681501</v>
      </c>
      <c r="Z1212" s="48" t="s">
        <v>621</v>
      </c>
      <c r="AA1212" s="51">
        <v>0.772820956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622</v>
      </c>
      <c r="Q1213" s="23">
        <f>DATE(YEAR(OneWeekMtgRatesDataTable75[[#This Row],[asOf]]),MONTH(OneWeekMtgRatesDataTable75[[#This Row],[asOf]]),DAY(OneWeekMtgRatesDataTable75[[#This Row],[asOf]]))</f>
        <v>40812</v>
      </c>
      <c r="R1213" s="19">
        <v>4.01</v>
      </c>
      <c r="S1213" s="19">
        <v>0.7</v>
      </c>
      <c r="T1213" s="19">
        <v>3.9349999999999996</v>
      </c>
      <c r="V1213" s="48" t="s">
        <v>626</v>
      </c>
      <c r="W1213" s="48" t="s">
        <v>1832</v>
      </c>
      <c r="X1213" s="51">
        <v>3.0385261527896099</v>
      </c>
      <c r="Z1213" s="48" t="s">
        <v>620</v>
      </c>
      <c r="AA1213" s="51">
        <v>0.772820956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621</v>
      </c>
      <c r="Q1214" s="23">
        <f>DATE(YEAR(OneWeekMtgRatesDataTable75[[#This Row],[asOf]]),MONTH(OneWeekMtgRatesDataTable75[[#This Row],[asOf]]),DAY(OneWeekMtgRatesDataTable75[[#This Row],[asOf]]))</f>
        <v>40809</v>
      </c>
      <c r="R1214" s="19">
        <v>4.01</v>
      </c>
      <c r="S1214" s="19">
        <v>0.7</v>
      </c>
      <c r="T1214" s="19">
        <v>3.9349999999999996</v>
      </c>
      <c r="V1214" s="48" t="s">
        <v>625</v>
      </c>
      <c r="W1214" s="48" t="s">
        <v>1832</v>
      </c>
      <c r="X1214" s="51">
        <v>3.08102846716154</v>
      </c>
      <c r="Z1214" s="48" t="s">
        <v>619</v>
      </c>
      <c r="AA1214" s="51">
        <v>0.772820956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620</v>
      </c>
      <c r="Q1215" s="23">
        <f>DATE(YEAR(OneWeekMtgRatesDataTable75[[#This Row],[asOf]]),MONTH(OneWeekMtgRatesDataTable75[[#This Row],[asOf]]),DAY(OneWeekMtgRatesDataTable75[[#This Row],[asOf]]))</f>
        <v>40808</v>
      </c>
      <c r="R1215" s="19">
        <v>4.01</v>
      </c>
      <c r="S1215" s="19">
        <v>0.7</v>
      </c>
      <c r="T1215" s="19">
        <v>3.9349999999999996</v>
      </c>
      <c r="V1215" s="48" t="s">
        <v>624</v>
      </c>
      <c r="W1215" s="48" t="s">
        <v>1832</v>
      </c>
      <c r="X1215" s="51">
        <v>3.16373332869864</v>
      </c>
      <c r="Z1215" s="48" t="s">
        <v>618</v>
      </c>
      <c r="AA1215" s="51">
        <v>0.74086131399999999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619</v>
      </c>
      <c r="Q1216" s="23">
        <f>DATE(YEAR(OneWeekMtgRatesDataTable75[[#This Row],[asOf]]),MONTH(OneWeekMtgRatesDataTable75[[#This Row],[asOf]]),DAY(OneWeekMtgRatesDataTable75[[#This Row],[asOf]]))</f>
        <v>40807</v>
      </c>
      <c r="R1216" s="19">
        <v>4.09</v>
      </c>
      <c r="S1216" s="19">
        <v>0.7</v>
      </c>
      <c r="T1216" s="19">
        <v>4.0149999999999997</v>
      </c>
      <c r="V1216" s="48" t="s">
        <v>623</v>
      </c>
      <c r="W1216" s="48" t="s">
        <v>1832</v>
      </c>
      <c r="X1216" s="51">
        <v>3.19162579468055</v>
      </c>
      <c r="Z1216" s="48" t="s">
        <v>617</v>
      </c>
      <c r="AA1216" s="51">
        <v>0.74086131399999999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618</v>
      </c>
      <c r="Q1217" s="23">
        <f>DATE(YEAR(OneWeekMtgRatesDataTable75[[#This Row],[asOf]]),MONTH(OneWeekMtgRatesDataTable75[[#This Row],[asOf]]),DAY(OneWeekMtgRatesDataTable75[[#This Row],[asOf]]))</f>
        <v>40806</v>
      </c>
      <c r="R1217" s="19">
        <v>4.09</v>
      </c>
      <c r="S1217" s="19">
        <v>0.7</v>
      </c>
      <c r="T1217" s="19">
        <v>4.0149999999999997</v>
      </c>
      <c r="V1217" s="48" t="s">
        <v>622</v>
      </c>
      <c r="W1217" s="48" t="s">
        <v>1832</v>
      </c>
      <c r="X1217" s="51">
        <v>3.0707186110207298</v>
      </c>
      <c r="Z1217" s="48" t="s">
        <v>616</v>
      </c>
      <c r="AA1217" s="51">
        <v>0.74086131399999999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617</v>
      </c>
      <c r="Q1218" s="23">
        <f>DATE(YEAR(OneWeekMtgRatesDataTable75[[#This Row],[asOf]]),MONTH(OneWeekMtgRatesDataTable75[[#This Row],[asOf]]),DAY(OneWeekMtgRatesDataTable75[[#This Row],[asOf]]))</f>
        <v>40805</v>
      </c>
      <c r="R1218" s="19">
        <v>4.09</v>
      </c>
      <c r="S1218" s="19">
        <v>0.7</v>
      </c>
      <c r="T1218" s="19">
        <v>4.0149999999999997</v>
      </c>
      <c r="V1218" s="48" t="s">
        <v>621</v>
      </c>
      <c r="W1218" s="48" t="s">
        <v>1832</v>
      </c>
      <c r="X1218" s="51">
        <v>2.9787961071901798</v>
      </c>
      <c r="Z1218" s="48" t="s">
        <v>615</v>
      </c>
      <c r="AA1218" s="51">
        <v>0.74086131399999999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616</v>
      </c>
      <c r="Q1219" s="23">
        <f>DATE(YEAR(OneWeekMtgRatesDataTable75[[#This Row],[asOf]]),MONTH(OneWeekMtgRatesDataTable75[[#This Row],[asOf]]),DAY(OneWeekMtgRatesDataTable75[[#This Row],[asOf]]))</f>
        <v>40802</v>
      </c>
      <c r="R1219" s="19">
        <v>4.09</v>
      </c>
      <c r="S1219" s="19">
        <v>0.7</v>
      </c>
      <c r="T1219" s="19">
        <v>4.0149999999999997</v>
      </c>
      <c r="V1219" s="48" t="s">
        <v>620</v>
      </c>
      <c r="W1219" s="48" t="s">
        <v>1832</v>
      </c>
      <c r="X1219" s="51">
        <v>2.8513672376672798</v>
      </c>
      <c r="Z1219" s="48" t="s">
        <v>614</v>
      </c>
      <c r="AA1219" s="51">
        <v>0.74086131399999999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615</v>
      </c>
      <c r="Q1220" s="23">
        <f>DATE(YEAR(OneWeekMtgRatesDataTable75[[#This Row],[asOf]]),MONTH(OneWeekMtgRatesDataTable75[[#This Row],[asOf]]),DAY(OneWeekMtgRatesDataTable75[[#This Row],[asOf]]))</f>
        <v>40801</v>
      </c>
      <c r="R1220" s="19">
        <v>4.09</v>
      </c>
      <c r="S1220" s="19">
        <v>0.7</v>
      </c>
      <c r="T1220" s="19">
        <v>4.0149999999999997</v>
      </c>
      <c r="V1220" s="48" t="s">
        <v>619</v>
      </c>
      <c r="W1220" s="48" t="s">
        <v>1832</v>
      </c>
      <c r="X1220" s="51">
        <v>3.0193449968875199</v>
      </c>
      <c r="Z1220" s="48" t="s">
        <v>613</v>
      </c>
      <c r="AA1220" s="51">
        <v>0.74345003799999998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614</v>
      </c>
      <c r="Q1221" s="23">
        <f>DATE(YEAR(OneWeekMtgRatesDataTable75[[#This Row],[asOf]]),MONTH(OneWeekMtgRatesDataTable75[[#This Row],[asOf]]),DAY(OneWeekMtgRatesDataTable75[[#This Row],[asOf]]))</f>
        <v>40800</v>
      </c>
      <c r="R1221" s="19">
        <v>4.09</v>
      </c>
      <c r="S1221" s="19">
        <v>0.7</v>
      </c>
      <c r="T1221" s="19">
        <v>4.0149999999999997</v>
      </c>
      <c r="V1221" s="48" t="s">
        <v>618</v>
      </c>
      <c r="W1221" s="48" t="s">
        <v>1832</v>
      </c>
      <c r="X1221" s="51">
        <v>3.25926253404289</v>
      </c>
      <c r="Z1221" s="48" t="s">
        <v>612</v>
      </c>
      <c r="AA1221" s="51">
        <v>0.74345003799999998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613</v>
      </c>
      <c r="Q1222" s="23">
        <f>DATE(YEAR(OneWeekMtgRatesDataTable75[[#This Row],[asOf]]),MONTH(OneWeekMtgRatesDataTable75[[#This Row],[asOf]]),DAY(OneWeekMtgRatesDataTable75[[#This Row],[asOf]]))</f>
        <v>40799</v>
      </c>
      <c r="R1222" s="19">
        <v>4.09</v>
      </c>
      <c r="S1222" s="19">
        <v>0.7</v>
      </c>
      <c r="T1222" s="19">
        <v>4.0149999999999997</v>
      </c>
      <c r="V1222" s="48" t="s">
        <v>617</v>
      </c>
      <c r="W1222" s="48" t="s">
        <v>1832</v>
      </c>
      <c r="X1222" s="51">
        <v>3.2381411967187499</v>
      </c>
      <c r="Z1222" s="48" t="s">
        <v>611</v>
      </c>
      <c r="AA1222" s="51">
        <v>0.74345003799999998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612</v>
      </c>
      <c r="Q1223" s="23">
        <f>DATE(YEAR(OneWeekMtgRatesDataTable75[[#This Row],[asOf]]),MONTH(OneWeekMtgRatesDataTable75[[#This Row],[asOf]]),DAY(OneWeekMtgRatesDataTable75[[#This Row],[asOf]]))</f>
        <v>40798</v>
      </c>
      <c r="R1223" s="19">
        <v>4.09</v>
      </c>
      <c r="S1223" s="19">
        <v>0.7</v>
      </c>
      <c r="T1223" s="19">
        <v>4.0149999999999997</v>
      </c>
      <c r="V1223" s="48" t="s">
        <v>616</v>
      </c>
      <c r="W1223" s="48" t="s">
        <v>1832</v>
      </c>
      <c r="X1223" s="51">
        <v>3.3468903558930401</v>
      </c>
      <c r="Z1223" s="48" t="s">
        <v>610</v>
      </c>
      <c r="AA1223" s="51">
        <v>0.74345003799999998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611</v>
      </c>
      <c r="Q1224" s="23">
        <f>DATE(YEAR(OneWeekMtgRatesDataTable75[[#This Row],[asOf]]),MONTH(OneWeekMtgRatesDataTable75[[#This Row],[asOf]]),DAY(OneWeekMtgRatesDataTable75[[#This Row],[asOf]]))</f>
        <v>40795</v>
      </c>
      <c r="R1224" s="19">
        <v>4.09</v>
      </c>
      <c r="S1224" s="19">
        <v>0.7</v>
      </c>
      <c r="T1224" s="19">
        <v>4.0149999999999997</v>
      </c>
      <c r="V1224" s="48" t="s">
        <v>615</v>
      </c>
      <c r="W1224" s="48" t="s">
        <v>1832</v>
      </c>
      <c r="X1224" s="51">
        <v>3.3472561381998802</v>
      </c>
      <c r="Z1224" s="48" t="s">
        <v>609</v>
      </c>
      <c r="AA1224" s="51">
        <v>0.74345003799999998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610</v>
      </c>
      <c r="Q1225" s="23">
        <f>DATE(YEAR(OneWeekMtgRatesDataTable75[[#This Row],[asOf]]),MONTH(OneWeekMtgRatesDataTable75[[#This Row],[asOf]]),DAY(OneWeekMtgRatesDataTable75[[#This Row],[asOf]]))</f>
        <v>40794</v>
      </c>
      <c r="R1225" s="19">
        <v>4.09</v>
      </c>
      <c r="S1225" s="19">
        <v>0.7</v>
      </c>
      <c r="T1225" s="19">
        <v>4.0149999999999997</v>
      </c>
      <c r="V1225" s="48" t="s">
        <v>614</v>
      </c>
      <c r="W1225" s="48" t="s">
        <v>1832</v>
      </c>
      <c r="X1225" s="51">
        <v>3.3005008889944101</v>
      </c>
      <c r="Z1225" s="48" t="s">
        <v>608</v>
      </c>
      <c r="AA1225" s="51">
        <v>0.75074778399999997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609</v>
      </c>
      <c r="Q1226" s="23">
        <f>DATE(YEAR(OneWeekMtgRatesDataTable75[[#This Row],[asOf]]),MONTH(OneWeekMtgRatesDataTable75[[#This Row],[asOf]]),DAY(OneWeekMtgRatesDataTable75[[#This Row],[asOf]]))</f>
        <v>40793</v>
      </c>
      <c r="R1226" s="19">
        <v>4.12</v>
      </c>
      <c r="S1226" s="19">
        <v>0.7</v>
      </c>
      <c r="T1226" s="19">
        <v>4.0449999999999999</v>
      </c>
      <c r="V1226" s="48" t="s">
        <v>613</v>
      </c>
      <c r="W1226" s="48" t="s">
        <v>1832</v>
      </c>
      <c r="X1226" s="51">
        <v>3.3011183094631602</v>
      </c>
      <c r="Z1226" s="48" t="s">
        <v>607</v>
      </c>
      <c r="AA1226" s="51">
        <v>0.75074778399999997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608</v>
      </c>
      <c r="Q1227" s="23">
        <f>DATE(YEAR(OneWeekMtgRatesDataTable75[[#This Row],[asOf]]),MONTH(OneWeekMtgRatesDataTable75[[#This Row],[asOf]]),DAY(OneWeekMtgRatesDataTable75[[#This Row],[asOf]]))</f>
        <v>40792</v>
      </c>
      <c r="R1227" s="19">
        <v>4.12</v>
      </c>
      <c r="S1227" s="19">
        <v>0.7</v>
      </c>
      <c r="T1227" s="19">
        <v>4.0449999999999999</v>
      </c>
      <c r="V1227" s="48" t="s">
        <v>612</v>
      </c>
      <c r="W1227" s="48" t="s">
        <v>1832</v>
      </c>
      <c r="X1227" s="51">
        <v>3.26610474456754</v>
      </c>
      <c r="Z1227" s="48" t="s">
        <v>606</v>
      </c>
      <c r="AA1227" s="51">
        <v>0.75074778399999997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607</v>
      </c>
      <c r="Q1228" s="23">
        <f>DATE(YEAR(OneWeekMtgRatesDataTable75[[#This Row],[asOf]]),MONTH(OneWeekMtgRatesDataTable75[[#This Row],[asOf]]),DAY(OneWeekMtgRatesDataTable75[[#This Row],[asOf]]))</f>
        <v>40788</v>
      </c>
      <c r="R1228" s="19">
        <v>4.12</v>
      </c>
      <c r="S1228" s="19">
        <v>0.7</v>
      </c>
      <c r="T1228" s="19">
        <v>4.0449999999999999</v>
      </c>
      <c r="V1228" s="48" t="s">
        <v>611</v>
      </c>
      <c r="W1228" s="48" t="s">
        <v>1832</v>
      </c>
      <c r="X1228" s="51">
        <v>3.2179153943453298</v>
      </c>
      <c r="Z1228" s="48" t="s">
        <v>605</v>
      </c>
      <c r="AA1228" s="51">
        <v>0.75074778399999997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606</v>
      </c>
      <c r="Q1229" s="23">
        <f>DATE(YEAR(OneWeekMtgRatesDataTable75[[#This Row],[asOf]]),MONTH(OneWeekMtgRatesDataTable75[[#This Row],[asOf]]),DAY(OneWeekMtgRatesDataTable75[[#This Row],[asOf]]))</f>
        <v>40787</v>
      </c>
      <c r="R1229" s="19">
        <v>4.12</v>
      </c>
      <c r="S1229" s="19">
        <v>0.7</v>
      </c>
      <c r="T1229" s="19">
        <v>4.0449999999999999</v>
      </c>
      <c r="V1229" s="48" t="s">
        <v>610</v>
      </c>
      <c r="W1229" s="48" t="s">
        <v>1832</v>
      </c>
      <c r="X1229" s="51">
        <v>3.2850540934441099</v>
      </c>
      <c r="Z1229" s="48" t="s">
        <v>604</v>
      </c>
      <c r="AA1229" s="51">
        <v>0.8430145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605</v>
      </c>
      <c r="Q1230" s="23">
        <f>DATE(YEAR(OneWeekMtgRatesDataTable75[[#This Row],[asOf]]),MONTH(OneWeekMtgRatesDataTable75[[#This Row],[asOf]]),DAY(OneWeekMtgRatesDataTable75[[#This Row],[asOf]]))</f>
        <v>40786</v>
      </c>
      <c r="R1230" s="19">
        <v>4.22</v>
      </c>
      <c r="S1230" s="19">
        <v>0.7</v>
      </c>
      <c r="T1230" s="19">
        <v>4.1449999999999996</v>
      </c>
      <c r="V1230" s="48" t="s">
        <v>609</v>
      </c>
      <c r="W1230" s="48" t="s">
        <v>1832</v>
      </c>
      <c r="X1230" s="51">
        <v>3.3161398377086599</v>
      </c>
      <c r="Z1230" s="48" t="s">
        <v>603</v>
      </c>
      <c r="AA1230" s="51">
        <v>0.8430145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604</v>
      </c>
      <c r="Q1231" s="23">
        <f>DATE(YEAR(OneWeekMtgRatesDataTable75[[#This Row],[asOf]]),MONTH(OneWeekMtgRatesDataTable75[[#This Row],[asOf]]),DAY(OneWeekMtgRatesDataTable75[[#This Row],[asOf]]))</f>
        <v>40785</v>
      </c>
      <c r="R1231" s="19">
        <v>4.22</v>
      </c>
      <c r="S1231" s="19">
        <v>0.7</v>
      </c>
      <c r="T1231" s="19">
        <v>4.1449999999999996</v>
      </c>
      <c r="V1231" s="48" t="s">
        <v>608</v>
      </c>
      <c r="W1231" s="48" t="s">
        <v>1832</v>
      </c>
      <c r="X1231" s="51">
        <v>3.2630175220730102</v>
      </c>
      <c r="Z1231" s="48" t="s">
        <v>602</v>
      </c>
      <c r="AA1231" s="51">
        <v>0.8430145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603</v>
      </c>
      <c r="Q1232" s="23">
        <f>DATE(YEAR(OneWeekMtgRatesDataTable75[[#This Row],[asOf]]),MONTH(OneWeekMtgRatesDataTable75[[#This Row],[asOf]]),DAY(OneWeekMtgRatesDataTable75[[#This Row],[asOf]]))</f>
        <v>40784</v>
      </c>
      <c r="R1232" s="19">
        <v>4.22</v>
      </c>
      <c r="S1232" s="19">
        <v>0.7</v>
      </c>
      <c r="T1232" s="19">
        <v>4.1449999999999996</v>
      </c>
      <c r="V1232" s="48" t="s">
        <v>607</v>
      </c>
      <c r="W1232" s="48" t="s">
        <v>1832</v>
      </c>
      <c r="X1232" s="51">
        <v>3.2634227208320401</v>
      </c>
      <c r="Z1232" s="48" t="s">
        <v>601</v>
      </c>
      <c r="AA1232" s="51">
        <v>0.8430145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602</v>
      </c>
      <c r="Q1233" s="23">
        <f>DATE(YEAR(OneWeekMtgRatesDataTable75[[#This Row],[asOf]]),MONTH(OneWeekMtgRatesDataTable75[[#This Row],[asOf]]),DAY(OneWeekMtgRatesDataTable75[[#This Row],[asOf]]))</f>
        <v>40781</v>
      </c>
      <c r="R1233" s="19">
        <v>4.22</v>
      </c>
      <c r="S1233" s="19">
        <v>0.7</v>
      </c>
      <c r="T1233" s="19">
        <v>4.1449999999999996</v>
      </c>
      <c r="V1233" s="48" t="s">
        <v>606</v>
      </c>
      <c r="W1233" s="48" t="s">
        <v>1832</v>
      </c>
      <c r="X1233" s="51">
        <v>3.3636197658163201</v>
      </c>
      <c r="Z1233" s="48" t="s">
        <v>600</v>
      </c>
      <c r="AA1233" s="51">
        <v>0.8430145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601</v>
      </c>
      <c r="Q1234" s="23">
        <f>DATE(YEAR(OneWeekMtgRatesDataTable75[[#This Row],[asOf]]),MONTH(OneWeekMtgRatesDataTable75[[#This Row],[asOf]]),DAY(OneWeekMtgRatesDataTable75[[#This Row],[asOf]]))</f>
        <v>40780</v>
      </c>
      <c r="R1234" s="19">
        <v>4.22</v>
      </c>
      <c r="S1234" s="19">
        <v>0.7</v>
      </c>
      <c r="T1234" s="19">
        <v>4.1449999999999996</v>
      </c>
      <c r="V1234" s="48" t="s">
        <v>605</v>
      </c>
      <c r="W1234" s="48" t="s">
        <v>1832</v>
      </c>
      <c r="X1234" s="51">
        <v>3.4273948025536498</v>
      </c>
      <c r="Z1234" s="48" t="s">
        <v>599</v>
      </c>
      <c r="AA1234" s="51">
        <v>0.74383692199999996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600</v>
      </c>
      <c r="Q1235" s="23">
        <f>DATE(YEAR(OneWeekMtgRatesDataTable75[[#This Row],[asOf]]),MONTH(OneWeekMtgRatesDataTable75[[#This Row],[asOf]]),DAY(OneWeekMtgRatesDataTable75[[#This Row],[asOf]]))</f>
        <v>40779</v>
      </c>
      <c r="R1235" s="19">
        <v>4.22</v>
      </c>
      <c r="S1235" s="19">
        <v>0.7</v>
      </c>
      <c r="T1235" s="19">
        <v>4.1449999999999996</v>
      </c>
      <c r="V1235" s="48" t="s">
        <v>604</v>
      </c>
      <c r="W1235" s="48" t="s">
        <v>1832</v>
      </c>
      <c r="X1235" s="51">
        <v>3.3588973610641801</v>
      </c>
      <c r="Z1235" s="48" t="s">
        <v>598</v>
      </c>
      <c r="AA1235" s="51">
        <v>0.74383692199999996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599</v>
      </c>
      <c r="Q1236" s="23">
        <f>DATE(YEAR(OneWeekMtgRatesDataTable75[[#This Row],[asOf]]),MONTH(OneWeekMtgRatesDataTable75[[#This Row],[asOf]]),DAY(OneWeekMtgRatesDataTable75[[#This Row],[asOf]]))</f>
        <v>40778</v>
      </c>
      <c r="R1236" s="19">
        <v>4.22</v>
      </c>
      <c r="S1236" s="19">
        <v>0.7</v>
      </c>
      <c r="T1236" s="19">
        <v>4.1449999999999996</v>
      </c>
      <c r="V1236" s="48" t="s">
        <v>603</v>
      </c>
      <c r="W1236" s="48" t="s">
        <v>1832</v>
      </c>
      <c r="X1236" s="51">
        <v>3.44007422057935</v>
      </c>
      <c r="Z1236" s="48" t="s">
        <v>597</v>
      </c>
      <c r="AA1236" s="51">
        <v>0.74383692199999996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598</v>
      </c>
      <c r="Q1237" s="23">
        <f>DATE(YEAR(OneWeekMtgRatesDataTable75[[#This Row],[asOf]]),MONTH(OneWeekMtgRatesDataTable75[[#This Row],[asOf]]),DAY(OneWeekMtgRatesDataTable75[[#This Row],[asOf]]))</f>
        <v>40777</v>
      </c>
      <c r="R1237" s="19">
        <v>4.22</v>
      </c>
      <c r="S1237" s="19">
        <v>0.7</v>
      </c>
      <c r="T1237" s="19">
        <v>4.1449999999999996</v>
      </c>
      <c r="V1237" s="48" t="s">
        <v>602</v>
      </c>
      <c r="W1237" s="48" t="s">
        <v>1832</v>
      </c>
      <c r="X1237" s="51">
        <v>3.35269320675931</v>
      </c>
      <c r="Z1237" s="48" t="s">
        <v>596</v>
      </c>
      <c r="AA1237" s="51">
        <v>0.74383692199999996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597</v>
      </c>
      <c r="Q1238" s="23">
        <f>DATE(YEAR(OneWeekMtgRatesDataTable75[[#This Row],[asOf]]),MONTH(OneWeekMtgRatesDataTable75[[#This Row],[asOf]]),DAY(OneWeekMtgRatesDataTable75[[#This Row],[asOf]]))</f>
        <v>40774</v>
      </c>
      <c r="R1238" s="19">
        <v>4.22</v>
      </c>
      <c r="S1238" s="19">
        <v>0.7</v>
      </c>
      <c r="T1238" s="19">
        <v>4.1449999999999996</v>
      </c>
      <c r="V1238" s="48" t="s">
        <v>601</v>
      </c>
      <c r="W1238" s="48" t="s">
        <v>1832</v>
      </c>
      <c r="X1238" s="51">
        <v>3.3922014866602601</v>
      </c>
      <c r="Z1238" s="48" t="s">
        <v>595</v>
      </c>
      <c r="AA1238" s="51">
        <v>0.74383692199999996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596</v>
      </c>
      <c r="Q1239" s="23">
        <f>DATE(YEAR(OneWeekMtgRatesDataTable75[[#This Row],[asOf]]),MONTH(OneWeekMtgRatesDataTable75[[#This Row],[asOf]]),DAY(OneWeekMtgRatesDataTable75[[#This Row],[asOf]]))</f>
        <v>40773</v>
      </c>
      <c r="R1239" s="19">
        <v>4.22</v>
      </c>
      <c r="S1239" s="19">
        <v>0.7</v>
      </c>
      <c r="T1239" s="19">
        <v>4.1449999999999996</v>
      </c>
      <c r="V1239" s="48" t="s">
        <v>600</v>
      </c>
      <c r="W1239" s="48" t="s">
        <v>1832</v>
      </c>
      <c r="X1239" s="51">
        <v>3.3081684069465198</v>
      </c>
      <c r="Z1239" s="48" t="s">
        <v>594</v>
      </c>
      <c r="AA1239" s="51">
        <v>0.79346496700000002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595</v>
      </c>
      <c r="Q1240" s="23">
        <f>DATE(YEAR(OneWeekMtgRatesDataTable75[[#This Row],[asOf]]),MONTH(OneWeekMtgRatesDataTable75[[#This Row],[asOf]]),DAY(OneWeekMtgRatesDataTable75[[#This Row],[asOf]]))</f>
        <v>40772</v>
      </c>
      <c r="R1240" s="19">
        <v>4.1500000000000004</v>
      </c>
      <c r="S1240" s="19">
        <v>0.7</v>
      </c>
      <c r="T1240" s="19">
        <v>4.0750000000000002</v>
      </c>
      <c r="V1240" s="48" t="s">
        <v>599</v>
      </c>
      <c r="W1240" s="48" t="s">
        <v>1832</v>
      </c>
      <c r="X1240" s="51">
        <v>3.3649434025508</v>
      </c>
      <c r="Z1240" s="48" t="s">
        <v>593</v>
      </c>
      <c r="AA1240" s="51">
        <v>0.79346496700000002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594</v>
      </c>
      <c r="Q1241" s="23">
        <f>DATE(YEAR(OneWeekMtgRatesDataTable75[[#This Row],[asOf]]),MONTH(OneWeekMtgRatesDataTable75[[#This Row],[asOf]]),DAY(OneWeekMtgRatesDataTable75[[#This Row],[asOf]]))</f>
        <v>40771</v>
      </c>
      <c r="R1241" s="19">
        <v>4.1500000000000004</v>
      </c>
      <c r="S1241" s="19">
        <v>0.7</v>
      </c>
      <c r="T1241" s="19">
        <v>4.0750000000000002</v>
      </c>
      <c r="V1241" s="48" t="s">
        <v>598</v>
      </c>
      <c r="W1241" s="48" t="s">
        <v>1832</v>
      </c>
      <c r="X1241" s="51">
        <v>3.3037905291021898</v>
      </c>
      <c r="Z1241" s="48" t="s">
        <v>592</v>
      </c>
      <c r="AA1241" s="51">
        <v>0.79346496700000002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593</v>
      </c>
      <c r="Q1242" s="23">
        <f>DATE(YEAR(OneWeekMtgRatesDataTable75[[#This Row],[asOf]]),MONTH(OneWeekMtgRatesDataTable75[[#This Row],[asOf]]),DAY(OneWeekMtgRatesDataTable75[[#This Row],[asOf]]))</f>
        <v>40770</v>
      </c>
      <c r="R1242" s="19">
        <v>4.1500000000000004</v>
      </c>
      <c r="S1242" s="19">
        <v>0.7</v>
      </c>
      <c r="T1242" s="19">
        <v>4.0750000000000002</v>
      </c>
      <c r="V1242" s="48" t="s">
        <v>597</v>
      </c>
      <c r="W1242" s="48" t="s">
        <v>1832</v>
      </c>
      <c r="X1242" s="51">
        <v>3.2837852746687299</v>
      </c>
      <c r="Z1242" s="48" t="s">
        <v>591</v>
      </c>
      <c r="AA1242" s="51">
        <v>0.79346496700000002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592</v>
      </c>
      <c r="Q1243" s="23">
        <f>DATE(YEAR(OneWeekMtgRatesDataTable75[[#This Row],[asOf]]),MONTH(OneWeekMtgRatesDataTable75[[#This Row],[asOf]]),DAY(OneWeekMtgRatesDataTable75[[#This Row],[asOf]]))</f>
        <v>40767</v>
      </c>
      <c r="R1243" s="19">
        <v>4.1500000000000004</v>
      </c>
      <c r="S1243" s="19">
        <v>0.7</v>
      </c>
      <c r="T1243" s="19">
        <v>4.0750000000000002</v>
      </c>
      <c r="V1243" s="48" t="s">
        <v>596</v>
      </c>
      <c r="W1243" s="48" t="s">
        <v>1832</v>
      </c>
      <c r="X1243" s="51">
        <v>3.2492398871399901</v>
      </c>
      <c r="Z1243" s="48" t="s">
        <v>590</v>
      </c>
      <c r="AA1243" s="51">
        <v>0.79346496700000002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591</v>
      </c>
      <c r="Q1244" s="23">
        <f>DATE(YEAR(OneWeekMtgRatesDataTable75[[#This Row],[asOf]]),MONTH(OneWeekMtgRatesDataTable75[[#This Row],[asOf]]),DAY(OneWeekMtgRatesDataTable75[[#This Row],[asOf]]))</f>
        <v>40766</v>
      </c>
      <c r="R1244" s="19">
        <v>4.1500000000000004</v>
      </c>
      <c r="S1244" s="19">
        <v>0.7</v>
      </c>
      <c r="T1244" s="19">
        <v>4.0750000000000002</v>
      </c>
      <c r="V1244" s="48" t="s">
        <v>595</v>
      </c>
      <c r="W1244" s="48" t="s">
        <v>1832</v>
      </c>
      <c r="X1244" s="51">
        <v>3.26932734313012</v>
      </c>
      <c r="Z1244" s="48" t="s">
        <v>589</v>
      </c>
      <c r="AA1244" s="51">
        <v>0.58444010999999996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590</v>
      </c>
      <c r="Q1245" s="23">
        <f>DATE(YEAR(OneWeekMtgRatesDataTable75[[#This Row],[asOf]]),MONTH(OneWeekMtgRatesDataTable75[[#This Row],[asOf]]),DAY(OneWeekMtgRatesDataTable75[[#This Row],[asOf]]))</f>
        <v>40765</v>
      </c>
      <c r="R1245" s="19">
        <v>4.32</v>
      </c>
      <c r="S1245" s="19">
        <v>0.7</v>
      </c>
      <c r="T1245" s="19">
        <v>4.2450000000000001</v>
      </c>
      <c r="V1245" s="48" t="s">
        <v>594</v>
      </c>
      <c r="W1245" s="48" t="s">
        <v>1832</v>
      </c>
      <c r="X1245" s="51">
        <v>3.3118241286544898</v>
      </c>
      <c r="Z1245" s="48" t="s">
        <v>588</v>
      </c>
      <c r="AA1245" s="51">
        <v>0.58444010999999996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589</v>
      </c>
      <c r="Q1246" s="23">
        <f>DATE(YEAR(OneWeekMtgRatesDataTable75[[#This Row],[asOf]]),MONTH(OneWeekMtgRatesDataTable75[[#This Row],[asOf]]),DAY(OneWeekMtgRatesDataTable75[[#This Row],[asOf]]))</f>
        <v>40764</v>
      </c>
      <c r="R1246" s="19">
        <v>4.32</v>
      </c>
      <c r="S1246" s="19">
        <v>0.7</v>
      </c>
      <c r="T1246" s="19">
        <v>4.2450000000000001</v>
      </c>
      <c r="V1246" s="48" t="s">
        <v>593</v>
      </c>
      <c r="W1246" s="48" t="s">
        <v>1832</v>
      </c>
      <c r="X1246" s="51">
        <v>3.3816169312489701</v>
      </c>
      <c r="Z1246" s="48" t="s">
        <v>587</v>
      </c>
      <c r="AA1246" s="51">
        <v>0.58444010999999996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588</v>
      </c>
      <c r="Q1247" s="23">
        <f>DATE(YEAR(OneWeekMtgRatesDataTable75[[#This Row],[asOf]]),MONTH(OneWeekMtgRatesDataTable75[[#This Row],[asOf]]),DAY(OneWeekMtgRatesDataTable75[[#This Row],[asOf]]))</f>
        <v>40763</v>
      </c>
      <c r="R1247" s="19">
        <v>4.32</v>
      </c>
      <c r="S1247" s="19">
        <v>0.7</v>
      </c>
      <c r="T1247" s="19">
        <v>4.2450000000000001</v>
      </c>
      <c r="V1247" s="48" t="s">
        <v>592</v>
      </c>
      <c r="W1247" s="48" t="s">
        <v>1832</v>
      </c>
      <c r="X1247" s="51">
        <v>3.31670518615761</v>
      </c>
      <c r="Z1247" s="48" t="s">
        <v>586</v>
      </c>
      <c r="AA1247" s="51">
        <v>0.58444010999999996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587</v>
      </c>
      <c r="Q1248" s="23">
        <f>DATE(YEAR(OneWeekMtgRatesDataTable75[[#This Row],[asOf]]),MONTH(OneWeekMtgRatesDataTable75[[#This Row],[asOf]]),DAY(OneWeekMtgRatesDataTable75[[#This Row],[asOf]]))</f>
        <v>40760</v>
      </c>
      <c r="R1248" s="19">
        <v>4.32</v>
      </c>
      <c r="S1248" s="19">
        <v>0.7</v>
      </c>
      <c r="T1248" s="19">
        <v>4.2450000000000001</v>
      </c>
      <c r="V1248" s="48" t="s">
        <v>591</v>
      </c>
      <c r="W1248" s="48" t="s">
        <v>1832</v>
      </c>
      <c r="X1248" s="51">
        <v>3.3763418020017699</v>
      </c>
      <c r="Z1248" s="48" t="s">
        <v>585</v>
      </c>
      <c r="AA1248" s="51">
        <v>0.58444010999999996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586</v>
      </c>
      <c r="Q1249" s="23">
        <f>DATE(YEAR(OneWeekMtgRatesDataTable75[[#This Row],[asOf]]),MONTH(OneWeekMtgRatesDataTable75[[#This Row],[asOf]]),DAY(OneWeekMtgRatesDataTable75[[#This Row],[asOf]]))</f>
        <v>40759</v>
      </c>
      <c r="R1249" s="19">
        <v>4.32</v>
      </c>
      <c r="S1249" s="19">
        <v>0.7</v>
      </c>
      <c r="T1249" s="19">
        <v>4.2450000000000001</v>
      </c>
      <c r="V1249" s="48" t="s">
        <v>590</v>
      </c>
      <c r="W1249" s="48" t="s">
        <v>1832</v>
      </c>
      <c r="X1249" s="51">
        <v>3.2328090551178201</v>
      </c>
      <c r="Z1249" s="48" t="s">
        <v>584</v>
      </c>
      <c r="AA1249" s="51">
        <v>0.55152112200000003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585</v>
      </c>
      <c r="Q1250" s="23">
        <f>DATE(YEAR(OneWeekMtgRatesDataTable75[[#This Row],[asOf]]),MONTH(OneWeekMtgRatesDataTable75[[#This Row],[asOf]]),DAY(OneWeekMtgRatesDataTable75[[#This Row],[asOf]]))</f>
        <v>40758</v>
      </c>
      <c r="R1250" s="19">
        <v>4.3899999999999997</v>
      </c>
      <c r="S1250" s="19">
        <v>0.8</v>
      </c>
      <c r="T1250" s="19">
        <v>4.34</v>
      </c>
      <c r="V1250" s="48" t="s">
        <v>589</v>
      </c>
      <c r="W1250" s="48" t="s">
        <v>1832</v>
      </c>
      <c r="X1250" s="51">
        <v>3.3615209507412498</v>
      </c>
      <c r="Z1250" s="48" t="s">
        <v>583</v>
      </c>
      <c r="AA1250" s="51">
        <v>0.55152112200000003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584</v>
      </c>
      <c r="Q1251" s="23">
        <f>DATE(YEAR(OneWeekMtgRatesDataTable75[[#This Row],[asOf]]),MONTH(OneWeekMtgRatesDataTable75[[#This Row],[asOf]]),DAY(OneWeekMtgRatesDataTable75[[#This Row],[asOf]]))</f>
        <v>40757</v>
      </c>
      <c r="R1251" s="19">
        <v>4.3899999999999997</v>
      </c>
      <c r="S1251" s="19">
        <v>0.8</v>
      </c>
      <c r="T1251" s="19">
        <v>4.34</v>
      </c>
      <c r="V1251" s="48" t="s">
        <v>588</v>
      </c>
      <c r="W1251" s="48" t="s">
        <v>1832</v>
      </c>
      <c r="X1251" s="51">
        <v>3.5272994184639499</v>
      </c>
      <c r="Z1251" s="48" t="s">
        <v>582</v>
      </c>
      <c r="AA1251" s="51">
        <v>0.55152112200000003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583</v>
      </c>
      <c r="Q1252" s="23">
        <f>DATE(YEAR(OneWeekMtgRatesDataTable75[[#This Row],[asOf]]),MONTH(OneWeekMtgRatesDataTable75[[#This Row],[asOf]]),DAY(OneWeekMtgRatesDataTable75[[#This Row],[asOf]]))</f>
        <v>40756</v>
      </c>
      <c r="R1252" s="19">
        <v>4.3899999999999997</v>
      </c>
      <c r="S1252" s="19">
        <v>0.8</v>
      </c>
      <c r="T1252" s="19">
        <v>4.34</v>
      </c>
      <c r="V1252" s="48" t="s">
        <v>587</v>
      </c>
      <c r="W1252" s="48" t="s">
        <v>1832</v>
      </c>
      <c r="X1252" s="51">
        <v>3.6494432992963999</v>
      </c>
      <c r="Z1252" s="48" t="s">
        <v>581</v>
      </c>
      <c r="AA1252" s="51">
        <v>0.55152112200000003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582</v>
      </c>
      <c r="Q1253" s="23">
        <f>DATE(YEAR(OneWeekMtgRatesDataTable75[[#This Row],[asOf]]),MONTH(OneWeekMtgRatesDataTable75[[#This Row],[asOf]]),DAY(OneWeekMtgRatesDataTable75[[#This Row],[asOf]]))</f>
        <v>40753</v>
      </c>
      <c r="R1253" s="19">
        <v>4.3899999999999997</v>
      </c>
      <c r="S1253" s="19">
        <v>0.8</v>
      </c>
      <c r="T1253" s="19">
        <v>4.34</v>
      </c>
      <c r="V1253" s="48" t="s">
        <v>586</v>
      </c>
      <c r="W1253" s="48" t="s">
        <v>1832</v>
      </c>
      <c r="X1253" s="51">
        <v>3.4866024421459598</v>
      </c>
      <c r="Z1253" s="48" t="s">
        <v>580</v>
      </c>
      <c r="AA1253" s="51">
        <v>0.55152112200000003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581</v>
      </c>
      <c r="Q1254" s="23">
        <f>DATE(YEAR(OneWeekMtgRatesDataTable75[[#This Row],[asOf]]),MONTH(OneWeekMtgRatesDataTable75[[#This Row],[asOf]]),DAY(OneWeekMtgRatesDataTable75[[#This Row],[asOf]]))</f>
        <v>40752</v>
      </c>
      <c r="R1254" s="19">
        <v>4.3899999999999997</v>
      </c>
      <c r="S1254" s="19">
        <v>0.8</v>
      </c>
      <c r="T1254" s="19">
        <v>4.34</v>
      </c>
      <c r="V1254" s="48" t="s">
        <v>585</v>
      </c>
      <c r="W1254" s="48" t="s">
        <v>1832</v>
      </c>
      <c r="X1254" s="51">
        <v>3.61498902203365</v>
      </c>
      <c r="Z1254" s="48" t="s">
        <v>579</v>
      </c>
      <c r="AA1254" s="51">
        <v>0.54232027199999999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580</v>
      </c>
      <c r="Q1255" s="23">
        <f>DATE(YEAR(OneWeekMtgRatesDataTable75[[#This Row],[asOf]]),MONTH(OneWeekMtgRatesDataTable75[[#This Row],[asOf]]),DAY(OneWeekMtgRatesDataTable75[[#This Row],[asOf]]))</f>
        <v>40751</v>
      </c>
      <c r="R1255" s="19">
        <v>4.55</v>
      </c>
      <c r="S1255" s="19">
        <v>0.8</v>
      </c>
      <c r="T1255" s="19">
        <v>4.5</v>
      </c>
      <c r="V1255" s="48" t="s">
        <v>584</v>
      </c>
      <c r="W1255" s="48" t="s">
        <v>1832</v>
      </c>
      <c r="X1255" s="51">
        <v>3.6570869761159299</v>
      </c>
      <c r="Z1255" s="48" t="s">
        <v>578</v>
      </c>
      <c r="AA1255" s="51">
        <v>0.54232027199999999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579</v>
      </c>
      <c r="Q1256" s="23">
        <f>DATE(YEAR(OneWeekMtgRatesDataTable75[[#This Row],[asOf]]),MONTH(OneWeekMtgRatesDataTable75[[#This Row],[asOf]]),DAY(OneWeekMtgRatesDataTable75[[#This Row],[asOf]]))</f>
        <v>40750</v>
      </c>
      <c r="R1256" s="19">
        <v>4.55</v>
      </c>
      <c r="S1256" s="19">
        <v>0.8</v>
      </c>
      <c r="T1256" s="19">
        <v>4.5</v>
      </c>
      <c r="V1256" s="48" t="s">
        <v>583</v>
      </c>
      <c r="W1256" s="48" t="s">
        <v>1832</v>
      </c>
      <c r="X1256" s="51">
        <v>3.76446810625648</v>
      </c>
      <c r="Z1256" s="48" t="s">
        <v>577</v>
      </c>
      <c r="AA1256" s="51">
        <v>0.54232027199999999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578</v>
      </c>
      <c r="Q1257" s="23">
        <f>DATE(YEAR(OneWeekMtgRatesDataTable75[[#This Row],[asOf]]),MONTH(OneWeekMtgRatesDataTable75[[#This Row],[asOf]]),DAY(OneWeekMtgRatesDataTable75[[#This Row],[asOf]]))</f>
        <v>40749</v>
      </c>
      <c r="R1257" s="19">
        <v>4.55</v>
      </c>
      <c r="S1257" s="19">
        <v>0.8</v>
      </c>
      <c r="T1257" s="19">
        <v>4.5</v>
      </c>
      <c r="V1257" s="48" t="s">
        <v>582</v>
      </c>
      <c r="W1257" s="48" t="s">
        <v>1832</v>
      </c>
      <c r="X1257" s="51">
        <v>3.8088238659156599</v>
      </c>
      <c r="Z1257" s="48" t="s">
        <v>576</v>
      </c>
      <c r="AA1257" s="51">
        <v>0.54232027199999999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577</v>
      </c>
      <c r="Q1258" s="23">
        <f>DATE(YEAR(OneWeekMtgRatesDataTable75[[#This Row],[asOf]]),MONTH(OneWeekMtgRatesDataTable75[[#This Row],[asOf]]),DAY(OneWeekMtgRatesDataTable75[[#This Row],[asOf]]))</f>
        <v>40746</v>
      </c>
      <c r="R1258" s="19">
        <v>4.55</v>
      </c>
      <c r="S1258" s="19">
        <v>0.8</v>
      </c>
      <c r="T1258" s="19">
        <v>4.5</v>
      </c>
      <c r="V1258" s="48" t="s">
        <v>581</v>
      </c>
      <c r="W1258" s="48" t="s">
        <v>1832</v>
      </c>
      <c r="X1258" s="51">
        <v>3.9324314812140502</v>
      </c>
      <c r="Z1258" s="48" t="s">
        <v>575</v>
      </c>
      <c r="AA1258" s="51">
        <v>0.54232027199999999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576</v>
      </c>
      <c r="Q1259" s="23">
        <f>DATE(YEAR(OneWeekMtgRatesDataTable75[[#This Row],[asOf]]),MONTH(OneWeekMtgRatesDataTable75[[#This Row],[asOf]]),DAY(OneWeekMtgRatesDataTable75[[#This Row],[asOf]]))</f>
        <v>40745</v>
      </c>
      <c r="R1259" s="19">
        <v>4.55</v>
      </c>
      <c r="S1259" s="19">
        <v>0.8</v>
      </c>
      <c r="T1259" s="19">
        <v>4.5</v>
      </c>
      <c r="V1259" s="48" t="s">
        <v>580</v>
      </c>
      <c r="W1259" s="48" t="s">
        <v>1832</v>
      </c>
      <c r="X1259" s="51">
        <v>3.9740262536050301</v>
      </c>
      <c r="Z1259" s="48" t="s">
        <v>574</v>
      </c>
      <c r="AA1259" s="51">
        <v>0.49748953200000001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575</v>
      </c>
      <c r="Q1260" s="23">
        <f>DATE(YEAR(OneWeekMtgRatesDataTable75[[#This Row],[asOf]]),MONTH(OneWeekMtgRatesDataTable75[[#This Row],[asOf]]),DAY(OneWeekMtgRatesDataTable75[[#This Row],[asOf]]))</f>
        <v>40744</v>
      </c>
      <c r="R1260" s="19">
        <v>4.5199999999999996</v>
      </c>
      <c r="S1260" s="19">
        <v>0.7</v>
      </c>
      <c r="T1260" s="19">
        <v>4.4449999999999994</v>
      </c>
      <c r="V1260" s="48" t="s">
        <v>579</v>
      </c>
      <c r="W1260" s="48" t="s">
        <v>1832</v>
      </c>
      <c r="X1260" s="51">
        <v>3.93180055447786</v>
      </c>
      <c r="Z1260" s="48" t="s">
        <v>573</v>
      </c>
      <c r="AA1260" s="51">
        <v>0.49748953200000001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574</v>
      </c>
      <c r="Q1261" s="23">
        <f>DATE(YEAR(OneWeekMtgRatesDataTable75[[#This Row],[asOf]]),MONTH(OneWeekMtgRatesDataTable75[[#This Row],[asOf]]),DAY(OneWeekMtgRatesDataTable75[[#This Row],[asOf]]))</f>
        <v>40743</v>
      </c>
      <c r="R1261" s="19">
        <v>4.5199999999999996</v>
      </c>
      <c r="S1261" s="19">
        <v>0.7</v>
      </c>
      <c r="T1261" s="19">
        <v>4.4449999999999994</v>
      </c>
      <c r="V1261" s="48" t="s">
        <v>578</v>
      </c>
      <c r="W1261" s="48" t="s">
        <v>1832</v>
      </c>
      <c r="X1261" s="51">
        <v>3.9604705885529299</v>
      </c>
      <c r="Z1261" s="48" t="s">
        <v>572</v>
      </c>
      <c r="AA1261" s="51">
        <v>0.49748953200000001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573</v>
      </c>
      <c r="Q1262" s="23">
        <f>DATE(YEAR(OneWeekMtgRatesDataTable75[[#This Row],[asOf]]),MONTH(OneWeekMtgRatesDataTable75[[#This Row],[asOf]]),DAY(OneWeekMtgRatesDataTable75[[#This Row],[asOf]]))</f>
        <v>40742</v>
      </c>
      <c r="R1262" s="19">
        <v>4.5199999999999996</v>
      </c>
      <c r="S1262" s="19">
        <v>0.7</v>
      </c>
      <c r="T1262" s="19">
        <v>4.4449999999999994</v>
      </c>
      <c r="V1262" s="48" t="s">
        <v>577</v>
      </c>
      <c r="W1262" s="48" t="s">
        <v>1832</v>
      </c>
      <c r="X1262" s="51">
        <v>3.9256648990876601</v>
      </c>
      <c r="Z1262" s="48" t="s">
        <v>571</v>
      </c>
      <c r="AA1262" s="51">
        <v>0.49748953200000001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572</v>
      </c>
      <c r="Q1263" s="23">
        <f>DATE(YEAR(OneWeekMtgRatesDataTable75[[#This Row],[asOf]]),MONTH(OneWeekMtgRatesDataTable75[[#This Row],[asOf]]),DAY(OneWeekMtgRatesDataTable75[[#This Row],[asOf]]))</f>
        <v>40739</v>
      </c>
      <c r="R1263" s="19">
        <v>4.5199999999999996</v>
      </c>
      <c r="S1263" s="19">
        <v>0.7</v>
      </c>
      <c r="T1263" s="19">
        <v>4.4449999999999994</v>
      </c>
      <c r="V1263" s="48" t="s">
        <v>576</v>
      </c>
      <c r="W1263" s="48" t="s">
        <v>1832</v>
      </c>
      <c r="X1263" s="51">
        <v>3.95043209572012</v>
      </c>
      <c r="Z1263" s="48" t="s">
        <v>570</v>
      </c>
      <c r="AA1263" s="51">
        <v>0.49748953200000001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571</v>
      </c>
      <c r="Q1264" s="23">
        <f>DATE(YEAR(OneWeekMtgRatesDataTable75[[#This Row],[asOf]]),MONTH(OneWeekMtgRatesDataTable75[[#This Row],[asOf]]),DAY(OneWeekMtgRatesDataTable75[[#This Row],[asOf]]))</f>
        <v>40738</v>
      </c>
      <c r="R1264" s="19">
        <v>4.5199999999999996</v>
      </c>
      <c r="S1264" s="19">
        <v>0.7</v>
      </c>
      <c r="T1264" s="19">
        <v>4.4449999999999994</v>
      </c>
      <c r="V1264" s="48" t="s">
        <v>575</v>
      </c>
      <c r="W1264" s="48" t="s">
        <v>1832</v>
      </c>
      <c r="X1264" s="51">
        <v>3.9147234393454702</v>
      </c>
      <c r="Z1264" s="48" t="s">
        <v>569</v>
      </c>
      <c r="AA1264" s="51">
        <v>0.50445353000000004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570</v>
      </c>
      <c r="Q1265" s="23">
        <f>DATE(YEAR(OneWeekMtgRatesDataTable75[[#This Row],[asOf]]),MONTH(OneWeekMtgRatesDataTable75[[#This Row],[asOf]]),DAY(OneWeekMtgRatesDataTable75[[#This Row],[asOf]]))</f>
        <v>40737</v>
      </c>
      <c r="R1265" s="19">
        <v>4.51</v>
      </c>
      <c r="S1265" s="19">
        <v>0.7</v>
      </c>
      <c r="T1265" s="19">
        <v>4.4349999999999996</v>
      </c>
      <c r="V1265" s="48" t="s">
        <v>574</v>
      </c>
      <c r="W1265" s="48" t="s">
        <v>1832</v>
      </c>
      <c r="X1265" s="51">
        <v>3.9028989279116901</v>
      </c>
      <c r="Z1265" s="48" t="s">
        <v>568</v>
      </c>
      <c r="AA1265" s="51">
        <v>0.50445353000000004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569</v>
      </c>
      <c r="Q1266" s="23">
        <f>DATE(YEAR(OneWeekMtgRatesDataTable75[[#This Row],[asOf]]),MONTH(OneWeekMtgRatesDataTable75[[#This Row],[asOf]]),DAY(OneWeekMtgRatesDataTable75[[#This Row],[asOf]]))</f>
        <v>40736</v>
      </c>
      <c r="R1266" s="19">
        <v>4.51</v>
      </c>
      <c r="S1266" s="19">
        <v>0.7</v>
      </c>
      <c r="T1266" s="19">
        <v>4.4349999999999996</v>
      </c>
      <c r="V1266" s="48" t="s">
        <v>573</v>
      </c>
      <c r="W1266" s="48" t="s">
        <v>1832</v>
      </c>
      <c r="X1266" s="51">
        <v>3.9143080460747499</v>
      </c>
      <c r="Z1266" s="48" t="s">
        <v>567</v>
      </c>
      <c r="AA1266" s="51">
        <v>0.50445353000000004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568</v>
      </c>
      <c r="Q1267" s="23">
        <f>DATE(YEAR(OneWeekMtgRatesDataTable75[[#This Row],[asOf]]),MONTH(OneWeekMtgRatesDataTable75[[#This Row],[asOf]]),DAY(OneWeekMtgRatesDataTable75[[#This Row],[asOf]]))</f>
        <v>40735</v>
      </c>
      <c r="R1267" s="19">
        <v>4.51</v>
      </c>
      <c r="S1267" s="19">
        <v>0.7</v>
      </c>
      <c r="T1267" s="19">
        <v>4.4349999999999996</v>
      </c>
      <c r="V1267" s="48" t="s">
        <v>572</v>
      </c>
      <c r="W1267" s="48" t="s">
        <v>1832</v>
      </c>
      <c r="X1267" s="51">
        <v>3.8829277036335901</v>
      </c>
      <c r="Z1267" s="48" t="s">
        <v>566</v>
      </c>
      <c r="AA1267" s="51">
        <v>0.50445353000000004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567</v>
      </c>
      <c r="Q1268" s="23">
        <f>DATE(YEAR(OneWeekMtgRatesDataTable75[[#This Row],[asOf]]),MONTH(OneWeekMtgRatesDataTable75[[#This Row],[asOf]]),DAY(OneWeekMtgRatesDataTable75[[#This Row],[asOf]]))</f>
        <v>40732</v>
      </c>
      <c r="R1268" s="19">
        <v>4.51</v>
      </c>
      <c r="S1268" s="19">
        <v>0.7</v>
      </c>
      <c r="T1268" s="19">
        <v>4.4349999999999996</v>
      </c>
      <c r="V1268" s="48" t="s">
        <v>571</v>
      </c>
      <c r="W1268" s="48" t="s">
        <v>1832</v>
      </c>
      <c r="X1268" s="51">
        <v>3.8985405222991401</v>
      </c>
      <c r="Z1268" s="48" t="s">
        <v>565</v>
      </c>
      <c r="AA1268" s="51">
        <v>0.50445353000000004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566</v>
      </c>
      <c r="Q1269" s="23">
        <f>DATE(YEAR(OneWeekMtgRatesDataTable75[[#This Row],[asOf]]),MONTH(OneWeekMtgRatesDataTable75[[#This Row],[asOf]]),DAY(OneWeekMtgRatesDataTable75[[#This Row],[asOf]]))</f>
        <v>40731</v>
      </c>
      <c r="R1269" s="19">
        <v>4.51</v>
      </c>
      <c r="S1269" s="19">
        <v>0.7</v>
      </c>
      <c r="T1269" s="19">
        <v>4.4349999999999996</v>
      </c>
      <c r="V1269" s="48" t="s">
        <v>570</v>
      </c>
      <c r="W1269" s="48" t="s">
        <v>1832</v>
      </c>
      <c r="X1269" s="51">
        <v>3.8643242728668699</v>
      </c>
      <c r="Z1269" s="48" t="s">
        <v>564</v>
      </c>
      <c r="AA1269" s="51">
        <v>0.53031096799999999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565</v>
      </c>
      <c r="Q1270" s="23">
        <f>DATE(YEAR(OneWeekMtgRatesDataTable75[[#This Row],[asOf]]),MONTH(OneWeekMtgRatesDataTable75[[#This Row],[asOf]]),DAY(OneWeekMtgRatesDataTable75[[#This Row],[asOf]]))</f>
        <v>40730</v>
      </c>
      <c r="R1270" s="19">
        <v>4.5999999999999996</v>
      </c>
      <c r="S1270" s="19">
        <v>0.7</v>
      </c>
      <c r="T1270" s="19">
        <v>4.5249999999999995</v>
      </c>
      <c r="V1270" s="91" t="s">
        <v>569</v>
      </c>
      <c r="W1270" s="91" t="s">
        <v>1832</v>
      </c>
      <c r="X1270" s="92">
        <v>3.8994081954805799</v>
      </c>
      <c r="Z1270" s="48" t="s">
        <v>563</v>
      </c>
      <c r="AA1270" s="51">
        <v>0.53031096799999999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564</v>
      </c>
      <c r="Q1271" s="23">
        <f>DATE(YEAR(OneWeekMtgRatesDataTable75[[#This Row],[asOf]]),MONTH(OneWeekMtgRatesDataTable75[[#This Row],[asOf]]),DAY(OneWeekMtgRatesDataTable75[[#This Row],[asOf]]))</f>
        <v>40729</v>
      </c>
      <c r="R1271" s="19">
        <v>4.5999999999999996</v>
      </c>
      <c r="S1271" s="19">
        <v>0.7</v>
      </c>
      <c r="T1271" s="19">
        <v>4.5249999999999995</v>
      </c>
      <c r="V1271" s="91" t="s">
        <v>568</v>
      </c>
      <c r="W1271" s="91" t="s">
        <v>1832</v>
      </c>
      <c r="X1271" s="92">
        <v>3.9124758151912502</v>
      </c>
      <c r="Z1271" s="48" t="s">
        <v>562</v>
      </c>
      <c r="AA1271" s="51">
        <v>0.53031096799999999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563</v>
      </c>
      <c r="Q1272" s="23">
        <f>DATE(YEAR(OneWeekMtgRatesDataTable75[[#This Row],[asOf]]),MONTH(OneWeekMtgRatesDataTable75[[#This Row],[asOf]]),DAY(OneWeekMtgRatesDataTable75[[#This Row],[asOf]]))</f>
        <v>40725</v>
      </c>
      <c r="R1272" s="19">
        <v>4.5999999999999996</v>
      </c>
      <c r="S1272" s="19">
        <v>0.7</v>
      </c>
      <c r="T1272" s="19">
        <v>4.5249999999999995</v>
      </c>
      <c r="V1272" s="91" t="s">
        <v>567</v>
      </c>
      <c r="W1272" s="91" t="s">
        <v>1832</v>
      </c>
      <c r="X1272" s="92">
        <v>3.9560446412855801</v>
      </c>
      <c r="Z1272" s="48" t="s">
        <v>561</v>
      </c>
      <c r="AA1272" s="51">
        <v>0.53031096799999999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562</v>
      </c>
      <c r="Q1273" s="23">
        <f>DATE(YEAR(OneWeekMtgRatesDataTable75[[#This Row],[asOf]]),MONTH(OneWeekMtgRatesDataTable75[[#This Row],[asOf]]),DAY(OneWeekMtgRatesDataTable75[[#This Row],[asOf]]))</f>
        <v>40724</v>
      </c>
      <c r="R1273" s="19">
        <v>4.5999999999999996</v>
      </c>
      <c r="S1273" s="19">
        <v>0.7</v>
      </c>
      <c r="T1273" s="19">
        <v>4.5249999999999995</v>
      </c>
      <c r="V1273" s="91" t="s">
        <v>566</v>
      </c>
      <c r="W1273" s="91" t="s">
        <v>1832</v>
      </c>
      <c r="X1273" s="92">
        <v>4.0552994132592604</v>
      </c>
      <c r="Z1273" s="91" t="s">
        <v>560</v>
      </c>
      <c r="AA1273" s="92">
        <v>0.53813058599999997</v>
      </c>
    </row>
    <row r="1274" spans="12:33">
      <c r="L1274" s="19"/>
      <c r="M1274" s="19"/>
      <c r="N1274" s="50"/>
      <c r="O1274" s="19"/>
      <c r="P1274" s="19" t="s">
        <v>561</v>
      </c>
      <c r="Q1274" s="23">
        <f>DATE(YEAR(OneWeekMtgRatesDataTable75[[#This Row],[asOf]]),MONTH(OneWeekMtgRatesDataTable75[[#This Row],[asOf]]),DAY(OneWeekMtgRatesDataTable75[[#This Row],[asOf]]))</f>
        <v>40723</v>
      </c>
      <c r="R1274" s="19">
        <v>4.51</v>
      </c>
      <c r="S1274" s="19">
        <v>0.7</v>
      </c>
      <c r="T1274" s="19">
        <v>4.4349999999999996</v>
      </c>
      <c r="V1274" s="91" t="s">
        <v>565</v>
      </c>
      <c r="W1274" s="91" t="s">
        <v>1832</v>
      </c>
      <c r="X1274" s="92">
        <v>4.00074846478753</v>
      </c>
      <c r="Z1274" s="91" t="s">
        <v>559</v>
      </c>
      <c r="AA1274" s="92">
        <v>0.53813058599999997</v>
      </c>
    </row>
    <row r="1275" spans="12:33">
      <c r="L1275" s="19"/>
      <c r="M1275" s="19"/>
      <c r="N1275" s="50"/>
      <c r="O1275" s="19"/>
      <c r="P1275" s="19" t="s">
        <v>560</v>
      </c>
      <c r="Q1275" s="23">
        <f>DATE(YEAR(OneWeekMtgRatesDataTable75[[#This Row],[asOf]]),MONTH(OneWeekMtgRatesDataTable75[[#This Row],[asOf]]),DAY(OneWeekMtgRatesDataTable75[[#This Row],[asOf]]))</f>
        <v>40722</v>
      </c>
      <c r="R1275" s="19">
        <v>4.51</v>
      </c>
      <c r="S1275" s="19">
        <v>0.7</v>
      </c>
      <c r="T1275" s="19">
        <v>4.4349999999999996</v>
      </c>
      <c r="V1275" s="91" t="s">
        <v>564</v>
      </c>
      <c r="W1275" s="91" t="s">
        <v>1832</v>
      </c>
      <c r="X1275" s="92">
        <v>4.0109296583696397</v>
      </c>
      <c r="Z1275" s="91" t="s">
        <v>558</v>
      </c>
      <c r="AA1275" s="92">
        <v>0.53813058599999997</v>
      </c>
    </row>
    <row r="1276" spans="12:33">
      <c r="L1276" s="19"/>
      <c r="M1276" s="19"/>
      <c r="N1276" s="50"/>
      <c r="O1276" s="19"/>
      <c r="P1276" s="19" t="s">
        <v>559</v>
      </c>
      <c r="Q1276" s="23">
        <f>DATE(YEAR(OneWeekMtgRatesDataTable75[[#This Row],[asOf]]),MONTH(OneWeekMtgRatesDataTable75[[#This Row],[asOf]]),DAY(OneWeekMtgRatesDataTable75[[#This Row],[asOf]]))</f>
        <v>40721</v>
      </c>
      <c r="R1276" s="19">
        <v>4.51</v>
      </c>
      <c r="S1276" s="19">
        <v>0.7</v>
      </c>
      <c r="T1276" s="19">
        <v>4.4349999999999996</v>
      </c>
      <c r="V1276" s="91" t="s">
        <v>563</v>
      </c>
      <c r="W1276" s="91" t="s">
        <v>1832</v>
      </c>
      <c r="X1276" s="92">
        <v>4.04948996007146</v>
      </c>
      <c r="Z1276" s="91" t="s">
        <v>557</v>
      </c>
      <c r="AA1276" s="92">
        <v>0.53813058599999997</v>
      </c>
    </row>
    <row r="1277" spans="12:33">
      <c r="L1277" s="19"/>
      <c r="M1277" s="19"/>
      <c r="N1277" s="50"/>
      <c r="O1277" s="19"/>
      <c r="P1277" s="19" t="s">
        <v>558</v>
      </c>
      <c r="Q1277" s="23">
        <f>DATE(YEAR(OneWeekMtgRatesDataTable75[[#This Row],[asOf]]),MONTH(OneWeekMtgRatesDataTable75[[#This Row],[asOf]]),DAY(OneWeekMtgRatesDataTable75[[#This Row],[asOf]]))</f>
        <v>40718</v>
      </c>
      <c r="R1277" s="19">
        <v>4.51</v>
      </c>
      <c r="S1277" s="19">
        <v>0.7</v>
      </c>
      <c r="T1277" s="19">
        <v>4.4349999999999996</v>
      </c>
      <c r="V1277" s="91" t="s">
        <v>562</v>
      </c>
      <c r="W1277" s="91" t="s">
        <v>1832</v>
      </c>
      <c r="X1277" s="92">
        <v>4.0210177977435997</v>
      </c>
      <c r="Z1277" s="91" t="s">
        <v>556</v>
      </c>
      <c r="AA1277" s="92">
        <v>0.53813058599999997</v>
      </c>
    </row>
    <row r="1278" spans="12:33">
      <c r="L1278" s="19"/>
      <c r="M1278" s="19"/>
      <c r="N1278" s="50"/>
      <c r="O1278" s="19"/>
      <c r="P1278" s="19" t="s">
        <v>557</v>
      </c>
      <c r="Q1278" s="23">
        <f>DATE(YEAR(OneWeekMtgRatesDataTable75[[#This Row],[asOf]]),MONTH(OneWeekMtgRatesDataTable75[[#This Row],[asOf]]),DAY(OneWeekMtgRatesDataTable75[[#This Row],[asOf]]))</f>
        <v>40717</v>
      </c>
      <c r="R1278" s="19">
        <v>4.51</v>
      </c>
      <c r="S1278" s="19">
        <v>0.7</v>
      </c>
      <c r="T1278" s="19">
        <v>4.4349999999999996</v>
      </c>
      <c r="V1278" s="91" t="s">
        <v>561</v>
      </c>
      <c r="W1278" s="91" t="s">
        <v>1832</v>
      </c>
      <c r="X1278" s="92">
        <v>3.9900665756964502</v>
      </c>
      <c r="Z1278" s="91" t="s">
        <v>555</v>
      </c>
      <c r="AA1278" s="92">
        <v>0.50879066500000003</v>
      </c>
    </row>
    <row r="1279" spans="12:33">
      <c r="L1279" s="19"/>
      <c r="M1279" s="19"/>
      <c r="N1279" s="50"/>
      <c r="O1279" s="19"/>
      <c r="P1279" s="19" t="s">
        <v>556</v>
      </c>
      <c r="Q1279" s="23">
        <f>DATE(YEAR(OneWeekMtgRatesDataTable75[[#This Row],[asOf]]),MONTH(OneWeekMtgRatesDataTable75[[#This Row],[asOf]]),DAY(OneWeekMtgRatesDataTable75[[#This Row],[asOf]]))</f>
        <v>40716</v>
      </c>
      <c r="R1279" s="19">
        <v>4.5</v>
      </c>
      <c r="S1279" s="19">
        <v>0.8</v>
      </c>
      <c r="T1279" s="19">
        <v>4.45</v>
      </c>
      <c r="V1279" s="91" t="s">
        <v>560</v>
      </c>
      <c r="W1279" s="91" t="s">
        <v>1832</v>
      </c>
      <c r="X1279" s="92">
        <v>3.9645862144820998</v>
      </c>
      <c r="Z1279" s="91" t="s">
        <v>554</v>
      </c>
      <c r="AA1279" s="92">
        <v>0.50879066500000003</v>
      </c>
    </row>
    <row r="1280" spans="12:33">
      <c r="L1280" s="19"/>
      <c r="M1280" s="19"/>
      <c r="N1280" s="50"/>
      <c r="O1280" s="19"/>
      <c r="P1280" s="19" t="s">
        <v>555</v>
      </c>
      <c r="Q1280" s="23">
        <f>DATE(YEAR(OneWeekMtgRatesDataTable75[[#This Row],[asOf]]),MONTH(OneWeekMtgRatesDataTable75[[#This Row],[asOf]]),DAY(OneWeekMtgRatesDataTable75[[#This Row],[asOf]]))</f>
        <v>40715</v>
      </c>
      <c r="R1280" s="19">
        <v>4.5</v>
      </c>
      <c r="S1280" s="19">
        <v>0.8</v>
      </c>
      <c r="T1280" s="19">
        <v>4.45</v>
      </c>
      <c r="V1280" s="91" t="s">
        <v>559</v>
      </c>
      <c r="W1280" s="91" t="s">
        <v>1832</v>
      </c>
      <c r="X1280" s="92">
        <v>3.88514648916032</v>
      </c>
      <c r="Z1280" s="91" t="s">
        <v>553</v>
      </c>
      <c r="AA1280" s="92">
        <v>0.50879066500000003</v>
      </c>
    </row>
    <row r="1281" spans="12:27">
      <c r="L1281" s="19"/>
      <c r="M1281" s="19"/>
      <c r="N1281" s="50"/>
      <c r="O1281" s="19"/>
      <c r="P1281" s="19" t="s">
        <v>554</v>
      </c>
      <c r="Q1281" s="23">
        <f>DATE(YEAR(OneWeekMtgRatesDataTable75[[#This Row],[asOf]]),MONTH(OneWeekMtgRatesDataTable75[[#This Row],[asOf]]),DAY(OneWeekMtgRatesDataTable75[[#This Row],[asOf]]))</f>
        <v>40714</v>
      </c>
      <c r="R1281" s="19">
        <v>4.5</v>
      </c>
      <c r="S1281" s="19">
        <v>0.8</v>
      </c>
      <c r="T1281" s="19">
        <v>4.45</v>
      </c>
      <c r="V1281" s="91" t="s">
        <v>558</v>
      </c>
      <c r="W1281" s="91" t="s">
        <v>1832</v>
      </c>
      <c r="X1281" s="92">
        <v>3.8413126795761698</v>
      </c>
      <c r="Z1281" s="91" t="s">
        <v>552</v>
      </c>
      <c r="AA1281" s="92">
        <v>0.50879066500000003</v>
      </c>
    </row>
    <row r="1282" spans="12:27">
      <c r="L1282" s="19"/>
      <c r="M1282" s="19"/>
      <c r="N1282" s="50"/>
      <c r="O1282" s="19"/>
      <c r="P1282" s="19" t="s">
        <v>553</v>
      </c>
      <c r="Q1282" s="23">
        <f>DATE(YEAR(OneWeekMtgRatesDataTable75[[#This Row],[asOf]]),MONTH(OneWeekMtgRatesDataTable75[[#This Row],[asOf]]),DAY(OneWeekMtgRatesDataTable75[[#This Row],[asOf]]))</f>
        <v>40711</v>
      </c>
      <c r="R1282" s="19">
        <v>4.5</v>
      </c>
      <c r="S1282" s="19">
        <v>0.8</v>
      </c>
      <c r="T1282" s="19">
        <v>4.45</v>
      </c>
      <c r="V1282" s="91" t="s">
        <v>557</v>
      </c>
      <c r="W1282" s="91" t="s">
        <v>1832</v>
      </c>
      <c r="X1282" s="92">
        <v>3.84233320184673</v>
      </c>
      <c r="Z1282" s="91" t="s">
        <v>551</v>
      </c>
      <c r="AA1282" s="92">
        <v>0.50879066500000003</v>
      </c>
    </row>
    <row r="1283" spans="12:27">
      <c r="L1283" s="19"/>
      <c r="M1283" s="19"/>
      <c r="N1283" s="50"/>
      <c r="O1283" s="19"/>
      <c r="P1283" s="19" t="s">
        <v>552</v>
      </c>
      <c r="Q1283" s="23">
        <f>DATE(YEAR(OneWeekMtgRatesDataTable75[[#This Row],[asOf]]),MONTH(OneWeekMtgRatesDataTable75[[#This Row],[asOf]]),DAY(OneWeekMtgRatesDataTable75[[#This Row],[asOf]]))</f>
        <v>40710</v>
      </c>
      <c r="R1283" s="19">
        <v>4.5</v>
      </c>
      <c r="S1283" s="19">
        <v>0.8</v>
      </c>
      <c r="T1283" s="19">
        <v>4.45</v>
      </c>
      <c r="V1283" s="91" t="s">
        <v>556</v>
      </c>
      <c r="W1283" s="91" t="s">
        <v>1832</v>
      </c>
      <c r="X1283" s="92">
        <v>3.9103100553676802</v>
      </c>
      <c r="Z1283" s="91" t="s">
        <v>550</v>
      </c>
      <c r="AA1283" s="92">
        <v>0.52292771999999998</v>
      </c>
    </row>
    <row r="1284" spans="12:27">
      <c r="L1284" s="19"/>
      <c r="M1284" s="19"/>
      <c r="N1284" s="50"/>
      <c r="O1284" s="19"/>
      <c r="P1284" s="19" t="s">
        <v>551</v>
      </c>
      <c r="Q1284" s="23">
        <f>DATE(YEAR(OneWeekMtgRatesDataTable75[[#This Row],[asOf]]),MONTH(OneWeekMtgRatesDataTable75[[#This Row],[asOf]]),DAY(OneWeekMtgRatesDataTable75[[#This Row],[asOf]]))</f>
        <v>40709</v>
      </c>
      <c r="R1284" s="19">
        <v>4.5</v>
      </c>
      <c r="S1284" s="19">
        <v>0.7</v>
      </c>
      <c r="T1284" s="19">
        <v>4.4249999999999998</v>
      </c>
      <c r="V1284" s="91" t="s">
        <v>555</v>
      </c>
      <c r="W1284" s="91" t="s">
        <v>1832</v>
      </c>
      <c r="X1284" s="92">
        <v>3.9333528033335798</v>
      </c>
      <c r="Z1284" s="91" t="s">
        <v>549</v>
      </c>
      <c r="AA1284" s="92">
        <v>0.52292771999999998</v>
      </c>
    </row>
    <row r="1285" spans="12:27">
      <c r="L1285" s="19"/>
      <c r="M1285" s="19"/>
      <c r="N1285" s="50"/>
      <c r="O1285" s="19"/>
      <c r="P1285" s="19" t="s">
        <v>550</v>
      </c>
      <c r="Q1285" s="23">
        <f>DATE(YEAR(OneWeekMtgRatesDataTable75[[#This Row],[asOf]]),MONTH(OneWeekMtgRatesDataTable75[[#This Row],[asOf]]),DAY(OneWeekMtgRatesDataTable75[[#This Row],[asOf]]))</f>
        <v>40708</v>
      </c>
      <c r="R1285" s="19">
        <v>4.5</v>
      </c>
      <c r="S1285" s="19">
        <v>0.7</v>
      </c>
      <c r="T1285" s="19">
        <v>4.4249999999999998</v>
      </c>
      <c r="V1285" s="91" t="s">
        <v>554</v>
      </c>
      <c r="W1285" s="91" t="s">
        <v>1832</v>
      </c>
      <c r="X1285" s="92">
        <v>3.9260526521362999</v>
      </c>
      <c r="Z1285" s="91" t="s">
        <v>548</v>
      </c>
      <c r="AA1285" s="92">
        <v>0.52292771999999998</v>
      </c>
    </row>
    <row r="1286" spans="12:27">
      <c r="L1286" s="19"/>
      <c r="M1286" s="19"/>
      <c r="N1286" s="50"/>
      <c r="O1286" s="19"/>
      <c r="P1286" s="19" t="s">
        <v>549</v>
      </c>
      <c r="Q1286" s="23">
        <f>DATE(YEAR(OneWeekMtgRatesDataTable75[[#This Row],[asOf]]),MONTH(OneWeekMtgRatesDataTable75[[#This Row],[asOf]]),DAY(OneWeekMtgRatesDataTable75[[#This Row],[asOf]]))</f>
        <v>40707</v>
      </c>
      <c r="R1286" s="19">
        <v>4.5</v>
      </c>
      <c r="S1286" s="19">
        <v>0.7</v>
      </c>
      <c r="T1286" s="19">
        <v>4.4249999999999998</v>
      </c>
      <c r="V1286" s="91" t="s">
        <v>553</v>
      </c>
      <c r="W1286" s="91" t="s">
        <v>1832</v>
      </c>
      <c r="X1286" s="92">
        <v>3.9054668226802498</v>
      </c>
      <c r="Z1286" s="91" t="s">
        <v>547</v>
      </c>
      <c r="AA1286" s="92">
        <v>0.52292771999999998</v>
      </c>
    </row>
    <row r="1287" spans="12:27">
      <c r="L1287" s="19"/>
      <c r="M1287" s="19"/>
      <c r="N1287" s="50"/>
      <c r="O1287" s="19"/>
      <c r="P1287" s="19" t="s">
        <v>548</v>
      </c>
      <c r="Q1287" s="23">
        <f>DATE(YEAR(OneWeekMtgRatesDataTable75[[#This Row],[asOf]]),MONTH(OneWeekMtgRatesDataTable75[[#This Row],[asOf]]),DAY(OneWeekMtgRatesDataTable75[[#This Row],[asOf]]))</f>
        <v>40704</v>
      </c>
      <c r="R1287" s="19">
        <v>4.5</v>
      </c>
      <c r="S1287" s="19">
        <v>0.7</v>
      </c>
      <c r="T1287" s="19">
        <v>4.4249999999999998</v>
      </c>
      <c r="V1287" s="91" t="s">
        <v>552</v>
      </c>
      <c r="W1287" s="91" t="s">
        <v>1832</v>
      </c>
      <c r="X1287" s="92">
        <v>3.8841647371272701</v>
      </c>
      <c r="Z1287" s="91" t="s">
        <v>546</v>
      </c>
      <c r="AA1287" s="92">
        <v>0.52292771999999998</v>
      </c>
    </row>
    <row r="1288" spans="12:27">
      <c r="L1288" s="19"/>
      <c r="M1288" s="19"/>
      <c r="N1288" s="50"/>
      <c r="O1288" s="19"/>
      <c r="P1288" s="19" t="s">
        <v>547</v>
      </c>
      <c r="Q1288" s="23">
        <f>DATE(YEAR(OneWeekMtgRatesDataTable75[[#This Row],[asOf]]),MONTH(OneWeekMtgRatesDataTable75[[#This Row],[asOf]]),DAY(OneWeekMtgRatesDataTable75[[#This Row],[asOf]]))</f>
        <v>40703</v>
      </c>
      <c r="R1288" s="19">
        <v>4.5</v>
      </c>
      <c r="S1288" s="19">
        <v>0.7</v>
      </c>
      <c r="T1288" s="19">
        <v>4.4249999999999998</v>
      </c>
      <c r="V1288" s="48" t="s">
        <v>551</v>
      </c>
      <c r="W1288" s="48" t="s">
        <v>1832</v>
      </c>
      <c r="X1288" s="51">
        <v>3.9059042463873701</v>
      </c>
      <c r="Z1288" s="91" t="s">
        <v>545</v>
      </c>
      <c r="AA1288" s="92">
        <v>0.53976111599999999</v>
      </c>
    </row>
    <row r="1289" spans="12:27">
      <c r="L1289" s="19"/>
      <c r="M1289" s="19"/>
      <c r="N1289" s="50"/>
      <c r="O1289" s="19"/>
      <c r="P1289" s="19" t="s">
        <v>546</v>
      </c>
      <c r="Q1289" s="23">
        <f>DATE(YEAR(OneWeekMtgRatesDataTable75[[#This Row],[asOf]]),MONTH(OneWeekMtgRatesDataTable75[[#This Row],[asOf]]),DAY(OneWeekMtgRatesDataTable75[[#This Row],[asOf]]))</f>
        <v>40702</v>
      </c>
      <c r="R1289" s="19">
        <v>4.49</v>
      </c>
      <c r="S1289" s="19">
        <v>0.7</v>
      </c>
      <c r="T1289" s="19">
        <v>4.415</v>
      </c>
      <c r="V1289" s="48" t="s">
        <v>550</v>
      </c>
      <c r="W1289" s="48" t="s">
        <v>1832</v>
      </c>
      <c r="X1289" s="51">
        <v>3.9753443748507</v>
      </c>
      <c r="Z1289" s="91" t="s">
        <v>544</v>
      </c>
      <c r="AA1289" s="92">
        <v>0.53976111599999999</v>
      </c>
    </row>
    <row r="1290" spans="12:27">
      <c r="L1290" s="19"/>
      <c r="M1290" s="19"/>
      <c r="N1290" s="50"/>
      <c r="O1290" s="19"/>
      <c r="P1290" s="19" t="s">
        <v>545</v>
      </c>
      <c r="Q1290" s="23">
        <f>DATE(YEAR(OneWeekMtgRatesDataTable75[[#This Row],[asOf]]),MONTH(OneWeekMtgRatesDataTable75[[#This Row],[asOf]]),DAY(OneWeekMtgRatesDataTable75[[#This Row],[asOf]]))</f>
        <v>40701</v>
      </c>
      <c r="R1290" s="19">
        <v>4.49</v>
      </c>
      <c r="S1290" s="19">
        <v>0.7</v>
      </c>
      <c r="T1290" s="19">
        <v>4.415</v>
      </c>
      <c r="V1290" s="48" t="s">
        <v>549</v>
      </c>
      <c r="W1290" s="48" t="s">
        <v>1832</v>
      </c>
      <c r="X1290" s="51">
        <v>3.9067873129845099</v>
      </c>
      <c r="Z1290" s="91" t="s">
        <v>543</v>
      </c>
      <c r="AA1290" s="92">
        <v>0.53976111599999999</v>
      </c>
    </row>
    <row r="1291" spans="12:27">
      <c r="L1291" s="19"/>
      <c r="M1291" s="19"/>
      <c r="N1291" s="50"/>
      <c r="O1291" s="19"/>
      <c r="P1291" s="19" t="s">
        <v>544</v>
      </c>
      <c r="Q1291" s="23">
        <f>DATE(YEAR(OneWeekMtgRatesDataTable75[[#This Row],[asOf]]),MONTH(OneWeekMtgRatesDataTable75[[#This Row],[asOf]]),DAY(OneWeekMtgRatesDataTable75[[#This Row],[asOf]]))</f>
        <v>40700</v>
      </c>
      <c r="R1291" s="19">
        <v>4.49</v>
      </c>
      <c r="S1291" s="19">
        <v>0.7</v>
      </c>
      <c r="T1291" s="19">
        <v>4.415</v>
      </c>
      <c r="V1291" s="48" t="s">
        <v>548</v>
      </c>
      <c r="W1291" s="48" t="s">
        <v>1832</v>
      </c>
      <c r="X1291" s="51">
        <v>3.8969631716255102</v>
      </c>
      <c r="Z1291" s="48" t="s">
        <v>542</v>
      </c>
      <c r="AA1291" s="51">
        <v>0.53976111599999999</v>
      </c>
    </row>
    <row r="1292" spans="12:27">
      <c r="L1292" s="19"/>
      <c r="M1292" s="19"/>
      <c r="N1292" s="50"/>
      <c r="O1292" s="19"/>
      <c r="P1292" s="19" t="s">
        <v>543</v>
      </c>
      <c r="Q1292" s="23">
        <f>DATE(YEAR(OneWeekMtgRatesDataTable75[[#This Row],[asOf]]),MONTH(OneWeekMtgRatesDataTable75[[#This Row],[asOf]]),DAY(OneWeekMtgRatesDataTable75[[#This Row],[asOf]]))</f>
        <v>40697</v>
      </c>
      <c r="R1292" s="19">
        <v>4.49</v>
      </c>
      <c r="S1292" s="19">
        <v>0.7</v>
      </c>
      <c r="T1292" s="19">
        <v>4.415</v>
      </c>
      <c r="V1292" s="48" t="s">
        <v>547</v>
      </c>
      <c r="W1292" s="48" t="s">
        <v>1832</v>
      </c>
      <c r="X1292" s="51">
        <v>3.8960475696297299</v>
      </c>
      <c r="Z1292" s="48" t="s">
        <v>541</v>
      </c>
      <c r="AA1292" s="51">
        <v>0.53976111599999999</v>
      </c>
    </row>
    <row r="1293" spans="12:27">
      <c r="L1293" s="19"/>
      <c r="M1293" s="19"/>
      <c r="N1293" s="50"/>
      <c r="O1293" s="19"/>
      <c r="P1293" s="19" t="s">
        <v>542</v>
      </c>
      <c r="Q1293" s="23">
        <f>DATE(YEAR(OneWeekMtgRatesDataTable75[[#This Row],[asOf]]),MONTH(OneWeekMtgRatesDataTable75[[#This Row],[asOf]]),DAY(OneWeekMtgRatesDataTable75[[#This Row],[asOf]]))</f>
        <v>40696</v>
      </c>
      <c r="R1293" s="19">
        <v>4.49</v>
      </c>
      <c r="S1293" s="19">
        <v>0.7</v>
      </c>
      <c r="T1293" s="19">
        <v>4.415</v>
      </c>
      <c r="V1293" s="48" t="s">
        <v>546</v>
      </c>
      <c r="W1293" s="48" t="s">
        <v>1832</v>
      </c>
      <c r="X1293" s="51">
        <v>3.8566823596436302</v>
      </c>
      <c r="Z1293" s="48" t="s">
        <v>540</v>
      </c>
      <c r="AA1293" s="51">
        <v>0.53274005999999996</v>
      </c>
    </row>
    <row r="1294" spans="12:27">
      <c r="L1294" s="19"/>
      <c r="M1294" s="19"/>
      <c r="N1294" s="50"/>
      <c r="O1294" s="19"/>
      <c r="P1294" s="19" t="s">
        <v>541</v>
      </c>
      <c r="Q1294" s="23">
        <f>DATE(YEAR(OneWeekMtgRatesDataTable75[[#This Row],[asOf]]),MONTH(OneWeekMtgRatesDataTable75[[#This Row],[asOf]]),DAY(OneWeekMtgRatesDataTable75[[#This Row],[asOf]]))</f>
        <v>40695</v>
      </c>
      <c r="R1294" s="19">
        <v>4.55</v>
      </c>
      <c r="S1294" s="19">
        <v>0.6</v>
      </c>
      <c r="T1294" s="19">
        <v>4.45</v>
      </c>
      <c r="V1294" s="48" t="s">
        <v>545</v>
      </c>
      <c r="W1294" s="48" t="s">
        <v>1832</v>
      </c>
      <c r="X1294" s="51">
        <v>3.8958144444652301</v>
      </c>
      <c r="Z1294" s="48" t="s">
        <v>539</v>
      </c>
      <c r="AA1294" s="51">
        <v>0.53274005999999996</v>
      </c>
    </row>
    <row r="1295" spans="12:27">
      <c r="L1295" s="19"/>
      <c r="M1295" s="19"/>
      <c r="N1295" s="50"/>
      <c r="O1295" s="19"/>
      <c r="P1295" s="19" t="s">
        <v>540</v>
      </c>
      <c r="Q1295" s="23">
        <f>DATE(YEAR(OneWeekMtgRatesDataTable75[[#This Row],[asOf]]),MONTH(OneWeekMtgRatesDataTable75[[#This Row],[asOf]]),DAY(OneWeekMtgRatesDataTable75[[#This Row],[asOf]]))</f>
        <v>40694</v>
      </c>
      <c r="R1295" s="19">
        <v>4.55</v>
      </c>
      <c r="S1295" s="19">
        <v>0.6</v>
      </c>
      <c r="T1295" s="19">
        <v>4.45</v>
      </c>
      <c r="V1295" s="48" t="s">
        <v>544</v>
      </c>
      <c r="W1295" s="48" t="s">
        <v>1832</v>
      </c>
      <c r="X1295" s="51">
        <v>3.9007146694666899</v>
      </c>
      <c r="Z1295" s="48" t="s">
        <v>538</v>
      </c>
      <c r="AA1295" s="51">
        <v>0.53274005999999996</v>
      </c>
    </row>
    <row r="1296" spans="12:27">
      <c r="L1296" s="19"/>
      <c r="M1296" s="19"/>
      <c r="N1296" s="50"/>
      <c r="O1296" s="19"/>
      <c r="P1296" s="19" t="s">
        <v>539</v>
      </c>
      <c r="Q1296" s="23">
        <f>DATE(YEAR(OneWeekMtgRatesDataTable75[[#This Row],[asOf]]),MONTH(OneWeekMtgRatesDataTable75[[#This Row],[asOf]]),DAY(OneWeekMtgRatesDataTable75[[#This Row],[asOf]]))</f>
        <v>40690</v>
      </c>
      <c r="R1296" s="19">
        <v>4.55</v>
      </c>
      <c r="S1296" s="19">
        <v>0.6</v>
      </c>
      <c r="T1296" s="19">
        <v>4.45</v>
      </c>
      <c r="V1296" s="48" t="s">
        <v>543</v>
      </c>
      <c r="W1296" s="48" t="s">
        <v>1832</v>
      </c>
      <c r="X1296" s="51">
        <v>3.8932835819735199</v>
      </c>
      <c r="Z1296" s="48" t="s">
        <v>537</v>
      </c>
      <c r="AA1296" s="51">
        <v>0.53274005999999996</v>
      </c>
    </row>
    <row r="1297" spans="12:27">
      <c r="L1297" s="19"/>
      <c r="M1297" s="19"/>
      <c r="N1297" s="50"/>
      <c r="O1297" s="19"/>
      <c r="P1297" s="19" t="s">
        <v>538</v>
      </c>
      <c r="Q1297" s="23">
        <f>DATE(YEAR(OneWeekMtgRatesDataTable75[[#This Row],[asOf]]),MONTH(OneWeekMtgRatesDataTable75[[#This Row],[asOf]]),DAY(OneWeekMtgRatesDataTable75[[#This Row],[asOf]]))</f>
        <v>40689</v>
      </c>
      <c r="R1297" s="19">
        <v>4.55</v>
      </c>
      <c r="S1297" s="19">
        <v>0.6</v>
      </c>
      <c r="T1297" s="19">
        <v>4.45</v>
      </c>
      <c r="V1297" s="48" t="s">
        <v>542</v>
      </c>
      <c r="W1297" s="48" t="s">
        <v>1832</v>
      </c>
      <c r="X1297" s="51">
        <v>3.91386634442794</v>
      </c>
      <c r="Z1297" s="48" t="s">
        <v>536</v>
      </c>
      <c r="AA1297" s="51">
        <v>0.55107018799999996</v>
      </c>
    </row>
    <row r="1298" spans="12:27">
      <c r="L1298" s="19"/>
      <c r="M1298" s="19"/>
      <c r="N1298" s="50"/>
      <c r="O1298" s="19"/>
      <c r="P1298" s="19" t="s">
        <v>537</v>
      </c>
      <c r="Q1298" s="23">
        <f>DATE(YEAR(OneWeekMtgRatesDataTable75[[#This Row],[asOf]]),MONTH(OneWeekMtgRatesDataTable75[[#This Row],[asOf]]),DAY(OneWeekMtgRatesDataTable75[[#This Row],[asOf]]))</f>
        <v>40688</v>
      </c>
      <c r="R1298" s="19">
        <v>4.5999999999999996</v>
      </c>
      <c r="S1298" s="19">
        <v>0.7</v>
      </c>
      <c r="T1298" s="19">
        <v>4.5249999999999995</v>
      </c>
      <c r="V1298" s="48" t="s">
        <v>541</v>
      </c>
      <c r="W1298" s="48" t="s">
        <v>1832</v>
      </c>
      <c r="X1298" s="51">
        <v>3.86349424372803</v>
      </c>
      <c r="Z1298" s="48" t="s">
        <v>535</v>
      </c>
      <c r="AA1298" s="51">
        <v>0.55107018799999996</v>
      </c>
    </row>
    <row r="1299" spans="12:27">
      <c r="L1299" s="19"/>
      <c r="M1299" s="19"/>
      <c r="N1299" s="50"/>
      <c r="O1299" s="19"/>
      <c r="P1299" s="19" t="s">
        <v>536</v>
      </c>
      <c r="Q1299" s="23">
        <f>DATE(YEAR(OneWeekMtgRatesDataTable75[[#This Row],[asOf]]),MONTH(OneWeekMtgRatesDataTable75[[#This Row],[asOf]]),DAY(OneWeekMtgRatesDataTable75[[#This Row],[asOf]]))</f>
        <v>40687</v>
      </c>
      <c r="R1299" s="19">
        <v>4.5999999999999996</v>
      </c>
      <c r="S1299" s="19">
        <v>0.7</v>
      </c>
      <c r="T1299" s="19">
        <v>4.5249999999999995</v>
      </c>
      <c r="V1299" s="48" t="s">
        <v>540</v>
      </c>
      <c r="W1299" s="48" t="s">
        <v>1832</v>
      </c>
      <c r="X1299" s="51">
        <v>3.93235427092598</v>
      </c>
      <c r="Z1299" s="48" t="s">
        <v>534</v>
      </c>
      <c r="AA1299" s="51">
        <v>0.55107018799999996</v>
      </c>
    </row>
    <row r="1300" spans="12:27">
      <c r="L1300" s="19"/>
      <c r="M1300" s="19"/>
      <c r="N1300" s="50"/>
      <c r="O1300" s="19"/>
      <c r="P1300" s="19" t="s">
        <v>535</v>
      </c>
      <c r="Q1300" s="23">
        <f>DATE(YEAR(OneWeekMtgRatesDataTable75[[#This Row],[asOf]]),MONTH(OneWeekMtgRatesDataTable75[[#This Row],[asOf]]),DAY(OneWeekMtgRatesDataTable75[[#This Row],[asOf]]))</f>
        <v>40686</v>
      </c>
      <c r="R1300" s="19">
        <v>4.5999999999999996</v>
      </c>
      <c r="S1300" s="19">
        <v>0.7</v>
      </c>
      <c r="T1300" s="19">
        <v>4.5249999999999995</v>
      </c>
      <c r="V1300" s="48" t="s">
        <v>539</v>
      </c>
      <c r="W1300" s="48" t="s">
        <v>1832</v>
      </c>
      <c r="X1300" s="51">
        <v>3.9340132469573699</v>
      </c>
      <c r="Z1300" s="48" t="s">
        <v>533</v>
      </c>
      <c r="AA1300" s="51">
        <v>0.55107018799999996</v>
      </c>
    </row>
    <row r="1301" spans="12:27">
      <c r="L1301" s="19"/>
      <c r="M1301" s="19"/>
      <c r="N1301" s="50"/>
      <c r="O1301" s="19"/>
      <c r="P1301" s="19" t="s">
        <v>534</v>
      </c>
      <c r="Q1301" s="23">
        <f>DATE(YEAR(OneWeekMtgRatesDataTable75[[#This Row],[asOf]]),MONTH(OneWeekMtgRatesDataTable75[[#This Row],[asOf]]),DAY(OneWeekMtgRatesDataTable75[[#This Row],[asOf]]))</f>
        <v>40683</v>
      </c>
      <c r="R1301" s="19">
        <v>4.5999999999999996</v>
      </c>
      <c r="S1301" s="19">
        <v>0.7</v>
      </c>
      <c r="T1301" s="19">
        <v>4.5249999999999995</v>
      </c>
      <c r="V1301" s="48" t="s">
        <v>538</v>
      </c>
      <c r="W1301" s="48" t="s">
        <v>1832</v>
      </c>
      <c r="X1301" s="51">
        <v>3.9110937732392999</v>
      </c>
      <c r="Z1301" s="48" t="s">
        <v>532</v>
      </c>
      <c r="AA1301" s="51">
        <v>0.55107018799999996</v>
      </c>
    </row>
    <row r="1302" spans="12:27">
      <c r="L1302" s="19"/>
      <c r="M1302" s="19"/>
      <c r="N1302" s="50"/>
      <c r="O1302" s="19"/>
      <c r="P1302" s="19" t="s">
        <v>533</v>
      </c>
      <c r="Q1302" s="23">
        <f>DATE(YEAR(OneWeekMtgRatesDataTable75[[#This Row],[asOf]]),MONTH(OneWeekMtgRatesDataTable75[[#This Row],[asOf]]),DAY(OneWeekMtgRatesDataTable75[[#This Row],[asOf]]))</f>
        <v>40682</v>
      </c>
      <c r="R1302" s="19">
        <v>4.5999999999999996</v>
      </c>
      <c r="S1302" s="19">
        <v>0.7</v>
      </c>
      <c r="T1302" s="19">
        <v>4.5249999999999995</v>
      </c>
      <c r="V1302" s="48" t="s">
        <v>537</v>
      </c>
      <c r="W1302" s="48" t="s">
        <v>1832</v>
      </c>
      <c r="X1302" s="51">
        <v>3.9826402417029598</v>
      </c>
      <c r="Z1302" s="48" t="s">
        <v>531</v>
      </c>
      <c r="AA1302" s="51">
        <v>0.56884195199999998</v>
      </c>
    </row>
    <row r="1303" spans="12:27">
      <c r="L1303" s="19"/>
      <c r="M1303" s="19"/>
      <c r="N1303" s="50"/>
      <c r="O1303" s="19"/>
      <c r="P1303" s="19" t="s">
        <v>532</v>
      </c>
      <c r="Q1303" s="23">
        <f>DATE(YEAR(OneWeekMtgRatesDataTable75[[#This Row],[asOf]]),MONTH(OneWeekMtgRatesDataTable75[[#This Row],[asOf]]),DAY(OneWeekMtgRatesDataTable75[[#This Row],[asOf]]))</f>
        <v>40681</v>
      </c>
      <c r="R1303" s="19">
        <v>4.6100000000000003</v>
      </c>
      <c r="S1303" s="19">
        <v>0.7</v>
      </c>
      <c r="T1303" s="19">
        <v>4.5350000000000001</v>
      </c>
      <c r="V1303" s="48" t="s">
        <v>536</v>
      </c>
      <c r="W1303" s="48" t="s">
        <v>1832</v>
      </c>
      <c r="X1303" s="51">
        <v>3.9840068188340201</v>
      </c>
      <c r="Z1303" s="48" t="s">
        <v>530</v>
      </c>
      <c r="AA1303" s="51">
        <v>0.56884195199999998</v>
      </c>
    </row>
    <row r="1304" spans="12:27">
      <c r="L1304" s="19"/>
      <c r="M1304" s="19"/>
      <c r="N1304" s="50"/>
      <c r="O1304" s="19"/>
      <c r="P1304" s="19" t="s">
        <v>531</v>
      </c>
      <c r="Q1304" s="23">
        <f>DATE(YEAR(OneWeekMtgRatesDataTable75[[#This Row],[asOf]]),MONTH(OneWeekMtgRatesDataTable75[[#This Row],[asOf]]),DAY(OneWeekMtgRatesDataTable75[[#This Row],[asOf]]))</f>
        <v>40680</v>
      </c>
      <c r="R1304" s="19">
        <v>4.6100000000000003</v>
      </c>
      <c r="S1304" s="19">
        <v>0.7</v>
      </c>
      <c r="T1304" s="19">
        <v>4.5350000000000001</v>
      </c>
      <c r="V1304" s="48" t="s">
        <v>535</v>
      </c>
      <c r="W1304" s="48" t="s">
        <v>1832</v>
      </c>
      <c r="X1304" s="51">
        <v>3.9961535030173398</v>
      </c>
      <c r="Z1304" s="48" t="s">
        <v>529</v>
      </c>
      <c r="AA1304" s="51">
        <v>0.56884195199999998</v>
      </c>
    </row>
    <row r="1305" spans="12:27">
      <c r="L1305" s="19"/>
      <c r="M1305" s="19"/>
      <c r="N1305" s="50"/>
      <c r="O1305" s="19"/>
      <c r="P1305" s="19" t="s">
        <v>530</v>
      </c>
      <c r="Q1305" s="23">
        <f>DATE(YEAR(OneWeekMtgRatesDataTable75[[#This Row],[asOf]]),MONTH(OneWeekMtgRatesDataTable75[[#This Row],[asOf]]),DAY(OneWeekMtgRatesDataTable75[[#This Row],[asOf]]))</f>
        <v>40679</v>
      </c>
      <c r="R1305" s="19">
        <v>4.6100000000000003</v>
      </c>
      <c r="S1305" s="19">
        <v>0.7</v>
      </c>
      <c r="T1305" s="19">
        <v>4.5350000000000001</v>
      </c>
      <c r="V1305" s="48" t="s">
        <v>534</v>
      </c>
      <c r="W1305" s="48" t="s">
        <v>1832</v>
      </c>
      <c r="X1305" s="51">
        <v>3.9928413440389701</v>
      </c>
      <c r="Z1305" s="48" t="s">
        <v>528</v>
      </c>
      <c r="AA1305" s="51">
        <v>0.56884195199999998</v>
      </c>
    </row>
    <row r="1306" spans="12:27">
      <c r="L1306" s="19"/>
      <c r="M1306" s="19"/>
      <c r="N1306" s="50"/>
      <c r="O1306" s="19"/>
      <c r="P1306" s="19" t="s">
        <v>529</v>
      </c>
      <c r="Q1306" s="23">
        <f>DATE(YEAR(OneWeekMtgRatesDataTable75[[#This Row],[asOf]]),MONTH(OneWeekMtgRatesDataTable75[[#This Row],[asOf]]),DAY(OneWeekMtgRatesDataTable75[[#This Row],[asOf]]))</f>
        <v>40676</v>
      </c>
      <c r="R1306" s="19">
        <v>4.6100000000000003</v>
      </c>
      <c r="S1306" s="19">
        <v>0.7</v>
      </c>
      <c r="T1306" s="19">
        <v>4.5350000000000001</v>
      </c>
      <c r="V1306" s="48" t="s">
        <v>533</v>
      </c>
      <c r="W1306" s="48" t="s">
        <v>1832</v>
      </c>
      <c r="X1306" s="51">
        <v>4.0056577921068204</v>
      </c>
      <c r="Z1306" s="48" t="s">
        <v>527</v>
      </c>
      <c r="AA1306" s="51">
        <v>0.56884195199999998</v>
      </c>
    </row>
    <row r="1307" spans="12:27">
      <c r="L1307" s="19"/>
      <c r="M1307" s="19"/>
      <c r="N1307" s="50"/>
      <c r="O1307" s="19"/>
      <c r="P1307" s="19" t="s">
        <v>528</v>
      </c>
      <c r="Q1307" s="23">
        <f>DATE(YEAR(OneWeekMtgRatesDataTable75[[#This Row],[asOf]]),MONTH(OneWeekMtgRatesDataTable75[[#This Row],[asOf]]),DAY(OneWeekMtgRatesDataTable75[[#This Row],[asOf]]))</f>
        <v>40675</v>
      </c>
      <c r="R1307" s="19">
        <v>4.6100000000000003</v>
      </c>
      <c r="S1307" s="19">
        <v>0.7</v>
      </c>
      <c r="T1307" s="19">
        <v>4.5350000000000001</v>
      </c>
      <c r="V1307" s="48" t="s">
        <v>532</v>
      </c>
      <c r="W1307" s="48" t="s">
        <v>1832</v>
      </c>
      <c r="X1307" s="51">
        <v>3.9981747408284201</v>
      </c>
      <c r="Z1307" s="48" t="s">
        <v>526</v>
      </c>
      <c r="AA1307" s="51">
        <v>0.55242545099999996</v>
      </c>
    </row>
    <row r="1308" spans="12:27">
      <c r="L1308" s="19"/>
      <c r="M1308" s="19"/>
      <c r="N1308" s="50"/>
      <c r="O1308" s="19"/>
      <c r="P1308" s="19" t="s">
        <v>527</v>
      </c>
      <c r="Q1308" s="23">
        <f>DATE(YEAR(OneWeekMtgRatesDataTable75[[#This Row],[asOf]]),MONTH(OneWeekMtgRatesDataTable75[[#This Row],[asOf]]),DAY(OneWeekMtgRatesDataTable75[[#This Row],[asOf]]))</f>
        <v>40674</v>
      </c>
      <c r="R1308" s="19">
        <v>4.63</v>
      </c>
      <c r="S1308" s="19">
        <v>0.7</v>
      </c>
      <c r="T1308" s="19">
        <v>4.5549999999999997</v>
      </c>
      <c r="V1308" s="48" t="s">
        <v>531</v>
      </c>
      <c r="W1308" s="48" t="s">
        <v>1832</v>
      </c>
      <c r="X1308" s="51">
        <v>3.9561973951129898</v>
      </c>
      <c r="Z1308" s="48" t="s">
        <v>525</v>
      </c>
      <c r="AA1308" s="51">
        <v>0.55242545099999996</v>
      </c>
    </row>
    <row r="1309" spans="12:27">
      <c r="L1309" s="19"/>
      <c r="M1309" s="19"/>
      <c r="N1309" s="50"/>
      <c r="O1309" s="19"/>
      <c r="P1309" s="19" t="s">
        <v>526</v>
      </c>
      <c r="Q1309" s="23">
        <f>DATE(YEAR(OneWeekMtgRatesDataTable75[[#This Row],[asOf]]),MONTH(OneWeekMtgRatesDataTable75[[#This Row],[asOf]]),DAY(OneWeekMtgRatesDataTable75[[#This Row],[asOf]]))</f>
        <v>40673</v>
      </c>
      <c r="R1309" s="19">
        <v>4.63</v>
      </c>
      <c r="S1309" s="19">
        <v>0.7</v>
      </c>
      <c r="T1309" s="19">
        <v>4.5549999999999997</v>
      </c>
      <c r="V1309" s="48" t="s">
        <v>530</v>
      </c>
      <c r="W1309" s="48" t="s">
        <v>1832</v>
      </c>
      <c r="X1309" s="51">
        <v>3.9714462688070098</v>
      </c>
      <c r="Z1309" s="48" t="s">
        <v>524</v>
      </c>
      <c r="AA1309" s="51">
        <v>0.55242545099999996</v>
      </c>
    </row>
    <row r="1310" spans="12:27">
      <c r="L1310" s="19"/>
      <c r="M1310" s="19"/>
      <c r="N1310" s="50"/>
      <c r="O1310" s="19"/>
      <c r="P1310" s="19" t="s">
        <v>525</v>
      </c>
      <c r="Q1310" s="23">
        <f>DATE(YEAR(OneWeekMtgRatesDataTable75[[#This Row],[asOf]]),MONTH(OneWeekMtgRatesDataTable75[[#This Row],[asOf]]),DAY(OneWeekMtgRatesDataTable75[[#This Row],[asOf]]))</f>
        <v>40672</v>
      </c>
      <c r="R1310" s="19">
        <v>4.63</v>
      </c>
      <c r="S1310" s="19">
        <v>0.7</v>
      </c>
      <c r="T1310" s="19">
        <v>4.5549999999999997</v>
      </c>
      <c r="V1310" s="48" t="s">
        <v>529</v>
      </c>
      <c r="W1310" s="48" t="s">
        <v>1832</v>
      </c>
      <c r="X1310" s="51">
        <v>3.98862222187666</v>
      </c>
      <c r="Z1310" s="48" t="s">
        <v>523</v>
      </c>
      <c r="AA1310" s="51">
        <v>0.55242545099999996</v>
      </c>
    </row>
    <row r="1311" spans="12:27">
      <c r="L1311" s="19"/>
      <c r="M1311" s="19"/>
      <c r="N1311" s="50"/>
      <c r="O1311" s="19"/>
      <c r="P1311" s="19" t="s">
        <v>524</v>
      </c>
      <c r="Q1311" s="23">
        <f>DATE(YEAR(OneWeekMtgRatesDataTable75[[#This Row],[asOf]]),MONTH(OneWeekMtgRatesDataTable75[[#This Row],[asOf]]),DAY(OneWeekMtgRatesDataTable75[[#This Row],[asOf]]))</f>
        <v>40669</v>
      </c>
      <c r="R1311" s="19">
        <v>4.63</v>
      </c>
      <c r="S1311" s="19">
        <v>0.7</v>
      </c>
      <c r="T1311" s="19">
        <v>4.5549999999999997</v>
      </c>
      <c r="V1311" s="48" t="s">
        <v>528</v>
      </c>
      <c r="W1311" s="48" t="s">
        <v>1832</v>
      </c>
      <c r="X1311" s="51">
        <v>4.0052084315685699</v>
      </c>
      <c r="Z1311" s="48" t="s">
        <v>522</v>
      </c>
      <c r="AA1311" s="51">
        <v>0.55242545099999996</v>
      </c>
    </row>
    <row r="1312" spans="12:27">
      <c r="L1312" s="19"/>
      <c r="M1312" s="19"/>
      <c r="N1312" s="50"/>
      <c r="O1312" s="19"/>
      <c r="P1312" s="19" t="s">
        <v>523</v>
      </c>
      <c r="Q1312" s="23">
        <f>DATE(YEAR(OneWeekMtgRatesDataTable75[[#This Row],[asOf]]),MONTH(OneWeekMtgRatesDataTable75[[#This Row],[asOf]]),DAY(OneWeekMtgRatesDataTable75[[#This Row],[asOf]]))</f>
        <v>40668</v>
      </c>
      <c r="R1312" s="19">
        <v>4.63</v>
      </c>
      <c r="S1312" s="19">
        <v>0.7</v>
      </c>
      <c r="T1312" s="19">
        <v>4.5549999999999997</v>
      </c>
      <c r="V1312" s="48" t="s">
        <v>527</v>
      </c>
      <c r="W1312" s="48" t="s">
        <v>1832</v>
      </c>
      <c r="X1312" s="51">
        <v>3.98265251730554</v>
      </c>
      <c r="Z1312" s="48" t="s">
        <v>521</v>
      </c>
      <c r="AA1312" s="51">
        <v>0.52643167400000002</v>
      </c>
    </row>
    <row r="1313" spans="12:27">
      <c r="L1313" s="19"/>
      <c r="M1313" s="19"/>
      <c r="N1313" s="50"/>
      <c r="O1313" s="19"/>
      <c r="P1313" s="19" t="s">
        <v>522</v>
      </c>
      <c r="Q1313" s="23">
        <f>DATE(YEAR(OneWeekMtgRatesDataTable75[[#This Row],[asOf]]),MONTH(OneWeekMtgRatesDataTable75[[#This Row],[asOf]]),DAY(OneWeekMtgRatesDataTable75[[#This Row],[asOf]]))</f>
        <v>40667</v>
      </c>
      <c r="R1313" s="19">
        <v>4.71</v>
      </c>
      <c r="S1313" s="19">
        <v>0.7</v>
      </c>
      <c r="T1313" s="19">
        <v>4.6349999999999998</v>
      </c>
      <c r="V1313" s="48" t="s">
        <v>526</v>
      </c>
      <c r="W1313" s="48" t="s">
        <v>1832</v>
      </c>
      <c r="X1313" s="51">
        <v>4.01017409767306</v>
      </c>
      <c r="Z1313" s="48" t="s">
        <v>520</v>
      </c>
      <c r="AA1313" s="51">
        <v>0.52643167400000002</v>
      </c>
    </row>
    <row r="1314" spans="12:27">
      <c r="L1314" s="19"/>
      <c r="M1314" s="19"/>
      <c r="N1314" s="50"/>
      <c r="O1314" s="19"/>
      <c r="P1314" s="19" t="s">
        <v>521</v>
      </c>
      <c r="Q1314" s="23">
        <f>DATE(YEAR(OneWeekMtgRatesDataTable75[[#This Row],[asOf]]),MONTH(OneWeekMtgRatesDataTable75[[#This Row],[asOf]]),DAY(OneWeekMtgRatesDataTable75[[#This Row],[asOf]]))</f>
        <v>40666</v>
      </c>
      <c r="R1314" s="19">
        <v>4.71</v>
      </c>
      <c r="S1314" s="19">
        <v>0.7</v>
      </c>
      <c r="T1314" s="19">
        <v>4.6349999999999998</v>
      </c>
      <c r="V1314" s="48" t="s">
        <v>525</v>
      </c>
      <c r="W1314" s="48" t="s">
        <v>1832</v>
      </c>
      <c r="X1314" s="51">
        <v>3.9671840173196098</v>
      </c>
      <c r="Z1314" s="48" t="s">
        <v>519</v>
      </c>
      <c r="AA1314" s="51">
        <v>0.52643167400000002</v>
      </c>
    </row>
    <row r="1315" spans="12:27">
      <c r="L1315" s="19"/>
      <c r="M1315" s="19"/>
      <c r="N1315" s="50"/>
      <c r="O1315" s="19"/>
      <c r="P1315" s="19" t="s">
        <v>520</v>
      </c>
      <c r="Q1315" s="23">
        <f>DATE(YEAR(OneWeekMtgRatesDataTable75[[#This Row],[asOf]]),MONTH(OneWeekMtgRatesDataTable75[[#This Row],[asOf]]),DAY(OneWeekMtgRatesDataTable75[[#This Row],[asOf]]))</f>
        <v>40665</v>
      </c>
      <c r="R1315" s="19">
        <v>4.71</v>
      </c>
      <c r="S1315" s="19">
        <v>0.7</v>
      </c>
      <c r="T1315" s="19">
        <v>4.6349999999999998</v>
      </c>
      <c r="V1315" s="48" t="s">
        <v>524</v>
      </c>
      <c r="W1315" s="48" t="s">
        <v>1832</v>
      </c>
      <c r="X1315" s="51">
        <v>3.9810369231878999</v>
      </c>
      <c r="Z1315" s="48" t="s">
        <v>518</v>
      </c>
      <c r="AA1315" s="51">
        <v>0.52643167400000002</v>
      </c>
    </row>
    <row r="1316" spans="12:27">
      <c r="L1316" s="19"/>
      <c r="M1316" s="19"/>
      <c r="N1316" s="50"/>
      <c r="O1316" s="19"/>
      <c r="P1316" s="19" t="s">
        <v>519</v>
      </c>
      <c r="Q1316" s="23">
        <f>DATE(YEAR(OneWeekMtgRatesDataTable75[[#This Row],[asOf]]),MONTH(OneWeekMtgRatesDataTable75[[#This Row],[asOf]]),DAY(OneWeekMtgRatesDataTable75[[#This Row],[asOf]]))</f>
        <v>40662</v>
      </c>
      <c r="R1316" s="19">
        <v>4.71</v>
      </c>
      <c r="S1316" s="19">
        <v>0.7</v>
      </c>
      <c r="T1316" s="19">
        <v>4.6349999999999998</v>
      </c>
      <c r="V1316" s="48" t="s">
        <v>523</v>
      </c>
      <c r="W1316" s="48" t="s">
        <v>1832</v>
      </c>
      <c r="X1316" s="51">
        <v>3.9897426848348498</v>
      </c>
      <c r="Z1316" s="48" t="s">
        <v>517</v>
      </c>
      <c r="AA1316" s="51">
        <v>0.52643167400000002</v>
      </c>
    </row>
    <row r="1317" spans="12:27">
      <c r="L1317" s="19"/>
      <c r="M1317" s="19"/>
      <c r="N1317" s="50"/>
      <c r="O1317" s="19"/>
      <c r="P1317" s="19" t="s">
        <v>518</v>
      </c>
      <c r="Q1317" s="23">
        <f>DATE(YEAR(OneWeekMtgRatesDataTable75[[#This Row],[asOf]]),MONTH(OneWeekMtgRatesDataTable75[[#This Row],[asOf]]),DAY(OneWeekMtgRatesDataTable75[[#This Row],[asOf]]))</f>
        <v>40661</v>
      </c>
      <c r="R1317" s="19">
        <v>4.71</v>
      </c>
      <c r="S1317" s="19">
        <v>0.7</v>
      </c>
      <c r="T1317" s="19">
        <v>4.6349999999999998</v>
      </c>
      <c r="V1317" s="48" t="s">
        <v>522</v>
      </c>
      <c r="W1317" s="48" t="s">
        <v>1832</v>
      </c>
      <c r="X1317" s="51">
        <v>4.0402883420391804</v>
      </c>
      <c r="Z1317" s="48" t="s">
        <v>516</v>
      </c>
      <c r="AA1317" s="51">
        <v>0.504652145</v>
      </c>
    </row>
    <row r="1318" spans="12:27">
      <c r="L1318" s="19"/>
      <c r="M1318" s="19"/>
      <c r="N1318" s="50"/>
      <c r="O1318" s="19"/>
      <c r="P1318" s="19" t="s">
        <v>517</v>
      </c>
      <c r="Q1318" s="23">
        <f>DATE(YEAR(OneWeekMtgRatesDataTable75[[#This Row],[asOf]]),MONTH(OneWeekMtgRatesDataTable75[[#This Row],[asOf]]),DAY(OneWeekMtgRatesDataTable75[[#This Row],[asOf]]))</f>
        <v>40660</v>
      </c>
      <c r="R1318" s="19">
        <v>4.78</v>
      </c>
      <c r="S1318" s="19">
        <v>0.7</v>
      </c>
      <c r="T1318" s="19">
        <v>4.7050000000000001</v>
      </c>
      <c r="V1318" s="48" t="s">
        <v>521</v>
      </c>
      <c r="W1318" s="48" t="s">
        <v>1832</v>
      </c>
      <c r="X1318" s="51">
        <v>4.0711736764918296</v>
      </c>
      <c r="Z1318" s="48" t="s">
        <v>515</v>
      </c>
      <c r="AA1318" s="51">
        <v>0.504652145</v>
      </c>
    </row>
    <row r="1319" spans="12:27">
      <c r="L1319" s="19"/>
      <c r="M1319" s="19"/>
      <c r="N1319" s="50"/>
      <c r="O1319" s="19"/>
      <c r="P1319" s="19" t="s">
        <v>516</v>
      </c>
      <c r="Q1319" s="23">
        <f>DATE(YEAR(OneWeekMtgRatesDataTable75[[#This Row],[asOf]]),MONTH(OneWeekMtgRatesDataTable75[[#This Row],[asOf]]),DAY(OneWeekMtgRatesDataTable75[[#This Row],[asOf]]))</f>
        <v>40659</v>
      </c>
      <c r="R1319" s="19">
        <v>4.78</v>
      </c>
      <c r="S1319" s="19">
        <v>0.7</v>
      </c>
      <c r="T1319" s="19">
        <v>4.7050000000000001</v>
      </c>
      <c r="V1319" s="48" t="s">
        <v>520</v>
      </c>
      <c r="W1319" s="48" t="s">
        <v>1832</v>
      </c>
      <c r="X1319" s="51">
        <v>4.1017392555975398</v>
      </c>
      <c r="Z1319" s="48" t="s">
        <v>514</v>
      </c>
      <c r="AA1319" s="51">
        <v>0.504652145</v>
      </c>
    </row>
    <row r="1320" spans="12:27">
      <c r="L1320" s="19"/>
      <c r="M1320" s="19"/>
      <c r="N1320" s="50"/>
      <c r="O1320" s="19"/>
      <c r="P1320" s="19" t="s">
        <v>515</v>
      </c>
      <c r="Q1320" s="23">
        <f>DATE(YEAR(OneWeekMtgRatesDataTable75[[#This Row],[asOf]]),MONTH(OneWeekMtgRatesDataTable75[[#This Row],[asOf]]),DAY(OneWeekMtgRatesDataTable75[[#This Row],[asOf]]))</f>
        <v>40658</v>
      </c>
      <c r="R1320" s="19">
        <v>4.78</v>
      </c>
      <c r="S1320" s="19">
        <v>0.7</v>
      </c>
      <c r="T1320" s="19">
        <v>4.7050000000000001</v>
      </c>
      <c r="V1320" s="48" t="s">
        <v>519</v>
      </c>
      <c r="W1320" s="48" t="s">
        <v>1832</v>
      </c>
      <c r="X1320" s="51">
        <v>4.0911415079480502</v>
      </c>
      <c r="Z1320" s="48" t="s">
        <v>513</v>
      </c>
      <c r="AA1320" s="51">
        <v>0.504652145</v>
      </c>
    </row>
    <row r="1321" spans="12:27">
      <c r="L1321" s="19"/>
      <c r="M1321" s="19"/>
      <c r="N1321" s="50"/>
      <c r="O1321" s="19"/>
      <c r="P1321" s="19" t="s">
        <v>514</v>
      </c>
      <c r="Q1321" s="23">
        <f>DATE(YEAR(OneWeekMtgRatesDataTable75[[#This Row],[asOf]]),MONTH(OneWeekMtgRatesDataTable75[[#This Row],[asOf]]),DAY(OneWeekMtgRatesDataTable75[[#This Row],[asOf]]))</f>
        <v>40654</v>
      </c>
      <c r="R1321" s="19">
        <v>4.78</v>
      </c>
      <c r="S1321" s="19">
        <v>0.7</v>
      </c>
      <c r="T1321" s="19">
        <v>4.7050000000000001</v>
      </c>
      <c r="V1321" s="48" t="s">
        <v>518</v>
      </c>
      <c r="W1321" s="48" t="s">
        <v>1832</v>
      </c>
      <c r="X1321" s="51">
        <v>4.1085299627435603</v>
      </c>
      <c r="Z1321" s="48" t="s">
        <v>512</v>
      </c>
      <c r="AA1321" s="51">
        <v>0.47681143199999998</v>
      </c>
    </row>
    <row r="1322" spans="12:27">
      <c r="L1322" s="19"/>
      <c r="M1322" s="19"/>
      <c r="N1322" s="50"/>
      <c r="O1322" s="19"/>
      <c r="P1322" s="19" t="s">
        <v>513</v>
      </c>
      <c r="Q1322" s="23">
        <f>DATE(YEAR(OneWeekMtgRatesDataTable75[[#This Row],[asOf]]),MONTH(OneWeekMtgRatesDataTable75[[#This Row],[asOf]]),DAY(OneWeekMtgRatesDataTable75[[#This Row],[asOf]]))</f>
        <v>40653</v>
      </c>
      <c r="R1322" s="19">
        <v>4.8</v>
      </c>
      <c r="S1322" s="19">
        <v>0.7</v>
      </c>
      <c r="T1322" s="19">
        <v>4.7249999999999996</v>
      </c>
      <c r="V1322" s="48" t="s">
        <v>517</v>
      </c>
      <c r="W1322" s="48" t="s">
        <v>1832</v>
      </c>
      <c r="X1322" s="51">
        <v>4.1737753595226996</v>
      </c>
      <c r="Z1322" s="48" t="s">
        <v>511</v>
      </c>
      <c r="AA1322" s="51">
        <v>0.47681143199999998</v>
      </c>
    </row>
    <row r="1323" spans="12:27">
      <c r="L1323" s="19"/>
      <c r="M1323" s="19"/>
      <c r="N1323" s="50"/>
      <c r="O1323" s="19"/>
      <c r="P1323" s="19" t="s">
        <v>512</v>
      </c>
      <c r="Q1323" s="23">
        <f>DATE(YEAR(OneWeekMtgRatesDataTable75[[#This Row],[asOf]]),MONTH(OneWeekMtgRatesDataTable75[[#This Row],[asOf]]),DAY(OneWeekMtgRatesDataTable75[[#This Row],[asOf]]))</f>
        <v>40652</v>
      </c>
      <c r="R1323" s="19">
        <v>4.8</v>
      </c>
      <c r="S1323" s="19">
        <v>0.7</v>
      </c>
      <c r="T1323" s="19">
        <v>4.7249999999999996</v>
      </c>
      <c r="V1323" s="48" t="s">
        <v>516</v>
      </c>
      <c r="W1323" s="48" t="s">
        <v>1832</v>
      </c>
      <c r="X1323" s="51">
        <v>4.1488060132239797</v>
      </c>
      <c r="Z1323" s="48" t="s">
        <v>510</v>
      </c>
      <c r="AA1323" s="51">
        <v>0.47681143199999998</v>
      </c>
    </row>
    <row r="1324" spans="12:27">
      <c r="L1324" s="19"/>
      <c r="M1324" s="19"/>
      <c r="N1324" s="50"/>
      <c r="O1324" s="19"/>
      <c r="P1324" s="19" t="s">
        <v>511</v>
      </c>
      <c r="Q1324" s="23">
        <f>DATE(YEAR(OneWeekMtgRatesDataTable75[[#This Row],[asOf]]),MONTH(OneWeekMtgRatesDataTable75[[#This Row],[asOf]]),DAY(OneWeekMtgRatesDataTable75[[#This Row],[asOf]]))</f>
        <v>40651</v>
      </c>
      <c r="R1324" s="19">
        <v>4.8</v>
      </c>
      <c r="S1324" s="19">
        <v>0.7</v>
      </c>
      <c r="T1324" s="19">
        <v>4.7249999999999996</v>
      </c>
      <c r="V1324" s="48" t="s">
        <v>515</v>
      </c>
      <c r="W1324" s="48" t="s">
        <v>1832</v>
      </c>
      <c r="X1324" s="51">
        <v>4.1798117346260302</v>
      </c>
      <c r="Z1324" s="48" t="s">
        <v>509</v>
      </c>
      <c r="AA1324" s="51">
        <v>0.47681143199999998</v>
      </c>
    </row>
    <row r="1325" spans="12:27">
      <c r="L1325" s="19"/>
      <c r="M1325" s="19"/>
      <c r="N1325" s="50"/>
      <c r="O1325" s="19"/>
      <c r="P1325" s="19" t="s">
        <v>510</v>
      </c>
      <c r="Q1325" s="23">
        <f>DATE(YEAR(OneWeekMtgRatesDataTable75[[#This Row],[asOf]]),MONTH(OneWeekMtgRatesDataTable75[[#This Row],[asOf]]),DAY(OneWeekMtgRatesDataTable75[[#This Row],[asOf]]))</f>
        <v>40648</v>
      </c>
      <c r="R1325" s="19">
        <v>4.8</v>
      </c>
      <c r="S1325" s="19">
        <v>0.7</v>
      </c>
      <c r="T1325" s="19">
        <v>4.7249999999999996</v>
      </c>
      <c r="V1325" s="48" t="s">
        <v>514</v>
      </c>
      <c r="W1325" s="48" t="s">
        <v>1832</v>
      </c>
      <c r="X1325" s="51">
        <v>4.2118801952184501</v>
      </c>
      <c r="Z1325" s="48" t="s">
        <v>508</v>
      </c>
      <c r="AA1325" s="51">
        <v>0.47681143199999998</v>
      </c>
    </row>
    <row r="1326" spans="12:27">
      <c r="L1326" s="19"/>
      <c r="M1326" s="19"/>
      <c r="N1326" s="50"/>
      <c r="O1326" s="19"/>
      <c r="P1326" s="19" t="s">
        <v>509</v>
      </c>
      <c r="Q1326" s="23">
        <f>DATE(YEAR(OneWeekMtgRatesDataTable75[[#This Row],[asOf]]),MONTH(OneWeekMtgRatesDataTable75[[#This Row],[asOf]]),DAY(OneWeekMtgRatesDataTable75[[#This Row],[asOf]]))</f>
        <v>40647</v>
      </c>
      <c r="R1326" s="19">
        <v>4.8</v>
      </c>
      <c r="S1326" s="19">
        <v>0.7</v>
      </c>
      <c r="T1326" s="19">
        <v>4.7249999999999996</v>
      </c>
      <c r="V1326" s="48" t="s">
        <v>513</v>
      </c>
      <c r="W1326" s="48" t="s">
        <v>1832</v>
      </c>
      <c r="X1326" s="51">
        <v>4.2102300154498904</v>
      </c>
      <c r="Z1326" s="48" t="s">
        <v>507</v>
      </c>
      <c r="AA1326" s="51">
        <v>0.49670899400000001</v>
      </c>
    </row>
    <row r="1327" spans="12:27">
      <c r="L1327" s="19"/>
      <c r="M1327" s="19"/>
      <c r="N1327" s="50"/>
      <c r="O1327" s="19"/>
      <c r="P1327" s="19" t="s">
        <v>508</v>
      </c>
      <c r="Q1327" s="23">
        <f>DATE(YEAR(OneWeekMtgRatesDataTable75[[#This Row],[asOf]]),MONTH(OneWeekMtgRatesDataTable75[[#This Row],[asOf]]),DAY(OneWeekMtgRatesDataTable75[[#This Row],[asOf]]))</f>
        <v>40646</v>
      </c>
      <c r="R1327" s="19">
        <v>4.91</v>
      </c>
      <c r="S1327" s="19">
        <v>0.6</v>
      </c>
      <c r="T1327" s="19">
        <v>4.8100000000000005</v>
      </c>
      <c r="V1327" s="48" t="s">
        <v>512</v>
      </c>
      <c r="W1327" s="48" t="s">
        <v>1832</v>
      </c>
      <c r="X1327" s="51">
        <v>4.1805597151959502</v>
      </c>
      <c r="Z1327" s="48" t="s">
        <v>506</v>
      </c>
      <c r="AA1327" s="51">
        <v>0.49670899400000001</v>
      </c>
    </row>
    <row r="1328" spans="12:27">
      <c r="L1328" s="19"/>
      <c r="M1328" s="19"/>
      <c r="N1328" s="50"/>
      <c r="O1328" s="19"/>
      <c r="P1328" s="19" t="s">
        <v>507</v>
      </c>
      <c r="Q1328" s="23">
        <f>DATE(YEAR(OneWeekMtgRatesDataTable75[[#This Row],[asOf]]),MONTH(OneWeekMtgRatesDataTable75[[#This Row],[asOf]]),DAY(OneWeekMtgRatesDataTable75[[#This Row],[asOf]]))</f>
        <v>40645</v>
      </c>
      <c r="R1328" s="19">
        <v>4.91</v>
      </c>
      <c r="S1328" s="19">
        <v>0.6</v>
      </c>
      <c r="T1328" s="19">
        <v>4.8100000000000005</v>
      </c>
      <c r="V1328" s="48" t="s">
        <v>511</v>
      </c>
      <c r="W1328" s="48" t="s">
        <v>1832</v>
      </c>
      <c r="X1328" s="51">
        <v>4.1920950828505896</v>
      </c>
      <c r="Z1328" s="48" t="s">
        <v>505</v>
      </c>
      <c r="AA1328" s="51">
        <v>0.49670899400000001</v>
      </c>
    </row>
    <row r="1329" spans="12:27">
      <c r="L1329" s="19"/>
      <c r="M1329" s="19"/>
      <c r="N1329" s="50"/>
      <c r="O1329" s="19"/>
      <c r="P1329" s="19" t="s">
        <v>506</v>
      </c>
      <c r="Q1329" s="23">
        <f>DATE(YEAR(OneWeekMtgRatesDataTable75[[#This Row],[asOf]]),MONTH(OneWeekMtgRatesDataTable75[[#This Row],[asOf]]),DAY(OneWeekMtgRatesDataTable75[[#This Row],[asOf]]))</f>
        <v>40644</v>
      </c>
      <c r="R1329" s="19">
        <v>4.91</v>
      </c>
      <c r="S1329" s="19">
        <v>0.6</v>
      </c>
      <c r="T1329" s="19">
        <v>4.8100000000000005</v>
      </c>
      <c r="V1329" s="48" t="s">
        <v>510</v>
      </c>
      <c r="W1329" s="48" t="s">
        <v>1832</v>
      </c>
      <c r="X1329" s="51">
        <v>4.2253488908248604</v>
      </c>
      <c r="Z1329" s="48" t="s">
        <v>504</v>
      </c>
      <c r="AA1329" s="51">
        <v>0.49670899400000001</v>
      </c>
    </row>
    <row r="1330" spans="12:27">
      <c r="L1330" s="19"/>
      <c r="M1330" s="19"/>
      <c r="N1330" s="50"/>
      <c r="O1330" s="19"/>
      <c r="P1330" s="19" t="s">
        <v>505</v>
      </c>
      <c r="Q1330" s="23">
        <f>DATE(YEAR(OneWeekMtgRatesDataTable75[[#This Row],[asOf]]),MONTH(OneWeekMtgRatesDataTable75[[#This Row],[asOf]]),DAY(OneWeekMtgRatesDataTable75[[#This Row],[asOf]]))</f>
        <v>40641</v>
      </c>
      <c r="R1330" s="19">
        <v>4.91</v>
      </c>
      <c r="S1330" s="19">
        <v>0.6</v>
      </c>
      <c r="T1330" s="19">
        <v>4.8100000000000005</v>
      </c>
      <c r="V1330" s="48" t="s">
        <v>509</v>
      </c>
      <c r="W1330" s="48" t="s">
        <v>1832</v>
      </c>
      <c r="X1330" s="51">
        <v>4.2935055694790503</v>
      </c>
      <c r="Z1330" s="48" t="s">
        <v>503</v>
      </c>
      <c r="AA1330" s="51">
        <v>0.49670899400000001</v>
      </c>
    </row>
    <row r="1331" spans="12:27">
      <c r="L1331" s="19"/>
      <c r="M1331" s="19"/>
      <c r="N1331" s="50"/>
      <c r="O1331" s="19"/>
      <c r="P1331" s="19" t="s">
        <v>504</v>
      </c>
      <c r="Q1331" s="23">
        <f>DATE(YEAR(OneWeekMtgRatesDataTable75[[#This Row],[asOf]]),MONTH(OneWeekMtgRatesDataTable75[[#This Row],[asOf]]),DAY(OneWeekMtgRatesDataTable75[[#This Row],[asOf]]))</f>
        <v>40640</v>
      </c>
      <c r="R1331" s="19">
        <v>4.91</v>
      </c>
      <c r="S1331" s="19">
        <v>0.6</v>
      </c>
      <c r="T1331" s="19">
        <v>4.8100000000000005</v>
      </c>
      <c r="V1331" s="48" t="s">
        <v>508</v>
      </c>
      <c r="W1331" s="48" t="s">
        <v>1832</v>
      </c>
      <c r="X1331" s="51">
        <v>4.2868662030008098</v>
      </c>
      <c r="Z1331" s="48" t="s">
        <v>502</v>
      </c>
      <c r="AA1331" s="51">
        <v>0.52011486699999998</v>
      </c>
    </row>
    <row r="1332" spans="12:27">
      <c r="L1332" s="19"/>
      <c r="M1332" s="19"/>
      <c r="N1332" s="50"/>
      <c r="O1332" s="19"/>
      <c r="P1332" s="19" t="s">
        <v>503</v>
      </c>
      <c r="Q1332" s="23">
        <f>DATE(YEAR(OneWeekMtgRatesDataTable75[[#This Row],[asOf]]),MONTH(OneWeekMtgRatesDataTable75[[#This Row],[asOf]]),DAY(OneWeekMtgRatesDataTable75[[#This Row],[asOf]]))</f>
        <v>40639</v>
      </c>
      <c r="R1332" s="19">
        <v>4.87</v>
      </c>
      <c r="S1332" s="19">
        <v>0.7</v>
      </c>
      <c r="T1332" s="19">
        <v>4.7949999999999999</v>
      </c>
      <c r="V1332" s="48" t="s">
        <v>507</v>
      </c>
      <c r="W1332" s="48" t="s">
        <v>1832</v>
      </c>
      <c r="X1332" s="51">
        <v>4.30611620618477</v>
      </c>
      <c r="Z1332" s="48" t="s">
        <v>501</v>
      </c>
      <c r="AA1332" s="51">
        <v>0.52011486699999998</v>
      </c>
    </row>
    <row r="1333" spans="12:27">
      <c r="L1333" s="19"/>
      <c r="M1333" s="19"/>
      <c r="N1333" s="50"/>
      <c r="O1333" s="19"/>
      <c r="P1333" s="19" t="s">
        <v>502</v>
      </c>
      <c r="Q1333" s="23">
        <f>DATE(YEAR(OneWeekMtgRatesDataTable75[[#This Row],[asOf]]),MONTH(OneWeekMtgRatesDataTable75[[#This Row],[asOf]]),DAY(OneWeekMtgRatesDataTable75[[#This Row],[asOf]]))</f>
        <v>40638</v>
      </c>
      <c r="R1333" s="19">
        <v>4.87</v>
      </c>
      <c r="S1333" s="19">
        <v>0.7</v>
      </c>
      <c r="T1333" s="19">
        <v>4.7949999999999999</v>
      </c>
      <c r="V1333" s="48" t="s">
        <v>506</v>
      </c>
      <c r="W1333" s="48" t="s">
        <v>1832</v>
      </c>
      <c r="X1333" s="51">
        <v>4.3573317351240703</v>
      </c>
      <c r="Z1333" s="48" t="s">
        <v>500</v>
      </c>
      <c r="AA1333" s="51">
        <v>0.52011486699999998</v>
      </c>
    </row>
    <row r="1334" spans="12:27">
      <c r="L1334" s="19"/>
      <c r="M1334" s="19"/>
      <c r="N1334" s="50"/>
      <c r="O1334" s="19"/>
      <c r="P1334" s="19" t="s">
        <v>501</v>
      </c>
      <c r="Q1334" s="23">
        <f>DATE(YEAR(OneWeekMtgRatesDataTable75[[#This Row],[asOf]]),MONTH(OneWeekMtgRatesDataTable75[[#This Row],[asOf]]),DAY(OneWeekMtgRatesDataTable75[[#This Row],[asOf]]))</f>
        <v>40637</v>
      </c>
      <c r="R1334" s="19">
        <v>4.87</v>
      </c>
      <c r="S1334" s="19">
        <v>0.7</v>
      </c>
      <c r="T1334" s="19">
        <v>4.7949999999999999</v>
      </c>
      <c r="V1334" s="48" t="s">
        <v>505</v>
      </c>
      <c r="W1334" s="48" t="s">
        <v>1832</v>
      </c>
      <c r="X1334" s="51">
        <v>4.3622076135317203</v>
      </c>
      <c r="Z1334" s="48" t="s">
        <v>499</v>
      </c>
      <c r="AA1334" s="51">
        <v>0.52011486699999998</v>
      </c>
    </row>
    <row r="1335" spans="12:27">
      <c r="L1335" s="19"/>
      <c r="M1335" s="19"/>
      <c r="N1335" s="50"/>
      <c r="O1335" s="19"/>
      <c r="P1335" s="19" t="s">
        <v>500</v>
      </c>
      <c r="Q1335" s="23">
        <f>DATE(YEAR(OneWeekMtgRatesDataTable75[[#This Row],[asOf]]),MONTH(OneWeekMtgRatesDataTable75[[#This Row],[asOf]]),DAY(OneWeekMtgRatesDataTable75[[#This Row],[asOf]]))</f>
        <v>40634</v>
      </c>
      <c r="R1335" s="19">
        <v>4.87</v>
      </c>
      <c r="S1335" s="19">
        <v>0.7</v>
      </c>
      <c r="T1335" s="19">
        <v>4.7949999999999999</v>
      </c>
      <c r="V1335" s="48" t="s">
        <v>504</v>
      </c>
      <c r="W1335" s="48" t="s">
        <v>1832</v>
      </c>
      <c r="X1335" s="51">
        <v>4.3534210844177004</v>
      </c>
      <c r="Z1335" s="48" t="s">
        <v>498</v>
      </c>
      <c r="AA1335" s="51">
        <v>0.52011486699999998</v>
      </c>
    </row>
    <row r="1336" spans="12:27">
      <c r="L1336" s="19"/>
      <c r="M1336" s="19"/>
      <c r="N1336" s="50"/>
      <c r="O1336" s="19"/>
      <c r="P1336" s="19" t="s">
        <v>499</v>
      </c>
      <c r="Q1336" s="23">
        <f>DATE(YEAR(OneWeekMtgRatesDataTable75[[#This Row],[asOf]]),MONTH(OneWeekMtgRatesDataTable75[[#This Row],[asOf]]),DAY(OneWeekMtgRatesDataTable75[[#This Row],[asOf]]))</f>
        <v>40633</v>
      </c>
      <c r="R1336" s="19">
        <v>4.87</v>
      </c>
      <c r="S1336" s="19">
        <v>0.7</v>
      </c>
      <c r="T1336" s="19">
        <v>4.7949999999999999</v>
      </c>
      <c r="V1336" s="48" t="s">
        <v>503</v>
      </c>
      <c r="W1336" s="48" t="s">
        <v>1832</v>
      </c>
      <c r="X1336" s="51">
        <v>4.3581821128406304</v>
      </c>
      <c r="Z1336" s="48" t="s">
        <v>497</v>
      </c>
      <c r="AA1336" s="51">
        <v>0.57891279900000003</v>
      </c>
    </row>
    <row r="1337" spans="12:27">
      <c r="L1337" s="19"/>
      <c r="M1337" s="19"/>
      <c r="N1337" s="50"/>
      <c r="O1337" s="19"/>
      <c r="P1337" s="19" t="s">
        <v>498</v>
      </c>
      <c r="Q1337" s="23">
        <f>DATE(YEAR(OneWeekMtgRatesDataTable75[[#This Row],[asOf]]),MONTH(OneWeekMtgRatesDataTable75[[#This Row],[asOf]]),DAY(OneWeekMtgRatesDataTable75[[#This Row],[asOf]]))</f>
        <v>40632</v>
      </c>
      <c r="R1337" s="19">
        <v>4.8600000000000003</v>
      </c>
      <c r="S1337" s="19">
        <v>0.7</v>
      </c>
      <c r="T1337" s="19">
        <v>4.7850000000000001</v>
      </c>
      <c r="V1337" s="48" t="s">
        <v>502</v>
      </c>
      <c r="W1337" s="48" t="s">
        <v>1832</v>
      </c>
      <c r="X1337" s="51">
        <v>4.32682935952222</v>
      </c>
      <c r="Z1337" s="48" t="s">
        <v>496</v>
      </c>
      <c r="AA1337" s="51">
        <v>0.57891279900000003</v>
      </c>
    </row>
    <row r="1338" spans="12:27">
      <c r="L1338" s="19"/>
      <c r="M1338" s="19"/>
      <c r="N1338" s="50"/>
      <c r="O1338" s="19"/>
      <c r="P1338" s="19" t="s">
        <v>497</v>
      </c>
      <c r="Q1338" s="23">
        <f>DATE(YEAR(OneWeekMtgRatesDataTable75[[#This Row],[asOf]]),MONTH(OneWeekMtgRatesDataTable75[[#This Row],[asOf]]),DAY(OneWeekMtgRatesDataTable75[[#This Row],[asOf]]))</f>
        <v>40631</v>
      </c>
      <c r="R1338" s="19">
        <v>4.8600000000000003</v>
      </c>
      <c r="S1338" s="19">
        <v>0.7</v>
      </c>
      <c r="T1338" s="19">
        <v>4.7850000000000001</v>
      </c>
      <c r="V1338" s="48" t="s">
        <v>501</v>
      </c>
      <c r="W1338" s="48" t="s">
        <v>1832</v>
      </c>
      <c r="X1338" s="51">
        <v>4.2707131453580098</v>
      </c>
      <c r="Z1338" s="48" t="s">
        <v>495</v>
      </c>
      <c r="AA1338" s="51">
        <v>0.57891279900000003</v>
      </c>
    </row>
    <row r="1339" spans="12:27">
      <c r="L1339" s="19"/>
      <c r="M1339" s="19"/>
      <c r="N1339" s="50"/>
      <c r="O1339" s="19"/>
      <c r="P1339" s="19" t="s">
        <v>496</v>
      </c>
      <c r="Q1339" s="23">
        <f>DATE(YEAR(OneWeekMtgRatesDataTable75[[#This Row],[asOf]]),MONTH(OneWeekMtgRatesDataTable75[[#This Row],[asOf]]),DAY(OneWeekMtgRatesDataTable75[[#This Row],[asOf]]))</f>
        <v>40630</v>
      </c>
      <c r="R1339" s="19">
        <v>4.8600000000000003</v>
      </c>
      <c r="S1339" s="19">
        <v>0.7</v>
      </c>
      <c r="T1339" s="19">
        <v>4.7850000000000001</v>
      </c>
      <c r="V1339" s="48" t="s">
        <v>500</v>
      </c>
      <c r="W1339" s="48" t="s">
        <v>1832</v>
      </c>
      <c r="X1339" s="51">
        <v>4.2725182079422597</v>
      </c>
      <c r="Z1339" s="48" t="s">
        <v>494</v>
      </c>
      <c r="AA1339" s="51">
        <v>0.57891279900000003</v>
      </c>
    </row>
    <row r="1340" spans="12:27">
      <c r="L1340" s="19"/>
      <c r="M1340" s="19"/>
      <c r="N1340" s="50"/>
      <c r="O1340" s="19"/>
      <c r="P1340" s="19" t="s">
        <v>495</v>
      </c>
      <c r="Q1340" s="23">
        <f>DATE(YEAR(OneWeekMtgRatesDataTable75[[#This Row],[asOf]]),MONTH(OneWeekMtgRatesDataTable75[[#This Row],[asOf]]),DAY(OneWeekMtgRatesDataTable75[[#This Row],[asOf]]))</f>
        <v>40627</v>
      </c>
      <c r="R1340" s="19">
        <v>4.8600000000000003</v>
      </c>
      <c r="S1340" s="19">
        <v>0.7</v>
      </c>
      <c r="T1340" s="19">
        <v>4.7850000000000001</v>
      </c>
      <c r="V1340" s="48" t="s">
        <v>499</v>
      </c>
      <c r="W1340" s="48" t="s">
        <v>1832</v>
      </c>
      <c r="X1340" s="51">
        <v>4.26321220258097</v>
      </c>
      <c r="Z1340" s="48" t="s">
        <v>493</v>
      </c>
      <c r="AA1340" s="51">
        <v>0.57891279900000003</v>
      </c>
    </row>
    <row r="1341" spans="12:27">
      <c r="L1341" s="19"/>
      <c r="M1341" s="19"/>
      <c r="N1341" s="50"/>
      <c r="O1341" s="19"/>
      <c r="P1341" s="19" t="s">
        <v>494</v>
      </c>
      <c r="Q1341" s="23">
        <f>DATE(YEAR(OneWeekMtgRatesDataTable75[[#This Row],[asOf]]),MONTH(OneWeekMtgRatesDataTable75[[#This Row],[asOf]]),DAY(OneWeekMtgRatesDataTable75[[#This Row],[asOf]]))</f>
        <v>40626</v>
      </c>
      <c r="R1341" s="19">
        <v>4.8600000000000003</v>
      </c>
      <c r="S1341" s="19">
        <v>0.7</v>
      </c>
      <c r="T1341" s="19">
        <v>4.7850000000000001</v>
      </c>
      <c r="V1341" s="48" t="s">
        <v>498</v>
      </c>
      <c r="W1341" s="48" t="s">
        <v>1832</v>
      </c>
      <c r="X1341" s="51">
        <v>4.2688327995501503</v>
      </c>
      <c r="Z1341" s="48" t="s">
        <v>492</v>
      </c>
      <c r="AA1341" s="51">
        <v>0.51569665799999997</v>
      </c>
    </row>
    <row r="1342" spans="12:27">
      <c r="L1342" s="19"/>
      <c r="M1342" s="19"/>
      <c r="N1342" s="50"/>
      <c r="O1342" s="19"/>
      <c r="P1342" s="19" t="s">
        <v>493</v>
      </c>
      <c r="Q1342" s="23">
        <f>DATE(YEAR(OneWeekMtgRatesDataTable75[[#This Row],[asOf]]),MONTH(OneWeekMtgRatesDataTable75[[#This Row],[asOf]]),DAY(OneWeekMtgRatesDataTable75[[#This Row],[asOf]]))</f>
        <v>40625</v>
      </c>
      <c r="R1342" s="19">
        <v>4.8099999999999996</v>
      </c>
      <c r="S1342" s="19">
        <v>0.7</v>
      </c>
      <c r="T1342" s="19">
        <v>4.7349999999999994</v>
      </c>
      <c r="V1342" s="48" t="s">
        <v>497</v>
      </c>
      <c r="W1342" s="48" t="s">
        <v>1832</v>
      </c>
      <c r="X1342" s="51">
        <v>4.3031579691569499</v>
      </c>
      <c r="Z1342" s="48" t="s">
        <v>491</v>
      </c>
      <c r="AA1342" s="51">
        <v>0.51569665799999997</v>
      </c>
    </row>
    <row r="1343" spans="12:27">
      <c r="L1343" s="19"/>
      <c r="M1343" s="19"/>
      <c r="N1343" s="50"/>
      <c r="O1343" s="19"/>
      <c r="P1343" s="19" t="s">
        <v>492</v>
      </c>
      <c r="Q1343" s="23">
        <f>DATE(YEAR(OneWeekMtgRatesDataTable75[[#This Row],[asOf]]),MONTH(OneWeekMtgRatesDataTable75[[#This Row],[asOf]]),DAY(OneWeekMtgRatesDataTable75[[#This Row],[asOf]]))</f>
        <v>40624</v>
      </c>
      <c r="R1343" s="19">
        <v>4.8099999999999996</v>
      </c>
      <c r="S1343" s="19">
        <v>0.7</v>
      </c>
      <c r="T1343" s="19">
        <v>4.7349999999999994</v>
      </c>
      <c r="V1343" s="48" t="s">
        <v>496</v>
      </c>
      <c r="W1343" s="48" t="s">
        <v>1832</v>
      </c>
      <c r="X1343" s="51">
        <v>4.2631006281435502</v>
      </c>
      <c r="Z1343" s="48" t="s">
        <v>490</v>
      </c>
      <c r="AA1343" s="51">
        <v>0.51569665799999997</v>
      </c>
    </row>
    <row r="1344" spans="12:27">
      <c r="L1344" s="19"/>
      <c r="M1344" s="19"/>
      <c r="N1344" s="50"/>
      <c r="O1344" s="19"/>
      <c r="P1344" s="19" t="s">
        <v>491</v>
      </c>
      <c r="Q1344" s="23">
        <f>DATE(YEAR(OneWeekMtgRatesDataTable75[[#This Row],[asOf]]),MONTH(OneWeekMtgRatesDataTable75[[#This Row],[asOf]]),DAY(OneWeekMtgRatesDataTable75[[#This Row],[asOf]]))</f>
        <v>40623</v>
      </c>
      <c r="R1344" s="19">
        <v>4.8099999999999996</v>
      </c>
      <c r="S1344" s="19">
        <v>0.7</v>
      </c>
      <c r="T1344" s="19">
        <v>4.7349999999999994</v>
      </c>
      <c r="V1344" s="48" t="s">
        <v>495</v>
      </c>
      <c r="W1344" s="48" t="s">
        <v>1832</v>
      </c>
      <c r="X1344" s="51">
        <v>4.2607943289152903</v>
      </c>
      <c r="Z1344" s="48" t="s">
        <v>489</v>
      </c>
      <c r="AA1344" s="51">
        <v>0.51569665799999997</v>
      </c>
    </row>
    <row r="1345" spans="12:27">
      <c r="L1345" s="19"/>
      <c r="M1345" s="19"/>
      <c r="N1345" s="50"/>
      <c r="O1345" s="19"/>
      <c r="P1345" s="19" t="s">
        <v>490</v>
      </c>
      <c r="Q1345" s="23">
        <f>DATE(YEAR(OneWeekMtgRatesDataTable75[[#This Row],[asOf]]),MONTH(OneWeekMtgRatesDataTable75[[#This Row],[asOf]]),DAY(OneWeekMtgRatesDataTable75[[#This Row],[asOf]]))</f>
        <v>40620</v>
      </c>
      <c r="R1345" s="19">
        <v>4.8099999999999996</v>
      </c>
      <c r="S1345" s="19">
        <v>0.7</v>
      </c>
      <c r="T1345" s="19">
        <v>4.7349999999999994</v>
      </c>
      <c r="V1345" s="48" t="s">
        <v>494</v>
      </c>
      <c r="W1345" s="48" t="s">
        <v>1832</v>
      </c>
      <c r="X1345" s="51">
        <v>4.22853993673895</v>
      </c>
      <c r="Z1345" s="48" t="s">
        <v>488</v>
      </c>
      <c r="AA1345" s="51">
        <v>0.51569665799999997</v>
      </c>
    </row>
    <row r="1346" spans="12:27">
      <c r="L1346" s="19"/>
      <c r="M1346" s="19"/>
      <c r="N1346" s="50"/>
      <c r="O1346" s="19"/>
      <c r="P1346" s="19" t="s">
        <v>489</v>
      </c>
      <c r="Q1346" s="23">
        <f>DATE(YEAR(OneWeekMtgRatesDataTable75[[#This Row],[asOf]]),MONTH(OneWeekMtgRatesDataTable75[[#This Row],[asOf]]),DAY(OneWeekMtgRatesDataTable75[[#This Row],[asOf]]))</f>
        <v>40619</v>
      </c>
      <c r="R1346" s="19">
        <v>4.8099999999999996</v>
      </c>
      <c r="S1346" s="19">
        <v>0.7</v>
      </c>
      <c r="T1346" s="19">
        <v>4.7349999999999994</v>
      </c>
      <c r="V1346" s="48" t="s">
        <v>493</v>
      </c>
      <c r="W1346" s="48" t="s">
        <v>1832</v>
      </c>
      <c r="X1346" s="51">
        <v>4.2092705664772598</v>
      </c>
      <c r="Z1346" s="48" t="s">
        <v>487</v>
      </c>
      <c r="AA1346" s="51">
        <v>0.51340078200000006</v>
      </c>
    </row>
    <row r="1347" spans="12:27">
      <c r="L1347" s="19"/>
      <c r="M1347" s="19"/>
      <c r="N1347" s="50"/>
      <c r="O1347" s="19"/>
      <c r="P1347" s="19" t="s">
        <v>488</v>
      </c>
      <c r="Q1347" s="23">
        <f>DATE(YEAR(OneWeekMtgRatesDataTable75[[#This Row],[asOf]]),MONTH(OneWeekMtgRatesDataTable75[[#This Row],[asOf]]),DAY(OneWeekMtgRatesDataTable75[[#This Row],[asOf]]))</f>
        <v>40618</v>
      </c>
      <c r="R1347" s="19">
        <v>4.76</v>
      </c>
      <c r="S1347" s="19">
        <v>0.7</v>
      </c>
      <c r="T1347" s="19">
        <v>4.6849999999999996</v>
      </c>
      <c r="V1347" s="48" t="s">
        <v>492</v>
      </c>
      <c r="W1347" s="48" t="s">
        <v>1832</v>
      </c>
      <c r="X1347" s="51">
        <v>4.1893598629654702</v>
      </c>
      <c r="Z1347" s="48" t="s">
        <v>486</v>
      </c>
      <c r="AA1347" s="51">
        <v>0.51340078200000006</v>
      </c>
    </row>
    <row r="1348" spans="12:27">
      <c r="L1348" s="19"/>
      <c r="M1348" s="19"/>
      <c r="N1348" s="50"/>
      <c r="O1348" s="19"/>
      <c r="P1348" s="19" t="s">
        <v>487</v>
      </c>
      <c r="Q1348" s="23">
        <f>DATE(YEAR(OneWeekMtgRatesDataTable75[[#This Row],[asOf]]),MONTH(OneWeekMtgRatesDataTable75[[#This Row],[asOf]]),DAY(OneWeekMtgRatesDataTable75[[#This Row],[asOf]]))</f>
        <v>40617</v>
      </c>
      <c r="R1348" s="19">
        <v>4.76</v>
      </c>
      <c r="S1348" s="19">
        <v>0.7</v>
      </c>
      <c r="T1348" s="19">
        <v>4.6849999999999996</v>
      </c>
      <c r="V1348" s="48" t="s">
        <v>491</v>
      </c>
      <c r="W1348" s="48" t="s">
        <v>1832</v>
      </c>
      <c r="X1348" s="51">
        <v>4.1633848417706298</v>
      </c>
      <c r="Z1348" s="48" t="s">
        <v>485</v>
      </c>
      <c r="AA1348" s="51">
        <v>0.51340078200000006</v>
      </c>
    </row>
    <row r="1349" spans="12:27">
      <c r="L1349" s="19"/>
      <c r="M1349" s="19"/>
      <c r="N1349" s="50"/>
      <c r="O1349" s="19"/>
      <c r="P1349" s="19" t="s">
        <v>486</v>
      </c>
      <c r="Q1349" s="23">
        <f>DATE(YEAR(OneWeekMtgRatesDataTable75[[#This Row],[asOf]]),MONTH(OneWeekMtgRatesDataTable75[[#This Row],[asOf]]),DAY(OneWeekMtgRatesDataTable75[[#This Row],[asOf]]))</f>
        <v>40616</v>
      </c>
      <c r="R1349" s="19">
        <v>4.76</v>
      </c>
      <c r="S1349" s="19">
        <v>0.7</v>
      </c>
      <c r="T1349" s="19">
        <v>4.6849999999999996</v>
      </c>
      <c r="V1349" s="48" t="s">
        <v>490</v>
      </c>
      <c r="W1349" s="48" t="s">
        <v>1832</v>
      </c>
      <c r="X1349" s="51">
        <v>4.1111783880134496</v>
      </c>
      <c r="Z1349" s="48" t="s">
        <v>484</v>
      </c>
      <c r="AA1349" s="51">
        <v>0.51340078200000006</v>
      </c>
    </row>
    <row r="1350" spans="12:27">
      <c r="L1350" s="19"/>
      <c r="M1350" s="19"/>
      <c r="N1350" s="50"/>
      <c r="O1350" s="19"/>
      <c r="P1350" s="19" t="s">
        <v>485</v>
      </c>
      <c r="Q1350" s="23">
        <f>DATE(YEAR(OneWeekMtgRatesDataTable75[[#This Row],[asOf]]),MONTH(OneWeekMtgRatesDataTable75[[#This Row],[asOf]]),DAY(OneWeekMtgRatesDataTable75[[#This Row],[asOf]]))</f>
        <v>40613</v>
      </c>
      <c r="R1350" s="19">
        <v>4.76</v>
      </c>
      <c r="S1350" s="19">
        <v>0.7</v>
      </c>
      <c r="T1350" s="19">
        <v>4.6849999999999996</v>
      </c>
      <c r="V1350" s="48" t="s">
        <v>489</v>
      </c>
      <c r="W1350" s="48" t="s">
        <v>1832</v>
      </c>
      <c r="X1350" s="51">
        <v>4.1072423459751501</v>
      </c>
      <c r="Z1350" s="48" t="s">
        <v>483</v>
      </c>
      <c r="AA1350" s="51">
        <v>0.51340078200000006</v>
      </c>
    </row>
    <row r="1351" spans="12:27">
      <c r="L1351" s="19"/>
      <c r="M1351" s="19"/>
      <c r="N1351" s="50"/>
      <c r="O1351" s="19"/>
      <c r="P1351" s="19" t="s">
        <v>484</v>
      </c>
      <c r="Q1351" s="23">
        <f>DATE(YEAR(OneWeekMtgRatesDataTable75[[#This Row],[asOf]]),MONTH(OneWeekMtgRatesDataTable75[[#This Row],[asOf]]),DAY(OneWeekMtgRatesDataTable75[[#This Row],[asOf]]))</f>
        <v>40612</v>
      </c>
      <c r="R1351" s="19">
        <v>4.76</v>
      </c>
      <c r="S1351" s="19">
        <v>0.7</v>
      </c>
      <c r="T1351" s="19">
        <v>4.6849999999999996</v>
      </c>
      <c r="V1351" s="48" t="s">
        <v>488</v>
      </c>
      <c r="W1351" s="48" t="s">
        <v>1832</v>
      </c>
      <c r="X1351" s="51">
        <v>4.0816167711617402</v>
      </c>
      <c r="Z1351" s="48" t="s">
        <v>482</v>
      </c>
      <c r="AA1351" s="51">
        <v>0.543006761</v>
      </c>
    </row>
    <row r="1352" spans="12:27">
      <c r="L1352" s="19"/>
      <c r="M1352" s="19"/>
      <c r="N1352" s="50"/>
      <c r="O1352" s="19"/>
      <c r="P1352" s="19" t="s">
        <v>483</v>
      </c>
      <c r="Q1352" s="23">
        <f>DATE(YEAR(OneWeekMtgRatesDataTable75[[#This Row],[asOf]]),MONTH(OneWeekMtgRatesDataTable75[[#This Row],[asOf]]),DAY(OneWeekMtgRatesDataTable75[[#This Row],[asOf]]))</f>
        <v>40611</v>
      </c>
      <c r="R1352" s="19">
        <v>4.88</v>
      </c>
      <c r="S1352" s="19">
        <v>0.7</v>
      </c>
      <c r="T1352" s="19">
        <v>4.8049999999999997</v>
      </c>
      <c r="V1352" s="48" t="s">
        <v>487</v>
      </c>
      <c r="W1352" s="48" t="s">
        <v>1832</v>
      </c>
      <c r="X1352" s="51">
        <v>4.1729690002093802</v>
      </c>
      <c r="Z1352" s="48" t="s">
        <v>481</v>
      </c>
      <c r="AA1352" s="51">
        <v>0.543006761</v>
      </c>
    </row>
    <row r="1353" spans="12:27">
      <c r="L1353" s="19"/>
      <c r="M1353" s="19"/>
      <c r="N1353" s="50"/>
      <c r="O1353" s="19"/>
      <c r="P1353" s="19" t="s">
        <v>482</v>
      </c>
      <c r="Q1353" s="23">
        <f>DATE(YEAR(OneWeekMtgRatesDataTable75[[#This Row],[asOf]]),MONTH(OneWeekMtgRatesDataTable75[[#This Row],[asOf]]),DAY(OneWeekMtgRatesDataTable75[[#This Row],[asOf]]))</f>
        <v>40610</v>
      </c>
      <c r="R1353" s="19">
        <v>4.88</v>
      </c>
      <c r="S1353" s="19">
        <v>0.7</v>
      </c>
      <c r="T1353" s="19">
        <v>4.8049999999999997</v>
      </c>
      <c r="V1353" s="48" t="s">
        <v>486</v>
      </c>
      <c r="W1353" s="48" t="s">
        <v>1832</v>
      </c>
      <c r="X1353" s="51">
        <v>4.1795306518075401</v>
      </c>
      <c r="Z1353" s="48" t="s">
        <v>480</v>
      </c>
      <c r="AA1353" s="51">
        <v>0.543006761</v>
      </c>
    </row>
    <row r="1354" spans="12:27">
      <c r="L1354" s="19"/>
      <c r="M1354" s="19"/>
      <c r="N1354" s="50"/>
      <c r="O1354" s="19"/>
      <c r="P1354" s="19" t="s">
        <v>481</v>
      </c>
      <c r="Q1354" s="23">
        <f>DATE(YEAR(OneWeekMtgRatesDataTable75[[#This Row],[asOf]]),MONTH(OneWeekMtgRatesDataTable75[[#This Row],[asOf]]),DAY(OneWeekMtgRatesDataTable75[[#This Row],[asOf]]))</f>
        <v>40609</v>
      </c>
      <c r="R1354" s="19">
        <v>4.88</v>
      </c>
      <c r="S1354" s="19">
        <v>0.7</v>
      </c>
      <c r="T1354" s="19">
        <v>4.8049999999999997</v>
      </c>
      <c r="V1354" s="48" t="s">
        <v>485</v>
      </c>
      <c r="W1354" s="48" t="s">
        <v>1832</v>
      </c>
      <c r="X1354" s="51">
        <v>4.2139949993879302</v>
      </c>
      <c r="Z1354" s="48" t="s">
        <v>479</v>
      </c>
      <c r="AA1354" s="51">
        <v>0.543006761</v>
      </c>
    </row>
    <row r="1355" spans="12:27">
      <c r="L1355" s="19"/>
      <c r="M1355" s="19"/>
      <c r="N1355" s="50"/>
      <c r="O1355" s="19"/>
      <c r="P1355" s="19" t="s">
        <v>480</v>
      </c>
      <c r="Q1355" s="23">
        <f>DATE(YEAR(OneWeekMtgRatesDataTable75[[#This Row],[asOf]]),MONTH(OneWeekMtgRatesDataTable75[[#This Row],[asOf]]),DAY(OneWeekMtgRatesDataTable75[[#This Row],[asOf]]))</f>
        <v>40606</v>
      </c>
      <c r="R1355" s="19">
        <v>4.88</v>
      </c>
      <c r="S1355" s="19">
        <v>0.7</v>
      </c>
      <c r="T1355" s="19">
        <v>4.8049999999999997</v>
      </c>
      <c r="V1355" s="48" t="s">
        <v>484</v>
      </c>
      <c r="W1355" s="48" t="s">
        <v>1832</v>
      </c>
      <c r="X1355" s="51">
        <v>4.1984052857638501</v>
      </c>
      <c r="Z1355" s="48" t="s">
        <v>478</v>
      </c>
      <c r="AA1355" s="51">
        <v>0.543006761</v>
      </c>
    </row>
    <row r="1356" spans="12:27">
      <c r="L1356" s="19"/>
      <c r="M1356" s="19"/>
      <c r="N1356" s="50"/>
      <c r="O1356" s="19"/>
      <c r="P1356" s="19" t="s">
        <v>479</v>
      </c>
      <c r="Q1356" s="23">
        <f>DATE(YEAR(OneWeekMtgRatesDataTable75[[#This Row],[asOf]]),MONTH(OneWeekMtgRatesDataTable75[[#This Row],[asOf]]),DAY(OneWeekMtgRatesDataTable75[[#This Row],[asOf]]))</f>
        <v>40605</v>
      </c>
      <c r="R1356" s="19">
        <v>4.88</v>
      </c>
      <c r="S1356" s="19">
        <v>0.7</v>
      </c>
      <c r="T1356" s="19">
        <v>4.8049999999999997</v>
      </c>
      <c r="V1356" s="48" t="s">
        <v>483</v>
      </c>
      <c r="W1356" s="48" t="s">
        <v>1832</v>
      </c>
      <c r="X1356" s="51">
        <v>4.2484409490171098</v>
      </c>
      <c r="Z1356" s="48" t="s">
        <v>477</v>
      </c>
      <c r="AA1356" s="51">
        <v>0.51908270199999995</v>
      </c>
    </row>
    <row r="1357" spans="12:27">
      <c r="L1357" s="19"/>
      <c r="M1357" s="19"/>
      <c r="N1357" s="50"/>
      <c r="O1357" s="19"/>
      <c r="P1357" s="19" t="s">
        <v>478</v>
      </c>
      <c r="Q1357" s="23">
        <f>DATE(YEAR(OneWeekMtgRatesDataTable75[[#This Row],[asOf]]),MONTH(OneWeekMtgRatesDataTable75[[#This Row],[asOf]]),DAY(OneWeekMtgRatesDataTable75[[#This Row],[asOf]]))</f>
        <v>40604</v>
      </c>
      <c r="R1357" s="19">
        <v>4.87</v>
      </c>
      <c r="S1357" s="19">
        <v>0.7</v>
      </c>
      <c r="T1357" s="19">
        <v>4.7949999999999999</v>
      </c>
      <c r="V1357" s="48" t="s">
        <v>482</v>
      </c>
      <c r="W1357" s="48" t="s">
        <v>1832</v>
      </c>
      <c r="X1357" s="51">
        <v>4.3121099537916301</v>
      </c>
      <c r="Z1357" s="48" t="s">
        <v>476</v>
      </c>
      <c r="AA1357" s="51">
        <v>0.51908270199999995</v>
      </c>
    </row>
    <row r="1358" spans="12:27">
      <c r="L1358" s="19"/>
      <c r="M1358" s="19"/>
      <c r="N1358" s="50"/>
      <c r="O1358" s="19"/>
      <c r="P1358" s="19" t="s">
        <v>477</v>
      </c>
      <c r="Q1358" s="23">
        <f>DATE(YEAR(OneWeekMtgRatesDataTable75[[#This Row],[asOf]]),MONTH(OneWeekMtgRatesDataTable75[[#This Row],[asOf]]),DAY(OneWeekMtgRatesDataTable75[[#This Row],[asOf]]))</f>
        <v>40603</v>
      </c>
      <c r="R1358" s="19">
        <v>4.87</v>
      </c>
      <c r="S1358" s="19">
        <v>0.7</v>
      </c>
      <c r="T1358" s="19">
        <v>4.7949999999999999</v>
      </c>
      <c r="V1358" s="48" t="s">
        <v>481</v>
      </c>
      <c r="W1358" s="48" t="s">
        <v>1832</v>
      </c>
      <c r="X1358" s="51">
        <v>4.2757251655325801</v>
      </c>
      <c r="Z1358" s="48" t="s">
        <v>475</v>
      </c>
      <c r="AA1358" s="51">
        <v>0.51908270199999995</v>
      </c>
    </row>
    <row r="1359" spans="12:27">
      <c r="L1359" s="19"/>
      <c r="M1359" s="19"/>
      <c r="N1359" s="50"/>
      <c r="O1359" s="19"/>
      <c r="P1359" s="19" t="s">
        <v>476</v>
      </c>
      <c r="Q1359" s="23">
        <f>DATE(YEAR(OneWeekMtgRatesDataTable75[[#This Row],[asOf]]),MONTH(OneWeekMtgRatesDataTable75[[#This Row],[asOf]]),DAY(OneWeekMtgRatesDataTable75[[#This Row],[asOf]]))</f>
        <v>40602</v>
      </c>
      <c r="R1359" s="19">
        <v>4.87</v>
      </c>
      <c r="S1359" s="19">
        <v>0.7</v>
      </c>
      <c r="T1359" s="19">
        <v>4.7949999999999999</v>
      </c>
      <c r="V1359" s="48" t="s">
        <v>480</v>
      </c>
      <c r="W1359" s="48" t="s">
        <v>1832</v>
      </c>
      <c r="X1359" s="51">
        <v>4.2658188568583704</v>
      </c>
      <c r="Z1359" s="48" t="s">
        <v>474</v>
      </c>
      <c r="AA1359" s="51">
        <v>0.51908270199999995</v>
      </c>
    </row>
    <row r="1360" spans="12:27">
      <c r="L1360" s="19"/>
      <c r="M1360" s="19"/>
      <c r="N1360" s="50"/>
      <c r="O1360" s="19"/>
      <c r="P1360" s="19" t="s">
        <v>475</v>
      </c>
      <c r="Q1360" s="23">
        <f>DATE(YEAR(OneWeekMtgRatesDataTable75[[#This Row],[asOf]]),MONTH(OneWeekMtgRatesDataTable75[[#This Row],[asOf]]),DAY(OneWeekMtgRatesDataTable75[[#This Row],[asOf]]))</f>
        <v>40599</v>
      </c>
      <c r="R1360" s="19">
        <v>4.87</v>
      </c>
      <c r="S1360" s="19">
        <v>0.7</v>
      </c>
      <c r="T1360" s="19">
        <v>4.7949999999999999</v>
      </c>
      <c r="V1360" s="48" t="s">
        <v>479</v>
      </c>
      <c r="W1360" s="48" t="s">
        <v>1832</v>
      </c>
      <c r="X1360" s="51">
        <v>4.3559011648520096</v>
      </c>
      <c r="Z1360" s="48" t="s">
        <v>473</v>
      </c>
      <c r="AA1360" s="51">
        <v>0.51908270199999995</v>
      </c>
    </row>
    <row r="1361" spans="12:27">
      <c r="L1361" s="19"/>
      <c r="M1361" s="19"/>
      <c r="N1361" s="50"/>
      <c r="O1361" s="19"/>
      <c r="P1361" s="19" t="s">
        <v>474</v>
      </c>
      <c r="Q1361" s="23">
        <f>DATE(YEAR(OneWeekMtgRatesDataTable75[[#This Row],[asOf]]),MONTH(OneWeekMtgRatesDataTable75[[#This Row],[asOf]]),DAY(OneWeekMtgRatesDataTable75[[#This Row],[asOf]]))</f>
        <v>40598</v>
      </c>
      <c r="R1361" s="19">
        <v>4.87</v>
      </c>
      <c r="S1361" s="19">
        <v>0.7</v>
      </c>
      <c r="T1361" s="19">
        <v>4.7949999999999999</v>
      </c>
      <c r="V1361" s="48" t="s">
        <v>478</v>
      </c>
      <c r="W1361" s="48" t="s">
        <v>1832</v>
      </c>
      <c r="X1361" s="51">
        <v>4.2791501508107297</v>
      </c>
      <c r="Z1361" s="48" t="s">
        <v>472</v>
      </c>
      <c r="AA1361" s="51">
        <v>0.50244484199999995</v>
      </c>
    </row>
    <row r="1362" spans="12:27">
      <c r="L1362" s="19"/>
      <c r="M1362" s="19"/>
      <c r="N1362" s="50"/>
      <c r="O1362" s="19"/>
      <c r="P1362" s="19" t="s">
        <v>473</v>
      </c>
      <c r="Q1362" s="23">
        <f>DATE(YEAR(OneWeekMtgRatesDataTable75[[#This Row],[asOf]]),MONTH(OneWeekMtgRatesDataTable75[[#This Row],[asOf]]),DAY(OneWeekMtgRatesDataTable75[[#This Row],[asOf]]))</f>
        <v>40597</v>
      </c>
      <c r="R1362" s="19">
        <v>4.95</v>
      </c>
      <c r="S1362" s="19">
        <v>0.6</v>
      </c>
      <c r="T1362" s="19">
        <v>4.8500000000000005</v>
      </c>
      <c r="V1362" s="48" t="s">
        <v>477</v>
      </c>
      <c r="W1362" s="48" t="s">
        <v>1832</v>
      </c>
      <c r="X1362" s="51">
        <v>4.2366916114708397</v>
      </c>
      <c r="Z1362" s="48" t="s">
        <v>471</v>
      </c>
      <c r="AA1362" s="51">
        <v>0.50244484199999995</v>
      </c>
    </row>
    <row r="1363" spans="12:27">
      <c r="L1363" s="19"/>
      <c r="M1363" s="19"/>
      <c r="N1363" s="50"/>
      <c r="O1363" s="19"/>
      <c r="P1363" s="19" t="s">
        <v>472</v>
      </c>
      <c r="Q1363" s="23">
        <f>DATE(YEAR(OneWeekMtgRatesDataTable75[[#This Row],[asOf]]),MONTH(OneWeekMtgRatesDataTable75[[#This Row],[asOf]]),DAY(OneWeekMtgRatesDataTable75[[#This Row],[asOf]]))</f>
        <v>40596</v>
      </c>
      <c r="R1363" s="19">
        <v>4.95</v>
      </c>
      <c r="S1363" s="19">
        <v>0.6</v>
      </c>
      <c r="T1363" s="19">
        <v>4.8500000000000005</v>
      </c>
      <c r="V1363" s="48" t="s">
        <v>476</v>
      </c>
      <c r="W1363" s="48" t="s">
        <v>1832</v>
      </c>
      <c r="X1363" s="51">
        <v>4.23083224039922</v>
      </c>
      <c r="Z1363" s="48" t="s">
        <v>470</v>
      </c>
      <c r="AA1363" s="51">
        <v>0.50244484199999995</v>
      </c>
    </row>
    <row r="1364" spans="12:27">
      <c r="L1364" s="19"/>
      <c r="M1364" s="19"/>
      <c r="N1364" s="50"/>
      <c r="O1364" s="19"/>
      <c r="P1364" s="19" t="s">
        <v>471</v>
      </c>
      <c r="Q1364" s="23">
        <f>DATE(YEAR(OneWeekMtgRatesDataTable75[[#This Row],[asOf]]),MONTH(OneWeekMtgRatesDataTable75[[#This Row],[asOf]]),DAY(OneWeekMtgRatesDataTable75[[#This Row],[asOf]]))</f>
        <v>40592</v>
      </c>
      <c r="R1364" s="19">
        <v>4.95</v>
      </c>
      <c r="S1364" s="19">
        <v>0.6</v>
      </c>
      <c r="T1364" s="19">
        <v>4.8500000000000005</v>
      </c>
      <c r="V1364" s="48" t="s">
        <v>475</v>
      </c>
      <c r="W1364" s="48" t="s">
        <v>1832</v>
      </c>
      <c r="X1364" s="51">
        <v>4.24966898318924</v>
      </c>
      <c r="Z1364" s="48" t="s">
        <v>469</v>
      </c>
      <c r="AA1364" s="51">
        <v>0.50244484199999995</v>
      </c>
    </row>
    <row r="1365" spans="12:27">
      <c r="L1365" s="19"/>
      <c r="M1365" s="19"/>
      <c r="N1365" s="50"/>
      <c r="O1365" s="19"/>
      <c r="P1365" s="19" t="s">
        <v>470</v>
      </c>
      <c r="Q1365" s="23">
        <f>DATE(YEAR(OneWeekMtgRatesDataTable75[[#This Row],[asOf]]),MONTH(OneWeekMtgRatesDataTable75[[#This Row],[asOf]]),DAY(OneWeekMtgRatesDataTable75[[#This Row],[asOf]]))</f>
        <v>40591</v>
      </c>
      <c r="R1365" s="19">
        <v>4.95</v>
      </c>
      <c r="S1365" s="19">
        <v>0.6</v>
      </c>
      <c r="T1365" s="19">
        <v>4.8500000000000005</v>
      </c>
      <c r="V1365" s="48" t="s">
        <v>474</v>
      </c>
      <c r="W1365" s="48" t="s">
        <v>1832</v>
      </c>
      <c r="X1365" s="51">
        <v>4.2636232083898697</v>
      </c>
      <c r="Z1365" s="48" t="s">
        <v>468</v>
      </c>
      <c r="AA1365" s="51">
        <v>0.56029179900000003</v>
      </c>
    </row>
    <row r="1366" spans="12:27">
      <c r="L1366" s="19"/>
      <c r="M1366" s="19"/>
      <c r="N1366" s="50"/>
      <c r="O1366" s="19"/>
      <c r="P1366" s="19" t="s">
        <v>469</v>
      </c>
      <c r="Q1366" s="23">
        <f>DATE(YEAR(OneWeekMtgRatesDataTable75[[#This Row],[asOf]]),MONTH(OneWeekMtgRatesDataTable75[[#This Row],[asOf]]),DAY(OneWeekMtgRatesDataTable75[[#This Row],[asOf]]))</f>
        <v>40590</v>
      </c>
      <c r="R1366" s="19">
        <v>5</v>
      </c>
      <c r="S1366" s="19">
        <v>0.7</v>
      </c>
      <c r="T1366" s="19">
        <v>4.9249999999999998</v>
      </c>
      <c r="V1366" s="48" t="s">
        <v>473</v>
      </c>
      <c r="W1366" s="48" t="s">
        <v>1832</v>
      </c>
      <c r="X1366" s="51">
        <v>4.3068603066225304</v>
      </c>
      <c r="Z1366" s="48" t="s">
        <v>467</v>
      </c>
      <c r="AA1366" s="51">
        <v>0.56029179900000003</v>
      </c>
    </row>
    <row r="1367" spans="12:27">
      <c r="L1367" s="19"/>
      <c r="M1367" s="19"/>
      <c r="N1367" s="50"/>
      <c r="O1367" s="19"/>
      <c r="P1367" s="19" t="s">
        <v>468</v>
      </c>
      <c r="Q1367" s="23">
        <f>DATE(YEAR(OneWeekMtgRatesDataTable75[[#This Row],[asOf]]),MONTH(OneWeekMtgRatesDataTable75[[#This Row],[asOf]]),DAY(OneWeekMtgRatesDataTable75[[#This Row],[asOf]]))</f>
        <v>40589</v>
      </c>
      <c r="R1367" s="19">
        <v>5</v>
      </c>
      <c r="S1367" s="19">
        <v>0.7</v>
      </c>
      <c r="T1367" s="19">
        <v>4.9249999999999998</v>
      </c>
      <c r="V1367" s="48" t="s">
        <v>472</v>
      </c>
      <c r="W1367" s="48" t="s">
        <v>1832</v>
      </c>
      <c r="X1367" s="51">
        <v>4.2999787872892696</v>
      </c>
      <c r="Z1367" s="48" t="s">
        <v>466</v>
      </c>
      <c r="AA1367" s="51">
        <v>0.56029179900000003</v>
      </c>
    </row>
    <row r="1368" spans="12:27">
      <c r="L1368" s="19"/>
      <c r="M1368" s="19"/>
      <c r="N1368" s="50"/>
      <c r="O1368" s="19"/>
      <c r="P1368" s="19" t="s">
        <v>467</v>
      </c>
      <c r="Q1368" s="23">
        <f>DATE(YEAR(OneWeekMtgRatesDataTable75[[#This Row],[asOf]]),MONTH(OneWeekMtgRatesDataTable75[[#This Row],[asOf]]),DAY(OneWeekMtgRatesDataTable75[[#This Row],[asOf]]))</f>
        <v>40588</v>
      </c>
      <c r="R1368" s="19">
        <v>5</v>
      </c>
      <c r="S1368" s="19">
        <v>0.7</v>
      </c>
      <c r="T1368" s="19">
        <v>4.9249999999999998</v>
      </c>
      <c r="V1368" s="48" t="s">
        <v>471</v>
      </c>
      <c r="W1368" s="48" t="s">
        <v>1832</v>
      </c>
      <c r="X1368" s="51">
        <v>4.3663894001401404</v>
      </c>
      <c r="Z1368" s="48" t="s">
        <v>465</v>
      </c>
      <c r="AA1368" s="51">
        <v>0.56029179900000003</v>
      </c>
    </row>
    <row r="1369" spans="12:27">
      <c r="L1369" s="19"/>
      <c r="M1369" s="19"/>
      <c r="N1369" s="50"/>
      <c r="O1369" s="19"/>
      <c r="P1369" s="19" t="s">
        <v>466</v>
      </c>
      <c r="Q1369" s="23">
        <f>DATE(YEAR(OneWeekMtgRatesDataTable75[[#This Row],[asOf]]),MONTH(OneWeekMtgRatesDataTable75[[#This Row],[asOf]]),DAY(OneWeekMtgRatesDataTable75[[#This Row],[asOf]]))</f>
        <v>40585</v>
      </c>
      <c r="R1369" s="19">
        <v>5</v>
      </c>
      <c r="S1369" s="19">
        <v>0.7</v>
      </c>
      <c r="T1369" s="19">
        <v>4.9249999999999998</v>
      </c>
      <c r="V1369" s="48" t="s">
        <v>470</v>
      </c>
      <c r="W1369" s="48" t="s">
        <v>1832</v>
      </c>
      <c r="X1369" s="51">
        <v>4.3504406978742196</v>
      </c>
      <c r="Z1369" s="48" t="s">
        <v>464</v>
      </c>
      <c r="AA1369" s="51">
        <v>0.56029179900000003</v>
      </c>
    </row>
    <row r="1370" spans="12:27">
      <c r="L1370" s="19"/>
      <c r="M1370" s="19"/>
      <c r="N1370" s="50"/>
      <c r="O1370" s="19"/>
      <c r="P1370" s="19" t="s">
        <v>465</v>
      </c>
      <c r="Q1370" s="23">
        <f>DATE(YEAR(OneWeekMtgRatesDataTable75[[#This Row],[asOf]]),MONTH(OneWeekMtgRatesDataTable75[[#This Row],[asOf]]),DAY(OneWeekMtgRatesDataTable75[[#This Row],[asOf]]))</f>
        <v>40584</v>
      </c>
      <c r="R1370" s="19">
        <v>5</v>
      </c>
      <c r="S1370" s="19">
        <v>0.7</v>
      </c>
      <c r="T1370" s="19">
        <v>4.9249999999999998</v>
      </c>
      <c r="V1370" s="48" t="s">
        <v>469</v>
      </c>
      <c r="W1370" s="48" t="s">
        <v>1832</v>
      </c>
      <c r="X1370" s="51">
        <v>4.3989620429497798</v>
      </c>
      <c r="Z1370" s="48" t="s">
        <v>463</v>
      </c>
      <c r="AA1370" s="51">
        <v>0.55648069499999997</v>
      </c>
    </row>
    <row r="1371" spans="12:27">
      <c r="L1371" s="19"/>
      <c r="M1371" s="19"/>
      <c r="N1371" s="50"/>
      <c r="O1371" s="19"/>
      <c r="P1371" s="19" t="s">
        <v>464</v>
      </c>
      <c r="Q1371" s="23">
        <f>DATE(YEAR(OneWeekMtgRatesDataTable75[[#This Row],[asOf]]),MONTH(OneWeekMtgRatesDataTable75[[#This Row],[asOf]]),DAY(OneWeekMtgRatesDataTable75[[#This Row],[asOf]]))</f>
        <v>40583</v>
      </c>
      <c r="R1371" s="19">
        <v>5.05</v>
      </c>
      <c r="S1371" s="19">
        <v>0.7</v>
      </c>
      <c r="T1371" s="19">
        <v>4.9749999999999996</v>
      </c>
      <c r="V1371" s="48" t="s">
        <v>468</v>
      </c>
      <c r="W1371" s="48" t="s">
        <v>1832</v>
      </c>
      <c r="X1371" s="51">
        <v>4.3851093392960596</v>
      </c>
      <c r="Z1371" s="48" t="s">
        <v>462</v>
      </c>
      <c r="AA1371" s="51">
        <v>0.55648069499999997</v>
      </c>
    </row>
    <row r="1372" spans="12:27">
      <c r="L1372" s="19"/>
      <c r="M1372" s="19"/>
      <c r="N1372" s="50"/>
      <c r="O1372" s="19"/>
      <c r="P1372" s="19" t="s">
        <v>463</v>
      </c>
      <c r="Q1372" s="23">
        <f>DATE(YEAR(OneWeekMtgRatesDataTable75[[#This Row],[asOf]]),MONTH(OneWeekMtgRatesDataTable75[[#This Row],[asOf]]),DAY(OneWeekMtgRatesDataTable75[[#This Row],[asOf]]))</f>
        <v>40582</v>
      </c>
      <c r="R1372" s="19">
        <v>5.05</v>
      </c>
      <c r="S1372" s="19">
        <v>0.7</v>
      </c>
      <c r="T1372" s="19">
        <v>4.9749999999999996</v>
      </c>
      <c r="V1372" s="48" t="s">
        <v>467</v>
      </c>
      <c r="W1372" s="48" t="s">
        <v>1832</v>
      </c>
      <c r="X1372" s="51">
        <v>4.3931467669702702</v>
      </c>
      <c r="Z1372" s="48" t="s">
        <v>461</v>
      </c>
      <c r="AA1372" s="51">
        <v>0.55648069499999997</v>
      </c>
    </row>
    <row r="1373" spans="12:27">
      <c r="L1373" s="19"/>
      <c r="M1373" s="19"/>
      <c r="N1373" s="50"/>
      <c r="O1373" s="19"/>
      <c r="P1373" s="19" t="s">
        <v>462</v>
      </c>
      <c r="Q1373" s="23">
        <f>DATE(YEAR(OneWeekMtgRatesDataTable75[[#This Row],[asOf]]),MONTH(OneWeekMtgRatesDataTable75[[#This Row],[asOf]]),DAY(OneWeekMtgRatesDataTable75[[#This Row],[asOf]]))</f>
        <v>40581</v>
      </c>
      <c r="R1373" s="19">
        <v>5.05</v>
      </c>
      <c r="S1373" s="19">
        <v>0.7</v>
      </c>
      <c r="T1373" s="19">
        <v>4.9749999999999996</v>
      </c>
      <c r="V1373" s="48" t="s">
        <v>466</v>
      </c>
      <c r="W1373" s="48" t="s">
        <v>1832</v>
      </c>
      <c r="X1373" s="51">
        <v>4.4343090035877397</v>
      </c>
      <c r="Z1373" s="48" t="s">
        <v>460</v>
      </c>
      <c r="AA1373" s="51">
        <v>0.55648069499999997</v>
      </c>
    </row>
    <row r="1374" spans="12:27">
      <c r="L1374" s="19"/>
      <c r="M1374" s="19"/>
      <c r="N1374" s="50"/>
      <c r="O1374" s="19"/>
      <c r="P1374" s="19" t="s">
        <v>461</v>
      </c>
      <c r="Q1374" s="23">
        <f>DATE(YEAR(OneWeekMtgRatesDataTable75[[#This Row],[asOf]]),MONTH(OneWeekMtgRatesDataTable75[[#This Row],[asOf]]),DAY(OneWeekMtgRatesDataTable75[[#This Row],[asOf]]))</f>
        <v>40578</v>
      </c>
      <c r="R1374" s="19">
        <v>5.05</v>
      </c>
      <c r="S1374" s="19">
        <v>0.7</v>
      </c>
      <c r="T1374" s="19">
        <v>4.9749999999999996</v>
      </c>
      <c r="V1374" s="48" t="s">
        <v>465</v>
      </c>
      <c r="W1374" s="48" t="s">
        <v>1832</v>
      </c>
      <c r="X1374" s="51">
        <v>4.5012486389065298</v>
      </c>
      <c r="Z1374" s="48" t="s">
        <v>459</v>
      </c>
      <c r="AA1374" s="51">
        <v>0.55648069499999997</v>
      </c>
    </row>
    <row r="1375" spans="12:27">
      <c r="L1375" s="19"/>
      <c r="M1375" s="19"/>
      <c r="N1375" s="50"/>
      <c r="O1375" s="19"/>
      <c r="P1375" s="19" t="s">
        <v>460</v>
      </c>
      <c r="Q1375" s="23">
        <f>DATE(YEAR(OneWeekMtgRatesDataTable75[[#This Row],[asOf]]),MONTH(OneWeekMtgRatesDataTable75[[#This Row],[asOf]]),DAY(OneWeekMtgRatesDataTable75[[#This Row],[asOf]]))</f>
        <v>40577</v>
      </c>
      <c r="R1375" s="19">
        <v>5.05</v>
      </c>
      <c r="S1375" s="19">
        <v>0.7</v>
      </c>
      <c r="T1375" s="19">
        <v>4.9749999999999996</v>
      </c>
      <c r="V1375" s="48" t="s">
        <v>464</v>
      </c>
      <c r="W1375" s="48" t="s">
        <v>1832</v>
      </c>
      <c r="X1375" s="51">
        <v>4.4529420360272596</v>
      </c>
      <c r="Z1375" s="48" t="s">
        <v>458</v>
      </c>
      <c r="AA1375" s="51">
        <v>0.53046694800000005</v>
      </c>
    </row>
    <row r="1376" spans="12:27">
      <c r="L1376" s="19"/>
      <c r="M1376" s="19"/>
      <c r="N1376" s="50"/>
      <c r="O1376" s="19"/>
      <c r="P1376" s="19" t="s">
        <v>459</v>
      </c>
      <c r="Q1376" s="23">
        <f>DATE(YEAR(OneWeekMtgRatesDataTable75[[#This Row],[asOf]]),MONTH(OneWeekMtgRatesDataTable75[[#This Row],[asOf]]),DAY(OneWeekMtgRatesDataTable75[[#This Row],[asOf]]))</f>
        <v>40576</v>
      </c>
      <c r="R1376" s="19">
        <v>4.8099999999999996</v>
      </c>
      <c r="S1376" s="19">
        <v>0.8</v>
      </c>
      <c r="T1376" s="19">
        <v>4.76</v>
      </c>
      <c r="V1376" s="48" t="s">
        <v>463</v>
      </c>
      <c r="W1376" s="48" t="s">
        <v>1832</v>
      </c>
      <c r="X1376" s="51">
        <v>4.4871263560303003</v>
      </c>
      <c r="Z1376" s="48" t="s">
        <v>457</v>
      </c>
      <c r="AA1376" s="51">
        <v>0.53046694800000005</v>
      </c>
    </row>
    <row r="1377" spans="12:27">
      <c r="L1377" s="19"/>
      <c r="M1377" s="19"/>
      <c r="N1377" s="50"/>
      <c r="O1377" s="19"/>
      <c r="P1377" s="19" t="s">
        <v>458</v>
      </c>
      <c r="Q1377" s="23">
        <f>DATE(YEAR(OneWeekMtgRatesDataTable75[[#This Row],[asOf]]),MONTH(OneWeekMtgRatesDataTable75[[#This Row],[asOf]]),DAY(OneWeekMtgRatesDataTable75[[#This Row],[asOf]]))</f>
        <v>40575</v>
      </c>
      <c r="R1377" s="19">
        <v>4.8099999999999996</v>
      </c>
      <c r="S1377" s="19">
        <v>0.8</v>
      </c>
      <c r="T1377" s="19">
        <v>4.76</v>
      </c>
      <c r="V1377" s="48" t="s">
        <v>462</v>
      </c>
      <c r="W1377" s="48" t="s">
        <v>1832</v>
      </c>
      <c r="X1377" s="51">
        <v>4.4120235680825504</v>
      </c>
      <c r="Z1377" s="48" t="s">
        <v>456</v>
      </c>
      <c r="AA1377" s="51">
        <v>0.53046694800000005</v>
      </c>
    </row>
    <row r="1378" spans="12:27">
      <c r="L1378" s="19"/>
      <c r="M1378" s="19"/>
      <c r="N1378" s="50"/>
      <c r="O1378" s="19"/>
      <c r="P1378" s="19" t="s">
        <v>457</v>
      </c>
      <c r="Q1378" s="23">
        <f>DATE(YEAR(OneWeekMtgRatesDataTable75[[#This Row],[asOf]]),MONTH(OneWeekMtgRatesDataTable75[[#This Row],[asOf]]),DAY(OneWeekMtgRatesDataTable75[[#This Row],[asOf]]))</f>
        <v>40574</v>
      </c>
      <c r="R1378" s="19">
        <v>4.8099999999999996</v>
      </c>
      <c r="S1378" s="19">
        <v>0.8</v>
      </c>
      <c r="T1378" s="19">
        <v>4.76</v>
      </c>
      <c r="V1378" s="48" t="s">
        <v>461</v>
      </c>
      <c r="W1378" s="48" t="s">
        <v>1832</v>
      </c>
      <c r="X1378" s="51">
        <v>4.3946942714157897</v>
      </c>
      <c r="Z1378" s="48" t="s">
        <v>455</v>
      </c>
      <c r="AA1378" s="51">
        <v>0.53046694800000005</v>
      </c>
    </row>
    <row r="1379" spans="12:27">
      <c r="L1379" s="19"/>
      <c r="M1379" s="19"/>
      <c r="N1379" s="50"/>
      <c r="O1379" s="19"/>
      <c r="P1379" s="19" t="s">
        <v>456</v>
      </c>
      <c r="Q1379" s="23">
        <f>DATE(YEAR(OneWeekMtgRatesDataTable75[[#This Row],[asOf]]),MONTH(OneWeekMtgRatesDataTable75[[#This Row],[asOf]]),DAY(OneWeekMtgRatesDataTable75[[#This Row],[asOf]]))</f>
        <v>40571</v>
      </c>
      <c r="R1379" s="19">
        <v>4.8099999999999996</v>
      </c>
      <c r="S1379" s="19">
        <v>0.8</v>
      </c>
      <c r="T1379" s="19">
        <v>4.76</v>
      </c>
      <c r="V1379" s="48" t="s">
        <v>460</v>
      </c>
      <c r="W1379" s="48" t="s">
        <v>1832</v>
      </c>
      <c r="X1379" s="51">
        <v>4.3267547753136801</v>
      </c>
      <c r="Z1379" s="48" t="s">
        <v>454</v>
      </c>
      <c r="AA1379" s="51">
        <v>0.53046694800000005</v>
      </c>
    </row>
    <row r="1380" spans="12:27">
      <c r="L1380" s="19"/>
      <c r="M1380" s="19"/>
      <c r="N1380" s="50"/>
      <c r="O1380" s="19"/>
      <c r="P1380" s="19" t="s">
        <v>455</v>
      </c>
      <c r="Q1380" s="23">
        <f>DATE(YEAR(OneWeekMtgRatesDataTable75[[#This Row],[asOf]]),MONTH(OneWeekMtgRatesDataTable75[[#This Row],[asOf]]),DAY(OneWeekMtgRatesDataTable75[[#This Row],[asOf]]))</f>
        <v>40570</v>
      </c>
      <c r="R1380" s="19">
        <v>4.8099999999999996</v>
      </c>
      <c r="S1380" s="19">
        <v>0.8</v>
      </c>
      <c r="T1380" s="19">
        <v>4.76</v>
      </c>
      <c r="V1380" s="48" t="s">
        <v>459</v>
      </c>
      <c r="W1380" s="48" t="s">
        <v>1832</v>
      </c>
      <c r="X1380" s="51">
        <v>4.28369779454294</v>
      </c>
      <c r="Z1380" s="48" t="s">
        <v>453</v>
      </c>
      <c r="AA1380" s="51">
        <v>0.58625473800000005</v>
      </c>
    </row>
    <row r="1381" spans="12:27">
      <c r="L1381" s="19"/>
      <c r="M1381" s="19"/>
      <c r="N1381" s="50"/>
      <c r="O1381" s="19"/>
      <c r="P1381" s="19" t="s">
        <v>454</v>
      </c>
      <c r="Q1381" s="23">
        <f>DATE(YEAR(OneWeekMtgRatesDataTable75[[#This Row],[asOf]]),MONTH(OneWeekMtgRatesDataTable75[[#This Row],[asOf]]),DAY(OneWeekMtgRatesDataTable75[[#This Row],[asOf]]))</f>
        <v>40569</v>
      </c>
      <c r="R1381" s="19">
        <v>4.8</v>
      </c>
      <c r="S1381" s="19">
        <v>0.7</v>
      </c>
      <c r="T1381" s="19">
        <v>4.7249999999999996</v>
      </c>
      <c r="V1381" s="48" t="s">
        <v>458</v>
      </c>
      <c r="W1381" s="48" t="s">
        <v>1832</v>
      </c>
      <c r="X1381" s="51">
        <v>4.2330193845594</v>
      </c>
      <c r="Z1381" s="48" t="s">
        <v>452</v>
      </c>
      <c r="AA1381" s="51">
        <v>0.58625473800000005</v>
      </c>
    </row>
    <row r="1382" spans="12:27">
      <c r="L1382" s="19"/>
      <c r="M1382" s="19"/>
      <c r="N1382" s="50"/>
      <c r="O1382" s="19"/>
      <c r="P1382" s="19" t="s">
        <v>453</v>
      </c>
      <c r="Q1382" s="23">
        <f>DATE(YEAR(OneWeekMtgRatesDataTable75[[#This Row],[asOf]]),MONTH(OneWeekMtgRatesDataTable75[[#This Row],[asOf]]),DAY(OneWeekMtgRatesDataTable75[[#This Row],[asOf]]))</f>
        <v>40568</v>
      </c>
      <c r="R1382" s="19">
        <v>4.8</v>
      </c>
      <c r="S1382" s="19">
        <v>0.7</v>
      </c>
      <c r="T1382" s="19">
        <v>4.7249999999999996</v>
      </c>
      <c r="V1382" s="48" t="s">
        <v>457</v>
      </c>
      <c r="W1382" s="48" t="s">
        <v>1832</v>
      </c>
      <c r="X1382" s="51">
        <v>4.1734715507654796</v>
      </c>
      <c r="Z1382" s="48" t="s">
        <v>451</v>
      </c>
      <c r="AA1382" s="51">
        <v>0.58625473800000005</v>
      </c>
    </row>
    <row r="1383" spans="12:27">
      <c r="L1383" s="19"/>
      <c r="M1383" s="19"/>
      <c r="N1383" s="50"/>
      <c r="O1383" s="19"/>
      <c r="P1383" s="19" t="s">
        <v>452</v>
      </c>
      <c r="Q1383" s="23">
        <f>DATE(YEAR(OneWeekMtgRatesDataTable75[[#This Row],[asOf]]),MONTH(OneWeekMtgRatesDataTable75[[#This Row],[asOf]]),DAY(OneWeekMtgRatesDataTable75[[#This Row],[asOf]]))</f>
        <v>40567</v>
      </c>
      <c r="R1383" s="19">
        <v>4.8</v>
      </c>
      <c r="S1383" s="19">
        <v>0.7</v>
      </c>
      <c r="T1383" s="19">
        <v>4.7249999999999996</v>
      </c>
      <c r="V1383" s="48" t="s">
        <v>456</v>
      </c>
      <c r="W1383" s="48" t="s">
        <v>1832</v>
      </c>
      <c r="X1383" s="51">
        <v>4.14863561976171</v>
      </c>
      <c r="Z1383" s="48" t="s">
        <v>450</v>
      </c>
      <c r="AA1383" s="51">
        <v>0.58625473800000005</v>
      </c>
    </row>
    <row r="1384" spans="12:27">
      <c r="L1384" s="19"/>
      <c r="M1384" s="19"/>
      <c r="N1384" s="50"/>
      <c r="O1384" s="19"/>
      <c r="P1384" s="19" t="s">
        <v>451</v>
      </c>
      <c r="Q1384" s="23">
        <f>DATE(YEAR(OneWeekMtgRatesDataTable75[[#This Row],[asOf]]),MONTH(OneWeekMtgRatesDataTable75[[#This Row],[asOf]]),DAY(OneWeekMtgRatesDataTable75[[#This Row],[asOf]]))</f>
        <v>40564</v>
      </c>
      <c r="R1384" s="19">
        <v>4.8</v>
      </c>
      <c r="S1384" s="19">
        <v>0.7</v>
      </c>
      <c r="T1384" s="19">
        <v>4.7249999999999996</v>
      </c>
      <c r="V1384" s="48" t="s">
        <v>455</v>
      </c>
      <c r="W1384" s="48" t="s">
        <v>1832</v>
      </c>
      <c r="X1384" s="51">
        <v>4.1787721751727096</v>
      </c>
      <c r="Z1384" s="48" t="s">
        <v>449</v>
      </c>
      <c r="AA1384" s="51">
        <v>0.58625473800000005</v>
      </c>
    </row>
    <row r="1385" spans="12:27">
      <c r="L1385" s="19"/>
      <c r="M1385" s="19"/>
      <c r="N1385" s="50"/>
      <c r="O1385" s="19"/>
      <c r="P1385" s="19" t="s">
        <v>450</v>
      </c>
      <c r="Q1385" s="23">
        <f>DATE(YEAR(OneWeekMtgRatesDataTable75[[#This Row],[asOf]]),MONTH(OneWeekMtgRatesDataTable75[[#This Row],[asOf]]),DAY(OneWeekMtgRatesDataTable75[[#This Row],[asOf]]))</f>
        <v>40563</v>
      </c>
      <c r="R1385" s="19">
        <v>4.8</v>
      </c>
      <c r="S1385" s="19">
        <v>0.7</v>
      </c>
      <c r="T1385" s="19">
        <v>4.7249999999999996</v>
      </c>
      <c r="V1385" s="48" t="s">
        <v>454</v>
      </c>
      <c r="W1385" s="48" t="s">
        <v>1832</v>
      </c>
      <c r="X1385" s="51">
        <v>4.2301753993648097</v>
      </c>
      <c r="Z1385" s="48" t="s">
        <v>448</v>
      </c>
      <c r="AA1385" s="51">
        <v>0.532699908</v>
      </c>
    </row>
    <row r="1386" spans="12:27">
      <c r="L1386" s="19"/>
      <c r="M1386" s="19"/>
      <c r="N1386" s="50"/>
      <c r="O1386" s="19"/>
      <c r="P1386" s="19" t="s">
        <v>449</v>
      </c>
      <c r="Q1386" s="23">
        <f>DATE(YEAR(OneWeekMtgRatesDataTable75[[#This Row],[asOf]]),MONTH(OneWeekMtgRatesDataTable75[[#This Row],[asOf]]),DAY(OneWeekMtgRatesDataTable75[[#This Row],[asOf]]))</f>
        <v>40562</v>
      </c>
      <c r="R1386" s="19">
        <v>4.74</v>
      </c>
      <c r="S1386" s="19">
        <v>0.8</v>
      </c>
      <c r="T1386" s="19">
        <v>4.6900000000000004</v>
      </c>
      <c r="V1386" s="48" t="s">
        <v>453</v>
      </c>
      <c r="W1386" s="48" t="s">
        <v>1832</v>
      </c>
      <c r="X1386" s="51">
        <v>4.1484976418835604</v>
      </c>
      <c r="Z1386" s="48" t="s">
        <v>447</v>
      </c>
      <c r="AA1386" s="51">
        <v>0.532699908</v>
      </c>
    </row>
    <row r="1387" spans="12:27">
      <c r="L1387" s="19"/>
      <c r="M1387" s="19"/>
      <c r="N1387" s="50"/>
      <c r="O1387" s="19"/>
      <c r="P1387" s="19" t="s">
        <v>448</v>
      </c>
      <c r="Q1387" s="23">
        <f>DATE(YEAR(OneWeekMtgRatesDataTable75[[#This Row],[asOf]]),MONTH(OneWeekMtgRatesDataTable75[[#This Row],[asOf]]),DAY(OneWeekMtgRatesDataTable75[[#This Row],[asOf]]))</f>
        <v>40561</v>
      </c>
      <c r="R1387" s="19">
        <v>4.74</v>
      </c>
      <c r="S1387" s="19">
        <v>0.8</v>
      </c>
      <c r="T1387" s="19">
        <v>4.6900000000000004</v>
      </c>
      <c r="V1387" s="48" t="s">
        <v>452</v>
      </c>
      <c r="W1387" s="48" t="s">
        <v>1832</v>
      </c>
      <c r="X1387" s="51">
        <v>4.1956447039949802</v>
      </c>
      <c r="Z1387" s="48" t="s">
        <v>446</v>
      </c>
      <c r="AA1387" s="51">
        <v>0.532699908</v>
      </c>
    </row>
    <row r="1388" spans="12:27">
      <c r="L1388" s="19"/>
      <c r="M1388" s="19"/>
      <c r="N1388" s="50"/>
      <c r="O1388" s="19"/>
      <c r="P1388" s="19" t="s">
        <v>447</v>
      </c>
      <c r="Q1388" s="23">
        <f>DATE(YEAR(OneWeekMtgRatesDataTable75[[#This Row],[asOf]]),MONTH(OneWeekMtgRatesDataTable75[[#This Row],[asOf]]),DAY(OneWeekMtgRatesDataTable75[[#This Row],[asOf]]))</f>
        <v>40557</v>
      </c>
      <c r="R1388" s="19">
        <v>4.74</v>
      </c>
      <c r="S1388" s="19">
        <v>0.8</v>
      </c>
      <c r="T1388" s="19">
        <v>4.6900000000000004</v>
      </c>
      <c r="V1388" s="48" t="s">
        <v>451</v>
      </c>
      <c r="W1388" s="48" t="s">
        <v>1832</v>
      </c>
      <c r="X1388" s="51">
        <v>4.1821146174950501</v>
      </c>
      <c r="Z1388" s="48" t="s">
        <v>445</v>
      </c>
      <c r="AA1388" s="51">
        <v>0.532699908</v>
      </c>
    </row>
    <row r="1389" spans="12:27">
      <c r="L1389" s="19"/>
      <c r="M1389" s="19"/>
      <c r="N1389" s="50"/>
      <c r="O1389" s="19"/>
      <c r="P1389" s="19" t="s">
        <v>446</v>
      </c>
      <c r="Q1389" s="23">
        <f>DATE(YEAR(OneWeekMtgRatesDataTable75[[#This Row],[asOf]]),MONTH(OneWeekMtgRatesDataTable75[[#This Row],[asOf]]),DAY(OneWeekMtgRatesDataTable75[[#This Row],[asOf]]))</f>
        <v>40556</v>
      </c>
      <c r="R1389" s="19">
        <v>4.74</v>
      </c>
      <c r="S1389" s="19">
        <v>0.8</v>
      </c>
      <c r="T1389" s="19">
        <v>4.6900000000000004</v>
      </c>
      <c r="V1389" s="48" t="s">
        <v>450</v>
      </c>
      <c r="W1389" s="48" t="s">
        <v>1832</v>
      </c>
      <c r="X1389" s="51">
        <v>4.2162328947968701</v>
      </c>
      <c r="Z1389" s="48" t="s">
        <v>444</v>
      </c>
      <c r="AA1389" s="51">
        <v>0.56046507300000004</v>
      </c>
    </row>
    <row r="1390" spans="12:27">
      <c r="L1390" s="19"/>
      <c r="M1390" s="19"/>
      <c r="N1390" s="50"/>
      <c r="O1390" s="19"/>
      <c r="P1390" s="19" t="s">
        <v>445</v>
      </c>
      <c r="Q1390" s="23">
        <f>DATE(YEAR(OneWeekMtgRatesDataTable75[[#This Row],[asOf]]),MONTH(OneWeekMtgRatesDataTable75[[#This Row],[asOf]]),DAY(OneWeekMtgRatesDataTable75[[#This Row],[asOf]]))</f>
        <v>40555</v>
      </c>
      <c r="R1390" s="19">
        <v>4.71</v>
      </c>
      <c r="S1390" s="19">
        <v>0.8</v>
      </c>
      <c r="T1390" s="19">
        <v>4.66</v>
      </c>
      <c r="V1390" s="48" t="s">
        <v>449</v>
      </c>
      <c r="W1390" s="48" t="s">
        <v>1832</v>
      </c>
      <c r="X1390" s="51">
        <v>4.1151242571540303</v>
      </c>
      <c r="Z1390" s="48" t="s">
        <v>443</v>
      </c>
      <c r="AA1390" s="51">
        <v>0.56046507300000004</v>
      </c>
    </row>
    <row r="1391" spans="12:27">
      <c r="L1391" s="19"/>
      <c r="M1391" s="19"/>
      <c r="N1391" s="50"/>
      <c r="O1391" s="19"/>
      <c r="P1391" s="19" t="s">
        <v>444</v>
      </c>
      <c r="Q1391" s="23">
        <f>DATE(YEAR(OneWeekMtgRatesDataTable75[[#This Row],[asOf]]),MONTH(OneWeekMtgRatesDataTable75[[#This Row],[asOf]]),DAY(OneWeekMtgRatesDataTable75[[#This Row],[asOf]]))</f>
        <v>40554</v>
      </c>
      <c r="R1391" s="19">
        <v>4.71</v>
      </c>
      <c r="S1391" s="19">
        <v>0.8</v>
      </c>
      <c r="T1391" s="19">
        <v>4.66</v>
      </c>
      <c r="V1391" s="48" t="s">
        <v>448</v>
      </c>
      <c r="W1391" s="48" t="s">
        <v>1832</v>
      </c>
      <c r="X1391" s="51">
        <v>4.14123720248294</v>
      </c>
      <c r="Z1391" s="48" t="s">
        <v>442</v>
      </c>
      <c r="AA1391" s="51">
        <v>0.56046507300000004</v>
      </c>
    </row>
    <row r="1392" spans="12:27">
      <c r="L1392" s="19"/>
      <c r="M1392" s="19"/>
      <c r="N1392" s="50"/>
      <c r="O1392" s="19"/>
      <c r="P1392" s="19" t="s">
        <v>443</v>
      </c>
      <c r="Q1392" s="23">
        <f>DATE(YEAR(OneWeekMtgRatesDataTable75[[#This Row],[asOf]]),MONTH(OneWeekMtgRatesDataTable75[[#This Row],[asOf]]),DAY(OneWeekMtgRatesDataTable75[[#This Row],[asOf]]))</f>
        <v>40553</v>
      </c>
      <c r="R1392" s="19">
        <v>4.71</v>
      </c>
      <c r="S1392" s="19">
        <v>0.8</v>
      </c>
      <c r="T1392" s="19">
        <v>4.66</v>
      </c>
      <c r="V1392" s="48" t="s">
        <v>447</v>
      </c>
      <c r="W1392" s="48" t="s">
        <v>1832</v>
      </c>
      <c r="X1392" s="51">
        <v>4.0858523120533601</v>
      </c>
      <c r="Z1392" s="48" t="s">
        <v>441</v>
      </c>
      <c r="AA1392" s="51">
        <v>0.56046507300000004</v>
      </c>
    </row>
    <row r="1393" spans="12:27">
      <c r="L1393" s="19"/>
      <c r="M1393" s="19"/>
      <c r="N1393" s="50"/>
      <c r="O1393" s="19"/>
      <c r="P1393" s="19" t="s">
        <v>442</v>
      </c>
      <c r="Q1393" s="23">
        <f>DATE(YEAR(OneWeekMtgRatesDataTable75[[#This Row],[asOf]]),MONTH(OneWeekMtgRatesDataTable75[[#This Row],[asOf]]),DAY(OneWeekMtgRatesDataTable75[[#This Row],[asOf]]))</f>
        <v>40550</v>
      </c>
      <c r="R1393" s="19">
        <v>4.71</v>
      </c>
      <c r="S1393" s="19">
        <v>0.8</v>
      </c>
      <c r="T1393" s="19">
        <v>4.66</v>
      </c>
      <c r="V1393" s="48" t="s">
        <v>446</v>
      </c>
      <c r="W1393" s="48" t="s">
        <v>1832</v>
      </c>
      <c r="X1393" s="51">
        <v>4.0727672759857096</v>
      </c>
      <c r="Z1393" s="48" t="s">
        <v>440</v>
      </c>
      <c r="AA1393" s="51">
        <v>0.56046507300000004</v>
      </c>
    </row>
    <row r="1394" spans="12:27">
      <c r="L1394" s="19"/>
      <c r="M1394" s="19"/>
      <c r="N1394" s="50"/>
      <c r="O1394" s="19"/>
      <c r="P1394" s="19" t="s">
        <v>441</v>
      </c>
      <c r="Q1394" s="23">
        <f>DATE(YEAR(OneWeekMtgRatesDataTable75[[#This Row],[asOf]]),MONTH(OneWeekMtgRatesDataTable75[[#This Row],[asOf]]),DAY(OneWeekMtgRatesDataTable75[[#This Row],[asOf]]))</f>
        <v>40549</v>
      </c>
      <c r="R1394" s="19">
        <v>4.71</v>
      </c>
      <c r="S1394" s="19">
        <v>0.8</v>
      </c>
      <c r="T1394" s="19">
        <v>4.66</v>
      </c>
      <c r="V1394" s="48" t="s">
        <v>445</v>
      </c>
      <c r="W1394" s="48" t="s">
        <v>1832</v>
      </c>
      <c r="X1394" s="51">
        <v>4.1275516725905304</v>
      </c>
    </row>
    <row r="1395" spans="12:27">
      <c r="L1395" s="19"/>
      <c r="M1395" s="19"/>
      <c r="N1395" s="50"/>
      <c r="O1395" s="19"/>
      <c r="P1395" s="19" t="s">
        <v>440</v>
      </c>
      <c r="Q1395" s="23">
        <f>DATE(YEAR(OneWeekMtgRatesDataTable75[[#This Row],[asOf]]),MONTH(OneWeekMtgRatesDataTable75[[#This Row],[asOf]]),DAY(OneWeekMtgRatesDataTable75[[#This Row],[asOf]]))</f>
        <v>40548</v>
      </c>
      <c r="R1395" s="19">
        <v>4.7699999999999996</v>
      </c>
      <c r="S1395" s="19">
        <v>0.8</v>
      </c>
      <c r="T1395" s="19">
        <v>4.72</v>
      </c>
      <c r="V1395" s="48" t="s">
        <v>444</v>
      </c>
      <c r="W1395" s="48" t="s">
        <v>1832</v>
      </c>
      <c r="X1395" s="51">
        <v>4.1304635686140401</v>
      </c>
    </row>
    <row r="1396" spans="12:27">
      <c r="L1396" s="19"/>
      <c r="M1396" s="19"/>
      <c r="N1396" s="50"/>
      <c r="O1396" s="19"/>
      <c r="P1396" s="19" t="s">
        <v>439</v>
      </c>
      <c r="Q1396" s="23">
        <f>DATE(YEAR(OneWeekMtgRatesDataTable75[[#This Row],[asOf]]),MONTH(OneWeekMtgRatesDataTable75[[#This Row],[asOf]]),DAY(OneWeekMtgRatesDataTable75[[#This Row],[asOf]]))</f>
        <v>40547</v>
      </c>
      <c r="R1396" s="19">
        <v>4.7699999999999996</v>
      </c>
      <c r="S1396" s="19">
        <v>0.8</v>
      </c>
      <c r="T1396" s="19">
        <v>4.72</v>
      </c>
    </row>
    <row r="1397" spans="12:27">
      <c r="L1397" s="19"/>
      <c r="M1397" s="19"/>
      <c r="N1397" s="50"/>
      <c r="O1397" s="19"/>
      <c r="P1397" s="19" t="s">
        <v>438</v>
      </c>
      <c r="Q1397" s="23">
        <f>DATE(YEAR(OneWeekMtgRatesDataTable75[[#This Row],[asOf]]),MONTH(OneWeekMtgRatesDataTable75[[#This Row],[asOf]]),DAY(OneWeekMtgRatesDataTable75[[#This Row],[asOf]]))</f>
        <v>40546</v>
      </c>
      <c r="R1397" s="19">
        <v>4.7699999999999996</v>
      </c>
      <c r="S1397" s="19">
        <v>0.8</v>
      </c>
      <c r="T1397" s="19">
        <v>4.72</v>
      </c>
    </row>
    <row r="1398" spans="12:27">
      <c r="L1398" s="19"/>
      <c r="M1398" s="19"/>
      <c r="N1398" s="50"/>
      <c r="O1398" s="19"/>
      <c r="P1398" s="19" t="s">
        <v>437</v>
      </c>
      <c r="Q1398" s="23">
        <f>DATE(YEAR(OneWeekMtgRatesDataTable75[[#This Row],[asOf]]),MONTH(OneWeekMtgRatesDataTable75[[#This Row],[asOf]]),DAY(OneWeekMtgRatesDataTable75[[#This Row],[asOf]]))</f>
        <v>40543</v>
      </c>
      <c r="R1398" s="19">
        <v>4.7699999999999996</v>
      </c>
      <c r="S1398" s="19">
        <v>0.8</v>
      </c>
      <c r="T1398" s="19">
        <v>4.72</v>
      </c>
    </row>
    <row r="1399" spans="12:27">
      <c r="L1399" s="19"/>
      <c r="M1399" s="19"/>
      <c r="N1399" s="50"/>
      <c r="O1399" s="19"/>
      <c r="P1399" s="19" t="s">
        <v>436</v>
      </c>
      <c r="Q1399" s="23">
        <f>DATE(YEAR(OneWeekMtgRatesDataTable75[[#This Row],[asOf]]),MONTH(OneWeekMtgRatesDataTable75[[#This Row],[asOf]]),DAY(OneWeekMtgRatesDataTable75[[#This Row],[asOf]]))</f>
        <v>40542</v>
      </c>
      <c r="R1399" s="19">
        <v>4.7699999999999996</v>
      </c>
      <c r="S1399" s="19">
        <v>0.8</v>
      </c>
      <c r="T1399" s="19">
        <v>4.72</v>
      </c>
    </row>
    <row r="1400" spans="12:27">
      <c r="L1400" s="19"/>
      <c r="M1400" s="19"/>
      <c r="N1400" s="50"/>
      <c r="O1400" s="19"/>
      <c r="P1400" s="19" t="s">
        <v>435</v>
      </c>
      <c r="Q1400" s="23">
        <f>DATE(YEAR(OneWeekMtgRatesDataTable75[[#This Row],[asOf]]),MONTH(OneWeekMtgRatesDataTable75[[#This Row],[asOf]]),DAY(OneWeekMtgRatesDataTable75[[#This Row],[asOf]]))</f>
        <v>40541</v>
      </c>
      <c r="R1400" s="19">
        <v>4.8600000000000003</v>
      </c>
      <c r="S1400" s="19">
        <v>0.8</v>
      </c>
      <c r="T1400" s="19">
        <v>4.8100000000000005</v>
      </c>
    </row>
    <row r="1401" spans="12:27">
      <c r="L1401" s="19"/>
      <c r="M1401" s="19"/>
      <c r="N1401" s="50"/>
      <c r="O1401" s="19"/>
      <c r="P1401" s="19" t="s">
        <v>434</v>
      </c>
      <c r="Q1401" s="23">
        <f>DATE(YEAR(OneWeekMtgRatesDataTable75[[#This Row],[asOf]]),MONTH(OneWeekMtgRatesDataTable75[[#This Row],[asOf]]),DAY(OneWeekMtgRatesDataTable75[[#This Row],[asOf]]))</f>
        <v>40540</v>
      </c>
      <c r="R1401" s="19">
        <v>4.8600000000000003</v>
      </c>
      <c r="S1401" s="19">
        <v>0.8</v>
      </c>
      <c r="T1401" s="19">
        <v>4.8100000000000005</v>
      </c>
    </row>
    <row r="1402" spans="12:27">
      <c r="L1402" s="19"/>
      <c r="M1402" s="19"/>
      <c r="N1402" s="50"/>
      <c r="O1402" s="19"/>
      <c r="P1402" s="19" t="s">
        <v>433</v>
      </c>
      <c r="Q1402" s="23">
        <f>DATE(YEAR(OneWeekMtgRatesDataTable75[[#This Row],[asOf]]),MONTH(OneWeekMtgRatesDataTable75[[#This Row],[asOf]]),DAY(OneWeekMtgRatesDataTable75[[#This Row],[asOf]]))</f>
        <v>40539</v>
      </c>
      <c r="R1402" s="19">
        <v>4.8600000000000003</v>
      </c>
      <c r="S1402" s="19">
        <v>0.8</v>
      </c>
      <c r="T1402" s="19">
        <v>4.8100000000000005</v>
      </c>
    </row>
    <row r="1403" spans="12:27">
      <c r="L1403" s="19"/>
      <c r="M1403" s="19"/>
      <c r="N1403" s="50"/>
      <c r="O1403" s="19"/>
      <c r="P1403" s="19" t="s">
        <v>432</v>
      </c>
      <c r="Q1403" s="23">
        <f>DATE(YEAR(OneWeekMtgRatesDataTable75[[#This Row],[asOf]]),MONTH(OneWeekMtgRatesDataTable75[[#This Row],[asOf]]),DAY(OneWeekMtgRatesDataTable75[[#This Row],[asOf]]))</f>
        <v>40535</v>
      </c>
      <c r="R1403" s="19">
        <v>4.8600000000000003</v>
      </c>
      <c r="S1403" s="19">
        <v>0.8</v>
      </c>
      <c r="T1403" s="19">
        <v>4.8100000000000005</v>
      </c>
    </row>
    <row r="1404" spans="12:27">
      <c r="L1404" s="19"/>
      <c r="M1404" s="19"/>
      <c r="N1404" s="50"/>
      <c r="O1404" s="19"/>
      <c r="P1404" s="19" t="s">
        <v>431</v>
      </c>
      <c r="Q1404" s="23">
        <f>DATE(YEAR(OneWeekMtgRatesDataTable75[[#This Row],[asOf]]),MONTH(OneWeekMtgRatesDataTable75[[#This Row],[asOf]]),DAY(OneWeekMtgRatesDataTable75[[#This Row],[asOf]]))</f>
        <v>40534</v>
      </c>
      <c r="R1404" s="19">
        <v>4.8099999999999996</v>
      </c>
      <c r="S1404" s="19">
        <v>0.7</v>
      </c>
      <c r="T1404" s="19">
        <v>4.7349999999999994</v>
      </c>
    </row>
    <row r="1405" spans="12:27">
      <c r="L1405" s="19"/>
      <c r="M1405" s="19"/>
      <c r="N1405" s="50"/>
      <c r="O1405" s="19"/>
      <c r="P1405" s="19" t="s">
        <v>430</v>
      </c>
      <c r="Q1405" s="23">
        <f>DATE(YEAR(OneWeekMtgRatesDataTable75[[#This Row],[asOf]]),MONTH(OneWeekMtgRatesDataTable75[[#This Row],[asOf]]),DAY(OneWeekMtgRatesDataTable75[[#This Row],[asOf]]))</f>
        <v>40533</v>
      </c>
      <c r="R1405" s="19">
        <v>4.8099999999999996</v>
      </c>
      <c r="S1405" s="19">
        <v>0.7</v>
      </c>
      <c r="T1405" s="19">
        <v>4.7349999999999994</v>
      </c>
    </row>
    <row r="1406" spans="12:27">
      <c r="L1406" s="19"/>
      <c r="M1406" s="19"/>
      <c r="N1406" s="50"/>
      <c r="O1406" s="19"/>
      <c r="P1406" s="19" t="s">
        <v>429</v>
      </c>
      <c r="Q1406" s="23">
        <f>DATE(YEAR(OneWeekMtgRatesDataTable75[[#This Row],[asOf]]),MONTH(OneWeekMtgRatesDataTable75[[#This Row],[asOf]]),DAY(OneWeekMtgRatesDataTable75[[#This Row],[asOf]]))</f>
        <v>40532</v>
      </c>
      <c r="R1406" s="19">
        <v>4.8099999999999996</v>
      </c>
      <c r="S1406" s="19">
        <v>0.7</v>
      </c>
      <c r="T1406" s="19">
        <v>4.7349999999999994</v>
      </c>
    </row>
    <row r="1407" spans="12:27">
      <c r="L1407" s="19"/>
      <c r="M1407" s="19"/>
      <c r="N1407" s="50"/>
      <c r="O1407" s="19"/>
      <c r="P1407" s="19" t="s">
        <v>428</v>
      </c>
      <c r="Q1407" s="23">
        <f>DATE(YEAR(OneWeekMtgRatesDataTable75[[#This Row],[asOf]]),MONTH(OneWeekMtgRatesDataTable75[[#This Row],[asOf]]),DAY(OneWeekMtgRatesDataTable75[[#This Row],[asOf]]))</f>
        <v>40529</v>
      </c>
      <c r="R1407" s="19">
        <v>4.8099999999999996</v>
      </c>
      <c r="S1407" s="19">
        <v>0.7</v>
      </c>
      <c r="T1407" s="19">
        <v>4.7349999999999994</v>
      </c>
    </row>
    <row r="1408" spans="12:27">
      <c r="L1408" s="19"/>
      <c r="M1408" s="19"/>
      <c r="N1408" s="50"/>
      <c r="O1408" s="19"/>
      <c r="P1408" s="19" t="s">
        <v>427</v>
      </c>
      <c r="Q1408" s="23">
        <f>DATE(YEAR(OneWeekMtgRatesDataTable75[[#This Row],[asOf]]),MONTH(OneWeekMtgRatesDataTable75[[#This Row],[asOf]]),DAY(OneWeekMtgRatesDataTable75[[#This Row],[asOf]]))</f>
        <v>40528</v>
      </c>
      <c r="R1408" s="19">
        <v>4.8099999999999996</v>
      </c>
      <c r="S1408" s="19">
        <v>0.7</v>
      </c>
      <c r="T1408" s="19">
        <v>4.7349999999999994</v>
      </c>
    </row>
    <row r="1409" spans="12:20">
      <c r="L1409" s="19"/>
      <c r="M1409" s="19"/>
      <c r="N1409" s="50"/>
      <c r="O1409" s="19"/>
      <c r="P1409" s="19" t="s">
        <v>426</v>
      </c>
      <c r="Q1409" s="23">
        <f>DATE(YEAR(OneWeekMtgRatesDataTable75[[#This Row],[asOf]]),MONTH(OneWeekMtgRatesDataTable75[[#This Row],[asOf]]),DAY(OneWeekMtgRatesDataTable75[[#This Row],[asOf]]))</f>
        <v>40527</v>
      </c>
      <c r="R1409" s="19">
        <v>4.83</v>
      </c>
      <c r="S1409" s="19">
        <v>0.7</v>
      </c>
      <c r="T1409" s="19">
        <v>4.7549999999999999</v>
      </c>
    </row>
    <row r="1410" spans="12:20">
      <c r="L1410" s="19"/>
      <c r="M1410" s="19"/>
      <c r="N1410" s="50"/>
      <c r="O1410" s="19"/>
      <c r="P1410" s="19" t="s">
        <v>425</v>
      </c>
      <c r="Q1410" s="23">
        <f>DATE(YEAR(OneWeekMtgRatesDataTable75[[#This Row],[asOf]]),MONTH(OneWeekMtgRatesDataTable75[[#This Row],[asOf]]),DAY(OneWeekMtgRatesDataTable75[[#This Row],[asOf]]))</f>
        <v>40526</v>
      </c>
      <c r="R1410" s="19">
        <v>4.83</v>
      </c>
      <c r="S1410" s="19">
        <v>0.7</v>
      </c>
      <c r="T1410" s="19">
        <v>4.7549999999999999</v>
      </c>
    </row>
    <row r="1411" spans="12:20">
      <c r="L1411" s="19"/>
      <c r="M1411" s="19"/>
      <c r="N1411" s="50"/>
      <c r="O1411" s="19"/>
      <c r="P1411" s="19" t="s">
        <v>424</v>
      </c>
      <c r="Q1411" s="23">
        <f>DATE(YEAR(OneWeekMtgRatesDataTable75[[#This Row],[asOf]]),MONTH(OneWeekMtgRatesDataTable75[[#This Row],[asOf]]),DAY(OneWeekMtgRatesDataTable75[[#This Row],[asOf]]))</f>
        <v>40525</v>
      </c>
      <c r="R1411" s="19">
        <v>4.83</v>
      </c>
      <c r="S1411" s="19">
        <v>0.7</v>
      </c>
      <c r="T1411" s="19">
        <v>4.7549999999999999</v>
      </c>
    </row>
    <row r="1412" spans="12:20">
      <c r="L1412" s="19"/>
      <c r="M1412" s="19"/>
      <c r="N1412" s="50"/>
      <c r="O1412" s="19"/>
      <c r="P1412" s="19" t="s">
        <v>423</v>
      </c>
      <c r="Q1412" s="23">
        <f>DATE(YEAR(OneWeekMtgRatesDataTable75[[#This Row],[asOf]]),MONTH(OneWeekMtgRatesDataTable75[[#This Row],[asOf]]),DAY(OneWeekMtgRatesDataTable75[[#This Row],[asOf]]))</f>
        <v>40522</v>
      </c>
      <c r="R1412" s="19">
        <v>4.83</v>
      </c>
      <c r="S1412" s="19">
        <v>0.7</v>
      </c>
      <c r="T1412" s="19">
        <v>4.7549999999999999</v>
      </c>
    </row>
    <row r="1413" spans="12:20">
      <c r="L1413" s="19"/>
      <c r="M1413" s="19"/>
      <c r="N1413" s="50"/>
      <c r="O1413" s="19"/>
      <c r="P1413" s="19" t="s">
        <v>422</v>
      </c>
      <c r="Q1413" s="23">
        <f>DATE(YEAR(OneWeekMtgRatesDataTable75[[#This Row],[asOf]]),MONTH(OneWeekMtgRatesDataTable75[[#This Row],[asOf]]),DAY(OneWeekMtgRatesDataTable75[[#This Row],[asOf]]))</f>
        <v>40521</v>
      </c>
      <c r="R1413" s="19">
        <v>4.83</v>
      </c>
      <c r="S1413" s="19">
        <v>0.7</v>
      </c>
      <c r="T1413" s="19">
        <v>4.7549999999999999</v>
      </c>
    </row>
    <row r="1414" spans="12:20">
      <c r="L1414" s="19"/>
      <c r="M1414" s="19"/>
      <c r="N1414" s="50"/>
      <c r="O1414" s="19"/>
      <c r="P1414" s="19" t="s">
        <v>421</v>
      </c>
      <c r="Q1414" s="23">
        <f>DATE(YEAR(OneWeekMtgRatesDataTable75[[#This Row],[asOf]]),MONTH(OneWeekMtgRatesDataTable75[[#This Row],[asOf]]),DAY(OneWeekMtgRatesDataTable75[[#This Row],[asOf]]))</f>
        <v>40520</v>
      </c>
      <c r="R1414" s="19">
        <v>4.6100000000000003</v>
      </c>
      <c r="S1414" s="19">
        <v>0.7</v>
      </c>
      <c r="T1414" s="19">
        <v>4.5350000000000001</v>
      </c>
    </row>
    <row r="1415" spans="12:20">
      <c r="L1415" s="19"/>
      <c r="M1415" s="19"/>
      <c r="N1415" s="50"/>
      <c r="O1415" s="19"/>
      <c r="P1415" s="19" t="s">
        <v>420</v>
      </c>
      <c r="Q1415" s="23">
        <f>DATE(YEAR(OneWeekMtgRatesDataTable75[[#This Row],[asOf]]),MONTH(OneWeekMtgRatesDataTable75[[#This Row],[asOf]]),DAY(OneWeekMtgRatesDataTable75[[#This Row],[asOf]]))</f>
        <v>40519</v>
      </c>
      <c r="R1415" s="19">
        <v>4.6100000000000003</v>
      </c>
      <c r="S1415" s="19">
        <v>0.7</v>
      </c>
      <c r="T1415" s="19">
        <v>4.5350000000000001</v>
      </c>
    </row>
    <row r="1416" spans="12:20">
      <c r="L1416" s="19"/>
      <c r="M1416" s="19"/>
      <c r="N1416" s="50"/>
      <c r="O1416" s="19"/>
      <c r="P1416" s="19" t="s">
        <v>419</v>
      </c>
      <c r="Q1416" s="23">
        <f>DATE(YEAR(OneWeekMtgRatesDataTable75[[#This Row],[asOf]]),MONTH(OneWeekMtgRatesDataTable75[[#This Row],[asOf]]),DAY(OneWeekMtgRatesDataTable75[[#This Row],[asOf]]))</f>
        <v>40518</v>
      </c>
      <c r="R1416" s="19">
        <v>4.6100000000000003</v>
      </c>
      <c r="S1416" s="19">
        <v>0.7</v>
      </c>
      <c r="T1416" s="19">
        <v>4.5350000000000001</v>
      </c>
    </row>
    <row r="1417" spans="12:20">
      <c r="L1417" s="19"/>
      <c r="M1417" s="19"/>
      <c r="N1417" s="50"/>
      <c r="O1417" s="19"/>
      <c r="P1417" s="19" t="s">
        <v>418</v>
      </c>
      <c r="Q1417" s="23">
        <f>DATE(YEAR(OneWeekMtgRatesDataTable75[[#This Row],[asOf]]),MONTH(OneWeekMtgRatesDataTable75[[#This Row],[asOf]]),DAY(OneWeekMtgRatesDataTable75[[#This Row],[asOf]]))</f>
        <v>40515</v>
      </c>
      <c r="R1417" s="19">
        <v>4.6100000000000003</v>
      </c>
      <c r="S1417" s="19">
        <v>0.7</v>
      </c>
      <c r="T1417" s="19">
        <v>4.5350000000000001</v>
      </c>
    </row>
    <row r="1418" spans="12:20">
      <c r="L1418" s="19"/>
      <c r="M1418" s="19"/>
      <c r="N1418" s="50"/>
      <c r="O1418" s="19"/>
      <c r="P1418" s="19" t="s">
        <v>417</v>
      </c>
      <c r="Q1418" s="23">
        <f>DATE(YEAR(OneWeekMtgRatesDataTable75[[#This Row],[asOf]]),MONTH(OneWeekMtgRatesDataTable75[[#This Row],[asOf]]),DAY(OneWeekMtgRatesDataTable75[[#This Row],[asOf]]))</f>
        <v>40514</v>
      </c>
      <c r="R1418" s="19">
        <v>4.6100000000000003</v>
      </c>
      <c r="S1418" s="19">
        <v>0.7</v>
      </c>
      <c r="T1418" s="19">
        <v>4.5350000000000001</v>
      </c>
    </row>
    <row r="1419" spans="12:20">
      <c r="L1419" s="19"/>
      <c r="M1419" s="19"/>
      <c r="N1419" s="50"/>
      <c r="O1419" s="19"/>
      <c r="P1419" s="19" t="s">
        <v>416</v>
      </c>
      <c r="Q1419" s="23">
        <f>DATE(YEAR(OneWeekMtgRatesDataTable75[[#This Row],[asOf]]),MONTH(OneWeekMtgRatesDataTable75[[#This Row],[asOf]]),DAY(OneWeekMtgRatesDataTable75[[#This Row],[asOf]]))</f>
        <v>40513</v>
      </c>
      <c r="R1419" s="19">
        <v>4.46</v>
      </c>
      <c r="S1419" s="19">
        <v>0.8</v>
      </c>
      <c r="T1419" s="19">
        <v>4.41</v>
      </c>
    </row>
    <row r="1420" spans="12:20">
      <c r="L1420" s="19"/>
      <c r="M1420" s="19"/>
      <c r="N1420" s="50"/>
      <c r="O1420" s="19"/>
      <c r="P1420" s="19" t="s">
        <v>415</v>
      </c>
      <c r="Q1420" s="23">
        <f>DATE(YEAR(OneWeekMtgRatesDataTable75[[#This Row],[asOf]]),MONTH(OneWeekMtgRatesDataTable75[[#This Row],[asOf]]),DAY(OneWeekMtgRatesDataTable75[[#This Row],[asOf]]))</f>
        <v>40512</v>
      </c>
      <c r="R1420" s="19">
        <v>4.46</v>
      </c>
      <c r="S1420" s="19">
        <v>0.8</v>
      </c>
      <c r="T1420" s="19">
        <v>4.41</v>
      </c>
    </row>
    <row r="1421" spans="12:20">
      <c r="L1421" s="19"/>
      <c r="M1421" s="19"/>
      <c r="N1421" s="50"/>
      <c r="O1421" s="19"/>
      <c r="P1421" s="19" t="s">
        <v>414</v>
      </c>
      <c r="Q1421" s="23">
        <f>DATE(YEAR(OneWeekMtgRatesDataTable75[[#This Row],[asOf]]),MONTH(OneWeekMtgRatesDataTable75[[#This Row],[asOf]]),DAY(OneWeekMtgRatesDataTable75[[#This Row],[asOf]]))</f>
        <v>40511</v>
      </c>
      <c r="R1421" s="19">
        <v>4.46</v>
      </c>
      <c r="S1421" s="19">
        <v>0.8</v>
      </c>
      <c r="T1421" s="19">
        <v>4.41</v>
      </c>
    </row>
    <row r="1422" spans="12:20">
      <c r="L1422" s="19"/>
      <c r="M1422" s="19"/>
      <c r="N1422" s="50"/>
      <c r="O1422" s="19"/>
      <c r="P1422" s="19" t="s">
        <v>413</v>
      </c>
      <c r="Q1422" s="23">
        <f>DATE(YEAR(OneWeekMtgRatesDataTable75[[#This Row],[asOf]]),MONTH(OneWeekMtgRatesDataTable75[[#This Row],[asOf]]),DAY(OneWeekMtgRatesDataTable75[[#This Row],[asOf]]))</f>
        <v>40508</v>
      </c>
      <c r="R1422" s="19">
        <v>4.46</v>
      </c>
      <c r="S1422" s="19">
        <v>0.8</v>
      </c>
      <c r="T1422" s="19">
        <v>4.41</v>
      </c>
    </row>
    <row r="1423" spans="12:20">
      <c r="L1423" s="19"/>
      <c r="M1423" s="19"/>
      <c r="N1423" s="50"/>
      <c r="O1423" s="19"/>
      <c r="P1423" s="19" t="s">
        <v>412</v>
      </c>
      <c r="Q1423" s="23">
        <f>DATE(YEAR(OneWeekMtgRatesDataTable75[[#This Row],[asOf]]),MONTH(OneWeekMtgRatesDataTable75[[#This Row],[asOf]]),DAY(OneWeekMtgRatesDataTable75[[#This Row],[asOf]]))</f>
        <v>40506</v>
      </c>
      <c r="R1423" s="19">
        <v>4.4000000000000004</v>
      </c>
      <c r="S1423" s="19">
        <v>0.8</v>
      </c>
      <c r="T1423" s="19">
        <v>4.3500000000000005</v>
      </c>
    </row>
    <row r="1424" spans="12:20">
      <c r="L1424" s="19"/>
      <c r="M1424" s="19"/>
      <c r="N1424" s="50"/>
      <c r="O1424" s="19"/>
      <c r="P1424" s="19" t="s">
        <v>411</v>
      </c>
      <c r="Q1424" s="23">
        <f>DATE(YEAR(OneWeekMtgRatesDataTable75[[#This Row],[asOf]]),MONTH(OneWeekMtgRatesDataTable75[[#This Row],[asOf]]),DAY(OneWeekMtgRatesDataTable75[[#This Row],[asOf]]))</f>
        <v>40505</v>
      </c>
      <c r="R1424" s="19">
        <v>4.4000000000000004</v>
      </c>
      <c r="S1424" s="19">
        <v>0.8</v>
      </c>
      <c r="T1424" s="19">
        <v>4.3500000000000005</v>
      </c>
    </row>
    <row r="1425" spans="12:20">
      <c r="L1425" s="19"/>
      <c r="M1425" s="19"/>
      <c r="N1425" s="50"/>
      <c r="O1425" s="19"/>
      <c r="P1425" s="19" t="s">
        <v>410</v>
      </c>
      <c r="Q1425" s="23">
        <f>DATE(YEAR(OneWeekMtgRatesDataTable75[[#This Row],[asOf]]),MONTH(OneWeekMtgRatesDataTable75[[#This Row],[asOf]]),DAY(OneWeekMtgRatesDataTable75[[#This Row],[asOf]]))</f>
        <v>40504</v>
      </c>
      <c r="R1425" s="19">
        <v>4.4000000000000004</v>
      </c>
      <c r="S1425" s="19">
        <v>0.8</v>
      </c>
      <c r="T1425" s="19">
        <v>4.3500000000000005</v>
      </c>
    </row>
    <row r="1426" spans="12:20">
      <c r="L1426" s="19"/>
      <c r="M1426" s="19"/>
      <c r="N1426" s="50"/>
      <c r="O1426" s="19"/>
      <c r="P1426" s="19" t="s">
        <v>409</v>
      </c>
      <c r="Q1426" s="23">
        <f>DATE(YEAR(OneWeekMtgRatesDataTable75[[#This Row],[asOf]]),MONTH(OneWeekMtgRatesDataTable75[[#This Row],[asOf]]),DAY(OneWeekMtgRatesDataTable75[[#This Row],[asOf]]))</f>
        <v>40501</v>
      </c>
      <c r="R1426" s="19">
        <v>4.4000000000000004</v>
      </c>
      <c r="S1426" s="19">
        <v>0.8</v>
      </c>
      <c r="T1426" s="19">
        <v>4.3500000000000005</v>
      </c>
    </row>
    <row r="1427" spans="12:20">
      <c r="L1427" s="19"/>
      <c r="M1427" s="19"/>
      <c r="N1427" s="50"/>
      <c r="O1427" s="19"/>
      <c r="P1427" s="19" t="s">
        <v>408</v>
      </c>
      <c r="Q1427" s="23">
        <f>DATE(YEAR(OneWeekMtgRatesDataTable75[[#This Row],[asOf]]),MONTH(OneWeekMtgRatesDataTable75[[#This Row],[asOf]]),DAY(OneWeekMtgRatesDataTable75[[#This Row],[asOf]]))</f>
        <v>40500</v>
      </c>
      <c r="R1427" s="19">
        <v>4.4000000000000004</v>
      </c>
      <c r="S1427" s="19">
        <v>0.8</v>
      </c>
      <c r="T1427" s="19">
        <v>4.3500000000000005</v>
      </c>
    </row>
    <row r="1428" spans="12:20">
      <c r="L1428" s="19"/>
      <c r="M1428" s="19"/>
      <c r="N1428" s="50"/>
      <c r="O1428" s="19"/>
      <c r="P1428" s="19" t="s">
        <v>407</v>
      </c>
      <c r="Q1428" s="23">
        <f>DATE(YEAR(OneWeekMtgRatesDataTable75[[#This Row],[asOf]]),MONTH(OneWeekMtgRatesDataTable75[[#This Row],[asOf]]),DAY(OneWeekMtgRatesDataTable75[[#This Row],[asOf]]))</f>
        <v>40499</v>
      </c>
      <c r="R1428" s="19">
        <v>4.3899999999999997</v>
      </c>
      <c r="S1428" s="19">
        <v>0.9</v>
      </c>
      <c r="T1428" s="19">
        <v>4.3649999999999993</v>
      </c>
    </row>
    <row r="1429" spans="12:20">
      <c r="L1429" s="19"/>
      <c r="M1429" s="19"/>
      <c r="N1429" s="50"/>
      <c r="O1429" s="19"/>
      <c r="P1429" s="19" t="s">
        <v>406</v>
      </c>
      <c r="Q1429" s="23">
        <f>DATE(YEAR(OneWeekMtgRatesDataTable75[[#This Row],[asOf]]),MONTH(OneWeekMtgRatesDataTable75[[#This Row],[asOf]]),DAY(OneWeekMtgRatesDataTable75[[#This Row],[asOf]]))</f>
        <v>40498</v>
      </c>
      <c r="R1429" s="19">
        <v>4.3899999999999997</v>
      </c>
      <c r="S1429" s="19">
        <v>0.9</v>
      </c>
      <c r="T1429" s="19">
        <v>4.3649999999999993</v>
      </c>
    </row>
    <row r="1430" spans="12:20">
      <c r="L1430" s="19"/>
      <c r="M1430" s="19"/>
      <c r="N1430" s="50"/>
      <c r="O1430" s="19"/>
      <c r="P1430" s="19" t="s">
        <v>405</v>
      </c>
      <c r="Q1430" s="23">
        <f>DATE(YEAR(OneWeekMtgRatesDataTable75[[#This Row],[asOf]]),MONTH(OneWeekMtgRatesDataTable75[[#This Row],[asOf]]),DAY(OneWeekMtgRatesDataTable75[[#This Row],[asOf]]))</f>
        <v>40497</v>
      </c>
      <c r="R1430" s="19">
        <v>4.3899999999999997</v>
      </c>
      <c r="S1430" s="19">
        <v>0.9</v>
      </c>
      <c r="T1430" s="19">
        <v>4.3649999999999993</v>
      </c>
    </row>
    <row r="1431" spans="12:20">
      <c r="L1431" s="19"/>
      <c r="M1431" s="19"/>
      <c r="N1431" s="50"/>
      <c r="O1431" s="19"/>
      <c r="P1431" s="19" t="s">
        <v>404</v>
      </c>
      <c r="Q1431" s="23">
        <f>DATE(YEAR(OneWeekMtgRatesDataTable75[[#This Row],[asOf]]),MONTH(OneWeekMtgRatesDataTable75[[#This Row],[asOf]]),DAY(OneWeekMtgRatesDataTable75[[#This Row],[asOf]]))</f>
        <v>40494</v>
      </c>
      <c r="R1431" s="19">
        <v>4.3899999999999997</v>
      </c>
      <c r="S1431" s="19">
        <v>0.9</v>
      </c>
      <c r="T1431" s="19">
        <v>4.3649999999999993</v>
      </c>
    </row>
    <row r="1432" spans="12:20">
      <c r="L1432" s="19"/>
      <c r="M1432" s="19"/>
      <c r="N1432" s="50"/>
      <c r="O1432" s="19"/>
      <c r="P1432" s="19" t="s">
        <v>403</v>
      </c>
      <c r="Q1432" s="23">
        <f>DATE(YEAR(OneWeekMtgRatesDataTable75[[#This Row],[asOf]]),MONTH(OneWeekMtgRatesDataTable75[[#This Row],[asOf]]),DAY(OneWeekMtgRatesDataTable75[[#This Row],[asOf]]))</f>
        <v>40492</v>
      </c>
      <c r="R1432" s="19">
        <v>4.17</v>
      </c>
      <c r="S1432" s="19">
        <v>0.8</v>
      </c>
      <c r="T1432" s="19">
        <v>4.12</v>
      </c>
    </row>
    <row r="1433" spans="12:20">
      <c r="L1433" s="19"/>
      <c r="M1433" s="19"/>
      <c r="N1433" s="50"/>
      <c r="O1433" s="19"/>
      <c r="P1433" s="19" t="s">
        <v>402</v>
      </c>
      <c r="Q1433" s="23">
        <f>DATE(YEAR(OneWeekMtgRatesDataTable75[[#This Row],[asOf]]),MONTH(OneWeekMtgRatesDataTable75[[#This Row],[asOf]]),DAY(OneWeekMtgRatesDataTable75[[#This Row],[asOf]]))</f>
        <v>40491</v>
      </c>
      <c r="R1433" s="19">
        <v>4.17</v>
      </c>
      <c r="S1433" s="19">
        <v>0.8</v>
      </c>
      <c r="T1433" s="19">
        <v>4.12</v>
      </c>
    </row>
    <row r="1434" spans="12:20">
      <c r="L1434" s="19"/>
      <c r="M1434" s="19"/>
      <c r="N1434" s="50"/>
      <c r="O1434" s="19"/>
      <c r="P1434" s="19" t="s">
        <v>401</v>
      </c>
      <c r="Q1434" s="23">
        <f>DATE(YEAR(OneWeekMtgRatesDataTable75[[#This Row],[asOf]]),MONTH(OneWeekMtgRatesDataTable75[[#This Row],[asOf]]),DAY(OneWeekMtgRatesDataTable75[[#This Row],[asOf]]))</f>
        <v>40490</v>
      </c>
      <c r="R1434" s="19">
        <v>4.17</v>
      </c>
      <c r="S1434" s="19">
        <v>0.8</v>
      </c>
      <c r="T1434" s="19">
        <v>4.12</v>
      </c>
    </row>
    <row r="1435" spans="12:20">
      <c r="L1435" s="19"/>
      <c r="M1435" s="19"/>
      <c r="N1435" s="50"/>
      <c r="O1435" s="19"/>
      <c r="P1435" s="19" t="s">
        <v>400</v>
      </c>
      <c r="Q1435" s="23">
        <f>DATE(YEAR(OneWeekMtgRatesDataTable75[[#This Row],[asOf]]),MONTH(OneWeekMtgRatesDataTable75[[#This Row],[asOf]]),DAY(OneWeekMtgRatesDataTable75[[#This Row],[asOf]]))</f>
        <v>40487</v>
      </c>
      <c r="R1435" s="19">
        <v>4.17</v>
      </c>
      <c r="S1435" s="19">
        <v>0.8</v>
      </c>
      <c r="T1435" s="19">
        <v>4.12</v>
      </c>
    </row>
    <row r="1436" spans="12:20">
      <c r="L1436" s="19"/>
      <c r="M1436" s="19"/>
      <c r="N1436" s="50"/>
      <c r="O1436" s="19"/>
      <c r="P1436" s="19" t="s">
        <v>399</v>
      </c>
      <c r="Q1436" s="23">
        <f>DATE(YEAR(OneWeekMtgRatesDataTable75[[#This Row],[asOf]]),MONTH(OneWeekMtgRatesDataTable75[[#This Row],[asOf]]),DAY(OneWeekMtgRatesDataTable75[[#This Row],[asOf]]))</f>
        <v>40486</v>
      </c>
      <c r="R1436" s="19">
        <v>4.17</v>
      </c>
      <c r="S1436" s="19">
        <v>0.8</v>
      </c>
      <c r="T1436" s="19">
        <v>4.12</v>
      </c>
    </row>
    <row r="1437" spans="12:20">
      <c r="L1437" s="19"/>
      <c r="M1437" s="19"/>
      <c r="N1437" s="50"/>
      <c r="O1437" s="19"/>
      <c r="P1437" s="19" t="s">
        <v>398</v>
      </c>
      <c r="Q1437" s="23">
        <f>DATE(YEAR(OneWeekMtgRatesDataTable75[[#This Row],[asOf]]),MONTH(OneWeekMtgRatesDataTable75[[#This Row],[asOf]]),DAY(OneWeekMtgRatesDataTable75[[#This Row],[asOf]]))</f>
        <v>40485</v>
      </c>
      <c r="R1437" s="19">
        <v>4.24</v>
      </c>
      <c r="S1437" s="19">
        <v>0.8</v>
      </c>
      <c r="T1437" s="19">
        <v>4.1900000000000004</v>
      </c>
    </row>
    <row r="1438" spans="12:20">
      <c r="L1438" s="19"/>
      <c r="M1438" s="19"/>
      <c r="N1438" s="50"/>
      <c r="O1438" s="19"/>
      <c r="P1438" s="19" t="s">
        <v>397</v>
      </c>
      <c r="Q1438" s="23">
        <f>DATE(YEAR(OneWeekMtgRatesDataTable75[[#This Row],[asOf]]),MONTH(OneWeekMtgRatesDataTable75[[#This Row],[asOf]]),DAY(OneWeekMtgRatesDataTable75[[#This Row],[asOf]]))</f>
        <v>40484</v>
      </c>
      <c r="R1438" s="19">
        <v>4.24</v>
      </c>
      <c r="S1438" s="19">
        <v>0.8</v>
      </c>
      <c r="T1438" s="19">
        <v>4.1900000000000004</v>
      </c>
    </row>
    <row r="1439" spans="12:20">
      <c r="L1439" s="19"/>
      <c r="M1439" s="19"/>
      <c r="N1439" s="50"/>
      <c r="O1439" s="19"/>
      <c r="P1439" s="19" t="s">
        <v>396</v>
      </c>
      <c r="Q1439" s="23">
        <f>DATE(YEAR(OneWeekMtgRatesDataTable75[[#This Row],[asOf]]),MONTH(OneWeekMtgRatesDataTable75[[#This Row],[asOf]]),DAY(OneWeekMtgRatesDataTable75[[#This Row],[asOf]]))</f>
        <v>40483</v>
      </c>
      <c r="R1439" s="19">
        <v>4.24</v>
      </c>
      <c r="S1439" s="19">
        <v>0.8</v>
      </c>
      <c r="T1439" s="19">
        <v>4.1900000000000004</v>
      </c>
    </row>
    <row r="1440" spans="12:20">
      <c r="L1440" s="19"/>
      <c r="M1440" s="19"/>
      <c r="N1440" s="50"/>
      <c r="O1440" s="19"/>
      <c r="P1440" s="19" t="s">
        <v>395</v>
      </c>
      <c r="Q1440" s="23">
        <f>DATE(YEAR(OneWeekMtgRatesDataTable75[[#This Row],[asOf]]),MONTH(OneWeekMtgRatesDataTable75[[#This Row],[asOf]]),DAY(OneWeekMtgRatesDataTable75[[#This Row],[asOf]]))</f>
        <v>40480</v>
      </c>
      <c r="R1440" s="19">
        <v>4.24</v>
      </c>
      <c r="S1440" s="19">
        <v>0.8</v>
      </c>
      <c r="T1440" s="19">
        <v>4.1900000000000004</v>
      </c>
    </row>
    <row r="1441" spans="12:20">
      <c r="L1441" s="19"/>
      <c r="M1441" s="19"/>
      <c r="N1441" s="50"/>
      <c r="O1441" s="19"/>
      <c r="P1441" s="19" t="s">
        <v>394</v>
      </c>
      <c r="Q1441" s="23">
        <f>DATE(YEAR(OneWeekMtgRatesDataTable75[[#This Row],[asOf]]),MONTH(OneWeekMtgRatesDataTable75[[#This Row],[asOf]]),DAY(OneWeekMtgRatesDataTable75[[#This Row],[asOf]]))</f>
        <v>40479</v>
      </c>
      <c r="R1441" s="19">
        <v>4.24</v>
      </c>
      <c r="S1441" s="19">
        <v>0.8</v>
      </c>
      <c r="T1441" s="19">
        <v>4.1900000000000004</v>
      </c>
    </row>
    <row r="1442" spans="12:20">
      <c r="L1442" s="19"/>
      <c r="M1442" s="19"/>
      <c r="N1442" s="50"/>
      <c r="O1442" s="19"/>
      <c r="P1442" s="19" t="s">
        <v>393</v>
      </c>
      <c r="Q1442" s="23">
        <f>DATE(YEAR(OneWeekMtgRatesDataTable75[[#This Row],[asOf]]),MONTH(OneWeekMtgRatesDataTable75[[#This Row],[asOf]]),DAY(OneWeekMtgRatesDataTable75[[#This Row],[asOf]]))</f>
        <v>40478</v>
      </c>
      <c r="R1442" s="19">
        <v>4.2300000000000004</v>
      </c>
      <c r="S1442" s="19">
        <v>0.8</v>
      </c>
      <c r="T1442" s="19">
        <v>4.1800000000000006</v>
      </c>
    </row>
    <row r="1443" spans="12:20">
      <c r="L1443" s="19"/>
      <c r="M1443" s="19"/>
      <c r="N1443" s="50"/>
      <c r="O1443" s="19"/>
      <c r="P1443" s="19" t="s">
        <v>392</v>
      </c>
      <c r="Q1443" s="23">
        <f>DATE(YEAR(OneWeekMtgRatesDataTable75[[#This Row],[asOf]]),MONTH(OneWeekMtgRatesDataTable75[[#This Row],[asOf]]),DAY(OneWeekMtgRatesDataTable75[[#This Row],[asOf]]))</f>
        <v>40477</v>
      </c>
      <c r="R1443" s="19">
        <v>4.2300000000000004</v>
      </c>
      <c r="S1443" s="19">
        <v>0.8</v>
      </c>
      <c r="T1443" s="19">
        <v>4.1800000000000006</v>
      </c>
    </row>
    <row r="1444" spans="12:20">
      <c r="L1444" s="19"/>
      <c r="M1444" s="19"/>
      <c r="N1444" s="50"/>
      <c r="O1444" s="19"/>
      <c r="P1444" s="19" t="s">
        <v>391</v>
      </c>
      <c r="Q1444" s="23">
        <f>DATE(YEAR(OneWeekMtgRatesDataTable75[[#This Row],[asOf]]),MONTH(OneWeekMtgRatesDataTable75[[#This Row],[asOf]]),DAY(OneWeekMtgRatesDataTable75[[#This Row],[asOf]]))</f>
        <v>40476</v>
      </c>
      <c r="R1444" s="19">
        <v>4.2300000000000004</v>
      </c>
      <c r="S1444" s="19">
        <v>0.8</v>
      </c>
      <c r="T1444" s="19">
        <v>4.1800000000000006</v>
      </c>
    </row>
    <row r="1445" spans="12:20">
      <c r="L1445" s="19"/>
      <c r="M1445" s="19"/>
      <c r="N1445" s="50"/>
      <c r="O1445" s="19"/>
      <c r="P1445" s="19" t="s">
        <v>390</v>
      </c>
      <c r="Q1445" s="23">
        <f>DATE(YEAR(OneWeekMtgRatesDataTable75[[#This Row],[asOf]]),MONTH(OneWeekMtgRatesDataTable75[[#This Row],[asOf]]),DAY(OneWeekMtgRatesDataTable75[[#This Row],[asOf]]))</f>
        <v>40473</v>
      </c>
      <c r="R1445" s="19">
        <v>4.2300000000000004</v>
      </c>
      <c r="S1445" s="19">
        <v>0.8</v>
      </c>
      <c r="T1445" s="19">
        <v>4.1800000000000006</v>
      </c>
    </row>
    <row r="1446" spans="12:20">
      <c r="L1446" s="19"/>
      <c r="M1446" s="19"/>
      <c r="N1446" s="50"/>
      <c r="O1446" s="19"/>
      <c r="P1446" s="19" t="s">
        <v>389</v>
      </c>
      <c r="Q1446" s="23">
        <f>DATE(YEAR(OneWeekMtgRatesDataTable75[[#This Row],[asOf]]),MONTH(OneWeekMtgRatesDataTable75[[#This Row],[asOf]]),DAY(OneWeekMtgRatesDataTable75[[#This Row],[asOf]]))</f>
        <v>40472</v>
      </c>
      <c r="R1446" s="19">
        <v>4.2300000000000004</v>
      </c>
      <c r="S1446" s="19">
        <v>0.8</v>
      </c>
      <c r="T1446" s="19">
        <v>4.1800000000000006</v>
      </c>
    </row>
    <row r="1447" spans="12:20">
      <c r="L1447" s="19"/>
      <c r="M1447" s="19"/>
      <c r="N1447" s="50"/>
      <c r="O1447" s="19"/>
      <c r="P1447" s="19" t="s">
        <v>388</v>
      </c>
      <c r="Q1447" s="23">
        <f>DATE(YEAR(OneWeekMtgRatesDataTable75[[#This Row],[asOf]]),MONTH(OneWeekMtgRatesDataTable75[[#This Row],[asOf]]),DAY(OneWeekMtgRatesDataTable75[[#This Row],[asOf]]))</f>
        <v>40471</v>
      </c>
      <c r="R1447" s="19">
        <v>4.21</v>
      </c>
      <c r="S1447" s="19">
        <v>0.8</v>
      </c>
      <c r="T1447" s="19">
        <v>4.16</v>
      </c>
    </row>
    <row r="1448" spans="12:20">
      <c r="L1448" s="19"/>
      <c r="M1448" s="19"/>
      <c r="N1448" s="50"/>
      <c r="O1448" s="19"/>
      <c r="P1448" s="19" t="s">
        <v>387</v>
      </c>
      <c r="Q1448" s="23">
        <f>DATE(YEAR(OneWeekMtgRatesDataTable75[[#This Row],[asOf]]),MONTH(OneWeekMtgRatesDataTable75[[#This Row],[asOf]]),DAY(OneWeekMtgRatesDataTable75[[#This Row],[asOf]]))</f>
        <v>40470</v>
      </c>
      <c r="R1448" s="19">
        <v>4.21</v>
      </c>
      <c r="S1448" s="19">
        <v>0.8</v>
      </c>
      <c r="T1448" s="19">
        <v>4.16</v>
      </c>
    </row>
    <row r="1449" spans="12:20">
      <c r="L1449" s="19"/>
      <c r="M1449" s="19"/>
      <c r="N1449" s="50"/>
      <c r="O1449" s="19"/>
      <c r="P1449" s="19" t="s">
        <v>386</v>
      </c>
      <c r="Q1449" s="23">
        <f>DATE(YEAR(OneWeekMtgRatesDataTable75[[#This Row],[asOf]]),MONTH(OneWeekMtgRatesDataTable75[[#This Row],[asOf]]),DAY(OneWeekMtgRatesDataTable75[[#This Row],[asOf]]))</f>
        <v>40469</v>
      </c>
      <c r="R1449" s="19">
        <v>4.21</v>
      </c>
      <c r="S1449" s="19">
        <v>0.8</v>
      </c>
      <c r="T1449" s="19">
        <v>4.16</v>
      </c>
    </row>
    <row r="1450" spans="12:20">
      <c r="L1450" s="19"/>
      <c r="M1450" s="19"/>
      <c r="N1450" s="50"/>
      <c r="O1450" s="19"/>
      <c r="P1450" s="19" t="s">
        <v>385</v>
      </c>
      <c r="Q1450" s="23">
        <f>DATE(YEAR(OneWeekMtgRatesDataTable75[[#This Row],[asOf]]),MONTH(OneWeekMtgRatesDataTable75[[#This Row],[asOf]]),DAY(OneWeekMtgRatesDataTable75[[#This Row],[asOf]]))</f>
        <v>40466</v>
      </c>
      <c r="R1450" s="19">
        <v>4.21</v>
      </c>
      <c r="S1450" s="19">
        <v>0.8</v>
      </c>
      <c r="T1450" s="19">
        <v>4.16</v>
      </c>
    </row>
    <row r="1451" spans="12:20">
      <c r="L1451" s="19"/>
      <c r="M1451" s="19"/>
      <c r="N1451" s="50"/>
      <c r="O1451" s="19"/>
      <c r="P1451" s="19" t="s">
        <v>384</v>
      </c>
      <c r="Q1451" s="23">
        <f>DATE(YEAR(OneWeekMtgRatesDataTable75[[#This Row],[asOf]]),MONTH(OneWeekMtgRatesDataTable75[[#This Row],[asOf]]),DAY(OneWeekMtgRatesDataTable75[[#This Row],[asOf]]))</f>
        <v>40465</v>
      </c>
      <c r="R1451" s="19">
        <v>4.21</v>
      </c>
      <c r="S1451" s="19">
        <v>0.8</v>
      </c>
      <c r="T1451" s="19">
        <v>4.16</v>
      </c>
    </row>
    <row r="1452" spans="12:20">
      <c r="L1452" s="19"/>
      <c r="M1452" s="19"/>
      <c r="N1452" s="50"/>
      <c r="O1452" s="19"/>
      <c r="P1452" s="19" t="s">
        <v>383</v>
      </c>
      <c r="Q1452" s="23">
        <f>DATE(YEAR(OneWeekMtgRatesDataTable75[[#This Row],[asOf]]),MONTH(OneWeekMtgRatesDataTable75[[#This Row],[asOf]]),DAY(OneWeekMtgRatesDataTable75[[#This Row],[asOf]]))</f>
        <v>40464</v>
      </c>
      <c r="R1452" s="19">
        <v>4.1900000000000004</v>
      </c>
      <c r="S1452" s="19">
        <v>0.8</v>
      </c>
      <c r="T1452" s="19">
        <v>4.1400000000000006</v>
      </c>
    </row>
    <row r="1453" spans="12:20">
      <c r="L1453" s="19"/>
      <c r="M1453" s="19"/>
      <c r="N1453" s="50"/>
      <c r="O1453" s="19"/>
      <c r="P1453" s="19" t="s">
        <v>382</v>
      </c>
      <c r="Q1453" s="23">
        <f>DATE(YEAR(OneWeekMtgRatesDataTable75[[#This Row],[asOf]]),MONTH(OneWeekMtgRatesDataTable75[[#This Row],[asOf]]),DAY(OneWeekMtgRatesDataTable75[[#This Row],[asOf]]))</f>
        <v>40463</v>
      </c>
      <c r="R1453" s="19">
        <v>4.1900000000000004</v>
      </c>
      <c r="S1453" s="19">
        <v>0.8</v>
      </c>
      <c r="T1453" s="19">
        <v>4.1400000000000006</v>
      </c>
    </row>
    <row r="1454" spans="12:20">
      <c r="L1454" s="19"/>
      <c r="M1454" s="19"/>
      <c r="N1454" s="50"/>
      <c r="O1454" s="19"/>
      <c r="P1454" s="19" t="s">
        <v>381</v>
      </c>
      <c r="Q1454" s="23">
        <f>DATE(YEAR(OneWeekMtgRatesDataTable75[[#This Row],[asOf]]),MONTH(OneWeekMtgRatesDataTable75[[#This Row],[asOf]]),DAY(OneWeekMtgRatesDataTable75[[#This Row],[asOf]]))</f>
        <v>40459</v>
      </c>
      <c r="R1454" s="19">
        <v>4.1900000000000004</v>
      </c>
      <c r="S1454" s="19">
        <v>0.8</v>
      </c>
      <c r="T1454" s="19">
        <v>4.1400000000000006</v>
      </c>
    </row>
    <row r="1455" spans="12:20">
      <c r="L1455" s="19"/>
      <c r="M1455" s="19"/>
      <c r="N1455" s="50"/>
      <c r="O1455" s="19"/>
      <c r="P1455" s="19" t="s">
        <v>380</v>
      </c>
      <c r="Q1455" s="23">
        <f>DATE(YEAR(OneWeekMtgRatesDataTable75[[#This Row],[asOf]]),MONTH(OneWeekMtgRatesDataTable75[[#This Row],[asOf]]),DAY(OneWeekMtgRatesDataTable75[[#This Row],[asOf]]))</f>
        <v>40458</v>
      </c>
      <c r="R1455" s="19">
        <v>4.1900000000000004</v>
      </c>
      <c r="S1455" s="19">
        <v>0.8</v>
      </c>
      <c r="T1455" s="19">
        <v>4.1400000000000006</v>
      </c>
    </row>
    <row r="1456" spans="12:20">
      <c r="L1456" s="19"/>
      <c r="M1456" s="19"/>
      <c r="N1456" s="50"/>
      <c r="O1456" s="19"/>
      <c r="P1456" s="19" t="s">
        <v>379</v>
      </c>
      <c r="Q1456" s="23">
        <f>DATE(YEAR(OneWeekMtgRatesDataTable75[[#This Row],[asOf]]),MONTH(OneWeekMtgRatesDataTable75[[#This Row],[asOf]]),DAY(OneWeekMtgRatesDataTable75[[#This Row],[asOf]]))</f>
        <v>40457</v>
      </c>
      <c r="R1456" s="19">
        <v>4.2699999999999996</v>
      </c>
      <c r="S1456" s="19">
        <v>0.8</v>
      </c>
      <c r="T1456" s="19">
        <v>4.22</v>
      </c>
    </row>
    <row r="1457" spans="12:20">
      <c r="L1457" s="19"/>
      <c r="M1457" s="19"/>
      <c r="N1457" s="50"/>
      <c r="O1457" s="19"/>
      <c r="P1457" s="19" t="s">
        <v>378</v>
      </c>
      <c r="Q1457" s="23">
        <f>DATE(YEAR(OneWeekMtgRatesDataTable75[[#This Row],[asOf]]),MONTH(OneWeekMtgRatesDataTable75[[#This Row],[asOf]]),DAY(OneWeekMtgRatesDataTable75[[#This Row],[asOf]]))</f>
        <v>40456</v>
      </c>
      <c r="R1457" s="19">
        <v>4.2699999999999996</v>
      </c>
      <c r="S1457" s="19">
        <v>0.8</v>
      </c>
      <c r="T1457" s="19">
        <v>4.22</v>
      </c>
    </row>
    <row r="1458" spans="12:20">
      <c r="L1458" s="19"/>
      <c r="M1458" s="19"/>
      <c r="N1458" s="50"/>
      <c r="O1458" s="19"/>
      <c r="P1458" s="19" t="s">
        <v>377</v>
      </c>
      <c r="Q1458" s="23">
        <f>DATE(YEAR(OneWeekMtgRatesDataTable75[[#This Row],[asOf]]),MONTH(OneWeekMtgRatesDataTable75[[#This Row],[asOf]]),DAY(OneWeekMtgRatesDataTable75[[#This Row],[asOf]]))</f>
        <v>40455</v>
      </c>
      <c r="R1458" s="19">
        <v>4.2699999999999996</v>
      </c>
      <c r="S1458" s="19">
        <v>0.8</v>
      </c>
      <c r="T1458" s="19">
        <v>4.22</v>
      </c>
    </row>
    <row r="1459" spans="12:20">
      <c r="L1459" s="19"/>
      <c r="M1459" s="19"/>
      <c r="N1459" s="50"/>
      <c r="O1459" s="19"/>
      <c r="P1459" s="19" t="s">
        <v>376</v>
      </c>
      <c r="Q1459" s="23">
        <f>DATE(YEAR(OneWeekMtgRatesDataTable75[[#This Row],[asOf]]),MONTH(OneWeekMtgRatesDataTable75[[#This Row],[asOf]]),DAY(OneWeekMtgRatesDataTable75[[#This Row],[asOf]]))</f>
        <v>40452</v>
      </c>
      <c r="R1459" s="19">
        <v>4.2699999999999996</v>
      </c>
      <c r="S1459" s="19">
        <v>0.8</v>
      </c>
      <c r="T1459" s="19">
        <v>4.22</v>
      </c>
    </row>
    <row r="1460" spans="12:20">
      <c r="L1460" s="19"/>
      <c r="M1460" s="19"/>
      <c r="N1460" s="50"/>
      <c r="O1460" s="19"/>
      <c r="P1460" s="19" t="s">
        <v>375</v>
      </c>
      <c r="Q1460" s="23">
        <f>DATE(YEAR(OneWeekMtgRatesDataTable75[[#This Row],[asOf]]),MONTH(OneWeekMtgRatesDataTable75[[#This Row],[asOf]]),DAY(OneWeekMtgRatesDataTable75[[#This Row],[asOf]]))</f>
        <v>40451</v>
      </c>
      <c r="R1460" s="19">
        <v>4.2699999999999996</v>
      </c>
      <c r="S1460" s="19">
        <v>0.8</v>
      </c>
      <c r="T1460" s="19">
        <v>4.22</v>
      </c>
    </row>
    <row r="1461" spans="12:20">
      <c r="L1461" s="19"/>
      <c r="M1461" s="19"/>
      <c r="N1461" s="50"/>
      <c r="O1461" s="19"/>
      <c r="P1461" s="19" t="s">
        <v>374</v>
      </c>
      <c r="Q1461" s="23">
        <f>DATE(YEAR(OneWeekMtgRatesDataTable75[[#This Row],[asOf]]),MONTH(OneWeekMtgRatesDataTable75[[#This Row],[asOf]]),DAY(OneWeekMtgRatesDataTable75[[#This Row],[asOf]]))</f>
        <v>40450</v>
      </c>
      <c r="R1461" s="19">
        <v>4.32</v>
      </c>
      <c r="S1461" s="19">
        <v>0.8</v>
      </c>
      <c r="T1461" s="19">
        <v>4.2700000000000005</v>
      </c>
    </row>
    <row r="1462" spans="12:20">
      <c r="L1462" s="19"/>
      <c r="M1462" s="19"/>
      <c r="N1462" s="50"/>
      <c r="O1462" s="19"/>
      <c r="P1462" s="19" t="s">
        <v>373</v>
      </c>
      <c r="Q1462" s="23">
        <f>DATE(YEAR(OneWeekMtgRatesDataTable75[[#This Row],[asOf]]),MONTH(OneWeekMtgRatesDataTable75[[#This Row],[asOf]]),DAY(OneWeekMtgRatesDataTable75[[#This Row],[asOf]]))</f>
        <v>40449</v>
      </c>
      <c r="R1462" s="19">
        <v>4.32</v>
      </c>
      <c r="S1462" s="19">
        <v>0.8</v>
      </c>
      <c r="T1462" s="19">
        <v>4.2700000000000005</v>
      </c>
    </row>
    <row r="1463" spans="12:20">
      <c r="L1463" s="19"/>
      <c r="M1463" s="19"/>
      <c r="N1463" s="50"/>
      <c r="O1463" s="19"/>
      <c r="P1463" s="19" t="s">
        <v>372</v>
      </c>
      <c r="Q1463" s="23">
        <f>DATE(YEAR(OneWeekMtgRatesDataTable75[[#This Row],[asOf]]),MONTH(OneWeekMtgRatesDataTable75[[#This Row],[asOf]]),DAY(OneWeekMtgRatesDataTable75[[#This Row],[asOf]]))</f>
        <v>40448</v>
      </c>
      <c r="R1463" s="19">
        <v>4.32</v>
      </c>
      <c r="S1463" s="19">
        <v>0.8</v>
      </c>
      <c r="T1463" s="19">
        <v>4.2700000000000005</v>
      </c>
    </row>
    <row r="1464" spans="12:20">
      <c r="L1464" s="19"/>
      <c r="M1464" s="19"/>
      <c r="N1464" s="50"/>
      <c r="O1464" s="19"/>
      <c r="P1464" s="19" t="s">
        <v>371</v>
      </c>
      <c r="Q1464" s="23">
        <f>DATE(YEAR(OneWeekMtgRatesDataTable75[[#This Row],[asOf]]),MONTH(OneWeekMtgRatesDataTable75[[#This Row],[asOf]]),DAY(OneWeekMtgRatesDataTable75[[#This Row],[asOf]]))</f>
        <v>40445</v>
      </c>
      <c r="R1464" s="19">
        <v>4.32</v>
      </c>
      <c r="S1464" s="19">
        <v>0.8</v>
      </c>
      <c r="T1464" s="19">
        <v>4.2700000000000005</v>
      </c>
    </row>
    <row r="1465" spans="12:20">
      <c r="L1465" s="19"/>
      <c r="M1465" s="19"/>
      <c r="N1465" s="50"/>
      <c r="O1465" s="19"/>
      <c r="P1465" s="19" t="s">
        <v>370</v>
      </c>
      <c r="Q1465" s="23">
        <f>DATE(YEAR(OneWeekMtgRatesDataTable75[[#This Row],[asOf]]),MONTH(OneWeekMtgRatesDataTable75[[#This Row],[asOf]]),DAY(OneWeekMtgRatesDataTable75[[#This Row],[asOf]]))</f>
        <v>40444</v>
      </c>
      <c r="R1465" s="19">
        <v>4.32</v>
      </c>
      <c r="S1465" s="19">
        <v>0.8</v>
      </c>
      <c r="T1465" s="19">
        <v>4.2700000000000005</v>
      </c>
    </row>
    <row r="1466" spans="12:20">
      <c r="L1466" s="19"/>
      <c r="M1466" s="19"/>
      <c r="N1466" s="50"/>
      <c r="O1466" s="19"/>
      <c r="P1466" s="19" t="s">
        <v>369</v>
      </c>
      <c r="Q1466" s="23">
        <f>DATE(YEAR(OneWeekMtgRatesDataTable75[[#This Row],[asOf]]),MONTH(OneWeekMtgRatesDataTable75[[#This Row],[asOf]]),DAY(OneWeekMtgRatesDataTable75[[#This Row],[asOf]]))</f>
        <v>40443</v>
      </c>
      <c r="R1466" s="19">
        <v>4.37</v>
      </c>
      <c r="S1466" s="19">
        <v>0.7</v>
      </c>
      <c r="T1466" s="19">
        <v>4.2949999999999999</v>
      </c>
    </row>
    <row r="1467" spans="12:20">
      <c r="L1467" s="19"/>
      <c r="M1467" s="19"/>
      <c r="N1467" s="50"/>
      <c r="O1467" s="19"/>
      <c r="P1467" s="19" t="s">
        <v>368</v>
      </c>
      <c r="Q1467" s="23">
        <f>DATE(YEAR(OneWeekMtgRatesDataTable75[[#This Row],[asOf]]),MONTH(OneWeekMtgRatesDataTable75[[#This Row],[asOf]]),DAY(OneWeekMtgRatesDataTable75[[#This Row],[asOf]]))</f>
        <v>40442</v>
      </c>
      <c r="R1467" s="19">
        <v>4.37</v>
      </c>
      <c r="S1467" s="19">
        <v>0.7</v>
      </c>
      <c r="T1467" s="19">
        <v>4.2949999999999999</v>
      </c>
    </row>
    <row r="1468" spans="12:20">
      <c r="L1468" s="19"/>
      <c r="M1468" s="19"/>
      <c r="N1468" s="50"/>
      <c r="O1468" s="19"/>
      <c r="P1468" s="19" t="s">
        <v>367</v>
      </c>
      <c r="Q1468" s="23">
        <f>DATE(YEAR(OneWeekMtgRatesDataTable75[[#This Row],[asOf]]),MONTH(OneWeekMtgRatesDataTable75[[#This Row],[asOf]]),DAY(OneWeekMtgRatesDataTable75[[#This Row],[asOf]]))</f>
        <v>40441</v>
      </c>
      <c r="R1468" s="19">
        <v>4.37</v>
      </c>
      <c r="S1468" s="19">
        <v>0.7</v>
      </c>
      <c r="T1468" s="19">
        <v>4.2949999999999999</v>
      </c>
    </row>
    <row r="1469" spans="12:20">
      <c r="L1469" s="19"/>
      <c r="M1469" s="19"/>
      <c r="N1469" s="50"/>
      <c r="O1469" s="19"/>
      <c r="P1469" s="19" t="s">
        <v>366</v>
      </c>
      <c r="Q1469" s="23">
        <f>DATE(YEAR(OneWeekMtgRatesDataTable75[[#This Row],[asOf]]),MONTH(OneWeekMtgRatesDataTable75[[#This Row],[asOf]]),DAY(OneWeekMtgRatesDataTable75[[#This Row],[asOf]]))</f>
        <v>40438</v>
      </c>
      <c r="R1469" s="19">
        <v>4.37</v>
      </c>
      <c r="S1469" s="19">
        <v>0.7</v>
      </c>
      <c r="T1469" s="19">
        <v>4.2949999999999999</v>
      </c>
    </row>
    <row r="1470" spans="12:20">
      <c r="L1470" s="19"/>
      <c r="M1470" s="19"/>
      <c r="N1470" s="50"/>
      <c r="O1470" s="19"/>
      <c r="P1470" s="19" t="s">
        <v>365</v>
      </c>
      <c r="Q1470" s="23">
        <f>DATE(YEAR(OneWeekMtgRatesDataTable75[[#This Row],[asOf]]),MONTH(OneWeekMtgRatesDataTable75[[#This Row],[asOf]]),DAY(OneWeekMtgRatesDataTable75[[#This Row],[asOf]]))</f>
        <v>40437</v>
      </c>
      <c r="R1470" s="19">
        <v>4.37</v>
      </c>
      <c r="S1470" s="19">
        <v>0.7</v>
      </c>
      <c r="T1470" s="19">
        <v>4.2949999999999999</v>
      </c>
    </row>
    <row r="1471" spans="12:20">
      <c r="L1471" s="19"/>
      <c r="M1471" s="19"/>
      <c r="N1471" s="50"/>
      <c r="O1471" s="19"/>
      <c r="P1471" s="19" t="s">
        <v>364</v>
      </c>
      <c r="Q1471" s="23">
        <f>DATE(YEAR(OneWeekMtgRatesDataTable75[[#This Row],[asOf]]),MONTH(OneWeekMtgRatesDataTable75[[#This Row],[asOf]]),DAY(OneWeekMtgRatesDataTable75[[#This Row],[asOf]]))</f>
        <v>40436</v>
      </c>
      <c r="R1471" s="19">
        <v>4.37</v>
      </c>
      <c r="S1471" s="19">
        <v>0.7</v>
      </c>
      <c r="T1471" s="19">
        <v>4.2949999999999999</v>
      </c>
    </row>
    <row r="1472" spans="12:20">
      <c r="L1472" s="19"/>
      <c r="M1472" s="19"/>
      <c r="N1472" s="50"/>
      <c r="O1472" s="19"/>
      <c r="P1472" s="19" t="s">
        <v>363</v>
      </c>
      <c r="Q1472" s="23">
        <f>DATE(YEAR(OneWeekMtgRatesDataTable75[[#This Row],[asOf]]),MONTH(OneWeekMtgRatesDataTable75[[#This Row],[asOf]]),DAY(OneWeekMtgRatesDataTable75[[#This Row],[asOf]]))</f>
        <v>40435</v>
      </c>
      <c r="R1472" s="19">
        <v>4.37</v>
      </c>
      <c r="S1472" s="19">
        <v>0.7</v>
      </c>
      <c r="T1472" s="19">
        <v>4.2949999999999999</v>
      </c>
    </row>
    <row r="1473" spans="12:20">
      <c r="L1473" s="19"/>
      <c r="M1473" s="19"/>
      <c r="N1473" s="50"/>
      <c r="O1473" s="19"/>
      <c r="P1473" s="19" t="s">
        <v>362</v>
      </c>
      <c r="Q1473" s="23">
        <f>DATE(YEAR(OneWeekMtgRatesDataTable75[[#This Row],[asOf]]),MONTH(OneWeekMtgRatesDataTable75[[#This Row],[asOf]]),DAY(OneWeekMtgRatesDataTable75[[#This Row],[asOf]]))</f>
        <v>40434</v>
      </c>
      <c r="R1473" s="19">
        <v>4.37</v>
      </c>
      <c r="S1473" s="19">
        <v>0.7</v>
      </c>
      <c r="T1473" s="19">
        <v>4.2949999999999999</v>
      </c>
    </row>
    <row r="1474" spans="12:20">
      <c r="L1474" s="19"/>
      <c r="M1474" s="19"/>
      <c r="N1474" s="50"/>
      <c r="O1474" s="19"/>
      <c r="P1474" s="19" t="s">
        <v>361</v>
      </c>
      <c r="Q1474" s="23">
        <f>DATE(YEAR(OneWeekMtgRatesDataTable75[[#This Row],[asOf]]),MONTH(OneWeekMtgRatesDataTable75[[#This Row],[asOf]]),DAY(OneWeekMtgRatesDataTable75[[#This Row],[asOf]]))</f>
        <v>40431</v>
      </c>
      <c r="R1474" s="19">
        <v>4.37</v>
      </c>
      <c r="S1474" s="19">
        <v>0.7</v>
      </c>
      <c r="T1474" s="19">
        <v>4.2949999999999999</v>
      </c>
    </row>
    <row r="1475" spans="12:20">
      <c r="L1475" s="19"/>
      <c r="M1475" s="19"/>
      <c r="N1475" s="50"/>
      <c r="O1475" s="19"/>
      <c r="P1475" s="19" t="s">
        <v>360</v>
      </c>
      <c r="Q1475" s="23">
        <f>DATE(YEAR(OneWeekMtgRatesDataTable75[[#This Row],[asOf]]),MONTH(OneWeekMtgRatesDataTable75[[#This Row],[asOf]]),DAY(OneWeekMtgRatesDataTable75[[#This Row],[asOf]]))</f>
        <v>40430</v>
      </c>
      <c r="R1475" s="19">
        <v>4.37</v>
      </c>
      <c r="S1475" s="19">
        <v>0.7</v>
      </c>
      <c r="T1475" s="19">
        <v>4.2949999999999999</v>
      </c>
    </row>
    <row r="1476" spans="12:20">
      <c r="L1476" s="19"/>
      <c r="M1476" s="19"/>
      <c r="N1476" s="50"/>
      <c r="O1476" s="19"/>
      <c r="P1476" s="19" t="s">
        <v>359</v>
      </c>
      <c r="Q1476" s="23">
        <f>DATE(YEAR(OneWeekMtgRatesDataTable75[[#This Row],[asOf]]),MONTH(OneWeekMtgRatesDataTable75[[#This Row],[asOf]]),DAY(OneWeekMtgRatesDataTable75[[#This Row],[asOf]]))</f>
        <v>40429</v>
      </c>
      <c r="R1476" s="19">
        <v>4.3499999999999996</v>
      </c>
      <c r="S1476" s="19">
        <v>0.7</v>
      </c>
      <c r="T1476" s="19">
        <v>4.2749999999999995</v>
      </c>
    </row>
    <row r="1477" spans="12:20">
      <c r="L1477" s="19"/>
      <c r="M1477" s="19"/>
      <c r="N1477" s="50"/>
      <c r="O1477" s="19"/>
      <c r="P1477" s="19" t="s">
        <v>358</v>
      </c>
      <c r="Q1477" s="23">
        <f>DATE(YEAR(OneWeekMtgRatesDataTable75[[#This Row],[asOf]]),MONTH(OneWeekMtgRatesDataTable75[[#This Row],[asOf]]),DAY(OneWeekMtgRatesDataTable75[[#This Row],[asOf]]))</f>
        <v>40428</v>
      </c>
      <c r="R1477" s="19">
        <v>4.3499999999999996</v>
      </c>
      <c r="S1477" s="19">
        <v>0.7</v>
      </c>
      <c r="T1477" s="19">
        <v>4.2749999999999995</v>
      </c>
    </row>
    <row r="1478" spans="12:20">
      <c r="L1478" s="19"/>
      <c r="M1478" s="19"/>
      <c r="N1478" s="50"/>
      <c r="O1478" s="19"/>
      <c r="P1478" s="19" t="s">
        <v>357</v>
      </c>
      <c r="Q1478" s="23">
        <f>DATE(YEAR(OneWeekMtgRatesDataTable75[[#This Row],[asOf]]),MONTH(OneWeekMtgRatesDataTable75[[#This Row],[asOf]]),DAY(OneWeekMtgRatesDataTable75[[#This Row],[asOf]]))</f>
        <v>40424</v>
      </c>
      <c r="R1478" s="19">
        <v>4.3499999999999996</v>
      </c>
      <c r="S1478" s="19">
        <v>0.7</v>
      </c>
      <c r="T1478" s="19">
        <v>4.2749999999999995</v>
      </c>
    </row>
    <row r="1479" spans="12:20">
      <c r="L1479" s="19"/>
      <c r="M1479" s="19"/>
      <c r="N1479" s="50"/>
      <c r="O1479" s="19"/>
      <c r="P1479" s="19" t="s">
        <v>356</v>
      </c>
      <c r="Q1479" s="23">
        <f>DATE(YEAR(OneWeekMtgRatesDataTable75[[#This Row],[asOf]]),MONTH(OneWeekMtgRatesDataTable75[[#This Row],[asOf]]),DAY(OneWeekMtgRatesDataTable75[[#This Row],[asOf]]))</f>
        <v>40423</v>
      </c>
      <c r="R1479" s="19">
        <v>4.3499999999999996</v>
      </c>
      <c r="S1479" s="19">
        <v>0.7</v>
      </c>
      <c r="T1479" s="19">
        <v>4.2749999999999995</v>
      </c>
    </row>
    <row r="1480" spans="12:20">
      <c r="L1480" s="19"/>
      <c r="M1480" s="19"/>
      <c r="N1480" s="50"/>
      <c r="O1480" s="19"/>
      <c r="P1480" s="19" t="s">
        <v>355</v>
      </c>
      <c r="Q1480" s="23">
        <f>DATE(YEAR(OneWeekMtgRatesDataTable75[[#This Row],[asOf]]),MONTH(OneWeekMtgRatesDataTable75[[#This Row],[asOf]]),DAY(OneWeekMtgRatesDataTable75[[#This Row],[asOf]]))</f>
        <v>40422</v>
      </c>
      <c r="R1480" s="19">
        <v>4.32</v>
      </c>
      <c r="S1480" s="19">
        <v>0.7</v>
      </c>
      <c r="T1480" s="19">
        <v>4.2450000000000001</v>
      </c>
    </row>
    <row r="1481" spans="12:20">
      <c r="L1481" s="19"/>
      <c r="M1481" s="19"/>
      <c r="N1481" s="50"/>
      <c r="O1481" s="19"/>
      <c r="P1481" s="19" t="s">
        <v>354</v>
      </c>
      <c r="Q1481" s="23">
        <f>DATE(YEAR(OneWeekMtgRatesDataTable75[[#This Row],[asOf]]),MONTH(OneWeekMtgRatesDataTable75[[#This Row],[asOf]]),DAY(OneWeekMtgRatesDataTable75[[#This Row],[asOf]]))</f>
        <v>40421</v>
      </c>
      <c r="R1481" s="19">
        <v>4.32</v>
      </c>
      <c r="S1481" s="19">
        <v>0.7</v>
      </c>
      <c r="T1481" s="19">
        <v>4.2450000000000001</v>
      </c>
    </row>
    <row r="1482" spans="12:20">
      <c r="L1482" s="19"/>
      <c r="M1482" s="19"/>
      <c r="N1482" s="50"/>
      <c r="O1482" s="19"/>
      <c r="P1482" s="19" t="s">
        <v>353</v>
      </c>
      <c r="Q1482" s="23">
        <f>DATE(YEAR(OneWeekMtgRatesDataTable75[[#This Row],[asOf]]),MONTH(OneWeekMtgRatesDataTable75[[#This Row],[asOf]]),DAY(OneWeekMtgRatesDataTable75[[#This Row],[asOf]]))</f>
        <v>40420</v>
      </c>
      <c r="R1482" s="19">
        <v>4.32</v>
      </c>
      <c r="S1482" s="19">
        <v>0.7</v>
      </c>
      <c r="T1482" s="19">
        <v>4.2450000000000001</v>
      </c>
    </row>
    <row r="1483" spans="12:20">
      <c r="L1483" s="19"/>
      <c r="M1483" s="19"/>
      <c r="N1483" s="50"/>
      <c r="O1483" s="19"/>
      <c r="P1483" s="19" t="s">
        <v>352</v>
      </c>
      <c r="Q1483" s="23">
        <f>DATE(YEAR(OneWeekMtgRatesDataTable75[[#This Row],[asOf]]),MONTH(OneWeekMtgRatesDataTable75[[#This Row],[asOf]]),DAY(OneWeekMtgRatesDataTable75[[#This Row],[asOf]]))</f>
        <v>40417</v>
      </c>
      <c r="R1483" s="19">
        <v>4.32</v>
      </c>
      <c r="S1483" s="19">
        <v>0.7</v>
      </c>
      <c r="T1483" s="19">
        <v>4.2450000000000001</v>
      </c>
    </row>
    <row r="1484" spans="12:20">
      <c r="L1484" s="19"/>
      <c r="M1484" s="19"/>
      <c r="N1484" s="50"/>
      <c r="O1484" s="19"/>
      <c r="P1484" s="19" t="s">
        <v>351</v>
      </c>
      <c r="Q1484" s="23">
        <f>DATE(YEAR(OneWeekMtgRatesDataTable75[[#This Row],[asOf]]),MONTH(OneWeekMtgRatesDataTable75[[#This Row],[asOf]]),DAY(OneWeekMtgRatesDataTable75[[#This Row],[asOf]]))</f>
        <v>40416</v>
      </c>
      <c r="R1484" s="19">
        <v>4.32</v>
      </c>
      <c r="S1484" s="19">
        <v>0.7</v>
      </c>
      <c r="T1484" s="19">
        <v>4.2450000000000001</v>
      </c>
    </row>
    <row r="1485" spans="12:20">
      <c r="L1485" s="19"/>
      <c r="M1485" s="19"/>
      <c r="N1485" s="50"/>
      <c r="O1485" s="19"/>
      <c r="P1485" s="19" t="s">
        <v>350</v>
      </c>
      <c r="Q1485" s="23">
        <f>DATE(YEAR(OneWeekMtgRatesDataTable75[[#This Row],[asOf]]),MONTH(OneWeekMtgRatesDataTable75[[#This Row],[asOf]]),DAY(OneWeekMtgRatesDataTable75[[#This Row],[asOf]]))</f>
        <v>40415</v>
      </c>
      <c r="R1485" s="19">
        <v>4.3600000000000003</v>
      </c>
      <c r="S1485" s="19">
        <v>0.7</v>
      </c>
      <c r="T1485" s="19">
        <v>4.2850000000000001</v>
      </c>
    </row>
    <row r="1486" spans="12:20">
      <c r="L1486" s="19"/>
      <c r="M1486" s="19"/>
      <c r="N1486" s="50"/>
      <c r="O1486" s="19"/>
      <c r="P1486" s="19" t="s">
        <v>349</v>
      </c>
      <c r="Q1486" s="23">
        <f>DATE(YEAR(OneWeekMtgRatesDataTable75[[#This Row],[asOf]]),MONTH(OneWeekMtgRatesDataTable75[[#This Row],[asOf]]),DAY(OneWeekMtgRatesDataTable75[[#This Row],[asOf]]))</f>
        <v>40414</v>
      </c>
      <c r="R1486" s="19">
        <v>4.3600000000000003</v>
      </c>
      <c r="S1486" s="19">
        <v>0.7</v>
      </c>
      <c r="T1486" s="19">
        <v>4.2850000000000001</v>
      </c>
    </row>
    <row r="1487" spans="12:20">
      <c r="L1487" s="19"/>
      <c r="M1487" s="19"/>
      <c r="N1487" s="50"/>
      <c r="O1487" s="19"/>
      <c r="P1487" s="19" t="s">
        <v>348</v>
      </c>
      <c r="Q1487" s="23">
        <f>DATE(YEAR(OneWeekMtgRatesDataTable75[[#This Row],[asOf]]),MONTH(OneWeekMtgRatesDataTable75[[#This Row],[asOf]]),DAY(OneWeekMtgRatesDataTable75[[#This Row],[asOf]]))</f>
        <v>40413</v>
      </c>
      <c r="R1487" s="19">
        <v>4.3600000000000003</v>
      </c>
      <c r="S1487" s="19">
        <v>0.7</v>
      </c>
      <c r="T1487" s="19">
        <v>4.2850000000000001</v>
      </c>
    </row>
    <row r="1488" spans="12:20">
      <c r="L1488" s="19"/>
      <c r="M1488" s="19"/>
      <c r="N1488" s="50"/>
      <c r="O1488" s="19"/>
      <c r="P1488" s="19" t="s">
        <v>347</v>
      </c>
      <c r="Q1488" s="23">
        <f>DATE(YEAR(OneWeekMtgRatesDataTable75[[#This Row],[asOf]]),MONTH(OneWeekMtgRatesDataTable75[[#This Row],[asOf]]),DAY(OneWeekMtgRatesDataTable75[[#This Row],[asOf]]))</f>
        <v>40410</v>
      </c>
      <c r="R1488" s="19">
        <v>4.3600000000000003</v>
      </c>
      <c r="S1488" s="19">
        <v>0.7</v>
      </c>
      <c r="T1488" s="19">
        <v>4.2850000000000001</v>
      </c>
    </row>
    <row r="1489" spans="12:20">
      <c r="L1489" s="19"/>
      <c r="M1489" s="19"/>
      <c r="N1489" s="50"/>
      <c r="O1489" s="19"/>
      <c r="P1489" s="19" t="s">
        <v>346</v>
      </c>
      <c r="Q1489" s="23">
        <f>DATE(YEAR(OneWeekMtgRatesDataTable75[[#This Row],[asOf]]),MONTH(OneWeekMtgRatesDataTable75[[#This Row],[asOf]]),DAY(OneWeekMtgRatesDataTable75[[#This Row],[asOf]]))</f>
        <v>40409</v>
      </c>
      <c r="R1489" s="19">
        <v>4.3600000000000003</v>
      </c>
      <c r="S1489" s="19">
        <v>0.7</v>
      </c>
      <c r="T1489" s="19">
        <v>4.2850000000000001</v>
      </c>
    </row>
    <row r="1490" spans="12:20">
      <c r="L1490" s="19"/>
      <c r="M1490" s="19"/>
      <c r="N1490" s="50"/>
      <c r="O1490" s="19"/>
      <c r="P1490" s="19" t="s">
        <v>345</v>
      </c>
      <c r="Q1490" s="23">
        <f>DATE(YEAR(OneWeekMtgRatesDataTable75[[#This Row],[asOf]]),MONTH(OneWeekMtgRatesDataTable75[[#This Row],[asOf]]),DAY(OneWeekMtgRatesDataTable75[[#This Row],[asOf]]))</f>
        <v>40408</v>
      </c>
      <c r="R1490" s="19">
        <v>4.42</v>
      </c>
      <c r="S1490" s="19">
        <v>0.7</v>
      </c>
      <c r="T1490" s="19">
        <v>4.3449999999999998</v>
      </c>
    </row>
    <row r="1491" spans="12:20">
      <c r="L1491" s="19"/>
      <c r="M1491" s="19"/>
      <c r="N1491" s="50"/>
      <c r="O1491" s="19"/>
      <c r="P1491" s="19" t="s">
        <v>344</v>
      </c>
      <c r="Q1491" s="23">
        <f>DATE(YEAR(OneWeekMtgRatesDataTable75[[#This Row],[asOf]]),MONTH(OneWeekMtgRatesDataTable75[[#This Row],[asOf]]),DAY(OneWeekMtgRatesDataTable75[[#This Row],[asOf]]))</f>
        <v>40407</v>
      </c>
      <c r="R1491" s="19">
        <v>4.42</v>
      </c>
      <c r="S1491" s="19">
        <v>0.7</v>
      </c>
      <c r="T1491" s="19">
        <v>4.3449999999999998</v>
      </c>
    </row>
    <row r="1492" spans="12:20">
      <c r="L1492" s="19"/>
      <c r="M1492" s="19"/>
      <c r="N1492" s="50"/>
      <c r="O1492" s="19"/>
      <c r="P1492" s="19" t="s">
        <v>343</v>
      </c>
      <c r="Q1492" s="23">
        <f>DATE(YEAR(OneWeekMtgRatesDataTable75[[#This Row],[asOf]]),MONTH(OneWeekMtgRatesDataTable75[[#This Row],[asOf]]),DAY(OneWeekMtgRatesDataTable75[[#This Row],[asOf]]))</f>
        <v>40406</v>
      </c>
      <c r="R1492" s="19">
        <v>4.42</v>
      </c>
      <c r="S1492" s="19">
        <v>0.7</v>
      </c>
      <c r="T1492" s="19">
        <v>4.3449999999999998</v>
      </c>
    </row>
    <row r="1493" spans="12:20">
      <c r="L1493" s="19"/>
      <c r="M1493" s="19"/>
      <c r="N1493" s="50"/>
      <c r="O1493" s="19"/>
      <c r="P1493" s="19" t="s">
        <v>342</v>
      </c>
      <c r="Q1493" s="23">
        <f>DATE(YEAR(OneWeekMtgRatesDataTable75[[#This Row],[asOf]]),MONTH(OneWeekMtgRatesDataTable75[[#This Row],[asOf]]),DAY(OneWeekMtgRatesDataTable75[[#This Row],[asOf]]))</f>
        <v>40403</v>
      </c>
      <c r="R1493" s="19">
        <v>4.42</v>
      </c>
      <c r="S1493" s="19">
        <v>0.7</v>
      </c>
      <c r="T1493" s="19">
        <v>4.3449999999999998</v>
      </c>
    </row>
    <row r="1494" spans="12:20">
      <c r="L1494" s="19"/>
      <c r="M1494" s="19"/>
      <c r="N1494" s="50"/>
      <c r="O1494" s="19"/>
      <c r="P1494" s="19" t="s">
        <v>341</v>
      </c>
      <c r="Q1494" s="23">
        <f>DATE(YEAR(OneWeekMtgRatesDataTable75[[#This Row],[asOf]]),MONTH(OneWeekMtgRatesDataTable75[[#This Row],[asOf]]),DAY(OneWeekMtgRatesDataTable75[[#This Row],[asOf]]))</f>
        <v>40402</v>
      </c>
      <c r="R1494" s="19">
        <v>4.42</v>
      </c>
      <c r="S1494" s="19">
        <v>0.7</v>
      </c>
      <c r="T1494" s="19">
        <v>4.3449999999999998</v>
      </c>
    </row>
    <row r="1495" spans="12:20">
      <c r="L1495" s="19"/>
      <c r="M1495" s="19"/>
      <c r="N1495" s="50"/>
      <c r="O1495" s="19"/>
      <c r="P1495" s="19" t="s">
        <v>340</v>
      </c>
      <c r="Q1495" s="23">
        <f>DATE(YEAR(OneWeekMtgRatesDataTable75[[#This Row],[asOf]]),MONTH(OneWeekMtgRatesDataTable75[[#This Row],[asOf]]),DAY(OneWeekMtgRatesDataTable75[[#This Row],[asOf]]))</f>
        <v>40401</v>
      </c>
      <c r="R1495" s="19">
        <v>4.4400000000000004</v>
      </c>
      <c r="S1495" s="19">
        <v>0.7</v>
      </c>
      <c r="T1495" s="19">
        <v>4.3650000000000002</v>
      </c>
    </row>
    <row r="1496" spans="12:20">
      <c r="L1496" s="19"/>
      <c r="M1496" s="19"/>
      <c r="N1496" s="50"/>
      <c r="O1496" s="19"/>
      <c r="P1496" s="19" t="s">
        <v>339</v>
      </c>
      <c r="Q1496" s="23">
        <f>DATE(YEAR(OneWeekMtgRatesDataTable75[[#This Row],[asOf]]),MONTH(OneWeekMtgRatesDataTable75[[#This Row],[asOf]]),DAY(OneWeekMtgRatesDataTable75[[#This Row],[asOf]]))</f>
        <v>40400</v>
      </c>
      <c r="R1496" s="19">
        <v>4.4400000000000004</v>
      </c>
      <c r="S1496" s="19">
        <v>0.7</v>
      </c>
      <c r="T1496" s="19">
        <v>4.3650000000000002</v>
      </c>
    </row>
    <row r="1497" spans="12:20">
      <c r="L1497" s="19"/>
      <c r="M1497" s="19"/>
      <c r="N1497" s="50"/>
      <c r="O1497" s="19"/>
      <c r="P1497" s="19" t="s">
        <v>338</v>
      </c>
      <c r="Q1497" s="23">
        <f>DATE(YEAR(OneWeekMtgRatesDataTable75[[#This Row],[asOf]]),MONTH(OneWeekMtgRatesDataTable75[[#This Row],[asOf]]),DAY(OneWeekMtgRatesDataTable75[[#This Row],[asOf]]))</f>
        <v>40399</v>
      </c>
      <c r="R1497" s="19">
        <v>4.4400000000000004</v>
      </c>
      <c r="S1497" s="19">
        <v>0.7</v>
      </c>
      <c r="T1497" s="19">
        <v>4.3650000000000002</v>
      </c>
    </row>
    <row r="1498" spans="12:20">
      <c r="L1498" s="19"/>
      <c r="M1498" s="19"/>
      <c r="N1498" s="50"/>
      <c r="O1498" s="19"/>
      <c r="P1498" s="19" t="s">
        <v>337</v>
      </c>
      <c r="Q1498" s="23">
        <f>DATE(YEAR(OneWeekMtgRatesDataTable75[[#This Row],[asOf]]),MONTH(OneWeekMtgRatesDataTable75[[#This Row],[asOf]]),DAY(OneWeekMtgRatesDataTable75[[#This Row],[asOf]]))</f>
        <v>40396</v>
      </c>
      <c r="R1498" s="19">
        <v>4.4400000000000004</v>
      </c>
      <c r="S1498" s="19">
        <v>0.7</v>
      </c>
      <c r="T1498" s="19">
        <v>4.3650000000000002</v>
      </c>
    </row>
    <row r="1499" spans="12:20">
      <c r="L1499" s="19"/>
      <c r="M1499" s="19"/>
      <c r="N1499" s="50"/>
      <c r="O1499" s="19"/>
      <c r="P1499" s="19" t="s">
        <v>336</v>
      </c>
      <c r="Q1499" s="23">
        <f>DATE(YEAR(OneWeekMtgRatesDataTable75[[#This Row],[asOf]]),MONTH(OneWeekMtgRatesDataTable75[[#This Row],[asOf]]),DAY(OneWeekMtgRatesDataTable75[[#This Row],[asOf]]))</f>
        <v>40395</v>
      </c>
      <c r="R1499" s="19">
        <v>4.4400000000000004</v>
      </c>
      <c r="S1499" s="19">
        <v>0.7</v>
      </c>
      <c r="T1499" s="19">
        <v>4.3650000000000002</v>
      </c>
    </row>
    <row r="1500" spans="12:20">
      <c r="L1500" s="19"/>
      <c r="M1500" s="19"/>
      <c r="N1500" s="50"/>
      <c r="O1500" s="19"/>
      <c r="P1500" s="19" t="s">
        <v>335</v>
      </c>
      <c r="Q1500" s="23">
        <f>DATE(YEAR(OneWeekMtgRatesDataTable75[[#This Row],[asOf]]),MONTH(OneWeekMtgRatesDataTable75[[#This Row],[asOf]]),DAY(OneWeekMtgRatesDataTable75[[#This Row],[asOf]]))</f>
        <v>40394</v>
      </c>
      <c r="R1500" s="19">
        <v>4.49</v>
      </c>
      <c r="S1500" s="19">
        <v>0.7</v>
      </c>
      <c r="T1500" s="19">
        <v>4.415</v>
      </c>
    </row>
    <row r="1501" spans="12:20">
      <c r="L1501" s="19"/>
      <c r="M1501" s="19"/>
      <c r="N1501" s="50"/>
      <c r="O1501" s="19"/>
      <c r="P1501" s="19" t="s">
        <v>334</v>
      </c>
      <c r="Q1501" s="23">
        <f>DATE(YEAR(OneWeekMtgRatesDataTable75[[#This Row],[asOf]]),MONTH(OneWeekMtgRatesDataTable75[[#This Row],[asOf]]),DAY(OneWeekMtgRatesDataTable75[[#This Row],[asOf]]))</f>
        <v>40393</v>
      </c>
      <c r="R1501" s="19">
        <v>4.49</v>
      </c>
      <c r="S1501" s="19">
        <v>0.7</v>
      </c>
      <c r="T1501" s="19">
        <v>4.415</v>
      </c>
    </row>
    <row r="1502" spans="12:20">
      <c r="L1502" s="19"/>
      <c r="M1502" s="19"/>
      <c r="N1502" s="50"/>
      <c r="O1502" s="19"/>
      <c r="P1502" s="19" t="s">
        <v>333</v>
      </c>
      <c r="Q1502" s="23">
        <f>DATE(YEAR(OneWeekMtgRatesDataTable75[[#This Row],[asOf]]),MONTH(OneWeekMtgRatesDataTable75[[#This Row],[asOf]]),DAY(OneWeekMtgRatesDataTable75[[#This Row],[asOf]]))</f>
        <v>40392</v>
      </c>
      <c r="R1502" s="19">
        <v>4.49</v>
      </c>
      <c r="S1502" s="19">
        <v>0.7</v>
      </c>
      <c r="T1502" s="19">
        <v>4.415</v>
      </c>
    </row>
    <row r="1503" spans="12:20">
      <c r="L1503" s="19"/>
      <c r="M1503" s="19"/>
      <c r="N1503" s="50"/>
      <c r="O1503" s="19"/>
      <c r="P1503" s="19" t="s">
        <v>332</v>
      </c>
      <c r="Q1503" s="23">
        <f>DATE(YEAR(OneWeekMtgRatesDataTable75[[#This Row],[asOf]]),MONTH(OneWeekMtgRatesDataTable75[[#This Row],[asOf]]),DAY(OneWeekMtgRatesDataTable75[[#This Row],[asOf]]))</f>
        <v>40389</v>
      </c>
      <c r="R1503" s="19">
        <v>4.49</v>
      </c>
      <c r="S1503" s="19">
        <v>0.7</v>
      </c>
      <c r="T1503" s="19">
        <v>4.415</v>
      </c>
    </row>
    <row r="1504" spans="12:20">
      <c r="L1504" s="19"/>
      <c r="M1504" s="19"/>
      <c r="N1504" s="50"/>
      <c r="O1504" s="19"/>
      <c r="P1504" s="19" t="s">
        <v>331</v>
      </c>
      <c r="Q1504" s="23">
        <f>DATE(YEAR(OneWeekMtgRatesDataTable75[[#This Row],[asOf]]),MONTH(OneWeekMtgRatesDataTable75[[#This Row],[asOf]]),DAY(OneWeekMtgRatesDataTable75[[#This Row],[asOf]]))</f>
        <v>40388</v>
      </c>
      <c r="R1504" s="19">
        <v>4.49</v>
      </c>
      <c r="S1504" s="19">
        <v>0.7</v>
      </c>
      <c r="T1504" s="19">
        <v>4.415</v>
      </c>
    </row>
    <row r="1505" spans="12:20">
      <c r="L1505" s="19"/>
      <c r="M1505" s="19"/>
      <c r="N1505" s="50"/>
      <c r="O1505" s="19"/>
      <c r="P1505" s="19" t="s">
        <v>330</v>
      </c>
      <c r="Q1505" s="23">
        <f>DATE(YEAR(OneWeekMtgRatesDataTable75[[#This Row],[asOf]]),MONTH(OneWeekMtgRatesDataTable75[[#This Row],[asOf]]),DAY(OneWeekMtgRatesDataTable75[[#This Row],[asOf]]))</f>
        <v>40387</v>
      </c>
      <c r="R1505" s="19">
        <v>4.54</v>
      </c>
      <c r="S1505" s="19">
        <v>0.7</v>
      </c>
      <c r="T1505" s="19">
        <v>4.4649999999999999</v>
      </c>
    </row>
    <row r="1506" spans="12:20">
      <c r="L1506" s="19"/>
      <c r="M1506" s="19"/>
      <c r="N1506" s="50"/>
      <c r="O1506" s="19"/>
      <c r="P1506" s="19" t="s">
        <v>329</v>
      </c>
      <c r="Q1506" s="23">
        <f>DATE(YEAR(OneWeekMtgRatesDataTable75[[#This Row],[asOf]]),MONTH(OneWeekMtgRatesDataTable75[[#This Row],[asOf]]),DAY(OneWeekMtgRatesDataTable75[[#This Row],[asOf]]))</f>
        <v>40386</v>
      </c>
      <c r="R1506" s="19">
        <v>4.54</v>
      </c>
      <c r="S1506" s="19">
        <v>0.7</v>
      </c>
      <c r="T1506" s="19">
        <v>4.4649999999999999</v>
      </c>
    </row>
    <row r="1507" spans="12:20">
      <c r="L1507" s="19"/>
      <c r="M1507" s="19"/>
      <c r="N1507" s="50"/>
      <c r="O1507" s="19"/>
      <c r="P1507" s="19" t="s">
        <v>328</v>
      </c>
      <c r="Q1507" s="23">
        <f>DATE(YEAR(OneWeekMtgRatesDataTable75[[#This Row],[asOf]]),MONTH(OneWeekMtgRatesDataTable75[[#This Row],[asOf]]),DAY(OneWeekMtgRatesDataTable75[[#This Row],[asOf]]))</f>
        <v>40385</v>
      </c>
      <c r="R1507" s="19">
        <v>4.54</v>
      </c>
      <c r="S1507" s="19">
        <v>0.7</v>
      </c>
      <c r="T1507" s="19">
        <v>4.4649999999999999</v>
      </c>
    </row>
    <row r="1508" spans="12:20">
      <c r="L1508" s="19"/>
      <c r="M1508" s="19"/>
      <c r="N1508" s="50"/>
      <c r="O1508" s="19"/>
      <c r="P1508" s="19" t="s">
        <v>327</v>
      </c>
      <c r="Q1508" s="23">
        <f>DATE(YEAR(OneWeekMtgRatesDataTable75[[#This Row],[asOf]]),MONTH(OneWeekMtgRatesDataTable75[[#This Row],[asOf]]),DAY(OneWeekMtgRatesDataTable75[[#This Row],[asOf]]))</f>
        <v>40382</v>
      </c>
      <c r="R1508" s="19">
        <v>4.54</v>
      </c>
      <c r="S1508" s="19">
        <v>0.7</v>
      </c>
      <c r="T1508" s="19">
        <v>4.4649999999999999</v>
      </c>
    </row>
    <row r="1509" spans="12:20">
      <c r="L1509" s="19"/>
      <c r="M1509" s="19"/>
      <c r="N1509" s="50"/>
      <c r="O1509" s="19"/>
      <c r="P1509" s="19" t="s">
        <v>326</v>
      </c>
      <c r="Q1509" s="23">
        <f>DATE(YEAR(OneWeekMtgRatesDataTable75[[#This Row],[asOf]]),MONTH(OneWeekMtgRatesDataTable75[[#This Row],[asOf]]),DAY(OneWeekMtgRatesDataTable75[[#This Row],[asOf]]))</f>
        <v>40381</v>
      </c>
      <c r="R1509" s="19">
        <v>4.54</v>
      </c>
      <c r="S1509" s="19">
        <v>0.7</v>
      </c>
      <c r="T1509" s="19">
        <v>4.4649999999999999</v>
      </c>
    </row>
    <row r="1510" spans="12:20">
      <c r="L1510" s="19"/>
      <c r="M1510" s="19"/>
      <c r="N1510" s="50"/>
      <c r="O1510" s="19"/>
      <c r="P1510" s="19" t="s">
        <v>325</v>
      </c>
      <c r="Q1510" s="23">
        <f>DATE(YEAR(OneWeekMtgRatesDataTable75[[#This Row],[asOf]]),MONTH(OneWeekMtgRatesDataTable75[[#This Row],[asOf]]),DAY(OneWeekMtgRatesDataTable75[[#This Row],[asOf]]))</f>
        <v>40380</v>
      </c>
      <c r="R1510" s="19">
        <v>4.5599999999999996</v>
      </c>
      <c r="S1510" s="19">
        <v>0.7</v>
      </c>
      <c r="T1510" s="19">
        <v>4.4849999999999994</v>
      </c>
    </row>
    <row r="1511" spans="12:20">
      <c r="L1511" s="19"/>
      <c r="M1511" s="19"/>
      <c r="N1511" s="50"/>
      <c r="O1511" s="19"/>
      <c r="P1511" s="19" t="s">
        <v>324</v>
      </c>
      <c r="Q1511" s="23">
        <f>DATE(YEAR(OneWeekMtgRatesDataTable75[[#This Row],[asOf]]),MONTH(OneWeekMtgRatesDataTable75[[#This Row],[asOf]]),DAY(OneWeekMtgRatesDataTable75[[#This Row],[asOf]]))</f>
        <v>40379</v>
      </c>
      <c r="R1511" s="19">
        <v>4.5599999999999996</v>
      </c>
      <c r="S1511" s="19">
        <v>0.7</v>
      </c>
      <c r="T1511" s="19">
        <v>4.4849999999999994</v>
      </c>
    </row>
    <row r="1512" spans="12:20">
      <c r="L1512" s="19"/>
      <c r="M1512" s="19"/>
      <c r="N1512" s="50"/>
      <c r="O1512" s="19"/>
      <c r="P1512" s="19" t="s">
        <v>323</v>
      </c>
      <c r="Q1512" s="23">
        <f>DATE(YEAR(OneWeekMtgRatesDataTable75[[#This Row],[asOf]]),MONTH(OneWeekMtgRatesDataTable75[[#This Row],[asOf]]),DAY(OneWeekMtgRatesDataTable75[[#This Row],[asOf]]))</f>
        <v>40378</v>
      </c>
      <c r="R1512" s="19">
        <v>4.5599999999999996</v>
      </c>
      <c r="S1512" s="19">
        <v>0.7</v>
      </c>
      <c r="T1512" s="19">
        <v>4.4849999999999994</v>
      </c>
    </row>
    <row r="1513" spans="12:20">
      <c r="L1513" s="19"/>
      <c r="M1513" s="19"/>
      <c r="N1513" s="50"/>
      <c r="O1513" s="19"/>
      <c r="P1513" s="19" t="s">
        <v>322</v>
      </c>
      <c r="Q1513" s="23">
        <f>DATE(YEAR(OneWeekMtgRatesDataTable75[[#This Row],[asOf]]),MONTH(OneWeekMtgRatesDataTable75[[#This Row],[asOf]]),DAY(OneWeekMtgRatesDataTable75[[#This Row],[asOf]]))</f>
        <v>40375</v>
      </c>
      <c r="R1513" s="19">
        <v>4.5599999999999996</v>
      </c>
      <c r="S1513" s="19">
        <v>0.7</v>
      </c>
      <c r="T1513" s="19">
        <v>4.4849999999999994</v>
      </c>
    </row>
    <row r="1514" spans="12:20">
      <c r="L1514" s="19"/>
      <c r="M1514" s="19"/>
      <c r="N1514" s="50"/>
      <c r="O1514" s="19"/>
      <c r="P1514" s="19" t="s">
        <v>321</v>
      </c>
      <c r="Q1514" s="23">
        <f>DATE(YEAR(OneWeekMtgRatesDataTable75[[#This Row],[asOf]]),MONTH(OneWeekMtgRatesDataTable75[[#This Row],[asOf]]),DAY(OneWeekMtgRatesDataTable75[[#This Row],[asOf]]))</f>
        <v>40374</v>
      </c>
      <c r="R1514" s="19">
        <v>4.5599999999999996</v>
      </c>
      <c r="S1514" s="19">
        <v>0.7</v>
      </c>
      <c r="T1514" s="19">
        <v>4.4849999999999994</v>
      </c>
    </row>
    <row r="1515" spans="12:20">
      <c r="L1515" s="19"/>
      <c r="M1515" s="19"/>
      <c r="N1515" s="50"/>
      <c r="O1515" s="19"/>
      <c r="P1515" s="19" t="s">
        <v>320</v>
      </c>
      <c r="Q1515" s="23">
        <f>DATE(YEAR(OneWeekMtgRatesDataTable75[[#This Row],[asOf]]),MONTH(OneWeekMtgRatesDataTable75[[#This Row],[asOf]]),DAY(OneWeekMtgRatesDataTable75[[#This Row],[asOf]]))</f>
        <v>40373</v>
      </c>
      <c r="R1515" s="19">
        <v>4.57</v>
      </c>
      <c r="S1515" s="19">
        <v>0.7</v>
      </c>
      <c r="T1515" s="19">
        <v>4.4950000000000001</v>
      </c>
    </row>
    <row r="1516" spans="12:20">
      <c r="L1516" s="19"/>
      <c r="M1516" s="19"/>
      <c r="N1516" s="50"/>
      <c r="O1516" s="19"/>
      <c r="P1516" s="19" t="s">
        <v>319</v>
      </c>
      <c r="Q1516" s="23">
        <f>DATE(YEAR(OneWeekMtgRatesDataTable75[[#This Row],[asOf]]),MONTH(OneWeekMtgRatesDataTable75[[#This Row],[asOf]]),DAY(OneWeekMtgRatesDataTable75[[#This Row],[asOf]]))</f>
        <v>40372</v>
      </c>
      <c r="R1516" s="19">
        <v>4.57</v>
      </c>
      <c r="S1516" s="19">
        <v>0.7</v>
      </c>
      <c r="T1516" s="19">
        <v>4.4950000000000001</v>
      </c>
    </row>
    <row r="1517" spans="12:20">
      <c r="L1517" s="19"/>
      <c r="M1517" s="19"/>
      <c r="N1517" s="50"/>
      <c r="O1517" s="19"/>
      <c r="P1517" s="19" t="s">
        <v>318</v>
      </c>
      <c r="Q1517" s="23">
        <f>DATE(YEAR(OneWeekMtgRatesDataTable75[[#This Row],[asOf]]),MONTH(OneWeekMtgRatesDataTable75[[#This Row],[asOf]]),DAY(OneWeekMtgRatesDataTable75[[#This Row],[asOf]]))</f>
        <v>40371</v>
      </c>
      <c r="R1517" s="19">
        <v>4.57</v>
      </c>
      <c r="S1517" s="19">
        <v>0.7</v>
      </c>
      <c r="T1517" s="19">
        <v>4.4950000000000001</v>
      </c>
    </row>
    <row r="1518" spans="12:20">
      <c r="L1518" s="19"/>
      <c r="M1518" s="19"/>
      <c r="N1518" s="50"/>
      <c r="O1518" s="19"/>
      <c r="P1518" s="19" t="s">
        <v>317</v>
      </c>
      <c r="Q1518" s="23">
        <f>DATE(YEAR(OneWeekMtgRatesDataTable75[[#This Row],[asOf]]),MONTH(OneWeekMtgRatesDataTable75[[#This Row],[asOf]]),DAY(OneWeekMtgRatesDataTable75[[#This Row],[asOf]]))</f>
        <v>40368</v>
      </c>
      <c r="R1518" s="19">
        <v>4.57</v>
      </c>
      <c r="S1518" s="19">
        <v>0.7</v>
      </c>
      <c r="T1518" s="19">
        <v>4.4950000000000001</v>
      </c>
    </row>
    <row r="1519" spans="12:20">
      <c r="L1519" s="19"/>
      <c r="M1519" s="19"/>
      <c r="N1519" s="50"/>
      <c r="O1519" s="19"/>
      <c r="P1519" s="19" t="s">
        <v>316</v>
      </c>
      <c r="Q1519" s="23">
        <f>DATE(YEAR(OneWeekMtgRatesDataTable75[[#This Row],[asOf]]),MONTH(OneWeekMtgRatesDataTable75[[#This Row],[asOf]]),DAY(OneWeekMtgRatesDataTable75[[#This Row],[asOf]]))</f>
        <v>40367</v>
      </c>
      <c r="R1519" s="19">
        <v>4.57</v>
      </c>
      <c r="S1519" s="19">
        <v>0.7</v>
      </c>
      <c r="T1519" s="19">
        <v>4.4950000000000001</v>
      </c>
    </row>
    <row r="1520" spans="12:20">
      <c r="L1520" s="19"/>
      <c r="M1520" s="19"/>
      <c r="N1520" s="50"/>
      <c r="O1520" s="19"/>
      <c r="P1520" s="19" t="s">
        <v>315</v>
      </c>
      <c r="Q1520" s="23">
        <f>DATE(YEAR(OneWeekMtgRatesDataTable75[[#This Row],[asOf]]),MONTH(OneWeekMtgRatesDataTable75[[#This Row],[asOf]]),DAY(OneWeekMtgRatesDataTable75[[#This Row],[asOf]]))</f>
        <v>40366</v>
      </c>
      <c r="R1520" s="19">
        <v>4.57</v>
      </c>
      <c r="S1520" s="19">
        <v>0.7</v>
      </c>
      <c r="T1520" s="19">
        <v>4.4950000000000001</v>
      </c>
    </row>
    <row r="1521" spans="12:20">
      <c r="L1521" s="19"/>
      <c r="M1521" s="19"/>
      <c r="N1521" s="50"/>
      <c r="O1521" s="19"/>
      <c r="P1521" s="19" t="s">
        <v>314</v>
      </c>
      <c r="Q1521" s="23">
        <f>DATE(YEAR(OneWeekMtgRatesDataTable75[[#This Row],[asOf]]),MONTH(OneWeekMtgRatesDataTable75[[#This Row],[asOf]]),DAY(OneWeekMtgRatesDataTable75[[#This Row],[asOf]]))</f>
        <v>40365</v>
      </c>
      <c r="R1521" s="19">
        <v>4.57</v>
      </c>
      <c r="S1521" s="19">
        <v>0.7</v>
      </c>
      <c r="T1521" s="19">
        <v>4.4950000000000001</v>
      </c>
    </row>
    <row r="1522" spans="12:20">
      <c r="L1522" s="19"/>
      <c r="M1522" s="19"/>
      <c r="N1522" s="50"/>
      <c r="O1522" s="30"/>
      <c r="P1522" s="30" t="s">
        <v>313</v>
      </c>
      <c r="Q1522" s="23">
        <f>DATE(YEAR(OneWeekMtgRatesDataTable75[[#This Row],[asOf]]),MONTH(OneWeekMtgRatesDataTable75[[#This Row],[asOf]]),DAY(OneWeekMtgRatesDataTable75[[#This Row],[asOf]]))</f>
        <v>40361</v>
      </c>
      <c r="R1522" s="30">
        <v>4.57</v>
      </c>
      <c r="S1522" s="30">
        <v>0.7</v>
      </c>
      <c r="T1522" s="30">
        <v>4.4950000000000001</v>
      </c>
    </row>
    <row r="1523" spans="12:20">
      <c r="L1523" s="19"/>
      <c r="M1523" s="19"/>
      <c r="N1523" s="50"/>
      <c r="O1523" s="30"/>
      <c r="P1523" s="88" t="s">
        <v>312</v>
      </c>
      <c r="Q1523" s="91">
        <f>DATE(YEAR(OneWeekMtgRatesDataTable75[[#This Row],[asOf]]),MONTH(OneWeekMtgRatesDataTable75[[#This Row],[asOf]]),DAY(OneWeekMtgRatesDataTable75[[#This Row],[asOf]]))</f>
        <v>40360</v>
      </c>
      <c r="R1523" s="88">
        <v>4.57</v>
      </c>
      <c r="S1523" s="88">
        <v>0.7</v>
      </c>
      <c r="T1523" s="88">
        <v>4.4950000000000001</v>
      </c>
    </row>
    <row r="1524" spans="12:20">
      <c r="L1524" s="19"/>
      <c r="M1524" s="19"/>
      <c r="N1524" s="50"/>
      <c r="O1524" s="30"/>
      <c r="P1524" s="88" t="s">
        <v>311</v>
      </c>
      <c r="Q1524" s="91">
        <f>DATE(YEAR(OneWeekMtgRatesDataTable75[[#This Row],[asOf]]),MONTH(OneWeekMtgRatesDataTable75[[#This Row],[asOf]]),DAY(OneWeekMtgRatesDataTable75[[#This Row],[asOf]]))</f>
        <v>40359</v>
      </c>
      <c r="R1524" s="88">
        <v>4.58</v>
      </c>
      <c r="S1524" s="88">
        <v>0.7</v>
      </c>
      <c r="T1524" s="88">
        <v>4.5049999999999999</v>
      </c>
    </row>
    <row r="1525" spans="12:20">
      <c r="L1525" s="19"/>
      <c r="M1525" s="19"/>
      <c r="N1525" s="50"/>
      <c r="O1525" s="30"/>
      <c r="P1525" s="88" t="s">
        <v>310</v>
      </c>
      <c r="Q1525" s="91">
        <f>DATE(YEAR(OneWeekMtgRatesDataTable75[[#This Row],[asOf]]),MONTH(OneWeekMtgRatesDataTable75[[#This Row],[asOf]]),DAY(OneWeekMtgRatesDataTable75[[#This Row],[asOf]]))</f>
        <v>40358</v>
      </c>
      <c r="R1525" s="88">
        <v>4.58</v>
      </c>
      <c r="S1525" s="88">
        <v>0.7</v>
      </c>
      <c r="T1525" s="88">
        <v>4.5049999999999999</v>
      </c>
    </row>
    <row r="1526" spans="12:20">
      <c r="L1526" s="19"/>
      <c r="M1526" s="19"/>
      <c r="N1526" s="50"/>
      <c r="O1526" s="30"/>
      <c r="P1526" s="88" t="s">
        <v>309</v>
      </c>
      <c r="Q1526" s="91">
        <f>DATE(YEAR(OneWeekMtgRatesDataTable75[[#This Row],[asOf]]),MONTH(OneWeekMtgRatesDataTable75[[#This Row],[asOf]]),DAY(OneWeekMtgRatesDataTable75[[#This Row],[asOf]]))</f>
        <v>40357</v>
      </c>
      <c r="R1526" s="88">
        <v>4.58</v>
      </c>
      <c r="S1526" s="88">
        <v>0.7</v>
      </c>
      <c r="T1526" s="88">
        <v>4.5049999999999999</v>
      </c>
    </row>
    <row r="1527" spans="12:20">
      <c r="L1527" s="19"/>
      <c r="M1527" s="19"/>
      <c r="N1527" s="50"/>
      <c r="O1527" s="30"/>
      <c r="P1527" s="88" t="s">
        <v>308</v>
      </c>
      <c r="Q1527" s="91">
        <f>DATE(YEAR(OneWeekMtgRatesDataTable75[[#This Row],[asOf]]),MONTH(OneWeekMtgRatesDataTable75[[#This Row],[asOf]]),DAY(OneWeekMtgRatesDataTable75[[#This Row],[asOf]]))</f>
        <v>40354</v>
      </c>
      <c r="R1527" s="88">
        <v>4.58</v>
      </c>
      <c r="S1527" s="88">
        <v>0.7</v>
      </c>
      <c r="T1527" s="88">
        <v>4.5049999999999999</v>
      </c>
    </row>
    <row r="1528" spans="12:20">
      <c r="L1528" s="19"/>
      <c r="M1528" s="19"/>
      <c r="N1528" s="50"/>
      <c r="O1528" s="30"/>
      <c r="P1528" s="88" t="s">
        <v>307</v>
      </c>
      <c r="Q1528" s="91">
        <f>DATE(YEAR(OneWeekMtgRatesDataTable75[[#This Row],[asOf]]),MONTH(OneWeekMtgRatesDataTable75[[#This Row],[asOf]]),DAY(OneWeekMtgRatesDataTable75[[#This Row],[asOf]]))</f>
        <v>40353</v>
      </c>
      <c r="R1528" s="88">
        <v>4.58</v>
      </c>
      <c r="S1528" s="88">
        <v>0.7</v>
      </c>
      <c r="T1528" s="88">
        <v>4.5049999999999999</v>
      </c>
    </row>
    <row r="1529" spans="12:20">
      <c r="L1529" s="19"/>
      <c r="M1529" s="19"/>
      <c r="N1529" s="50"/>
      <c r="O1529" s="30"/>
      <c r="P1529" s="88" t="s">
        <v>306</v>
      </c>
      <c r="Q1529" s="91">
        <f>DATE(YEAR(OneWeekMtgRatesDataTable75[[#This Row],[asOf]]),MONTH(OneWeekMtgRatesDataTable75[[#This Row],[asOf]]),DAY(OneWeekMtgRatesDataTable75[[#This Row],[asOf]]))</f>
        <v>40352</v>
      </c>
      <c r="R1529" s="88">
        <v>4.6900000000000004</v>
      </c>
      <c r="S1529" s="88">
        <v>0.7</v>
      </c>
      <c r="T1529" s="88">
        <v>4.6150000000000002</v>
      </c>
    </row>
    <row r="1530" spans="12:20">
      <c r="L1530" s="19"/>
      <c r="M1530" s="19"/>
      <c r="N1530" s="50"/>
      <c r="O1530" s="30"/>
      <c r="P1530" s="88" t="s">
        <v>305</v>
      </c>
      <c r="Q1530" s="91">
        <f>DATE(YEAR(OneWeekMtgRatesDataTable75[[#This Row],[asOf]]),MONTH(OneWeekMtgRatesDataTable75[[#This Row],[asOf]]),DAY(OneWeekMtgRatesDataTable75[[#This Row],[asOf]]))</f>
        <v>40351</v>
      </c>
      <c r="R1530" s="88">
        <v>4.6900000000000004</v>
      </c>
      <c r="S1530" s="88">
        <v>0.7</v>
      </c>
      <c r="T1530" s="88">
        <v>4.6150000000000002</v>
      </c>
    </row>
    <row r="1531" spans="12:20">
      <c r="L1531" s="19"/>
      <c r="M1531" s="19"/>
      <c r="N1531" s="50"/>
      <c r="O1531" s="30"/>
      <c r="P1531" s="88" t="s">
        <v>304</v>
      </c>
      <c r="Q1531" s="91">
        <f>DATE(YEAR(OneWeekMtgRatesDataTable75[[#This Row],[asOf]]),MONTH(OneWeekMtgRatesDataTable75[[#This Row],[asOf]]),DAY(OneWeekMtgRatesDataTable75[[#This Row],[asOf]]))</f>
        <v>40350</v>
      </c>
      <c r="R1531" s="88">
        <v>4.6900000000000004</v>
      </c>
      <c r="S1531" s="88">
        <v>0.7</v>
      </c>
      <c r="T1531" s="88">
        <v>4.6150000000000002</v>
      </c>
    </row>
    <row r="1532" spans="12:20">
      <c r="L1532" s="19"/>
      <c r="M1532" s="19"/>
      <c r="N1532" s="50"/>
      <c r="O1532" s="30"/>
      <c r="P1532" s="88" t="s">
        <v>303</v>
      </c>
      <c r="Q1532" s="91">
        <f>DATE(YEAR(OneWeekMtgRatesDataTable75[[#This Row],[asOf]]),MONTH(OneWeekMtgRatesDataTable75[[#This Row],[asOf]]),DAY(OneWeekMtgRatesDataTable75[[#This Row],[asOf]]))</f>
        <v>40347</v>
      </c>
      <c r="R1532" s="88">
        <v>4.6900000000000004</v>
      </c>
      <c r="S1532" s="88">
        <v>0.7</v>
      </c>
      <c r="T1532" s="88">
        <v>4.6150000000000002</v>
      </c>
    </row>
    <row r="1533" spans="12:20">
      <c r="L1533" s="19"/>
      <c r="M1533" s="19"/>
      <c r="N1533" s="50"/>
      <c r="O1533" s="30"/>
      <c r="P1533" s="88" t="s">
        <v>302</v>
      </c>
      <c r="Q1533" s="91">
        <f>DATE(YEAR(OneWeekMtgRatesDataTable75[[#This Row],[asOf]]),MONTH(OneWeekMtgRatesDataTable75[[#This Row],[asOf]]),DAY(OneWeekMtgRatesDataTable75[[#This Row],[asOf]]))</f>
        <v>40346</v>
      </c>
      <c r="R1533" s="88">
        <v>4.6900000000000004</v>
      </c>
      <c r="S1533" s="88">
        <v>0.7</v>
      </c>
      <c r="T1533" s="88">
        <v>4.6150000000000002</v>
      </c>
    </row>
    <row r="1534" spans="12:20">
      <c r="L1534" s="19"/>
      <c r="M1534" s="19"/>
      <c r="N1534" s="50"/>
      <c r="O1534" s="30"/>
      <c r="P1534" s="88" t="s">
        <v>301</v>
      </c>
      <c r="Q1534" s="91">
        <f>DATE(YEAR(OneWeekMtgRatesDataTable75[[#This Row],[asOf]]),MONTH(OneWeekMtgRatesDataTable75[[#This Row],[asOf]]),DAY(OneWeekMtgRatesDataTable75[[#This Row],[asOf]]))</f>
        <v>40345</v>
      </c>
      <c r="R1534" s="88">
        <v>4.75</v>
      </c>
      <c r="S1534" s="88">
        <v>0.7</v>
      </c>
      <c r="T1534" s="88">
        <v>4.6749999999999998</v>
      </c>
    </row>
    <row r="1535" spans="12:20">
      <c r="L1535" s="19"/>
      <c r="M1535" s="19"/>
      <c r="N1535" s="50"/>
      <c r="O1535" s="30"/>
      <c r="P1535" s="88" t="s">
        <v>300</v>
      </c>
      <c r="Q1535" s="91">
        <f>DATE(YEAR(OneWeekMtgRatesDataTable75[[#This Row],[asOf]]),MONTH(OneWeekMtgRatesDataTable75[[#This Row],[asOf]]),DAY(OneWeekMtgRatesDataTable75[[#This Row],[asOf]]))</f>
        <v>40344</v>
      </c>
      <c r="R1535" s="88">
        <v>4.75</v>
      </c>
      <c r="S1535" s="88">
        <v>0.7</v>
      </c>
      <c r="T1535" s="88">
        <v>4.6749999999999998</v>
      </c>
    </row>
    <row r="1536" spans="12:20">
      <c r="L1536" s="19"/>
      <c r="M1536" s="19"/>
      <c r="N1536" s="50"/>
      <c r="O1536" s="30"/>
      <c r="P1536" s="88" t="s">
        <v>299</v>
      </c>
      <c r="Q1536" s="91">
        <f>DATE(YEAR(OneWeekMtgRatesDataTable75[[#This Row],[asOf]]),MONTH(OneWeekMtgRatesDataTable75[[#This Row],[asOf]]),DAY(OneWeekMtgRatesDataTable75[[#This Row],[asOf]]))</f>
        <v>40343</v>
      </c>
      <c r="R1536" s="88">
        <v>4.75</v>
      </c>
      <c r="S1536" s="88">
        <v>0.7</v>
      </c>
      <c r="T1536" s="88">
        <v>4.6749999999999998</v>
      </c>
    </row>
    <row r="1537" spans="12:20">
      <c r="L1537" s="19"/>
      <c r="M1537" s="19"/>
      <c r="N1537" s="50"/>
      <c r="O1537" s="30"/>
      <c r="P1537" s="88" t="s">
        <v>298</v>
      </c>
      <c r="Q1537" s="91">
        <f>DATE(YEAR(OneWeekMtgRatesDataTable75[[#This Row],[asOf]]),MONTH(OneWeekMtgRatesDataTable75[[#This Row],[asOf]]),DAY(OneWeekMtgRatesDataTable75[[#This Row],[asOf]]))</f>
        <v>40340</v>
      </c>
      <c r="R1537" s="88">
        <v>4.75</v>
      </c>
      <c r="S1537" s="88">
        <v>0.7</v>
      </c>
      <c r="T1537" s="88">
        <v>4.6749999999999998</v>
      </c>
    </row>
    <row r="1538" spans="12:20">
      <c r="L1538" s="19"/>
      <c r="M1538" s="19"/>
      <c r="N1538" s="50"/>
      <c r="O1538" s="30"/>
      <c r="P1538" s="88" t="s">
        <v>297</v>
      </c>
      <c r="Q1538" s="91">
        <f>DATE(YEAR(OneWeekMtgRatesDataTable75[[#This Row],[asOf]]),MONTH(OneWeekMtgRatesDataTable75[[#This Row],[asOf]]),DAY(OneWeekMtgRatesDataTable75[[#This Row],[asOf]]))</f>
        <v>40339</v>
      </c>
      <c r="R1538" s="88">
        <v>4.75</v>
      </c>
      <c r="S1538" s="88">
        <v>0.7</v>
      </c>
      <c r="T1538" s="88">
        <v>4.6749999999999998</v>
      </c>
    </row>
    <row r="1539" spans="12:20">
      <c r="L1539" s="19"/>
      <c r="M1539" s="19"/>
      <c r="N1539" s="50"/>
      <c r="O1539" s="30"/>
      <c r="P1539" s="88" t="s">
        <v>296</v>
      </c>
      <c r="Q1539" s="91">
        <f>DATE(YEAR(OneWeekMtgRatesDataTable75[[#This Row],[asOf]]),MONTH(OneWeekMtgRatesDataTable75[[#This Row],[asOf]]),DAY(OneWeekMtgRatesDataTable75[[#This Row],[asOf]]))</f>
        <v>40338</v>
      </c>
      <c r="R1539" s="88">
        <v>4.72</v>
      </c>
      <c r="S1539" s="88">
        <v>0.7</v>
      </c>
      <c r="T1539" s="88">
        <v>4.6449999999999996</v>
      </c>
    </row>
    <row r="1540" spans="12:20">
      <c r="L1540" s="19"/>
      <c r="M1540" s="19"/>
      <c r="N1540" s="50"/>
      <c r="O1540" s="30"/>
      <c r="P1540" s="88" t="s">
        <v>295</v>
      </c>
      <c r="Q1540" s="91">
        <f>DATE(YEAR(OneWeekMtgRatesDataTable75[[#This Row],[asOf]]),MONTH(OneWeekMtgRatesDataTable75[[#This Row],[asOf]]),DAY(OneWeekMtgRatesDataTable75[[#This Row],[asOf]]))</f>
        <v>40337</v>
      </c>
      <c r="R1540" s="88">
        <v>4.72</v>
      </c>
      <c r="S1540" s="88">
        <v>0.7</v>
      </c>
      <c r="T1540" s="88">
        <v>4.6449999999999996</v>
      </c>
    </row>
    <row r="1541" spans="12:20">
      <c r="L1541" s="19"/>
      <c r="M1541" s="19"/>
      <c r="N1541" s="50"/>
      <c r="O1541" s="30"/>
      <c r="P1541" s="88" t="s">
        <v>294</v>
      </c>
      <c r="Q1541" s="91">
        <f>DATE(YEAR(OneWeekMtgRatesDataTable75[[#This Row],[asOf]]),MONTH(OneWeekMtgRatesDataTable75[[#This Row],[asOf]]),DAY(OneWeekMtgRatesDataTable75[[#This Row],[asOf]]))</f>
        <v>40336</v>
      </c>
      <c r="R1541" s="88">
        <v>4.72</v>
      </c>
      <c r="S1541" s="88">
        <v>0.7</v>
      </c>
      <c r="T1541" s="88">
        <v>4.6449999999999996</v>
      </c>
    </row>
    <row r="1542" spans="12:20">
      <c r="L1542" s="19"/>
      <c r="M1542" s="19"/>
      <c r="N1542" s="50"/>
      <c r="O1542" s="30"/>
      <c r="P1542" s="19" t="s">
        <v>293</v>
      </c>
      <c r="Q1542" s="48">
        <f>DATE(YEAR(OneWeekMtgRatesDataTable75[[#This Row],[asOf]]),MONTH(OneWeekMtgRatesDataTable75[[#This Row],[asOf]]),DAY(OneWeekMtgRatesDataTable75[[#This Row],[asOf]]))</f>
        <v>40333</v>
      </c>
      <c r="R1542" s="19">
        <v>4.72</v>
      </c>
      <c r="S1542" s="19">
        <v>0.7</v>
      </c>
      <c r="T1542" s="19">
        <v>4.6449999999999996</v>
      </c>
    </row>
    <row r="1543" spans="12:20">
      <c r="L1543" s="19"/>
      <c r="M1543" s="19"/>
      <c r="N1543" s="50"/>
      <c r="O1543" s="19"/>
      <c r="P1543" s="19" t="s">
        <v>292</v>
      </c>
      <c r="Q1543" s="48">
        <f>DATE(YEAR(OneWeekMtgRatesDataTable75[[#This Row],[asOf]]),MONTH(OneWeekMtgRatesDataTable75[[#This Row],[asOf]]),DAY(OneWeekMtgRatesDataTable75[[#This Row],[asOf]]))</f>
        <v>40332</v>
      </c>
      <c r="R1543" s="19">
        <v>4.72</v>
      </c>
      <c r="S1543" s="19">
        <v>0.7</v>
      </c>
      <c r="T1543" s="19">
        <v>4.6449999999999996</v>
      </c>
    </row>
    <row r="1544" spans="12:20">
      <c r="L1544" s="19"/>
      <c r="M1544" s="19"/>
      <c r="N1544" s="50"/>
      <c r="O1544" s="19"/>
      <c r="P1544" s="19" t="s">
        <v>291</v>
      </c>
      <c r="Q1544" s="48">
        <f>DATE(YEAR(OneWeekMtgRatesDataTable75[[#This Row],[asOf]]),MONTH(OneWeekMtgRatesDataTable75[[#This Row],[asOf]]),DAY(OneWeekMtgRatesDataTable75[[#This Row],[asOf]]))</f>
        <v>40331</v>
      </c>
      <c r="R1544" s="19">
        <v>4.79</v>
      </c>
      <c r="S1544" s="19">
        <v>0.8</v>
      </c>
      <c r="T1544" s="19">
        <v>4.74</v>
      </c>
    </row>
    <row r="1545" spans="12:20">
      <c r="L1545" s="19"/>
      <c r="M1545" s="19"/>
      <c r="N1545" s="50"/>
      <c r="O1545" s="19"/>
      <c r="P1545" s="19" t="s">
        <v>290</v>
      </c>
      <c r="Q1545" s="48">
        <f>DATE(YEAR(OneWeekMtgRatesDataTable75[[#This Row],[asOf]]),MONTH(OneWeekMtgRatesDataTable75[[#This Row],[asOf]]),DAY(OneWeekMtgRatesDataTable75[[#This Row],[asOf]]))</f>
        <v>40330</v>
      </c>
      <c r="R1545" s="19">
        <v>4.79</v>
      </c>
      <c r="S1545" s="19">
        <v>0.8</v>
      </c>
      <c r="T1545" s="19">
        <v>4.74</v>
      </c>
    </row>
    <row r="1546" spans="12:20">
      <c r="L1546" s="19"/>
      <c r="M1546" s="19"/>
      <c r="N1546" s="50"/>
      <c r="O1546" s="19"/>
      <c r="P1546" s="19" t="s">
        <v>289</v>
      </c>
      <c r="Q1546" s="48">
        <f>DATE(YEAR(OneWeekMtgRatesDataTable75[[#This Row],[asOf]]),MONTH(OneWeekMtgRatesDataTable75[[#This Row],[asOf]]),DAY(OneWeekMtgRatesDataTable75[[#This Row],[asOf]]))</f>
        <v>40326</v>
      </c>
      <c r="R1546" s="19">
        <v>4.79</v>
      </c>
      <c r="S1546" s="19">
        <v>0.8</v>
      </c>
      <c r="T1546" s="19">
        <v>4.74</v>
      </c>
    </row>
    <row r="1547" spans="12:20">
      <c r="L1547" s="19"/>
      <c r="M1547" s="19"/>
      <c r="N1547" s="50"/>
      <c r="O1547" s="19"/>
      <c r="P1547" s="19" t="s">
        <v>288</v>
      </c>
      <c r="Q1547" s="48">
        <f>DATE(YEAR(OneWeekMtgRatesDataTable75[[#This Row],[asOf]]),MONTH(OneWeekMtgRatesDataTable75[[#This Row],[asOf]]),DAY(OneWeekMtgRatesDataTable75[[#This Row],[asOf]]))</f>
        <v>40325</v>
      </c>
      <c r="R1547" s="19">
        <v>4.79</v>
      </c>
      <c r="S1547" s="19">
        <v>0.8</v>
      </c>
      <c r="T1547" s="19">
        <v>4.74</v>
      </c>
    </row>
    <row r="1548" spans="12:20">
      <c r="L1548" s="19"/>
      <c r="M1548" s="19"/>
      <c r="N1548" s="50"/>
      <c r="O1548" s="19"/>
      <c r="P1548" s="19" t="s">
        <v>287</v>
      </c>
      <c r="Q1548" s="48">
        <f>DATE(YEAR(OneWeekMtgRatesDataTable75[[#This Row],[asOf]]),MONTH(OneWeekMtgRatesDataTable75[[#This Row],[asOf]]),DAY(OneWeekMtgRatesDataTable75[[#This Row],[asOf]]))</f>
        <v>40324</v>
      </c>
      <c r="R1548" s="19">
        <v>4.78</v>
      </c>
      <c r="S1548" s="19">
        <v>0.7</v>
      </c>
      <c r="T1548" s="19">
        <v>4.7050000000000001</v>
      </c>
    </row>
    <row r="1549" spans="12:20">
      <c r="L1549" s="19"/>
      <c r="M1549" s="19"/>
      <c r="N1549" s="50"/>
      <c r="O1549" s="19"/>
      <c r="P1549" s="19" t="s">
        <v>286</v>
      </c>
      <c r="Q1549" s="48">
        <f>DATE(YEAR(OneWeekMtgRatesDataTable75[[#This Row],[asOf]]),MONTH(OneWeekMtgRatesDataTable75[[#This Row],[asOf]]),DAY(OneWeekMtgRatesDataTable75[[#This Row],[asOf]]))</f>
        <v>40323</v>
      </c>
      <c r="R1549" s="19">
        <v>4.78</v>
      </c>
      <c r="S1549" s="19">
        <v>0.7</v>
      </c>
      <c r="T1549" s="19">
        <v>4.7050000000000001</v>
      </c>
    </row>
    <row r="1550" spans="12:20">
      <c r="L1550" s="19"/>
      <c r="M1550" s="19"/>
      <c r="N1550" s="50"/>
      <c r="O1550" s="19"/>
      <c r="P1550" s="19" t="s">
        <v>285</v>
      </c>
      <c r="Q1550" s="48">
        <f>DATE(YEAR(OneWeekMtgRatesDataTable75[[#This Row],[asOf]]),MONTH(OneWeekMtgRatesDataTable75[[#This Row],[asOf]]),DAY(OneWeekMtgRatesDataTable75[[#This Row],[asOf]]))</f>
        <v>40322</v>
      </c>
      <c r="R1550" s="19">
        <v>4.78</v>
      </c>
      <c r="S1550" s="19">
        <v>0.7</v>
      </c>
      <c r="T1550" s="19">
        <v>4.7050000000000001</v>
      </c>
    </row>
    <row r="1551" spans="12:20">
      <c r="L1551" s="19"/>
      <c r="M1551" s="19"/>
      <c r="N1551" s="50"/>
      <c r="O1551" s="19"/>
      <c r="P1551" s="19" t="s">
        <v>284</v>
      </c>
      <c r="Q1551" s="48">
        <f>DATE(YEAR(OneWeekMtgRatesDataTable75[[#This Row],[asOf]]),MONTH(OneWeekMtgRatesDataTable75[[#This Row],[asOf]]),DAY(OneWeekMtgRatesDataTable75[[#This Row],[asOf]]))</f>
        <v>40319</v>
      </c>
      <c r="R1551" s="19">
        <v>4.78</v>
      </c>
      <c r="S1551" s="19">
        <v>0.7</v>
      </c>
      <c r="T1551" s="19">
        <v>4.7050000000000001</v>
      </c>
    </row>
    <row r="1552" spans="12:20">
      <c r="L1552" s="19"/>
      <c r="M1552" s="19"/>
      <c r="N1552" s="50"/>
      <c r="O1552" s="19"/>
      <c r="P1552" s="19" t="s">
        <v>283</v>
      </c>
      <c r="Q1552" s="48">
        <f>DATE(YEAR(OneWeekMtgRatesDataTable75[[#This Row],[asOf]]),MONTH(OneWeekMtgRatesDataTable75[[#This Row],[asOf]]),DAY(OneWeekMtgRatesDataTable75[[#This Row],[asOf]]))</f>
        <v>40318</v>
      </c>
      <c r="R1552" s="19">
        <v>4.78</v>
      </c>
      <c r="S1552" s="19">
        <v>0.7</v>
      </c>
      <c r="T1552" s="19">
        <v>4.7050000000000001</v>
      </c>
    </row>
    <row r="1553" spans="12:20">
      <c r="L1553" s="19"/>
      <c r="M1553" s="19"/>
      <c r="N1553" s="50"/>
      <c r="O1553" s="19"/>
      <c r="P1553" s="19" t="s">
        <v>282</v>
      </c>
      <c r="Q1553" s="48">
        <f>DATE(YEAR(OneWeekMtgRatesDataTable75[[#This Row],[asOf]]),MONTH(OneWeekMtgRatesDataTable75[[#This Row],[asOf]]),DAY(OneWeekMtgRatesDataTable75[[#This Row],[asOf]]))</f>
        <v>40317</v>
      </c>
      <c r="R1553" s="19">
        <v>4.84</v>
      </c>
      <c r="S1553" s="19">
        <v>0.7</v>
      </c>
      <c r="T1553" s="19">
        <v>4.7649999999999997</v>
      </c>
    </row>
    <row r="1554" spans="12:20">
      <c r="L1554" s="19"/>
      <c r="M1554" s="19"/>
      <c r="N1554" s="50"/>
      <c r="O1554" s="19"/>
      <c r="P1554" s="19" t="s">
        <v>281</v>
      </c>
      <c r="Q1554" s="48">
        <f>DATE(YEAR(OneWeekMtgRatesDataTable75[[#This Row],[asOf]]),MONTH(OneWeekMtgRatesDataTable75[[#This Row],[asOf]]),DAY(OneWeekMtgRatesDataTable75[[#This Row],[asOf]]))</f>
        <v>40316</v>
      </c>
      <c r="R1554" s="19">
        <v>4.84</v>
      </c>
      <c r="S1554" s="19">
        <v>0.7</v>
      </c>
      <c r="T1554" s="19">
        <v>4.7649999999999997</v>
      </c>
    </row>
    <row r="1555" spans="12:20">
      <c r="L1555" s="19"/>
      <c r="M1555" s="19"/>
      <c r="N1555" s="50"/>
      <c r="O1555" s="19"/>
      <c r="P1555" s="19" t="s">
        <v>280</v>
      </c>
      <c r="Q1555" s="48">
        <f>DATE(YEAR(OneWeekMtgRatesDataTable75[[#This Row],[asOf]]),MONTH(OneWeekMtgRatesDataTable75[[#This Row],[asOf]]),DAY(OneWeekMtgRatesDataTable75[[#This Row],[asOf]]))</f>
        <v>40315</v>
      </c>
      <c r="R1555" s="19">
        <v>4.84</v>
      </c>
      <c r="S1555" s="19">
        <v>0.7</v>
      </c>
      <c r="T1555" s="19">
        <v>4.7649999999999997</v>
      </c>
    </row>
    <row r="1556" spans="12:20">
      <c r="L1556" s="19"/>
      <c r="M1556" s="19"/>
      <c r="N1556" s="50"/>
      <c r="O1556" s="19"/>
      <c r="P1556" s="19" t="s">
        <v>279</v>
      </c>
      <c r="Q1556" s="48">
        <f>DATE(YEAR(OneWeekMtgRatesDataTable75[[#This Row],[asOf]]),MONTH(OneWeekMtgRatesDataTable75[[#This Row],[asOf]]),DAY(OneWeekMtgRatesDataTable75[[#This Row],[asOf]]))</f>
        <v>40312</v>
      </c>
      <c r="R1556" s="19">
        <v>4.84</v>
      </c>
      <c r="S1556" s="19">
        <v>0.7</v>
      </c>
      <c r="T1556" s="19">
        <v>4.7649999999999997</v>
      </c>
    </row>
    <row r="1557" spans="12:20">
      <c r="L1557" s="19"/>
      <c r="M1557" s="19"/>
      <c r="N1557" s="50"/>
      <c r="O1557" s="19"/>
      <c r="P1557" s="19" t="s">
        <v>278</v>
      </c>
      <c r="Q1557" s="48">
        <f>DATE(YEAR(OneWeekMtgRatesDataTable75[[#This Row],[asOf]]),MONTH(OneWeekMtgRatesDataTable75[[#This Row],[asOf]]),DAY(OneWeekMtgRatesDataTable75[[#This Row],[asOf]]))</f>
        <v>40311</v>
      </c>
      <c r="R1557" s="19">
        <v>4.84</v>
      </c>
      <c r="S1557" s="19">
        <v>0.7</v>
      </c>
      <c r="T1557" s="19">
        <v>4.7649999999999997</v>
      </c>
    </row>
    <row r="1558" spans="12:20">
      <c r="L1558" s="19"/>
      <c r="M1558" s="19"/>
      <c r="N1558" s="50"/>
      <c r="O1558" s="19"/>
      <c r="P1558" s="19" t="s">
        <v>277</v>
      </c>
      <c r="Q1558" s="48">
        <f>DATE(YEAR(OneWeekMtgRatesDataTable75[[#This Row],[asOf]]),MONTH(OneWeekMtgRatesDataTable75[[#This Row],[asOf]]),DAY(OneWeekMtgRatesDataTable75[[#This Row],[asOf]]))</f>
        <v>40310</v>
      </c>
      <c r="R1558" s="19">
        <v>4.93</v>
      </c>
      <c r="S1558" s="19">
        <v>0.7</v>
      </c>
      <c r="T1558" s="19">
        <v>4.8549999999999995</v>
      </c>
    </row>
    <row r="1559" spans="12:20">
      <c r="L1559" s="19"/>
      <c r="M1559" s="19"/>
      <c r="N1559" s="50"/>
      <c r="O1559" s="19"/>
      <c r="P1559" s="19" t="s">
        <v>276</v>
      </c>
      <c r="Q1559" s="48">
        <f>DATE(YEAR(OneWeekMtgRatesDataTable75[[#This Row],[asOf]]),MONTH(OneWeekMtgRatesDataTable75[[#This Row],[asOf]]),DAY(OneWeekMtgRatesDataTable75[[#This Row],[asOf]]))</f>
        <v>40309</v>
      </c>
      <c r="R1559" s="19">
        <v>4.93</v>
      </c>
      <c r="S1559" s="19">
        <v>0.7</v>
      </c>
      <c r="T1559" s="19">
        <v>4.8549999999999995</v>
      </c>
    </row>
    <row r="1560" spans="12:20">
      <c r="L1560" s="19"/>
      <c r="M1560" s="19"/>
      <c r="N1560" s="50"/>
      <c r="O1560" s="19"/>
      <c r="P1560" s="19" t="s">
        <v>275</v>
      </c>
      <c r="Q1560" s="48">
        <f>DATE(YEAR(OneWeekMtgRatesDataTable75[[#This Row],[asOf]]),MONTH(OneWeekMtgRatesDataTable75[[#This Row],[asOf]]),DAY(OneWeekMtgRatesDataTable75[[#This Row],[asOf]]))</f>
        <v>40308</v>
      </c>
      <c r="R1560" s="19">
        <v>4.93</v>
      </c>
      <c r="S1560" s="19">
        <v>0.7</v>
      </c>
      <c r="T1560" s="19">
        <v>4.8549999999999995</v>
      </c>
    </row>
    <row r="1561" spans="12:20">
      <c r="L1561" s="19"/>
      <c r="M1561" s="19"/>
      <c r="N1561" s="50"/>
      <c r="O1561" s="19"/>
      <c r="P1561" s="19" t="s">
        <v>274</v>
      </c>
      <c r="Q1561" s="48">
        <f>DATE(YEAR(OneWeekMtgRatesDataTable75[[#This Row],[asOf]]),MONTH(OneWeekMtgRatesDataTable75[[#This Row],[asOf]]),DAY(OneWeekMtgRatesDataTable75[[#This Row],[asOf]]))</f>
        <v>40305</v>
      </c>
      <c r="R1561" s="19">
        <v>4.93</v>
      </c>
      <c r="S1561" s="19">
        <v>0.7</v>
      </c>
      <c r="T1561" s="19">
        <v>4.8549999999999995</v>
      </c>
    </row>
    <row r="1562" spans="12:20">
      <c r="L1562" s="19"/>
      <c r="M1562" s="19"/>
      <c r="N1562" s="50"/>
      <c r="O1562" s="19"/>
      <c r="P1562" s="19" t="s">
        <v>273</v>
      </c>
      <c r="Q1562" s="48">
        <f>DATE(YEAR(OneWeekMtgRatesDataTable75[[#This Row],[asOf]]),MONTH(OneWeekMtgRatesDataTable75[[#This Row],[asOf]]),DAY(OneWeekMtgRatesDataTable75[[#This Row],[asOf]]))</f>
        <v>40304</v>
      </c>
      <c r="R1562" s="19">
        <v>4.93</v>
      </c>
      <c r="S1562" s="19">
        <v>0.7</v>
      </c>
      <c r="T1562" s="19">
        <v>4.8549999999999995</v>
      </c>
    </row>
    <row r="1563" spans="12:20">
      <c r="L1563" s="19"/>
      <c r="M1563" s="19"/>
      <c r="N1563" s="50"/>
      <c r="O1563" s="19"/>
      <c r="P1563" s="19" t="s">
        <v>272</v>
      </c>
      <c r="Q1563" s="48">
        <f>DATE(YEAR(OneWeekMtgRatesDataTable75[[#This Row],[asOf]]),MONTH(OneWeekMtgRatesDataTable75[[#This Row],[asOf]]),DAY(OneWeekMtgRatesDataTable75[[#This Row],[asOf]]))</f>
        <v>40303</v>
      </c>
      <c r="R1563" s="19">
        <v>5</v>
      </c>
      <c r="S1563" s="19">
        <v>0.7</v>
      </c>
      <c r="T1563" s="19">
        <v>4.9249999999999998</v>
      </c>
    </row>
    <row r="1564" spans="12:20">
      <c r="L1564" s="19"/>
      <c r="M1564" s="19"/>
      <c r="N1564" s="50"/>
      <c r="O1564" s="19"/>
      <c r="P1564" s="19" t="s">
        <v>271</v>
      </c>
      <c r="Q1564" s="48">
        <f>DATE(YEAR(OneWeekMtgRatesDataTable75[[#This Row],[asOf]]),MONTH(OneWeekMtgRatesDataTable75[[#This Row],[asOf]]),DAY(OneWeekMtgRatesDataTable75[[#This Row],[asOf]]))</f>
        <v>40302</v>
      </c>
      <c r="R1564" s="19">
        <v>5</v>
      </c>
      <c r="S1564" s="19">
        <v>0.7</v>
      </c>
      <c r="T1564" s="19">
        <v>4.9249999999999998</v>
      </c>
    </row>
    <row r="1565" spans="12:20">
      <c r="L1565" s="19"/>
      <c r="M1565" s="19"/>
      <c r="N1565" s="50"/>
      <c r="O1565" s="19"/>
      <c r="P1565" s="19" t="s">
        <v>270</v>
      </c>
      <c r="Q1565" s="48">
        <f>DATE(YEAR(OneWeekMtgRatesDataTable75[[#This Row],[asOf]]),MONTH(OneWeekMtgRatesDataTable75[[#This Row],[asOf]]),DAY(OneWeekMtgRatesDataTable75[[#This Row],[asOf]]))</f>
        <v>40301</v>
      </c>
      <c r="R1565" s="19">
        <v>5</v>
      </c>
      <c r="S1565" s="19">
        <v>0.7</v>
      </c>
      <c r="T1565" s="19">
        <v>4.9249999999999998</v>
      </c>
    </row>
    <row r="1566" spans="12:20">
      <c r="L1566" s="19"/>
      <c r="M1566" s="19"/>
      <c r="N1566" s="50"/>
      <c r="O1566" s="19"/>
      <c r="P1566" s="19" t="s">
        <v>269</v>
      </c>
      <c r="Q1566" s="48">
        <f>DATE(YEAR(OneWeekMtgRatesDataTable75[[#This Row],[asOf]]),MONTH(OneWeekMtgRatesDataTable75[[#This Row],[asOf]]),DAY(OneWeekMtgRatesDataTable75[[#This Row],[asOf]]))</f>
        <v>40298</v>
      </c>
      <c r="R1566" s="19">
        <v>5</v>
      </c>
      <c r="S1566" s="19">
        <v>0.7</v>
      </c>
      <c r="T1566" s="19">
        <v>4.9249999999999998</v>
      </c>
    </row>
    <row r="1567" spans="12:20">
      <c r="L1567" s="19"/>
      <c r="M1567" s="19"/>
      <c r="N1567" s="50"/>
      <c r="O1567" s="19"/>
      <c r="P1567" s="19" t="s">
        <v>268</v>
      </c>
      <c r="Q1567" s="48">
        <f>DATE(YEAR(OneWeekMtgRatesDataTable75[[#This Row],[asOf]]),MONTH(OneWeekMtgRatesDataTable75[[#This Row],[asOf]]),DAY(OneWeekMtgRatesDataTable75[[#This Row],[asOf]]))</f>
        <v>40297</v>
      </c>
      <c r="R1567" s="19">
        <v>5</v>
      </c>
      <c r="S1567" s="19">
        <v>0.7</v>
      </c>
      <c r="T1567" s="19">
        <v>4.9249999999999998</v>
      </c>
    </row>
    <row r="1568" spans="12:20">
      <c r="L1568" s="19"/>
      <c r="M1568" s="19"/>
      <c r="N1568" s="50"/>
      <c r="O1568" s="19"/>
      <c r="P1568" s="19" t="s">
        <v>267</v>
      </c>
      <c r="Q1568" s="48">
        <f>DATE(YEAR(OneWeekMtgRatesDataTable75[[#This Row],[asOf]]),MONTH(OneWeekMtgRatesDataTable75[[#This Row],[asOf]]),DAY(OneWeekMtgRatesDataTable75[[#This Row],[asOf]]))</f>
        <v>40296</v>
      </c>
      <c r="R1568" s="19">
        <v>5.0599999999999996</v>
      </c>
      <c r="S1568" s="19">
        <v>0.7</v>
      </c>
      <c r="T1568" s="19">
        <v>4.9849999999999994</v>
      </c>
    </row>
    <row r="1569" spans="12:20">
      <c r="L1569" s="19"/>
      <c r="M1569" s="19"/>
      <c r="N1569" s="50"/>
      <c r="O1569" s="19"/>
      <c r="P1569" s="19" t="s">
        <v>266</v>
      </c>
      <c r="Q1569" s="48">
        <f>DATE(YEAR(OneWeekMtgRatesDataTable75[[#This Row],[asOf]]),MONTH(OneWeekMtgRatesDataTable75[[#This Row],[asOf]]),DAY(OneWeekMtgRatesDataTable75[[#This Row],[asOf]]))</f>
        <v>40295</v>
      </c>
      <c r="R1569" s="19">
        <v>5.0599999999999996</v>
      </c>
      <c r="S1569" s="19">
        <v>0.7</v>
      </c>
      <c r="T1569" s="19">
        <v>4.9849999999999994</v>
      </c>
    </row>
    <row r="1570" spans="12:20">
      <c r="L1570" s="19"/>
      <c r="M1570" s="19"/>
      <c r="N1570" s="50"/>
      <c r="O1570" s="19"/>
      <c r="P1570" s="19" t="s">
        <v>265</v>
      </c>
      <c r="Q1570" s="48">
        <f>DATE(YEAR(OneWeekMtgRatesDataTable75[[#This Row],[asOf]]),MONTH(OneWeekMtgRatesDataTable75[[#This Row],[asOf]]),DAY(OneWeekMtgRatesDataTable75[[#This Row],[asOf]]))</f>
        <v>40294</v>
      </c>
      <c r="R1570" s="19">
        <v>5.0599999999999996</v>
      </c>
      <c r="S1570" s="19">
        <v>0.7</v>
      </c>
      <c r="T1570" s="19">
        <v>4.9849999999999994</v>
      </c>
    </row>
    <row r="1571" spans="12:20">
      <c r="L1571" s="19"/>
      <c r="M1571" s="19"/>
      <c r="N1571" s="50"/>
      <c r="O1571" s="19"/>
      <c r="P1571" s="19" t="s">
        <v>264</v>
      </c>
      <c r="Q1571" s="48">
        <f>DATE(YEAR(OneWeekMtgRatesDataTable75[[#This Row],[asOf]]),MONTH(OneWeekMtgRatesDataTable75[[#This Row],[asOf]]),DAY(OneWeekMtgRatesDataTable75[[#This Row],[asOf]]))</f>
        <v>40291</v>
      </c>
      <c r="R1571" s="19">
        <v>5.0599999999999996</v>
      </c>
      <c r="S1571" s="19">
        <v>0.7</v>
      </c>
      <c r="T1571" s="19">
        <v>4.9849999999999994</v>
      </c>
    </row>
    <row r="1572" spans="12:20">
      <c r="L1572" s="19"/>
      <c r="M1572" s="19"/>
      <c r="N1572" s="50"/>
      <c r="O1572" s="19"/>
      <c r="P1572" s="19" t="s">
        <v>263</v>
      </c>
      <c r="Q1572" s="48">
        <f>DATE(YEAR(OneWeekMtgRatesDataTable75[[#This Row],[asOf]]),MONTH(OneWeekMtgRatesDataTable75[[#This Row],[asOf]]),DAY(OneWeekMtgRatesDataTable75[[#This Row],[asOf]]))</f>
        <v>40290</v>
      </c>
      <c r="R1572" s="19">
        <v>5.0599999999999996</v>
      </c>
      <c r="S1572" s="19">
        <v>0.7</v>
      </c>
      <c r="T1572" s="19">
        <v>4.9849999999999994</v>
      </c>
    </row>
    <row r="1573" spans="12:20">
      <c r="L1573" s="19"/>
      <c r="M1573" s="19"/>
      <c r="N1573" s="50"/>
      <c r="O1573" s="19"/>
      <c r="P1573" s="19" t="s">
        <v>262</v>
      </c>
      <c r="Q1573" s="48">
        <f>DATE(YEAR(OneWeekMtgRatesDataTable75[[#This Row],[asOf]]),MONTH(OneWeekMtgRatesDataTable75[[#This Row],[asOf]]),DAY(OneWeekMtgRatesDataTable75[[#This Row],[asOf]]))</f>
        <v>40289</v>
      </c>
      <c r="R1573" s="19">
        <v>5.07</v>
      </c>
      <c r="S1573" s="19">
        <v>0.7</v>
      </c>
      <c r="T1573" s="19">
        <v>4.9950000000000001</v>
      </c>
    </row>
    <row r="1574" spans="12:20">
      <c r="L1574" s="19"/>
      <c r="M1574" s="19"/>
      <c r="N1574" s="50"/>
      <c r="O1574" s="19"/>
      <c r="P1574" s="19" t="s">
        <v>261</v>
      </c>
      <c r="Q1574" s="48">
        <f>DATE(YEAR(OneWeekMtgRatesDataTable75[[#This Row],[asOf]]),MONTH(OneWeekMtgRatesDataTable75[[#This Row],[asOf]]),DAY(OneWeekMtgRatesDataTable75[[#This Row],[asOf]]))</f>
        <v>40288</v>
      </c>
      <c r="R1574" s="19">
        <v>5.07</v>
      </c>
      <c r="S1574" s="19">
        <v>0.7</v>
      </c>
      <c r="T1574" s="19">
        <v>4.9950000000000001</v>
      </c>
    </row>
    <row r="1575" spans="12:20">
      <c r="L1575" s="19"/>
      <c r="M1575" s="19"/>
      <c r="N1575" s="50"/>
      <c r="O1575" s="19"/>
      <c r="P1575" s="19" t="s">
        <v>260</v>
      </c>
      <c r="Q1575" s="48">
        <f>DATE(YEAR(OneWeekMtgRatesDataTable75[[#This Row],[asOf]]),MONTH(OneWeekMtgRatesDataTable75[[#This Row],[asOf]]),DAY(OneWeekMtgRatesDataTable75[[#This Row],[asOf]]))</f>
        <v>40287</v>
      </c>
      <c r="R1575" s="19">
        <v>5.07</v>
      </c>
      <c r="S1575" s="19">
        <v>0.7</v>
      </c>
      <c r="T1575" s="19">
        <v>4.9950000000000001</v>
      </c>
    </row>
    <row r="1576" spans="12:20">
      <c r="L1576" s="19"/>
      <c r="M1576" s="19"/>
      <c r="N1576" s="50"/>
      <c r="O1576" s="19"/>
      <c r="P1576" s="19" t="s">
        <v>259</v>
      </c>
      <c r="Q1576" s="48">
        <f>DATE(YEAR(OneWeekMtgRatesDataTable75[[#This Row],[asOf]]),MONTH(OneWeekMtgRatesDataTable75[[#This Row],[asOf]]),DAY(OneWeekMtgRatesDataTable75[[#This Row],[asOf]]))</f>
        <v>40284</v>
      </c>
      <c r="R1576" s="19">
        <v>5.07</v>
      </c>
      <c r="S1576" s="19">
        <v>0.7</v>
      </c>
      <c r="T1576" s="19">
        <v>4.9950000000000001</v>
      </c>
    </row>
    <row r="1577" spans="12:20">
      <c r="L1577" s="19"/>
      <c r="M1577" s="19"/>
      <c r="N1577" s="50"/>
      <c r="O1577" s="19"/>
      <c r="P1577" s="19" t="s">
        <v>258</v>
      </c>
      <c r="Q1577" s="48">
        <f>DATE(YEAR(OneWeekMtgRatesDataTable75[[#This Row],[asOf]]),MONTH(OneWeekMtgRatesDataTable75[[#This Row],[asOf]]),DAY(OneWeekMtgRatesDataTable75[[#This Row],[asOf]]))</f>
        <v>40283</v>
      </c>
      <c r="R1577" s="19">
        <v>5.07</v>
      </c>
      <c r="S1577" s="19">
        <v>0.7</v>
      </c>
      <c r="T1577" s="19">
        <v>4.9950000000000001</v>
      </c>
    </row>
    <row r="1578" spans="12:20">
      <c r="L1578" s="19"/>
      <c r="M1578" s="19"/>
      <c r="N1578" s="50"/>
      <c r="O1578" s="19"/>
      <c r="P1578" s="19" t="s">
        <v>257</v>
      </c>
      <c r="Q1578" s="48">
        <f>DATE(YEAR(OneWeekMtgRatesDataTable75[[#This Row],[asOf]]),MONTH(OneWeekMtgRatesDataTable75[[#This Row],[asOf]]),DAY(OneWeekMtgRatesDataTable75[[#This Row],[asOf]]))</f>
        <v>40282</v>
      </c>
      <c r="R1578" s="19">
        <v>5.07</v>
      </c>
      <c r="S1578" s="19">
        <v>0.6</v>
      </c>
      <c r="T1578" s="19">
        <v>4.9700000000000006</v>
      </c>
    </row>
    <row r="1579" spans="12:20">
      <c r="L1579" s="19"/>
      <c r="M1579" s="19"/>
      <c r="N1579" s="50"/>
      <c r="O1579" s="19"/>
      <c r="P1579" s="19" t="s">
        <v>256</v>
      </c>
      <c r="Q1579" s="48">
        <f>DATE(YEAR(OneWeekMtgRatesDataTable75[[#This Row],[asOf]]),MONTH(OneWeekMtgRatesDataTable75[[#This Row],[asOf]]),DAY(OneWeekMtgRatesDataTable75[[#This Row],[asOf]]))</f>
        <v>40281</v>
      </c>
      <c r="R1579" s="19">
        <v>5.07</v>
      </c>
      <c r="S1579" s="19">
        <v>0.6</v>
      </c>
      <c r="T1579" s="19">
        <v>4.9700000000000006</v>
      </c>
    </row>
    <row r="1580" spans="12:20">
      <c r="L1580" s="19"/>
      <c r="M1580" s="19"/>
      <c r="N1580" s="50"/>
      <c r="O1580" s="19"/>
      <c r="P1580" s="19" t="s">
        <v>255</v>
      </c>
      <c r="Q1580" s="48">
        <f>DATE(YEAR(OneWeekMtgRatesDataTable75[[#This Row],[asOf]]),MONTH(OneWeekMtgRatesDataTable75[[#This Row],[asOf]]),DAY(OneWeekMtgRatesDataTable75[[#This Row],[asOf]]))</f>
        <v>40280</v>
      </c>
      <c r="R1580" s="19">
        <v>5.07</v>
      </c>
      <c r="S1580" s="19">
        <v>0.6</v>
      </c>
      <c r="T1580" s="19">
        <v>4.9700000000000006</v>
      </c>
    </row>
    <row r="1581" spans="12:20">
      <c r="L1581" s="19"/>
      <c r="M1581" s="19"/>
      <c r="N1581" s="50"/>
      <c r="O1581" s="19"/>
      <c r="P1581" s="19" t="s">
        <v>254</v>
      </c>
      <c r="Q1581" s="48">
        <f>DATE(YEAR(OneWeekMtgRatesDataTable75[[#This Row],[asOf]]),MONTH(OneWeekMtgRatesDataTable75[[#This Row],[asOf]]),DAY(OneWeekMtgRatesDataTable75[[#This Row],[asOf]]))</f>
        <v>40277</v>
      </c>
      <c r="R1581" s="19">
        <v>5.07</v>
      </c>
      <c r="S1581" s="19">
        <v>0.6</v>
      </c>
      <c r="T1581" s="19">
        <v>4.9700000000000006</v>
      </c>
    </row>
    <row r="1582" spans="12:20">
      <c r="L1582" s="19"/>
      <c r="M1582" s="19"/>
      <c r="N1582" s="50"/>
      <c r="O1582" s="19"/>
      <c r="P1582" s="19" t="s">
        <v>253</v>
      </c>
      <c r="Q1582" s="48">
        <f>DATE(YEAR(OneWeekMtgRatesDataTable75[[#This Row],[asOf]]),MONTH(OneWeekMtgRatesDataTable75[[#This Row],[asOf]]),DAY(OneWeekMtgRatesDataTable75[[#This Row],[asOf]]))</f>
        <v>40276</v>
      </c>
      <c r="R1582" s="19">
        <v>5.07</v>
      </c>
      <c r="S1582" s="19">
        <v>0.6</v>
      </c>
      <c r="T1582" s="19">
        <v>4.9700000000000006</v>
      </c>
    </row>
    <row r="1583" spans="12:20">
      <c r="L1583" s="19"/>
      <c r="M1583" s="19"/>
      <c r="N1583" s="50"/>
      <c r="O1583" s="19"/>
      <c r="P1583" s="19" t="s">
        <v>252</v>
      </c>
      <c r="Q1583" s="48">
        <f>DATE(YEAR(OneWeekMtgRatesDataTable75[[#This Row],[asOf]]),MONTH(OneWeekMtgRatesDataTable75[[#This Row],[asOf]]),DAY(OneWeekMtgRatesDataTable75[[#This Row],[asOf]]))</f>
        <v>40275</v>
      </c>
      <c r="R1583" s="19">
        <v>5.21</v>
      </c>
      <c r="S1583" s="19">
        <v>0.6</v>
      </c>
      <c r="T1583" s="19">
        <v>5.1100000000000003</v>
      </c>
    </row>
    <row r="1584" spans="12:20">
      <c r="L1584" s="19"/>
      <c r="M1584" s="19"/>
      <c r="N1584" s="50"/>
      <c r="O1584" s="19"/>
      <c r="P1584" s="19" t="s">
        <v>251</v>
      </c>
      <c r="Q1584" s="48">
        <f>DATE(YEAR(OneWeekMtgRatesDataTable75[[#This Row],[asOf]]),MONTH(OneWeekMtgRatesDataTable75[[#This Row],[asOf]]),DAY(OneWeekMtgRatesDataTable75[[#This Row],[asOf]]))</f>
        <v>40274</v>
      </c>
      <c r="R1584" s="19">
        <v>5.21</v>
      </c>
      <c r="S1584" s="19">
        <v>0.6</v>
      </c>
      <c r="T1584" s="19">
        <v>5.1100000000000003</v>
      </c>
    </row>
    <row r="1585" spans="12:20">
      <c r="L1585" s="19"/>
      <c r="M1585" s="19"/>
      <c r="N1585" s="50"/>
      <c r="O1585" s="19"/>
      <c r="P1585" s="19" t="s">
        <v>250</v>
      </c>
      <c r="Q1585" s="48">
        <f>DATE(YEAR(OneWeekMtgRatesDataTable75[[#This Row],[asOf]]),MONTH(OneWeekMtgRatesDataTable75[[#This Row],[asOf]]),DAY(OneWeekMtgRatesDataTable75[[#This Row],[asOf]]))</f>
        <v>40273</v>
      </c>
      <c r="R1585" s="19">
        <v>5.21</v>
      </c>
      <c r="S1585" s="19">
        <v>0.6</v>
      </c>
      <c r="T1585" s="19">
        <v>5.1100000000000003</v>
      </c>
    </row>
    <row r="1586" spans="12:20">
      <c r="L1586" s="19"/>
      <c r="M1586" s="19"/>
      <c r="N1586" s="50"/>
      <c r="O1586" s="19"/>
      <c r="P1586" s="19" t="s">
        <v>1648</v>
      </c>
      <c r="Q1586" s="48">
        <f>DATE(YEAR(OneWeekMtgRatesDataTable75[[#This Row],[asOf]]),MONTH(OneWeekMtgRatesDataTable75[[#This Row],[asOf]]),DAY(OneWeekMtgRatesDataTable75[[#This Row],[asOf]]))</f>
        <v>40270</v>
      </c>
      <c r="R1586" s="19">
        <v>5.21</v>
      </c>
      <c r="S1586" s="19">
        <v>0.6</v>
      </c>
      <c r="T1586" s="19">
        <v>5.1100000000000003</v>
      </c>
    </row>
    <row r="1587" spans="12:20">
      <c r="L1587" s="19"/>
      <c r="M1587" s="19"/>
      <c r="N1587" s="50"/>
      <c r="O1587" s="19"/>
      <c r="P1587" s="19" t="s">
        <v>249</v>
      </c>
      <c r="Q1587" s="48">
        <f>DATE(YEAR(OneWeekMtgRatesDataTable75[[#This Row],[asOf]]),MONTH(OneWeekMtgRatesDataTable75[[#This Row],[asOf]]),DAY(OneWeekMtgRatesDataTable75[[#This Row],[asOf]]))</f>
        <v>40269</v>
      </c>
      <c r="R1587" s="19">
        <v>5.21</v>
      </c>
      <c r="S1587" s="19">
        <v>0.6</v>
      </c>
      <c r="T1587" s="19">
        <v>5.1100000000000003</v>
      </c>
    </row>
    <row r="1588" spans="12:20">
      <c r="L1588" s="19"/>
      <c r="M1588" s="19"/>
      <c r="N1588" s="50"/>
      <c r="O1588" s="19"/>
      <c r="P1588" s="19" t="s">
        <v>248</v>
      </c>
      <c r="Q1588" s="48">
        <f>DATE(YEAR(OneWeekMtgRatesDataTable75[[#This Row],[asOf]]),MONTH(OneWeekMtgRatesDataTable75[[#This Row],[asOf]]),DAY(OneWeekMtgRatesDataTable75[[#This Row],[asOf]]))</f>
        <v>40268</v>
      </c>
      <c r="R1588" s="19">
        <v>5.08</v>
      </c>
      <c r="S1588" s="19">
        <v>0.7</v>
      </c>
      <c r="T1588" s="19">
        <v>5.0049999999999999</v>
      </c>
    </row>
    <row r="1589" spans="12:20">
      <c r="L1589" s="19"/>
      <c r="M1589" s="19"/>
      <c r="N1589" s="50"/>
      <c r="O1589" s="19"/>
      <c r="P1589" s="19" t="s">
        <v>247</v>
      </c>
      <c r="Q1589" s="48">
        <f>DATE(YEAR(OneWeekMtgRatesDataTable75[[#This Row],[asOf]]),MONTH(OneWeekMtgRatesDataTable75[[#This Row],[asOf]]),DAY(OneWeekMtgRatesDataTable75[[#This Row],[asOf]]))</f>
        <v>40267</v>
      </c>
      <c r="R1589" s="19">
        <v>5.08</v>
      </c>
      <c r="S1589" s="19">
        <v>0.7</v>
      </c>
      <c r="T1589" s="19">
        <v>5.0049999999999999</v>
      </c>
    </row>
    <row r="1590" spans="12:20">
      <c r="L1590" s="19"/>
      <c r="M1590" s="19"/>
      <c r="N1590" s="50"/>
      <c r="O1590" s="19"/>
      <c r="P1590" s="19" t="s">
        <v>246</v>
      </c>
      <c r="Q1590" s="48">
        <f>DATE(YEAR(OneWeekMtgRatesDataTable75[[#This Row],[asOf]]),MONTH(OneWeekMtgRatesDataTable75[[#This Row],[asOf]]),DAY(OneWeekMtgRatesDataTable75[[#This Row],[asOf]]))</f>
        <v>40266</v>
      </c>
      <c r="R1590" s="19">
        <v>5.08</v>
      </c>
      <c r="S1590" s="19">
        <v>0.7</v>
      </c>
      <c r="T1590" s="19">
        <v>5.0049999999999999</v>
      </c>
    </row>
    <row r="1591" spans="12:20">
      <c r="L1591" s="19"/>
      <c r="M1591" s="19"/>
      <c r="N1591" s="50"/>
      <c r="O1591" s="19"/>
      <c r="P1591" s="19" t="s">
        <v>245</v>
      </c>
      <c r="Q1591" s="48">
        <f>DATE(YEAR(OneWeekMtgRatesDataTable75[[#This Row],[asOf]]),MONTH(OneWeekMtgRatesDataTable75[[#This Row],[asOf]]),DAY(OneWeekMtgRatesDataTable75[[#This Row],[asOf]]))</f>
        <v>40263</v>
      </c>
      <c r="R1591" s="19">
        <v>5.08</v>
      </c>
      <c r="S1591" s="19">
        <v>0.7</v>
      </c>
      <c r="T1591" s="19">
        <v>5.0049999999999999</v>
      </c>
    </row>
    <row r="1592" spans="12:20">
      <c r="L1592" s="19"/>
      <c r="M1592" s="19"/>
      <c r="N1592" s="50"/>
      <c r="O1592" s="19"/>
      <c r="P1592" s="19" t="s">
        <v>244</v>
      </c>
      <c r="Q1592" s="48">
        <f>DATE(YEAR(OneWeekMtgRatesDataTable75[[#This Row],[asOf]]),MONTH(OneWeekMtgRatesDataTable75[[#This Row],[asOf]]),DAY(OneWeekMtgRatesDataTable75[[#This Row],[asOf]]))</f>
        <v>40262</v>
      </c>
      <c r="R1592" s="19">
        <v>5.08</v>
      </c>
      <c r="S1592" s="19">
        <v>0.7</v>
      </c>
      <c r="T1592" s="19">
        <v>5.0049999999999999</v>
      </c>
    </row>
    <row r="1593" spans="12:20">
      <c r="L1593" s="19"/>
      <c r="M1593" s="19"/>
      <c r="N1593" s="50"/>
      <c r="O1593" s="19"/>
      <c r="P1593" s="19" t="s">
        <v>243</v>
      </c>
      <c r="Q1593" s="48">
        <f>DATE(YEAR(OneWeekMtgRatesDataTable75[[#This Row],[asOf]]),MONTH(OneWeekMtgRatesDataTable75[[#This Row],[asOf]]),DAY(OneWeekMtgRatesDataTable75[[#This Row],[asOf]]))</f>
        <v>40261</v>
      </c>
      <c r="R1593" s="19">
        <v>4.99</v>
      </c>
      <c r="S1593" s="19">
        <v>0.6</v>
      </c>
      <c r="T1593" s="19">
        <v>4.8900000000000006</v>
      </c>
    </row>
    <row r="1594" spans="12:20">
      <c r="L1594" s="19"/>
      <c r="M1594" s="19"/>
      <c r="N1594" s="50"/>
      <c r="O1594" s="19"/>
      <c r="P1594" s="19" t="s">
        <v>242</v>
      </c>
      <c r="Q1594" s="48">
        <f>DATE(YEAR(OneWeekMtgRatesDataTable75[[#This Row],[asOf]]),MONTH(OneWeekMtgRatesDataTable75[[#This Row],[asOf]]),DAY(OneWeekMtgRatesDataTable75[[#This Row],[asOf]]))</f>
        <v>40260</v>
      </c>
      <c r="R1594" s="19">
        <v>4.99</v>
      </c>
      <c r="S1594" s="19">
        <v>0.6</v>
      </c>
      <c r="T1594" s="19">
        <v>4.8900000000000006</v>
      </c>
    </row>
    <row r="1595" spans="12:20">
      <c r="L1595" s="19"/>
      <c r="M1595" s="19"/>
      <c r="N1595" s="50"/>
      <c r="O1595" s="19"/>
      <c r="P1595" s="19" t="s">
        <v>241</v>
      </c>
      <c r="Q1595" s="48">
        <f>DATE(YEAR(OneWeekMtgRatesDataTable75[[#This Row],[asOf]]),MONTH(OneWeekMtgRatesDataTable75[[#This Row],[asOf]]),DAY(OneWeekMtgRatesDataTable75[[#This Row],[asOf]]))</f>
        <v>40259</v>
      </c>
      <c r="R1595" s="19">
        <v>4.99</v>
      </c>
      <c r="S1595" s="19">
        <v>0.6</v>
      </c>
      <c r="T1595" s="19">
        <v>4.8900000000000006</v>
      </c>
    </row>
    <row r="1596" spans="12:20">
      <c r="L1596" s="19"/>
      <c r="M1596" s="19"/>
      <c r="N1596" s="50"/>
      <c r="O1596" s="19"/>
      <c r="P1596" s="19" t="s">
        <v>240</v>
      </c>
      <c r="Q1596" s="48">
        <f>DATE(YEAR(OneWeekMtgRatesDataTable75[[#This Row],[asOf]]),MONTH(OneWeekMtgRatesDataTable75[[#This Row],[asOf]]),DAY(OneWeekMtgRatesDataTable75[[#This Row],[asOf]]))</f>
        <v>40256</v>
      </c>
      <c r="R1596" s="19">
        <v>4.99</v>
      </c>
      <c r="S1596" s="19">
        <v>0.6</v>
      </c>
      <c r="T1596" s="19">
        <v>4.8900000000000006</v>
      </c>
    </row>
    <row r="1597" spans="12:20">
      <c r="L1597" s="19"/>
      <c r="M1597" s="19"/>
      <c r="N1597" s="50"/>
      <c r="O1597" s="19"/>
      <c r="P1597" s="19" t="s">
        <v>239</v>
      </c>
      <c r="Q1597" s="48">
        <f>DATE(YEAR(OneWeekMtgRatesDataTable75[[#This Row],[asOf]]),MONTH(OneWeekMtgRatesDataTable75[[#This Row],[asOf]]),DAY(OneWeekMtgRatesDataTable75[[#This Row],[asOf]]))</f>
        <v>40255</v>
      </c>
      <c r="R1597" s="19">
        <v>4.99</v>
      </c>
      <c r="S1597" s="19">
        <v>0.6</v>
      </c>
      <c r="T1597" s="19">
        <v>4.8900000000000006</v>
      </c>
    </row>
    <row r="1598" spans="12:20">
      <c r="L1598" s="19"/>
      <c r="M1598" s="19"/>
      <c r="N1598" s="50"/>
      <c r="O1598" s="19"/>
      <c r="P1598" s="19" t="s">
        <v>238</v>
      </c>
      <c r="Q1598" s="48">
        <f>DATE(YEAR(OneWeekMtgRatesDataTable75[[#This Row],[asOf]]),MONTH(OneWeekMtgRatesDataTable75[[#This Row],[asOf]]),DAY(OneWeekMtgRatesDataTable75[[#This Row],[asOf]]))</f>
        <v>40254</v>
      </c>
      <c r="R1598" s="19">
        <v>4.96</v>
      </c>
      <c r="S1598" s="19">
        <v>0.7</v>
      </c>
      <c r="T1598" s="19">
        <v>4.8849999999999998</v>
      </c>
    </row>
    <row r="1599" spans="12:20">
      <c r="L1599" s="19"/>
      <c r="M1599" s="19"/>
      <c r="N1599" s="50"/>
      <c r="O1599" s="19"/>
      <c r="P1599" s="19" t="s">
        <v>237</v>
      </c>
      <c r="Q1599" s="48">
        <f>DATE(YEAR(OneWeekMtgRatesDataTable75[[#This Row],[asOf]]),MONTH(OneWeekMtgRatesDataTable75[[#This Row],[asOf]]),DAY(OneWeekMtgRatesDataTable75[[#This Row],[asOf]]))</f>
        <v>40253</v>
      </c>
      <c r="R1599" s="19">
        <v>4.96</v>
      </c>
      <c r="S1599" s="19">
        <v>0.7</v>
      </c>
      <c r="T1599" s="19">
        <v>4.8849999999999998</v>
      </c>
    </row>
    <row r="1600" spans="12:20">
      <c r="L1600" s="19"/>
      <c r="M1600" s="19"/>
      <c r="N1600" s="50"/>
      <c r="O1600" s="19"/>
      <c r="P1600" s="19" t="s">
        <v>236</v>
      </c>
      <c r="Q1600" s="48">
        <f>DATE(YEAR(OneWeekMtgRatesDataTable75[[#This Row],[asOf]]),MONTH(OneWeekMtgRatesDataTable75[[#This Row],[asOf]]),DAY(OneWeekMtgRatesDataTable75[[#This Row],[asOf]]))</f>
        <v>40252</v>
      </c>
      <c r="R1600" s="19">
        <v>4.96</v>
      </c>
      <c r="S1600" s="19">
        <v>0.7</v>
      </c>
      <c r="T1600" s="19">
        <v>4.8849999999999998</v>
      </c>
    </row>
    <row r="1601" spans="12:20">
      <c r="L1601" s="19"/>
      <c r="M1601" s="19"/>
      <c r="N1601" s="50"/>
      <c r="O1601" s="19"/>
      <c r="P1601" s="19" t="s">
        <v>235</v>
      </c>
      <c r="Q1601" s="48">
        <f>DATE(YEAR(OneWeekMtgRatesDataTable75[[#This Row],[asOf]]),MONTH(OneWeekMtgRatesDataTable75[[#This Row],[asOf]]),DAY(OneWeekMtgRatesDataTable75[[#This Row],[asOf]]))</f>
        <v>40249</v>
      </c>
      <c r="R1601" s="19">
        <v>4.96</v>
      </c>
      <c r="S1601" s="19">
        <v>0.7</v>
      </c>
      <c r="T1601" s="19">
        <v>4.8849999999999998</v>
      </c>
    </row>
    <row r="1602" spans="12:20">
      <c r="L1602" s="19"/>
      <c r="M1602" s="19"/>
      <c r="N1602" s="50"/>
      <c r="O1602" s="19"/>
      <c r="P1602" s="19" t="s">
        <v>234</v>
      </c>
      <c r="Q1602" s="48">
        <f>DATE(YEAR(OneWeekMtgRatesDataTable75[[#This Row],[asOf]]),MONTH(OneWeekMtgRatesDataTable75[[#This Row],[asOf]]),DAY(OneWeekMtgRatesDataTable75[[#This Row],[asOf]]))</f>
        <v>40248</v>
      </c>
      <c r="R1602" s="19">
        <v>4.96</v>
      </c>
      <c r="S1602" s="19">
        <v>0.7</v>
      </c>
      <c r="T1602" s="19">
        <v>4.8849999999999998</v>
      </c>
    </row>
    <row r="1603" spans="12:20">
      <c r="L1603" s="19"/>
      <c r="M1603" s="19"/>
      <c r="N1603" s="50"/>
      <c r="O1603" s="19"/>
      <c r="P1603" s="19" t="s">
        <v>233</v>
      </c>
      <c r="Q1603" s="48">
        <f>DATE(YEAR(OneWeekMtgRatesDataTable75[[#This Row],[asOf]]),MONTH(OneWeekMtgRatesDataTable75[[#This Row],[asOf]]),DAY(OneWeekMtgRatesDataTable75[[#This Row],[asOf]]))</f>
        <v>40247</v>
      </c>
      <c r="R1603" s="19">
        <v>4.95</v>
      </c>
      <c r="S1603" s="19">
        <v>0.7</v>
      </c>
      <c r="T1603" s="19">
        <v>4.875</v>
      </c>
    </row>
    <row r="1604" spans="12:20">
      <c r="L1604" s="19"/>
      <c r="M1604" s="19"/>
      <c r="N1604" s="50"/>
      <c r="O1604" s="19"/>
      <c r="P1604" s="19" t="s">
        <v>232</v>
      </c>
      <c r="Q1604" s="48">
        <f>DATE(YEAR(OneWeekMtgRatesDataTable75[[#This Row],[asOf]]),MONTH(OneWeekMtgRatesDataTable75[[#This Row],[asOf]]),DAY(OneWeekMtgRatesDataTable75[[#This Row],[asOf]]))</f>
        <v>40246</v>
      </c>
      <c r="R1604" s="19">
        <v>4.95</v>
      </c>
      <c r="S1604" s="19">
        <v>0.7</v>
      </c>
      <c r="T1604" s="19">
        <v>4.875</v>
      </c>
    </row>
    <row r="1605" spans="12:20">
      <c r="L1605" s="19"/>
      <c r="M1605" s="19"/>
      <c r="N1605" s="50"/>
      <c r="O1605" s="19"/>
      <c r="P1605" s="19" t="s">
        <v>231</v>
      </c>
      <c r="Q1605" s="48">
        <f>DATE(YEAR(OneWeekMtgRatesDataTable75[[#This Row],[asOf]]),MONTH(OneWeekMtgRatesDataTable75[[#This Row],[asOf]]),DAY(OneWeekMtgRatesDataTable75[[#This Row],[asOf]]))</f>
        <v>40245</v>
      </c>
      <c r="R1605" s="19">
        <v>4.95</v>
      </c>
      <c r="S1605" s="19">
        <v>0.7</v>
      </c>
      <c r="T1605" s="19">
        <v>4.875</v>
      </c>
    </row>
    <row r="1606" spans="12:20">
      <c r="L1606" s="19"/>
      <c r="M1606" s="19"/>
      <c r="N1606" s="50"/>
      <c r="O1606" s="19"/>
      <c r="P1606" s="19" t="s">
        <v>230</v>
      </c>
      <c r="Q1606" s="48">
        <f>DATE(YEAR(OneWeekMtgRatesDataTable75[[#This Row],[asOf]]),MONTH(OneWeekMtgRatesDataTable75[[#This Row],[asOf]]),DAY(OneWeekMtgRatesDataTable75[[#This Row],[asOf]]))</f>
        <v>40242</v>
      </c>
      <c r="R1606" s="19">
        <v>4.95</v>
      </c>
      <c r="S1606" s="19">
        <v>0.7</v>
      </c>
      <c r="T1606" s="19">
        <v>4.875</v>
      </c>
    </row>
    <row r="1607" spans="12:20">
      <c r="L1607" s="19"/>
      <c r="M1607" s="19"/>
      <c r="N1607" s="50"/>
      <c r="O1607" s="19"/>
      <c r="P1607" s="19" t="s">
        <v>229</v>
      </c>
      <c r="Q1607" s="48">
        <f>DATE(YEAR(OneWeekMtgRatesDataTable75[[#This Row],[asOf]]),MONTH(OneWeekMtgRatesDataTable75[[#This Row],[asOf]]),DAY(OneWeekMtgRatesDataTable75[[#This Row],[asOf]]))</f>
        <v>40241</v>
      </c>
      <c r="R1607" s="19">
        <v>4.95</v>
      </c>
      <c r="S1607" s="19">
        <v>0.7</v>
      </c>
      <c r="T1607" s="19">
        <v>4.875</v>
      </c>
    </row>
    <row r="1608" spans="12:20">
      <c r="L1608" s="19"/>
      <c r="M1608" s="19"/>
      <c r="N1608" s="50"/>
      <c r="P1608" s="19" t="s">
        <v>228</v>
      </c>
      <c r="Q1608" s="48">
        <f>DATE(YEAR(OneWeekMtgRatesDataTable75[[#This Row],[asOf]]),MONTH(OneWeekMtgRatesDataTable75[[#This Row],[asOf]]),DAY(OneWeekMtgRatesDataTable75[[#This Row],[asOf]]))</f>
        <v>40240</v>
      </c>
      <c r="R1608" s="19">
        <v>4.97</v>
      </c>
      <c r="S1608" s="19">
        <v>0.7</v>
      </c>
      <c r="T1608" s="19">
        <v>4.8949999999999996</v>
      </c>
    </row>
    <row r="1609" spans="12:20">
      <c r="L1609" s="19"/>
      <c r="M1609" s="19"/>
      <c r="N1609" s="50"/>
      <c r="P1609" s="19" t="s">
        <v>227</v>
      </c>
      <c r="Q1609" s="48">
        <f>DATE(YEAR(OneWeekMtgRatesDataTable75[[#This Row],[asOf]]),MONTH(OneWeekMtgRatesDataTable75[[#This Row],[asOf]]),DAY(OneWeekMtgRatesDataTable75[[#This Row],[asOf]]))</f>
        <v>40239</v>
      </c>
      <c r="R1609" s="19">
        <v>4.97</v>
      </c>
      <c r="S1609" s="19">
        <v>0.7</v>
      </c>
      <c r="T1609" s="19">
        <v>4.8949999999999996</v>
      </c>
    </row>
    <row r="1610" spans="12:20">
      <c r="L1610" s="19"/>
      <c r="M1610" s="19"/>
      <c r="N1610" s="50"/>
      <c r="P1610" s="19" t="s">
        <v>226</v>
      </c>
      <c r="Q1610" s="48">
        <f>DATE(YEAR(OneWeekMtgRatesDataTable75[[#This Row],[asOf]]),MONTH(OneWeekMtgRatesDataTable75[[#This Row],[asOf]]),DAY(OneWeekMtgRatesDataTable75[[#This Row],[asOf]]))</f>
        <v>40238</v>
      </c>
      <c r="R1610" s="19">
        <v>4.97</v>
      </c>
      <c r="S1610" s="19">
        <v>0.7</v>
      </c>
      <c r="T1610" s="19">
        <v>4.8949999999999996</v>
      </c>
    </row>
    <row r="1611" spans="12:20">
      <c r="L1611" s="19"/>
      <c r="M1611" s="19"/>
      <c r="N1611" s="50"/>
      <c r="P1611" s="19" t="s">
        <v>225</v>
      </c>
      <c r="Q1611" s="48">
        <f>DATE(YEAR(OneWeekMtgRatesDataTable75[[#This Row],[asOf]]),MONTH(OneWeekMtgRatesDataTable75[[#This Row],[asOf]]),DAY(OneWeekMtgRatesDataTable75[[#This Row],[asOf]]))</f>
        <v>40235</v>
      </c>
      <c r="R1611" s="19">
        <v>4.97</v>
      </c>
      <c r="S1611" s="19">
        <v>0.7</v>
      </c>
      <c r="T1611" s="19">
        <v>4.8949999999999996</v>
      </c>
    </row>
    <row r="1612" spans="12:20">
      <c r="L1612" s="19"/>
      <c r="M1612" s="19"/>
      <c r="N1612" s="50"/>
      <c r="P1612" s="19" t="s">
        <v>224</v>
      </c>
      <c r="Q1612" s="48">
        <f>DATE(YEAR(OneWeekMtgRatesDataTable75[[#This Row],[asOf]]),MONTH(OneWeekMtgRatesDataTable75[[#This Row],[asOf]]),DAY(OneWeekMtgRatesDataTable75[[#This Row],[asOf]]))</f>
        <v>40234</v>
      </c>
      <c r="R1612" s="19">
        <v>4.97</v>
      </c>
      <c r="S1612" s="19">
        <v>0.7</v>
      </c>
      <c r="T1612" s="19">
        <v>4.8949999999999996</v>
      </c>
    </row>
    <row r="1613" spans="12:20">
      <c r="L1613" s="19"/>
      <c r="M1613" s="19"/>
      <c r="N1613" s="50"/>
      <c r="P1613" s="19" t="s">
        <v>223</v>
      </c>
      <c r="Q1613" s="48">
        <f>DATE(YEAR(OneWeekMtgRatesDataTable75[[#This Row],[asOf]]),MONTH(OneWeekMtgRatesDataTable75[[#This Row],[asOf]]),DAY(OneWeekMtgRatesDataTable75[[#This Row],[asOf]]))</f>
        <v>40233</v>
      </c>
      <c r="R1613" s="19">
        <v>5.05</v>
      </c>
      <c r="S1613" s="19">
        <v>0.7</v>
      </c>
      <c r="T1613" s="19">
        <v>4.9749999999999996</v>
      </c>
    </row>
    <row r="1614" spans="12:20">
      <c r="L1614" s="19"/>
      <c r="M1614" s="19"/>
      <c r="N1614" s="50"/>
      <c r="P1614" s="19" t="s">
        <v>222</v>
      </c>
      <c r="Q1614" s="48">
        <f>DATE(YEAR(OneWeekMtgRatesDataTable75[[#This Row],[asOf]]),MONTH(OneWeekMtgRatesDataTable75[[#This Row],[asOf]]),DAY(OneWeekMtgRatesDataTable75[[#This Row],[asOf]]))</f>
        <v>40232</v>
      </c>
      <c r="R1614" s="19">
        <v>5.05</v>
      </c>
      <c r="S1614" s="19">
        <v>0.7</v>
      </c>
      <c r="T1614" s="19">
        <v>4.9749999999999996</v>
      </c>
    </row>
    <row r="1615" spans="12:20">
      <c r="L1615" s="19"/>
      <c r="M1615" s="19"/>
      <c r="N1615" s="50"/>
      <c r="P1615" s="19" t="s">
        <v>221</v>
      </c>
      <c r="Q1615" s="48">
        <f>DATE(YEAR(OneWeekMtgRatesDataTable75[[#This Row],[asOf]]),MONTH(OneWeekMtgRatesDataTable75[[#This Row],[asOf]]),DAY(OneWeekMtgRatesDataTable75[[#This Row],[asOf]]))</f>
        <v>40231</v>
      </c>
      <c r="R1615" s="19">
        <v>5.05</v>
      </c>
      <c r="S1615" s="19">
        <v>0.7</v>
      </c>
      <c r="T1615" s="19">
        <v>4.9749999999999996</v>
      </c>
    </row>
    <row r="1616" spans="12:20">
      <c r="L1616" s="19"/>
      <c r="M1616" s="19"/>
      <c r="N1616" s="50"/>
      <c r="P1616" s="19" t="s">
        <v>220</v>
      </c>
      <c r="Q1616" s="48">
        <f>DATE(YEAR(OneWeekMtgRatesDataTable75[[#This Row],[asOf]]),MONTH(OneWeekMtgRatesDataTable75[[#This Row],[asOf]]),DAY(OneWeekMtgRatesDataTable75[[#This Row],[asOf]]))</f>
        <v>40228</v>
      </c>
      <c r="R1616" s="19">
        <v>5.05</v>
      </c>
      <c r="S1616" s="19">
        <v>0.7</v>
      </c>
      <c r="T1616" s="19">
        <v>4.9749999999999996</v>
      </c>
    </row>
    <row r="1617" spans="12:20">
      <c r="L1617" s="19"/>
      <c r="M1617" s="19"/>
      <c r="N1617" s="50"/>
      <c r="P1617" s="19" t="s">
        <v>219</v>
      </c>
      <c r="Q1617" s="48">
        <f>DATE(YEAR(OneWeekMtgRatesDataTable75[[#This Row],[asOf]]),MONTH(OneWeekMtgRatesDataTable75[[#This Row],[asOf]]),DAY(OneWeekMtgRatesDataTable75[[#This Row],[asOf]]))</f>
        <v>40227</v>
      </c>
      <c r="R1617" s="19">
        <v>5.05</v>
      </c>
      <c r="S1617" s="19">
        <v>0.7</v>
      </c>
      <c r="T1617" s="19">
        <v>4.9749999999999996</v>
      </c>
    </row>
    <row r="1618" spans="12:20">
      <c r="L1618" s="19"/>
      <c r="M1618" s="19"/>
      <c r="N1618" s="50"/>
      <c r="P1618" s="19" t="s">
        <v>218</v>
      </c>
      <c r="Q1618" s="48">
        <f>DATE(YEAR(OneWeekMtgRatesDataTable75[[#This Row],[asOf]]),MONTH(OneWeekMtgRatesDataTable75[[#This Row],[asOf]]),DAY(OneWeekMtgRatesDataTable75[[#This Row],[asOf]]))</f>
        <v>40226</v>
      </c>
      <c r="R1618" s="19">
        <v>4.93</v>
      </c>
      <c r="S1618" s="19">
        <v>0.7</v>
      </c>
      <c r="T1618" s="19">
        <v>4.8549999999999995</v>
      </c>
    </row>
    <row r="1619" spans="12:20">
      <c r="L1619" s="19"/>
      <c r="M1619" s="19"/>
      <c r="N1619" s="50"/>
      <c r="P1619" s="19" t="s">
        <v>217</v>
      </c>
      <c r="Q1619" s="48">
        <f>DATE(YEAR(OneWeekMtgRatesDataTable75[[#This Row],[asOf]]),MONTH(OneWeekMtgRatesDataTable75[[#This Row],[asOf]]),DAY(OneWeekMtgRatesDataTable75[[#This Row],[asOf]]))</f>
        <v>40225</v>
      </c>
      <c r="R1619" s="19">
        <v>4.93</v>
      </c>
      <c r="S1619" s="19">
        <v>0.7</v>
      </c>
      <c r="T1619" s="19">
        <v>4.8549999999999995</v>
      </c>
    </row>
    <row r="1620" spans="12:20">
      <c r="L1620" s="19"/>
      <c r="M1620" s="19"/>
      <c r="N1620" s="50"/>
      <c r="P1620" s="19" t="s">
        <v>216</v>
      </c>
      <c r="Q1620" s="48">
        <f>DATE(YEAR(OneWeekMtgRatesDataTable75[[#This Row],[asOf]]),MONTH(OneWeekMtgRatesDataTable75[[#This Row],[asOf]]),DAY(OneWeekMtgRatesDataTable75[[#This Row],[asOf]]))</f>
        <v>40221</v>
      </c>
      <c r="R1620" s="19">
        <v>4.93</v>
      </c>
      <c r="S1620" s="19">
        <v>0.7</v>
      </c>
      <c r="T1620" s="19">
        <v>4.8549999999999995</v>
      </c>
    </row>
    <row r="1621" spans="12:20">
      <c r="L1621" s="19"/>
      <c r="M1621" s="19"/>
      <c r="N1621" s="50"/>
      <c r="P1621" s="19" t="s">
        <v>215</v>
      </c>
      <c r="Q1621" s="48">
        <f>DATE(YEAR(OneWeekMtgRatesDataTable75[[#This Row],[asOf]]),MONTH(OneWeekMtgRatesDataTable75[[#This Row],[asOf]]),DAY(OneWeekMtgRatesDataTable75[[#This Row],[asOf]]))</f>
        <v>40220</v>
      </c>
      <c r="R1621" s="19">
        <v>4.93</v>
      </c>
      <c r="S1621" s="19">
        <v>0.7</v>
      </c>
      <c r="T1621" s="19">
        <v>4.8549999999999995</v>
      </c>
    </row>
    <row r="1622" spans="12:20">
      <c r="L1622" s="19"/>
      <c r="M1622" s="19"/>
      <c r="N1622" s="50"/>
      <c r="P1622" s="19" t="s">
        <v>214</v>
      </c>
      <c r="Q1622" s="48">
        <f>DATE(YEAR(OneWeekMtgRatesDataTable75[[#This Row],[asOf]]),MONTH(OneWeekMtgRatesDataTable75[[#This Row],[asOf]]),DAY(OneWeekMtgRatesDataTable75[[#This Row],[asOf]]))</f>
        <v>40219</v>
      </c>
      <c r="R1622" s="19">
        <v>4.97</v>
      </c>
      <c r="S1622" s="19">
        <v>0.7</v>
      </c>
      <c r="T1622" s="19">
        <v>4.8949999999999996</v>
      </c>
    </row>
    <row r="1623" spans="12:20">
      <c r="L1623" s="19"/>
      <c r="M1623" s="19"/>
      <c r="N1623" s="50"/>
      <c r="P1623" s="19" t="s">
        <v>213</v>
      </c>
      <c r="Q1623" s="48">
        <f>DATE(YEAR(OneWeekMtgRatesDataTable75[[#This Row],[asOf]]),MONTH(OneWeekMtgRatesDataTable75[[#This Row],[asOf]]),DAY(OneWeekMtgRatesDataTable75[[#This Row],[asOf]]))</f>
        <v>40218</v>
      </c>
      <c r="R1623" s="19">
        <v>4.97</v>
      </c>
      <c r="S1623" s="19">
        <v>0.7</v>
      </c>
      <c r="T1623" s="19">
        <v>4.8949999999999996</v>
      </c>
    </row>
    <row r="1624" spans="12:20">
      <c r="L1624" s="19"/>
      <c r="M1624" s="19"/>
      <c r="N1624" s="50"/>
      <c r="P1624" s="19" t="s">
        <v>212</v>
      </c>
      <c r="Q1624" s="48">
        <f>DATE(YEAR(OneWeekMtgRatesDataTable75[[#This Row],[asOf]]),MONTH(OneWeekMtgRatesDataTable75[[#This Row],[asOf]]),DAY(OneWeekMtgRatesDataTable75[[#This Row],[asOf]]))</f>
        <v>40217</v>
      </c>
      <c r="R1624" s="19">
        <v>4.97</v>
      </c>
      <c r="S1624" s="19">
        <v>0.7</v>
      </c>
      <c r="T1624" s="19">
        <v>4.8949999999999996</v>
      </c>
    </row>
    <row r="1625" spans="12:20">
      <c r="L1625" s="19"/>
      <c r="M1625" s="19"/>
      <c r="N1625" s="50"/>
      <c r="P1625" s="19" t="s">
        <v>211</v>
      </c>
      <c r="Q1625" s="48">
        <f>DATE(YEAR(OneWeekMtgRatesDataTable75[[#This Row],[asOf]]),MONTH(OneWeekMtgRatesDataTable75[[#This Row],[asOf]]),DAY(OneWeekMtgRatesDataTable75[[#This Row],[asOf]]))</f>
        <v>40214</v>
      </c>
      <c r="R1625" s="19">
        <v>4.97</v>
      </c>
      <c r="S1625" s="19">
        <v>0.7</v>
      </c>
      <c r="T1625" s="19">
        <v>4.8949999999999996</v>
      </c>
    </row>
    <row r="1626" spans="12:20">
      <c r="L1626" s="19"/>
      <c r="M1626" s="19"/>
      <c r="N1626" s="50"/>
      <c r="P1626" s="19" t="s">
        <v>210</v>
      </c>
      <c r="Q1626" s="48">
        <f>DATE(YEAR(OneWeekMtgRatesDataTable75[[#This Row],[asOf]]),MONTH(OneWeekMtgRatesDataTable75[[#This Row],[asOf]]),DAY(OneWeekMtgRatesDataTable75[[#This Row],[asOf]]))</f>
        <v>40213</v>
      </c>
      <c r="R1626" s="19">
        <v>4.97</v>
      </c>
      <c r="S1626" s="19">
        <v>0.7</v>
      </c>
      <c r="T1626" s="19">
        <v>4.8949999999999996</v>
      </c>
    </row>
    <row r="1627" spans="12:20">
      <c r="L1627" s="19"/>
      <c r="M1627" s="19"/>
      <c r="N1627" s="50"/>
      <c r="P1627" s="19" t="s">
        <v>209</v>
      </c>
      <c r="Q1627" s="48">
        <f>DATE(YEAR(OneWeekMtgRatesDataTable75[[#This Row],[asOf]]),MONTH(OneWeekMtgRatesDataTable75[[#This Row],[asOf]]),DAY(OneWeekMtgRatesDataTable75[[#This Row],[asOf]]))</f>
        <v>40212</v>
      </c>
      <c r="R1627" s="19">
        <v>5.01</v>
      </c>
      <c r="S1627" s="19">
        <v>0.7</v>
      </c>
      <c r="T1627" s="19">
        <v>4.9349999999999996</v>
      </c>
    </row>
    <row r="1628" spans="12:20">
      <c r="L1628" s="19"/>
      <c r="M1628" s="19"/>
      <c r="N1628" s="50"/>
      <c r="P1628" s="19" t="s">
        <v>208</v>
      </c>
      <c r="Q1628" s="48">
        <f>DATE(YEAR(OneWeekMtgRatesDataTable75[[#This Row],[asOf]]),MONTH(OneWeekMtgRatesDataTable75[[#This Row],[asOf]]),DAY(OneWeekMtgRatesDataTable75[[#This Row],[asOf]]))</f>
        <v>40211</v>
      </c>
      <c r="R1628" s="19">
        <v>5.01</v>
      </c>
      <c r="S1628" s="19">
        <v>0.7</v>
      </c>
      <c r="T1628" s="19">
        <v>4.9349999999999996</v>
      </c>
    </row>
    <row r="1629" spans="12:20">
      <c r="L1629" s="19"/>
      <c r="M1629" s="19"/>
      <c r="N1629" s="50"/>
      <c r="P1629" s="19" t="s">
        <v>207</v>
      </c>
      <c r="Q1629" s="48">
        <f>DATE(YEAR(OneWeekMtgRatesDataTable75[[#This Row],[asOf]]),MONTH(OneWeekMtgRatesDataTable75[[#This Row],[asOf]]),DAY(OneWeekMtgRatesDataTable75[[#This Row],[asOf]]))</f>
        <v>40210</v>
      </c>
      <c r="R1629" s="19">
        <v>5.01</v>
      </c>
      <c r="S1629" s="19">
        <v>0.7</v>
      </c>
      <c r="T1629" s="19">
        <v>4.9349999999999996</v>
      </c>
    </row>
    <row r="1630" spans="12:20">
      <c r="L1630" s="19"/>
      <c r="M1630" s="19"/>
      <c r="N1630" s="50"/>
      <c r="P1630" s="19" t="s">
        <v>206</v>
      </c>
      <c r="Q1630" s="48">
        <f>DATE(YEAR(OneWeekMtgRatesDataTable75[[#This Row],[asOf]]),MONTH(OneWeekMtgRatesDataTable75[[#This Row],[asOf]]),DAY(OneWeekMtgRatesDataTable75[[#This Row],[asOf]]))</f>
        <v>40207</v>
      </c>
      <c r="R1630" s="19">
        <v>5.01</v>
      </c>
      <c r="S1630" s="19">
        <v>0.7</v>
      </c>
      <c r="T1630" s="19">
        <v>4.9349999999999996</v>
      </c>
    </row>
    <row r="1631" spans="12:20">
      <c r="L1631" s="19"/>
      <c r="M1631" s="19"/>
      <c r="N1631" s="50"/>
      <c r="P1631" s="19" t="s">
        <v>205</v>
      </c>
      <c r="Q1631" s="48">
        <f>DATE(YEAR(OneWeekMtgRatesDataTable75[[#This Row],[asOf]]),MONTH(OneWeekMtgRatesDataTable75[[#This Row],[asOf]]),DAY(OneWeekMtgRatesDataTable75[[#This Row],[asOf]]))</f>
        <v>40206</v>
      </c>
      <c r="R1631" s="19">
        <v>5.01</v>
      </c>
      <c r="S1631" s="19">
        <v>0.7</v>
      </c>
      <c r="T1631" s="19">
        <v>4.9349999999999996</v>
      </c>
    </row>
    <row r="1632" spans="12:20">
      <c r="L1632" s="19"/>
      <c r="M1632" s="19"/>
      <c r="N1632" s="50"/>
      <c r="P1632" s="19" t="s">
        <v>204</v>
      </c>
      <c r="Q1632" s="48">
        <f>DATE(YEAR(OneWeekMtgRatesDataTable75[[#This Row],[asOf]]),MONTH(OneWeekMtgRatesDataTable75[[#This Row],[asOf]]),DAY(OneWeekMtgRatesDataTable75[[#This Row],[asOf]]))</f>
        <v>40205</v>
      </c>
      <c r="R1632" s="19">
        <v>4.9800000000000004</v>
      </c>
      <c r="S1632" s="19">
        <v>0.6</v>
      </c>
      <c r="T1632" s="19">
        <v>4.8800000000000008</v>
      </c>
    </row>
    <row r="1633" spans="12:20">
      <c r="L1633" s="19"/>
      <c r="M1633" s="19"/>
      <c r="N1633" s="50"/>
      <c r="P1633" s="19" t="s">
        <v>203</v>
      </c>
      <c r="Q1633" s="48">
        <f>DATE(YEAR(OneWeekMtgRatesDataTable75[[#This Row],[asOf]]),MONTH(OneWeekMtgRatesDataTable75[[#This Row],[asOf]]),DAY(OneWeekMtgRatesDataTable75[[#This Row],[asOf]]))</f>
        <v>40204</v>
      </c>
      <c r="R1633" s="19">
        <v>4.9800000000000004</v>
      </c>
      <c r="S1633" s="19">
        <v>0.6</v>
      </c>
      <c r="T1633" s="19">
        <v>4.8800000000000008</v>
      </c>
    </row>
    <row r="1634" spans="12:20">
      <c r="L1634" s="19"/>
      <c r="M1634" s="19"/>
      <c r="N1634" s="50"/>
      <c r="P1634" s="19" t="s">
        <v>202</v>
      </c>
      <c r="Q1634" s="48">
        <f>DATE(YEAR(OneWeekMtgRatesDataTable75[[#This Row],[asOf]]),MONTH(OneWeekMtgRatesDataTable75[[#This Row],[asOf]]),DAY(OneWeekMtgRatesDataTable75[[#This Row],[asOf]]))</f>
        <v>40203</v>
      </c>
      <c r="R1634" s="19">
        <v>4.9800000000000004</v>
      </c>
      <c r="S1634" s="19">
        <v>0.6</v>
      </c>
      <c r="T1634" s="19">
        <v>4.8800000000000008</v>
      </c>
    </row>
    <row r="1635" spans="12:20">
      <c r="L1635" s="19"/>
      <c r="M1635" s="19"/>
      <c r="N1635" s="50"/>
      <c r="P1635" s="19" t="s">
        <v>201</v>
      </c>
      <c r="Q1635" s="48">
        <f>DATE(YEAR(OneWeekMtgRatesDataTable75[[#This Row],[asOf]]),MONTH(OneWeekMtgRatesDataTable75[[#This Row],[asOf]]),DAY(OneWeekMtgRatesDataTable75[[#This Row],[asOf]]))</f>
        <v>40200</v>
      </c>
      <c r="R1635" s="19">
        <v>4.9800000000000004</v>
      </c>
      <c r="S1635" s="19">
        <v>0.6</v>
      </c>
      <c r="T1635" s="19">
        <v>4.8800000000000008</v>
      </c>
    </row>
    <row r="1636" spans="12:20">
      <c r="L1636" s="19"/>
      <c r="M1636" s="19"/>
      <c r="N1636" s="50"/>
      <c r="P1636" s="19" t="s">
        <v>200</v>
      </c>
      <c r="Q1636" s="48">
        <f>DATE(YEAR(OneWeekMtgRatesDataTable75[[#This Row],[asOf]]),MONTH(OneWeekMtgRatesDataTable75[[#This Row],[asOf]]),DAY(OneWeekMtgRatesDataTable75[[#This Row],[asOf]]))</f>
        <v>40199</v>
      </c>
      <c r="R1636" s="19">
        <v>4.9800000000000004</v>
      </c>
      <c r="S1636" s="19">
        <v>0.6</v>
      </c>
      <c r="T1636" s="19">
        <v>4.8800000000000008</v>
      </c>
    </row>
    <row r="1637" spans="12:20">
      <c r="L1637" s="19"/>
      <c r="M1637" s="19"/>
      <c r="N1637" s="50"/>
      <c r="P1637" s="19" t="s">
        <v>199</v>
      </c>
      <c r="Q1637" s="48">
        <f>DATE(YEAR(OneWeekMtgRatesDataTable75[[#This Row],[asOf]]),MONTH(OneWeekMtgRatesDataTable75[[#This Row],[asOf]]),DAY(OneWeekMtgRatesDataTable75[[#This Row],[asOf]]))</f>
        <v>40198</v>
      </c>
      <c r="R1637" s="19">
        <v>4.99</v>
      </c>
      <c r="S1637" s="19">
        <v>0.7</v>
      </c>
      <c r="T1637" s="19">
        <v>4.915</v>
      </c>
    </row>
    <row r="1638" spans="12:20">
      <c r="L1638" s="19"/>
      <c r="M1638" s="19"/>
      <c r="N1638" s="50"/>
      <c r="P1638" s="19" t="s">
        <v>198</v>
      </c>
      <c r="Q1638" s="48">
        <f>DATE(YEAR(OneWeekMtgRatesDataTable75[[#This Row],[asOf]]),MONTH(OneWeekMtgRatesDataTable75[[#This Row],[asOf]]),DAY(OneWeekMtgRatesDataTable75[[#This Row],[asOf]]))</f>
        <v>40197</v>
      </c>
      <c r="R1638" s="19">
        <v>4.99</v>
      </c>
      <c r="S1638" s="19">
        <v>0.7</v>
      </c>
      <c r="T1638" s="19">
        <v>4.915</v>
      </c>
    </row>
    <row r="1639" spans="12:20">
      <c r="L1639" s="19"/>
      <c r="M1639" s="19"/>
      <c r="N1639" s="50"/>
      <c r="P1639" s="19" t="s">
        <v>197</v>
      </c>
      <c r="Q1639" s="48">
        <f>DATE(YEAR(OneWeekMtgRatesDataTable75[[#This Row],[asOf]]),MONTH(OneWeekMtgRatesDataTable75[[#This Row],[asOf]]),DAY(OneWeekMtgRatesDataTable75[[#This Row],[asOf]]))</f>
        <v>40193</v>
      </c>
      <c r="R1639" s="19">
        <v>4.99</v>
      </c>
      <c r="S1639" s="19">
        <v>0.7</v>
      </c>
      <c r="T1639" s="19">
        <v>4.915</v>
      </c>
    </row>
    <row r="1640" spans="12:20">
      <c r="L1640" s="19"/>
      <c r="M1640" s="19"/>
      <c r="N1640" s="50"/>
      <c r="P1640" s="19" t="s">
        <v>196</v>
      </c>
      <c r="Q1640" s="48">
        <f>DATE(YEAR(OneWeekMtgRatesDataTable75[[#This Row],[asOf]]),MONTH(OneWeekMtgRatesDataTable75[[#This Row],[asOf]]),DAY(OneWeekMtgRatesDataTable75[[#This Row],[asOf]]))</f>
        <v>40192</v>
      </c>
      <c r="R1640" s="19">
        <v>4.99</v>
      </c>
      <c r="S1640" s="19">
        <v>0.7</v>
      </c>
      <c r="T1640" s="19">
        <v>4.915</v>
      </c>
    </row>
    <row r="1641" spans="12:20">
      <c r="L1641" s="19"/>
      <c r="M1641" s="19"/>
      <c r="N1641" s="50"/>
      <c r="P1641" s="19" t="s">
        <v>195</v>
      </c>
      <c r="Q1641" s="48">
        <f>DATE(YEAR(OneWeekMtgRatesDataTable75[[#This Row],[asOf]]),MONTH(OneWeekMtgRatesDataTable75[[#This Row],[asOf]]),DAY(OneWeekMtgRatesDataTable75[[#This Row],[asOf]]))</f>
        <v>40191</v>
      </c>
      <c r="R1641" s="19">
        <v>5.0599999999999996</v>
      </c>
      <c r="S1641" s="19">
        <v>0.7</v>
      </c>
      <c r="T1641" s="19">
        <v>4.9849999999999994</v>
      </c>
    </row>
    <row r="1642" spans="12:20">
      <c r="L1642" s="19"/>
      <c r="M1642" s="19"/>
      <c r="N1642" s="50"/>
      <c r="P1642" s="19" t="s">
        <v>194</v>
      </c>
      <c r="Q1642" s="48">
        <f>DATE(YEAR(OneWeekMtgRatesDataTable75[[#This Row],[asOf]]),MONTH(OneWeekMtgRatesDataTable75[[#This Row],[asOf]]),DAY(OneWeekMtgRatesDataTable75[[#This Row],[asOf]]))</f>
        <v>40190</v>
      </c>
      <c r="R1642" s="19">
        <v>5.0599999999999996</v>
      </c>
      <c r="S1642" s="19">
        <v>0.7</v>
      </c>
      <c r="T1642" s="19">
        <v>4.9849999999999994</v>
      </c>
    </row>
    <row r="1643" spans="12:20">
      <c r="L1643" s="19"/>
      <c r="M1643" s="19"/>
      <c r="N1643" s="50"/>
      <c r="P1643" s="19" t="s">
        <v>193</v>
      </c>
      <c r="Q1643" s="48">
        <f>DATE(YEAR(OneWeekMtgRatesDataTable75[[#This Row],[asOf]]),MONTH(OneWeekMtgRatesDataTable75[[#This Row],[asOf]]),DAY(OneWeekMtgRatesDataTable75[[#This Row],[asOf]]))</f>
        <v>40189</v>
      </c>
      <c r="R1643" s="19">
        <v>5.0599999999999996</v>
      </c>
      <c r="S1643" s="19">
        <v>0.7</v>
      </c>
      <c r="T1643" s="19">
        <v>4.9849999999999994</v>
      </c>
    </row>
    <row r="1644" spans="12:20">
      <c r="L1644" s="19"/>
      <c r="M1644" s="19"/>
      <c r="N1644" s="50"/>
      <c r="P1644" s="19" t="s">
        <v>192</v>
      </c>
      <c r="Q1644" s="48">
        <f>DATE(YEAR(OneWeekMtgRatesDataTable75[[#This Row],[asOf]]),MONTH(OneWeekMtgRatesDataTable75[[#This Row],[asOf]]),DAY(OneWeekMtgRatesDataTable75[[#This Row],[asOf]]))</f>
        <v>40186</v>
      </c>
      <c r="R1644" s="19">
        <v>5.0599999999999996</v>
      </c>
      <c r="S1644" s="19">
        <v>0.7</v>
      </c>
      <c r="T1644" s="19">
        <v>4.9849999999999994</v>
      </c>
    </row>
    <row r="1645" spans="12:20">
      <c r="L1645" s="19"/>
      <c r="M1645" s="19"/>
      <c r="N1645" s="50"/>
      <c r="P1645" s="19" t="s">
        <v>191</v>
      </c>
      <c r="Q1645" s="48">
        <f>DATE(YEAR(OneWeekMtgRatesDataTable75[[#This Row],[asOf]]),MONTH(OneWeekMtgRatesDataTable75[[#This Row],[asOf]]),DAY(OneWeekMtgRatesDataTable75[[#This Row],[asOf]]))</f>
        <v>40185</v>
      </c>
      <c r="R1645" s="19">
        <v>5.0599999999999996</v>
      </c>
      <c r="S1645" s="19">
        <v>0.7</v>
      </c>
      <c r="T1645" s="19">
        <v>4.9849999999999994</v>
      </c>
    </row>
    <row r="1646" spans="12:20">
      <c r="L1646" s="19"/>
      <c r="M1646" s="19"/>
      <c r="N1646" s="50"/>
      <c r="P1646" s="19" t="s">
        <v>190</v>
      </c>
      <c r="Q1646" s="48">
        <f>DATE(YEAR(OneWeekMtgRatesDataTable75[[#This Row],[asOf]]),MONTH(OneWeekMtgRatesDataTable75[[#This Row],[asOf]]),DAY(OneWeekMtgRatesDataTable75[[#This Row],[asOf]]))</f>
        <v>40184</v>
      </c>
      <c r="R1646" s="19">
        <v>5.09</v>
      </c>
      <c r="S1646" s="19">
        <v>0.7</v>
      </c>
      <c r="T1646" s="19">
        <v>5.0149999999999997</v>
      </c>
    </row>
    <row r="1647" spans="12:20">
      <c r="L1647" s="19"/>
      <c r="M1647" s="19"/>
      <c r="N1647" s="50"/>
      <c r="P1647" s="19" t="s">
        <v>189</v>
      </c>
      <c r="Q1647" s="48">
        <f>DATE(YEAR(OneWeekMtgRatesDataTable75[[#This Row],[asOf]]),MONTH(OneWeekMtgRatesDataTable75[[#This Row],[asOf]]),DAY(OneWeekMtgRatesDataTable75[[#This Row],[asOf]]))</f>
        <v>40183</v>
      </c>
      <c r="R1647" s="19">
        <v>5.09</v>
      </c>
      <c r="S1647" s="19">
        <v>0.7</v>
      </c>
      <c r="T1647" s="19">
        <v>5.0149999999999997</v>
      </c>
    </row>
    <row r="1648" spans="12:20">
      <c r="L1648" s="19"/>
      <c r="M1648" s="19"/>
      <c r="N1648" s="50"/>
      <c r="P1648" s="19" t="s">
        <v>188</v>
      </c>
      <c r="Q1648" s="48">
        <f>DATE(YEAR(OneWeekMtgRatesDataTable75[[#This Row],[asOf]]),MONTH(OneWeekMtgRatesDataTable75[[#This Row],[asOf]]),DAY(OneWeekMtgRatesDataTable75[[#This Row],[asOf]]))</f>
        <v>40182</v>
      </c>
      <c r="R1648" s="19">
        <v>5.09</v>
      </c>
      <c r="S1648" s="19">
        <v>0.7</v>
      </c>
      <c r="T1648" s="19">
        <v>5.0149999999999997</v>
      </c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19"/>
      <c r="M1688" s="19"/>
      <c r="N1688" s="50"/>
    </row>
    <row r="1689" spans="12:14">
      <c r="L1689" s="19"/>
      <c r="M1689" s="19"/>
      <c r="N1689" s="50"/>
    </row>
    <row r="1690" spans="12:14">
      <c r="L1690" s="19"/>
      <c r="M1690" s="19"/>
      <c r="N1690" s="50"/>
    </row>
    <row r="1691" spans="12:14">
      <c r="L1691" s="19"/>
      <c r="M1691" s="19"/>
      <c r="N1691" s="50"/>
    </row>
    <row r="1692" spans="12:14">
      <c r="L1692" s="19"/>
      <c r="M1692" s="19"/>
      <c r="N1692" s="50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30"/>
      <c r="M1711" s="30"/>
      <c r="N1711" s="52"/>
    </row>
    <row r="1712" spans="12:14">
      <c r="L1712" s="30"/>
      <c r="M1712" s="30"/>
      <c r="N1712" s="52"/>
    </row>
    <row r="1713" spans="12:14">
      <c r="L1713" s="30"/>
      <c r="M1713" s="30"/>
      <c r="N1713" s="52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666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1946</v>
      </c>
      <c r="D3" s="48">
        <f>DATE(YEAR(OneWeekMtgRatesDataTable756[[#This Row],[asofdate]]),MONTH(OneWeekMtgRatesDataTable756[[#This Row],[asofdate]]),DAY(OneWeekMtgRatesDataTable756[[#This Row],[asofdate]]))</f>
        <v>42584</v>
      </c>
      <c r="E3" s="48" t="s">
        <v>11</v>
      </c>
      <c r="F3" s="55">
        <v>0.49390000000000001</v>
      </c>
    </row>
    <row r="4" spans="2:6">
      <c r="B4" s="48" t="s">
        <v>20</v>
      </c>
      <c r="C4" s="48" t="s">
        <v>1947</v>
      </c>
      <c r="D4" s="48">
        <f>DATE(YEAR(OneWeekMtgRatesDataTable756[[#This Row],[asofdate]]),MONTH(OneWeekMtgRatesDataTable756[[#This Row],[asofdate]]),DAY(OneWeekMtgRatesDataTable756[[#This Row],[asofdate]]))</f>
        <v>42583</v>
      </c>
      <c r="E4" s="48" t="s">
        <v>11</v>
      </c>
      <c r="F4" s="55">
        <v>0.49390000000000001</v>
      </c>
    </row>
    <row r="5" spans="2:6">
      <c r="B5" s="48" t="s">
        <v>20</v>
      </c>
      <c r="C5" s="48" t="s">
        <v>1948</v>
      </c>
      <c r="D5" s="48">
        <f>DATE(YEAR(OneWeekMtgRatesDataTable756[[#This Row],[asofdate]]),MONTH(OneWeekMtgRatesDataTable756[[#This Row],[asofdate]]),DAY(OneWeekMtgRatesDataTable756[[#This Row],[asofdate]]))</f>
        <v>42580</v>
      </c>
      <c r="E5" s="48" t="s">
        <v>11</v>
      </c>
      <c r="F5" s="55">
        <v>0.49590000000000001</v>
      </c>
    </row>
    <row r="6" spans="2:6">
      <c r="B6" s="48" t="s">
        <v>20</v>
      </c>
      <c r="C6" s="48" t="s">
        <v>1949</v>
      </c>
      <c r="D6" s="48">
        <f>DATE(YEAR(OneWeekMtgRatesDataTable756[[#This Row],[asofdate]]),MONTH(OneWeekMtgRatesDataTable756[[#This Row],[asofdate]]),DAY(OneWeekMtgRatesDataTable756[[#This Row],[asofdate]]))</f>
        <v>42579</v>
      </c>
      <c r="E6" s="48" t="s">
        <v>11</v>
      </c>
      <c r="F6" s="55">
        <v>0.49390000000000001</v>
      </c>
    </row>
    <row r="7" spans="2:6">
      <c r="B7" s="48" t="s">
        <v>20</v>
      </c>
      <c r="C7" s="48" t="s">
        <v>1950</v>
      </c>
      <c r="D7" s="48">
        <f>DATE(YEAR(OneWeekMtgRatesDataTable756[[#This Row],[asofdate]]),MONTH(OneWeekMtgRatesDataTable756[[#This Row],[asofdate]]),DAY(OneWeekMtgRatesDataTable756[[#This Row],[asofdate]]))</f>
        <v>42578</v>
      </c>
      <c r="E7" s="48" t="s">
        <v>11</v>
      </c>
      <c r="F7" s="55">
        <v>0.49564999999999998</v>
      </c>
    </row>
    <row r="8" spans="2:6">
      <c r="B8" s="48" t="s">
        <v>20</v>
      </c>
      <c r="C8" s="48" t="s">
        <v>1951</v>
      </c>
      <c r="D8" s="48">
        <f>DATE(YEAR(OneWeekMtgRatesDataTable756[[#This Row],[asofdate]]),MONTH(OneWeekMtgRatesDataTable756[[#This Row],[asofdate]]),DAY(OneWeekMtgRatesDataTable756[[#This Row],[asofdate]]))</f>
        <v>42577</v>
      </c>
      <c r="E8" s="48" t="s">
        <v>11</v>
      </c>
      <c r="F8" s="55">
        <v>0.49264999999999998</v>
      </c>
    </row>
    <row r="9" spans="2:6">
      <c r="B9" s="48" t="s">
        <v>20</v>
      </c>
      <c r="C9" s="48" t="s">
        <v>1952</v>
      </c>
      <c r="D9" s="48">
        <f>DATE(YEAR(OneWeekMtgRatesDataTable756[[#This Row],[asofdate]]),MONTH(OneWeekMtgRatesDataTable756[[#This Row],[asofdate]]),DAY(OneWeekMtgRatesDataTable756[[#This Row],[asofdate]]))</f>
        <v>42576</v>
      </c>
      <c r="E9" s="48" t="s">
        <v>11</v>
      </c>
      <c r="F9" s="55">
        <v>0.4909</v>
      </c>
    </row>
    <row r="10" spans="2:6">
      <c r="B10" s="48" t="s">
        <v>20</v>
      </c>
      <c r="C10" s="48" t="s">
        <v>1953</v>
      </c>
      <c r="D10" s="48">
        <f>DATE(YEAR(OneWeekMtgRatesDataTable756[[#This Row],[asofdate]]),MONTH(OneWeekMtgRatesDataTable756[[#This Row],[asofdate]]),DAY(OneWeekMtgRatesDataTable756[[#This Row],[asofdate]]))</f>
        <v>42573</v>
      </c>
      <c r="E10" s="48" t="s">
        <v>11</v>
      </c>
      <c r="F10" s="55">
        <v>0.4904</v>
      </c>
    </row>
    <row r="11" spans="2:6">
      <c r="B11" s="48" t="s">
        <v>20</v>
      </c>
      <c r="C11" s="48" t="s">
        <v>1954</v>
      </c>
      <c r="D11" s="48">
        <f>DATE(YEAR(OneWeekMtgRatesDataTable756[[#This Row],[asofdate]]),MONTH(OneWeekMtgRatesDataTable756[[#This Row],[asofdate]]),DAY(OneWeekMtgRatesDataTable756[[#This Row],[asofdate]]))</f>
        <v>42572</v>
      </c>
      <c r="E11" s="48" t="s">
        <v>11</v>
      </c>
      <c r="F11" s="55">
        <v>0.4879</v>
      </c>
    </row>
    <row r="12" spans="2:6">
      <c r="B12" s="48" t="s">
        <v>20</v>
      </c>
      <c r="C12" s="48" t="s">
        <v>1955</v>
      </c>
      <c r="D12" s="48">
        <f>DATE(YEAR(OneWeekMtgRatesDataTable756[[#This Row],[asofdate]]),MONTH(OneWeekMtgRatesDataTable756[[#This Row],[asofdate]]),DAY(OneWeekMtgRatesDataTable756[[#This Row],[asofdate]]))</f>
        <v>42571</v>
      </c>
      <c r="E12" s="48" t="s">
        <v>11</v>
      </c>
      <c r="F12" s="55">
        <v>0.4874</v>
      </c>
    </row>
    <row r="13" spans="2:6">
      <c r="B13" s="48" t="s">
        <v>20</v>
      </c>
      <c r="C13" s="48" t="s">
        <v>1956</v>
      </c>
      <c r="D13" s="48">
        <f>DATE(YEAR(OneWeekMtgRatesDataTable756[[#This Row],[asofdate]]),MONTH(OneWeekMtgRatesDataTable756[[#This Row],[asofdate]]),DAY(OneWeekMtgRatesDataTable756[[#This Row],[asofdate]]))</f>
        <v>42570</v>
      </c>
      <c r="E13" s="48" t="s">
        <v>11</v>
      </c>
      <c r="F13" s="55">
        <v>0.48530000000000001</v>
      </c>
    </row>
    <row r="14" spans="2:6">
      <c r="B14" s="48" t="s">
        <v>20</v>
      </c>
      <c r="C14" s="48" t="s">
        <v>1957</v>
      </c>
      <c r="D14" s="48">
        <f>DATE(YEAR(OneWeekMtgRatesDataTable756[[#This Row],[asofdate]]),MONTH(OneWeekMtgRatesDataTable756[[#This Row],[asofdate]]),DAY(OneWeekMtgRatesDataTable756[[#This Row],[asofdate]]))</f>
        <v>42569</v>
      </c>
      <c r="E14" s="48" t="s">
        <v>11</v>
      </c>
      <c r="F14" s="55">
        <v>0.48654999999999998</v>
      </c>
    </row>
    <row r="15" spans="2:6">
      <c r="B15" s="48" t="s">
        <v>20</v>
      </c>
      <c r="C15" s="48" t="s">
        <v>1958</v>
      </c>
      <c r="D15" s="48">
        <f>DATE(YEAR(OneWeekMtgRatesDataTable756[[#This Row],[asofdate]]),MONTH(OneWeekMtgRatesDataTable756[[#This Row],[asofdate]]),DAY(OneWeekMtgRatesDataTable756[[#This Row],[asofdate]]))</f>
        <v>42566</v>
      </c>
      <c r="E15" s="48" t="s">
        <v>11</v>
      </c>
      <c r="F15" s="55">
        <v>0.48330000000000001</v>
      </c>
    </row>
    <row r="16" spans="2:6">
      <c r="B16" s="48" t="s">
        <v>20</v>
      </c>
      <c r="C16" s="48" t="s">
        <v>1959</v>
      </c>
      <c r="D16" s="48">
        <f>DATE(YEAR(OneWeekMtgRatesDataTable756[[#This Row],[asofdate]]),MONTH(OneWeekMtgRatesDataTable756[[#This Row],[asofdate]]),DAY(OneWeekMtgRatesDataTable756[[#This Row],[asofdate]]))</f>
        <v>42565</v>
      </c>
      <c r="E16" s="48" t="s">
        <v>11</v>
      </c>
      <c r="F16" s="55">
        <v>0.48209999999999997</v>
      </c>
    </row>
    <row r="17" spans="2:6">
      <c r="B17" s="48" t="s">
        <v>20</v>
      </c>
      <c r="C17" s="48" t="s">
        <v>1960</v>
      </c>
      <c r="D17" s="48">
        <f>DATE(YEAR(OneWeekMtgRatesDataTable756[[#This Row],[asofdate]]),MONTH(OneWeekMtgRatesDataTable756[[#This Row],[asofdate]]),DAY(OneWeekMtgRatesDataTable756[[#This Row],[asofdate]]))</f>
        <v>42564</v>
      </c>
      <c r="E17" s="48" t="s">
        <v>11</v>
      </c>
      <c r="F17" s="55">
        <v>0.48135</v>
      </c>
    </row>
    <row r="18" spans="2:6">
      <c r="B18" s="48" t="s">
        <v>20</v>
      </c>
      <c r="C18" s="48" t="s">
        <v>1961</v>
      </c>
      <c r="D18" s="48">
        <f>DATE(YEAR(OneWeekMtgRatesDataTable756[[#This Row],[asofdate]]),MONTH(OneWeekMtgRatesDataTable756[[#This Row],[asofdate]]),DAY(OneWeekMtgRatesDataTable756[[#This Row],[asofdate]]))</f>
        <v>42563</v>
      </c>
      <c r="E18" s="48" t="s">
        <v>11</v>
      </c>
      <c r="F18" s="55">
        <v>0.47935</v>
      </c>
    </row>
    <row r="19" spans="2:6">
      <c r="B19" s="48" t="s">
        <v>20</v>
      </c>
      <c r="C19" s="48" t="s">
        <v>1962</v>
      </c>
      <c r="D19" s="48">
        <f>DATE(YEAR(OneWeekMtgRatesDataTable756[[#This Row],[asofdate]]),MONTH(OneWeekMtgRatesDataTable756[[#This Row],[asofdate]]),DAY(OneWeekMtgRatesDataTable756[[#This Row],[asofdate]]))</f>
        <v>42562</v>
      </c>
      <c r="E19" s="48" t="s">
        <v>11</v>
      </c>
      <c r="F19" s="55">
        <v>0.47785</v>
      </c>
    </row>
    <row r="20" spans="2:6">
      <c r="B20" s="48" t="s">
        <v>20</v>
      </c>
      <c r="C20" s="48" t="s">
        <v>1963</v>
      </c>
      <c r="D20" s="48">
        <f>DATE(YEAR(OneWeekMtgRatesDataTable756[[#This Row],[asofdate]]),MONTH(OneWeekMtgRatesDataTable756[[#This Row],[asofdate]]),DAY(OneWeekMtgRatesDataTable756[[#This Row],[asofdate]]))</f>
        <v>42559</v>
      </c>
      <c r="E20" s="48" t="s">
        <v>11</v>
      </c>
      <c r="F20" s="55">
        <v>0.4758</v>
      </c>
    </row>
    <row r="21" spans="2:6">
      <c r="B21" s="48" t="s">
        <v>20</v>
      </c>
      <c r="C21" s="48" t="s">
        <v>1964</v>
      </c>
      <c r="D21" s="48">
        <f>DATE(YEAR(OneWeekMtgRatesDataTable756[[#This Row],[asofdate]]),MONTH(OneWeekMtgRatesDataTable756[[#This Row],[asofdate]]),DAY(OneWeekMtgRatesDataTable756[[#This Row],[asofdate]]))</f>
        <v>42558</v>
      </c>
      <c r="E21" s="48" t="s">
        <v>11</v>
      </c>
      <c r="F21" s="55">
        <v>0.4743</v>
      </c>
    </row>
    <row r="22" spans="2:6">
      <c r="B22" s="48" t="s">
        <v>20</v>
      </c>
      <c r="C22" s="48" t="s">
        <v>1965</v>
      </c>
      <c r="D22" s="48">
        <f>DATE(YEAR(OneWeekMtgRatesDataTable756[[#This Row],[asofdate]]),MONTH(OneWeekMtgRatesDataTable756[[#This Row],[asofdate]]),DAY(OneWeekMtgRatesDataTable756[[#This Row],[asofdate]]))</f>
        <v>42557</v>
      </c>
      <c r="E22" s="48" t="s">
        <v>11</v>
      </c>
      <c r="F22" s="55">
        <v>0.47255000000000003</v>
      </c>
    </row>
    <row r="23" spans="2:6">
      <c r="B23" s="48" t="s">
        <v>20</v>
      </c>
      <c r="C23" s="48" t="s">
        <v>1923</v>
      </c>
      <c r="D23" s="48">
        <f>DATE(YEAR(OneWeekMtgRatesDataTable756[[#This Row],[asofdate]]),MONTH(OneWeekMtgRatesDataTable756[[#This Row],[asofdate]]),DAY(OneWeekMtgRatesDataTable756[[#This Row],[asofdate]]))</f>
        <v>42556</v>
      </c>
      <c r="E23" s="48" t="s">
        <v>11</v>
      </c>
      <c r="F23" s="55">
        <v>0.4703</v>
      </c>
    </row>
    <row r="24" spans="2:6">
      <c r="B24" s="48" t="s">
        <v>20</v>
      </c>
      <c r="C24" s="48" t="s">
        <v>1924</v>
      </c>
      <c r="D24" s="48">
        <f>DATE(YEAR(OneWeekMtgRatesDataTable756[[#This Row],[asofdate]]),MONTH(OneWeekMtgRatesDataTable756[[#This Row],[asofdate]]),DAY(OneWeekMtgRatesDataTable756[[#This Row],[asofdate]]))</f>
        <v>42552</v>
      </c>
      <c r="E24" s="48" t="s">
        <v>11</v>
      </c>
      <c r="F24" s="55">
        <v>0.46755000000000002</v>
      </c>
    </row>
    <row r="25" spans="2:6">
      <c r="B25" s="48" t="s">
        <v>20</v>
      </c>
      <c r="C25" s="48" t="s">
        <v>1925</v>
      </c>
      <c r="D25" s="48">
        <f>DATE(YEAR(OneWeekMtgRatesDataTable756[[#This Row],[asofdate]]),MONTH(OneWeekMtgRatesDataTable756[[#This Row],[asofdate]]),DAY(OneWeekMtgRatesDataTable756[[#This Row],[asofdate]]))</f>
        <v>42551</v>
      </c>
      <c r="E25" s="48" t="s">
        <v>11</v>
      </c>
      <c r="F25" s="55">
        <v>0.46505000000000002</v>
      </c>
    </row>
    <row r="26" spans="2:6">
      <c r="B26" s="48" t="s">
        <v>20</v>
      </c>
      <c r="C26" s="48" t="s">
        <v>1926</v>
      </c>
      <c r="D26" s="48">
        <f>DATE(YEAR(OneWeekMtgRatesDataTable756[[#This Row],[asofdate]]),MONTH(OneWeekMtgRatesDataTable756[[#This Row],[asofdate]]),DAY(OneWeekMtgRatesDataTable756[[#This Row],[asofdate]]))</f>
        <v>42550</v>
      </c>
      <c r="E26" s="48" t="s">
        <v>11</v>
      </c>
      <c r="F26" s="55">
        <v>0.46655000000000002</v>
      </c>
    </row>
    <row r="27" spans="2:6">
      <c r="B27" s="48" t="s">
        <v>20</v>
      </c>
      <c r="C27" s="48" t="s">
        <v>1927</v>
      </c>
      <c r="D27" s="48">
        <f>DATE(YEAR(OneWeekMtgRatesDataTable756[[#This Row],[asofdate]]),MONTH(OneWeekMtgRatesDataTable756[[#This Row],[asofdate]]),DAY(OneWeekMtgRatesDataTable756[[#This Row],[asofdate]]))</f>
        <v>42549</v>
      </c>
      <c r="E27" s="48" t="s">
        <v>11</v>
      </c>
      <c r="F27" s="55">
        <v>0.46029999999999999</v>
      </c>
    </row>
    <row r="28" spans="2:6">
      <c r="B28" s="48" t="s">
        <v>20</v>
      </c>
      <c r="C28" s="48" t="s">
        <v>1928</v>
      </c>
      <c r="D28" s="48">
        <f>DATE(YEAR(OneWeekMtgRatesDataTable756[[#This Row],[asofdate]]),MONTH(OneWeekMtgRatesDataTable756[[#This Row],[asofdate]]),DAY(OneWeekMtgRatesDataTable756[[#This Row],[asofdate]]))</f>
        <v>42548</v>
      </c>
      <c r="E28" s="48" t="s">
        <v>11</v>
      </c>
      <c r="F28" s="55">
        <v>0.45879999999999999</v>
      </c>
    </row>
    <row r="29" spans="2:6">
      <c r="B29" s="48" t="s">
        <v>20</v>
      </c>
      <c r="C29" s="48" t="s">
        <v>1929</v>
      </c>
      <c r="D29" s="48">
        <f>DATE(YEAR(OneWeekMtgRatesDataTable756[[#This Row],[asofdate]]),MONTH(OneWeekMtgRatesDataTable756[[#This Row],[asofdate]]),DAY(OneWeekMtgRatesDataTable756[[#This Row],[asofdate]]))</f>
        <v>42545</v>
      </c>
      <c r="E29" s="48" t="s">
        <v>11</v>
      </c>
      <c r="F29" s="55">
        <v>0.44929999999999998</v>
      </c>
    </row>
    <row r="30" spans="2:6">
      <c r="B30" s="48" t="s">
        <v>20</v>
      </c>
      <c r="C30" s="48" t="s">
        <v>1930</v>
      </c>
      <c r="D30" s="48">
        <f>DATE(YEAR(OneWeekMtgRatesDataTable756[[#This Row],[asofdate]]),MONTH(OneWeekMtgRatesDataTable756[[#This Row],[asofdate]]),DAY(OneWeekMtgRatesDataTable756[[#This Row],[asofdate]]))</f>
        <v>42544</v>
      </c>
      <c r="E30" s="48" t="s">
        <v>11</v>
      </c>
      <c r="F30" s="55">
        <v>0.45329999999999998</v>
      </c>
    </row>
    <row r="31" spans="2:6">
      <c r="B31" s="48" t="s">
        <v>20</v>
      </c>
      <c r="C31" s="48" t="s">
        <v>1931</v>
      </c>
      <c r="D31" s="48">
        <f>DATE(YEAR(OneWeekMtgRatesDataTable756[[#This Row],[asofdate]]),MONTH(OneWeekMtgRatesDataTable756[[#This Row],[asofdate]]),DAY(OneWeekMtgRatesDataTable756[[#This Row],[asofdate]]))</f>
        <v>42543</v>
      </c>
      <c r="E31" s="48" t="s">
        <v>11</v>
      </c>
      <c r="F31" s="55">
        <v>0.45205000000000001</v>
      </c>
    </row>
    <row r="32" spans="2:6">
      <c r="B32" s="48" t="s">
        <v>20</v>
      </c>
      <c r="C32" s="48" t="s">
        <v>1932</v>
      </c>
      <c r="D32" s="48">
        <f>DATE(YEAR(OneWeekMtgRatesDataTable756[[#This Row],[asofdate]]),MONTH(OneWeekMtgRatesDataTable756[[#This Row],[asofdate]]),DAY(OneWeekMtgRatesDataTable756[[#This Row],[asofdate]]))</f>
        <v>42542</v>
      </c>
      <c r="E32" s="48" t="s">
        <v>11</v>
      </c>
      <c r="F32" s="55">
        <v>0.45079999999999998</v>
      </c>
    </row>
    <row r="33" spans="2:6">
      <c r="B33" s="48" t="s">
        <v>20</v>
      </c>
      <c r="C33" s="48" t="s">
        <v>1933</v>
      </c>
      <c r="D33" s="48">
        <f>DATE(YEAR(OneWeekMtgRatesDataTable756[[#This Row],[asofdate]]),MONTH(OneWeekMtgRatesDataTable756[[#This Row],[asofdate]]),DAY(OneWeekMtgRatesDataTable756[[#This Row],[asofdate]]))</f>
        <v>42541</v>
      </c>
      <c r="E33" s="48" t="s">
        <v>11</v>
      </c>
      <c r="F33" s="55">
        <v>0.44805</v>
      </c>
    </row>
    <row r="34" spans="2:6">
      <c r="B34" s="48" t="s">
        <v>20</v>
      </c>
      <c r="C34" s="48" t="s">
        <v>1934</v>
      </c>
      <c r="D34" s="48">
        <f>DATE(YEAR(OneWeekMtgRatesDataTable756[[#This Row],[asofdate]]),MONTH(OneWeekMtgRatesDataTable756[[#This Row],[asofdate]]),DAY(OneWeekMtgRatesDataTable756[[#This Row],[asofdate]]))</f>
        <v>42538</v>
      </c>
      <c r="E34" s="48" t="s">
        <v>11</v>
      </c>
      <c r="F34" s="55">
        <v>0.44779999999999998</v>
      </c>
    </row>
    <row r="35" spans="2:6">
      <c r="B35" s="48" t="s">
        <v>20</v>
      </c>
      <c r="C35" s="48" t="s">
        <v>1935</v>
      </c>
      <c r="D35" s="48">
        <f>DATE(YEAR(OneWeekMtgRatesDataTable756[[#This Row],[asofdate]]),MONTH(OneWeekMtgRatesDataTable756[[#This Row],[asofdate]]),DAY(OneWeekMtgRatesDataTable756[[#This Row],[asofdate]]))</f>
        <v>42537</v>
      </c>
      <c r="E35" s="48" t="s">
        <v>11</v>
      </c>
      <c r="F35" s="55">
        <v>0.44805</v>
      </c>
    </row>
    <row r="36" spans="2:6">
      <c r="B36" s="48" t="s">
        <v>20</v>
      </c>
      <c r="C36" s="48" t="s">
        <v>1936</v>
      </c>
      <c r="D36" s="48">
        <f>DATE(YEAR(OneWeekMtgRatesDataTable756[[#This Row],[asofdate]]),MONTH(OneWeekMtgRatesDataTable756[[#This Row],[asofdate]]),DAY(OneWeekMtgRatesDataTable756[[#This Row],[asofdate]]))</f>
        <v>42536</v>
      </c>
      <c r="E36" s="48" t="s">
        <v>11</v>
      </c>
      <c r="F36" s="55">
        <v>0.44605</v>
      </c>
    </row>
    <row r="37" spans="2:6">
      <c r="B37" s="48" t="s">
        <v>20</v>
      </c>
      <c r="C37" s="48" t="s">
        <v>1937</v>
      </c>
      <c r="D37" s="48">
        <f>DATE(YEAR(OneWeekMtgRatesDataTable756[[#This Row],[asofdate]]),MONTH(OneWeekMtgRatesDataTable756[[#This Row],[asofdate]]),DAY(OneWeekMtgRatesDataTable756[[#This Row],[asofdate]]))</f>
        <v>42535</v>
      </c>
      <c r="E37" s="48" t="s">
        <v>11</v>
      </c>
      <c r="F37" s="55">
        <v>0.44230000000000003</v>
      </c>
    </row>
    <row r="38" spans="2:6">
      <c r="B38" s="48" t="s">
        <v>20</v>
      </c>
      <c r="C38" s="48" t="s">
        <v>1938</v>
      </c>
      <c r="D38" s="48">
        <f>DATE(YEAR(OneWeekMtgRatesDataTable756[[#This Row],[asofdate]]),MONTH(OneWeekMtgRatesDataTable756[[#This Row],[asofdate]]),DAY(OneWeekMtgRatesDataTable756[[#This Row],[asofdate]]))</f>
        <v>42534</v>
      </c>
      <c r="E38" s="48" t="s">
        <v>11</v>
      </c>
      <c r="F38" s="55">
        <v>0.44205</v>
      </c>
    </row>
    <row r="39" spans="2:6">
      <c r="B39" s="48" t="s">
        <v>20</v>
      </c>
      <c r="C39" s="48" t="s">
        <v>1939</v>
      </c>
      <c r="D39" s="48">
        <f>DATE(YEAR(OneWeekMtgRatesDataTable756[[#This Row],[asofdate]]),MONTH(OneWeekMtgRatesDataTable756[[#This Row],[asofdate]]),DAY(OneWeekMtgRatesDataTable756[[#This Row],[asofdate]]))</f>
        <v>42531</v>
      </c>
      <c r="E39" s="48" t="s">
        <v>11</v>
      </c>
      <c r="F39" s="55">
        <v>0.44655</v>
      </c>
    </row>
    <row r="40" spans="2:6">
      <c r="B40" s="48" t="s">
        <v>20</v>
      </c>
      <c r="C40" s="48" t="s">
        <v>1940</v>
      </c>
      <c r="D40" s="48">
        <f>DATE(YEAR(OneWeekMtgRatesDataTable756[[#This Row],[asofdate]]),MONTH(OneWeekMtgRatesDataTable756[[#This Row],[asofdate]]),DAY(OneWeekMtgRatesDataTable756[[#This Row],[asofdate]]))</f>
        <v>42530</v>
      </c>
      <c r="E40" s="48" t="s">
        <v>11</v>
      </c>
      <c r="F40" s="55">
        <v>0.44705</v>
      </c>
    </row>
    <row r="41" spans="2:6">
      <c r="B41" s="48" t="s">
        <v>20</v>
      </c>
      <c r="C41" s="48" t="s">
        <v>1941</v>
      </c>
      <c r="D41" s="48">
        <f>DATE(YEAR(OneWeekMtgRatesDataTable756[[#This Row],[asofdate]]),MONTH(OneWeekMtgRatesDataTable756[[#This Row],[asofdate]]),DAY(OneWeekMtgRatesDataTable756[[#This Row],[asofdate]]))</f>
        <v>42529</v>
      </c>
      <c r="E41" s="48" t="s">
        <v>11</v>
      </c>
      <c r="F41" s="55">
        <v>0.44529999999999997</v>
      </c>
    </row>
    <row r="42" spans="2:6">
      <c r="B42" s="48" t="s">
        <v>20</v>
      </c>
      <c r="C42" s="48" t="s">
        <v>1942</v>
      </c>
      <c r="D42" s="48">
        <f>DATE(YEAR(OneWeekMtgRatesDataTable756[[#This Row],[asofdate]]),MONTH(OneWeekMtgRatesDataTable756[[#This Row],[asofdate]]),DAY(OneWeekMtgRatesDataTable756[[#This Row],[asofdate]]))</f>
        <v>42528</v>
      </c>
      <c r="E42" s="48" t="s">
        <v>11</v>
      </c>
      <c r="F42" s="55">
        <v>0.44579999999999997</v>
      </c>
    </row>
    <row r="43" spans="2:6">
      <c r="B43" s="48" t="s">
        <v>20</v>
      </c>
      <c r="C43" s="48" t="s">
        <v>1943</v>
      </c>
      <c r="D43" s="48">
        <f>DATE(YEAR(OneWeekMtgRatesDataTable756[[#This Row],[asofdate]]),MONTH(OneWeekMtgRatesDataTable756[[#This Row],[asofdate]]),DAY(OneWeekMtgRatesDataTable756[[#This Row],[asofdate]]))</f>
        <v>42527</v>
      </c>
      <c r="E43" s="48" t="s">
        <v>11</v>
      </c>
      <c r="F43" s="55">
        <v>0.44705</v>
      </c>
    </row>
    <row r="44" spans="2:6">
      <c r="B44" s="48" t="s">
        <v>20</v>
      </c>
      <c r="C44" s="48" t="s">
        <v>1944</v>
      </c>
      <c r="D44" s="48">
        <f>DATE(YEAR(OneWeekMtgRatesDataTable756[[#This Row],[asofdate]]),MONTH(OneWeekMtgRatesDataTable756[[#This Row],[asofdate]]),DAY(OneWeekMtgRatesDataTable756[[#This Row],[asofdate]]))</f>
        <v>42524</v>
      </c>
      <c r="E44" s="48" t="s">
        <v>11</v>
      </c>
      <c r="F44" s="55">
        <v>0.46479999999999999</v>
      </c>
    </row>
    <row r="45" spans="2:6">
      <c r="B45" s="48" t="s">
        <v>20</v>
      </c>
      <c r="C45" s="48" t="s">
        <v>1945</v>
      </c>
      <c r="D45" s="48">
        <f>DATE(YEAR(OneWeekMtgRatesDataTable756[[#This Row],[asofdate]]),MONTH(OneWeekMtgRatesDataTable756[[#This Row],[asofdate]]),DAY(OneWeekMtgRatesDataTable756[[#This Row],[asofdate]]))</f>
        <v>42523</v>
      </c>
      <c r="E45" s="48" t="s">
        <v>11</v>
      </c>
      <c r="F45" s="55">
        <v>0.46305000000000002</v>
      </c>
    </row>
    <row r="46" spans="2:6">
      <c r="B46" s="48" t="s">
        <v>20</v>
      </c>
      <c r="C46" s="48" t="s">
        <v>1903</v>
      </c>
      <c r="D46" s="48">
        <f>DATE(YEAR(OneWeekMtgRatesDataTable756[[#This Row],[asofdate]]),MONTH(OneWeekMtgRatesDataTable756[[#This Row],[asofdate]]),DAY(OneWeekMtgRatesDataTable756[[#This Row],[asofdate]]))</f>
        <v>42522</v>
      </c>
      <c r="E46" s="48" t="s">
        <v>11</v>
      </c>
      <c r="F46" s="55">
        <v>0.46955000000000002</v>
      </c>
    </row>
    <row r="47" spans="2:6">
      <c r="B47" s="48" t="s">
        <v>20</v>
      </c>
      <c r="C47" s="48" t="s">
        <v>1904</v>
      </c>
      <c r="D47" s="48">
        <f>DATE(YEAR(OneWeekMtgRatesDataTable756[[#This Row],[asofdate]]),MONTH(OneWeekMtgRatesDataTable756[[#This Row],[asofdate]]),DAY(OneWeekMtgRatesDataTable756[[#This Row],[asofdate]]))</f>
        <v>42521</v>
      </c>
      <c r="E47" s="48" t="s">
        <v>11</v>
      </c>
      <c r="F47" s="55">
        <v>0.46884999999999999</v>
      </c>
    </row>
    <row r="48" spans="2:6">
      <c r="B48" s="48" t="s">
        <v>20</v>
      </c>
      <c r="C48" s="48" t="s">
        <v>1905</v>
      </c>
      <c r="D48" s="48">
        <f>DATE(YEAR(OneWeekMtgRatesDataTable756[[#This Row],[asofdate]]),MONTH(OneWeekMtgRatesDataTable756[[#This Row],[asofdate]]),DAY(OneWeekMtgRatesDataTable756[[#This Row],[asofdate]]))</f>
        <v>42517</v>
      </c>
      <c r="E48" s="48" t="s">
        <v>11</v>
      </c>
      <c r="F48" s="55">
        <v>0.45665</v>
      </c>
    </row>
    <row r="49" spans="2:6">
      <c r="B49" s="48" t="s">
        <v>20</v>
      </c>
      <c r="C49" s="48" t="s">
        <v>1906</v>
      </c>
      <c r="D49" s="48">
        <f>DATE(YEAR(OneWeekMtgRatesDataTable756[[#This Row],[asofdate]]),MONTH(OneWeekMtgRatesDataTable756[[#This Row],[asofdate]]),DAY(OneWeekMtgRatesDataTable756[[#This Row],[asofdate]]))</f>
        <v>42516</v>
      </c>
      <c r="E49" s="48" t="s">
        <v>11</v>
      </c>
      <c r="F49" s="55">
        <v>0.45445000000000002</v>
      </c>
    </row>
    <row r="50" spans="2:6">
      <c r="B50" s="48" t="s">
        <v>20</v>
      </c>
      <c r="C50" s="48" t="s">
        <v>1907</v>
      </c>
      <c r="D50" s="48">
        <f>DATE(YEAR(OneWeekMtgRatesDataTable756[[#This Row],[asofdate]]),MONTH(OneWeekMtgRatesDataTable756[[#This Row],[asofdate]]),DAY(OneWeekMtgRatesDataTable756[[#This Row],[asofdate]]))</f>
        <v>42515</v>
      </c>
      <c r="E50" s="48" t="s">
        <v>11</v>
      </c>
      <c r="F50" s="55">
        <v>0.44969999999999999</v>
      </c>
    </row>
    <row r="51" spans="2:6">
      <c r="B51" s="48" t="s">
        <v>20</v>
      </c>
      <c r="C51" s="48" t="s">
        <v>1908</v>
      </c>
      <c r="D51" s="48">
        <f>DATE(YEAR(OneWeekMtgRatesDataTable756[[#This Row],[asofdate]]),MONTH(OneWeekMtgRatesDataTable756[[#This Row],[asofdate]]),DAY(OneWeekMtgRatesDataTable756[[#This Row],[asofdate]]))</f>
        <v>42514</v>
      </c>
      <c r="E51" s="48" t="s">
        <v>11</v>
      </c>
      <c r="F51" s="55">
        <v>0.44419999999999998</v>
      </c>
    </row>
    <row r="52" spans="2:6">
      <c r="B52" s="48" t="s">
        <v>20</v>
      </c>
      <c r="C52" s="48" t="s">
        <v>1909</v>
      </c>
      <c r="D52" s="48">
        <f>DATE(YEAR(OneWeekMtgRatesDataTable756[[#This Row],[asofdate]]),MONTH(OneWeekMtgRatesDataTable756[[#This Row],[asofdate]]),DAY(OneWeekMtgRatesDataTable756[[#This Row],[asofdate]]))</f>
        <v>42513</v>
      </c>
      <c r="E52" s="48" t="s">
        <v>11</v>
      </c>
      <c r="F52" s="55">
        <v>0.44600000000000001</v>
      </c>
    </row>
    <row r="53" spans="2:6">
      <c r="B53" s="48" t="s">
        <v>20</v>
      </c>
      <c r="C53" s="48" t="s">
        <v>1910</v>
      </c>
      <c r="D53" s="48">
        <f>DATE(YEAR(OneWeekMtgRatesDataTable756[[#This Row],[asofdate]]),MONTH(OneWeekMtgRatesDataTable756[[#This Row],[asofdate]]),DAY(OneWeekMtgRatesDataTable756[[#This Row],[asofdate]]))</f>
        <v>42510</v>
      </c>
      <c r="E53" s="48" t="s">
        <v>11</v>
      </c>
      <c r="F53" s="55">
        <v>0.44324999999999998</v>
      </c>
    </row>
    <row r="54" spans="2:6">
      <c r="B54" s="48" t="s">
        <v>20</v>
      </c>
      <c r="C54" s="48" t="s">
        <v>1911</v>
      </c>
      <c r="D54" s="48">
        <f>DATE(YEAR(OneWeekMtgRatesDataTable756[[#This Row],[asofdate]]),MONTH(OneWeekMtgRatesDataTable756[[#This Row],[asofdate]]),DAY(OneWeekMtgRatesDataTable756[[#This Row],[asofdate]]))</f>
        <v>42509</v>
      </c>
      <c r="E54" s="48" t="s">
        <v>11</v>
      </c>
      <c r="F54" s="55">
        <v>0.443</v>
      </c>
    </row>
    <row r="55" spans="2:6">
      <c r="B55" s="48" t="s">
        <v>20</v>
      </c>
      <c r="C55" s="48" t="s">
        <v>1912</v>
      </c>
      <c r="D55" s="48">
        <f>DATE(YEAR(OneWeekMtgRatesDataTable756[[#This Row],[asofdate]]),MONTH(OneWeekMtgRatesDataTable756[[#This Row],[asofdate]]),DAY(OneWeekMtgRatesDataTable756[[#This Row],[asofdate]]))</f>
        <v>42508</v>
      </c>
      <c r="E55" s="48" t="s">
        <v>11</v>
      </c>
      <c r="F55" s="55">
        <v>0.43845000000000001</v>
      </c>
    </row>
    <row r="56" spans="2:6">
      <c r="B56" s="48" t="s">
        <v>20</v>
      </c>
      <c r="C56" s="48" t="s">
        <v>1913</v>
      </c>
      <c r="D56" s="48">
        <f>DATE(YEAR(OneWeekMtgRatesDataTable756[[#This Row],[asofdate]]),MONTH(OneWeekMtgRatesDataTable756[[#This Row],[asofdate]]),DAY(OneWeekMtgRatesDataTable756[[#This Row],[asofdate]]))</f>
        <v>42507</v>
      </c>
      <c r="E56" s="48" t="s">
        <v>11</v>
      </c>
      <c r="F56" s="55">
        <v>0.43869999999999998</v>
      </c>
    </row>
    <row r="57" spans="2:6">
      <c r="B57" s="48" t="s">
        <v>20</v>
      </c>
      <c r="C57" s="48" t="s">
        <v>1914</v>
      </c>
      <c r="D57" s="48">
        <f>DATE(YEAR(OneWeekMtgRatesDataTable756[[#This Row],[asofdate]]),MONTH(OneWeekMtgRatesDataTable756[[#This Row],[asofdate]]),DAY(OneWeekMtgRatesDataTable756[[#This Row],[asofdate]]))</f>
        <v>42506</v>
      </c>
      <c r="E57" s="48" t="s">
        <v>11</v>
      </c>
      <c r="F57" s="55">
        <v>0.43619999999999998</v>
      </c>
    </row>
    <row r="58" spans="2:6">
      <c r="B58" s="48" t="s">
        <v>20</v>
      </c>
      <c r="C58" s="48" t="s">
        <v>1915</v>
      </c>
      <c r="D58" s="48">
        <f>DATE(YEAR(OneWeekMtgRatesDataTable756[[#This Row],[asofdate]]),MONTH(OneWeekMtgRatesDataTable756[[#This Row],[asofdate]]),DAY(OneWeekMtgRatesDataTable756[[#This Row],[asofdate]]))</f>
        <v>42503</v>
      </c>
      <c r="E58" s="48" t="s">
        <v>11</v>
      </c>
      <c r="F58" s="55">
        <v>0.43395</v>
      </c>
    </row>
    <row r="59" spans="2:6">
      <c r="B59" s="48" t="s">
        <v>20</v>
      </c>
      <c r="C59" s="48" t="s">
        <v>1916</v>
      </c>
      <c r="D59" s="48">
        <f>DATE(YEAR(OneWeekMtgRatesDataTable756[[#This Row],[asofdate]]),MONTH(OneWeekMtgRatesDataTable756[[#This Row],[asofdate]]),DAY(OneWeekMtgRatesDataTable756[[#This Row],[asofdate]]))</f>
        <v>42502</v>
      </c>
      <c r="E59" s="48" t="s">
        <v>11</v>
      </c>
      <c r="F59" s="55">
        <v>0.43445</v>
      </c>
    </row>
    <row r="60" spans="2:6">
      <c r="B60" s="48" t="s">
        <v>20</v>
      </c>
      <c r="C60" s="48" t="s">
        <v>1917</v>
      </c>
      <c r="D60" s="48">
        <f>DATE(YEAR(OneWeekMtgRatesDataTable756[[#This Row],[asofdate]]),MONTH(OneWeekMtgRatesDataTable756[[#This Row],[asofdate]]),DAY(OneWeekMtgRatesDataTable756[[#This Row],[asofdate]]))</f>
        <v>42501</v>
      </c>
      <c r="E60" s="48" t="s">
        <v>11</v>
      </c>
      <c r="F60" s="55">
        <v>0.43464999999999998</v>
      </c>
    </row>
    <row r="61" spans="2:6">
      <c r="B61" s="48" t="s">
        <v>20</v>
      </c>
      <c r="C61" s="48" t="s">
        <v>1918</v>
      </c>
      <c r="D61" s="48">
        <f>DATE(YEAR(OneWeekMtgRatesDataTable756[[#This Row],[asofdate]]),MONTH(OneWeekMtgRatesDataTable756[[#This Row],[asofdate]]),DAY(OneWeekMtgRatesDataTable756[[#This Row],[asofdate]]))</f>
        <v>42500</v>
      </c>
      <c r="E61" s="48" t="s">
        <v>11</v>
      </c>
      <c r="F61" s="55">
        <v>0.43730000000000002</v>
      </c>
    </row>
    <row r="62" spans="2:6">
      <c r="B62" s="48" t="s">
        <v>20</v>
      </c>
      <c r="C62" s="48" t="s">
        <v>1919</v>
      </c>
      <c r="D62" s="48">
        <f>DATE(YEAR(OneWeekMtgRatesDataTable756[[#This Row],[asofdate]]),MONTH(OneWeekMtgRatesDataTable756[[#This Row],[asofdate]]),DAY(OneWeekMtgRatesDataTable756[[#This Row],[asofdate]]))</f>
        <v>42499</v>
      </c>
      <c r="E62" s="48" t="s">
        <v>11</v>
      </c>
      <c r="F62" s="55">
        <v>0.43864999999999998</v>
      </c>
    </row>
    <row r="63" spans="2:6">
      <c r="B63" s="48" t="s">
        <v>20</v>
      </c>
      <c r="C63" s="48" t="s">
        <v>1920</v>
      </c>
      <c r="D63" s="48">
        <f>DATE(YEAR(OneWeekMtgRatesDataTable756[[#This Row],[asofdate]]),MONTH(OneWeekMtgRatesDataTable756[[#This Row],[asofdate]]),DAY(OneWeekMtgRatesDataTable756[[#This Row],[asofdate]]))</f>
        <v>42496</v>
      </c>
      <c r="E63" s="48" t="s">
        <v>11</v>
      </c>
      <c r="F63" s="55">
        <v>0.43790000000000001</v>
      </c>
    </row>
    <row r="64" spans="2:6">
      <c r="B64" s="48" t="s">
        <v>20</v>
      </c>
      <c r="C64" s="48" t="s">
        <v>1921</v>
      </c>
      <c r="D64" s="48">
        <f>DATE(YEAR(OneWeekMtgRatesDataTable756[[#This Row],[asofdate]]),MONTH(OneWeekMtgRatesDataTable756[[#This Row],[asofdate]]),DAY(OneWeekMtgRatesDataTable756[[#This Row],[asofdate]]))</f>
        <v>42495</v>
      </c>
      <c r="E64" s="48" t="s">
        <v>11</v>
      </c>
      <c r="F64" s="55">
        <v>0.43714999999999998</v>
      </c>
    </row>
    <row r="65" spans="2:6">
      <c r="B65" s="48" t="s">
        <v>20</v>
      </c>
      <c r="C65" s="48" t="s">
        <v>1922</v>
      </c>
      <c r="D65" s="48">
        <f>DATE(YEAR(OneWeekMtgRatesDataTable756[[#This Row],[asofdate]]),MONTH(OneWeekMtgRatesDataTable756[[#This Row],[asofdate]]),DAY(OneWeekMtgRatesDataTable756[[#This Row],[asofdate]]))</f>
        <v>42494</v>
      </c>
      <c r="E65" s="48" t="s">
        <v>11</v>
      </c>
      <c r="F65" s="55">
        <v>0.43590000000000001</v>
      </c>
    </row>
    <row r="66" spans="2:6">
      <c r="B66" s="48" t="s">
        <v>20</v>
      </c>
      <c r="C66" s="48" t="s">
        <v>1858</v>
      </c>
      <c r="D66" s="48">
        <f>DATE(YEAR(OneWeekMtgRatesDataTable756[[#This Row],[asofdate]]),MONTH(OneWeekMtgRatesDataTable756[[#This Row],[asofdate]]),DAY(OneWeekMtgRatesDataTable756[[#This Row],[asofdate]]))</f>
        <v>42493</v>
      </c>
      <c r="E66" s="48" t="s">
        <v>11</v>
      </c>
      <c r="F66" s="55">
        <v>0.43590000000000001</v>
      </c>
    </row>
    <row r="67" spans="2:6">
      <c r="B67" s="48" t="s">
        <v>20</v>
      </c>
      <c r="C67" s="48" t="s">
        <v>1859</v>
      </c>
      <c r="D67" s="48">
        <f>DATE(YEAR(OneWeekMtgRatesDataTable756[[#This Row],[asofdate]]),MONTH(OneWeekMtgRatesDataTable756[[#This Row],[asofdate]]),DAY(OneWeekMtgRatesDataTable756[[#This Row],[asofdate]]))</f>
        <v>42492</v>
      </c>
      <c r="E67" s="48" t="s">
        <v>11</v>
      </c>
      <c r="F67" s="55">
        <v>0.43575000000000003</v>
      </c>
    </row>
    <row r="68" spans="2:6">
      <c r="B68" s="48" t="s">
        <v>20</v>
      </c>
      <c r="C68" s="48" t="s">
        <v>1860</v>
      </c>
      <c r="D68" s="48">
        <f>DATE(YEAR(OneWeekMtgRatesDataTable756[[#This Row],[asofdate]]),MONTH(OneWeekMtgRatesDataTable756[[#This Row],[asofdate]]),DAY(OneWeekMtgRatesDataTable756[[#This Row],[asofdate]]))</f>
        <v>42489</v>
      </c>
      <c r="E68" s="48" t="s">
        <v>11</v>
      </c>
      <c r="F68" s="55">
        <v>0.43575000000000003</v>
      </c>
    </row>
    <row r="69" spans="2:6">
      <c r="B69" s="48" t="s">
        <v>20</v>
      </c>
      <c r="C69" s="48" t="s">
        <v>1861</v>
      </c>
      <c r="D69" s="48">
        <f>DATE(YEAR(OneWeekMtgRatesDataTable756[[#This Row],[asofdate]]),MONTH(OneWeekMtgRatesDataTable756[[#This Row],[asofdate]]),DAY(OneWeekMtgRatesDataTable756[[#This Row],[asofdate]]))</f>
        <v>42488</v>
      </c>
      <c r="E69" s="48" t="s">
        <v>11</v>
      </c>
      <c r="F69" s="55">
        <v>0.43880000000000002</v>
      </c>
    </row>
    <row r="70" spans="2:6">
      <c r="B70" s="48" t="s">
        <v>20</v>
      </c>
      <c r="C70" s="48" t="s">
        <v>1862</v>
      </c>
      <c r="D70" s="48">
        <f>DATE(YEAR(OneWeekMtgRatesDataTable756[[#This Row],[asofdate]]),MONTH(OneWeekMtgRatesDataTable756[[#This Row],[asofdate]]),DAY(OneWeekMtgRatesDataTable756[[#This Row],[asofdate]]))</f>
        <v>42487</v>
      </c>
      <c r="E70" s="48" t="s">
        <v>11</v>
      </c>
      <c r="F70" s="55">
        <v>0.43519999999999998</v>
      </c>
    </row>
    <row r="71" spans="2:6">
      <c r="B71" s="48" t="s">
        <v>20</v>
      </c>
      <c r="C71" s="48" t="s">
        <v>1863</v>
      </c>
      <c r="D71" s="48">
        <f>DATE(YEAR(OneWeekMtgRatesDataTable756[[#This Row],[asofdate]]),MONTH(OneWeekMtgRatesDataTable756[[#This Row],[asofdate]]),DAY(OneWeekMtgRatesDataTable756[[#This Row],[asofdate]]))</f>
        <v>42486</v>
      </c>
      <c r="E71" s="48" t="s">
        <v>11</v>
      </c>
      <c r="F71" s="55">
        <v>0.43769999999999998</v>
      </c>
    </row>
    <row r="72" spans="2:6">
      <c r="B72" s="48" t="s">
        <v>20</v>
      </c>
      <c r="C72" s="48" t="s">
        <v>1864</v>
      </c>
      <c r="D72" s="48">
        <f>DATE(YEAR(OneWeekMtgRatesDataTable756[[#This Row],[asofdate]]),MONTH(OneWeekMtgRatesDataTable756[[#This Row],[asofdate]]),DAY(OneWeekMtgRatesDataTable756[[#This Row],[asofdate]]))</f>
        <v>42485</v>
      </c>
      <c r="E72" s="48" t="s">
        <v>11</v>
      </c>
      <c r="F72" s="55">
        <v>0.43695000000000001</v>
      </c>
    </row>
    <row r="73" spans="2:6">
      <c r="B73" s="48" t="s">
        <v>20</v>
      </c>
      <c r="C73" s="48" t="s">
        <v>1865</v>
      </c>
      <c r="D73" s="48">
        <f>DATE(YEAR(OneWeekMtgRatesDataTable756[[#This Row],[asofdate]]),MONTH(OneWeekMtgRatesDataTable756[[#This Row],[asofdate]]),DAY(OneWeekMtgRatesDataTable756[[#This Row],[asofdate]]))</f>
        <v>42482</v>
      </c>
      <c r="E73" s="48" t="s">
        <v>11</v>
      </c>
      <c r="F73" s="55">
        <v>0.43645</v>
      </c>
    </row>
    <row r="74" spans="2:6">
      <c r="B74" s="48" t="s">
        <v>20</v>
      </c>
      <c r="C74" s="48" t="s">
        <v>1866</v>
      </c>
      <c r="D74" s="48">
        <f>DATE(YEAR(OneWeekMtgRatesDataTable756[[#This Row],[asofdate]]),MONTH(OneWeekMtgRatesDataTable756[[#This Row],[asofdate]]),DAY(OneWeekMtgRatesDataTable756[[#This Row],[asofdate]]))</f>
        <v>42481</v>
      </c>
      <c r="E74" s="48" t="s">
        <v>11</v>
      </c>
      <c r="F74" s="55">
        <v>0.43885000000000002</v>
      </c>
    </row>
    <row r="75" spans="2:6">
      <c r="B75" s="48" t="s">
        <v>20</v>
      </c>
      <c r="C75" s="48" t="s">
        <v>1867</v>
      </c>
      <c r="D75" s="48">
        <f>DATE(YEAR(OneWeekMtgRatesDataTable756[[#This Row],[asofdate]]),MONTH(OneWeekMtgRatesDataTable756[[#This Row],[asofdate]]),DAY(OneWeekMtgRatesDataTable756[[#This Row],[asofdate]]))</f>
        <v>42480</v>
      </c>
      <c r="E75" s="48" t="s">
        <v>11</v>
      </c>
      <c r="F75" s="55">
        <v>0.44124999999999998</v>
      </c>
    </row>
    <row r="76" spans="2:6">
      <c r="B76" s="48" t="s">
        <v>20</v>
      </c>
      <c r="C76" s="48" t="s">
        <v>1868</v>
      </c>
      <c r="D76" s="48">
        <f>DATE(YEAR(OneWeekMtgRatesDataTable756[[#This Row],[asofdate]]),MONTH(OneWeekMtgRatesDataTable756[[#This Row],[asofdate]]),DAY(OneWeekMtgRatesDataTable756[[#This Row],[asofdate]]))</f>
        <v>42479</v>
      </c>
      <c r="E76" s="48" t="s">
        <v>11</v>
      </c>
      <c r="F76" s="55">
        <v>0.44114999999999999</v>
      </c>
    </row>
    <row r="77" spans="2:6">
      <c r="B77" s="48" t="s">
        <v>20</v>
      </c>
      <c r="C77" s="48" t="s">
        <v>1869</v>
      </c>
      <c r="D77" s="48">
        <f>DATE(YEAR(OneWeekMtgRatesDataTable756[[#This Row],[asofdate]]),MONTH(OneWeekMtgRatesDataTable756[[#This Row],[asofdate]]),DAY(OneWeekMtgRatesDataTable756[[#This Row],[asofdate]]))</f>
        <v>42478</v>
      </c>
      <c r="E77" s="48" t="s">
        <v>11</v>
      </c>
      <c r="F77" s="55">
        <v>0.43874999999999997</v>
      </c>
    </row>
    <row r="78" spans="2:6">
      <c r="B78" s="48" t="s">
        <v>20</v>
      </c>
      <c r="C78" s="48" t="s">
        <v>1870</v>
      </c>
      <c r="D78" s="48">
        <f>DATE(YEAR(OneWeekMtgRatesDataTable756[[#This Row],[asofdate]]),MONTH(OneWeekMtgRatesDataTable756[[#This Row],[asofdate]]),DAY(OneWeekMtgRatesDataTable756[[#This Row],[asofdate]]))</f>
        <v>42475</v>
      </c>
      <c r="E78" s="48" t="s">
        <v>11</v>
      </c>
      <c r="F78" s="55">
        <v>0.43625000000000003</v>
      </c>
    </row>
    <row r="79" spans="2:6">
      <c r="B79" s="48" t="s">
        <v>20</v>
      </c>
      <c r="C79" s="48" t="s">
        <v>1871</v>
      </c>
      <c r="D79" s="48">
        <f>DATE(YEAR(OneWeekMtgRatesDataTable756[[#This Row],[asofdate]]),MONTH(OneWeekMtgRatesDataTable756[[#This Row],[asofdate]]),DAY(OneWeekMtgRatesDataTable756[[#This Row],[asofdate]]))</f>
        <v>42474</v>
      </c>
      <c r="E79" s="48" t="s">
        <v>11</v>
      </c>
      <c r="F79" s="55">
        <v>0.43625000000000003</v>
      </c>
    </row>
    <row r="80" spans="2:6">
      <c r="B80" s="48" t="s">
        <v>20</v>
      </c>
      <c r="C80" s="48" t="s">
        <v>1872</v>
      </c>
      <c r="D80" s="48">
        <f>DATE(YEAR(OneWeekMtgRatesDataTable756[[#This Row],[asofdate]]),MONTH(OneWeekMtgRatesDataTable756[[#This Row],[asofdate]]),DAY(OneWeekMtgRatesDataTable756[[#This Row],[asofdate]]))</f>
        <v>42473</v>
      </c>
      <c r="E80" s="48" t="s">
        <v>11</v>
      </c>
      <c r="F80" s="55">
        <v>0.43275000000000002</v>
      </c>
    </row>
    <row r="81" spans="2:6">
      <c r="B81" s="48" t="s">
        <v>20</v>
      </c>
      <c r="C81" s="48" t="s">
        <v>1873</v>
      </c>
      <c r="D81" s="48">
        <f>DATE(YEAR(OneWeekMtgRatesDataTable756[[#This Row],[asofdate]]),MONTH(OneWeekMtgRatesDataTable756[[#This Row],[asofdate]]),DAY(OneWeekMtgRatesDataTable756[[#This Row],[asofdate]]))</f>
        <v>42472</v>
      </c>
      <c r="E81" s="48" t="s">
        <v>11</v>
      </c>
      <c r="F81" s="55">
        <v>0.43714999999999998</v>
      </c>
    </row>
    <row r="82" spans="2:6">
      <c r="B82" s="48" t="s">
        <v>20</v>
      </c>
      <c r="C82" s="48" t="s">
        <v>1874</v>
      </c>
      <c r="D82" s="48">
        <f>DATE(YEAR(OneWeekMtgRatesDataTable756[[#This Row],[asofdate]]),MONTH(OneWeekMtgRatesDataTable756[[#This Row],[asofdate]]),DAY(OneWeekMtgRatesDataTable756[[#This Row],[asofdate]]))</f>
        <v>42471</v>
      </c>
      <c r="E82" s="48" t="s">
        <v>11</v>
      </c>
      <c r="F82" s="55">
        <v>0.43590000000000001</v>
      </c>
    </row>
    <row r="83" spans="2:6">
      <c r="B83" s="48" t="s">
        <v>20</v>
      </c>
      <c r="C83" s="48" t="s">
        <v>1875</v>
      </c>
      <c r="D83" s="48">
        <f>DATE(YEAR(OneWeekMtgRatesDataTable756[[#This Row],[asofdate]]),MONTH(OneWeekMtgRatesDataTable756[[#This Row],[asofdate]]),DAY(OneWeekMtgRatesDataTable756[[#This Row],[asofdate]]))</f>
        <v>42468</v>
      </c>
      <c r="E83" s="48" t="s">
        <v>11</v>
      </c>
      <c r="F83" s="55">
        <v>0.43469999999999998</v>
      </c>
    </row>
    <row r="84" spans="2:6">
      <c r="B84" s="48" t="s">
        <v>20</v>
      </c>
      <c r="C84" s="48" t="s">
        <v>1876</v>
      </c>
      <c r="D84" s="48">
        <f>DATE(YEAR(OneWeekMtgRatesDataTable756[[#This Row],[asofdate]]),MONTH(OneWeekMtgRatesDataTable756[[#This Row],[asofdate]]),DAY(OneWeekMtgRatesDataTable756[[#This Row],[asofdate]]))</f>
        <v>42467</v>
      </c>
      <c r="E84" s="48" t="s">
        <v>11</v>
      </c>
      <c r="F84" s="55">
        <v>0.43645</v>
      </c>
    </row>
    <row r="85" spans="2:6">
      <c r="B85" s="48" t="s">
        <v>20</v>
      </c>
      <c r="C85" s="48" t="s">
        <v>1877</v>
      </c>
      <c r="D85" s="48">
        <f>DATE(YEAR(OneWeekMtgRatesDataTable756[[#This Row],[asofdate]]),MONTH(OneWeekMtgRatesDataTable756[[#This Row],[asofdate]]),DAY(OneWeekMtgRatesDataTable756[[#This Row],[asofdate]]))</f>
        <v>42466</v>
      </c>
      <c r="E85" s="48" t="s">
        <v>11</v>
      </c>
      <c r="F85" s="55">
        <v>0.439</v>
      </c>
    </row>
    <row r="86" spans="2:6">
      <c r="B86" s="48" t="s">
        <v>20</v>
      </c>
      <c r="C86" s="48" t="s">
        <v>1878</v>
      </c>
      <c r="D86" s="48">
        <f>DATE(YEAR(OneWeekMtgRatesDataTable756[[#This Row],[asofdate]]),MONTH(OneWeekMtgRatesDataTable756[[#This Row],[asofdate]]),DAY(OneWeekMtgRatesDataTable756[[#This Row],[asofdate]]))</f>
        <v>42465</v>
      </c>
      <c r="E86" s="48" t="s">
        <v>11</v>
      </c>
      <c r="F86" s="55">
        <v>0.4385</v>
      </c>
    </row>
    <row r="87" spans="2:6">
      <c r="B87" s="48" t="s">
        <v>20</v>
      </c>
      <c r="C87" s="48" t="s">
        <v>1879</v>
      </c>
      <c r="D87" s="48">
        <f>DATE(YEAR(OneWeekMtgRatesDataTable756[[#This Row],[asofdate]]),MONTH(OneWeekMtgRatesDataTable756[[#This Row],[asofdate]]),DAY(OneWeekMtgRatesDataTable756[[#This Row],[asofdate]]))</f>
        <v>42464</v>
      </c>
      <c r="E87" s="48" t="s">
        <v>11</v>
      </c>
      <c r="F87" s="55">
        <v>0.44019999999999998</v>
      </c>
    </row>
    <row r="88" spans="2:6">
      <c r="B88" s="48" t="s">
        <v>20</v>
      </c>
      <c r="C88" s="48" t="s">
        <v>1880</v>
      </c>
      <c r="D88" s="48">
        <f>DATE(YEAR(OneWeekMtgRatesDataTable756[[#This Row],[asofdate]]),MONTH(OneWeekMtgRatesDataTable756[[#This Row],[asofdate]]),DAY(OneWeekMtgRatesDataTable756[[#This Row],[asofdate]]))</f>
        <v>42461</v>
      </c>
      <c r="E88" s="48" t="s">
        <v>11</v>
      </c>
      <c r="F88" s="55">
        <v>0.43735000000000002</v>
      </c>
    </row>
    <row r="89" spans="2:6">
      <c r="B89" s="48" t="s">
        <v>20</v>
      </c>
      <c r="C89" s="48" t="s">
        <v>1881</v>
      </c>
      <c r="D89" s="48">
        <f>DATE(YEAR(OneWeekMtgRatesDataTable756[[#This Row],[asofdate]]),MONTH(OneWeekMtgRatesDataTable756[[#This Row],[asofdate]]),DAY(OneWeekMtgRatesDataTable756[[#This Row],[asofdate]]))</f>
        <v>42460</v>
      </c>
      <c r="E89" s="48" t="s">
        <v>11</v>
      </c>
      <c r="F89" s="55">
        <v>0.43725000000000003</v>
      </c>
    </row>
    <row r="90" spans="2:6">
      <c r="B90" s="48" t="s">
        <v>20</v>
      </c>
      <c r="C90" s="48" t="s">
        <v>1882</v>
      </c>
      <c r="D90" s="48">
        <f>DATE(YEAR(OneWeekMtgRatesDataTable756[[#This Row],[asofdate]]),MONTH(OneWeekMtgRatesDataTable756[[#This Row],[asofdate]]),DAY(OneWeekMtgRatesDataTable756[[#This Row],[asofdate]]))</f>
        <v>42459</v>
      </c>
      <c r="E90" s="48" t="s">
        <v>11</v>
      </c>
      <c r="F90" s="55">
        <v>0.434</v>
      </c>
    </row>
    <row r="91" spans="2:6">
      <c r="B91" s="48" t="s">
        <v>20</v>
      </c>
      <c r="C91" s="48" t="s">
        <v>1883</v>
      </c>
      <c r="D91" s="48">
        <f>DATE(YEAR(OneWeekMtgRatesDataTable756[[#This Row],[asofdate]]),MONTH(OneWeekMtgRatesDataTable756[[#This Row],[asofdate]]),DAY(OneWeekMtgRatesDataTable756[[#This Row],[asofdate]]))</f>
        <v>42458</v>
      </c>
      <c r="E91" s="48" t="s">
        <v>11</v>
      </c>
      <c r="F91" s="55">
        <v>0.43290000000000001</v>
      </c>
    </row>
    <row r="92" spans="2:6">
      <c r="B92" s="48" t="s">
        <v>20</v>
      </c>
      <c r="C92" s="48" t="s">
        <v>1884</v>
      </c>
      <c r="D92" s="48">
        <f>DATE(YEAR(OneWeekMtgRatesDataTable756[[#This Row],[asofdate]]),MONTH(OneWeekMtgRatesDataTable756[[#This Row],[asofdate]]),DAY(OneWeekMtgRatesDataTable756[[#This Row],[asofdate]]))</f>
        <v>42457</v>
      </c>
      <c r="E92" s="48" t="s">
        <v>11</v>
      </c>
      <c r="F92" s="55">
        <v>0.435</v>
      </c>
    </row>
    <row r="93" spans="2:6">
      <c r="B93" s="48" t="s">
        <v>20</v>
      </c>
      <c r="C93" s="48" t="s">
        <v>1885</v>
      </c>
      <c r="D93" s="48">
        <f>DATE(YEAR(OneWeekMtgRatesDataTable756[[#This Row],[asofdate]]),MONTH(OneWeekMtgRatesDataTable756[[#This Row],[asofdate]]),DAY(OneWeekMtgRatesDataTable756[[#This Row],[asofdate]]))</f>
        <v>42453</v>
      </c>
      <c r="E93" s="48" t="s">
        <v>11</v>
      </c>
      <c r="F93" s="55">
        <v>0.435</v>
      </c>
    </row>
    <row r="94" spans="2:6">
      <c r="B94" s="48" t="s">
        <v>20</v>
      </c>
      <c r="C94" s="48" t="s">
        <v>1886</v>
      </c>
      <c r="D94" s="48">
        <f>DATE(YEAR(OneWeekMtgRatesDataTable756[[#This Row],[asofdate]]),MONTH(OneWeekMtgRatesDataTable756[[#This Row],[asofdate]]),DAY(OneWeekMtgRatesDataTable756[[#This Row],[asofdate]]))</f>
        <v>42452</v>
      </c>
      <c r="E94" s="48" t="s">
        <v>11</v>
      </c>
      <c r="F94" s="55">
        <v>0.433</v>
      </c>
    </row>
    <row r="95" spans="2:6">
      <c r="B95" s="48" t="s">
        <v>20</v>
      </c>
      <c r="C95" s="48" t="s">
        <v>1887</v>
      </c>
      <c r="D95" s="48">
        <f>DATE(YEAR(OneWeekMtgRatesDataTable756[[#This Row],[asofdate]]),MONTH(OneWeekMtgRatesDataTable756[[#This Row],[asofdate]]),DAY(OneWeekMtgRatesDataTable756[[#This Row],[asofdate]]))</f>
        <v>42451</v>
      </c>
      <c r="E95" s="48" t="s">
        <v>11</v>
      </c>
      <c r="F95" s="55">
        <v>0.43149999999999999</v>
      </c>
    </row>
    <row r="96" spans="2:6">
      <c r="B96" s="48" t="s">
        <v>20</v>
      </c>
      <c r="C96" s="48" t="s">
        <v>1888</v>
      </c>
      <c r="D96" s="48">
        <f>DATE(YEAR(OneWeekMtgRatesDataTable756[[#This Row],[asofdate]]),MONTH(OneWeekMtgRatesDataTable756[[#This Row],[asofdate]]),DAY(OneWeekMtgRatesDataTable756[[#This Row],[asofdate]]))</f>
        <v>42450</v>
      </c>
      <c r="E96" s="48" t="s">
        <v>11</v>
      </c>
      <c r="F96" s="55">
        <v>0.43180000000000002</v>
      </c>
    </row>
    <row r="97" spans="2:6">
      <c r="B97" s="48" t="s">
        <v>20</v>
      </c>
      <c r="C97" s="48" t="s">
        <v>1889</v>
      </c>
      <c r="D97" s="48">
        <f>DATE(YEAR(OneWeekMtgRatesDataTable756[[#This Row],[asofdate]]),MONTH(OneWeekMtgRatesDataTable756[[#This Row],[asofdate]]),DAY(OneWeekMtgRatesDataTable756[[#This Row],[asofdate]]))</f>
        <v>42447</v>
      </c>
      <c r="E97" s="48" t="s">
        <v>11</v>
      </c>
      <c r="F97" s="55">
        <v>0.42830000000000001</v>
      </c>
    </row>
    <row r="98" spans="2:6">
      <c r="B98" s="48" t="s">
        <v>20</v>
      </c>
      <c r="C98" s="48" t="s">
        <v>1890</v>
      </c>
      <c r="D98" s="48">
        <f>DATE(YEAR(OneWeekMtgRatesDataTable756[[#This Row],[asofdate]]),MONTH(OneWeekMtgRatesDataTable756[[#This Row],[asofdate]]),DAY(OneWeekMtgRatesDataTable756[[#This Row],[asofdate]]))</f>
        <v>42446</v>
      </c>
      <c r="E98" s="48" t="s">
        <v>11</v>
      </c>
      <c r="F98" s="55">
        <v>0.43209999999999998</v>
      </c>
    </row>
    <row r="99" spans="2:6">
      <c r="B99" s="48" t="s">
        <v>20</v>
      </c>
      <c r="C99" s="48" t="s">
        <v>1891</v>
      </c>
      <c r="D99" s="48">
        <f>DATE(YEAR(OneWeekMtgRatesDataTable756[[#This Row],[asofdate]]),MONTH(OneWeekMtgRatesDataTable756[[#This Row],[asofdate]]),DAY(OneWeekMtgRatesDataTable756[[#This Row],[asofdate]]))</f>
        <v>42445</v>
      </c>
      <c r="E99" s="48" t="s">
        <v>11</v>
      </c>
      <c r="F99" s="55">
        <v>0.43990000000000001</v>
      </c>
    </row>
    <row r="100" spans="2:6">
      <c r="B100" s="48" t="s">
        <v>20</v>
      </c>
      <c r="C100" s="48" t="s">
        <v>1892</v>
      </c>
      <c r="D100" s="48">
        <f>DATE(YEAR(OneWeekMtgRatesDataTable756[[#This Row],[asofdate]]),MONTH(OneWeekMtgRatesDataTable756[[#This Row],[asofdate]]),DAY(OneWeekMtgRatesDataTable756[[#This Row],[asofdate]]))</f>
        <v>42444</v>
      </c>
      <c r="E100" s="48" t="s">
        <v>11</v>
      </c>
      <c r="F100" s="55">
        <v>0.44124999999999998</v>
      </c>
    </row>
    <row r="101" spans="2:6">
      <c r="B101" s="48" t="s">
        <v>20</v>
      </c>
      <c r="C101" s="48" t="s">
        <v>1893</v>
      </c>
      <c r="D101" s="48">
        <f>DATE(YEAR(OneWeekMtgRatesDataTable756[[#This Row],[asofdate]]),MONTH(OneWeekMtgRatesDataTable756[[#This Row],[asofdate]]),DAY(OneWeekMtgRatesDataTable756[[#This Row],[asofdate]]))</f>
        <v>42443</v>
      </c>
      <c r="E101" s="48" t="s">
        <v>11</v>
      </c>
      <c r="F101" s="55">
        <v>0.44130000000000003</v>
      </c>
    </row>
    <row r="102" spans="2:6">
      <c r="B102" s="48" t="s">
        <v>20</v>
      </c>
      <c r="C102" s="48" t="s">
        <v>1894</v>
      </c>
      <c r="D102" s="48">
        <f>DATE(YEAR(OneWeekMtgRatesDataTable756[[#This Row],[asofdate]]),MONTH(OneWeekMtgRatesDataTable756[[#This Row],[asofdate]]),DAY(OneWeekMtgRatesDataTable756[[#This Row],[asofdate]]))</f>
        <v>42440</v>
      </c>
      <c r="E102" s="48" t="s">
        <v>11</v>
      </c>
      <c r="F102" s="55">
        <v>0.43619999999999998</v>
      </c>
    </row>
    <row r="103" spans="2:6">
      <c r="B103" s="48" t="s">
        <v>20</v>
      </c>
      <c r="C103" s="48" t="s">
        <v>1895</v>
      </c>
      <c r="D103" s="48">
        <f>DATE(YEAR(OneWeekMtgRatesDataTable756[[#This Row],[asofdate]]),MONTH(OneWeekMtgRatesDataTable756[[#This Row],[asofdate]]),DAY(OneWeekMtgRatesDataTable756[[#This Row],[asofdate]]))</f>
        <v>42439</v>
      </c>
      <c r="E103" s="48" t="s">
        <v>11</v>
      </c>
      <c r="F103" s="55">
        <v>0.43809999999999999</v>
      </c>
    </row>
    <row r="104" spans="2:6">
      <c r="B104" s="48" t="s">
        <v>20</v>
      </c>
      <c r="C104" s="48" t="s">
        <v>1896</v>
      </c>
      <c r="D104" s="48">
        <f>DATE(YEAR(OneWeekMtgRatesDataTable756[[#This Row],[asofdate]]),MONTH(OneWeekMtgRatesDataTable756[[#This Row],[asofdate]]),DAY(OneWeekMtgRatesDataTable756[[#This Row],[asofdate]]))</f>
        <v>42438</v>
      </c>
      <c r="E104" s="48" t="s">
        <v>11</v>
      </c>
      <c r="F104" s="55">
        <v>0.438</v>
      </c>
    </row>
    <row r="105" spans="2:6">
      <c r="B105" s="48" t="s">
        <v>20</v>
      </c>
      <c r="C105" s="48" t="s">
        <v>1897</v>
      </c>
      <c r="D105" s="48">
        <f>DATE(YEAR(OneWeekMtgRatesDataTable756[[#This Row],[asofdate]]),MONTH(OneWeekMtgRatesDataTable756[[#This Row],[asofdate]]),DAY(OneWeekMtgRatesDataTable756[[#This Row],[asofdate]]))</f>
        <v>42437</v>
      </c>
      <c r="E105" s="48" t="s">
        <v>11</v>
      </c>
      <c r="F105" s="55">
        <v>0.44185000000000002</v>
      </c>
    </row>
    <row r="106" spans="2:6">
      <c r="B106" s="48" t="s">
        <v>20</v>
      </c>
      <c r="C106" s="48" t="s">
        <v>1898</v>
      </c>
      <c r="D106" s="48">
        <f>DATE(YEAR(OneWeekMtgRatesDataTable756[[#This Row],[asofdate]]),MONTH(OneWeekMtgRatesDataTable756[[#This Row],[asofdate]]),DAY(OneWeekMtgRatesDataTable756[[#This Row],[asofdate]]))</f>
        <v>42436</v>
      </c>
      <c r="E106" s="48" t="s">
        <v>11</v>
      </c>
      <c r="F106" s="55">
        <v>0.4405</v>
      </c>
    </row>
    <row r="107" spans="2:6">
      <c r="B107" s="48" t="s">
        <v>20</v>
      </c>
      <c r="C107" s="48" t="s">
        <v>1899</v>
      </c>
      <c r="D107" s="48">
        <f>DATE(YEAR(OneWeekMtgRatesDataTable756[[#This Row],[asofdate]]),MONTH(OneWeekMtgRatesDataTable756[[#This Row],[asofdate]]),DAY(OneWeekMtgRatesDataTable756[[#This Row],[asofdate]]))</f>
        <v>42433</v>
      </c>
      <c r="E107" s="48" t="s">
        <v>11</v>
      </c>
      <c r="F107" s="55">
        <v>0.438</v>
      </c>
    </row>
    <row r="108" spans="2:6">
      <c r="B108" s="48" t="s">
        <v>20</v>
      </c>
      <c r="C108" s="48" t="s">
        <v>1900</v>
      </c>
      <c r="D108" s="48">
        <f>DATE(YEAR(OneWeekMtgRatesDataTable756[[#This Row],[asofdate]]),MONTH(OneWeekMtgRatesDataTable756[[#This Row],[asofdate]]),DAY(OneWeekMtgRatesDataTable756[[#This Row],[asofdate]]))</f>
        <v>42432</v>
      </c>
      <c r="E108" s="48" t="s">
        <v>11</v>
      </c>
      <c r="F108" s="55">
        <v>0.4405</v>
      </c>
    </row>
    <row r="109" spans="2:6">
      <c r="B109" s="48" t="s">
        <v>20</v>
      </c>
      <c r="C109" s="48" t="s">
        <v>1901</v>
      </c>
      <c r="D109" s="48">
        <f>DATE(YEAR(OneWeekMtgRatesDataTable756[[#This Row],[asofdate]]),MONTH(OneWeekMtgRatesDataTable756[[#This Row],[asofdate]]),DAY(OneWeekMtgRatesDataTable756[[#This Row],[asofdate]]))</f>
        <v>42431</v>
      </c>
      <c r="E109" s="48" t="s">
        <v>11</v>
      </c>
      <c r="F109" s="55">
        <v>0.43759999999999999</v>
      </c>
    </row>
    <row r="110" spans="2:6">
      <c r="B110" s="48" t="s">
        <v>20</v>
      </c>
      <c r="C110" s="48" t="s">
        <v>1902</v>
      </c>
      <c r="D110" s="48">
        <f>DATE(YEAR(OneWeekMtgRatesDataTable756[[#This Row],[asofdate]]),MONTH(OneWeekMtgRatesDataTable756[[#This Row],[asofdate]]),DAY(OneWeekMtgRatesDataTable756[[#This Row],[asofdate]]))</f>
        <v>42430</v>
      </c>
      <c r="E110" s="48" t="s">
        <v>11</v>
      </c>
      <c r="F110" s="55">
        <v>0.43525000000000003</v>
      </c>
    </row>
    <row r="111" spans="2:6">
      <c r="B111" s="48" t="s">
        <v>20</v>
      </c>
      <c r="C111" s="48" t="s">
        <v>1840</v>
      </c>
      <c r="D111" s="48">
        <f>DATE(YEAR(OneWeekMtgRatesDataTable756[[#This Row],[asofdate]]),MONTH(OneWeekMtgRatesDataTable756[[#This Row],[asofdate]]),DAY(OneWeekMtgRatesDataTable756[[#This Row],[asofdate]]))</f>
        <v>42429</v>
      </c>
      <c r="E111" s="48" t="s">
        <v>11</v>
      </c>
      <c r="F111" s="55">
        <v>0.4405</v>
      </c>
    </row>
    <row r="112" spans="2:6">
      <c r="B112" s="48" t="s">
        <v>20</v>
      </c>
      <c r="C112" s="48" t="s">
        <v>1841</v>
      </c>
      <c r="D112" s="48">
        <f>DATE(YEAR(OneWeekMtgRatesDataTable756[[#This Row],[asofdate]]),MONTH(OneWeekMtgRatesDataTable756[[#This Row],[asofdate]]),DAY(OneWeekMtgRatesDataTable756[[#This Row],[asofdate]]))</f>
        <v>42426</v>
      </c>
      <c r="E112" s="48" t="s">
        <v>11</v>
      </c>
      <c r="F112" s="55">
        <v>0.4385</v>
      </c>
    </row>
    <row r="113" spans="2:6">
      <c r="B113" s="48" t="s">
        <v>20</v>
      </c>
      <c r="C113" s="48" t="s">
        <v>1842</v>
      </c>
      <c r="D113" s="48">
        <f>DATE(YEAR(OneWeekMtgRatesDataTable756[[#This Row],[asofdate]]),MONTH(OneWeekMtgRatesDataTable756[[#This Row],[asofdate]]),DAY(OneWeekMtgRatesDataTable756[[#This Row],[asofdate]]))</f>
        <v>42425</v>
      </c>
      <c r="E113" s="48" t="s">
        <v>11</v>
      </c>
      <c r="F113" s="55">
        <v>0.4385</v>
      </c>
    </row>
    <row r="114" spans="2:6">
      <c r="B114" s="48" t="s">
        <v>20</v>
      </c>
      <c r="C114" s="48" t="s">
        <v>1843</v>
      </c>
      <c r="D114" s="48">
        <f>DATE(YEAR(OneWeekMtgRatesDataTable756[[#This Row],[asofdate]]),MONTH(OneWeekMtgRatesDataTable756[[#This Row],[asofdate]]),DAY(OneWeekMtgRatesDataTable756[[#This Row],[asofdate]]))</f>
        <v>42424</v>
      </c>
      <c r="E114" s="48" t="s">
        <v>11</v>
      </c>
      <c r="F114" s="55">
        <v>0.43380000000000002</v>
      </c>
    </row>
    <row r="115" spans="2:6">
      <c r="B115" s="48" t="s">
        <v>20</v>
      </c>
      <c r="C115" s="48" t="s">
        <v>1844</v>
      </c>
      <c r="D115" s="48">
        <f>DATE(YEAR(OneWeekMtgRatesDataTable756[[#This Row],[asofdate]]),MONTH(OneWeekMtgRatesDataTable756[[#This Row],[asofdate]]),DAY(OneWeekMtgRatesDataTable756[[#This Row],[asofdate]]))</f>
        <v>42423</v>
      </c>
      <c r="E115" s="48" t="s">
        <v>11</v>
      </c>
      <c r="F115" s="55">
        <v>0.43580000000000002</v>
      </c>
    </row>
    <row r="116" spans="2:6">
      <c r="B116" s="48" t="s">
        <v>20</v>
      </c>
      <c r="C116" s="48" t="s">
        <v>1845</v>
      </c>
      <c r="D116" s="48">
        <f>DATE(YEAR(OneWeekMtgRatesDataTable756[[#This Row],[asofdate]]),MONTH(OneWeekMtgRatesDataTable756[[#This Row],[asofdate]]),DAY(OneWeekMtgRatesDataTable756[[#This Row],[asofdate]]))</f>
        <v>42422</v>
      </c>
      <c r="E116" s="48" t="s">
        <v>11</v>
      </c>
      <c r="F116" s="55">
        <v>0.4335</v>
      </c>
    </row>
    <row r="117" spans="2:6">
      <c r="B117" s="48" t="s">
        <v>20</v>
      </c>
      <c r="C117" s="48" t="s">
        <v>1846</v>
      </c>
      <c r="D117" s="48">
        <f>DATE(YEAR(OneWeekMtgRatesDataTable756[[#This Row],[asofdate]]),MONTH(OneWeekMtgRatesDataTable756[[#This Row],[asofdate]]),DAY(OneWeekMtgRatesDataTable756[[#This Row],[asofdate]]))</f>
        <v>42419</v>
      </c>
      <c r="E117" s="48" t="s">
        <v>11</v>
      </c>
      <c r="F117" s="55">
        <v>0.4335</v>
      </c>
    </row>
    <row r="118" spans="2:6">
      <c r="B118" s="48" t="s">
        <v>20</v>
      </c>
      <c r="C118" s="48" t="s">
        <v>1847</v>
      </c>
      <c r="D118" s="48">
        <f>DATE(YEAR(OneWeekMtgRatesDataTable756[[#This Row],[asofdate]]),MONTH(OneWeekMtgRatesDataTable756[[#This Row],[asofdate]]),DAY(OneWeekMtgRatesDataTable756[[#This Row],[asofdate]]))</f>
        <v>42418</v>
      </c>
      <c r="E118" s="48" t="s">
        <v>11</v>
      </c>
      <c r="F118" s="55">
        <v>0.432</v>
      </c>
    </row>
    <row r="119" spans="2:6">
      <c r="B119" s="48" t="s">
        <v>20</v>
      </c>
      <c r="C119" s="48" t="s">
        <v>1848</v>
      </c>
      <c r="D119" s="48">
        <f>DATE(YEAR(OneWeekMtgRatesDataTable756[[#This Row],[asofdate]]),MONTH(OneWeekMtgRatesDataTable756[[#This Row],[asofdate]]),DAY(OneWeekMtgRatesDataTable756[[#This Row],[asofdate]]))</f>
        <v>42417</v>
      </c>
      <c r="E119" s="48" t="s">
        <v>11</v>
      </c>
      <c r="F119" s="55">
        <v>0.43004999999999999</v>
      </c>
    </row>
    <row r="120" spans="2:6">
      <c r="B120" s="48" t="s">
        <v>20</v>
      </c>
      <c r="C120" s="48" t="s">
        <v>1849</v>
      </c>
      <c r="D120" s="48">
        <f>DATE(YEAR(OneWeekMtgRatesDataTable756[[#This Row],[asofdate]]),MONTH(OneWeekMtgRatesDataTable756[[#This Row],[asofdate]]),DAY(OneWeekMtgRatesDataTable756[[#This Row],[asofdate]]))</f>
        <v>42416</v>
      </c>
      <c r="E120" s="48" t="s">
        <v>11</v>
      </c>
      <c r="F120" s="55">
        <v>0.42949999999999999</v>
      </c>
    </row>
    <row r="121" spans="2:6">
      <c r="B121" s="48" t="s">
        <v>20</v>
      </c>
      <c r="C121" s="48" t="s">
        <v>1850</v>
      </c>
      <c r="D121" s="48">
        <f>DATE(YEAR(OneWeekMtgRatesDataTable756[[#This Row],[asofdate]]),MONTH(OneWeekMtgRatesDataTable756[[#This Row],[asofdate]]),DAY(OneWeekMtgRatesDataTable756[[#This Row],[asofdate]]))</f>
        <v>42412</v>
      </c>
      <c r="E121" s="48" t="s">
        <v>11</v>
      </c>
      <c r="F121" s="55">
        <v>0.43049999999999999</v>
      </c>
    </row>
    <row r="122" spans="2:6">
      <c r="B122" s="48" t="s">
        <v>20</v>
      </c>
      <c r="C122" s="48" t="s">
        <v>1851</v>
      </c>
      <c r="D122" s="48">
        <f>DATE(YEAR(OneWeekMtgRatesDataTable756[[#This Row],[asofdate]]),MONTH(OneWeekMtgRatesDataTable756[[#This Row],[asofdate]]),DAY(OneWeekMtgRatesDataTable756[[#This Row],[asofdate]]))</f>
        <v>42411</v>
      </c>
      <c r="E122" s="48" t="s">
        <v>11</v>
      </c>
      <c r="F122" s="55">
        <v>0.42699999999999999</v>
      </c>
    </row>
    <row r="123" spans="2:6">
      <c r="B123" s="48" t="s">
        <v>20</v>
      </c>
      <c r="C123" s="48" t="s">
        <v>1852</v>
      </c>
      <c r="D123" s="48">
        <f>DATE(YEAR(OneWeekMtgRatesDataTable756[[#This Row],[asofdate]]),MONTH(OneWeekMtgRatesDataTable756[[#This Row],[asofdate]]),DAY(OneWeekMtgRatesDataTable756[[#This Row],[asofdate]]))</f>
        <v>42410</v>
      </c>
      <c r="E123" s="48" t="s">
        <v>11</v>
      </c>
      <c r="F123" s="55">
        <v>0.42649999999999999</v>
      </c>
    </row>
    <row r="124" spans="2:6">
      <c r="B124" s="48" t="s">
        <v>20</v>
      </c>
      <c r="C124" s="48" t="s">
        <v>1853</v>
      </c>
      <c r="D124" s="48">
        <f>DATE(YEAR(OneWeekMtgRatesDataTable756[[#This Row],[asofdate]]),MONTH(OneWeekMtgRatesDataTable756[[#This Row],[asofdate]]),DAY(OneWeekMtgRatesDataTable756[[#This Row],[asofdate]]))</f>
        <v>42409</v>
      </c>
      <c r="E124" s="48" t="s">
        <v>11</v>
      </c>
      <c r="F124" s="55">
        <v>0.42849999999999999</v>
      </c>
    </row>
    <row r="125" spans="2:6">
      <c r="B125" s="48" t="s">
        <v>20</v>
      </c>
      <c r="C125" s="48" t="s">
        <v>1854</v>
      </c>
      <c r="D125" s="48">
        <f>DATE(YEAR(OneWeekMtgRatesDataTable756[[#This Row],[asofdate]]),MONTH(OneWeekMtgRatesDataTable756[[#This Row],[asofdate]]),DAY(OneWeekMtgRatesDataTable756[[#This Row],[asofdate]]))</f>
        <v>42408</v>
      </c>
      <c r="E125" s="48" t="s">
        <v>11</v>
      </c>
      <c r="F125" s="55">
        <v>0.42925000000000002</v>
      </c>
    </row>
    <row r="126" spans="2:6">
      <c r="B126" s="48" t="s">
        <v>20</v>
      </c>
      <c r="C126" s="48" t="s">
        <v>1855</v>
      </c>
      <c r="D126" s="48">
        <f>DATE(YEAR(OneWeekMtgRatesDataTable756[[#This Row],[asofdate]]),MONTH(OneWeekMtgRatesDataTable756[[#This Row],[asofdate]]),DAY(OneWeekMtgRatesDataTable756[[#This Row],[asofdate]]))</f>
        <v>42405</v>
      </c>
      <c r="E126" s="48" t="s">
        <v>11</v>
      </c>
      <c r="F126" s="55">
        <v>0.4289</v>
      </c>
    </row>
    <row r="127" spans="2:6">
      <c r="B127" s="48" t="s">
        <v>20</v>
      </c>
      <c r="C127" s="48" t="s">
        <v>1856</v>
      </c>
      <c r="D127" s="48">
        <f>DATE(YEAR(OneWeekMtgRatesDataTable756[[#This Row],[asofdate]]),MONTH(OneWeekMtgRatesDataTable756[[#This Row],[asofdate]]),DAY(OneWeekMtgRatesDataTable756[[#This Row],[asofdate]]))</f>
        <v>42404</v>
      </c>
      <c r="E127" s="48" t="s">
        <v>11</v>
      </c>
      <c r="F127" s="55">
        <v>0.42770000000000002</v>
      </c>
    </row>
    <row r="128" spans="2:6">
      <c r="B128" s="48" t="s">
        <v>20</v>
      </c>
      <c r="C128" s="48" t="s">
        <v>1857</v>
      </c>
      <c r="D128" s="48">
        <f>DATE(YEAR(OneWeekMtgRatesDataTable756[[#This Row],[asofdate]]),MONTH(OneWeekMtgRatesDataTable756[[#This Row],[asofdate]]),DAY(OneWeekMtgRatesDataTable756[[#This Row],[asofdate]]))</f>
        <v>42403</v>
      </c>
      <c r="E128" s="48" t="s">
        <v>11</v>
      </c>
      <c r="F128" s="55">
        <v>0.42849999999999999</v>
      </c>
    </row>
    <row r="129" spans="2:6">
      <c r="B129" s="48" t="s">
        <v>20</v>
      </c>
      <c r="C129" s="48" t="s">
        <v>1831</v>
      </c>
      <c r="D129" s="48">
        <f>DATE(YEAR(OneWeekMtgRatesDataTable756[[#This Row],[asofdate]]),MONTH(OneWeekMtgRatesDataTable756[[#This Row],[asofdate]]),DAY(OneWeekMtgRatesDataTable756[[#This Row],[asofdate]]))</f>
        <v>42402</v>
      </c>
      <c r="E129" s="48" t="s">
        <v>11</v>
      </c>
      <c r="F129" s="55">
        <v>0.42849999999999999</v>
      </c>
    </row>
    <row r="130" spans="2:6">
      <c r="B130" s="48" t="s">
        <v>20</v>
      </c>
      <c r="C130" s="48" t="s">
        <v>1807</v>
      </c>
      <c r="D130" s="48">
        <f>DATE(YEAR(OneWeekMtgRatesDataTable756[[#This Row],[asofdate]]),MONTH(OneWeekMtgRatesDataTable756[[#This Row],[asofdate]]),DAY(OneWeekMtgRatesDataTable756[[#This Row],[asofdate]]))</f>
        <v>42401</v>
      </c>
      <c r="E130" s="48" t="s">
        <v>11</v>
      </c>
      <c r="F130" s="55">
        <v>0.42699999999999999</v>
      </c>
    </row>
    <row r="131" spans="2:6">
      <c r="B131" s="48" t="s">
        <v>20</v>
      </c>
      <c r="C131" s="48" t="s">
        <v>1808</v>
      </c>
      <c r="D131" s="48">
        <f>DATE(YEAR(OneWeekMtgRatesDataTable756[[#This Row],[asofdate]]),MONTH(OneWeekMtgRatesDataTable756[[#This Row],[asofdate]]),DAY(OneWeekMtgRatesDataTable756[[#This Row],[asofdate]]))</f>
        <v>42398</v>
      </c>
      <c r="E131" s="48" t="s">
        <v>11</v>
      </c>
      <c r="F131" s="55">
        <v>0.42499999999999999</v>
      </c>
    </row>
    <row r="132" spans="2:6">
      <c r="B132" s="48" t="s">
        <v>20</v>
      </c>
      <c r="C132" s="48" t="s">
        <v>1809</v>
      </c>
      <c r="D132" s="48">
        <f>DATE(YEAR(OneWeekMtgRatesDataTable756[[#This Row],[asofdate]]),MONTH(OneWeekMtgRatesDataTable756[[#This Row],[asofdate]]),DAY(OneWeekMtgRatesDataTable756[[#This Row],[asofdate]]))</f>
        <v>42397</v>
      </c>
      <c r="E132" s="48" t="s">
        <v>11</v>
      </c>
      <c r="F132" s="55">
        <v>0.42620000000000002</v>
      </c>
    </row>
    <row r="133" spans="2:6">
      <c r="B133" s="48" t="s">
        <v>20</v>
      </c>
      <c r="C133" s="48" t="s">
        <v>1810</v>
      </c>
      <c r="D133" s="48">
        <f>DATE(YEAR(OneWeekMtgRatesDataTable756[[#This Row],[asofdate]]),MONTH(OneWeekMtgRatesDataTable756[[#This Row],[asofdate]]),DAY(OneWeekMtgRatesDataTable756[[#This Row],[asofdate]]))</f>
        <v>42396</v>
      </c>
      <c r="E133" s="48" t="s">
        <v>11</v>
      </c>
      <c r="F133" s="55">
        <v>0.42799999999999999</v>
      </c>
    </row>
    <row r="134" spans="2:6">
      <c r="B134" s="48" t="s">
        <v>20</v>
      </c>
      <c r="C134" s="48" t="s">
        <v>1811</v>
      </c>
      <c r="D134" s="48">
        <f>DATE(YEAR(OneWeekMtgRatesDataTable756[[#This Row],[asofdate]]),MONTH(OneWeekMtgRatesDataTable756[[#This Row],[asofdate]]),DAY(OneWeekMtgRatesDataTable756[[#This Row],[asofdate]]))</f>
        <v>42395</v>
      </c>
      <c r="E134" s="48" t="s">
        <v>11</v>
      </c>
      <c r="F134" s="55">
        <v>0.43059999999999998</v>
      </c>
    </row>
    <row r="135" spans="2:6">
      <c r="B135" s="48" t="s">
        <v>20</v>
      </c>
      <c r="C135" s="48" t="s">
        <v>1812</v>
      </c>
      <c r="D135" s="48">
        <f>DATE(YEAR(OneWeekMtgRatesDataTable756[[#This Row],[asofdate]]),MONTH(OneWeekMtgRatesDataTable756[[#This Row],[asofdate]]),DAY(OneWeekMtgRatesDataTable756[[#This Row],[asofdate]]))</f>
        <v>42394</v>
      </c>
      <c r="E135" s="48" t="s">
        <v>11</v>
      </c>
      <c r="F135" s="55">
        <v>0.43059999999999998</v>
      </c>
    </row>
    <row r="136" spans="2:6">
      <c r="B136" s="48" t="s">
        <v>20</v>
      </c>
      <c r="C136" s="48" t="s">
        <v>1813</v>
      </c>
      <c r="D136" s="48">
        <f>DATE(YEAR(OneWeekMtgRatesDataTable756[[#This Row],[asofdate]]),MONTH(OneWeekMtgRatesDataTable756[[#This Row],[asofdate]]),DAY(OneWeekMtgRatesDataTable756[[#This Row],[asofdate]]))</f>
        <v>42391</v>
      </c>
      <c r="E136" s="48" t="s">
        <v>11</v>
      </c>
      <c r="F136" s="55">
        <v>0.42549999999999999</v>
      </c>
    </row>
    <row r="137" spans="2:6">
      <c r="B137" s="48" t="s">
        <v>20</v>
      </c>
      <c r="C137" s="48" t="s">
        <v>1814</v>
      </c>
      <c r="D137" s="48">
        <f>DATE(YEAR(OneWeekMtgRatesDataTable756[[#This Row],[asofdate]]),MONTH(OneWeekMtgRatesDataTable756[[#This Row],[asofdate]]),DAY(OneWeekMtgRatesDataTable756[[#This Row],[asofdate]]))</f>
        <v>42390</v>
      </c>
      <c r="E137" s="48" t="s">
        <v>11</v>
      </c>
      <c r="F137" s="55">
        <v>0.42649999999999999</v>
      </c>
    </row>
    <row r="138" spans="2:6">
      <c r="B138" s="48" t="s">
        <v>20</v>
      </c>
      <c r="C138" s="48" t="s">
        <v>1815</v>
      </c>
      <c r="D138" s="48">
        <f>DATE(YEAR(OneWeekMtgRatesDataTable756[[#This Row],[asofdate]]),MONTH(OneWeekMtgRatesDataTable756[[#This Row],[asofdate]]),DAY(OneWeekMtgRatesDataTable756[[#This Row],[asofdate]]))</f>
        <v>42389</v>
      </c>
      <c r="E138" s="48" t="s">
        <v>11</v>
      </c>
      <c r="F138" s="55">
        <v>0.42530000000000001</v>
      </c>
    </row>
    <row r="139" spans="2:6">
      <c r="B139" s="48" t="s">
        <v>20</v>
      </c>
      <c r="C139" s="48" t="s">
        <v>1816</v>
      </c>
      <c r="D139" s="48">
        <f>DATE(YEAR(OneWeekMtgRatesDataTable756[[#This Row],[asofdate]]),MONTH(OneWeekMtgRatesDataTable756[[#This Row],[asofdate]]),DAY(OneWeekMtgRatesDataTable756[[#This Row],[asofdate]]))</f>
        <v>42388</v>
      </c>
      <c r="E139" s="48" t="s">
        <v>11</v>
      </c>
      <c r="F139" s="55">
        <v>0.42499999999999999</v>
      </c>
    </row>
    <row r="140" spans="2:6">
      <c r="B140" s="48" t="s">
        <v>20</v>
      </c>
      <c r="C140" s="48" t="s">
        <v>1817</v>
      </c>
      <c r="D140" s="48">
        <f>DATE(YEAR(OneWeekMtgRatesDataTable756[[#This Row],[asofdate]]),MONTH(OneWeekMtgRatesDataTable756[[#This Row],[asofdate]]),DAY(OneWeekMtgRatesDataTable756[[#This Row],[asofdate]]))</f>
        <v>42384</v>
      </c>
      <c r="E140" s="48" t="s">
        <v>11</v>
      </c>
      <c r="F140" s="55">
        <v>0.42549999999999999</v>
      </c>
    </row>
    <row r="141" spans="2:6">
      <c r="B141" s="48" t="s">
        <v>20</v>
      </c>
      <c r="C141" s="48" t="s">
        <v>1818</v>
      </c>
      <c r="D141" s="48">
        <f>DATE(YEAR(OneWeekMtgRatesDataTable756[[#This Row],[asofdate]]),MONTH(OneWeekMtgRatesDataTable756[[#This Row],[asofdate]]),DAY(OneWeekMtgRatesDataTable756[[#This Row],[asofdate]]))</f>
        <v>42383</v>
      </c>
      <c r="E141" s="48" t="s">
        <v>11</v>
      </c>
      <c r="F141" s="55">
        <v>0.42549999999999999</v>
      </c>
    </row>
    <row r="142" spans="2:6">
      <c r="B142" s="48" t="s">
        <v>20</v>
      </c>
      <c r="C142" s="48" t="s">
        <v>1819</v>
      </c>
      <c r="D142" s="48">
        <f>DATE(YEAR(OneWeekMtgRatesDataTable756[[#This Row],[asofdate]]),MONTH(OneWeekMtgRatesDataTable756[[#This Row],[asofdate]]),DAY(OneWeekMtgRatesDataTable756[[#This Row],[asofdate]]))</f>
        <v>42382</v>
      </c>
      <c r="E142" s="48" t="s">
        <v>11</v>
      </c>
      <c r="F142" s="55">
        <v>0.42549999999999999</v>
      </c>
    </row>
    <row r="143" spans="2:6">
      <c r="B143" s="48" t="s">
        <v>20</v>
      </c>
      <c r="C143" s="48" t="s">
        <v>1820</v>
      </c>
      <c r="D143" s="48">
        <f>DATE(YEAR(OneWeekMtgRatesDataTable756[[#This Row],[asofdate]]),MONTH(OneWeekMtgRatesDataTable756[[#This Row],[asofdate]]),DAY(OneWeekMtgRatesDataTable756[[#This Row],[asofdate]]))</f>
        <v>42381</v>
      </c>
      <c r="E143" s="48" t="s">
        <v>11</v>
      </c>
      <c r="F143" s="55">
        <v>0.42449999999999999</v>
      </c>
    </row>
    <row r="144" spans="2:6">
      <c r="B144" s="48" t="s">
        <v>20</v>
      </c>
      <c r="C144" s="48" t="s">
        <v>1821</v>
      </c>
      <c r="D144" s="48">
        <f>DATE(YEAR(OneWeekMtgRatesDataTable756[[#This Row],[asofdate]]),MONTH(OneWeekMtgRatesDataTable756[[#This Row],[asofdate]]),DAY(OneWeekMtgRatesDataTable756[[#This Row],[asofdate]]))</f>
        <v>42380</v>
      </c>
      <c r="E144" s="48" t="s">
        <v>11</v>
      </c>
      <c r="F144" s="55">
        <v>0.42399999999999999</v>
      </c>
    </row>
    <row r="145" spans="2:6">
      <c r="B145" s="48" t="s">
        <v>20</v>
      </c>
      <c r="C145" s="48" t="s">
        <v>1822</v>
      </c>
      <c r="D145" s="48">
        <f>DATE(YEAR(OneWeekMtgRatesDataTable756[[#This Row],[asofdate]]),MONTH(OneWeekMtgRatesDataTable756[[#This Row],[asofdate]]),DAY(OneWeekMtgRatesDataTable756[[#This Row],[asofdate]]))</f>
        <v>42377</v>
      </c>
      <c r="E145" s="48" t="s">
        <v>11</v>
      </c>
      <c r="F145" s="55">
        <v>0.42380000000000001</v>
      </c>
    </row>
    <row r="146" spans="2:6">
      <c r="B146" s="48" t="s">
        <v>20</v>
      </c>
      <c r="C146" s="48" t="s">
        <v>1823</v>
      </c>
      <c r="D146" s="48">
        <f>DATE(YEAR(OneWeekMtgRatesDataTable756[[#This Row],[asofdate]]),MONTH(OneWeekMtgRatesDataTable756[[#This Row],[asofdate]]),DAY(OneWeekMtgRatesDataTable756[[#This Row],[asofdate]]))</f>
        <v>42376</v>
      </c>
      <c r="E146" s="48" t="s">
        <v>11</v>
      </c>
      <c r="F146" s="55">
        <v>0.42349999999999999</v>
      </c>
    </row>
    <row r="147" spans="2:6">
      <c r="B147" s="48" t="s">
        <v>20</v>
      </c>
      <c r="C147" s="48" t="s">
        <v>1824</v>
      </c>
      <c r="D147" s="48">
        <f>DATE(YEAR(OneWeekMtgRatesDataTable756[[#This Row],[asofdate]]),MONTH(OneWeekMtgRatesDataTable756[[#This Row],[asofdate]]),DAY(OneWeekMtgRatesDataTable756[[#This Row],[asofdate]]))</f>
        <v>42375</v>
      </c>
      <c r="E147" s="48" t="s">
        <v>11</v>
      </c>
      <c r="F147" s="55">
        <v>0.42349999999999999</v>
      </c>
    </row>
    <row r="148" spans="2:6">
      <c r="B148" s="48" t="s">
        <v>20</v>
      </c>
      <c r="C148" s="48" t="s">
        <v>1825</v>
      </c>
      <c r="D148" s="48">
        <f>DATE(YEAR(OneWeekMtgRatesDataTable756[[#This Row],[asofdate]]),MONTH(OneWeekMtgRatesDataTable756[[#This Row],[asofdate]]),DAY(OneWeekMtgRatesDataTable756[[#This Row],[asofdate]]))</f>
        <v>42374</v>
      </c>
      <c r="E148" s="48" t="s">
        <v>11</v>
      </c>
      <c r="F148" s="55">
        <v>0.42199999999999999</v>
      </c>
    </row>
    <row r="149" spans="2:6">
      <c r="B149" s="48" t="s">
        <v>20</v>
      </c>
      <c r="C149" s="48" t="s">
        <v>1826</v>
      </c>
      <c r="D149" s="48">
        <f>DATE(YEAR(OneWeekMtgRatesDataTable756[[#This Row],[asofdate]]),MONTH(OneWeekMtgRatesDataTable756[[#This Row],[asofdate]]),DAY(OneWeekMtgRatesDataTable756[[#This Row],[asofdate]]))</f>
        <v>42373</v>
      </c>
      <c r="E149" s="48" t="s">
        <v>11</v>
      </c>
      <c r="F149" s="55">
        <v>0.42249999999999999</v>
      </c>
    </row>
    <row r="150" spans="2:6">
      <c r="B150" s="48" t="s">
        <v>20</v>
      </c>
      <c r="C150" s="48" t="s">
        <v>1791</v>
      </c>
      <c r="D150" s="48">
        <f>DATE(YEAR(OneWeekMtgRatesDataTable756[[#This Row],[asofdate]]),MONTH(OneWeekMtgRatesDataTable756[[#This Row],[asofdate]]),DAY(OneWeekMtgRatesDataTable756[[#This Row],[asofdate]]))</f>
        <v>42369</v>
      </c>
      <c r="E150" s="48" t="s">
        <v>11</v>
      </c>
      <c r="F150" s="55">
        <v>0.42949999999999999</v>
      </c>
    </row>
    <row r="151" spans="2:6">
      <c r="B151" s="48" t="s">
        <v>20</v>
      </c>
      <c r="C151" s="48" t="s">
        <v>1792</v>
      </c>
      <c r="D151" s="48">
        <f>DATE(YEAR(OneWeekMtgRatesDataTable756[[#This Row],[asofdate]]),MONTH(OneWeekMtgRatesDataTable756[[#This Row],[asofdate]]),DAY(OneWeekMtgRatesDataTable756[[#This Row],[asofdate]]))</f>
        <v>42368</v>
      </c>
      <c r="E151" s="48" t="s">
        <v>11</v>
      </c>
      <c r="F151" s="55">
        <v>0.42749999999999999</v>
      </c>
    </row>
    <row r="152" spans="2:6">
      <c r="B152" s="48" t="s">
        <v>20</v>
      </c>
      <c r="C152" s="48" t="s">
        <v>1793</v>
      </c>
      <c r="D152" s="48">
        <f>DATE(YEAR(OneWeekMtgRatesDataTable756[[#This Row],[asofdate]]),MONTH(OneWeekMtgRatesDataTable756[[#This Row],[asofdate]]),DAY(OneWeekMtgRatesDataTable756[[#This Row],[asofdate]]))</f>
        <v>42367</v>
      </c>
      <c r="E152" s="48" t="s">
        <v>11</v>
      </c>
      <c r="F152" s="55">
        <v>0.4239</v>
      </c>
    </row>
    <row r="153" spans="2:6">
      <c r="B153" s="48" t="s">
        <v>20</v>
      </c>
      <c r="C153" s="48" t="s">
        <v>1794</v>
      </c>
      <c r="D153" s="48">
        <f>DATE(YEAR(OneWeekMtgRatesDataTable756[[#This Row],[asofdate]]),MONTH(OneWeekMtgRatesDataTable756[[#This Row],[asofdate]]),DAY(OneWeekMtgRatesDataTable756[[#This Row],[asofdate]]))</f>
        <v>42366</v>
      </c>
      <c r="E153" s="48" t="s">
        <v>11</v>
      </c>
      <c r="F153" s="55">
        <v>0.4219</v>
      </c>
    </row>
    <row r="154" spans="2:6">
      <c r="B154" s="48" t="s">
        <v>20</v>
      </c>
      <c r="C154" s="48" t="s">
        <v>1803</v>
      </c>
      <c r="D154" s="48">
        <f>DATE(YEAR(OneWeekMtgRatesDataTable756[[#This Row],[asofdate]]),MONTH(OneWeekMtgRatesDataTable756[[#This Row],[asofdate]]),DAY(OneWeekMtgRatesDataTable756[[#This Row],[asofdate]]))</f>
        <v>42362</v>
      </c>
      <c r="E154" s="48" t="s">
        <v>11</v>
      </c>
      <c r="F154" s="55">
        <v>0.4219</v>
      </c>
    </row>
    <row r="155" spans="2:6">
      <c r="B155" s="48" t="s">
        <v>20</v>
      </c>
      <c r="C155" s="48" t="s">
        <v>1795</v>
      </c>
      <c r="D155" s="48">
        <f>DATE(YEAR(OneWeekMtgRatesDataTable756[[#This Row],[asofdate]]),MONTH(OneWeekMtgRatesDataTable756[[#This Row],[asofdate]]),DAY(OneWeekMtgRatesDataTable756[[#This Row],[asofdate]]))</f>
        <v>42361</v>
      </c>
      <c r="E155" s="48" t="s">
        <v>11</v>
      </c>
      <c r="F155" s="55">
        <v>0.42159999999999997</v>
      </c>
    </row>
    <row r="156" spans="2:6">
      <c r="B156" s="48" t="s">
        <v>20</v>
      </c>
      <c r="C156" s="48" t="s">
        <v>1796</v>
      </c>
      <c r="D156" s="48">
        <f>DATE(YEAR(OneWeekMtgRatesDataTable756[[#This Row],[asofdate]]),MONTH(OneWeekMtgRatesDataTable756[[#This Row],[asofdate]]),DAY(OneWeekMtgRatesDataTable756[[#This Row],[asofdate]]))</f>
        <v>42360</v>
      </c>
      <c r="E156" s="48" t="s">
        <v>11</v>
      </c>
      <c r="F156" s="55">
        <v>0.41749999999999998</v>
      </c>
    </row>
    <row r="157" spans="2:6">
      <c r="B157" s="48" t="s">
        <v>20</v>
      </c>
      <c r="C157" s="48" t="s">
        <v>1797</v>
      </c>
      <c r="D157" s="48">
        <f>DATE(YEAR(OneWeekMtgRatesDataTable756[[#This Row],[asofdate]]),MONTH(OneWeekMtgRatesDataTable756[[#This Row],[asofdate]]),DAY(OneWeekMtgRatesDataTable756[[#This Row],[asofdate]]))</f>
        <v>42359</v>
      </c>
      <c r="E157" s="48" t="s">
        <v>11</v>
      </c>
      <c r="F157" s="55">
        <v>0.41949999999999998</v>
      </c>
    </row>
    <row r="158" spans="2:6">
      <c r="B158" s="48" t="s">
        <v>20</v>
      </c>
      <c r="C158" s="48" t="s">
        <v>1798</v>
      </c>
      <c r="D158" s="48">
        <f>DATE(YEAR(OneWeekMtgRatesDataTable756[[#This Row],[asofdate]]),MONTH(OneWeekMtgRatesDataTable756[[#This Row],[asofdate]]),DAY(OneWeekMtgRatesDataTable756[[#This Row],[asofdate]]))</f>
        <v>42356</v>
      </c>
      <c r="E158" s="48" t="s">
        <v>11</v>
      </c>
      <c r="F158" s="55">
        <v>0.41299999999999998</v>
      </c>
    </row>
    <row r="159" spans="2:6">
      <c r="B159" s="48" t="s">
        <v>20</v>
      </c>
      <c r="C159" s="48" t="s">
        <v>1799</v>
      </c>
      <c r="D159" s="48">
        <f>DATE(YEAR(OneWeekMtgRatesDataTable756[[#This Row],[asofdate]]),MONTH(OneWeekMtgRatesDataTable756[[#This Row],[asofdate]]),DAY(OneWeekMtgRatesDataTable756[[#This Row],[asofdate]]))</f>
        <v>42355</v>
      </c>
      <c r="E159" s="48" t="s">
        <v>11</v>
      </c>
      <c r="F159" s="55">
        <v>0.40210000000000001</v>
      </c>
    </row>
    <row r="160" spans="2:6">
      <c r="B160" s="48" t="s">
        <v>20</v>
      </c>
      <c r="C160" s="48" t="s">
        <v>1800</v>
      </c>
      <c r="D160" s="48">
        <f>DATE(YEAR(OneWeekMtgRatesDataTable756[[#This Row],[asofdate]]),MONTH(OneWeekMtgRatesDataTable756[[#This Row],[asofdate]]),DAY(OneWeekMtgRatesDataTable756[[#This Row],[asofdate]]))</f>
        <v>42354</v>
      </c>
      <c r="E160" s="48" t="s">
        <v>11</v>
      </c>
      <c r="F160" s="55">
        <v>0.36</v>
      </c>
    </row>
    <row r="161" spans="2:6">
      <c r="B161" s="48" t="s">
        <v>20</v>
      </c>
      <c r="C161" s="48" t="s">
        <v>1801</v>
      </c>
      <c r="D161" s="48">
        <f>DATE(YEAR(OneWeekMtgRatesDataTable756[[#This Row],[asofdate]]),MONTH(OneWeekMtgRatesDataTable756[[#This Row],[asofdate]]),DAY(OneWeekMtgRatesDataTable756[[#This Row],[asofdate]]))</f>
        <v>42353</v>
      </c>
      <c r="E161" s="48" t="s">
        <v>11</v>
      </c>
      <c r="F161" s="55">
        <v>0.35049999999999998</v>
      </c>
    </row>
    <row r="162" spans="2:6">
      <c r="B162" s="48" t="s">
        <v>20</v>
      </c>
      <c r="C162" s="48" t="s">
        <v>1802</v>
      </c>
      <c r="D162" s="48">
        <f>DATE(YEAR(OneWeekMtgRatesDataTable756[[#This Row],[asofdate]]),MONTH(OneWeekMtgRatesDataTable756[[#This Row],[asofdate]]),DAY(OneWeekMtgRatesDataTable756[[#This Row],[asofdate]]))</f>
        <v>42352</v>
      </c>
      <c r="E162" s="48" t="s">
        <v>11</v>
      </c>
      <c r="F162" s="55">
        <v>0.34449999999999997</v>
      </c>
    </row>
    <row r="163" spans="2:6">
      <c r="B163" s="48" t="s">
        <v>20</v>
      </c>
      <c r="C163" s="48" t="s">
        <v>1782</v>
      </c>
      <c r="D163" s="48">
        <f>DATE(YEAR(OneWeekMtgRatesDataTable756[[#This Row],[asofdate]]),MONTH(OneWeekMtgRatesDataTable756[[#This Row],[asofdate]]),DAY(OneWeekMtgRatesDataTable756[[#This Row],[asofdate]]))</f>
        <v>42349</v>
      </c>
      <c r="E163" s="48" t="s">
        <v>11</v>
      </c>
      <c r="F163" s="55">
        <v>0.33050000000000002</v>
      </c>
    </row>
    <row r="164" spans="2:6">
      <c r="B164" s="48" t="s">
        <v>20</v>
      </c>
      <c r="C164" s="48" t="s">
        <v>1783</v>
      </c>
      <c r="D164" s="48">
        <f>DATE(YEAR(OneWeekMtgRatesDataTable756[[#This Row],[asofdate]]),MONTH(OneWeekMtgRatesDataTable756[[#This Row],[asofdate]]),DAY(OneWeekMtgRatesDataTable756[[#This Row],[asofdate]]))</f>
        <v>42348</v>
      </c>
      <c r="E164" s="48" t="s">
        <v>11</v>
      </c>
      <c r="F164" s="55">
        <v>0.317</v>
      </c>
    </row>
    <row r="165" spans="2:6">
      <c r="B165" s="48" t="s">
        <v>20</v>
      </c>
      <c r="C165" s="48" t="s">
        <v>1784</v>
      </c>
      <c r="D165" s="48">
        <f>DATE(YEAR(OneWeekMtgRatesDataTable756[[#This Row],[asofdate]]),MONTH(OneWeekMtgRatesDataTable756[[#This Row],[asofdate]]),DAY(OneWeekMtgRatesDataTable756[[#This Row],[asofdate]]))</f>
        <v>42347</v>
      </c>
      <c r="E165" s="48" t="s">
        <v>11</v>
      </c>
      <c r="F165" s="55">
        <v>0.30049999999999999</v>
      </c>
    </row>
    <row r="166" spans="2:6">
      <c r="B166" s="48" t="s">
        <v>20</v>
      </c>
      <c r="C166" s="48" t="s">
        <v>1785</v>
      </c>
      <c r="D166" s="48">
        <f>DATE(YEAR(OneWeekMtgRatesDataTable756[[#This Row],[asofdate]]),MONTH(OneWeekMtgRatesDataTable756[[#This Row],[asofdate]]),DAY(OneWeekMtgRatesDataTable756[[#This Row],[asofdate]]))</f>
        <v>42346</v>
      </c>
      <c r="E166" s="48" t="s">
        <v>11</v>
      </c>
      <c r="F166" s="55">
        <v>0.29310000000000003</v>
      </c>
    </row>
    <row r="167" spans="2:6">
      <c r="B167" s="48" t="s">
        <v>20</v>
      </c>
      <c r="C167" s="48" t="s">
        <v>1786</v>
      </c>
      <c r="D167" s="48">
        <f>DATE(YEAR(OneWeekMtgRatesDataTable756[[#This Row],[asofdate]]),MONTH(OneWeekMtgRatesDataTable756[[#This Row],[asofdate]]),DAY(OneWeekMtgRatesDataTable756[[#This Row],[asofdate]]))</f>
        <v>42345</v>
      </c>
      <c r="E167" s="48" t="s">
        <v>11</v>
      </c>
      <c r="F167" s="55">
        <v>0.28699999999999998</v>
      </c>
    </row>
    <row r="168" spans="2:6">
      <c r="B168" s="48" t="s">
        <v>20</v>
      </c>
      <c r="C168" s="48" t="s">
        <v>1787</v>
      </c>
      <c r="D168" s="48">
        <f>DATE(YEAR(OneWeekMtgRatesDataTable756[[#This Row],[asofdate]]),MONTH(OneWeekMtgRatesDataTable756[[#This Row],[asofdate]]),DAY(OneWeekMtgRatesDataTable756[[#This Row],[asofdate]]))</f>
        <v>42342</v>
      </c>
      <c r="E168" s="48" t="s">
        <v>11</v>
      </c>
      <c r="F168" s="55">
        <v>0.27550000000000002</v>
      </c>
    </row>
    <row r="169" spans="2:6">
      <c r="B169" s="48" t="s">
        <v>20</v>
      </c>
      <c r="C169" s="48" t="s">
        <v>1788</v>
      </c>
      <c r="D169" s="48">
        <f>DATE(YEAR(OneWeekMtgRatesDataTable756[[#This Row],[asofdate]]),MONTH(OneWeekMtgRatesDataTable756[[#This Row],[asofdate]]),DAY(OneWeekMtgRatesDataTable756[[#This Row],[asofdate]]))</f>
        <v>42341</v>
      </c>
      <c r="E169" s="48" t="s">
        <v>11</v>
      </c>
      <c r="F169" s="55">
        <v>0.26860000000000001</v>
      </c>
    </row>
    <row r="170" spans="2:6">
      <c r="B170" s="48" t="s">
        <v>20</v>
      </c>
      <c r="C170" s="48" t="s">
        <v>1789</v>
      </c>
      <c r="D170" s="48">
        <f>DATE(YEAR(OneWeekMtgRatesDataTable756[[#This Row],[asofdate]]),MONTH(OneWeekMtgRatesDataTable756[[#This Row],[asofdate]]),DAY(OneWeekMtgRatesDataTable756[[#This Row],[asofdate]]))</f>
        <v>42340</v>
      </c>
      <c r="E170" s="48" t="s">
        <v>11</v>
      </c>
      <c r="F170" s="55">
        <v>0.251</v>
      </c>
    </row>
    <row r="171" spans="2:6">
      <c r="B171" s="48" t="s">
        <v>20</v>
      </c>
      <c r="C171" s="48" t="s">
        <v>1790</v>
      </c>
      <c r="D171" s="48">
        <f>DATE(YEAR(OneWeekMtgRatesDataTable756[[#This Row],[asofdate]]),MONTH(OneWeekMtgRatesDataTable756[[#This Row],[asofdate]]),DAY(OneWeekMtgRatesDataTable756[[#This Row],[asofdate]]))</f>
        <v>42339</v>
      </c>
      <c r="E171" s="48" t="s">
        <v>11</v>
      </c>
      <c r="F171" s="55">
        <v>0.24374999999999999</v>
      </c>
    </row>
    <row r="172" spans="2:6">
      <c r="B172" s="48" t="s">
        <v>20</v>
      </c>
      <c r="C172" s="48" t="s">
        <v>1771</v>
      </c>
      <c r="D172" s="48">
        <f>DATE(YEAR(OneWeekMtgRatesDataTable756[[#This Row],[asofdate]]),MONTH(OneWeekMtgRatesDataTable756[[#This Row],[asofdate]]),DAY(OneWeekMtgRatesDataTable756[[#This Row],[asofdate]]))</f>
        <v>42338</v>
      </c>
      <c r="E172" s="48" t="s">
        <v>11</v>
      </c>
      <c r="F172" s="55">
        <v>0.24299999999999999</v>
      </c>
    </row>
    <row r="173" spans="2:6">
      <c r="B173" s="48" t="s">
        <v>20</v>
      </c>
      <c r="C173" s="48" t="s">
        <v>1772</v>
      </c>
      <c r="D173" s="48">
        <f>DATE(YEAR(OneWeekMtgRatesDataTable756[[#This Row],[asofdate]]),MONTH(OneWeekMtgRatesDataTable756[[#This Row],[asofdate]]),DAY(OneWeekMtgRatesDataTable756[[#This Row],[asofdate]]))</f>
        <v>42335</v>
      </c>
      <c r="E173" s="48" t="s">
        <v>11</v>
      </c>
      <c r="F173" s="55">
        <v>0.24374999999999999</v>
      </c>
    </row>
    <row r="174" spans="2:6">
      <c r="B174" s="48" t="s">
        <v>20</v>
      </c>
      <c r="C174" s="48" t="s">
        <v>1773</v>
      </c>
      <c r="D174" s="48">
        <f>DATE(YEAR(OneWeekMtgRatesDataTable756[[#This Row],[asofdate]]),MONTH(OneWeekMtgRatesDataTable756[[#This Row],[asofdate]]),DAY(OneWeekMtgRatesDataTable756[[#This Row],[asofdate]]))</f>
        <v>42333</v>
      </c>
      <c r="E174" s="48" t="s">
        <v>11</v>
      </c>
      <c r="F174" s="55">
        <v>0.23150000000000001</v>
      </c>
    </row>
    <row r="175" spans="2:6">
      <c r="B175" s="48" t="s">
        <v>20</v>
      </c>
      <c r="C175" s="48" t="s">
        <v>1774</v>
      </c>
      <c r="D175" s="48">
        <f>DATE(YEAR(OneWeekMtgRatesDataTable756[[#This Row],[asofdate]]),MONTH(OneWeekMtgRatesDataTable756[[#This Row],[asofdate]]),DAY(OneWeekMtgRatesDataTable756[[#This Row],[asofdate]]))</f>
        <v>42332</v>
      </c>
      <c r="E175" s="48" t="s">
        <v>11</v>
      </c>
      <c r="F175" s="55">
        <v>0.22500000000000001</v>
      </c>
    </row>
    <row r="176" spans="2:6">
      <c r="B176" s="48" t="s">
        <v>20</v>
      </c>
      <c r="C176" s="48" t="s">
        <v>1775</v>
      </c>
      <c r="D176" s="48">
        <f>DATE(YEAR(OneWeekMtgRatesDataTable756[[#This Row],[asofdate]]),MONTH(OneWeekMtgRatesDataTable756[[#This Row],[asofdate]]),DAY(OneWeekMtgRatesDataTable756[[#This Row],[asofdate]]))</f>
        <v>42331</v>
      </c>
      <c r="E176" s="48" t="s">
        <v>11</v>
      </c>
      <c r="F176" s="55">
        <v>0.221</v>
      </c>
    </row>
    <row r="177" spans="2:6">
      <c r="B177" s="48" t="s">
        <v>20</v>
      </c>
      <c r="C177" s="48" t="s">
        <v>1776</v>
      </c>
      <c r="D177" s="48">
        <f>DATE(YEAR(OneWeekMtgRatesDataTable756[[#This Row],[asofdate]]),MONTH(OneWeekMtgRatesDataTable756[[#This Row],[asofdate]]),DAY(OneWeekMtgRatesDataTable756[[#This Row],[asofdate]]))</f>
        <v>42328</v>
      </c>
      <c r="E177" s="48" t="s">
        <v>11</v>
      </c>
      <c r="F177" s="55">
        <v>0.21149999999999999</v>
      </c>
    </row>
    <row r="178" spans="2:6">
      <c r="B178" s="48" t="s">
        <v>20</v>
      </c>
      <c r="C178" s="48" t="s">
        <v>1777</v>
      </c>
      <c r="D178" s="48">
        <f>DATE(YEAR(OneWeekMtgRatesDataTable756[[#This Row],[asofdate]]),MONTH(OneWeekMtgRatesDataTable756[[#This Row],[asofdate]]),DAY(OneWeekMtgRatesDataTable756[[#This Row],[asofdate]]))</f>
        <v>42327</v>
      </c>
      <c r="E178" s="48" t="s">
        <v>11</v>
      </c>
      <c r="F178" s="55">
        <v>0.21325</v>
      </c>
    </row>
    <row r="179" spans="2:6">
      <c r="B179" s="48" t="s">
        <v>20</v>
      </c>
      <c r="C179" s="48" t="s">
        <v>1778</v>
      </c>
      <c r="D179" s="48">
        <f>DATE(YEAR(OneWeekMtgRatesDataTable756[[#This Row],[asofdate]]),MONTH(OneWeekMtgRatesDataTable756[[#This Row],[asofdate]]),DAY(OneWeekMtgRatesDataTable756[[#This Row],[asofdate]]))</f>
        <v>42326</v>
      </c>
      <c r="E179" s="48" t="s">
        <v>11</v>
      </c>
      <c r="F179" s="55">
        <v>0.20674999999999999</v>
      </c>
    </row>
    <row r="180" spans="2:6">
      <c r="B180" s="48" t="s">
        <v>20</v>
      </c>
      <c r="C180" s="48" t="s">
        <v>1779</v>
      </c>
      <c r="D180" s="48">
        <f>DATE(YEAR(OneWeekMtgRatesDataTable756[[#This Row],[asofdate]]),MONTH(OneWeekMtgRatesDataTable756[[#This Row],[asofdate]]),DAY(OneWeekMtgRatesDataTable756[[#This Row],[asofdate]]))</f>
        <v>42325</v>
      </c>
      <c r="E180" s="48" t="s">
        <v>11</v>
      </c>
      <c r="F180" s="55">
        <v>0.20250000000000001</v>
      </c>
    </row>
    <row r="181" spans="2:6">
      <c r="B181" s="48" t="s">
        <v>20</v>
      </c>
      <c r="C181" s="48" t="s">
        <v>1780</v>
      </c>
      <c r="D181" s="48">
        <f>DATE(YEAR(OneWeekMtgRatesDataTable756[[#This Row],[asofdate]]),MONTH(OneWeekMtgRatesDataTable756[[#This Row],[asofdate]]),DAY(OneWeekMtgRatesDataTable756[[#This Row],[asofdate]]))</f>
        <v>42324</v>
      </c>
      <c r="E181" s="48" t="s">
        <v>11</v>
      </c>
      <c r="F181" s="55">
        <v>0.19925000000000001</v>
      </c>
    </row>
    <row r="182" spans="2:6">
      <c r="B182" s="48" t="s">
        <v>20</v>
      </c>
      <c r="C182" s="48" t="s">
        <v>1781</v>
      </c>
      <c r="D182" s="48">
        <f>DATE(YEAR(OneWeekMtgRatesDataTable756[[#This Row],[asofdate]]),MONTH(OneWeekMtgRatesDataTable756[[#This Row],[asofdate]]),DAY(OneWeekMtgRatesDataTable756[[#This Row],[asofdate]]))</f>
        <v>42321</v>
      </c>
      <c r="E182" s="48" t="s">
        <v>11</v>
      </c>
      <c r="F182" s="55">
        <v>0.19725000000000001</v>
      </c>
    </row>
    <row r="183" spans="2:6">
      <c r="B183" s="48" t="s">
        <v>20</v>
      </c>
      <c r="C183" s="48" t="s">
        <v>1743</v>
      </c>
      <c r="D183" s="48">
        <f>DATE(YEAR(OneWeekMtgRatesDataTable756[[#This Row],[asofdate]]),MONTH(OneWeekMtgRatesDataTable756[[#This Row],[asofdate]]),DAY(OneWeekMtgRatesDataTable756[[#This Row],[asofdate]]))</f>
        <v>42320</v>
      </c>
      <c r="E183" s="48" t="s">
        <v>11</v>
      </c>
      <c r="F183" s="55">
        <v>0.19700000000000001</v>
      </c>
    </row>
    <row r="184" spans="2:6">
      <c r="B184" s="48" t="s">
        <v>20</v>
      </c>
      <c r="C184" s="48" t="s">
        <v>1744</v>
      </c>
      <c r="D184" s="48">
        <f>DATE(YEAR(OneWeekMtgRatesDataTable756[[#This Row],[asofdate]]),MONTH(OneWeekMtgRatesDataTable756[[#This Row],[asofdate]]),DAY(OneWeekMtgRatesDataTable756[[#This Row],[asofdate]]))</f>
        <v>42318</v>
      </c>
      <c r="E184" s="48" t="s">
        <v>11</v>
      </c>
      <c r="F184" s="55">
        <v>0.19550000000000001</v>
      </c>
    </row>
    <row r="185" spans="2:6">
      <c r="B185" s="48" t="s">
        <v>20</v>
      </c>
      <c r="C185" s="48" t="s">
        <v>1745</v>
      </c>
      <c r="D185" s="48">
        <f>DATE(YEAR(OneWeekMtgRatesDataTable756[[#This Row],[asofdate]]),MONTH(OneWeekMtgRatesDataTable756[[#This Row],[asofdate]]),DAY(OneWeekMtgRatesDataTable756[[#This Row],[asofdate]]))</f>
        <v>42317</v>
      </c>
      <c r="E185" s="48" t="s">
        <v>11</v>
      </c>
      <c r="F185" s="55">
        <v>0.19700000000000001</v>
      </c>
    </row>
    <row r="186" spans="2:6">
      <c r="B186" s="48" t="s">
        <v>20</v>
      </c>
      <c r="C186" s="48" t="s">
        <v>1746</v>
      </c>
      <c r="D186" s="48">
        <f>DATE(YEAR(OneWeekMtgRatesDataTable756[[#This Row],[asofdate]]),MONTH(OneWeekMtgRatesDataTable756[[#This Row],[asofdate]]),DAY(OneWeekMtgRatesDataTable756[[#This Row],[asofdate]]))</f>
        <v>42314</v>
      </c>
      <c r="E186" s="48" t="s">
        <v>11</v>
      </c>
      <c r="F186" s="55">
        <v>0.19450000000000001</v>
      </c>
    </row>
    <row r="187" spans="2:6">
      <c r="B187" s="48" t="s">
        <v>20</v>
      </c>
      <c r="C187" s="48" t="s">
        <v>1747</v>
      </c>
      <c r="D187" s="48">
        <f>DATE(YEAR(OneWeekMtgRatesDataTable756[[#This Row],[asofdate]]),MONTH(OneWeekMtgRatesDataTable756[[#This Row],[asofdate]]),DAY(OneWeekMtgRatesDataTable756[[#This Row],[asofdate]]))</f>
        <v>42313</v>
      </c>
      <c r="E187" s="48" t="s">
        <v>11</v>
      </c>
      <c r="F187" s="55">
        <v>0.19475000000000001</v>
      </c>
    </row>
    <row r="188" spans="2:6">
      <c r="B188" s="48" t="s">
        <v>20</v>
      </c>
      <c r="C188" s="48" t="s">
        <v>1748</v>
      </c>
      <c r="D188" s="48">
        <f>DATE(YEAR(OneWeekMtgRatesDataTable756[[#This Row],[asofdate]]),MONTH(OneWeekMtgRatesDataTable756[[#This Row],[asofdate]]),DAY(OneWeekMtgRatesDataTable756[[#This Row],[asofdate]]))</f>
        <v>42312</v>
      </c>
      <c r="E188" s="48" t="s">
        <v>11</v>
      </c>
      <c r="F188" s="55">
        <v>0.19320000000000001</v>
      </c>
    </row>
    <row r="189" spans="2:6">
      <c r="B189" s="48" t="s">
        <v>20</v>
      </c>
      <c r="C189" s="48" t="s">
        <v>1749</v>
      </c>
      <c r="D189" s="48">
        <f>DATE(YEAR(OneWeekMtgRatesDataTable756[[#This Row],[asofdate]]),MONTH(OneWeekMtgRatesDataTable756[[#This Row],[asofdate]]),DAY(OneWeekMtgRatesDataTable756[[#This Row],[asofdate]]))</f>
        <v>42311</v>
      </c>
      <c r="E189" s="48" t="s">
        <v>11</v>
      </c>
      <c r="F189" s="55">
        <v>0.19220000000000001</v>
      </c>
    </row>
    <row r="190" spans="2:6">
      <c r="B190" s="48" t="s">
        <v>20</v>
      </c>
      <c r="C190" s="48" t="s">
        <v>1750</v>
      </c>
      <c r="D190" s="48">
        <f>DATE(YEAR(OneWeekMtgRatesDataTable756[[#This Row],[asofdate]]),MONTH(OneWeekMtgRatesDataTable756[[#This Row],[asofdate]]),DAY(OneWeekMtgRatesDataTable756[[#This Row],[asofdate]]))</f>
        <v>42310</v>
      </c>
      <c r="E190" s="48" t="s">
        <v>11</v>
      </c>
      <c r="F190" s="55">
        <v>0.19</v>
      </c>
    </row>
    <row r="191" spans="2:6">
      <c r="B191" s="48" t="s">
        <v>20</v>
      </c>
      <c r="C191" s="48" t="s">
        <v>1751</v>
      </c>
      <c r="D191" s="48">
        <f>DATE(YEAR(OneWeekMtgRatesDataTable756[[#This Row],[asofdate]]),MONTH(OneWeekMtgRatesDataTable756[[#This Row],[asofdate]]),DAY(OneWeekMtgRatesDataTable756[[#This Row],[asofdate]]))</f>
        <v>42307</v>
      </c>
      <c r="E191" s="48" t="s">
        <v>11</v>
      </c>
      <c r="F191" s="55">
        <v>0.192</v>
      </c>
    </row>
    <row r="192" spans="2:6">
      <c r="B192" s="48" t="s">
        <v>20</v>
      </c>
      <c r="C192" s="48" t="s">
        <v>1752</v>
      </c>
      <c r="D192" s="48">
        <f>DATE(YEAR(OneWeekMtgRatesDataTable756[[#This Row],[asofdate]]),MONTH(OneWeekMtgRatesDataTable756[[#This Row],[asofdate]]),DAY(OneWeekMtgRatesDataTable756[[#This Row],[asofdate]]))</f>
        <v>42306</v>
      </c>
      <c r="E192" s="48" t="s">
        <v>11</v>
      </c>
      <c r="F192" s="55">
        <v>0.193</v>
      </c>
    </row>
    <row r="193" spans="2:6">
      <c r="B193" s="48" t="s">
        <v>20</v>
      </c>
      <c r="C193" s="48" t="s">
        <v>1753</v>
      </c>
      <c r="D193" s="48">
        <f>DATE(YEAR(OneWeekMtgRatesDataTable756[[#This Row],[asofdate]]),MONTH(OneWeekMtgRatesDataTable756[[#This Row],[asofdate]]),DAY(OneWeekMtgRatesDataTable756[[#This Row],[asofdate]]))</f>
        <v>42305</v>
      </c>
      <c r="E193" s="48" t="s">
        <v>11</v>
      </c>
      <c r="F193" s="55">
        <v>0.1883</v>
      </c>
    </row>
    <row r="194" spans="2:6">
      <c r="B194" s="48" t="s">
        <v>20</v>
      </c>
      <c r="C194" s="48" t="s">
        <v>1754</v>
      </c>
      <c r="D194" s="48">
        <f>DATE(YEAR(OneWeekMtgRatesDataTable756[[#This Row],[asofdate]]),MONTH(OneWeekMtgRatesDataTable756[[#This Row],[asofdate]]),DAY(OneWeekMtgRatesDataTable756[[#This Row],[asofdate]]))</f>
        <v>42304</v>
      </c>
      <c r="E194" s="48" t="s">
        <v>11</v>
      </c>
      <c r="F194" s="55">
        <v>0.19075</v>
      </c>
    </row>
    <row r="195" spans="2:6">
      <c r="B195" s="48" t="s">
        <v>20</v>
      </c>
      <c r="C195" s="48" t="s">
        <v>1755</v>
      </c>
      <c r="D195" s="48">
        <f>DATE(YEAR(OneWeekMtgRatesDataTable756[[#This Row],[asofdate]]),MONTH(OneWeekMtgRatesDataTable756[[#This Row],[asofdate]]),DAY(OneWeekMtgRatesDataTable756[[#This Row],[asofdate]]))</f>
        <v>42303</v>
      </c>
      <c r="E195" s="48" t="s">
        <v>11</v>
      </c>
      <c r="F195" s="55">
        <v>0.19355</v>
      </c>
    </row>
    <row r="196" spans="2:6">
      <c r="B196" s="48" t="s">
        <v>20</v>
      </c>
      <c r="C196" s="48" t="s">
        <v>1756</v>
      </c>
      <c r="D196" s="48">
        <f>DATE(YEAR(OneWeekMtgRatesDataTable756[[#This Row],[asofdate]]),MONTH(OneWeekMtgRatesDataTable756[[#This Row],[asofdate]]),DAY(OneWeekMtgRatesDataTable756[[#This Row],[asofdate]]))</f>
        <v>42300</v>
      </c>
      <c r="E196" s="48" t="s">
        <v>11</v>
      </c>
      <c r="F196" s="55">
        <v>0.19350000000000001</v>
      </c>
    </row>
    <row r="197" spans="2:6">
      <c r="B197" s="48" t="s">
        <v>20</v>
      </c>
      <c r="C197" s="48" t="s">
        <v>1757</v>
      </c>
      <c r="D197" s="48">
        <f>DATE(YEAR(OneWeekMtgRatesDataTable756[[#This Row],[asofdate]]),MONTH(OneWeekMtgRatesDataTable756[[#This Row],[asofdate]]),DAY(OneWeekMtgRatesDataTable756[[#This Row],[asofdate]]))</f>
        <v>42299</v>
      </c>
      <c r="E197" s="48" t="s">
        <v>11</v>
      </c>
      <c r="F197" s="55">
        <v>0.19694999999999999</v>
      </c>
    </row>
    <row r="198" spans="2:6">
      <c r="B198" s="48" t="s">
        <v>20</v>
      </c>
      <c r="C198" s="48" t="s">
        <v>1758</v>
      </c>
      <c r="D198" s="48">
        <f>DATE(YEAR(OneWeekMtgRatesDataTable756[[#This Row],[asofdate]]),MONTH(OneWeekMtgRatesDataTable756[[#This Row],[asofdate]]),DAY(OneWeekMtgRatesDataTable756[[#This Row],[asofdate]]))</f>
        <v>42298</v>
      </c>
      <c r="E198" s="48" t="s">
        <v>11</v>
      </c>
      <c r="F198" s="55">
        <v>0.1948</v>
      </c>
    </row>
    <row r="199" spans="2:6">
      <c r="B199" s="48" t="s">
        <v>20</v>
      </c>
      <c r="C199" s="48" t="s">
        <v>1759</v>
      </c>
      <c r="D199" s="48">
        <f>DATE(YEAR(OneWeekMtgRatesDataTable756[[#This Row],[asofdate]]),MONTH(OneWeekMtgRatesDataTable756[[#This Row],[asofdate]]),DAY(OneWeekMtgRatesDataTable756[[#This Row],[asofdate]]))</f>
        <v>42297</v>
      </c>
      <c r="E199" s="48" t="s">
        <v>11</v>
      </c>
      <c r="F199" s="55">
        <v>0.19650000000000001</v>
      </c>
    </row>
    <row r="200" spans="2:6">
      <c r="B200" s="48" t="s">
        <v>20</v>
      </c>
      <c r="C200" s="48" t="s">
        <v>1760</v>
      </c>
      <c r="D200" s="48">
        <f>DATE(YEAR(OneWeekMtgRatesDataTable756[[#This Row],[asofdate]]),MONTH(OneWeekMtgRatesDataTable756[[#This Row],[asofdate]]),DAY(OneWeekMtgRatesDataTable756[[#This Row],[asofdate]]))</f>
        <v>42296</v>
      </c>
      <c r="E200" s="48" t="s">
        <v>11</v>
      </c>
      <c r="F200" s="55">
        <v>0.19600000000000001</v>
      </c>
    </row>
    <row r="201" spans="2:6">
      <c r="B201" s="48" t="s">
        <v>20</v>
      </c>
      <c r="C201" s="48" t="s">
        <v>1761</v>
      </c>
      <c r="D201" s="48">
        <f>DATE(YEAR(OneWeekMtgRatesDataTable756[[#This Row],[asofdate]]),MONTH(OneWeekMtgRatesDataTable756[[#This Row],[asofdate]]),DAY(OneWeekMtgRatesDataTable756[[#This Row],[asofdate]]))</f>
        <v>42293</v>
      </c>
      <c r="E201" s="48" t="s">
        <v>11</v>
      </c>
      <c r="F201" s="55">
        <v>0.19425000000000001</v>
      </c>
    </row>
    <row r="202" spans="2:6">
      <c r="B202" s="48" t="s">
        <v>20</v>
      </c>
      <c r="C202" s="48" t="s">
        <v>1762</v>
      </c>
      <c r="D202" s="48">
        <f>DATE(YEAR(OneWeekMtgRatesDataTable756[[#This Row],[asofdate]]),MONTH(OneWeekMtgRatesDataTable756[[#This Row],[asofdate]]),DAY(OneWeekMtgRatesDataTable756[[#This Row],[asofdate]]))</f>
        <v>42292</v>
      </c>
      <c r="E202" s="48" t="s">
        <v>11</v>
      </c>
      <c r="F202" s="55">
        <v>0.19675000000000001</v>
      </c>
    </row>
    <row r="203" spans="2:6">
      <c r="B203" s="48" t="s">
        <v>20</v>
      </c>
      <c r="C203" s="48" t="s">
        <v>1763</v>
      </c>
      <c r="D203" s="48">
        <f>DATE(YEAR(OneWeekMtgRatesDataTable756[[#This Row],[asofdate]]),MONTH(OneWeekMtgRatesDataTable756[[#This Row],[asofdate]]),DAY(OneWeekMtgRatesDataTable756[[#This Row],[asofdate]]))</f>
        <v>42291</v>
      </c>
      <c r="E203" s="48" t="s">
        <v>11</v>
      </c>
      <c r="F203" s="55">
        <v>0.19900000000000001</v>
      </c>
    </row>
    <row r="204" spans="2:6">
      <c r="B204" s="48" t="s">
        <v>20</v>
      </c>
      <c r="C204" s="48" t="s">
        <v>1764</v>
      </c>
      <c r="D204" s="48">
        <f>DATE(YEAR(OneWeekMtgRatesDataTable756[[#This Row],[asofdate]]),MONTH(OneWeekMtgRatesDataTable756[[#This Row],[asofdate]]),DAY(OneWeekMtgRatesDataTable756[[#This Row],[asofdate]]))</f>
        <v>42290</v>
      </c>
      <c r="E204" s="48" t="s">
        <v>11</v>
      </c>
      <c r="F204" s="55">
        <v>0.19575000000000001</v>
      </c>
    </row>
    <row r="205" spans="2:6">
      <c r="B205" s="48" t="s">
        <v>20</v>
      </c>
      <c r="C205" s="48" t="s">
        <v>1765</v>
      </c>
      <c r="D205" s="48">
        <f>DATE(YEAR(OneWeekMtgRatesDataTable756[[#This Row],[asofdate]]),MONTH(OneWeekMtgRatesDataTable756[[#This Row],[asofdate]]),DAY(OneWeekMtgRatesDataTable756[[#This Row],[asofdate]]))</f>
        <v>42286</v>
      </c>
      <c r="E205" s="48" t="s">
        <v>11</v>
      </c>
      <c r="F205" s="55">
        <v>0.19685</v>
      </c>
    </row>
    <row r="206" spans="2:6">
      <c r="B206" s="48" t="s">
        <v>20</v>
      </c>
      <c r="C206" s="48" t="s">
        <v>1766</v>
      </c>
      <c r="D206" s="48">
        <f>DATE(YEAR(OneWeekMtgRatesDataTable756[[#This Row],[asofdate]]),MONTH(OneWeekMtgRatesDataTable756[[#This Row],[asofdate]]),DAY(OneWeekMtgRatesDataTable756[[#This Row],[asofdate]]))</f>
        <v>42285</v>
      </c>
      <c r="E206" s="48" t="s">
        <v>11</v>
      </c>
      <c r="F206" s="55">
        <v>0.19545000000000001</v>
      </c>
    </row>
    <row r="207" spans="2:6">
      <c r="B207" s="48" t="s">
        <v>20</v>
      </c>
      <c r="C207" s="48" t="s">
        <v>1767</v>
      </c>
      <c r="D207" s="48">
        <f>DATE(YEAR(OneWeekMtgRatesDataTable756[[#This Row],[asofdate]]),MONTH(OneWeekMtgRatesDataTable756[[#This Row],[asofdate]]),DAY(OneWeekMtgRatesDataTable756[[#This Row],[asofdate]]))</f>
        <v>42284</v>
      </c>
      <c r="E207" s="48" t="s">
        <v>11</v>
      </c>
      <c r="F207" s="55">
        <v>0.19605</v>
      </c>
    </row>
    <row r="208" spans="2:6">
      <c r="B208" s="48" t="s">
        <v>20</v>
      </c>
      <c r="C208" s="48" t="s">
        <v>1768</v>
      </c>
      <c r="D208" s="48">
        <f>DATE(YEAR(OneWeekMtgRatesDataTable756[[#This Row],[asofdate]]),MONTH(OneWeekMtgRatesDataTable756[[#This Row],[asofdate]]),DAY(OneWeekMtgRatesDataTable756[[#This Row],[asofdate]]))</f>
        <v>42283</v>
      </c>
      <c r="E208" s="48" t="s">
        <v>11</v>
      </c>
      <c r="F208" s="55">
        <v>0.19409999999999999</v>
      </c>
    </row>
    <row r="209" spans="2:6">
      <c r="B209" s="48" t="s">
        <v>20</v>
      </c>
      <c r="C209" s="48" t="s">
        <v>1769</v>
      </c>
      <c r="D209" s="48">
        <f>DATE(YEAR(OneWeekMtgRatesDataTable756[[#This Row],[asofdate]]),MONTH(OneWeekMtgRatesDataTable756[[#This Row],[asofdate]]),DAY(OneWeekMtgRatesDataTable756[[#This Row],[asofdate]]))</f>
        <v>42282</v>
      </c>
      <c r="E209" s="48" t="s">
        <v>11</v>
      </c>
      <c r="F209" s="55">
        <v>0.19375000000000001</v>
      </c>
    </row>
    <row r="210" spans="2:6">
      <c r="B210" s="48" t="s">
        <v>20</v>
      </c>
      <c r="C210" s="48" t="s">
        <v>1770</v>
      </c>
      <c r="D210" s="48">
        <f>DATE(YEAR(OneWeekMtgRatesDataTable756[[#This Row],[asofdate]]),MONTH(OneWeekMtgRatesDataTable756[[#This Row],[asofdate]]),DAY(OneWeekMtgRatesDataTable756[[#This Row],[asofdate]]))</f>
        <v>42279</v>
      </c>
      <c r="E210" s="48" t="s">
        <v>11</v>
      </c>
      <c r="F210" s="55">
        <v>0.19470000000000001</v>
      </c>
    </row>
    <row r="211" spans="2:6">
      <c r="B211" s="48" t="s">
        <v>20</v>
      </c>
      <c r="C211" s="48" t="s">
        <v>1623</v>
      </c>
      <c r="D211" s="48">
        <f>DATE(YEAR(OneWeekMtgRatesDataTable756[[#This Row],[asofdate]]),MONTH(OneWeekMtgRatesDataTable756[[#This Row],[asofdate]]),DAY(OneWeekMtgRatesDataTable756[[#This Row],[asofdate]]))</f>
        <v>42278</v>
      </c>
      <c r="E211" s="48" t="s">
        <v>11</v>
      </c>
      <c r="F211" s="55">
        <v>0.19400000000000001</v>
      </c>
    </row>
    <row r="212" spans="2:6">
      <c r="B212" s="48" t="s">
        <v>20</v>
      </c>
      <c r="C212" s="48" t="s">
        <v>1624</v>
      </c>
      <c r="D212" s="48">
        <f>DATE(YEAR(OneWeekMtgRatesDataTable756[[#This Row],[asofdate]]),MONTH(OneWeekMtgRatesDataTable756[[#This Row],[asofdate]]),DAY(OneWeekMtgRatesDataTable756[[#This Row],[asofdate]]))</f>
        <v>42277</v>
      </c>
      <c r="E212" s="48" t="s">
        <v>11</v>
      </c>
      <c r="F212" s="55">
        <v>0.193</v>
      </c>
    </row>
    <row r="213" spans="2:6">
      <c r="B213" s="48" t="s">
        <v>20</v>
      </c>
      <c r="C213" s="48" t="s">
        <v>1625</v>
      </c>
      <c r="D213" s="48">
        <f>DATE(YEAR(OneWeekMtgRatesDataTable756[[#This Row],[asofdate]]),MONTH(OneWeekMtgRatesDataTable756[[#This Row],[asofdate]]),DAY(OneWeekMtgRatesDataTable756[[#This Row],[asofdate]]))</f>
        <v>42276</v>
      </c>
      <c r="E213" s="48" t="s">
        <v>11</v>
      </c>
      <c r="F213" s="55">
        <v>0.193</v>
      </c>
    </row>
    <row r="214" spans="2:6">
      <c r="B214" s="48" t="s">
        <v>20</v>
      </c>
      <c r="C214" s="48" t="s">
        <v>1626</v>
      </c>
      <c r="D214" s="48">
        <f>DATE(YEAR(OneWeekMtgRatesDataTable756[[#This Row],[asofdate]]),MONTH(OneWeekMtgRatesDataTable756[[#This Row],[asofdate]]),DAY(OneWeekMtgRatesDataTable756[[#This Row],[asofdate]]))</f>
        <v>42275</v>
      </c>
      <c r="E214" s="48" t="s">
        <v>11</v>
      </c>
      <c r="F214" s="55">
        <v>0.19359999999999999</v>
      </c>
    </row>
    <row r="215" spans="2:6">
      <c r="B215" s="48" t="s">
        <v>20</v>
      </c>
      <c r="C215" s="48" t="s">
        <v>1627</v>
      </c>
      <c r="D215" s="48">
        <f>DATE(YEAR(OneWeekMtgRatesDataTable756[[#This Row],[asofdate]]),MONTH(OneWeekMtgRatesDataTable756[[#This Row],[asofdate]]),DAY(OneWeekMtgRatesDataTable756[[#This Row],[asofdate]]))</f>
        <v>42272</v>
      </c>
      <c r="E215" s="48" t="s">
        <v>11</v>
      </c>
      <c r="F215" s="55">
        <v>0.1943</v>
      </c>
    </row>
    <row r="216" spans="2:6">
      <c r="B216" s="48" t="s">
        <v>20</v>
      </c>
      <c r="C216" s="48" t="s">
        <v>1628</v>
      </c>
      <c r="D216" s="48">
        <f>DATE(YEAR(OneWeekMtgRatesDataTable756[[#This Row],[asofdate]]),MONTH(OneWeekMtgRatesDataTable756[[#This Row],[asofdate]]),DAY(OneWeekMtgRatesDataTable756[[#This Row],[asofdate]]))</f>
        <v>42271</v>
      </c>
      <c r="E216" s="48" t="s">
        <v>11</v>
      </c>
      <c r="F216" s="55">
        <v>0.1943</v>
      </c>
    </row>
    <row r="217" spans="2:6">
      <c r="B217" s="48" t="s">
        <v>20</v>
      </c>
      <c r="C217" s="48" t="s">
        <v>1629</v>
      </c>
      <c r="D217" s="48">
        <f>DATE(YEAR(OneWeekMtgRatesDataTable756[[#This Row],[asofdate]]),MONTH(OneWeekMtgRatesDataTable756[[#This Row],[asofdate]]),DAY(OneWeekMtgRatesDataTable756[[#This Row],[asofdate]]))</f>
        <v>42270</v>
      </c>
      <c r="E217" s="48" t="s">
        <v>11</v>
      </c>
      <c r="F217" s="55">
        <v>0.19389999999999999</v>
      </c>
    </row>
    <row r="218" spans="2:6">
      <c r="B218" s="48" t="s">
        <v>20</v>
      </c>
      <c r="C218" s="48" t="s">
        <v>1630</v>
      </c>
      <c r="D218" s="48">
        <f>DATE(YEAR(OneWeekMtgRatesDataTable756[[#This Row],[asofdate]]),MONTH(OneWeekMtgRatesDataTable756[[#This Row],[asofdate]]),DAY(OneWeekMtgRatesDataTable756[[#This Row],[asofdate]]))</f>
        <v>42269</v>
      </c>
      <c r="E218" s="48" t="s">
        <v>11</v>
      </c>
      <c r="F218" s="55">
        <v>0.1956</v>
      </c>
    </row>
    <row r="219" spans="2:6">
      <c r="B219" s="48" t="s">
        <v>20</v>
      </c>
      <c r="C219" s="48" t="s">
        <v>1631</v>
      </c>
      <c r="D219" s="48">
        <f>DATE(YEAR(OneWeekMtgRatesDataTable756[[#This Row],[asofdate]]),MONTH(OneWeekMtgRatesDataTable756[[#This Row],[asofdate]]),DAY(OneWeekMtgRatesDataTable756[[#This Row],[asofdate]]))</f>
        <v>42268</v>
      </c>
      <c r="E219" s="48" t="s">
        <v>11</v>
      </c>
      <c r="F219" s="55">
        <v>0.19500000000000001</v>
      </c>
    </row>
    <row r="220" spans="2:6">
      <c r="B220" s="48" t="s">
        <v>20</v>
      </c>
      <c r="C220" s="48" t="s">
        <v>1632</v>
      </c>
      <c r="D220" s="48">
        <f>DATE(YEAR(OneWeekMtgRatesDataTable756[[#This Row],[asofdate]]),MONTH(OneWeekMtgRatesDataTable756[[#This Row],[asofdate]]),DAY(OneWeekMtgRatesDataTable756[[#This Row],[asofdate]]))</f>
        <v>42265</v>
      </c>
      <c r="E220" s="48" t="s">
        <v>11</v>
      </c>
      <c r="F220" s="55">
        <v>0.1958</v>
      </c>
    </row>
    <row r="221" spans="2:6">
      <c r="B221" s="48" t="s">
        <v>20</v>
      </c>
      <c r="C221" s="48" t="s">
        <v>1633</v>
      </c>
      <c r="D221" s="48">
        <f>DATE(YEAR(OneWeekMtgRatesDataTable756[[#This Row],[asofdate]]),MONTH(OneWeekMtgRatesDataTable756[[#This Row],[asofdate]]),DAY(OneWeekMtgRatesDataTable756[[#This Row],[asofdate]]))</f>
        <v>42264</v>
      </c>
      <c r="E221" s="48" t="s">
        <v>11</v>
      </c>
      <c r="F221" s="55">
        <v>0.216</v>
      </c>
    </row>
    <row r="222" spans="2:6">
      <c r="B222" s="48" t="s">
        <v>20</v>
      </c>
      <c r="C222" s="48" t="s">
        <v>1634</v>
      </c>
      <c r="D222" s="48">
        <f>DATE(YEAR(OneWeekMtgRatesDataTable756[[#This Row],[asofdate]]),MONTH(OneWeekMtgRatesDataTable756[[#This Row],[asofdate]]),DAY(OneWeekMtgRatesDataTable756[[#This Row],[asofdate]]))</f>
        <v>42263</v>
      </c>
      <c r="E222" s="48" t="s">
        <v>11</v>
      </c>
      <c r="F222" s="55">
        <v>0.21279999999999999</v>
      </c>
    </row>
    <row r="223" spans="2:6">
      <c r="B223" s="48" t="s">
        <v>20</v>
      </c>
      <c r="C223" s="48" t="s">
        <v>1635</v>
      </c>
      <c r="D223" s="48">
        <f>DATE(YEAR(OneWeekMtgRatesDataTable756[[#This Row],[asofdate]]),MONTH(OneWeekMtgRatesDataTable756[[#This Row],[asofdate]]),DAY(OneWeekMtgRatesDataTable756[[#This Row],[asofdate]]))</f>
        <v>42262</v>
      </c>
      <c r="E223" s="48" t="s">
        <v>11</v>
      </c>
      <c r="F223" s="55">
        <v>0.20724999999999999</v>
      </c>
    </row>
    <row r="224" spans="2:6">
      <c r="B224" s="48" t="s">
        <v>20</v>
      </c>
      <c r="C224" s="48" t="s">
        <v>1636</v>
      </c>
      <c r="D224" s="48">
        <f>DATE(YEAR(OneWeekMtgRatesDataTable756[[#This Row],[asofdate]]),MONTH(OneWeekMtgRatesDataTable756[[#This Row],[asofdate]]),DAY(OneWeekMtgRatesDataTable756[[#This Row],[asofdate]]))</f>
        <v>42261</v>
      </c>
      <c r="E224" s="48" t="s">
        <v>11</v>
      </c>
      <c r="F224" s="55">
        <v>0.20899999999999999</v>
      </c>
    </row>
    <row r="225" spans="2:6">
      <c r="B225" s="48" t="s">
        <v>20</v>
      </c>
      <c r="C225" s="48" t="s">
        <v>1637</v>
      </c>
      <c r="D225" s="48">
        <f>DATE(YEAR(OneWeekMtgRatesDataTable756[[#This Row],[asofdate]]),MONTH(OneWeekMtgRatesDataTable756[[#This Row],[asofdate]]),DAY(OneWeekMtgRatesDataTable756[[#This Row],[asofdate]]))</f>
        <v>42258</v>
      </c>
      <c r="E225" s="48" t="s">
        <v>11</v>
      </c>
      <c r="F225" s="55">
        <v>0.20655000000000001</v>
      </c>
    </row>
    <row r="226" spans="2:6">
      <c r="B226" s="48" t="s">
        <v>20</v>
      </c>
      <c r="C226" s="48" t="s">
        <v>1638</v>
      </c>
      <c r="D226" s="48">
        <f>DATE(YEAR(OneWeekMtgRatesDataTable756[[#This Row],[asofdate]]),MONTH(OneWeekMtgRatesDataTable756[[#This Row],[asofdate]]),DAY(OneWeekMtgRatesDataTable756[[#This Row],[asofdate]]))</f>
        <v>42257</v>
      </c>
      <c r="E226" s="48" t="s">
        <v>11</v>
      </c>
      <c r="F226" s="55">
        <v>0.20635000000000001</v>
      </c>
    </row>
    <row r="227" spans="2:6">
      <c r="B227" s="48" t="s">
        <v>20</v>
      </c>
      <c r="C227" s="48" t="s">
        <v>1639</v>
      </c>
      <c r="D227" s="48">
        <f>DATE(YEAR(OneWeekMtgRatesDataTable756[[#This Row],[asofdate]]),MONTH(OneWeekMtgRatesDataTable756[[#This Row],[asofdate]]),DAY(OneWeekMtgRatesDataTable756[[#This Row],[asofdate]]))</f>
        <v>42256</v>
      </c>
      <c r="E227" s="48" t="s">
        <v>11</v>
      </c>
      <c r="F227" s="55">
        <v>0.20399999999999999</v>
      </c>
    </row>
    <row r="228" spans="2:6">
      <c r="B228" s="48" t="s">
        <v>20</v>
      </c>
      <c r="C228" s="48" t="s">
        <v>1640</v>
      </c>
      <c r="D228" s="48">
        <f>DATE(YEAR(OneWeekMtgRatesDataTable756[[#This Row],[asofdate]]),MONTH(OneWeekMtgRatesDataTable756[[#This Row],[asofdate]]),DAY(OneWeekMtgRatesDataTable756[[#This Row],[asofdate]]))</f>
        <v>42255</v>
      </c>
      <c r="E228" s="48" t="s">
        <v>11</v>
      </c>
      <c r="F228" s="55">
        <v>0.20300000000000001</v>
      </c>
    </row>
    <row r="229" spans="2:6">
      <c r="B229" s="48" t="s">
        <v>20</v>
      </c>
      <c r="C229" s="48" t="s">
        <v>1641</v>
      </c>
      <c r="D229" s="48">
        <f>DATE(YEAR(OneWeekMtgRatesDataTable756[[#This Row],[asofdate]]),MONTH(OneWeekMtgRatesDataTable756[[#This Row],[asofdate]]),DAY(OneWeekMtgRatesDataTable756[[#This Row],[asofdate]]))</f>
        <v>42251</v>
      </c>
      <c r="E229" s="48" t="s">
        <v>11</v>
      </c>
      <c r="F229" s="55">
        <v>0.19925000000000001</v>
      </c>
    </row>
    <row r="230" spans="2:6">
      <c r="B230" s="48" t="s">
        <v>20</v>
      </c>
      <c r="C230" s="48" t="s">
        <v>1642</v>
      </c>
      <c r="D230" s="48">
        <f>DATE(YEAR(OneWeekMtgRatesDataTable756[[#This Row],[asofdate]]),MONTH(OneWeekMtgRatesDataTable756[[#This Row],[asofdate]]),DAY(OneWeekMtgRatesDataTable756[[#This Row],[asofdate]]))</f>
        <v>42250</v>
      </c>
      <c r="E230" s="48" t="s">
        <v>11</v>
      </c>
      <c r="F230" s="55">
        <v>0.20430000000000001</v>
      </c>
    </row>
    <row r="231" spans="2:6">
      <c r="B231" s="48" t="s">
        <v>20</v>
      </c>
      <c r="C231" s="48" t="s">
        <v>1643</v>
      </c>
      <c r="D231" s="48">
        <f>DATE(YEAR(OneWeekMtgRatesDataTable756[[#This Row],[asofdate]]),MONTH(OneWeekMtgRatesDataTable756[[#This Row],[asofdate]]),DAY(OneWeekMtgRatesDataTable756[[#This Row],[asofdate]]))</f>
        <v>42249</v>
      </c>
      <c r="E231" s="48" t="s">
        <v>11</v>
      </c>
      <c r="F231" s="55">
        <v>0.20280000000000001</v>
      </c>
    </row>
    <row r="232" spans="2:6">
      <c r="B232" s="48" t="s">
        <v>20</v>
      </c>
      <c r="C232" s="48" t="s">
        <v>1644</v>
      </c>
      <c r="D232" s="48">
        <f>DATE(YEAR(OneWeekMtgRatesDataTable756[[#This Row],[asofdate]]),MONTH(OneWeekMtgRatesDataTable756[[#This Row],[asofdate]]),DAY(OneWeekMtgRatesDataTable756[[#This Row],[asofdate]]))</f>
        <v>42248</v>
      </c>
      <c r="E232" s="48" t="s">
        <v>11</v>
      </c>
      <c r="F232" s="55">
        <v>0.20119999999999999</v>
      </c>
    </row>
    <row r="233" spans="2:6">
      <c r="B233" s="48" t="s">
        <v>20</v>
      </c>
      <c r="C233" s="48" t="s">
        <v>1602</v>
      </c>
      <c r="D233" s="48">
        <f>DATE(YEAR(OneWeekMtgRatesDataTable756[[#This Row],[asofdate]]),MONTH(OneWeekMtgRatesDataTable756[[#This Row],[asofdate]]),DAY(OneWeekMtgRatesDataTable756[[#This Row],[asofdate]]))</f>
        <v>42247</v>
      </c>
      <c r="E233" s="48" t="s">
        <v>11</v>
      </c>
      <c r="F233" s="55">
        <v>0.19855</v>
      </c>
    </row>
    <row r="234" spans="2:6">
      <c r="B234" s="48" t="s">
        <v>20</v>
      </c>
      <c r="C234" s="48" t="s">
        <v>1603</v>
      </c>
      <c r="D234" s="48">
        <f>DATE(YEAR(OneWeekMtgRatesDataTable756[[#This Row],[asofdate]]),MONTH(OneWeekMtgRatesDataTable756[[#This Row],[asofdate]]),DAY(OneWeekMtgRatesDataTable756[[#This Row],[asofdate]]))</f>
        <v>42244</v>
      </c>
      <c r="E234" s="48" t="s">
        <v>11</v>
      </c>
      <c r="F234" s="55">
        <v>0.19855</v>
      </c>
    </row>
    <row r="235" spans="2:6">
      <c r="B235" s="48" t="s">
        <v>20</v>
      </c>
      <c r="C235" s="48" t="s">
        <v>1604</v>
      </c>
      <c r="D235" s="48">
        <f>DATE(YEAR(OneWeekMtgRatesDataTable756[[#This Row],[asofdate]]),MONTH(OneWeekMtgRatesDataTable756[[#This Row],[asofdate]]),DAY(OneWeekMtgRatesDataTable756[[#This Row],[asofdate]]))</f>
        <v>42243</v>
      </c>
      <c r="E235" s="48" t="s">
        <v>11</v>
      </c>
      <c r="F235" s="55">
        <v>0.19700000000000001</v>
      </c>
    </row>
    <row r="236" spans="2:6">
      <c r="B236" s="48" t="s">
        <v>20</v>
      </c>
      <c r="C236" s="48" t="s">
        <v>1605</v>
      </c>
      <c r="D236" s="48">
        <f>DATE(YEAR(OneWeekMtgRatesDataTable756[[#This Row],[asofdate]]),MONTH(OneWeekMtgRatesDataTable756[[#This Row],[asofdate]]),DAY(OneWeekMtgRatesDataTable756[[#This Row],[asofdate]]))</f>
        <v>42242</v>
      </c>
      <c r="E236" s="48" t="s">
        <v>11</v>
      </c>
      <c r="F236" s="55">
        <v>0.19800000000000001</v>
      </c>
    </row>
    <row r="237" spans="2:6">
      <c r="B237" s="48" t="s">
        <v>20</v>
      </c>
      <c r="C237" s="48" t="s">
        <v>1606</v>
      </c>
      <c r="D237" s="48">
        <f>DATE(YEAR(OneWeekMtgRatesDataTable756[[#This Row],[asofdate]]),MONTH(OneWeekMtgRatesDataTable756[[#This Row],[asofdate]]),DAY(OneWeekMtgRatesDataTable756[[#This Row],[asofdate]]))</f>
        <v>42241</v>
      </c>
      <c r="E237" s="48" t="s">
        <v>11</v>
      </c>
      <c r="F237" s="55">
        <v>0.19775000000000001</v>
      </c>
    </row>
    <row r="238" spans="2:6">
      <c r="B238" s="48" t="s">
        <v>20</v>
      </c>
      <c r="C238" s="48" t="s">
        <v>1607</v>
      </c>
      <c r="D238" s="48">
        <f>DATE(YEAR(OneWeekMtgRatesDataTable756[[#This Row],[asofdate]]),MONTH(OneWeekMtgRatesDataTable756[[#This Row],[asofdate]]),DAY(OneWeekMtgRatesDataTable756[[#This Row],[asofdate]]))</f>
        <v>42240</v>
      </c>
      <c r="E238" s="48" t="s">
        <v>11</v>
      </c>
      <c r="F238" s="55">
        <v>0.19939999999999999</v>
      </c>
    </row>
    <row r="239" spans="2:6">
      <c r="B239" s="48" t="s">
        <v>20</v>
      </c>
      <c r="C239" s="48" t="s">
        <v>1608</v>
      </c>
      <c r="D239" s="48">
        <f>DATE(YEAR(OneWeekMtgRatesDataTable756[[#This Row],[asofdate]]),MONTH(OneWeekMtgRatesDataTable756[[#This Row],[asofdate]]),DAY(OneWeekMtgRatesDataTable756[[#This Row],[asofdate]]))</f>
        <v>42237</v>
      </c>
      <c r="E239" s="48" t="s">
        <v>11</v>
      </c>
      <c r="F239" s="55">
        <v>0.19939999999999999</v>
      </c>
    </row>
    <row r="240" spans="2:6">
      <c r="B240" s="48" t="s">
        <v>20</v>
      </c>
      <c r="C240" s="48" t="s">
        <v>1609</v>
      </c>
      <c r="D240" s="48">
        <f>DATE(YEAR(OneWeekMtgRatesDataTable756[[#This Row],[asofdate]]),MONTH(OneWeekMtgRatesDataTable756[[#This Row],[asofdate]]),DAY(OneWeekMtgRatesDataTable756[[#This Row],[asofdate]]))</f>
        <v>42236</v>
      </c>
      <c r="E240" s="48" t="s">
        <v>11</v>
      </c>
      <c r="F240" s="55">
        <v>0.20039999999999999</v>
      </c>
    </row>
    <row r="241" spans="2:6">
      <c r="B241" s="48" t="s">
        <v>20</v>
      </c>
      <c r="C241" s="48" t="s">
        <v>1610</v>
      </c>
      <c r="D241" s="48">
        <f>DATE(YEAR(OneWeekMtgRatesDataTable756[[#This Row],[asofdate]]),MONTH(OneWeekMtgRatesDataTable756[[#This Row],[asofdate]]),DAY(OneWeekMtgRatesDataTable756[[#This Row],[asofdate]]))</f>
        <v>42235</v>
      </c>
      <c r="E241" s="48" t="s">
        <v>11</v>
      </c>
      <c r="F241" s="55">
        <v>0.20200000000000001</v>
      </c>
    </row>
    <row r="242" spans="2:6">
      <c r="B242" s="48" t="s">
        <v>20</v>
      </c>
      <c r="C242" s="48" t="s">
        <v>1611</v>
      </c>
      <c r="D242" s="48">
        <f>DATE(YEAR(OneWeekMtgRatesDataTable756[[#This Row],[asofdate]]),MONTH(OneWeekMtgRatesDataTable756[[#This Row],[asofdate]]),DAY(OneWeekMtgRatesDataTable756[[#This Row],[asofdate]]))</f>
        <v>42234</v>
      </c>
      <c r="E242" s="48" t="s">
        <v>11</v>
      </c>
      <c r="F242" s="55">
        <v>0.20275000000000001</v>
      </c>
    </row>
    <row r="243" spans="2:6">
      <c r="B243" s="48" t="s">
        <v>20</v>
      </c>
      <c r="C243" s="48" t="s">
        <v>1612</v>
      </c>
      <c r="D243" s="48">
        <f>DATE(YEAR(OneWeekMtgRatesDataTable756[[#This Row],[asofdate]]),MONTH(OneWeekMtgRatesDataTable756[[#This Row],[asofdate]]),DAY(OneWeekMtgRatesDataTable756[[#This Row],[asofdate]]))</f>
        <v>42233</v>
      </c>
      <c r="E243" s="48" t="s">
        <v>11</v>
      </c>
      <c r="F243" s="55">
        <v>0.2046</v>
      </c>
    </row>
    <row r="244" spans="2:6">
      <c r="B244" s="48" t="s">
        <v>20</v>
      </c>
      <c r="C244" s="48" t="s">
        <v>1613</v>
      </c>
      <c r="D244" s="48">
        <f>DATE(YEAR(OneWeekMtgRatesDataTable756[[#This Row],[asofdate]]),MONTH(OneWeekMtgRatesDataTable756[[#This Row],[asofdate]]),DAY(OneWeekMtgRatesDataTable756[[#This Row],[asofdate]]))</f>
        <v>42230</v>
      </c>
      <c r="E244" s="48" t="s">
        <v>11</v>
      </c>
      <c r="F244" s="55">
        <v>0.1996</v>
      </c>
    </row>
    <row r="245" spans="2:6">
      <c r="B245" s="48" t="s">
        <v>20</v>
      </c>
      <c r="C245" s="48" t="s">
        <v>1614</v>
      </c>
      <c r="D245" s="48">
        <f>DATE(YEAR(OneWeekMtgRatesDataTable756[[#This Row],[asofdate]]),MONTH(OneWeekMtgRatesDataTable756[[#This Row],[asofdate]]),DAY(OneWeekMtgRatesDataTable756[[#This Row],[asofdate]]))</f>
        <v>42229</v>
      </c>
      <c r="E245" s="48" t="s">
        <v>11</v>
      </c>
      <c r="F245" s="55">
        <v>0.1976</v>
      </c>
    </row>
    <row r="246" spans="2:6">
      <c r="B246" s="48" t="s">
        <v>20</v>
      </c>
      <c r="C246" s="48" t="s">
        <v>1615</v>
      </c>
      <c r="D246" s="48">
        <f>DATE(YEAR(OneWeekMtgRatesDataTable756[[#This Row],[asofdate]]),MONTH(OneWeekMtgRatesDataTable756[[#This Row],[asofdate]]),DAY(OneWeekMtgRatesDataTable756[[#This Row],[asofdate]]))</f>
        <v>42228</v>
      </c>
      <c r="E246" s="48" t="s">
        <v>11</v>
      </c>
      <c r="F246" s="55">
        <v>0.19400000000000001</v>
      </c>
    </row>
    <row r="247" spans="2:6">
      <c r="B247" s="48" t="s">
        <v>20</v>
      </c>
      <c r="C247" s="48" t="s">
        <v>1616</v>
      </c>
      <c r="D247" s="48">
        <f>DATE(YEAR(OneWeekMtgRatesDataTable756[[#This Row],[asofdate]]),MONTH(OneWeekMtgRatesDataTable756[[#This Row],[asofdate]]),DAY(OneWeekMtgRatesDataTable756[[#This Row],[asofdate]]))</f>
        <v>42227</v>
      </c>
      <c r="E247" s="48" t="s">
        <v>11</v>
      </c>
      <c r="F247" s="55">
        <v>0.19345000000000001</v>
      </c>
    </row>
    <row r="248" spans="2:6">
      <c r="B248" s="48" t="s">
        <v>20</v>
      </c>
      <c r="C248" s="48" t="s">
        <v>1617</v>
      </c>
      <c r="D248" s="48">
        <f>DATE(YEAR(OneWeekMtgRatesDataTable756[[#This Row],[asofdate]]),MONTH(OneWeekMtgRatesDataTable756[[#This Row],[asofdate]]),DAY(OneWeekMtgRatesDataTable756[[#This Row],[asofdate]]))</f>
        <v>42226</v>
      </c>
      <c r="E248" s="48" t="s">
        <v>11</v>
      </c>
      <c r="F248" s="55">
        <v>0.19255</v>
      </c>
    </row>
    <row r="249" spans="2:6">
      <c r="B249" s="48" t="s">
        <v>20</v>
      </c>
      <c r="C249" s="48" t="s">
        <v>1618</v>
      </c>
      <c r="D249" s="48">
        <f>DATE(YEAR(OneWeekMtgRatesDataTable756[[#This Row],[asofdate]]),MONTH(OneWeekMtgRatesDataTable756[[#This Row],[asofdate]]),DAY(OneWeekMtgRatesDataTable756[[#This Row],[asofdate]]))</f>
        <v>42223</v>
      </c>
      <c r="E249" s="48" t="s">
        <v>11</v>
      </c>
      <c r="F249" s="55">
        <v>0.19125</v>
      </c>
    </row>
    <row r="250" spans="2:6">
      <c r="B250" s="48" t="s">
        <v>20</v>
      </c>
      <c r="C250" s="48" t="s">
        <v>1619</v>
      </c>
      <c r="D250" s="48">
        <f>DATE(YEAR(OneWeekMtgRatesDataTable756[[#This Row],[asofdate]]),MONTH(OneWeekMtgRatesDataTable756[[#This Row],[asofdate]]),DAY(OneWeekMtgRatesDataTable756[[#This Row],[asofdate]]))</f>
        <v>42222</v>
      </c>
      <c r="E250" s="48" t="s">
        <v>11</v>
      </c>
      <c r="F250" s="55">
        <v>0.1915</v>
      </c>
    </row>
    <row r="251" spans="2:6">
      <c r="B251" s="48" t="s">
        <v>20</v>
      </c>
      <c r="C251" s="48" t="s">
        <v>1620</v>
      </c>
      <c r="D251" s="48">
        <f>DATE(YEAR(OneWeekMtgRatesDataTable756[[#This Row],[asofdate]]),MONTH(OneWeekMtgRatesDataTable756[[#This Row],[asofdate]]),DAY(OneWeekMtgRatesDataTable756[[#This Row],[asofdate]]))</f>
        <v>42221</v>
      </c>
      <c r="E251" s="48" t="s">
        <v>11</v>
      </c>
      <c r="F251" s="55">
        <v>0.19350000000000001</v>
      </c>
    </row>
    <row r="252" spans="2:6">
      <c r="B252" s="48" t="s">
        <v>20</v>
      </c>
      <c r="C252" s="48" t="s">
        <v>1621</v>
      </c>
      <c r="D252" s="48">
        <f>DATE(YEAR(OneWeekMtgRatesDataTable756[[#This Row],[asofdate]]),MONTH(OneWeekMtgRatesDataTable756[[#This Row],[asofdate]]),DAY(OneWeekMtgRatesDataTable756[[#This Row],[asofdate]]))</f>
        <v>42220</v>
      </c>
      <c r="E252" s="48" t="s">
        <v>11</v>
      </c>
      <c r="F252" s="55">
        <v>0.19075</v>
      </c>
    </row>
    <row r="253" spans="2:6">
      <c r="B253" s="48" t="s">
        <v>20</v>
      </c>
      <c r="C253" s="48" t="s">
        <v>1622</v>
      </c>
      <c r="D253" s="48">
        <f>DATE(YEAR(OneWeekMtgRatesDataTable756[[#This Row],[asofdate]]),MONTH(OneWeekMtgRatesDataTable756[[#This Row],[asofdate]]),DAY(OneWeekMtgRatesDataTable756[[#This Row],[asofdate]]))</f>
        <v>42219</v>
      </c>
      <c r="E253" s="48" t="s">
        <v>11</v>
      </c>
      <c r="F253" s="55">
        <v>0.1905</v>
      </c>
    </row>
    <row r="254" spans="2:6">
      <c r="B254" s="48" t="s">
        <v>20</v>
      </c>
      <c r="C254" s="48" t="s">
        <v>1580</v>
      </c>
      <c r="D254" s="48">
        <f>DATE(YEAR(OneWeekMtgRatesDataTable756[[#This Row],[asofdate]]),MONTH(OneWeekMtgRatesDataTable756[[#This Row],[asofdate]]),DAY(OneWeekMtgRatesDataTable756[[#This Row],[asofdate]]))</f>
        <v>42216</v>
      </c>
      <c r="E254" s="48" t="s">
        <v>11</v>
      </c>
      <c r="F254" s="55">
        <v>0.19175</v>
      </c>
    </row>
    <row r="255" spans="2:6">
      <c r="B255" s="48" t="s">
        <v>20</v>
      </c>
      <c r="C255" s="48" t="s">
        <v>1581</v>
      </c>
      <c r="D255" s="48">
        <f>DATE(YEAR(OneWeekMtgRatesDataTable756[[#This Row],[asofdate]]),MONTH(OneWeekMtgRatesDataTable756[[#This Row],[asofdate]]),DAY(OneWeekMtgRatesDataTable756[[#This Row],[asofdate]]))</f>
        <v>42215</v>
      </c>
      <c r="E255" s="48" t="s">
        <v>11</v>
      </c>
      <c r="F255" s="55">
        <v>0.1885</v>
      </c>
    </row>
    <row r="256" spans="2:6">
      <c r="B256" s="48" t="s">
        <v>20</v>
      </c>
      <c r="C256" s="48" t="s">
        <v>1582</v>
      </c>
      <c r="D256" s="48">
        <f>DATE(YEAR(OneWeekMtgRatesDataTable756[[#This Row],[asofdate]]),MONTH(OneWeekMtgRatesDataTable756[[#This Row],[asofdate]]),DAY(OneWeekMtgRatesDataTable756[[#This Row],[asofdate]]))</f>
        <v>42214</v>
      </c>
      <c r="E256" s="48" t="s">
        <v>11</v>
      </c>
      <c r="F256" s="55">
        <v>0.18955</v>
      </c>
    </row>
    <row r="257" spans="2:6">
      <c r="B257" s="48" t="s">
        <v>20</v>
      </c>
      <c r="C257" s="48" t="s">
        <v>1583</v>
      </c>
      <c r="D257" s="48">
        <f>DATE(YEAR(OneWeekMtgRatesDataTable756[[#This Row],[asofdate]]),MONTH(OneWeekMtgRatesDataTable756[[#This Row],[asofdate]]),DAY(OneWeekMtgRatesDataTable756[[#This Row],[asofdate]]))</f>
        <v>42213</v>
      </c>
      <c r="E257" s="48" t="s">
        <v>11</v>
      </c>
      <c r="F257" s="55">
        <v>0.1908</v>
      </c>
    </row>
    <row r="258" spans="2:6">
      <c r="B258" s="48" t="s">
        <v>20</v>
      </c>
      <c r="C258" s="48" t="s">
        <v>1584</v>
      </c>
      <c r="D258" s="48">
        <f>DATE(YEAR(OneWeekMtgRatesDataTable756[[#This Row],[asofdate]]),MONTH(OneWeekMtgRatesDataTable756[[#This Row],[asofdate]]),DAY(OneWeekMtgRatesDataTable756[[#This Row],[asofdate]]))</f>
        <v>42212</v>
      </c>
      <c r="E258" s="48" t="s">
        <v>11</v>
      </c>
      <c r="F258" s="55">
        <v>0.189</v>
      </c>
    </row>
    <row r="259" spans="2:6">
      <c r="B259" s="48" t="s">
        <v>20</v>
      </c>
      <c r="C259" s="48" t="s">
        <v>1585</v>
      </c>
      <c r="D259" s="48">
        <f>DATE(YEAR(OneWeekMtgRatesDataTable756[[#This Row],[asofdate]]),MONTH(OneWeekMtgRatesDataTable756[[#This Row],[asofdate]]),DAY(OneWeekMtgRatesDataTable756[[#This Row],[asofdate]]))</f>
        <v>42209</v>
      </c>
      <c r="E259" s="48" t="s">
        <v>11</v>
      </c>
      <c r="F259" s="55">
        <v>0.189</v>
      </c>
    </row>
    <row r="260" spans="2:6">
      <c r="B260" s="48" t="s">
        <v>20</v>
      </c>
      <c r="C260" s="48" t="s">
        <v>1586</v>
      </c>
      <c r="D260" s="48">
        <f>DATE(YEAR(OneWeekMtgRatesDataTable756[[#This Row],[asofdate]]),MONTH(OneWeekMtgRatesDataTable756[[#This Row],[asofdate]]),DAY(OneWeekMtgRatesDataTable756[[#This Row],[asofdate]]))</f>
        <v>42208</v>
      </c>
      <c r="E260" s="48" t="s">
        <v>11</v>
      </c>
      <c r="F260" s="55">
        <v>0.1905</v>
      </c>
    </row>
    <row r="261" spans="2:6">
      <c r="B261" s="48" t="s">
        <v>20</v>
      </c>
      <c r="C261" s="48" t="s">
        <v>1587</v>
      </c>
      <c r="D261" s="48">
        <f>DATE(YEAR(OneWeekMtgRatesDataTable756[[#This Row],[asofdate]]),MONTH(OneWeekMtgRatesDataTable756[[#This Row],[asofdate]]),DAY(OneWeekMtgRatesDataTable756[[#This Row],[asofdate]]))</f>
        <v>42207</v>
      </c>
      <c r="E261" s="48" t="s">
        <v>11</v>
      </c>
      <c r="F261" s="55">
        <v>0.187</v>
      </c>
    </row>
    <row r="262" spans="2:6">
      <c r="B262" s="48" t="s">
        <v>20</v>
      </c>
      <c r="C262" s="48" t="s">
        <v>1588</v>
      </c>
      <c r="D262" s="48">
        <f>DATE(YEAR(OneWeekMtgRatesDataTable756[[#This Row],[asofdate]]),MONTH(OneWeekMtgRatesDataTable756[[#This Row],[asofdate]]),DAY(OneWeekMtgRatesDataTable756[[#This Row],[asofdate]]))</f>
        <v>42206</v>
      </c>
      <c r="E262" s="48" t="s">
        <v>11</v>
      </c>
      <c r="F262" s="55">
        <v>0.185</v>
      </c>
    </row>
    <row r="263" spans="2:6">
      <c r="B263" s="48" t="s">
        <v>20</v>
      </c>
      <c r="C263" s="48" t="s">
        <v>1589</v>
      </c>
      <c r="D263" s="48">
        <f>DATE(YEAR(OneWeekMtgRatesDataTable756[[#This Row],[asofdate]]),MONTH(OneWeekMtgRatesDataTable756[[#This Row],[asofdate]]),DAY(OneWeekMtgRatesDataTable756[[#This Row],[asofdate]]))</f>
        <v>42205</v>
      </c>
      <c r="E263" s="48" t="s">
        <v>11</v>
      </c>
      <c r="F263" s="55">
        <v>0.189</v>
      </c>
    </row>
    <row r="264" spans="2:6">
      <c r="B264" s="48" t="s">
        <v>20</v>
      </c>
      <c r="C264" s="48" t="s">
        <v>1590</v>
      </c>
      <c r="D264" s="48">
        <f>DATE(YEAR(OneWeekMtgRatesDataTable756[[#This Row],[asofdate]]),MONTH(OneWeekMtgRatesDataTable756[[#This Row],[asofdate]]),DAY(OneWeekMtgRatesDataTable756[[#This Row],[asofdate]]))</f>
        <v>42202</v>
      </c>
      <c r="E264" s="48" t="s">
        <v>11</v>
      </c>
      <c r="F264" s="55">
        <v>0.1905</v>
      </c>
    </row>
    <row r="265" spans="2:6">
      <c r="B265" s="48" t="s">
        <v>20</v>
      </c>
      <c r="C265" s="48" t="s">
        <v>1591</v>
      </c>
      <c r="D265" s="48">
        <f>DATE(YEAR(OneWeekMtgRatesDataTable756[[#This Row],[asofdate]]),MONTH(OneWeekMtgRatesDataTable756[[#This Row],[asofdate]]),DAY(OneWeekMtgRatesDataTable756[[#This Row],[asofdate]]))</f>
        <v>42201</v>
      </c>
      <c r="E265" s="48" t="s">
        <v>11</v>
      </c>
      <c r="F265" s="55">
        <v>0.188</v>
      </c>
    </row>
    <row r="266" spans="2:6">
      <c r="B266" s="48" t="s">
        <v>20</v>
      </c>
      <c r="C266" s="48" t="s">
        <v>1592</v>
      </c>
      <c r="D266" s="48">
        <f>DATE(YEAR(OneWeekMtgRatesDataTable756[[#This Row],[asofdate]]),MONTH(OneWeekMtgRatesDataTable756[[#This Row],[asofdate]]),DAY(OneWeekMtgRatesDataTable756[[#This Row],[asofdate]]))</f>
        <v>42200</v>
      </c>
      <c r="E266" s="48" t="s">
        <v>11</v>
      </c>
      <c r="F266" s="55">
        <v>0.186</v>
      </c>
    </row>
    <row r="267" spans="2:6">
      <c r="B267" s="48" t="s">
        <v>20</v>
      </c>
      <c r="C267" s="48" t="s">
        <v>1593</v>
      </c>
      <c r="D267" s="48">
        <f>DATE(YEAR(OneWeekMtgRatesDataTable756[[#This Row],[asofdate]]),MONTH(OneWeekMtgRatesDataTable756[[#This Row],[asofdate]]),DAY(OneWeekMtgRatesDataTable756[[#This Row],[asofdate]]))</f>
        <v>42199</v>
      </c>
      <c r="E267" s="48" t="s">
        <v>11</v>
      </c>
      <c r="F267" s="55">
        <v>0.187</v>
      </c>
    </row>
    <row r="268" spans="2:6">
      <c r="B268" s="48" t="s">
        <v>20</v>
      </c>
      <c r="C268" s="48" t="s">
        <v>1594</v>
      </c>
      <c r="D268" s="48">
        <f>DATE(YEAR(OneWeekMtgRatesDataTable756[[#This Row],[asofdate]]),MONTH(OneWeekMtgRatesDataTable756[[#This Row],[asofdate]]),DAY(OneWeekMtgRatesDataTable756[[#This Row],[asofdate]]))</f>
        <v>42198</v>
      </c>
      <c r="E268" s="48" t="s">
        <v>11</v>
      </c>
      <c r="F268" s="55">
        <v>0.18729999999999999</v>
      </c>
    </row>
    <row r="269" spans="2:6">
      <c r="B269" s="48" t="s">
        <v>20</v>
      </c>
      <c r="C269" s="48" t="s">
        <v>1595</v>
      </c>
      <c r="D269" s="48">
        <f>DATE(YEAR(OneWeekMtgRatesDataTable756[[#This Row],[asofdate]]),MONTH(OneWeekMtgRatesDataTable756[[#This Row],[asofdate]]),DAY(OneWeekMtgRatesDataTable756[[#This Row],[asofdate]]))</f>
        <v>42195</v>
      </c>
      <c r="E269" s="48" t="s">
        <v>11</v>
      </c>
      <c r="F269" s="55">
        <v>0.186</v>
      </c>
    </row>
    <row r="270" spans="2:6">
      <c r="B270" s="48" t="s">
        <v>20</v>
      </c>
      <c r="C270" s="48" t="s">
        <v>1596</v>
      </c>
      <c r="D270" s="48">
        <f>DATE(YEAR(OneWeekMtgRatesDataTable756[[#This Row],[asofdate]]),MONTH(OneWeekMtgRatesDataTable756[[#This Row],[asofdate]]),DAY(OneWeekMtgRatesDataTable756[[#This Row],[asofdate]]))</f>
        <v>42194</v>
      </c>
      <c r="E270" s="48" t="s">
        <v>11</v>
      </c>
      <c r="F270" s="55">
        <v>0.1867</v>
      </c>
    </row>
    <row r="271" spans="2:6">
      <c r="B271" s="48" t="s">
        <v>20</v>
      </c>
      <c r="C271" s="48" t="s">
        <v>1597</v>
      </c>
      <c r="D271" s="48">
        <f>DATE(YEAR(OneWeekMtgRatesDataTable756[[#This Row],[asofdate]]),MONTH(OneWeekMtgRatesDataTable756[[#This Row],[asofdate]]),DAY(OneWeekMtgRatesDataTable756[[#This Row],[asofdate]]))</f>
        <v>42193</v>
      </c>
      <c r="E271" s="48" t="s">
        <v>11</v>
      </c>
      <c r="F271" s="55">
        <v>0.1885</v>
      </c>
    </row>
    <row r="272" spans="2:6">
      <c r="B272" s="48" t="s">
        <v>20</v>
      </c>
      <c r="C272" s="48" t="s">
        <v>1598</v>
      </c>
      <c r="D272" s="48">
        <f>DATE(YEAR(OneWeekMtgRatesDataTable756[[#This Row],[asofdate]]),MONTH(OneWeekMtgRatesDataTable756[[#This Row],[asofdate]]),DAY(OneWeekMtgRatesDataTable756[[#This Row],[asofdate]]))</f>
        <v>42192</v>
      </c>
      <c r="E272" s="48" t="s">
        <v>11</v>
      </c>
      <c r="F272" s="55">
        <v>0.1895</v>
      </c>
    </row>
    <row r="273" spans="2:6">
      <c r="B273" s="48" t="s">
        <v>20</v>
      </c>
      <c r="C273" s="48" t="s">
        <v>1599</v>
      </c>
      <c r="D273" s="48">
        <f>DATE(YEAR(OneWeekMtgRatesDataTable756[[#This Row],[asofdate]]),MONTH(OneWeekMtgRatesDataTable756[[#This Row],[asofdate]]),DAY(OneWeekMtgRatesDataTable756[[#This Row],[asofdate]]))</f>
        <v>42191</v>
      </c>
      <c r="E273" s="48" t="s">
        <v>11</v>
      </c>
      <c r="F273" s="55">
        <v>0.1865</v>
      </c>
    </row>
    <row r="274" spans="2:6">
      <c r="B274" s="48" t="s">
        <v>20</v>
      </c>
      <c r="C274" s="48" t="s">
        <v>1600</v>
      </c>
      <c r="D274" s="48">
        <f>DATE(YEAR(OneWeekMtgRatesDataTable756[[#This Row],[asofdate]]),MONTH(OneWeekMtgRatesDataTable756[[#This Row],[asofdate]]),DAY(OneWeekMtgRatesDataTable756[[#This Row],[asofdate]]))</f>
        <v>42187</v>
      </c>
      <c r="E274" s="48" t="s">
        <v>11</v>
      </c>
      <c r="F274" s="55">
        <v>0.18815000000000001</v>
      </c>
    </row>
    <row r="275" spans="2:6">
      <c r="B275" s="48" t="s">
        <v>20</v>
      </c>
      <c r="C275" s="48" t="s">
        <v>1601</v>
      </c>
      <c r="D275" s="48">
        <f>DATE(YEAR(OneWeekMtgRatesDataTable756[[#This Row],[asofdate]]),MONTH(OneWeekMtgRatesDataTable756[[#This Row],[asofdate]]),DAY(OneWeekMtgRatesDataTable756[[#This Row],[asofdate]]))</f>
        <v>42186</v>
      </c>
      <c r="E275" s="48" t="s">
        <v>11</v>
      </c>
      <c r="F275" s="55">
        <v>0.185</v>
      </c>
    </row>
    <row r="276" spans="2:6">
      <c r="B276" s="48" t="s">
        <v>20</v>
      </c>
      <c r="C276" s="48" t="s">
        <v>1554</v>
      </c>
      <c r="D276" s="48">
        <f>DATE(YEAR(OneWeekMtgRatesDataTable756[[#This Row],[asofdate]]),MONTH(OneWeekMtgRatesDataTable756[[#This Row],[asofdate]]),DAY(OneWeekMtgRatesDataTable756[[#This Row],[asofdate]]))</f>
        <v>42185</v>
      </c>
      <c r="E276" s="48" t="s">
        <v>11</v>
      </c>
      <c r="F276" s="55">
        <v>0.1865</v>
      </c>
    </row>
    <row r="277" spans="2:6">
      <c r="B277" s="48" t="s">
        <v>20</v>
      </c>
      <c r="C277" s="48" t="s">
        <v>1555</v>
      </c>
      <c r="D277" s="48">
        <f>DATE(YEAR(OneWeekMtgRatesDataTable756[[#This Row],[asofdate]]),MONTH(OneWeekMtgRatesDataTable756[[#This Row],[asofdate]]),DAY(OneWeekMtgRatesDataTable756[[#This Row],[asofdate]]))</f>
        <v>42184</v>
      </c>
      <c r="E277" s="48" t="s">
        <v>11</v>
      </c>
      <c r="F277" s="55">
        <v>0.18659999999999999</v>
      </c>
    </row>
    <row r="278" spans="2:6">
      <c r="B278" s="48" t="s">
        <v>20</v>
      </c>
      <c r="C278" s="48" t="s">
        <v>1556</v>
      </c>
      <c r="D278" s="48">
        <f>DATE(YEAR(OneWeekMtgRatesDataTable756[[#This Row],[asofdate]]),MONTH(OneWeekMtgRatesDataTable756[[#This Row],[asofdate]]),DAY(OneWeekMtgRatesDataTable756[[#This Row],[asofdate]]))</f>
        <v>42181</v>
      </c>
      <c r="E278" s="48" t="s">
        <v>11</v>
      </c>
      <c r="F278" s="55">
        <v>0.18659999999999999</v>
      </c>
    </row>
    <row r="279" spans="2:6">
      <c r="B279" s="48" t="s">
        <v>20</v>
      </c>
      <c r="C279" s="48" t="s">
        <v>1557</v>
      </c>
      <c r="D279" s="48">
        <f>DATE(YEAR(OneWeekMtgRatesDataTable756[[#This Row],[asofdate]]),MONTH(OneWeekMtgRatesDataTable756[[#This Row],[asofdate]]),DAY(OneWeekMtgRatesDataTable756[[#This Row],[asofdate]]))</f>
        <v>42180</v>
      </c>
      <c r="E279" s="48" t="s">
        <v>11</v>
      </c>
      <c r="F279" s="55">
        <v>0.186</v>
      </c>
    </row>
    <row r="280" spans="2:6">
      <c r="B280" s="48" t="s">
        <v>20</v>
      </c>
      <c r="C280" s="48" t="s">
        <v>1558</v>
      </c>
      <c r="D280" s="48">
        <f>DATE(YEAR(OneWeekMtgRatesDataTable756[[#This Row],[asofdate]]),MONTH(OneWeekMtgRatesDataTable756[[#This Row],[asofdate]]),DAY(OneWeekMtgRatesDataTable756[[#This Row],[asofdate]]))</f>
        <v>42179</v>
      </c>
      <c r="E280" s="48" t="s">
        <v>11</v>
      </c>
      <c r="F280" s="55">
        <v>0.1865</v>
      </c>
    </row>
    <row r="281" spans="2:6">
      <c r="B281" s="48" t="s">
        <v>20</v>
      </c>
      <c r="C281" s="48" t="s">
        <v>1559</v>
      </c>
      <c r="D281" s="48">
        <f>DATE(YEAR(OneWeekMtgRatesDataTable756[[#This Row],[asofdate]]),MONTH(OneWeekMtgRatesDataTable756[[#This Row],[asofdate]]),DAY(OneWeekMtgRatesDataTable756[[#This Row],[asofdate]]))</f>
        <v>42178</v>
      </c>
      <c r="E281" s="48" t="s">
        <v>11</v>
      </c>
      <c r="F281" s="55">
        <v>0.187</v>
      </c>
    </row>
    <row r="282" spans="2:6">
      <c r="B282" s="48" t="s">
        <v>20</v>
      </c>
      <c r="C282" s="48" t="s">
        <v>1560</v>
      </c>
      <c r="D282" s="48">
        <f>DATE(YEAR(OneWeekMtgRatesDataTable756[[#This Row],[asofdate]]),MONTH(OneWeekMtgRatesDataTable756[[#This Row],[asofdate]]),DAY(OneWeekMtgRatesDataTable756[[#This Row],[asofdate]]))</f>
        <v>42177</v>
      </c>
      <c r="E282" s="48" t="s">
        <v>11</v>
      </c>
      <c r="F282" s="55">
        <v>0.187</v>
      </c>
    </row>
    <row r="283" spans="2:6">
      <c r="B283" s="48" t="s">
        <v>20</v>
      </c>
      <c r="C283" s="48" t="s">
        <v>1561</v>
      </c>
      <c r="D283" s="48">
        <f>DATE(YEAR(OneWeekMtgRatesDataTable756[[#This Row],[asofdate]]),MONTH(OneWeekMtgRatesDataTable756[[#This Row],[asofdate]]),DAY(OneWeekMtgRatesDataTable756[[#This Row],[asofdate]]))</f>
        <v>42174</v>
      </c>
      <c r="E283" s="48" t="s">
        <v>11</v>
      </c>
      <c r="F283" s="55">
        <v>0.187</v>
      </c>
    </row>
    <row r="284" spans="2:6">
      <c r="B284" s="48" t="s">
        <v>20</v>
      </c>
      <c r="C284" s="48" t="s">
        <v>1562</v>
      </c>
      <c r="D284" s="48">
        <f>DATE(YEAR(OneWeekMtgRatesDataTable756[[#This Row],[asofdate]]),MONTH(OneWeekMtgRatesDataTable756[[#This Row],[asofdate]]),DAY(OneWeekMtgRatesDataTable756[[#This Row],[asofdate]]))</f>
        <v>42173</v>
      </c>
      <c r="E284" s="48" t="s">
        <v>11</v>
      </c>
      <c r="F284" s="55">
        <v>0.18675</v>
      </c>
    </row>
    <row r="285" spans="2:6">
      <c r="B285" s="48" t="s">
        <v>20</v>
      </c>
      <c r="C285" s="48" t="s">
        <v>1563</v>
      </c>
      <c r="D285" s="48">
        <f>DATE(YEAR(OneWeekMtgRatesDataTable756[[#This Row],[asofdate]]),MONTH(OneWeekMtgRatesDataTable756[[#This Row],[asofdate]]),DAY(OneWeekMtgRatesDataTable756[[#This Row],[asofdate]]))</f>
        <v>42172</v>
      </c>
      <c r="E285" s="48" t="s">
        <v>11</v>
      </c>
      <c r="F285" s="55">
        <v>0.1875</v>
      </c>
    </row>
    <row r="286" spans="2:6">
      <c r="B286" s="48" t="s">
        <v>20</v>
      </c>
      <c r="C286" s="48" t="s">
        <v>1564</v>
      </c>
      <c r="D286" s="48">
        <f>DATE(YEAR(OneWeekMtgRatesDataTable756[[#This Row],[asofdate]]),MONTH(OneWeekMtgRatesDataTable756[[#This Row],[asofdate]]),DAY(OneWeekMtgRatesDataTable756[[#This Row],[asofdate]]))</f>
        <v>42171</v>
      </c>
      <c r="E286" s="48" t="s">
        <v>11</v>
      </c>
      <c r="F286" s="55">
        <v>0.185</v>
      </c>
    </row>
    <row r="287" spans="2:6">
      <c r="B287" s="48" t="s">
        <v>20</v>
      </c>
      <c r="C287" s="48" t="s">
        <v>1565</v>
      </c>
      <c r="D287" s="48">
        <f>DATE(YEAR(OneWeekMtgRatesDataTable756[[#This Row],[asofdate]]),MONTH(OneWeekMtgRatesDataTable756[[#This Row],[asofdate]]),DAY(OneWeekMtgRatesDataTable756[[#This Row],[asofdate]]))</f>
        <v>42170</v>
      </c>
      <c r="E287" s="48" t="s">
        <v>11</v>
      </c>
      <c r="F287" s="55">
        <v>0.18525</v>
      </c>
    </row>
    <row r="288" spans="2:6">
      <c r="B288" s="48" t="s">
        <v>20</v>
      </c>
      <c r="C288" s="48" t="s">
        <v>1566</v>
      </c>
      <c r="D288" s="48">
        <f>DATE(YEAR(OneWeekMtgRatesDataTable756[[#This Row],[asofdate]]),MONTH(OneWeekMtgRatesDataTable756[[#This Row],[asofdate]]),DAY(OneWeekMtgRatesDataTable756[[#This Row],[asofdate]]))</f>
        <v>42167</v>
      </c>
      <c r="E288" s="48" t="s">
        <v>11</v>
      </c>
      <c r="F288" s="55">
        <v>0.18475</v>
      </c>
    </row>
    <row r="289" spans="2:6">
      <c r="B289" s="48" t="s">
        <v>20</v>
      </c>
      <c r="C289" s="48" t="s">
        <v>1567</v>
      </c>
      <c r="D289" s="48">
        <f>DATE(YEAR(OneWeekMtgRatesDataTable756[[#This Row],[asofdate]]),MONTH(OneWeekMtgRatesDataTable756[[#This Row],[asofdate]]),DAY(OneWeekMtgRatesDataTable756[[#This Row],[asofdate]]))</f>
        <v>42166</v>
      </c>
      <c r="E289" s="48" t="s">
        <v>11</v>
      </c>
      <c r="F289" s="55">
        <v>0.1855</v>
      </c>
    </row>
    <row r="290" spans="2:6">
      <c r="B290" s="48" t="s">
        <v>20</v>
      </c>
      <c r="C290" s="48" t="s">
        <v>1568</v>
      </c>
      <c r="D290" s="48">
        <f>DATE(YEAR(OneWeekMtgRatesDataTable756[[#This Row],[asofdate]]),MONTH(OneWeekMtgRatesDataTable756[[#This Row],[asofdate]]),DAY(OneWeekMtgRatesDataTable756[[#This Row],[asofdate]]))</f>
        <v>42165</v>
      </c>
      <c r="E290" s="48" t="s">
        <v>11</v>
      </c>
      <c r="F290" s="55">
        <v>0.18875</v>
      </c>
    </row>
    <row r="291" spans="2:6">
      <c r="B291" s="48" t="s">
        <v>20</v>
      </c>
      <c r="C291" s="48" t="s">
        <v>1569</v>
      </c>
      <c r="D291" s="48">
        <f>DATE(YEAR(OneWeekMtgRatesDataTable756[[#This Row],[asofdate]]),MONTH(OneWeekMtgRatesDataTable756[[#This Row],[asofdate]]),DAY(OneWeekMtgRatesDataTable756[[#This Row],[asofdate]]))</f>
        <v>42164</v>
      </c>
      <c r="E291" s="48" t="s">
        <v>11</v>
      </c>
      <c r="F291" s="55">
        <v>0.1875</v>
      </c>
    </row>
    <row r="292" spans="2:6">
      <c r="B292" s="48" t="s">
        <v>20</v>
      </c>
      <c r="C292" s="48" t="s">
        <v>1570</v>
      </c>
      <c r="D292" s="48">
        <f>DATE(YEAR(OneWeekMtgRatesDataTable756[[#This Row],[asofdate]]),MONTH(OneWeekMtgRatesDataTable756[[#This Row],[asofdate]]),DAY(OneWeekMtgRatesDataTable756[[#This Row],[asofdate]]))</f>
        <v>42163</v>
      </c>
      <c r="E292" s="48" t="s">
        <v>11</v>
      </c>
      <c r="F292" s="55">
        <v>0.18540000000000001</v>
      </c>
    </row>
    <row r="293" spans="2:6">
      <c r="B293" s="48" t="s">
        <v>20</v>
      </c>
      <c r="C293" s="48" t="s">
        <v>1571</v>
      </c>
      <c r="D293" s="48">
        <f>DATE(YEAR(OneWeekMtgRatesDataTable756[[#This Row],[asofdate]]),MONTH(OneWeekMtgRatesDataTable756[[#This Row],[asofdate]]),DAY(OneWeekMtgRatesDataTable756[[#This Row],[asofdate]]))</f>
        <v>42160</v>
      </c>
      <c r="E293" s="48" t="s">
        <v>11</v>
      </c>
      <c r="F293" s="55">
        <v>0.183</v>
      </c>
    </row>
    <row r="294" spans="2:6">
      <c r="B294" s="48" t="s">
        <v>20</v>
      </c>
      <c r="C294" s="48" t="s">
        <v>1572</v>
      </c>
      <c r="D294" s="48">
        <f>DATE(YEAR(OneWeekMtgRatesDataTable756[[#This Row],[asofdate]]),MONTH(OneWeekMtgRatesDataTable756[[#This Row],[asofdate]]),DAY(OneWeekMtgRatesDataTable756[[#This Row],[asofdate]]))</f>
        <v>42159</v>
      </c>
      <c r="E294" s="48" t="s">
        <v>11</v>
      </c>
      <c r="F294" s="55">
        <v>0.18404999999999999</v>
      </c>
    </row>
    <row r="295" spans="2:6">
      <c r="B295" s="48" t="s">
        <v>20</v>
      </c>
      <c r="C295" s="48" t="s">
        <v>1573</v>
      </c>
      <c r="D295" s="48">
        <f>DATE(YEAR(OneWeekMtgRatesDataTable756[[#This Row],[asofdate]]),MONTH(OneWeekMtgRatesDataTable756[[#This Row],[asofdate]]),DAY(OneWeekMtgRatesDataTable756[[#This Row],[asofdate]]))</f>
        <v>42158</v>
      </c>
      <c r="E295" s="48" t="s">
        <v>11</v>
      </c>
      <c r="F295" s="55">
        <v>0.185</v>
      </c>
    </row>
    <row r="296" spans="2:6">
      <c r="B296" s="48" t="s">
        <v>20</v>
      </c>
      <c r="C296" s="48" t="s">
        <v>1574</v>
      </c>
      <c r="D296" s="48">
        <f>DATE(YEAR(OneWeekMtgRatesDataTable756[[#This Row],[asofdate]]),MONTH(OneWeekMtgRatesDataTable756[[#This Row],[asofdate]]),DAY(OneWeekMtgRatesDataTable756[[#This Row],[asofdate]]))</f>
        <v>42157</v>
      </c>
      <c r="E296" s="48" t="s">
        <v>11</v>
      </c>
      <c r="F296" s="55">
        <v>0.18479999999999999</v>
      </c>
    </row>
    <row r="297" spans="2:6">
      <c r="B297" s="48" t="s">
        <v>20</v>
      </c>
      <c r="C297" s="48" t="s">
        <v>1526</v>
      </c>
      <c r="D297" s="48">
        <f>DATE(YEAR(OneWeekMtgRatesDataTable756[[#This Row],[asofdate]]),MONTH(OneWeekMtgRatesDataTable756[[#This Row],[asofdate]]),DAY(OneWeekMtgRatesDataTable756[[#This Row],[asofdate]]))</f>
        <v>42156</v>
      </c>
      <c r="E297" s="48" t="s">
        <v>11</v>
      </c>
      <c r="F297" s="55">
        <v>0.183</v>
      </c>
    </row>
    <row r="298" spans="2:6">
      <c r="B298" s="48" t="s">
        <v>20</v>
      </c>
      <c r="C298" s="48" t="s">
        <v>1527</v>
      </c>
      <c r="D298" s="48">
        <f>DATE(YEAR(OneWeekMtgRatesDataTable756[[#This Row],[asofdate]]),MONTH(OneWeekMtgRatesDataTable756[[#This Row],[asofdate]]),DAY(OneWeekMtgRatesDataTable756[[#This Row],[asofdate]]))</f>
        <v>42153</v>
      </c>
      <c r="E298" s="48" t="s">
        <v>11</v>
      </c>
      <c r="F298" s="55">
        <v>0.184</v>
      </c>
    </row>
    <row r="299" spans="2:6">
      <c r="B299" s="48" t="s">
        <v>20</v>
      </c>
      <c r="C299" s="48" t="s">
        <v>1528</v>
      </c>
      <c r="D299" s="48">
        <f>DATE(YEAR(OneWeekMtgRatesDataTable756[[#This Row],[asofdate]]),MONTH(OneWeekMtgRatesDataTable756[[#This Row],[asofdate]]),DAY(OneWeekMtgRatesDataTable756[[#This Row],[asofdate]]))</f>
        <v>42152</v>
      </c>
      <c r="E299" s="48" t="s">
        <v>11</v>
      </c>
      <c r="F299" s="55">
        <v>0.184</v>
      </c>
    </row>
    <row r="300" spans="2:6">
      <c r="B300" s="48" t="s">
        <v>20</v>
      </c>
      <c r="C300" s="48" t="s">
        <v>1529</v>
      </c>
      <c r="D300" s="48">
        <f>DATE(YEAR(OneWeekMtgRatesDataTable756[[#This Row],[asofdate]]),MONTH(OneWeekMtgRatesDataTable756[[#This Row],[asofdate]]),DAY(OneWeekMtgRatesDataTable756[[#This Row],[asofdate]]))</f>
        <v>42151</v>
      </c>
      <c r="E300" s="48" t="s">
        <v>11</v>
      </c>
      <c r="F300" s="55">
        <v>0.18534999999999999</v>
      </c>
    </row>
    <row r="301" spans="2:6">
      <c r="B301" s="48" t="s">
        <v>20</v>
      </c>
      <c r="C301" s="48" t="s">
        <v>1530</v>
      </c>
      <c r="D301" s="48">
        <f>DATE(YEAR(OneWeekMtgRatesDataTable756[[#This Row],[asofdate]]),MONTH(OneWeekMtgRatesDataTable756[[#This Row],[asofdate]]),DAY(OneWeekMtgRatesDataTable756[[#This Row],[asofdate]]))</f>
        <v>42150</v>
      </c>
      <c r="E301" s="48" t="s">
        <v>11</v>
      </c>
      <c r="F301" s="55">
        <v>0.18629999999999999</v>
      </c>
    </row>
    <row r="302" spans="2:6">
      <c r="B302" s="48" t="s">
        <v>20</v>
      </c>
      <c r="C302" s="48" t="s">
        <v>1531</v>
      </c>
      <c r="D302" s="48">
        <f>DATE(YEAR(OneWeekMtgRatesDataTable756[[#This Row],[asofdate]]),MONTH(OneWeekMtgRatesDataTable756[[#This Row],[asofdate]]),DAY(OneWeekMtgRatesDataTable756[[#This Row],[asofdate]]))</f>
        <v>42146</v>
      </c>
      <c r="E302" s="48" t="s">
        <v>11</v>
      </c>
      <c r="F302" s="55">
        <v>0.18484999999999999</v>
      </c>
    </row>
    <row r="303" spans="2:6">
      <c r="B303" s="48" t="s">
        <v>20</v>
      </c>
      <c r="C303" s="48" t="s">
        <v>1532</v>
      </c>
      <c r="D303" s="48">
        <f>DATE(YEAR(OneWeekMtgRatesDataTable756[[#This Row],[asofdate]]),MONTH(OneWeekMtgRatesDataTable756[[#This Row],[asofdate]]),DAY(OneWeekMtgRatesDataTable756[[#This Row],[asofdate]]))</f>
        <v>42145</v>
      </c>
      <c r="E303" s="48" t="s">
        <v>11</v>
      </c>
      <c r="F303" s="55">
        <v>0.18475</v>
      </c>
    </row>
    <row r="304" spans="2:6">
      <c r="B304" s="48" t="s">
        <v>20</v>
      </c>
      <c r="C304" s="48" t="s">
        <v>1533</v>
      </c>
      <c r="D304" s="48">
        <f>DATE(YEAR(OneWeekMtgRatesDataTable756[[#This Row],[asofdate]]),MONTH(OneWeekMtgRatesDataTable756[[#This Row],[asofdate]]),DAY(OneWeekMtgRatesDataTable756[[#This Row],[asofdate]]))</f>
        <v>42144</v>
      </c>
      <c r="E304" s="48" t="s">
        <v>11</v>
      </c>
      <c r="F304" s="55">
        <v>0.18475</v>
      </c>
    </row>
    <row r="305" spans="2:6">
      <c r="B305" s="48" t="s">
        <v>20</v>
      </c>
      <c r="C305" s="48" t="s">
        <v>1534</v>
      </c>
      <c r="D305" s="48">
        <f>DATE(YEAR(OneWeekMtgRatesDataTable756[[#This Row],[asofdate]]),MONTH(OneWeekMtgRatesDataTable756[[#This Row],[asofdate]]),DAY(OneWeekMtgRatesDataTable756[[#This Row],[asofdate]]))</f>
        <v>42143</v>
      </c>
      <c r="E305" s="48" t="s">
        <v>11</v>
      </c>
      <c r="F305" s="55">
        <v>0.18675</v>
      </c>
    </row>
    <row r="306" spans="2:6">
      <c r="B306" s="48" t="s">
        <v>20</v>
      </c>
      <c r="C306" s="48" t="s">
        <v>1535</v>
      </c>
      <c r="D306" s="48">
        <f>DATE(YEAR(OneWeekMtgRatesDataTable756[[#This Row],[asofdate]]),MONTH(OneWeekMtgRatesDataTable756[[#This Row],[asofdate]]),DAY(OneWeekMtgRatesDataTable756[[#This Row],[asofdate]]))</f>
        <v>42142</v>
      </c>
      <c r="E306" s="48" t="s">
        <v>11</v>
      </c>
      <c r="F306" s="55">
        <v>0.184</v>
      </c>
    </row>
    <row r="307" spans="2:6">
      <c r="B307" s="48" t="s">
        <v>20</v>
      </c>
      <c r="C307" s="48" t="s">
        <v>1536</v>
      </c>
      <c r="D307" s="48">
        <f>DATE(YEAR(OneWeekMtgRatesDataTable756[[#This Row],[asofdate]]),MONTH(OneWeekMtgRatesDataTable756[[#This Row],[asofdate]]),DAY(OneWeekMtgRatesDataTable756[[#This Row],[asofdate]]))</f>
        <v>42139</v>
      </c>
      <c r="E307" s="48" t="s">
        <v>11</v>
      </c>
      <c r="F307" s="55">
        <v>0.1862</v>
      </c>
    </row>
    <row r="308" spans="2:6">
      <c r="B308" s="48" t="s">
        <v>20</v>
      </c>
      <c r="C308" s="48" t="s">
        <v>1537</v>
      </c>
      <c r="D308" s="48">
        <f>DATE(YEAR(OneWeekMtgRatesDataTable756[[#This Row],[asofdate]]),MONTH(OneWeekMtgRatesDataTable756[[#This Row],[asofdate]]),DAY(OneWeekMtgRatesDataTable756[[#This Row],[asofdate]]))</f>
        <v>42138</v>
      </c>
      <c r="E308" s="48" t="s">
        <v>11</v>
      </c>
      <c r="F308" s="55">
        <v>0.18335000000000001</v>
      </c>
    </row>
    <row r="309" spans="2:6">
      <c r="B309" s="48" t="s">
        <v>20</v>
      </c>
      <c r="C309" s="48" t="s">
        <v>1538</v>
      </c>
      <c r="D309" s="48">
        <f>DATE(YEAR(OneWeekMtgRatesDataTable756[[#This Row],[asofdate]]),MONTH(OneWeekMtgRatesDataTable756[[#This Row],[asofdate]]),DAY(OneWeekMtgRatesDataTable756[[#This Row],[asofdate]]))</f>
        <v>42137</v>
      </c>
      <c r="E309" s="48" t="s">
        <v>11</v>
      </c>
      <c r="F309" s="55">
        <v>0.18559999999999999</v>
      </c>
    </row>
    <row r="310" spans="2:6">
      <c r="B310" s="48" t="s">
        <v>20</v>
      </c>
      <c r="C310" s="48" t="s">
        <v>1539</v>
      </c>
      <c r="D310" s="48">
        <f>DATE(YEAR(OneWeekMtgRatesDataTable756[[#This Row],[asofdate]]),MONTH(OneWeekMtgRatesDataTable756[[#This Row],[asofdate]]),DAY(OneWeekMtgRatesDataTable756[[#This Row],[asofdate]]))</f>
        <v>42136</v>
      </c>
      <c r="E310" s="48" t="s">
        <v>11</v>
      </c>
      <c r="F310" s="55">
        <v>0.18559999999999999</v>
      </c>
    </row>
    <row r="311" spans="2:6">
      <c r="B311" s="48" t="s">
        <v>20</v>
      </c>
      <c r="C311" s="48" t="s">
        <v>1540</v>
      </c>
      <c r="D311" s="48">
        <f>DATE(YEAR(OneWeekMtgRatesDataTable756[[#This Row],[asofdate]]),MONTH(OneWeekMtgRatesDataTable756[[#This Row],[asofdate]]),DAY(OneWeekMtgRatesDataTable756[[#This Row],[asofdate]]))</f>
        <v>42135</v>
      </c>
      <c r="E311" s="48" t="s">
        <v>11</v>
      </c>
      <c r="F311" s="55">
        <v>0.18559999999999999</v>
      </c>
    </row>
    <row r="312" spans="2:6">
      <c r="B312" s="48" t="s">
        <v>20</v>
      </c>
      <c r="C312" s="48" t="s">
        <v>1525</v>
      </c>
      <c r="D312" s="48">
        <f>DATE(YEAR(OneWeekMtgRatesDataTable756[[#This Row],[asofdate]]),MONTH(OneWeekMtgRatesDataTable756[[#This Row],[asofdate]]),DAY(OneWeekMtgRatesDataTable756[[#This Row],[asofdate]]))</f>
        <v>42132</v>
      </c>
      <c r="E312" s="48" t="s">
        <v>11</v>
      </c>
      <c r="F312" s="55">
        <v>0.18475</v>
      </c>
    </row>
    <row r="313" spans="2:6">
      <c r="B313" s="48" t="s">
        <v>20</v>
      </c>
      <c r="C313" s="48" t="s">
        <v>23</v>
      </c>
      <c r="D313" s="48">
        <f>DATE(YEAR(OneWeekMtgRatesDataTable756[[#This Row],[asofdate]]),MONTH(OneWeekMtgRatesDataTable756[[#This Row],[asofdate]]),DAY(OneWeekMtgRatesDataTable756[[#This Row],[asofdate]]))</f>
        <v>42131</v>
      </c>
      <c r="E313" s="48" t="s">
        <v>11</v>
      </c>
      <c r="F313" s="55">
        <v>0.18149999999999999</v>
      </c>
    </row>
    <row r="314" spans="2:6">
      <c r="B314" s="48" t="s">
        <v>20</v>
      </c>
      <c r="C314" s="48" t="s">
        <v>1524</v>
      </c>
      <c r="D314" s="48">
        <f>DATE(YEAR(OneWeekMtgRatesDataTable756[[#This Row],[asofdate]]),MONTH(OneWeekMtgRatesDataTable756[[#This Row],[asofdate]]),DAY(OneWeekMtgRatesDataTable756[[#This Row],[asofdate]]))</f>
        <v>42130</v>
      </c>
      <c r="E314" s="48" t="s">
        <v>11</v>
      </c>
      <c r="F314" s="55">
        <v>0.18024999999999999</v>
      </c>
    </row>
    <row r="315" spans="2:6">
      <c r="B315" s="48" t="s">
        <v>20</v>
      </c>
      <c r="C315" s="48" t="s">
        <v>1523</v>
      </c>
      <c r="D315" s="48">
        <f>DATE(YEAR(OneWeekMtgRatesDataTable756[[#This Row],[asofdate]]),MONTH(OneWeekMtgRatesDataTable756[[#This Row],[asofdate]]),DAY(OneWeekMtgRatesDataTable756[[#This Row],[asofdate]]))</f>
        <v>42129</v>
      </c>
      <c r="E315" s="48" t="s">
        <v>11</v>
      </c>
      <c r="F315" s="55">
        <v>0.18049999999999999</v>
      </c>
    </row>
    <row r="316" spans="2:6">
      <c r="B316" s="48" t="s">
        <v>20</v>
      </c>
      <c r="C316" s="48" t="s">
        <v>1522</v>
      </c>
      <c r="D316" s="48">
        <f>DATE(YEAR(OneWeekMtgRatesDataTable756[[#This Row],[asofdate]]),MONTH(OneWeekMtgRatesDataTable756[[#This Row],[asofdate]]),DAY(OneWeekMtgRatesDataTable756[[#This Row],[asofdate]]))</f>
        <v>42128</v>
      </c>
      <c r="E316" s="48" t="s">
        <v>11</v>
      </c>
      <c r="F316" s="55">
        <v>0.18225</v>
      </c>
    </row>
    <row r="317" spans="2:6">
      <c r="B317" s="48" t="s">
        <v>20</v>
      </c>
      <c r="C317" s="48" t="s">
        <v>1521</v>
      </c>
      <c r="D317" s="48">
        <f>DATE(YEAR(OneWeekMtgRatesDataTable756[[#This Row],[asofdate]]),MONTH(OneWeekMtgRatesDataTable756[[#This Row],[asofdate]]),DAY(OneWeekMtgRatesDataTable756[[#This Row],[asofdate]]))</f>
        <v>42125</v>
      </c>
      <c r="E317" s="48" t="s">
        <v>11</v>
      </c>
      <c r="F317" s="55">
        <v>0.18225</v>
      </c>
    </row>
    <row r="318" spans="2:6">
      <c r="B318" s="48" t="s">
        <v>20</v>
      </c>
      <c r="C318" s="48" t="s">
        <v>1520</v>
      </c>
      <c r="D318" s="48">
        <f>DATE(YEAR(OneWeekMtgRatesDataTable756[[#This Row],[asofdate]]),MONTH(OneWeekMtgRatesDataTable756[[#This Row],[asofdate]]),DAY(OneWeekMtgRatesDataTable756[[#This Row],[asofdate]]))</f>
        <v>42124</v>
      </c>
      <c r="E318" s="48" t="s">
        <v>11</v>
      </c>
      <c r="F318" s="55">
        <v>0.18099999999999999</v>
      </c>
    </row>
    <row r="319" spans="2:6">
      <c r="B319" s="48" t="s">
        <v>20</v>
      </c>
      <c r="C319" s="48" t="s">
        <v>1519</v>
      </c>
      <c r="D319" s="48">
        <f>DATE(YEAR(OneWeekMtgRatesDataTable756[[#This Row],[asofdate]]),MONTH(OneWeekMtgRatesDataTable756[[#This Row],[asofdate]]),DAY(OneWeekMtgRatesDataTable756[[#This Row],[asofdate]]))</f>
        <v>42123</v>
      </c>
      <c r="E319" s="48" t="s">
        <v>11</v>
      </c>
      <c r="F319" s="55">
        <v>0.18024999999999999</v>
      </c>
    </row>
    <row r="320" spans="2:6">
      <c r="B320" s="48" t="s">
        <v>20</v>
      </c>
      <c r="C320" s="48" t="s">
        <v>1518</v>
      </c>
      <c r="D320" s="48">
        <f>DATE(YEAR(OneWeekMtgRatesDataTable756[[#This Row],[asofdate]]),MONTH(OneWeekMtgRatesDataTable756[[#This Row],[asofdate]]),DAY(OneWeekMtgRatesDataTable756[[#This Row],[asofdate]]))</f>
        <v>42122</v>
      </c>
      <c r="E320" s="48" t="s">
        <v>11</v>
      </c>
      <c r="F320" s="55">
        <v>0.18425</v>
      </c>
    </row>
    <row r="321" spans="2:6">
      <c r="B321" s="48" t="s">
        <v>20</v>
      </c>
      <c r="C321" s="48" t="s">
        <v>1517</v>
      </c>
      <c r="D321" s="48">
        <f>DATE(YEAR(OneWeekMtgRatesDataTable756[[#This Row],[asofdate]]),MONTH(OneWeekMtgRatesDataTable756[[#This Row],[asofdate]]),DAY(OneWeekMtgRatesDataTable756[[#This Row],[asofdate]]))</f>
        <v>42121</v>
      </c>
      <c r="E321" s="48" t="s">
        <v>11</v>
      </c>
      <c r="F321" s="55">
        <v>0.18124999999999999</v>
      </c>
    </row>
    <row r="322" spans="2:6">
      <c r="B322" s="48" t="s">
        <v>20</v>
      </c>
      <c r="C322" s="48" t="s">
        <v>1516</v>
      </c>
      <c r="D322" s="48">
        <f>DATE(YEAR(OneWeekMtgRatesDataTable756[[#This Row],[asofdate]]),MONTH(OneWeekMtgRatesDataTable756[[#This Row],[asofdate]]),DAY(OneWeekMtgRatesDataTable756[[#This Row],[asofdate]]))</f>
        <v>42118</v>
      </c>
      <c r="E322" s="48" t="s">
        <v>11</v>
      </c>
      <c r="F322" s="55">
        <v>0.18149999999999999</v>
      </c>
    </row>
    <row r="323" spans="2:6">
      <c r="B323" s="48" t="s">
        <v>20</v>
      </c>
      <c r="C323" s="48" t="s">
        <v>1515</v>
      </c>
      <c r="D323" s="48">
        <f>DATE(YEAR(OneWeekMtgRatesDataTable756[[#This Row],[asofdate]]),MONTH(OneWeekMtgRatesDataTable756[[#This Row],[asofdate]]),DAY(OneWeekMtgRatesDataTable756[[#This Row],[asofdate]]))</f>
        <v>42117</v>
      </c>
      <c r="E323" s="48" t="s">
        <v>11</v>
      </c>
      <c r="F323" s="55">
        <v>0.18124999999999999</v>
      </c>
    </row>
    <row r="324" spans="2:6">
      <c r="B324" s="48" t="s">
        <v>20</v>
      </c>
      <c r="C324" s="48" t="s">
        <v>1514</v>
      </c>
      <c r="D324" s="48">
        <f>DATE(YEAR(OneWeekMtgRatesDataTable756[[#This Row],[asofdate]]),MONTH(OneWeekMtgRatesDataTable756[[#This Row],[asofdate]]),DAY(OneWeekMtgRatesDataTable756[[#This Row],[asofdate]]))</f>
        <v>42116</v>
      </c>
      <c r="E324" s="48" t="s">
        <v>11</v>
      </c>
      <c r="F324" s="55">
        <v>0.18174999999999999</v>
      </c>
    </row>
    <row r="325" spans="2:6">
      <c r="B325" s="48" t="s">
        <v>20</v>
      </c>
      <c r="C325" s="48" t="s">
        <v>1513</v>
      </c>
      <c r="D325" s="48">
        <f>DATE(YEAR(OneWeekMtgRatesDataTable756[[#This Row],[asofdate]]),MONTH(OneWeekMtgRatesDataTable756[[#This Row],[asofdate]]),DAY(OneWeekMtgRatesDataTable756[[#This Row],[asofdate]]))</f>
        <v>42115</v>
      </c>
      <c r="E325" s="48" t="s">
        <v>11</v>
      </c>
      <c r="F325" s="55">
        <v>0.18149999999999999</v>
      </c>
    </row>
    <row r="326" spans="2:6">
      <c r="B326" s="48" t="s">
        <v>20</v>
      </c>
      <c r="C326" s="48" t="s">
        <v>1512</v>
      </c>
      <c r="D326" s="48">
        <f>DATE(YEAR(OneWeekMtgRatesDataTable756[[#This Row],[asofdate]]),MONTH(OneWeekMtgRatesDataTable756[[#This Row],[asofdate]]),DAY(OneWeekMtgRatesDataTable756[[#This Row],[asofdate]]))</f>
        <v>42114</v>
      </c>
      <c r="E326" s="48" t="s">
        <v>11</v>
      </c>
      <c r="F326" s="55">
        <v>0.18049999999999999</v>
      </c>
    </row>
    <row r="327" spans="2:6">
      <c r="B327" s="48" t="s">
        <v>20</v>
      </c>
      <c r="C327" s="48" t="s">
        <v>1511</v>
      </c>
      <c r="D327" s="48">
        <f>DATE(YEAR(OneWeekMtgRatesDataTable756[[#This Row],[asofdate]]),MONTH(OneWeekMtgRatesDataTable756[[#This Row],[asofdate]]),DAY(OneWeekMtgRatesDataTable756[[#This Row],[asofdate]]))</f>
        <v>42111</v>
      </c>
      <c r="E327" s="48" t="s">
        <v>11</v>
      </c>
      <c r="F327" s="55">
        <v>0.18024999999999999</v>
      </c>
    </row>
    <row r="328" spans="2:6">
      <c r="B328" s="48" t="s">
        <v>20</v>
      </c>
      <c r="C328" s="48" t="s">
        <v>1510</v>
      </c>
      <c r="D328" s="48">
        <f>DATE(YEAR(OneWeekMtgRatesDataTable756[[#This Row],[asofdate]]),MONTH(OneWeekMtgRatesDataTable756[[#This Row],[asofdate]]),DAY(OneWeekMtgRatesDataTable756[[#This Row],[asofdate]]))</f>
        <v>42110</v>
      </c>
      <c r="E328" s="48" t="s">
        <v>11</v>
      </c>
      <c r="F328" s="55">
        <v>0.18054999999999999</v>
      </c>
    </row>
    <row r="329" spans="2:6">
      <c r="B329" s="48" t="s">
        <v>20</v>
      </c>
      <c r="C329" s="48" t="s">
        <v>1509</v>
      </c>
      <c r="D329" s="48">
        <f>DATE(YEAR(OneWeekMtgRatesDataTable756[[#This Row],[asofdate]]),MONTH(OneWeekMtgRatesDataTable756[[#This Row],[asofdate]]),DAY(OneWeekMtgRatesDataTable756[[#This Row],[asofdate]]))</f>
        <v>42109</v>
      </c>
      <c r="E329" s="48" t="s">
        <v>11</v>
      </c>
      <c r="F329" s="55">
        <v>0.1804</v>
      </c>
    </row>
    <row r="330" spans="2:6">
      <c r="B330" s="48" t="s">
        <v>20</v>
      </c>
      <c r="C330" s="48" t="s">
        <v>1508</v>
      </c>
      <c r="D330" s="48">
        <f>DATE(YEAR(OneWeekMtgRatesDataTable756[[#This Row],[asofdate]]),MONTH(OneWeekMtgRatesDataTable756[[#This Row],[asofdate]]),DAY(OneWeekMtgRatesDataTable756[[#This Row],[asofdate]]))</f>
        <v>42108</v>
      </c>
      <c r="E330" s="48" t="s">
        <v>11</v>
      </c>
      <c r="F330" s="55">
        <v>0.1825</v>
      </c>
    </row>
    <row r="331" spans="2:6">
      <c r="B331" s="48" t="s">
        <v>20</v>
      </c>
      <c r="C331" s="48" t="s">
        <v>1507</v>
      </c>
      <c r="D331" s="48">
        <f>DATE(YEAR(OneWeekMtgRatesDataTable756[[#This Row],[asofdate]]),MONTH(OneWeekMtgRatesDataTable756[[#This Row],[asofdate]]),DAY(OneWeekMtgRatesDataTable756[[#This Row],[asofdate]]))</f>
        <v>42107</v>
      </c>
      <c r="E331" s="48" t="s">
        <v>11</v>
      </c>
      <c r="F331" s="55">
        <v>0.18149999999999999</v>
      </c>
    </row>
    <row r="332" spans="2:6">
      <c r="B332" s="48" t="s">
        <v>20</v>
      </c>
      <c r="C332" s="48" t="s">
        <v>1506</v>
      </c>
      <c r="D332" s="48">
        <f>DATE(YEAR(OneWeekMtgRatesDataTable756[[#This Row],[asofdate]]),MONTH(OneWeekMtgRatesDataTable756[[#This Row],[asofdate]]),DAY(OneWeekMtgRatesDataTable756[[#This Row],[asofdate]]))</f>
        <v>42104</v>
      </c>
      <c r="E332" s="48" t="s">
        <v>11</v>
      </c>
      <c r="F332" s="55">
        <v>0.17849999999999999</v>
      </c>
    </row>
    <row r="333" spans="2:6">
      <c r="B333" s="48" t="s">
        <v>20</v>
      </c>
      <c r="C333" s="48" t="s">
        <v>1505</v>
      </c>
      <c r="D333" s="48">
        <f>DATE(YEAR(OneWeekMtgRatesDataTable756[[#This Row],[asofdate]]),MONTH(OneWeekMtgRatesDataTable756[[#This Row],[asofdate]]),DAY(OneWeekMtgRatesDataTable756[[#This Row],[asofdate]]))</f>
        <v>42103</v>
      </c>
      <c r="E333" s="48" t="s">
        <v>11</v>
      </c>
      <c r="F333" s="55">
        <v>0.18</v>
      </c>
    </row>
    <row r="334" spans="2:6">
      <c r="B334" s="48" t="s">
        <v>20</v>
      </c>
      <c r="C334" s="48" t="s">
        <v>1504</v>
      </c>
      <c r="D334" s="48">
        <f>DATE(YEAR(OneWeekMtgRatesDataTable756[[#This Row],[asofdate]]),MONTH(OneWeekMtgRatesDataTable756[[#This Row],[asofdate]]),DAY(OneWeekMtgRatesDataTable756[[#This Row],[asofdate]]))</f>
        <v>42102</v>
      </c>
      <c r="E334" s="48" t="s">
        <v>11</v>
      </c>
      <c r="F334" s="55">
        <v>0.18095</v>
      </c>
    </row>
    <row r="335" spans="2:6">
      <c r="B335" s="48" t="s">
        <v>20</v>
      </c>
      <c r="C335" s="48" t="s">
        <v>1503</v>
      </c>
      <c r="D335" s="48">
        <f>DATE(YEAR(OneWeekMtgRatesDataTable756[[#This Row],[asofdate]]),MONTH(OneWeekMtgRatesDataTable756[[#This Row],[asofdate]]),DAY(OneWeekMtgRatesDataTable756[[#This Row],[asofdate]]))</f>
        <v>42101</v>
      </c>
      <c r="E335" s="48" t="s">
        <v>11</v>
      </c>
      <c r="F335" s="55">
        <v>0.18015</v>
      </c>
    </row>
    <row r="336" spans="2:6">
      <c r="B336" s="48" t="s">
        <v>20</v>
      </c>
      <c r="C336" s="48" t="s">
        <v>1502</v>
      </c>
      <c r="D336" s="48">
        <f>DATE(YEAR(OneWeekMtgRatesDataTable756[[#This Row],[asofdate]]),MONTH(OneWeekMtgRatesDataTable756[[#This Row],[asofdate]]),DAY(OneWeekMtgRatesDataTable756[[#This Row],[asofdate]]))</f>
        <v>42100</v>
      </c>
      <c r="E336" s="48" t="s">
        <v>11</v>
      </c>
      <c r="F336" s="55">
        <v>0.17974999999999999</v>
      </c>
    </row>
    <row r="337" spans="2:6">
      <c r="B337" s="48" t="s">
        <v>20</v>
      </c>
      <c r="C337" s="48" t="s">
        <v>1501</v>
      </c>
      <c r="D337" s="48">
        <f>DATE(YEAR(OneWeekMtgRatesDataTable756[[#This Row],[asofdate]]),MONTH(OneWeekMtgRatesDataTable756[[#This Row],[asofdate]]),DAY(OneWeekMtgRatesDataTable756[[#This Row],[asofdate]]))</f>
        <v>42097</v>
      </c>
      <c r="E337" s="48" t="s">
        <v>11</v>
      </c>
      <c r="F337" s="55">
        <v>0.17974999999999999</v>
      </c>
    </row>
    <row r="338" spans="2:6">
      <c r="B338" s="48" t="s">
        <v>20</v>
      </c>
      <c r="C338" s="48" t="s">
        <v>1500</v>
      </c>
      <c r="D338" s="48">
        <f>DATE(YEAR(OneWeekMtgRatesDataTable756[[#This Row],[asofdate]]),MONTH(OneWeekMtgRatesDataTable756[[#This Row],[asofdate]]),DAY(OneWeekMtgRatesDataTable756[[#This Row],[asofdate]]))</f>
        <v>42096</v>
      </c>
      <c r="E338" s="48" t="s">
        <v>11</v>
      </c>
      <c r="F338" s="55">
        <v>0.17974999999999999</v>
      </c>
    </row>
    <row r="339" spans="2:6">
      <c r="B339" s="48" t="s">
        <v>20</v>
      </c>
      <c r="C339" s="48" t="s">
        <v>1499</v>
      </c>
      <c r="D339" s="48">
        <f>DATE(YEAR(OneWeekMtgRatesDataTable756[[#This Row],[asofdate]]),MONTH(OneWeekMtgRatesDataTable756[[#This Row],[asofdate]]),DAY(OneWeekMtgRatesDataTable756[[#This Row],[asofdate]]))</f>
        <v>42095</v>
      </c>
      <c r="E339" s="48" t="s">
        <v>11</v>
      </c>
      <c r="F339" s="55">
        <v>0.17755000000000001</v>
      </c>
    </row>
    <row r="340" spans="2:6">
      <c r="B340" s="48" t="s">
        <v>20</v>
      </c>
      <c r="C340" s="48" t="s">
        <v>1498</v>
      </c>
      <c r="D340" s="48">
        <f>DATE(YEAR(OneWeekMtgRatesDataTable756[[#This Row],[asofdate]]),MONTH(OneWeekMtgRatesDataTable756[[#This Row],[asofdate]]),DAY(OneWeekMtgRatesDataTable756[[#This Row],[asofdate]]))</f>
        <v>42094</v>
      </c>
      <c r="E340" s="48" t="s">
        <v>11</v>
      </c>
      <c r="F340" s="55">
        <v>0.17624999999999999</v>
      </c>
    </row>
    <row r="341" spans="2:6">
      <c r="B341" s="48" t="s">
        <v>20</v>
      </c>
      <c r="C341" s="48" t="s">
        <v>1497</v>
      </c>
      <c r="D341" s="48">
        <f>DATE(YEAR(OneWeekMtgRatesDataTable756[[#This Row],[asofdate]]),MONTH(OneWeekMtgRatesDataTable756[[#This Row],[asofdate]]),DAY(OneWeekMtgRatesDataTable756[[#This Row],[asofdate]]))</f>
        <v>42093</v>
      </c>
      <c r="E341" s="48" t="s">
        <v>11</v>
      </c>
      <c r="F341" s="55">
        <v>0.17924999999999999</v>
      </c>
    </row>
    <row r="342" spans="2:6">
      <c r="B342" s="48" t="s">
        <v>20</v>
      </c>
      <c r="C342" s="48" t="s">
        <v>1496</v>
      </c>
      <c r="D342" s="48">
        <f>DATE(YEAR(OneWeekMtgRatesDataTable756[[#This Row],[asofdate]]),MONTH(OneWeekMtgRatesDataTable756[[#This Row],[asofdate]]),DAY(OneWeekMtgRatesDataTable756[[#This Row],[asofdate]]))</f>
        <v>42090</v>
      </c>
      <c r="E342" s="48" t="s">
        <v>11</v>
      </c>
      <c r="F342" s="55">
        <v>0.17799999999999999</v>
      </c>
    </row>
    <row r="343" spans="2:6">
      <c r="B343" s="48" t="s">
        <v>20</v>
      </c>
      <c r="C343" s="48" t="s">
        <v>1495</v>
      </c>
      <c r="D343" s="48">
        <f>DATE(YEAR(OneWeekMtgRatesDataTable756[[#This Row],[asofdate]]),MONTH(OneWeekMtgRatesDataTable756[[#This Row],[asofdate]]),DAY(OneWeekMtgRatesDataTable756[[#This Row],[asofdate]]))</f>
        <v>42089</v>
      </c>
      <c r="E343" s="48" t="s">
        <v>11</v>
      </c>
      <c r="F343" s="55">
        <v>0.17774999999999999</v>
      </c>
    </row>
    <row r="344" spans="2:6">
      <c r="B344" s="48" t="s">
        <v>20</v>
      </c>
      <c r="C344" s="48" t="s">
        <v>1494</v>
      </c>
      <c r="D344" s="48">
        <f>DATE(YEAR(OneWeekMtgRatesDataTable756[[#This Row],[asofdate]]),MONTH(OneWeekMtgRatesDataTable756[[#This Row],[asofdate]]),DAY(OneWeekMtgRatesDataTable756[[#This Row],[asofdate]]))</f>
        <v>42088</v>
      </c>
      <c r="E344" s="48" t="s">
        <v>11</v>
      </c>
      <c r="F344" s="55">
        <v>0.17560000000000001</v>
      </c>
    </row>
    <row r="345" spans="2:6">
      <c r="B345" s="48" t="s">
        <v>20</v>
      </c>
      <c r="C345" s="48" t="s">
        <v>1493</v>
      </c>
      <c r="D345" s="48">
        <f>DATE(YEAR(OneWeekMtgRatesDataTable756[[#This Row],[asofdate]]),MONTH(OneWeekMtgRatesDataTable756[[#This Row],[asofdate]]),DAY(OneWeekMtgRatesDataTable756[[#This Row],[asofdate]]))</f>
        <v>42087</v>
      </c>
      <c r="E345" s="48" t="s">
        <v>11</v>
      </c>
      <c r="F345" s="55">
        <v>0.17274999999999999</v>
      </c>
    </row>
    <row r="346" spans="2:6">
      <c r="B346" s="48" t="s">
        <v>20</v>
      </c>
      <c r="C346" s="48" t="s">
        <v>1492</v>
      </c>
      <c r="D346" s="48">
        <f>DATE(YEAR(OneWeekMtgRatesDataTable756[[#This Row],[asofdate]]),MONTH(OneWeekMtgRatesDataTable756[[#This Row],[asofdate]]),DAY(OneWeekMtgRatesDataTable756[[#This Row],[asofdate]]))</f>
        <v>42086</v>
      </c>
      <c r="E346" s="48" t="s">
        <v>11</v>
      </c>
      <c r="F346" s="55">
        <v>0.17374999999999999</v>
      </c>
    </row>
    <row r="347" spans="2:6">
      <c r="B347" s="48" t="s">
        <v>20</v>
      </c>
      <c r="C347" s="48" t="s">
        <v>1491</v>
      </c>
      <c r="D347" s="48">
        <f>DATE(YEAR(OneWeekMtgRatesDataTable756[[#This Row],[asofdate]]),MONTH(OneWeekMtgRatesDataTable756[[#This Row],[asofdate]]),DAY(OneWeekMtgRatesDataTable756[[#This Row],[asofdate]]))</f>
        <v>42083</v>
      </c>
      <c r="E347" s="48" t="s">
        <v>11</v>
      </c>
      <c r="F347" s="55">
        <v>0.17399999999999999</v>
      </c>
    </row>
    <row r="348" spans="2:6">
      <c r="B348" s="48" t="s">
        <v>20</v>
      </c>
      <c r="C348" s="48" t="s">
        <v>1490</v>
      </c>
      <c r="D348" s="48">
        <f>DATE(YEAR(OneWeekMtgRatesDataTable756[[#This Row],[asofdate]]),MONTH(OneWeekMtgRatesDataTable756[[#This Row],[asofdate]]),DAY(OneWeekMtgRatesDataTable756[[#This Row],[asofdate]]))</f>
        <v>42082</v>
      </c>
      <c r="E348" s="48" t="s">
        <v>11</v>
      </c>
      <c r="F348" s="55">
        <v>0.17324999999999999</v>
      </c>
    </row>
    <row r="349" spans="2:6">
      <c r="B349" s="48" t="s">
        <v>20</v>
      </c>
      <c r="C349" s="48" t="s">
        <v>1489</v>
      </c>
      <c r="D349" s="48">
        <f>DATE(YEAR(OneWeekMtgRatesDataTable756[[#This Row],[asofdate]]),MONTH(OneWeekMtgRatesDataTable756[[#This Row],[asofdate]]),DAY(OneWeekMtgRatesDataTable756[[#This Row],[asofdate]]))</f>
        <v>42081</v>
      </c>
      <c r="E349" s="48" t="s">
        <v>11</v>
      </c>
      <c r="F349" s="55">
        <v>0.17599999999999999</v>
      </c>
    </row>
    <row r="350" spans="2:6">
      <c r="B350" s="48" t="s">
        <v>20</v>
      </c>
      <c r="C350" s="48" t="s">
        <v>1488</v>
      </c>
      <c r="D350" s="48">
        <f>DATE(YEAR(OneWeekMtgRatesDataTable756[[#This Row],[asofdate]]),MONTH(OneWeekMtgRatesDataTable756[[#This Row],[asofdate]]),DAY(OneWeekMtgRatesDataTable756[[#This Row],[asofdate]]))</f>
        <v>42080</v>
      </c>
      <c r="E350" s="48" t="s">
        <v>11</v>
      </c>
      <c r="F350" s="55">
        <v>0.17749999999999999</v>
      </c>
    </row>
    <row r="351" spans="2:6">
      <c r="B351" s="48" t="s">
        <v>20</v>
      </c>
      <c r="C351" s="48" t="s">
        <v>1487</v>
      </c>
      <c r="D351" s="48">
        <f>DATE(YEAR(OneWeekMtgRatesDataTable756[[#This Row],[asofdate]]),MONTH(OneWeekMtgRatesDataTable756[[#This Row],[asofdate]]),DAY(OneWeekMtgRatesDataTable756[[#This Row],[asofdate]]))</f>
        <v>42079</v>
      </c>
      <c r="E351" s="48" t="s">
        <v>11</v>
      </c>
      <c r="F351" s="55">
        <v>0.17699999999999999</v>
      </c>
    </row>
    <row r="352" spans="2:6">
      <c r="B352" s="48" t="s">
        <v>20</v>
      </c>
      <c r="C352" s="48" t="s">
        <v>1486</v>
      </c>
      <c r="D352" s="48">
        <f>DATE(YEAR(OneWeekMtgRatesDataTable756[[#This Row],[asofdate]]),MONTH(OneWeekMtgRatesDataTable756[[#This Row],[asofdate]]),DAY(OneWeekMtgRatesDataTable756[[#This Row],[asofdate]]))</f>
        <v>42076</v>
      </c>
      <c r="E352" s="48" t="s">
        <v>11</v>
      </c>
      <c r="F352" s="55">
        <v>0.17649999999999999</v>
      </c>
    </row>
    <row r="353" spans="2:6">
      <c r="B353" s="48" t="s">
        <v>20</v>
      </c>
      <c r="C353" s="48" t="s">
        <v>1485</v>
      </c>
      <c r="D353" s="48">
        <f>DATE(YEAR(OneWeekMtgRatesDataTable756[[#This Row],[asofdate]]),MONTH(OneWeekMtgRatesDataTable756[[#This Row],[asofdate]]),DAY(OneWeekMtgRatesDataTable756[[#This Row],[asofdate]]))</f>
        <v>42075</v>
      </c>
      <c r="E353" s="48" t="s">
        <v>11</v>
      </c>
      <c r="F353" s="55">
        <v>0.17449999999999999</v>
      </c>
    </row>
    <row r="354" spans="2:6">
      <c r="B354" s="48" t="s">
        <v>20</v>
      </c>
      <c r="C354" s="48" t="s">
        <v>1484</v>
      </c>
      <c r="D354" s="48">
        <f>DATE(YEAR(OneWeekMtgRatesDataTable756[[#This Row],[asofdate]]),MONTH(OneWeekMtgRatesDataTable756[[#This Row],[asofdate]]),DAY(OneWeekMtgRatesDataTable756[[#This Row],[asofdate]]))</f>
        <v>42074</v>
      </c>
      <c r="E354" s="48" t="s">
        <v>11</v>
      </c>
      <c r="F354" s="55">
        <v>0.17599999999999999</v>
      </c>
    </row>
    <row r="355" spans="2:6">
      <c r="B355" s="48" t="s">
        <v>20</v>
      </c>
      <c r="C355" s="48" t="s">
        <v>1483</v>
      </c>
      <c r="D355" s="48">
        <f>DATE(YEAR(OneWeekMtgRatesDataTable756[[#This Row],[asofdate]]),MONTH(OneWeekMtgRatesDataTable756[[#This Row],[asofdate]]),DAY(OneWeekMtgRatesDataTable756[[#This Row],[asofdate]]))</f>
        <v>42073</v>
      </c>
      <c r="E355" s="48" t="s">
        <v>11</v>
      </c>
      <c r="F355" s="55">
        <v>0.1779</v>
      </c>
    </row>
    <row r="356" spans="2:6">
      <c r="B356" s="48" t="s">
        <v>20</v>
      </c>
      <c r="C356" s="48" t="s">
        <v>1482</v>
      </c>
      <c r="D356" s="48">
        <f>DATE(YEAR(OneWeekMtgRatesDataTable756[[#This Row],[asofdate]]),MONTH(OneWeekMtgRatesDataTable756[[#This Row],[asofdate]]),DAY(OneWeekMtgRatesDataTable756[[#This Row],[asofdate]]))</f>
        <v>42072</v>
      </c>
      <c r="E356" s="48" t="s">
        <v>11</v>
      </c>
      <c r="F356" s="55">
        <v>0.17649999999999999</v>
      </c>
    </row>
    <row r="357" spans="2:6">
      <c r="B357" s="48" t="s">
        <v>20</v>
      </c>
      <c r="C357" s="48" t="s">
        <v>1481</v>
      </c>
      <c r="D357" s="48">
        <f>DATE(YEAR(OneWeekMtgRatesDataTable756[[#This Row],[asofdate]]),MONTH(OneWeekMtgRatesDataTable756[[#This Row],[asofdate]]),DAY(OneWeekMtgRatesDataTable756[[#This Row],[asofdate]]))</f>
        <v>42069</v>
      </c>
      <c r="E357" s="48" t="s">
        <v>11</v>
      </c>
      <c r="F357" s="55">
        <v>0.17499999999999999</v>
      </c>
    </row>
    <row r="358" spans="2:6">
      <c r="B358" s="48" t="s">
        <v>20</v>
      </c>
      <c r="C358" s="48" t="s">
        <v>1480</v>
      </c>
      <c r="D358" s="48">
        <f>DATE(YEAR(OneWeekMtgRatesDataTable756[[#This Row],[asofdate]]),MONTH(OneWeekMtgRatesDataTable756[[#This Row],[asofdate]]),DAY(OneWeekMtgRatesDataTable756[[#This Row],[asofdate]]))</f>
        <v>42068</v>
      </c>
      <c r="E358" s="48" t="s">
        <v>11</v>
      </c>
      <c r="F358" s="55">
        <v>0.17499999999999999</v>
      </c>
    </row>
    <row r="359" spans="2:6">
      <c r="B359" s="48" t="s">
        <v>20</v>
      </c>
      <c r="C359" s="48" t="s">
        <v>1479</v>
      </c>
      <c r="D359" s="48">
        <f>DATE(YEAR(OneWeekMtgRatesDataTable756[[#This Row],[asofdate]]),MONTH(OneWeekMtgRatesDataTable756[[#This Row],[asofdate]]),DAY(OneWeekMtgRatesDataTable756[[#This Row],[asofdate]]))</f>
        <v>42067</v>
      </c>
      <c r="E359" s="48" t="s">
        <v>11</v>
      </c>
      <c r="F359" s="55">
        <v>0.17499999999999999</v>
      </c>
    </row>
    <row r="360" spans="2:6">
      <c r="B360" s="48" t="s">
        <v>20</v>
      </c>
      <c r="C360" s="48" t="s">
        <v>1478</v>
      </c>
      <c r="D360" s="48">
        <f>DATE(YEAR(OneWeekMtgRatesDataTable756[[#This Row],[asofdate]]),MONTH(OneWeekMtgRatesDataTable756[[#This Row],[asofdate]]),DAY(OneWeekMtgRatesDataTable756[[#This Row],[asofdate]]))</f>
        <v>42066</v>
      </c>
      <c r="E360" s="48" t="s">
        <v>11</v>
      </c>
      <c r="F360" s="55">
        <v>0.17299999999999999</v>
      </c>
    </row>
    <row r="361" spans="2:6">
      <c r="B361" s="48" t="s">
        <v>20</v>
      </c>
      <c r="C361" s="48" t="s">
        <v>1477</v>
      </c>
      <c r="D361" s="48">
        <f>DATE(YEAR(OneWeekMtgRatesDataTable756[[#This Row],[asofdate]]),MONTH(OneWeekMtgRatesDataTable756[[#This Row],[asofdate]]),DAY(OneWeekMtgRatesDataTable756[[#This Row],[asofdate]]))</f>
        <v>42065</v>
      </c>
      <c r="E361" s="48" t="s">
        <v>11</v>
      </c>
      <c r="F361" s="55">
        <v>0.17269999999999999</v>
      </c>
    </row>
    <row r="362" spans="2:6">
      <c r="B362" s="48" t="s">
        <v>20</v>
      </c>
      <c r="C362" s="48" t="s">
        <v>1476</v>
      </c>
      <c r="D362" s="48">
        <f>DATE(YEAR(OneWeekMtgRatesDataTable756[[#This Row],[asofdate]]),MONTH(OneWeekMtgRatesDataTable756[[#This Row],[asofdate]]),DAY(OneWeekMtgRatesDataTable756[[#This Row],[asofdate]]))</f>
        <v>42062</v>
      </c>
      <c r="E362" s="48" t="s">
        <v>11</v>
      </c>
      <c r="F362" s="55">
        <v>0.17299999999999999</v>
      </c>
    </row>
    <row r="363" spans="2:6">
      <c r="B363" s="48" t="s">
        <v>20</v>
      </c>
      <c r="C363" s="48" t="s">
        <v>1475</v>
      </c>
      <c r="D363" s="48">
        <f>DATE(YEAR(OneWeekMtgRatesDataTable756[[#This Row],[asofdate]]),MONTH(OneWeekMtgRatesDataTable756[[#This Row],[asofdate]]),DAY(OneWeekMtgRatesDataTable756[[#This Row],[asofdate]]))</f>
        <v>42061</v>
      </c>
      <c r="E363" s="48" t="s">
        <v>11</v>
      </c>
      <c r="F363" s="55">
        <v>0.1719</v>
      </c>
    </row>
    <row r="364" spans="2:6">
      <c r="B364" s="48" t="s">
        <v>20</v>
      </c>
      <c r="C364" s="48" t="s">
        <v>1474</v>
      </c>
      <c r="D364" s="48">
        <f>DATE(YEAR(OneWeekMtgRatesDataTable756[[#This Row],[asofdate]]),MONTH(OneWeekMtgRatesDataTable756[[#This Row],[asofdate]]),DAY(OneWeekMtgRatesDataTable756[[#This Row],[asofdate]]))</f>
        <v>42060</v>
      </c>
      <c r="E364" s="48" t="s">
        <v>11</v>
      </c>
      <c r="F364" s="55">
        <v>0.17199999999999999</v>
      </c>
    </row>
    <row r="365" spans="2:6">
      <c r="B365" s="48" t="s">
        <v>20</v>
      </c>
      <c r="C365" s="48" t="s">
        <v>1473</v>
      </c>
      <c r="D365" s="48">
        <f>DATE(YEAR(OneWeekMtgRatesDataTable756[[#This Row],[asofdate]]),MONTH(OneWeekMtgRatesDataTable756[[#This Row],[asofdate]]),DAY(OneWeekMtgRatesDataTable756[[#This Row],[asofdate]]))</f>
        <v>42059</v>
      </c>
      <c r="E365" s="48" t="s">
        <v>11</v>
      </c>
      <c r="F365" s="55">
        <v>0.17150000000000001</v>
      </c>
    </row>
    <row r="366" spans="2:6">
      <c r="B366" s="48" t="s">
        <v>20</v>
      </c>
      <c r="C366" s="48" t="s">
        <v>1472</v>
      </c>
      <c r="D366" s="48">
        <f>DATE(YEAR(OneWeekMtgRatesDataTable756[[#This Row],[asofdate]]),MONTH(OneWeekMtgRatesDataTable756[[#This Row],[asofdate]]),DAY(OneWeekMtgRatesDataTable756[[#This Row],[asofdate]]))</f>
        <v>42058</v>
      </c>
      <c r="E366" s="48" t="s">
        <v>11</v>
      </c>
      <c r="F366" s="55">
        <v>0.17100000000000001</v>
      </c>
    </row>
    <row r="367" spans="2:6">
      <c r="B367" s="48" t="s">
        <v>20</v>
      </c>
      <c r="C367" s="48" t="s">
        <v>1471</v>
      </c>
      <c r="D367" s="48">
        <f>DATE(YEAR(OneWeekMtgRatesDataTable756[[#This Row],[asofdate]]),MONTH(OneWeekMtgRatesDataTable756[[#This Row],[asofdate]]),DAY(OneWeekMtgRatesDataTable756[[#This Row],[asofdate]]))</f>
        <v>42055</v>
      </c>
      <c r="E367" s="48" t="s">
        <v>11</v>
      </c>
      <c r="F367" s="55">
        <v>0.17150000000000001</v>
      </c>
    </row>
    <row r="368" spans="2:6">
      <c r="B368" s="48" t="s">
        <v>20</v>
      </c>
      <c r="C368" s="48" t="s">
        <v>1470</v>
      </c>
      <c r="D368" s="48">
        <f>DATE(YEAR(OneWeekMtgRatesDataTable756[[#This Row],[asofdate]]),MONTH(OneWeekMtgRatesDataTable756[[#This Row],[asofdate]]),DAY(OneWeekMtgRatesDataTable756[[#This Row],[asofdate]]))</f>
        <v>42054</v>
      </c>
      <c r="E368" s="48" t="s">
        <v>11</v>
      </c>
      <c r="F368" s="55">
        <v>0.17349999999999999</v>
      </c>
    </row>
    <row r="369" spans="2:6">
      <c r="B369" s="48" t="s">
        <v>20</v>
      </c>
      <c r="C369" s="48" t="s">
        <v>1469</v>
      </c>
      <c r="D369" s="48">
        <f>DATE(YEAR(OneWeekMtgRatesDataTable756[[#This Row],[asofdate]]),MONTH(OneWeekMtgRatesDataTable756[[#This Row],[asofdate]]),DAY(OneWeekMtgRatesDataTable756[[#This Row],[asofdate]]))</f>
        <v>42053</v>
      </c>
      <c r="E369" s="48" t="s">
        <v>11</v>
      </c>
      <c r="F369" s="55">
        <v>0.17349999999999999</v>
      </c>
    </row>
    <row r="370" spans="2:6">
      <c r="B370" s="48" t="s">
        <v>20</v>
      </c>
      <c r="C370" s="48" t="s">
        <v>1468</v>
      </c>
      <c r="D370" s="48">
        <f>DATE(YEAR(OneWeekMtgRatesDataTable756[[#This Row],[asofdate]]),MONTH(OneWeekMtgRatesDataTable756[[#This Row],[asofdate]]),DAY(OneWeekMtgRatesDataTable756[[#This Row],[asofdate]]))</f>
        <v>42052</v>
      </c>
      <c r="E370" s="48" t="s">
        <v>11</v>
      </c>
      <c r="F370" s="55">
        <v>0.17349999999999999</v>
      </c>
    </row>
    <row r="371" spans="2:6">
      <c r="B371" s="48" t="s">
        <v>20</v>
      </c>
      <c r="C371" s="48" t="s">
        <v>1467</v>
      </c>
      <c r="D371" s="48">
        <f>DATE(YEAR(OneWeekMtgRatesDataTable756[[#This Row],[asofdate]]),MONTH(OneWeekMtgRatesDataTable756[[#This Row],[asofdate]]),DAY(OneWeekMtgRatesDataTable756[[#This Row],[asofdate]]))</f>
        <v>42048</v>
      </c>
      <c r="E371" s="48" t="s">
        <v>11</v>
      </c>
      <c r="F371" s="55">
        <v>0.17299999999999999</v>
      </c>
    </row>
    <row r="372" spans="2:6">
      <c r="B372" s="48" t="s">
        <v>20</v>
      </c>
      <c r="C372" s="48" t="s">
        <v>1466</v>
      </c>
      <c r="D372" s="48">
        <f>DATE(YEAR(OneWeekMtgRatesDataTable756[[#This Row],[asofdate]]),MONTH(OneWeekMtgRatesDataTable756[[#This Row],[asofdate]]),DAY(OneWeekMtgRatesDataTable756[[#This Row],[asofdate]]))</f>
        <v>42047</v>
      </c>
      <c r="E372" s="48" t="s">
        <v>11</v>
      </c>
      <c r="F372" s="55">
        <v>0.17199999999999999</v>
      </c>
    </row>
    <row r="373" spans="2:6">
      <c r="B373" s="48" t="s">
        <v>20</v>
      </c>
      <c r="C373" s="48" t="s">
        <v>1465</v>
      </c>
      <c r="D373" s="48">
        <f>DATE(YEAR(OneWeekMtgRatesDataTable756[[#This Row],[asofdate]]),MONTH(OneWeekMtgRatesDataTable756[[#This Row],[asofdate]]),DAY(OneWeekMtgRatesDataTable756[[#This Row],[asofdate]]))</f>
        <v>42046</v>
      </c>
      <c r="E373" s="48" t="s">
        <v>11</v>
      </c>
      <c r="F373" s="55">
        <v>0.17169999999999999</v>
      </c>
    </row>
    <row r="374" spans="2:6">
      <c r="B374" s="48" t="s">
        <v>20</v>
      </c>
      <c r="C374" s="48" t="s">
        <v>1464</v>
      </c>
      <c r="D374" s="48">
        <f>DATE(YEAR(OneWeekMtgRatesDataTable756[[#This Row],[asofdate]]),MONTH(OneWeekMtgRatesDataTable756[[#This Row],[asofdate]]),DAY(OneWeekMtgRatesDataTable756[[#This Row],[asofdate]]))</f>
        <v>42045</v>
      </c>
      <c r="E374" s="48" t="s">
        <v>11</v>
      </c>
      <c r="F374" s="55">
        <v>0.17169999999999999</v>
      </c>
    </row>
    <row r="375" spans="2:6">
      <c r="B375" s="48" t="s">
        <v>20</v>
      </c>
      <c r="C375" s="48" t="s">
        <v>1463</v>
      </c>
      <c r="D375" s="48">
        <f>DATE(YEAR(OneWeekMtgRatesDataTable756[[#This Row],[asofdate]]),MONTH(OneWeekMtgRatesDataTable756[[#This Row],[asofdate]]),DAY(OneWeekMtgRatesDataTable756[[#This Row],[asofdate]]))</f>
        <v>42044</v>
      </c>
      <c r="E375" s="48" t="s">
        <v>11</v>
      </c>
      <c r="F375" s="55">
        <v>0.17219999999999999</v>
      </c>
    </row>
    <row r="376" spans="2:6">
      <c r="B376" s="48" t="s">
        <v>20</v>
      </c>
      <c r="C376" s="48" t="s">
        <v>1462</v>
      </c>
      <c r="D376" s="48">
        <f>DATE(YEAR(OneWeekMtgRatesDataTable756[[#This Row],[asofdate]]),MONTH(OneWeekMtgRatesDataTable756[[#This Row],[asofdate]]),DAY(OneWeekMtgRatesDataTable756[[#This Row],[asofdate]]))</f>
        <v>42041</v>
      </c>
      <c r="E376" s="48" t="s">
        <v>11</v>
      </c>
      <c r="F376" s="55">
        <v>0.17150000000000001</v>
      </c>
    </row>
    <row r="377" spans="2:6">
      <c r="B377" s="48" t="s">
        <v>20</v>
      </c>
      <c r="C377" s="48" t="s">
        <v>1461</v>
      </c>
      <c r="D377" s="48">
        <f>DATE(YEAR(OneWeekMtgRatesDataTable756[[#This Row],[asofdate]]),MONTH(OneWeekMtgRatesDataTable756[[#This Row],[asofdate]]),DAY(OneWeekMtgRatesDataTable756[[#This Row],[asofdate]]))</f>
        <v>42040</v>
      </c>
      <c r="E377" s="48" t="s">
        <v>11</v>
      </c>
      <c r="F377" s="55">
        <v>0.17100000000000001</v>
      </c>
    </row>
    <row r="378" spans="2:6">
      <c r="B378" s="48" t="s">
        <v>20</v>
      </c>
      <c r="C378" s="48" t="s">
        <v>1460</v>
      </c>
      <c r="D378" s="48">
        <f>DATE(YEAR(OneWeekMtgRatesDataTable756[[#This Row],[asofdate]]),MONTH(OneWeekMtgRatesDataTable756[[#This Row],[asofdate]]),DAY(OneWeekMtgRatesDataTable756[[#This Row],[asofdate]]))</f>
        <v>42039</v>
      </c>
      <c r="E378" s="48" t="s">
        <v>11</v>
      </c>
      <c r="F378" s="55">
        <v>0.17349999999999999</v>
      </c>
    </row>
    <row r="379" spans="2:6">
      <c r="B379" s="48" t="s">
        <v>20</v>
      </c>
      <c r="C379" s="48" t="s">
        <v>1459</v>
      </c>
      <c r="D379" s="48">
        <f>DATE(YEAR(OneWeekMtgRatesDataTable756[[#This Row],[asofdate]]),MONTH(OneWeekMtgRatesDataTable756[[#This Row],[asofdate]]),DAY(OneWeekMtgRatesDataTable756[[#This Row],[asofdate]]))</f>
        <v>42038</v>
      </c>
      <c r="E379" s="48" t="s">
        <v>11</v>
      </c>
      <c r="F379" s="55">
        <v>0.17100000000000001</v>
      </c>
    </row>
    <row r="380" spans="2:6">
      <c r="B380" s="48" t="s">
        <v>20</v>
      </c>
      <c r="C380" s="48" t="s">
        <v>1458</v>
      </c>
      <c r="D380" s="48">
        <f>DATE(YEAR(OneWeekMtgRatesDataTable756[[#This Row],[asofdate]]),MONTH(OneWeekMtgRatesDataTable756[[#This Row],[asofdate]]),DAY(OneWeekMtgRatesDataTable756[[#This Row],[asofdate]]))</f>
        <v>42037</v>
      </c>
      <c r="E380" s="48" t="s">
        <v>11</v>
      </c>
      <c r="F380" s="55">
        <v>0.16950000000000001</v>
      </c>
    </row>
    <row r="381" spans="2:6">
      <c r="B381" s="48" t="s">
        <v>20</v>
      </c>
      <c r="C381" s="48" t="s">
        <v>1457</v>
      </c>
      <c r="D381" s="48">
        <f>DATE(YEAR(OneWeekMtgRatesDataTable756[[#This Row],[asofdate]]),MONTH(OneWeekMtgRatesDataTable756[[#This Row],[asofdate]]),DAY(OneWeekMtgRatesDataTable756[[#This Row],[asofdate]]))</f>
        <v>42034</v>
      </c>
      <c r="E381" s="48" t="s">
        <v>11</v>
      </c>
      <c r="F381" s="55">
        <v>0.17125000000000001</v>
      </c>
    </row>
    <row r="382" spans="2:6">
      <c r="B382" s="48" t="s">
        <v>20</v>
      </c>
      <c r="C382" s="48" t="s">
        <v>1456</v>
      </c>
      <c r="D382" s="48">
        <f>DATE(YEAR(OneWeekMtgRatesDataTable756[[#This Row],[asofdate]]),MONTH(OneWeekMtgRatesDataTable756[[#This Row],[asofdate]]),DAY(OneWeekMtgRatesDataTable756[[#This Row],[asofdate]]))</f>
        <v>42033</v>
      </c>
      <c r="E382" s="48" t="s">
        <v>11</v>
      </c>
      <c r="F382" s="55">
        <v>0.1709</v>
      </c>
    </row>
    <row r="383" spans="2:6">
      <c r="B383" s="48" t="s">
        <v>20</v>
      </c>
      <c r="C383" s="48" t="s">
        <v>1455</v>
      </c>
      <c r="D383" s="48">
        <f>DATE(YEAR(OneWeekMtgRatesDataTable756[[#This Row],[asofdate]]),MONTH(OneWeekMtgRatesDataTable756[[#This Row],[asofdate]]),DAY(OneWeekMtgRatesDataTable756[[#This Row],[asofdate]]))</f>
        <v>42032</v>
      </c>
      <c r="E383" s="48" t="s">
        <v>11</v>
      </c>
      <c r="F383" s="55">
        <v>0.17050000000000001</v>
      </c>
    </row>
    <row r="384" spans="2:6">
      <c r="B384" s="48" t="s">
        <v>20</v>
      </c>
      <c r="C384" s="48" t="s">
        <v>1454</v>
      </c>
      <c r="D384" s="48">
        <f>DATE(YEAR(OneWeekMtgRatesDataTable756[[#This Row],[asofdate]]),MONTH(OneWeekMtgRatesDataTable756[[#This Row],[asofdate]]),DAY(OneWeekMtgRatesDataTable756[[#This Row],[asofdate]]))</f>
        <v>42031</v>
      </c>
      <c r="E384" s="48" t="s">
        <v>11</v>
      </c>
      <c r="F384" s="55">
        <v>0.16800000000000001</v>
      </c>
    </row>
    <row r="385" spans="2:6">
      <c r="B385" s="48" t="s">
        <v>20</v>
      </c>
      <c r="C385" s="48" t="s">
        <v>1453</v>
      </c>
      <c r="D385" s="48">
        <f>DATE(YEAR(OneWeekMtgRatesDataTable756[[#This Row],[asofdate]]),MONTH(OneWeekMtgRatesDataTable756[[#This Row],[asofdate]]),DAY(OneWeekMtgRatesDataTable756[[#This Row],[asofdate]]))</f>
        <v>42030</v>
      </c>
      <c r="E385" s="48" t="s">
        <v>11</v>
      </c>
      <c r="F385" s="55">
        <v>0.16900000000000001</v>
      </c>
    </row>
    <row r="386" spans="2:6">
      <c r="B386" s="48" t="s">
        <v>20</v>
      </c>
      <c r="C386" s="48" t="s">
        <v>1452</v>
      </c>
      <c r="D386" s="48">
        <f>DATE(YEAR(OneWeekMtgRatesDataTable756[[#This Row],[asofdate]]),MONTH(OneWeekMtgRatesDataTable756[[#This Row],[asofdate]]),DAY(OneWeekMtgRatesDataTable756[[#This Row],[asofdate]]))</f>
        <v>42027</v>
      </c>
      <c r="E386" s="48" t="s">
        <v>11</v>
      </c>
      <c r="F386" s="55">
        <v>0.16775000000000001</v>
      </c>
    </row>
    <row r="387" spans="2:6">
      <c r="B387" s="48" t="s">
        <v>20</v>
      </c>
      <c r="C387" s="48" t="s">
        <v>1451</v>
      </c>
      <c r="D387" s="48">
        <f>DATE(YEAR(OneWeekMtgRatesDataTable756[[#This Row],[asofdate]]),MONTH(OneWeekMtgRatesDataTable756[[#This Row],[asofdate]]),DAY(OneWeekMtgRatesDataTable756[[#This Row],[asofdate]]))</f>
        <v>42026</v>
      </c>
      <c r="E387" s="48" t="s">
        <v>11</v>
      </c>
      <c r="F387" s="55">
        <v>0.16825000000000001</v>
      </c>
    </row>
    <row r="388" spans="2:6">
      <c r="B388" s="48" t="s">
        <v>20</v>
      </c>
      <c r="C388" s="48" t="s">
        <v>1450</v>
      </c>
      <c r="D388" s="48">
        <f>DATE(YEAR(OneWeekMtgRatesDataTable756[[#This Row],[asofdate]]),MONTH(OneWeekMtgRatesDataTable756[[#This Row],[asofdate]]),DAY(OneWeekMtgRatesDataTable756[[#This Row],[asofdate]]))</f>
        <v>42025</v>
      </c>
      <c r="E388" s="48" t="s">
        <v>11</v>
      </c>
      <c r="F388" s="55">
        <v>0.16675000000000001</v>
      </c>
    </row>
    <row r="389" spans="2:6">
      <c r="B389" s="48" t="s">
        <v>20</v>
      </c>
      <c r="C389" s="48" t="s">
        <v>1449</v>
      </c>
      <c r="D389" s="48">
        <f>DATE(YEAR(OneWeekMtgRatesDataTable756[[#This Row],[asofdate]]),MONTH(OneWeekMtgRatesDataTable756[[#This Row],[asofdate]]),DAY(OneWeekMtgRatesDataTable756[[#This Row],[asofdate]]))</f>
        <v>42024</v>
      </c>
      <c r="E389" s="48" t="s">
        <v>11</v>
      </c>
      <c r="F389" s="55">
        <v>0.16850000000000001</v>
      </c>
    </row>
    <row r="390" spans="2:6">
      <c r="B390" s="48" t="s">
        <v>20</v>
      </c>
      <c r="C390" s="48" t="s">
        <v>1448</v>
      </c>
      <c r="D390" s="48">
        <f>DATE(YEAR(OneWeekMtgRatesDataTable756[[#This Row],[asofdate]]),MONTH(OneWeekMtgRatesDataTable756[[#This Row],[asofdate]]),DAY(OneWeekMtgRatesDataTable756[[#This Row],[asofdate]]))</f>
        <v>42020</v>
      </c>
      <c r="E390" s="48" t="s">
        <v>11</v>
      </c>
      <c r="F390" s="55">
        <v>0.16800000000000001</v>
      </c>
    </row>
    <row r="391" spans="2:6">
      <c r="B391" s="48" t="s">
        <v>20</v>
      </c>
      <c r="C391" s="48" t="s">
        <v>1447</v>
      </c>
      <c r="D391" s="48">
        <f>DATE(YEAR(OneWeekMtgRatesDataTable756[[#This Row],[asofdate]]),MONTH(OneWeekMtgRatesDataTable756[[#This Row],[asofdate]]),DAY(OneWeekMtgRatesDataTable756[[#This Row],[asofdate]]))</f>
        <v>42019</v>
      </c>
      <c r="E391" s="48" t="s">
        <v>11</v>
      </c>
      <c r="F391" s="55">
        <v>0.16800000000000001</v>
      </c>
    </row>
    <row r="392" spans="2:6">
      <c r="B392" s="48" t="s">
        <v>20</v>
      </c>
      <c r="C392" s="48" t="s">
        <v>1446</v>
      </c>
      <c r="D392" s="48">
        <f>DATE(YEAR(OneWeekMtgRatesDataTable756[[#This Row],[asofdate]]),MONTH(OneWeekMtgRatesDataTable756[[#This Row],[asofdate]]),DAY(OneWeekMtgRatesDataTable756[[#This Row],[asofdate]]))</f>
        <v>42018</v>
      </c>
      <c r="E392" s="48" t="s">
        <v>11</v>
      </c>
      <c r="F392" s="55">
        <v>0.16825000000000001</v>
      </c>
    </row>
    <row r="393" spans="2:6">
      <c r="B393" s="48" t="s">
        <v>20</v>
      </c>
      <c r="C393" s="48" t="s">
        <v>1445</v>
      </c>
      <c r="D393" s="48">
        <f>DATE(YEAR(OneWeekMtgRatesDataTable756[[#This Row],[asofdate]]),MONTH(OneWeekMtgRatesDataTable756[[#This Row],[asofdate]]),DAY(OneWeekMtgRatesDataTable756[[#This Row],[asofdate]]))</f>
        <v>42017</v>
      </c>
      <c r="E393" s="48" t="s">
        <v>11</v>
      </c>
      <c r="F393" s="55">
        <v>0.16650000000000001</v>
      </c>
    </row>
    <row r="394" spans="2:6">
      <c r="B394" s="48" t="s">
        <v>20</v>
      </c>
      <c r="C394" s="48" t="s">
        <v>1444</v>
      </c>
      <c r="D394" s="48">
        <f>DATE(YEAR(OneWeekMtgRatesDataTable756[[#This Row],[asofdate]]),MONTH(OneWeekMtgRatesDataTable756[[#This Row],[asofdate]]),DAY(OneWeekMtgRatesDataTable756[[#This Row],[asofdate]]))</f>
        <v>42016</v>
      </c>
      <c r="E394" s="48" t="s">
        <v>11</v>
      </c>
      <c r="F394" s="55">
        <v>0.16650000000000001</v>
      </c>
    </row>
    <row r="395" spans="2:6">
      <c r="B395" s="48" t="s">
        <v>20</v>
      </c>
      <c r="C395" s="48" t="s">
        <v>1443</v>
      </c>
      <c r="D395" s="48">
        <f>DATE(YEAR(OneWeekMtgRatesDataTable756[[#This Row],[asofdate]]),MONTH(OneWeekMtgRatesDataTable756[[#This Row],[asofdate]]),DAY(OneWeekMtgRatesDataTable756[[#This Row],[asofdate]]))</f>
        <v>42013</v>
      </c>
      <c r="E395" s="48" t="s">
        <v>11</v>
      </c>
      <c r="F395" s="55">
        <v>0.16675000000000001</v>
      </c>
    </row>
    <row r="396" spans="2:6">
      <c r="B396" s="48" t="s">
        <v>20</v>
      </c>
      <c r="C396" s="48" t="s">
        <v>1442</v>
      </c>
      <c r="D396" s="48">
        <f>DATE(YEAR(OneWeekMtgRatesDataTable756[[#This Row],[asofdate]]),MONTH(OneWeekMtgRatesDataTable756[[#This Row],[asofdate]]),DAY(OneWeekMtgRatesDataTable756[[#This Row],[asofdate]]))</f>
        <v>42012</v>
      </c>
      <c r="E396" s="48" t="s">
        <v>11</v>
      </c>
      <c r="F396" s="55">
        <v>0.16625000000000001</v>
      </c>
    </row>
    <row r="397" spans="2:6">
      <c r="B397" s="48" t="s">
        <v>20</v>
      </c>
      <c r="C397" s="48" t="s">
        <v>1441</v>
      </c>
      <c r="D397" s="48">
        <f>DATE(YEAR(OneWeekMtgRatesDataTable756[[#This Row],[asofdate]]),MONTH(OneWeekMtgRatesDataTable756[[#This Row],[asofdate]]),DAY(OneWeekMtgRatesDataTable756[[#This Row],[asofdate]]))</f>
        <v>42011</v>
      </c>
      <c r="E397" s="48" t="s">
        <v>11</v>
      </c>
      <c r="F397" s="55">
        <v>0.16650000000000001</v>
      </c>
    </row>
    <row r="398" spans="2:6">
      <c r="B398" s="48" t="s">
        <v>20</v>
      </c>
      <c r="C398" s="48" t="s">
        <v>1440</v>
      </c>
      <c r="D398" s="48">
        <f>DATE(YEAR(OneWeekMtgRatesDataTable756[[#This Row],[asofdate]]),MONTH(OneWeekMtgRatesDataTable756[[#This Row],[asofdate]]),DAY(OneWeekMtgRatesDataTable756[[#This Row],[asofdate]]))</f>
        <v>42010</v>
      </c>
      <c r="E398" s="48" t="s">
        <v>11</v>
      </c>
      <c r="F398" s="55">
        <v>0.16775000000000001</v>
      </c>
    </row>
    <row r="399" spans="2:6">
      <c r="B399" s="48" t="s">
        <v>20</v>
      </c>
      <c r="C399" s="48" t="s">
        <v>1439</v>
      </c>
      <c r="D399" s="48">
        <f>DATE(YEAR(OneWeekMtgRatesDataTable756[[#This Row],[asofdate]]),MONTH(OneWeekMtgRatesDataTable756[[#This Row],[asofdate]]),DAY(OneWeekMtgRatesDataTable756[[#This Row],[asofdate]]))</f>
        <v>42009</v>
      </c>
      <c r="E399" s="48" t="s">
        <v>11</v>
      </c>
      <c r="F399" s="55">
        <v>0.16800000000000001</v>
      </c>
    </row>
    <row r="400" spans="2:6">
      <c r="B400" s="48" t="s">
        <v>20</v>
      </c>
      <c r="C400" s="48" t="s">
        <v>1438</v>
      </c>
      <c r="D400" s="48">
        <f>DATE(YEAR(OneWeekMtgRatesDataTable756[[#This Row],[asofdate]]),MONTH(OneWeekMtgRatesDataTable756[[#This Row],[asofdate]]),DAY(OneWeekMtgRatesDataTable756[[#This Row],[asofdate]]))</f>
        <v>42006</v>
      </c>
      <c r="E400" s="48" t="s">
        <v>11</v>
      </c>
      <c r="F400" s="55">
        <v>0.16750000000000001</v>
      </c>
    </row>
    <row r="401" spans="2:6">
      <c r="B401" s="48" t="s">
        <v>20</v>
      </c>
      <c r="C401" s="48" t="s">
        <v>1437</v>
      </c>
      <c r="D401" s="48">
        <f>DATE(YEAR(OneWeekMtgRatesDataTable756[[#This Row],[asofdate]]),MONTH(OneWeekMtgRatesDataTable756[[#This Row],[asofdate]]),DAY(OneWeekMtgRatesDataTable756[[#This Row],[asofdate]]))</f>
        <v>42004</v>
      </c>
      <c r="E401" s="48" t="s">
        <v>11</v>
      </c>
      <c r="F401" s="55">
        <v>0.17125000000000001</v>
      </c>
    </row>
    <row r="402" spans="2:6">
      <c r="B402" s="48" t="s">
        <v>20</v>
      </c>
      <c r="C402" s="48" t="s">
        <v>1436</v>
      </c>
      <c r="D402" s="48">
        <f>DATE(YEAR(OneWeekMtgRatesDataTable756[[#This Row],[asofdate]]),MONTH(OneWeekMtgRatesDataTable756[[#This Row],[asofdate]]),DAY(OneWeekMtgRatesDataTable756[[#This Row],[asofdate]]))</f>
        <v>42003</v>
      </c>
      <c r="E402" s="48" t="s">
        <v>11</v>
      </c>
      <c r="F402" s="55">
        <v>0.16950000000000001</v>
      </c>
    </row>
    <row r="403" spans="2:6">
      <c r="B403" s="48" t="s">
        <v>20</v>
      </c>
      <c r="C403" s="48" t="s">
        <v>1435</v>
      </c>
      <c r="D403" s="48">
        <f>DATE(YEAR(OneWeekMtgRatesDataTable756[[#This Row],[asofdate]]),MONTH(OneWeekMtgRatesDataTable756[[#This Row],[asofdate]]),DAY(OneWeekMtgRatesDataTable756[[#This Row],[asofdate]]))</f>
        <v>42002</v>
      </c>
      <c r="E403" s="48" t="s">
        <v>11</v>
      </c>
      <c r="F403" s="55">
        <v>0.16925000000000001</v>
      </c>
    </row>
    <row r="404" spans="2:6">
      <c r="B404" s="48" t="s">
        <v>20</v>
      </c>
      <c r="C404" s="48" t="s">
        <v>1434</v>
      </c>
      <c r="D404" s="48">
        <f>DATE(YEAR(OneWeekMtgRatesDataTable756[[#This Row],[asofdate]]),MONTH(OneWeekMtgRatesDataTable756[[#This Row],[asofdate]]),DAY(OneWeekMtgRatesDataTable756[[#This Row],[asofdate]]))</f>
        <v>41999</v>
      </c>
      <c r="E404" s="48" t="s">
        <v>11</v>
      </c>
      <c r="F404" s="55">
        <v>0.16875000000000001</v>
      </c>
    </row>
    <row r="405" spans="2:6">
      <c r="B405" s="48" t="s">
        <v>20</v>
      </c>
      <c r="C405" s="48" t="s">
        <v>1433</v>
      </c>
      <c r="D405" s="48">
        <f>DATE(YEAR(OneWeekMtgRatesDataTable756[[#This Row],[asofdate]]),MONTH(OneWeekMtgRatesDataTable756[[#This Row],[asofdate]]),DAY(OneWeekMtgRatesDataTable756[[#This Row],[asofdate]]))</f>
        <v>41997</v>
      </c>
      <c r="E405" s="48" t="s">
        <v>11</v>
      </c>
      <c r="F405" s="55">
        <v>0.16875000000000001</v>
      </c>
    </row>
    <row r="406" spans="2:6">
      <c r="B406" s="48" t="s">
        <v>20</v>
      </c>
      <c r="C406" s="48" t="s">
        <v>1432</v>
      </c>
      <c r="D406" s="48">
        <f>DATE(YEAR(OneWeekMtgRatesDataTable756[[#This Row],[asofdate]]),MONTH(OneWeekMtgRatesDataTable756[[#This Row],[asofdate]]),DAY(OneWeekMtgRatesDataTable756[[#This Row],[asofdate]]))</f>
        <v>41996</v>
      </c>
      <c r="E406" s="48" t="s">
        <v>11</v>
      </c>
      <c r="F406" s="55">
        <v>0.16950000000000001</v>
      </c>
    </row>
    <row r="407" spans="2:6">
      <c r="B407" s="48" t="s">
        <v>20</v>
      </c>
      <c r="C407" s="48" t="s">
        <v>1431</v>
      </c>
      <c r="D407" s="48">
        <f>DATE(YEAR(OneWeekMtgRatesDataTable756[[#This Row],[asofdate]]),MONTH(OneWeekMtgRatesDataTable756[[#This Row],[asofdate]]),DAY(OneWeekMtgRatesDataTable756[[#This Row],[asofdate]]))</f>
        <v>41995</v>
      </c>
      <c r="E407" s="48" t="s">
        <v>11</v>
      </c>
      <c r="F407" s="55">
        <v>0.16700000000000001</v>
      </c>
    </row>
    <row r="408" spans="2:6">
      <c r="B408" s="48" t="s">
        <v>20</v>
      </c>
      <c r="C408" s="48" t="s">
        <v>1430</v>
      </c>
      <c r="D408" s="48">
        <f>DATE(YEAR(OneWeekMtgRatesDataTable756[[#This Row],[asofdate]]),MONTH(OneWeekMtgRatesDataTable756[[#This Row],[asofdate]]),DAY(OneWeekMtgRatesDataTable756[[#This Row],[asofdate]]))</f>
        <v>41992</v>
      </c>
      <c r="E408" s="48" t="s">
        <v>11</v>
      </c>
      <c r="F408" s="55">
        <v>0.16425000000000001</v>
      </c>
    </row>
    <row r="409" spans="2:6">
      <c r="B409" s="48" t="s">
        <v>20</v>
      </c>
      <c r="C409" s="48" t="s">
        <v>1429</v>
      </c>
      <c r="D409" s="48">
        <f>DATE(YEAR(OneWeekMtgRatesDataTable756[[#This Row],[asofdate]]),MONTH(OneWeekMtgRatesDataTable756[[#This Row],[asofdate]]),DAY(OneWeekMtgRatesDataTable756[[#This Row],[asofdate]]))</f>
        <v>41991</v>
      </c>
      <c r="E409" s="48" t="s">
        <v>11</v>
      </c>
      <c r="F409" s="55">
        <v>0.16545000000000001</v>
      </c>
    </row>
    <row r="410" spans="2:6">
      <c r="B410" s="48" t="s">
        <v>20</v>
      </c>
      <c r="C410" s="48" t="s">
        <v>1428</v>
      </c>
      <c r="D410" s="48">
        <f>DATE(YEAR(OneWeekMtgRatesDataTable756[[#This Row],[asofdate]]),MONTH(OneWeekMtgRatesDataTable756[[#This Row],[asofdate]]),DAY(OneWeekMtgRatesDataTable756[[#This Row],[asofdate]]))</f>
        <v>41990</v>
      </c>
      <c r="E410" s="48" t="s">
        <v>11</v>
      </c>
      <c r="F410" s="55">
        <v>0.1641</v>
      </c>
    </row>
    <row r="411" spans="2:6">
      <c r="B411" s="48" t="s">
        <v>20</v>
      </c>
      <c r="C411" s="48" t="s">
        <v>1427</v>
      </c>
      <c r="D411" s="48">
        <f>DATE(YEAR(OneWeekMtgRatesDataTable756[[#This Row],[asofdate]]),MONTH(OneWeekMtgRatesDataTable756[[#This Row],[asofdate]]),DAY(OneWeekMtgRatesDataTable756[[#This Row],[asofdate]]))</f>
        <v>41989</v>
      </c>
      <c r="E411" s="48" t="s">
        <v>11</v>
      </c>
      <c r="F411" s="55">
        <v>0.16200000000000001</v>
      </c>
    </row>
    <row r="412" spans="2:6">
      <c r="B412" s="48" t="s">
        <v>20</v>
      </c>
      <c r="C412" s="48" t="s">
        <v>1426</v>
      </c>
      <c r="D412" s="48">
        <f>DATE(YEAR(OneWeekMtgRatesDataTable756[[#This Row],[asofdate]]),MONTH(OneWeekMtgRatesDataTable756[[#This Row],[asofdate]]),DAY(OneWeekMtgRatesDataTable756[[#This Row],[asofdate]]))</f>
        <v>41988</v>
      </c>
      <c r="E412" s="48" t="s">
        <v>11</v>
      </c>
      <c r="F412" s="55">
        <v>0.16200000000000001</v>
      </c>
    </row>
    <row r="413" spans="2:6">
      <c r="B413" s="48" t="s">
        <v>20</v>
      </c>
      <c r="C413" s="48" t="s">
        <v>1425</v>
      </c>
      <c r="D413" s="48">
        <f>DATE(YEAR(OneWeekMtgRatesDataTable756[[#This Row],[asofdate]]),MONTH(OneWeekMtgRatesDataTable756[[#This Row],[asofdate]]),DAY(OneWeekMtgRatesDataTable756[[#This Row],[asofdate]]))</f>
        <v>41985</v>
      </c>
      <c r="E413" s="48" t="s">
        <v>11</v>
      </c>
      <c r="F413" s="55">
        <v>0.161</v>
      </c>
    </row>
    <row r="414" spans="2:6">
      <c r="B414" s="48" t="s">
        <v>20</v>
      </c>
      <c r="C414" s="48" t="s">
        <v>1424</v>
      </c>
      <c r="D414" s="48">
        <f>DATE(YEAR(OneWeekMtgRatesDataTable756[[#This Row],[asofdate]]),MONTH(OneWeekMtgRatesDataTable756[[#This Row],[asofdate]]),DAY(OneWeekMtgRatesDataTable756[[#This Row],[asofdate]]))</f>
        <v>41984</v>
      </c>
      <c r="E414" s="48" t="s">
        <v>11</v>
      </c>
      <c r="F414" s="55">
        <v>0.1608</v>
      </c>
    </row>
    <row r="415" spans="2:6">
      <c r="B415" s="48" t="s">
        <v>20</v>
      </c>
      <c r="C415" s="48" t="s">
        <v>1423</v>
      </c>
      <c r="D415" s="48">
        <f>DATE(YEAR(OneWeekMtgRatesDataTable756[[#This Row],[asofdate]]),MONTH(OneWeekMtgRatesDataTable756[[#This Row],[asofdate]]),DAY(OneWeekMtgRatesDataTable756[[#This Row],[asofdate]]))</f>
        <v>41983</v>
      </c>
      <c r="E415" s="48" t="s">
        <v>11</v>
      </c>
      <c r="F415" s="55">
        <v>0.1608</v>
      </c>
    </row>
    <row r="416" spans="2:6">
      <c r="B416" s="48" t="s">
        <v>20</v>
      </c>
      <c r="C416" s="48" t="s">
        <v>1422</v>
      </c>
      <c r="D416" s="48">
        <f>DATE(YEAR(OneWeekMtgRatesDataTable756[[#This Row],[asofdate]]),MONTH(OneWeekMtgRatesDataTable756[[#This Row],[asofdate]]),DAY(OneWeekMtgRatesDataTable756[[#This Row],[asofdate]]))</f>
        <v>41982</v>
      </c>
      <c r="E416" s="48" t="s">
        <v>11</v>
      </c>
      <c r="F416" s="55">
        <v>0.1585</v>
      </c>
    </row>
    <row r="417" spans="2:6">
      <c r="B417" s="48" t="s">
        <v>20</v>
      </c>
      <c r="C417" s="48" t="s">
        <v>1421</v>
      </c>
      <c r="D417" s="48">
        <f>DATE(YEAR(OneWeekMtgRatesDataTable756[[#This Row],[asofdate]]),MONTH(OneWeekMtgRatesDataTable756[[#This Row],[asofdate]]),DAY(OneWeekMtgRatesDataTable756[[#This Row],[asofdate]]))</f>
        <v>41981</v>
      </c>
      <c r="E417" s="48" t="s">
        <v>11</v>
      </c>
      <c r="F417" s="55">
        <v>0.16170000000000001</v>
      </c>
    </row>
    <row r="418" spans="2:6">
      <c r="B418" s="48" t="s">
        <v>20</v>
      </c>
      <c r="C418" s="48" t="s">
        <v>1420</v>
      </c>
      <c r="D418" s="48">
        <f>DATE(YEAR(OneWeekMtgRatesDataTable756[[#This Row],[asofdate]]),MONTH(OneWeekMtgRatesDataTable756[[#This Row],[asofdate]]),DAY(OneWeekMtgRatesDataTable756[[#This Row],[asofdate]]))</f>
        <v>41978</v>
      </c>
      <c r="E418" s="48" t="s">
        <v>11</v>
      </c>
      <c r="F418" s="55">
        <v>0.158</v>
      </c>
    </row>
    <row r="419" spans="2:6">
      <c r="B419" s="48" t="s">
        <v>20</v>
      </c>
      <c r="C419" s="48" t="s">
        <v>1419</v>
      </c>
      <c r="D419" s="48">
        <f>DATE(YEAR(OneWeekMtgRatesDataTable756[[#This Row],[asofdate]]),MONTH(OneWeekMtgRatesDataTable756[[#This Row],[asofdate]]),DAY(OneWeekMtgRatesDataTable756[[#This Row],[asofdate]]))</f>
        <v>41977</v>
      </c>
      <c r="E419" s="48" t="s">
        <v>11</v>
      </c>
      <c r="F419" s="55">
        <v>0.15720000000000001</v>
      </c>
    </row>
    <row r="420" spans="2:6">
      <c r="B420" s="48" t="s">
        <v>20</v>
      </c>
      <c r="C420" s="48" t="s">
        <v>1418</v>
      </c>
      <c r="D420" s="48">
        <f>DATE(YEAR(OneWeekMtgRatesDataTable756[[#This Row],[asofdate]]),MONTH(OneWeekMtgRatesDataTable756[[#This Row],[asofdate]]),DAY(OneWeekMtgRatesDataTable756[[#This Row],[asofdate]]))</f>
        <v>41976</v>
      </c>
      <c r="E420" s="48" t="s">
        <v>11</v>
      </c>
      <c r="F420" s="55">
        <v>0.157</v>
      </c>
    </row>
    <row r="421" spans="2:6">
      <c r="B421" s="48" t="s">
        <v>20</v>
      </c>
      <c r="C421" s="48" t="s">
        <v>1417</v>
      </c>
      <c r="D421" s="48">
        <f>DATE(YEAR(OneWeekMtgRatesDataTable756[[#This Row],[asofdate]]),MONTH(OneWeekMtgRatesDataTable756[[#This Row],[asofdate]]),DAY(OneWeekMtgRatesDataTable756[[#This Row],[asofdate]]))</f>
        <v>41975</v>
      </c>
      <c r="E421" s="48" t="s">
        <v>11</v>
      </c>
      <c r="F421" s="55">
        <v>0.15825</v>
      </c>
    </row>
    <row r="422" spans="2:6">
      <c r="B422" s="48" t="s">
        <v>20</v>
      </c>
      <c r="C422" s="48" t="s">
        <v>1416</v>
      </c>
      <c r="D422" s="48">
        <f>DATE(YEAR(OneWeekMtgRatesDataTable756[[#This Row],[asofdate]]),MONTH(OneWeekMtgRatesDataTable756[[#This Row],[asofdate]]),DAY(OneWeekMtgRatesDataTable756[[#This Row],[asofdate]]))</f>
        <v>41974</v>
      </c>
      <c r="E422" s="48" t="s">
        <v>11</v>
      </c>
      <c r="F422" s="55">
        <v>0.15775</v>
      </c>
    </row>
    <row r="423" spans="2:6">
      <c r="B423" s="48" t="s">
        <v>20</v>
      </c>
      <c r="C423" s="48" t="s">
        <v>1415</v>
      </c>
      <c r="D423" s="48">
        <f>DATE(YEAR(OneWeekMtgRatesDataTable756[[#This Row],[asofdate]]),MONTH(OneWeekMtgRatesDataTable756[[#This Row],[asofdate]]),DAY(OneWeekMtgRatesDataTable756[[#This Row],[asofdate]]))</f>
        <v>41971</v>
      </c>
      <c r="E423" s="48" t="s">
        <v>11</v>
      </c>
      <c r="F423" s="55">
        <v>0.154</v>
      </c>
    </row>
    <row r="424" spans="2:6">
      <c r="B424" s="48" t="s">
        <v>20</v>
      </c>
      <c r="C424" s="48" t="s">
        <v>1414</v>
      </c>
      <c r="D424" s="48">
        <f>DATE(YEAR(OneWeekMtgRatesDataTable756[[#This Row],[asofdate]]),MONTH(OneWeekMtgRatesDataTable756[[#This Row],[asofdate]]),DAY(OneWeekMtgRatesDataTable756[[#This Row],[asofdate]]))</f>
        <v>41969</v>
      </c>
      <c r="E424" s="48" t="s">
        <v>11</v>
      </c>
      <c r="F424" s="55">
        <v>0.15575</v>
      </c>
    </row>
    <row r="425" spans="2:6">
      <c r="B425" s="48" t="s">
        <v>20</v>
      </c>
      <c r="C425" s="48" t="s">
        <v>1413</v>
      </c>
      <c r="D425" s="48">
        <f>DATE(YEAR(OneWeekMtgRatesDataTable756[[#This Row],[asofdate]]),MONTH(OneWeekMtgRatesDataTable756[[#This Row],[asofdate]]),DAY(OneWeekMtgRatesDataTable756[[#This Row],[asofdate]]))</f>
        <v>41968</v>
      </c>
      <c r="E425" s="48" t="s">
        <v>11</v>
      </c>
      <c r="F425" s="55">
        <v>0.15625</v>
      </c>
    </row>
    <row r="426" spans="2:6">
      <c r="B426" s="48" t="s">
        <v>20</v>
      </c>
      <c r="C426" s="48" t="s">
        <v>1412</v>
      </c>
      <c r="D426" s="48">
        <f>DATE(YEAR(OneWeekMtgRatesDataTable756[[#This Row],[asofdate]]),MONTH(OneWeekMtgRatesDataTable756[[#This Row],[asofdate]]),DAY(OneWeekMtgRatesDataTable756[[#This Row],[asofdate]]))</f>
        <v>41967</v>
      </c>
      <c r="E426" s="48" t="s">
        <v>11</v>
      </c>
      <c r="F426" s="55">
        <v>0.1535</v>
      </c>
    </row>
    <row r="427" spans="2:6">
      <c r="B427" s="48" t="s">
        <v>20</v>
      </c>
      <c r="C427" s="48" t="s">
        <v>1411</v>
      </c>
      <c r="D427" s="48">
        <f>DATE(YEAR(OneWeekMtgRatesDataTable756[[#This Row],[asofdate]]),MONTH(OneWeekMtgRatesDataTable756[[#This Row],[asofdate]]),DAY(OneWeekMtgRatesDataTable756[[#This Row],[asofdate]]))</f>
        <v>41964</v>
      </c>
      <c r="E427" s="48" t="s">
        <v>11</v>
      </c>
      <c r="F427" s="55">
        <v>0.15525</v>
      </c>
    </row>
    <row r="428" spans="2:6">
      <c r="B428" s="48" t="s">
        <v>20</v>
      </c>
      <c r="C428" s="48" t="s">
        <v>1410</v>
      </c>
      <c r="D428" s="48">
        <f>DATE(YEAR(OneWeekMtgRatesDataTable756[[#This Row],[asofdate]]),MONTH(OneWeekMtgRatesDataTable756[[#This Row],[asofdate]]),DAY(OneWeekMtgRatesDataTable756[[#This Row],[asofdate]]))</f>
        <v>41963</v>
      </c>
      <c r="E428" s="48" t="s">
        <v>11</v>
      </c>
      <c r="F428" s="55">
        <v>0.155</v>
      </c>
    </row>
    <row r="429" spans="2:6">
      <c r="B429" s="48" t="s">
        <v>20</v>
      </c>
      <c r="C429" s="48" t="s">
        <v>1409</v>
      </c>
      <c r="D429" s="48">
        <f>DATE(YEAR(OneWeekMtgRatesDataTable756[[#This Row],[asofdate]]),MONTH(OneWeekMtgRatesDataTable756[[#This Row],[asofdate]]),DAY(OneWeekMtgRatesDataTable756[[#This Row],[asofdate]]))</f>
        <v>41962</v>
      </c>
      <c r="E429" s="48" t="s">
        <v>11</v>
      </c>
      <c r="F429" s="55">
        <v>0.155</v>
      </c>
    </row>
    <row r="430" spans="2:6">
      <c r="B430" s="48" t="s">
        <v>20</v>
      </c>
      <c r="C430" s="48" t="s">
        <v>1408</v>
      </c>
      <c r="D430" s="48">
        <f>DATE(YEAR(OneWeekMtgRatesDataTable756[[#This Row],[asofdate]]),MONTH(OneWeekMtgRatesDataTable756[[#This Row],[asofdate]]),DAY(OneWeekMtgRatesDataTable756[[#This Row],[asofdate]]))</f>
        <v>41961</v>
      </c>
      <c r="E430" s="48" t="s">
        <v>11</v>
      </c>
      <c r="F430" s="55">
        <v>0.155</v>
      </c>
    </row>
    <row r="431" spans="2:6">
      <c r="B431" s="48" t="s">
        <v>20</v>
      </c>
      <c r="C431" s="48" t="s">
        <v>1407</v>
      </c>
      <c r="D431" s="48">
        <f>DATE(YEAR(OneWeekMtgRatesDataTable756[[#This Row],[asofdate]]),MONTH(OneWeekMtgRatesDataTable756[[#This Row],[asofdate]]),DAY(OneWeekMtgRatesDataTable756[[#This Row],[asofdate]]))</f>
        <v>41960</v>
      </c>
      <c r="E431" s="48" t="s">
        <v>11</v>
      </c>
      <c r="F431" s="55">
        <v>0.154</v>
      </c>
    </row>
    <row r="432" spans="2:6">
      <c r="B432" s="48" t="s">
        <v>20</v>
      </c>
      <c r="C432" s="48" t="s">
        <v>1406</v>
      </c>
      <c r="D432" s="48">
        <f>DATE(YEAR(OneWeekMtgRatesDataTable756[[#This Row],[asofdate]]),MONTH(OneWeekMtgRatesDataTable756[[#This Row],[asofdate]]),DAY(OneWeekMtgRatesDataTable756[[#This Row],[asofdate]]))</f>
        <v>41957</v>
      </c>
      <c r="E432" s="48" t="s">
        <v>11</v>
      </c>
      <c r="F432" s="55">
        <v>0.153</v>
      </c>
    </row>
    <row r="433" spans="2:6">
      <c r="B433" s="48" t="s">
        <v>20</v>
      </c>
      <c r="C433" s="48" t="s">
        <v>1405</v>
      </c>
      <c r="D433" s="48">
        <f>DATE(YEAR(OneWeekMtgRatesDataTable756[[#This Row],[asofdate]]),MONTH(OneWeekMtgRatesDataTable756[[#This Row],[asofdate]]),DAY(OneWeekMtgRatesDataTable756[[#This Row],[asofdate]]))</f>
        <v>41956</v>
      </c>
      <c r="E433" s="48" t="s">
        <v>11</v>
      </c>
      <c r="F433" s="55">
        <v>0.1547</v>
      </c>
    </row>
    <row r="434" spans="2:6">
      <c r="B434" s="48" t="s">
        <v>20</v>
      </c>
      <c r="C434" s="48" t="s">
        <v>1404</v>
      </c>
      <c r="D434" s="48">
        <f>DATE(YEAR(OneWeekMtgRatesDataTable756[[#This Row],[asofdate]]),MONTH(OneWeekMtgRatesDataTable756[[#This Row],[asofdate]]),DAY(OneWeekMtgRatesDataTable756[[#This Row],[asofdate]]))</f>
        <v>41955</v>
      </c>
      <c r="E434" s="48" t="s">
        <v>11</v>
      </c>
      <c r="F434" s="55">
        <v>0.15279999999999999</v>
      </c>
    </row>
    <row r="435" spans="2:6">
      <c r="B435" s="48" t="s">
        <v>20</v>
      </c>
      <c r="C435" s="48" t="s">
        <v>1403</v>
      </c>
      <c r="D435" s="48">
        <f>DATE(YEAR(OneWeekMtgRatesDataTable756[[#This Row],[asofdate]]),MONTH(OneWeekMtgRatesDataTable756[[#This Row],[asofdate]]),DAY(OneWeekMtgRatesDataTable756[[#This Row],[asofdate]]))</f>
        <v>41953</v>
      </c>
      <c r="E435" s="48" t="s">
        <v>11</v>
      </c>
      <c r="F435" s="55">
        <v>0.15429999999999999</v>
      </c>
    </row>
    <row r="436" spans="2:6">
      <c r="B436" s="48" t="s">
        <v>20</v>
      </c>
      <c r="C436" s="48" t="s">
        <v>1402</v>
      </c>
      <c r="D436" s="48">
        <f>DATE(YEAR(OneWeekMtgRatesDataTable756[[#This Row],[asofdate]]),MONTH(OneWeekMtgRatesDataTable756[[#This Row],[asofdate]]),DAY(OneWeekMtgRatesDataTable756[[#This Row],[asofdate]]))</f>
        <v>41950</v>
      </c>
      <c r="E436" s="48" t="s">
        <v>11</v>
      </c>
      <c r="F436" s="55">
        <v>0.1573</v>
      </c>
    </row>
    <row r="437" spans="2:6">
      <c r="B437" s="48" t="s">
        <v>20</v>
      </c>
      <c r="C437" s="48" t="s">
        <v>1401</v>
      </c>
      <c r="D437" s="48">
        <f>DATE(YEAR(OneWeekMtgRatesDataTable756[[#This Row],[asofdate]]),MONTH(OneWeekMtgRatesDataTable756[[#This Row],[asofdate]]),DAY(OneWeekMtgRatesDataTable756[[#This Row],[asofdate]]))</f>
        <v>41949</v>
      </c>
      <c r="E437" s="48" t="s">
        <v>11</v>
      </c>
      <c r="F437" s="55">
        <v>0.1555</v>
      </c>
    </row>
    <row r="438" spans="2:6">
      <c r="B438" s="48" t="s">
        <v>20</v>
      </c>
      <c r="C438" s="48" t="s">
        <v>1400</v>
      </c>
      <c r="D438" s="48">
        <f>DATE(YEAR(OneWeekMtgRatesDataTable756[[#This Row],[asofdate]]),MONTH(OneWeekMtgRatesDataTable756[[#This Row],[asofdate]]),DAY(OneWeekMtgRatesDataTable756[[#This Row],[asofdate]]))</f>
        <v>41948</v>
      </c>
      <c r="E438" s="48" t="s">
        <v>11</v>
      </c>
      <c r="F438" s="55">
        <v>0.1555</v>
      </c>
    </row>
    <row r="439" spans="2:6">
      <c r="B439" s="48" t="s">
        <v>20</v>
      </c>
      <c r="C439" s="48" t="s">
        <v>1399</v>
      </c>
      <c r="D439" s="48">
        <f>DATE(YEAR(OneWeekMtgRatesDataTable756[[#This Row],[asofdate]]),MONTH(OneWeekMtgRatesDataTable756[[#This Row],[asofdate]]),DAY(OneWeekMtgRatesDataTable756[[#This Row],[asofdate]]))</f>
        <v>41947</v>
      </c>
      <c r="E439" s="48" t="s">
        <v>11</v>
      </c>
      <c r="F439" s="55">
        <v>0.1555</v>
      </c>
    </row>
    <row r="440" spans="2:6">
      <c r="B440" s="48" t="s">
        <v>20</v>
      </c>
      <c r="C440" s="48" t="s">
        <v>1398</v>
      </c>
      <c r="D440" s="48">
        <f>DATE(YEAR(OneWeekMtgRatesDataTable756[[#This Row],[asofdate]]),MONTH(OneWeekMtgRatesDataTable756[[#This Row],[asofdate]]),DAY(OneWeekMtgRatesDataTable756[[#This Row],[asofdate]]))</f>
        <v>41946</v>
      </c>
      <c r="E440" s="48" t="s">
        <v>11</v>
      </c>
      <c r="F440" s="55">
        <v>0.1555</v>
      </c>
    </row>
    <row r="441" spans="2:6">
      <c r="B441" s="48" t="s">
        <v>20</v>
      </c>
      <c r="C441" s="48" t="s">
        <v>1397</v>
      </c>
      <c r="D441" s="48">
        <f>DATE(YEAR(OneWeekMtgRatesDataTable756[[#This Row],[asofdate]]),MONTH(OneWeekMtgRatesDataTable756[[#This Row],[asofdate]]),DAY(OneWeekMtgRatesDataTable756[[#This Row],[asofdate]]))</f>
        <v>41943</v>
      </c>
      <c r="E441" s="48" t="s">
        <v>11</v>
      </c>
      <c r="F441" s="55">
        <v>0.15590000000000001</v>
      </c>
    </row>
    <row r="442" spans="2:6">
      <c r="B442" s="48" t="s">
        <v>20</v>
      </c>
      <c r="C442" s="48" t="s">
        <v>1396</v>
      </c>
      <c r="D442" s="48">
        <f>DATE(YEAR(OneWeekMtgRatesDataTable756[[#This Row],[asofdate]]),MONTH(OneWeekMtgRatesDataTable756[[#This Row],[asofdate]]),DAY(OneWeekMtgRatesDataTable756[[#This Row],[asofdate]]))</f>
        <v>41942</v>
      </c>
      <c r="E442" s="48" t="s">
        <v>11</v>
      </c>
      <c r="F442" s="55">
        <v>0.15670000000000001</v>
      </c>
    </row>
    <row r="443" spans="2:6">
      <c r="B443" s="48" t="s">
        <v>20</v>
      </c>
      <c r="C443" s="48" t="s">
        <v>1395</v>
      </c>
      <c r="D443" s="48">
        <f>DATE(YEAR(OneWeekMtgRatesDataTable756[[#This Row],[asofdate]]),MONTH(OneWeekMtgRatesDataTable756[[#This Row],[asofdate]]),DAY(OneWeekMtgRatesDataTable756[[#This Row],[asofdate]]))</f>
        <v>41941</v>
      </c>
      <c r="E443" s="48" t="s">
        <v>11</v>
      </c>
      <c r="F443" s="55">
        <v>0.154</v>
      </c>
    </row>
    <row r="444" spans="2:6">
      <c r="B444" s="48" t="s">
        <v>20</v>
      </c>
      <c r="C444" s="48" t="s">
        <v>1394</v>
      </c>
      <c r="D444" s="48">
        <f>DATE(YEAR(OneWeekMtgRatesDataTable756[[#This Row],[asofdate]]),MONTH(OneWeekMtgRatesDataTable756[[#This Row],[asofdate]]),DAY(OneWeekMtgRatesDataTable756[[#This Row],[asofdate]]))</f>
        <v>41940</v>
      </c>
      <c r="E444" s="48" t="s">
        <v>11</v>
      </c>
      <c r="F444" s="55">
        <v>0.1535</v>
      </c>
    </row>
    <row r="445" spans="2:6">
      <c r="B445" s="48" t="s">
        <v>20</v>
      </c>
      <c r="C445" s="48" t="s">
        <v>1393</v>
      </c>
      <c r="D445" s="48">
        <f>DATE(YEAR(OneWeekMtgRatesDataTable756[[#This Row],[asofdate]]),MONTH(OneWeekMtgRatesDataTable756[[#This Row],[asofdate]]),DAY(OneWeekMtgRatesDataTable756[[#This Row],[asofdate]]))</f>
        <v>41939</v>
      </c>
      <c r="E445" s="48" t="s">
        <v>11</v>
      </c>
      <c r="F445" s="55">
        <v>0.1525</v>
      </c>
    </row>
    <row r="446" spans="2:6">
      <c r="B446" s="48" t="s">
        <v>20</v>
      </c>
      <c r="C446" s="48" t="s">
        <v>1392</v>
      </c>
      <c r="D446" s="48">
        <f>DATE(YEAR(OneWeekMtgRatesDataTable756[[#This Row],[asofdate]]),MONTH(OneWeekMtgRatesDataTable756[[#This Row],[asofdate]]),DAY(OneWeekMtgRatesDataTable756[[#This Row],[asofdate]]))</f>
        <v>41936</v>
      </c>
      <c r="E446" s="48" t="s">
        <v>11</v>
      </c>
      <c r="F446" s="55">
        <v>0.152</v>
      </c>
    </row>
    <row r="447" spans="2:6">
      <c r="B447" s="48" t="s">
        <v>20</v>
      </c>
      <c r="C447" s="48" t="s">
        <v>1391</v>
      </c>
      <c r="D447" s="48">
        <f>DATE(YEAR(OneWeekMtgRatesDataTable756[[#This Row],[asofdate]]),MONTH(OneWeekMtgRatesDataTable756[[#This Row],[asofdate]]),DAY(OneWeekMtgRatesDataTable756[[#This Row],[asofdate]]))</f>
        <v>41935</v>
      </c>
      <c r="E447" s="48" t="s">
        <v>11</v>
      </c>
      <c r="F447" s="55">
        <v>0.152</v>
      </c>
    </row>
    <row r="448" spans="2:6">
      <c r="B448" s="48" t="s">
        <v>20</v>
      </c>
      <c r="C448" s="48" t="s">
        <v>1390</v>
      </c>
      <c r="D448" s="48">
        <f>DATE(YEAR(OneWeekMtgRatesDataTable756[[#This Row],[asofdate]]),MONTH(OneWeekMtgRatesDataTable756[[#This Row],[asofdate]]),DAY(OneWeekMtgRatesDataTable756[[#This Row],[asofdate]]))</f>
        <v>41934</v>
      </c>
      <c r="E448" s="48" t="s">
        <v>11</v>
      </c>
      <c r="F448" s="55">
        <v>0.153</v>
      </c>
    </row>
    <row r="449" spans="2:6">
      <c r="B449" s="48" t="s">
        <v>20</v>
      </c>
      <c r="C449" s="48" t="s">
        <v>1389</v>
      </c>
      <c r="D449" s="48">
        <f>DATE(YEAR(OneWeekMtgRatesDataTable756[[#This Row],[asofdate]]),MONTH(OneWeekMtgRatesDataTable756[[#This Row],[asofdate]]),DAY(OneWeekMtgRatesDataTable756[[#This Row],[asofdate]]))</f>
        <v>41933</v>
      </c>
      <c r="E449" s="48" t="s">
        <v>11</v>
      </c>
      <c r="F449" s="55">
        <v>0.153</v>
      </c>
    </row>
    <row r="450" spans="2:6">
      <c r="B450" s="48" t="s">
        <v>20</v>
      </c>
      <c r="C450" s="48" t="s">
        <v>1388</v>
      </c>
      <c r="D450" s="48">
        <f>DATE(YEAR(OneWeekMtgRatesDataTable756[[#This Row],[asofdate]]),MONTH(OneWeekMtgRatesDataTable756[[#This Row],[asofdate]]),DAY(OneWeekMtgRatesDataTable756[[#This Row],[asofdate]]))</f>
        <v>41932</v>
      </c>
      <c r="E450" s="48" t="s">
        <v>11</v>
      </c>
      <c r="F450" s="55">
        <v>0.15570000000000001</v>
      </c>
    </row>
    <row r="451" spans="2:6">
      <c r="B451" s="48" t="s">
        <v>20</v>
      </c>
      <c r="C451" s="48" t="s">
        <v>1387</v>
      </c>
      <c r="D451" s="48">
        <f>DATE(YEAR(OneWeekMtgRatesDataTable756[[#This Row],[asofdate]]),MONTH(OneWeekMtgRatesDataTable756[[#This Row],[asofdate]]),DAY(OneWeekMtgRatesDataTable756[[#This Row],[asofdate]]))</f>
        <v>41929</v>
      </c>
      <c r="E451" s="48" t="s">
        <v>11</v>
      </c>
      <c r="F451" s="55">
        <v>0.15720000000000001</v>
      </c>
    </row>
    <row r="452" spans="2:6">
      <c r="B452" s="48" t="s">
        <v>20</v>
      </c>
      <c r="C452" s="48" t="s">
        <v>1386</v>
      </c>
      <c r="D452" s="48">
        <f>DATE(YEAR(OneWeekMtgRatesDataTable756[[#This Row],[asofdate]]),MONTH(OneWeekMtgRatesDataTable756[[#This Row],[asofdate]]),DAY(OneWeekMtgRatesDataTable756[[#This Row],[asofdate]]))</f>
        <v>41928</v>
      </c>
      <c r="E452" s="48" t="s">
        <v>11</v>
      </c>
      <c r="F452" s="55">
        <v>0.157</v>
      </c>
    </row>
    <row r="453" spans="2:6">
      <c r="B453" s="48" t="s">
        <v>20</v>
      </c>
      <c r="C453" s="48" t="s">
        <v>1385</v>
      </c>
      <c r="D453" s="48">
        <f>DATE(YEAR(OneWeekMtgRatesDataTable756[[#This Row],[asofdate]]),MONTH(OneWeekMtgRatesDataTable756[[#This Row],[asofdate]]),DAY(OneWeekMtgRatesDataTable756[[#This Row],[asofdate]]))</f>
        <v>41927</v>
      </c>
      <c r="E453" s="48" t="s">
        <v>11</v>
      </c>
      <c r="F453" s="55">
        <v>0.1535</v>
      </c>
    </row>
    <row r="454" spans="2:6">
      <c r="B454" s="48" t="s">
        <v>20</v>
      </c>
      <c r="C454" s="48" t="s">
        <v>1384</v>
      </c>
      <c r="D454" s="48">
        <f>DATE(YEAR(OneWeekMtgRatesDataTable756[[#This Row],[asofdate]]),MONTH(OneWeekMtgRatesDataTable756[[#This Row],[asofdate]]),DAY(OneWeekMtgRatesDataTable756[[#This Row],[asofdate]]))</f>
        <v>41926</v>
      </c>
      <c r="E454" s="48" t="s">
        <v>11</v>
      </c>
      <c r="F454" s="55">
        <v>0.15179999999999999</v>
      </c>
    </row>
    <row r="455" spans="2:6">
      <c r="B455" s="48" t="s">
        <v>20</v>
      </c>
      <c r="C455" s="48" t="s">
        <v>1383</v>
      </c>
      <c r="D455" s="48">
        <f>DATE(YEAR(OneWeekMtgRatesDataTable756[[#This Row],[asofdate]]),MONTH(OneWeekMtgRatesDataTable756[[#This Row],[asofdate]]),DAY(OneWeekMtgRatesDataTable756[[#This Row],[asofdate]]))</f>
        <v>41922</v>
      </c>
      <c r="E455" s="48" t="s">
        <v>11</v>
      </c>
      <c r="F455" s="55">
        <v>0.15279999999999999</v>
      </c>
    </row>
    <row r="456" spans="2:6">
      <c r="B456" s="48" t="s">
        <v>20</v>
      </c>
      <c r="C456" s="48" t="s">
        <v>1382</v>
      </c>
      <c r="D456" s="48">
        <f>DATE(YEAR(OneWeekMtgRatesDataTable756[[#This Row],[asofdate]]),MONTH(OneWeekMtgRatesDataTable756[[#This Row],[asofdate]]),DAY(OneWeekMtgRatesDataTable756[[#This Row],[asofdate]]))</f>
        <v>41921</v>
      </c>
      <c r="E456" s="48" t="s">
        <v>11</v>
      </c>
      <c r="F456" s="55">
        <v>0.1527</v>
      </c>
    </row>
    <row r="457" spans="2:6">
      <c r="B457" s="48" t="s">
        <v>20</v>
      </c>
      <c r="C457" s="48" t="s">
        <v>1381</v>
      </c>
      <c r="D457" s="48">
        <f>DATE(YEAR(OneWeekMtgRatesDataTable756[[#This Row],[asofdate]]),MONTH(OneWeekMtgRatesDataTable756[[#This Row],[asofdate]]),DAY(OneWeekMtgRatesDataTable756[[#This Row],[asofdate]]))</f>
        <v>41920</v>
      </c>
      <c r="E457" s="48" t="s">
        <v>11</v>
      </c>
      <c r="F457" s="55">
        <v>0.15179999999999999</v>
      </c>
    </row>
    <row r="458" spans="2:6">
      <c r="B458" s="48" t="s">
        <v>20</v>
      </c>
      <c r="C458" s="48" t="s">
        <v>1380</v>
      </c>
      <c r="D458" s="48">
        <f>DATE(YEAR(OneWeekMtgRatesDataTable756[[#This Row],[asofdate]]),MONTH(OneWeekMtgRatesDataTable756[[#This Row],[asofdate]]),DAY(OneWeekMtgRatesDataTable756[[#This Row],[asofdate]]))</f>
        <v>41919</v>
      </c>
      <c r="E458" s="48" t="s">
        <v>11</v>
      </c>
      <c r="F458" s="55">
        <v>0.1525</v>
      </c>
    </row>
    <row r="459" spans="2:6">
      <c r="B459" s="48" t="s">
        <v>20</v>
      </c>
      <c r="C459" s="48" t="s">
        <v>1379</v>
      </c>
      <c r="D459" s="48">
        <f>DATE(YEAR(OneWeekMtgRatesDataTable756[[#This Row],[asofdate]]),MONTH(OneWeekMtgRatesDataTable756[[#This Row],[asofdate]]),DAY(OneWeekMtgRatesDataTable756[[#This Row],[asofdate]]))</f>
        <v>41918</v>
      </c>
      <c r="E459" s="48" t="s">
        <v>11</v>
      </c>
      <c r="F459" s="55">
        <v>0.153</v>
      </c>
    </row>
    <row r="460" spans="2:6">
      <c r="B460" s="48" t="s">
        <v>20</v>
      </c>
      <c r="C460" s="48" t="s">
        <v>1378</v>
      </c>
      <c r="D460" s="48">
        <f>DATE(YEAR(OneWeekMtgRatesDataTable756[[#This Row],[asofdate]]),MONTH(OneWeekMtgRatesDataTable756[[#This Row],[asofdate]]),DAY(OneWeekMtgRatesDataTable756[[#This Row],[asofdate]]))</f>
        <v>41915</v>
      </c>
      <c r="E460" s="48" t="s">
        <v>11</v>
      </c>
      <c r="F460" s="55">
        <v>0.153</v>
      </c>
    </row>
    <row r="461" spans="2:6">
      <c r="B461" s="48" t="s">
        <v>20</v>
      </c>
      <c r="C461" s="48" t="s">
        <v>1377</v>
      </c>
      <c r="D461" s="48">
        <f>DATE(YEAR(OneWeekMtgRatesDataTable756[[#This Row],[asofdate]]),MONTH(OneWeekMtgRatesDataTable756[[#This Row],[asofdate]]),DAY(OneWeekMtgRatesDataTable756[[#This Row],[asofdate]]))</f>
        <v>41914</v>
      </c>
      <c r="E461" s="48" t="s">
        <v>11</v>
      </c>
      <c r="F461" s="55">
        <v>0.152</v>
      </c>
    </row>
    <row r="462" spans="2:6">
      <c r="B462" s="48" t="s">
        <v>20</v>
      </c>
      <c r="C462" s="48" t="s">
        <v>1376</v>
      </c>
      <c r="D462" s="48">
        <f>DATE(YEAR(OneWeekMtgRatesDataTable756[[#This Row],[asofdate]]),MONTH(OneWeekMtgRatesDataTable756[[#This Row],[asofdate]]),DAY(OneWeekMtgRatesDataTable756[[#This Row],[asofdate]]))</f>
        <v>41913</v>
      </c>
      <c r="E462" s="48" t="s">
        <v>11</v>
      </c>
      <c r="F462" s="55">
        <v>0.152</v>
      </c>
    </row>
    <row r="463" spans="2:6">
      <c r="B463" s="48" t="s">
        <v>20</v>
      </c>
      <c r="C463" s="48" t="s">
        <v>1375</v>
      </c>
      <c r="D463" s="48">
        <f>DATE(YEAR(OneWeekMtgRatesDataTable756[[#This Row],[asofdate]]),MONTH(OneWeekMtgRatesDataTable756[[#This Row],[asofdate]]),DAY(OneWeekMtgRatesDataTable756[[#This Row],[asofdate]]))</f>
        <v>41912</v>
      </c>
      <c r="E463" s="48" t="s">
        <v>11</v>
      </c>
      <c r="F463" s="55">
        <v>0.1565</v>
      </c>
    </row>
    <row r="464" spans="2:6">
      <c r="B464" s="48" t="s">
        <v>20</v>
      </c>
      <c r="C464" s="48" t="s">
        <v>1374</v>
      </c>
      <c r="D464" s="48">
        <f>DATE(YEAR(OneWeekMtgRatesDataTable756[[#This Row],[asofdate]]),MONTH(OneWeekMtgRatesDataTable756[[#This Row],[asofdate]]),DAY(OneWeekMtgRatesDataTable756[[#This Row],[asofdate]]))</f>
        <v>41911</v>
      </c>
      <c r="E464" s="48" t="s">
        <v>11</v>
      </c>
      <c r="F464" s="55">
        <v>0.1525</v>
      </c>
    </row>
    <row r="465" spans="2:6">
      <c r="B465" s="48" t="s">
        <v>20</v>
      </c>
      <c r="C465" s="48" t="s">
        <v>1373</v>
      </c>
      <c r="D465" s="48">
        <f>DATE(YEAR(OneWeekMtgRatesDataTable756[[#This Row],[asofdate]]),MONTH(OneWeekMtgRatesDataTable756[[#This Row],[asofdate]]),DAY(OneWeekMtgRatesDataTable756[[#This Row],[asofdate]]))</f>
        <v>41908</v>
      </c>
      <c r="E465" s="48" t="s">
        <v>11</v>
      </c>
      <c r="F465" s="55">
        <v>0.154</v>
      </c>
    </row>
    <row r="466" spans="2:6">
      <c r="B466" s="48" t="s">
        <v>20</v>
      </c>
      <c r="C466" s="48" t="s">
        <v>1372</v>
      </c>
      <c r="D466" s="48">
        <f>DATE(YEAR(OneWeekMtgRatesDataTable756[[#This Row],[asofdate]]),MONTH(OneWeekMtgRatesDataTable756[[#This Row],[asofdate]]),DAY(OneWeekMtgRatesDataTable756[[#This Row],[asofdate]]))</f>
        <v>41907</v>
      </c>
      <c r="E466" s="48" t="s">
        <v>11</v>
      </c>
      <c r="F466" s="55">
        <v>0.1515</v>
      </c>
    </row>
    <row r="467" spans="2:6">
      <c r="B467" s="48" t="s">
        <v>20</v>
      </c>
      <c r="C467" s="48" t="s">
        <v>1371</v>
      </c>
      <c r="D467" s="48">
        <f>DATE(YEAR(OneWeekMtgRatesDataTable756[[#This Row],[asofdate]]),MONTH(OneWeekMtgRatesDataTable756[[#This Row],[asofdate]]),DAY(OneWeekMtgRatesDataTable756[[#This Row],[asofdate]]))</f>
        <v>41906</v>
      </c>
      <c r="E467" s="48" t="s">
        <v>11</v>
      </c>
      <c r="F467" s="55">
        <v>0.1535</v>
      </c>
    </row>
    <row r="468" spans="2:6">
      <c r="B468" s="48" t="s">
        <v>20</v>
      </c>
      <c r="C468" s="48" t="s">
        <v>1370</v>
      </c>
      <c r="D468" s="48">
        <f>DATE(YEAR(OneWeekMtgRatesDataTable756[[#This Row],[asofdate]]),MONTH(OneWeekMtgRatesDataTable756[[#This Row],[asofdate]]),DAY(OneWeekMtgRatesDataTable756[[#This Row],[asofdate]]))</f>
        <v>41905</v>
      </c>
      <c r="E468" s="48" t="s">
        <v>11</v>
      </c>
      <c r="F468" s="55">
        <v>0.1545</v>
      </c>
    </row>
    <row r="469" spans="2:6">
      <c r="B469" s="48" t="s">
        <v>20</v>
      </c>
      <c r="C469" s="48" t="s">
        <v>1369</v>
      </c>
      <c r="D469" s="48">
        <f>DATE(YEAR(OneWeekMtgRatesDataTable756[[#This Row],[asofdate]]),MONTH(OneWeekMtgRatesDataTable756[[#This Row],[asofdate]]),DAY(OneWeekMtgRatesDataTable756[[#This Row],[asofdate]]))</f>
        <v>41904</v>
      </c>
      <c r="E469" s="48" t="s">
        <v>11</v>
      </c>
      <c r="F469" s="55">
        <v>0.1545</v>
      </c>
    </row>
    <row r="470" spans="2:6">
      <c r="B470" s="48" t="s">
        <v>20</v>
      </c>
      <c r="C470" s="48" t="s">
        <v>1368</v>
      </c>
      <c r="D470" s="48">
        <f>DATE(YEAR(OneWeekMtgRatesDataTable756[[#This Row],[asofdate]]),MONTH(OneWeekMtgRatesDataTable756[[#This Row],[asofdate]]),DAY(OneWeekMtgRatesDataTable756[[#This Row],[asofdate]]))</f>
        <v>41901</v>
      </c>
      <c r="E470" s="48" t="s">
        <v>11</v>
      </c>
      <c r="F470" s="55">
        <v>0.154</v>
      </c>
    </row>
    <row r="471" spans="2:6">
      <c r="B471" s="48" t="s">
        <v>20</v>
      </c>
      <c r="C471" s="48" t="s">
        <v>1367</v>
      </c>
      <c r="D471" s="48">
        <f>DATE(YEAR(OneWeekMtgRatesDataTable756[[#This Row],[asofdate]]),MONTH(OneWeekMtgRatesDataTable756[[#This Row],[asofdate]]),DAY(OneWeekMtgRatesDataTable756[[#This Row],[asofdate]]))</f>
        <v>41900</v>
      </c>
      <c r="E471" s="48" t="s">
        <v>11</v>
      </c>
      <c r="F471" s="55">
        <v>0.1535</v>
      </c>
    </row>
    <row r="472" spans="2:6">
      <c r="B472" s="48" t="s">
        <v>20</v>
      </c>
      <c r="C472" s="48" t="s">
        <v>1366</v>
      </c>
      <c r="D472" s="48">
        <f>DATE(YEAR(OneWeekMtgRatesDataTable756[[#This Row],[asofdate]]),MONTH(OneWeekMtgRatesDataTable756[[#This Row],[asofdate]]),DAY(OneWeekMtgRatesDataTable756[[#This Row],[asofdate]]))</f>
        <v>41899</v>
      </c>
      <c r="E472" s="48" t="s">
        <v>11</v>
      </c>
      <c r="F472" s="55">
        <v>0.153</v>
      </c>
    </row>
    <row r="473" spans="2:6">
      <c r="B473" s="48" t="s">
        <v>20</v>
      </c>
      <c r="C473" s="48" t="s">
        <v>1365</v>
      </c>
      <c r="D473" s="48">
        <f>DATE(YEAR(OneWeekMtgRatesDataTable756[[#This Row],[asofdate]]),MONTH(OneWeekMtgRatesDataTable756[[#This Row],[asofdate]]),DAY(OneWeekMtgRatesDataTable756[[#This Row],[asofdate]]))</f>
        <v>41898</v>
      </c>
      <c r="E473" s="48" t="s">
        <v>11</v>
      </c>
      <c r="F473" s="55">
        <v>0.1535</v>
      </c>
    </row>
    <row r="474" spans="2:6">
      <c r="B474" s="48" t="s">
        <v>20</v>
      </c>
      <c r="C474" s="48" t="s">
        <v>1364</v>
      </c>
      <c r="D474" s="48">
        <f>DATE(YEAR(OneWeekMtgRatesDataTable756[[#This Row],[asofdate]]),MONTH(OneWeekMtgRatesDataTable756[[#This Row],[asofdate]]),DAY(OneWeekMtgRatesDataTable756[[#This Row],[asofdate]]))</f>
        <v>41897</v>
      </c>
      <c r="E474" s="48" t="s">
        <v>11</v>
      </c>
      <c r="F474" s="55">
        <v>0.15359999999999999</v>
      </c>
    </row>
    <row r="475" spans="2:6">
      <c r="B475" s="48" t="s">
        <v>20</v>
      </c>
      <c r="C475" s="48" t="s">
        <v>1363</v>
      </c>
      <c r="D475" s="48">
        <f>DATE(YEAR(OneWeekMtgRatesDataTable756[[#This Row],[asofdate]]),MONTH(OneWeekMtgRatesDataTable756[[#This Row],[asofdate]]),DAY(OneWeekMtgRatesDataTable756[[#This Row],[asofdate]]))</f>
        <v>41894</v>
      </c>
      <c r="E475" s="48" t="s">
        <v>11</v>
      </c>
      <c r="F475" s="55">
        <v>0.15359999999999999</v>
      </c>
    </row>
    <row r="476" spans="2:6">
      <c r="B476" s="48" t="s">
        <v>20</v>
      </c>
      <c r="C476" s="48" t="s">
        <v>1362</v>
      </c>
      <c r="D476" s="48">
        <f>DATE(YEAR(OneWeekMtgRatesDataTable756[[#This Row],[asofdate]]),MONTH(OneWeekMtgRatesDataTable756[[#This Row],[asofdate]]),DAY(OneWeekMtgRatesDataTable756[[#This Row],[asofdate]]))</f>
        <v>41893</v>
      </c>
      <c r="E476" s="48" t="s">
        <v>11</v>
      </c>
      <c r="F476" s="55">
        <v>0.15359999999999999</v>
      </c>
    </row>
    <row r="477" spans="2:6">
      <c r="B477" s="48" t="s">
        <v>20</v>
      </c>
      <c r="C477" s="48" t="s">
        <v>1361</v>
      </c>
      <c r="D477" s="48">
        <f>DATE(YEAR(OneWeekMtgRatesDataTable756[[#This Row],[asofdate]]),MONTH(OneWeekMtgRatesDataTable756[[#This Row],[asofdate]]),DAY(OneWeekMtgRatesDataTable756[[#This Row],[asofdate]]))</f>
        <v>41892</v>
      </c>
      <c r="E477" s="48" t="s">
        <v>11</v>
      </c>
      <c r="F477" s="55">
        <v>0.1535</v>
      </c>
    </row>
    <row r="478" spans="2:6">
      <c r="B478" s="48" t="s">
        <v>20</v>
      </c>
      <c r="C478" s="48" t="s">
        <v>1360</v>
      </c>
      <c r="D478" s="48">
        <f>DATE(YEAR(OneWeekMtgRatesDataTable756[[#This Row],[asofdate]]),MONTH(OneWeekMtgRatesDataTable756[[#This Row],[asofdate]]),DAY(OneWeekMtgRatesDataTable756[[#This Row],[asofdate]]))</f>
        <v>41891</v>
      </c>
      <c r="E478" s="48" t="s">
        <v>11</v>
      </c>
      <c r="F478" s="55">
        <v>0.1535</v>
      </c>
    </row>
    <row r="479" spans="2:6">
      <c r="B479" s="48" t="s">
        <v>20</v>
      </c>
      <c r="C479" s="48" t="s">
        <v>1359</v>
      </c>
      <c r="D479" s="48">
        <f>DATE(YEAR(OneWeekMtgRatesDataTable756[[#This Row],[asofdate]]),MONTH(OneWeekMtgRatesDataTable756[[#This Row],[asofdate]]),DAY(OneWeekMtgRatesDataTable756[[#This Row],[asofdate]]))</f>
        <v>41890</v>
      </c>
      <c r="E479" s="48" t="s">
        <v>11</v>
      </c>
      <c r="F479" s="55">
        <v>0.1535</v>
      </c>
    </row>
    <row r="480" spans="2:6">
      <c r="B480" s="48" t="s">
        <v>20</v>
      </c>
      <c r="C480" s="48" t="s">
        <v>1358</v>
      </c>
      <c r="D480" s="48">
        <f>DATE(YEAR(OneWeekMtgRatesDataTable756[[#This Row],[asofdate]]),MONTH(OneWeekMtgRatesDataTable756[[#This Row],[asofdate]]),DAY(OneWeekMtgRatesDataTable756[[#This Row],[asofdate]]))</f>
        <v>41887</v>
      </c>
      <c r="E480" s="48" t="s">
        <v>11</v>
      </c>
      <c r="F480" s="55">
        <v>0.15279999999999999</v>
      </c>
    </row>
    <row r="481" spans="2:6">
      <c r="B481" s="48" t="s">
        <v>20</v>
      </c>
      <c r="C481" s="48" t="s">
        <v>1357</v>
      </c>
      <c r="D481" s="48">
        <f>DATE(YEAR(OneWeekMtgRatesDataTable756[[#This Row],[asofdate]]),MONTH(OneWeekMtgRatesDataTable756[[#This Row],[asofdate]]),DAY(OneWeekMtgRatesDataTable756[[#This Row],[asofdate]]))</f>
        <v>41886</v>
      </c>
      <c r="E481" s="48" t="s">
        <v>11</v>
      </c>
      <c r="F481" s="55">
        <v>0.15609999999999999</v>
      </c>
    </row>
    <row r="482" spans="2:6">
      <c r="B482" s="48" t="s">
        <v>20</v>
      </c>
      <c r="C482" s="48" t="s">
        <v>1356</v>
      </c>
      <c r="D482" s="48">
        <f>DATE(YEAR(OneWeekMtgRatesDataTable756[[#This Row],[asofdate]]),MONTH(OneWeekMtgRatesDataTable756[[#This Row],[asofdate]]),DAY(OneWeekMtgRatesDataTable756[[#This Row],[asofdate]]))</f>
        <v>41885</v>
      </c>
      <c r="E482" s="48" t="s">
        <v>11</v>
      </c>
      <c r="F482" s="55">
        <v>0.15609999999999999</v>
      </c>
    </row>
    <row r="483" spans="2:6">
      <c r="B483" s="48" t="s">
        <v>20</v>
      </c>
      <c r="C483" s="48" t="s">
        <v>1355</v>
      </c>
      <c r="D483" s="48">
        <f>DATE(YEAR(OneWeekMtgRatesDataTable756[[#This Row],[asofdate]]),MONTH(OneWeekMtgRatesDataTable756[[#This Row],[asofdate]]),DAY(OneWeekMtgRatesDataTable756[[#This Row],[asofdate]]))</f>
        <v>41884</v>
      </c>
      <c r="E483" s="48" t="s">
        <v>11</v>
      </c>
      <c r="F483" s="55">
        <v>0.1565</v>
      </c>
    </row>
    <row r="484" spans="2:6">
      <c r="B484" s="48" t="s">
        <v>20</v>
      </c>
      <c r="C484" s="48" t="s">
        <v>1354</v>
      </c>
      <c r="D484" s="48">
        <f>DATE(YEAR(OneWeekMtgRatesDataTable756[[#This Row],[asofdate]]),MONTH(OneWeekMtgRatesDataTable756[[#This Row],[asofdate]]),DAY(OneWeekMtgRatesDataTable756[[#This Row],[asofdate]]))</f>
        <v>41880</v>
      </c>
      <c r="E484" s="48" t="s">
        <v>11</v>
      </c>
      <c r="F484" s="55">
        <v>0.157</v>
      </c>
    </row>
    <row r="485" spans="2:6">
      <c r="B485" s="48" t="s">
        <v>20</v>
      </c>
      <c r="C485" s="48" t="s">
        <v>1353</v>
      </c>
      <c r="D485" s="48">
        <f>DATE(YEAR(OneWeekMtgRatesDataTable756[[#This Row],[asofdate]]),MONTH(OneWeekMtgRatesDataTable756[[#This Row],[asofdate]]),DAY(OneWeekMtgRatesDataTable756[[#This Row],[asofdate]]))</f>
        <v>41879</v>
      </c>
      <c r="E485" s="48" t="s">
        <v>11</v>
      </c>
      <c r="F485" s="55">
        <v>0.1545</v>
      </c>
    </row>
    <row r="486" spans="2:6">
      <c r="B486" s="48" t="s">
        <v>20</v>
      </c>
      <c r="C486" s="48" t="s">
        <v>1352</v>
      </c>
      <c r="D486" s="48">
        <f>DATE(YEAR(OneWeekMtgRatesDataTable756[[#This Row],[asofdate]]),MONTH(OneWeekMtgRatesDataTable756[[#This Row],[asofdate]]),DAY(OneWeekMtgRatesDataTable756[[#This Row],[asofdate]]))</f>
        <v>41878</v>
      </c>
      <c r="E486" s="48" t="s">
        <v>11</v>
      </c>
      <c r="F486" s="55">
        <v>0.15670000000000001</v>
      </c>
    </row>
    <row r="487" spans="2:6">
      <c r="B487" s="48" t="s">
        <v>20</v>
      </c>
      <c r="C487" s="48" t="s">
        <v>1351</v>
      </c>
      <c r="D487" s="48">
        <f>DATE(YEAR(OneWeekMtgRatesDataTable756[[#This Row],[asofdate]]),MONTH(OneWeekMtgRatesDataTable756[[#This Row],[asofdate]]),DAY(OneWeekMtgRatesDataTable756[[#This Row],[asofdate]]))</f>
        <v>41877</v>
      </c>
      <c r="E487" s="48" t="s">
        <v>11</v>
      </c>
      <c r="F487" s="55">
        <v>0.156</v>
      </c>
    </row>
    <row r="488" spans="2:6">
      <c r="B488" s="48" t="s">
        <v>20</v>
      </c>
      <c r="C488" s="48" t="s">
        <v>1350</v>
      </c>
      <c r="D488" s="48">
        <f>DATE(YEAR(OneWeekMtgRatesDataTable756[[#This Row],[asofdate]]),MONTH(OneWeekMtgRatesDataTable756[[#This Row],[asofdate]]),DAY(OneWeekMtgRatesDataTable756[[#This Row],[asofdate]]))</f>
        <v>41876</v>
      </c>
      <c r="E488" s="48" t="s">
        <v>11</v>
      </c>
      <c r="F488" s="55">
        <v>0.155</v>
      </c>
    </row>
    <row r="489" spans="2:6">
      <c r="B489" s="48" t="s">
        <v>20</v>
      </c>
      <c r="C489" s="48" t="s">
        <v>1349</v>
      </c>
      <c r="D489" s="48">
        <f>DATE(YEAR(OneWeekMtgRatesDataTable756[[#This Row],[asofdate]]),MONTH(OneWeekMtgRatesDataTable756[[#This Row],[asofdate]]),DAY(OneWeekMtgRatesDataTable756[[#This Row],[asofdate]]))</f>
        <v>41873</v>
      </c>
      <c r="E489" s="48" t="s">
        <v>11</v>
      </c>
      <c r="F489" s="55">
        <v>0.155</v>
      </c>
    </row>
    <row r="490" spans="2:6">
      <c r="B490" s="48" t="s">
        <v>20</v>
      </c>
      <c r="C490" s="48" t="s">
        <v>1348</v>
      </c>
      <c r="D490" s="48">
        <f>DATE(YEAR(OneWeekMtgRatesDataTable756[[#This Row],[asofdate]]),MONTH(OneWeekMtgRatesDataTable756[[#This Row],[asofdate]]),DAY(OneWeekMtgRatesDataTable756[[#This Row],[asofdate]]))</f>
        <v>41872</v>
      </c>
      <c r="E490" s="48" t="s">
        <v>11</v>
      </c>
      <c r="F490" s="55">
        <v>0.155</v>
      </c>
    </row>
    <row r="491" spans="2:6">
      <c r="B491" s="48" t="s">
        <v>20</v>
      </c>
      <c r="C491" s="48" t="s">
        <v>1347</v>
      </c>
      <c r="D491" s="48">
        <f>DATE(YEAR(OneWeekMtgRatesDataTable756[[#This Row],[asofdate]]),MONTH(OneWeekMtgRatesDataTable756[[#This Row],[asofdate]]),DAY(OneWeekMtgRatesDataTable756[[#This Row],[asofdate]]))</f>
        <v>41871</v>
      </c>
      <c r="E491" s="48" t="s">
        <v>11</v>
      </c>
      <c r="F491" s="55">
        <v>0.155</v>
      </c>
    </row>
    <row r="492" spans="2:6">
      <c r="B492" s="48" t="s">
        <v>20</v>
      </c>
      <c r="C492" s="48" t="s">
        <v>1346</v>
      </c>
      <c r="D492" s="48">
        <f>DATE(YEAR(OneWeekMtgRatesDataTable756[[#This Row],[asofdate]]),MONTH(OneWeekMtgRatesDataTable756[[#This Row],[asofdate]]),DAY(OneWeekMtgRatesDataTable756[[#This Row],[asofdate]]))</f>
        <v>41870</v>
      </c>
      <c r="E492" s="48" t="s">
        <v>11</v>
      </c>
      <c r="F492" s="55">
        <v>0.1555</v>
      </c>
    </row>
    <row r="493" spans="2:6">
      <c r="B493" s="48" t="s">
        <v>20</v>
      </c>
      <c r="C493" s="48" t="s">
        <v>1345</v>
      </c>
      <c r="D493" s="48">
        <f>DATE(YEAR(OneWeekMtgRatesDataTable756[[#This Row],[asofdate]]),MONTH(OneWeekMtgRatesDataTable756[[#This Row],[asofdate]]),DAY(OneWeekMtgRatesDataTable756[[#This Row],[asofdate]]))</f>
        <v>41869</v>
      </c>
      <c r="E493" s="48" t="s">
        <v>11</v>
      </c>
      <c r="F493" s="55">
        <v>0.1555</v>
      </c>
    </row>
    <row r="494" spans="2:6">
      <c r="B494" s="48" t="s">
        <v>20</v>
      </c>
      <c r="C494" s="48" t="s">
        <v>1344</v>
      </c>
      <c r="D494" s="48">
        <f>DATE(YEAR(OneWeekMtgRatesDataTable756[[#This Row],[asofdate]]),MONTH(OneWeekMtgRatesDataTable756[[#This Row],[asofdate]]),DAY(OneWeekMtgRatesDataTable756[[#This Row],[asofdate]]))</f>
        <v>41866</v>
      </c>
      <c r="E494" s="48" t="s">
        <v>11</v>
      </c>
      <c r="F494" s="55">
        <v>0.1555</v>
      </c>
    </row>
    <row r="495" spans="2:6">
      <c r="B495" s="48" t="s">
        <v>20</v>
      </c>
      <c r="C495" s="48" t="s">
        <v>1343</v>
      </c>
      <c r="D495" s="48">
        <f>DATE(YEAR(OneWeekMtgRatesDataTable756[[#This Row],[asofdate]]),MONTH(OneWeekMtgRatesDataTable756[[#This Row],[asofdate]]),DAY(OneWeekMtgRatesDataTable756[[#This Row],[asofdate]]))</f>
        <v>41865</v>
      </c>
      <c r="E495" s="48" t="s">
        <v>11</v>
      </c>
      <c r="F495" s="55">
        <v>0.155</v>
      </c>
    </row>
    <row r="496" spans="2:6">
      <c r="B496" s="48" t="s">
        <v>20</v>
      </c>
      <c r="C496" s="48" t="s">
        <v>1342</v>
      </c>
      <c r="D496" s="48">
        <f>DATE(YEAR(OneWeekMtgRatesDataTable756[[#This Row],[asofdate]]),MONTH(OneWeekMtgRatesDataTable756[[#This Row],[asofdate]]),DAY(OneWeekMtgRatesDataTable756[[#This Row],[asofdate]]))</f>
        <v>41864</v>
      </c>
      <c r="E496" s="48" t="s">
        <v>11</v>
      </c>
      <c r="F496" s="55">
        <v>0.155</v>
      </c>
    </row>
    <row r="497" spans="2:6">
      <c r="B497" s="48" t="s">
        <v>20</v>
      </c>
      <c r="C497" s="48" t="s">
        <v>1341</v>
      </c>
      <c r="D497" s="48">
        <f>DATE(YEAR(OneWeekMtgRatesDataTable756[[#This Row],[asofdate]]),MONTH(OneWeekMtgRatesDataTable756[[#This Row],[asofdate]]),DAY(OneWeekMtgRatesDataTable756[[#This Row],[asofdate]]))</f>
        <v>41863</v>
      </c>
      <c r="E497" s="48" t="s">
        <v>11</v>
      </c>
      <c r="F497" s="55">
        <v>0.156</v>
      </c>
    </row>
    <row r="498" spans="2:6">
      <c r="B498" s="48" t="s">
        <v>20</v>
      </c>
      <c r="C498" s="48" t="s">
        <v>1340</v>
      </c>
      <c r="D498" s="48">
        <f>DATE(YEAR(OneWeekMtgRatesDataTable756[[#This Row],[asofdate]]),MONTH(OneWeekMtgRatesDataTable756[[#This Row],[asofdate]]),DAY(OneWeekMtgRatesDataTable756[[#This Row],[asofdate]]))</f>
        <v>41862</v>
      </c>
      <c r="E498" s="48" t="s">
        <v>11</v>
      </c>
      <c r="F498" s="55">
        <v>0.1555</v>
      </c>
    </row>
    <row r="499" spans="2:6">
      <c r="B499" s="48" t="s">
        <v>20</v>
      </c>
      <c r="C499" s="48" t="s">
        <v>1339</v>
      </c>
      <c r="D499" s="48">
        <f>DATE(YEAR(OneWeekMtgRatesDataTable756[[#This Row],[asofdate]]),MONTH(OneWeekMtgRatesDataTable756[[#This Row],[asofdate]]),DAY(OneWeekMtgRatesDataTable756[[#This Row],[asofdate]]))</f>
        <v>41859</v>
      </c>
      <c r="E499" s="48" t="s">
        <v>11</v>
      </c>
      <c r="F499" s="55">
        <v>0.156</v>
      </c>
    </row>
    <row r="500" spans="2:6">
      <c r="B500" s="48" t="s">
        <v>20</v>
      </c>
      <c r="C500" s="48" t="s">
        <v>1338</v>
      </c>
      <c r="D500" s="48">
        <f>DATE(YEAR(OneWeekMtgRatesDataTable756[[#This Row],[asofdate]]),MONTH(OneWeekMtgRatesDataTable756[[#This Row],[asofdate]]),DAY(OneWeekMtgRatesDataTable756[[#This Row],[asofdate]]))</f>
        <v>41858</v>
      </c>
      <c r="E500" s="48" t="s">
        <v>11</v>
      </c>
      <c r="F500" s="55">
        <v>0.157</v>
      </c>
    </row>
    <row r="501" spans="2:6">
      <c r="B501" s="48" t="s">
        <v>20</v>
      </c>
      <c r="C501" s="48" t="s">
        <v>1337</v>
      </c>
      <c r="D501" s="48">
        <f>DATE(YEAR(OneWeekMtgRatesDataTable756[[#This Row],[asofdate]]),MONTH(OneWeekMtgRatesDataTable756[[#This Row],[asofdate]]),DAY(OneWeekMtgRatesDataTable756[[#This Row],[asofdate]]))</f>
        <v>41857</v>
      </c>
      <c r="E501" s="48" t="s">
        <v>11</v>
      </c>
      <c r="F501" s="55">
        <v>0.1588</v>
      </c>
    </row>
    <row r="502" spans="2:6">
      <c r="B502" s="48" t="s">
        <v>20</v>
      </c>
      <c r="C502" s="48" t="s">
        <v>1336</v>
      </c>
      <c r="D502" s="48">
        <f>DATE(YEAR(OneWeekMtgRatesDataTable756[[#This Row],[asofdate]]),MONTH(OneWeekMtgRatesDataTable756[[#This Row],[asofdate]]),DAY(OneWeekMtgRatesDataTable756[[#This Row],[asofdate]]))</f>
        <v>41856</v>
      </c>
      <c r="E502" s="48" t="s">
        <v>11</v>
      </c>
      <c r="F502" s="55">
        <v>0.1585</v>
      </c>
    </row>
    <row r="503" spans="2:6">
      <c r="B503" s="48" t="s">
        <v>20</v>
      </c>
      <c r="C503" s="48" t="s">
        <v>1335</v>
      </c>
      <c r="D503" s="48">
        <f>DATE(YEAR(OneWeekMtgRatesDataTable756[[#This Row],[asofdate]]),MONTH(OneWeekMtgRatesDataTable756[[#This Row],[asofdate]]),DAY(OneWeekMtgRatesDataTable756[[#This Row],[asofdate]]))</f>
        <v>41855</v>
      </c>
      <c r="E503" s="48" t="s">
        <v>11</v>
      </c>
      <c r="F503" s="55">
        <v>0.15690000000000001</v>
      </c>
    </row>
    <row r="504" spans="2:6">
      <c r="B504" s="48" t="s">
        <v>20</v>
      </c>
      <c r="C504" s="48" t="s">
        <v>1334</v>
      </c>
      <c r="D504" s="48">
        <f>DATE(YEAR(OneWeekMtgRatesDataTable756[[#This Row],[asofdate]]),MONTH(OneWeekMtgRatesDataTable756[[#This Row],[asofdate]]),DAY(OneWeekMtgRatesDataTable756[[#This Row],[asofdate]]))</f>
        <v>41852</v>
      </c>
      <c r="E504" s="48" t="s">
        <v>11</v>
      </c>
      <c r="F504" s="55">
        <v>0.156</v>
      </c>
    </row>
    <row r="505" spans="2:6">
      <c r="B505" s="48" t="s">
        <v>20</v>
      </c>
      <c r="C505" s="48" t="s">
        <v>1333</v>
      </c>
      <c r="D505" s="48">
        <f>DATE(YEAR(OneWeekMtgRatesDataTable756[[#This Row],[asofdate]]),MONTH(OneWeekMtgRatesDataTable756[[#This Row],[asofdate]]),DAY(OneWeekMtgRatesDataTable756[[#This Row],[asofdate]]))</f>
        <v>41851</v>
      </c>
      <c r="E505" s="48" t="s">
        <v>11</v>
      </c>
      <c r="F505" s="55">
        <v>0.156</v>
      </c>
    </row>
    <row r="506" spans="2:6">
      <c r="B506" s="48" t="s">
        <v>20</v>
      </c>
      <c r="C506" s="48" t="s">
        <v>1332</v>
      </c>
      <c r="D506" s="48">
        <f>DATE(YEAR(OneWeekMtgRatesDataTable756[[#This Row],[asofdate]]),MONTH(OneWeekMtgRatesDataTable756[[#This Row],[asofdate]]),DAY(OneWeekMtgRatesDataTable756[[#This Row],[asofdate]]))</f>
        <v>41850</v>
      </c>
      <c r="E506" s="48" t="s">
        <v>11</v>
      </c>
      <c r="F506" s="55">
        <v>0.15579999999999999</v>
      </c>
    </row>
    <row r="507" spans="2:6">
      <c r="B507" s="48" t="s">
        <v>20</v>
      </c>
      <c r="C507" s="48" t="s">
        <v>1331</v>
      </c>
      <c r="D507" s="48">
        <f>DATE(YEAR(OneWeekMtgRatesDataTable756[[#This Row],[asofdate]]),MONTH(OneWeekMtgRatesDataTable756[[#This Row],[asofdate]]),DAY(OneWeekMtgRatesDataTable756[[#This Row],[asofdate]]))</f>
        <v>41849</v>
      </c>
      <c r="E507" s="48" t="s">
        <v>11</v>
      </c>
      <c r="F507" s="55">
        <v>0.155</v>
      </c>
    </row>
    <row r="508" spans="2:6">
      <c r="B508" s="48" t="s">
        <v>20</v>
      </c>
      <c r="C508" s="48" t="s">
        <v>1330</v>
      </c>
      <c r="D508" s="48">
        <f>DATE(YEAR(OneWeekMtgRatesDataTable756[[#This Row],[asofdate]]),MONTH(OneWeekMtgRatesDataTable756[[#This Row],[asofdate]]),DAY(OneWeekMtgRatesDataTable756[[#This Row],[asofdate]]))</f>
        <v>41848</v>
      </c>
      <c r="E508" s="48" t="s">
        <v>11</v>
      </c>
      <c r="F508" s="55">
        <v>0.155</v>
      </c>
    </row>
    <row r="509" spans="2:6">
      <c r="B509" s="48" t="s">
        <v>20</v>
      </c>
      <c r="C509" s="48" t="s">
        <v>1329</v>
      </c>
      <c r="D509" s="48">
        <f>DATE(YEAR(OneWeekMtgRatesDataTable756[[#This Row],[asofdate]]),MONTH(OneWeekMtgRatesDataTable756[[#This Row],[asofdate]]),DAY(OneWeekMtgRatesDataTable756[[#This Row],[asofdate]]))</f>
        <v>41845</v>
      </c>
      <c r="E509" s="48" t="s">
        <v>11</v>
      </c>
      <c r="F509" s="55">
        <v>0.156</v>
      </c>
    </row>
    <row r="510" spans="2:6">
      <c r="B510" s="48" t="s">
        <v>20</v>
      </c>
      <c r="C510" s="48" t="s">
        <v>1328</v>
      </c>
      <c r="D510" s="48">
        <f>DATE(YEAR(OneWeekMtgRatesDataTable756[[#This Row],[asofdate]]),MONTH(OneWeekMtgRatesDataTable756[[#This Row],[asofdate]]),DAY(OneWeekMtgRatesDataTable756[[#This Row],[asofdate]]))</f>
        <v>41844</v>
      </c>
      <c r="E510" s="48" t="s">
        <v>11</v>
      </c>
      <c r="F510" s="55">
        <v>0.15425</v>
      </c>
    </row>
    <row r="511" spans="2:6">
      <c r="B511" s="48" t="s">
        <v>20</v>
      </c>
      <c r="C511" s="48" t="s">
        <v>1327</v>
      </c>
      <c r="D511" s="48">
        <f>DATE(YEAR(OneWeekMtgRatesDataTable756[[#This Row],[asofdate]]),MONTH(OneWeekMtgRatesDataTable756[[#This Row],[asofdate]]),DAY(OneWeekMtgRatesDataTable756[[#This Row],[asofdate]]))</f>
        <v>41843</v>
      </c>
      <c r="E511" s="48" t="s">
        <v>11</v>
      </c>
      <c r="F511" s="55">
        <v>0.155</v>
      </c>
    </row>
    <row r="512" spans="2:6">
      <c r="B512" s="48" t="s">
        <v>20</v>
      </c>
      <c r="C512" s="48" t="s">
        <v>1326</v>
      </c>
      <c r="D512" s="48">
        <f>DATE(YEAR(OneWeekMtgRatesDataTable756[[#This Row],[asofdate]]),MONTH(OneWeekMtgRatesDataTable756[[#This Row],[asofdate]]),DAY(OneWeekMtgRatesDataTable756[[#This Row],[asofdate]]))</f>
        <v>41842</v>
      </c>
      <c r="E512" s="48" t="s">
        <v>11</v>
      </c>
      <c r="F512" s="55">
        <v>0.15525</v>
      </c>
    </row>
    <row r="513" spans="2:6">
      <c r="B513" s="48" t="s">
        <v>20</v>
      </c>
      <c r="C513" s="48" t="s">
        <v>1325</v>
      </c>
      <c r="D513" s="48">
        <f>DATE(YEAR(OneWeekMtgRatesDataTable756[[#This Row],[asofdate]]),MONTH(OneWeekMtgRatesDataTable756[[#This Row],[asofdate]]),DAY(OneWeekMtgRatesDataTable756[[#This Row],[asofdate]]))</f>
        <v>41841</v>
      </c>
      <c r="E513" s="48" t="s">
        <v>11</v>
      </c>
      <c r="F513" s="55">
        <v>0.15475</v>
      </c>
    </row>
    <row r="514" spans="2:6">
      <c r="B514" s="48" t="s">
        <v>20</v>
      </c>
      <c r="C514" s="48" t="s">
        <v>1324</v>
      </c>
      <c r="D514" s="48">
        <f>DATE(YEAR(OneWeekMtgRatesDataTable756[[#This Row],[asofdate]]),MONTH(OneWeekMtgRatesDataTable756[[#This Row],[asofdate]]),DAY(OneWeekMtgRatesDataTable756[[#This Row],[asofdate]]))</f>
        <v>41838</v>
      </c>
      <c r="E514" s="48" t="s">
        <v>11</v>
      </c>
      <c r="F514" s="55">
        <v>0.15340000000000001</v>
      </c>
    </row>
    <row r="515" spans="2:6">
      <c r="B515" s="48" t="s">
        <v>20</v>
      </c>
      <c r="C515" s="48" t="s">
        <v>1323</v>
      </c>
      <c r="D515" s="48">
        <f>DATE(YEAR(OneWeekMtgRatesDataTable756[[#This Row],[asofdate]]),MONTH(OneWeekMtgRatesDataTable756[[#This Row],[asofdate]]),DAY(OneWeekMtgRatesDataTable756[[#This Row],[asofdate]]))</f>
        <v>41837</v>
      </c>
      <c r="E515" s="48" t="s">
        <v>11</v>
      </c>
      <c r="F515" s="55">
        <v>0.15620000000000001</v>
      </c>
    </row>
    <row r="516" spans="2:6">
      <c r="B516" s="48" t="s">
        <v>20</v>
      </c>
      <c r="C516" s="48" t="s">
        <v>1322</v>
      </c>
      <c r="D516" s="48">
        <f>DATE(YEAR(OneWeekMtgRatesDataTable756[[#This Row],[asofdate]]),MONTH(OneWeekMtgRatesDataTable756[[#This Row],[asofdate]]),DAY(OneWeekMtgRatesDataTable756[[#This Row],[asofdate]]))</f>
        <v>41836</v>
      </c>
      <c r="E516" s="48" t="s">
        <v>11</v>
      </c>
      <c r="F516" s="55">
        <v>0.15545</v>
      </c>
    </row>
    <row r="517" spans="2:6">
      <c r="B517" s="48" t="s">
        <v>20</v>
      </c>
      <c r="C517" s="48" t="s">
        <v>1321</v>
      </c>
      <c r="D517" s="48">
        <f>DATE(YEAR(OneWeekMtgRatesDataTable756[[#This Row],[asofdate]]),MONTH(OneWeekMtgRatesDataTable756[[#This Row],[asofdate]]),DAY(OneWeekMtgRatesDataTable756[[#This Row],[asofdate]]))</f>
        <v>41835</v>
      </c>
      <c r="E517" s="48" t="s">
        <v>11</v>
      </c>
      <c r="F517" s="55">
        <v>0.1542</v>
      </c>
    </row>
    <row r="518" spans="2:6">
      <c r="B518" s="48" t="s">
        <v>20</v>
      </c>
      <c r="C518" s="48" t="s">
        <v>1320</v>
      </c>
      <c r="D518" s="48">
        <f>DATE(YEAR(OneWeekMtgRatesDataTable756[[#This Row],[asofdate]]),MONTH(OneWeekMtgRatesDataTable756[[#This Row],[asofdate]]),DAY(OneWeekMtgRatesDataTable756[[#This Row],[asofdate]]))</f>
        <v>41834</v>
      </c>
      <c r="E518" s="48" t="s">
        <v>11</v>
      </c>
      <c r="F518" s="55">
        <v>0.152</v>
      </c>
    </row>
    <row r="519" spans="2:6">
      <c r="B519" s="48" t="s">
        <v>20</v>
      </c>
      <c r="C519" s="48" t="s">
        <v>1319</v>
      </c>
      <c r="D519" s="48">
        <f>DATE(YEAR(OneWeekMtgRatesDataTable756[[#This Row],[asofdate]]),MONTH(OneWeekMtgRatesDataTable756[[#This Row],[asofdate]]),DAY(OneWeekMtgRatesDataTable756[[#This Row],[asofdate]]))</f>
        <v>41831</v>
      </c>
      <c r="E519" s="48" t="s">
        <v>11</v>
      </c>
      <c r="F519" s="55">
        <v>0.152</v>
      </c>
    </row>
    <row r="520" spans="2:6">
      <c r="B520" s="48" t="s">
        <v>20</v>
      </c>
      <c r="C520" s="48" t="s">
        <v>1318</v>
      </c>
      <c r="D520" s="48">
        <f>DATE(YEAR(OneWeekMtgRatesDataTable756[[#This Row],[asofdate]]),MONTH(OneWeekMtgRatesDataTable756[[#This Row],[asofdate]]),DAY(OneWeekMtgRatesDataTable756[[#This Row],[asofdate]]))</f>
        <v>41830</v>
      </c>
      <c r="E520" s="48" t="s">
        <v>11</v>
      </c>
      <c r="F520" s="55">
        <v>0.1515</v>
      </c>
    </row>
    <row r="521" spans="2:6">
      <c r="B521" s="48" t="s">
        <v>20</v>
      </c>
      <c r="C521" s="48" t="s">
        <v>1317</v>
      </c>
      <c r="D521" s="48">
        <f>DATE(YEAR(OneWeekMtgRatesDataTable756[[#This Row],[asofdate]]),MONTH(OneWeekMtgRatesDataTable756[[#This Row],[asofdate]]),DAY(OneWeekMtgRatesDataTable756[[#This Row],[asofdate]]))</f>
        <v>41829</v>
      </c>
      <c r="E521" s="48" t="s">
        <v>11</v>
      </c>
      <c r="F521" s="55">
        <v>0.15275</v>
      </c>
    </row>
    <row r="522" spans="2:6">
      <c r="B522" s="48" t="s">
        <v>20</v>
      </c>
      <c r="C522" s="48" t="s">
        <v>1316</v>
      </c>
      <c r="D522" s="48">
        <f>DATE(YEAR(OneWeekMtgRatesDataTable756[[#This Row],[asofdate]]),MONTH(OneWeekMtgRatesDataTable756[[#This Row],[asofdate]]),DAY(OneWeekMtgRatesDataTable756[[#This Row],[asofdate]]))</f>
        <v>41828</v>
      </c>
      <c r="E522" s="48" t="s">
        <v>11</v>
      </c>
      <c r="F522" s="55">
        <v>0.1525</v>
      </c>
    </row>
    <row r="523" spans="2:6">
      <c r="B523" s="48" t="s">
        <v>20</v>
      </c>
      <c r="C523" s="48" t="s">
        <v>1315</v>
      </c>
      <c r="D523" s="48">
        <f>DATE(YEAR(OneWeekMtgRatesDataTable756[[#This Row],[asofdate]]),MONTH(OneWeekMtgRatesDataTable756[[#This Row],[asofdate]]),DAY(OneWeekMtgRatesDataTable756[[#This Row],[asofdate]]))</f>
        <v>41827</v>
      </c>
      <c r="E523" s="48" t="s">
        <v>11</v>
      </c>
      <c r="F523" s="55">
        <v>0.15340000000000001</v>
      </c>
    </row>
    <row r="524" spans="2:6">
      <c r="B524" s="48" t="s">
        <v>20</v>
      </c>
      <c r="C524" s="48" t="s">
        <v>1314</v>
      </c>
      <c r="D524" s="48">
        <f>DATE(YEAR(OneWeekMtgRatesDataTable756[[#This Row],[asofdate]]),MONTH(OneWeekMtgRatesDataTable756[[#This Row],[asofdate]]),DAY(OneWeekMtgRatesDataTable756[[#This Row],[asofdate]]))</f>
        <v>41823</v>
      </c>
      <c r="E524" s="48" t="s">
        <v>11</v>
      </c>
      <c r="F524" s="55">
        <v>0.1555</v>
      </c>
    </row>
    <row r="525" spans="2:6">
      <c r="B525" s="48" t="s">
        <v>20</v>
      </c>
      <c r="C525" s="48" t="s">
        <v>1313</v>
      </c>
      <c r="D525" s="48">
        <f>DATE(YEAR(OneWeekMtgRatesDataTable756[[#This Row],[asofdate]]),MONTH(OneWeekMtgRatesDataTable756[[#This Row],[asofdate]]),DAY(OneWeekMtgRatesDataTable756[[#This Row],[asofdate]]))</f>
        <v>41822</v>
      </c>
      <c r="E525" s="48" t="s">
        <v>11</v>
      </c>
      <c r="F525" s="55">
        <v>0.1555</v>
      </c>
    </row>
    <row r="526" spans="2:6">
      <c r="B526" s="48" t="s">
        <v>20</v>
      </c>
      <c r="C526" s="48" t="s">
        <v>1312</v>
      </c>
      <c r="D526" s="48">
        <f>DATE(YEAR(OneWeekMtgRatesDataTable756[[#This Row],[asofdate]]),MONTH(OneWeekMtgRatesDataTable756[[#This Row],[asofdate]]),DAY(OneWeekMtgRatesDataTable756[[#This Row],[asofdate]]))</f>
        <v>41821</v>
      </c>
      <c r="E526" s="48" t="s">
        <v>11</v>
      </c>
      <c r="F526" s="55">
        <v>0.1552</v>
      </c>
    </row>
    <row r="527" spans="2:6">
      <c r="B527" s="48" t="s">
        <v>20</v>
      </c>
      <c r="C527" s="48" t="s">
        <v>1311</v>
      </c>
      <c r="D527" s="48">
        <f>DATE(YEAR(OneWeekMtgRatesDataTable756[[#This Row],[asofdate]]),MONTH(OneWeekMtgRatesDataTable756[[#This Row],[asofdate]]),DAY(OneWeekMtgRatesDataTable756[[#This Row],[asofdate]]))</f>
        <v>41820</v>
      </c>
      <c r="E527" s="48" t="s">
        <v>11</v>
      </c>
      <c r="F527" s="55">
        <v>0.1552</v>
      </c>
    </row>
    <row r="528" spans="2:6">
      <c r="B528" s="48" t="s">
        <v>20</v>
      </c>
      <c r="C528" s="48" t="s">
        <v>1310</v>
      </c>
      <c r="D528" s="48">
        <f>DATE(YEAR(OneWeekMtgRatesDataTable756[[#This Row],[asofdate]]),MONTH(OneWeekMtgRatesDataTable756[[#This Row],[asofdate]]),DAY(OneWeekMtgRatesDataTable756[[#This Row],[asofdate]]))</f>
        <v>41817</v>
      </c>
      <c r="E528" s="48" t="s">
        <v>11</v>
      </c>
      <c r="F528" s="55">
        <v>0.1515</v>
      </c>
    </row>
    <row r="529" spans="2:6">
      <c r="B529" s="48" t="s">
        <v>20</v>
      </c>
      <c r="C529" s="48" t="s">
        <v>1309</v>
      </c>
      <c r="D529" s="48">
        <f>DATE(YEAR(OneWeekMtgRatesDataTable756[[#This Row],[asofdate]]),MONTH(OneWeekMtgRatesDataTable756[[#This Row],[asofdate]]),DAY(OneWeekMtgRatesDataTable756[[#This Row],[asofdate]]))</f>
        <v>41816</v>
      </c>
      <c r="E529" s="48" t="s">
        <v>11</v>
      </c>
      <c r="F529" s="55">
        <v>0.14949999999999999</v>
      </c>
    </row>
    <row r="530" spans="2:6">
      <c r="B530" s="48" t="s">
        <v>20</v>
      </c>
      <c r="C530" s="48" t="s">
        <v>1308</v>
      </c>
      <c r="D530" s="48">
        <f>DATE(YEAR(OneWeekMtgRatesDataTable756[[#This Row],[asofdate]]),MONTH(OneWeekMtgRatesDataTable756[[#This Row],[asofdate]]),DAY(OneWeekMtgRatesDataTable756[[#This Row],[asofdate]]))</f>
        <v>41815</v>
      </c>
      <c r="E530" s="48" t="s">
        <v>11</v>
      </c>
      <c r="F530" s="55">
        <v>0.151</v>
      </c>
    </row>
    <row r="531" spans="2:6">
      <c r="B531" s="48" t="s">
        <v>20</v>
      </c>
      <c r="C531" s="48" t="s">
        <v>1307</v>
      </c>
      <c r="D531" s="48">
        <f>DATE(YEAR(OneWeekMtgRatesDataTable756[[#This Row],[asofdate]]),MONTH(OneWeekMtgRatesDataTable756[[#This Row],[asofdate]]),DAY(OneWeekMtgRatesDataTable756[[#This Row],[asofdate]]))</f>
        <v>41814</v>
      </c>
      <c r="E531" s="48" t="s">
        <v>11</v>
      </c>
      <c r="F531" s="55">
        <v>0.1515</v>
      </c>
    </row>
    <row r="532" spans="2:6">
      <c r="B532" s="48" t="s">
        <v>20</v>
      </c>
      <c r="C532" s="48" t="s">
        <v>1306</v>
      </c>
      <c r="D532" s="48">
        <f>DATE(YEAR(OneWeekMtgRatesDataTable756[[#This Row],[asofdate]]),MONTH(OneWeekMtgRatesDataTable756[[#This Row],[asofdate]]),DAY(OneWeekMtgRatesDataTable756[[#This Row],[asofdate]]))</f>
        <v>41813</v>
      </c>
      <c r="E532" s="48" t="s">
        <v>11</v>
      </c>
      <c r="F532" s="55">
        <v>0.152</v>
      </c>
    </row>
    <row r="533" spans="2:6">
      <c r="B533" s="48" t="s">
        <v>20</v>
      </c>
      <c r="C533" s="48" t="s">
        <v>1305</v>
      </c>
      <c r="D533" s="48">
        <f>DATE(YEAR(OneWeekMtgRatesDataTable756[[#This Row],[asofdate]]),MONTH(OneWeekMtgRatesDataTable756[[#This Row],[asofdate]]),DAY(OneWeekMtgRatesDataTable756[[#This Row],[asofdate]]))</f>
        <v>41810</v>
      </c>
      <c r="E533" s="48" t="s">
        <v>11</v>
      </c>
      <c r="F533" s="55">
        <v>0.154</v>
      </c>
    </row>
    <row r="534" spans="2:6">
      <c r="B534" s="48" t="s">
        <v>20</v>
      </c>
      <c r="C534" s="48" t="s">
        <v>1304</v>
      </c>
      <c r="D534" s="48">
        <f>DATE(YEAR(OneWeekMtgRatesDataTable756[[#This Row],[asofdate]]),MONTH(OneWeekMtgRatesDataTable756[[#This Row],[asofdate]]),DAY(OneWeekMtgRatesDataTable756[[#This Row],[asofdate]]))</f>
        <v>41809</v>
      </c>
      <c r="E534" s="48" t="s">
        <v>11</v>
      </c>
      <c r="F534" s="55">
        <v>0.15325</v>
      </c>
    </row>
    <row r="535" spans="2:6">
      <c r="B535" s="48" t="s">
        <v>20</v>
      </c>
      <c r="C535" s="48" t="s">
        <v>1303</v>
      </c>
      <c r="D535" s="48">
        <f>DATE(YEAR(OneWeekMtgRatesDataTable756[[#This Row],[asofdate]]),MONTH(OneWeekMtgRatesDataTable756[[#This Row],[asofdate]]),DAY(OneWeekMtgRatesDataTable756[[#This Row],[asofdate]]))</f>
        <v>41808</v>
      </c>
      <c r="E535" s="48" t="s">
        <v>11</v>
      </c>
      <c r="F535" s="55">
        <v>0.153</v>
      </c>
    </row>
    <row r="536" spans="2:6">
      <c r="B536" s="48" t="s">
        <v>20</v>
      </c>
      <c r="C536" s="48" t="s">
        <v>1302</v>
      </c>
      <c r="D536" s="48">
        <f>DATE(YEAR(OneWeekMtgRatesDataTable756[[#This Row],[asofdate]]),MONTH(OneWeekMtgRatesDataTable756[[#This Row],[asofdate]]),DAY(OneWeekMtgRatesDataTable756[[#This Row],[asofdate]]))</f>
        <v>41807</v>
      </c>
      <c r="E536" s="48" t="s">
        <v>11</v>
      </c>
      <c r="F536" s="55">
        <v>0.155</v>
      </c>
    </row>
    <row r="537" spans="2:6">
      <c r="B537" s="48" t="s">
        <v>20</v>
      </c>
      <c r="C537" s="48" t="s">
        <v>1301</v>
      </c>
      <c r="D537" s="48">
        <f>DATE(YEAR(OneWeekMtgRatesDataTable756[[#This Row],[asofdate]]),MONTH(OneWeekMtgRatesDataTable756[[#This Row],[asofdate]]),DAY(OneWeekMtgRatesDataTable756[[#This Row],[asofdate]]))</f>
        <v>41806</v>
      </c>
      <c r="E537" s="48" t="s">
        <v>11</v>
      </c>
      <c r="F537" s="55">
        <v>0.154</v>
      </c>
    </row>
    <row r="538" spans="2:6">
      <c r="B538" s="48" t="s">
        <v>20</v>
      </c>
      <c r="C538" s="48" t="s">
        <v>1300</v>
      </c>
      <c r="D538" s="48">
        <f>DATE(YEAR(OneWeekMtgRatesDataTable756[[#This Row],[asofdate]]),MONTH(OneWeekMtgRatesDataTable756[[#This Row],[asofdate]]),DAY(OneWeekMtgRatesDataTable756[[#This Row],[asofdate]]))</f>
        <v>41803</v>
      </c>
      <c r="E538" s="48" t="s">
        <v>11</v>
      </c>
      <c r="F538" s="55">
        <v>0.15425</v>
      </c>
    </row>
    <row r="539" spans="2:6">
      <c r="B539" s="48" t="s">
        <v>20</v>
      </c>
      <c r="C539" s="48" t="s">
        <v>1299</v>
      </c>
      <c r="D539" s="48">
        <f>DATE(YEAR(OneWeekMtgRatesDataTable756[[#This Row],[asofdate]]),MONTH(OneWeekMtgRatesDataTable756[[#This Row],[asofdate]]),DAY(OneWeekMtgRatesDataTable756[[#This Row],[asofdate]]))</f>
        <v>41802</v>
      </c>
      <c r="E539" s="48" t="s">
        <v>11</v>
      </c>
      <c r="F539" s="55">
        <v>0.15175</v>
      </c>
    </row>
    <row r="540" spans="2:6">
      <c r="B540" s="48" t="s">
        <v>20</v>
      </c>
      <c r="C540" s="48" t="s">
        <v>1298</v>
      </c>
      <c r="D540" s="48">
        <f>DATE(YEAR(OneWeekMtgRatesDataTable756[[#This Row],[asofdate]]),MONTH(OneWeekMtgRatesDataTable756[[#This Row],[asofdate]]),DAY(OneWeekMtgRatesDataTable756[[#This Row],[asofdate]]))</f>
        <v>41801</v>
      </c>
      <c r="E540" s="48" t="s">
        <v>11</v>
      </c>
      <c r="F540" s="55">
        <v>0.15125</v>
      </c>
    </row>
    <row r="541" spans="2:6">
      <c r="B541" s="48" t="s">
        <v>20</v>
      </c>
      <c r="C541" s="48" t="s">
        <v>1297</v>
      </c>
      <c r="D541" s="48">
        <f>DATE(YEAR(OneWeekMtgRatesDataTable756[[#This Row],[asofdate]]),MONTH(OneWeekMtgRatesDataTable756[[#This Row],[asofdate]]),DAY(OneWeekMtgRatesDataTable756[[#This Row],[asofdate]]))</f>
        <v>41800</v>
      </c>
      <c r="E541" s="48" t="s">
        <v>11</v>
      </c>
      <c r="F541" s="55">
        <v>0.152</v>
      </c>
    </row>
    <row r="542" spans="2:6">
      <c r="B542" s="48" t="s">
        <v>20</v>
      </c>
      <c r="C542" s="48" t="s">
        <v>1296</v>
      </c>
      <c r="D542" s="48">
        <f>DATE(YEAR(OneWeekMtgRatesDataTable756[[#This Row],[asofdate]]),MONTH(OneWeekMtgRatesDataTable756[[#This Row],[asofdate]]),DAY(OneWeekMtgRatesDataTable756[[#This Row],[asofdate]]))</f>
        <v>41799</v>
      </c>
      <c r="E542" s="48" t="s">
        <v>11</v>
      </c>
      <c r="F542" s="55">
        <v>0.15225</v>
      </c>
    </row>
    <row r="543" spans="2:6">
      <c r="B543" s="48" t="s">
        <v>20</v>
      </c>
      <c r="C543" s="48" t="s">
        <v>1295</v>
      </c>
      <c r="D543" s="48">
        <f>DATE(YEAR(OneWeekMtgRatesDataTable756[[#This Row],[asofdate]]),MONTH(OneWeekMtgRatesDataTable756[[#This Row],[asofdate]]),DAY(OneWeekMtgRatesDataTable756[[#This Row],[asofdate]]))</f>
        <v>41796</v>
      </c>
      <c r="E543" s="48" t="s">
        <v>11</v>
      </c>
      <c r="F543" s="55">
        <v>0.1535</v>
      </c>
    </row>
    <row r="544" spans="2:6">
      <c r="B544" s="48" t="s">
        <v>20</v>
      </c>
      <c r="C544" s="48" t="s">
        <v>1294</v>
      </c>
      <c r="D544" s="48">
        <f>DATE(YEAR(OneWeekMtgRatesDataTable756[[#This Row],[asofdate]]),MONTH(OneWeekMtgRatesDataTable756[[#This Row],[asofdate]]),DAY(OneWeekMtgRatesDataTable756[[#This Row],[asofdate]]))</f>
        <v>41795</v>
      </c>
      <c r="E544" s="48" t="s">
        <v>11</v>
      </c>
      <c r="F544" s="55">
        <v>0.151</v>
      </c>
    </row>
    <row r="545" spans="2:6">
      <c r="B545" s="48" t="s">
        <v>20</v>
      </c>
      <c r="C545" s="48" t="s">
        <v>1293</v>
      </c>
      <c r="D545" s="48">
        <f>DATE(YEAR(OneWeekMtgRatesDataTable756[[#This Row],[asofdate]]),MONTH(OneWeekMtgRatesDataTable756[[#This Row],[asofdate]]),DAY(OneWeekMtgRatesDataTable756[[#This Row],[asofdate]]))</f>
        <v>41794</v>
      </c>
      <c r="E545" s="48" t="s">
        <v>11</v>
      </c>
      <c r="F545" s="55">
        <v>0.152</v>
      </c>
    </row>
    <row r="546" spans="2:6">
      <c r="B546" s="48" t="s">
        <v>20</v>
      </c>
      <c r="C546" s="48" t="s">
        <v>1292</v>
      </c>
      <c r="D546" s="48">
        <f>DATE(YEAR(OneWeekMtgRatesDataTable756[[#This Row],[asofdate]]),MONTH(OneWeekMtgRatesDataTable756[[#This Row],[asofdate]]),DAY(OneWeekMtgRatesDataTable756[[#This Row],[asofdate]]))</f>
        <v>41793</v>
      </c>
      <c r="E546" s="48" t="s">
        <v>11</v>
      </c>
      <c r="F546" s="55">
        <v>0.15090000000000001</v>
      </c>
    </row>
    <row r="547" spans="2:6">
      <c r="B547" s="48" t="s">
        <v>20</v>
      </c>
      <c r="C547" s="48" t="s">
        <v>1291</v>
      </c>
      <c r="D547" s="48">
        <f>DATE(YEAR(OneWeekMtgRatesDataTable756[[#This Row],[asofdate]]),MONTH(OneWeekMtgRatesDataTable756[[#This Row],[asofdate]]),DAY(OneWeekMtgRatesDataTable756[[#This Row],[asofdate]]))</f>
        <v>41792</v>
      </c>
      <c r="E547" s="48" t="s">
        <v>11</v>
      </c>
      <c r="F547" s="55">
        <v>0.151</v>
      </c>
    </row>
    <row r="548" spans="2:6">
      <c r="B548" s="48" t="s">
        <v>20</v>
      </c>
      <c r="C548" s="48" t="s">
        <v>1290</v>
      </c>
      <c r="D548" s="48">
        <f>DATE(YEAR(OneWeekMtgRatesDataTable756[[#This Row],[asofdate]]),MONTH(OneWeekMtgRatesDataTable756[[#This Row],[asofdate]]),DAY(OneWeekMtgRatesDataTable756[[#This Row],[asofdate]]))</f>
        <v>41789</v>
      </c>
      <c r="E548" s="48" t="s">
        <v>11</v>
      </c>
      <c r="F548" s="55">
        <v>0.151</v>
      </c>
    </row>
    <row r="549" spans="2:6">
      <c r="B549" s="48" t="s">
        <v>20</v>
      </c>
      <c r="C549" s="48" t="s">
        <v>1289</v>
      </c>
      <c r="D549" s="48">
        <f>DATE(YEAR(OneWeekMtgRatesDataTable756[[#This Row],[asofdate]]),MONTH(OneWeekMtgRatesDataTable756[[#This Row],[asofdate]]),DAY(OneWeekMtgRatesDataTable756[[#This Row],[asofdate]]))</f>
        <v>41788</v>
      </c>
      <c r="E549" s="48" t="s">
        <v>11</v>
      </c>
      <c r="F549" s="55">
        <v>0.151</v>
      </c>
    </row>
    <row r="550" spans="2:6">
      <c r="B550" s="48" t="s">
        <v>20</v>
      </c>
      <c r="C550" s="48" t="s">
        <v>1288</v>
      </c>
      <c r="D550" s="48">
        <f>DATE(YEAR(OneWeekMtgRatesDataTable756[[#This Row],[asofdate]]),MONTH(OneWeekMtgRatesDataTable756[[#This Row],[asofdate]]),DAY(OneWeekMtgRatesDataTable756[[#This Row],[asofdate]]))</f>
        <v>41787</v>
      </c>
      <c r="E550" s="48" t="s">
        <v>11</v>
      </c>
      <c r="F550" s="55">
        <v>0.15</v>
      </c>
    </row>
    <row r="551" spans="2:6">
      <c r="B551" s="48" t="s">
        <v>20</v>
      </c>
      <c r="C551" s="48" t="s">
        <v>1287</v>
      </c>
      <c r="D551" s="48">
        <f>DATE(YEAR(OneWeekMtgRatesDataTable756[[#This Row],[asofdate]]),MONTH(OneWeekMtgRatesDataTable756[[#This Row],[asofdate]]),DAY(OneWeekMtgRatesDataTable756[[#This Row],[asofdate]]))</f>
        <v>41786</v>
      </c>
      <c r="E551" s="48" t="s">
        <v>11</v>
      </c>
      <c r="F551" s="55">
        <v>0.15049999999999999</v>
      </c>
    </row>
    <row r="552" spans="2:6">
      <c r="B552" s="48" t="s">
        <v>20</v>
      </c>
      <c r="C552" s="48" t="s">
        <v>1286</v>
      </c>
      <c r="D552" s="48">
        <f>DATE(YEAR(OneWeekMtgRatesDataTable756[[#This Row],[asofdate]]),MONTH(OneWeekMtgRatesDataTable756[[#This Row],[asofdate]]),DAY(OneWeekMtgRatesDataTable756[[#This Row],[asofdate]]))</f>
        <v>41782</v>
      </c>
      <c r="E552" s="48" t="s">
        <v>11</v>
      </c>
      <c r="F552" s="55">
        <v>0.15049999999999999</v>
      </c>
    </row>
    <row r="553" spans="2:6">
      <c r="B553" s="48" t="s">
        <v>20</v>
      </c>
      <c r="C553" s="48" t="s">
        <v>1285</v>
      </c>
      <c r="D553" s="48">
        <f>DATE(YEAR(OneWeekMtgRatesDataTable756[[#This Row],[asofdate]]),MONTH(OneWeekMtgRatesDataTable756[[#This Row],[asofdate]]),DAY(OneWeekMtgRatesDataTable756[[#This Row],[asofdate]]))</f>
        <v>41781</v>
      </c>
      <c r="E553" s="48" t="s">
        <v>11</v>
      </c>
      <c r="F553" s="55">
        <v>0.15</v>
      </c>
    </row>
    <row r="554" spans="2:6">
      <c r="B554" s="48" t="s">
        <v>20</v>
      </c>
      <c r="C554" s="48" t="s">
        <v>1284</v>
      </c>
      <c r="D554" s="48">
        <f>DATE(YEAR(OneWeekMtgRatesDataTable756[[#This Row],[asofdate]]),MONTH(OneWeekMtgRatesDataTable756[[#This Row],[asofdate]]),DAY(OneWeekMtgRatesDataTable756[[#This Row],[asofdate]]))</f>
        <v>41780</v>
      </c>
      <c r="E554" s="48" t="s">
        <v>11</v>
      </c>
      <c r="F554" s="55">
        <v>0.14849999999999999</v>
      </c>
    </row>
    <row r="555" spans="2:6">
      <c r="B555" s="48" t="s">
        <v>20</v>
      </c>
      <c r="C555" s="48" t="s">
        <v>1283</v>
      </c>
      <c r="D555" s="48">
        <f>DATE(YEAR(OneWeekMtgRatesDataTable756[[#This Row],[asofdate]]),MONTH(OneWeekMtgRatesDataTable756[[#This Row],[asofdate]]),DAY(OneWeekMtgRatesDataTable756[[#This Row],[asofdate]]))</f>
        <v>41779</v>
      </c>
      <c r="E555" s="48" t="s">
        <v>11</v>
      </c>
      <c r="F555" s="55">
        <v>0.14774999999999999</v>
      </c>
    </row>
    <row r="556" spans="2:6">
      <c r="B556" s="48" t="s">
        <v>20</v>
      </c>
      <c r="C556" s="48" t="s">
        <v>1282</v>
      </c>
      <c r="D556" s="48">
        <f>DATE(YEAR(OneWeekMtgRatesDataTable756[[#This Row],[asofdate]]),MONTH(OneWeekMtgRatesDataTable756[[#This Row],[asofdate]]),DAY(OneWeekMtgRatesDataTable756[[#This Row],[asofdate]]))</f>
        <v>41778</v>
      </c>
      <c r="E556" s="48" t="s">
        <v>11</v>
      </c>
      <c r="F556" s="55">
        <v>0.14849999999999999</v>
      </c>
    </row>
    <row r="557" spans="2:6">
      <c r="B557" s="48" t="s">
        <v>20</v>
      </c>
      <c r="C557" s="48" t="s">
        <v>1281</v>
      </c>
      <c r="D557" s="48">
        <f>DATE(YEAR(OneWeekMtgRatesDataTable756[[#This Row],[asofdate]]),MONTH(OneWeekMtgRatesDataTable756[[#This Row],[asofdate]]),DAY(OneWeekMtgRatesDataTable756[[#This Row],[asofdate]]))</f>
        <v>41775</v>
      </c>
      <c r="E557" s="48" t="s">
        <v>11</v>
      </c>
      <c r="F557" s="55">
        <v>0.14924999999999999</v>
      </c>
    </row>
    <row r="558" spans="2:6">
      <c r="B558" s="48" t="s">
        <v>20</v>
      </c>
      <c r="C558" s="48" t="s">
        <v>1280</v>
      </c>
      <c r="D558" s="48">
        <f>DATE(YEAR(OneWeekMtgRatesDataTable756[[#This Row],[asofdate]]),MONTH(OneWeekMtgRatesDataTable756[[#This Row],[asofdate]]),DAY(OneWeekMtgRatesDataTable756[[#This Row],[asofdate]]))</f>
        <v>41774</v>
      </c>
      <c r="E558" s="48" t="s">
        <v>11</v>
      </c>
      <c r="F558" s="55">
        <v>0.151</v>
      </c>
    </row>
    <row r="559" spans="2:6">
      <c r="B559" s="48" t="s">
        <v>20</v>
      </c>
      <c r="C559" s="48" t="s">
        <v>1279</v>
      </c>
      <c r="D559" s="48">
        <f>DATE(YEAR(OneWeekMtgRatesDataTable756[[#This Row],[asofdate]]),MONTH(OneWeekMtgRatesDataTable756[[#This Row],[asofdate]]),DAY(OneWeekMtgRatesDataTable756[[#This Row],[asofdate]]))</f>
        <v>41773</v>
      </c>
      <c r="E559" s="48" t="s">
        <v>11</v>
      </c>
      <c r="F559" s="55">
        <v>0.15110000000000001</v>
      </c>
    </row>
    <row r="560" spans="2:6">
      <c r="B560" s="48" t="s">
        <v>20</v>
      </c>
      <c r="C560" s="48" t="s">
        <v>1278</v>
      </c>
      <c r="D560" s="48">
        <f>DATE(YEAR(OneWeekMtgRatesDataTable756[[#This Row],[asofdate]]),MONTH(OneWeekMtgRatesDataTable756[[#This Row],[asofdate]]),DAY(OneWeekMtgRatesDataTable756[[#This Row],[asofdate]]))</f>
        <v>41772</v>
      </c>
      <c r="E560" s="48" t="s">
        <v>11</v>
      </c>
      <c r="F560" s="55">
        <v>0.15110000000000001</v>
      </c>
    </row>
    <row r="561" spans="2:6">
      <c r="B561" s="48" t="s">
        <v>20</v>
      </c>
      <c r="C561" s="48" t="s">
        <v>1277</v>
      </c>
      <c r="D561" s="48">
        <f>DATE(YEAR(OneWeekMtgRatesDataTable756[[#This Row],[asofdate]]),MONTH(OneWeekMtgRatesDataTable756[[#This Row],[asofdate]]),DAY(OneWeekMtgRatesDataTable756[[#This Row],[asofdate]]))</f>
        <v>41771</v>
      </c>
      <c r="E561" s="48" t="s">
        <v>11</v>
      </c>
      <c r="F561" s="55">
        <v>0.15110000000000001</v>
      </c>
    </row>
    <row r="562" spans="2:6">
      <c r="B562" s="48" t="s">
        <v>20</v>
      </c>
      <c r="C562" s="48" t="s">
        <v>1276</v>
      </c>
      <c r="D562" s="48">
        <f>DATE(YEAR(OneWeekMtgRatesDataTable756[[#This Row],[asofdate]]),MONTH(OneWeekMtgRatesDataTable756[[#This Row],[asofdate]]),DAY(OneWeekMtgRatesDataTable756[[#This Row],[asofdate]]))</f>
        <v>41768</v>
      </c>
      <c r="E562" s="48" t="s">
        <v>11</v>
      </c>
      <c r="F562" s="55">
        <v>0.15160000000000001</v>
      </c>
    </row>
    <row r="563" spans="2:6">
      <c r="B563" s="48" t="s">
        <v>20</v>
      </c>
      <c r="C563" s="48" t="s">
        <v>1275</v>
      </c>
      <c r="D563" s="48">
        <f>DATE(YEAR(OneWeekMtgRatesDataTable756[[#This Row],[asofdate]]),MONTH(OneWeekMtgRatesDataTable756[[#This Row],[asofdate]]),DAY(OneWeekMtgRatesDataTable756[[#This Row],[asofdate]]))</f>
        <v>41767</v>
      </c>
      <c r="E563" s="48" t="s">
        <v>11</v>
      </c>
      <c r="F563" s="55">
        <v>0.15024999999999999</v>
      </c>
    </row>
    <row r="564" spans="2:6">
      <c r="B564" s="48" t="s">
        <v>20</v>
      </c>
      <c r="C564" s="48" t="s">
        <v>1274</v>
      </c>
      <c r="D564" s="48">
        <f>DATE(YEAR(OneWeekMtgRatesDataTable756[[#This Row],[asofdate]]),MONTH(OneWeekMtgRatesDataTable756[[#This Row],[asofdate]]),DAY(OneWeekMtgRatesDataTable756[[#This Row],[asofdate]]))</f>
        <v>41766</v>
      </c>
      <c r="E564" s="48" t="s">
        <v>11</v>
      </c>
      <c r="F564" s="55">
        <v>0.1515</v>
      </c>
    </row>
    <row r="565" spans="2:6">
      <c r="B565" s="48" t="s">
        <v>20</v>
      </c>
      <c r="C565" s="48" t="s">
        <v>1273</v>
      </c>
      <c r="D565" s="48">
        <f>DATE(YEAR(OneWeekMtgRatesDataTable756[[#This Row],[asofdate]]),MONTH(OneWeekMtgRatesDataTable756[[#This Row],[asofdate]]),DAY(OneWeekMtgRatesDataTable756[[#This Row],[asofdate]]))</f>
        <v>41765</v>
      </c>
      <c r="E565" s="48" t="s">
        <v>11</v>
      </c>
      <c r="F565" s="55">
        <v>0.15049999999999999</v>
      </c>
    </row>
    <row r="566" spans="2:6">
      <c r="B566" s="48" t="s">
        <v>20</v>
      </c>
      <c r="C566" s="48" t="s">
        <v>1272</v>
      </c>
      <c r="D566" s="48">
        <f>DATE(YEAR(OneWeekMtgRatesDataTable756[[#This Row],[asofdate]]),MONTH(OneWeekMtgRatesDataTable756[[#This Row],[asofdate]]),DAY(OneWeekMtgRatesDataTable756[[#This Row],[asofdate]]))</f>
        <v>41764</v>
      </c>
      <c r="E566" s="48" t="s">
        <v>11</v>
      </c>
      <c r="F566" s="55">
        <v>0.1515</v>
      </c>
    </row>
    <row r="567" spans="2:6">
      <c r="B567" s="48" t="s">
        <v>20</v>
      </c>
      <c r="C567" s="48" t="s">
        <v>1271</v>
      </c>
      <c r="D567" s="48">
        <f>DATE(YEAR(OneWeekMtgRatesDataTable756[[#This Row],[asofdate]]),MONTH(OneWeekMtgRatesDataTable756[[#This Row],[asofdate]]),DAY(OneWeekMtgRatesDataTable756[[#This Row],[asofdate]]))</f>
        <v>41761</v>
      </c>
      <c r="E567" s="48" t="s">
        <v>11</v>
      </c>
      <c r="F567" s="55">
        <v>0.1515</v>
      </c>
    </row>
    <row r="568" spans="2:6">
      <c r="B568" s="48" t="s">
        <v>20</v>
      </c>
      <c r="C568" s="48" t="s">
        <v>1270</v>
      </c>
      <c r="D568" s="48">
        <f>DATE(YEAR(OneWeekMtgRatesDataTable756[[#This Row],[asofdate]]),MONTH(OneWeekMtgRatesDataTable756[[#This Row],[asofdate]]),DAY(OneWeekMtgRatesDataTable756[[#This Row],[asofdate]]))</f>
        <v>41760</v>
      </c>
      <c r="E568" s="48" t="s">
        <v>11</v>
      </c>
      <c r="F568" s="55">
        <v>0.15049999999999999</v>
      </c>
    </row>
    <row r="569" spans="2:6">
      <c r="B569" s="48" t="s">
        <v>20</v>
      </c>
      <c r="C569" s="48" t="s">
        <v>1269</v>
      </c>
      <c r="D569" s="48">
        <f>DATE(YEAR(OneWeekMtgRatesDataTable756[[#This Row],[asofdate]]),MONTH(OneWeekMtgRatesDataTable756[[#This Row],[asofdate]]),DAY(OneWeekMtgRatesDataTable756[[#This Row],[asofdate]]))</f>
        <v>41759</v>
      </c>
      <c r="E569" s="48" t="s">
        <v>11</v>
      </c>
      <c r="F569" s="55">
        <v>0.15049999999999999</v>
      </c>
    </row>
    <row r="570" spans="2:6">
      <c r="B570" s="48" t="s">
        <v>20</v>
      </c>
      <c r="C570" s="48" t="s">
        <v>1268</v>
      </c>
      <c r="D570" s="48">
        <f>DATE(YEAR(OneWeekMtgRatesDataTable756[[#This Row],[asofdate]]),MONTH(OneWeekMtgRatesDataTable756[[#This Row],[asofdate]]),DAY(OneWeekMtgRatesDataTable756[[#This Row],[asofdate]]))</f>
        <v>41758</v>
      </c>
      <c r="E570" s="48" t="s">
        <v>11</v>
      </c>
      <c r="F570" s="55">
        <v>0.1515</v>
      </c>
    </row>
    <row r="571" spans="2:6">
      <c r="B571" s="48" t="s">
        <v>20</v>
      </c>
      <c r="C571" s="48" t="s">
        <v>1267</v>
      </c>
      <c r="D571" s="48">
        <f>DATE(YEAR(OneWeekMtgRatesDataTable756[[#This Row],[asofdate]]),MONTH(OneWeekMtgRatesDataTable756[[#This Row],[asofdate]]),DAY(OneWeekMtgRatesDataTable756[[#This Row],[asofdate]]))</f>
        <v>41757</v>
      </c>
      <c r="E571" s="48" t="s">
        <v>11</v>
      </c>
      <c r="F571" s="55">
        <v>0.15029999999999999</v>
      </c>
    </row>
    <row r="572" spans="2:6">
      <c r="B572" s="48" t="s">
        <v>20</v>
      </c>
      <c r="C572" s="48" t="s">
        <v>1266</v>
      </c>
      <c r="D572" s="48">
        <f>DATE(YEAR(OneWeekMtgRatesDataTable756[[#This Row],[asofdate]]),MONTH(OneWeekMtgRatesDataTable756[[#This Row],[asofdate]]),DAY(OneWeekMtgRatesDataTable756[[#This Row],[asofdate]]))</f>
        <v>41754</v>
      </c>
      <c r="E572" s="48" t="s">
        <v>11</v>
      </c>
      <c r="F572" s="55">
        <v>0.152</v>
      </c>
    </row>
    <row r="573" spans="2:6">
      <c r="B573" s="48" t="s">
        <v>20</v>
      </c>
      <c r="C573" s="48" t="s">
        <v>1265</v>
      </c>
      <c r="D573" s="48">
        <f>DATE(YEAR(OneWeekMtgRatesDataTable756[[#This Row],[asofdate]]),MONTH(OneWeekMtgRatesDataTable756[[#This Row],[asofdate]]),DAY(OneWeekMtgRatesDataTable756[[#This Row],[asofdate]]))</f>
        <v>41753</v>
      </c>
      <c r="E573" s="48" t="s">
        <v>11</v>
      </c>
      <c r="F573" s="55">
        <v>0.15179999999999999</v>
      </c>
    </row>
    <row r="574" spans="2:6">
      <c r="B574" s="48" t="s">
        <v>20</v>
      </c>
      <c r="C574" s="48" t="s">
        <v>1264</v>
      </c>
      <c r="D574" s="48">
        <f>DATE(YEAR(OneWeekMtgRatesDataTable756[[#This Row],[asofdate]]),MONTH(OneWeekMtgRatesDataTable756[[#This Row],[asofdate]]),DAY(OneWeekMtgRatesDataTable756[[#This Row],[asofdate]]))</f>
        <v>41752</v>
      </c>
      <c r="E574" s="48" t="s">
        <v>11</v>
      </c>
      <c r="F574" s="55">
        <v>0.15229999999999999</v>
      </c>
    </row>
    <row r="575" spans="2:6">
      <c r="B575" s="48" t="s">
        <v>20</v>
      </c>
      <c r="C575" s="48" t="s">
        <v>1263</v>
      </c>
      <c r="D575" s="48">
        <f>DATE(YEAR(OneWeekMtgRatesDataTable756[[#This Row],[asofdate]]),MONTH(OneWeekMtgRatesDataTable756[[#This Row],[asofdate]]),DAY(OneWeekMtgRatesDataTable756[[#This Row],[asofdate]]))</f>
        <v>41751</v>
      </c>
      <c r="E575" s="48" t="s">
        <v>11</v>
      </c>
      <c r="F575" s="55">
        <v>0.15229999999999999</v>
      </c>
    </row>
    <row r="576" spans="2:6">
      <c r="B576" s="48" t="s">
        <v>20</v>
      </c>
      <c r="C576" s="48" t="s">
        <v>1262</v>
      </c>
      <c r="D576" s="48">
        <f>DATE(YEAR(OneWeekMtgRatesDataTable756[[#This Row],[asofdate]]),MONTH(OneWeekMtgRatesDataTable756[[#This Row],[asofdate]]),DAY(OneWeekMtgRatesDataTable756[[#This Row],[asofdate]]))</f>
        <v>41750</v>
      </c>
      <c r="E576" s="48" t="s">
        <v>11</v>
      </c>
      <c r="F576" s="55">
        <v>0.1522</v>
      </c>
    </row>
    <row r="577" spans="2:6">
      <c r="B577" s="48" t="s">
        <v>20</v>
      </c>
      <c r="C577" s="48" t="s">
        <v>1261</v>
      </c>
      <c r="D577" s="48">
        <f>DATE(YEAR(OneWeekMtgRatesDataTable756[[#This Row],[asofdate]]),MONTH(OneWeekMtgRatesDataTable756[[#This Row],[asofdate]]),DAY(OneWeekMtgRatesDataTable756[[#This Row],[asofdate]]))</f>
        <v>41746</v>
      </c>
      <c r="E577" s="48" t="s">
        <v>11</v>
      </c>
      <c r="F577" s="55">
        <v>0.1522</v>
      </c>
    </row>
    <row r="578" spans="2:6">
      <c r="B578" s="48" t="s">
        <v>20</v>
      </c>
      <c r="C578" s="48" t="s">
        <v>1260</v>
      </c>
      <c r="D578" s="48">
        <f>DATE(YEAR(OneWeekMtgRatesDataTable756[[#This Row],[asofdate]]),MONTH(OneWeekMtgRatesDataTable756[[#This Row],[asofdate]]),DAY(OneWeekMtgRatesDataTable756[[#This Row],[asofdate]]))</f>
        <v>41745</v>
      </c>
      <c r="E578" s="48" t="s">
        <v>11</v>
      </c>
      <c r="F578" s="55">
        <v>0.152</v>
      </c>
    </row>
    <row r="579" spans="2:6">
      <c r="B579" s="48" t="s">
        <v>20</v>
      </c>
      <c r="C579" s="48" t="s">
        <v>1259</v>
      </c>
      <c r="D579" s="48">
        <f>DATE(YEAR(OneWeekMtgRatesDataTable756[[#This Row],[asofdate]]),MONTH(OneWeekMtgRatesDataTable756[[#This Row],[asofdate]]),DAY(OneWeekMtgRatesDataTable756[[#This Row],[asofdate]]))</f>
        <v>41744</v>
      </c>
      <c r="E579" s="48" t="s">
        <v>11</v>
      </c>
      <c r="F579" s="55">
        <v>0.15140000000000001</v>
      </c>
    </row>
    <row r="580" spans="2:6">
      <c r="B580" s="48" t="s">
        <v>20</v>
      </c>
      <c r="C580" s="48" t="s">
        <v>1258</v>
      </c>
      <c r="D580" s="48">
        <f>DATE(YEAR(OneWeekMtgRatesDataTable756[[#This Row],[asofdate]]),MONTH(OneWeekMtgRatesDataTable756[[#This Row],[asofdate]]),DAY(OneWeekMtgRatesDataTable756[[#This Row],[asofdate]]))</f>
        <v>41743</v>
      </c>
      <c r="E580" s="48" t="s">
        <v>11</v>
      </c>
      <c r="F580" s="55">
        <v>0.1517</v>
      </c>
    </row>
    <row r="581" spans="2:6">
      <c r="B581" s="48" t="s">
        <v>20</v>
      </c>
      <c r="C581" s="48" t="s">
        <v>1257</v>
      </c>
      <c r="D581" s="48">
        <f>DATE(YEAR(OneWeekMtgRatesDataTable756[[#This Row],[asofdate]]),MONTH(OneWeekMtgRatesDataTable756[[#This Row],[asofdate]]),DAY(OneWeekMtgRatesDataTable756[[#This Row],[asofdate]]))</f>
        <v>41740</v>
      </c>
      <c r="E581" s="48" t="s">
        <v>11</v>
      </c>
      <c r="F581" s="55">
        <v>0.1522</v>
      </c>
    </row>
    <row r="582" spans="2:6">
      <c r="B582" s="48" t="s">
        <v>20</v>
      </c>
      <c r="C582" s="48" t="s">
        <v>1256</v>
      </c>
      <c r="D582" s="48">
        <f>DATE(YEAR(OneWeekMtgRatesDataTable756[[#This Row],[asofdate]]),MONTH(OneWeekMtgRatesDataTable756[[#This Row],[asofdate]]),DAY(OneWeekMtgRatesDataTable756[[#This Row],[asofdate]]))</f>
        <v>41739</v>
      </c>
      <c r="E582" s="48" t="s">
        <v>11</v>
      </c>
      <c r="F582" s="55">
        <v>0.1525</v>
      </c>
    </row>
    <row r="583" spans="2:6">
      <c r="B583" s="48" t="s">
        <v>20</v>
      </c>
      <c r="C583" s="48" t="s">
        <v>1255</v>
      </c>
      <c r="D583" s="48">
        <f>DATE(YEAR(OneWeekMtgRatesDataTable756[[#This Row],[asofdate]]),MONTH(OneWeekMtgRatesDataTable756[[#This Row],[asofdate]]),DAY(OneWeekMtgRatesDataTable756[[#This Row],[asofdate]]))</f>
        <v>41738</v>
      </c>
      <c r="E583" s="48" t="s">
        <v>11</v>
      </c>
      <c r="F583" s="55">
        <v>0.15090000000000001</v>
      </c>
    </row>
    <row r="584" spans="2:6">
      <c r="B584" s="48" t="s">
        <v>20</v>
      </c>
      <c r="C584" s="48" t="s">
        <v>1254</v>
      </c>
      <c r="D584" s="48">
        <f>DATE(YEAR(OneWeekMtgRatesDataTable756[[#This Row],[asofdate]]),MONTH(OneWeekMtgRatesDataTable756[[#This Row],[asofdate]]),DAY(OneWeekMtgRatesDataTable756[[#This Row],[asofdate]]))</f>
        <v>41737</v>
      </c>
      <c r="E584" s="48" t="s">
        <v>11</v>
      </c>
      <c r="F584" s="55">
        <v>0.15040000000000001</v>
      </c>
    </row>
    <row r="585" spans="2:6">
      <c r="B585" s="48" t="s">
        <v>20</v>
      </c>
      <c r="C585" s="48" t="s">
        <v>1253</v>
      </c>
      <c r="D585" s="48">
        <f>DATE(YEAR(OneWeekMtgRatesDataTable756[[#This Row],[asofdate]]),MONTH(OneWeekMtgRatesDataTable756[[#This Row],[asofdate]]),DAY(OneWeekMtgRatesDataTable756[[#This Row],[asofdate]]))</f>
        <v>41736</v>
      </c>
      <c r="E585" s="48" t="s">
        <v>11</v>
      </c>
      <c r="F585" s="55">
        <v>0.152</v>
      </c>
    </row>
    <row r="586" spans="2:6">
      <c r="B586" s="48" t="s">
        <v>20</v>
      </c>
      <c r="C586" s="48" t="s">
        <v>1252</v>
      </c>
      <c r="D586" s="48">
        <f>DATE(YEAR(OneWeekMtgRatesDataTable756[[#This Row],[asofdate]]),MONTH(OneWeekMtgRatesDataTable756[[#This Row],[asofdate]]),DAY(OneWeekMtgRatesDataTable756[[#This Row],[asofdate]]))</f>
        <v>41733</v>
      </c>
      <c r="E586" s="48" t="s">
        <v>11</v>
      </c>
      <c r="F586" s="55">
        <v>0.1525</v>
      </c>
    </row>
    <row r="587" spans="2:6">
      <c r="B587" s="48" t="s">
        <v>20</v>
      </c>
      <c r="C587" s="48" t="s">
        <v>1251</v>
      </c>
      <c r="D587" s="48">
        <f>DATE(YEAR(OneWeekMtgRatesDataTable756[[#This Row],[asofdate]]),MONTH(OneWeekMtgRatesDataTable756[[#This Row],[asofdate]]),DAY(OneWeekMtgRatesDataTable756[[#This Row],[asofdate]]))</f>
        <v>41732</v>
      </c>
      <c r="E587" s="48" t="s">
        <v>11</v>
      </c>
      <c r="F587" s="55">
        <v>0.1525</v>
      </c>
    </row>
    <row r="588" spans="2:6">
      <c r="B588" s="48" t="s">
        <v>20</v>
      </c>
      <c r="C588" s="48" t="s">
        <v>1250</v>
      </c>
      <c r="D588" s="48">
        <f>DATE(YEAR(OneWeekMtgRatesDataTable756[[#This Row],[asofdate]]),MONTH(OneWeekMtgRatesDataTable756[[#This Row],[asofdate]]),DAY(OneWeekMtgRatesDataTable756[[#This Row],[asofdate]]))</f>
        <v>41731</v>
      </c>
      <c r="E588" s="48" t="s">
        <v>11</v>
      </c>
      <c r="F588" s="55">
        <v>0.152</v>
      </c>
    </row>
    <row r="589" spans="2:6">
      <c r="B589" s="48" t="s">
        <v>20</v>
      </c>
      <c r="C589" s="48" t="s">
        <v>1249</v>
      </c>
      <c r="D589" s="48">
        <f>DATE(YEAR(OneWeekMtgRatesDataTable756[[#This Row],[asofdate]]),MONTH(OneWeekMtgRatesDataTable756[[#This Row],[asofdate]]),DAY(OneWeekMtgRatesDataTable756[[#This Row],[asofdate]]))</f>
        <v>41730</v>
      </c>
      <c r="E589" s="48" t="s">
        <v>11</v>
      </c>
      <c r="F589" s="55">
        <v>0.151</v>
      </c>
    </row>
    <row r="590" spans="2:6">
      <c r="B590" s="48" t="s">
        <v>20</v>
      </c>
      <c r="C590" s="48" t="s">
        <v>1248</v>
      </c>
      <c r="D590" s="48">
        <f>DATE(YEAR(OneWeekMtgRatesDataTable756[[#This Row],[asofdate]]),MONTH(OneWeekMtgRatesDataTable756[[#This Row],[asofdate]]),DAY(OneWeekMtgRatesDataTable756[[#This Row],[asofdate]]))</f>
        <v>41729</v>
      </c>
      <c r="E590" s="48" t="s">
        <v>11</v>
      </c>
      <c r="F590" s="55">
        <v>0.152</v>
      </c>
    </row>
    <row r="591" spans="2:6">
      <c r="B591" s="48" t="s">
        <v>20</v>
      </c>
      <c r="C591" s="48" t="s">
        <v>1247</v>
      </c>
      <c r="D591" s="48">
        <f>DATE(YEAR(OneWeekMtgRatesDataTable756[[#This Row],[asofdate]]),MONTH(OneWeekMtgRatesDataTable756[[#This Row],[asofdate]]),DAY(OneWeekMtgRatesDataTable756[[#This Row],[asofdate]]))</f>
        <v>41726</v>
      </c>
      <c r="E591" s="48" t="s">
        <v>11</v>
      </c>
      <c r="F591" s="55">
        <v>0.15175</v>
      </c>
    </row>
    <row r="592" spans="2:6">
      <c r="B592" s="48" t="s">
        <v>20</v>
      </c>
      <c r="C592" s="48" t="s">
        <v>1246</v>
      </c>
      <c r="D592" s="48">
        <f>DATE(YEAR(OneWeekMtgRatesDataTable756[[#This Row],[asofdate]]),MONTH(OneWeekMtgRatesDataTable756[[#This Row],[asofdate]]),DAY(OneWeekMtgRatesDataTable756[[#This Row],[asofdate]]))</f>
        <v>41725</v>
      </c>
      <c r="E592" s="48" t="s">
        <v>11</v>
      </c>
      <c r="F592" s="55">
        <v>0.1525</v>
      </c>
    </row>
    <row r="593" spans="2:6">
      <c r="B593" s="48" t="s">
        <v>20</v>
      </c>
      <c r="C593" s="48" t="s">
        <v>1245</v>
      </c>
      <c r="D593" s="48">
        <f>DATE(YEAR(OneWeekMtgRatesDataTable756[[#This Row],[asofdate]]),MONTH(OneWeekMtgRatesDataTable756[[#This Row],[asofdate]]),DAY(OneWeekMtgRatesDataTable756[[#This Row],[asofdate]]))</f>
        <v>41724</v>
      </c>
      <c r="E593" s="48" t="s">
        <v>11</v>
      </c>
      <c r="F593" s="55">
        <v>0.153</v>
      </c>
    </row>
    <row r="594" spans="2:6">
      <c r="B594" s="48" t="s">
        <v>20</v>
      </c>
      <c r="C594" s="48" t="s">
        <v>1244</v>
      </c>
      <c r="D594" s="48">
        <f>DATE(YEAR(OneWeekMtgRatesDataTable756[[#This Row],[asofdate]]),MONTH(OneWeekMtgRatesDataTable756[[#This Row],[asofdate]]),DAY(OneWeekMtgRatesDataTable756[[#This Row],[asofdate]]))</f>
        <v>41723</v>
      </c>
      <c r="E594" s="48" t="s">
        <v>11</v>
      </c>
      <c r="F594" s="55">
        <v>0.15375</v>
      </c>
    </row>
    <row r="595" spans="2:6">
      <c r="B595" s="48" t="s">
        <v>20</v>
      </c>
      <c r="C595" s="48" t="s">
        <v>1243</v>
      </c>
      <c r="D595" s="48">
        <f>DATE(YEAR(OneWeekMtgRatesDataTable756[[#This Row],[asofdate]]),MONTH(OneWeekMtgRatesDataTable756[[#This Row],[asofdate]]),DAY(OneWeekMtgRatesDataTable756[[#This Row],[asofdate]]))</f>
        <v>41722</v>
      </c>
      <c r="E595" s="48" t="s">
        <v>11</v>
      </c>
      <c r="F595" s="55">
        <v>0.15425</v>
      </c>
    </row>
    <row r="596" spans="2:6">
      <c r="B596" s="48" t="s">
        <v>20</v>
      </c>
      <c r="C596" s="48" t="s">
        <v>1242</v>
      </c>
      <c r="D596" s="48">
        <f>DATE(YEAR(OneWeekMtgRatesDataTable756[[#This Row],[asofdate]]),MONTH(OneWeekMtgRatesDataTable756[[#This Row],[asofdate]]),DAY(OneWeekMtgRatesDataTable756[[#This Row],[asofdate]]))</f>
        <v>41719</v>
      </c>
      <c r="E596" s="48" t="s">
        <v>11</v>
      </c>
      <c r="F596" s="55">
        <v>0.15425</v>
      </c>
    </row>
    <row r="597" spans="2:6">
      <c r="B597" s="48" t="s">
        <v>20</v>
      </c>
      <c r="C597" s="48" t="s">
        <v>1241</v>
      </c>
      <c r="D597" s="48">
        <f>DATE(YEAR(OneWeekMtgRatesDataTable756[[#This Row],[asofdate]]),MONTH(OneWeekMtgRatesDataTable756[[#This Row],[asofdate]]),DAY(OneWeekMtgRatesDataTable756[[#This Row],[asofdate]]))</f>
        <v>41718</v>
      </c>
      <c r="E597" s="48" t="s">
        <v>11</v>
      </c>
      <c r="F597" s="55">
        <v>0.1545</v>
      </c>
    </row>
    <row r="598" spans="2:6">
      <c r="B598" s="48" t="s">
        <v>20</v>
      </c>
      <c r="C598" s="48" t="s">
        <v>1240</v>
      </c>
      <c r="D598" s="48">
        <f>DATE(YEAR(OneWeekMtgRatesDataTable756[[#This Row],[asofdate]]),MONTH(OneWeekMtgRatesDataTable756[[#This Row],[asofdate]]),DAY(OneWeekMtgRatesDataTable756[[#This Row],[asofdate]]))</f>
        <v>41717</v>
      </c>
      <c r="E598" s="48" t="s">
        <v>11</v>
      </c>
      <c r="F598" s="55">
        <v>0.15755</v>
      </c>
    </row>
    <row r="599" spans="2:6">
      <c r="B599" s="48" t="s">
        <v>20</v>
      </c>
      <c r="C599" s="48" t="s">
        <v>1239</v>
      </c>
      <c r="D599" s="48">
        <f>DATE(YEAR(OneWeekMtgRatesDataTable756[[#This Row],[asofdate]]),MONTH(OneWeekMtgRatesDataTable756[[#This Row],[asofdate]]),DAY(OneWeekMtgRatesDataTable756[[#This Row],[asofdate]]))</f>
        <v>41716</v>
      </c>
      <c r="E599" s="48" t="s">
        <v>11</v>
      </c>
      <c r="F599" s="55">
        <v>0.15675</v>
      </c>
    </row>
    <row r="600" spans="2:6">
      <c r="B600" s="48" t="s">
        <v>20</v>
      </c>
      <c r="C600" s="48" t="s">
        <v>1238</v>
      </c>
      <c r="D600" s="48">
        <f>DATE(YEAR(OneWeekMtgRatesDataTable756[[#This Row],[asofdate]]),MONTH(OneWeekMtgRatesDataTable756[[#This Row],[asofdate]]),DAY(OneWeekMtgRatesDataTable756[[#This Row],[asofdate]]))</f>
        <v>41715</v>
      </c>
      <c r="E600" s="48" t="s">
        <v>11</v>
      </c>
      <c r="F600" s="55">
        <v>0.15620000000000001</v>
      </c>
    </row>
    <row r="601" spans="2:6">
      <c r="B601" s="48" t="s">
        <v>20</v>
      </c>
      <c r="C601" s="48" t="s">
        <v>1237</v>
      </c>
      <c r="D601" s="48">
        <f>DATE(YEAR(OneWeekMtgRatesDataTable756[[#This Row],[asofdate]]),MONTH(OneWeekMtgRatesDataTable756[[#This Row],[asofdate]]),DAY(OneWeekMtgRatesDataTable756[[#This Row],[asofdate]]))</f>
        <v>41712</v>
      </c>
      <c r="E601" s="48" t="s">
        <v>11</v>
      </c>
      <c r="F601" s="55">
        <v>0.15645000000000001</v>
      </c>
    </row>
    <row r="602" spans="2:6">
      <c r="B602" s="48" t="s">
        <v>20</v>
      </c>
      <c r="C602" s="48" t="s">
        <v>1236</v>
      </c>
      <c r="D602" s="48">
        <f>DATE(YEAR(OneWeekMtgRatesDataTable756[[#This Row],[asofdate]]),MONTH(OneWeekMtgRatesDataTable756[[#This Row],[asofdate]]),DAY(OneWeekMtgRatesDataTable756[[#This Row],[asofdate]]))</f>
        <v>41711</v>
      </c>
      <c r="E602" s="48" t="s">
        <v>11</v>
      </c>
      <c r="F602" s="55">
        <v>0.155</v>
      </c>
    </row>
    <row r="603" spans="2:6">
      <c r="B603" s="48" t="s">
        <v>20</v>
      </c>
      <c r="C603" s="48" t="s">
        <v>1235</v>
      </c>
      <c r="D603" s="48">
        <f>DATE(YEAR(OneWeekMtgRatesDataTable756[[#This Row],[asofdate]]),MONTH(OneWeekMtgRatesDataTable756[[#This Row],[asofdate]]),DAY(OneWeekMtgRatesDataTable756[[#This Row],[asofdate]]))</f>
        <v>41710</v>
      </c>
      <c r="E603" s="48" t="s">
        <v>11</v>
      </c>
      <c r="F603" s="55">
        <v>0.1555</v>
      </c>
    </row>
    <row r="604" spans="2:6">
      <c r="B604" s="48" t="s">
        <v>20</v>
      </c>
      <c r="C604" s="48" t="s">
        <v>1234</v>
      </c>
      <c r="D604" s="48">
        <f>DATE(YEAR(OneWeekMtgRatesDataTable756[[#This Row],[asofdate]]),MONTH(OneWeekMtgRatesDataTable756[[#This Row],[asofdate]]),DAY(OneWeekMtgRatesDataTable756[[#This Row],[asofdate]]))</f>
        <v>41709</v>
      </c>
      <c r="E604" s="48" t="s">
        <v>11</v>
      </c>
      <c r="F604" s="55">
        <v>0.15579999999999999</v>
      </c>
    </row>
    <row r="605" spans="2:6">
      <c r="B605" s="48" t="s">
        <v>20</v>
      </c>
      <c r="C605" s="48" t="s">
        <v>1233</v>
      </c>
      <c r="D605" s="48">
        <f>DATE(YEAR(OneWeekMtgRatesDataTable756[[#This Row],[asofdate]]),MONTH(OneWeekMtgRatesDataTable756[[#This Row],[asofdate]]),DAY(OneWeekMtgRatesDataTable756[[#This Row],[asofdate]]))</f>
        <v>41708</v>
      </c>
      <c r="E605" s="48" t="s">
        <v>11</v>
      </c>
      <c r="F605" s="55">
        <v>0.155</v>
      </c>
    </row>
    <row r="606" spans="2:6">
      <c r="B606" s="48" t="s">
        <v>20</v>
      </c>
      <c r="C606" s="48" t="s">
        <v>1232</v>
      </c>
      <c r="D606" s="48">
        <f>DATE(YEAR(OneWeekMtgRatesDataTable756[[#This Row],[asofdate]]),MONTH(OneWeekMtgRatesDataTable756[[#This Row],[asofdate]]),DAY(OneWeekMtgRatesDataTable756[[#This Row],[asofdate]]))</f>
        <v>41705</v>
      </c>
      <c r="E606" s="48" t="s">
        <v>11</v>
      </c>
      <c r="F606" s="55">
        <v>0.1565</v>
      </c>
    </row>
    <row r="607" spans="2:6">
      <c r="B607" s="48" t="s">
        <v>20</v>
      </c>
      <c r="C607" s="48" t="s">
        <v>1231</v>
      </c>
      <c r="D607" s="48">
        <f>DATE(YEAR(OneWeekMtgRatesDataTable756[[#This Row],[asofdate]]),MONTH(OneWeekMtgRatesDataTable756[[#This Row],[asofdate]]),DAY(OneWeekMtgRatesDataTable756[[#This Row],[asofdate]]))</f>
        <v>41704</v>
      </c>
      <c r="E607" s="48" t="s">
        <v>11</v>
      </c>
      <c r="F607" s="55">
        <v>0.15440000000000001</v>
      </c>
    </row>
    <row r="608" spans="2:6">
      <c r="B608" s="48" t="s">
        <v>20</v>
      </c>
      <c r="C608" s="48" t="s">
        <v>1230</v>
      </c>
      <c r="D608" s="48">
        <f>DATE(YEAR(OneWeekMtgRatesDataTable756[[#This Row],[asofdate]]),MONTH(OneWeekMtgRatesDataTable756[[#This Row],[asofdate]]),DAY(OneWeekMtgRatesDataTable756[[#This Row],[asofdate]]))</f>
        <v>41703</v>
      </c>
      <c r="E608" s="48" t="s">
        <v>11</v>
      </c>
      <c r="F608" s="55">
        <v>0.15559999999999999</v>
      </c>
    </row>
    <row r="609" spans="2:6">
      <c r="B609" s="48" t="s">
        <v>20</v>
      </c>
      <c r="C609" s="48" t="s">
        <v>1229</v>
      </c>
      <c r="D609" s="48">
        <f>DATE(YEAR(OneWeekMtgRatesDataTable756[[#This Row],[asofdate]]),MONTH(OneWeekMtgRatesDataTable756[[#This Row],[asofdate]]),DAY(OneWeekMtgRatesDataTable756[[#This Row],[asofdate]]))</f>
        <v>41702</v>
      </c>
      <c r="E609" s="48" t="s">
        <v>11</v>
      </c>
      <c r="F609" s="55">
        <v>0.1565</v>
      </c>
    </row>
    <row r="610" spans="2:6">
      <c r="B610" s="48" t="s">
        <v>20</v>
      </c>
      <c r="C610" s="48" t="s">
        <v>1228</v>
      </c>
      <c r="D610" s="48">
        <f>DATE(YEAR(OneWeekMtgRatesDataTable756[[#This Row],[asofdate]]),MONTH(OneWeekMtgRatesDataTable756[[#This Row],[asofdate]]),DAY(OneWeekMtgRatesDataTable756[[#This Row],[asofdate]]))</f>
        <v>41701</v>
      </c>
      <c r="E610" s="48" t="s">
        <v>11</v>
      </c>
      <c r="F610" s="55">
        <v>0.15529999999999999</v>
      </c>
    </row>
    <row r="611" spans="2:6">
      <c r="B611" s="48" t="s">
        <v>20</v>
      </c>
      <c r="C611" s="48" t="s">
        <v>1227</v>
      </c>
      <c r="D611" s="48">
        <f>DATE(YEAR(OneWeekMtgRatesDataTable756[[#This Row],[asofdate]]),MONTH(OneWeekMtgRatesDataTable756[[#This Row],[asofdate]]),DAY(OneWeekMtgRatesDataTable756[[#This Row],[asofdate]]))</f>
        <v>41698</v>
      </c>
      <c r="E611" s="48" t="s">
        <v>11</v>
      </c>
      <c r="F611" s="55">
        <v>0.1555</v>
      </c>
    </row>
    <row r="612" spans="2:6">
      <c r="B612" s="48" t="s">
        <v>20</v>
      </c>
      <c r="C612" s="48" t="s">
        <v>1226</v>
      </c>
      <c r="D612" s="48">
        <f>DATE(YEAR(OneWeekMtgRatesDataTable756[[#This Row],[asofdate]]),MONTH(OneWeekMtgRatesDataTable756[[#This Row],[asofdate]]),DAY(OneWeekMtgRatesDataTable756[[#This Row],[asofdate]]))</f>
        <v>41697</v>
      </c>
      <c r="E612" s="48" t="s">
        <v>11</v>
      </c>
      <c r="F612" s="55">
        <v>0.1545</v>
      </c>
    </row>
    <row r="613" spans="2:6">
      <c r="B613" s="48" t="s">
        <v>20</v>
      </c>
      <c r="C613" s="48" t="s">
        <v>1225</v>
      </c>
      <c r="D613" s="48">
        <f>DATE(YEAR(OneWeekMtgRatesDataTable756[[#This Row],[asofdate]]),MONTH(OneWeekMtgRatesDataTable756[[#This Row],[asofdate]]),DAY(OneWeekMtgRatesDataTable756[[#This Row],[asofdate]]))</f>
        <v>41696</v>
      </c>
      <c r="E613" s="48" t="s">
        <v>11</v>
      </c>
      <c r="F613" s="55">
        <v>0.1545</v>
      </c>
    </row>
    <row r="614" spans="2:6">
      <c r="B614" s="48" t="s">
        <v>20</v>
      </c>
      <c r="C614" s="48" t="s">
        <v>1224</v>
      </c>
      <c r="D614" s="48">
        <f>DATE(YEAR(OneWeekMtgRatesDataTable756[[#This Row],[asofdate]]),MONTH(OneWeekMtgRatesDataTable756[[#This Row],[asofdate]]),DAY(OneWeekMtgRatesDataTable756[[#This Row],[asofdate]]))</f>
        <v>41695</v>
      </c>
      <c r="E614" s="48" t="s">
        <v>11</v>
      </c>
      <c r="F614" s="55">
        <v>0.1545</v>
      </c>
    </row>
    <row r="615" spans="2:6">
      <c r="B615" s="48" t="s">
        <v>20</v>
      </c>
      <c r="C615" s="48" t="s">
        <v>1223</v>
      </c>
      <c r="D615" s="48">
        <f>DATE(YEAR(OneWeekMtgRatesDataTable756[[#This Row],[asofdate]]),MONTH(OneWeekMtgRatesDataTable756[[#This Row],[asofdate]]),DAY(OneWeekMtgRatesDataTable756[[#This Row],[asofdate]]))</f>
        <v>41694</v>
      </c>
      <c r="E615" s="48" t="s">
        <v>11</v>
      </c>
      <c r="F615" s="55">
        <v>0.1545</v>
      </c>
    </row>
    <row r="616" spans="2:6">
      <c r="B616" s="48" t="s">
        <v>20</v>
      </c>
      <c r="C616" s="48" t="s">
        <v>1222</v>
      </c>
      <c r="D616" s="48">
        <f>DATE(YEAR(OneWeekMtgRatesDataTable756[[#This Row],[asofdate]]),MONTH(OneWeekMtgRatesDataTable756[[#This Row],[asofdate]]),DAY(OneWeekMtgRatesDataTable756[[#This Row],[asofdate]]))</f>
        <v>41691</v>
      </c>
      <c r="E616" s="48" t="s">
        <v>11</v>
      </c>
      <c r="F616" s="55">
        <v>0.1555</v>
      </c>
    </row>
    <row r="617" spans="2:6">
      <c r="B617" s="48" t="s">
        <v>20</v>
      </c>
      <c r="C617" s="48" t="s">
        <v>1221</v>
      </c>
      <c r="D617" s="48">
        <f>DATE(YEAR(OneWeekMtgRatesDataTable756[[#This Row],[asofdate]]),MONTH(OneWeekMtgRatesDataTable756[[#This Row],[asofdate]]),DAY(OneWeekMtgRatesDataTable756[[#This Row],[asofdate]]))</f>
        <v>41690</v>
      </c>
      <c r="E617" s="48" t="s">
        <v>11</v>
      </c>
      <c r="F617" s="55">
        <v>0.1555</v>
      </c>
    </row>
    <row r="618" spans="2:6">
      <c r="B618" s="48" t="s">
        <v>20</v>
      </c>
      <c r="C618" s="48" t="s">
        <v>1220</v>
      </c>
      <c r="D618" s="48">
        <f>DATE(YEAR(OneWeekMtgRatesDataTable756[[#This Row],[asofdate]]),MONTH(OneWeekMtgRatesDataTable756[[#This Row],[asofdate]]),DAY(OneWeekMtgRatesDataTable756[[#This Row],[asofdate]]))</f>
        <v>41689</v>
      </c>
      <c r="E618" s="48" t="s">
        <v>11</v>
      </c>
      <c r="F618" s="55">
        <v>0.1545</v>
      </c>
    </row>
    <row r="619" spans="2:6">
      <c r="B619" s="48" t="s">
        <v>20</v>
      </c>
      <c r="C619" s="48" t="s">
        <v>1219</v>
      </c>
      <c r="D619" s="48">
        <f>DATE(YEAR(OneWeekMtgRatesDataTable756[[#This Row],[asofdate]]),MONTH(OneWeekMtgRatesDataTable756[[#This Row],[asofdate]]),DAY(OneWeekMtgRatesDataTable756[[#This Row],[asofdate]]))</f>
        <v>41688</v>
      </c>
      <c r="E619" s="48" t="s">
        <v>11</v>
      </c>
      <c r="F619" s="55">
        <v>0.154</v>
      </c>
    </row>
    <row r="620" spans="2:6">
      <c r="B620" s="48" t="s">
        <v>20</v>
      </c>
      <c r="C620" s="48" t="s">
        <v>1218</v>
      </c>
      <c r="D620" s="48">
        <f>DATE(YEAR(OneWeekMtgRatesDataTable756[[#This Row],[asofdate]]),MONTH(OneWeekMtgRatesDataTable756[[#This Row],[asofdate]]),DAY(OneWeekMtgRatesDataTable756[[#This Row],[asofdate]]))</f>
        <v>41684</v>
      </c>
      <c r="E620" s="48" t="s">
        <v>11</v>
      </c>
      <c r="F620" s="55">
        <v>0.1545</v>
      </c>
    </row>
    <row r="621" spans="2:6">
      <c r="B621" s="48" t="s">
        <v>20</v>
      </c>
      <c r="C621" s="48" t="s">
        <v>1217</v>
      </c>
      <c r="D621" s="48">
        <f>DATE(YEAR(OneWeekMtgRatesDataTable756[[#This Row],[asofdate]]),MONTH(OneWeekMtgRatesDataTable756[[#This Row],[asofdate]]),DAY(OneWeekMtgRatesDataTable756[[#This Row],[asofdate]]))</f>
        <v>41683</v>
      </c>
      <c r="E621" s="48" t="s">
        <v>11</v>
      </c>
      <c r="F621" s="55">
        <v>0.1545</v>
      </c>
    </row>
    <row r="622" spans="2:6">
      <c r="B622" s="48" t="s">
        <v>20</v>
      </c>
      <c r="C622" s="48" t="s">
        <v>1216</v>
      </c>
      <c r="D622" s="48">
        <f>DATE(YEAR(OneWeekMtgRatesDataTable756[[#This Row],[asofdate]]),MONTH(OneWeekMtgRatesDataTable756[[#This Row],[asofdate]]),DAY(OneWeekMtgRatesDataTable756[[#This Row],[asofdate]]))</f>
        <v>41682</v>
      </c>
      <c r="E622" s="48" t="s">
        <v>11</v>
      </c>
      <c r="F622" s="55">
        <v>0.1535</v>
      </c>
    </row>
    <row r="623" spans="2:6">
      <c r="B623" s="48" t="s">
        <v>20</v>
      </c>
      <c r="C623" s="48" t="s">
        <v>1215</v>
      </c>
      <c r="D623" s="48">
        <f>DATE(YEAR(OneWeekMtgRatesDataTable756[[#This Row],[asofdate]]),MONTH(OneWeekMtgRatesDataTable756[[#This Row],[asofdate]]),DAY(OneWeekMtgRatesDataTable756[[#This Row],[asofdate]]))</f>
        <v>41681</v>
      </c>
      <c r="E623" s="48" t="s">
        <v>11</v>
      </c>
      <c r="F623" s="55">
        <v>0.15425</v>
      </c>
    </row>
    <row r="624" spans="2:6">
      <c r="B624" s="48" t="s">
        <v>20</v>
      </c>
      <c r="C624" s="48" t="s">
        <v>1214</v>
      </c>
      <c r="D624" s="48">
        <f>DATE(YEAR(OneWeekMtgRatesDataTable756[[#This Row],[asofdate]]),MONTH(OneWeekMtgRatesDataTable756[[#This Row],[asofdate]]),DAY(OneWeekMtgRatesDataTable756[[#This Row],[asofdate]]))</f>
        <v>41680</v>
      </c>
      <c r="E624" s="48" t="s">
        <v>11</v>
      </c>
      <c r="F624" s="55">
        <v>0.15475</v>
      </c>
    </row>
    <row r="625" spans="2:6">
      <c r="B625" s="48" t="s">
        <v>20</v>
      </c>
      <c r="C625" s="48" t="s">
        <v>1213</v>
      </c>
      <c r="D625" s="48">
        <f>DATE(YEAR(OneWeekMtgRatesDataTable756[[#This Row],[asofdate]]),MONTH(OneWeekMtgRatesDataTable756[[#This Row],[asofdate]]),DAY(OneWeekMtgRatesDataTable756[[#This Row],[asofdate]]))</f>
        <v>41677</v>
      </c>
      <c r="E625" s="48" t="s">
        <v>11</v>
      </c>
      <c r="F625" s="55">
        <v>0.1555</v>
      </c>
    </row>
    <row r="626" spans="2:6">
      <c r="B626" s="48" t="s">
        <v>20</v>
      </c>
      <c r="C626" s="48" t="s">
        <v>1212</v>
      </c>
      <c r="D626" s="48">
        <f>DATE(YEAR(OneWeekMtgRatesDataTable756[[#This Row],[asofdate]]),MONTH(OneWeekMtgRatesDataTable756[[#This Row],[asofdate]]),DAY(OneWeekMtgRatesDataTable756[[#This Row],[asofdate]]))</f>
        <v>41676</v>
      </c>
      <c r="E626" s="48" t="s">
        <v>11</v>
      </c>
      <c r="F626" s="55">
        <v>0.1565</v>
      </c>
    </row>
    <row r="627" spans="2:6">
      <c r="B627" s="48" t="s">
        <v>20</v>
      </c>
      <c r="C627" s="48" t="s">
        <v>1211</v>
      </c>
      <c r="D627" s="48">
        <f>DATE(YEAR(OneWeekMtgRatesDataTable756[[#This Row],[asofdate]]),MONTH(OneWeekMtgRatesDataTable756[[#This Row],[asofdate]]),DAY(OneWeekMtgRatesDataTable756[[#This Row],[asofdate]]))</f>
        <v>41675</v>
      </c>
      <c r="E627" s="48" t="s">
        <v>11</v>
      </c>
      <c r="F627" s="55">
        <v>0.1575</v>
      </c>
    </row>
    <row r="628" spans="2:6">
      <c r="B628" s="48" t="s">
        <v>20</v>
      </c>
      <c r="C628" s="48" t="s">
        <v>1210</v>
      </c>
      <c r="D628" s="48">
        <f>DATE(YEAR(OneWeekMtgRatesDataTable756[[#This Row],[asofdate]]),MONTH(OneWeekMtgRatesDataTable756[[#This Row],[asofdate]]),DAY(OneWeekMtgRatesDataTable756[[#This Row],[asofdate]]))</f>
        <v>41674</v>
      </c>
      <c r="E628" s="48" t="s">
        <v>11</v>
      </c>
      <c r="F628" s="55">
        <v>0.1575</v>
      </c>
    </row>
    <row r="629" spans="2:6">
      <c r="B629" s="48" t="s">
        <v>20</v>
      </c>
      <c r="C629" s="48" t="s">
        <v>1209</v>
      </c>
      <c r="D629" s="48">
        <f>DATE(YEAR(OneWeekMtgRatesDataTable756[[#This Row],[asofdate]]),MONTH(OneWeekMtgRatesDataTable756[[#This Row],[asofdate]]),DAY(OneWeekMtgRatesDataTable756[[#This Row],[asofdate]]))</f>
        <v>41673</v>
      </c>
      <c r="E629" s="48" t="s">
        <v>11</v>
      </c>
      <c r="F629" s="55">
        <v>0.15709999999999999</v>
      </c>
    </row>
    <row r="630" spans="2:6">
      <c r="B630" s="48" t="s">
        <v>20</v>
      </c>
      <c r="C630" s="48" t="s">
        <v>1208</v>
      </c>
      <c r="D630" s="48">
        <f>DATE(YEAR(OneWeekMtgRatesDataTable756[[#This Row],[asofdate]]),MONTH(OneWeekMtgRatesDataTable756[[#This Row],[asofdate]]),DAY(OneWeekMtgRatesDataTable756[[#This Row],[asofdate]]))</f>
        <v>41670</v>
      </c>
      <c r="E630" s="48" t="s">
        <v>11</v>
      </c>
      <c r="F630" s="55">
        <v>0.1565</v>
      </c>
    </row>
    <row r="631" spans="2:6">
      <c r="B631" s="48" t="s">
        <v>20</v>
      </c>
      <c r="C631" s="48" t="s">
        <v>1207</v>
      </c>
      <c r="D631" s="48">
        <f>DATE(YEAR(OneWeekMtgRatesDataTable756[[#This Row],[asofdate]]),MONTH(OneWeekMtgRatesDataTable756[[#This Row],[asofdate]]),DAY(OneWeekMtgRatesDataTable756[[#This Row],[asofdate]]))</f>
        <v>41669</v>
      </c>
      <c r="E631" s="48" t="s">
        <v>11</v>
      </c>
      <c r="F631" s="55">
        <v>0.1585</v>
      </c>
    </row>
    <row r="632" spans="2:6">
      <c r="B632" s="48" t="s">
        <v>20</v>
      </c>
      <c r="C632" s="48" t="s">
        <v>1206</v>
      </c>
      <c r="D632" s="48">
        <f>DATE(YEAR(OneWeekMtgRatesDataTable756[[#This Row],[asofdate]]),MONTH(OneWeekMtgRatesDataTable756[[#This Row],[asofdate]]),DAY(OneWeekMtgRatesDataTable756[[#This Row],[asofdate]]))</f>
        <v>41668</v>
      </c>
      <c r="E632" s="48" t="s">
        <v>11</v>
      </c>
      <c r="F632" s="55">
        <v>0.1595</v>
      </c>
    </row>
    <row r="633" spans="2:6">
      <c r="B633" s="48" t="s">
        <v>20</v>
      </c>
      <c r="C633" s="48" t="s">
        <v>1205</v>
      </c>
      <c r="D633" s="48">
        <f>DATE(YEAR(OneWeekMtgRatesDataTable756[[#This Row],[asofdate]]),MONTH(OneWeekMtgRatesDataTable756[[#This Row],[asofdate]]),DAY(OneWeekMtgRatesDataTable756[[#This Row],[asofdate]]))</f>
        <v>41667</v>
      </c>
      <c r="E633" s="48" t="s">
        <v>11</v>
      </c>
      <c r="F633" s="55">
        <v>0.159</v>
      </c>
    </row>
    <row r="634" spans="2:6">
      <c r="B634" s="48" t="s">
        <v>20</v>
      </c>
      <c r="C634" s="48" t="s">
        <v>1204</v>
      </c>
      <c r="D634" s="48">
        <f>DATE(YEAR(OneWeekMtgRatesDataTable756[[#This Row],[asofdate]]),MONTH(OneWeekMtgRatesDataTable756[[#This Row],[asofdate]]),DAY(OneWeekMtgRatesDataTable756[[#This Row],[asofdate]]))</f>
        <v>41666</v>
      </c>
      <c r="E634" s="48" t="s">
        <v>11</v>
      </c>
      <c r="F634" s="55">
        <v>0.1585</v>
      </c>
    </row>
    <row r="635" spans="2:6">
      <c r="B635" s="48" t="s">
        <v>20</v>
      </c>
      <c r="C635" s="48" t="s">
        <v>1203</v>
      </c>
      <c r="D635" s="48">
        <f>DATE(YEAR(OneWeekMtgRatesDataTable756[[#This Row],[asofdate]]),MONTH(OneWeekMtgRatesDataTable756[[#This Row],[asofdate]]),DAY(OneWeekMtgRatesDataTable756[[#This Row],[asofdate]]))</f>
        <v>41663</v>
      </c>
      <c r="E635" s="48" t="s">
        <v>11</v>
      </c>
      <c r="F635" s="55">
        <v>0.16120000000000001</v>
      </c>
    </row>
    <row r="636" spans="2:6">
      <c r="B636" s="48" t="s">
        <v>20</v>
      </c>
      <c r="C636" s="48" t="s">
        <v>1202</v>
      </c>
      <c r="D636" s="48">
        <f>DATE(YEAR(OneWeekMtgRatesDataTable756[[#This Row],[asofdate]]),MONTH(OneWeekMtgRatesDataTable756[[#This Row],[asofdate]]),DAY(OneWeekMtgRatesDataTable756[[#This Row],[asofdate]]))</f>
        <v>41662</v>
      </c>
      <c r="E636" s="48" t="s">
        <v>11</v>
      </c>
      <c r="F636" s="55">
        <v>0.158</v>
      </c>
    </row>
    <row r="637" spans="2:6">
      <c r="B637" s="48" t="s">
        <v>20</v>
      </c>
      <c r="C637" s="48" t="s">
        <v>1201</v>
      </c>
      <c r="D637" s="48">
        <f>DATE(YEAR(OneWeekMtgRatesDataTable756[[#This Row],[asofdate]]),MONTH(OneWeekMtgRatesDataTable756[[#This Row],[asofdate]]),DAY(OneWeekMtgRatesDataTable756[[#This Row],[asofdate]]))</f>
        <v>41661</v>
      </c>
      <c r="E637" s="48" t="s">
        <v>11</v>
      </c>
      <c r="F637" s="55">
        <v>0.158</v>
      </c>
    </row>
    <row r="638" spans="2:6">
      <c r="B638" s="48" t="s">
        <v>20</v>
      </c>
      <c r="C638" s="48" t="s">
        <v>1200</v>
      </c>
      <c r="D638" s="48">
        <f>DATE(YEAR(OneWeekMtgRatesDataTable756[[#This Row],[asofdate]]),MONTH(OneWeekMtgRatesDataTable756[[#This Row],[asofdate]]),DAY(OneWeekMtgRatesDataTable756[[#This Row],[asofdate]]))</f>
        <v>41660</v>
      </c>
      <c r="E638" s="48" t="s">
        <v>11</v>
      </c>
      <c r="F638" s="55">
        <v>0.157</v>
      </c>
    </row>
    <row r="639" spans="2:6">
      <c r="B639" s="48" t="s">
        <v>20</v>
      </c>
      <c r="C639" s="48" t="s">
        <v>1199</v>
      </c>
      <c r="D639" s="48">
        <f>DATE(YEAR(OneWeekMtgRatesDataTable756[[#This Row],[asofdate]]),MONTH(OneWeekMtgRatesDataTable756[[#This Row],[asofdate]]),DAY(OneWeekMtgRatesDataTable756[[#This Row],[asofdate]]))</f>
        <v>41656</v>
      </c>
      <c r="E639" s="48" t="s">
        <v>11</v>
      </c>
      <c r="F639" s="55">
        <v>0.157</v>
      </c>
    </row>
    <row r="640" spans="2:6">
      <c r="B640" s="48" t="s">
        <v>20</v>
      </c>
      <c r="C640" s="48" t="s">
        <v>1198</v>
      </c>
      <c r="D640" s="48">
        <f>DATE(YEAR(OneWeekMtgRatesDataTable756[[#This Row],[asofdate]]),MONTH(OneWeekMtgRatesDataTable756[[#This Row],[asofdate]]),DAY(OneWeekMtgRatesDataTable756[[#This Row],[asofdate]]))</f>
        <v>41655</v>
      </c>
      <c r="E640" s="48" t="s">
        <v>11</v>
      </c>
      <c r="F640" s="55">
        <v>0.157</v>
      </c>
    </row>
    <row r="641" spans="2:6">
      <c r="B641" s="48" t="s">
        <v>20</v>
      </c>
      <c r="C641" s="48" t="s">
        <v>1197</v>
      </c>
      <c r="D641" s="48">
        <f>DATE(YEAR(OneWeekMtgRatesDataTable756[[#This Row],[asofdate]]),MONTH(OneWeekMtgRatesDataTable756[[#This Row],[asofdate]]),DAY(OneWeekMtgRatesDataTable756[[#This Row],[asofdate]]))</f>
        <v>41654</v>
      </c>
      <c r="E641" s="48" t="s">
        <v>11</v>
      </c>
      <c r="F641" s="55">
        <v>0.15870000000000001</v>
      </c>
    </row>
    <row r="642" spans="2:6">
      <c r="B642" s="48" t="s">
        <v>20</v>
      </c>
      <c r="C642" s="48" t="s">
        <v>1196</v>
      </c>
      <c r="D642" s="48">
        <f>DATE(YEAR(OneWeekMtgRatesDataTable756[[#This Row],[asofdate]]),MONTH(OneWeekMtgRatesDataTable756[[#This Row],[asofdate]]),DAY(OneWeekMtgRatesDataTable756[[#This Row],[asofdate]]))</f>
        <v>41653</v>
      </c>
      <c r="E642" s="48" t="s">
        <v>11</v>
      </c>
      <c r="F642" s="55">
        <v>0.159</v>
      </c>
    </row>
    <row r="643" spans="2:6">
      <c r="B643" s="48" t="s">
        <v>20</v>
      </c>
      <c r="C643" s="48" t="s">
        <v>1195</v>
      </c>
      <c r="D643" s="48">
        <f>DATE(YEAR(OneWeekMtgRatesDataTable756[[#This Row],[asofdate]]),MONTH(OneWeekMtgRatesDataTable756[[#This Row],[asofdate]]),DAY(OneWeekMtgRatesDataTable756[[#This Row],[asofdate]]))</f>
        <v>41652</v>
      </c>
      <c r="E643" s="48" t="s">
        <v>11</v>
      </c>
      <c r="F643" s="55">
        <v>0.16</v>
      </c>
    </row>
    <row r="644" spans="2:6">
      <c r="B644" s="48" t="s">
        <v>20</v>
      </c>
      <c r="C644" s="48" t="s">
        <v>1194</v>
      </c>
      <c r="D644" s="48">
        <f>DATE(YEAR(OneWeekMtgRatesDataTable756[[#This Row],[asofdate]]),MONTH(OneWeekMtgRatesDataTable756[[#This Row],[asofdate]]),DAY(OneWeekMtgRatesDataTable756[[#This Row],[asofdate]]))</f>
        <v>41649</v>
      </c>
      <c r="E644" s="48" t="s">
        <v>11</v>
      </c>
      <c r="F644" s="55">
        <v>0.16039999999999999</v>
      </c>
    </row>
    <row r="645" spans="2:6">
      <c r="B645" s="48" t="s">
        <v>20</v>
      </c>
      <c r="C645" s="48" t="s">
        <v>1193</v>
      </c>
      <c r="D645" s="48">
        <f>DATE(YEAR(OneWeekMtgRatesDataTable756[[#This Row],[asofdate]]),MONTH(OneWeekMtgRatesDataTable756[[#This Row],[asofdate]]),DAY(OneWeekMtgRatesDataTable756[[#This Row],[asofdate]]))</f>
        <v>41648</v>
      </c>
      <c r="E645" s="48" t="s">
        <v>11</v>
      </c>
      <c r="F645" s="55">
        <v>0.1603</v>
      </c>
    </row>
    <row r="646" spans="2:6">
      <c r="B646" s="48" t="s">
        <v>20</v>
      </c>
      <c r="C646" s="48" t="s">
        <v>1192</v>
      </c>
      <c r="D646" s="48">
        <f>DATE(YEAR(OneWeekMtgRatesDataTable756[[#This Row],[asofdate]]),MONTH(OneWeekMtgRatesDataTable756[[#This Row],[asofdate]]),DAY(OneWeekMtgRatesDataTable756[[#This Row],[asofdate]]))</f>
        <v>41647</v>
      </c>
      <c r="E646" s="48" t="s">
        <v>11</v>
      </c>
      <c r="F646" s="55">
        <v>0.161</v>
      </c>
    </row>
    <row r="647" spans="2:6">
      <c r="B647" s="48" t="s">
        <v>20</v>
      </c>
      <c r="C647" s="48" t="s">
        <v>1191</v>
      </c>
      <c r="D647" s="48">
        <f>DATE(YEAR(OneWeekMtgRatesDataTable756[[#This Row],[asofdate]]),MONTH(OneWeekMtgRatesDataTable756[[#This Row],[asofdate]]),DAY(OneWeekMtgRatesDataTable756[[#This Row],[asofdate]]))</f>
        <v>41646</v>
      </c>
      <c r="E647" s="48" t="s">
        <v>11</v>
      </c>
      <c r="F647" s="55">
        <v>0.1615</v>
      </c>
    </row>
    <row r="648" spans="2:6">
      <c r="B648" s="48" t="s">
        <v>20</v>
      </c>
      <c r="C648" s="48" t="s">
        <v>1190</v>
      </c>
      <c r="D648" s="48">
        <f>DATE(YEAR(OneWeekMtgRatesDataTable756[[#This Row],[asofdate]]),MONTH(OneWeekMtgRatesDataTable756[[#This Row],[asofdate]]),DAY(OneWeekMtgRatesDataTable756[[#This Row],[asofdate]]))</f>
        <v>41645</v>
      </c>
      <c r="E648" s="48" t="s">
        <v>11</v>
      </c>
      <c r="F648" s="55">
        <v>0.16250000000000001</v>
      </c>
    </row>
    <row r="649" spans="2:6">
      <c r="B649" s="48" t="s">
        <v>20</v>
      </c>
      <c r="C649" s="48" t="s">
        <v>1189</v>
      </c>
      <c r="D649" s="48">
        <f>DATE(YEAR(OneWeekMtgRatesDataTable756[[#This Row],[asofdate]]),MONTH(OneWeekMtgRatesDataTable756[[#This Row],[asofdate]]),DAY(OneWeekMtgRatesDataTable756[[#This Row],[asofdate]]))</f>
        <v>41642</v>
      </c>
      <c r="E649" s="48" t="s">
        <v>11</v>
      </c>
      <c r="F649" s="55">
        <v>0.16470000000000001</v>
      </c>
    </row>
    <row r="650" spans="2:6">
      <c r="B650" s="48" t="s">
        <v>20</v>
      </c>
      <c r="C650" s="48" t="s">
        <v>1188</v>
      </c>
      <c r="D650" s="48">
        <f>DATE(YEAR(OneWeekMtgRatesDataTable756[[#This Row],[asofdate]]),MONTH(OneWeekMtgRatesDataTable756[[#This Row],[asofdate]]),DAY(OneWeekMtgRatesDataTable756[[#This Row],[asofdate]]))</f>
        <v>41641</v>
      </c>
      <c r="E650" s="48" t="s">
        <v>11</v>
      </c>
      <c r="F650" s="55">
        <v>0.16830000000000001</v>
      </c>
    </row>
    <row r="651" spans="2:6">
      <c r="B651" s="48" t="s">
        <v>20</v>
      </c>
      <c r="C651" s="48" t="s">
        <v>1187</v>
      </c>
      <c r="D651" s="48">
        <f>DATE(YEAR(OneWeekMtgRatesDataTable756[[#This Row],[asofdate]]),MONTH(OneWeekMtgRatesDataTable756[[#This Row],[asofdate]]),DAY(OneWeekMtgRatesDataTable756[[#This Row],[asofdate]]))</f>
        <v>41639</v>
      </c>
      <c r="E651" s="48" t="s">
        <v>11</v>
      </c>
      <c r="F651" s="55">
        <v>0.16769999999999999</v>
      </c>
    </row>
    <row r="652" spans="2:6">
      <c r="B652" s="48" t="s">
        <v>20</v>
      </c>
      <c r="C652" s="48" t="s">
        <v>1186</v>
      </c>
      <c r="D652" s="48">
        <f>DATE(YEAR(OneWeekMtgRatesDataTable756[[#This Row],[asofdate]]),MONTH(OneWeekMtgRatesDataTable756[[#This Row],[asofdate]]),DAY(OneWeekMtgRatesDataTable756[[#This Row],[asofdate]]))</f>
        <v>41638</v>
      </c>
      <c r="E652" s="48" t="s">
        <v>11</v>
      </c>
      <c r="F652" s="55">
        <v>0.17019999999999999</v>
      </c>
    </row>
    <row r="653" spans="2:6">
      <c r="B653" s="48" t="s">
        <v>20</v>
      </c>
      <c r="C653" s="48" t="s">
        <v>1185</v>
      </c>
      <c r="D653" s="48">
        <f>DATE(YEAR(OneWeekMtgRatesDataTable756[[#This Row],[asofdate]]),MONTH(OneWeekMtgRatesDataTable756[[#This Row],[asofdate]]),DAY(OneWeekMtgRatesDataTable756[[#This Row],[asofdate]]))</f>
        <v>41635</v>
      </c>
      <c r="E653" s="48" t="s">
        <v>11</v>
      </c>
      <c r="F653" s="55">
        <v>0.16900000000000001</v>
      </c>
    </row>
    <row r="654" spans="2:6">
      <c r="B654" s="48" t="s">
        <v>20</v>
      </c>
      <c r="C654" s="48" t="s">
        <v>1184</v>
      </c>
      <c r="D654" s="48">
        <f>DATE(YEAR(OneWeekMtgRatesDataTable756[[#This Row],[asofdate]]),MONTH(OneWeekMtgRatesDataTable756[[#This Row],[asofdate]]),DAY(OneWeekMtgRatesDataTable756[[#This Row],[asofdate]]))</f>
        <v>41634</v>
      </c>
      <c r="E654" s="48" t="s">
        <v>11</v>
      </c>
      <c r="F654" s="55">
        <v>0.16700000000000001</v>
      </c>
    </row>
    <row r="655" spans="2:6">
      <c r="B655" s="48" t="s">
        <v>20</v>
      </c>
      <c r="C655" s="48" t="s">
        <v>1183</v>
      </c>
      <c r="D655" s="48">
        <f>DATE(YEAR(OneWeekMtgRatesDataTable756[[#This Row],[asofdate]]),MONTH(OneWeekMtgRatesDataTable756[[#This Row],[asofdate]]),DAY(OneWeekMtgRatesDataTable756[[#This Row],[asofdate]]))</f>
        <v>41632</v>
      </c>
      <c r="E655" s="48" t="s">
        <v>11</v>
      </c>
      <c r="F655" s="55">
        <v>0.16700000000000001</v>
      </c>
    </row>
    <row r="656" spans="2:6">
      <c r="B656" s="48" t="s">
        <v>20</v>
      </c>
      <c r="C656" s="48" t="s">
        <v>1182</v>
      </c>
      <c r="D656" s="48">
        <f>DATE(YEAR(OneWeekMtgRatesDataTable756[[#This Row],[asofdate]]),MONTH(OneWeekMtgRatesDataTable756[[#This Row],[asofdate]]),DAY(OneWeekMtgRatesDataTable756[[#This Row],[asofdate]]))</f>
        <v>41631</v>
      </c>
      <c r="E656" s="48" t="s">
        <v>11</v>
      </c>
      <c r="F656" s="55">
        <v>0.1646</v>
      </c>
    </row>
    <row r="657" spans="2:6">
      <c r="B657" s="48" t="s">
        <v>20</v>
      </c>
      <c r="C657" s="48" t="s">
        <v>1181</v>
      </c>
      <c r="D657" s="48">
        <f>DATE(YEAR(OneWeekMtgRatesDataTable756[[#This Row],[asofdate]]),MONTH(OneWeekMtgRatesDataTable756[[#This Row],[asofdate]]),DAY(OneWeekMtgRatesDataTable756[[#This Row],[asofdate]]))</f>
        <v>41628</v>
      </c>
      <c r="E657" s="48" t="s">
        <v>11</v>
      </c>
      <c r="F657" s="55">
        <v>0.16400000000000001</v>
      </c>
    </row>
    <row r="658" spans="2:6">
      <c r="B658" s="48" t="s">
        <v>20</v>
      </c>
      <c r="C658" s="48" t="s">
        <v>1180</v>
      </c>
      <c r="D658" s="48">
        <f>DATE(YEAR(OneWeekMtgRatesDataTable756[[#This Row],[asofdate]]),MONTH(OneWeekMtgRatesDataTable756[[#This Row],[asofdate]]),DAY(OneWeekMtgRatesDataTable756[[#This Row],[asofdate]]))</f>
        <v>41627</v>
      </c>
      <c r="E658" s="48" t="s">
        <v>11</v>
      </c>
      <c r="F658" s="55">
        <v>0.16450000000000001</v>
      </c>
    </row>
    <row r="659" spans="2:6">
      <c r="B659" s="48" t="s">
        <v>20</v>
      </c>
      <c r="C659" s="48" t="s">
        <v>1179</v>
      </c>
      <c r="D659" s="48">
        <f>DATE(YEAR(OneWeekMtgRatesDataTable756[[#This Row],[asofdate]]),MONTH(OneWeekMtgRatesDataTable756[[#This Row],[asofdate]]),DAY(OneWeekMtgRatesDataTable756[[#This Row],[asofdate]]))</f>
        <v>41626</v>
      </c>
      <c r="E659" s="48" t="s">
        <v>11</v>
      </c>
      <c r="F659" s="55">
        <v>0.1668</v>
      </c>
    </row>
    <row r="660" spans="2:6">
      <c r="B660" s="48" t="s">
        <v>20</v>
      </c>
      <c r="C660" s="48" t="s">
        <v>1178</v>
      </c>
      <c r="D660" s="48">
        <f>DATE(YEAR(OneWeekMtgRatesDataTable756[[#This Row],[asofdate]]),MONTH(OneWeekMtgRatesDataTable756[[#This Row],[asofdate]]),DAY(OneWeekMtgRatesDataTable756[[#This Row],[asofdate]]))</f>
        <v>41625</v>
      </c>
      <c r="E660" s="48" t="s">
        <v>11</v>
      </c>
      <c r="F660" s="55">
        <v>0.1663</v>
      </c>
    </row>
    <row r="661" spans="2:6">
      <c r="B661" s="48" t="s">
        <v>20</v>
      </c>
      <c r="C661" s="48" t="s">
        <v>1177</v>
      </c>
      <c r="D661" s="48">
        <f>DATE(YEAR(OneWeekMtgRatesDataTable756[[#This Row],[asofdate]]),MONTH(OneWeekMtgRatesDataTable756[[#This Row],[asofdate]]),DAY(OneWeekMtgRatesDataTable756[[#This Row],[asofdate]]))</f>
        <v>41624</v>
      </c>
      <c r="E661" s="48" t="s">
        <v>11</v>
      </c>
      <c r="F661" s="55">
        <v>0.16500000000000001</v>
      </c>
    </row>
    <row r="662" spans="2:6">
      <c r="B662" s="48" t="s">
        <v>20</v>
      </c>
      <c r="C662" s="48" t="s">
        <v>1176</v>
      </c>
      <c r="D662" s="48">
        <f>DATE(YEAR(OneWeekMtgRatesDataTable756[[#This Row],[asofdate]]),MONTH(OneWeekMtgRatesDataTable756[[#This Row],[asofdate]]),DAY(OneWeekMtgRatesDataTable756[[#This Row],[asofdate]]))</f>
        <v>41621</v>
      </c>
      <c r="E662" s="48" t="s">
        <v>11</v>
      </c>
      <c r="F662" s="55">
        <v>0.16400000000000001</v>
      </c>
    </row>
    <row r="663" spans="2:6">
      <c r="B663" s="48" t="s">
        <v>20</v>
      </c>
      <c r="C663" s="48" t="s">
        <v>1175</v>
      </c>
      <c r="D663" s="48">
        <f>DATE(YEAR(OneWeekMtgRatesDataTable756[[#This Row],[asofdate]]),MONTH(OneWeekMtgRatesDataTable756[[#This Row],[asofdate]]),DAY(OneWeekMtgRatesDataTable756[[#This Row],[asofdate]]))</f>
        <v>41620</v>
      </c>
      <c r="E663" s="48" t="s">
        <v>11</v>
      </c>
      <c r="F663" s="55">
        <v>0.1666</v>
      </c>
    </row>
    <row r="664" spans="2:6">
      <c r="B664" s="48" t="s">
        <v>20</v>
      </c>
      <c r="C664" s="48" t="s">
        <v>1174</v>
      </c>
      <c r="D664" s="48">
        <f>DATE(YEAR(OneWeekMtgRatesDataTable756[[#This Row],[asofdate]]),MONTH(OneWeekMtgRatesDataTable756[[#This Row],[asofdate]]),DAY(OneWeekMtgRatesDataTable756[[#This Row],[asofdate]]))</f>
        <v>41619</v>
      </c>
      <c r="E664" s="48" t="s">
        <v>11</v>
      </c>
      <c r="F664" s="55">
        <v>0.16735</v>
      </c>
    </row>
    <row r="665" spans="2:6">
      <c r="B665" s="48" t="s">
        <v>20</v>
      </c>
      <c r="C665" s="48" t="s">
        <v>1173</v>
      </c>
      <c r="D665" s="48">
        <f>DATE(YEAR(OneWeekMtgRatesDataTable756[[#This Row],[asofdate]]),MONTH(OneWeekMtgRatesDataTable756[[#This Row],[asofdate]]),DAY(OneWeekMtgRatesDataTable756[[#This Row],[asofdate]]))</f>
        <v>41618</v>
      </c>
      <c r="E665" s="48" t="s">
        <v>11</v>
      </c>
      <c r="F665" s="55">
        <v>0.16935</v>
      </c>
    </row>
    <row r="666" spans="2:6">
      <c r="B666" s="48" t="s">
        <v>20</v>
      </c>
      <c r="C666" s="48" t="s">
        <v>1172</v>
      </c>
      <c r="D666" s="48">
        <f>DATE(YEAR(OneWeekMtgRatesDataTable756[[#This Row],[asofdate]]),MONTH(OneWeekMtgRatesDataTable756[[#This Row],[asofdate]]),DAY(OneWeekMtgRatesDataTable756[[#This Row],[asofdate]]))</f>
        <v>41617</v>
      </c>
      <c r="E666" s="48" t="s">
        <v>11</v>
      </c>
      <c r="F666" s="55">
        <v>0.1706</v>
      </c>
    </row>
    <row r="667" spans="2:6">
      <c r="B667" s="48" t="s">
        <v>20</v>
      </c>
      <c r="C667" s="48" t="s">
        <v>1171</v>
      </c>
      <c r="D667" s="48">
        <f>DATE(YEAR(OneWeekMtgRatesDataTable756[[#This Row],[asofdate]]),MONTH(OneWeekMtgRatesDataTable756[[#This Row],[asofdate]]),DAY(OneWeekMtgRatesDataTable756[[#This Row],[asofdate]]))</f>
        <v>41614</v>
      </c>
      <c r="E667" s="48" t="s">
        <v>11</v>
      </c>
      <c r="F667" s="55">
        <v>0.16950000000000001</v>
      </c>
    </row>
    <row r="668" spans="2:6">
      <c r="B668" s="48" t="s">
        <v>20</v>
      </c>
      <c r="C668" s="48" t="s">
        <v>1170</v>
      </c>
      <c r="D668" s="48">
        <f>DATE(YEAR(OneWeekMtgRatesDataTable756[[#This Row],[asofdate]]),MONTH(OneWeekMtgRatesDataTable756[[#This Row],[asofdate]]),DAY(OneWeekMtgRatesDataTable756[[#This Row],[asofdate]]))</f>
        <v>41613</v>
      </c>
      <c r="E668" s="48" t="s">
        <v>11</v>
      </c>
      <c r="F668" s="55">
        <v>0.16785</v>
      </c>
    </row>
    <row r="669" spans="2:6">
      <c r="B669" s="48" t="s">
        <v>20</v>
      </c>
      <c r="C669" s="48" t="s">
        <v>1169</v>
      </c>
      <c r="D669" s="48">
        <f>DATE(YEAR(OneWeekMtgRatesDataTable756[[#This Row],[asofdate]]),MONTH(OneWeekMtgRatesDataTable756[[#This Row],[asofdate]]),DAY(OneWeekMtgRatesDataTable756[[#This Row],[asofdate]]))</f>
        <v>41612</v>
      </c>
      <c r="E669" s="48" t="s">
        <v>11</v>
      </c>
      <c r="F669" s="55">
        <v>0.16850000000000001</v>
      </c>
    </row>
    <row r="670" spans="2:6">
      <c r="B670" s="48" t="s">
        <v>20</v>
      </c>
      <c r="C670" s="48" t="s">
        <v>1168</v>
      </c>
      <c r="D670" s="48">
        <f>DATE(YEAR(OneWeekMtgRatesDataTable756[[#This Row],[asofdate]]),MONTH(OneWeekMtgRatesDataTable756[[#This Row],[asofdate]]),DAY(OneWeekMtgRatesDataTable756[[#This Row],[asofdate]]))</f>
        <v>41611</v>
      </c>
      <c r="E670" s="48" t="s">
        <v>11</v>
      </c>
      <c r="F670" s="55">
        <v>0.16750000000000001</v>
      </c>
    </row>
    <row r="671" spans="2:6">
      <c r="B671" s="48" t="s">
        <v>20</v>
      </c>
      <c r="C671" s="48" t="s">
        <v>1167</v>
      </c>
      <c r="D671" s="48">
        <f>DATE(YEAR(OneWeekMtgRatesDataTable756[[#This Row],[asofdate]]),MONTH(OneWeekMtgRatesDataTable756[[#This Row],[asofdate]]),DAY(OneWeekMtgRatesDataTable756[[#This Row],[asofdate]]))</f>
        <v>41610</v>
      </c>
      <c r="E671" s="48" t="s">
        <v>11</v>
      </c>
      <c r="F671" s="55">
        <v>0.16825000000000001</v>
      </c>
    </row>
    <row r="672" spans="2:6">
      <c r="B672" s="48" t="s">
        <v>20</v>
      </c>
      <c r="C672" s="48" t="s">
        <v>1166</v>
      </c>
      <c r="D672" s="48">
        <f>DATE(YEAR(OneWeekMtgRatesDataTable756[[#This Row],[asofdate]]),MONTH(OneWeekMtgRatesDataTable756[[#This Row],[asofdate]]),DAY(OneWeekMtgRatesDataTable756[[#This Row],[asofdate]]))</f>
        <v>41607</v>
      </c>
      <c r="E672" s="48" t="s">
        <v>11</v>
      </c>
      <c r="F672" s="55">
        <v>0.16825000000000001</v>
      </c>
    </row>
    <row r="673" spans="2:6">
      <c r="B673" s="48" t="s">
        <v>20</v>
      </c>
      <c r="C673" s="48" t="s">
        <v>1165</v>
      </c>
      <c r="D673" s="48">
        <f>DATE(YEAR(OneWeekMtgRatesDataTable756[[#This Row],[asofdate]]),MONTH(OneWeekMtgRatesDataTable756[[#This Row],[asofdate]]),DAY(OneWeekMtgRatesDataTable756[[#This Row],[asofdate]]))</f>
        <v>41605</v>
      </c>
      <c r="E673" s="48" t="s">
        <v>11</v>
      </c>
      <c r="F673" s="55">
        <v>0.16500000000000001</v>
      </c>
    </row>
    <row r="674" spans="2:6">
      <c r="B674" s="48" t="s">
        <v>20</v>
      </c>
      <c r="C674" s="48" t="s">
        <v>1164</v>
      </c>
      <c r="D674" s="48">
        <f>DATE(YEAR(OneWeekMtgRatesDataTable756[[#This Row],[asofdate]]),MONTH(OneWeekMtgRatesDataTable756[[#This Row],[asofdate]]),DAY(OneWeekMtgRatesDataTable756[[#This Row],[asofdate]]))</f>
        <v>41604</v>
      </c>
      <c r="E674" s="48" t="s">
        <v>11</v>
      </c>
      <c r="F674" s="55">
        <v>0.16400000000000001</v>
      </c>
    </row>
    <row r="675" spans="2:6">
      <c r="B675" s="48" t="s">
        <v>20</v>
      </c>
      <c r="C675" s="48" t="s">
        <v>1163</v>
      </c>
      <c r="D675" s="48">
        <f>DATE(YEAR(OneWeekMtgRatesDataTable756[[#This Row],[asofdate]]),MONTH(OneWeekMtgRatesDataTable756[[#This Row],[asofdate]]),DAY(OneWeekMtgRatesDataTable756[[#This Row],[asofdate]]))</f>
        <v>41603</v>
      </c>
      <c r="E675" s="48" t="s">
        <v>11</v>
      </c>
      <c r="F675" s="55">
        <v>0.16400000000000001</v>
      </c>
    </row>
    <row r="676" spans="2:6">
      <c r="B676" s="48" t="s">
        <v>20</v>
      </c>
      <c r="C676" s="48" t="s">
        <v>1162</v>
      </c>
      <c r="D676" s="48">
        <f>DATE(YEAR(OneWeekMtgRatesDataTable756[[#This Row],[asofdate]]),MONTH(OneWeekMtgRatesDataTable756[[#This Row],[asofdate]]),DAY(OneWeekMtgRatesDataTable756[[#This Row],[asofdate]]))</f>
        <v>41600</v>
      </c>
      <c r="E676" s="48" t="s">
        <v>11</v>
      </c>
      <c r="F676" s="55">
        <v>0.16550000000000001</v>
      </c>
    </row>
    <row r="677" spans="2:6">
      <c r="B677" s="48" t="s">
        <v>20</v>
      </c>
      <c r="C677" s="48" t="s">
        <v>1161</v>
      </c>
      <c r="D677" s="48">
        <f>DATE(YEAR(OneWeekMtgRatesDataTable756[[#This Row],[asofdate]]),MONTH(OneWeekMtgRatesDataTable756[[#This Row],[asofdate]]),DAY(OneWeekMtgRatesDataTable756[[#This Row],[asofdate]]))</f>
        <v>41599</v>
      </c>
      <c r="E677" s="48" t="s">
        <v>11</v>
      </c>
      <c r="F677" s="55">
        <v>0.16600000000000001</v>
      </c>
    </row>
    <row r="678" spans="2:6">
      <c r="B678" s="48" t="s">
        <v>20</v>
      </c>
      <c r="C678" s="48" t="s">
        <v>1160</v>
      </c>
      <c r="D678" s="48">
        <f>DATE(YEAR(OneWeekMtgRatesDataTable756[[#This Row],[asofdate]]),MONTH(OneWeekMtgRatesDataTable756[[#This Row],[asofdate]]),DAY(OneWeekMtgRatesDataTable756[[#This Row],[asofdate]]))</f>
        <v>41598</v>
      </c>
      <c r="E678" s="48" t="s">
        <v>11</v>
      </c>
      <c r="F678" s="55">
        <v>0.16650000000000001</v>
      </c>
    </row>
    <row r="679" spans="2:6">
      <c r="B679" s="48" t="s">
        <v>20</v>
      </c>
      <c r="C679" s="48" t="s">
        <v>1159</v>
      </c>
      <c r="D679" s="48">
        <f>DATE(YEAR(OneWeekMtgRatesDataTable756[[#This Row],[asofdate]]),MONTH(OneWeekMtgRatesDataTable756[[#This Row],[asofdate]]),DAY(OneWeekMtgRatesDataTable756[[#This Row],[asofdate]]))</f>
        <v>41597</v>
      </c>
      <c r="E679" s="48" t="s">
        <v>11</v>
      </c>
      <c r="F679" s="55">
        <v>0.16700000000000001</v>
      </c>
    </row>
    <row r="680" spans="2:6">
      <c r="B680" s="48" t="s">
        <v>20</v>
      </c>
      <c r="C680" s="48" t="s">
        <v>1158</v>
      </c>
      <c r="D680" s="48">
        <f>DATE(YEAR(OneWeekMtgRatesDataTable756[[#This Row],[asofdate]]),MONTH(OneWeekMtgRatesDataTable756[[#This Row],[asofdate]]),DAY(OneWeekMtgRatesDataTable756[[#This Row],[asofdate]]))</f>
        <v>41596</v>
      </c>
      <c r="E680" s="48" t="s">
        <v>11</v>
      </c>
      <c r="F680" s="55">
        <v>0.16800000000000001</v>
      </c>
    </row>
    <row r="681" spans="2:6">
      <c r="B681" s="48" t="s">
        <v>20</v>
      </c>
      <c r="C681" s="48" t="s">
        <v>1157</v>
      </c>
      <c r="D681" s="48">
        <f>DATE(YEAR(OneWeekMtgRatesDataTable756[[#This Row],[asofdate]]),MONTH(OneWeekMtgRatesDataTable756[[#This Row],[asofdate]]),DAY(OneWeekMtgRatesDataTable756[[#This Row],[asofdate]]))</f>
        <v>41593</v>
      </c>
      <c r="E681" s="48" t="s">
        <v>11</v>
      </c>
      <c r="F681" s="55">
        <v>0.16750000000000001</v>
      </c>
    </row>
    <row r="682" spans="2:6">
      <c r="B682" s="48" t="s">
        <v>20</v>
      </c>
      <c r="C682" s="48" t="s">
        <v>1156</v>
      </c>
      <c r="D682" s="48">
        <f>DATE(YEAR(OneWeekMtgRatesDataTable756[[#This Row],[asofdate]]),MONTH(OneWeekMtgRatesDataTable756[[#This Row],[asofdate]]),DAY(OneWeekMtgRatesDataTable756[[#This Row],[asofdate]]))</f>
        <v>41592</v>
      </c>
      <c r="E682" s="48" t="s">
        <v>11</v>
      </c>
      <c r="F682" s="55">
        <v>0.16750000000000001</v>
      </c>
    </row>
    <row r="683" spans="2:6">
      <c r="B683" s="48" t="s">
        <v>20</v>
      </c>
      <c r="C683" s="48" t="s">
        <v>1155</v>
      </c>
      <c r="D683" s="48">
        <f>DATE(YEAR(OneWeekMtgRatesDataTable756[[#This Row],[asofdate]]),MONTH(OneWeekMtgRatesDataTable756[[#This Row],[asofdate]]),DAY(OneWeekMtgRatesDataTable756[[#This Row],[asofdate]]))</f>
        <v>41591</v>
      </c>
      <c r="E683" s="48" t="s">
        <v>11</v>
      </c>
      <c r="F683" s="55">
        <v>0.16769999999999999</v>
      </c>
    </row>
    <row r="684" spans="2:6">
      <c r="B684" s="48" t="s">
        <v>20</v>
      </c>
      <c r="C684" s="48" t="s">
        <v>1154</v>
      </c>
      <c r="D684" s="48">
        <f>DATE(YEAR(OneWeekMtgRatesDataTable756[[#This Row],[asofdate]]),MONTH(OneWeekMtgRatesDataTable756[[#This Row],[asofdate]]),DAY(OneWeekMtgRatesDataTable756[[#This Row],[asofdate]]))</f>
        <v>41590</v>
      </c>
      <c r="E684" s="48" t="s">
        <v>11</v>
      </c>
      <c r="F684" s="55">
        <v>0.16850000000000001</v>
      </c>
    </row>
    <row r="685" spans="2:6">
      <c r="B685" s="48" t="s">
        <v>20</v>
      </c>
      <c r="C685" s="48" t="s">
        <v>1153</v>
      </c>
      <c r="D685" s="48">
        <f>DATE(YEAR(OneWeekMtgRatesDataTable756[[#This Row],[asofdate]]),MONTH(OneWeekMtgRatesDataTable756[[#This Row],[asofdate]]),DAY(OneWeekMtgRatesDataTable756[[#This Row],[asofdate]]))</f>
        <v>41586</v>
      </c>
      <c r="E685" s="48" t="s">
        <v>11</v>
      </c>
      <c r="F685" s="55">
        <v>0.16850000000000001</v>
      </c>
    </row>
    <row r="686" spans="2:6">
      <c r="B686" s="48" t="s">
        <v>20</v>
      </c>
      <c r="C686" s="48" t="s">
        <v>1152</v>
      </c>
      <c r="D686" s="48">
        <f>DATE(YEAR(OneWeekMtgRatesDataTable756[[#This Row],[asofdate]]),MONTH(OneWeekMtgRatesDataTable756[[#This Row],[asofdate]]),DAY(OneWeekMtgRatesDataTable756[[#This Row],[asofdate]]))</f>
        <v>41585</v>
      </c>
      <c r="E686" s="48" t="s">
        <v>11</v>
      </c>
      <c r="F686" s="55">
        <v>0.16750000000000001</v>
      </c>
    </row>
    <row r="687" spans="2:6">
      <c r="B687" s="48" t="s">
        <v>20</v>
      </c>
      <c r="C687" s="48" t="s">
        <v>1151</v>
      </c>
      <c r="D687" s="48">
        <f>DATE(YEAR(OneWeekMtgRatesDataTable756[[#This Row],[asofdate]]),MONTH(OneWeekMtgRatesDataTable756[[#This Row],[asofdate]]),DAY(OneWeekMtgRatesDataTable756[[#This Row],[asofdate]]))</f>
        <v>41584</v>
      </c>
      <c r="E687" s="48" t="s">
        <v>11</v>
      </c>
      <c r="F687" s="55">
        <v>0.16850000000000001</v>
      </c>
    </row>
    <row r="688" spans="2:6">
      <c r="B688" s="48" t="s">
        <v>20</v>
      </c>
      <c r="C688" s="48" t="s">
        <v>1150</v>
      </c>
      <c r="D688" s="48">
        <f>DATE(YEAR(OneWeekMtgRatesDataTable756[[#This Row],[asofdate]]),MONTH(OneWeekMtgRatesDataTable756[[#This Row],[asofdate]]),DAY(OneWeekMtgRatesDataTable756[[#This Row],[asofdate]]))</f>
        <v>41583</v>
      </c>
      <c r="E688" s="48" t="s">
        <v>11</v>
      </c>
      <c r="F688" s="55">
        <v>0.16850000000000001</v>
      </c>
    </row>
    <row r="689" spans="2:6">
      <c r="B689" s="48" t="s">
        <v>20</v>
      </c>
      <c r="C689" s="48" t="s">
        <v>1149</v>
      </c>
      <c r="D689" s="48">
        <f>DATE(YEAR(OneWeekMtgRatesDataTable756[[#This Row],[asofdate]]),MONTH(OneWeekMtgRatesDataTable756[[#This Row],[asofdate]]),DAY(OneWeekMtgRatesDataTable756[[#This Row],[asofdate]]))</f>
        <v>41582</v>
      </c>
      <c r="E689" s="48" t="s">
        <v>11</v>
      </c>
      <c r="F689" s="55">
        <v>0.16850000000000001</v>
      </c>
    </row>
    <row r="690" spans="2:6">
      <c r="B690" s="48" t="s">
        <v>20</v>
      </c>
      <c r="C690" s="48" t="s">
        <v>1148</v>
      </c>
      <c r="D690" s="48">
        <f>DATE(YEAR(OneWeekMtgRatesDataTable756[[#This Row],[asofdate]]),MONTH(OneWeekMtgRatesDataTable756[[#This Row],[asofdate]]),DAY(OneWeekMtgRatesDataTable756[[#This Row],[asofdate]]))</f>
        <v>41579</v>
      </c>
      <c r="E690" s="48" t="s">
        <v>11</v>
      </c>
      <c r="F690" s="55">
        <v>0.16850000000000001</v>
      </c>
    </row>
    <row r="691" spans="2:6">
      <c r="B691" s="48" t="s">
        <v>20</v>
      </c>
      <c r="C691" s="48" t="s">
        <v>1147</v>
      </c>
      <c r="D691" s="48">
        <f>DATE(YEAR(OneWeekMtgRatesDataTable756[[#This Row],[asofdate]]),MONTH(OneWeekMtgRatesDataTable756[[#This Row],[asofdate]]),DAY(OneWeekMtgRatesDataTable756[[#This Row],[asofdate]]))</f>
        <v>41578</v>
      </c>
      <c r="E691" s="48" t="s">
        <v>11</v>
      </c>
      <c r="F691" s="55">
        <v>0.16800000000000001</v>
      </c>
    </row>
    <row r="692" spans="2:6">
      <c r="B692" s="48" t="s">
        <v>20</v>
      </c>
      <c r="C692" s="48" t="s">
        <v>1146</v>
      </c>
      <c r="D692" s="48">
        <f>DATE(YEAR(OneWeekMtgRatesDataTable756[[#This Row],[asofdate]]),MONTH(OneWeekMtgRatesDataTable756[[#This Row],[asofdate]]),DAY(OneWeekMtgRatesDataTable756[[#This Row],[asofdate]]))</f>
        <v>41577</v>
      </c>
      <c r="E692" s="48" t="s">
        <v>11</v>
      </c>
      <c r="F692" s="55">
        <v>0.16800000000000001</v>
      </c>
    </row>
    <row r="693" spans="2:6">
      <c r="B693" s="48" t="s">
        <v>20</v>
      </c>
      <c r="C693" s="48" t="s">
        <v>1145</v>
      </c>
      <c r="D693" s="48">
        <f>DATE(YEAR(OneWeekMtgRatesDataTable756[[#This Row],[asofdate]]),MONTH(OneWeekMtgRatesDataTable756[[#This Row],[asofdate]]),DAY(OneWeekMtgRatesDataTable756[[#This Row],[asofdate]]))</f>
        <v>41576</v>
      </c>
      <c r="E693" s="48" t="s">
        <v>11</v>
      </c>
      <c r="F693" s="55">
        <v>0.16800000000000001</v>
      </c>
    </row>
    <row r="694" spans="2:6">
      <c r="B694" s="48" t="s">
        <v>20</v>
      </c>
      <c r="C694" s="48" t="s">
        <v>1144</v>
      </c>
      <c r="D694" s="48">
        <f>DATE(YEAR(OneWeekMtgRatesDataTable756[[#This Row],[asofdate]]),MONTH(OneWeekMtgRatesDataTable756[[#This Row],[asofdate]]),DAY(OneWeekMtgRatesDataTable756[[#This Row],[asofdate]]))</f>
        <v>41575</v>
      </c>
      <c r="E694" s="48" t="s">
        <v>11</v>
      </c>
      <c r="F694" s="55">
        <v>0.1681</v>
      </c>
    </row>
    <row r="695" spans="2:6">
      <c r="B695" s="48" t="s">
        <v>20</v>
      </c>
      <c r="C695" s="48" t="s">
        <v>1143</v>
      </c>
      <c r="D695" s="48">
        <f>DATE(YEAR(OneWeekMtgRatesDataTable756[[#This Row],[asofdate]]),MONTH(OneWeekMtgRatesDataTable756[[#This Row],[asofdate]]),DAY(OneWeekMtgRatesDataTable756[[#This Row],[asofdate]]))</f>
        <v>41572</v>
      </c>
      <c r="E695" s="48" t="s">
        <v>11</v>
      </c>
      <c r="F695" s="55">
        <v>0.1686</v>
      </c>
    </row>
    <row r="696" spans="2:6">
      <c r="B696" s="48" t="s">
        <v>20</v>
      </c>
      <c r="C696" s="48" t="s">
        <v>1142</v>
      </c>
      <c r="D696" s="48">
        <f>DATE(YEAR(OneWeekMtgRatesDataTable756[[#This Row],[asofdate]]),MONTH(OneWeekMtgRatesDataTable756[[#This Row],[asofdate]]),DAY(OneWeekMtgRatesDataTable756[[#This Row],[asofdate]]))</f>
        <v>41571</v>
      </c>
      <c r="E696" s="48" t="s">
        <v>11</v>
      </c>
      <c r="F696" s="55">
        <v>0.17100000000000001</v>
      </c>
    </row>
    <row r="697" spans="2:6">
      <c r="B697" s="48" t="s">
        <v>20</v>
      </c>
      <c r="C697" s="48" t="s">
        <v>1141</v>
      </c>
      <c r="D697" s="48">
        <f>DATE(YEAR(OneWeekMtgRatesDataTable756[[#This Row],[asofdate]]),MONTH(OneWeekMtgRatesDataTable756[[#This Row],[asofdate]]),DAY(OneWeekMtgRatesDataTable756[[#This Row],[asofdate]]))</f>
        <v>41570</v>
      </c>
      <c r="E697" s="48" t="s">
        <v>11</v>
      </c>
      <c r="F697" s="55">
        <v>0.17019999999999999</v>
      </c>
    </row>
    <row r="698" spans="2:6">
      <c r="B698" s="48" t="s">
        <v>20</v>
      </c>
      <c r="C698" s="48" t="s">
        <v>1140</v>
      </c>
      <c r="D698" s="48">
        <f>DATE(YEAR(OneWeekMtgRatesDataTable756[[#This Row],[asofdate]]),MONTH(OneWeekMtgRatesDataTable756[[#This Row],[asofdate]]),DAY(OneWeekMtgRatesDataTable756[[#This Row],[asofdate]]))</f>
        <v>41569</v>
      </c>
      <c r="E698" s="48" t="s">
        <v>11</v>
      </c>
      <c r="F698" s="55">
        <v>0.17</v>
      </c>
    </row>
    <row r="699" spans="2:6">
      <c r="B699" s="48" t="s">
        <v>20</v>
      </c>
      <c r="C699" s="48" t="s">
        <v>1139</v>
      </c>
      <c r="D699" s="48">
        <f>DATE(YEAR(OneWeekMtgRatesDataTable756[[#This Row],[asofdate]]),MONTH(OneWeekMtgRatesDataTable756[[#This Row],[asofdate]]),DAY(OneWeekMtgRatesDataTable756[[#This Row],[asofdate]]))</f>
        <v>41568</v>
      </c>
      <c r="E699" s="48" t="s">
        <v>11</v>
      </c>
      <c r="F699" s="55">
        <v>0.17</v>
      </c>
    </row>
    <row r="700" spans="2:6">
      <c r="B700" s="48" t="s">
        <v>20</v>
      </c>
      <c r="C700" s="48" t="s">
        <v>1138</v>
      </c>
      <c r="D700" s="48">
        <f>DATE(YEAR(OneWeekMtgRatesDataTable756[[#This Row],[asofdate]]),MONTH(OneWeekMtgRatesDataTable756[[#This Row],[asofdate]]),DAY(OneWeekMtgRatesDataTable756[[#This Row],[asofdate]]))</f>
        <v>41565</v>
      </c>
      <c r="E700" s="48" t="s">
        <v>11</v>
      </c>
      <c r="F700" s="55">
        <v>0.17199999999999999</v>
      </c>
    </row>
    <row r="701" spans="2:6">
      <c r="B701" s="48" t="s">
        <v>20</v>
      </c>
      <c r="C701" s="48" t="s">
        <v>1137</v>
      </c>
      <c r="D701" s="48">
        <f>DATE(YEAR(OneWeekMtgRatesDataTable756[[#This Row],[asofdate]]),MONTH(OneWeekMtgRatesDataTable756[[#This Row],[asofdate]]),DAY(OneWeekMtgRatesDataTable756[[#This Row],[asofdate]]))</f>
        <v>41564</v>
      </c>
      <c r="E701" s="48" t="s">
        <v>11</v>
      </c>
      <c r="F701" s="55">
        <v>0.17249999999999999</v>
      </c>
    </row>
    <row r="702" spans="2:6">
      <c r="B702" s="48" t="s">
        <v>20</v>
      </c>
      <c r="C702" s="48" t="s">
        <v>1136</v>
      </c>
      <c r="D702" s="48">
        <f>DATE(YEAR(OneWeekMtgRatesDataTable756[[#This Row],[asofdate]]),MONTH(OneWeekMtgRatesDataTable756[[#This Row],[asofdate]]),DAY(OneWeekMtgRatesDataTable756[[#This Row],[asofdate]]))</f>
        <v>41563</v>
      </c>
      <c r="E702" s="48" t="s">
        <v>11</v>
      </c>
      <c r="F702" s="55">
        <v>0.17549999999999999</v>
      </c>
    </row>
    <row r="703" spans="2:6">
      <c r="B703" s="48" t="s">
        <v>20</v>
      </c>
      <c r="C703" s="48" t="s">
        <v>1135</v>
      </c>
      <c r="D703" s="48">
        <f>DATE(YEAR(OneWeekMtgRatesDataTable756[[#This Row],[asofdate]]),MONTH(OneWeekMtgRatesDataTable756[[#This Row],[asofdate]]),DAY(OneWeekMtgRatesDataTable756[[#This Row],[asofdate]]))</f>
        <v>41562</v>
      </c>
      <c r="E703" s="48" t="s">
        <v>11</v>
      </c>
      <c r="F703" s="55">
        <v>0.17374999999999999</v>
      </c>
    </row>
    <row r="704" spans="2:6">
      <c r="B704" s="48" t="s">
        <v>20</v>
      </c>
      <c r="C704" s="48" t="s">
        <v>1134</v>
      </c>
      <c r="D704" s="48">
        <f>DATE(YEAR(OneWeekMtgRatesDataTable756[[#This Row],[asofdate]]),MONTH(OneWeekMtgRatesDataTable756[[#This Row],[asofdate]]),DAY(OneWeekMtgRatesDataTable756[[#This Row],[asofdate]]))</f>
        <v>41558</v>
      </c>
      <c r="E704" s="48" t="s">
        <v>11</v>
      </c>
      <c r="F704" s="55">
        <v>0.17399999999999999</v>
      </c>
    </row>
    <row r="705" spans="2:6">
      <c r="B705" s="48" t="s">
        <v>20</v>
      </c>
      <c r="C705" s="48" t="s">
        <v>1133</v>
      </c>
      <c r="D705" s="48">
        <f>DATE(YEAR(OneWeekMtgRatesDataTable756[[#This Row],[asofdate]]),MONTH(OneWeekMtgRatesDataTable756[[#This Row],[asofdate]]),DAY(OneWeekMtgRatesDataTable756[[#This Row],[asofdate]]))</f>
        <v>41557</v>
      </c>
      <c r="E705" s="48" t="s">
        <v>11</v>
      </c>
      <c r="F705" s="55">
        <v>0.17399999999999999</v>
      </c>
    </row>
    <row r="706" spans="2:6">
      <c r="B706" s="48" t="s">
        <v>20</v>
      </c>
      <c r="C706" s="48" t="s">
        <v>1132</v>
      </c>
      <c r="D706" s="48">
        <f>DATE(YEAR(OneWeekMtgRatesDataTable756[[#This Row],[asofdate]]),MONTH(OneWeekMtgRatesDataTable756[[#This Row],[asofdate]]),DAY(OneWeekMtgRatesDataTable756[[#This Row],[asofdate]]))</f>
        <v>41556</v>
      </c>
      <c r="E706" s="48" t="s">
        <v>11</v>
      </c>
      <c r="F706" s="55">
        <v>0.17724999999999999</v>
      </c>
    </row>
    <row r="707" spans="2:6">
      <c r="B707" s="48" t="s">
        <v>20</v>
      </c>
      <c r="C707" s="48" t="s">
        <v>1131</v>
      </c>
      <c r="D707" s="48">
        <f>DATE(YEAR(OneWeekMtgRatesDataTable756[[#This Row],[asofdate]]),MONTH(OneWeekMtgRatesDataTable756[[#This Row],[asofdate]]),DAY(OneWeekMtgRatesDataTable756[[#This Row],[asofdate]]))</f>
        <v>41555</v>
      </c>
      <c r="E707" s="48" t="s">
        <v>11</v>
      </c>
      <c r="F707" s="55">
        <v>0.17399999999999999</v>
      </c>
    </row>
    <row r="708" spans="2:6">
      <c r="B708" s="48" t="s">
        <v>20</v>
      </c>
      <c r="C708" s="48" t="s">
        <v>1130</v>
      </c>
      <c r="D708" s="48">
        <f>DATE(YEAR(OneWeekMtgRatesDataTable756[[#This Row],[asofdate]]),MONTH(OneWeekMtgRatesDataTable756[[#This Row],[asofdate]]),DAY(OneWeekMtgRatesDataTable756[[#This Row],[asofdate]]))</f>
        <v>41554</v>
      </c>
      <c r="E708" s="48" t="s">
        <v>11</v>
      </c>
      <c r="F708" s="55">
        <v>0.17380000000000001</v>
      </c>
    </row>
    <row r="709" spans="2:6">
      <c r="B709" s="48" t="s">
        <v>20</v>
      </c>
      <c r="C709" s="48" t="s">
        <v>1129</v>
      </c>
      <c r="D709" s="48">
        <f>DATE(YEAR(OneWeekMtgRatesDataTable756[[#This Row],[asofdate]]),MONTH(OneWeekMtgRatesDataTable756[[#This Row],[asofdate]]),DAY(OneWeekMtgRatesDataTable756[[#This Row],[asofdate]]))</f>
        <v>41551</v>
      </c>
      <c r="E709" s="48" t="s">
        <v>11</v>
      </c>
      <c r="F709" s="55">
        <v>0.17330000000000001</v>
      </c>
    </row>
    <row r="710" spans="2:6">
      <c r="B710" s="48" t="s">
        <v>20</v>
      </c>
      <c r="C710" s="48" t="s">
        <v>1128</v>
      </c>
      <c r="D710" s="48">
        <f>DATE(YEAR(OneWeekMtgRatesDataTable756[[#This Row],[asofdate]]),MONTH(OneWeekMtgRatesDataTable756[[#This Row],[asofdate]]),DAY(OneWeekMtgRatesDataTable756[[#This Row],[asofdate]]))</f>
        <v>41550</v>
      </c>
      <c r="E710" s="48" t="s">
        <v>11</v>
      </c>
      <c r="F710" s="55">
        <v>0.17430000000000001</v>
      </c>
    </row>
    <row r="711" spans="2:6">
      <c r="B711" s="48" t="s">
        <v>20</v>
      </c>
      <c r="C711" s="48" t="s">
        <v>1127</v>
      </c>
      <c r="D711" s="48">
        <f>DATE(YEAR(OneWeekMtgRatesDataTable756[[#This Row],[asofdate]]),MONTH(OneWeekMtgRatesDataTable756[[#This Row],[asofdate]]),DAY(OneWeekMtgRatesDataTable756[[#This Row],[asofdate]]))</f>
        <v>41549</v>
      </c>
      <c r="E711" s="48" t="s">
        <v>11</v>
      </c>
      <c r="F711" s="55">
        <v>0.17574999999999999</v>
      </c>
    </row>
    <row r="712" spans="2:6">
      <c r="B712" s="48" t="s">
        <v>20</v>
      </c>
      <c r="C712" s="48" t="s">
        <v>1126</v>
      </c>
      <c r="D712" s="48">
        <f>DATE(YEAR(OneWeekMtgRatesDataTable756[[#This Row],[asofdate]]),MONTH(OneWeekMtgRatesDataTable756[[#This Row],[asofdate]]),DAY(OneWeekMtgRatesDataTable756[[#This Row],[asofdate]]))</f>
        <v>41548</v>
      </c>
      <c r="E712" s="48" t="s">
        <v>11</v>
      </c>
      <c r="F712" s="55">
        <v>0.17799999999999999</v>
      </c>
    </row>
    <row r="713" spans="2:6">
      <c r="B713" s="48" t="s">
        <v>20</v>
      </c>
      <c r="C713" s="48" t="s">
        <v>1125</v>
      </c>
      <c r="D713" s="48">
        <f>DATE(YEAR(OneWeekMtgRatesDataTable756[[#This Row],[asofdate]]),MONTH(OneWeekMtgRatesDataTable756[[#This Row],[asofdate]]),DAY(OneWeekMtgRatesDataTable756[[#This Row],[asofdate]]))</f>
        <v>41547</v>
      </c>
      <c r="E713" s="48" t="s">
        <v>11</v>
      </c>
      <c r="F713" s="55">
        <v>0.17885000000000001</v>
      </c>
    </row>
    <row r="714" spans="2:6">
      <c r="B714" s="48" t="s">
        <v>20</v>
      </c>
      <c r="C714" s="48" t="s">
        <v>1124</v>
      </c>
      <c r="D714" s="48">
        <f>DATE(YEAR(OneWeekMtgRatesDataTable756[[#This Row],[asofdate]]),MONTH(OneWeekMtgRatesDataTable756[[#This Row],[asofdate]]),DAY(OneWeekMtgRatesDataTable756[[#This Row],[asofdate]]))</f>
        <v>41544</v>
      </c>
      <c r="E714" s="48" t="s">
        <v>11</v>
      </c>
      <c r="F714" s="55">
        <v>0.17965</v>
      </c>
    </row>
    <row r="715" spans="2:6">
      <c r="B715" s="48" t="s">
        <v>20</v>
      </c>
      <c r="C715" s="48" t="s">
        <v>1123</v>
      </c>
      <c r="D715" s="48">
        <f>DATE(YEAR(OneWeekMtgRatesDataTable756[[#This Row],[asofdate]]),MONTH(OneWeekMtgRatesDataTable756[[#This Row],[asofdate]]),DAY(OneWeekMtgRatesDataTable756[[#This Row],[asofdate]]))</f>
        <v>41543</v>
      </c>
      <c r="E715" s="48" t="s">
        <v>11</v>
      </c>
      <c r="F715" s="55">
        <v>0.17904999999999999</v>
      </c>
    </row>
    <row r="716" spans="2:6">
      <c r="B716" s="48" t="s">
        <v>20</v>
      </c>
      <c r="C716" s="48" t="s">
        <v>1122</v>
      </c>
      <c r="D716" s="48">
        <f>DATE(YEAR(OneWeekMtgRatesDataTable756[[#This Row],[asofdate]]),MONTH(OneWeekMtgRatesDataTable756[[#This Row],[asofdate]]),DAY(OneWeekMtgRatesDataTable756[[#This Row],[asofdate]]))</f>
        <v>41542</v>
      </c>
      <c r="E716" s="48" t="s">
        <v>11</v>
      </c>
      <c r="F716" s="55">
        <v>0.17904999999999999</v>
      </c>
    </row>
    <row r="717" spans="2:6">
      <c r="B717" s="48" t="s">
        <v>20</v>
      </c>
      <c r="C717" s="48" t="s">
        <v>1121</v>
      </c>
      <c r="D717" s="48">
        <f>DATE(YEAR(OneWeekMtgRatesDataTable756[[#This Row],[asofdate]]),MONTH(OneWeekMtgRatesDataTable756[[#This Row],[asofdate]]),DAY(OneWeekMtgRatesDataTable756[[#This Row],[asofdate]]))</f>
        <v>41541</v>
      </c>
      <c r="E717" s="48" t="s">
        <v>11</v>
      </c>
      <c r="F717" s="55">
        <v>0.17979999999999999</v>
      </c>
    </row>
    <row r="718" spans="2:6">
      <c r="B718" s="48" t="s">
        <v>20</v>
      </c>
      <c r="C718" s="48" t="s">
        <v>1120</v>
      </c>
      <c r="D718" s="48">
        <f>DATE(YEAR(OneWeekMtgRatesDataTable756[[#This Row],[asofdate]]),MONTH(OneWeekMtgRatesDataTable756[[#This Row],[asofdate]]),DAY(OneWeekMtgRatesDataTable756[[#This Row],[asofdate]]))</f>
        <v>41540</v>
      </c>
      <c r="E718" s="48" t="s">
        <v>11</v>
      </c>
      <c r="F718" s="55">
        <v>0.17885000000000001</v>
      </c>
    </row>
    <row r="719" spans="2:6">
      <c r="B719" s="48" t="s">
        <v>20</v>
      </c>
      <c r="C719" s="48" t="s">
        <v>1119</v>
      </c>
      <c r="D719" s="48">
        <f>DATE(YEAR(OneWeekMtgRatesDataTable756[[#This Row],[asofdate]]),MONTH(OneWeekMtgRatesDataTable756[[#This Row],[asofdate]]),DAY(OneWeekMtgRatesDataTable756[[#This Row],[asofdate]]))</f>
        <v>41537</v>
      </c>
      <c r="E719" s="48" t="s">
        <v>11</v>
      </c>
      <c r="F719" s="55">
        <v>0.17949999999999999</v>
      </c>
    </row>
    <row r="720" spans="2:6">
      <c r="B720" s="48" t="s">
        <v>20</v>
      </c>
      <c r="C720" s="48" t="s">
        <v>1118</v>
      </c>
      <c r="D720" s="48">
        <f>DATE(YEAR(OneWeekMtgRatesDataTable756[[#This Row],[asofdate]]),MONTH(OneWeekMtgRatesDataTable756[[#This Row],[asofdate]]),DAY(OneWeekMtgRatesDataTable756[[#This Row],[asofdate]]))</f>
        <v>41536</v>
      </c>
      <c r="E720" s="48" t="s">
        <v>11</v>
      </c>
      <c r="F720" s="55">
        <v>0.17924999999999999</v>
      </c>
    </row>
    <row r="721" spans="2:6">
      <c r="B721" s="48" t="s">
        <v>20</v>
      </c>
      <c r="C721" s="48" t="s">
        <v>1117</v>
      </c>
      <c r="D721" s="48">
        <f>DATE(YEAR(OneWeekMtgRatesDataTable756[[#This Row],[asofdate]]),MONTH(OneWeekMtgRatesDataTable756[[#This Row],[asofdate]]),DAY(OneWeekMtgRatesDataTable756[[#This Row],[asofdate]]))</f>
        <v>41535</v>
      </c>
      <c r="E721" s="48" t="s">
        <v>11</v>
      </c>
      <c r="F721" s="55">
        <v>0.18</v>
      </c>
    </row>
    <row r="722" spans="2:6">
      <c r="B722" s="48" t="s">
        <v>20</v>
      </c>
      <c r="C722" s="48" t="s">
        <v>1116</v>
      </c>
      <c r="D722" s="48">
        <f>DATE(YEAR(OneWeekMtgRatesDataTable756[[#This Row],[asofdate]]),MONTH(OneWeekMtgRatesDataTable756[[#This Row],[asofdate]]),DAY(OneWeekMtgRatesDataTable756[[#This Row],[asofdate]]))</f>
        <v>41534</v>
      </c>
      <c r="E722" s="48" t="s">
        <v>11</v>
      </c>
      <c r="F722" s="55">
        <v>0.18049999999999999</v>
      </c>
    </row>
    <row r="723" spans="2:6">
      <c r="B723" s="48" t="s">
        <v>20</v>
      </c>
      <c r="C723" s="48" t="s">
        <v>1115</v>
      </c>
      <c r="D723" s="48">
        <f>DATE(YEAR(OneWeekMtgRatesDataTable756[[#This Row],[asofdate]]),MONTH(OneWeekMtgRatesDataTable756[[#This Row],[asofdate]]),DAY(OneWeekMtgRatesDataTable756[[#This Row],[asofdate]]))</f>
        <v>41533</v>
      </c>
      <c r="E723" s="48" t="s">
        <v>11</v>
      </c>
      <c r="F723" s="55">
        <v>0.17924999999999999</v>
      </c>
    </row>
    <row r="724" spans="2:6">
      <c r="B724" s="48" t="s">
        <v>20</v>
      </c>
      <c r="C724" s="48" t="s">
        <v>1114</v>
      </c>
      <c r="D724" s="48">
        <f>DATE(YEAR(OneWeekMtgRatesDataTable756[[#This Row],[asofdate]]),MONTH(OneWeekMtgRatesDataTable756[[#This Row],[asofdate]]),DAY(OneWeekMtgRatesDataTable756[[#This Row],[asofdate]]))</f>
        <v>41530</v>
      </c>
      <c r="E724" s="48" t="s">
        <v>11</v>
      </c>
      <c r="F724" s="55">
        <v>0.1802</v>
      </c>
    </row>
    <row r="725" spans="2:6">
      <c r="B725" s="48" t="s">
        <v>20</v>
      </c>
      <c r="C725" s="48" t="s">
        <v>1113</v>
      </c>
      <c r="D725" s="48">
        <f>DATE(YEAR(OneWeekMtgRatesDataTable756[[#This Row],[asofdate]]),MONTH(OneWeekMtgRatesDataTable756[[#This Row],[asofdate]]),DAY(OneWeekMtgRatesDataTable756[[#This Row],[asofdate]]))</f>
        <v>41529</v>
      </c>
      <c r="E725" s="48" t="s">
        <v>11</v>
      </c>
      <c r="F725" s="55">
        <v>0.18229999999999999</v>
      </c>
    </row>
    <row r="726" spans="2:6">
      <c r="B726" s="48" t="s">
        <v>20</v>
      </c>
      <c r="C726" s="48" t="s">
        <v>1112</v>
      </c>
      <c r="D726" s="48">
        <f>DATE(YEAR(OneWeekMtgRatesDataTable756[[#This Row],[asofdate]]),MONTH(OneWeekMtgRatesDataTable756[[#This Row],[asofdate]]),DAY(OneWeekMtgRatesDataTable756[[#This Row],[asofdate]]))</f>
        <v>41528</v>
      </c>
      <c r="E726" s="48" t="s">
        <v>11</v>
      </c>
      <c r="F726" s="55">
        <v>0.18240000000000001</v>
      </c>
    </row>
    <row r="727" spans="2:6">
      <c r="B727" s="48" t="s">
        <v>20</v>
      </c>
      <c r="C727" s="48" t="s">
        <v>1111</v>
      </c>
      <c r="D727" s="48">
        <f>DATE(YEAR(OneWeekMtgRatesDataTable756[[#This Row],[asofdate]]),MONTH(OneWeekMtgRatesDataTable756[[#This Row],[asofdate]]),DAY(OneWeekMtgRatesDataTable756[[#This Row],[asofdate]]))</f>
        <v>41527</v>
      </c>
      <c r="E727" s="48" t="s">
        <v>11</v>
      </c>
      <c r="F727" s="55">
        <v>0.18140000000000001</v>
      </c>
    </row>
    <row r="728" spans="2:6">
      <c r="B728" s="48" t="s">
        <v>20</v>
      </c>
      <c r="C728" s="48" t="s">
        <v>1110</v>
      </c>
      <c r="D728" s="48">
        <f>DATE(YEAR(OneWeekMtgRatesDataTable756[[#This Row],[asofdate]]),MONTH(OneWeekMtgRatesDataTable756[[#This Row],[asofdate]]),DAY(OneWeekMtgRatesDataTable756[[#This Row],[asofdate]]))</f>
        <v>41526</v>
      </c>
      <c r="E728" s="48" t="s">
        <v>11</v>
      </c>
      <c r="F728" s="55">
        <v>0.18190000000000001</v>
      </c>
    </row>
    <row r="729" spans="2:6">
      <c r="B729" s="48" t="s">
        <v>20</v>
      </c>
      <c r="C729" s="48" t="s">
        <v>1109</v>
      </c>
      <c r="D729" s="48">
        <f>DATE(YEAR(OneWeekMtgRatesDataTable756[[#This Row],[asofdate]]),MONTH(OneWeekMtgRatesDataTable756[[#This Row],[asofdate]]),DAY(OneWeekMtgRatesDataTable756[[#This Row],[asofdate]]))</f>
        <v>41523</v>
      </c>
      <c r="E729" s="48" t="s">
        <v>11</v>
      </c>
      <c r="F729" s="55">
        <v>0.18190000000000001</v>
      </c>
    </row>
    <row r="730" spans="2:6">
      <c r="B730" s="48" t="s">
        <v>20</v>
      </c>
      <c r="C730" s="48" t="s">
        <v>1108</v>
      </c>
      <c r="D730" s="48">
        <f>DATE(YEAR(OneWeekMtgRatesDataTable756[[#This Row],[asofdate]]),MONTH(OneWeekMtgRatesDataTable756[[#This Row],[asofdate]]),DAY(OneWeekMtgRatesDataTable756[[#This Row],[asofdate]]))</f>
        <v>41522</v>
      </c>
      <c r="E730" s="48" t="s">
        <v>11</v>
      </c>
      <c r="F730" s="55">
        <v>0.18190000000000001</v>
      </c>
    </row>
    <row r="731" spans="2:6">
      <c r="B731" s="48" t="s">
        <v>20</v>
      </c>
      <c r="C731" s="48" t="s">
        <v>1107</v>
      </c>
      <c r="D731" s="48">
        <f>DATE(YEAR(OneWeekMtgRatesDataTable756[[#This Row],[asofdate]]),MONTH(OneWeekMtgRatesDataTable756[[#This Row],[asofdate]]),DAY(OneWeekMtgRatesDataTable756[[#This Row],[asofdate]]))</f>
        <v>41521</v>
      </c>
      <c r="E731" s="48" t="s">
        <v>11</v>
      </c>
      <c r="F731" s="55">
        <v>0.1817</v>
      </c>
    </row>
    <row r="732" spans="2:6">
      <c r="B732" s="48" t="s">
        <v>20</v>
      </c>
      <c r="C732" s="48" t="s">
        <v>1106</v>
      </c>
      <c r="D732" s="48">
        <f>DATE(YEAR(OneWeekMtgRatesDataTable756[[#This Row],[asofdate]]),MONTH(OneWeekMtgRatesDataTable756[[#This Row],[asofdate]]),DAY(OneWeekMtgRatesDataTable756[[#This Row],[asofdate]]))</f>
        <v>41520</v>
      </c>
      <c r="E732" s="48" t="s">
        <v>11</v>
      </c>
      <c r="F732" s="55">
        <v>0.18206</v>
      </c>
    </row>
    <row r="733" spans="2:6">
      <c r="B733" s="48" t="s">
        <v>20</v>
      </c>
      <c r="C733" s="48" t="s">
        <v>1105</v>
      </c>
      <c r="D733" s="48">
        <f>DATE(YEAR(OneWeekMtgRatesDataTable756[[#This Row],[asofdate]]),MONTH(OneWeekMtgRatesDataTable756[[#This Row],[asofdate]]),DAY(OneWeekMtgRatesDataTable756[[#This Row],[asofdate]]))</f>
        <v>41516</v>
      </c>
      <c r="E733" s="48" t="s">
        <v>11</v>
      </c>
      <c r="F733" s="55">
        <v>0.18206</v>
      </c>
    </row>
    <row r="734" spans="2:6">
      <c r="B734" s="48" t="s">
        <v>20</v>
      </c>
      <c r="C734" s="48" t="s">
        <v>1104</v>
      </c>
      <c r="D734" s="48">
        <f>DATE(YEAR(OneWeekMtgRatesDataTable756[[#This Row],[asofdate]]),MONTH(OneWeekMtgRatesDataTable756[[#This Row],[asofdate]]),DAY(OneWeekMtgRatesDataTable756[[#This Row],[asofdate]]))</f>
        <v>41515</v>
      </c>
      <c r="E734" s="48" t="s">
        <v>11</v>
      </c>
      <c r="F734" s="55">
        <v>0.18256</v>
      </c>
    </row>
    <row r="735" spans="2:6">
      <c r="B735" s="48" t="s">
        <v>20</v>
      </c>
      <c r="C735" s="48" t="s">
        <v>1103</v>
      </c>
      <c r="D735" s="48">
        <f>DATE(YEAR(OneWeekMtgRatesDataTable756[[#This Row],[asofdate]]),MONTH(OneWeekMtgRatesDataTable756[[#This Row],[asofdate]]),DAY(OneWeekMtgRatesDataTable756[[#This Row],[asofdate]]))</f>
        <v>41514</v>
      </c>
      <c r="E735" s="48" t="s">
        <v>11</v>
      </c>
      <c r="F735" s="55">
        <v>0.18206</v>
      </c>
    </row>
    <row r="736" spans="2:6">
      <c r="B736" s="48" t="s">
        <v>20</v>
      </c>
      <c r="C736" s="48" t="s">
        <v>1102</v>
      </c>
      <c r="D736" s="48">
        <f>DATE(YEAR(OneWeekMtgRatesDataTable756[[#This Row],[asofdate]]),MONTH(OneWeekMtgRatesDataTable756[[#This Row],[asofdate]]),DAY(OneWeekMtgRatesDataTable756[[#This Row],[asofdate]]))</f>
        <v>41513</v>
      </c>
      <c r="E736" s="48" t="s">
        <v>11</v>
      </c>
      <c r="F736" s="55">
        <v>0.18256</v>
      </c>
    </row>
    <row r="737" spans="2:6">
      <c r="B737" s="48" t="s">
        <v>20</v>
      </c>
      <c r="C737" s="48" t="s">
        <v>1101</v>
      </c>
      <c r="D737" s="48">
        <f>DATE(YEAR(OneWeekMtgRatesDataTable756[[#This Row],[asofdate]]),MONTH(OneWeekMtgRatesDataTable756[[#This Row],[asofdate]]),DAY(OneWeekMtgRatesDataTable756[[#This Row],[asofdate]]))</f>
        <v>41512</v>
      </c>
      <c r="E737" s="48" t="s">
        <v>11</v>
      </c>
      <c r="F737" s="55">
        <v>0.18406</v>
      </c>
    </row>
    <row r="738" spans="2:6">
      <c r="B738" s="48" t="s">
        <v>20</v>
      </c>
      <c r="C738" s="48" t="s">
        <v>1100</v>
      </c>
      <c r="D738" s="48">
        <f>DATE(YEAR(OneWeekMtgRatesDataTable756[[#This Row],[asofdate]]),MONTH(OneWeekMtgRatesDataTable756[[#This Row],[asofdate]]),DAY(OneWeekMtgRatesDataTable756[[#This Row],[asofdate]]))</f>
        <v>41509</v>
      </c>
      <c r="E738" s="48" t="s">
        <v>11</v>
      </c>
      <c r="F738" s="55">
        <v>0.18406</v>
      </c>
    </row>
    <row r="739" spans="2:6">
      <c r="B739" s="48" t="s">
        <v>20</v>
      </c>
      <c r="C739" s="48" t="s">
        <v>1099</v>
      </c>
      <c r="D739" s="48">
        <f>DATE(YEAR(OneWeekMtgRatesDataTable756[[#This Row],[asofdate]]),MONTH(OneWeekMtgRatesDataTable756[[#This Row],[asofdate]]),DAY(OneWeekMtgRatesDataTable756[[#This Row],[asofdate]]))</f>
        <v>41508</v>
      </c>
      <c r="E739" s="48" t="s">
        <v>11</v>
      </c>
      <c r="F739" s="55">
        <v>0.18406</v>
      </c>
    </row>
    <row r="740" spans="2:6">
      <c r="B740" s="48" t="s">
        <v>20</v>
      </c>
      <c r="C740" s="48" t="s">
        <v>1098</v>
      </c>
      <c r="D740" s="48">
        <f>DATE(YEAR(OneWeekMtgRatesDataTable756[[#This Row],[asofdate]]),MONTH(OneWeekMtgRatesDataTable756[[#This Row],[asofdate]]),DAY(OneWeekMtgRatesDataTable756[[#This Row],[asofdate]]))</f>
        <v>41507</v>
      </c>
      <c r="E740" s="48" t="s">
        <v>11</v>
      </c>
      <c r="F740" s="55">
        <v>0.18336</v>
      </c>
    </row>
    <row r="741" spans="2:6">
      <c r="B741" s="48" t="s">
        <v>20</v>
      </c>
      <c r="C741" s="48" t="s">
        <v>1097</v>
      </c>
      <c r="D741" s="48">
        <f>DATE(YEAR(OneWeekMtgRatesDataTable756[[#This Row],[asofdate]]),MONTH(OneWeekMtgRatesDataTable756[[#This Row],[asofdate]]),DAY(OneWeekMtgRatesDataTable756[[#This Row],[asofdate]]))</f>
        <v>41506</v>
      </c>
      <c r="E741" s="48" t="s">
        <v>11</v>
      </c>
      <c r="F741" s="55">
        <v>0.18285999999999999</v>
      </c>
    </row>
    <row r="742" spans="2:6">
      <c r="B742" s="48" t="s">
        <v>20</v>
      </c>
      <c r="C742" s="48" t="s">
        <v>1096</v>
      </c>
      <c r="D742" s="48">
        <f>DATE(YEAR(OneWeekMtgRatesDataTable756[[#This Row],[asofdate]]),MONTH(OneWeekMtgRatesDataTable756[[#This Row],[asofdate]]),DAY(OneWeekMtgRatesDataTable756[[#This Row],[asofdate]]))</f>
        <v>41505</v>
      </c>
      <c r="E742" s="48" t="s">
        <v>11</v>
      </c>
      <c r="F742" s="55">
        <v>0.18356</v>
      </c>
    </row>
    <row r="743" spans="2:6">
      <c r="B743" s="48" t="s">
        <v>20</v>
      </c>
      <c r="C743" s="48" t="s">
        <v>1095</v>
      </c>
      <c r="D743" s="48">
        <f>DATE(YEAR(OneWeekMtgRatesDataTable756[[#This Row],[asofdate]]),MONTH(OneWeekMtgRatesDataTable756[[#This Row],[asofdate]]),DAY(OneWeekMtgRatesDataTable756[[#This Row],[asofdate]]))</f>
        <v>41502</v>
      </c>
      <c r="E743" s="48" t="s">
        <v>11</v>
      </c>
      <c r="F743" s="55">
        <v>0.18406</v>
      </c>
    </row>
    <row r="744" spans="2:6">
      <c r="B744" s="48" t="s">
        <v>20</v>
      </c>
      <c r="C744" s="48" t="s">
        <v>1094</v>
      </c>
      <c r="D744" s="48">
        <f>DATE(YEAR(OneWeekMtgRatesDataTable756[[#This Row],[asofdate]]),MONTH(OneWeekMtgRatesDataTable756[[#This Row],[asofdate]]),DAY(OneWeekMtgRatesDataTable756[[#This Row],[asofdate]]))</f>
        <v>41501</v>
      </c>
      <c r="E744" s="48" t="s">
        <v>11</v>
      </c>
      <c r="F744" s="55">
        <v>0.18406</v>
      </c>
    </row>
    <row r="745" spans="2:6">
      <c r="B745" s="48" t="s">
        <v>20</v>
      </c>
      <c r="C745" s="48" t="s">
        <v>1093</v>
      </c>
      <c r="D745" s="48">
        <f>DATE(YEAR(OneWeekMtgRatesDataTable756[[#This Row],[asofdate]]),MONTH(OneWeekMtgRatesDataTable756[[#This Row],[asofdate]]),DAY(OneWeekMtgRatesDataTable756[[#This Row],[asofdate]]))</f>
        <v>41500</v>
      </c>
      <c r="E745" s="48" t="s">
        <v>11</v>
      </c>
      <c r="F745" s="55">
        <v>0.18406</v>
      </c>
    </row>
    <row r="746" spans="2:6">
      <c r="B746" s="48" t="s">
        <v>20</v>
      </c>
      <c r="C746" s="48" t="s">
        <v>1092</v>
      </c>
      <c r="D746" s="48">
        <f>DATE(YEAR(OneWeekMtgRatesDataTable756[[#This Row],[asofdate]]),MONTH(OneWeekMtgRatesDataTable756[[#This Row],[asofdate]]),DAY(OneWeekMtgRatesDataTable756[[#This Row],[asofdate]]))</f>
        <v>41499</v>
      </c>
      <c r="E746" s="48" t="s">
        <v>11</v>
      </c>
      <c r="F746" s="55">
        <v>0.18406</v>
      </c>
    </row>
    <row r="747" spans="2:6">
      <c r="B747" s="48" t="s">
        <v>20</v>
      </c>
      <c r="C747" s="48" t="s">
        <v>1091</v>
      </c>
      <c r="D747" s="48">
        <f>DATE(YEAR(OneWeekMtgRatesDataTable756[[#This Row],[asofdate]]),MONTH(OneWeekMtgRatesDataTable756[[#This Row],[asofdate]]),DAY(OneWeekMtgRatesDataTable756[[#This Row],[asofdate]]))</f>
        <v>41498</v>
      </c>
      <c r="E747" s="48" t="s">
        <v>11</v>
      </c>
      <c r="F747" s="55">
        <v>0.18456</v>
      </c>
    </row>
    <row r="748" spans="2:6">
      <c r="B748" s="48" t="s">
        <v>20</v>
      </c>
      <c r="C748" s="48" t="s">
        <v>1090</v>
      </c>
      <c r="D748" s="48">
        <f>DATE(YEAR(OneWeekMtgRatesDataTable756[[#This Row],[asofdate]]),MONTH(OneWeekMtgRatesDataTable756[[#This Row],[asofdate]]),DAY(OneWeekMtgRatesDataTable756[[#This Row],[asofdate]]))</f>
        <v>41495</v>
      </c>
      <c r="E748" s="48" t="s">
        <v>11</v>
      </c>
      <c r="F748" s="55">
        <v>0.18456</v>
      </c>
    </row>
    <row r="749" spans="2:6">
      <c r="B749" s="48" t="s">
        <v>20</v>
      </c>
      <c r="C749" s="48" t="s">
        <v>1089</v>
      </c>
      <c r="D749" s="48">
        <f>DATE(YEAR(OneWeekMtgRatesDataTable756[[#This Row],[asofdate]]),MONTH(OneWeekMtgRatesDataTable756[[#This Row],[asofdate]]),DAY(OneWeekMtgRatesDataTable756[[#This Row],[asofdate]]))</f>
        <v>41494</v>
      </c>
      <c r="E749" s="48" t="s">
        <v>11</v>
      </c>
      <c r="F749" s="55">
        <v>0.18503</v>
      </c>
    </row>
    <row r="750" spans="2:6">
      <c r="B750" s="48" t="s">
        <v>20</v>
      </c>
      <c r="C750" s="48" t="s">
        <v>1088</v>
      </c>
      <c r="D750" s="48">
        <f>DATE(YEAR(OneWeekMtgRatesDataTable756[[#This Row],[asofdate]]),MONTH(OneWeekMtgRatesDataTable756[[#This Row],[asofdate]]),DAY(OneWeekMtgRatesDataTable756[[#This Row],[asofdate]]))</f>
        <v>41493</v>
      </c>
      <c r="E750" s="48" t="s">
        <v>11</v>
      </c>
      <c r="F750" s="55">
        <v>0.18503</v>
      </c>
    </row>
    <row r="751" spans="2:6">
      <c r="B751" s="48" t="s">
        <v>20</v>
      </c>
      <c r="C751" s="48" t="s">
        <v>1087</v>
      </c>
      <c r="D751" s="48">
        <f>DATE(YEAR(OneWeekMtgRatesDataTable756[[#This Row],[asofdate]]),MONTH(OneWeekMtgRatesDataTable756[[#This Row],[asofdate]]),DAY(OneWeekMtgRatesDataTable756[[#This Row],[asofdate]]))</f>
        <v>41492</v>
      </c>
      <c r="E751" s="48" t="s">
        <v>11</v>
      </c>
      <c r="F751" s="55">
        <v>0.18503</v>
      </c>
    </row>
    <row r="752" spans="2:6">
      <c r="B752" s="48" t="s">
        <v>20</v>
      </c>
      <c r="C752" s="48" t="s">
        <v>1086</v>
      </c>
      <c r="D752" s="48">
        <f>DATE(YEAR(OneWeekMtgRatesDataTable756[[#This Row],[asofdate]]),MONTH(OneWeekMtgRatesDataTable756[[#This Row],[asofdate]]),DAY(OneWeekMtgRatesDataTable756[[#This Row],[asofdate]]))</f>
        <v>41491</v>
      </c>
      <c r="E752" s="48" t="s">
        <v>11</v>
      </c>
      <c r="F752" s="55">
        <v>0.18603</v>
      </c>
    </row>
    <row r="753" spans="2:6">
      <c r="B753" s="48" t="s">
        <v>20</v>
      </c>
      <c r="C753" s="48" t="s">
        <v>1085</v>
      </c>
      <c r="D753" s="48">
        <f>DATE(YEAR(OneWeekMtgRatesDataTable756[[#This Row],[asofdate]]),MONTH(OneWeekMtgRatesDataTable756[[#This Row],[asofdate]]),DAY(OneWeekMtgRatesDataTable756[[#This Row],[asofdate]]))</f>
        <v>41488</v>
      </c>
      <c r="E753" s="48" t="s">
        <v>11</v>
      </c>
      <c r="F753" s="55">
        <v>0.18593000000000001</v>
      </c>
    </row>
    <row r="754" spans="2:6">
      <c r="B754" s="48" t="s">
        <v>20</v>
      </c>
      <c r="C754" s="48" t="s">
        <v>1084</v>
      </c>
      <c r="D754" s="48">
        <f>DATE(YEAR(OneWeekMtgRatesDataTable756[[#This Row],[asofdate]]),MONTH(OneWeekMtgRatesDataTable756[[#This Row],[asofdate]]),DAY(OneWeekMtgRatesDataTable756[[#This Row],[asofdate]]))</f>
        <v>41487</v>
      </c>
      <c r="E754" s="48" t="s">
        <v>11</v>
      </c>
      <c r="F754" s="55">
        <v>0.18593000000000001</v>
      </c>
    </row>
    <row r="755" spans="2:6">
      <c r="B755" s="48" t="s">
        <v>20</v>
      </c>
      <c r="C755" s="48" t="s">
        <v>1083</v>
      </c>
      <c r="D755" s="48">
        <f>DATE(YEAR(OneWeekMtgRatesDataTable756[[#This Row],[asofdate]]),MONTH(OneWeekMtgRatesDataTable756[[#This Row],[asofdate]]),DAY(OneWeekMtgRatesDataTable756[[#This Row],[asofdate]]))</f>
        <v>41486</v>
      </c>
      <c r="E755" s="48" t="s">
        <v>11</v>
      </c>
      <c r="F755" s="55">
        <v>0.18673000000000001</v>
      </c>
    </row>
    <row r="756" spans="2:6">
      <c r="B756" s="48" t="s">
        <v>20</v>
      </c>
      <c r="C756" s="48" t="s">
        <v>1082</v>
      </c>
      <c r="D756" s="48">
        <f>DATE(YEAR(OneWeekMtgRatesDataTable756[[#This Row],[asofdate]]),MONTH(OneWeekMtgRatesDataTable756[[#This Row],[asofdate]]),DAY(OneWeekMtgRatesDataTable756[[#This Row],[asofdate]]))</f>
        <v>41485</v>
      </c>
      <c r="E756" s="48" t="s">
        <v>11</v>
      </c>
      <c r="F756" s="55">
        <v>0.18723000000000001</v>
      </c>
    </row>
    <row r="757" spans="2:6">
      <c r="B757" s="48" t="s">
        <v>20</v>
      </c>
      <c r="C757" s="48" t="s">
        <v>1081</v>
      </c>
      <c r="D757" s="48">
        <f>DATE(YEAR(OneWeekMtgRatesDataTable756[[#This Row],[asofdate]]),MONTH(OneWeekMtgRatesDataTable756[[#This Row],[asofdate]]),DAY(OneWeekMtgRatesDataTable756[[#This Row],[asofdate]]))</f>
        <v>41484</v>
      </c>
      <c r="E757" s="48" t="s">
        <v>11</v>
      </c>
      <c r="F757" s="55">
        <v>0.18643000000000001</v>
      </c>
    </row>
    <row r="758" spans="2:6">
      <c r="B758" s="48" t="s">
        <v>20</v>
      </c>
      <c r="C758" s="48" t="s">
        <v>1080</v>
      </c>
      <c r="D758" s="48">
        <f>DATE(YEAR(OneWeekMtgRatesDataTable756[[#This Row],[asofdate]]),MONTH(OneWeekMtgRatesDataTable756[[#This Row],[asofdate]]),DAY(OneWeekMtgRatesDataTable756[[#This Row],[asofdate]]))</f>
        <v>41481</v>
      </c>
      <c r="E758" s="48" t="s">
        <v>11</v>
      </c>
      <c r="F758" s="55">
        <v>0.18643000000000001</v>
      </c>
    </row>
    <row r="759" spans="2:6">
      <c r="B759" s="48" t="s">
        <v>20</v>
      </c>
      <c r="C759" s="48" t="s">
        <v>1079</v>
      </c>
      <c r="D759" s="48">
        <f>DATE(YEAR(OneWeekMtgRatesDataTable756[[#This Row],[asofdate]]),MONTH(OneWeekMtgRatesDataTable756[[#This Row],[asofdate]]),DAY(OneWeekMtgRatesDataTable756[[#This Row],[asofdate]]))</f>
        <v>41480</v>
      </c>
      <c r="E759" s="48" t="s">
        <v>11</v>
      </c>
      <c r="F759" s="55">
        <v>0.18643000000000001</v>
      </c>
    </row>
    <row r="760" spans="2:6">
      <c r="B760" s="48" t="s">
        <v>20</v>
      </c>
      <c r="C760" s="48" t="s">
        <v>1078</v>
      </c>
      <c r="D760" s="48">
        <f>DATE(YEAR(OneWeekMtgRatesDataTable756[[#This Row],[asofdate]]),MONTH(OneWeekMtgRatesDataTable756[[#This Row],[asofdate]]),DAY(OneWeekMtgRatesDataTable756[[#This Row],[asofdate]]))</f>
        <v>41479</v>
      </c>
      <c r="E760" s="48" t="s">
        <v>11</v>
      </c>
      <c r="F760" s="55">
        <v>0.18933</v>
      </c>
    </row>
    <row r="761" spans="2:6">
      <c r="B761" s="48" t="s">
        <v>20</v>
      </c>
      <c r="C761" s="48" t="s">
        <v>1077</v>
      </c>
      <c r="D761" s="48">
        <f>DATE(YEAR(OneWeekMtgRatesDataTable756[[#This Row],[asofdate]]),MONTH(OneWeekMtgRatesDataTable756[[#This Row],[asofdate]]),DAY(OneWeekMtgRatesDataTable756[[#This Row],[asofdate]]))</f>
        <v>41478</v>
      </c>
      <c r="E761" s="48" t="s">
        <v>11</v>
      </c>
      <c r="F761" s="55">
        <v>0.19003</v>
      </c>
    </row>
    <row r="762" spans="2:6">
      <c r="B762" s="48" t="s">
        <v>20</v>
      </c>
      <c r="C762" s="48" t="s">
        <v>1076</v>
      </c>
      <c r="D762" s="48">
        <f>DATE(YEAR(OneWeekMtgRatesDataTable756[[#This Row],[asofdate]]),MONTH(OneWeekMtgRatesDataTable756[[#This Row],[asofdate]]),DAY(OneWeekMtgRatesDataTable756[[#This Row],[asofdate]]))</f>
        <v>41477</v>
      </c>
      <c r="E762" s="48" t="s">
        <v>11</v>
      </c>
      <c r="F762" s="55">
        <v>0.19053</v>
      </c>
    </row>
    <row r="763" spans="2:6">
      <c r="B763" s="48" t="s">
        <v>20</v>
      </c>
      <c r="C763" s="48" t="s">
        <v>1075</v>
      </c>
      <c r="D763" s="48">
        <f>DATE(YEAR(OneWeekMtgRatesDataTable756[[#This Row],[asofdate]]),MONTH(OneWeekMtgRatesDataTable756[[#This Row],[asofdate]]),DAY(OneWeekMtgRatesDataTable756[[#This Row],[asofdate]]))</f>
        <v>41474</v>
      </c>
      <c r="E763" s="48" t="s">
        <v>11</v>
      </c>
      <c r="F763" s="55">
        <v>0.19103000000000001</v>
      </c>
    </row>
    <row r="764" spans="2:6">
      <c r="B764" s="48" t="s">
        <v>20</v>
      </c>
      <c r="C764" s="48" t="s">
        <v>1074</v>
      </c>
      <c r="D764" s="48">
        <f>DATE(YEAR(OneWeekMtgRatesDataTable756[[#This Row],[asofdate]]),MONTH(OneWeekMtgRatesDataTable756[[#This Row],[asofdate]]),DAY(OneWeekMtgRatesDataTable756[[#This Row],[asofdate]]))</f>
        <v>41473</v>
      </c>
      <c r="E764" s="48" t="s">
        <v>11</v>
      </c>
      <c r="F764" s="55">
        <v>0.19153000000000001</v>
      </c>
    </row>
    <row r="765" spans="2:6">
      <c r="B765" s="48" t="s">
        <v>20</v>
      </c>
      <c r="C765" s="48" t="s">
        <v>1073</v>
      </c>
      <c r="D765" s="48">
        <f>DATE(YEAR(OneWeekMtgRatesDataTable756[[#This Row],[asofdate]]),MONTH(OneWeekMtgRatesDataTable756[[#This Row],[asofdate]]),DAY(OneWeekMtgRatesDataTable756[[#This Row],[asofdate]]))</f>
        <v>41472</v>
      </c>
      <c r="E765" s="48" t="s">
        <v>11</v>
      </c>
      <c r="F765" s="55">
        <v>0.19153000000000001</v>
      </c>
    </row>
    <row r="766" spans="2:6">
      <c r="B766" s="48" t="s">
        <v>20</v>
      </c>
      <c r="C766" s="48" t="s">
        <v>1072</v>
      </c>
      <c r="D766" s="48">
        <f>DATE(YEAR(OneWeekMtgRatesDataTable756[[#This Row],[asofdate]]),MONTH(OneWeekMtgRatesDataTable756[[#This Row],[asofdate]]),DAY(OneWeekMtgRatesDataTable756[[#This Row],[asofdate]]))</f>
        <v>41471</v>
      </c>
      <c r="E766" s="48" t="s">
        <v>11</v>
      </c>
      <c r="F766" s="55">
        <v>0.19053</v>
      </c>
    </row>
    <row r="767" spans="2:6">
      <c r="B767" s="48" t="s">
        <v>20</v>
      </c>
      <c r="C767" s="48" t="s">
        <v>1071</v>
      </c>
      <c r="D767" s="48">
        <f>DATE(YEAR(OneWeekMtgRatesDataTable756[[#This Row],[asofdate]]),MONTH(OneWeekMtgRatesDataTable756[[#This Row],[asofdate]]),DAY(OneWeekMtgRatesDataTable756[[#This Row],[asofdate]]))</f>
        <v>41470</v>
      </c>
      <c r="E767" s="48" t="s">
        <v>11</v>
      </c>
      <c r="F767" s="55">
        <v>0.19192999999999999</v>
      </c>
    </row>
    <row r="768" spans="2:6">
      <c r="B768" s="48" t="s">
        <v>20</v>
      </c>
      <c r="C768" s="48" t="s">
        <v>1070</v>
      </c>
      <c r="D768" s="48">
        <f>DATE(YEAR(OneWeekMtgRatesDataTable756[[#This Row],[asofdate]]),MONTH(OneWeekMtgRatesDataTable756[[#This Row],[asofdate]]),DAY(OneWeekMtgRatesDataTable756[[#This Row],[asofdate]]))</f>
        <v>41467</v>
      </c>
      <c r="E768" s="48" t="s">
        <v>11</v>
      </c>
      <c r="F768" s="55">
        <v>0.19192999999999999</v>
      </c>
    </row>
    <row r="769" spans="2:6">
      <c r="B769" s="48" t="s">
        <v>20</v>
      </c>
      <c r="C769" s="48" t="s">
        <v>1069</v>
      </c>
      <c r="D769" s="48">
        <f>DATE(YEAR(OneWeekMtgRatesDataTable756[[#This Row],[asofdate]]),MONTH(OneWeekMtgRatesDataTable756[[#This Row],[asofdate]]),DAY(OneWeekMtgRatesDataTable756[[#This Row],[asofdate]]))</f>
        <v>41466</v>
      </c>
      <c r="E769" s="48" t="s">
        <v>11</v>
      </c>
      <c r="F769" s="55">
        <v>0.19103000000000001</v>
      </c>
    </row>
    <row r="770" spans="2:6">
      <c r="B770" s="48" t="s">
        <v>20</v>
      </c>
      <c r="C770" s="48" t="s">
        <v>1068</v>
      </c>
      <c r="D770" s="48">
        <f>DATE(YEAR(OneWeekMtgRatesDataTable756[[#This Row],[asofdate]]),MONTH(OneWeekMtgRatesDataTable756[[#This Row],[asofdate]]),DAY(OneWeekMtgRatesDataTable756[[#This Row],[asofdate]]))</f>
        <v>41465</v>
      </c>
      <c r="E770" s="48" t="s">
        <v>11</v>
      </c>
      <c r="F770" s="55">
        <v>0.19213</v>
      </c>
    </row>
    <row r="771" spans="2:6">
      <c r="B771" s="48" t="s">
        <v>20</v>
      </c>
      <c r="C771" s="48" t="s">
        <v>1067</v>
      </c>
      <c r="D771" s="48">
        <f>DATE(YEAR(OneWeekMtgRatesDataTable756[[#This Row],[asofdate]]),MONTH(OneWeekMtgRatesDataTable756[[#This Row],[asofdate]]),DAY(OneWeekMtgRatesDataTable756[[#This Row],[asofdate]]))</f>
        <v>41464</v>
      </c>
      <c r="E771" s="48" t="s">
        <v>11</v>
      </c>
      <c r="F771" s="55">
        <v>0.19275999999999999</v>
      </c>
    </row>
    <row r="772" spans="2:6">
      <c r="B772" s="48" t="s">
        <v>20</v>
      </c>
      <c r="C772" s="48" t="s">
        <v>1066</v>
      </c>
      <c r="D772" s="48">
        <f>DATE(YEAR(OneWeekMtgRatesDataTable756[[#This Row],[asofdate]]),MONTH(OneWeekMtgRatesDataTable756[[#This Row],[asofdate]]),DAY(OneWeekMtgRatesDataTable756[[#This Row],[asofdate]]))</f>
        <v>41463</v>
      </c>
      <c r="E772" s="48" t="s">
        <v>11</v>
      </c>
      <c r="F772" s="55">
        <v>0.19278000000000001</v>
      </c>
    </row>
    <row r="773" spans="2:6">
      <c r="B773" s="48" t="s">
        <v>20</v>
      </c>
      <c r="C773" s="48" t="s">
        <v>1065</v>
      </c>
      <c r="D773" s="48">
        <f>DATE(YEAR(OneWeekMtgRatesDataTable756[[#This Row],[asofdate]]),MONTH(OneWeekMtgRatesDataTable756[[#This Row],[asofdate]]),DAY(OneWeekMtgRatesDataTable756[[#This Row],[asofdate]]))</f>
        <v>41460</v>
      </c>
      <c r="E773" s="48" t="s">
        <v>11</v>
      </c>
      <c r="F773" s="55">
        <v>0.19478000000000001</v>
      </c>
    </row>
    <row r="774" spans="2:6">
      <c r="B774" s="48" t="s">
        <v>20</v>
      </c>
      <c r="C774" s="48" t="s">
        <v>1064</v>
      </c>
      <c r="D774" s="48">
        <f>DATE(YEAR(OneWeekMtgRatesDataTable756[[#This Row],[asofdate]]),MONTH(OneWeekMtgRatesDataTable756[[#This Row],[asofdate]]),DAY(OneWeekMtgRatesDataTable756[[#This Row],[asofdate]]))</f>
        <v>41458</v>
      </c>
      <c r="E774" s="48" t="s">
        <v>11</v>
      </c>
      <c r="F774" s="55">
        <v>0.19478000000000001</v>
      </c>
    </row>
    <row r="775" spans="2:6">
      <c r="B775" s="48" t="s">
        <v>20</v>
      </c>
      <c r="C775" s="48" t="s">
        <v>1063</v>
      </c>
      <c r="D775" s="48">
        <f>DATE(YEAR(OneWeekMtgRatesDataTable756[[#This Row],[asofdate]]),MONTH(OneWeekMtgRatesDataTable756[[#This Row],[asofdate]]),DAY(OneWeekMtgRatesDataTable756[[#This Row],[asofdate]]))</f>
        <v>41457</v>
      </c>
      <c r="E775" s="48" t="s">
        <v>11</v>
      </c>
      <c r="F775" s="55">
        <v>0.19528000000000001</v>
      </c>
    </row>
    <row r="776" spans="2:6">
      <c r="B776" s="48" t="s">
        <v>20</v>
      </c>
      <c r="C776" s="48" t="s">
        <v>1062</v>
      </c>
      <c r="D776" s="48">
        <f>DATE(YEAR(OneWeekMtgRatesDataTable756[[#This Row],[asofdate]]),MONTH(OneWeekMtgRatesDataTable756[[#This Row],[asofdate]]),DAY(OneWeekMtgRatesDataTable756[[#This Row],[asofdate]]))</f>
        <v>41456</v>
      </c>
      <c r="E776" s="48" t="s">
        <v>11</v>
      </c>
      <c r="F776" s="55">
        <v>0.1958</v>
      </c>
    </row>
    <row r="777" spans="2:6">
      <c r="B777" s="48" t="s">
        <v>20</v>
      </c>
      <c r="C777" s="48" t="s">
        <v>1061</v>
      </c>
      <c r="D777" s="48">
        <f>DATE(YEAR(OneWeekMtgRatesDataTable756[[#This Row],[asofdate]]),MONTH(OneWeekMtgRatesDataTable756[[#This Row],[asofdate]]),DAY(OneWeekMtgRatesDataTable756[[#This Row],[asofdate]]))</f>
        <v>41453</v>
      </c>
      <c r="E777" s="48" t="s">
        <v>11</v>
      </c>
      <c r="F777" s="55">
        <v>0.19464999999999999</v>
      </c>
    </row>
    <row r="778" spans="2:6">
      <c r="B778" s="48" t="s">
        <v>20</v>
      </c>
      <c r="C778" s="48" t="s">
        <v>1060</v>
      </c>
      <c r="D778" s="48">
        <f>DATE(YEAR(OneWeekMtgRatesDataTable756[[#This Row],[asofdate]]),MONTH(OneWeekMtgRatesDataTable756[[#This Row],[asofdate]]),DAY(OneWeekMtgRatesDataTable756[[#This Row],[asofdate]]))</f>
        <v>41452</v>
      </c>
      <c r="E778" s="48" t="s">
        <v>11</v>
      </c>
      <c r="F778" s="55">
        <v>0.19505</v>
      </c>
    </row>
    <row r="779" spans="2:6">
      <c r="B779" s="48" t="s">
        <v>20</v>
      </c>
      <c r="C779" s="48" t="s">
        <v>1059</v>
      </c>
      <c r="D779" s="48">
        <f>DATE(YEAR(OneWeekMtgRatesDataTable756[[#This Row],[asofdate]]),MONTH(OneWeekMtgRatesDataTable756[[#This Row],[asofdate]]),DAY(OneWeekMtgRatesDataTable756[[#This Row],[asofdate]]))</f>
        <v>41451</v>
      </c>
      <c r="E779" s="48" t="s">
        <v>11</v>
      </c>
      <c r="F779" s="55">
        <v>0.19535</v>
      </c>
    </row>
    <row r="780" spans="2:6">
      <c r="B780" s="48" t="s">
        <v>20</v>
      </c>
      <c r="C780" s="48" t="s">
        <v>1058</v>
      </c>
      <c r="D780" s="48">
        <f>DATE(YEAR(OneWeekMtgRatesDataTable756[[#This Row],[asofdate]]),MONTH(OneWeekMtgRatesDataTable756[[#This Row],[asofdate]]),DAY(OneWeekMtgRatesDataTable756[[#This Row],[asofdate]]))</f>
        <v>41450</v>
      </c>
      <c r="E780" s="48" t="s">
        <v>11</v>
      </c>
      <c r="F780" s="55">
        <v>0.19434999999999999</v>
      </c>
    </row>
    <row r="781" spans="2:6">
      <c r="B781" s="48" t="s">
        <v>20</v>
      </c>
      <c r="C781" s="48" t="s">
        <v>1057</v>
      </c>
      <c r="D781" s="48">
        <f>DATE(YEAR(OneWeekMtgRatesDataTable756[[#This Row],[asofdate]]),MONTH(OneWeekMtgRatesDataTable756[[#This Row],[asofdate]]),DAY(OneWeekMtgRatesDataTable756[[#This Row],[asofdate]]))</f>
        <v>41449</v>
      </c>
      <c r="E781" s="48" t="s">
        <v>11</v>
      </c>
      <c r="F781" s="55">
        <v>0.19535</v>
      </c>
    </row>
    <row r="782" spans="2:6">
      <c r="B782" s="48" t="s">
        <v>20</v>
      </c>
      <c r="C782" s="48" t="s">
        <v>1056</v>
      </c>
      <c r="D782" s="48">
        <f>DATE(YEAR(OneWeekMtgRatesDataTable756[[#This Row],[asofdate]]),MONTH(OneWeekMtgRatesDataTable756[[#This Row],[asofdate]]),DAY(OneWeekMtgRatesDataTable756[[#This Row],[asofdate]]))</f>
        <v>41446</v>
      </c>
      <c r="E782" s="48" t="s">
        <v>11</v>
      </c>
      <c r="F782" s="55">
        <v>0.193</v>
      </c>
    </row>
    <row r="783" spans="2:6">
      <c r="B783" s="48" t="s">
        <v>20</v>
      </c>
      <c r="C783" s="48" t="s">
        <v>1055</v>
      </c>
      <c r="D783" s="48">
        <f>DATE(YEAR(OneWeekMtgRatesDataTable756[[#This Row],[asofdate]]),MONTH(OneWeekMtgRatesDataTable756[[#This Row],[asofdate]]),DAY(OneWeekMtgRatesDataTable756[[#This Row],[asofdate]]))</f>
        <v>41445</v>
      </c>
      <c r="E783" s="48" t="s">
        <v>11</v>
      </c>
      <c r="F783" s="55">
        <v>0.193</v>
      </c>
    </row>
    <row r="784" spans="2:6">
      <c r="B784" s="48" t="s">
        <v>20</v>
      </c>
      <c r="C784" s="48" t="s">
        <v>1054</v>
      </c>
      <c r="D784" s="48">
        <f>DATE(YEAR(OneWeekMtgRatesDataTable756[[#This Row],[asofdate]]),MONTH(OneWeekMtgRatesDataTable756[[#This Row],[asofdate]]),DAY(OneWeekMtgRatesDataTable756[[#This Row],[asofdate]]))</f>
        <v>41444</v>
      </c>
      <c r="E784" s="48" t="s">
        <v>11</v>
      </c>
      <c r="F784" s="55">
        <v>0.19159999999999999</v>
      </c>
    </row>
    <row r="785" spans="2:6">
      <c r="B785" s="48" t="s">
        <v>20</v>
      </c>
      <c r="C785" s="48" t="s">
        <v>1053</v>
      </c>
      <c r="D785" s="48">
        <f>DATE(YEAR(OneWeekMtgRatesDataTable756[[#This Row],[asofdate]]),MONTH(OneWeekMtgRatesDataTable756[[#This Row],[asofdate]]),DAY(OneWeekMtgRatesDataTable756[[#This Row],[asofdate]]))</f>
        <v>41443</v>
      </c>
      <c r="E785" s="48" t="s">
        <v>11</v>
      </c>
      <c r="F785" s="55">
        <v>0.19159999999999999</v>
      </c>
    </row>
    <row r="786" spans="2:6">
      <c r="B786" s="48" t="s">
        <v>20</v>
      </c>
      <c r="C786" s="48" t="s">
        <v>1052</v>
      </c>
      <c r="D786" s="48">
        <f>DATE(YEAR(OneWeekMtgRatesDataTable756[[#This Row],[asofdate]]),MONTH(OneWeekMtgRatesDataTable756[[#This Row],[asofdate]]),DAY(OneWeekMtgRatesDataTable756[[#This Row],[asofdate]]))</f>
        <v>41442</v>
      </c>
      <c r="E786" s="48" t="s">
        <v>11</v>
      </c>
      <c r="F786" s="55">
        <v>0.19159999999999999</v>
      </c>
    </row>
    <row r="787" spans="2:6">
      <c r="B787" s="48" t="s">
        <v>20</v>
      </c>
      <c r="C787" s="48" t="s">
        <v>1051</v>
      </c>
      <c r="D787" s="48">
        <f>DATE(YEAR(OneWeekMtgRatesDataTable756[[#This Row],[asofdate]]),MONTH(OneWeekMtgRatesDataTable756[[#This Row],[asofdate]]),DAY(OneWeekMtgRatesDataTable756[[#This Row],[asofdate]]))</f>
        <v>41439</v>
      </c>
      <c r="E787" s="48" t="s">
        <v>11</v>
      </c>
      <c r="F787" s="55">
        <v>0.1925</v>
      </c>
    </row>
    <row r="788" spans="2:6">
      <c r="B788" s="48" t="s">
        <v>20</v>
      </c>
      <c r="C788" s="48" t="s">
        <v>1050</v>
      </c>
      <c r="D788" s="48">
        <f>DATE(YEAR(OneWeekMtgRatesDataTable756[[#This Row],[asofdate]]),MONTH(OneWeekMtgRatesDataTable756[[#This Row],[asofdate]]),DAY(OneWeekMtgRatesDataTable756[[#This Row],[asofdate]]))</f>
        <v>41438</v>
      </c>
      <c r="E788" s="48" t="s">
        <v>11</v>
      </c>
      <c r="F788" s="55">
        <v>0.1925</v>
      </c>
    </row>
    <row r="789" spans="2:6">
      <c r="B789" s="48" t="s">
        <v>20</v>
      </c>
      <c r="C789" s="48" t="s">
        <v>1049</v>
      </c>
      <c r="D789" s="48">
        <f>DATE(YEAR(OneWeekMtgRatesDataTable756[[#This Row],[asofdate]]),MONTH(OneWeekMtgRatesDataTable756[[#This Row],[asofdate]]),DAY(OneWeekMtgRatesDataTable756[[#This Row],[asofdate]]))</f>
        <v>41437</v>
      </c>
      <c r="E789" s="48" t="s">
        <v>11</v>
      </c>
      <c r="F789" s="55">
        <v>0.1925</v>
      </c>
    </row>
    <row r="790" spans="2:6">
      <c r="B790" s="48" t="s">
        <v>20</v>
      </c>
      <c r="C790" s="48" t="s">
        <v>1048</v>
      </c>
      <c r="D790" s="48">
        <f>DATE(YEAR(OneWeekMtgRatesDataTable756[[#This Row],[asofdate]]),MONTH(OneWeekMtgRatesDataTable756[[#This Row],[asofdate]]),DAY(OneWeekMtgRatesDataTable756[[#This Row],[asofdate]]))</f>
        <v>41436</v>
      </c>
      <c r="E790" s="48" t="s">
        <v>11</v>
      </c>
      <c r="F790" s="55">
        <v>0.1925</v>
      </c>
    </row>
    <row r="791" spans="2:6">
      <c r="B791" s="48" t="s">
        <v>20</v>
      </c>
      <c r="C791" s="48" t="s">
        <v>1047</v>
      </c>
      <c r="D791" s="48">
        <f>DATE(YEAR(OneWeekMtgRatesDataTable756[[#This Row],[asofdate]]),MONTH(OneWeekMtgRatesDataTable756[[#This Row],[asofdate]]),DAY(OneWeekMtgRatesDataTable756[[#This Row],[asofdate]]))</f>
        <v>41435</v>
      </c>
      <c r="E791" s="48" t="s">
        <v>11</v>
      </c>
      <c r="F791" s="55">
        <v>0.1925</v>
      </c>
    </row>
    <row r="792" spans="2:6">
      <c r="B792" s="48" t="s">
        <v>20</v>
      </c>
      <c r="C792" s="48" t="s">
        <v>1046</v>
      </c>
      <c r="D792" s="48">
        <f>DATE(YEAR(OneWeekMtgRatesDataTable756[[#This Row],[asofdate]]),MONTH(OneWeekMtgRatesDataTable756[[#This Row],[asofdate]]),DAY(OneWeekMtgRatesDataTable756[[#This Row],[asofdate]]))</f>
        <v>41432</v>
      </c>
      <c r="E792" s="48" t="s">
        <v>11</v>
      </c>
      <c r="F792" s="55">
        <v>0.19238</v>
      </c>
    </row>
    <row r="793" spans="2:6">
      <c r="B793" s="48" t="s">
        <v>20</v>
      </c>
      <c r="C793" s="48" t="s">
        <v>1045</v>
      </c>
      <c r="D793" s="48">
        <f>DATE(YEAR(OneWeekMtgRatesDataTable756[[#This Row],[asofdate]]),MONTH(OneWeekMtgRatesDataTable756[[#This Row],[asofdate]]),DAY(OneWeekMtgRatesDataTable756[[#This Row],[asofdate]]))</f>
        <v>41431</v>
      </c>
      <c r="E793" s="48" t="s">
        <v>11</v>
      </c>
      <c r="F793" s="55">
        <v>0.19288</v>
      </c>
    </row>
    <row r="794" spans="2:6">
      <c r="B794" s="48" t="s">
        <v>20</v>
      </c>
      <c r="C794" s="48" t="s">
        <v>1044</v>
      </c>
      <c r="D794" s="48">
        <f>DATE(YEAR(OneWeekMtgRatesDataTable756[[#This Row],[asofdate]]),MONTH(OneWeekMtgRatesDataTable756[[#This Row],[asofdate]]),DAY(OneWeekMtgRatesDataTable756[[#This Row],[asofdate]]))</f>
        <v>41430</v>
      </c>
      <c r="E794" s="48" t="s">
        <v>11</v>
      </c>
      <c r="F794" s="55">
        <v>0.19328000000000001</v>
      </c>
    </row>
    <row r="795" spans="2:6">
      <c r="B795" s="48" t="s">
        <v>20</v>
      </c>
      <c r="C795" s="48" t="s">
        <v>1043</v>
      </c>
      <c r="D795" s="48">
        <f>DATE(YEAR(OneWeekMtgRatesDataTable756[[#This Row],[asofdate]]),MONTH(OneWeekMtgRatesDataTable756[[#This Row],[asofdate]]),DAY(OneWeekMtgRatesDataTable756[[#This Row],[asofdate]]))</f>
        <v>41429</v>
      </c>
      <c r="E795" s="48" t="s">
        <v>11</v>
      </c>
      <c r="F795" s="55">
        <v>0.19328000000000001</v>
      </c>
    </row>
    <row r="796" spans="2:6">
      <c r="B796" s="48" t="s">
        <v>20</v>
      </c>
      <c r="C796" s="48" t="s">
        <v>1042</v>
      </c>
      <c r="D796" s="48">
        <f>DATE(YEAR(OneWeekMtgRatesDataTable756[[#This Row],[asofdate]]),MONTH(OneWeekMtgRatesDataTable756[[#This Row],[asofdate]]),DAY(OneWeekMtgRatesDataTable756[[#This Row],[asofdate]]))</f>
        <v>41428</v>
      </c>
      <c r="E796" s="48" t="s">
        <v>11</v>
      </c>
      <c r="F796" s="55">
        <v>0.19398000000000001</v>
      </c>
    </row>
    <row r="797" spans="2:6">
      <c r="B797" s="48" t="s">
        <v>20</v>
      </c>
      <c r="C797" s="48" t="s">
        <v>1041</v>
      </c>
      <c r="D797" s="48">
        <f>DATE(YEAR(OneWeekMtgRatesDataTable756[[#This Row],[asofdate]]),MONTH(OneWeekMtgRatesDataTable756[[#This Row],[asofdate]]),DAY(OneWeekMtgRatesDataTable756[[#This Row],[asofdate]]))</f>
        <v>41425</v>
      </c>
      <c r="E797" s="48" t="s">
        <v>11</v>
      </c>
      <c r="F797" s="55">
        <v>0.19428000000000001</v>
      </c>
    </row>
    <row r="798" spans="2:6">
      <c r="B798" s="48" t="s">
        <v>20</v>
      </c>
      <c r="C798" s="48" t="s">
        <v>1040</v>
      </c>
      <c r="D798" s="48">
        <f>DATE(YEAR(OneWeekMtgRatesDataTable756[[#This Row],[asofdate]]),MONTH(OneWeekMtgRatesDataTable756[[#This Row],[asofdate]]),DAY(OneWeekMtgRatesDataTable756[[#This Row],[asofdate]]))</f>
        <v>41424</v>
      </c>
      <c r="E798" s="48" t="s">
        <v>11</v>
      </c>
      <c r="F798" s="55">
        <v>0.19378000000000001</v>
      </c>
    </row>
    <row r="799" spans="2:6">
      <c r="B799" s="48" t="s">
        <v>20</v>
      </c>
      <c r="C799" s="48" t="s">
        <v>1039</v>
      </c>
      <c r="D799" s="48">
        <f>DATE(YEAR(OneWeekMtgRatesDataTable756[[#This Row],[asofdate]]),MONTH(OneWeekMtgRatesDataTable756[[#This Row],[asofdate]]),DAY(OneWeekMtgRatesDataTable756[[#This Row],[asofdate]]))</f>
        <v>41423</v>
      </c>
      <c r="E799" s="48" t="s">
        <v>11</v>
      </c>
      <c r="F799" s="55">
        <v>0.19378000000000001</v>
      </c>
    </row>
    <row r="800" spans="2:6">
      <c r="B800" s="48" t="s">
        <v>20</v>
      </c>
      <c r="C800" s="48" t="s">
        <v>1038</v>
      </c>
      <c r="D800" s="48">
        <f>DATE(YEAR(OneWeekMtgRatesDataTable756[[#This Row],[asofdate]]),MONTH(OneWeekMtgRatesDataTable756[[#This Row],[asofdate]]),DAY(OneWeekMtgRatesDataTable756[[#This Row],[asofdate]]))</f>
        <v>41422</v>
      </c>
      <c r="E800" s="48" t="s">
        <v>11</v>
      </c>
      <c r="F800" s="55">
        <v>0.19278000000000001</v>
      </c>
    </row>
    <row r="801" spans="2:6">
      <c r="B801" s="48" t="s">
        <v>20</v>
      </c>
      <c r="C801" s="48" t="s">
        <v>1037</v>
      </c>
      <c r="D801" s="48">
        <f>DATE(YEAR(OneWeekMtgRatesDataTable756[[#This Row],[asofdate]]),MONTH(OneWeekMtgRatesDataTable756[[#This Row],[asofdate]]),DAY(OneWeekMtgRatesDataTable756[[#This Row],[asofdate]]))</f>
        <v>41418</v>
      </c>
      <c r="E801" s="48" t="s">
        <v>11</v>
      </c>
      <c r="F801" s="55">
        <v>0.19328000000000001</v>
      </c>
    </row>
    <row r="802" spans="2:6">
      <c r="B802" s="48" t="s">
        <v>20</v>
      </c>
      <c r="C802" s="48" t="s">
        <v>1036</v>
      </c>
      <c r="D802" s="48">
        <f>DATE(YEAR(OneWeekMtgRatesDataTable756[[#This Row],[asofdate]]),MONTH(OneWeekMtgRatesDataTable756[[#This Row],[asofdate]]),DAY(OneWeekMtgRatesDataTable756[[#This Row],[asofdate]]))</f>
        <v>41417</v>
      </c>
      <c r="E802" s="48" t="s">
        <v>11</v>
      </c>
      <c r="F802" s="55">
        <v>0.19328000000000001</v>
      </c>
    </row>
    <row r="803" spans="2:6">
      <c r="B803" s="48" t="s">
        <v>20</v>
      </c>
      <c r="C803" s="48" t="s">
        <v>1035</v>
      </c>
      <c r="D803" s="48">
        <f>DATE(YEAR(OneWeekMtgRatesDataTable756[[#This Row],[asofdate]]),MONTH(OneWeekMtgRatesDataTable756[[#This Row],[asofdate]]),DAY(OneWeekMtgRatesDataTable756[[#This Row],[asofdate]]))</f>
        <v>41416</v>
      </c>
      <c r="E803" s="48" t="s">
        <v>11</v>
      </c>
      <c r="F803" s="55">
        <v>0.19528000000000001</v>
      </c>
    </row>
    <row r="804" spans="2:6">
      <c r="B804" s="48" t="s">
        <v>20</v>
      </c>
      <c r="C804" s="48" t="s">
        <v>1034</v>
      </c>
      <c r="D804" s="48">
        <f>DATE(YEAR(OneWeekMtgRatesDataTable756[[#This Row],[asofdate]]),MONTH(OneWeekMtgRatesDataTable756[[#This Row],[asofdate]]),DAY(OneWeekMtgRatesDataTable756[[#This Row],[asofdate]]))</f>
        <v>41415</v>
      </c>
      <c r="E804" s="48" t="s">
        <v>11</v>
      </c>
      <c r="F804" s="55">
        <v>0.19628000000000001</v>
      </c>
    </row>
    <row r="805" spans="2:6">
      <c r="B805" s="48" t="s">
        <v>20</v>
      </c>
      <c r="C805" s="48" t="s">
        <v>1033</v>
      </c>
      <c r="D805" s="48">
        <f>DATE(YEAR(OneWeekMtgRatesDataTable756[[#This Row],[asofdate]]),MONTH(OneWeekMtgRatesDataTable756[[#This Row],[asofdate]]),DAY(OneWeekMtgRatesDataTable756[[#This Row],[asofdate]]))</f>
        <v>41414</v>
      </c>
      <c r="E805" s="48" t="s">
        <v>11</v>
      </c>
      <c r="F805" s="55">
        <v>0.19617999999999999</v>
      </c>
    </row>
    <row r="806" spans="2:6">
      <c r="B806" s="48" t="s">
        <v>20</v>
      </c>
      <c r="C806" s="48" t="s">
        <v>1032</v>
      </c>
      <c r="D806" s="48">
        <f>DATE(YEAR(OneWeekMtgRatesDataTable756[[#This Row],[asofdate]]),MONTH(OneWeekMtgRatesDataTable756[[#This Row],[asofdate]]),DAY(OneWeekMtgRatesDataTable756[[#This Row],[asofdate]]))</f>
        <v>41411</v>
      </c>
      <c r="E806" s="48" t="s">
        <v>11</v>
      </c>
      <c r="F806" s="55">
        <v>0.19678000000000001</v>
      </c>
    </row>
    <row r="807" spans="2:6">
      <c r="B807" s="48" t="s">
        <v>20</v>
      </c>
      <c r="C807" s="48" t="s">
        <v>1031</v>
      </c>
      <c r="D807" s="48">
        <f>DATE(YEAR(OneWeekMtgRatesDataTable756[[#This Row],[asofdate]]),MONTH(OneWeekMtgRatesDataTable756[[#This Row],[asofdate]]),DAY(OneWeekMtgRatesDataTable756[[#This Row],[asofdate]]))</f>
        <v>41410</v>
      </c>
      <c r="E807" s="48" t="s">
        <v>11</v>
      </c>
      <c r="F807" s="55">
        <v>0.19819999999999999</v>
      </c>
    </row>
    <row r="808" spans="2:6">
      <c r="B808" s="48" t="s">
        <v>20</v>
      </c>
      <c r="C808" s="48" t="s">
        <v>1030</v>
      </c>
      <c r="D808" s="48">
        <f>DATE(YEAR(OneWeekMtgRatesDataTable756[[#This Row],[asofdate]]),MONTH(OneWeekMtgRatesDataTable756[[#This Row],[asofdate]]),DAY(OneWeekMtgRatesDataTable756[[#This Row],[asofdate]]))</f>
        <v>41409</v>
      </c>
      <c r="E808" s="48" t="s">
        <v>11</v>
      </c>
      <c r="F808" s="55">
        <v>0.19819999999999999</v>
      </c>
    </row>
    <row r="809" spans="2:6">
      <c r="B809" s="48" t="s">
        <v>20</v>
      </c>
      <c r="C809" s="48" t="s">
        <v>1029</v>
      </c>
      <c r="D809" s="48">
        <f>DATE(YEAR(OneWeekMtgRatesDataTable756[[#This Row],[asofdate]]),MONTH(OneWeekMtgRatesDataTable756[[#This Row],[asofdate]]),DAY(OneWeekMtgRatesDataTable756[[#This Row],[asofdate]]))</f>
        <v>41408</v>
      </c>
      <c r="E809" s="48" t="s">
        <v>11</v>
      </c>
      <c r="F809" s="55">
        <v>0.19819999999999999</v>
      </c>
    </row>
    <row r="810" spans="2:6">
      <c r="B810" s="48" t="s">
        <v>20</v>
      </c>
      <c r="C810" s="48" t="s">
        <v>1028</v>
      </c>
      <c r="D810" s="48">
        <f>DATE(YEAR(OneWeekMtgRatesDataTable756[[#This Row],[asofdate]]),MONTH(OneWeekMtgRatesDataTable756[[#This Row],[asofdate]]),DAY(OneWeekMtgRatesDataTable756[[#This Row],[asofdate]]))</f>
        <v>41407</v>
      </c>
      <c r="E810" s="48" t="s">
        <v>11</v>
      </c>
      <c r="F810" s="55">
        <v>0.19919999999999999</v>
      </c>
    </row>
    <row r="811" spans="2:6">
      <c r="B811" s="48" t="s">
        <v>20</v>
      </c>
      <c r="C811" s="48" t="s">
        <v>1027</v>
      </c>
      <c r="D811" s="48">
        <f>DATE(YEAR(OneWeekMtgRatesDataTable756[[#This Row],[asofdate]]),MONTH(OneWeekMtgRatesDataTable756[[#This Row],[asofdate]]),DAY(OneWeekMtgRatesDataTable756[[#This Row],[asofdate]]))</f>
        <v>41404</v>
      </c>
      <c r="E811" s="48" t="s">
        <v>11</v>
      </c>
      <c r="F811" s="55">
        <v>0.19919999999999999</v>
      </c>
    </row>
    <row r="812" spans="2:6">
      <c r="B812" s="48" t="s">
        <v>20</v>
      </c>
      <c r="C812" s="48" t="s">
        <v>1026</v>
      </c>
      <c r="D812" s="48">
        <f>DATE(YEAR(OneWeekMtgRatesDataTable756[[#This Row],[asofdate]]),MONTH(OneWeekMtgRatesDataTable756[[#This Row],[asofdate]]),DAY(OneWeekMtgRatesDataTable756[[#This Row],[asofdate]]))</f>
        <v>41403</v>
      </c>
      <c r="E812" s="48" t="s">
        <v>11</v>
      </c>
      <c r="F812" s="55">
        <v>0.19919999999999999</v>
      </c>
    </row>
    <row r="813" spans="2:6">
      <c r="B813" s="48" t="s">
        <v>20</v>
      </c>
      <c r="C813" s="48" t="s">
        <v>1025</v>
      </c>
      <c r="D813" s="48">
        <f>DATE(YEAR(OneWeekMtgRatesDataTable756[[#This Row],[asofdate]]),MONTH(OneWeekMtgRatesDataTable756[[#This Row],[asofdate]]),DAY(OneWeekMtgRatesDataTable756[[#This Row],[asofdate]]))</f>
        <v>41402</v>
      </c>
      <c r="E813" s="48" t="s">
        <v>11</v>
      </c>
      <c r="F813" s="55">
        <v>0.19919999999999999</v>
      </c>
    </row>
    <row r="814" spans="2:6">
      <c r="B814" s="48" t="s">
        <v>20</v>
      </c>
      <c r="C814" s="48" t="s">
        <v>1024</v>
      </c>
      <c r="D814" s="48">
        <f>DATE(YEAR(OneWeekMtgRatesDataTable756[[#This Row],[asofdate]]),MONTH(OneWeekMtgRatesDataTable756[[#This Row],[asofdate]]),DAY(OneWeekMtgRatesDataTable756[[#This Row],[asofdate]]))</f>
        <v>41401</v>
      </c>
      <c r="E814" s="48" t="s">
        <v>11</v>
      </c>
      <c r="F814" s="55">
        <v>0.19919999999999999</v>
      </c>
    </row>
    <row r="815" spans="2:6">
      <c r="B815" s="48" t="s">
        <v>20</v>
      </c>
      <c r="C815" s="48" t="s">
        <v>1023</v>
      </c>
      <c r="D815" s="48">
        <f>DATE(YEAR(OneWeekMtgRatesDataTable756[[#This Row],[asofdate]]),MONTH(OneWeekMtgRatesDataTable756[[#This Row],[asofdate]]),DAY(OneWeekMtgRatesDataTable756[[#This Row],[asofdate]]))</f>
        <v>41400</v>
      </c>
      <c r="E815" s="48" t="s">
        <v>11</v>
      </c>
      <c r="F815" s="55">
        <v>0.19819999999999999</v>
      </c>
    </row>
    <row r="816" spans="2:6">
      <c r="B816" s="48" t="s">
        <v>20</v>
      </c>
      <c r="C816" s="48" t="s">
        <v>1022</v>
      </c>
      <c r="D816" s="48">
        <f>DATE(YEAR(OneWeekMtgRatesDataTable756[[#This Row],[asofdate]]),MONTH(OneWeekMtgRatesDataTable756[[#This Row],[asofdate]]),DAY(OneWeekMtgRatesDataTable756[[#This Row],[asofdate]]))</f>
        <v>41397</v>
      </c>
      <c r="E816" s="48" t="s">
        <v>11</v>
      </c>
      <c r="F816" s="55">
        <v>0.19819999999999999</v>
      </c>
    </row>
    <row r="817" spans="2:6">
      <c r="B817" s="48" t="s">
        <v>20</v>
      </c>
      <c r="C817" s="48" t="s">
        <v>1021</v>
      </c>
      <c r="D817" s="48">
        <f>DATE(YEAR(OneWeekMtgRatesDataTable756[[#This Row],[asofdate]]),MONTH(OneWeekMtgRatesDataTable756[[#This Row],[asofdate]]),DAY(OneWeekMtgRatesDataTable756[[#This Row],[asofdate]]))</f>
        <v>41396</v>
      </c>
      <c r="E817" s="48" t="s">
        <v>11</v>
      </c>
      <c r="F817" s="55">
        <v>0.19819999999999999</v>
      </c>
    </row>
    <row r="818" spans="2:6">
      <c r="B818" s="48" t="s">
        <v>20</v>
      </c>
      <c r="C818" s="48" t="s">
        <v>1020</v>
      </c>
      <c r="D818" s="48">
        <f>DATE(YEAR(OneWeekMtgRatesDataTable756[[#This Row],[asofdate]]),MONTH(OneWeekMtgRatesDataTable756[[#This Row],[asofdate]]),DAY(OneWeekMtgRatesDataTable756[[#This Row],[asofdate]]))</f>
        <v>41395</v>
      </c>
      <c r="E818" s="48" t="s">
        <v>11</v>
      </c>
      <c r="F818" s="55">
        <v>0.19819999999999999</v>
      </c>
    </row>
    <row r="819" spans="2:6">
      <c r="B819" s="48" t="s">
        <v>20</v>
      </c>
      <c r="C819" s="48" t="s">
        <v>1019</v>
      </c>
      <c r="D819" s="48">
        <f>DATE(YEAR(OneWeekMtgRatesDataTable756[[#This Row],[asofdate]]),MONTH(OneWeekMtgRatesDataTable756[[#This Row],[asofdate]]),DAY(OneWeekMtgRatesDataTable756[[#This Row],[asofdate]]))</f>
        <v>41394</v>
      </c>
      <c r="E819" s="48" t="s">
        <v>11</v>
      </c>
      <c r="F819" s="55">
        <v>0.19819999999999999</v>
      </c>
    </row>
    <row r="820" spans="2:6">
      <c r="B820" s="48" t="s">
        <v>20</v>
      </c>
      <c r="C820" s="48" t="s">
        <v>1018</v>
      </c>
      <c r="D820" s="48">
        <f>DATE(YEAR(OneWeekMtgRatesDataTable756[[#This Row],[asofdate]]),MONTH(OneWeekMtgRatesDataTable756[[#This Row],[asofdate]]),DAY(OneWeekMtgRatesDataTable756[[#This Row],[asofdate]]))</f>
        <v>41393</v>
      </c>
      <c r="E820" s="48" t="s">
        <v>11</v>
      </c>
      <c r="F820" s="55">
        <v>0.19819999999999999</v>
      </c>
    </row>
    <row r="821" spans="2:6">
      <c r="B821" s="48" t="s">
        <v>20</v>
      </c>
      <c r="C821" s="48" t="s">
        <v>1017</v>
      </c>
      <c r="D821" s="48">
        <f>DATE(YEAR(OneWeekMtgRatesDataTable756[[#This Row],[asofdate]]),MONTH(OneWeekMtgRatesDataTable756[[#This Row],[asofdate]]),DAY(OneWeekMtgRatesDataTable756[[#This Row],[asofdate]]))</f>
        <v>41390</v>
      </c>
      <c r="E821" s="48" t="s">
        <v>11</v>
      </c>
      <c r="F821" s="55">
        <v>0.19819999999999999</v>
      </c>
    </row>
    <row r="822" spans="2:6">
      <c r="B822" s="48" t="s">
        <v>20</v>
      </c>
      <c r="C822" s="48" t="s">
        <v>1016</v>
      </c>
      <c r="D822" s="48">
        <f>DATE(YEAR(OneWeekMtgRatesDataTable756[[#This Row],[asofdate]]),MONTH(OneWeekMtgRatesDataTable756[[#This Row],[asofdate]]),DAY(OneWeekMtgRatesDataTable756[[#This Row],[asofdate]]))</f>
        <v>41389</v>
      </c>
      <c r="E822" s="48" t="s">
        <v>11</v>
      </c>
      <c r="F822" s="55">
        <v>0.19819999999999999</v>
      </c>
    </row>
    <row r="823" spans="2:6">
      <c r="B823" s="48" t="s">
        <v>20</v>
      </c>
      <c r="C823" s="48" t="s">
        <v>1015</v>
      </c>
      <c r="D823" s="48">
        <f>DATE(YEAR(OneWeekMtgRatesDataTable756[[#This Row],[asofdate]]),MONTH(OneWeekMtgRatesDataTable756[[#This Row],[asofdate]]),DAY(OneWeekMtgRatesDataTable756[[#This Row],[asofdate]]))</f>
        <v>41388</v>
      </c>
      <c r="E823" s="48" t="s">
        <v>11</v>
      </c>
      <c r="F823" s="55">
        <v>0.19819999999999999</v>
      </c>
    </row>
    <row r="824" spans="2:6">
      <c r="B824" s="48" t="s">
        <v>20</v>
      </c>
      <c r="C824" s="48" t="s">
        <v>1014</v>
      </c>
      <c r="D824" s="48">
        <f>DATE(YEAR(OneWeekMtgRatesDataTable756[[#This Row],[asofdate]]),MONTH(OneWeekMtgRatesDataTable756[[#This Row],[asofdate]]),DAY(OneWeekMtgRatesDataTable756[[#This Row],[asofdate]]))</f>
        <v>41387</v>
      </c>
      <c r="E824" s="48" t="s">
        <v>11</v>
      </c>
      <c r="F824" s="55">
        <v>0.20019999999999999</v>
      </c>
    </row>
    <row r="825" spans="2:6">
      <c r="B825" s="48" t="s">
        <v>20</v>
      </c>
      <c r="C825" s="48" t="s">
        <v>1013</v>
      </c>
      <c r="D825" s="48">
        <f>DATE(YEAR(OneWeekMtgRatesDataTable756[[#This Row],[asofdate]]),MONTH(OneWeekMtgRatesDataTable756[[#This Row],[asofdate]]),DAY(OneWeekMtgRatesDataTable756[[#This Row],[asofdate]]))</f>
        <v>41386</v>
      </c>
      <c r="E825" s="48" t="s">
        <v>11</v>
      </c>
      <c r="F825" s="55">
        <v>0.19919999999999999</v>
      </c>
    </row>
    <row r="826" spans="2:6">
      <c r="B826" s="48" t="s">
        <v>20</v>
      </c>
      <c r="C826" s="48" t="s">
        <v>1012</v>
      </c>
      <c r="D826" s="48">
        <f>DATE(YEAR(OneWeekMtgRatesDataTable756[[#This Row],[asofdate]]),MONTH(OneWeekMtgRatesDataTable756[[#This Row],[asofdate]]),DAY(OneWeekMtgRatesDataTable756[[#This Row],[asofdate]]))</f>
        <v>41383</v>
      </c>
      <c r="E826" s="48" t="s">
        <v>11</v>
      </c>
      <c r="F826" s="55">
        <v>0.19919999999999999</v>
      </c>
    </row>
    <row r="827" spans="2:6">
      <c r="B827" s="48" t="s">
        <v>20</v>
      </c>
      <c r="C827" s="48" t="s">
        <v>1011</v>
      </c>
      <c r="D827" s="48">
        <f>DATE(YEAR(OneWeekMtgRatesDataTable756[[#This Row],[asofdate]]),MONTH(OneWeekMtgRatesDataTable756[[#This Row],[asofdate]]),DAY(OneWeekMtgRatesDataTable756[[#This Row],[asofdate]]))</f>
        <v>41382</v>
      </c>
      <c r="E827" s="48" t="s">
        <v>11</v>
      </c>
      <c r="F827" s="55">
        <v>0.19919999999999999</v>
      </c>
    </row>
    <row r="828" spans="2:6">
      <c r="B828" s="48" t="s">
        <v>20</v>
      </c>
      <c r="C828" s="48" t="s">
        <v>1010</v>
      </c>
      <c r="D828" s="48">
        <f>DATE(YEAR(OneWeekMtgRatesDataTable756[[#This Row],[asofdate]]),MONTH(OneWeekMtgRatesDataTable756[[#This Row],[asofdate]]),DAY(OneWeekMtgRatesDataTable756[[#This Row],[asofdate]]))</f>
        <v>41381</v>
      </c>
      <c r="E828" s="48" t="s">
        <v>11</v>
      </c>
      <c r="F828" s="55">
        <v>0.19919999999999999</v>
      </c>
    </row>
    <row r="829" spans="2:6">
      <c r="B829" s="48" t="s">
        <v>20</v>
      </c>
      <c r="C829" s="48" t="s">
        <v>1009</v>
      </c>
      <c r="D829" s="48">
        <f>DATE(YEAR(OneWeekMtgRatesDataTable756[[#This Row],[asofdate]]),MONTH(OneWeekMtgRatesDataTable756[[#This Row],[asofdate]]),DAY(OneWeekMtgRatesDataTable756[[#This Row],[asofdate]]))</f>
        <v>41380</v>
      </c>
      <c r="E829" s="48" t="s">
        <v>11</v>
      </c>
      <c r="F829" s="55">
        <v>0.20019999999999999</v>
      </c>
    </row>
    <row r="830" spans="2:6">
      <c r="B830" s="48" t="s">
        <v>20</v>
      </c>
      <c r="C830" s="48" t="s">
        <v>1008</v>
      </c>
      <c r="D830" s="48">
        <f>DATE(YEAR(OneWeekMtgRatesDataTable756[[#This Row],[asofdate]]),MONTH(OneWeekMtgRatesDataTable756[[#This Row],[asofdate]]),DAY(OneWeekMtgRatesDataTable756[[#This Row],[asofdate]]))</f>
        <v>41379</v>
      </c>
      <c r="E830" s="48" t="s">
        <v>11</v>
      </c>
      <c r="F830" s="55">
        <v>0.19969999999999999</v>
      </c>
    </row>
    <row r="831" spans="2:6">
      <c r="B831" s="48" t="s">
        <v>20</v>
      </c>
      <c r="C831" s="48" t="s">
        <v>1007</v>
      </c>
      <c r="D831" s="48">
        <f>DATE(YEAR(OneWeekMtgRatesDataTable756[[#This Row],[asofdate]]),MONTH(OneWeekMtgRatesDataTable756[[#This Row],[asofdate]]),DAY(OneWeekMtgRatesDataTable756[[#This Row],[asofdate]]))</f>
        <v>41376</v>
      </c>
      <c r="E831" s="48" t="s">
        <v>11</v>
      </c>
      <c r="F831" s="55">
        <v>0.19969999999999999</v>
      </c>
    </row>
    <row r="832" spans="2:6">
      <c r="B832" s="48" t="s">
        <v>20</v>
      </c>
      <c r="C832" s="48" t="s">
        <v>1006</v>
      </c>
      <c r="D832" s="48">
        <f>DATE(YEAR(OneWeekMtgRatesDataTable756[[#This Row],[asofdate]]),MONTH(OneWeekMtgRatesDataTable756[[#This Row],[asofdate]]),DAY(OneWeekMtgRatesDataTable756[[#This Row],[asofdate]]))</f>
        <v>41375</v>
      </c>
      <c r="E832" s="48" t="s">
        <v>11</v>
      </c>
      <c r="F832" s="55">
        <v>0.19869999999999999</v>
      </c>
    </row>
    <row r="833" spans="2:6">
      <c r="B833" s="48" t="s">
        <v>20</v>
      </c>
      <c r="C833" s="48" t="s">
        <v>1005</v>
      </c>
      <c r="D833" s="48">
        <f>DATE(YEAR(OneWeekMtgRatesDataTable756[[#This Row],[asofdate]]),MONTH(OneWeekMtgRatesDataTable756[[#This Row],[asofdate]]),DAY(OneWeekMtgRatesDataTable756[[#This Row],[asofdate]]))</f>
        <v>41374</v>
      </c>
      <c r="E833" s="48" t="s">
        <v>11</v>
      </c>
      <c r="F833" s="55">
        <v>0.1993</v>
      </c>
    </row>
    <row r="834" spans="2:6">
      <c r="B834" s="48" t="s">
        <v>20</v>
      </c>
      <c r="C834" s="48" t="s">
        <v>1004</v>
      </c>
      <c r="D834" s="48">
        <f>DATE(YEAR(OneWeekMtgRatesDataTable756[[#This Row],[asofdate]]),MONTH(OneWeekMtgRatesDataTable756[[#This Row],[asofdate]]),DAY(OneWeekMtgRatesDataTable756[[#This Row],[asofdate]]))</f>
        <v>41373</v>
      </c>
      <c r="E834" s="48" t="s">
        <v>11</v>
      </c>
      <c r="F834" s="55">
        <v>0.1993</v>
      </c>
    </row>
    <row r="835" spans="2:6">
      <c r="B835" s="48" t="s">
        <v>20</v>
      </c>
      <c r="C835" s="48" t="s">
        <v>1003</v>
      </c>
      <c r="D835" s="48">
        <f>DATE(YEAR(OneWeekMtgRatesDataTable756[[#This Row],[asofdate]]),MONTH(OneWeekMtgRatesDataTable756[[#This Row],[asofdate]]),DAY(OneWeekMtgRatesDataTable756[[#This Row],[asofdate]]))</f>
        <v>41372</v>
      </c>
      <c r="E835" s="48" t="s">
        <v>11</v>
      </c>
      <c r="F835" s="55">
        <v>0.20030000000000001</v>
      </c>
    </row>
    <row r="836" spans="2:6">
      <c r="B836" s="48" t="s">
        <v>20</v>
      </c>
      <c r="C836" s="48" t="s">
        <v>1002</v>
      </c>
      <c r="D836" s="48">
        <f>DATE(YEAR(OneWeekMtgRatesDataTable756[[#This Row],[asofdate]]),MONTH(OneWeekMtgRatesDataTable756[[#This Row],[asofdate]]),DAY(OneWeekMtgRatesDataTable756[[#This Row],[asofdate]]))</f>
        <v>41369</v>
      </c>
      <c r="E836" s="48" t="s">
        <v>11</v>
      </c>
      <c r="F836" s="55">
        <v>0.20030000000000001</v>
      </c>
    </row>
    <row r="837" spans="2:6">
      <c r="B837" s="48" t="s">
        <v>20</v>
      </c>
      <c r="C837" s="48" t="s">
        <v>1001</v>
      </c>
      <c r="D837" s="48">
        <f>DATE(YEAR(OneWeekMtgRatesDataTable756[[#This Row],[asofdate]]),MONTH(OneWeekMtgRatesDataTable756[[#This Row],[asofdate]]),DAY(OneWeekMtgRatesDataTable756[[#This Row],[asofdate]]))</f>
        <v>41368</v>
      </c>
      <c r="E837" s="48" t="s">
        <v>11</v>
      </c>
      <c r="F837" s="55">
        <v>0.20030000000000001</v>
      </c>
    </row>
    <row r="838" spans="2:6">
      <c r="B838" s="48" t="s">
        <v>20</v>
      </c>
      <c r="C838" s="48" t="s">
        <v>1000</v>
      </c>
      <c r="D838" s="48">
        <f>DATE(YEAR(OneWeekMtgRatesDataTable756[[#This Row],[asofdate]]),MONTH(OneWeekMtgRatesDataTable756[[#This Row],[asofdate]]),DAY(OneWeekMtgRatesDataTable756[[#This Row],[asofdate]]))</f>
        <v>41367</v>
      </c>
      <c r="E838" s="48" t="s">
        <v>11</v>
      </c>
      <c r="F838" s="55">
        <v>0.20169999999999999</v>
      </c>
    </row>
    <row r="839" spans="2:6">
      <c r="B839" s="48" t="s">
        <v>20</v>
      </c>
      <c r="C839" s="48" t="s">
        <v>999</v>
      </c>
      <c r="D839" s="48">
        <f>DATE(YEAR(OneWeekMtgRatesDataTable756[[#This Row],[asofdate]]),MONTH(OneWeekMtgRatesDataTable756[[#This Row],[asofdate]]),DAY(OneWeekMtgRatesDataTable756[[#This Row],[asofdate]]))</f>
        <v>41366</v>
      </c>
      <c r="E839" s="48" t="s">
        <v>11</v>
      </c>
      <c r="F839" s="55">
        <v>0.20269999999999999</v>
      </c>
    </row>
    <row r="840" spans="2:6">
      <c r="B840" s="48" t="s">
        <v>20</v>
      </c>
      <c r="C840" s="48" t="s">
        <v>998</v>
      </c>
      <c r="D840" s="48">
        <f>DATE(YEAR(OneWeekMtgRatesDataTable756[[#This Row],[asofdate]]),MONTH(OneWeekMtgRatesDataTable756[[#This Row],[asofdate]]),DAY(OneWeekMtgRatesDataTable756[[#This Row],[asofdate]]))</f>
        <v>41365</v>
      </c>
      <c r="E840" s="48" t="s">
        <v>11</v>
      </c>
      <c r="F840" s="55">
        <v>0.20369999999999999</v>
      </c>
    </row>
    <row r="841" spans="2:6">
      <c r="B841" s="48" t="s">
        <v>20</v>
      </c>
      <c r="C841" s="48" t="s">
        <v>997</v>
      </c>
      <c r="D841" s="48">
        <f>DATE(YEAR(OneWeekMtgRatesDataTable756[[#This Row],[asofdate]]),MONTH(OneWeekMtgRatesDataTable756[[#This Row],[asofdate]]),DAY(OneWeekMtgRatesDataTable756[[#This Row],[asofdate]]))</f>
        <v>41361</v>
      </c>
      <c r="E841" s="48" t="s">
        <v>11</v>
      </c>
      <c r="F841" s="55">
        <v>0.20369999999999999</v>
      </c>
    </row>
    <row r="842" spans="2:6">
      <c r="B842" s="48" t="s">
        <v>20</v>
      </c>
      <c r="C842" s="48" t="s">
        <v>996</v>
      </c>
      <c r="D842" s="48">
        <f>DATE(YEAR(OneWeekMtgRatesDataTable756[[#This Row],[asofdate]]),MONTH(OneWeekMtgRatesDataTable756[[#This Row],[asofdate]]),DAY(OneWeekMtgRatesDataTable756[[#This Row],[asofdate]]))</f>
        <v>41360</v>
      </c>
      <c r="E842" s="48" t="s">
        <v>11</v>
      </c>
      <c r="F842" s="55">
        <v>0.20369999999999999</v>
      </c>
    </row>
    <row r="843" spans="2:6">
      <c r="B843" s="48" t="s">
        <v>20</v>
      </c>
      <c r="C843" s="48" t="s">
        <v>995</v>
      </c>
      <c r="D843" s="48">
        <f>DATE(YEAR(OneWeekMtgRatesDataTable756[[#This Row],[asofdate]]),MONTH(OneWeekMtgRatesDataTable756[[#This Row],[asofdate]]),DAY(OneWeekMtgRatesDataTable756[[#This Row],[asofdate]]))</f>
        <v>41359</v>
      </c>
      <c r="E843" s="48" t="s">
        <v>11</v>
      </c>
      <c r="F843" s="55">
        <v>0.20369999999999999</v>
      </c>
    </row>
    <row r="844" spans="2:6">
      <c r="B844" s="48" t="s">
        <v>20</v>
      </c>
      <c r="C844" s="48" t="s">
        <v>994</v>
      </c>
      <c r="D844" s="48">
        <f>DATE(YEAR(OneWeekMtgRatesDataTable756[[#This Row],[asofdate]]),MONTH(OneWeekMtgRatesDataTable756[[#This Row],[asofdate]]),DAY(OneWeekMtgRatesDataTable756[[#This Row],[asofdate]]))</f>
        <v>41358</v>
      </c>
      <c r="E844" s="48" t="s">
        <v>11</v>
      </c>
      <c r="F844" s="55">
        <v>0.20419999999999999</v>
      </c>
    </row>
    <row r="845" spans="2:6">
      <c r="B845" s="48" t="s">
        <v>20</v>
      </c>
      <c r="C845" s="48" t="s">
        <v>993</v>
      </c>
      <c r="D845" s="48">
        <f>DATE(YEAR(OneWeekMtgRatesDataTable756[[#This Row],[asofdate]]),MONTH(OneWeekMtgRatesDataTable756[[#This Row],[asofdate]]),DAY(OneWeekMtgRatesDataTable756[[#This Row],[asofdate]]))</f>
        <v>41355</v>
      </c>
      <c r="E845" s="48" t="s">
        <v>11</v>
      </c>
      <c r="F845" s="55">
        <v>0.20419999999999999</v>
      </c>
    </row>
    <row r="846" spans="2:6">
      <c r="B846" s="48" t="s">
        <v>20</v>
      </c>
      <c r="C846" s="48" t="s">
        <v>992</v>
      </c>
      <c r="D846" s="48">
        <f>DATE(YEAR(OneWeekMtgRatesDataTable756[[#This Row],[asofdate]]),MONTH(OneWeekMtgRatesDataTable756[[#This Row],[asofdate]]),DAY(OneWeekMtgRatesDataTable756[[#This Row],[asofdate]]))</f>
        <v>41354</v>
      </c>
      <c r="E846" s="48" t="s">
        <v>11</v>
      </c>
      <c r="F846" s="55">
        <v>0.20419999999999999</v>
      </c>
    </row>
    <row r="847" spans="2:6">
      <c r="B847" s="48" t="s">
        <v>20</v>
      </c>
      <c r="C847" s="48" t="s">
        <v>991</v>
      </c>
      <c r="D847" s="48">
        <f>DATE(YEAR(OneWeekMtgRatesDataTable756[[#This Row],[asofdate]]),MONTH(OneWeekMtgRatesDataTable756[[#This Row],[asofdate]]),DAY(OneWeekMtgRatesDataTable756[[#This Row],[asofdate]]))</f>
        <v>41353</v>
      </c>
      <c r="E847" s="48" t="s">
        <v>11</v>
      </c>
      <c r="F847" s="55">
        <v>0.20469999999999999</v>
      </c>
    </row>
    <row r="848" spans="2:6">
      <c r="B848" s="48" t="s">
        <v>20</v>
      </c>
      <c r="C848" s="48" t="s">
        <v>990</v>
      </c>
      <c r="D848" s="48">
        <f>DATE(YEAR(OneWeekMtgRatesDataTable756[[#This Row],[asofdate]]),MONTH(OneWeekMtgRatesDataTable756[[#This Row],[asofdate]]),DAY(OneWeekMtgRatesDataTable756[[#This Row],[asofdate]]))</f>
        <v>41352</v>
      </c>
      <c r="E848" s="48" t="s">
        <v>11</v>
      </c>
      <c r="F848" s="55">
        <v>0.20369999999999999</v>
      </c>
    </row>
    <row r="849" spans="2:6">
      <c r="B849" s="48" t="s">
        <v>20</v>
      </c>
      <c r="C849" s="48" t="s">
        <v>989</v>
      </c>
      <c r="D849" s="48">
        <f>DATE(YEAR(OneWeekMtgRatesDataTable756[[#This Row],[asofdate]]),MONTH(OneWeekMtgRatesDataTable756[[#This Row],[asofdate]]),DAY(OneWeekMtgRatesDataTable756[[#This Row],[asofdate]]))</f>
        <v>41351</v>
      </c>
      <c r="E849" s="48" t="s">
        <v>11</v>
      </c>
      <c r="F849" s="55">
        <v>0.20319999999999999</v>
      </c>
    </row>
    <row r="850" spans="2:6">
      <c r="B850" s="48" t="s">
        <v>20</v>
      </c>
      <c r="C850" s="48" t="s">
        <v>988</v>
      </c>
      <c r="D850" s="48">
        <f>DATE(YEAR(OneWeekMtgRatesDataTable756[[#This Row],[asofdate]]),MONTH(OneWeekMtgRatesDataTable756[[#This Row],[asofdate]]),DAY(OneWeekMtgRatesDataTable756[[#This Row],[asofdate]]))</f>
        <v>41348</v>
      </c>
      <c r="E850" s="48" t="s">
        <v>11</v>
      </c>
      <c r="F850" s="55">
        <v>0.20319999999999999</v>
      </c>
    </row>
    <row r="851" spans="2:6">
      <c r="B851" s="48" t="s">
        <v>20</v>
      </c>
      <c r="C851" s="48" t="s">
        <v>987</v>
      </c>
      <c r="D851" s="48">
        <f>DATE(YEAR(OneWeekMtgRatesDataTable756[[#This Row],[asofdate]]),MONTH(OneWeekMtgRatesDataTable756[[#This Row],[asofdate]]),DAY(OneWeekMtgRatesDataTable756[[#This Row],[asofdate]]))</f>
        <v>41347</v>
      </c>
      <c r="E851" s="48" t="s">
        <v>11</v>
      </c>
      <c r="F851" s="55">
        <v>0.20319999999999999</v>
      </c>
    </row>
    <row r="852" spans="2:6">
      <c r="B852" s="48" t="s">
        <v>20</v>
      </c>
      <c r="C852" s="48" t="s">
        <v>986</v>
      </c>
      <c r="D852" s="48">
        <f>DATE(YEAR(OneWeekMtgRatesDataTable756[[#This Row],[asofdate]]),MONTH(OneWeekMtgRatesDataTable756[[#This Row],[asofdate]]),DAY(OneWeekMtgRatesDataTable756[[#This Row],[asofdate]]))</f>
        <v>41346</v>
      </c>
      <c r="E852" s="48" t="s">
        <v>11</v>
      </c>
      <c r="F852" s="55">
        <v>0.20319999999999999</v>
      </c>
    </row>
    <row r="853" spans="2:6">
      <c r="B853" s="48" t="s">
        <v>20</v>
      </c>
      <c r="C853" s="48" t="s">
        <v>985</v>
      </c>
      <c r="D853" s="48">
        <f>DATE(YEAR(OneWeekMtgRatesDataTable756[[#This Row],[asofdate]]),MONTH(OneWeekMtgRatesDataTable756[[#This Row],[asofdate]]),DAY(OneWeekMtgRatesDataTable756[[#This Row],[asofdate]]))</f>
        <v>41345</v>
      </c>
      <c r="E853" s="48" t="s">
        <v>11</v>
      </c>
      <c r="F853" s="55">
        <v>0.20319999999999999</v>
      </c>
    </row>
    <row r="854" spans="2:6">
      <c r="B854" s="48" t="s">
        <v>20</v>
      </c>
      <c r="C854" s="48" t="s">
        <v>984</v>
      </c>
      <c r="D854" s="48">
        <f>DATE(YEAR(OneWeekMtgRatesDataTable756[[#This Row],[asofdate]]),MONTH(OneWeekMtgRatesDataTable756[[#This Row],[asofdate]]),DAY(OneWeekMtgRatesDataTable756[[#This Row],[asofdate]]))</f>
        <v>41344</v>
      </c>
      <c r="E854" s="48" t="s">
        <v>11</v>
      </c>
      <c r="F854" s="55">
        <v>0.20219999999999999</v>
      </c>
    </row>
    <row r="855" spans="2:6">
      <c r="B855" s="48" t="s">
        <v>20</v>
      </c>
      <c r="C855" s="48" t="s">
        <v>983</v>
      </c>
      <c r="D855" s="48">
        <f>DATE(YEAR(OneWeekMtgRatesDataTable756[[#This Row],[asofdate]]),MONTH(OneWeekMtgRatesDataTable756[[#This Row],[asofdate]]),DAY(OneWeekMtgRatesDataTable756[[#This Row],[asofdate]]))</f>
        <v>41341</v>
      </c>
      <c r="E855" s="48" t="s">
        <v>11</v>
      </c>
      <c r="F855" s="55">
        <v>0.20219999999999999</v>
      </c>
    </row>
    <row r="856" spans="2:6">
      <c r="B856" s="48" t="s">
        <v>20</v>
      </c>
      <c r="C856" s="48" t="s">
        <v>982</v>
      </c>
      <c r="D856" s="48">
        <f>DATE(YEAR(OneWeekMtgRatesDataTable756[[#This Row],[asofdate]]),MONTH(OneWeekMtgRatesDataTable756[[#This Row],[asofdate]]),DAY(OneWeekMtgRatesDataTable756[[#This Row],[asofdate]]))</f>
        <v>41340</v>
      </c>
      <c r="E856" s="48" t="s">
        <v>11</v>
      </c>
      <c r="F856" s="55">
        <v>0.20219999999999999</v>
      </c>
    </row>
    <row r="857" spans="2:6">
      <c r="B857" s="48" t="s">
        <v>20</v>
      </c>
      <c r="C857" s="48" t="s">
        <v>981</v>
      </c>
      <c r="D857" s="48">
        <f>DATE(YEAR(OneWeekMtgRatesDataTable756[[#This Row],[asofdate]]),MONTH(OneWeekMtgRatesDataTable756[[#This Row],[asofdate]]),DAY(OneWeekMtgRatesDataTable756[[#This Row],[asofdate]]))</f>
        <v>41339</v>
      </c>
      <c r="E857" s="48" t="s">
        <v>11</v>
      </c>
      <c r="F857" s="55">
        <v>0.20219999999999999</v>
      </c>
    </row>
    <row r="858" spans="2:6">
      <c r="B858" s="48" t="s">
        <v>20</v>
      </c>
      <c r="C858" s="48" t="s">
        <v>980</v>
      </c>
      <c r="D858" s="48">
        <f>DATE(YEAR(OneWeekMtgRatesDataTable756[[#This Row],[asofdate]]),MONTH(OneWeekMtgRatesDataTable756[[#This Row],[asofdate]]),DAY(OneWeekMtgRatesDataTable756[[#This Row],[asofdate]]))</f>
        <v>41338</v>
      </c>
      <c r="E858" s="48" t="s">
        <v>11</v>
      </c>
      <c r="F858" s="55">
        <v>0.20319999999999999</v>
      </c>
    </row>
    <row r="859" spans="2:6">
      <c r="B859" s="48" t="s">
        <v>20</v>
      </c>
      <c r="C859" s="48" t="s">
        <v>979</v>
      </c>
      <c r="D859" s="48">
        <f>DATE(YEAR(OneWeekMtgRatesDataTable756[[#This Row],[asofdate]]),MONTH(OneWeekMtgRatesDataTable756[[#This Row],[asofdate]]),DAY(OneWeekMtgRatesDataTable756[[#This Row],[asofdate]]))</f>
        <v>41337</v>
      </c>
      <c r="E859" s="48" t="s">
        <v>11</v>
      </c>
      <c r="F859" s="55">
        <v>0.20519999999999999</v>
      </c>
    </row>
    <row r="860" spans="2:6">
      <c r="B860" s="48" t="s">
        <v>20</v>
      </c>
      <c r="C860" s="48" t="s">
        <v>978</v>
      </c>
      <c r="D860" s="48">
        <f>DATE(YEAR(OneWeekMtgRatesDataTable756[[#This Row],[asofdate]]),MONTH(OneWeekMtgRatesDataTable756[[#This Row],[asofdate]]),DAY(OneWeekMtgRatesDataTable756[[#This Row],[asofdate]]))</f>
        <v>41334</v>
      </c>
      <c r="E860" s="48" t="s">
        <v>11</v>
      </c>
      <c r="F860" s="55">
        <v>0.20369999999999999</v>
      </c>
    </row>
    <row r="861" spans="2:6">
      <c r="B861" s="48" t="s">
        <v>20</v>
      </c>
      <c r="C861" s="48" t="s">
        <v>977</v>
      </c>
      <c r="D861" s="48">
        <f>DATE(YEAR(OneWeekMtgRatesDataTable756[[#This Row],[asofdate]]),MONTH(OneWeekMtgRatesDataTable756[[#This Row],[asofdate]]),DAY(OneWeekMtgRatesDataTable756[[#This Row],[asofdate]]))</f>
        <v>41333</v>
      </c>
      <c r="E861" s="48" t="s">
        <v>11</v>
      </c>
      <c r="F861" s="55">
        <v>0.20369999999999999</v>
      </c>
    </row>
    <row r="862" spans="2:6">
      <c r="B862" s="48" t="s">
        <v>20</v>
      </c>
      <c r="C862" s="48" t="s">
        <v>976</v>
      </c>
      <c r="D862" s="48">
        <f>DATE(YEAR(OneWeekMtgRatesDataTable756[[#This Row],[asofdate]]),MONTH(OneWeekMtgRatesDataTable756[[#This Row],[asofdate]]),DAY(OneWeekMtgRatesDataTable756[[#This Row],[asofdate]]))</f>
        <v>41332</v>
      </c>
      <c r="E862" s="48" t="s">
        <v>11</v>
      </c>
      <c r="F862" s="55">
        <v>0.20369999999999999</v>
      </c>
    </row>
    <row r="863" spans="2:6">
      <c r="B863" s="48" t="s">
        <v>20</v>
      </c>
      <c r="C863" s="48" t="s">
        <v>975</v>
      </c>
      <c r="D863" s="48">
        <f>DATE(YEAR(OneWeekMtgRatesDataTable756[[#This Row],[asofdate]]),MONTH(OneWeekMtgRatesDataTable756[[#This Row],[asofdate]]),DAY(OneWeekMtgRatesDataTable756[[#This Row],[asofdate]]))</f>
        <v>41331</v>
      </c>
      <c r="E863" s="48" t="s">
        <v>11</v>
      </c>
      <c r="F863" s="55">
        <v>0.20369999999999999</v>
      </c>
    </row>
    <row r="864" spans="2:6">
      <c r="B864" s="48" t="s">
        <v>20</v>
      </c>
      <c r="C864" s="48" t="s">
        <v>974</v>
      </c>
      <c r="D864" s="48">
        <f>DATE(YEAR(OneWeekMtgRatesDataTable756[[#This Row],[asofdate]]),MONTH(OneWeekMtgRatesDataTable756[[#This Row],[asofdate]]),DAY(OneWeekMtgRatesDataTable756[[#This Row],[asofdate]]))</f>
        <v>41330</v>
      </c>
      <c r="E864" s="48" t="s">
        <v>11</v>
      </c>
      <c r="F864" s="55">
        <v>0.20269999999999999</v>
      </c>
    </row>
    <row r="865" spans="2:6">
      <c r="B865" s="48" t="s">
        <v>20</v>
      </c>
      <c r="C865" s="48" t="s">
        <v>973</v>
      </c>
      <c r="D865" s="48">
        <f>DATE(YEAR(OneWeekMtgRatesDataTable756[[#This Row],[asofdate]]),MONTH(OneWeekMtgRatesDataTable756[[#This Row],[asofdate]]),DAY(OneWeekMtgRatesDataTable756[[#This Row],[asofdate]]))</f>
        <v>41327</v>
      </c>
      <c r="E865" s="48" t="s">
        <v>11</v>
      </c>
      <c r="F865" s="55">
        <v>0.20269999999999999</v>
      </c>
    </row>
    <row r="866" spans="2:6">
      <c r="B866" s="48" t="s">
        <v>20</v>
      </c>
      <c r="C866" s="48" t="s">
        <v>972</v>
      </c>
      <c r="D866" s="48">
        <f>DATE(YEAR(OneWeekMtgRatesDataTable756[[#This Row],[asofdate]]),MONTH(OneWeekMtgRatesDataTable756[[#This Row],[asofdate]]),DAY(OneWeekMtgRatesDataTable756[[#This Row],[asofdate]]))</f>
        <v>41326</v>
      </c>
      <c r="E866" s="48" t="s">
        <v>11</v>
      </c>
      <c r="F866" s="55">
        <v>0.20169999999999999</v>
      </c>
    </row>
    <row r="867" spans="2:6">
      <c r="B867" s="48" t="s">
        <v>20</v>
      </c>
      <c r="C867" s="48" t="s">
        <v>971</v>
      </c>
      <c r="D867" s="48">
        <f>DATE(YEAR(OneWeekMtgRatesDataTable756[[#This Row],[asofdate]]),MONTH(OneWeekMtgRatesDataTable756[[#This Row],[asofdate]]),DAY(OneWeekMtgRatesDataTable756[[#This Row],[asofdate]]))</f>
        <v>41325</v>
      </c>
      <c r="E867" s="48" t="s">
        <v>11</v>
      </c>
      <c r="F867" s="55">
        <v>0.20169999999999999</v>
      </c>
    </row>
    <row r="868" spans="2:6">
      <c r="B868" s="48" t="s">
        <v>20</v>
      </c>
      <c r="C868" s="48" t="s">
        <v>970</v>
      </c>
      <c r="D868" s="48">
        <f>DATE(YEAR(OneWeekMtgRatesDataTable756[[#This Row],[asofdate]]),MONTH(OneWeekMtgRatesDataTable756[[#This Row],[asofdate]]),DAY(OneWeekMtgRatesDataTable756[[#This Row],[asofdate]]))</f>
        <v>41324</v>
      </c>
      <c r="E868" s="48" t="s">
        <v>11</v>
      </c>
      <c r="F868" s="55">
        <v>0.20169999999999999</v>
      </c>
    </row>
    <row r="869" spans="2:6">
      <c r="B869" s="48" t="s">
        <v>20</v>
      </c>
      <c r="C869" s="48" t="s">
        <v>969</v>
      </c>
      <c r="D869" s="48">
        <f>DATE(YEAR(OneWeekMtgRatesDataTable756[[#This Row],[asofdate]]),MONTH(OneWeekMtgRatesDataTable756[[#This Row],[asofdate]]),DAY(OneWeekMtgRatesDataTable756[[#This Row],[asofdate]]))</f>
        <v>41320</v>
      </c>
      <c r="E869" s="48" t="s">
        <v>11</v>
      </c>
      <c r="F869" s="55">
        <v>0.20219999999999999</v>
      </c>
    </row>
    <row r="870" spans="2:6">
      <c r="B870" s="48" t="s">
        <v>20</v>
      </c>
      <c r="C870" s="48" t="s">
        <v>968</v>
      </c>
      <c r="D870" s="48">
        <f>DATE(YEAR(OneWeekMtgRatesDataTable756[[#This Row],[asofdate]]),MONTH(OneWeekMtgRatesDataTable756[[#This Row],[asofdate]]),DAY(OneWeekMtgRatesDataTable756[[#This Row],[asofdate]]))</f>
        <v>41319</v>
      </c>
      <c r="E870" s="48" t="s">
        <v>11</v>
      </c>
      <c r="F870" s="55">
        <v>0.20169999999999999</v>
      </c>
    </row>
    <row r="871" spans="2:6">
      <c r="B871" s="48" t="s">
        <v>20</v>
      </c>
      <c r="C871" s="48" t="s">
        <v>967</v>
      </c>
      <c r="D871" s="48">
        <f>DATE(YEAR(OneWeekMtgRatesDataTable756[[#This Row],[asofdate]]),MONTH(OneWeekMtgRatesDataTable756[[#This Row],[asofdate]]),DAY(OneWeekMtgRatesDataTable756[[#This Row],[asofdate]]))</f>
        <v>41318</v>
      </c>
      <c r="E871" s="48" t="s">
        <v>11</v>
      </c>
      <c r="F871" s="55">
        <v>0.20119999999999999</v>
      </c>
    </row>
    <row r="872" spans="2:6">
      <c r="B872" s="48" t="s">
        <v>20</v>
      </c>
      <c r="C872" s="48" t="s">
        <v>966</v>
      </c>
      <c r="D872" s="48">
        <f>DATE(YEAR(OneWeekMtgRatesDataTable756[[#This Row],[asofdate]]),MONTH(OneWeekMtgRatesDataTable756[[#This Row],[asofdate]]),DAY(OneWeekMtgRatesDataTable756[[#This Row],[asofdate]]))</f>
        <v>41317</v>
      </c>
      <c r="E872" s="48" t="s">
        <v>11</v>
      </c>
      <c r="F872" s="55">
        <v>0.20119999999999999</v>
      </c>
    </row>
    <row r="873" spans="2:6">
      <c r="B873" s="48" t="s">
        <v>20</v>
      </c>
      <c r="C873" s="48" t="s">
        <v>965</v>
      </c>
      <c r="D873" s="48">
        <f>DATE(YEAR(OneWeekMtgRatesDataTable756[[#This Row],[asofdate]]),MONTH(OneWeekMtgRatesDataTable756[[#This Row],[asofdate]]),DAY(OneWeekMtgRatesDataTable756[[#This Row],[asofdate]]))</f>
        <v>41316</v>
      </c>
      <c r="E873" s="48" t="s">
        <v>11</v>
      </c>
      <c r="F873" s="55">
        <v>0.20219999999999999</v>
      </c>
    </row>
    <row r="874" spans="2:6">
      <c r="B874" s="48" t="s">
        <v>20</v>
      </c>
      <c r="C874" s="48" t="s">
        <v>964</v>
      </c>
      <c r="D874" s="48">
        <f>DATE(YEAR(OneWeekMtgRatesDataTable756[[#This Row],[asofdate]]),MONTH(OneWeekMtgRatesDataTable756[[#This Row],[asofdate]]),DAY(OneWeekMtgRatesDataTable756[[#This Row],[asofdate]]))</f>
        <v>41313</v>
      </c>
      <c r="E874" s="48" t="s">
        <v>11</v>
      </c>
      <c r="F874" s="55">
        <v>0.20019999999999999</v>
      </c>
    </row>
    <row r="875" spans="2:6">
      <c r="B875" s="48" t="s">
        <v>20</v>
      </c>
      <c r="C875" s="48" t="s">
        <v>963</v>
      </c>
      <c r="D875" s="48">
        <f>DATE(YEAR(OneWeekMtgRatesDataTable756[[#This Row],[asofdate]]),MONTH(OneWeekMtgRatesDataTable756[[#This Row],[asofdate]]),DAY(OneWeekMtgRatesDataTable756[[#This Row],[asofdate]]))</f>
        <v>41312</v>
      </c>
      <c r="E875" s="48" t="s">
        <v>11</v>
      </c>
      <c r="F875" s="55">
        <v>0.19919999999999999</v>
      </c>
    </row>
    <row r="876" spans="2:6">
      <c r="B876" s="48" t="s">
        <v>20</v>
      </c>
      <c r="C876" s="48" t="s">
        <v>962</v>
      </c>
      <c r="D876" s="48">
        <f>DATE(YEAR(OneWeekMtgRatesDataTable756[[#This Row],[asofdate]]),MONTH(OneWeekMtgRatesDataTable756[[#This Row],[asofdate]]),DAY(OneWeekMtgRatesDataTable756[[#This Row],[asofdate]]))</f>
        <v>41311</v>
      </c>
      <c r="E876" s="48" t="s">
        <v>11</v>
      </c>
      <c r="F876" s="55">
        <v>0.19919999999999999</v>
      </c>
    </row>
    <row r="877" spans="2:6">
      <c r="B877" s="48" t="s">
        <v>20</v>
      </c>
      <c r="C877" s="48" t="s">
        <v>961</v>
      </c>
      <c r="D877" s="48">
        <f>DATE(YEAR(OneWeekMtgRatesDataTable756[[#This Row],[asofdate]]),MONTH(OneWeekMtgRatesDataTable756[[#This Row],[asofdate]]),DAY(OneWeekMtgRatesDataTable756[[#This Row],[asofdate]]))</f>
        <v>41310</v>
      </c>
      <c r="E877" s="48" t="s">
        <v>11</v>
      </c>
      <c r="F877" s="55">
        <v>0.19919999999999999</v>
      </c>
    </row>
    <row r="878" spans="2:6">
      <c r="B878" s="48" t="s">
        <v>20</v>
      </c>
      <c r="C878" s="48" t="s">
        <v>960</v>
      </c>
      <c r="D878" s="48">
        <f>DATE(YEAR(OneWeekMtgRatesDataTable756[[#This Row],[asofdate]]),MONTH(OneWeekMtgRatesDataTable756[[#This Row],[asofdate]]),DAY(OneWeekMtgRatesDataTable756[[#This Row],[asofdate]]))</f>
        <v>41309</v>
      </c>
      <c r="E878" s="48" t="s">
        <v>11</v>
      </c>
      <c r="F878" s="55">
        <v>0.19819999999999999</v>
      </c>
    </row>
    <row r="879" spans="2:6">
      <c r="B879" s="48" t="s">
        <v>20</v>
      </c>
      <c r="C879" s="48" t="s">
        <v>959</v>
      </c>
      <c r="D879" s="48">
        <f>DATE(YEAR(OneWeekMtgRatesDataTable756[[#This Row],[asofdate]]),MONTH(OneWeekMtgRatesDataTable756[[#This Row],[asofdate]]),DAY(OneWeekMtgRatesDataTable756[[#This Row],[asofdate]]))</f>
        <v>41306</v>
      </c>
      <c r="E879" s="48" t="s">
        <v>11</v>
      </c>
      <c r="F879" s="55">
        <v>0.19919999999999999</v>
      </c>
    </row>
    <row r="880" spans="2:6">
      <c r="B880" s="48" t="s">
        <v>20</v>
      </c>
      <c r="C880" s="48" t="s">
        <v>958</v>
      </c>
      <c r="D880" s="48">
        <f>DATE(YEAR(OneWeekMtgRatesDataTable756[[#This Row],[asofdate]]),MONTH(OneWeekMtgRatesDataTable756[[#This Row],[asofdate]]),DAY(OneWeekMtgRatesDataTable756[[#This Row],[asofdate]]))</f>
        <v>41305</v>
      </c>
      <c r="E880" s="48" t="s">
        <v>11</v>
      </c>
      <c r="F880" s="55">
        <v>0.19969999999999999</v>
      </c>
    </row>
    <row r="881" spans="2:6">
      <c r="B881" s="48" t="s">
        <v>20</v>
      </c>
      <c r="C881" s="48" t="s">
        <v>957</v>
      </c>
      <c r="D881" s="48">
        <f>DATE(YEAR(OneWeekMtgRatesDataTable756[[#This Row],[asofdate]]),MONTH(OneWeekMtgRatesDataTable756[[#This Row],[asofdate]]),DAY(OneWeekMtgRatesDataTable756[[#This Row],[asofdate]]))</f>
        <v>41304</v>
      </c>
      <c r="E881" s="48" t="s">
        <v>11</v>
      </c>
      <c r="F881" s="55">
        <v>0.20169999999999999</v>
      </c>
    </row>
    <row r="882" spans="2:6">
      <c r="B882" s="48" t="s">
        <v>20</v>
      </c>
      <c r="C882" s="48" t="s">
        <v>956</v>
      </c>
      <c r="D882" s="48">
        <f>DATE(YEAR(OneWeekMtgRatesDataTable756[[#This Row],[asofdate]]),MONTH(OneWeekMtgRatesDataTable756[[#This Row],[asofdate]]),DAY(OneWeekMtgRatesDataTable756[[#This Row],[asofdate]]))</f>
        <v>41303</v>
      </c>
      <c r="E882" s="48" t="s">
        <v>11</v>
      </c>
      <c r="F882" s="55">
        <v>0.20169999999999999</v>
      </c>
    </row>
    <row r="883" spans="2:6">
      <c r="B883" s="48" t="s">
        <v>20</v>
      </c>
      <c r="C883" s="48" t="s">
        <v>955</v>
      </c>
      <c r="D883" s="48">
        <f>DATE(YEAR(OneWeekMtgRatesDataTable756[[#This Row],[asofdate]]),MONTH(OneWeekMtgRatesDataTable756[[#This Row],[asofdate]]),DAY(OneWeekMtgRatesDataTable756[[#This Row],[asofdate]]))</f>
        <v>41302</v>
      </c>
      <c r="E883" s="48" t="s">
        <v>11</v>
      </c>
      <c r="F883" s="55">
        <v>0.20269999999999999</v>
      </c>
    </row>
    <row r="884" spans="2:6">
      <c r="B884" s="48" t="s">
        <v>20</v>
      </c>
      <c r="C884" s="48" t="s">
        <v>954</v>
      </c>
      <c r="D884" s="48">
        <f>DATE(YEAR(OneWeekMtgRatesDataTable756[[#This Row],[asofdate]]),MONTH(OneWeekMtgRatesDataTable756[[#This Row],[asofdate]]),DAY(OneWeekMtgRatesDataTable756[[#This Row],[asofdate]]))</f>
        <v>41299</v>
      </c>
      <c r="E884" s="48" t="s">
        <v>11</v>
      </c>
      <c r="F884" s="55">
        <v>0.20369999999999999</v>
      </c>
    </row>
    <row r="885" spans="2:6">
      <c r="B885" s="48" t="s">
        <v>20</v>
      </c>
      <c r="C885" s="48" t="s">
        <v>953</v>
      </c>
      <c r="D885" s="48">
        <f>DATE(YEAR(OneWeekMtgRatesDataTable756[[#This Row],[asofdate]]),MONTH(OneWeekMtgRatesDataTable756[[#This Row],[asofdate]]),DAY(OneWeekMtgRatesDataTable756[[#This Row],[asofdate]]))</f>
        <v>41298</v>
      </c>
      <c r="E885" s="48" t="s">
        <v>11</v>
      </c>
      <c r="F885" s="55">
        <v>0.20369999999999999</v>
      </c>
    </row>
    <row r="886" spans="2:6">
      <c r="B886" s="48" t="s">
        <v>20</v>
      </c>
      <c r="C886" s="48" t="s">
        <v>952</v>
      </c>
      <c r="D886" s="48">
        <f>DATE(YEAR(OneWeekMtgRatesDataTable756[[#This Row],[asofdate]]),MONTH(OneWeekMtgRatesDataTable756[[#This Row],[asofdate]]),DAY(OneWeekMtgRatesDataTable756[[#This Row],[asofdate]]))</f>
        <v>41297</v>
      </c>
      <c r="E886" s="48" t="s">
        <v>11</v>
      </c>
      <c r="F886" s="55">
        <v>0.20369999999999999</v>
      </c>
    </row>
    <row r="887" spans="2:6">
      <c r="B887" s="48" t="s">
        <v>20</v>
      </c>
      <c r="C887" s="48" t="s">
        <v>951</v>
      </c>
      <c r="D887" s="48">
        <f>DATE(YEAR(OneWeekMtgRatesDataTable756[[#This Row],[asofdate]]),MONTH(OneWeekMtgRatesDataTable756[[#This Row],[asofdate]]),DAY(OneWeekMtgRatesDataTable756[[#This Row],[asofdate]]))</f>
        <v>41296</v>
      </c>
      <c r="E887" s="48" t="s">
        <v>11</v>
      </c>
      <c r="F887" s="55">
        <v>0.20469999999999999</v>
      </c>
    </row>
    <row r="888" spans="2:6">
      <c r="B888" s="48" t="s">
        <v>20</v>
      </c>
      <c r="C888" s="48" t="s">
        <v>950</v>
      </c>
      <c r="D888" s="48">
        <f>DATE(YEAR(OneWeekMtgRatesDataTable756[[#This Row],[asofdate]]),MONTH(OneWeekMtgRatesDataTable756[[#This Row],[asofdate]]),DAY(OneWeekMtgRatesDataTable756[[#This Row],[asofdate]]))</f>
        <v>41292</v>
      </c>
      <c r="E888" s="48" t="s">
        <v>11</v>
      </c>
      <c r="F888" s="55">
        <v>0.20469999999999999</v>
      </c>
    </row>
    <row r="889" spans="2:6">
      <c r="B889" s="48" t="s">
        <v>20</v>
      </c>
      <c r="C889" s="48" t="s">
        <v>949</v>
      </c>
      <c r="D889" s="48">
        <f>DATE(YEAR(OneWeekMtgRatesDataTable756[[#This Row],[asofdate]]),MONTH(OneWeekMtgRatesDataTable756[[#This Row],[asofdate]]),DAY(OneWeekMtgRatesDataTable756[[#This Row],[asofdate]]))</f>
        <v>41291</v>
      </c>
      <c r="E889" s="48" t="s">
        <v>11</v>
      </c>
      <c r="F889" s="55">
        <v>0.20469999999999999</v>
      </c>
    </row>
    <row r="890" spans="2:6">
      <c r="B890" s="48" t="s">
        <v>20</v>
      </c>
      <c r="C890" s="48" t="s">
        <v>948</v>
      </c>
      <c r="D890" s="48">
        <f>DATE(YEAR(OneWeekMtgRatesDataTable756[[#This Row],[asofdate]]),MONTH(OneWeekMtgRatesDataTable756[[#This Row],[asofdate]]),DAY(OneWeekMtgRatesDataTable756[[#This Row],[asofdate]]))</f>
        <v>41290</v>
      </c>
      <c r="E890" s="48" t="s">
        <v>11</v>
      </c>
      <c r="F890" s="55">
        <v>0.20569999999999999</v>
      </c>
    </row>
    <row r="891" spans="2:6">
      <c r="B891" s="48" t="s">
        <v>20</v>
      </c>
      <c r="C891" s="48" t="s">
        <v>947</v>
      </c>
      <c r="D891" s="48">
        <f>DATE(YEAR(OneWeekMtgRatesDataTable756[[#This Row],[asofdate]]),MONTH(OneWeekMtgRatesDataTable756[[#This Row],[asofdate]]),DAY(OneWeekMtgRatesDataTable756[[#This Row],[asofdate]]))</f>
        <v>41289</v>
      </c>
      <c r="E891" s="48" t="s">
        <v>11</v>
      </c>
      <c r="F891" s="55">
        <v>0.20569999999999999</v>
      </c>
    </row>
    <row r="892" spans="2:6">
      <c r="B892" s="48" t="s">
        <v>20</v>
      </c>
      <c r="C892" s="48" t="s">
        <v>946</v>
      </c>
      <c r="D892" s="48">
        <f>DATE(YEAR(OneWeekMtgRatesDataTable756[[#This Row],[asofdate]]),MONTH(OneWeekMtgRatesDataTable756[[#This Row],[asofdate]]),DAY(OneWeekMtgRatesDataTable756[[#This Row],[asofdate]]))</f>
        <v>41288</v>
      </c>
      <c r="E892" s="48" t="s">
        <v>11</v>
      </c>
      <c r="F892" s="55">
        <v>0.20569999999999999</v>
      </c>
    </row>
    <row r="893" spans="2:6">
      <c r="B893" s="48" t="s">
        <v>20</v>
      </c>
      <c r="C893" s="48" t="s">
        <v>945</v>
      </c>
      <c r="D893" s="48">
        <f>DATE(YEAR(OneWeekMtgRatesDataTable756[[#This Row],[asofdate]]),MONTH(OneWeekMtgRatesDataTable756[[#This Row],[asofdate]]),DAY(OneWeekMtgRatesDataTable756[[#This Row],[asofdate]]))</f>
        <v>41285</v>
      </c>
      <c r="E893" s="48" t="s">
        <v>11</v>
      </c>
      <c r="F893" s="55">
        <v>0.20569999999999999</v>
      </c>
    </row>
    <row r="894" spans="2:6">
      <c r="B894" s="48" t="s">
        <v>20</v>
      </c>
      <c r="C894" s="48" t="s">
        <v>944</v>
      </c>
      <c r="D894" s="48">
        <f>DATE(YEAR(OneWeekMtgRatesDataTable756[[#This Row],[asofdate]]),MONTH(OneWeekMtgRatesDataTable756[[#This Row],[asofdate]]),DAY(OneWeekMtgRatesDataTable756[[#This Row],[asofdate]]))</f>
        <v>41284</v>
      </c>
      <c r="E894" s="48" t="s">
        <v>11</v>
      </c>
      <c r="F894" s="55">
        <v>0.20569999999999999</v>
      </c>
    </row>
    <row r="895" spans="2:6">
      <c r="B895" s="48" t="s">
        <v>20</v>
      </c>
      <c r="C895" s="48" t="s">
        <v>943</v>
      </c>
      <c r="D895" s="48">
        <f>DATE(YEAR(OneWeekMtgRatesDataTable756[[#This Row],[asofdate]]),MONTH(OneWeekMtgRatesDataTable756[[#This Row],[asofdate]]),DAY(OneWeekMtgRatesDataTable756[[#This Row],[asofdate]]))</f>
        <v>41283</v>
      </c>
      <c r="E895" s="48" t="s">
        <v>11</v>
      </c>
      <c r="F895" s="55">
        <v>0.20669999999999999</v>
      </c>
    </row>
    <row r="896" spans="2:6">
      <c r="B896" s="48" t="s">
        <v>20</v>
      </c>
      <c r="C896" s="48" t="s">
        <v>942</v>
      </c>
      <c r="D896" s="48">
        <f>DATE(YEAR(OneWeekMtgRatesDataTable756[[#This Row],[asofdate]]),MONTH(OneWeekMtgRatesDataTable756[[#This Row],[asofdate]]),DAY(OneWeekMtgRatesDataTable756[[#This Row],[asofdate]]))</f>
        <v>41282</v>
      </c>
      <c r="E896" s="48" t="s">
        <v>11</v>
      </c>
      <c r="F896" s="55">
        <v>0.2077</v>
      </c>
    </row>
    <row r="897" spans="2:6">
      <c r="B897" s="48" t="s">
        <v>20</v>
      </c>
      <c r="C897" s="48" t="s">
        <v>941</v>
      </c>
      <c r="D897" s="48">
        <f>DATE(YEAR(OneWeekMtgRatesDataTable756[[#This Row],[asofdate]]),MONTH(OneWeekMtgRatesDataTable756[[#This Row],[asofdate]]),DAY(OneWeekMtgRatesDataTable756[[#This Row],[asofdate]]))</f>
        <v>41281</v>
      </c>
      <c r="E897" s="48" t="s">
        <v>11</v>
      </c>
      <c r="F897" s="55">
        <v>0.2077</v>
      </c>
    </row>
    <row r="898" spans="2:6">
      <c r="B898" s="48" t="s">
        <v>20</v>
      </c>
      <c r="C898" s="48" t="s">
        <v>940</v>
      </c>
      <c r="D898" s="48">
        <f>DATE(YEAR(OneWeekMtgRatesDataTable756[[#This Row],[asofdate]]),MONTH(OneWeekMtgRatesDataTable756[[#This Row],[asofdate]]),DAY(OneWeekMtgRatesDataTable756[[#This Row],[asofdate]]))</f>
        <v>41278</v>
      </c>
      <c r="E898" s="48" t="s">
        <v>11</v>
      </c>
      <c r="F898" s="55">
        <v>0.2077</v>
      </c>
    </row>
    <row r="899" spans="2:6">
      <c r="B899" s="48" t="s">
        <v>20</v>
      </c>
      <c r="C899" s="48" t="s">
        <v>939</v>
      </c>
      <c r="D899" s="48">
        <f>DATE(YEAR(OneWeekMtgRatesDataTable756[[#This Row],[asofdate]]),MONTH(OneWeekMtgRatesDataTable756[[#This Row],[asofdate]]),DAY(OneWeekMtgRatesDataTable756[[#This Row],[asofdate]]))</f>
        <v>41277</v>
      </c>
      <c r="E899" s="48" t="s">
        <v>11</v>
      </c>
      <c r="F899" s="55">
        <v>0.2077</v>
      </c>
    </row>
    <row r="900" spans="2:6">
      <c r="B900" s="48" t="s">
        <v>20</v>
      </c>
      <c r="C900" s="48" t="s">
        <v>938</v>
      </c>
      <c r="D900" s="48">
        <f>DATE(YEAR(OneWeekMtgRatesDataTable756[[#This Row],[asofdate]]),MONTH(OneWeekMtgRatesDataTable756[[#This Row],[asofdate]]),DAY(OneWeekMtgRatesDataTable756[[#This Row],[asofdate]]))</f>
        <v>41276</v>
      </c>
      <c r="E900" s="48" t="s">
        <v>11</v>
      </c>
      <c r="F900" s="55">
        <v>0.2077</v>
      </c>
    </row>
    <row r="901" spans="2:6">
      <c r="B901" s="48" t="s">
        <v>20</v>
      </c>
      <c r="C901" s="48" t="s">
        <v>937</v>
      </c>
      <c r="D901" s="48">
        <f>DATE(YEAR(OneWeekMtgRatesDataTable756[[#This Row],[asofdate]]),MONTH(OneWeekMtgRatesDataTable756[[#This Row],[asofdate]]),DAY(OneWeekMtgRatesDataTable756[[#This Row],[asofdate]]))</f>
        <v>41274</v>
      </c>
      <c r="E901" s="48" t="s">
        <v>11</v>
      </c>
      <c r="F901" s="55">
        <v>0.2087</v>
      </c>
    </row>
    <row r="902" spans="2:6">
      <c r="B902" s="48" t="s">
        <v>20</v>
      </c>
      <c r="C902" s="48" t="s">
        <v>936</v>
      </c>
      <c r="D902" s="48">
        <f>DATE(YEAR(OneWeekMtgRatesDataTable756[[#This Row],[asofdate]]),MONTH(OneWeekMtgRatesDataTable756[[#This Row],[asofdate]]),DAY(OneWeekMtgRatesDataTable756[[#This Row],[asofdate]]))</f>
        <v>41271</v>
      </c>
      <c r="E902" s="48" t="s">
        <v>11</v>
      </c>
      <c r="F902" s="55">
        <v>0.2097</v>
      </c>
    </row>
    <row r="903" spans="2:6">
      <c r="B903" s="48" t="s">
        <v>20</v>
      </c>
      <c r="C903" s="48" t="s">
        <v>935</v>
      </c>
      <c r="D903" s="48">
        <f>DATE(YEAR(OneWeekMtgRatesDataTable756[[#This Row],[asofdate]]),MONTH(OneWeekMtgRatesDataTable756[[#This Row],[asofdate]]),DAY(OneWeekMtgRatesDataTable756[[#This Row],[asofdate]]))</f>
        <v>41270</v>
      </c>
      <c r="E903" s="48" t="s">
        <v>11</v>
      </c>
      <c r="F903" s="55">
        <v>0.2117</v>
      </c>
    </row>
    <row r="904" spans="2:6">
      <c r="B904" s="48" t="s">
        <v>20</v>
      </c>
      <c r="C904" s="48" t="s">
        <v>934</v>
      </c>
      <c r="D904" s="48">
        <f>DATE(YEAR(OneWeekMtgRatesDataTable756[[#This Row],[asofdate]]),MONTH(OneWeekMtgRatesDataTable756[[#This Row],[asofdate]]),DAY(OneWeekMtgRatesDataTable756[[#This Row],[asofdate]]))</f>
        <v>41269</v>
      </c>
      <c r="E904" s="48" t="s">
        <v>11</v>
      </c>
      <c r="F904" s="55">
        <v>0.2097</v>
      </c>
    </row>
    <row r="905" spans="2:6">
      <c r="B905" s="48" t="s">
        <v>20</v>
      </c>
      <c r="C905" s="48" t="s">
        <v>933</v>
      </c>
      <c r="D905" s="48">
        <f>DATE(YEAR(OneWeekMtgRatesDataTable756[[#This Row],[asofdate]]),MONTH(OneWeekMtgRatesDataTable756[[#This Row],[asofdate]]),DAY(OneWeekMtgRatesDataTable756[[#This Row],[asofdate]]))</f>
        <v>41267</v>
      </c>
      <c r="E905" s="48" t="s">
        <v>11</v>
      </c>
      <c r="F905" s="55">
        <v>0.2097</v>
      </c>
    </row>
    <row r="906" spans="2:6">
      <c r="B906" s="48" t="s">
        <v>20</v>
      </c>
      <c r="C906" s="48" t="s">
        <v>932</v>
      </c>
      <c r="D906" s="48">
        <f>DATE(YEAR(OneWeekMtgRatesDataTable756[[#This Row],[asofdate]]),MONTH(OneWeekMtgRatesDataTable756[[#This Row],[asofdate]]),DAY(OneWeekMtgRatesDataTable756[[#This Row],[asofdate]]))</f>
        <v>41264</v>
      </c>
      <c r="E906" s="48" t="s">
        <v>11</v>
      </c>
      <c r="F906" s="55">
        <v>0.2097</v>
      </c>
    </row>
    <row r="907" spans="2:6">
      <c r="B907" s="48" t="s">
        <v>20</v>
      </c>
      <c r="C907" s="48" t="s">
        <v>931</v>
      </c>
      <c r="D907" s="48">
        <f>DATE(YEAR(OneWeekMtgRatesDataTable756[[#This Row],[asofdate]]),MONTH(OneWeekMtgRatesDataTable756[[#This Row],[asofdate]]),DAY(OneWeekMtgRatesDataTable756[[#This Row],[asofdate]]))</f>
        <v>41263</v>
      </c>
      <c r="E907" s="48" t="s">
        <v>11</v>
      </c>
      <c r="F907" s="55">
        <v>0.2107</v>
      </c>
    </row>
    <row r="908" spans="2:6">
      <c r="B908" s="48" t="s">
        <v>20</v>
      </c>
      <c r="C908" s="48" t="s">
        <v>930</v>
      </c>
      <c r="D908" s="48">
        <f>DATE(YEAR(OneWeekMtgRatesDataTable756[[#This Row],[asofdate]]),MONTH(OneWeekMtgRatesDataTable756[[#This Row],[asofdate]]),DAY(OneWeekMtgRatesDataTable756[[#This Row],[asofdate]]))</f>
        <v>41262</v>
      </c>
      <c r="E908" s="48" t="s">
        <v>11</v>
      </c>
      <c r="F908" s="55">
        <v>0.2107</v>
      </c>
    </row>
    <row r="909" spans="2:6">
      <c r="B909" s="48" t="s">
        <v>20</v>
      </c>
      <c r="C909" s="48" t="s">
        <v>929</v>
      </c>
      <c r="D909" s="48">
        <f>DATE(YEAR(OneWeekMtgRatesDataTable756[[#This Row],[asofdate]]),MONTH(OneWeekMtgRatesDataTable756[[#This Row],[asofdate]]),DAY(OneWeekMtgRatesDataTable756[[#This Row],[asofdate]]))</f>
        <v>41261</v>
      </c>
      <c r="E909" s="48" t="s">
        <v>11</v>
      </c>
      <c r="F909" s="55">
        <v>0.2107</v>
      </c>
    </row>
    <row r="910" spans="2:6">
      <c r="B910" s="48" t="s">
        <v>20</v>
      </c>
      <c r="C910" s="48" t="s">
        <v>928</v>
      </c>
      <c r="D910" s="48">
        <f>DATE(YEAR(OneWeekMtgRatesDataTable756[[#This Row],[asofdate]]),MONTH(OneWeekMtgRatesDataTable756[[#This Row],[asofdate]]),DAY(OneWeekMtgRatesDataTable756[[#This Row],[asofdate]]))</f>
        <v>41260</v>
      </c>
      <c r="E910" s="48" t="s">
        <v>11</v>
      </c>
      <c r="F910" s="55">
        <v>0.21</v>
      </c>
    </row>
    <row r="911" spans="2:6">
      <c r="B911" s="48" t="s">
        <v>20</v>
      </c>
      <c r="C911" s="48" t="s">
        <v>927</v>
      </c>
      <c r="D911" s="48">
        <f>DATE(YEAR(OneWeekMtgRatesDataTable756[[#This Row],[asofdate]]),MONTH(OneWeekMtgRatesDataTable756[[#This Row],[asofdate]]),DAY(OneWeekMtgRatesDataTable756[[#This Row],[asofdate]]))</f>
        <v>41257</v>
      </c>
      <c r="E911" s="48" t="s">
        <v>11</v>
      </c>
      <c r="F911" s="55">
        <v>0.20899999999999999</v>
      </c>
    </row>
    <row r="912" spans="2:6">
      <c r="B912" s="48" t="s">
        <v>20</v>
      </c>
      <c r="C912" s="48" t="s">
        <v>926</v>
      </c>
      <c r="D912" s="48">
        <f>DATE(YEAR(OneWeekMtgRatesDataTable756[[#This Row],[asofdate]]),MONTH(OneWeekMtgRatesDataTable756[[#This Row],[asofdate]]),DAY(OneWeekMtgRatesDataTable756[[#This Row],[asofdate]]))</f>
        <v>41256</v>
      </c>
      <c r="E912" s="48" t="s">
        <v>11</v>
      </c>
      <c r="F912" s="55">
        <v>0.20899999999999999</v>
      </c>
    </row>
    <row r="913" spans="2:6">
      <c r="B913" s="48" t="s">
        <v>20</v>
      </c>
      <c r="C913" s="48" t="s">
        <v>925</v>
      </c>
      <c r="D913" s="48">
        <f>DATE(YEAR(OneWeekMtgRatesDataTable756[[#This Row],[asofdate]]),MONTH(OneWeekMtgRatesDataTable756[[#This Row],[asofdate]]),DAY(OneWeekMtgRatesDataTable756[[#This Row],[asofdate]]))</f>
        <v>41255</v>
      </c>
      <c r="E913" s="48" t="s">
        <v>11</v>
      </c>
      <c r="F913" s="55">
        <v>0.20899999999999999</v>
      </c>
    </row>
    <row r="914" spans="2:6">
      <c r="B914" s="48" t="s">
        <v>20</v>
      </c>
      <c r="C914" s="48" t="s">
        <v>924</v>
      </c>
      <c r="D914" s="48">
        <f>DATE(YEAR(OneWeekMtgRatesDataTable756[[#This Row],[asofdate]]),MONTH(OneWeekMtgRatesDataTable756[[#This Row],[asofdate]]),DAY(OneWeekMtgRatesDataTable756[[#This Row],[asofdate]]))</f>
        <v>41254</v>
      </c>
      <c r="E914" s="48" t="s">
        <v>11</v>
      </c>
      <c r="F914" s="55">
        <v>0.21099999999999999</v>
      </c>
    </row>
    <row r="915" spans="2:6">
      <c r="B915" s="48" t="s">
        <v>20</v>
      </c>
      <c r="C915" s="48" t="s">
        <v>923</v>
      </c>
      <c r="D915" s="48">
        <f>DATE(YEAR(OneWeekMtgRatesDataTable756[[#This Row],[asofdate]]),MONTH(OneWeekMtgRatesDataTable756[[#This Row],[asofdate]]),DAY(OneWeekMtgRatesDataTable756[[#This Row],[asofdate]]))</f>
        <v>41253</v>
      </c>
      <c r="E915" s="48" t="s">
        <v>11</v>
      </c>
      <c r="F915" s="55">
        <v>0.21199999999999999</v>
      </c>
    </row>
    <row r="916" spans="2:6">
      <c r="B916" s="48" t="s">
        <v>20</v>
      </c>
      <c r="C916" s="48" t="s">
        <v>922</v>
      </c>
      <c r="D916" s="48">
        <f>DATE(YEAR(OneWeekMtgRatesDataTable756[[#This Row],[asofdate]]),MONTH(OneWeekMtgRatesDataTable756[[#This Row],[asofdate]]),DAY(OneWeekMtgRatesDataTable756[[#This Row],[asofdate]]))</f>
        <v>41250</v>
      </c>
      <c r="E916" s="48" t="s">
        <v>11</v>
      </c>
      <c r="F916" s="55">
        <v>0.21199999999999999</v>
      </c>
    </row>
    <row r="917" spans="2:6">
      <c r="B917" s="48" t="s">
        <v>20</v>
      </c>
      <c r="C917" s="48" t="s">
        <v>921</v>
      </c>
      <c r="D917" s="48">
        <f>DATE(YEAR(OneWeekMtgRatesDataTable756[[#This Row],[asofdate]]),MONTH(OneWeekMtgRatesDataTable756[[#This Row],[asofdate]]),DAY(OneWeekMtgRatesDataTable756[[#This Row],[asofdate]]))</f>
        <v>41249</v>
      </c>
      <c r="E917" s="48" t="s">
        <v>11</v>
      </c>
      <c r="F917" s="55">
        <v>0.21299999999999999</v>
      </c>
    </row>
    <row r="918" spans="2:6">
      <c r="B918" s="48" t="s">
        <v>20</v>
      </c>
      <c r="C918" s="48" t="s">
        <v>920</v>
      </c>
      <c r="D918" s="48">
        <f>DATE(YEAR(OneWeekMtgRatesDataTable756[[#This Row],[asofdate]]),MONTH(OneWeekMtgRatesDataTable756[[#This Row],[asofdate]]),DAY(OneWeekMtgRatesDataTable756[[#This Row],[asofdate]]))</f>
        <v>41248</v>
      </c>
      <c r="E918" s="48" t="s">
        <v>11</v>
      </c>
      <c r="F918" s="55">
        <v>0.21299999999999999</v>
      </c>
    </row>
    <row r="919" spans="2:6">
      <c r="B919" s="48" t="s">
        <v>20</v>
      </c>
      <c r="C919" s="48" t="s">
        <v>919</v>
      </c>
      <c r="D919" s="48">
        <f>DATE(YEAR(OneWeekMtgRatesDataTable756[[#This Row],[asofdate]]),MONTH(OneWeekMtgRatesDataTable756[[#This Row],[asofdate]]),DAY(OneWeekMtgRatesDataTable756[[#This Row],[asofdate]]))</f>
        <v>41247</v>
      </c>
      <c r="E919" s="48" t="s">
        <v>11</v>
      </c>
      <c r="F919" s="55">
        <v>0.21299999999999999</v>
      </c>
    </row>
    <row r="920" spans="2:6">
      <c r="B920" s="48" t="s">
        <v>20</v>
      </c>
      <c r="C920" s="48" t="s">
        <v>918</v>
      </c>
      <c r="D920" s="48">
        <f>DATE(YEAR(OneWeekMtgRatesDataTable756[[#This Row],[asofdate]]),MONTH(OneWeekMtgRatesDataTable756[[#This Row],[asofdate]]),DAY(OneWeekMtgRatesDataTable756[[#This Row],[asofdate]]))</f>
        <v>41246</v>
      </c>
      <c r="E920" s="48" t="s">
        <v>11</v>
      </c>
      <c r="F920" s="55">
        <v>0.215</v>
      </c>
    </row>
    <row r="921" spans="2:6">
      <c r="B921" s="48" t="s">
        <v>20</v>
      </c>
      <c r="C921" s="48" t="s">
        <v>917</v>
      </c>
      <c r="D921" s="48">
        <f>DATE(YEAR(OneWeekMtgRatesDataTable756[[#This Row],[asofdate]]),MONTH(OneWeekMtgRatesDataTable756[[#This Row],[asofdate]]),DAY(OneWeekMtgRatesDataTable756[[#This Row],[asofdate]]))</f>
        <v>41243</v>
      </c>
      <c r="E921" s="48" t="s">
        <v>11</v>
      </c>
      <c r="F921" s="55">
        <v>0.2145</v>
      </c>
    </row>
    <row r="922" spans="2:6">
      <c r="B922" s="48" t="s">
        <v>20</v>
      </c>
      <c r="C922" s="48" t="s">
        <v>916</v>
      </c>
      <c r="D922" s="48">
        <f>DATE(YEAR(OneWeekMtgRatesDataTable756[[#This Row],[asofdate]]),MONTH(OneWeekMtgRatesDataTable756[[#This Row],[asofdate]]),DAY(OneWeekMtgRatesDataTable756[[#This Row],[asofdate]]))</f>
        <v>41242</v>
      </c>
      <c r="E922" s="48" t="s">
        <v>11</v>
      </c>
      <c r="F922" s="55">
        <v>0.2135</v>
      </c>
    </row>
    <row r="923" spans="2:6">
      <c r="B923" s="48" t="s">
        <v>20</v>
      </c>
      <c r="C923" s="48" t="s">
        <v>915</v>
      </c>
      <c r="D923" s="48">
        <f>DATE(YEAR(OneWeekMtgRatesDataTable756[[#This Row],[asofdate]]),MONTH(OneWeekMtgRatesDataTable756[[#This Row],[asofdate]]),DAY(OneWeekMtgRatesDataTable756[[#This Row],[asofdate]]))</f>
        <v>41241</v>
      </c>
      <c r="E923" s="48" t="s">
        <v>11</v>
      </c>
      <c r="F923" s="55">
        <v>0.20899999999999999</v>
      </c>
    </row>
    <row r="924" spans="2:6">
      <c r="B924" s="48" t="s">
        <v>20</v>
      </c>
      <c r="C924" s="48" t="s">
        <v>914</v>
      </c>
      <c r="D924" s="48">
        <f>DATE(YEAR(OneWeekMtgRatesDataTable756[[#This Row],[asofdate]]),MONTH(OneWeekMtgRatesDataTable756[[#This Row],[asofdate]]),DAY(OneWeekMtgRatesDataTable756[[#This Row],[asofdate]]))</f>
        <v>41240</v>
      </c>
      <c r="E924" s="48" t="s">
        <v>11</v>
      </c>
      <c r="F924" s="55">
        <v>0.20899999999999999</v>
      </c>
    </row>
    <row r="925" spans="2:6">
      <c r="B925" s="48" t="s">
        <v>20</v>
      </c>
      <c r="C925" s="48" t="s">
        <v>913</v>
      </c>
      <c r="D925" s="48">
        <f>DATE(YEAR(OneWeekMtgRatesDataTable756[[#This Row],[asofdate]]),MONTH(OneWeekMtgRatesDataTable756[[#This Row],[asofdate]]),DAY(OneWeekMtgRatesDataTable756[[#This Row],[asofdate]]))</f>
        <v>41239</v>
      </c>
      <c r="E925" s="48" t="s">
        <v>11</v>
      </c>
      <c r="F925" s="55">
        <v>0.20899999999999999</v>
      </c>
    </row>
    <row r="926" spans="2:6">
      <c r="B926" s="48" t="s">
        <v>20</v>
      </c>
      <c r="C926" s="48" t="s">
        <v>912</v>
      </c>
      <c r="D926" s="48">
        <f>DATE(YEAR(OneWeekMtgRatesDataTable756[[#This Row],[asofdate]]),MONTH(OneWeekMtgRatesDataTable756[[#This Row],[asofdate]]),DAY(OneWeekMtgRatesDataTable756[[#This Row],[asofdate]]))</f>
        <v>41236</v>
      </c>
      <c r="E926" s="48" t="s">
        <v>11</v>
      </c>
      <c r="F926" s="55">
        <v>0.20849999999999999</v>
      </c>
    </row>
    <row r="927" spans="2:6">
      <c r="B927" s="48" t="s">
        <v>20</v>
      </c>
      <c r="C927" s="48" t="s">
        <v>911</v>
      </c>
      <c r="D927" s="48">
        <f>DATE(YEAR(OneWeekMtgRatesDataTable756[[#This Row],[asofdate]]),MONTH(OneWeekMtgRatesDataTable756[[#This Row],[asofdate]]),DAY(OneWeekMtgRatesDataTable756[[#This Row],[asofdate]]))</f>
        <v>41234</v>
      </c>
      <c r="E927" s="48" t="s">
        <v>11</v>
      </c>
      <c r="F927" s="55">
        <v>0.20749999999999999</v>
      </c>
    </row>
    <row r="928" spans="2:6">
      <c r="B928" s="48" t="s">
        <v>20</v>
      </c>
      <c r="C928" s="48" t="s">
        <v>910</v>
      </c>
      <c r="D928" s="48">
        <f>DATE(YEAR(OneWeekMtgRatesDataTable756[[#This Row],[asofdate]]),MONTH(OneWeekMtgRatesDataTable756[[#This Row],[asofdate]]),DAY(OneWeekMtgRatesDataTable756[[#This Row],[asofdate]]))</f>
        <v>41233</v>
      </c>
      <c r="E928" s="48" t="s">
        <v>11</v>
      </c>
      <c r="F928" s="55">
        <v>0.20749999999999999</v>
      </c>
    </row>
    <row r="929" spans="2:6">
      <c r="B929" s="48" t="s">
        <v>20</v>
      </c>
      <c r="C929" s="48" t="s">
        <v>909</v>
      </c>
      <c r="D929" s="48">
        <f>DATE(YEAR(OneWeekMtgRatesDataTable756[[#This Row],[asofdate]]),MONTH(OneWeekMtgRatesDataTable756[[#This Row],[asofdate]]),DAY(OneWeekMtgRatesDataTable756[[#This Row],[asofdate]]))</f>
        <v>41232</v>
      </c>
      <c r="E929" s="48" t="s">
        <v>11</v>
      </c>
      <c r="F929" s="55">
        <v>0.20749999999999999</v>
      </c>
    </row>
    <row r="930" spans="2:6">
      <c r="B930" s="48" t="s">
        <v>20</v>
      </c>
      <c r="C930" s="48" t="s">
        <v>908</v>
      </c>
      <c r="D930" s="48">
        <f>DATE(YEAR(OneWeekMtgRatesDataTable756[[#This Row],[asofdate]]),MONTH(OneWeekMtgRatesDataTable756[[#This Row],[asofdate]]),DAY(OneWeekMtgRatesDataTable756[[#This Row],[asofdate]]))</f>
        <v>41229</v>
      </c>
      <c r="E930" s="48" t="s">
        <v>11</v>
      </c>
      <c r="F930" s="55">
        <v>0.20749999999999999</v>
      </c>
    </row>
    <row r="931" spans="2:6">
      <c r="B931" s="48" t="s">
        <v>20</v>
      </c>
      <c r="C931" s="48" t="s">
        <v>907</v>
      </c>
      <c r="D931" s="48">
        <f>DATE(YEAR(OneWeekMtgRatesDataTable756[[#This Row],[asofdate]]),MONTH(OneWeekMtgRatesDataTable756[[#This Row],[asofdate]]),DAY(OneWeekMtgRatesDataTable756[[#This Row],[asofdate]]))</f>
        <v>41228</v>
      </c>
      <c r="E931" s="48" t="s">
        <v>11</v>
      </c>
      <c r="F931" s="55">
        <v>0.20749999999999999</v>
      </c>
    </row>
    <row r="932" spans="2:6">
      <c r="B932" s="48" t="s">
        <v>20</v>
      </c>
      <c r="C932" s="48" t="s">
        <v>906</v>
      </c>
      <c r="D932" s="48">
        <f>DATE(YEAR(OneWeekMtgRatesDataTable756[[#This Row],[asofdate]]),MONTH(OneWeekMtgRatesDataTable756[[#This Row],[asofdate]]),DAY(OneWeekMtgRatesDataTable756[[#This Row],[asofdate]]))</f>
        <v>41227</v>
      </c>
      <c r="E932" s="48" t="s">
        <v>11</v>
      </c>
      <c r="F932" s="55">
        <v>0.20749999999999999</v>
      </c>
    </row>
    <row r="933" spans="2:6">
      <c r="B933" s="48" t="s">
        <v>20</v>
      </c>
      <c r="C933" s="48" t="s">
        <v>905</v>
      </c>
      <c r="D933" s="48">
        <f>DATE(YEAR(OneWeekMtgRatesDataTable756[[#This Row],[asofdate]]),MONTH(OneWeekMtgRatesDataTable756[[#This Row],[asofdate]]),DAY(OneWeekMtgRatesDataTable756[[#This Row],[asofdate]]))</f>
        <v>41226</v>
      </c>
      <c r="E933" s="48" t="s">
        <v>11</v>
      </c>
      <c r="F933" s="55">
        <v>0.20799999999999999</v>
      </c>
    </row>
    <row r="934" spans="2:6">
      <c r="B934" s="48" t="s">
        <v>20</v>
      </c>
      <c r="C934" s="48" t="s">
        <v>904</v>
      </c>
      <c r="D934" s="48">
        <f>DATE(YEAR(OneWeekMtgRatesDataTable756[[#This Row],[asofdate]]),MONTH(OneWeekMtgRatesDataTable756[[#This Row],[asofdate]]),DAY(OneWeekMtgRatesDataTable756[[#This Row],[asofdate]]))</f>
        <v>41222</v>
      </c>
      <c r="E934" s="48" t="s">
        <v>11</v>
      </c>
      <c r="F934" s="55">
        <v>0.20899999999999999</v>
      </c>
    </row>
    <row r="935" spans="2:6">
      <c r="B935" s="48" t="s">
        <v>20</v>
      </c>
      <c r="C935" s="48" t="s">
        <v>903</v>
      </c>
      <c r="D935" s="48">
        <f>DATE(YEAR(OneWeekMtgRatesDataTable756[[#This Row],[asofdate]]),MONTH(OneWeekMtgRatesDataTable756[[#This Row],[asofdate]]),DAY(OneWeekMtgRatesDataTable756[[#This Row],[asofdate]]))</f>
        <v>41221</v>
      </c>
      <c r="E935" s="48" t="s">
        <v>11</v>
      </c>
      <c r="F935" s="55">
        <v>0.20899999999999999</v>
      </c>
    </row>
    <row r="936" spans="2:6">
      <c r="B936" s="48" t="s">
        <v>20</v>
      </c>
      <c r="C936" s="48" t="s">
        <v>902</v>
      </c>
      <c r="D936" s="48">
        <f>DATE(YEAR(OneWeekMtgRatesDataTable756[[#This Row],[asofdate]]),MONTH(OneWeekMtgRatesDataTable756[[#This Row],[asofdate]]),DAY(OneWeekMtgRatesDataTable756[[#This Row],[asofdate]]))</f>
        <v>41220</v>
      </c>
      <c r="E936" s="48" t="s">
        <v>11</v>
      </c>
      <c r="F936" s="55">
        <v>0.20899999999999999</v>
      </c>
    </row>
    <row r="937" spans="2:6">
      <c r="B937" s="48" t="s">
        <v>20</v>
      </c>
      <c r="C937" s="48" t="s">
        <v>901</v>
      </c>
      <c r="D937" s="48">
        <f>DATE(YEAR(OneWeekMtgRatesDataTable756[[#This Row],[asofdate]]),MONTH(OneWeekMtgRatesDataTable756[[#This Row],[asofdate]]),DAY(OneWeekMtgRatesDataTable756[[#This Row],[asofdate]]))</f>
        <v>41219</v>
      </c>
      <c r="E937" s="48" t="s">
        <v>11</v>
      </c>
      <c r="F937" s="55">
        <v>0.20899999999999999</v>
      </c>
    </row>
    <row r="938" spans="2:6">
      <c r="B938" s="48" t="s">
        <v>20</v>
      </c>
      <c r="C938" s="48" t="s">
        <v>900</v>
      </c>
      <c r="D938" s="48">
        <f>DATE(YEAR(OneWeekMtgRatesDataTable756[[#This Row],[asofdate]]),MONTH(OneWeekMtgRatesDataTable756[[#This Row],[asofdate]]),DAY(OneWeekMtgRatesDataTable756[[#This Row],[asofdate]]))</f>
        <v>41218</v>
      </c>
      <c r="E938" s="48" t="s">
        <v>11</v>
      </c>
      <c r="F938" s="55">
        <v>0.20799999999999999</v>
      </c>
    </row>
    <row r="939" spans="2:6">
      <c r="B939" s="48" t="s">
        <v>20</v>
      </c>
      <c r="C939" s="48" t="s">
        <v>899</v>
      </c>
      <c r="D939" s="48">
        <f>DATE(YEAR(OneWeekMtgRatesDataTable756[[#This Row],[asofdate]]),MONTH(OneWeekMtgRatesDataTable756[[#This Row],[asofdate]]),DAY(OneWeekMtgRatesDataTable756[[#This Row],[asofdate]]))</f>
        <v>41215</v>
      </c>
      <c r="E939" s="48" t="s">
        <v>11</v>
      </c>
      <c r="F939" s="55">
        <v>0.20899999999999999</v>
      </c>
    </row>
    <row r="940" spans="2:6">
      <c r="B940" s="48" t="s">
        <v>20</v>
      </c>
      <c r="C940" s="48" t="s">
        <v>898</v>
      </c>
      <c r="D940" s="48">
        <f>DATE(YEAR(OneWeekMtgRatesDataTable756[[#This Row],[asofdate]]),MONTH(OneWeekMtgRatesDataTable756[[#This Row],[asofdate]]),DAY(OneWeekMtgRatesDataTable756[[#This Row],[asofdate]]))</f>
        <v>41214</v>
      </c>
      <c r="E940" s="48" t="s">
        <v>11</v>
      </c>
      <c r="F940" s="55">
        <v>0.21</v>
      </c>
    </row>
    <row r="941" spans="2:6">
      <c r="B941" s="48" t="s">
        <v>20</v>
      </c>
      <c r="C941" s="48" t="s">
        <v>897</v>
      </c>
      <c r="D941" s="48">
        <f>DATE(YEAR(OneWeekMtgRatesDataTable756[[#This Row],[asofdate]]),MONTH(OneWeekMtgRatesDataTable756[[#This Row],[asofdate]]),DAY(OneWeekMtgRatesDataTable756[[#This Row],[asofdate]]))</f>
        <v>41213</v>
      </c>
      <c r="E941" s="48" t="s">
        <v>11</v>
      </c>
      <c r="F941" s="55">
        <v>0.21199999999999999</v>
      </c>
    </row>
    <row r="942" spans="2:6">
      <c r="B942" s="48" t="s">
        <v>20</v>
      </c>
      <c r="C942" s="48" t="s">
        <v>896</v>
      </c>
      <c r="D942" s="48">
        <f>DATE(YEAR(OneWeekMtgRatesDataTable756[[#This Row],[asofdate]]),MONTH(OneWeekMtgRatesDataTable756[[#This Row],[asofdate]]),DAY(OneWeekMtgRatesDataTable756[[#This Row],[asofdate]]))</f>
        <v>41211</v>
      </c>
      <c r="E942" s="48" t="s">
        <v>11</v>
      </c>
      <c r="F942" s="55">
        <v>0.21199999999999999</v>
      </c>
    </row>
    <row r="943" spans="2:6">
      <c r="B943" s="48" t="s">
        <v>20</v>
      </c>
      <c r="C943" s="48" t="s">
        <v>895</v>
      </c>
      <c r="D943" s="48">
        <f>DATE(YEAR(OneWeekMtgRatesDataTable756[[#This Row],[asofdate]]),MONTH(OneWeekMtgRatesDataTable756[[#This Row],[asofdate]]),DAY(OneWeekMtgRatesDataTable756[[#This Row],[asofdate]]))</f>
        <v>41208</v>
      </c>
      <c r="E943" s="48" t="s">
        <v>11</v>
      </c>
      <c r="F943" s="55">
        <v>0.21199999999999999</v>
      </c>
    </row>
    <row r="944" spans="2:6">
      <c r="B944" s="48" t="s">
        <v>20</v>
      </c>
      <c r="C944" s="48" t="s">
        <v>894</v>
      </c>
      <c r="D944" s="48">
        <f>DATE(YEAR(OneWeekMtgRatesDataTable756[[#This Row],[asofdate]]),MONTH(OneWeekMtgRatesDataTable756[[#This Row],[asofdate]]),DAY(OneWeekMtgRatesDataTable756[[#This Row],[asofdate]]))</f>
        <v>41207</v>
      </c>
      <c r="E944" s="48" t="s">
        <v>11</v>
      </c>
      <c r="F944" s="55">
        <v>0.21099999999999999</v>
      </c>
    </row>
    <row r="945" spans="2:6">
      <c r="B945" s="48" t="s">
        <v>20</v>
      </c>
      <c r="C945" s="48" t="s">
        <v>893</v>
      </c>
      <c r="D945" s="48">
        <f>DATE(YEAR(OneWeekMtgRatesDataTable756[[#This Row],[asofdate]]),MONTH(OneWeekMtgRatesDataTable756[[#This Row],[asofdate]]),DAY(OneWeekMtgRatesDataTable756[[#This Row],[asofdate]]))</f>
        <v>41206</v>
      </c>
      <c r="E945" s="48" t="s">
        <v>11</v>
      </c>
      <c r="F945" s="55">
        <v>0.21049999999999999</v>
      </c>
    </row>
    <row r="946" spans="2:6">
      <c r="B946" s="48" t="s">
        <v>20</v>
      </c>
      <c r="C946" s="48" t="s">
        <v>892</v>
      </c>
      <c r="D946" s="48">
        <f>DATE(YEAR(OneWeekMtgRatesDataTable756[[#This Row],[asofdate]]),MONTH(OneWeekMtgRatesDataTable756[[#This Row],[asofdate]]),DAY(OneWeekMtgRatesDataTable756[[#This Row],[asofdate]]))</f>
        <v>41205</v>
      </c>
      <c r="E946" s="48" t="s">
        <v>11</v>
      </c>
      <c r="F946" s="55">
        <v>0.2107</v>
      </c>
    </row>
    <row r="947" spans="2:6">
      <c r="B947" s="48" t="s">
        <v>20</v>
      </c>
      <c r="C947" s="48" t="s">
        <v>891</v>
      </c>
      <c r="D947" s="48">
        <f>DATE(YEAR(OneWeekMtgRatesDataTable756[[#This Row],[asofdate]]),MONTH(OneWeekMtgRatesDataTable756[[#This Row],[asofdate]]),DAY(OneWeekMtgRatesDataTable756[[#This Row],[asofdate]]))</f>
        <v>41204</v>
      </c>
      <c r="E947" s="48" t="s">
        <v>11</v>
      </c>
      <c r="F947" s="55">
        <v>0.2107</v>
      </c>
    </row>
    <row r="948" spans="2:6">
      <c r="B948" s="48" t="s">
        <v>20</v>
      </c>
      <c r="C948" s="48" t="s">
        <v>890</v>
      </c>
      <c r="D948" s="48">
        <f>DATE(YEAR(OneWeekMtgRatesDataTable756[[#This Row],[asofdate]]),MONTH(OneWeekMtgRatesDataTable756[[#This Row],[asofdate]]),DAY(OneWeekMtgRatesDataTable756[[#This Row],[asofdate]]))</f>
        <v>41201</v>
      </c>
      <c r="E948" s="48" t="s">
        <v>11</v>
      </c>
      <c r="F948" s="55">
        <v>0.2107</v>
      </c>
    </row>
    <row r="949" spans="2:6">
      <c r="B949" s="48" t="s">
        <v>20</v>
      </c>
      <c r="C949" s="48" t="s">
        <v>889</v>
      </c>
      <c r="D949" s="48">
        <f>DATE(YEAR(OneWeekMtgRatesDataTable756[[#This Row],[asofdate]]),MONTH(OneWeekMtgRatesDataTable756[[#This Row],[asofdate]]),DAY(OneWeekMtgRatesDataTable756[[#This Row],[asofdate]]))</f>
        <v>41200</v>
      </c>
      <c r="E949" s="48" t="s">
        <v>11</v>
      </c>
      <c r="F949" s="55">
        <v>0.2107</v>
      </c>
    </row>
    <row r="950" spans="2:6">
      <c r="B950" s="48" t="s">
        <v>20</v>
      </c>
      <c r="C950" s="48" t="s">
        <v>888</v>
      </c>
      <c r="D950" s="48">
        <f>DATE(YEAR(OneWeekMtgRatesDataTable756[[#This Row],[asofdate]]),MONTH(OneWeekMtgRatesDataTable756[[#This Row],[asofdate]]),DAY(OneWeekMtgRatesDataTable756[[#This Row],[asofdate]]))</f>
        <v>41199</v>
      </c>
      <c r="E950" s="48" t="s">
        <v>11</v>
      </c>
      <c r="F950" s="55">
        <v>0.2117</v>
      </c>
    </row>
    <row r="951" spans="2:6">
      <c r="B951" s="48" t="s">
        <v>20</v>
      </c>
      <c r="C951" s="48" t="s">
        <v>887</v>
      </c>
      <c r="D951" s="48">
        <f>DATE(YEAR(OneWeekMtgRatesDataTable756[[#This Row],[asofdate]]),MONTH(OneWeekMtgRatesDataTable756[[#This Row],[asofdate]]),DAY(OneWeekMtgRatesDataTable756[[#This Row],[asofdate]]))</f>
        <v>41198</v>
      </c>
      <c r="E951" s="48" t="s">
        <v>11</v>
      </c>
      <c r="F951" s="55">
        <v>0.2132</v>
      </c>
    </row>
    <row r="952" spans="2:6">
      <c r="B952" s="48" t="s">
        <v>20</v>
      </c>
      <c r="C952" s="48" t="s">
        <v>886</v>
      </c>
      <c r="D952" s="48">
        <f>DATE(YEAR(OneWeekMtgRatesDataTable756[[#This Row],[asofdate]]),MONTH(OneWeekMtgRatesDataTable756[[#This Row],[asofdate]]),DAY(OneWeekMtgRatesDataTable756[[#This Row],[asofdate]]))</f>
        <v>41197</v>
      </c>
      <c r="E952" s="48" t="s">
        <v>11</v>
      </c>
      <c r="F952" s="55">
        <v>0.214</v>
      </c>
    </row>
    <row r="953" spans="2:6">
      <c r="B953" s="48" t="s">
        <v>20</v>
      </c>
      <c r="C953" s="48" t="s">
        <v>885</v>
      </c>
      <c r="D953" s="48">
        <f>DATE(YEAR(OneWeekMtgRatesDataTable756[[#This Row],[asofdate]]),MONTH(OneWeekMtgRatesDataTable756[[#This Row],[asofdate]]),DAY(OneWeekMtgRatesDataTable756[[#This Row],[asofdate]]))</f>
        <v>41194</v>
      </c>
      <c r="E953" s="48" t="s">
        <v>11</v>
      </c>
      <c r="F953" s="55">
        <v>0.214</v>
      </c>
    </row>
    <row r="954" spans="2:6">
      <c r="B954" s="48" t="s">
        <v>20</v>
      </c>
      <c r="C954" s="48" t="s">
        <v>884</v>
      </c>
      <c r="D954" s="48">
        <f>DATE(YEAR(OneWeekMtgRatesDataTable756[[#This Row],[asofdate]]),MONTH(OneWeekMtgRatesDataTable756[[#This Row],[asofdate]]),DAY(OneWeekMtgRatesDataTable756[[#This Row],[asofdate]]))</f>
        <v>41193</v>
      </c>
      <c r="E954" s="48" t="s">
        <v>11</v>
      </c>
      <c r="F954" s="55">
        <v>0.214</v>
      </c>
    </row>
    <row r="955" spans="2:6">
      <c r="B955" s="48" t="s">
        <v>20</v>
      </c>
      <c r="C955" s="48" t="s">
        <v>883</v>
      </c>
      <c r="D955" s="48">
        <f>DATE(YEAR(OneWeekMtgRatesDataTable756[[#This Row],[asofdate]]),MONTH(OneWeekMtgRatesDataTable756[[#This Row],[asofdate]]),DAY(OneWeekMtgRatesDataTable756[[#This Row],[asofdate]]))</f>
        <v>41192</v>
      </c>
      <c r="E955" s="48" t="s">
        <v>11</v>
      </c>
      <c r="F955" s="55">
        <v>0.214</v>
      </c>
    </row>
    <row r="956" spans="2:6">
      <c r="B956" s="48" t="s">
        <v>20</v>
      </c>
      <c r="C956" s="48" t="s">
        <v>882</v>
      </c>
      <c r="D956" s="48">
        <f>DATE(YEAR(OneWeekMtgRatesDataTable756[[#This Row],[asofdate]]),MONTH(OneWeekMtgRatesDataTable756[[#This Row],[asofdate]]),DAY(OneWeekMtgRatesDataTable756[[#This Row],[asofdate]]))</f>
        <v>41191</v>
      </c>
      <c r="E956" s="48" t="s">
        <v>11</v>
      </c>
      <c r="F956" s="55">
        <v>0.2155</v>
      </c>
    </row>
    <row r="957" spans="2:6">
      <c r="B957" s="48" t="s">
        <v>20</v>
      </c>
      <c r="C957" s="48" t="s">
        <v>881</v>
      </c>
      <c r="D957" s="48">
        <f>DATE(YEAR(OneWeekMtgRatesDataTable756[[#This Row],[asofdate]]),MONTH(OneWeekMtgRatesDataTable756[[#This Row],[asofdate]]),DAY(OneWeekMtgRatesDataTable756[[#This Row],[asofdate]]))</f>
        <v>41187</v>
      </c>
      <c r="E957" s="48" t="s">
        <v>11</v>
      </c>
      <c r="F957" s="55">
        <v>0.2185</v>
      </c>
    </row>
    <row r="958" spans="2:6">
      <c r="B958" s="48" t="s">
        <v>20</v>
      </c>
      <c r="C958" s="48" t="s">
        <v>880</v>
      </c>
      <c r="D958" s="48">
        <f>DATE(YEAR(OneWeekMtgRatesDataTable756[[#This Row],[asofdate]]),MONTH(OneWeekMtgRatesDataTable756[[#This Row],[asofdate]]),DAY(OneWeekMtgRatesDataTable756[[#This Row],[asofdate]]))</f>
        <v>41186</v>
      </c>
      <c r="E958" s="48" t="s">
        <v>11</v>
      </c>
      <c r="F958" s="55">
        <v>0.2185</v>
      </c>
    </row>
    <row r="959" spans="2:6">
      <c r="B959" s="48" t="s">
        <v>20</v>
      </c>
      <c r="C959" s="48" t="s">
        <v>879</v>
      </c>
      <c r="D959" s="48">
        <f>DATE(YEAR(OneWeekMtgRatesDataTable756[[#This Row],[asofdate]]),MONTH(OneWeekMtgRatesDataTable756[[#This Row],[asofdate]]),DAY(OneWeekMtgRatesDataTable756[[#This Row],[asofdate]]))</f>
        <v>41185</v>
      </c>
      <c r="E959" s="48" t="s">
        <v>11</v>
      </c>
      <c r="F959" s="55">
        <v>0.2185</v>
      </c>
    </row>
    <row r="960" spans="2:6">
      <c r="B960" s="48" t="s">
        <v>20</v>
      </c>
      <c r="C960" s="48" t="s">
        <v>878</v>
      </c>
      <c r="D960" s="48">
        <f>DATE(YEAR(OneWeekMtgRatesDataTable756[[#This Row],[asofdate]]),MONTH(OneWeekMtgRatesDataTable756[[#This Row],[asofdate]]),DAY(OneWeekMtgRatesDataTable756[[#This Row],[asofdate]]))</f>
        <v>41184</v>
      </c>
      <c r="E960" s="48" t="s">
        <v>11</v>
      </c>
      <c r="F960" s="55">
        <v>0.2145</v>
      </c>
    </row>
    <row r="961" spans="2:6">
      <c r="B961" s="48" t="s">
        <v>20</v>
      </c>
      <c r="C961" s="48" t="s">
        <v>877</v>
      </c>
      <c r="D961" s="48">
        <f>DATE(YEAR(OneWeekMtgRatesDataTable756[[#This Row],[asofdate]]),MONTH(OneWeekMtgRatesDataTable756[[#This Row],[asofdate]]),DAY(OneWeekMtgRatesDataTable756[[#This Row],[asofdate]]))</f>
        <v>41183</v>
      </c>
      <c r="E961" s="48" t="s">
        <v>11</v>
      </c>
      <c r="F961" s="55">
        <v>0.2135</v>
      </c>
    </row>
    <row r="962" spans="2:6">
      <c r="B962" s="48" t="s">
        <v>20</v>
      </c>
      <c r="C962" s="48" t="s">
        <v>876</v>
      </c>
      <c r="D962" s="48">
        <f>DATE(YEAR(OneWeekMtgRatesDataTable756[[#This Row],[asofdate]]),MONTH(OneWeekMtgRatesDataTable756[[#This Row],[asofdate]]),DAY(OneWeekMtgRatesDataTable756[[#This Row],[asofdate]]))</f>
        <v>41180</v>
      </c>
      <c r="E962" s="48" t="s">
        <v>11</v>
      </c>
      <c r="F962" s="55">
        <v>0.21425</v>
      </c>
    </row>
    <row r="963" spans="2:6">
      <c r="B963" s="48" t="s">
        <v>20</v>
      </c>
      <c r="C963" s="48" t="s">
        <v>875</v>
      </c>
      <c r="D963" s="48">
        <f>DATE(YEAR(OneWeekMtgRatesDataTable756[[#This Row],[asofdate]]),MONTH(OneWeekMtgRatesDataTable756[[#This Row],[asofdate]]),DAY(OneWeekMtgRatesDataTable756[[#This Row],[asofdate]]))</f>
        <v>41179</v>
      </c>
      <c r="E963" s="48" t="s">
        <v>11</v>
      </c>
      <c r="F963" s="55">
        <v>0.2145</v>
      </c>
    </row>
    <row r="964" spans="2:6">
      <c r="B964" s="48" t="s">
        <v>20</v>
      </c>
      <c r="C964" s="48" t="s">
        <v>874</v>
      </c>
      <c r="D964" s="48">
        <f>DATE(YEAR(OneWeekMtgRatesDataTable756[[#This Row],[asofdate]]),MONTH(OneWeekMtgRatesDataTable756[[#This Row],[asofdate]]),DAY(OneWeekMtgRatesDataTable756[[#This Row],[asofdate]]))</f>
        <v>41178</v>
      </c>
      <c r="E964" s="48" t="s">
        <v>11</v>
      </c>
      <c r="F964" s="55">
        <v>0.2155</v>
      </c>
    </row>
    <row r="965" spans="2:6">
      <c r="B965" s="48" t="s">
        <v>20</v>
      </c>
      <c r="C965" s="48" t="s">
        <v>873</v>
      </c>
      <c r="D965" s="48">
        <f>DATE(YEAR(OneWeekMtgRatesDataTable756[[#This Row],[asofdate]]),MONTH(OneWeekMtgRatesDataTable756[[#This Row],[asofdate]]),DAY(OneWeekMtgRatesDataTable756[[#This Row],[asofdate]]))</f>
        <v>41177</v>
      </c>
      <c r="E965" s="48" t="s">
        <v>11</v>
      </c>
      <c r="F965" s="55">
        <v>0.2155</v>
      </c>
    </row>
    <row r="966" spans="2:6">
      <c r="B966" s="48" t="s">
        <v>20</v>
      </c>
      <c r="C966" s="48" t="s">
        <v>872</v>
      </c>
      <c r="D966" s="48">
        <f>DATE(YEAR(OneWeekMtgRatesDataTable756[[#This Row],[asofdate]]),MONTH(OneWeekMtgRatesDataTable756[[#This Row],[asofdate]]),DAY(OneWeekMtgRatesDataTable756[[#This Row],[asofdate]]))</f>
        <v>41176</v>
      </c>
      <c r="E966" s="48" t="s">
        <v>11</v>
      </c>
      <c r="F966" s="55">
        <v>0.2165</v>
      </c>
    </row>
    <row r="967" spans="2:6">
      <c r="B967" s="48" t="s">
        <v>20</v>
      </c>
      <c r="C967" s="48" t="s">
        <v>871</v>
      </c>
      <c r="D967" s="48">
        <f>DATE(YEAR(OneWeekMtgRatesDataTable756[[#This Row],[asofdate]]),MONTH(OneWeekMtgRatesDataTable756[[#This Row],[asofdate]]),DAY(OneWeekMtgRatesDataTable756[[#This Row],[asofdate]]))</f>
        <v>41173</v>
      </c>
      <c r="E967" s="48" t="s">
        <v>11</v>
      </c>
      <c r="F967" s="55">
        <v>0.2165</v>
      </c>
    </row>
    <row r="968" spans="2:6">
      <c r="B968" s="48" t="s">
        <v>20</v>
      </c>
      <c r="C968" s="48" t="s">
        <v>870</v>
      </c>
      <c r="D968" s="48">
        <f>DATE(YEAR(OneWeekMtgRatesDataTable756[[#This Row],[asofdate]]),MONTH(OneWeekMtgRatesDataTable756[[#This Row],[asofdate]]),DAY(OneWeekMtgRatesDataTable756[[#This Row],[asofdate]]))</f>
        <v>41172</v>
      </c>
      <c r="E968" s="48" t="s">
        <v>11</v>
      </c>
      <c r="F968" s="55">
        <v>0.2165</v>
      </c>
    </row>
    <row r="969" spans="2:6">
      <c r="B969" s="48" t="s">
        <v>20</v>
      </c>
      <c r="C969" s="48" t="s">
        <v>869</v>
      </c>
      <c r="D969" s="48">
        <f>DATE(YEAR(OneWeekMtgRatesDataTable756[[#This Row],[asofdate]]),MONTH(OneWeekMtgRatesDataTable756[[#This Row],[asofdate]]),DAY(OneWeekMtgRatesDataTable756[[#This Row],[asofdate]]))</f>
        <v>41171</v>
      </c>
      <c r="E969" s="48" t="s">
        <v>11</v>
      </c>
      <c r="F969" s="55">
        <v>0.2185</v>
      </c>
    </row>
    <row r="970" spans="2:6">
      <c r="B970" s="48" t="s">
        <v>20</v>
      </c>
      <c r="C970" s="48" t="s">
        <v>868</v>
      </c>
      <c r="D970" s="48">
        <f>DATE(YEAR(OneWeekMtgRatesDataTable756[[#This Row],[asofdate]]),MONTH(OneWeekMtgRatesDataTable756[[#This Row],[asofdate]]),DAY(OneWeekMtgRatesDataTable756[[#This Row],[asofdate]]))</f>
        <v>41170</v>
      </c>
      <c r="E970" s="48" t="s">
        <v>11</v>
      </c>
      <c r="F970" s="55">
        <v>0.2185</v>
      </c>
    </row>
    <row r="971" spans="2:6">
      <c r="B971" s="48" t="s">
        <v>20</v>
      </c>
      <c r="C971" s="48" t="s">
        <v>867</v>
      </c>
      <c r="D971" s="48">
        <f>DATE(YEAR(OneWeekMtgRatesDataTable756[[#This Row],[asofdate]]),MONTH(OneWeekMtgRatesDataTable756[[#This Row],[asofdate]]),DAY(OneWeekMtgRatesDataTable756[[#This Row],[asofdate]]))</f>
        <v>41169</v>
      </c>
      <c r="E971" s="48" t="s">
        <v>11</v>
      </c>
      <c r="F971" s="55">
        <v>0.219</v>
      </c>
    </row>
    <row r="972" spans="2:6">
      <c r="B972" s="48" t="s">
        <v>20</v>
      </c>
      <c r="C972" s="48" t="s">
        <v>866</v>
      </c>
      <c r="D972" s="48">
        <f>DATE(YEAR(OneWeekMtgRatesDataTable756[[#This Row],[asofdate]]),MONTH(OneWeekMtgRatesDataTable756[[#This Row],[asofdate]]),DAY(OneWeekMtgRatesDataTable756[[#This Row],[asofdate]]))</f>
        <v>41166</v>
      </c>
      <c r="E972" s="48" t="s">
        <v>11</v>
      </c>
      <c r="F972" s="55">
        <v>0.22</v>
      </c>
    </row>
    <row r="973" spans="2:6">
      <c r="B973" s="48" t="s">
        <v>20</v>
      </c>
      <c r="C973" s="48" t="s">
        <v>865</v>
      </c>
      <c r="D973" s="48">
        <f>DATE(YEAR(OneWeekMtgRatesDataTable756[[#This Row],[asofdate]]),MONTH(OneWeekMtgRatesDataTable756[[#This Row],[asofdate]]),DAY(OneWeekMtgRatesDataTable756[[#This Row],[asofdate]]))</f>
        <v>41165</v>
      </c>
      <c r="E973" s="48" t="s">
        <v>11</v>
      </c>
      <c r="F973" s="55">
        <v>0.22075</v>
      </c>
    </row>
    <row r="974" spans="2:6">
      <c r="B974" s="48" t="s">
        <v>20</v>
      </c>
      <c r="C974" s="48" t="s">
        <v>864</v>
      </c>
      <c r="D974" s="48">
        <f>DATE(YEAR(OneWeekMtgRatesDataTable756[[#This Row],[asofdate]]),MONTH(OneWeekMtgRatesDataTable756[[#This Row],[asofdate]]),DAY(OneWeekMtgRatesDataTable756[[#This Row],[asofdate]]))</f>
        <v>41164</v>
      </c>
      <c r="E974" s="48" t="s">
        <v>11</v>
      </c>
      <c r="F974" s="55">
        <v>0.22375</v>
      </c>
    </row>
    <row r="975" spans="2:6">
      <c r="B975" s="48" t="s">
        <v>20</v>
      </c>
      <c r="C975" s="48" t="s">
        <v>863</v>
      </c>
      <c r="D975" s="48">
        <f>DATE(YEAR(OneWeekMtgRatesDataTable756[[#This Row],[asofdate]]),MONTH(OneWeekMtgRatesDataTable756[[#This Row],[asofdate]]),DAY(OneWeekMtgRatesDataTable756[[#This Row],[asofdate]]))</f>
        <v>41163</v>
      </c>
      <c r="E975" s="48" t="s">
        <v>11</v>
      </c>
      <c r="F975" s="55">
        <v>0.22675000000000001</v>
      </c>
    </row>
    <row r="976" spans="2:6">
      <c r="B976" s="48" t="s">
        <v>20</v>
      </c>
      <c r="C976" s="48" t="s">
        <v>862</v>
      </c>
      <c r="D976" s="48">
        <f>DATE(YEAR(OneWeekMtgRatesDataTable756[[#This Row],[asofdate]]),MONTH(OneWeekMtgRatesDataTable756[[#This Row],[asofdate]]),DAY(OneWeekMtgRatesDataTable756[[#This Row],[asofdate]]))</f>
        <v>41162</v>
      </c>
      <c r="E976" s="48" t="s">
        <v>11</v>
      </c>
      <c r="F976" s="55">
        <v>0.22800000000000001</v>
      </c>
    </row>
    <row r="977" spans="2:6">
      <c r="B977" s="48" t="s">
        <v>20</v>
      </c>
      <c r="C977" s="48" t="s">
        <v>861</v>
      </c>
      <c r="D977" s="48">
        <f>DATE(YEAR(OneWeekMtgRatesDataTable756[[#This Row],[asofdate]]),MONTH(OneWeekMtgRatesDataTable756[[#This Row],[asofdate]]),DAY(OneWeekMtgRatesDataTable756[[#This Row],[asofdate]]))</f>
        <v>41159</v>
      </c>
      <c r="E977" s="48" t="s">
        <v>11</v>
      </c>
      <c r="F977" s="55">
        <v>0.22800000000000001</v>
      </c>
    </row>
    <row r="978" spans="2:6">
      <c r="B978" s="48" t="s">
        <v>20</v>
      </c>
      <c r="C978" s="48" t="s">
        <v>860</v>
      </c>
      <c r="D978" s="48">
        <f>DATE(YEAR(OneWeekMtgRatesDataTable756[[#This Row],[asofdate]]),MONTH(OneWeekMtgRatesDataTable756[[#This Row],[asofdate]]),DAY(OneWeekMtgRatesDataTable756[[#This Row],[asofdate]]))</f>
        <v>41158</v>
      </c>
      <c r="E978" s="48" t="s">
        <v>11</v>
      </c>
      <c r="F978" s="55">
        <v>0.22750000000000001</v>
      </c>
    </row>
    <row r="979" spans="2:6">
      <c r="B979" s="48" t="s">
        <v>20</v>
      </c>
      <c r="C979" s="48" t="s">
        <v>859</v>
      </c>
      <c r="D979" s="48">
        <f>DATE(YEAR(OneWeekMtgRatesDataTable756[[#This Row],[asofdate]]),MONTH(OneWeekMtgRatesDataTable756[[#This Row],[asofdate]]),DAY(OneWeekMtgRatesDataTable756[[#This Row],[asofdate]]))</f>
        <v>41157</v>
      </c>
      <c r="E979" s="48" t="s">
        <v>11</v>
      </c>
      <c r="F979" s="55">
        <v>0.22800000000000001</v>
      </c>
    </row>
    <row r="980" spans="2:6">
      <c r="B980" s="48" t="s">
        <v>20</v>
      </c>
      <c r="C980" s="48" t="s">
        <v>858</v>
      </c>
      <c r="D980" s="48">
        <f>DATE(YEAR(OneWeekMtgRatesDataTable756[[#This Row],[asofdate]]),MONTH(OneWeekMtgRatesDataTable756[[#This Row],[asofdate]]),DAY(OneWeekMtgRatesDataTable756[[#This Row],[asofdate]]))</f>
        <v>41156</v>
      </c>
      <c r="E980" s="48" t="s">
        <v>11</v>
      </c>
      <c r="F980" s="55">
        <v>0.22825000000000001</v>
      </c>
    </row>
    <row r="981" spans="2:6">
      <c r="B981" s="48" t="s">
        <v>20</v>
      </c>
      <c r="C981" s="48" t="s">
        <v>857</v>
      </c>
      <c r="D981" s="48">
        <f>DATE(YEAR(OneWeekMtgRatesDataTable756[[#This Row],[asofdate]]),MONTH(OneWeekMtgRatesDataTable756[[#This Row],[asofdate]]),DAY(OneWeekMtgRatesDataTable756[[#This Row],[asofdate]]))</f>
        <v>41152</v>
      </c>
      <c r="E981" s="48" t="s">
        <v>11</v>
      </c>
      <c r="F981" s="55">
        <v>0.23050000000000001</v>
      </c>
    </row>
    <row r="982" spans="2:6">
      <c r="B982" s="48" t="s">
        <v>20</v>
      </c>
      <c r="C982" s="48" t="s">
        <v>856</v>
      </c>
      <c r="D982" s="48">
        <f>DATE(YEAR(OneWeekMtgRatesDataTable756[[#This Row],[asofdate]]),MONTH(OneWeekMtgRatesDataTable756[[#This Row],[asofdate]]),DAY(OneWeekMtgRatesDataTable756[[#This Row],[asofdate]]))</f>
        <v>41151</v>
      </c>
      <c r="E982" s="48" t="s">
        <v>11</v>
      </c>
      <c r="F982" s="55">
        <v>0.23050000000000001</v>
      </c>
    </row>
    <row r="983" spans="2:6">
      <c r="B983" s="48" t="s">
        <v>20</v>
      </c>
      <c r="C983" s="48" t="s">
        <v>855</v>
      </c>
      <c r="D983" s="48">
        <f>DATE(YEAR(OneWeekMtgRatesDataTable756[[#This Row],[asofdate]]),MONTH(OneWeekMtgRatesDataTable756[[#This Row],[asofdate]]),DAY(OneWeekMtgRatesDataTable756[[#This Row],[asofdate]]))</f>
        <v>41150</v>
      </c>
      <c r="E983" s="48" t="s">
        <v>11</v>
      </c>
      <c r="F983" s="55">
        <v>0.23150000000000001</v>
      </c>
    </row>
    <row r="984" spans="2:6">
      <c r="B984" s="48" t="s">
        <v>20</v>
      </c>
      <c r="C984" s="48" t="s">
        <v>854</v>
      </c>
      <c r="D984" s="48">
        <f>DATE(YEAR(OneWeekMtgRatesDataTable756[[#This Row],[asofdate]]),MONTH(OneWeekMtgRatesDataTable756[[#This Row],[asofdate]]),DAY(OneWeekMtgRatesDataTable756[[#This Row],[asofdate]]))</f>
        <v>41149</v>
      </c>
      <c r="E984" s="48" t="s">
        <v>11</v>
      </c>
      <c r="F984" s="55">
        <v>0.23350000000000001</v>
      </c>
    </row>
    <row r="985" spans="2:6">
      <c r="B985" s="48" t="s">
        <v>20</v>
      </c>
      <c r="C985" s="48" t="s">
        <v>853</v>
      </c>
      <c r="D985" s="48">
        <f>DATE(YEAR(OneWeekMtgRatesDataTable756[[#This Row],[asofdate]]),MONTH(OneWeekMtgRatesDataTable756[[#This Row],[asofdate]]),DAY(OneWeekMtgRatesDataTable756[[#This Row],[asofdate]]))</f>
        <v>41148</v>
      </c>
      <c r="E985" s="48" t="s">
        <v>11</v>
      </c>
      <c r="F985" s="55">
        <v>0.23449999999999999</v>
      </c>
    </row>
    <row r="986" spans="2:6">
      <c r="B986" s="48" t="s">
        <v>20</v>
      </c>
      <c r="C986" s="48" t="s">
        <v>852</v>
      </c>
      <c r="D986" s="48">
        <f>DATE(YEAR(OneWeekMtgRatesDataTable756[[#This Row],[asofdate]]),MONTH(OneWeekMtgRatesDataTable756[[#This Row],[asofdate]]),DAY(OneWeekMtgRatesDataTable756[[#This Row],[asofdate]]))</f>
        <v>41145</v>
      </c>
      <c r="E986" s="48" t="s">
        <v>11</v>
      </c>
      <c r="F986" s="55">
        <v>0.23449999999999999</v>
      </c>
    </row>
    <row r="987" spans="2:6">
      <c r="B987" s="48" t="s">
        <v>20</v>
      </c>
      <c r="C987" s="48" t="s">
        <v>851</v>
      </c>
      <c r="D987" s="48">
        <f>DATE(YEAR(OneWeekMtgRatesDataTable756[[#This Row],[asofdate]]),MONTH(OneWeekMtgRatesDataTable756[[#This Row],[asofdate]]),DAY(OneWeekMtgRatesDataTable756[[#This Row],[asofdate]]))</f>
        <v>41144</v>
      </c>
      <c r="E987" s="48" t="s">
        <v>11</v>
      </c>
      <c r="F987" s="55">
        <v>0.23549999999999999</v>
      </c>
    </row>
    <row r="988" spans="2:6">
      <c r="B988" s="48" t="s">
        <v>20</v>
      </c>
      <c r="C988" s="48" t="s">
        <v>850</v>
      </c>
      <c r="D988" s="48">
        <f>DATE(YEAR(OneWeekMtgRatesDataTable756[[#This Row],[asofdate]]),MONTH(OneWeekMtgRatesDataTable756[[#This Row],[asofdate]]),DAY(OneWeekMtgRatesDataTable756[[#This Row],[asofdate]]))</f>
        <v>41143</v>
      </c>
      <c r="E988" s="48" t="s">
        <v>11</v>
      </c>
      <c r="F988" s="55">
        <v>0.23649999999999999</v>
      </c>
    </row>
    <row r="989" spans="2:6">
      <c r="B989" s="48" t="s">
        <v>20</v>
      </c>
      <c r="C989" s="48" t="s">
        <v>849</v>
      </c>
      <c r="D989" s="48">
        <f>DATE(YEAR(OneWeekMtgRatesDataTable756[[#This Row],[asofdate]]),MONTH(OneWeekMtgRatesDataTable756[[#This Row],[asofdate]]),DAY(OneWeekMtgRatesDataTable756[[#This Row],[asofdate]]))</f>
        <v>41142</v>
      </c>
      <c r="E989" s="48" t="s">
        <v>11</v>
      </c>
      <c r="F989" s="55">
        <v>0.23749999999999999</v>
      </c>
    </row>
    <row r="990" spans="2:6">
      <c r="B990" s="48" t="s">
        <v>20</v>
      </c>
      <c r="C990" s="48" t="s">
        <v>848</v>
      </c>
      <c r="D990" s="48">
        <f>DATE(YEAR(OneWeekMtgRatesDataTable756[[#This Row],[asofdate]]),MONTH(OneWeekMtgRatesDataTable756[[#This Row],[asofdate]]),DAY(OneWeekMtgRatesDataTable756[[#This Row],[asofdate]]))</f>
        <v>41141</v>
      </c>
      <c r="E990" s="48" t="s">
        <v>11</v>
      </c>
      <c r="F990" s="55">
        <v>0.23599999999999999</v>
      </c>
    </row>
    <row r="991" spans="2:6">
      <c r="B991" s="48" t="s">
        <v>20</v>
      </c>
      <c r="C991" s="48" t="s">
        <v>847</v>
      </c>
      <c r="D991" s="48">
        <f>DATE(YEAR(OneWeekMtgRatesDataTable756[[#This Row],[asofdate]]),MONTH(OneWeekMtgRatesDataTable756[[#This Row],[asofdate]]),DAY(OneWeekMtgRatesDataTable756[[#This Row],[asofdate]]))</f>
        <v>41138</v>
      </c>
      <c r="E991" s="48" t="s">
        <v>11</v>
      </c>
      <c r="F991" s="55">
        <v>0.23699999999999999</v>
      </c>
    </row>
    <row r="992" spans="2:6">
      <c r="B992" s="48" t="s">
        <v>20</v>
      </c>
      <c r="C992" s="48" t="s">
        <v>846</v>
      </c>
      <c r="D992" s="48">
        <f>DATE(YEAR(OneWeekMtgRatesDataTable756[[#This Row],[asofdate]]),MONTH(OneWeekMtgRatesDataTable756[[#This Row],[asofdate]]),DAY(OneWeekMtgRatesDataTable756[[#This Row],[asofdate]]))</f>
        <v>41137</v>
      </c>
      <c r="E992" s="48" t="s">
        <v>11</v>
      </c>
      <c r="F992" s="55">
        <v>0.23699999999999999</v>
      </c>
    </row>
    <row r="993" spans="2:6">
      <c r="B993" s="48" t="s">
        <v>20</v>
      </c>
      <c r="C993" s="48" t="s">
        <v>845</v>
      </c>
      <c r="D993" s="48">
        <f>DATE(YEAR(OneWeekMtgRatesDataTable756[[#This Row],[asofdate]]),MONTH(OneWeekMtgRatesDataTable756[[#This Row],[asofdate]]),DAY(OneWeekMtgRatesDataTable756[[#This Row],[asofdate]]))</f>
        <v>41136</v>
      </c>
      <c r="E993" s="48" t="s">
        <v>11</v>
      </c>
      <c r="F993" s="55">
        <v>0.23799999999999999</v>
      </c>
    </row>
    <row r="994" spans="2:6">
      <c r="B994" s="48" t="s">
        <v>20</v>
      </c>
      <c r="C994" s="48" t="s">
        <v>844</v>
      </c>
      <c r="D994" s="48">
        <f>DATE(YEAR(OneWeekMtgRatesDataTable756[[#This Row],[asofdate]]),MONTH(OneWeekMtgRatesDataTable756[[#This Row],[asofdate]]),DAY(OneWeekMtgRatesDataTable756[[#This Row],[asofdate]]))</f>
        <v>41135</v>
      </c>
      <c r="E994" s="48" t="s">
        <v>11</v>
      </c>
      <c r="F994" s="55">
        <v>0.23849999999999999</v>
      </c>
    </row>
    <row r="995" spans="2:6">
      <c r="B995" s="48" t="s">
        <v>20</v>
      </c>
      <c r="C995" s="48" t="s">
        <v>843</v>
      </c>
      <c r="D995" s="48">
        <f>DATE(YEAR(OneWeekMtgRatesDataTable756[[#This Row],[asofdate]]),MONTH(OneWeekMtgRatesDataTable756[[#This Row],[asofdate]]),DAY(OneWeekMtgRatesDataTable756[[#This Row],[asofdate]]))</f>
        <v>41134</v>
      </c>
      <c r="E995" s="48" t="s">
        <v>11</v>
      </c>
      <c r="F995" s="55">
        <v>0.23949999999999999</v>
      </c>
    </row>
    <row r="996" spans="2:6">
      <c r="B996" s="48" t="s">
        <v>20</v>
      </c>
      <c r="C996" s="48" t="s">
        <v>842</v>
      </c>
      <c r="D996" s="48">
        <f>DATE(YEAR(OneWeekMtgRatesDataTable756[[#This Row],[asofdate]]),MONTH(OneWeekMtgRatesDataTable756[[#This Row],[asofdate]]),DAY(OneWeekMtgRatesDataTable756[[#This Row],[asofdate]]))</f>
        <v>41131</v>
      </c>
      <c r="E996" s="48" t="s">
        <v>11</v>
      </c>
      <c r="F996" s="55">
        <v>0.23974999999999999</v>
      </c>
    </row>
    <row r="997" spans="2:6">
      <c r="B997" s="48" t="s">
        <v>20</v>
      </c>
      <c r="C997" s="48" t="s">
        <v>841</v>
      </c>
      <c r="D997" s="48">
        <f>DATE(YEAR(OneWeekMtgRatesDataTable756[[#This Row],[asofdate]]),MONTH(OneWeekMtgRatesDataTable756[[#This Row],[asofdate]]),DAY(OneWeekMtgRatesDataTable756[[#This Row],[asofdate]]))</f>
        <v>41130</v>
      </c>
      <c r="E997" s="48" t="s">
        <v>11</v>
      </c>
      <c r="F997" s="55">
        <v>0.23924999999999999</v>
      </c>
    </row>
    <row r="998" spans="2:6">
      <c r="B998" s="48" t="s">
        <v>20</v>
      </c>
      <c r="C998" s="48" t="s">
        <v>840</v>
      </c>
      <c r="D998" s="48">
        <f>DATE(YEAR(OneWeekMtgRatesDataTable756[[#This Row],[asofdate]]),MONTH(OneWeekMtgRatesDataTable756[[#This Row],[asofdate]]),DAY(OneWeekMtgRatesDataTable756[[#This Row],[asofdate]]))</f>
        <v>41129</v>
      </c>
      <c r="E998" s="48" t="s">
        <v>11</v>
      </c>
      <c r="F998" s="55">
        <v>0.24024999999999999</v>
      </c>
    </row>
    <row r="999" spans="2:6">
      <c r="B999" s="48" t="s">
        <v>20</v>
      </c>
      <c r="C999" s="48" t="s">
        <v>839</v>
      </c>
      <c r="D999" s="48">
        <f>DATE(YEAR(OneWeekMtgRatesDataTable756[[#This Row],[asofdate]]),MONTH(OneWeekMtgRatesDataTable756[[#This Row],[asofdate]]),DAY(OneWeekMtgRatesDataTable756[[#This Row],[asofdate]]))</f>
        <v>41128</v>
      </c>
      <c r="E999" s="48" t="s">
        <v>11</v>
      </c>
      <c r="F999" s="55">
        <v>0.24124999999999999</v>
      </c>
    </row>
    <row r="1000" spans="2:6">
      <c r="B1000" s="48" t="s">
        <v>20</v>
      </c>
      <c r="C1000" s="48" t="s">
        <v>838</v>
      </c>
      <c r="D1000" s="48">
        <f>DATE(YEAR(OneWeekMtgRatesDataTable756[[#This Row],[asofdate]]),MONTH(OneWeekMtgRatesDataTable756[[#This Row],[asofdate]]),DAY(OneWeekMtgRatesDataTable756[[#This Row],[asofdate]]))</f>
        <v>41127</v>
      </c>
      <c r="E1000" s="48" t="s">
        <v>11</v>
      </c>
      <c r="F1000" s="55">
        <v>0.24324999999999999</v>
      </c>
    </row>
    <row r="1001" spans="2:6">
      <c r="B1001" s="48" t="s">
        <v>20</v>
      </c>
      <c r="C1001" s="48" t="s">
        <v>837</v>
      </c>
      <c r="D1001" s="48">
        <f>DATE(YEAR(OneWeekMtgRatesDataTable756[[#This Row],[asofdate]]),MONTH(OneWeekMtgRatesDataTable756[[#This Row],[asofdate]]),DAY(OneWeekMtgRatesDataTable756[[#This Row],[asofdate]]))</f>
        <v>41124</v>
      </c>
      <c r="E1001" s="48" t="s">
        <v>11</v>
      </c>
      <c r="F1001" s="55">
        <v>0.24374999999999999</v>
      </c>
    </row>
    <row r="1002" spans="2:6">
      <c r="B1002" s="48" t="s">
        <v>20</v>
      </c>
      <c r="C1002" s="48" t="s">
        <v>836</v>
      </c>
      <c r="D1002" s="48">
        <f>DATE(YEAR(OneWeekMtgRatesDataTable756[[#This Row],[asofdate]]),MONTH(OneWeekMtgRatesDataTable756[[#This Row],[asofdate]]),DAY(OneWeekMtgRatesDataTable756[[#This Row],[asofdate]]))</f>
        <v>41123</v>
      </c>
      <c r="E1002" s="48" t="s">
        <v>11</v>
      </c>
      <c r="F1002" s="55">
        <v>0.24424999999999999</v>
      </c>
    </row>
    <row r="1003" spans="2:6">
      <c r="B1003" s="48" t="s">
        <v>20</v>
      </c>
      <c r="C1003" s="48" t="s">
        <v>835</v>
      </c>
      <c r="D1003" s="48">
        <f>DATE(YEAR(OneWeekMtgRatesDataTable756[[#This Row],[asofdate]]),MONTH(OneWeekMtgRatesDataTable756[[#This Row],[asofdate]]),DAY(OneWeekMtgRatesDataTable756[[#This Row],[asofdate]]))</f>
        <v>41122</v>
      </c>
      <c r="E1003" s="48" t="s">
        <v>11</v>
      </c>
      <c r="F1003" s="55">
        <v>0.2447</v>
      </c>
    </row>
    <row r="1004" spans="2:6">
      <c r="B1004" s="48" t="s">
        <v>20</v>
      </c>
      <c r="C1004" s="48" t="s">
        <v>834</v>
      </c>
      <c r="D1004" s="48">
        <f>DATE(YEAR(OneWeekMtgRatesDataTable756[[#This Row],[asofdate]]),MONTH(OneWeekMtgRatesDataTable756[[#This Row],[asofdate]]),DAY(OneWeekMtgRatesDataTable756[[#This Row],[asofdate]]))</f>
        <v>41121</v>
      </c>
      <c r="E1004" s="48" t="s">
        <v>11</v>
      </c>
      <c r="F1004" s="55">
        <v>0.2457</v>
      </c>
    </row>
    <row r="1005" spans="2:6">
      <c r="B1005" s="48" t="s">
        <v>20</v>
      </c>
      <c r="C1005" s="48" t="s">
        <v>833</v>
      </c>
      <c r="D1005" s="48">
        <f>DATE(YEAR(OneWeekMtgRatesDataTable756[[#This Row],[asofdate]]),MONTH(OneWeekMtgRatesDataTable756[[#This Row],[asofdate]]),DAY(OneWeekMtgRatesDataTable756[[#This Row],[asofdate]]))</f>
        <v>41120</v>
      </c>
      <c r="E1005" s="48" t="s">
        <v>11</v>
      </c>
      <c r="F1005" s="55">
        <v>0.2457</v>
      </c>
    </row>
    <row r="1006" spans="2:6">
      <c r="B1006" s="48" t="s">
        <v>20</v>
      </c>
      <c r="C1006" s="48" t="s">
        <v>832</v>
      </c>
      <c r="D1006" s="48">
        <f>DATE(YEAR(OneWeekMtgRatesDataTable756[[#This Row],[asofdate]]),MONTH(OneWeekMtgRatesDataTable756[[#This Row],[asofdate]]),DAY(OneWeekMtgRatesDataTable756[[#This Row],[asofdate]]))</f>
        <v>41117</v>
      </c>
      <c r="E1006" s="48" t="s">
        <v>11</v>
      </c>
      <c r="F1006" s="55">
        <v>0.2457</v>
      </c>
    </row>
    <row r="1007" spans="2:6">
      <c r="B1007" s="48" t="s">
        <v>20</v>
      </c>
      <c r="C1007" s="48" t="s">
        <v>831</v>
      </c>
      <c r="D1007" s="48">
        <f>DATE(YEAR(OneWeekMtgRatesDataTable756[[#This Row],[asofdate]]),MONTH(OneWeekMtgRatesDataTable756[[#This Row],[asofdate]]),DAY(OneWeekMtgRatesDataTable756[[#This Row],[asofdate]]))</f>
        <v>41116</v>
      </c>
      <c r="E1007" s="48" t="s">
        <v>11</v>
      </c>
      <c r="F1007" s="55">
        <v>0.2452</v>
      </c>
    </row>
    <row r="1008" spans="2:6">
      <c r="B1008" s="48" t="s">
        <v>20</v>
      </c>
      <c r="C1008" s="48" t="s">
        <v>830</v>
      </c>
      <c r="D1008" s="48">
        <f>DATE(YEAR(OneWeekMtgRatesDataTable756[[#This Row],[asofdate]]),MONTH(OneWeekMtgRatesDataTable756[[#This Row],[asofdate]]),DAY(OneWeekMtgRatesDataTable756[[#This Row],[asofdate]]))</f>
        <v>41115</v>
      </c>
      <c r="E1008" s="48" t="s">
        <v>11</v>
      </c>
      <c r="F1008" s="55">
        <v>0.2442</v>
      </c>
    </row>
    <row r="1009" spans="2:6">
      <c r="B1009" s="48" t="s">
        <v>20</v>
      </c>
      <c r="C1009" s="48" t="s">
        <v>829</v>
      </c>
      <c r="D1009" s="48">
        <f>DATE(YEAR(OneWeekMtgRatesDataTable756[[#This Row],[asofdate]]),MONTH(OneWeekMtgRatesDataTable756[[#This Row],[asofdate]]),DAY(OneWeekMtgRatesDataTable756[[#This Row],[asofdate]]))</f>
        <v>41114</v>
      </c>
      <c r="E1009" s="48" t="s">
        <v>11</v>
      </c>
      <c r="F1009" s="55">
        <v>0.2442</v>
      </c>
    </row>
    <row r="1010" spans="2:6">
      <c r="B1010" s="48" t="s">
        <v>20</v>
      </c>
      <c r="C1010" s="48" t="s">
        <v>828</v>
      </c>
      <c r="D1010" s="48">
        <f>DATE(YEAR(OneWeekMtgRatesDataTable756[[#This Row],[asofdate]]),MONTH(OneWeekMtgRatesDataTable756[[#This Row],[asofdate]]),DAY(OneWeekMtgRatesDataTable756[[#This Row],[asofdate]]))</f>
        <v>41113</v>
      </c>
      <c r="E1010" s="48" t="s">
        <v>11</v>
      </c>
      <c r="F1010" s="55">
        <v>0.2462</v>
      </c>
    </row>
    <row r="1011" spans="2:6">
      <c r="B1011" s="48" t="s">
        <v>20</v>
      </c>
      <c r="C1011" s="48" t="s">
        <v>827</v>
      </c>
      <c r="D1011" s="48">
        <f>DATE(YEAR(OneWeekMtgRatesDataTable756[[#This Row],[asofdate]]),MONTH(OneWeekMtgRatesDataTable756[[#This Row],[asofdate]]),DAY(OneWeekMtgRatesDataTable756[[#This Row],[asofdate]]))</f>
        <v>41110</v>
      </c>
      <c r="E1011" s="48" t="s">
        <v>11</v>
      </c>
      <c r="F1011" s="55">
        <v>0.24675</v>
      </c>
    </row>
    <row r="1012" spans="2:6">
      <c r="B1012" s="48" t="s">
        <v>20</v>
      </c>
      <c r="C1012" s="48" t="s">
        <v>826</v>
      </c>
      <c r="D1012" s="48">
        <f>DATE(YEAR(OneWeekMtgRatesDataTable756[[#This Row],[asofdate]]),MONTH(OneWeekMtgRatesDataTable756[[#This Row],[asofdate]]),DAY(OneWeekMtgRatesDataTable756[[#This Row],[asofdate]]))</f>
        <v>41109</v>
      </c>
      <c r="E1012" s="48" t="s">
        <v>11</v>
      </c>
      <c r="F1012" s="55">
        <v>0.24675</v>
      </c>
    </row>
    <row r="1013" spans="2:6">
      <c r="B1013" s="48" t="s">
        <v>20</v>
      </c>
      <c r="C1013" s="48" t="s">
        <v>825</v>
      </c>
      <c r="D1013" s="48">
        <f>DATE(YEAR(OneWeekMtgRatesDataTable756[[#This Row],[asofdate]]),MONTH(OneWeekMtgRatesDataTable756[[#This Row],[asofdate]]),DAY(OneWeekMtgRatesDataTable756[[#This Row],[asofdate]]))</f>
        <v>41108</v>
      </c>
      <c r="E1013" s="48" t="s">
        <v>11</v>
      </c>
      <c r="F1013" s="55">
        <v>0.24675</v>
      </c>
    </row>
    <row r="1014" spans="2:6">
      <c r="B1014" s="48" t="s">
        <v>20</v>
      </c>
      <c r="C1014" s="48" t="s">
        <v>824</v>
      </c>
      <c r="D1014" s="48">
        <f>DATE(YEAR(OneWeekMtgRatesDataTable756[[#This Row],[asofdate]]),MONTH(OneWeekMtgRatesDataTable756[[#This Row],[asofdate]]),DAY(OneWeekMtgRatesDataTable756[[#This Row],[asofdate]]))</f>
        <v>41107</v>
      </c>
      <c r="E1014" s="48" t="s">
        <v>11</v>
      </c>
      <c r="F1014" s="55">
        <v>0.24675</v>
      </c>
    </row>
    <row r="1015" spans="2:6">
      <c r="B1015" s="48" t="s">
        <v>20</v>
      </c>
      <c r="C1015" s="48" t="s">
        <v>823</v>
      </c>
      <c r="D1015" s="48">
        <f>DATE(YEAR(OneWeekMtgRatesDataTable756[[#This Row],[asofdate]]),MONTH(OneWeekMtgRatesDataTable756[[#This Row],[asofdate]]),DAY(OneWeekMtgRatesDataTable756[[#This Row],[asofdate]]))</f>
        <v>41106</v>
      </c>
      <c r="E1015" s="48" t="s">
        <v>11</v>
      </c>
      <c r="F1015" s="55">
        <v>0.24775</v>
      </c>
    </row>
    <row r="1016" spans="2:6">
      <c r="B1016" s="48" t="s">
        <v>20</v>
      </c>
      <c r="C1016" s="48" t="s">
        <v>822</v>
      </c>
      <c r="D1016" s="48">
        <f>DATE(YEAR(OneWeekMtgRatesDataTable756[[#This Row],[asofdate]]),MONTH(OneWeekMtgRatesDataTable756[[#This Row],[asofdate]]),DAY(OneWeekMtgRatesDataTable756[[#This Row],[asofdate]]))</f>
        <v>41103</v>
      </c>
      <c r="E1016" s="48" t="s">
        <v>11</v>
      </c>
      <c r="F1016" s="55">
        <v>0.24775</v>
      </c>
    </row>
    <row r="1017" spans="2:6">
      <c r="B1017" s="48" t="s">
        <v>20</v>
      </c>
      <c r="C1017" s="48" t="s">
        <v>821</v>
      </c>
      <c r="D1017" s="48">
        <f>DATE(YEAR(OneWeekMtgRatesDataTable756[[#This Row],[asofdate]]),MONTH(OneWeekMtgRatesDataTable756[[#This Row],[asofdate]]),DAY(OneWeekMtgRatesDataTable756[[#This Row],[asofdate]]))</f>
        <v>41102</v>
      </c>
      <c r="E1017" s="48" t="s">
        <v>11</v>
      </c>
      <c r="F1017" s="55">
        <v>0.24875</v>
      </c>
    </row>
    <row r="1018" spans="2:6">
      <c r="B1018" s="48" t="s">
        <v>20</v>
      </c>
      <c r="C1018" s="48" t="s">
        <v>820</v>
      </c>
      <c r="D1018" s="48">
        <f>DATE(YEAR(OneWeekMtgRatesDataTable756[[#This Row],[asofdate]]),MONTH(OneWeekMtgRatesDataTable756[[#This Row],[asofdate]]),DAY(OneWeekMtgRatesDataTable756[[#This Row],[asofdate]]))</f>
        <v>41101</v>
      </c>
      <c r="E1018" s="48" t="s">
        <v>11</v>
      </c>
      <c r="F1018" s="55">
        <v>0.24875</v>
      </c>
    </row>
    <row r="1019" spans="2:6">
      <c r="B1019" s="48" t="s">
        <v>20</v>
      </c>
      <c r="C1019" s="48" t="s">
        <v>819</v>
      </c>
      <c r="D1019" s="48">
        <f>DATE(YEAR(OneWeekMtgRatesDataTable756[[#This Row],[asofdate]]),MONTH(OneWeekMtgRatesDataTable756[[#This Row],[asofdate]]),DAY(OneWeekMtgRatesDataTable756[[#This Row],[asofdate]]))</f>
        <v>41100</v>
      </c>
      <c r="E1019" s="48" t="s">
        <v>11</v>
      </c>
      <c r="F1019" s="55">
        <v>0.24875</v>
      </c>
    </row>
    <row r="1020" spans="2:6">
      <c r="B1020" s="48" t="s">
        <v>20</v>
      </c>
      <c r="C1020" s="48" t="s">
        <v>818</v>
      </c>
      <c r="D1020" s="48">
        <f>DATE(YEAR(OneWeekMtgRatesDataTable756[[#This Row],[asofdate]]),MONTH(OneWeekMtgRatesDataTable756[[#This Row],[asofdate]]),DAY(OneWeekMtgRatesDataTable756[[#This Row],[asofdate]]))</f>
        <v>41099</v>
      </c>
      <c r="E1020" s="48" t="s">
        <v>11</v>
      </c>
      <c r="F1020" s="55">
        <v>0.24875</v>
      </c>
    </row>
    <row r="1021" spans="2:6">
      <c r="B1021" s="48" t="s">
        <v>20</v>
      </c>
      <c r="C1021" s="48" t="s">
        <v>817</v>
      </c>
      <c r="D1021" s="48">
        <f>DATE(YEAR(OneWeekMtgRatesDataTable756[[#This Row],[asofdate]]),MONTH(OneWeekMtgRatesDataTable756[[#This Row],[asofdate]]),DAY(OneWeekMtgRatesDataTable756[[#This Row],[asofdate]]))</f>
        <v>41096</v>
      </c>
      <c r="E1021" s="48" t="s">
        <v>11</v>
      </c>
      <c r="F1021" s="55">
        <v>0.24575</v>
      </c>
    </row>
    <row r="1022" spans="2:6">
      <c r="B1022" s="48" t="s">
        <v>20</v>
      </c>
      <c r="C1022" s="48" t="s">
        <v>816</v>
      </c>
      <c r="D1022" s="48">
        <f>DATE(YEAR(OneWeekMtgRatesDataTable756[[#This Row],[asofdate]]),MONTH(OneWeekMtgRatesDataTable756[[#This Row],[asofdate]]),DAY(OneWeekMtgRatesDataTable756[[#This Row],[asofdate]]))</f>
        <v>41095</v>
      </c>
      <c r="E1022" s="48" t="s">
        <v>11</v>
      </c>
      <c r="F1022" s="55">
        <v>0.24575</v>
      </c>
    </row>
    <row r="1023" spans="2:6">
      <c r="B1023" s="48" t="s">
        <v>20</v>
      </c>
      <c r="C1023" s="48" t="s">
        <v>815</v>
      </c>
      <c r="D1023" s="48">
        <f>DATE(YEAR(OneWeekMtgRatesDataTable756[[#This Row],[asofdate]]),MONTH(OneWeekMtgRatesDataTable756[[#This Row],[asofdate]]),DAY(OneWeekMtgRatesDataTable756[[#This Row],[asofdate]]))</f>
        <v>41093</v>
      </c>
      <c r="E1023" s="48" t="s">
        <v>11</v>
      </c>
      <c r="F1023" s="55">
        <v>0.24575</v>
      </c>
    </row>
    <row r="1024" spans="2:6">
      <c r="B1024" s="48" t="s">
        <v>20</v>
      </c>
      <c r="C1024" s="48" t="s">
        <v>814</v>
      </c>
      <c r="D1024" s="48">
        <f>DATE(YEAR(OneWeekMtgRatesDataTable756[[#This Row],[asofdate]]),MONTH(OneWeekMtgRatesDataTable756[[#This Row],[asofdate]]),DAY(OneWeekMtgRatesDataTable756[[#This Row],[asofdate]]))</f>
        <v>41092</v>
      </c>
      <c r="E1024" s="48" t="s">
        <v>11</v>
      </c>
      <c r="F1024" s="55">
        <v>0.24475</v>
      </c>
    </row>
    <row r="1025" spans="2:6">
      <c r="B1025" s="48" t="s">
        <v>20</v>
      </c>
      <c r="C1025" s="48" t="s">
        <v>813</v>
      </c>
      <c r="D1025" s="48">
        <f>DATE(YEAR(OneWeekMtgRatesDataTable756[[#This Row],[asofdate]]),MONTH(OneWeekMtgRatesDataTable756[[#This Row],[asofdate]]),DAY(OneWeekMtgRatesDataTable756[[#This Row],[asofdate]]))</f>
        <v>41089</v>
      </c>
      <c r="E1025" s="48" t="s">
        <v>11</v>
      </c>
      <c r="F1025" s="55">
        <v>0.24575</v>
      </c>
    </row>
    <row r="1026" spans="2:6">
      <c r="B1026" s="48" t="s">
        <v>20</v>
      </c>
      <c r="C1026" s="48" t="s">
        <v>812</v>
      </c>
      <c r="D1026" s="48">
        <f>DATE(YEAR(OneWeekMtgRatesDataTable756[[#This Row],[asofdate]]),MONTH(OneWeekMtgRatesDataTable756[[#This Row],[asofdate]]),DAY(OneWeekMtgRatesDataTable756[[#This Row],[asofdate]]))</f>
        <v>41088</v>
      </c>
      <c r="E1026" s="48" t="s">
        <v>11</v>
      </c>
      <c r="F1026" s="55">
        <v>0.24525</v>
      </c>
    </row>
    <row r="1027" spans="2:6">
      <c r="B1027" s="48" t="s">
        <v>20</v>
      </c>
      <c r="C1027" s="48" t="s">
        <v>811</v>
      </c>
      <c r="D1027" s="48">
        <f>DATE(YEAR(OneWeekMtgRatesDataTable756[[#This Row],[asofdate]]),MONTH(OneWeekMtgRatesDataTable756[[#This Row],[asofdate]]),DAY(OneWeekMtgRatesDataTable756[[#This Row],[asofdate]]))</f>
        <v>41087</v>
      </c>
      <c r="E1027" s="48" t="s">
        <v>11</v>
      </c>
      <c r="F1027" s="55">
        <v>0.24525</v>
      </c>
    </row>
    <row r="1028" spans="2:6">
      <c r="B1028" s="48" t="s">
        <v>20</v>
      </c>
      <c r="C1028" s="48" t="s">
        <v>810</v>
      </c>
      <c r="D1028" s="48">
        <f>DATE(YEAR(OneWeekMtgRatesDataTable756[[#This Row],[asofdate]]),MONTH(OneWeekMtgRatesDataTable756[[#This Row],[asofdate]]),DAY(OneWeekMtgRatesDataTable756[[#This Row],[asofdate]]))</f>
        <v>41086</v>
      </c>
      <c r="E1028" s="48" t="s">
        <v>11</v>
      </c>
      <c r="F1028" s="55">
        <v>0.24525</v>
      </c>
    </row>
    <row r="1029" spans="2:6">
      <c r="B1029" s="48" t="s">
        <v>20</v>
      </c>
      <c r="C1029" s="48" t="s">
        <v>809</v>
      </c>
      <c r="D1029" s="48">
        <f>DATE(YEAR(OneWeekMtgRatesDataTable756[[#This Row],[asofdate]]),MONTH(OneWeekMtgRatesDataTable756[[#This Row],[asofdate]]),DAY(OneWeekMtgRatesDataTable756[[#This Row],[asofdate]]))</f>
        <v>41085</v>
      </c>
      <c r="E1029" s="48" t="s">
        <v>11</v>
      </c>
      <c r="F1029" s="55">
        <v>0.24525</v>
      </c>
    </row>
    <row r="1030" spans="2:6">
      <c r="B1030" s="48" t="s">
        <v>20</v>
      </c>
      <c r="C1030" s="48" t="s">
        <v>808</v>
      </c>
      <c r="D1030" s="48">
        <f>DATE(YEAR(OneWeekMtgRatesDataTable756[[#This Row],[asofdate]]),MONTH(OneWeekMtgRatesDataTable756[[#This Row],[asofdate]]),DAY(OneWeekMtgRatesDataTable756[[#This Row],[asofdate]]))</f>
        <v>41082</v>
      </c>
      <c r="E1030" s="48" t="s">
        <v>11</v>
      </c>
      <c r="F1030" s="55">
        <v>0.24525</v>
      </c>
    </row>
    <row r="1031" spans="2:6">
      <c r="B1031" s="48" t="s">
        <v>20</v>
      </c>
      <c r="C1031" s="48" t="s">
        <v>807</v>
      </c>
      <c r="D1031" s="48">
        <f>DATE(YEAR(OneWeekMtgRatesDataTable756[[#This Row],[asofdate]]),MONTH(OneWeekMtgRatesDataTable756[[#This Row],[asofdate]]),DAY(OneWeekMtgRatesDataTable756[[#This Row],[asofdate]]))</f>
        <v>41081</v>
      </c>
      <c r="E1031" s="48" t="s">
        <v>11</v>
      </c>
      <c r="F1031" s="55">
        <v>0.24525</v>
      </c>
    </row>
    <row r="1032" spans="2:6">
      <c r="B1032" s="48" t="s">
        <v>20</v>
      </c>
      <c r="C1032" s="48" t="s">
        <v>806</v>
      </c>
      <c r="D1032" s="48">
        <f>DATE(YEAR(OneWeekMtgRatesDataTable756[[#This Row],[asofdate]]),MONTH(OneWeekMtgRatesDataTable756[[#This Row],[asofdate]]),DAY(OneWeekMtgRatesDataTable756[[#This Row],[asofdate]]))</f>
        <v>41080</v>
      </c>
      <c r="E1032" s="48" t="s">
        <v>11</v>
      </c>
      <c r="F1032" s="55">
        <v>0.24525</v>
      </c>
    </row>
    <row r="1033" spans="2:6">
      <c r="B1033" s="48" t="s">
        <v>20</v>
      </c>
      <c r="C1033" s="48" t="s">
        <v>805</v>
      </c>
      <c r="D1033" s="48">
        <f>DATE(YEAR(OneWeekMtgRatesDataTable756[[#This Row],[asofdate]]),MONTH(OneWeekMtgRatesDataTable756[[#This Row],[asofdate]]),DAY(OneWeekMtgRatesDataTable756[[#This Row],[asofdate]]))</f>
        <v>41079</v>
      </c>
      <c r="E1033" s="48" t="s">
        <v>11</v>
      </c>
      <c r="F1033" s="55">
        <v>0.24374999999999999</v>
      </c>
    </row>
    <row r="1034" spans="2:6">
      <c r="B1034" s="48" t="s">
        <v>20</v>
      </c>
      <c r="C1034" s="48" t="s">
        <v>804</v>
      </c>
      <c r="D1034" s="48">
        <f>DATE(YEAR(OneWeekMtgRatesDataTable756[[#This Row],[asofdate]]),MONTH(OneWeekMtgRatesDataTable756[[#This Row],[asofdate]]),DAY(OneWeekMtgRatesDataTable756[[#This Row],[asofdate]]))</f>
        <v>41078</v>
      </c>
      <c r="E1034" s="48" t="s">
        <v>11</v>
      </c>
      <c r="F1034" s="55">
        <v>0.24374999999999999</v>
      </c>
    </row>
    <row r="1035" spans="2:6">
      <c r="B1035" s="48" t="s">
        <v>20</v>
      </c>
      <c r="C1035" s="48" t="s">
        <v>803</v>
      </c>
      <c r="D1035" s="48">
        <f>DATE(YEAR(OneWeekMtgRatesDataTable756[[#This Row],[asofdate]]),MONTH(OneWeekMtgRatesDataTable756[[#This Row],[asofdate]]),DAY(OneWeekMtgRatesDataTable756[[#This Row],[asofdate]]))</f>
        <v>41075</v>
      </c>
      <c r="E1035" s="48" t="s">
        <v>11</v>
      </c>
      <c r="F1035" s="55">
        <v>0.24274999999999999</v>
      </c>
    </row>
    <row r="1036" spans="2:6">
      <c r="B1036" s="48" t="s">
        <v>20</v>
      </c>
      <c r="C1036" s="48" t="s">
        <v>802</v>
      </c>
      <c r="D1036" s="48">
        <f>DATE(YEAR(OneWeekMtgRatesDataTable756[[#This Row],[asofdate]]),MONTH(OneWeekMtgRatesDataTable756[[#This Row],[asofdate]]),DAY(OneWeekMtgRatesDataTable756[[#This Row],[asofdate]]))</f>
        <v>41074</v>
      </c>
      <c r="E1036" s="48" t="s">
        <v>11</v>
      </c>
      <c r="F1036" s="55">
        <v>0.24274999999999999</v>
      </c>
    </row>
    <row r="1037" spans="2:6">
      <c r="B1037" s="48" t="s">
        <v>20</v>
      </c>
      <c r="C1037" s="48" t="s">
        <v>801</v>
      </c>
      <c r="D1037" s="48">
        <f>DATE(YEAR(OneWeekMtgRatesDataTable756[[#This Row],[asofdate]]),MONTH(OneWeekMtgRatesDataTable756[[#This Row],[asofdate]]),DAY(OneWeekMtgRatesDataTable756[[#This Row],[asofdate]]))</f>
        <v>41073</v>
      </c>
      <c r="E1037" s="48" t="s">
        <v>11</v>
      </c>
      <c r="F1037" s="55">
        <v>0.24174999999999999</v>
      </c>
    </row>
    <row r="1038" spans="2:6">
      <c r="B1038" s="48" t="s">
        <v>20</v>
      </c>
      <c r="C1038" s="48" t="s">
        <v>800</v>
      </c>
      <c r="D1038" s="48">
        <f>DATE(YEAR(OneWeekMtgRatesDataTable756[[#This Row],[asofdate]]),MONTH(OneWeekMtgRatesDataTable756[[#This Row],[asofdate]]),DAY(OneWeekMtgRatesDataTable756[[#This Row],[asofdate]]))</f>
        <v>41072</v>
      </c>
      <c r="E1038" s="48" t="s">
        <v>11</v>
      </c>
      <c r="F1038" s="55">
        <v>0.24074999999999999</v>
      </c>
    </row>
    <row r="1039" spans="2:6">
      <c r="B1039" s="48" t="s">
        <v>20</v>
      </c>
      <c r="C1039" s="48" t="s">
        <v>799</v>
      </c>
      <c r="D1039" s="48">
        <f>DATE(YEAR(OneWeekMtgRatesDataTable756[[#This Row],[asofdate]]),MONTH(OneWeekMtgRatesDataTable756[[#This Row],[asofdate]]),DAY(OneWeekMtgRatesDataTable756[[#This Row],[asofdate]]))</f>
        <v>41071</v>
      </c>
      <c r="E1039" s="48" t="s">
        <v>11</v>
      </c>
      <c r="F1039" s="55">
        <v>0.24074999999999999</v>
      </c>
    </row>
    <row r="1040" spans="2:6">
      <c r="B1040" s="48" t="s">
        <v>20</v>
      </c>
      <c r="C1040" s="48" t="s">
        <v>798</v>
      </c>
      <c r="D1040" s="48">
        <f>DATE(YEAR(OneWeekMtgRatesDataTable756[[#This Row],[asofdate]]),MONTH(OneWeekMtgRatesDataTable756[[#This Row],[asofdate]]),DAY(OneWeekMtgRatesDataTable756[[#This Row],[asofdate]]))</f>
        <v>41068</v>
      </c>
      <c r="E1040" s="48" t="s">
        <v>11</v>
      </c>
      <c r="F1040" s="55">
        <v>0.24074999999999999</v>
      </c>
    </row>
    <row r="1041" spans="2:6">
      <c r="B1041" s="48" t="s">
        <v>20</v>
      </c>
      <c r="C1041" s="48" t="s">
        <v>797</v>
      </c>
      <c r="D1041" s="48">
        <f>DATE(YEAR(OneWeekMtgRatesDataTable756[[#This Row],[asofdate]]),MONTH(OneWeekMtgRatesDataTable756[[#This Row],[asofdate]]),DAY(OneWeekMtgRatesDataTable756[[#This Row],[asofdate]]))</f>
        <v>41067</v>
      </c>
      <c r="E1041" s="48" t="s">
        <v>11</v>
      </c>
      <c r="F1041" s="55">
        <v>0.24074999999999999</v>
      </c>
    </row>
    <row r="1042" spans="2:6">
      <c r="B1042" s="48" t="s">
        <v>20</v>
      </c>
      <c r="C1042" s="48" t="s">
        <v>796</v>
      </c>
      <c r="D1042" s="48">
        <f>DATE(YEAR(OneWeekMtgRatesDataTable756[[#This Row],[asofdate]]),MONTH(OneWeekMtgRatesDataTable756[[#This Row],[asofdate]]),DAY(OneWeekMtgRatesDataTable756[[#This Row],[asofdate]]))</f>
        <v>41066</v>
      </c>
      <c r="E1042" s="48" t="s">
        <v>11</v>
      </c>
      <c r="F1042" s="55">
        <v>0.24074999999999999</v>
      </c>
    </row>
    <row r="1043" spans="2:6">
      <c r="B1043" s="48" t="s">
        <v>20</v>
      </c>
      <c r="C1043" s="48" t="s">
        <v>795</v>
      </c>
      <c r="D1043" s="48">
        <f>DATE(YEAR(OneWeekMtgRatesDataTable756[[#This Row],[asofdate]]),MONTH(OneWeekMtgRatesDataTable756[[#This Row],[asofdate]]),DAY(OneWeekMtgRatesDataTable756[[#This Row],[asofdate]]))</f>
        <v>41065</v>
      </c>
      <c r="E1043" s="48" t="s">
        <v>11</v>
      </c>
      <c r="F1043" s="55">
        <v>0.23974999999999999</v>
      </c>
    </row>
    <row r="1044" spans="2:6">
      <c r="B1044" s="48" t="s">
        <v>20</v>
      </c>
      <c r="C1044" s="48" t="s">
        <v>794</v>
      </c>
      <c r="D1044" s="48">
        <f>DATE(YEAR(OneWeekMtgRatesDataTable756[[#This Row],[asofdate]]),MONTH(OneWeekMtgRatesDataTable756[[#This Row],[asofdate]]),DAY(OneWeekMtgRatesDataTable756[[#This Row],[asofdate]]))</f>
        <v>41064</v>
      </c>
      <c r="E1044" s="48" t="s">
        <v>11</v>
      </c>
      <c r="F1044" s="55">
        <v>0.23974999999999999</v>
      </c>
    </row>
    <row r="1045" spans="2:6">
      <c r="B1045" s="48" t="s">
        <v>20</v>
      </c>
      <c r="C1045" s="48" t="s">
        <v>793</v>
      </c>
      <c r="D1045" s="48">
        <f>DATE(YEAR(OneWeekMtgRatesDataTable756[[#This Row],[asofdate]]),MONTH(OneWeekMtgRatesDataTable756[[#This Row],[asofdate]]),DAY(OneWeekMtgRatesDataTable756[[#This Row],[asofdate]]))</f>
        <v>41061</v>
      </c>
      <c r="E1045" s="48" t="s">
        <v>11</v>
      </c>
      <c r="F1045" s="55">
        <v>0.23974999999999999</v>
      </c>
    </row>
    <row r="1046" spans="2:6">
      <c r="B1046" s="48" t="s">
        <v>20</v>
      </c>
      <c r="C1046" s="48" t="s">
        <v>792</v>
      </c>
      <c r="D1046" s="48">
        <f>DATE(YEAR(OneWeekMtgRatesDataTable756[[#This Row],[asofdate]]),MONTH(OneWeekMtgRatesDataTable756[[#This Row],[asofdate]]),DAY(OneWeekMtgRatesDataTable756[[#This Row],[asofdate]]))</f>
        <v>41060</v>
      </c>
      <c r="E1046" s="48" t="s">
        <v>11</v>
      </c>
      <c r="F1046" s="55">
        <v>0.23874999999999999</v>
      </c>
    </row>
    <row r="1047" spans="2:6">
      <c r="B1047" s="48" t="s">
        <v>20</v>
      </c>
      <c r="C1047" s="48" t="s">
        <v>791</v>
      </c>
      <c r="D1047" s="48">
        <f>DATE(YEAR(OneWeekMtgRatesDataTable756[[#This Row],[asofdate]]),MONTH(OneWeekMtgRatesDataTable756[[#This Row],[asofdate]]),DAY(OneWeekMtgRatesDataTable756[[#This Row],[asofdate]]))</f>
        <v>41059</v>
      </c>
      <c r="E1047" s="48" t="s">
        <v>11</v>
      </c>
      <c r="F1047" s="55">
        <v>0.23874999999999999</v>
      </c>
    </row>
    <row r="1048" spans="2:6">
      <c r="B1048" s="48" t="s">
        <v>20</v>
      </c>
      <c r="C1048" s="48" t="s">
        <v>790</v>
      </c>
      <c r="D1048" s="48">
        <f>DATE(YEAR(OneWeekMtgRatesDataTable756[[#This Row],[asofdate]]),MONTH(OneWeekMtgRatesDataTable756[[#This Row],[asofdate]]),DAY(OneWeekMtgRatesDataTable756[[#This Row],[asofdate]]))</f>
        <v>41058</v>
      </c>
      <c r="E1048" s="48" t="s">
        <v>11</v>
      </c>
      <c r="F1048" s="55">
        <v>0.23874999999999999</v>
      </c>
    </row>
    <row r="1049" spans="2:6">
      <c r="B1049" s="48" t="s">
        <v>20</v>
      </c>
      <c r="C1049" s="48" t="s">
        <v>789</v>
      </c>
      <c r="D1049" s="48">
        <f>DATE(YEAR(OneWeekMtgRatesDataTable756[[#This Row],[asofdate]]),MONTH(OneWeekMtgRatesDataTable756[[#This Row],[asofdate]]),DAY(OneWeekMtgRatesDataTable756[[#This Row],[asofdate]]))</f>
        <v>41054</v>
      </c>
      <c r="E1049" s="48" t="s">
        <v>11</v>
      </c>
      <c r="F1049" s="55">
        <v>0.23874999999999999</v>
      </c>
    </row>
    <row r="1050" spans="2:6">
      <c r="B1050" s="48" t="s">
        <v>20</v>
      </c>
      <c r="C1050" s="48" t="s">
        <v>788</v>
      </c>
      <c r="D1050" s="48">
        <f>DATE(YEAR(OneWeekMtgRatesDataTable756[[#This Row],[asofdate]]),MONTH(OneWeekMtgRatesDataTable756[[#This Row],[asofdate]]),DAY(OneWeekMtgRatesDataTable756[[#This Row],[asofdate]]))</f>
        <v>41053</v>
      </c>
      <c r="E1050" s="48" t="s">
        <v>11</v>
      </c>
      <c r="F1050" s="55">
        <v>0.23874999999999999</v>
      </c>
    </row>
    <row r="1051" spans="2:6">
      <c r="B1051" s="48" t="s">
        <v>20</v>
      </c>
      <c r="C1051" s="48" t="s">
        <v>787</v>
      </c>
      <c r="D1051" s="48">
        <f>DATE(YEAR(OneWeekMtgRatesDataTable756[[#This Row],[asofdate]]),MONTH(OneWeekMtgRatesDataTable756[[#This Row],[asofdate]]),DAY(OneWeekMtgRatesDataTable756[[#This Row],[asofdate]]))</f>
        <v>41052</v>
      </c>
      <c r="E1051" s="48" t="s">
        <v>11</v>
      </c>
      <c r="F1051" s="55">
        <v>0.23874999999999999</v>
      </c>
    </row>
    <row r="1052" spans="2:6">
      <c r="B1052" s="48" t="s">
        <v>20</v>
      </c>
      <c r="C1052" s="48" t="s">
        <v>786</v>
      </c>
      <c r="D1052" s="48">
        <f>DATE(YEAR(OneWeekMtgRatesDataTable756[[#This Row],[asofdate]]),MONTH(OneWeekMtgRatesDataTable756[[#This Row],[asofdate]]),DAY(OneWeekMtgRatesDataTable756[[#This Row],[asofdate]]))</f>
        <v>41051</v>
      </c>
      <c r="E1052" s="48" t="s">
        <v>11</v>
      </c>
      <c r="F1052" s="55">
        <v>0.23874999999999999</v>
      </c>
    </row>
    <row r="1053" spans="2:6">
      <c r="B1053" s="48" t="s">
        <v>20</v>
      </c>
      <c r="C1053" s="48" t="s">
        <v>785</v>
      </c>
      <c r="D1053" s="48">
        <f>DATE(YEAR(OneWeekMtgRatesDataTable756[[#This Row],[asofdate]]),MONTH(OneWeekMtgRatesDataTable756[[#This Row],[asofdate]]),DAY(OneWeekMtgRatesDataTable756[[#This Row],[asofdate]]))</f>
        <v>41050</v>
      </c>
      <c r="E1053" s="48" t="s">
        <v>11</v>
      </c>
      <c r="F1053" s="55">
        <v>0.23974999999999999</v>
      </c>
    </row>
    <row r="1054" spans="2:6">
      <c r="B1054" s="48" t="s">
        <v>20</v>
      </c>
      <c r="C1054" s="48" t="s">
        <v>784</v>
      </c>
      <c r="D1054" s="48">
        <f>DATE(YEAR(OneWeekMtgRatesDataTable756[[#This Row],[asofdate]]),MONTH(OneWeekMtgRatesDataTable756[[#This Row],[asofdate]]),DAY(OneWeekMtgRatesDataTable756[[#This Row],[asofdate]]))</f>
        <v>41047</v>
      </c>
      <c r="E1054" s="48" t="s">
        <v>11</v>
      </c>
      <c r="F1054" s="55">
        <v>0.23974999999999999</v>
      </c>
    </row>
    <row r="1055" spans="2:6">
      <c r="B1055" s="48" t="s">
        <v>20</v>
      </c>
      <c r="C1055" s="48" t="s">
        <v>783</v>
      </c>
      <c r="D1055" s="48">
        <f>DATE(YEAR(OneWeekMtgRatesDataTable756[[#This Row],[asofdate]]),MONTH(OneWeekMtgRatesDataTable756[[#This Row],[asofdate]]),DAY(OneWeekMtgRatesDataTable756[[#This Row],[asofdate]]))</f>
        <v>41046</v>
      </c>
      <c r="E1055" s="48" t="s">
        <v>11</v>
      </c>
      <c r="F1055" s="55">
        <v>0.23974999999999999</v>
      </c>
    </row>
    <row r="1056" spans="2:6">
      <c r="B1056" s="48" t="s">
        <v>20</v>
      </c>
      <c r="C1056" s="48" t="s">
        <v>782</v>
      </c>
      <c r="D1056" s="48">
        <f>DATE(YEAR(OneWeekMtgRatesDataTable756[[#This Row],[asofdate]]),MONTH(OneWeekMtgRatesDataTable756[[#This Row],[asofdate]]),DAY(OneWeekMtgRatesDataTable756[[#This Row],[asofdate]]))</f>
        <v>41045</v>
      </c>
      <c r="E1056" s="48" t="s">
        <v>11</v>
      </c>
      <c r="F1056" s="55">
        <v>0.23974999999999999</v>
      </c>
    </row>
    <row r="1057" spans="2:6">
      <c r="B1057" s="48" t="s">
        <v>20</v>
      </c>
      <c r="C1057" s="48" t="s">
        <v>781</v>
      </c>
      <c r="D1057" s="48">
        <f>DATE(YEAR(OneWeekMtgRatesDataTable756[[#This Row],[asofdate]]),MONTH(OneWeekMtgRatesDataTable756[[#This Row],[asofdate]]),DAY(OneWeekMtgRatesDataTable756[[#This Row],[asofdate]]))</f>
        <v>41044</v>
      </c>
      <c r="E1057" s="48" t="s">
        <v>11</v>
      </c>
      <c r="F1057" s="55">
        <v>0.23874999999999999</v>
      </c>
    </row>
    <row r="1058" spans="2:6">
      <c r="B1058" s="48" t="s">
        <v>20</v>
      </c>
      <c r="C1058" s="48" t="s">
        <v>780</v>
      </c>
      <c r="D1058" s="48">
        <f>DATE(YEAR(OneWeekMtgRatesDataTable756[[#This Row],[asofdate]]),MONTH(OneWeekMtgRatesDataTable756[[#This Row],[asofdate]]),DAY(OneWeekMtgRatesDataTable756[[#This Row],[asofdate]]))</f>
        <v>41043</v>
      </c>
      <c r="E1058" s="48" t="s">
        <v>11</v>
      </c>
      <c r="F1058" s="55">
        <v>0.23874999999999999</v>
      </c>
    </row>
    <row r="1059" spans="2:6">
      <c r="B1059" s="48" t="s">
        <v>20</v>
      </c>
      <c r="C1059" s="48" t="s">
        <v>779</v>
      </c>
      <c r="D1059" s="48">
        <f>DATE(YEAR(OneWeekMtgRatesDataTable756[[#This Row],[asofdate]]),MONTH(OneWeekMtgRatesDataTable756[[#This Row],[asofdate]]),DAY(OneWeekMtgRatesDataTable756[[#This Row],[asofdate]]))</f>
        <v>41040</v>
      </c>
      <c r="E1059" s="48" t="s">
        <v>11</v>
      </c>
      <c r="F1059" s="55">
        <v>0.23874999999999999</v>
      </c>
    </row>
    <row r="1060" spans="2:6">
      <c r="B1060" s="48" t="s">
        <v>20</v>
      </c>
      <c r="C1060" s="48" t="s">
        <v>778</v>
      </c>
      <c r="D1060" s="48">
        <f>DATE(YEAR(OneWeekMtgRatesDataTable756[[#This Row],[asofdate]]),MONTH(OneWeekMtgRatesDataTable756[[#This Row],[asofdate]]),DAY(OneWeekMtgRatesDataTable756[[#This Row],[asofdate]]))</f>
        <v>41039</v>
      </c>
      <c r="E1060" s="48" t="s">
        <v>11</v>
      </c>
      <c r="F1060" s="55">
        <v>0.23874999999999999</v>
      </c>
    </row>
    <row r="1061" spans="2:6">
      <c r="B1061" s="48" t="s">
        <v>20</v>
      </c>
      <c r="C1061" s="48" t="s">
        <v>777</v>
      </c>
      <c r="D1061" s="48">
        <f>DATE(YEAR(OneWeekMtgRatesDataTable756[[#This Row],[asofdate]]),MONTH(OneWeekMtgRatesDataTable756[[#This Row],[asofdate]]),DAY(OneWeekMtgRatesDataTable756[[#This Row],[asofdate]]))</f>
        <v>41038</v>
      </c>
      <c r="E1061" s="48" t="s">
        <v>11</v>
      </c>
      <c r="F1061" s="55">
        <v>0.23874999999999999</v>
      </c>
    </row>
    <row r="1062" spans="2:6">
      <c r="B1062" s="48" t="s">
        <v>20</v>
      </c>
      <c r="C1062" s="48" t="s">
        <v>776</v>
      </c>
      <c r="D1062" s="48">
        <f>DATE(YEAR(OneWeekMtgRatesDataTable756[[#This Row],[asofdate]]),MONTH(OneWeekMtgRatesDataTable756[[#This Row],[asofdate]]),DAY(OneWeekMtgRatesDataTable756[[#This Row],[asofdate]]))</f>
        <v>41037</v>
      </c>
      <c r="E1062" s="48" t="s">
        <v>11</v>
      </c>
      <c r="F1062" s="55">
        <v>0.23874999999999999</v>
      </c>
    </row>
    <row r="1063" spans="2:6">
      <c r="B1063" s="48" t="s">
        <v>20</v>
      </c>
      <c r="C1063" s="48" t="s">
        <v>775</v>
      </c>
      <c r="D1063" s="48">
        <f>DATE(YEAR(OneWeekMtgRatesDataTable756[[#This Row],[asofdate]]),MONTH(OneWeekMtgRatesDataTable756[[#This Row],[asofdate]]),DAY(OneWeekMtgRatesDataTable756[[#This Row],[asofdate]]))</f>
        <v>41036</v>
      </c>
      <c r="E1063" s="48" t="s">
        <v>11</v>
      </c>
      <c r="F1063" s="55">
        <v>0.23874999999999999</v>
      </c>
    </row>
    <row r="1064" spans="2:6">
      <c r="B1064" s="48" t="s">
        <v>20</v>
      </c>
      <c r="C1064" s="48" t="s">
        <v>774</v>
      </c>
      <c r="D1064" s="48">
        <f>DATE(YEAR(OneWeekMtgRatesDataTable756[[#This Row],[asofdate]]),MONTH(OneWeekMtgRatesDataTable756[[#This Row],[asofdate]]),DAY(OneWeekMtgRatesDataTable756[[#This Row],[asofdate]]))</f>
        <v>41033</v>
      </c>
      <c r="E1064" s="48" t="s">
        <v>11</v>
      </c>
      <c r="F1064" s="55">
        <v>0.23874999999999999</v>
      </c>
    </row>
    <row r="1065" spans="2:6">
      <c r="B1065" s="48" t="s">
        <v>20</v>
      </c>
      <c r="C1065" s="48" t="s">
        <v>773</v>
      </c>
      <c r="D1065" s="48">
        <f>DATE(YEAR(OneWeekMtgRatesDataTable756[[#This Row],[asofdate]]),MONTH(OneWeekMtgRatesDataTable756[[#This Row],[asofdate]]),DAY(OneWeekMtgRatesDataTable756[[#This Row],[asofdate]]))</f>
        <v>41032</v>
      </c>
      <c r="E1065" s="48" t="s">
        <v>11</v>
      </c>
      <c r="F1065" s="55">
        <v>0.23874999999999999</v>
      </c>
    </row>
    <row r="1066" spans="2:6">
      <c r="B1066" s="48" t="s">
        <v>20</v>
      </c>
      <c r="C1066" s="48" t="s">
        <v>772</v>
      </c>
      <c r="D1066" s="48">
        <f>DATE(YEAR(OneWeekMtgRatesDataTable756[[#This Row],[asofdate]]),MONTH(OneWeekMtgRatesDataTable756[[#This Row],[asofdate]]),DAY(OneWeekMtgRatesDataTable756[[#This Row],[asofdate]]))</f>
        <v>41031</v>
      </c>
      <c r="E1066" s="48" t="s">
        <v>11</v>
      </c>
      <c r="F1066" s="55">
        <v>0.23874999999999999</v>
      </c>
    </row>
    <row r="1067" spans="2:6">
      <c r="B1067" s="48" t="s">
        <v>20</v>
      </c>
      <c r="C1067" s="48" t="s">
        <v>771</v>
      </c>
      <c r="D1067" s="48">
        <f>DATE(YEAR(OneWeekMtgRatesDataTable756[[#This Row],[asofdate]]),MONTH(OneWeekMtgRatesDataTable756[[#This Row],[asofdate]]),DAY(OneWeekMtgRatesDataTable756[[#This Row],[asofdate]]))</f>
        <v>41030</v>
      </c>
      <c r="E1067" s="48" t="s">
        <v>11</v>
      </c>
      <c r="F1067" s="55">
        <v>0.23874999999999999</v>
      </c>
    </row>
    <row r="1068" spans="2:6">
      <c r="B1068" s="48" t="s">
        <v>20</v>
      </c>
      <c r="C1068" s="48" t="s">
        <v>770</v>
      </c>
      <c r="D1068" s="48">
        <f>DATE(YEAR(OneWeekMtgRatesDataTable756[[#This Row],[asofdate]]),MONTH(OneWeekMtgRatesDataTable756[[#This Row],[asofdate]]),DAY(OneWeekMtgRatesDataTable756[[#This Row],[asofdate]]))</f>
        <v>41029</v>
      </c>
      <c r="E1068" s="48" t="s">
        <v>11</v>
      </c>
      <c r="F1068" s="55">
        <v>0.23874999999999999</v>
      </c>
    </row>
    <row r="1069" spans="2:6">
      <c r="B1069" s="48" t="s">
        <v>20</v>
      </c>
      <c r="C1069" s="48" t="s">
        <v>769</v>
      </c>
      <c r="D1069" s="48">
        <f>DATE(YEAR(OneWeekMtgRatesDataTable756[[#This Row],[asofdate]]),MONTH(OneWeekMtgRatesDataTable756[[#This Row],[asofdate]]),DAY(OneWeekMtgRatesDataTable756[[#This Row],[asofdate]]))</f>
        <v>41026</v>
      </c>
      <c r="E1069" s="48" t="s">
        <v>11</v>
      </c>
      <c r="F1069" s="55">
        <v>0.23874999999999999</v>
      </c>
    </row>
    <row r="1070" spans="2:6">
      <c r="B1070" s="48" t="s">
        <v>20</v>
      </c>
      <c r="C1070" s="48" t="s">
        <v>768</v>
      </c>
      <c r="D1070" s="48">
        <f>DATE(YEAR(OneWeekMtgRatesDataTable756[[#This Row],[asofdate]]),MONTH(OneWeekMtgRatesDataTable756[[#This Row],[asofdate]]),DAY(OneWeekMtgRatesDataTable756[[#This Row],[asofdate]]))</f>
        <v>41025</v>
      </c>
      <c r="E1070" s="48" t="s">
        <v>11</v>
      </c>
      <c r="F1070" s="55">
        <v>0.23874999999999999</v>
      </c>
    </row>
    <row r="1071" spans="2:6">
      <c r="B1071" s="48" t="s">
        <v>20</v>
      </c>
      <c r="C1071" s="48" t="s">
        <v>767</v>
      </c>
      <c r="D1071" s="48">
        <f>DATE(YEAR(OneWeekMtgRatesDataTable756[[#This Row],[asofdate]]),MONTH(OneWeekMtgRatesDataTable756[[#This Row],[asofdate]]),DAY(OneWeekMtgRatesDataTable756[[#This Row],[asofdate]]))</f>
        <v>41024</v>
      </c>
      <c r="E1071" s="48" t="s">
        <v>11</v>
      </c>
      <c r="F1071" s="55">
        <v>0.23874999999999999</v>
      </c>
    </row>
    <row r="1072" spans="2:6">
      <c r="B1072" s="48" t="s">
        <v>20</v>
      </c>
      <c r="C1072" s="48" t="s">
        <v>766</v>
      </c>
      <c r="D1072" s="48">
        <f>DATE(YEAR(OneWeekMtgRatesDataTable756[[#This Row],[asofdate]]),MONTH(OneWeekMtgRatesDataTable756[[#This Row],[asofdate]]),DAY(OneWeekMtgRatesDataTable756[[#This Row],[asofdate]]))</f>
        <v>41023</v>
      </c>
      <c r="E1072" s="48" t="s">
        <v>11</v>
      </c>
      <c r="F1072" s="55">
        <v>0.23874999999999999</v>
      </c>
    </row>
    <row r="1073" spans="2:6">
      <c r="B1073" s="48" t="s">
        <v>20</v>
      </c>
      <c r="C1073" s="48" t="s">
        <v>765</v>
      </c>
      <c r="D1073" s="48">
        <f>DATE(YEAR(OneWeekMtgRatesDataTable756[[#This Row],[asofdate]]),MONTH(OneWeekMtgRatesDataTable756[[#This Row],[asofdate]]),DAY(OneWeekMtgRatesDataTable756[[#This Row],[asofdate]]))</f>
        <v>41022</v>
      </c>
      <c r="E1073" s="48" t="s">
        <v>11</v>
      </c>
      <c r="F1073" s="55">
        <v>0.23874999999999999</v>
      </c>
    </row>
    <row r="1074" spans="2:6">
      <c r="B1074" s="48" t="s">
        <v>20</v>
      </c>
      <c r="C1074" s="48" t="s">
        <v>764</v>
      </c>
      <c r="D1074" s="48">
        <f>DATE(YEAR(OneWeekMtgRatesDataTable756[[#This Row],[asofdate]]),MONTH(OneWeekMtgRatesDataTable756[[#This Row],[asofdate]]),DAY(OneWeekMtgRatesDataTable756[[#This Row],[asofdate]]))</f>
        <v>41019</v>
      </c>
      <c r="E1074" s="48" t="s">
        <v>11</v>
      </c>
      <c r="F1074" s="55">
        <v>0.23974999999999999</v>
      </c>
    </row>
    <row r="1075" spans="2:6">
      <c r="B1075" s="48" t="s">
        <v>20</v>
      </c>
      <c r="C1075" s="48" t="s">
        <v>763</v>
      </c>
      <c r="D1075" s="48">
        <f>DATE(YEAR(OneWeekMtgRatesDataTable756[[#This Row],[asofdate]]),MONTH(OneWeekMtgRatesDataTable756[[#This Row],[asofdate]]),DAY(OneWeekMtgRatesDataTable756[[#This Row],[asofdate]]))</f>
        <v>41018</v>
      </c>
      <c r="E1075" s="48" t="s">
        <v>11</v>
      </c>
      <c r="F1075" s="55">
        <v>0.23974999999999999</v>
      </c>
    </row>
    <row r="1076" spans="2:6">
      <c r="B1076" s="48" t="s">
        <v>20</v>
      </c>
      <c r="C1076" s="48" t="s">
        <v>762</v>
      </c>
      <c r="D1076" s="48">
        <f>DATE(YEAR(OneWeekMtgRatesDataTable756[[#This Row],[asofdate]]),MONTH(OneWeekMtgRatesDataTable756[[#This Row],[asofdate]]),DAY(OneWeekMtgRatesDataTable756[[#This Row],[asofdate]]))</f>
        <v>41017</v>
      </c>
      <c r="E1076" s="48" t="s">
        <v>11</v>
      </c>
      <c r="F1076" s="55">
        <v>0.23974999999999999</v>
      </c>
    </row>
    <row r="1077" spans="2:6">
      <c r="B1077" s="48" t="s">
        <v>20</v>
      </c>
      <c r="C1077" s="48" t="s">
        <v>761</v>
      </c>
      <c r="D1077" s="48">
        <f>DATE(YEAR(OneWeekMtgRatesDataTable756[[#This Row],[asofdate]]),MONTH(OneWeekMtgRatesDataTable756[[#This Row],[asofdate]]),DAY(OneWeekMtgRatesDataTable756[[#This Row],[asofdate]]))</f>
        <v>41016</v>
      </c>
      <c r="E1077" s="48" t="s">
        <v>11</v>
      </c>
      <c r="F1077" s="55">
        <v>0.23974999999999999</v>
      </c>
    </row>
    <row r="1078" spans="2:6">
      <c r="B1078" s="48" t="s">
        <v>20</v>
      </c>
      <c r="C1078" s="48" t="s">
        <v>760</v>
      </c>
      <c r="D1078" s="48">
        <f>DATE(YEAR(OneWeekMtgRatesDataTable756[[#This Row],[asofdate]]),MONTH(OneWeekMtgRatesDataTable756[[#This Row],[asofdate]]),DAY(OneWeekMtgRatesDataTable756[[#This Row],[asofdate]]))</f>
        <v>41015</v>
      </c>
      <c r="E1078" s="48" t="s">
        <v>11</v>
      </c>
      <c r="F1078" s="55">
        <v>0.23974999999999999</v>
      </c>
    </row>
    <row r="1079" spans="2:6">
      <c r="B1079" s="48" t="s">
        <v>20</v>
      </c>
      <c r="C1079" s="48" t="s">
        <v>759</v>
      </c>
      <c r="D1079" s="48">
        <f>DATE(YEAR(OneWeekMtgRatesDataTable756[[#This Row],[asofdate]]),MONTH(OneWeekMtgRatesDataTable756[[#This Row],[asofdate]]),DAY(OneWeekMtgRatesDataTable756[[#This Row],[asofdate]]))</f>
        <v>41012</v>
      </c>
      <c r="E1079" s="48" t="s">
        <v>11</v>
      </c>
      <c r="F1079" s="55">
        <v>0.23974999999999999</v>
      </c>
    </row>
    <row r="1080" spans="2:6">
      <c r="B1080" s="48" t="s">
        <v>20</v>
      </c>
      <c r="C1080" s="48" t="s">
        <v>758</v>
      </c>
      <c r="D1080" s="48">
        <f>DATE(YEAR(OneWeekMtgRatesDataTable756[[#This Row],[asofdate]]),MONTH(OneWeekMtgRatesDataTable756[[#This Row],[asofdate]]),DAY(OneWeekMtgRatesDataTable756[[#This Row],[asofdate]]))</f>
        <v>41011</v>
      </c>
      <c r="E1080" s="48" t="s">
        <v>11</v>
      </c>
      <c r="F1080" s="55">
        <v>0.24024999999999999</v>
      </c>
    </row>
    <row r="1081" spans="2:6">
      <c r="B1081" s="48" t="s">
        <v>20</v>
      </c>
      <c r="C1081" s="48" t="s">
        <v>757</v>
      </c>
      <c r="D1081" s="48">
        <f>DATE(YEAR(OneWeekMtgRatesDataTable756[[#This Row],[asofdate]]),MONTH(OneWeekMtgRatesDataTable756[[#This Row],[asofdate]]),DAY(OneWeekMtgRatesDataTable756[[#This Row],[asofdate]]))</f>
        <v>41010</v>
      </c>
      <c r="E1081" s="48" t="s">
        <v>11</v>
      </c>
      <c r="F1081" s="55">
        <v>0.24024999999999999</v>
      </c>
    </row>
    <row r="1082" spans="2:6">
      <c r="B1082" s="48" t="s">
        <v>20</v>
      </c>
      <c r="C1082" s="48" t="s">
        <v>756</v>
      </c>
      <c r="D1082" s="48">
        <f>DATE(YEAR(OneWeekMtgRatesDataTable756[[#This Row],[asofdate]]),MONTH(OneWeekMtgRatesDataTable756[[#This Row],[asofdate]]),DAY(OneWeekMtgRatesDataTable756[[#This Row],[asofdate]]))</f>
        <v>41009</v>
      </c>
      <c r="E1082" s="48" t="s">
        <v>11</v>
      </c>
      <c r="F1082" s="55">
        <v>0.24024999999999999</v>
      </c>
    </row>
    <row r="1083" spans="2:6">
      <c r="B1083" s="48" t="s">
        <v>20</v>
      </c>
      <c r="C1083" s="48" t="s">
        <v>755</v>
      </c>
      <c r="D1083" s="48">
        <f>DATE(YEAR(OneWeekMtgRatesDataTable756[[#This Row],[asofdate]]),MONTH(OneWeekMtgRatesDataTable756[[#This Row],[asofdate]]),DAY(OneWeekMtgRatesDataTable756[[#This Row],[asofdate]]))</f>
        <v>41008</v>
      </c>
      <c r="E1083" s="48" t="s">
        <v>11</v>
      </c>
      <c r="F1083" s="55">
        <v>0.24124999999999999</v>
      </c>
    </row>
    <row r="1084" spans="2:6">
      <c r="B1084" s="48" t="s">
        <v>20</v>
      </c>
      <c r="C1084" s="48" t="s">
        <v>754</v>
      </c>
      <c r="D1084" s="48">
        <f>DATE(YEAR(OneWeekMtgRatesDataTable756[[#This Row],[asofdate]]),MONTH(OneWeekMtgRatesDataTable756[[#This Row],[asofdate]]),DAY(OneWeekMtgRatesDataTable756[[#This Row],[asofdate]]))</f>
        <v>41005</v>
      </c>
      <c r="E1084" s="48" t="s">
        <v>11</v>
      </c>
      <c r="F1084" s="55">
        <v>0.24124999999999999</v>
      </c>
    </row>
    <row r="1085" spans="2:6">
      <c r="B1085" s="48" t="s">
        <v>20</v>
      </c>
      <c r="C1085" s="48" t="s">
        <v>753</v>
      </c>
      <c r="D1085" s="48">
        <f>DATE(YEAR(OneWeekMtgRatesDataTable756[[#This Row],[asofdate]]),MONTH(OneWeekMtgRatesDataTable756[[#This Row],[asofdate]]),DAY(OneWeekMtgRatesDataTable756[[#This Row],[asofdate]]))</f>
        <v>41004</v>
      </c>
      <c r="E1085" s="48" t="s">
        <v>11</v>
      </c>
      <c r="F1085" s="55">
        <v>0.24124999999999999</v>
      </c>
    </row>
    <row r="1086" spans="2:6">
      <c r="B1086" s="48" t="s">
        <v>20</v>
      </c>
      <c r="C1086" s="48" t="s">
        <v>752</v>
      </c>
      <c r="D1086" s="48">
        <f>DATE(YEAR(OneWeekMtgRatesDataTable756[[#This Row],[asofdate]]),MONTH(OneWeekMtgRatesDataTable756[[#This Row],[asofdate]]),DAY(OneWeekMtgRatesDataTable756[[#This Row],[asofdate]]))</f>
        <v>41003</v>
      </c>
      <c r="E1086" s="48" t="s">
        <v>11</v>
      </c>
      <c r="F1086" s="55">
        <v>0.24124999999999999</v>
      </c>
    </row>
    <row r="1087" spans="2:6">
      <c r="B1087" s="48" t="s">
        <v>20</v>
      </c>
      <c r="C1087" s="48" t="s">
        <v>751</v>
      </c>
      <c r="D1087" s="48">
        <f>DATE(YEAR(OneWeekMtgRatesDataTable756[[#This Row],[asofdate]]),MONTH(OneWeekMtgRatesDataTable756[[#This Row],[asofdate]]),DAY(OneWeekMtgRatesDataTable756[[#This Row],[asofdate]]))</f>
        <v>41002</v>
      </c>
      <c r="E1087" s="48" t="s">
        <v>11</v>
      </c>
      <c r="F1087" s="55">
        <v>0.24124999999999999</v>
      </c>
    </row>
    <row r="1088" spans="2:6">
      <c r="B1088" s="48" t="s">
        <v>20</v>
      </c>
      <c r="C1088" s="48" t="s">
        <v>750</v>
      </c>
      <c r="D1088" s="48">
        <f>DATE(YEAR(OneWeekMtgRatesDataTable756[[#This Row],[asofdate]]),MONTH(OneWeekMtgRatesDataTable756[[#This Row],[asofdate]]),DAY(OneWeekMtgRatesDataTable756[[#This Row],[asofdate]]))</f>
        <v>41001</v>
      </c>
      <c r="E1088" s="48" t="s">
        <v>11</v>
      </c>
      <c r="F1088" s="55">
        <v>0.24124999999999999</v>
      </c>
    </row>
    <row r="1089" spans="2:6">
      <c r="B1089" s="48" t="s">
        <v>20</v>
      </c>
      <c r="C1089" s="48" t="s">
        <v>749</v>
      </c>
      <c r="D1089" s="48">
        <f>DATE(YEAR(OneWeekMtgRatesDataTable756[[#This Row],[asofdate]]),MONTH(OneWeekMtgRatesDataTable756[[#This Row],[asofdate]]),DAY(OneWeekMtgRatesDataTable756[[#This Row],[asofdate]]))</f>
        <v>40998</v>
      </c>
      <c r="E1089" s="48" t="s">
        <v>11</v>
      </c>
      <c r="F1089" s="55">
        <v>0.24124999999999999</v>
      </c>
    </row>
    <row r="1090" spans="2:6">
      <c r="B1090" s="48" t="s">
        <v>20</v>
      </c>
      <c r="C1090" s="48" t="s">
        <v>748</v>
      </c>
      <c r="D1090" s="48">
        <f>DATE(YEAR(OneWeekMtgRatesDataTable756[[#This Row],[asofdate]]),MONTH(OneWeekMtgRatesDataTable756[[#This Row],[asofdate]]),DAY(OneWeekMtgRatesDataTable756[[#This Row],[asofdate]]))</f>
        <v>40997</v>
      </c>
      <c r="E1090" s="48" t="s">
        <v>11</v>
      </c>
      <c r="F1090" s="55">
        <v>0.24124999999999999</v>
      </c>
    </row>
    <row r="1091" spans="2:6">
      <c r="B1091" s="48" t="s">
        <v>20</v>
      </c>
      <c r="C1091" s="48" t="s">
        <v>747</v>
      </c>
      <c r="D1091" s="48">
        <f>DATE(YEAR(OneWeekMtgRatesDataTable756[[#This Row],[asofdate]]),MONTH(OneWeekMtgRatesDataTable756[[#This Row],[asofdate]]),DAY(OneWeekMtgRatesDataTable756[[#This Row],[asofdate]]))</f>
        <v>40996</v>
      </c>
      <c r="E1091" s="48" t="s">
        <v>11</v>
      </c>
      <c r="F1091" s="55">
        <v>0.24124999999999999</v>
      </c>
    </row>
    <row r="1092" spans="2:6">
      <c r="B1092" s="48" t="s">
        <v>20</v>
      </c>
      <c r="C1092" s="48" t="s">
        <v>746</v>
      </c>
      <c r="D1092" s="48">
        <f>DATE(YEAR(OneWeekMtgRatesDataTable756[[#This Row],[asofdate]]),MONTH(OneWeekMtgRatesDataTable756[[#This Row],[asofdate]]),DAY(OneWeekMtgRatesDataTable756[[#This Row],[asofdate]]))</f>
        <v>40995</v>
      </c>
      <c r="E1092" s="48" t="s">
        <v>11</v>
      </c>
      <c r="F1092" s="55">
        <v>0.24124999999999999</v>
      </c>
    </row>
    <row r="1093" spans="2:6">
      <c r="B1093" s="48" t="s">
        <v>20</v>
      </c>
      <c r="C1093" s="48" t="s">
        <v>745</v>
      </c>
      <c r="D1093" s="48">
        <f>DATE(YEAR(OneWeekMtgRatesDataTable756[[#This Row],[asofdate]]),MONTH(OneWeekMtgRatesDataTable756[[#This Row],[asofdate]]),DAY(OneWeekMtgRatesDataTable756[[#This Row],[asofdate]]))</f>
        <v>40994</v>
      </c>
      <c r="E1093" s="48" t="s">
        <v>11</v>
      </c>
      <c r="F1093" s="55">
        <v>0.24124999999999999</v>
      </c>
    </row>
    <row r="1094" spans="2:6">
      <c r="B1094" s="48" t="s">
        <v>20</v>
      </c>
      <c r="C1094" s="48" t="s">
        <v>744</v>
      </c>
      <c r="D1094" s="48">
        <f>DATE(YEAR(OneWeekMtgRatesDataTable756[[#This Row],[asofdate]]),MONTH(OneWeekMtgRatesDataTable756[[#This Row],[asofdate]]),DAY(OneWeekMtgRatesDataTable756[[#This Row],[asofdate]]))</f>
        <v>40991</v>
      </c>
      <c r="E1094" s="48" t="s">
        <v>11</v>
      </c>
      <c r="F1094" s="55">
        <v>0.24124999999999999</v>
      </c>
    </row>
    <row r="1095" spans="2:6">
      <c r="B1095" s="48" t="s">
        <v>20</v>
      </c>
      <c r="C1095" s="48" t="s">
        <v>743</v>
      </c>
      <c r="D1095" s="48">
        <f>DATE(YEAR(OneWeekMtgRatesDataTable756[[#This Row],[asofdate]]),MONTH(OneWeekMtgRatesDataTable756[[#This Row],[asofdate]]),DAY(OneWeekMtgRatesDataTable756[[#This Row],[asofdate]]))</f>
        <v>40990</v>
      </c>
      <c r="E1095" s="48" t="s">
        <v>11</v>
      </c>
      <c r="F1095" s="55">
        <v>0.24174999999999999</v>
      </c>
    </row>
    <row r="1096" spans="2:6">
      <c r="B1096" s="48" t="s">
        <v>20</v>
      </c>
      <c r="C1096" s="48" t="s">
        <v>742</v>
      </c>
      <c r="D1096" s="48">
        <f>DATE(YEAR(OneWeekMtgRatesDataTable756[[#This Row],[asofdate]]),MONTH(OneWeekMtgRatesDataTable756[[#This Row],[asofdate]]),DAY(OneWeekMtgRatesDataTable756[[#This Row],[asofdate]]))</f>
        <v>40989</v>
      </c>
      <c r="E1096" s="48" t="s">
        <v>11</v>
      </c>
      <c r="F1096" s="55">
        <v>0.24174999999999999</v>
      </c>
    </row>
    <row r="1097" spans="2:6">
      <c r="B1097" s="48" t="s">
        <v>20</v>
      </c>
      <c r="C1097" s="48" t="s">
        <v>741</v>
      </c>
      <c r="D1097" s="48">
        <f>DATE(YEAR(OneWeekMtgRatesDataTable756[[#This Row],[asofdate]]),MONTH(OneWeekMtgRatesDataTable756[[#This Row],[asofdate]]),DAY(OneWeekMtgRatesDataTable756[[#This Row],[asofdate]]))</f>
        <v>40988</v>
      </c>
      <c r="E1097" s="48" t="s">
        <v>11</v>
      </c>
      <c r="F1097" s="55">
        <v>0.24174999999999999</v>
      </c>
    </row>
    <row r="1098" spans="2:6">
      <c r="B1098" s="48" t="s">
        <v>20</v>
      </c>
      <c r="C1098" s="48" t="s">
        <v>740</v>
      </c>
      <c r="D1098" s="48">
        <f>DATE(YEAR(OneWeekMtgRatesDataTable756[[#This Row],[asofdate]]),MONTH(OneWeekMtgRatesDataTable756[[#This Row],[asofdate]]),DAY(OneWeekMtgRatesDataTable756[[#This Row],[asofdate]]))</f>
        <v>40987</v>
      </c>
      <c r="E1098" s="48" t="s">
        <v>11</v>
      </c>
      <c r="F1098" s="55">
        <v>0.24174999999999999</v>
      </c>
    </row>
    <row r="1099" spans="2:6">
      <c r="B1099" s="48" t="s">
        <v>20</v>
      </c>
      <c r="C1099" s="48" t="s">
        <v>739</v>
      </c>
      <c r="D1099" s="48">
        <f>DATE(YEAR(OneWeekMtgRatesDataTable756[[#This Row],[asofdate]]),MONTH(OneWeekMtgRatesDataTable756[[#This Row],[asofdate]]),DAY(OneWeekMtgRatesDataTable756[[#This Row],[asofdate]]))</f>
        <v>40984</v>
      </c>
      <c r="E1099" s="48" t="s">
        <v>11</v>
      </c>
      <c r="F1099" s="55">
        <v>0.24174999999999999</v>
      </c>
    </row>
    <row r="1100" spans="2:6">
      <c r="B1100" s="48" t="s">
        <v>20</v>
      </c>
      <c r="C1100" s="48" t="s">
        <v>738</v>
      </c>
      <c r="D1100" s="48">
        <f>DATE(YEAR(OneWeekMtgRatesDataTable756[[#This Row],[asofdate]]),MONTH(OneWeekMtgRatesDataTable756[[#This Row],[asofdate]]),DAY(OneWeekMtgRatesDataTable756[[#This Row],[asofdate]]))</f>
        <v>40983</v>
      </c>
      <c r="E1100" s="48" t="s">
        <v>11</v>
      </c>
      <c r="F1100" s="55">
        <v>0.24174999999999999</v>
      </c>
    </row>
    <row r="1101" spans="2:6">
      <c r="B1101" s="48" t="s">
        <v>20</v>
      </c>
      <c r="C1101" s="48" t="s">
        <v>737</v>
      </c>
      <c r="D1101" s="48">
        <f>DATE(YEAR(OneWeekMtgRatesDataTable756[[#This Row],[asofdate]]),MONTH(OneWeekMtgRatesDataTable756[[#This Row],[asofdate]]),DAY(OneWeekMtgRatesDataTable756[[#This Row],[asofdate]]))</f>
        <v>40982</v>
      </c>
      <c r="E1101" s="48" t="s">
        <v>11</v>
      </c>
      <c r="F1101" s="55">
        <v>0.24174999999999999</v>
      </c>
    </row>
    <row r="1102" spans="2:6">
      <c r="B1102" s="48" t="s">
        <v>20</v>
      </c>
      <c r="C1102" s="48" t="s">
        <v>736</v>
      </c>
      <c r="D1102" s="48">
        <f>DATE(YEAR(OneWeekMtgRatesDataTable756[[#This Row],[asofdate]]),MONTH(OneWeekMtgRatesDataTable756[[#This Row],[asofdate]]),DAY(OneWeekMtgRatesDataTable756[[#This Row],[asofdate]]))</f>
        <v>40981</v>
      </c>
      <c r="E1102" s="48" t="s">
        <v>11</v>
      </c>
      <c r="F1102" s="55">
        <v>0.24174999999999999</v>
      </c>
    </row>
    <row r="1103" spans="2:6">
      <c r="B1103" s="48" t="s">
        <v>20</v>
      </c>
      <c r="C1103" s="48" t="s">
        <v>735</v>
      </c>
      <c r="D1103" s="48">
        <f>DATE(YEAR(OneWeekMtgRatesDataTable756[[#This Row],[asofdate]]),MONTH(OneWeekMtgRatesDataTable756[[#This Row],[asofdate]]),DAY(OneWeekMtgRatesDataTable756[[#This Row],[asofdate]]))</f>
        <v>40980</v>
      </c>
      <c r="E1103" s="48" t="s">
        <v>11</v>
      </c>
      <c r="F1103" s="55">
        <v>0.24174999999999999</v>
      </c>
    </row>
    <row r="1104" spans="2:6">
      <c r="B1104" s="48" t="s">
        <v>20</v>
      </c>
      <c r="C1104" s="48" t="s">
        <v>734</v>
      </c>
      <c r="D1104" s="48">
        <f>DATE(YEAR(OneWeekMtgRatesDataTable756[[#This Row],[asofdate]]),MONTH(OneWeekMtgRatesDataTable756[[#This Row],[asofdate]]),DAY(OneWeekMtgRatesDataTable756[[#This Row],[asofdate]]))</f>
        <v>40977</v>
      </c>
      <c r="E1104" s="48" t="s">
        <v>11</v>
      </c>
      <c r="F1104" s="55">
        <v>0.24174999999999999</v>
      </c>
    </row>
    <row r="1105" spans="2:6">
      <c r="B1105" s="48" t="s">
        <v>20</v>
      </c>
      <c r="C1105" s="48" t="s">
        <v>733</v>
      </c>
      <c r="D1105" s="48">
        <f>DATE(YEAR(OneWeekMtgRatesDataTable756[[#This Row],[asofdate]]),MONTH(OneWeekMtgRatesDataTable756[[#This Row],[asofdate]]),DAY(OneWeekMtgRatesDataTable756[[#This Row],[asofdate]]))</f>
        <v>40976</v>
      </c>
      <c r="E1105" s="48" t="s">
        <v>11</v>
      </c>
      <c r="F1105" s="55">
        <v>0.24174999999999999</v>
      </c>
    </row>
    <row r="1106" spans="2:6">
      <c r="B1106" s="48" t="s">
        <v>20</v>
      </c>
      <c r="C1106" s="48" t="s">
        <v>732</v>
      </c>
      <c r="D1106" s="48">
        <f>DATE(YEAR(OneWeekMtgRatesDataTable756[[#This Row],[asofdate]]),MONTH(OneWeekMtgRatesDataTable756[[#This Row],[asofdate]]),DAY(OneWeekMtgRatesDataTable756[[#This Row],[asofdate]]))</f>
        <v>40975</v>
      </c>
      <c r="E1106" s="48" t="s">
        <v>11</v>
      </c>
      <c r="F1106" s="55">
        <v>0.24274999999999999</v>
      </c>
    </row>
    <row r="1107" spans="2:6">
      <c r="B1107" s="48" t="s">
        <v>20</v>
      </c>
      <c r="C1107" s="48" t="s">
        <v>731</v>
      </c>
      <c r="D1107" s="48">
        <f>DATE(YEAR(OneWeekMtgRatesDataTable756[[#This Row],[asofdate]]),MONTH(OneWeekMtgRatesDataTable756[[#This Row],[asofdate]]),DAY(OneWeekMtgRatesDataTable756[[#This Row],[asofdate]]))</f>
        <v>40974</v>
      </c>
      <c r="E1107" s="48" t="s">
        <v>11</v>
      </c>
      <c r="F1107" s="55">
        <v>0.24274999999999999</v>
      </c>
    </row>
    <row r="1108" spans="2:6">
      <c r="B1108" s="48" t="s">
        <v>20</v>
      </c>
      <c r="C1108" s="48" t="s">
        <v>730</v>
      </c>
      <c r="D1108" s="48">
        <f>DATE(YEAR(OneWeekMtgRatesDataTable756[[#This Row],[asofdate]]),MONTH(OneWeekMtgRatesDataTable756[[#This Row],[asofdate]]),DAY(OneWeekMtgRatesDataTable756[[#This Row],[asofdate]]))</f>
        <v>40973</v>
      </c>
      <c r="E1108" s="48" t="s">
        <v>11</v>
      </c>
      <c r="F1108" s="55">
        <v>0.24274999999999999</v>
      </c>
    </row>
    <row r="1109" spans="2:6">
      <c r="B1109" s="48" t="s">
        <v>20</v>
      </c>
      <c r="C1109" s="48" t="s">
        <v>729</v>
      </c>
      <c r="D1109" s="48">
        <f>DATE(YEAR(OneWeekMtgRatesDataTable756[[#This Row],[asofdate]]),MONTH(OneWeekMtgRatesDataTable756[[#This Row],[asofdate]]),DAY(OneWeekMtgRatesDataTable756[[#This Row],[asofdate]]))</f>
        <v>40970</v>
      </c>
      <c r="E1109" s="48" t="s">
        <v>11</v>
      </c>
      <c r="F1109" s="55">
        <v>0.24274999999999999</v>
      </c>
    </row>
    <row r="1110" spans="2:6">
      <c r="B1110" s="48" t="s">
        <v>20</v>
      </c>
      <c r="C1110" s="48" t="s">
        <v>728</v>
      </c>
      <c r="D1110" s="48">
        <f>DATE(YEAR(OneWeekMtgRatesDataTable756[[#This Row],[asofdate]]),MONTH(OneWeekMtgRatesDataTable756[[#This Row],[asofdate]]),DAY(OneWeekMtgRatesDataTable756[[#This Row],[asofdate]]))</f>
        <v>40969</v>
      </c>
      <c r="E1110" s="48" t="s">
        <v>11</v>
      </c>
      <c r="F1110" s="55">
        <v>0.24299999999999999</v>
      </c>
    </row>
    <row r="1111" spans="2:6">
      <c r="B1111" s="48" t="s">
        <v>20</v>
      </c>
      <c r="C1111" s="48" t="s">
        <v>727</v>
      </c>
      <c r="D1111" s="48">
        <f>DATE(YEAR(OneWeekMtgRatesDataTable756[[#This Row],[asofdate]]),MONTH(OneWeekMtgRatesDataTable756[[#This Row],[asofdate]]),DAY(OneWeekMtgRatesDataTable756[[#This Row],[asofdate]]))</f>
        <v>40968</v>
      </c>
      <c r="E1111" s="48" t="s">
        <v>11</v>
      </c>
      <c r="F1111" s="55">
        <v>0.24349999999999999</v>
      </c>
    </row>
    <row r="1112" spans="2:6">
      <c r="B1112" s="48" t="s">
        <v>20</v>
      </c>
      <c r="C1112" s="48" t="s">
        <v>726</v>
      </c>
      <c r="D1112" s="48">
        <f>DATE(YEAR(OneWeekMtgRatesDataTable756[[#This Row],[asofdate]]),MONTH(OneWeekMtgRatesDataTable756[[#This Row],[asofdate]]),DAY(OneWeekMtgRatesDataTable756[[#This Row],[asofdate]]))</f>
        <v>40967</v>
      </c>
      <c r="E1112" s="48" t="s">
        <v>11</v>
      </c>
      <c r="F1112" s="55">
        <v>0.24399999999999999</v>
      </c>
    </row>
    <row r="1113" spans="2:6">
      <c r="B1113" s="48" t="s">
        <v>20</v>
      </c>
      <c r="C1113" s="48" t="s">
        <v>725</v>
      </c>
      <c r="D1113" s="48">
        <f>DATE(YEAR(OneWeekMtgRatesDataTable756[[#This Row],[asofdate]]),MONTH(OneWeekMtgRatesDataTable756[[#This Row],[asofdate]]),DAY(OneWeekMtgRatesDataTable756[[#This Row],[asofdate]]))</f>
        <v>40966</v>
      </c>
      <c r="E1113" s="48" t="s">
        <v>11</v>
      </c>
      <c r="F1113" s="55">
        <v>0.24399999999999999</v>
      </c>
    </row>
    <row r="1114" spans="2:6">
      <c r="B1114" s="48" t="s">
        <v>20</v>
      </c>
      <c r="C1114" s="48" t="s">
        <v>724</v>
      </c>
      <c r="D1114" s="48">
        <f>DATE(YEAR(OneWeekMtgRatesDataTable756[[#This Row],[asofdate]]),MONTH(OneWeekMtgRatesDataTable756[[#This Row],[asofdate]]),DAY(OneWeekMtgRatesDataTable756[[#This Row],[asofdate]]))</f>
        <v>40963</v>
      </c>
      <c r="E1114" s="48" t="s">
        <v>11</v>
      </c>
      <c r="F1114" s="55">
        <v>0.24399999999999999</v>
      </c>
    </row>
    <row r="1115" spans="2:6">
      <c r="B1115" s="48" t="s">
        <v>20</v>
      </c>
      <c r="C1115" s="48" t="s">
        <v>723</v>
      </c>
      <c r="D1115" s="48">
        <f>DATE(YEAR(OneWeekMtgRatesDataTable756[[#This Row],[asofdate]]),MONTH(OneWeekMtgRatesDataTable756[[#This Row],[asofdate]]),DAY(OneWeekMtgRatesDataTable756[[#This Row],[asofdate]]))</f>
        <v>40962</v>
      </c>
      <c r="E1115" s="48" t="s">
        <v>11</v>
      </c>
      <c r="F1115" s="55">
        <v>0.24399999999999999</v>
      </c>
    </row>
    <row r="1116" spans="2:6">
      <c r="B1116" s="48" t="s">
        <v>20</v>
      </c>
      <c r="C1116" s="48" t="s">
        <v>722</v>
      </c>
      <c r="D1116" s="48">
        <f>DATE(YEAR(OneWeekMtgRatesDataTable756[[#This Row],[asofdate]]),MONTH(OneWeekMtgRatesDataTable756[[#This Row],[asofdate]]),DAY(OneWeekMtgRatesDataTable756[[#This Row],[asofdate]]))</f>
        <v>40961</v>
      </c>
      <c r="E1116" s="48" t="s">
        <v>11</v>
      </c>
      <c r="F1116" s="55">
        <v>0.2445</v>
      </c>
    </row>
    <row r="1117" spans="2:6">
      <c r="B1117" s="48" t="s">
        <v>20</v>
      </c>
      <c r="C1117" s="48" t="s">
        <v>721</v>
      </c>
      <c r="D1117" s="48">
        <f>DATE(YEAR(OneWeekMtgRatesDataTable756[[#This Row],[asofdate]]),MONTH(OneWeekMtgRatesDataTable756[[#This Row],[asofdate]]),DAY(OneWeekMtgRatesDataTable756[[#This Row],[asofdate]]))</f>
        <v>40960</v>
      </c>
      <c r="E1117" s="48" t="s">
        <v>11</v>
      </c>
      <c r="F1117" s="55">
        <v>0.2455</v>
      </c>
    </row>
    <row r="1118" spans="2:6">
      <c r="B1118" s="48" t="s">
        <v>20</v>
      </c>
      <c r="C1118" s="48" t="s">
        <v>720</v>
      </c>
      <c r="D1118" s="48">
        <f>DATE(YEAR(OneWeekMtgRatesDataTable756[[#This Row],[asofdate]]),MONTH(OneWeekMtgRatesDataTable756[[#This Row],[asofdate]]),DAY(OneWeekMtgRatesDataTable756[[#This Row],[asofdate]]))</f>
        <v>40956</v>
      </c>
      <c r="E1118" s="48" t="s">
        <v>11</v>
      </c>
      <c r="F1118" s="55">
        <v>0.2455</v>
      </c>
    </row>
    <row r="1119" spans="2:6">
      <c r="B1119" s="48" t="s">
        <v>20</v>
      </c>
      <c r="C1119" s="48" t="s">
        <v>719</v>
      </c>
      <c r="D1119" s="48">
        <f>DATE(YEAR(OneWeekMtgRatesDataTable756[[#This Row],[asofdate]]),MONTH(OneWeekMtgRatesDataTable756[[#This Row],[asofdate]]),DAY(OneWeekMtgRatesDataTable756[[#This Row],[asofdate]]))</f>
        <v>40955</v>
      </c>
      <c r="E1119" s="48" t="s">
        <v>11</v>
      </c>
      <c r="F1119" s="55">
        <v>0.2455</v>
      </c>
    </row>
    <row r="1120" spans="2:6">
      <c r="B1120" s="48" t="s">
        <v>20</v>
      </c>
      <c r="C1120" s="48" t="s">
        <v>718</v>
      </c>
      <c r="D1120" s="48">
        <f>DATE(YEAR(OneWeekMtgRatesDataTable756[[#This Row],[asofdate]]),MONTH(OneWeekMtgRatesDataTable756[[#This Row],[asofdate]]),DAY(OneWeekMtgRatesDataTable756[[#This Row],[asofdate]]))</f>
        <v>40954</v>
      </c>
      <c r="E1120" s="48" t="s">
        <v>11</v>
      </c>
      <c r="F1120" s="55">
        <v>0.246</v>
      </c>
    </row>
    <row r="1121" spans="2:6">
      <c r="B1121" s="48" t="s">
        <v>20</v>
      </c>
      <c r="C1121" s="48" t="s">
        <v>717</v>
      </c>
      <c r="D1121" s="48">
        <f>DATE(YEAR(OneWeekMtgRatesDataTable756[[#This Row],[asofdate]]),MONTH(OneWeekMtgRatesDataTable756[[#This Row],[asofdate]]),DAY(OneWeekMtgRatesDataTable756[[#This Row],[asofdate]]))</f>
        <v>40953</v>
      </c>
      <c r="E1121" s="48" t="s">
        <v>11</v>
      </c>
      <c r="F1121" s="55">
        <v>0.2475</v>
      </c>
    </row>
    <row r="1122" spans="2:6">
      <c r="B1122" s="48" t="s">
        <v>20</v>
      </c>
      <c r="C1122" s="48" t="s">
        <v>716</v>
      </c>
      <c r="D1122" s="48">
        <f>DATE(YEAR(OneWeekMtgRatesDataTable756[[#This Row],[asofdate]]),MONTH(OneWeekMtgRatesDataTable756[[#This Row],[asofdate]]),DAY(OneWeekMtgRatesDataTable756[[#This Row],[asofdate]]))</f>
        <v>40952</v>
      </c>
      <c r="E1122" s="48" t="s">
        <v>11</v>
      </c>
      <c r="F1122" s="55">
        <v>0.2485</v>
      </c>
    </row>
    <row r="1123" spans="2:6">
      <c r="B1123" s="48" t="s">
        <v>20</v>
      </c>
      <c r="C1123" s="48" t="s">
        <v>715</v>
      </c>
      <c r="D1123" s="48">
        <f>DATE(YEAR(OneWeekMtgRatesDataTable756[[#This Row],[asofdate]]),MONTH(OneWeekMtgRatesDataTable756[[#This Row],[asofdate]]),DAY(OneWeekMtgRatesDataTable756[[#This Row],[asofdate]]))</f>
        <v>40949</v>
      </c>
      <c r="E1123" s="48" t="s">
        <v>11</v>
      </c>
      <c r="F1123" s="55">
        <v>0.2505</v>
      </c>
    </row>
    <row r="1124" spans="2:6">
      <c r="B1124" s="48" t="s">
        <v>20</v>
      </c>
      <c r="C1124" s="48" t="s">
        <v>714</v>
      </c>
      <c r="D1124" s="48">
        <f>DATE(YEAR(OneWeekMtgRatesDataTable756[[#This Row],[asofdate]]),MONTH(OneWeekMtgRatesDataTable756[[#This Row],[asofdate]]),DAY(OneWeekMtgRatesDataTable756[[#This Row],[asofdate]]))</f>
        <v>40948</v>
      </c>
      <c r="E1124" s="48" t="s">
        <v>11</v>
      </c>
      <c r="F1124" s="55">
        <v>0.2535</v>
      </c>
    </row>
    <row r="1125" spans="2:6">
      <c r="B1125" s="48" t="s">
        <v>20</v>
      </c>
      <c r="C1125" s="48" t="s">
        <v>713</v>
      </c>
      <c r="D1125" s="48">
        <f>DATE(YEAR(OneWeekMtgRatesDataTable756[[#This Row],[asofdate]]),MONTH(OneWeekMtgRatesDataTable756[[#This Row],[asofdate]]),DAY(OneWeekMtgRatesDataTable756[[#This Row],[asofdate]]))</f>
        <v>40947</v>
      </c>
      <c r="E1125" s="48" t="s">
        <v>11</v>
      </c>
      <c r="F1125" s="55">
        <v>0.25474999999999998</v>
      </c>
    </row>
    <row r="1126" spans="2:6">
      <c r="B1126" s="48" t="s">
        <v>20</v>
      </c>
      <c r="C1126" s="48" t="s">
        <v>712</v>
      </c>
      <c r="D1126" s="48">
        <f>DATE(YEAR(OneWeekMtgRatesDataTable756[[#This Row],[asofdate]]),MONTH(OneWeekMtgRatesDataTable756[[#This Row],[asofdate]]),DAY(OneWeekMtgRatesDataTable756[[#This Row],[asofdate]]))</f>
        <v>40946</v>
      </c>
      <c r="E1126" s="48" t="s">
        <v>11</v>
      </c>
      <c r="F1126" s="55">
        <v>0.25700000000000001</v>
      </c>
    </row>
    <row r="1127" spans="2:6">
      <c r="B1127" s="48" t="s">
        <v>20</v>
      </c>
      <c r="C1127" s="48" t="s">
        <v>711</v>
      </c>
      <c r="D1127" s="48">
        <f>DATE(YEAR(OneWeekMtgRatesDataTable756[[#This Row],[asofdate]]),MONTH(OneWeekMtgRatesDataTable756[[#This Row],[asofdate]]),DAY(OneWeekMtgRatesDataTable756[[#This Row],[asofdate]]))</f>
        <v>40945</v>
      </c>
      <c r="E1127" s="48" t="s">
        <v>11</v>
      </c>
      <c r="F1127" s="55">
        <v>0.25974999999999998</v>
      </c>
    </row>
    <row r="1128" spans="2:6">
      <c r="B1128" s="48" t="s">
        <v>20</v>
      </c>
      <c r="C1128" s="48" t="s">
        <v>710</v>
      </c>
      <c r="D1128" s="48">
        <f>DATE(YEAR(OneWeekMtgRatesDataTable756[[#This Row],[asofdate]]),MONTH(OneWeekMtgRatesDataTable756[[#This Row],[asofdate]]),DAY(OneWeekMtgRatesDataTable756[[#This Row],[asofdate]]))</f>
        <v>40942</v>
      </c>
      <c r="E1128" s="48" t="s">
        <v>11</v>
      </c>
      <c r="F1128" s="55">
        <v>0.26050000000000001</v>
      </c>
    </row>
    <row r="1129" spans="2:6">
      <c r="B1129" s="48" t="s">
        <v>20</v>
      </c>
      <c r="C1129" s="48" t="s">
        <v>709</v>
      </c>
      <c r="D1129" s="48">
        <f>DATE(YEAR(OneWeekMtgRatesDataTable756[[#This Row],[asofdate]]),MONTH(OneWeekMtgRatesDataTable756[[#This Row],[asofdate]]),DAY(OneWeekMtgRatesDataTable756[[#This Row],[asofdate]]))</f>
        <v>40941</v>
      </c>
      <c r="E1129" s="48" t="s">
        <v>11</v>
      </c>
      <c r="F1129" s="55">
        <v>0.26250000000000001</v>
      </c>
    </row>
    <row r="1130" spans="2:6">
      <c r="B1130" s="48" t="s">
        <v>20</v>
      </c>
      <c r="C1130" s="48" t="s">
        <v>708</v>
      </c>
      <c r="D1130" s="48">
        <f>DATE(YEAR(OneWeekMtgRatesDataTable756[[#This Row],[asofdate]]),MONTH(OneWeekMtgRatesDataTable756[[#This Row],[asofdate]]),DAY(OneWeekMtgRatesDataTable756[[#This Row],[asofdate]]))</f>
        <v>40940</v>
      </c>
      <c r="E1130" s="48" t="s">
        <v>11</v>
      </c>
      <c r="F1130" s="55">
        <v>0.26400000000000001</v>
      </c>
    </row>
    <row r="1131" spans="2:6">
      <c r="B1131" s="48" t="s">
        <v>20</v>
      </c>
      <c r="C1131" s="48" t="s">
        <v>707</v>
      </c>
      <c r="D1131" s="48">
        <f>DATE(YEAR(OneWeekMtgRatesDataTable756[[#This Row],[asofdate]]),MONTH(OneWeekMtgRatesDataTable756[[#This Row],[asofdate]]),DAY(OneWeekMtgRatesDataTable756[[#This Row],[asofdate]]))</f>
        <v>40939</v>
      </c>
      <c r="E1131" s="48" t="s">
        <v>11</v>
      </c>
      <c r="F1131" s="55">
        <v>0.26474999999999999</v>
      </c>
    </row>
    <row r="1132" spans="2:6">
      <c r="B1132" s="48" t="s">
        <v>20</v>
      </c>
      <c r="C1132" s="48" t="s">
        <v>706</v>
      </c>
      <c r="D1132" s="48">
        <f>DATE(YEAR(OneWeekMtgRatesDataTable756[[#This Row],[asofdate]]),MONTH(OneWeekMtgRatesDataTable756[[#This Row],[asofdate]]),DAY(OneWeekMtgRatesDataTable756[[#This Row],[asofdate]]))</f>
        <v>40938</v>
      </c>
      <c r="E1132" s="48" t="s">
        <v>11</v>
      </c>
      <c r="F1132" s="55">
        <v>0.26774999999999999</v>
      </c>
    </row>
    <row r="1133" spans="2:6">
      <c r="B1133" s="48" t="s">
        <v>20</v>
      </c>
      <c r="C1133" s="48" t="s">
        <v>705</v>
      </c>
      <c r="D1133" s="48">
        <f>DATE(YEAR(OneWeekMtgRatesDataTable756[[#This Row],[asofdate]]),MONTH(OneWeekMtgRatesDataTable756[[#This Row],[asofdate]]),DAY(OneWeekMtgRatesDataTable756[[#This Row],[asofdate]]))</f>
        <v>40935</v>
      </c>
      <c r="E1133" s="48" t="s">
        <v>11</v>
      </c>
      <c r="F1133" s="55">
        <v>0.27</v>
      </c>
    </row>
    <row r="1134" spans="2:6">
      <c r="B1134" s="48" t="s">
        <v>20</v>
      </c>
      <c r="C1134" s="48" t="s">
        <v>704</v>
      </c>
      <c r="D1134" s="48">
        <f>DATE(YEAR(OneWeekMtgRatesDataTable756[[#This Row],[asofdate]]),MONTH(OneWeekMtgRatesDataTable756[[#This Row],[asofdate]]),DAY(OneWeekMtgRatesDataTable756[[#This Row],[asofdate]]))</f>
        <v>40934</v>
      </c>
      <c r="E1134" s="48" t="s">
        <v>11</v>
      </c>
      <c r="F1134" s="55">
        <v>0.27050000000000002</v>
      </c>
    </row>
    <row r="1135" spans="2:6">
      <c r="B1135" s="48" t="s">
        <v>20</v>
      </c>
      <c r="C1135" s="48" t="s">
        <v>703</v>
      </c>
      <c r="D1135" s="48">
        <f>DATE(YEAR(OneWeekMtgRatesDataTable756[[#This Row],[asofdate]]),MONTH(OneWeekMtgRatesDataTable756[[#This Row],[asofdate]]),DAY(OneWeekMtgRatesDataTable756[[#This Row],[asofdate]]))</f>
        <v>40933</v>
      </c>
      <c r="E1135" s="48" t="s">
        <v>11</v>
      </c>
      <c r="F1135" s="55">
        <v>0.27279999999999999</v>
      </c>
    </row>
    <row r="1136" spans="2:6">
      <c r="B1136" s="48" t="s">
        <v>20</v>
      </c>
      <c r="C1136" s="48" t="s">
        <v>702</v>
      </c>
      <c r="D1136" s="48">
        <f>DATE(YEAR(OneWeekMtgRatesDataTable756[[#This Row],[asofdate]]),MONTH(OneWeekMtgRatesDataTable756[[#This Row],[asofdate]]),DAY(OneWeekMtgRatesDataTable756[[#This Row],[asofdate]]))</f>
        <v>40932</v>
      </c>
      <c r="E1136" s="48" t="s">
        <v>11</v>
      </c>
      <c r="F1136" s="55">
        <v>0.27529999999999999</v>
      </c>
    </row>
    <row r="1137" spans="2:6">
      <c r="B1137" s="48" t="s">
        <v>20</v>
      </c>
      <c r="C1137" s="48" t="s">
        <v>701</v>
      </c>
      <c r="D1137" s="48">
        <f>DATE(YEAR(OneWeekMtgRatesDataTable756[[#This Row],[asofdate]]),MONTH(OneWeekMtgRatesDataTable756[[#This Row],[asofdate]]),DAY(OneWeekMtgRatesDataTable756[[#This Row],[asofdate]]))</f>
        <v>40931</v>
      </c>
      <c r="E1137" s="48" t="s">
        <v>11</v>
      </c>
      <c r="F1137" s="55">
        <v>0.27629999999999999</v>
      </c>
    </row>
    <row r="1138" spans="2:6">
      <c r="B1138" s="48" t="s">
        <v>20</v>
      </c>
      <c r="C1138" s="48" t="s">
        <v>700</v>
      </c>
      <c r="D1138" s="48">
        <f>DATE(YEAR(OneWeekMtgRatesDataTable756[[#This Row],[asofdate]]),MONTH(OneWeekMtgRatesDataTable756[[#This Row],[asofdate]]),DAY(OneWeekMtgRatesDataTable756[[#This Row],[asofdate]]))</f>
        <v>40928</v>
      </c>
      <c r="E1138" s="48" t="s">
        <v>11</v>
      </c>
      <c r="F1138" s="55">
        <v>0.27729999999999999</v>
      </c>
    </row>
    <row r="1139" spans="2:6">
      <c r="B1139" s="48" t="s">
        <v>20</v>
      </c>
      <c r="C1139" s="48" t="s">
        <v>699</v>
      </c>
      <c r="D1139" s="48">
        <f>DATE(YEAR(OneWeekMtgRatesDataTable756[[#This Row],[asofdate]]),MONTH(OneWeekMtgRatesDataTable756[[#This Row],[asofdate]]),DAY(OneWeekMtgRatesDataTable756[[#This Row],[asofdate]]))</f>
        <v>40927</v>
      </c>
      <c r="E1139" s="48" t="s">
        <v>11</v>
      </c>
      <c r="F1139" s="55">
        <v>0.27889999999999998</v>
      </c>
    </row>
    <row r="1140" spans="2:6">
      <c r="B1140" s="48" t="s">
        <v>20</v>
      </c>
      <c r="C1140" s="48" t="s">
        <v>698</v>
      </c>
      <c r="D1140" s="48">
        <f>DATE(YEAR(OneWeekMtgRatesDataTable756[[#This Row],[asofdate]]),MONTH(OneWeekMtgRatesDataTable756[[#This Row],[asofdate]]),DAY(OneWeekMtgRatesDataTable756[[#This Row],[asofdate]]))</f>
        <v>40926</v>
      </c>
      <c r="E1140" s="48" t="s">
        <v>11</v>
      </c>
      <c r="F1140" s="55">
        <v>0.28089999999999998</v>
      </c>
    </row>
    <row r="1141" spans="2:6">
      <c r="B1141" s="48" t="s">
        <v>20</v>
      </c>
      <c r="C1141" s="48" t="s">
        <v>697</v>
      </c>
      <c r="D1141" s="48">
        <f>DATE(YEAR(OneWeekMtgRatesDataTable756[[#This Row],[asofdate]]),MONTH(OneWeekMtgRatesDataTable756[[#This Row],[asofdate]]),DAY(OneWeekMtgRatesDataTable756[[#This Row],[asofdate]]))</f>
        <v>40925</v>
      </c>
      <c r="E1141" s="48" t="s">
        <v>11</v>
      </c>
      <c r="F1141" s="55">
        <v>0.28100000000000003</v>
      </c>
    </row>
    <row r="1142" spans="2:6">
      <c r="B1142" s="48" t="s">
        <v>20</v>
      </c>
      <c r="C1142" s="48" t="s">
        <v>696</v>
      </c>
      <c r="D1142" s="48">
        <f>DATE(YEAR(OneWeekMtgRatesDataTable756[[#This Row],[asofdate]]),MONTH(OneWeekMtgRatesDataTable756[[#This Row],[asofdate]]),DAY(OneWeekMtgRatesDataTable756[[#This Row],[asofdate]]))</f>
        <v>40921</v>
      </c>
      <c r="E1142" s="48" t="s">
        <v>11</v>
      </c>
      <c r="F1142" s="55">
        <v>0.28510000000000002</v>
      </c>
    </row>
    <row r="1143" spans="2:6">
      <c r="B1143" s="48" t="s">
        <v>20</v>
      </c>
      <c r="C1143" s="48" t="s">
        <v>695</v>
      </c>
      <c r="D1143" s="48">
        <f>DATE(YEAR(OneWeekMtgRatesDataTable756[[#This Row],[asofdate]]),MONTH(OneWeekMtgRatesDataTable756[[#This Row],[asofdate]]),DAY(OneWeekMtgRatesDataTable756[[#This Row],[asofdate]]))</f>
        <v>40920</v>
      </c>
      <c r="E1143" s="48" t="s">
        <v>11</v>
      </c>
      <c r="F1143" s="55">
        <v>0.28960000000000002</v>
      </c>
    </row>
    <row r="1144" spans="2:6">
      <c r="B1144" s="48" t="s">
        <v>20</v>
      </c>
      <c r="C1144" s="48" t="s">
        <v>694</v>
      </c>
      <c r="D1144" s="48">
        <f>DATE(YEAR(OneWeekMtgRatesDataTable756[[#This Row],[asofdate]]),MONTH(OneWeekMtgRatesDataTable756[[#This Row],[asofdate]]),DAY(OneWeekMtgRatesDataTable756[[#This Row],[asofdate]]))</f>
        <v>40919</v>
      </c>
      <c r="E1144" s="48" t="s">
        <v>11</v>
      </c>
      <c r="F1144" s="55">
        <v>0.29470000000000002</v>
      </c>
    </row>
    <row r="1145" spans="2:6">
      <c r="B1145" s="48" t="s">
        <v>20</v>
      </c>
      <c r="C1145" s="48" t="s">
        <v>693</v>
      </c>
      <c r="D1145" s="48">
        <f>DATE(YEAR(OneWeekMtgRatesDataTable756[[#This Row],[asofdate]]),MONTH(OneWeekMtgRatesDataTable756[[#This Row],[asofdate]]),DAY(OneWeekMtgRatesDataTable756[[#This Row],[asofdate]]))</f>
        <v>40918</v>
      </c>
      <c r="E1145" s="48" t="s">
        <v>11</v>
      </c>
      <c r="F1145" s="55">
        <v>0.29580000000000001</v>
      </c>
    </row>
    <row r="1146" spans="2:6">
      <c r="B1146" s="48" t="s">
        <v>20</v>
      </c>
      <c r="C1146" s="48" t="s">
        <v>692</v>
      </c>
      <c r="D1146" s="48">
        <f>DATE(YEAR(OneWeekMtgRatesDataTable756[[#This Row],[asofdate]]),MONTH(OneWeekMtgRatesDataTable756[[#This Row],[asofdate]]),DAY(OneWeekMtgRatesDataTable756[[#This Row],[asofdate]]))</f>
        <v>40917</v>
      </c>
      <c r="E1146" s="48" t="s">
        <v>11</v>
      </c>
      <c r="F1146" s="55">
        <v>0.29630000000000001</v>
      </c>
    </row>
    <row r="1147" spans="2:6">
      <c r="B1147" s="48" t="s">
        <v>20</v>
      </c>
      <c r="C1147" s="48" t="s">
        <v>691</v>
      </c>
      <c r="D1147" s="48">
        <f>DATE(YEAR(OneWeekMtgRatesDataTable756[[#This Row],[asofdate]]),MONTH(OneWeekMtgRatesDataTable756[[#This Row],[asofdate]]),DAY(OneWeekMtgRatesDataTable756[[#This Row],[asofdate]]))</f>
        <v>40914</v>
      </c>
      <c r="E1147" s="48" t="s">
        <v>11</v>
      </c>
      <c r="F1147" s="55">
        <v>0.29630000000000001</v>
      </c>
    </row>
    <row r="1148" spans="2:6">
      <c r="B1148" s="48" t="s">
        <v>20</v>
      </c>
      <c r="C1148" s="48" t="s">
        <v>690</v>
      </c>
      <c r="D1148" s="48">
        <f>DATE(YEAR(OneWeekMtgRatesDataTable756[[#This Row],[asofdate]]),MONTH(OneWeekMtgRatesDataTable756[[#This Row],[asofdate]]),DAY(OneWeekMtgRatesDataTable756[[#This Row],[asofdate]]))</f>
        <v>40913</v>
      </c>
      <c r="E1148" s="48" t="s">
        <v>11</v>
      </c>
      <c r="F1148" s="55">
        <v>0.29530000000000001</v>
      </c>
    </row>
    <row r="1149" spans="2:6">
      <c r="B1149" s="48" t="s">
        <v>20</v>
      </c>
      <c r="C1149" s="48" t="s">
        <v>689</v>
      </c>
      <c r="D1149" s="48">
        <f>DATE(YEAR(OneWeekMtgRatesDataTable756[[#This Row],[asofdate]]),MONTH(OneWeekMtgRatesDataTable756[[#This Row],[asofdate]]),DAY(OneWeekMtgRatesDataTable756[[#This Row],[asofdate]]))</f>
        <v>40912</v>
      </c>
      <c r="E1149" s="48" t="s">
        <v>11</v>
      </c>
      <c r="F1149" s="55">
        <v>0.29530000000000001</v>
      </c>
    </row>
    <row r="1150" spans="2:6">
      <c r="B1150" s="48" t="s">
        <v>20</v>
      </c>
      <c r="C1150" s="48" t="s">
        <v>688</v>
      </c>
      <c r="D1150" s="48">
        <f>DATE(YEAR(OneWeekMtgRatesDataTable756[[#This Row],[asofdate]]),MONTH(OneWeekMtgRatesDataTable756[[#This Row],[asofdate]]),DAY(OneWeekMtgRatesDataTable756[[#This Row],[asofdate]]))</f>
        <v>40911</v>
      </c>
      <c r="E1150" s="48" t="s">
        <v>11</v>
      </c>
      <c r="F1150" s="55">
        <v>0.29530000000000001</v>
      </c>
    </row>
    <row r="1151" spans="2:6">
      <c r="B1151" s="48" t="s">
        <v>20</v>
      </c>
      <c r="C1151" s="48" t="s">
        <v>687</v>
      </c>
      <c r="D1151" s="48">
        <f>DATE(YEAR(OneWeekMtgRatesDataTable756[[#This Row],[asofdate]]),MONTH(OneWeekMtgRatesDataTable756[[#This Row],[asofdate]]),DAY(OneWeekMtgRatesDataTable756[[#This Row],[asofdate]]))</f>
        <v>40907</v>
      </c>
      <c r="E1151" s="48" t="s">
        <v>11</v>
      </c>
      <c r="F1151" s="55">
        <v>0.29530000000000001</v>
      </c>
    </row>
    <row r="1152" spans="2:6">
      <c r="B1152" s="48" t="s">
        <v>20</v>
      </c>
      <c r="C1152" s="48" t="s">
        <v>686</v>
      </c>
      <c r="D1152" s="48">
        <f>DATE(YEAR(OneWeekMtgRatesDataTable756[[#This Row],[asofdate]]),MONTH(OneWeekMtgRatesDataTable756[[#This Row],[asofdate]]),DAY(OneWeekMtgRatesDataTable756[[#This Row],[asofdate]]))</f>
        <v>40906</v>
      </c>
      <c r="E1152" s="48" t="s">
        <v>11</v>
      </c>
      <c r="F1152" s="55">
        <v>0.29530000000000001</v>
      </c>
    </row>
    <row r="1153" spans="2:6">
      <c r="B1153" s="48" t="s">
        <v>20</v>
      </c>
      <c r="C1153" s="48" t="s">
        <v>685</v>
      </c>
      <c r="D1153" s="48">
        <f>DATE(YEAR(OneWeekMtgRatesDataTable756[[#This Row],[asofdate]]),MONTH(OneWeekMtgRatesDataTable756[[#This Row],[asofdate]]),DAY(OneWeekMtgRatesDataTable756[[#This Row],[asofdate]]))</f>
        <v>40905</v>
      </c>
      <c r="E1153" s="48" t="s">
        <v>11</v>
      </c>
      <c r="F1153" s="55">
        <v>0.29630000000000001</v>
      </c>
    </row>
    <row r="1154" spans="2:6">
      <c r="B1154" s="48" t="s">
        <v>20</v>
      </c>
      <c r="C1154" s="48" t="s">
        <v>684</v>
      </c>
      <c r="D1154" s="48">
        <f>DATE(YEAR(OneWeekMtgRatesDataTable756[[#This Row],[asofdate]]),MONTH(OneWeekMtgRatesDataTable756[[#This Row],[asofdate]]),DAY(OneWeekMtgRatesDataTable756[[#This Row],[asofdate]]))</f>
        <v>40904</v>
      </c>
      <c r="E1154" s="48" t="s">
        <v>11</v>
      </c>
      <c r="F1154" s="55">
        <v>0.29394999999999999</v>
      </c>
    </row>
    <row r="1155" spans="2:6">
      <c r="B1155" s="48" t="s">
        <v>20</v>
      </c>
      <c r="C1155" s="48" t="s">
        <v>683</v>
      </c>
      <c r="D1155" s="48">
        <f>DATE(YEAR(OneWeekMtgRatesDataTable756[[#This Row],[asofdate]]),MONTH(OneWeekMtgRatesDataTable756[[#This Row],[asofdate]]),DAY(OneWeekMtgRatesDataTable756[[#This Row],[asofdate]]))</f>
        <v>40900</v>
      </c>
      <c r="E1155" s="48" t="s">
        <v>11</v>
      </c>
      <c r="F1155" s="55">
        <v>0.29394999999999999</v>
      </c>
    </row>
    <row r="1156" spans="2:6">
      <c r="B1156" s="48" t="s">
        <v>20</v>
      </c>
      <c r="C1156" s="48" t="s">
        <v>682</v>
      </c>
      <c r="D1156" s="48">
        <f>DATE(YEAR(OneWeekMtgRatesDataTable756[[#This Row],[asofdate]]),MONTH(OneWeekMtgRatesDataTable756[[#This Row],[asofdate]]),DAY(OneWeekMtgRatesDataTable756[[#This Row],[asofdate]]))</f>
        <v>40899</v>
      </c>
      <c r="E1156" s="48" t="s">
        <v>11</v>
      </c>
      <c r="F1156" s="55">
        <v>0.29360000000000003</v>
      </c>
    </row>
    <row r="1157" spans="2:6">
      <c r="B1157" s="48" t="s">
        <v>20</v>
      </c>
      <c r="C1157" s="48" t="s">
        <v>681</v>
      </c>
      <c r="D1157" s="48">
        <f>DATE(YEAR(OneWeekMtgRatesDataTable756[[#This Row],[asofdate]]),MONTH(OneWeekMtgRatesDataTable756[[#This Row],[asofdate]]),DAY(OneWeekMtgRatesDataTable756[[#This Row],[asofdate]]))</f>
        <v>40898</v>
      </c>
      <c r="E1157" s="48" t="s">
        <v>11</v>
      </c>
      <c r="F1157" s="55">
        <v>0.29185</v>
      </c>
    </row>
    <row r="1158" spans="2:6">
      <c r="B1158" s="48" t="s">
        <v>20</v>
      </c>
      <c r="C1158" s="48" t="s">
        <v>680</v>
      </c>
      <c r="D1158" s="48">
        <f>DATE(YEAR(OneWeekMtgRatesDataTable756[[#This Row],[asofdate]]),MONTH(OneWeekMtgRatesDataTable756[[#This Row],[asofdate]]),DAY(OneWeekMtgRatesDataTable756[[#This Row],[asofdate]]))</f>
        <v>40897</v>
      </c>
      <c r="E1158" s="48" t="s">
        <v>11</v>
      </c>
      <c r="F1158" s="55">
        <v>0.29060000000000002</v>
      </c>
    </row>
    <row r="1159" spans="2:6">
      <c r="B1159" s="48" t="s">
        <v>20</v>
      </c>
      <c r="C1159" s="48" t="s">
        <v>679</v>
      </c>
      <c r="D1159" s="48">
        <f>DATE(YEAR(OneWeekMtgRatesDataTable756[[#This Row],[asofdate]]),MONTH(OneWeekMtgRatesDataTable756[[#This Row],[asofdate]]),DAY(OneWeekMtgRatesDataTable756[[#This Row],[asofdate]]))</f>
        <v>40896</v>
      </c>
      <c r="E1159" s="48" t="s">
        <v>11</v>
      </c>
      <c r="F1159" s="55">
        <v>0.28734999999999999</v>
      </c>
    </row>
    <row r="1160" spans="2:6">
      <c r="B1160" s="48" t="s">
        <v>20</v>
      </c>
      <c r="C1160" s="48" t="s">
        <v>678</v>
      </c>
      <c r="D1160" s="48">
        <f>DATE(YEAR(OneWeekMtgRatesDataTable756[[#This Row],[asofdate]]),MONTH(OneWeekMtgRatesDataTable756[[#This Row],[asofdate]]),DAY(OneWeekMtgRatesDataTable756[[#This Row],[asofdate]]))</f>
        <v>40893</v>
      </c>
      <c r="E1160" s="48" t="s">
        <v>11</v>
      </c>
      <c r="F1160" s="55">
        <v>0.28484999999999999</v>
      </c>
    </row>
    <row r="1161" spans="2:6">
      <c r="B1161" s="48" t="s">
        <v>20</v>
      </c>
      <c r="C1161" s="48" t="s">
        <v>677</v>
      </c>
      <c r="D1161" s="48">
        <f>DATE(YEAR(OneWeekMtgRatesDataTable756[[#This Row],[asofdate]]),MONTH(OneWeekMtgRatesDataTable756[[#This Row],[asofdate]]),DAY(OneWeekMtgRatesDataTable756[[#This Row],[asofdate]]))</f>
        <v>40892</v>
      </c>
      <c r="E1161" s="48" t="s">
        <v>11</v>
      </c>
      <c r="F1161" s="55">
        <v>0.28460000000000002</v>
      </c>
    </row>
    <row r="1162" spans="2:6">
      <c r="B1162" s="48" t="s">
        <v>20</v>
      </c>
      <c r="C1162" s="48" t="s">
        <v>676</v>
      </c>
      <c r="D1162" s="48">
        <f>DATE(YEAR(OneWeekMtgRatesDataTable756[[#This Row],[asofdate]]),MONTH(OneWeekMtgRatesDataTable756[[#This Row],[asofdate]]),DAY(OneWeekMtgRatesDataTable756[[#This Row],[asofdate]]))</f>
        <v>40891</v>
      </c>
      <c r="E1162" s="48" t="s">
        <v>11</v>
      </c>
      <c r="F1162" s="55">
        <v>0.28255000000000002</v>
      </c>
    </row>
    <row r="1163" spans="2:6">
      <c r="B1163" s="48" t="s">
        <v>20</v>
      </c>
      <c r="C1163" s="48" t="s">
        <v>675</v>
      </c>
      <c r="D1163" s="48">
        <f>DATE(YEAR(OneWeekMtgRatesDataTable756[[#This Row],[asofdate]]),MONTH(OneWeekMtgRatesDataTable756[[#This Row],[asofdate]]),DAY(OneWeekMtgRatesDataTable756[[#This Row],[asofdate]]))</f>
        <v>40890</v>
      </c>
      <c r="E1163" s="48" t="s">
        <v>11</v>
      </c>
      <c r="F1163" s="55">
        <v>0.27829999999999999</v>
      </c>
    </row>
    <row r="1164" spans="2:6">
      <c r="B1164" s="48" t="s">
        <v>20</v>
      </c>
      <c r="C1164" s="48" t="s">
        <v>674</v>
      </c>
      <c r="D1164" s="48">
        <f>DATE(YEAR(OneWeekMtgRatesDataTable756[[#This Row],[asofdate]]),MONTH(OneWeekMtgRatesDataTable756[[#This Row],[asofdate]]),DAY(OneWeekMtgRatesDataTable756[[#This Row],[asofdate]]))</f>
        <v>40889</v>
      </c>
      <c r="E1164" s="48" t="s">
        <v>11</v>
      </c>
      <c r="F1164" s="55">
        <v>0.27755000000000002</v>
      </c>
    </row>
    <row r="1165" spans="2:6">
      <c r="B1165" s="48" t="s">
        <v>20</v>
      </c>
      <c r="C1165" s="48" t="s">
        <v>673</v>
      </c>
      <c r="D1165" s="48">
        <f>DATE(YEAR(OneWeekMtgRatesDataTable756[[#This Row],[asofdate]]),MONTH(OneWeekMtgRatesDataTable756[[#This Row],[asofdate]]),DAY(OneWeekMtgRatesDataTable756[[#This Row],[asofdate]]))</f>
        <v>40886</v>
      </c>
      <c r="E1165" s="48" t="s">
        <v>11</v>
      </c>
      <c r="F1165" s="55">
        <v>0.27655000000000002</v>
      </c>
    </row>
    <row r="1166" spans="2:6">
      <c r="B1166" s="48" t="s">
        <v>20</v>
      </c>
      <c r="C1166" s="48" t="s">
        <v>672</v>
      </c>
      <c r="D1166" s="48">
        <f>DATE(YEAR(OneWeekMtgRatesDataTable756[[#This Row],[asofdate]]),MONTH(OneWeekMtgRatesDataTable756[[#This Row],[asofdate]]),DAY(OneWeekMtgRatesDataTable756[[#This Row],[asofdate]]))</f>
        <v>40885</v>
      </c>
      <c r="E1166" s="48" t="s">
        <v>11</v>
      </c>
      <c r="F1166" s="55">
        <v>0.27629999999999999</v>
      </c>
    </row>
    <row r="1167" spans="2:6">
      <c r="B1167" s="48" t="s">
        <v>20</v>
      </c>
      <c r="C1167" s="48" t="s">
        <v>671</v>
      </c>
      <c r="D1167" s="48">
        <f>DATE(YEAR(OneWeekMtgRatesDataTable756[[#This Row],[asofdate]]),MONTH(OneWeekMtgRatesDataTable756[[#This Row],[asofdate]]),DAY(OneWeekMtgRatesDataTable756[[#This Row],[asofdate]]))</f>
        <v>40884</v>
      </c>
      <c r="E1167" s="48" t="s">
        <v>11</v>
      </c>
      <c r="F1167" s="55">
        <v>0.27629999999999999</v>
      </c>
    </row>
    <row r="1168" spans="2:6">
      <c r="B1168" s="48" t="s">
        <v>20</v>
      </c>
      <c r="C1168" s="48" t="s">
        <v>670</v>
      </c>
      <c r="D1168" s="48">
        <f>DATE(YEAR(OneWeekMtgRatesDataTable756[[#This Row],[asofdate]]),MONTH(OneWeekMtgRatesDataTable756[[#This Row],[asofdate]]),DAY(OneWeekMtgRatesDataTable756[[#This Row],[asofdate]]))</f>
        <v>40883</v>
      </c>
      <c r="E1168" s="48" t="s">
        <v>11</v>
      </c>
      <c r="F1168" s="55">
        <v>0.27505000000000002</v>
      </c>
    </row>
    <row r="1169" spans="2:6">
      <c r="B1169" s="48" t="s">
        <v>20</v>
      </c>
      <c r="C1169" s="48" t="s">
        <v>669</v>
      </c>
      <c r="D1169" s="48">
        <f>DATE(YEAR(OneWeekMtgRatesDataTable756[[#This Row],[asofdate]]),MONTH(OneWeekMtgRatesDataTable756[[#This Row],[asofdate]]),DAY(OneWeekMtgRatesDataTable756[[#This Row],[asofdate]]))</f>
        <v>40882</v>
      </c>
      <c r="E1169" s="48" t="s">
        <v>11</v>
      </c>
      <c r="F1169" s="55">
        <v>0.27410000000000001</v>
      </c>
    </row>
    <row r="1170" spans="2:6">
      <c r="B1170" s="48" t="s">
        <v>20</v>
      </c>
      <c r="C1170" s="48" t="s">
        <v>668</v>
      </c>
      <c r="D1170" s="48">
        <f>DATE(YEAR(OneWeekMtgRatesDataTable756[[#This Row],[asofdate]]),MONTH(OneWeekMtgRatesDataTable756[[#This Row],[asofdate]]),DAY(OneWeekMtgRatesDataTable756[[#This Row],[asofdate]]))</f>
        <v>40879</v>
      </c>
      <c r="E1170" s="48" t="s">
        <v>11</v>
      </c>
      <c r="F1170" s="55">
        <v>0.27033000000000001</v>
      </c>
    </row>
    <row r="1171" spans="2:6">
      <c r="B1171" s="48" t="s">
        <v>20</v>
      </c>
      <c r="C1171" s="48" t="s">
        <v>667</v>
      </c>
      <c r="D1171" s="48">
        <f>DATE(YEAR(OneWeekMtgRatesDataTable756[[#This Row],[asofdate]]),MONTH(OneWeekMtgRatesDataTable756[[#This Row],[asofdate]]),DAY(OneWeekMtgRatesDataTable756[[#This Row],[asofdate]]))</f>
        <v>40878</v>
      </c>
      <c r="E1171" s="48" t="s">
        <v>11</v>
      </c>
      <c r="F1171" s="55">
        <v>0.27144000000000001</v>
      </c>
    </row>
    <row r="1172" spans="2:6">
      <c r="B1172" s="48" t="s">
        <v>20</v>
      </c>
      <c r="C1172" s="48" t="s">
        <v>666</v>
      </c>
      <c r="D1172" s="48">
        <f>DATE(YEAR(OneWeekMtgRatesDataTable756[[#This Row],[asofdate]]),MONTH(OneWeekMtgRatesDataTable756[[#This Row],[asofdate]]),DAY(OneWeekMtgRatesDataTable756[[#This Row],[asofdate]]))</f>
        <v>40877</v>
      </c>
      <c r="E1172" s="48" t="s">
        <v>11</v>
      </c>
      <c r="F1172" s="55">
        <v>0.27144000000000001</v>
      </c>
    </row>
    <row r="1173" spans="2:6">
      <c r="B1173" s="48" t="s">
        <v>20</v>
      </c>
      <c r="C1173" s="48" t="s">
        <v>665</v>
      </c>
      <c r="D1173" s="48">
        <f>DATE(YEAR(OneWeekMtgRatesDataTable756[[#This Row],[asofdate]]),MONTH(OneWeekMtgRatesDataTable756[[#This Row],[asofdate]]),DAY(OneWeekMtgRatesDataTable756[[#This Row],[asofdate]]))</f>
        <v>40876</v>
      </c>
      <c r="E1173" s="48" t="s">
        <v>11</v>
      </c>
      <c r="F1173" s="55">
        <v>0.27022000000000002</v>
      </c>
    </row>
    <row r="1174" spans="2:6">
      <c r="B1174" s="48" t="s">
        <v>20</v>
      </c>
      <c r="C1174" s="48" t="s">
        <v>664</v>
      </c>
      <c r="D1174" s="48">
        <f>DATE(YEAR(OneWeekMtgRatesDataTable756[[#This Row],[asofdate]]),MONTH(OneWeekMtgRatesDataTable756[[#This Row],[asofdate]]),DAY(OneWeekMtgRatesDataTable756[[#This Row],[asofdate]]))</f>
        <v>40875</v>
      </c>
      <c r="E1174" s="48" t="s">
        <v>11</v>
      </c>
      <c r="F1174" s="55">
        <v>0.26</v>
      </c>
    </row>
    <row r="1175" spans="2:6">
      <c r="B1175" s="48" t="s">
        <v>20</v>
      </c>
      <c r="C1175" s="48" t="s">
        <v>663</v>
      </c>
      <c r="D1175" s="48">
        <f>DATE(YEAR(OneWeekMtgRatesDataTable756[[#This Row],[asofdate]]),MONTH(OneWeekMtgRatesDataTable756[[#This Row],[asofdate]]),DAY(OneWeekMtgRatesDataTable756[[#This Row],[asofdate]]))</f>
        <v>40872</v>
      </c>
      <c r="E1175" s="48" t="s">
        <v>11</v>
      </c>
      <c r="F1175" s="55">
        <v>0.25944</v>
      </c>
    </row>
    <row r="1176" spans="2:6">
      <c r="B1176" s="48" t="s">
        <v>20</v>
      </c>
      <c r="C1176" s="48" t="s">
        <v>662</v>
      </c>
      <c r="D1176" s="48">
        <f>DATE(YEAR(OneWeekMtgRatesDataTable756[[#This Row],[asofdate]]),MONTH(OneWeekMtgRatesDataTable756[[#This Row],[asofdate]]),DAY(OneWeekMtgRatesDataTable756[[#This Row],[asofdate]]))</f>
        <v>40870</v>
      </c>
      <c r="E1176" s="48" t="s">
        <v>11</v>
      </c>
      <c r="F1176" s="55">
        <v>0.25722</v>
      </c>
    </row>
    <row r="1177" spans="2:6">
      <c r="B1177" s="48" t="s">
        <v>20</v>
      </c>
      <c r="C1177" s="48" t="s">
        <v>661</v>
      </c>
      <c r="D1177" s="48">
        <f>DATE(YEAR(OneWeekMtgRatesDataTable756[[#This Row],[asofdate]]),MONTH(OneWeekMtgRatesDataTable756[[#This Row],[asofdate]]),DAY(OneWeekMtgRatesDataTable756[[#This Row],[asofdate]]))</f>
        <v>40869</v>
      </c>
      <c r="E1177" s="48" t="s">
        <v>11</v>
      </c>
      <c r="F1177" s="55">
        <v>0.25722</v>
      </c>
    </row>
    <row r="1178" spans="2:6">
      <c r="B1178" s="48" t="s">
        <v>20</v>
      </c>
      <c r="C1178" s="48" t="s">
        <v>660</v>
      </c>
      <c r="D1178" s="48">
        <f>DATE(YEAR(OneWeekMtgRatesDataTable756[[#This Row],[asofdate]]),MONTH(OneWeekMtgRatesDataTable756[[#This Row],[asofdate]]),DAY(OneWeekMtgRatesDataTable756[[#This Row],[asofdate]]))</f>
        <v>40868</v>
      </c>
      <c r="E1178" s="48" t="s">
        <v>11</v>
      </c>
      <c r="F1178" s="55">
        <v>0.25667000000000001</v>
      </c>
    </row>
    <row r="1179" spans="2:6">
      <c r="B1179" s="48" t="s">
        <v>20</v>
      </c>
      <c r="C1179" s="48" t="s">
        <v>659</v>
      </c>
      <c r="D1179" s="48">
        <f>DATE(YEAR(OneWeekMtgRatesDataTable756[[#This Row],[asofdate]]),MONTH(OneWeekMtgRatesDataTable756[[#This Row],[asofdate]]),DAY(OneWeekMtgRatesDataTable756[[#This Row],[asofdate]]))</f>
        <v>40865</v>
      </c>
      <c r="E1179" s="48" t="s">
        <v>11</v>
      </c>
      <c r="F1179" s="55">
        <v>0.25656000000000001</v>
      </c>
    </row>
    <row r="1180" spans="2:6">
      <c r="B1180" s="48" t="s">
        <v>20</v>
      </c>
      <c r="C1180" s="48" t="s">
        <v>658</v>
      </c>
      <c r="D1180" s="48">
        <f>DATE(YEAR(OneWeekMtgRatesDataTable756[[#This Row],[asofdate]]),MONTH(OneWeekMtgRatesDataTable756[[#This Row],[asofdate]]),DAY(OneWeekMtgRatesDataTable756[[#This Row],[asofdate]]))</f>
        <v>40864</v>
      </c>
      <c r="E1180" s="48" t="s">
        <v>11</v>
      </c>
      <c r="F1180" s="55">
        <v>0.25478000000000001</v>
      </c>
    </row>
    <row r="1181" spans="2:6">
      <c r="B1181" s="48" t="s">
        <v>20</v>
      </c>
      <c r="C1181" s="48" t="s">
        <v>657</v>
      </c>
      <c r="D1181" s="48">
        <f>DATE(YEAR(OneWeekMtgRatesDataTable756[[#This Row],[asofdate]]),MONTH(OneWeekMtgRatesDataTable756[[#This Row],[asofdate]]),DAY(OneWeekMtgRatesDataTable756[[#This Row],[asofdate]]))</f>
        <v>40863</v>
      </c>
      <c r="E1181" s="48" t="s">
        <v>11</v>
      </c>
      <c r="F1181" s="55">
        <v>0.25172</v>
      </c>
    </row>
    <row r="1182" spans="2:6">
      <c r="B1182" s="48" t="s">
        <v>20</v>
      </c>
      <c r="C1182" s="48" t="s">
        <v>656</v>
      </c>
      <c r="D1182" s="48">
        <f>DATE(YEAR(OneWeekMtgRatesDataTable756[[#This Row],[asofdate]]),MONTH(OneWeekMtgRatesDataTable756[[#This Row],[asofdate]]),DAY(OneWeekMtgRatesDataTable756[[#This Row],[asofdate]]))</f>
        <v>40862</v>
      </c>
      <c r="E1182" s="48" t="s">
        <v>11</v>
      </c>
      <c r="F1182" s="55">
        <v>0.25172</v>
      </c>
    </row>
    <row r="1183" spans="2:6">
      <c r="B1183" s="48" t="s">
        <v>20</v>
      </c>
      <c r="C1183" s="48" t="s">
        <v>655</v>
      </c>
      <c r="D1183" s="48">
        <f>DATE(YEAR(OneWeekMtgRatesDataTable756[[#This Row],[asofdate]]),MONTH(OneWeekMtgRatesDataTable756[[#This Row],[asofdate]]),DAY(OneWeekMtgRatesDataTable756[[#This Row],[asofdate]]))</f>
        <v>40861</v>
      </c>
      <c r="E1183" s="48" t="s">
        <v>11</v>
      </c>
      <c r="F1183" s="55">
        <v>0.25022</v>
      </c>
    </row>
    <row r="1184" spans="2:6">
      <c r="B1184" s="48" t="s">
        <v>20</v>
      </c>
      <c r="C1184" s="48" t="s">
        <v>654</v>
      </c>
      <c r="D1184" s="48">
        <f>DATE(YEAR(OneWeekMtgRatesDataTable756[[#This Row],[asofdate]]),MONTH(OneWeekMtgRatesDataTable756[[#This Row],[asofdate]]),DAY(OneWeekMtgRatesDataTable756[[#This Row],[asofdate]]))</f>
        <v>40857</v>
      </c>
      <c r="E1184" s="48" t="s">
        <v>11</v>
      </c>
      <c r="F1184" s="55">
        <v>0.24789</v>
      </c>
    </row>
    <row r="1185" spans="2:6">
      <c r="B1185" s="48" t="s">
        <v>20</v>
      </c>
      <c r="C1185" s="48" t="s">
        <v>653</v>
      </c>
      <c r="D1185" s="48">
        <f>DATE(YEAR(OneWeekMtgRatesDataTable756[[#This Row],[asofdate]]),MONTH(OneWeekMtgRatesDataTable756[[#This Row],[asofdate]]),DAY(OneWeekMtgRatesDataTable756[[#This Row],[asofdate]]))</f>
        <v>40856</v>
      </c>
      <c r="E1185" s="48" t="s">
        <v>11</v>
      </c>
      <c r="F1185" s="55">
        <v>0.24778</v>
      </c>
    </row>
    <row r="1186" spans="2:6">
      <c r="B1186" s="48" t="s">
        <v>20</v>
      </c>
      <c r="C1186" s="48" t="s">
        <v>652</v>
      </c>
      <c r="D1186" s="48">
        <f>DATE(YEAR(OneWeekMtgRatesDataTable756[[#This Row],[asofdate]]),MONTH(OneWeekMtgRatesDataTable756[[#This Row],[asofdate]]),DAY(OneWeekMtgRatesDataTable756[[#This Row],[asofdate]]))</f>
        <v>40855</v>
      </c>
      <c r="E1186" s="48" t="s">
        <v>11</v>
      </c>
      <c r="F1186" s="55">
        <v>0.24778</v>
      </c>
    </row>
    <row r="1187" spans="2:6">
      <c r="B1187" s="48" t="s">
        <v>20</v>
      </c>
      <c r="C1187" s="48" t="s">
        <v>651</v>
      </c>
      <c r="D1187" s="48">
        <f>DATE(YEAR(OneWeekMtgRatesDataTable756[[#This Row],[asofdate]]),MONTH(OneWeekMtgRatesDataTable756[[#This Row],[asofdate]]),DAY(OneWeekMtgRatesDataTable756[[#This Row],[asofdate]]))</f>
        <v>40854</v>
      </c>
      <c r="E1187" s="48" t="s">
        <v>11</v>
      </c>
      <c r="F1187" s="55">
        <v>0.24778</v>
      </c>
    </row>
    <row r="1188" spans="2:6">
      <c r="B1188" s="48" t="s">
        <v>20</v>
      </c>
      <c r="C1188" s="48" t="s">
        <v>650</v>
      </c>
      <c r="D1188" s="48">
        <f>DATE(YEAR(OneWeekMtgRatesDataTable756[[#This Row],[asofdate]]),MONTH(OneWeekMtgRatesDataTable756[[#This Row],[asofdate]]),DAY(OneWeekMtgRatesDataTable756[[#This Row],[asofdate]]))</f>
        <v>40851</v>
      </c>
      <c r="E1188" s="48" t="s">
        <v>11</v>
      </c>
      <c r="F1188" s="55">
        <v>0.2475</v>
      </c>
    </row>
    <row r="1189" spans="2:6">
      <c r="B1189" s="48" t="s">
        <v>20</v>
      </c>
      <c r="C1189" s="48" t="s">
        <v>649</v>
      </c>
      <c r="D1189" s="48">
        <f>DATE(YEAR(OneWeekMtgRatesDataTable756[[#This Row],[asofdate]]),MONTH(OneWeekMtgRatesDataTable756[[#This Row],[asofdate]]),DAY(OneWeekMtgRatesDataTable756[[#This Row],[asofdate]]))</f>
        <v>40850</v>
      </c>
      <c r="E1189" s="48" t="s">
        <v>11</v>
      </c>
      <c r="F1189" s="55">
        <v>0.2475</v>
      </c>
    </row>
    <row r="1190" spans="2:6">
      <c r="B1190" s="48" t="s">
        <v>20</v>
      </c>
      <c r="C1190" s="48" t="s">
        <v>648</v>
      </c>
      <c r="D1190" s="48">
        <f>DATE(YEAR(OneWeekMtgRatesDataTable756[[#This Row],[asofdate]]),MONTH(OneWeekMtgRatesDataTable756[[#This Row],[asofdate]]),DAY(OneWeekMtgRatesDataTable756[[#This Row],[asofdate]]))</f>
        <v>40849</v>
      </c>
      <c r="E1190" s="48" t="s">
        <v>11</v>
      </c>
      <c r="F1190" s="55">
        <v>0.24528</v>
      </c>
    </row>
    <row r="1191" spans="2:6">
      <c r="B1191" s="48" t="s">
        <v>20</v>
      </c>
      <c r="C1191" s="48" t="s">
        <v>647</v>
      </c>
      <c r="D1191" s="48">
        <f>DATE(YEAR(OneWeekMtgRatesDataTable756[[#This Row],[asofdate]]),MONTH(OneWeekMtgRatesDataTable756[[#This Row],[asofdate]]),DAY(OneWeekMtgRatesDataTable756[[#This Row],[asofdate]]))</f>
        <v>40848</v>
      </c>
      <c r="E1191" s="48" t="s">
        <v>11</v>
      </c>
      <c r="F1191" s="55">
        <v>0.24528</v>
      </c>
    </row>
    <row r="1192" spans="2:6">
      <c r="B1192" s="48" t="s">
        <v>20</v>
      </c>
      <c r="C1192" s="48" t="s">
        <v>646</v>
      </c>
      <c r="D1192" s="48">
        <f>DATE(YEAR(OneWeekMtgRatesDataTable756[[#This Row],[asofdate]]),MONTH(OneWeekMtgRatesDataTable756[[#This Row],[asofdate]]),DAY(OneWeekMtgRatesDataTable756[[#This Row],[asofdate]]))</f>
        <v>40847</v>
      </c>
      <c r="E1192" s="48" t="s">
        <v>11</v>
      </c>
      <c r="F1192" s="55">
        <v>0.24528</v>
      </c>
    </row>
    <row r="1193" spans="2:6">
      <c r="B1193" s="48" t="s">
        <v>20</v>
      </c>
      <c r="C1193" s="48" t="s">
        <v>645</v>
      </c>
      <c r="D1193" s="48">
        <f>DATE(YEAR(OneWeekMtgRatesDataTable756[[#This Row],[asofdate]]),MONTH(OneWeekMtgRatesDataTable756[[#This Row],[asofdate]]),DAY(OneWeekMtgRatesDataTable756[[#This Row],[asofdate]]))</f>
        <v>40844</v>
      </c>
      <c r="E1193" s="48" t="s">
        <v>11</v>
      </c>
      <c r="F1193" s="55">
        <v>0.24582999999999999</v>
      </c>
    </row>
    <row r="1194" spans="2:6">
      <c r="B1194" s="48" t="s">
        <v>20</v>
      </c>
      <c r="C1194" s="48" t="s">
        <v>644</v>
      </c>
      <c r="D1194" s="48">
        <f>DATE(YEAR(OneWeekMtgRatesDataTable756[[#This Row],[asofdate]]),MONTH(OneWeekMtgRatesDataTable756[[#This Row],[asofdate]]),DAY(OneWeekMtgRatesDataTable756[[#This Row],[asofdate]]))</f>
        <v>40843</v>
      </c>
      <c r="E1194" s="48" t="s">
        <v>11</v>
      </c>
      <c r="F1194" s="55">
        <v>0.24582999999999999</v>
      </c>
    </row>
    <row r="1195" spans="2:6">
      <c r="B1195" s="48" t="s">
        <v>20</v>
      </c>
      <c r="C1195" s="48" t="s">
        <v>643</v>
      </c>
      <c r="D1195" s="48">
        <f>DATE(YEAR(OneWeekMtgRatesDataTable756[[#This Row],[asofdate]]),MONTH(OneWeekMtgRatesDataTable756[[#This Row],[asofdate]]),DAY(OneWeekMtgRatesDataTable756[[#This Row],[asofdate]]))</f>
        <v>40842</v>
      </c>
      <c r="E1195" s="48" t="s">
        <v>11</v>
      </c>
      <c r="F1195" s="55">
        <v>0.24582999999999999</v>
      </c>
    </row>
    <row r="1196" spans="2:6">
      <c r="B1196" s="48" t="s">
        <v>20</v>
      </c>
      <c r="C1196" s="48" t="s">
        <v>642</v>
      </c>
      <c r="D1196" s="48">
        <f>DATE(YEAR(OneWeekMtgRatesDataTable756[[#This Row],[asofdate]]),MONTH(OneWeekMtgRatesDataTable756[[#This Row],[asofdate]]),DAY(OneWeekMtgRatesDataTable756[[#This Row],[asofdate]]))</f>
        <v>40841</v>
      </c>
      <c r="E1196" s="48" t="s">
        <v>11</v>
      </c>
      <c r="F1196" s="55">
        <v>0.24471999999999999</v>
      </c>
    </row>
    <row r="1197" spans="2:6">
      <c r="B1197" s="48" t="s">
        <v>20</v>
      </c>
      <c r="C1197" s="48" t="s">
        <v>641</v>
      </c>
      <c r="D1197" s="48">
        <f>DATE(YEAR(OneWeekMtgRatesDataTable756[[#This Row],[asofdate]]),MONTH(OneWeekMtgRatesDataTable756[[#This Row],[asofdate]]),DAY(OneWeekMtgRatesDataTable756[[#This Row],[asofdate]]))</f>
        <v>40840</v>
      </c>
      <c r="E1197" s="48" t="s">
        <v>11</v>
      </c>
      <c r="F1197" s="55">
        <v>0.24471999999999999</v>
      </c>
    </row>
    <row r="1198" spans="2:6">
      <c r="B1198" s="48" t="s">
        <v>20</v>
      </c>
      <c r="C1198" s="48" t="s">
        <v>640</v>
      </c>
      <c r="D1198" s="48">
        <f>DATE(YEAR(OneWeekMtgRatesDataTable756[[#This Row],[asofdate]]),MONTH(OneWeekMtgRatesDataTable756[[#This Row],[asofdate]]),DAY(OneWeekMtgRatesDataTable756[[#This Row],[asofdate]]))</f>
        <v>40837</v>
      </c>
      <c r="E1198" s="48" t="s">
        <v>11</v>
      </c>
      <c r="F1198" s="55">
        <v>0.24471999999999999</v>
      </c>
    </row>
    <row r="1199" spans="2:6">
      <c r="B1199" s="48" t="s">
        <v>20</v>
      </c>
      <c r="C1199" s="48" t="s">
        <v>639</v>
      </c>
      <c r="D1199" s="48">
        <f>DATE(YEAR(OneWeekMtgRatesDataTable756[[#This Row],[asofdate]]),MONTH(OneWeekMtgRatesDataTable756[[#This Row],[asofdate]]),DAY(OneWeekMtgRatesDataTable756[[#This Row],[asofdate]]))</f>
        <v>40836</v>
      </c>
      <c r="E1199" s="48" t="s">
        <v>11</v>
      </c>
      <c r="F1199" s="55">
        <v>0.24471999999999999</v>
      </c>
    </row>
    <row r="1200" spans="2:6">
      <c r="B1200" s="48" t="s">
        <v>20</v>
      </c>
      <c r="C1200" s="48" t="s">
        <v>638</v>
      </c>
      <c r="D1200" s="48">
        <f>DATE(YEAR(OneWeekMtgRatesDataTable756[[#This Row],[asofdate]]),MONTH(OneWeekMtgRatesDataTable756[[#This Row],[asofdate]]),DAY(OneWeekMtgRatesDataTable756[[#This Row],[asofdate]]))</f>
        <v>40835</v>
      </c>
      <c r="E1200" s="48" t="s">
        <v>11</v>
      </c>
      <c r="F1200" s="55">
        <v>0.24471999999999999</v>
      </c>
    </row>
    <row r="1201" spans="2:6">
      <c r="B1201" s="48" t="s">
        <v>20</v>
      </c>
      <c r="C1201" s="48" t="s">
        <v>637</v>
      </c>
      <c r="D1201" s="48">
        <f>DATE(YEAR(OneWeekMtgRatesDataTable756[[#This Row],[asofdate]]),MONTH(OneWeekMtgRatesDataTable756[[#This Row],[asofdate]]),DAY(OneWeekMtgRatesDataTable756[[#This Row],[asofdate]]))</f>
        <v>40834</v>
      </c>
      <c r="E1201" s="48" t="s">
        <v>11</v>
      </c>
      <c r="F1201" s="55">
        <v>0.24471999999999999</v>
      </c>
    </row>
    <row r="1202" spans="2:6">
      <c r="B1202" s="48" t="s">
        <v>20</v>
      </c>
      <c r="C1202" s="48" t="s">
        <v>636</v>
      </c>
      <c r="D1202" s="48">
        <f>DATE(YEAR(OneWeekMtgRatesDataTable756[[#This Row],[asofdate]]),MONTH(OneWeekMtgRatesDataTable756[[#This Row],[asofdate]]),DAY(OneWeekMtgRatesDataTable756[[#This Row],[asofdate]]))</f>
        <v>40833</v>
      </c>
      <c r="E1202" s="48" t="s">
        <v>11</v>
      </c>
      <c r="F1202" s="55">
        <v>0.24443999999999999</v>
      </c>
    </row>
    <row r="1203" spans="2:6">
      <c r="B1203" s="48" t="s">
        <v>20</v>
      </c>
      <c r="C1203" s="48" t="s">
        <v>635</v>
      </c>
      <c r="D1203" s="48">
        <f>DATE(YEAR(OneWeekMtgRatesDataTable756[[#This Row],[asofdate]]),MONTH(OneWeekMtgRatesDataTable756[[#This Row],[asofdate]]),DAY(OneWeekMtgRatesDataTable756[[#This Row],[asofdate]]))</f>
        <v>40830</v>
      </c>
      <c r="E1203" s="48" t="s">
        <v>11</v>
      </c>
      <c r="F1203" s="55">
        <v>0.24332999999999999</v>
      </c>
    </row>
    <row r="1204" spans="2:6">
      <c r="B1204" s="48" t="s">
        <v>20</v>
      </c>
      <c r="C1204" s="48" t="s">
        <v>634</v>
      </c>
      <c r="D1204" s="48">
        <f>DATE(YEAR(OneWeekMtgRatesDataTable756[[#This Row],[asofdate]]),MONTH(OneWeekMtgRatesDataTable756[[#This Row],[asofdate]]),DAY(OneWeekMtgRatesDataTable756[[#This Row],[asofdate]]))</f>
        <v>40829</v>
      </c>
      <c r="E1204" s="48" t="s">
        <v>11</v>
      </c>
      <c r="F1204" s="55">
        <v>0.24332999999999999</v>
      </c>
    </row>
    <row r="1205" spans="2:6">
      <c r="B1205" s="48" t="s">
        <v>20</v>
      </c>
      <c r="C1205" s="48" t="s">
        <v>633</v>
      </c>
      <c r="D1205" s="48">
        <f>DATE(YEAR(OneWeekMtgRatesDataTable756[[#This Row],[asofdate]]),MONTH(OneWeekMtgRatesDataTable756[[#This Row],[asofdate]]),DAY(OneWeekMtgRatesDataTable756[[#This Row],[asofdate]]))</f>
        <v>40828</v>
      </c>
      <c r="E1205" s="48" t="s">
        <v>11</v>
      </c>
      <c r="F1205" s="55">
        <v>0.24321999999999999</v>
      </c>
    </row>
    <row r="1206" spans="2:6">
      <c r="B1206" s="48" t="s">
        <v>20</v>
      </c>
      <c r="C1206" s="48" t="s">
        <v>632</v>
      </c>
      <c r="D1206" s="48">
        <f>DATE(YEAR(OneWeekMtgRatesDataTable756[[#This Row],[asofdate]]),MONTH(OneWeekMtgRatesDataTable756[[#This Row],[asofdate]]),DAY(OneWeekMtgRatesDataTable756[[#This Row],[asofdate]]))</f>
        <v>40827</v>
      </c>
      <c r="E1206" s="48" t="s">
        <v>11</v>
      </c>
      <c r="F1206" s="55">
        <v>0.24310999999999999</v>
      </c>
    </row>
    <row r="1207" spans="2:6">
      <c r="B1207" s="48" t="s">
        <v>20</v>
      </c>
      <c r="C1207" s="48" t="s">
        <v>631</v>
      </c>
      <c r="D1207" s="48">
        <f>DATE(YEAR(OneWeekMtgRatesDataTable756[[#This Row],[asofdate]]),MONTH(OneWeekMtgRatesDataTable756[[#This Row],[asofdate]]),DAY(OneWeekMtgRatesDataTable756[[#This Row],[asofdate]]))</f>
        <v>40823</v>
      </c>
      <c r="E1207" s="48" t="s">
        <v>11</v>
      </c>
      <c r="F1207" s="55">
        <v>0.24288999999999999</v>
      </c>
    </row>
    <row r="1208" spans="2:6">
      <c r="B1208" s="48" t="s">
        <v>20</v>
      </c>
      <c r="C1208" s="48" t="s">
        <v>630</v>
      </c>
      <c r="D1208" s="48">
        <f>DATE(YEAR(OneWeekMtgRatesDataTable756[[#This Row],[asofdate]]),MONTH(OneWeekMtgRatesDataTable756[[#This Row],[asofdate]]),DAY(OneWeekMtgRatesDataTable756[[#This Row],[asofdate]]))</f>
        <v>40822</v>
      </c>
      <c r="E1208" s="48" t="s">
        <v>11</v>
      </c>
      <c r="F1208" s="55">
        <v>0.24232999999999999</v>
      </c>
    </row>
    <row r="1209" spans="2:6">
      <c r="B1209" s="48" t="s">
        <v>20</v>
      </c>
      <c r="C1209" s="48" t="s">
        <v>629</v>
      </c>
      <c r="D1209" s="48">
        <f>DATE(YEAR(OneWeekMtgRatesDataTable756[[#This Row],[asofdate]]),MONTH(OneWeekMtgRatesDataTable756[[#This Row],[asofdate]]),DAY(OneWeekMtgRatesDataTable756[[#This Row],[asofdate]]))</f>
        <v>40821</v>
      </c>
      <c r="E1209" s="48" t="s">
        <v>11</v>
      </c>
      <c r="F1209" s="55">
        <v>0.24067</v>
      </c>
    </row>
    <row r="1210" spans="2:6">
      <c r="B1210" s="48" t="s">
        <v>20</v>
      </c>
      <c r="C1210" s="48" t="s">
        <v>628</v>
      </c>
      <c r="D1210" s="48">
        <f>DATE(YEAR(OneWeekMtgRatesDataTable756[[#This Row],[asofdate]]),MONTH(OneWeekMtgRatesDataTable756[[#This Row],[asofdate]]),DAY(OneWeekMtgRatesDataTable756[[#This Row],[asofdate]]))</f>
        <v>40820</v>
      </c>
      <c r="E1210" s="48" t="s">
        <v>11</v>
      </c>
      <c r="F1210" s="55">
        <v>0.24110999999999999</v>
      </c>
    </row>
    <row r="1211" spans="2:6">
      <c r="B1211" s="48" t="s">
        <v>20</v>
      </c>
      <c r="C1211" s="48" t="s">
        <v>627</v>
      </c>
      <c r="D1211" s="48">
        <f>DATE(YEAR(OneWeekMtgRatesDataTable756[[#This Row],[asofdate]]),MONTH(OneWeekMtgRatesDataTable756[[#This Row],[asofdate]]),DAY(OneWeekMtgRatesDataTable756[[#This Row],[asofdate]]))</f>
        <v>40819</v>
      </c>
      <c r="E1211" s="48" t="s">
        <v>11</v>
      </c>
      <c r="F1211" s="55">
        <v>0.24</v>
      </c>
    </row>
    <row r="1212" spans="2:6">
      <c r="B1212" s="48" t="s">
        <v>20</v>
      </c>
      <c r="C1212" s="48" t="s">
        <v>626</v>
      </c>
      <c r="D1212" s="48">
        <f>DATE(YEAR(OneWeekMtgRatesDataTable756[[#This Row],[asofdate]]),MONTH(OneWeekMtgRatesDataTable756[[#This Row],[asofdate]]),DAY(OneWeekMtgRatesDataTable756[[#This Row],[asofdate]]))</f>
        <v>40816</v>
      </c>
      <c r="E1212" s="48" t="s">
        <v>11</v>
      </c>
      <c r="F1212" s="55">
        <v>0.23943999999999999</v>
      </c>
    </row>
    <row r="1213" spans="2:6">
      <c r="B1213" s="48" t="s">
        <v>20</v>
      </c>
      <c r="C1213" s="48" t="s">
        <v>625</v>
      </c>
      <c r="D1213" s="48">
        <f>DATE(YEAR(OneWeekMtgRatesDataTable756[[#This Row],[asofdate]]),MONTH(OneWeekMtgRatesDataTable756[[#This Row],[asofdate]]),DAY(OneWeekMtgRatesDataTable756[[#This Row],[asofdate]]))</f>
        <v>40815</v>
      </c>
      <c r="E1213" s="48" t="s">
        <v>11</v>
      </c>
      <c r="F1213" s="55">
        <v>0.23943999999999999</v>
      </c>
    </row>
    <row r="1214" spans="2:6">
      <c r="B1214" s="48" t="s">
        <v>20</v>
      </c>
      <c r="C1214" s="48" t="s">
        <v>624</v>
      </c>
      <c r="D1214" s="48">
        <f>DATE(YEAR(OneWeekMtgRatesDataTable756[[#This Row],[asofdate]]),MONTH(OneWeekMtgRatesDataTable756[[#This Row],[asofdate]]),DAY(OneWeekMtgRatesDataTable756[[#This Row],[asofdate]]))</f>
        <v>40814</v>
      </c>
      <c r="E1214" s="48" t="s">
        <v>11</v>
      </c>
      <c r="F1214" s="55">
        <v>0.23888999999999999</v>
      </c>
    </row>
    <row r="1215" spans="2:6">
      <c r="B1215" s="48" t="s">
        <v>20</v>
      </c>
      <c r="C1215" s="48" t="s">
        <v>623</v>
      </c>
      <c r="D1215" s="48">
        <f>DATE(YEAR(OneWeekMtgRatesDataTable756[[#This Row],[asofdate]]),MONTH(OneWeekMtgRatesDataTable756[[#This Row],[asofdate]]),DAY(OneWeekMtgRatesDataTable756[[#This Row],[asofdate]]))</f>
        <v>40813</v>
      </c>
      <c r="E1215" s="48" t="s">
        <v>11</v>
      </c>
      <c r="F1215" s="55">
        <v>0.23877999999999999</v>
      </c>
    </row>
    <row r="1216" spans="2:6">
      <c r="B1216" s="48" t="s">
        <v>20</v>
      </c>
      <c r="C1216" s="48" t="s">
        <v>622</v>
      </c>
      <c r="D1216" s="48">
        <f>DATE(YEAR(OneWeekMtgRatesDataTable756[[#This Row],[asofdate]]),MONTH(OneWeekMtgRatesDataTable756[[#This Row],[asofdate]]),DAY(OneWeekMtgRatesDataTable756[[#This Row],[asofdate]]))</f>
        <v>40812</v>
      </c>
      <c r="E1216" s="48" t="s">
        <v>11</v>
      </c>
      <c r="F1216" s="55">
        <v>0.23744000000000001</v>
      </c>
    </row>
    <row r="1217" spans="2:6">
      <c r="B1217" s="48" t="s">
        <v>20</v>
      </c>
      <c r="C1217" s="48" t="s">
        <v>621</v>
      </c>
      <c r="D1217" s="48">
        <f>DATE(YEAR(OneWeekMtgRatesDataTable756[[#This Row],[asofdate]]),MONTH(OneWeekMtgRatesDataTable756[[#This Row],[asofdate]]),DAY(OneWeekMtgRatesDataTable756[[#This Row],[asofdate]]))</f>
        <v>40809</v>
      </c>
      <c r="E1217" s="48" t="s">
        <v>11</v>
      </c>
      <c r="F1217" s="55">
        <v>0.23577999999999999</v>
      </c>
    </row>
    <row r="1218" spans="2:6">
      <c r="B1218" s="48" t="s">
        <v>20</v>
      </c>
      <c r="C1218" s="48" t="s">
        <v>620</v>
      </c>
      <c r="D1218" s="48">
        <f>DATE(YEAR(OneWeekMtgRatesDataTable756[[#This Row],[asofdate]]),MONTH(OneWeekMtgRatesDataTable756[[#This Row],[asofdate]]),DAY(OneWeekMtgRatesDataTable756[[#This Row],[asofdate]]))</f>
        <v>40808</v>
      </c>
      <c r="E1218" s="48" t="s">
        <v>11</v>
      </c>
      <c r="F1218" s="55">
        <v>0.23455999999999999</v>
      </c>
    </row>
    <row r="1219" spans="2:6">
      <c r="B1219" s="48" t="s">
        <v>20</v>
      </c>
      <c r="C1219" s="48" t="s">
        <v>619</v>
      </c>
      <c r="D1219" s="48">
        <f>DATE(YEAR(OneWeekMtgRatesDataTable756[[#This Row],[asofdate]]),MONTH(OneWeekMtgRatesDataTable756[[#This Row],[asofdate]]),DAY(OneWeekMtgRatesDataTable756[[#This Row],[asofdate]]))</f>
        <v>40807</v>
      </c>
      <c r="E1219" s="48" t="s">
        <v>11</v>
      </c>
      <c r="F1219" s="55">
        <v>0.23350000000000001</v>
      </c>
    </row>
    <row r="1220" spans="2:6">
      <c r="B1220" s="48" t="s">
        <v>20</v>
      </c>
      <c r="C1220" s="48" t="s">
        <v>618</v>
      </c>
      <c r="D1220" s="48">
        <f>DATE(YEAR(OneWeekMtgRatesDataTable756[[#This Row],[asofdate]]),MONTH(OneWeekMtgRatesDataTable756[[#This Row],[asofdate]]),DAY(OneWeekMtgRatesDataTable756[[#This Row],[asofdate]]))</f>
        <v>40806</v>
      </c>
      <c r="E1220" s="48" t="s">
        <v>11</v>
      </c>
      <c r="F1220" s="55">
        <v>0.23183000000000001</v>
      </c>
    </row>
    <row r="1221" spans="2:6">
      <c r="B1221" s="48" t="s">
        <v>20</v>
      </c>
      <c r="C1221" s="48" t="s">
        <v>617</v>
      </c>
      <c r="D1221" s="48">
        <f>DATE(YEAR(OneWeekMtgRatesDataTable756[[#This Row],[asofdate]]),MONTH(OneWeekMtgRatesDataTable756[[#This Row],[asofdate]]),DAY(OneWeekMtgRatesDataTable756[[#This Row],[asofdate]]))</f>
        <v>40805</v>
      </c>
      <c r="E1221" s="48" t="s">
        <v>11</v>
      </c>
      <c r="F1221" s="55">
        <v>0.23072000000000001</v>
      </c>
    </row>
    <row r="1222" spans="2:6">
      <c r="B1222" s="48" t="s">
        <v>20</v>
      </c>
      <c r="C1222" s="48" t="s">
        <v>616</v>
      </c>
      <c r="D1222" s="48">
        <f>DATE(YEAR(OneWeekMtgRatesDataTable756[[#This Row],[asofdate]]),MONTH(OneWeekMtgRatesDataTable756[[#This Row],[asofdate]]),DAY(OneWeekMtgRatesDataTable756[[#This Row],[asofdate]]))</f>
        <v>40802</v>
      </c>
      <c r="E1222" s="48" t="s">
        <v>11</v>
      </c>
      <c r="F1222" s="55">
        <v>0.23050000000000001</v>
      </c>
    </row>
    <row r="1223" spans="2:6">
      <c r="B1223" s="48" t="s">
        <v>20</v>
      </c>
      <c r="C1223" s="48" t="s">
        <v>615</v>
      </c>
      <c r="D1223" s="48">
        <f>DATE(YEAR(OneWeekMtgRatesDataTable756[[#This Row],[asofdate]]),MONTH(OneWeekMtgRatesDataTable756[[#This Row],[asofdate]]),DAY(OneWeekMtgRatesDataTable756[[#This Row],[asofdate]]))</f>
        <v>40801</v>
      </c>
      <c r="E1223" s="48" t="s">
        <v>11</v>
      </c>
      <c r="F1223" s="55">
        <v>0.22994000000000001</v>
      </c>
    </row>
    <row r="1224" spans="2:6">
      <c r="B1224" s="48" t="s">
        <v>20</v>
      </c>
      <c r="C1224" s="48" t="s">
        <v>614</v>
      </c>
      <c r="D1224" s="48">
        <f>DATE(YEAR(OneWeekMtgRatesDataTable756[[#This Row],[asofdate]]),MONTH(OneWeekMtgRatesDataTable756[[#This Row],[asofdate]]),DAY(OneWeekMtgRatesDataTable756[[#This Row],[asofdate]]))</f>
        <v>40800</v>
      </c>
      <c r="E1224" s="48" t="s">
        <v>11</v>
      </c>
      <c r="F1224" s="55">
        <v>0.22939000000000001</v>
      </c>
    </row>
    <row r="1225" spans="2:6">
      <c r="B1225" s="48" t="s">
        <v>20</v>
      </c>
      <c r="C1225" s="48" t="s">
        <v>613</v>
      </c>
      <c r="D1225" s="48">
        <f>DATE(YEAR(OneWeekMtgRatesDataTable756[[#This Row],[asofdate]]),MONTH(OneWeekMtgRatesDataTable756[[#This Row],[asofdate]]),DAY(OneWeekMtgRatesDataTable756[[#This Row],[asofdate]]))</f>
        <v>40799</v>
      </c>
      <c r="E1225" s="48" t="s">
        <v>11</v>
      </c>
      <c r="F1225" s="55">
        <v>0.22900000000000001</v>
      </c>
    </row>
    <row r="1226" spans="2:6">
      <c r="B1226" s="48" t="s">
        <v>20</v>
      </c>
      <c r="C1226" s="48" t="s">
        <v>612</v>
      </c>
      <c r="D1226" s="48">
        <f>DATE(YEAR(OneWeekMtgRatesDataTable756[[#This Row],[asofdate]]),MONTH(OneWeekMtgRatesDataTable756[[#This Row],[asofdate]]),DAY(OneWeekMtgRatesDataTable756[[#This Row],[asofdate]]))</f>
        <v>40798</v>
      </c>
      <c r="E1226" s="48" t="s">
        <v>11</v>
      </c>
      <c r="F1226" s="55">
        <v>0.22861000000000001</v>
      </c>
    </row>
    <row r="1227" spans="2:6">
      <c r="B1227" s="48" t="s">
        <v>20</v>
      </c>
      <c r="C1227" s="48" t="s">
        <v>611</v>
      </c>
      <c r="D1227" s="48">
        <f>DATE(YEAR(OneWeekMtgRatesDataTable756[[#This Row],[asofdate]]),MONTH(OneWeekMtgRatesDataTable756[[#This Row],[asofdate]]),DAY(OneWeekMtgRatesDataTable756[[#This Row],[asofdate]]))</f>
        <v>40795</v>
      </c>
      <c r="E1227" s="48" t="s">
        <v>11</v>
      </c>
      <c r="F1227" s="55">
        <v>0.22611000000000001</v>
      </c>
    </row>
    <row r="1228" spans="2:6">
      <c r="B1228" s="48" t="s">
        <v>20</v>
      </c>
      <c r="C1228" s="48" t="s">
        <v>610</v>
      </c>
      <c r="D1228" s="48">
        <f>DATE(YEAR(OneWeekMtgRatesDataTable756[[#This Row],[asofdate]]),MONTH(OneWeekMtgRatesDataTable756[[#This Row],[asofdate]]),DAY(OneWeekMtgRatesDataTable756[[#This Row],[asofdate]]))</f>
        <v>40794</v>
      </c>
      <c r="E1228" s="48" t="s">
        <v>11</v>
      </c>
      <c r="F1228" s="55">
        <v>0.22500000000000001</v>
      </c>
    </row>
    <row r="1229" spans="2:6">
      <c r="B1229" s="48" t="s">
        <v>20</v>
      </c>
      <c r="C1229" s="48" t="s">
        <v>609</v>
      </c>
      <c r="D1229" s="48">
        <f>DATE(YEAR(OneWeekMtgRatesDataTable756[[#This Row],[asofdate]]),MONTH(OneWeekMtgRatesDataTable756[[#This Row],[asofdate]]),DAY(OneWeekMtgRatesDataTable756[[#This Row],[asofdate]]))</f>
        <v>40793</v>
      </c>
      <c r="E1229" s="48" t="s">
        <v>11</v>
      </c>
      <c r="F1229" s="55">
        <v>0.22611000000000001</v>
      </c>
    </row>
    <row r="1230" spans="2:6">
      <c r="B1230" s="48" t="s">
        <v>20</v>
      </c>
      <c r="C1230" s="48" t="s">
        <v>608</v>
      </c>
      <c r="D1230" s="48">
        <f>DATE(YEAR(OneWeekMtgRatesDataTable756[[#This Row],[asofdate]]),MONTH(OneWeekMtgRatesDataTable756[[#This Row],[asofdate]]),DAY(OneWeekMtgRatesDataTable756[[#This Row],[asofdate]]))</f>
        <v>40792</v>
      </c>
      <c r="E1230" s="48" t="s">
        <v>11</v>
      </c>
      <c r="F1230" s="55">
        <v>0.22600000000000001</v>
      </c>
    </row>
    <row r="1231" spans="2:6">
      <c r="B1231" s="48" t="s">
        <v>20</v>
      </c>
      <c r="C1231" s="48" t="s">
        <v>607</v>
      </c>
      <c r="D1231" s="48">
        <f>DATE(YEAR(OneWeekMtgRatesDataTable756[[#This Row],[asofdate]]),MONTH(OneWeekMtgRatesDataTable756[[#This Row],[asofdate]]),DAY(OneWeekMtgRatesDataTable756[[#This Row],[asofdate]]))</f>
        <v>40788</v>
      </c>
      <c r="E1231" s="48" t="s">
        <v>11</v>
      </c>
      <c r="F1231" s="55">
        <v>0.22178</v>
      </c>
    </row>
    <row r="1232" spans="2:6">
      <c r="B1232" s="48" t="s">
        <v>20</v>
      </c>
      <c r="C1232" s="48" t="s">
        <v>606</v>
      </c>
      <c r="D1232" s="48">
        <f>DATE(YEAR(OneWeekMtgRatesDataTable756[[#This Row],[asofdate]]),MONTH(OneWeekMtgRatesDataTable756[[#This Row],[asofdate]]),DAY(OneWeekMtgRatesDataTable756[[#This Row],[asofdate]]))</f>
        <v>40787</v>
      </c>
      <c r="E1232" s="48" t="s">
        <v>11</v>
      </c>
      <c r="F1232" s="55">
        <v>0.2215</v>
      </c>
    </row>
    <row r="1233" spans="2:6">
      <c r="B1233" s="48" t="s">
        <v>20</v>
      </c>
      <c r="C1233" s="48" t="s">
        <v>605</v>
      </c>
      <c r="D1233" s="48">
        <f>DATE(YEAR(OneWeekMtgRatesDataTable756[[#This Row],[asofdate]]),MONTH(OneWeekMtgRatesDataTable756[[#This Row],[asofdate]]),DAY(OneWeekMtgRatesDataTable756[[#This Row],[asofdate]]))</f>
        <v>40786</v>
      </c>
      <c r="E1233" s="48" t="s">
        <v>11</v>
      </c>
      <c r="F1233" s="55">
        <v>0.2215</v>
      </c>
    </row>
    <row r="1234" spans="2:6">
      <c r="B1234" s="48" t="s">
        <v>20</v>
      </c>
      <c r="C1234" s="48" t="s">
        <v>604</v>
      </c>
      <c r="D1234" s="48">
        <f>DATE(YEAR(OneWeekMtgRatesDataTable756[[#This Row],[asofdate]]),MONTH(OneWeekMtgRatesDataTable756[[#This Row],[asofdate]]),DAY(OneWeekMtgRatesDataTable756[[#This Row],[asofdate]]))</f>
        <v>40785</v>
      </c>
      <c r="E1234" s="48" t="s">
        <v>11</v>
      </c>
      <c r="F1234" s="55">
        <v>0.2215</v>
      </c>
    </row>
    <row r="1235" spans="2:6">
      <c r="B1235" s="48" t="s">
        <v>20</v>
      </c>
      <c r="C1235" s="48" t="s">
        <v>603</v>
      </c>
      <c r="D1235" s="48">
        <f>DATE(YEAR(OneWeekMtgRatesDataTable756[[#This Row],[asofdate]]),MONTH(OneWeekMtgRatesDataTable756[[#This Row],[asofdate]]),DAY(OneWeekMtgRatesDataTable756[[#This Row],[asofdate]]))</f>
        <v>40784</v>
      </c>
      <c r="E1235" s="48" t="s">
        <v>11</v>
      </c>
      <c r="F1235" s="55">
        <v>0.22094</v>
      </c>
    </row>
    <row r="1236" spans="2:6">
      <c r="B1236" s="48" t="s">
        <v>20</v>
      </c>
      <c r="C1236" s="48" t="s">
        <v>602</v>
      </c>
      <c r="D1236" s="48">
        <f>DATE(YEAR(OneWeekMtgRatesDataTable756[[#This Row],[asofdate]]),MONTH(OneWeekMtgRatesDataTable756[[#This Row],[asofdate]]),DAY(OneWeekMtgRatesDataTable756[[#This Row],[asofdate]]))</f>
        <v>40781</v>
      </c>
      <c r="E1236" s="48" t="s">
        <v>11</v>
      </c>
      <c r="F1236" s="55">
        <v>0.22094</v>
      </c>
    </row>
    <row r="1237" spans="2:6">
      <c r="B1237" s="48" t="s">
        <v>20</v>
      </c>
      <c r="C1237" s="48" t="s">
        <v>601</v>
      </c>
      <c r="D1237" s="48">
        <f>DATE(YEAR(OneWeekMtgRatesDataTable756[[#This Row],[asofdate]]),MONTH(OneWeekMtgRatesDataTable756[[#This Row],[asofdate]]),DAY(OneWeekMtgRatesDataTable756[[#This Row],[asofdate]]))</f>
        <v>40780</v>
      </c>
      <c r="E1237" s="48" t="s">
        <v>11</v>
      </c>
      <c r="F1237" s="55">
        <v>0.22083</v>
      </c>
    </row>
    <row r="1238" spans="2:6">
      <c r="B1238" s="48" t="s">
        <v>20</v>
      </c>
      <c r="C1238" s="48" t="s">
        <v>600</v>
      </c>
      <c r="D1238" s="48">
        <f>DATE(YEAR(OneWeekMtgRatesDataTable756[[#This Row],[asofdate]]),MONTH(OneWeekMtgRatesDataTable756[[#This Row],[asofdate]]),DAY(OneWeekMtgRatesDataTable756[[#This Row],[asofdate]]))</f>
        <v>40779</v>
      </c>
      <c r="E1238" s="48" t="s">
        <v>11</v>
      </c>
      <c r="F1238" s="55">
        <v>0.21894</v>
      </c>
    </row>
    <row r="1239" spans="2:6">
      <c r="B1239" s="48" t="s">
        <v>20</v>
      </c>
      <c r="C1239" s="48" t="s">
        <v>599</v>
      </c>
      <c r="D1239" s="48">
        <f>DATE(YEAR(OneWeekMtgRatesDataTable756[[#This Row],[asofdate]]),MONTH(OneWeekMtgRatesDataTable756[[#This Row],[asofdate]]),DAY(OneWeekMtgRatesDataTable756[[#This Row],[asofdate]]))</f>
        <v>40778</v>
      </c>
      <c r="E1239" s="48" t="s">
        <v>11</v>
      </c>
      <c r="F1239" s="55">
        <v>0.21839</v>
      </c>
    </row>
    <row r="1240" spans="2:6">
      <c r="B1240" s="48" t="s">
        <v>20</v>
      </c>
      <c r="C1240" s="48" t="s">
        <v>598</v>
      </c>
      <c r="D1240" s="48">
        <f>DATE(YEAR(OneWeekMtgRatesDataTable756[[#This Row],[asofdate]]),MONTH(OneWeekMtgRatesDataTable756[[#This Row],[asofdate]]),DAY(OneWeekMtgRatesDataTable756[[#This Row],[asofdate]]))</f>
        <v>40777</v>
      </c>
      <c r="E1240" s="48" t="s">
        <v>11</v>
      </c>
      <c r="F1240" s="55">
        <v>0.21678</v>
      </c>
    </row>
    <row r="1241" spans="2:6">
      <c r="B1241" s="48" t="s">
        <v>20</v>
      </c>
      <c r="C1241" s="48" t="s">
        <v>597</v>
      </c>
      <c r="D1241" s="48">
        <f>DATE(YEAR(OneWeekMtgRatesDataTable756[[#This Row],[asofdate]]),MONTH(OneWeekMtgRatesDataTable756[[#This Row],[asofdate]]),DAY(OneWeekMtgRatesDataTable756[[#This Row],[asofdate]]))</f>
        <v>40774</v>
      </c>
      <c r="E1241" s="48" t="s">
        <v>11</v>
      </c>
      <c r="F1241" s="55">
        <v>0.21543999999999999</v>
      </c>
    </row>
    <row r="1242" spans="2:6">
      <c r="B1242" s="48" t="s">
        <v>20</v>
      </c>
      <c r="C1242" s="48" t="s">
        <v>596</v>
      </c>
      <c r="D1242" s="48">
        <f>DATE(YEAR(OneWeekMtgRatesDataTable756[[#This Row],[asofdate]]),MONTH(OneWeekMtgRatesDataTable756[[#This Row],[asofdate]]),DAY(OneWeekMtgRatesDataTable756[[#This Row],[asofdate]]))</f>
        <v>40773</v>
      </c>
      <c r="E1242" s="48" t="s">
        <v>11</v>
      </c>
      <c r="F1242" s="55">
        <v>0.21299999999999999</v>
      </c>
    </row>
    <row r="1243" spans="2:6">
      <c r="B1243" s="48" t="s">
        <v>20</v>
      </c>
      <c r="C1243" s="48" t="s">
        <v>595</v>
      </c>
      <c r="D1243" s="48">
        <f>DATE(YEAR(OneWeekMtgRatesDataTable756[[#This Row],[asofdate]]),MONTH(OneWeekMtgRatesDataTable756[[#This Row],[asofdate]]),DAY(OneWeekMtgRatesDataTable756[[#This Row],[asofdate]]))</f>
        <v>40772</v>
      </c>
      <c r="E1243" s="48" t="s">
        <v>11</v>
      </c>
      <c r="F1243" s="55">
        <v>0.21243999999999999</v>
      </c>
    </row>
    <row r="1244" spans="2:6">
      <c r="B1244" s="48" t="s">
        <v>20</v>
      </c>
      <c r="C1244" s="48" t="s">
        <v>594</v>
      </c>
      <c r="D1244" s="48">
        <f>DATE(YEAR(OneWeekMtgRatesDataTable756[[#This Row],[asofdate]]),MONTH(OneWeekMtgRatesDataTable756[[#This Row],[asofdate]]),DAY(OneWeekMtgRatesDataTable756[[#This Row],[asofdate]]))</f>
        <v>40771</v>
      </c>
      <c r="E1244" s="48" t="s">
        <v>11</v>
      </c>
      <c r="F1244" s="55">
        <v>0.21021999999999999</v>
      </c>
    </row>
    <row r="1245" spans="2:6">
      <c r="B1245" s="48" t="s">
        <v>20</v>
      </c>
      <c r="C1245" s="48" t="s">
        <v>593</v>
      </c>
      <c r="D1245" s="48">
        <f>DATE(YEAR(OneWeekMtgRatesDataTable756[[#This Row],[asofdate]]),MONTH(OneWeekMtgRatesDataTable756[[#This Row],[asofdate]]),DAY(OneWeekMtgRatesDataTable756[[#This Row],[asofdate]]))</f>
        <v>40770</v>
      </c>
      <c r="E1245" s="48" t="s">
        <v>11</v>
      </c>
      <c r="F1245" s="55">
        <v>0.21021999999999999</v>
      </c>
    </row>
    <row r="1246" spans="2:6">
      <c r="B1246" s="48" t="s">
        <v>20</v>
      </c>
      <c r="C1246" s="48" t="s">
        <v>592</v>
      </c>
      <c r="D1246" s="48">
        <f>DATE(YEAR(OneWeekMtgRatesDataTable756[[#This Row],[asofdate]]),MONTH(OneWeekMtgRatesDataTable756[[#This Row],[asofdate]]),DAY(OneWeekMtgRatesDataTable756[[#This Row],[asofdate]]))</f>
        <v>40767</v>
      </c>
      <c r="E1246" s="48" t="s">
        <v>11</v>
      </c>
      <c r="F1246" s="55">
        <v>0.20832999999999999</v>
      </c>
    </row>
    <row r="1247" spans="2:6">
      <c r="B1247" s="48" t="s">
        <v>20</v>
      </c>
      <c r="C1247" s="48" t="s">
        <v>591</v>
      </c>
      <c r="D1247" s="48">
        <f>DATE(YEAR(OneWeekMtgRatesDataTable756[[#This Row],[asofdate]]),MONTH(OneWeekMtgRatesDataTable756[[#This Row],[asofdate]]),DAY(OneWeekMtgRatesDataTable756[[#This Row],[asofdate]]))</f>
        <v>40766</v>
      </c>
      <c r="E1247" s="48" t="s">
        <v>11</v>
      </c>
      <c r="F1247" s="55">
        <v>0.20721999999999999</v>
      </c>
    </row>
    <row r="1248" spans="2:6">
      <c r="B1248" s="48" t="s">
        <v>20</v>
      </c>
      <c r="C1248" s="48" t="s">
        <v>590</v>
      </c>
      <c r="D1248" s="48">
        <f>DATE(YEAR(OneWeekMtgRatesDataTable756[[#This Row],[asofdate]]),MONTH(OneWeekMtgRatesDataTable756[[#This Row],[asofdate]]),DAY(OneWeekMtgRatesDataTable756[[#This Row],[asofdate]]))</f>
        <v>40765</v>
      </c>
      <c r="E1248" s="48" t="s">
        <v>11</v>
      </c>
      <c r="F1248" s="55">
        <v>0.20710999999999999</v>
      </c>
    </row>
    <row r="1249" spans="2:6">
      <c r="B1249" s="48" t="s">
        <v>20</v>
      </c>
      <c r="C1249" s="48" t="s">
        <v>589</v>
      </c>
      <c r="D1249" s="48">
        <f>DATE(YEAR(OneWeekMtgRatesDataTable756[[#This Row],[asofdate]]),MONTH(OneWeekMtgRatesDataTable756[[#This Row],[asofdate]]),DAY(OneWeekMtgRatesDataTable756[[#This Row],[asofdate]]))</f>
        <v>40764</v>
      </c>
      <c r="E1249" s="48" t="s">
        <v>11</v>
      </c>
      <c r="F1249" s="55">
        <v>0.20799999999999999</v>
      </c>
    </row>
    <row r="1250" spans="2:6">
      <c r="B1250" s="48" t="s">
        <v>20</v>
      </c>
      <c r="C1250" s="48" t="s">
        <v>588</v>
      </c>
      <c r="D1250" s="48">
        <f>DATE(YEAR(OneWeekMtgRatesDataTable756[[#This Row],[asofdate]]),MONTH(OneWeekMtgRatesDataTable756[[#This Row],[asofdate]]),DAY(OneWeekMtgRatesDataTable756[[#This Row],[asofdate]]))</f>
        <v>40763</v>
      </c>
      <c r="E1250" s="48" t="s">
        <v>11</v>
      </c>
      <c r="F1250" s="55">
        <v>0.20577999999999999</v>
      </c>
    </row>
    <row r="1251" spans="2:6">
      <c r="B1251" s="48" t="s">
        <v>20</v>
      </c>
      <c r="C1251" s="48" t="s">
        <v>587</v>
      </c>
      <c r="D1251" s="48">
        <f>DATE(YEAR(OneWeekMtgRatesDataTable756[[#This Row],[asofdate]]),MONTH(OneWeekMtgRatesDataTable756[[#This Row],[asofdate]]),DAY(OneWeekMtgRatesDataTable756[[#This Row],[asofdate]]))</f>
        <v>40760</v>
      </c>
      <c r="E1251" s="48" t="s">
        <v>11</v>
      </c>
      <c r="F1251" s="55">
        <v>0.20549999999999999</v>
      </c>
    </row>
    <row r="1252" spans="2:6">
      <c r="B1252" s="48" t="s">
        <v>20</v>
      </c>
      <c r="C1252" s="48" t="s">
        <v>586</v>
      </c>
      <c r="D1252" s="48">
        <f>DATE(YEAR(OneWeekMtgRatesDataTable756[[#This Row],[asofdate]]),MONTH(OneWeekMtgRatesDataTable756[[#This Row],[asofdate]]),DAY(OneWeekMtgRatesDataTable756[[#This Row],[asofdate]]))</f>
        <v>40759</v>
      </c>
      <c r="E1252" s="48" t="s">
        <v>11</v>
      </c>
      <c r="F1252" s="55">
        <v>0.20505999999999999</v>
      </c>
    </row>
    <row r="1253" spans="2:6">
      <c r="B1253" s="48" t="s">
        <v>20</v>
      </c>
      <c r="C1253" s="48" t="s">
        <v>585</v>
      </c>
      <c r="D1253" s="48">
        <f>DATE(YEAR(OneWeekMtgRatesDataTable756[[#This Row],[asofdate]]),MONTH(OneWeekMtgRatesDataTable756[[#This Row],[asofdate]]),DAY(OneWeekMtgRatesDataTable756[[#This Row],[asofdate]]))</f>
        <v>40758</v>
      </c>
      <c r="E1253" s="48" t="s">
        <v>11</v>
      </c>
      <c r="F1253" s="55">
        <v>0.20555999999999999</v>
      </c>
    </row>
    <row r="1254" spans="2:6">
      <c r="B1254" s="48" t="s">
        <v>20</v>
      </c>
      <c r="C1254" s="48" t="s">
        <v>584</v>
      </c>
      <c r="D1254" s="48">
        <f>DATE(YEAR(OneWeekMtgRatesDataTable756[[#This Row],[asofdate]]),MONTH(OneWeekMtgRatesDataTable756[[#This Row],[asofdate]]),DAY(OneWeekMtgRatesDataTable756[[#This Row],[asofdate]]))</f>
        <v>40757</v>
      </c>
      <c r="E1254" s="48" t="s">
        <v>11</v>
      </c>
      <c r="F1254" s="55">
        <v>0.20083000000000001</v>
      </c>
    </row>
    <row r="1255" spans="2:6">
      <c r="B1255" s="48" t="s">
        <v>20</v>
      </c>
      <c r="C1255" s="48" t="s">
        <v>583</v>
      </c>
      <c r="D1255" s="48">
        <f>DATE(YEAR(OneWeekMtgRatesDataTable756[[#This Row],[asofdate]]),MONTH(OneWeekMtgRatesDataTable756[[#This Row],[asofdate]]),DAY(OneWeekMtgRatesDataTable756[[#This Row],[asofdate]]))</f>
        <v>40756</v>
      </c>
      <c r="E1255" s="48" t="s">
        <v>11</v>
      </c>
      <c r="F1255" s="55">
        <v>0.19206000000000001</v>
      </c>
    </row>
    <row r="1256" spans="2:6">
      <c r="B1256" s="48" t="s">
        <v>20</v>
      </c>
      <c r="C1256" s="48" t="s">
        <v>582</v>
      </c>
      <c r="D1256" s="48">
        <f>DATE(YEAR(OneWeekMtgRatesDataTable756[[#This Row],[asofdate]]),MONTH(OneWeekMtgRatesDataTable756[[#This Row],[asofdate]]),DAY(OneWeekMtgRatesDataTable756[[#This Row],[asofdate]]))</f>
        <v>40753</v>
      </c>
      <c r="E1256" s="48" t="s">
        <v>11</v>
      </c>
      <c r="F1256" s="55">
        <v>0.19109999999999999</v>
      </c>
    </row>
    <row r="1257" spans="2:6">
      <c r="B1257" s="48" t="s">
        <v>20</v>
      </c>
      <c r="C1257" s="48" t="s">
        <v>581</v>
      </c>
      <c r="D1257" s="48">
        <f>DATE(YEAR(OneWeekMtgRatesDataTable756[[#This Row],[asofdate]]),MONTH(OneWeekMtgRatesDataTable756[[#This Row],[asofdate]]),DAY(OneWeekMtgRatesDataTable756[[#This Row],[asofdate]]))</f>
        <v>40752</v>
      </c>
      <c r="E1257" s="48" t="s">
        <v>11</v>
      </c>
      <c r="F1257" s="55">
        <v>0.18825</v>
      </c>
    </row>
    <row r="1258" spans="2:6">
      <c r="B1258" s="48" t="s">
        <v>20</v>
      </c>
      <c r="C1258" s="48" t="s">
        <v>580</v>
      </c>
      <c r="D1258" s="48">
        <f>DATE(YEAR(OneWeekMtgRatesDataTable756[[#This Row],[asofdate]]),MONTH(OneWeekMtgRatesDataTable756[[#This Row],[asofdate]]),DAY(OneWeekMtgRatesDataTable756[[#This Row],[asofdate]]))</f>
        <v>40751</v>
      </c>
      <c r="E1258" s="48" t="s">
        <v>11</v>
      </c>
      <c r="F1258" s="55">
        <v>0.18725</v>
      </c>
    </row>
    <row r="1259" spans="2:6">
      <c r="B1259" s="48" t="s">
        <v>20</v>
      </c>
      <c r="C1259" s="48" t="s">
        <v>579</v>
      </c>
      <c r="D1259" s="48">
        <f>DATE(YEAR(OneWeekMtgRatesDataTable756[[#This Row],[asofdate]]),MONTH(OneWeekMtgRatesDataTable756[[#This Row],[asofdate]]),DAY(OneWeekMtgRatesDataTable756[[#This Row],[asofdate]]))</f>
        <v>40750</v>
      </c>
      <c r="E1259" s="48" t="s">
        <v>11</v>
      </c>
      <c r="F1259" s="55">
        <v>0.18725</v>
      </c>
    </row>
    <row r="1260" spans="2:6">
      <c r="B1260" s="48" t="s">
        <v>20</v>
      </c>
      <c r="C1260" s="48" t="s">
        <v>578</v>
      </c>
      <c r="D1260" s="48">
        <f>DATE(YEAR(OneWeekMtgRatesDataTable756[[#This Row],[asofdate]]),MONTH(OneWeekMtgRatesDataTable756[[#This Row],[asofdate]]),DAY(OneWeekMtgRatesDataTable756[[#This Row],[asofdate]]))</f>
        <v>40749</v>
      </c>
      <c r="E1260" s="48" t="s">
        <v>11</v>
      </c>
      <c r="F1260" s="55">
        <v>0.18725</v>
      </c>
    </row>
    <row r="1261" spans="2:6">
      <c r="B1261" s="48" t="s">
        <v>20</v>
      </c>
      <c r="C1261" s="48" t="s">
        <v>577</v>
      </c>
      <c r="D1261" s="48">
        <f>DATE(YEAR(OneWeekMtgRatesDataTable756[[#This Row],[asofdate]]),MONTH(OneWeekMtgRatesDataTable756[[#This Row],[asofdate]]),DAY(OneWeekMtgRatesDataTable756[[#This Row],[asofdate]]))</f>
        <v>40746</v>
      </c>
      <c r="E1261" s="48" t="s">
        <v>11</v>
      </c>
      <c r="F1261" s="55">
        <v>0.18725</v>
      </c>
    </row>
    <row r="1262" spans="2:6">
      <c r="B1262" s="48" t="s">
        <v>20</v>
      </c>
      <c r="C1262" s="48" t="s">
        <v>576</v>
      </c>
      <c r="D1262" s="48">
        <f>DATE(YEAR(OneWeekMtgRatesDataTable756[[#This Row],[asofdate]]),MONTH(OneWeekMtgRatesDataTable756[[#This Row],[asofdate]]),DAY(OneWeekMtgRatesDataTable756[[#This Row],[asofdate]]))</f>
        <v>40745</v>
      </c>
      <c r="E1262" s="48" t="s">
        <v>11</v>
      </c>
      <c r="F1262" s="55">
        <v>0.18725</v>
      </c>
    </row>
    <row r="1263" spans="2:6">
      <c r="B1263" s="48" t="s">
        <v>20</v>
      </c>
      <c r="C1263" s="48" t="s">
        <v>575</v>
      </c>
      <c r="D1263" s="48">
        <f>DATE(YEAR(OneWeekMtgRatesDataTable756[[#This Row],[asofdate]]),MONTH(OneWeekMtgRatesDataTable756[[#This Row],[asofdate]]),DAY(OneWeekMtgRatesDataTable756[[#This Row],[asofdate]]))</f>
        <v>40744</v>
      </c>
      <c r="E1263" s="48" t="s">
        <v>11</v>
      </c>
      <c r="F1263" s="55">
        <v>0.18725</v>
      </c>
    </row>
    <row r="1264" spans="2:6">
      <c r="B1264" s="48" t="s">
        <v>20</v>
      </c>
      <c r="C1264" s="48" t="s">
        <v>574</v>
      </c>
      <c r="D1264" s="48">
        <f>DATE(YEAR(OneWeekMtgRatesDataTable756[[#This Row],[asofdate]]),MONTH(OneWeekMtgRatesDataTable756[[#This Row],[asofdate]]),DAY(OneWeekMtgRatesDataTable756[[#This Row],[asofdate]]))</f>
        <v>40743</v>
      </c>
      <c r="E1264" s="48" t="s">
        <v>11</v>
      </c>
      <c r="F1264" s="55">
        <v>0.18625</v>
      </c>
    </row>
    <row r="1265" spans="2:6">
      <c r="B1265" s="48" t="s">
        <v>20</v>
      </c>
      <c r="C1265" s="48" t="s">
        <v>573</v>
      </c>
      <c r="D1265" s="48">
        <f>DATE(YEAR(OneWeekMtgRatesDataTable756[[#This Row],[asofdate]]),MONTH(OneWeekMtgRatesDataTable756[[#This Row],[asofdate]]),DAY(OneWeekMtgRatesDataTable756[[#This Row],[asofdate]]))</f>
        <v>40742</v>
      </c>
      <c r="E1265" s="48" t="s">
        <v>11</v>
      </c>
      <c r="F1265" s="55">
        <v>0.18625</v>
      </c>
    </row>
    <row r="1266" spans="2:6">
      <c r="B1266" s="48" t="s">
        <v>20</v>
      </c>
      <c r="C1266" s="48" t="s">
        <v>572</v>
      </c>
      <c r="D1266" s="48">
        <f>DATE(YEAR(OneWeekMtgRatesDataTable756[[#This Row],[asofdate]]),MONTH(OneWeekMtgRatesDataTable756[[#This Row],[asofdate]]),DAY(OneWeekMtgRatesDataTable756[[#This Row],[asofdate]]))</f>
        <v>40739</v>
      </c>
      <c r="E1266" s="48" t="s">
        <v>11</v>
      </c>
      <c r="F1266" s="55">
        <v>0.1865</v>
      </c>
    </row>
    <row r="1267" spans="2:6">
      <c r="B1267" s="48" t="s">
        <v>20</v>
      </c>
      <c r="C1267" s="48" t="s">
        <v>571</v>
      </c>
      <c r="D1267" s="48">
        <f>DATE(YEAR(OneWeekMtgRatesDataTable756[[#This Row],[asofdate]]),MONTH(OneWeekMtgRatesDataTable756[[#This Row],[asofdate]]),DAY(OneWeekMtgRatesDataTable756[[#This Row],[asofdate]]))</f>
        <v>40738</v>
      </c>
      <c r="E1267" s="48" t="s">
        <v>11</v>
      </c>
      <c r="F1267" s="55">
        <v>0.1865</v>
      </c>
    </row>
    <row r="1268" spans="2:6">
      <c r="B1268" s="48" t="s">
        <v>20</v>
      </c>
      <c r="C1268" s="48" t="s">
        <v>570</v>
      </c>
      <c r="D1268" s="48">
        <f>DATE(YEAR(OneWeekMtgRatesDataTable756[[#This Row],[asofdate]]),MONTH(OneWeekMtgRatesDataTable756[[#This Row],[asofdate]]),DAY(OneWeekMtgRatesDataTable756[[#This Row],[asofdate]]))</f>
        <v>40737</v>
      </c>
      <c r="E1268" s="48" t="s">
        <v>11</v>
      </c>
      <c r="F1268" s="55">
        <v>0.1865</v>
      </c>
    </row>
    <row r="1269" spans="2:6">
      <c r="B1269" s="48" t="s">
        <v>20</v>
      </c>
      <c r="C1269" s="48" t="s">
        <v>569</v>
      </c>
      <c r="D1269" s="48">
        <f>DATE(YEAR(OneWeekMtgRatesDataTable756[[#This Row],[asofdate]]),MONTH(OneWeekMtgRatesDataTable756[[#This Row],[asofdate]]),DAY(OneWeekMtgRatesDataTable756[[#This Row],[asofdate]]))</f>
        <v>40736</v>
      </c>
      <c r="E1269" s="48" t="s">
        <v>11</v>
      </c>
      <c r="F1269" s="55">
        <v>0.1865</v>
      </c>
    </row>
    <row r="1270" spans="2:6">
      <c r="B1270" s="48" t="s">
        <v>20</v>
      </c>
      <c r="C1270" s="48" t="s">
        <v>568</v>
      </c>
      <c r="D1270" s="48">
        <f>DATE(YEAR(OneWeekMtgRatesDataTable756[[#This Row],[asofdate]]),MONTH(OneWeekMtgRatesDataTable756[[#This Row],[asofdate]]),DAY(OneWeekMtgRatesDataTable756[[#This Row],[asofdate]]))</f>
        <v>40735</v>
      </c>
      <c r="E1270" s="48" t="s">
        <v>11</v>
      </c>
      <c r="F1270" s="55">
        <v>0.18575</v>
      </c>
    </row>
    <row r="1271" spans="2:6">
      <c r="B1271" s="48" t="s">
        <v>20</v>
      </c>
      <c r="C1271" s="48" t="s">
        <v>567</v>
      </c>
      <c r="D1271" s="48">
        <f>DATE(YEAR(OneWeekMtgRatesDataTable756[[#This Row],[asofdate]]),MONTH(OneWeekMtgRatesDataTable756[[#This Row],[asofdate]]),DAY(OneWeekMtgRatesDataTable756[[#This Row],[asofdate]]))</f>
        <v>40732</v>
      </c>
      <c r="E1271" s="48" t="s">
        <v>11</v>
      </c>
      <c r="F1271" s="55">
        <v>0.18575</v>
      </c>
    </row>
    <row r="1272" spans="2:6">
      <c r="B1272" s="48" t="s">
        <v>20</v>
      </c>
      <c r="C1272" s="48" t="s">
        <v>566</v>
      </c>
      <c r="D1272" s="48">
        <f>DATE(YEAR(OneWeekMtgRatesDataTable756[[#This Row],[asofdate]]),MONTH(OneWeekMtgRatesDataTable756[[#This Row],[asofdate]]),DAY(OneWeekMtgRatesDataTable756[[#This Row],[asofdate]]))</f>
        <v>40731</v>
      </c>
      <c r="E1272" s="48" t="s">
        <v>11</v>
      </c>
      <c r="F1272" s="55">
        <v>0.18575</v>
      </c>
    </row>
    <row r="1273" spans="2:6">
      <c r="B1273" s="48" t="s">
        <v>20</v>
      </c>
      <c r="C1273" s="48" t="s">
        <v>565</v>
      </c>
      <c r="D1273" s="48">
        <f>DATE(YEAR(OneWeekMtgRatesDataTable756[[#This Row],[asofdate]]),MONTH(OneWeekMtgRatesDataTable756[[#This Row],[asofdate]]),DAY(OneWeekMtgRatesDataTable756[[#This Row],[asofdate]]))</f>
        <v>40730</v>
      </c>
      <c r="E1273" s="48" t="s">
        <v>11</v>
      </c>
      <c r="F1273" s="55">
        <v>0.18525</v>
      </c>
    </row>
    <row r="1274" spans="2:6">
      <c r="B1274" s="48" t="s">
        <v>20</v>
      </c>
      <c r="C1274" s="48" t="s">
        <v>564</v>
      </c>
      <c r="D1274" s="48">
        <f>DATE(YEAR(OneWeekMtgRatesDataTable756[[#This Row],[asofdate]]),MONTH(OneWeekMtgRatesDataTable756[[#This Row],[asofdate]]),DAY(OneWeekMtgRatesDataTable756[[#This Row],[asofdate]]))</f>
        <v>40729</v>
      </c>
      <c r="E1274" s="48" t="s">
        <v>11</v>
      </c>
      <c r="F1274" s="55">
        <v>0.18504999999999999</v>
      </c>
    </row>
    <row r="1275" spans="2:6">
      <c r="B1275" s="48" t="s">
        <v>20</v>
      </c>
      <c r="C1275" s="48" t="s">
        <v>563</v>
      </c>
      <c r="D1275" s="48">
        <f>DATE(YEAR(OneWeekMtgRatesDataTable756[[#This Row],[asofdate]]),MONTH(OneWeekMtgRatesDataTable756[[#This Row],[asofdate]]),DAY(OneWeekMtgRatesDataTable756[[#This Row],[asofdate]]))</f>
        <v>40725</v>
      </c>
      <c r="E1275" s="48" t="s">
        <v>11</v>
      </c>
      <c r="F1275" s="55">
        <v>0.18504999999999999</v>
      </c>
    </row>
    <row r="1276" spans="2:6">
      <c r="B1276" s="48" t="s">
        <v>20</v>
      </c>
      <c r="C1276" s="48" t="s">
        <v>562</v>
      </c>
      <c r="D1276" s="48">
        <f>DATE(YEAR(OneWeekMtgRatesDataTable756[[#This Row],[asofdate]]),MONTH(OneWeekMtgRatesDataTable756[[#This Row],[asofdate]]),DAY(OneWeekMtgRatesDataTable756[[#This Row],[asofdate]]))</f>
        <v>40724</v>
      </c>
      <c r="E1276" s="48" t="s">
        <v>11</v>
      </c>
      <c r="F1276" s="55">
        <v>0.18554999999999999</v>
      </c>
    </row>
    <row r="1277" spans="2:6">
      <c r="B1277" s="48" t="s">
        <v>20</v>
      </c>
      <c r="C1277" s="48" t="s">
        <v>561</v>
      </c>
      <c r="D1277" s="48">
        <f>DATE(YEAR(OneWeekMtgRatesDataTable756[[#This Row],[asofdate]]),MONTH(OneWeekMtgRatesDataTable756[[#This Row],[asofdate]]),DAY(OneWeekMtgRatesDataTable756[[#This Row],[asofdate]]))</f>
        <v>40723</v>
      </c>
      <c r="E1277" s="48" t="s">
        <v>11</v>
      </c>
      <c r="F1277" s="55">
        <v>0.18554999999999999</v>
      </c>
    </row>
    <row r="1278" spans="2:6">
      <c r="B1278" s="48" t="s">
        <v>20</v>
      </c>
      <c r="C1278" s="48" t="s">
        <v>560</v>
      </c>
      <c r="D1278" s="48">
        <f>DATE(YEAR(OneWeekMtgRatesDataTable756[[#This Row],[asofdate]]),MONTH(OneWeekMtgRatesDataTable756[[#This Row],[asofdate]]),DAY(OneWeekMtgRatesDataTable756[[#This Row],[asofdate]]))</f>
        <v>40722</v>
      </c>
      <c r="E1278" s="48" t="s">
        <v>11</v>
      </c>
      <c r="F1278" s="55">
        <v>0.18554999999999999</v>
      </c>
    </row>
    <row r="1279" spans="2:6">
      <c r="B1279" s="48" t="s">
        <v>20</v>
      </c>
      <c r="C1279" s="48" t="s">
        <v>559</v>
      </c>
      <c r="D1279" s="48">
        <f>DATE(YEAR(OneWeekMtgRatesDataTable756[[#This Row],[asofdate]]),MONTH(OneWeekMtgRatesDataTable756[[#This Row],[asofdate]]),DAY(OneWeekMtgRatesDataTable756[[#This Row],[asofdate]]))</f>
        <v>40721</v>
      </c>
      <c r="E1279" s="48" t="s">
        <v>11</v>
      </c>
      <c r="F1279" s="55">
        <v>0.18554999999999999</v>
      </c>
    </row>
    <row r="1280" spans="2:6">
      <c r="B1280" s="48" t="s">
        <v>20</v>
      </c>
      <c r="C1280" s="48" t="s">
        <v>558</v>
      </c>
      <c r="D1280" s="48">
        <f>DATE(YEAR(OneWeekMtgRatesDataTable756[[#This Row],[asofdate]]),MONTH(OneWeekMtgRatesDataTable756[[#This Row],[asofdate]]),DAY(OneWeekMtgRatesDataTable756[[#This Row],[asofdate]]))</f>
        <v>40718</v>
      </c>
      <c r="E1280" s="48" t="s">
        <v>11</v>
      </c>
      <c r="F1280" s="55">
        <v>0.18554999999999999</v>
      </c>
    </row>
    <row r="1281" spans="2:6">
      <c r="B1281" s="48" t="s">
        <v>20</v>
      </c>
      <c r="C1281" s="48" t="s">
        <v>557</v>
      </c>
      <c r="D1281" s="48">
        <f>DATE(YEAR(OneWeekMtgRatesDataTable756[[#This Row],[asofdate]]),MONTH(OneWeekMtgRatesDataTable756[[#This Row],[asofdate]]),DAY(OneWeekMtgRatesDataTable756[[#This Row],[asofdate]]))</f>
        <v>40717</v>
      </c>
      <c r="E1281" s="48" t="s">
        <v>11</v>
      </c>
      <c r="F1281" s="55">
        <v>0.18579999999999999</v>
      </c>
    </row>
    <row r="1282" spans="2:6">
      <c r="B1282" s="48" t="s">
        <v>20</v>
      </c>
      <c r="C1282" s="48" t="s">
        <v>556</v>
      </c>
      <c r="D1282" s="48">
        <f>DATE(YEAR(OneWeekMtgRatesDataTable756[[#This Row],[asofdate]]),MONTH(OneWeekMtgRatesDataTable756[[#This Row],[asofdate]]),DAY(OneWeekMtgRatesDataTable756[[#This Row],[asofdate]]))</f>
        <v>40716</v>
      </c>
      <c r="E1282" s="48" t="s">
        <v>11</v>
      </c>
      <c r="F1282" s="55">
        <v>0.18579999999999999</v>
      </c>
    </row>
    <row r="1283" spans="2:6">
      <c r="B1283" s="48" t="s">
        <v>20</v>
      </c>
      <c r="C1283" s="48" t="s">
        <v>555</v>
      </c>
      <c r="D1283" s="48">
        <f>DATE(YEAR(OneWeekMtgRatesDataTable756[[#This Row],[asofdate]]),MONTH(OneWeekMtgRatesDataTable756[[#This Row],[asofdate]]),DAY(OneWeekMtgRatesDataTable756[[#This Row],[asofdate]]))</f>
        <v>40715</v>
      </c>
      <c r="E1283" s="48" t="s">
        <v>11</v>
      </c>
      <c r="F1283" s="55">
        <v>0.18579999999999999</v>
      </c>
    </row>
    <row r="1284" spans="2:6">
      <c r="B1284" s="48" t="s">
        <v>20</v>
      </c>
      <c r="C1284" s="48" t="s">
        <v>554</v>
      </c>
      <c r="D1284" s="48">
        <f>DATE(YEAR(OneWeekMtgRatesDataTable756[[#This Row],[asofdate]]),MONTH(OneWeekMtgRatesDataTable756[[#This Row],[asofdate]]),DAY(OneWeekMtgRatesDataTable756[[#This Row],[asofdate]]))</f>
        <v>40714</v>
      </c>
      <c r="E1284" s="48" t="s">
        <v>11</v>
      </c>
      <c r="F1284" s="55">
        <v>0.18579999999999999</v>
      </c>
    </row>
    <row r="1285" spans="2:6">
      <c r="B1285" s="48" t="s">
        <v>20</v>
      </c>
      <c r="C1285" s="48" t="s">
        <v>553</v>
      </c>
      <c r="D1285" s="48">
        <f>DATE(YEAR(OneWeekMtgRatesDataTable756[[#This Row],[asofdate]]),MONTH(OneWeekMtgRatesDataTable756[[#This Row],[asofdate]]),DAY(OneWeekMtgRatesDataTable756[[#This Row],[asofdate]]))</f>
        <v>40711</v>
      </c>
      <c r="E1285" s="48" t="s">
        <v>11</v>
      </c>
      <c r="F1285" s="55">
        <v>0.18579999999999999</v>
      </c>
    </row>
    <row r="1286" spans="2:6">
      <c r="B1286" s="48" t="s">
        <v>20</v>
      </c>
      <c r="C1286" s="48" t="s">
        <v>552</v>
      </c>
      <c r="D1286" s="48">
        <f>DATE(YEAR(OneWeekMtgRatesDataTable756[[#This Row],[asofdate]]),MONTH(OneWeekMtgRatesDataTable756[[#This Row],[asofdate]]),DAY(OneWeekMtgRatesDataTable756[[#This Row],[asofdate]]))</f>
        <v>40710</v>
      </c>
      <c r="E1286" s="48" t="s">
        <v>11</v>
      </c>
      <c r="F1286" s="55">
        <v>0.18579999999999999</v>
      </c>
    </row>
    <row r="1287" spans="2:6">
      <c r="B1287" s="48" t="s">
        <v>20</v>
      </c>
      <c r="C1287" s="48" t="s">
        <v>551</v>
      </c>
      <c r="D1287" s="48">
        <f>DATE(YEAR(OneWeekMtgRatesDataTable756[[#This Row],[asofdate]]),MONTH(OneWeekMtgRatesDataTable756[[#This Row],[asofdate]]),DAY(OneWeekMtgRatesDataTable756[[#This Row],[asofdate]]))</f>
        <v>40709</v>
      </c>
      <c r="E1287" s="48" t="s">
        <v>11</v>
      </c>
      <c r="F1287" s="55">
        <v>0.18529999999999999</v>
      </c>
    </row>
    <row r="1288" spans="2:6">
      <c r="B1288" s="48" t="s">
        <v>20</v>
      </c>
      <c r="C1288" s="48" t="s">
        <v>550</v>
      </c>
      <c r="D1288" s="48">
        <f>DATE(YEAR(OneWeekMtgRatesDataTable756[[#This Row],[asofdate]]),MONTH(OneWeekMtgRatesDataTable756[[#This Row],[asofdate]]),DAY(OneWeekMtgRatesDataTable756[[#This Row],[asofdate]]))</f>
        <v>40708</v>
      </c>
      <c r="E1288" s="48" t="s">
        <v>11</v>
      </c>
      <c r="F1288" s="55">
        <v>0.18554999999999999</v>
      </c>
    </row>
    <row r="1289" spans="2:6">
      <c r="B1289" s="48" t="s">
        <v>20</v>
      </c>
      <c r="C1289" s="48" t="s">
        <v>549</v>
      </c>
      <c r="D1289" s="48">
        <f>DATE(YEAR(OneWeekMtgRatesDataTable756[[#This Row],[asofdate]]),MONTH(OneWeekMtgRatesDataTable756[[#This Row],[asofdate]]),DAY(OneWeekMtgRatesDataTable756[[#This Row],[asofdate]]))</f>
        <v>40707</v>
      </c>
      <c r="E1289" s="48" t="s">
        <v>11</v>
      </c>
      <c r="F1289" s="55">
        <v>0.18704999999999999</v>
      </c>
    </row>
    <row r="1290" spans="2:6">
      <c r="B1290" s="48" t="s">
        <v>20</v>
      </c>
      <c r="C1290" s="48" t="s">
        <v>548</v>
      </c>
      <c r="D1290" s="48">
        <f>DATE(YEAR(OneWeekMtgRatesDataTable756[[#This Row],[asofdate]]),MONTH(OneWeekMtgRatesDataTable756[[#This Row],[asofdate]]),DAY(OneWeekMtgRatesDataTable756[[#This Row],[asofdate]]))</f>
        <v>40704</v>
      </c>
      <c r="E1290" s="48" t="s">
        <v>11</v>
      </c>
      <c r="F1290" s="55">
        <v>0.18855</v>
      </c>
    </row>
    <row r="1291" spans="2:6">
      <c r="B1291" s="48" t="s">
        <v>20</v>
      </c>
      <c r="C1291" s="48" t="s">
        <v>547</v>
      </c>
      <c r="D1291" s="48">
        <f>DATE(YEAR(OneWeekMtgRatesDataTable756[[#This Row],[asofdate]]),MONTH(OneWeekMtgRatesDataTable756[[#This Row],[asofdate]]),DAY(OneWeekMtgRatesDataTable756[[#This Row],[asofdate]]))</f>
        <v>40703</v>
      </c>
      <c r="E1291" s="48" t="s">
        <v>11</v>
      </c>
      <c r="F1291" s="55">
        <v>0.18955</v>
      </c>
    </row>
    <row r="1292" spans="2:6">
      <c r="B1292" s="48" t="s">
        <v>20</v>
      </c>
      <c r="C1292" s="48" t="s">
        <v>546</v>
      </c>
      <c r="D1292" s="48">
        <f>DATE(YEAR(OneWeekMtgRatesDataTable756[[#This Row],[asofdate]]),MONTH(OneWeekMtgRatesDataTable756[[#This Row],[asofdate]]),DAY(OneWeekMtgRatesDataTable756[[#This Row],[asofdate]]))</f>
        <v>40702</v>
      </c>
      <c r="E1292" s="48" t="s">
        <v>11</v>
      </c>
      <c r="F1292" s="55">
        <v>0.18955</v>
      </c>
    </row>
    <row r="1293" spans="2:6">
      <c r="B1293" s="48" t="s">
        <v>20</v>
      </c>
      <c r="C1293" s="48" t="s">
        <v>545</v>
      </c>
      <c r="D1293" s="48">
        <f>DATE(YEAR(OneWeekMtgRatesDataTable756[[#This Row],[asofdate]]),MONTH(OneWeekMtgRatesDataTable756[[#This Row],[asofdate]]),DAY(OneWeekMtgRatesDataTable756[[#This Row],[asofdate]]))</f>
        <v>40701</v>
      </c>
      <c r="E1293" s="48" t="s">
        <v>11</v>
      </c>
      <c r="F1293" s="55">
        <v>0.18955</v>
      </c>
    </row>
    <row r="1294" spans="2:6">
      <c r="B1294" s="48" t="s">
        <v>20</v>
      </c>
      <c r="C1294" s="48" t="s">
        <v>544</v>
      </c>
      <c r="D1294" s="48">
        <f>DATE(YEAR(OneWeekMtgRatesDataTable756[[#This Row],[asofdate]]),MONTH(OneWeekMtgRatesDataTable756[[#This Row],[asofdate]]),DAY(OneWeekMtgRatesDataTable756[[#This Row],[asofdate]]))</f>
        <v>40700</v>
      </c>
      <c r="E1294" s="48" t="s">
        <v>11</v>
      </c>
      <c r="F1294" s="55">
        <v>0.18955</v>
      </c>
    </row>
    <row r="1295" spans="2:6">
      <c r="B1295" s="48" t="s">
        <v>20</v>
      </c>
      <c r="C1295" s="48" t="s">
        <v>543</v>
      </c>
      <c r="D1295" s="48">
        <f>DATE(YEAR(OneWeekMtgRatesDataTable756[[#This Row],[asofdate]]),MONTH(OneWeekMtgRatesDataTable756[[#This Row],[asofdate]]),DAY(OneWeekMtgRatesDataTable756[[#This Row],[asofdate]]))</f>
        <v>40697</v>
      </c>
      <c r="E1295" s="48" t="s">
        <v>11</v>
      </c>
      <c r="F1295" s="55">
        <v>0.1898</v>
      </c>
    </row>
    <row r="1296" spans="2:6">
      <c r="B1296" s="48" t="s">
        <v>20</v>
      </c>
      <c r="C1296" s="48" t="s">
        <v>542</v>
      </c>
      <c r="D1296" s="48">
        <f>DATE(YEAR(OneWeekMtgRatesDataTable756[[#This Row],[asofdate]]),MONTH(OneWeekMtgRatesDataTable756[[#This Row],[asofdate]]),DAY(OneWeekMtgRatesDataTable756[[#This Row],[asofdate]]))</f>
        <v>40696</v>
      </c>
      <c r="E1296" s="48" t="s">
        <v>11</v>
      </c>
      <c r="F1296" s="55">
        <v>0.19017999999999999</v>
      </c>
    </row>
    <row r="1297" spans="2:6">
      <c r="B1297" s="48" t="s">
        <v>20</v>
      </c>
      <c r="C1297" s="48" t="s">
        <v>541</v>
      </c>
      <c r="D1297" s="48">
        <f>DATE(YEAR(OneWeekMtgRatesDataTable756[[#This Row],[asofdate]]),MONTH(OneWeekMtgRatesDataTable756[[#This Row],[asofdate]]),DAY(OneWeekMtgRatesDataTable756[[#This Row],[asofdate]]))</f>
        <v>40695</v>
      </c>
      <c r="E1297" s="48" t="s">
        <v>11</v>
      </c>
      <c r="F1297" s="55">
        <v>0.19042999999999999</v>
      </c>
    </row>
    <row r="1298" spans="2:6">
      <c r="B1298" s="48" t="s">
        <v>20</v>
      </c>
      <c r="C1298" s="48" t="s">
        <v>540</v>
      </c>
      <c r="D1298" s="48">
        <f>DATE(YEAR(OneWeekMtgRatesDataTable756[[#This Row],[asofdate]]),MONTH(OneWeekMtgRatesDataTable756[[#This Row],[asofdate]]),DAY(OneWeekMtgRatesDataTable756[[#This Row],[asofdate]]))</f>
        <v>40694</v>
      </c>
      <c r="E1298" s="48" t="s">
        <v>11</v>
      </c>
      <c r="F1298" s="55">
        <v>0.19042999999999999</v>
      </c>
    </row>
    <row r="1299" spans="2:6">
      <c r="B1299" s="48" t="s">
        <v>20</v>
      </c>
      <c r="C1299" s="48" t="s">
        <v>539</v>
      </c>
      <c r="D1299" s="48">
        <f>DATE(YEAR(OneWeekMtgRatesDataTable756[[#This Row],[asofdate]]),MONTH(OneWeekMtgRatesDataTable756[[#This Row],[asofdate]]),DAY(OneWeekMtgRatesDataTable756[[#This Row],[asofdate]]))</f>
        <v>40690</v>
      </c>
      <c r="E1299" s="48" t="s">
        <v>11</v>
      </c>
      <c r="F1299" s="55">
        <v>0.19103000000000001</v>
      </c>
    </row>
    <row r="1300" spans="2:6">
      <c r="B1300" s="48" t="s">
        <v>20</v>
      </c>
      <c r="C1300" s="48" t="s">
        <v>538</v>
      </c>
      <c r="D1300" s="48">
        <f>DATE(YEAR(OneWeekMtgRatesDataTable756[[#This Row],[asofdate]]),MONTH(OneWeekMtgRatesDataTable756[[#This Row],[asofdate]]),DAY(OneWeekMtgRatesDataTable756[[#This Row],[asofdate]]))</f>
        <v>40689</v>
      </c>
      <c r="E1300" s="48" t="s">
        <v>11</v>
      </c>
      <c r="F1300" s="55">
        <v>0.19125</v>
      </c>
    </row>
    <row r="1301" spans="2:6">
      <c r="B1301" s="48" t="s">
        <v>20</v>
      </c>
      <c r="C1301" s="48" t="s">
        <v>537</v>
      </c>
      <c r="D1301" s="48">
        <f>DATE(YEAR(OneWeekMtgRatesDataTable756[[#This Row],[asofdate]]),MONTH(OneWeekMtgRatesDataTable756[[#This Row],[asofdate]]),DAY(OneWeekMtgRatesDataTable756[[#This Row],[asofdate]]))</f>
        <v>40688</v>
      </c>
      <c r="E1301" s="48" t="s">
        <v>11</v>
      </c>
      <c r="F1301" s="55">
        <v>0.19234999999999999</v>
      </c>
    </row>
    <row r="1302" spans="2:6">
      <c r="B1302" s="48" t="s">
        <v>20</v>
      </c>
      <c r="C1302" s="48" t="s">
        <v>536</v>
      </c>
      <c r="D1302" s="48">
        <f>DATE(YEAR(OneWeekMtgRatesDataTable756[[#This Row],[asofdate]]),MONTH(OneWeekMtgRatesDataTable756[[#This Row],[asofdate]]),DAY(OneWeekMtgRatesDataTable756[[#This Row],[asofdate]]))</f>
        <v>40687</v>
      </c>
      <c r="E1302" s="48" t="s">
        <v>11</v>
      </c>
      <c r="F1302" s="55">
        <v>0.19270000000000001</v>
      </c>
    </row>
    <row r="1303" spans="2:6">
      <c r="B1303" s="48" t="s">
        <v>20</v>
      </c>
      <c r="C1303" s="48" t="s">
        <v>535</v>
      </c>
      <c r="D1303" s="48">
        <f>DATE(YEAR(OneWeekMtgRatesDataTable756[[#This Row],[asofdate]]),MONTH(OneWeekMtgRatesDataTable756[[#This Row],[asofdate]]),DAY(OneWeekMtgRatesDataTable756[[#This Row],[asofdate]]))</f>
        <v>40686</v>
      </c>
      <c r="E1303" s="48" t="s">
        <v>11</v>
      </c>
      <c r="F1303" s="55">
        <v>0.19400000000000001</v>
      </c>
    </row>
    <row r="1304" spans="2:6">
      <c r="B1304" s="48" t="s">
        <v>20</v>
      </c>
      <c r="C1304" s="48" t="s">
        <v>534</v>
      </c>
      <c r="D1304" s="48">
        <f>DATE(YEAR(OneWeekMtgRatesDataTable756[[#This Row],[asofdate]]),MONTH(OneWeekMtgRatesDataTable756[[#This Row],[asofdate]]),DAY(OneWeekMtgRatesDataTable756[[#This Row],[asofdate]]))</f>
        <v>40683</v>
      </c>
      <c r="E1304" s="48" t="s">
        <v>11</v>
      </c>
      <c r="F1304" s="55">
        <v>0.19475000000000001</v>
      </c>
    </row>
    <row r="1305" spans="2:6">
      <c r="B1305" s="48" t="s">
        <v>20</v>
      </c>
      <c r="C1305" s="48" t="s">
        <v>533</v>
      </c>
      <c r="D1305" s="48">
        <f>DATE(YEAR(OneWeekMtgRatesDataTable756[[#This Row],[asofdate]]),MONTH(OneWeekMtgRatesDataTable756[[#This Row],[asofdate]]),DAY(OneWeekMtgRatesDataTable756[[#This Row],[asofdate]]))</f>
        <v>40682</v>
      </c>
      <c r="E1305" s="48" t="s">
        <v>11</v>
      </c>
      <c r="F1305" s="55">
        <v>0.19525000000000001</v>
      </c>
    </row>
    <row r="1306" spans="2:6">
      <c r="B1306" s="48" t="s">
        <v>20</v>
      </c>
      <c r="C1306" s="48" t="s">
        <v>532</v>
      </c>
      <c r="D1306" s="48">
        <f>DATE(YEAR(OneWeekMtgRatesDataTable756[[#This Row],[asofdate]]),MONTH(OneWeekMtgRatesDataTable756[[#This Row],[asofdate]]),DAY(OneWeekMtgRatesDataTable756[[#This Row],[asofdate]]))</f>
        <v>40681</v>
      </c>
      <c r="E1306" s="48" t="s">
        <v>11</v>
      </c>
      <c r="F1306" s="55">
        <v>0.19575000000000001</v>
      </c>
    </row>
    <row r="1307" spans="2:6">
      <c r="B1307" s="48" t="s">
        <v>20</v>
      </c>
      <c r="C1307" s="48" t="s">
        <v>531</v>
      </c>
      <c r="D1307" s="48">
        <f>DATE(YEAR(OneWeekMtgRatesDataTable756[[#This Row],[asofdate]]),MONTH(OneWeekMtgRatesDataTable756[[#This Row],[asofdate]]),DAY(OneWeekMtgRatesDataTable756[[#This Row],[asofdate]]))</f>
        <v>40680</v>
      </c>
      <c r="E1307" s="48" t="s">
        <v>11</v>
      </c>
      <c r="F1307" s="55">
        <v>0.19700000000000001</v>
      </c>
    </row>
    <row r="1308" spans="2:6">
      <c r="B1308" s="48" t="s">
        <v>20</v>
      </c>
      <c r="C1308" s="48" t="s">
        <v>530</v>
      </c>
      <c r="D1308" s="48">
        <f>DATE(YEAR(OneWeekMtgRatesDataTable756[[#This Row],[asofdate]]),MONTH(OneWeekMtgRatesDataTable756[[#This Row],[asofdate]]),DAY(OneWeekMtgRatesDataTable756[[#This Row],[asofdate]]))</f>
        <v>40679</v>
      </c>
      <c r="E1308" s="48" t="s">
        <v>11</v>
      </c>
      <c r="F1308" s="55">
        <v>0.19700000000000001</v>
      </c>
    </row>
    <row r="1309" spans="2:6">
      <c r="B1309" s="48" t="s">
        <v>20</v>
      </c>
      <c r="C1309" s="48" t="s">
        <v>529</v>
      </c>
      <c r="D1309" s="48">
        <f>DATE(YEAR(OneWeekMtgRatesDataTable756[[#This Row],[asofdate]]),MONTH(OneWeekMtgRatesDataTable756[[#This Row],[asofdate]]),DAY(OneWeekMtgRatesDataTable756[[#This Row],[asofdate]]))</f>
        <v>40676</v>
      </c>
      <c r="E1309" s="48" t="s">
        <v>11</v>
      </c>
      <c r="F1309" s="55">
        <v>0.1971</v>
      </c>
    </row>
    <row r="1310" spans="2:6">
      <c r="B1310" s="48" t="s">
        <v>20</v>
      </c>
      <c r="C1310" s="48" t="s">
        <v>528</v>
      </c>
      <c r="D1310" s="48">
        <f>DATE(YEAR(OneWeekMtgRatesDataTable756[[#This Row],[asofdate]]),MONTH(OneWeekMtgRatesDataTable756[[#This Row],[asofdate]]),DAY(OneWeekMtgRatesDataTable756[[#This Row],[asofdate]]))</f>
        <v>40675</v>
      </c>
      <c r="E1310" s="48" t="s">
        <v>11</v>
      </c>
      <c r="F1310" s="55">
        <v>0.19800000000000001</v>
      </c>
    </row>
    <row r="1311" spans="2:6">
      <c r="B1311" s="48" t="s">
        <v>20</v>
      </c>
      <c r="C1311" s="48" t="s">
        <v>527</v>
      </c>
      <c r="D1311" s="48">
        <f>DATE(YEAR(OneWeekMtgRatesDataTable756[[#This Row],[asofdate]]),MONTH(OneWeekMtgRatesDataTable756[[#This Row],[asofdate]]),DAY(OneWeekMtgRatesDataTable756[[#This Row],[asofdate]]))</f>
        <v>40674</v>
      </c>
      <c r="E1311" s="48" t="s">
        <v>11</v>
      </c>
      <c r="F1311" s="55">
        <v>0.19875000000000001</v>
      </c>
    </row>
    <row r="1312" spans="2:6">
      <c r="B1312" s="48" t="s">
        <v>20</v>
      </c>
      <c r="C1312" s="48" t="s">
        <v>526</v>
      </c>
      <c r="D1312" s="48">
        <f>DATE(YEAR(OneWeekMtgRatesDataTable756[[#This Row],[asofdate]]),MONTH(OneWeekMtgRatesDataTable756[[#This Row],[asofdate]]),DAY(OneWeekMtgRatesDataTable756[[#This Row],[asofdate]]))</f>
        <v>40673</v>
      </c>
      <c r="E1312" s="48" t="s">
        <v>11</v>
      </c>
      <c r="F1312" s="55">
        <v>0.20025000000000001</v>
      </c>
    </row>
    <row r="1313" spans="2:6">
      <c r="B1313" s="48" t="s">
        <v>20</v>
      </c>
      <c r="C1313" s="48" t="s">
        <v>525</v>
      </c>
      <c r="D1313" s="48">
        <f>DATE(YEAR(OneWeekMtgRatesDataTable756[[#This Row],[asofdate]]),MONTH(OneWeekMtgRatesDataTable756[[#This Row],[asofdate]]),DAY(OneWeekMtgRatesDataTable756[[#This Row],[asofdate]]))</f>
        <v>40672</v>
      </c>
      <c r="E1313" s="48" t="s">
        <v>11</v>
      </c>
      <c r="F1313" s="55">
        <v>0.20185</v>
      </c>
    </row>
    <row r="1314" spans="2:6">
      <c r="B1314" s="48" t="s">
        <v>20</v>
      </c>
      <c r="C1314" s="48" t="s">
        <v>524</v>
      </c>
      <c r="D1314" s="48">
        <f>DATE(YEAR(OneWeekMtgRatesDataTable756[[#This Row],[asofdate]]),MONTH(OneWeekMtgRatesDataTable756[[#This Row],[asofdate]]),DAY(OneWeekMtgRatesDataTable756[[#This Row],[asofdate]]))</f>
        <v>40669</v>
      </c>
      <c r="E1314" s="48" t="s">
        <v>11</v>
      </c>
      <c r="F1314" s="55">
        <v>0.20385</v>
      </c>
    </row>
    <row r="1315" spans="2:6">
      <c r="B1315" s="48" t="s">
        <v>20</v>
      </c>
      <c r="C1315" s="48" t="s">
        <v>523</v>
      </c>
      <c r="D1315" s="48">
        <f>DATE(YEAR(OneWeekMtgRatesDataTable756[[#This Row],[asofdate]]),MONTH(OneWeekMtgRatesDataTable756[[#This Row],[asofdate]]),DAY(OneWeekMtgRatesDataTable756[[#This Row],[asofdate]]))</f>
        <v>40668</v>
      </c>
      <c r="E1315" s="48" t="s">
        <v>11</v>
      </c>
      <c r="F1315" s="55">
        <v>0.20619999999999999</v>
      </c>
    </row>
    <row r="1316" spans="2:6">
      <c r="B1316" s="48" t="s">
        <v>20</v>
      </c>
      <c r="C1316" s="48" t="s">
        <v>522</v>
      </c>
      <c r="D1316" s="48">
        <f>DATE(YEAR(OneWeekMtgRatesDataTable756[[#This Row],[asofdate]]),MONTH(OneWeekMtgRatesDataTable756[[#This Row],[asofdate]]),DAY(OneWeekMtgRatesDataTable756[[#This Row],[asofdate]]))</f>
        <v>40667</v>
      </c>
      <c r="E1316" s="48" t="s">
        <v>11</v>
      </c>
      <c r="F1316" s="55">
        <v>0.20899999999999999</v>
      </c>
    </row>
    <row r="1317" spans="2:6">
      <c r="B1317" s="48" t="s">
        <v>20</v>
      </c>
      <c r="C1317" s="48" t="s">
        <v>521</v>
      </c>
      <c r="D1317" s="48">
        <f>DATE(YEAR(OneWeekMtgRatesDataTable756[[#This Row],[asofdate]]),MONTH(OneWeekMtgRatesDataTable756[[#This Row],[asofdate]]),DAY(OneWeekMtgRatesDataTable756[[#This Row],[asofdate]]))</f>
        <v>40666</v>
      </c>
      <c r="E1317" s="48" t="s">
        <v>11</v>
      </c>
      <c r="F1317" s="55">
        <v>0.20949999999999999</v>
      </c>
    </row>
    <row r="1318" spans="2:6">
      <c r="B1318" s="48" t="s">
        <v>20</v>
      </c>
      <c r="C1318" s="48" t="s">
        <v>520</v>
      </c>
      <c r="D1318" s="48">
        <f>DATE(YEAR(OneWeekMtgRatesDataTable756[[#This Row],[asofdate]]),MONTH(OneWeekMtgRatesDataTable756[[#This Row],[asofdate]]),DAY(OneWeekMtgRatesDataTable756[[#This Row],[asofdate]]))</f>
        <v>40665</v>
      </c>
      <c r="E1318" s="48" t="s">
        <v>11</v>
      </c>
      <c r="F1318" s="55">
        <v>0.21024999999999999</v>
      </c>
    </row>
    <row r="1319" spans="2:6">
      <c r="B1319" s="48" t="s">
        <v>20</v>
      </c>
      <c r="C1319" s="48" t="s">
        <v>519</v>
      </c>
      <c r="D1319" s="48">
        <f>DATE(YEAR(OneWeekMtgRatesDataTable756[[#This Row],[asofdate]]),MONTH(OneWeekMtgRatesDataTable756[[#This Row],[asofdate]]),DAY(OneWeekMtgRatesDataTable756[[#This Row],[asofdate]]))</f>
        <v>40662</v>
      </c>
      <c r="E1319" s="48" t="s">
        <v>11</v>
      </c>
      <c r="F1319" s="55">
        <v>0.21024999999999999</v>
      </c>
    </row>
    <row r="1320" spans="2:6">
      <c r="B1320" s="48" t="s">
        <v>20</v>
      </c>
      <c r="C1320" s="48" t="s">
        <v>518</v>
      </c>
      <c r="D1320" s="48">
        <f>DATE(YEAR(OneWeekMtgRatesDataTable756[[#This Row],[asofdate]]),MONTH(OneWeekMtgRatesDataTable756[[#This Row],[asofdate]]),DAY(OneWeekMtgRatesDataTable756[[#This Row],[asofdate]]))</f>
        <v>40661</v>
      </c>
      <c r="E1320" s="48" t="s">
        <v>11</v>
      </c>
      <c r="F1320" s="55">
        <v>0.21024999999999999</v>
      </c>
    </row>
    <row r="1321" spans="2:6">
      <c r="B1321" s="48" t="s">
        <v>20</v>
      </c>
      <c r="C1321" s="48" t="s">
        <v>517</v>
      </c>
      <c r="D1321" s="48">
        <f>DATE(YEAR(OneWeekMtgRatesDataTable756[[#This Row],[asofdate]]),MONTH(OneWeekMtgRatesDataTable756[[#This Row],[asofdate]]),DAY(OneWeekMtgRatesDataTable756[[#This Row],[asofdate]]))</f>
        <v>40660</v>
      </c>
      <c r="E1321" s="48" t="s">
        <v>11</v>
      </c>
      <c r="F1321" s="55">
        <v>0.21049999999999999</v>
      </c>
    </row>
    <row r="1322" spans="2:6">
      <c r="B1322" s="48" t="s">
        <v>20</v>
      </c>
      <c r="C1322" s="48" t="s">
        <v>516</v>
      </c>
      <c r="D1322" s="48">
        <f>DATE(YEAR(OneWeekMtgRatesDataTable756[[#This Row],[asofdate]]),MONTH(OneWeekMtgRatesDataTable756[[#This Row],[asofdate]]),DAY(OneWeekMtgRatesDataTable756[[#This Row],[asofdate]]))</f>
        <v>40659</v>
      </c>
      <c r="E1322" s="48" t="s">
        <v>11</v>
      </c>
      <c r="F1322" s="55">
        <v>0.21135000000000001</v>
      </c>
    </row>
    <row r="1323" spans="2:6">
      <c r="B1323" s="48" t="s">
        <v>20</v>
      </c>
      <c r="C1323" s="48" t="s">
        <v>515</v>
      </c>
      <c r="D1323" s="48">
        <f>DATE(YEAR(OneWeekMtgRatesDataTable756[[#This Row],[asofdate]]),MONTH(OneWeekMtgRatesDataTable756[[#This Row],[asofdate]]),DAY(OneWeekMtgRatesDataTable756[[#This Row],[asofdate]]))</f>
        <v>40658</v>
      </c>
      <c r="E1323" s="48" t="s">
        <v>11</v>
      </c>
      <c r="F1323" s="55">
        <v>0.21260000000000001</v>
      </c>
    </row>
    <row r="1324" spans="2:6">
      <c r="B1324" s="48" t="s">
        <v>20</v>
      </c>
      <c r="C1324" s="48" t="s">
        <v>514</v>
      </c>
      <c r="D1324" s="48">
        <f>DATE(YEAR(OneWeekMtgRatesDataTable756[[#This Row],[asofdate]]),MONTH(OneWeekMtgRatesDataTable756[[#This Row],[asofdate]]),DAY(OneWeekMtgRatesDataTable756[[#This Row],[asofdate]]))</f>
        <v>40654</v>
      </c>
      <c r="E1324" s="48" t="s">
        <v>11</v>
      </c>
      <c r="F1324" s="55">
        <v>0.21260000000000001</v>
      </c>
    </row>
    <row r="1325" spans="2:6">
      <c r="B1325" s="48" t="s">
        <v>20</v>
      </c>
      <c r="C1325" s="48" t="s">
        <v>513</v>
      </c>
      <c r="D1325" s="48">
        <f>DATE(YEAR(OneWeekMtgRatesDataTable756[[#This Row],[asofdate]]),MONTH(OneWeekMtgRatesDataTable756[[#This Row],[asofdate]]),DAY(OneWeekMtgRatesDataTable756[[#This Row],[asofdate]]))</f>
        <v>40653</v>
      </c>
      <c r="E1325" s="48" t="s">
        <v>11</v>
      </c>
      <c r="F1325" s="55">
        <v>0.21260000000000001</v>
      </c>
    </row>
    <row r="1326" spans="2:6">
      <c r="B1326" s="48" t="s">
        <v>20</v>
      </c>
      <c r="C1326" s="48" t="s">
        <v>512</v>
      </c>
      <c r="D1326" s="48">
        <f>DATE(YEAR(OneWeekMtgRatesDataTable756[[#This Row],[asofdate]]),MONTH(OneWeekMtgRatesDataTable756[[#This Row],[asofdate]]),DAY(OneWeekMtgRatesDataTable756[[#This Row],[asofdate]]))</f>
        <v>40652</v>
      </c>
      <c r="E1326" s="48" t="s">
        <v>11</v>
      </c>
      <c r="F1326" s="55">
        <v>0.21260000000000001</v>
      </c>
    </row>
    <row r="1327" spans="2:6">
      <c r="B1327" s="48" t="s">
        <v>20</v>
      </c>
      <c r="C1327" s="48" t="s">
        <v>511</v>
      </c>
      <c r="D1327" s="48">
        <f>DATE(YEAR(OneWeekMtgRatesDataTable756[[#This Row],[asofdate]]),MONTH(OneWeekMtgRatesDataTable756[[#This Row],[asofdate]]),DAY(OneWeekMtgRatesDataTable756[[#This Row],[asofdate]]))</f>
        <v>40651</v>
      </c>
      <c r="E1327" s="48" t="s">
        <v>11</v>
      </c>
      <c r="F1327" s="55">
        <v>0.21295</v>
      </c>
    </row>
    <row r="1328" spans="2:6">
      <c r="B1328" s="48" t="s">
        <v>20</v>
      </c>
      <c r="C1328" s="48" t="s">
        <v>510</v>
      </c>
      <c r="D1328" s="48">
        <f>DATE(YEAR(OneWeekMtgRatesDataTable756[[#This Row],[asofdate]]),MONTH(OneWeekMtgRatesDataTable756[[#This Row],[asofdate]]),DAY(OneWeekMtgRatesDataTable756[[#This Row],[asofdate]]))</f>
        <v>40648</v>
      </c>
      <c r="E1328" s="48" t="s">
        <v>11</v>
      </c>
      <c r="F1328" s="55">
        <v>0.21375</v>
      </c>
    </row>
    <row r="1329" spans="2:6">
      <c r="B1329" s="48" t="s">
        <v>20</v>
      </c>
      <c r="C1329" s="48" t="s">
        <v>509</v>
      </c>
      <c r="D1329" s="48">
        <f>DATE(YEAR(OneWeekMtgRatesDataTable756[[#This Row],[asofdate]]),MONTH(OneWeekMtgRatesDataTable756[[#This Row],[asofdate]]),DAY(OneWeekMtgRatesDataTable756[[#This Row],[asofdate]]))</f>
        <v>40647</v>
      </c>
      <c r="E1329" s="48" t="s">
        <v>11</v>
      </c>
      <c r="F1329" s="55">
        <v>0.21584999999999999</v>
      </c>
    </row>
    <row r="1330" spans="2:6">
      <c r="B1330" s="48" t="s">
        <v>20</v>
      </c>
      <c r="C1330" s="48" t="s">
        <v>508</v>
      </c>
      <c r="D1330" s="48">
        <f>DATE(YEAR(OneWeekMtgRatesDataTable756[[#This Row],[asofdate]]),MONTH(OneWeekMtgRatesDataTable756[[#This Row],[asofdate]]),DAY(OneWeekMtgRatesDataTable756[[#This Row],[asofdate]]))</f>
        <v>40646</v>
      </c>
      <c r="E1330" s="48" t="s">
        <v>11</v>
      </c>
      <c r="F1330" s="55">
        <v>0.21875</v>
      </c>
    </row>
    <row r="1331" spans="2:6">
      <c r="B1331" s="48" t="s">
        <v>20</v>
      </c>
      <c r="C1331" s="48" t="s">
        <v>507</v>
      </c>
      <c r="D1331" s="48">
        <f>DATE(YEAR(OneWeekMtgRatesDataTable756[[#This Row],[asofdate]]),MONTH(OneWeekMtgRatesDataTable756[[#This Row],[asofdate]]),DAY(OneWeekMtgRatesDataTable756[[#This Row],[asofdate]]))</f>
        <v>40645</v>
      </c>
      <c r="E1331" s="48" t="s">
        <v>11</v>
      </c>
      <c r="F1331" s="55">
        <v>0.22109999999999999</v>
      </c>
    </row>
    <row r="1332" spans="2:6">
      <c r="B1332" s="48" t="s">
        <v>20</v>
      </c>
      <c r="C1332" s="48" t="s">
        <v>506</v>
      </c>
      <c r="D1332" s="48">
        <f>DATE(YEAR(OneWeekMtgRatesDataTable756[[#This Row],[asofdate]]),MONTH(OneWeekMtgRatesDataTable756[[#This Row],[asofdate]]),DAY(OneWeekMtgRatesDataTable756[[#This Row],[asofdate]]))</f>
        <v>40644</v>
      </c>
      <c r="E1332" s="48" t="s">
        <v>11</v>
      </c>
      <c r="F1332" s="55">
        <v>0.2238</v>
      </c>
    </row>
    <row r="1333" spans="2:6">
      <c r="B1333" s="48" t="s">
        <v>20</v>
      </c>
      <c r="C1333" s="48" t="s">
        <v>505</v>
      </c>
      <c r="D1333" s="48">
        <f>DATE(YEAR(OneWeekMtgRatesDataTable756[[#This Row],[asofdate]]),MONTH(OneWeekMtgRatesDataTable756[[#This Row],[asofdate]]),DAY(OneWeekMtgRatesDataTable756[[#This Row],[asofdate]]))</f>
        <v>40641</v>
      </c>
      <c r="E1333" s="48" t="s">
        <v>11</v>
      </c>
      <c r="F1333" s="55">
        <v>0.22650000000000001</v>
      </c>
    </row>
    <row r="1334" spans="2:6">
      <c r="B1334" s="48" t="s">
        <v>20</v>
      </c>
      <c r="C1334" s="48" t="s">
        <v>504</v>
      </c>
      <c r="D1334" s="48">
        <f>DATE(YEAR(OneWeekMtgRatesDataTable756[[#This Row],[asofdate]]),MONTH(OneWeekMtgRatesDataTable756[[#This Row],[asofdate]]),DAY(OneWeekMtgRatesDataTable756[[#This Row],[asofdate]]))</f>
        <v>40640</v>
      </c>
      <c r="E1334" s="48" t="s">
        <v>11</v>
      </c>
      <c r="F1334" s="55">
        <v>0.23138</v>
      </c>
    </row>
    <row r="1335" spans="2:6">
      <c r="B1335" s="48" t="s">
        <v>20</v>
      </c>
      <c r="C1335" s="48" t="s">
        <v>503</v>
      </c>
      <c r="D1335" s="48">
        <f>DATE(YEAR(OneWeekMtgRatesDataTable756[[#This Row],[asofdate]]),MONTH(OneWeekMtgRatesDataTable756[[#This Row],[asofdate]]),DAY(OneWeekMtgRatesDataTable756[[#This Row],[asofdate]]))</f>
        <v>40639</v>
      </c>
      <c r="E1335" s="48" t="s">
        <v>11</v>
      </c>
      <c r="F1335" s="55">
        <v>0.23350000000000001</v>
      </c>
    </row>
    <row r="1336" spans="2:6">
      <c r="B1336" s="48" t="s">
        <v>20</v>
      </c>
      <c r="C1336" s="48" t="s">
        <v>502</v>
      </c>
      <c r="D1336" s="48">
        <f>DATE(YEAR(OneWeekMtgRatesDataTable756[[#This Row],[asofdate]]),MONTH(OneWeekMtgRatesDataTable756[[#This Row],[asofdate]]),DAY(OneWeekMtgRatesDataTable756[[#This Row],[asofdate]]))</f>
        <v>40638</v>
      </c>
      <c r="E1336" s="48" t="s">
        <v>11</v>
      </c>
      <c r="F1336" s="55">
        <v>0.23549999999999999</v>
      </c>
    </row>
    <row r="1337" spans="2:6">
      <c r="B1337" s="48" t="s">
        <v>20</v>
      </c>
      <c r="C1337" s="48" t="s">
        <v>501</v>
      </c>
      <c r="D1337" s="48">
        <f>DATE(YEAR(OneWeekMtgRatesDataTable756[[#This Row],[asofdate]]),MONTH(OneWeekMtgRatesDataTable756[[#This Row],[asofdate]]),DAY(OneWeekMtgRatesDataTable756[[#This Row],[asofdate]]))</f>
        <v>40637</v>
      </c>
      <c r="E1337" s="48" t="s">
        <v>11</v>
      </c>
      <c r="F1337" s="55">
        <v>0.2399</v>
      </c>
    </row>
    <row r="1338" spans="2:6">
      <c r="B1338" s="48" t="s">
        <v>20</v>
      </c>
      <c r="C1338" s="48" t="s">
        <v>500</v>
      </c>
      <c r="D1338" s="48">
        <f>DATE(YEAR(OneWeekMtgRatesDataTable756[[#This Row],[asofdate]]),MONTH(OneWeekMtgRatesDataTable756[[#This Row],[asofdate]]),DAY(OneWeekMtgRatesDataTable756[[#This Row],[asofdate]]))</f>
        <v>40634</v>
      </c>
      <c r="E1338" s="48" t="s">
        <v>11</v>
      </c>
      <c r="F1338" s="55">
        <v>0.24295</v>
      </c>
    </row>
    <row r="1339" spans="2:6">
      <c r="B1339" s="48" t="s">
        <v>20</v>
      </c>
      <c r="C1339" s="48" t="s">
        <v>499</v>
      </c>
      <c r="D1339" s="48">
        <f>DATE(YEAR(OneWeekMtgRatesDataTable756[[#This Row],[asofdate]]),MONTH(OneWeekMtgRatesDataTable756[[#This Row],[asofdate]]),DAY(OneWeekMtgRatesDataTable756[[#This Row],[asofdate]]))</f>
        <v>40633</v>
      </c>
      <c r="E1339" s="48" t="s">
        <v>11</v>
      </c>
      <c r="F1339" s="55">
        <v>0.24345</v>
      </c>
    </row>
    <row r="1340" spans="2:6">
      <c r="B1340" s="48" t="s">
        <v>20</v>
      </c>
      <c r="C1340" s="48" t="s">
        <v>498</v>
      </c>
      <c r="D1340" s="48">
        <f>DATE(YEAR(OneWeekMtgRatesDataTable756[[#This Row],[asofdate]]),MONTH(OneWeekMtgRatesDataTable756[[#This Row],[asofdate]]),DAY(OneWeekMtgRatesDataTable756[[#This Row],[asofdate]]))</f>
        <v>40632</v>
      </c>
      <c r="E1340" s="48" t="s">
        <v>11</v>
      </c>
      <c r="F1340" s="55">
        <v>0.24379999999999999</v>
      </c>
    </row>
    <row r="1341" spans="2:6">
      <c r="B1341" s="48" t="s">
        <v>20</v>
      </c>
      <c r="C1341" s="48" t="s">
        <v>497</v>
      </c>
      <c r="D1341" s="48">
        <f>DATE(YEAR(OneWeekMtgRatesDataTable756[[#This Row],[asofdate]]),MONTH(OneWeekMtgRatesDataTable756[[#This Row],[asofdate]]),DAY(OneWeekMtgRatesDataTable756[[#This Row],[asofdate]]))</f>
        <v>40631</v>
      </c>
      <c r="E1341" s="48" t="s">
        <v>11</v>
      </c>
      <c r="F1341" s="55">
        <v>0.24615000000000001</v>
      </c>
    </row>
    <row r="1342" spans="2:6">
      <c r="B1342" s="48" t="s">
        <v>20</v>
      </c>
      <c r="C1342" s="48" t="s">
        <v>496</v>
      </c>
      <c r="D1342" s="48">
        <f>DATE(YEAR(OneWeekMtgRatesDataTable756[[#This Row],[asofdate]]),MONTH(OneWeekMtgRatesDataTable756[[#This Row],[asofdate]]),DAY(OneWeekMtgRatesDataTable756[[#This Row],[asofdate]]))</f>
        <v>40630</v>
      </c>
      <c r="E1342" s="48" t="s">
        <v>11</v>
      </c>
      <c r="F1342" s="55">
        <v>0.24765000000000001</v>
      </c>
    </row>
    <row r="1343" spans="2:6">
      <c r="B1343" s="48" t="s">
        <v>20</v>
      </c>
      <c r="C1343" s="48" t="s">
        <v>495</v>
      </c>
      <c r="D1343" s="48">
        <f>DATE(YEAR(OneWeekMtgRatesDataTable756[[#This Row],[asofdate]]),MONTH(OneWeekMtgRatesDataTable756[[#This Row],[asofdate]]),DAY(OneWeekMtgRatesDataTable756[[#This Row],[asofdate]]))</f>
        <v>40627</v>
      </c>
      <c r="E1343" s="48" t="s">
        <v>11</v>
      </c>
      <c r="F1343" s="55">
        <v>0.24825</v>
      </c>
    </row>
    <row r="1344" spans="2:6">
      <c r="B1344" s="48" t="s">
        <v>20</v>
      </c>
      <c r="C1344" s="48" t="s">
        <v>494</v>
      </c>
      <c r="D1344" s="48">
        <f>DATE(YEAR(OneWeekMtgRatesDataTable756[[#This Row],[asofdate]]),MONTH(OneWeekMtgRatesDataTable756[[#This Row],[asofdate]]),DAY(OneWeekMtgRatesDataTable756[[#This Row],[asofdate]]))</f>
        <v>40626</v>
      </c>
      <c r="E1344" s="48" t="s">
        <v>11</v>
      </c>
      <c r="F1344" s="55">
        <v>0.24825</v>
      </c>
    </row>
    <row r="1345" spans="2:6">
      <c r="B1345" s="48" t="s">
        <v>20</v>
      </c>
      <c r="C1345" s="48" t="s">
        <v>493</v>
      </c>
      <c r="D1345" s="48">
        <f>DATE(YEAR(OneWeekMtgRatesDataTable756[[#This Row],[asofdate]]),MONTH(OneWeekMtgRatesDataTable756[[#This Row],[asofdate]]),DAY(OneWeekMtgRatesDataTable756[[#This Row],[asofdate]]))</f>
        <v>40625</v>
      </c>
      <c r="E1345" s="48" t="s">
        <v>11</v>
      </c>
      <c r="F1345" s="55">
        <v>0.2495</v>
      </c>
    </row>
    <row r="1346" spans="2:6">
      <c r="B1346" s="48" t="s">
        <v>20</v>
      </c>
      <c r="C1346" s="48" t="s">
        <v>492</v>
      </c>
      <c r="D1346" s="48">
        <f>DATE(YEAR(OneWeekMtgRatesDataTable756[[#This Row],[asofdate]]),MONTH(OneWeekMtgRatesDataTable756[[#This Row],[asofdate]]),DAY(OneWeekMtgRatesDataTable756[[#This Row],[asofdate]]))</f>
        <v>40624</v>
      </c>
      <c r="E1346" s="48" t="s">
        <v>11</v>
      </c>
      <c r="F1346" s="55">
        <v>0.252</v>
      </c>
    </row>
    <row r="1347" spans="2:6">
      <c r="B1347" s="48" t="s">
        <v>20</v>
      </c>
      <c r="C1347" s="48" t="s">
        <v>491</v>
      </c>
      <c r="D1347" s="48">
        <f>DATE(YEAR(OneWeekMtgRatesDataTable756[[#This Row],[asofdate]]),MONTH(OneWeekMtgRatesDataTable756[[#This Row],[asofdate]]),DAY(OneWeekMtgRatesDataTable756[[#This Row],[asofdate]]))</f>
        <v>40623</v>
      </c>
      <c r="E1347" s="48" t="s">
        <v>11</v>
      </c>
      <c r="F1347" s="55">
        <v>0.2525</v>
      </c>
    </row>
    <row r="1348" spans="2:6">
      <c r="B1348" s="48" t="s">
        <v>20</v>
      </c>
      <c r="C1348" s="48" t="s">
        <v>490</v>
      </c>
      <c r="D1348" s="48">
        <f>DATE(YEAR(OneWeekMtgRatesDataTable756[[#This Row],[asofdate]]),MONTH(OneWeekMtgRatesDataTable756[[#This Row],[asofdate]]),DAY(OneWeekMtgRatesDataTable756[[#This Row],[asofdate]]))</f>
        <v>40620</v>
      </c>
      <c r="E1348" s="48" t="s">
        <v>11</v>
      </c>
      <c r="F1348" s="55">
        <v>0.2535</v>
      </c>
    </row>
    <row r="1349" spans="2:6">
      <c r="B1349" s="48" t="s">
        <v>20</v>
      </c>
      <c r="C1349" s="48" t="s">
        <v>489</v>
      </c>
      <c r="D1349" s="48">
        <f>DATE(YEAR(OneWeekMtgRatesDataTable756[[#This Row],[asofdate]]),MONTH(OneWeekMtgRatesDataTable756[[#This Row],[asofdate]]),DAY(OneWeekMtgRatesDataTable756[[#This Row],[asofdate]]))</f>
        <v>40619</v>
      </c>
      <c r="E1349" s="48" t="s">
        <v>11</v>
      </c>
      <c r="F1349" s="55">
        <v>0.2535</v>
      </c>
    </row>
    <row r="1350" spans="2:6">
      <c r="B1350" s="48" t="s">
        <v>20</v>
      </c>
      <c r="C1350" s="48" t="s">
        <v>488</v>
      </c>
      <c r="D1350" s="48">
        <f>DATE(YEAR(OneWeekMtgRatesDataTable756[[#This Row],[asofdate]]),MONTH(OneWeekMtgRatesDataTable756[[#This Row],[asofdate]]),DAY(OneWeekMtgRatesDataTable756[[#This Row],[asofdate]]))</f>
        <v>40618</v>
      </c>
      <c r="E1350" s="48" t="s">
        <v>11</v>
      </c>
      <c r="F1350" s="55">
        <v>0.2535</v>
      </c>
    </row>
    <row r="1351" spans="2:6">
      <c r="B1351" s="48" t="s">
        <v>20</v>
      </c>
      <c r="C1351" s="48" t="s">
        <v>487</v>
      </c>
      <c r="D1351" s="48">
        <f>DATE(YEAR(OneWeekMtgRatesDataTable756[[#This Row],[asofdate]]),MONTH(OneWeekMtgRatesDataTable756[[#This Row],[asofdate]]),DAY(OneWeekMtgRatesDataTable756[[#This Row],[asofdate]]))</f>
        <v>40617</v>
      </c>
      <c r="E1351" s="48" t="s">
        <v>11</v>
      </c>
      <c r="F1351" s="55">
        <v>0.2535</v>
      </c>
    </row>
    <row r="1352" spans="2:6">
      <c r="B1352" s="48" t="s">
        <v>20</v>
      </c>
      <c r="C1352" s="48" t="s">
        <v>486</v>
      </c>
      <c r="D1352" s="48">
        <f>DATE(YEAR(OneWeekMtgRatesDataTable756[[#This Row],[asofdate]]),MONTH(OneWeekMtgRatesDataTable756[[#This Row],[asofdate]]),DAY(OneWeekMtgRatesDataTable756[[#This Row],[asofdate]]))</f>
        <v>40616</v>
      </c>
      <c r="E1352" s="48" t="s">
        <v>11</v>
      </c>
      <c r="F1352" s="55">
        <v>0.2535</v>
      </c>
    </row>
    <row r="1353" spans="2:6">
      <c r="B1353" s="48" t="s">
        <v>20</v>
      </c>
      <c r="C1353" s="48" t="s">
        <v>485</v>
      </c>
      <c r="D1353" s="48">
        <f>DATE(YEAR(OneWeekMtgRatesDataTable756[[#This Row],[asofdate]]),MONTH(OneWeekMtgRatesDataTable756[[#This Row],[asofdate]]),DAY(OneWeekMtgRatesDataTable756[[#This Row],[asofdate]]))</f>
        <v>40613</v>
      </c>
      <c r="E1353" s="48" t="s">
        <v>11</v>
      </c>
      <c r="F1353" s="55">
        <v>0.255</v>
      </c>
    </row>
    <row r="1354" spans="2:6">
      <c r="B1354" s="48" t="s">
        <v>20</v>
      </c>
      <c r="C1354" s="48" t="s">
        <v>484</v>
      </c>
      <c r="D1354" s="48">
        <f>DATE(YEAR(OneWeekMtgRatesDataTable756[[#This Row],[asofdate]]),MONTH(OneWeekMtgRatesDataTable756[[#This Row],[asofdate]]),DAY(OneWeekMtgRatesDataTable756[[#This Row],[asofdate]]))</f>
        <v>40612</v>
      </c>
      <c r="E1354" s="48" t="s">
        <v>11</v>
      </c>
      <c r="F1354" s="55">
        <v>0.2555</v>
      </c>
    </row>
    <row r="1355" spans="2:6">
      <c r="B1355" s="48" t="s">
        <v>20</v>
      </c>
      <c r="C1355" s="48" t="s">
        <v>483</v>
      </c>
      <c r="D1355" s="48">
        <f>DATE(YEAR(OneWeekMtgRatesDataTable756[[#This Row],[asofdate]]),MONTH(OneWeekMtgRatesDataTable756[[#This Row],[asofdate]]),DAY(OneWeekMtgRatesDataTable756[[#This Row],[asofdate]]))</f>
        <v>40611</v>
      </c>
      <c r="E1355" s="48" t="s">
        <v>11</v>
      </c>
      <c r="F1355" s="55">
        <v>0.25800000000000001</v>
      </c>
    </row>
    <row r="1356" spans="2:6">
      <c r="B1356" s="48" t="s">
        <v>20</v>
      </c>
      <c r="C1356" s="48" t="s">
        <v>482</v>
      </c>
      <c r="D1356" s="48">
        <f>DATE(YEAR(OneWeekMtgRatesDataTable756[[#This Row],[asofdate]]),MONTH(OneWeekMtgRatesDataTable756[[#This Row],[asofdate]]),DAY(OneWeekMtgRatesDataTable756[[#This Row],[asofdate]]))</f>
        <v>40610</v>
      </c>
      <c r="E1356" s="48" t="s">
        <v>11</v>
      </c>
      <c r="F1356" s="55">
        <v>0.25800000000000001</v>
      </c>
    </row>
    <row r="1357" spans="2:6">
      <c r="B1357" s="48" t="s">
        <v>20</v>
      </c>
      <c r="C1357" s="48" t="s">
        <v>481</v>
      </c>
      <c r="D1357" s="48">
        <f>DATE(YEAR(OneWeekMtgRatesDataTable756[[#This Row],[asofdate]]),MONTH(OneWeekMtgRatesDataTable756[[#This Row],[asofdate]]),DAY(OneWeekMtgRatesDataTable756[[#This Row],[asofdate]]))</f>
        <v>40609</v>
      </c>
      <c r="E1357" s="48" t="s">
        <v>11</v>
      </c>
      <c r="F1357" s="55">
        <v>0.25900000000000001</v>
      </c>
    </row>
    <row r="1358" spans="2:6">
      <c r="B1358" s="48" t="s">
        <v>20</v>
      </c>
      <c r="C1358" s="48" t="s">
        <v>480</v>
      </c>
      <c r="D1358" s="48">
        <f>DATE(YEAR(OneWeekMtgRatesDataTable756[[#This Row],[asofdate]]),MONTH(OneWeekMtgRatesDataTable756[[#This Row],[asofdate]]),DAY(OneWeekMtgRatesDataTable756[[#This Row],[asofdate]]))</f>
        <v>40606</v>
      </c>
      <c r="E1358" s="48" t="s">
        <v>11</v>
      </c>
      <c r="F1358" s="55">
        <v>0.26</v>
      </c>
    </row>
    <row r="1359" spans="2:6">
      <c r="B1359" s="48" t="s">
        <v>20</v>
      </c>
      <c r="C1359" s="48" t="s">
        <v>479</v>
      </c>
      <c r="D1359" s="48">
        <f>DATE(YEAR(OneWeekMtgRatesDataTable756[[#This Row],[asofdate]]),MONTH(OneWeekMtgRatesDataTable756[[#This Row],[asofdate]]),DAY(OneWeekMtgRatesDataTable756[[#This Row],[asofdate]]))</f>
        <v>40605</v>
      </c>
      <c r="E1359" s="48" t="s">
        <v>11</v>
      </c>
      <c r="F1359" s="55">
        <v>0.26</v>
      </c>
    </row>
    <row r="1360" spans="2:6">
      <c r="B1360" s="48" t="s">
        <v>20</v>
      </c>
      <c r="C1360" s="48" t="s">
        <v>478</v>
      </c>
      <c r="D1360" s="48">
        <f>DATE(YEAR(OneWeekMtgRatesDataTable756[[#This Row],[asofdate]]),MONTH(OneWeekMtgRatesDataTable756[[#This Row],[asofdate]]),DAY(OneWeekMtgRatesDataTable756[[#This Row],[asofdate]]))</f>
        <v>40604</v>
      </c>
      <c r="E1360" s="48" t="s">
        <v>11</v>
      </c>
      <c r="F1360" s="55">
        <v>0.26</v>
      </c>
    </row>
    <row r="1361" spans="2:6">
      <c r="B1361" s="48" t="s">
        <v>20</v>
      </c>
      <c r="C1361" s="48" t="s">
        <v>477</v>
      </c>
      <c r="D1361" s="48">
        <f>DATE(YEAR(OneWeekMtgRatesDataTable756[[#This Row],[asofdate]]),MONTH(OneWeekMtgRatesDataTable756[[#This Row],[asofdate]]),DAY(OneWeekMtgRatesDataTable756[[#This Row],[asofdate]]))</f>
        <v>40603</v>
      </c>
      <c r="E1361" s="48" t="s">
        <v>11</v>
      </c>
      <c r="F1361" s="55">
        <v>0.26100000000000001</v>
      </c>
    </row>
    <row r="1362" spans="2:6">
      <c r="B1362" s="48" t="s">
        <v>20</v>
      </c>
      <c r="C1362" s="48" t="s">
        <v>476</v>
      </c>
      <c r="D1362" s="48">
        <f>DATE(YEAR(OneWeekMtgRatesDataTable756[[#This Row],[asofdate]]),MONTH(OneWeekMtgRatesDataTable756[[#This Row],[asofdate]]),DAY(OneWeekMtgRatesDataTable756[[#This Row],[asofdate]]))</f>
        <v>40602</v>
      </c>
      <c r="E1362" s="48" t="s">
        <v>11</v>
      </c>
      <c r="F1362" s="55">
        <v>0.26100000000000001</v>
      </c>
    </row>
    <row r="1363" spans="2:6">
      <c r="B1363" s="48" t="s">
        <v>20</v>
      </c>
      <c r="C1363" s="48" t="s">
        <v>475</v>
      </c>
      <c r="D1363" s="48">
        <f>DATE(YEAR(OneWeekMtgRatesDataTable756[[#This Row],[asofdate]]),MONTH(OneWeekMtgRatesDataTable756[[#This Row],[asofdate]]),DAY(OneWeekMtgRatesDataTable756[[#This Row],[asofdate]]))</f>
        <v>40599</v>
      </c>
      <c r="E1363" s="48" t="s">
        <v>11</v>
      </c>
      <c r="F1363" s="55">
        <v>0.26100000000000001</v>
      </c>
    </row>
    <row r="1364" spans="2:6">
      <c r="B1364" s="48" t="s">
        <v>20</v>
      </c>
      <c r="C1364" s="48" t="s">
        <v>474</v>
      </c>
      <c r="D1364" s="48">
        <f>DATE(YEAR(OneWeekMtgRatesDataTable756[[#This Row],[asofdate]]),MONTH(OneWeekMtgRatesDataTable756[[#This Row],[asofdate]]),DAY(OneWeekMtgRatesDataTable756[[#This Row],[asofdate]]))</f>
        <v>40598</v>
      </c>
      <c r="E1364" s="48" t="s">
        <v>11</v>
      </c>
      <c r="F1364" s="55">
        <v>0.26150000000000001</v>
      </c>
    </row>
    <row r="1365" spans="2:6">
      <c r="B1365" s="48" t="s">
        <v>20</v>
      </c>
      <c r="C1365" s="48" t="s">
        <v>473</v>
      </c>
      <c r="D1365" s="48">
        <f>DATE(YEAR(OneWeekMtgRatesDataTable756[[#This Row],[asofdate]]),MONTH(OneWeekMtgRatesDataTable756[[#This Row],[asofdate]]),DAY(OneWeekMtgRatesDataTable756[[#This Row],[asofdate]]))</f>
        <v>40597</v>
      </c>
      <c r="E1365" s="48" t="s">
        <v>11</v>
      </c>
      <c r="F1365" s="55">
        <v>0.26150000000000001</v>
      </c>
    </row>
    <row r="1366" spans="2:6">
      <c r="B1366" s="48" t="s">
        <v>20</v>
      </c>
      <c r="C1366" s="48" t="s">
        <v>472</v>
      </c>
      <c r="D1366" s="48">
        <f>DATE(YEAR(OneWeekMtgRatesDataTable756[[#This Row],[asofdate]]),MONTH(OneWeekMtgRatesDataTable756[[#This Row],[asofdate]]),DAY(OneWeekMtgRatesDataTable756[[#This Row],[asofdate]]))</f>
        <v>40596</v>
      </c>
      <c r="E1366" s="48" t="s">
        <v>11</v>
      </c>
      <c r="F1366" s="55">
        <v>0.26150000000000001</v>
      </c>
    </row>
    <row r="1367" spans="2:6">
      <c r="B1367" s="48" t="s">
        <v>20</v>
      </c>
      <c r="C1367" s="48" t="s">
        <v>471</v>
      </c>
      <c r="D1367" s="48">
        <f>DATE(YEAR(OneWeekMtgRatesDataTable756[[#This Row],[asofdate]]),MONTH(OneWeekMtgRatesDataTable756[[#This Row],[asofdate]]),DAY(OneWeekMtgRatesDataTable756[[#This Row],[asofdate]]))</f>
        <v>40592</v>
      </c>
      <c r="E1367" s="48" t="s">
        <v>11</v>
      </c>
      <c r="F1367" s="55">
        <v>0.26200000000000001</v>
      </c>
    </row>
    <row r="1368" spans="2:6">
      <c r="B1368" s="48" t="s">
        <v>20</v>
      </c>
      <c r="C1368" s="48" t="s">
        <v>470</v>
      </c>
      <c r="D1368" s="48">
        <f>DATE(YEAR(OneWeekMtgRatesDataTable756[[#This Row],[asofdate]]),MONTH(OneWeekMtgRatesDataTable756[[#This Row],[asofdate]]),DAY(OneWeekMtgRatesDataTable756[[#This Row],[asofdate]]))</f>
        <v>40591</v>
      </c>
      <c r="E1368" s="48" t="s">
        <v>11</v>
      </c>
      <c r="F1368" s="55">
        <v>0.26300000000000001</v>
      </c>
    </row>
    <row r="1369" spans="2:6">
      <c r="B1369" s="48" t="s">
        <v>20</v>
      </c>
      <c r="C1369" s="48" t="s">
        <v>469</v>
      </c>
      <c r="D1369" s="48">
        <f>DATE(YEAR(OneWeekMtgRatesDataTable756[[#This Row],[asofdate]]),MONTH(OneWeekMtgRatesDataTable756[[#This Row],[asofdate]]),DAY(OneWeekMtgRatesDataTable756[[#This Row],[asofdate]]))</f>
        <v>40590</v>
      </c>
      <c r="E1369" s="48" t="s">
        <v>11</v>
      </c>
      <c r="F1369" s="55">
        <v>0.26300000000000001</v>
      </c>
    </row>
    <row r="1370" spans="2:6">
      <c r="B1370" s="48" t="s">
        <v>20</v>
      </c>
      <c r="C1370" s="48" t="s">
        <v>468</v>
      </c>
      <c r="D1370" s="48">
        <f>DATE(YEAR(OneWeekMtgRatesDataTable756[[#This Row],[asofdate]]),MONTH(OneWeekMtgRatesDataTable756[[#This Row],[asofdate]]),DAY(OneWeekMtgRatesDataTable756[[#This Row],[asofdate]]))</f>
        <v>40589</v>
      </c>
      <c r="E1370" s="48" t="s">
        <v>11</v>
      </c>
      <c r="F1370" s="55">
        <v>0.26400000000000001</v>
      </c>
    </row>
    <row r="1371" spans="2:6">
      <c r="B1371" s="48" t="s">
        <v>20</v>
      </c>
      <c r="C1371" s="48" t="s">
        <v>467</v>
      </c>
      <c r="D1371" s="48">
        <f>DATE(YEAR(OneWeekMtgRatesDataTable756[[#This Row],[asofdate]]),MONTH(OneWeekMtgRatesDataTable756[[#This Row],[asofdate]]),DAY(OneWeekMtgRatesDataTable756[[#This Row],[asofdate]]))</f>
        <v>40588</v>
      </c>
      <c r="E1371" s="48" t="s">
        <v>11</v>
      </c>
      <c r="F1371" s="55">
        <v>0.26474999999999999</v>
      </c>
    </row>
    <row r="1372" spans="2:6">
      <c r="B1372" s="48" t="s">
        <v>20</v>
      </c>
      <c r="C1372" s="48" t="s">
        <v>466</v>
      </c>
      <c r="D1372" s="48">
        <f>DATE(YEAR(OneWeekMtgRatesDataTable756[[#This Row],[asofdate]]),MONTH(OneWeekMtgRatesDataTable756[[#This Row],[asofdate]]),DAY(OneWeekMtgRatesDataTable756[[#This Row],[asofdate]]))</f>
        <v>40585</v>
      </c>
      <c r="E1372" s="48" t="s">
        <v>11</v>
      </c>
      <c r="F1372" s="55">
        <v>0.26574999999999999</v>
      </c>
    </row>
    <row r="1373" spans="2:6">
      <c r="B1373" s="48" t="s">
        <v>20</v>
      </c>
      <c r="C1373" s="48" t="s">
        <v>465</v>
      </c>
      <c r="D1373" s="48">
        <f>DATE(YEAR(OneWeekMtgRatesDataTable756[[#This Row],[asofdate]]),MONTH(OneWeekMtgRatesDataTable756[[#This Row],[asofdate]]),DAY(OneWeekMtgRatesDataTable756[[#This Row],[asofdate]]))</f>
        <v>40584</v>
      </c>
      <c r="E1373" s="48" t="s">
        <v>11</v>
      </c>
      <c r="F1373" s="55">
        <v>0.26400000000000001</v>
      </c>
    </row>
    <row r="1374" spans="2:6">
      <c r="B1374" s="48" t="s">
        <v>20</v>
      </c>
      <c r="C1374" s="48" t="s">
        <v>464</v>
      </c>
      <c r="D1374" s="48">
        <f>DATE(YEAR(OneWeekMtgRatesDataTable756[[#This Row],[asofdate]]),MONTH(OneWeekMtgRatesDataTable756[[#This Row],[asofdate]]),DAY(OneWeekMtgRatesDataTable756[[#This Row],[asofdate]]))</f>
        <v>40583</v>
      </c>
      <c r="E1374" s="48" t="s">
        <v>11</v>
      </c>
      <c r="F1374" s="55">
        <v>0.26400000000000001</v>
      </c>
    </row>
    <row r="1375" spans="2:6">
      <c r="B1375" s="48" t="s">
        <v>20</v>
      </c>
      <c r="C1375" s="48" t="s">
        <v>463</v>
      </c>
      <c r="D1375" s="48">
        <f>DATE(YEAR(OneWeekMtgRatesDataTable756[[#This Row],[asofdate]]),MONTH(OneWeekMtgRatesDataTable756[[#This Row],[asofdate]]),DAY(OneWeekMtgRatesDataTable756[[#This Row],[asofdate]]))</f>
        <v>40582</v>
      </c>
      <c r="E1375" s="48" t="s">
        <v>11</v>
      </c>
      <c r="F1375" s="55">
        <v>0.26400000000000001</v>
      </c>
    </row>
    <row r="1376" spans="2:6">
      <c r="B1376" s="48" t="s">
        <v>20</v>
      </c>
      <c r="C1376" s="48" t="s">
        <v>462</v>
      </c>
      <c r="D1376" s="48">
        <f>DATE(YEAR(OneWeekMtgRatesDataTable756[[#This Row],[asofdate]]),MONTH(OneWeekMtgRatesDataTable756[[#This Row],[asofdate]]),DAY(OneWeekMtgRatesDataTable756[[#This Row],[asofdate]]))</f>
        <v>40581</v>
      </c>
      <c r="E1376" s="48" t="s">
        <v>11</v>
      </c>
      <c r="F1376" s="55">
        <v>0.26374999999999998</v>
      </c>
    </row>
    <row r="1377" spans="2:6">
      <c r="B1377" s="48" t="s">
        <v>20</v>
      </c>
      <c r="C1377" s="48" t="s">
        <v>461</v>
      </c>
      <c r="D1377" s="48">
        <f>DATE(YEAR(OneWeekMtgRatesDataTable756[[#This Row],[asofdate]]),MONTH(OneWeekMtgRatesDataTable756[[#This Row],[asofdate]]),DAY(OneWeekMtgRatesDataTable756[[#This Row],[asofdate]]))</f>
        <v>40578</v>
      </c>
      <c r="E1377" s="48" t="s">
        <v>11</v>
      </c>
      <c r="F1377" s="55">
        <v>0.26274999999999998</v>
      </c>
    </row>
    <row r="1378" spans="2:6">
      <c r="B1378" s="48" t="s">
        <v>20</v>
      </c>
      <c r="C1378" s="48" t="s">
        <v>460</v>
      </c>
      <c r="D1378" s="48">
        <f>DATE(YEAR(OneWeekMtgRatesDataTable756[[#This Row],[asofdate]]),MONTH(OneWeekMtgRatesDataTable756[[#This Row],[asofdate]]),DAY(OneWeekMtgRatesDataTable756[[#This Row],[asofdate]]))</f>
        <v>40577</v>
      </c>
      <c r="E1378" s="48" t="s">
        <v>11</v>
      </c>
      <c r="F1378" s="55">
        <v>0.26300000000000001</v>
      </c>
    </row>
    <row r="1379" spans="2:6">
      <c r="B1379" s="48" t="s">
        <v>20</v>
      </c>
      <c r="C1379" s="48" t="s">
        <v>459</v>
      </c>
      <c r="D1379" s="48">
        <f>DATE(YEAR(OneWeekMtgRatesDataTable756[[#This Row],[asofdate]]),MONTH(OneWeekMtgRatesDataTable756[[#This Row],[asofdate]]),DAY(OneWeekMtgRatesDataTable756[[#This Row],[asofdate]]))</f>
        <v>40576</v>
      </c>
      <c r="E1379" s="48" t="s">
        <v>11</v>
      </c>
      <c r="F1379" s="55">
        <v>0.26300000000000001</v>
      </c>
    </row>
    <row r="1380" spans="2:6">
      <c r="B1380" s="48" t="s">
        <v>20</v>
      </c>
      <c r="C1380" s="48" t="s">
        <v>458</v>
      </c>
      <c r="D1380" s="48">
        <f>DATE(YEAR(OneWeekMtgRatesDataTable756[[#This Row],[asofdate]]),MONTH(OneWeekMtgRatesDataTable756[[#This Row],[asofdate]]),DAY(OneWeekMtgRatesDataTable756[[#This Row],[asofdate]]))</f>
        <v>40575</v>
      </c>
      <c r="E1380" s="48" t="s">
        <v>11</v>
      </c>
      <c r="F1380" s="55">
        <v>0.26300000000000001</v>
      </c>
    </row>
    <row r="1381" spans="2:6">
      <c r="B1381" s="48" t="s">
        <v>20</v>
      </c>
      <c r="C1381" s="48" t="s">
        <v>457</v>
      </c>
      <c r="D1381" s="48">
        <f>DATE(YEAR(OneWeekMtgRatesDataTable756[[#This Row],[asofdate]]),MONTH(OneWeekMtgRatesDataTable756[[#This Row],[asofdate]]),DAY(OneWeekMtgRatesDataTable756[[#This Row],[asofdate]]))</f>
        <v>40574</v>
      </c>
      <c r="E1381" s="48" t="s">
        <v>11</v>
      </c>
      <c r="F1381" s="55">
        <v>0.26</v>
      </c>
    </row>
    <row r="1382" spans="2:6">
      <c r="B1382" s="48" t="s">
        <v>20</v>
      </c>
      <c r="C1382" s="48" t="s">
        <v>456</v>
      </c>
      <c r="D1382" s="48">
        <f>DATE(YEAR(OneWeekMtgRatesDataTable756[[#This Row],[asofdate]]),MONTH(OneWeekMtgRatesDataTable756[[#This Row],[asofdate]]),DAY(OneWeekMtgRatesDataTable756[[#This Row],[asofdate]]))</f>
        <v>40571</v>
      </c>
      <c r="E1382" s="48" t="s">
        <v>11</v>
      </c>
      <c r="F1382" s="55">
        <v>0.26</v>
      </c>
    </row>
    <row r="1383" spans="2:6">
      <c r="B1383" s="48" t="s">
        <v>20</v>
      </c>
      <c r="C1383" s="48" t="s">
        <v>455</v>
      </c>
      <c r="D1383" s="48">
        <f>DATE(YEAR(OneWeekMtgRatesDataTable756[[#This Row],[asofdate]]),MONTH(OneWeekMtgRatesDataTable756[[#This Row],[asofdate]]),DAY(OneWeekMtgRatesDataTable756[[#This Row],[asofdate]]))</f>
        <v>40570</v>
      </c>
      <c r="E1383" s="48" t="s">
        <v>11</v>
      </c>
      <c r="F1383" s="55">
        <v>0.26</v>
      </c>
    </row>
    <row r="1384" spans="2:6">
      <c r="B1384" s="48" t="s">
        <v>20</v>
      </c>
      <c r="C1384" s="48" t="s">
        <v>454</v>
      </c>
      <c r="D1384" s="48">
        <f>DATE(YEAR(OneWeekMtgRatesDataTable756[[#This Row],[asofdate]]),MONTH(OneWeekMtgRatesDataTable756[[#This Row],[asofdate]]),DAY(OneWeekMtgRatesDataTable756[[#This Row],[asofdate]]))</f>
        <v>40569</v>
      </c>
      <c r="E1384" s="48" t="s">
        <v>11</v>
      </c>
      <c r="F1384" s="55">
        <v>0.26</v>
      </c>
    </row>
    <row r="1385" spans="2:6">
      <c r="B1385" s="48" t="s">
        <v>20</v>
      </c>
      <c r="C1385" s="48" t="s">
        <v>453</v>
      </c>
      <c r="D1385" s="48">
        <f>DATE(YEAR(OneWeekMtgRatesDataTable756[[#This Row],[asofdate]]),MONTH(OneWeekMtgRatesDataTable756[[#This Row],[asofdate]]),DAY(OneWeekMtgRatesDataTable756[[#This Row],[asofdate]]))</f>
        <v>40568</v>
      </c>
      <c r="E1385" s="48" t="s">
        <v>11</v>
      </c>
      <c r="F1385" s="55">
        <v>0.26</v>
      </c>
    </row>
    <row r="1386" spans="2:6">
      <c r="B1386" s="48" t="s">
        <v>20</v>
      </c>
      <c r="C1386" s="48" t="s">
        <v>452</v>
      </c>
      <c r="D1386" s="48">
        <f>DATE(YEAR(OneWeekMtgRatesDataTable756[[#This Row],[asofdate]]),MONTH(OneWeekMtgRatesDataTable756[[#This Row],[asofdate]]),DAY(OneWeekMtgRatesDataTable756[[#This Row],[asofdate]]))</f>
        <v>40567</v>
      </c>
      <c r="E1386" s="48" t="s">
        <v>11</v>
      </c>
      <c r="F1386" s="55">
        <v>0.26</v>
      </c>
    </row>
    <row r="1387" spans="2:6">
      <c r="B1387" s="48" t="s">
        <v>20</v>
      </c>
      <c r="C1387" s="48" t="s">
        <v>451</v>
      </c>
      <c r="D1387" s="48">
        <f>DATE(YEAR(OneWeekMtgRatesDataTable756[[#This Row],[asofdate]]),MONTH(OneWeekMtgRatesDataTable756[[#This Row],[asofdate]]),DAY(OneWeekMtgRatesDataTable756[[#This Row],[asofdate]]))</f>
        <v>40564</v>
      </c>
      <c r="E1387" s="48" t="s">
        <v>11</v>
      </c>
      <c r="F1387" s="55">
        <v>0.26</v>
      </c>
    </row>
    <row r="1388" spans="2:6">
      <c r="B1388" s="48" t="s">
        <v>20</v>
      </c>
      <c r="C1388" s="48" t="s">
        <v>450</v>
      </c>
      <c r="D1388" s="48">
        <f>DATE(YEAR(OneWeekMtgRatesDataTable756[[#This Row],[asofdate]]),MONTH(OneWeekMtgRatesDataTable756[[#This Row],[asofdate]]),DAY(OneWeekMtgRatesDataTable756[[#This Row],[asofdate]]))</f>
        <v>40563</v>
      </c>
      <c r="E1388" s="48" t="s">
        <v>11</v>
      </c>
      <c r="F1388" s="55">
        <v>0.26</v>
      </c>
    </row>
    <row r="1389" spans="2:6">
      <c r="B1389" s="48" t="s">
        <v>20</v>
      </c>
      <c r="C1389" s="48" t="s">
        <v>449</v>
      </c>
      <c r="D1389" s="48">
        <f>DATE(YEAR(OneWeekMtgRatesDataTable756[[#This Row],[asofdate]]),MONTH(OneWeekMtgRatesDataTable756[[#This Row],[asofdate]]),DAY(OneWeekMtgRatesDataTable756[[#This Row],[asofdate]]))</f>
        <v>40562</v>
      </c>
      <c r="E1389" s="48" t="s">
        <v>11</v>
      </c>
      <c r="F1389" s="55">
        <v>0.26</v>
      </c>
    </row>
    <row r="1390" spans="2:6">
      <c r="B1390" s="48" t="s">
        <v>20</v>
      </c>
      <c r="C1390" s="48" t="s">
        <v>448</v>
      </c>
      <c r="D1390" s="48">
        <f>DATE(YEAR(OneWeekMtgRatesDataTable756[[#This Row],[asofdate]]),MONTH(OneWeekMtgRatesDataTable756[[#This Row],[asofdate]]),DAY(OneWeekMtgRatesDataTable756[[#This Row],[asofdate]]))</f>
        <v>40561</v>
      </c>
      <c r="E1390" s="48" t="s">
        <v>11</v>
      </c>
      <c r="F1390" s="55">
        <v>0.26062999999999997</v>
      </c>
    </row>
    <row r="1391" spans="2:6">
      <c r="B1391" s="48" t="s">
        <v>20</v>
      </c>
      <c r="C1391" s="48" t="s">
        <v>447</v>
      </c>
      <c r="D1391" s="48">
        <f>DATE(YEAR(OneWeekMtgRatesDataTable756[[#This Row],[asofdate]]),MONTH(OneWeekMtgRatesDataTable756[[#This Row],[asofdate]]),DAY(OneWeekMtgRatesDataTable756[[#This Row],[asofdate]]))</f>
        <v>40557</v>
      </c>
      <c r="E1391" s="48" t="s">
        <v>11</v>
      </c>
      <c r="F1391" s="55">
        <v>0.26124999999999998</v>
      </c>
    </row>
    <row r="1392" spans="2:6">
      <c r="B1392" s="48" t="s">
        <v>20</v>
      </c>
      <c r="C1392" s="48" t="s">
        <v>446</v>
      </c>
      <c r="D1392" s="48">
        <f>DATE(YEAR(OneWeekMtgRatesDataTable756[[#This Row],[asofdate]]),MONTH(OneWeekMtgRatesDataTable756[[#This Row],[asofdate]]),DAY(OneWeekMtgRatesDataTable756[[#This Row],[asofdate]]))</f>
        <v>40556</v>
      </c>
      <c r="E1392" s="48" t="s">
        <v>11</v>
      </c>
      <c r="F1392" s="55">
        <v>0.26124999999999998</v>
      </c>
    </row>
    <row r="1393" spans="2:6">
      <c r="B1393" s="48" t="s">
        <v>20</v>
      </c>
      <c r="C1393" s="48" t="s">
        <v>445</v>
      </c>
      <c r="D1393" s="48">
        <f>DATE(YEAR(OneWeekMtgRatesDataTable756[[#This Row],[asofdate]]),MONTH(OneWeekMtgRatesDataTable756[[#This Row],[asofdate]]),DAY(OneWeekMtgRatesDataTable756[[#This Row],[asofdate]]))</f>
        <v>40555</v>
      </c>
      <c r="E1393" s="48" t="s">
        <v>11</v>
      </c>
      <c r="F1393" s="55">
        <v>0.26124999999999998</v>
      </c>
    </row>
    <row r="1394" spans="2:6">
      <c r="B1394" s="48" t="s">
        <v>20</v>
      </c>
      <c r="C1394" s="48" t="s">
        <v>444</v>
      </c>
      <c r="D1394" s="48">
        <f>DATE(YEAR(OneWeekMtgRatesDataTable756[[#This Row],[asofdate]]),MONTH(OneWeekMtgRatesDataTable756[[#This Row],[asofdate]]),DAY(OneWeekMtgRatesDataTable756[[#This Row],[asofdate]]))</f>
        <v>40554</v>
      </c>
      <c r="E1394" s="48" t="s">
        <v>11</v>
      </c>
      <c r="F1394" s="55">
        <v>0.26124999999999998</v>
      </c>
    </row>
    <row r="1395" spans="2:6">
      <c r="B1395" s="48" t="s">
        <v>20</v>
      </c>
      <c r="C1395" s="48" t="s">
        <v>443</v>
      </c>
      <c r="D1395" s="48">
        <f>DATE(YEAR(OneWeekMtgRatesDataTable756[[#This Row],[asofdate]]),MONTH(OneWeekMtgRatesDataTable756[[#This Row],[asofdate]]),DAY(OneWeekMtgRatesDataTable756[[#This Row],[asofdate]]))</f>
        <v>40553</v>
      </c>
      <c r="E1395" s="48" t="s">
        <v>11</v>
      </c>
      <c r="F1395" s="55">
        <v>0.26124999999999998</v>
      </c>
    </row>
    <row r="1396" spans="2:6">
      <c r="B1396" s="48" t="s">
        <v>20</v>
      </c>
      <c r="C1396" s="48" t="s">
        <v>442</v>
      </c>
      <c r="D1396" s="48">
        <f>DATE(YEAR(OneWeekMtgRatesDataTable756[[#This Row],[asofdate]]),MONTH(OneWeekMtgRatesDataTable756[[#This Row],[asofdate]]),DAY(OneWeekMtgRatesDataTable756[[#This Row],[asofdate]]))</f>
        <v>40550</v>
      </c>
      <c r="E1396" s="48" t="s">
        <v>11</v>
      </c>
      <c r="F1396" s="55">
        <v>0.26124999999999998</v>
      </c>
    </row>
    <row r="1397" spans="2:6">
      <c r="B1397" s="48" t="s">
        <v>20</v>
      </c>
      <c r="C1397" s="48" t="s">
        <v>441</v>
      </c>
      <c r="D1397" s="48">
        <f>DATE(YEAR(OneWeekMtgRatesDataTable756[[#This Row],[asofdate]]),MONTH(OneWeekMtgRatesDataTable756[[#This Row],[asofdate]]),DAY(OneWeekMtgRatesDataTable756[[#This Row],[asofdate]]))</f>
        <v>40549</v>
      </c>
      <c r="E1397" s="48" t="s">
        <v>11</v>
      </c>
      <c r="F1397" s="55">
        <v>0.26124999999999998</v>
      </c>
    </row>
    <row r="1398" spans="2:6">
      <c r="B1398" s="48" t="s">
        <v>20</v>
      </c>
      <c r="C1398" s="48" t="s">
        <v>440</v>
      </c>
      <c r="D1398" s="48">
        <f>DATE(YEAR(OneWeekMtgRatesDataTable756[[#This Row],[asofdate]]),MONTH(OneWeekMtgRatesDataTable756[[#This Row],[asofdate]]),DAY(OneWeekMtgRatesDataTable756[[#This Row],[asofdate]]))</f>
        <v>40548</v>
      </c>
      <c r="E1398" s="48" t="s">
        <v>11</v>
      </c>
      <c r="F1398" s="55">
        <v>0.26124999999999998</v>
      </c>
    </row>
    <row r="1399" spans="2:6">
      <c r="B1399" s="48" t="s">
        <v>20</v>
      </c>
      <c r="C1399" s="48" t="s">
        <v>439</v>
      </c>
      <c r="D1399" s="48">
        <f>DATE(YEAR(OneWeekMtgRatesDataTable756[[#This Row],[asofdate]]),MONTH(OneWeekMtgRatesDataTable756[[#This Row],[asofdate]]),DAY(OneWeekMtgRatesDataTable756[[#This Row],[asofdate]]))</f>
        <v>40547</v>
      </c>
      <c r="E1399" s="48" t="s">
        <v>11</v>
      </c>
      <c r="F1399" s="55">
        <v>0.26062999999999997</v>
      </c>
    </row>
    <row r="1400" spans="2:6">
      <c r="B1400" s="48" t="s">
        <v>20</v>
      </c>
      <c r="C1400" s="48" t="s">
        <v>438</v>
      </c>
      <c r="D1400" s="48">
        <f>DATE(YEAR(OneWeekMtgRatesDataTable756[[#This Row],[asofdate]]),MONTH(OneWeekMtgRatesDataTable756[[#This Row],[asofdate]]),DAY(OneWeekMtgRatesDataTable756[[#This Row],[asofdate]]))</f>
        <v>40546</v>
      </c>
      <c r="E1400" s="48" t="s">
        <v>11</v>
      </c>
      <c r="F1400" s="55">
        <v>0.26062999999999997</v>
      </c>
    </row>
    <row r="1401" spans="2:6">
      <c r="B1401" s="48" t="s">
        <v>20</v>
      </c>
      <c r="C1401" s="48" t="s">
        <v>437</v>
      </c>
      <c r="D1401" s="48">
        <f>DATE(YEAR(OneWeekMtgRatesDataTable756[[#This Row],[asofdate]]),MONTH(OneWeekMtgRatesDataTable756[[#This Row],[asofdate]]),DAY(OneWeekMtgRatesDataTable756[[#This Row],[asofdate]]))</f>
        <v>40543</v>
      </c>
      <c r="E1401" s="48" t="s">
        <v>11</v>
      </c>
      <c r="F1401" s="55">
        <v>0.26062999999999997</v>
      </c>
    </row>
    <row r="1402" spans="2:6">
      <c r="B1402" s="48" t="s">
        <v>20</v>
      </c>
      <c r="C1402" s="48" t="s">
        <v>436</v>
      </c>
      <c r="D1402" s="48">
        <f>DATE(YEAR(OneWeekMtgRatesDataTable756[[#This Row],[asofdate]]),MONTH(OneWeekMtgRatesDataTable756[[#This Row],[asofdate]]),DAY(OneWeekMtgRatesDataTable756[[#This Row],[asofdate]]))</f>
        <v>40542</v>
      </c>
      <c r="E1402" s="48" t="s">
        <v>11</v>
      </c>
      <c r="F1402" s="55">
        <v>0.26062999999999997</v>
      </c>
    </row>
    <row r="1403" spans="2:6">
      <c r="B1403" s="48" t="s">
        <v>20</v>
      </c>
      <c r="C1403" s="48" t="s">
        <v>435</v>
      </c>
      <c r="D1403" s="48">
        <f>DATE(YEAR(OneWeekMtgRatesDataTable756[[#This Row],[asofdate]]),MONTH(OneWeekMtgRatesDataTable756[[#This Row],[asofdate]]),DAY(OneWeekMtgRatesDataTable756[[#This Row],[asofdate]]))</f>
        <v>40541</v>
      </c>
      <c r="E1403" s="48" t="s">
        <v>11</v>
      </c>
      <c r="F1403" s="55">
        <v>0.26062999999999997</v>
      </c>
    </row>
    <row r="1404" spans="2:6">
      <c r="B1404" s="48" t="s">
        <v>20</v>
      </c>
      <c r="C1404" s="48" t="s">
        <v>434</v>
      </c>
      <c r="D1404" s="48">
        <f>DATE(YEAR(OneWeekMtgRatesDataTable756[[#This Row],[asofdate]]),MONTH(OneWeekMtgRatesDataTable756[[#This Row],[asofdate]]),DAY(OneWeekMtgRatesDataTable756[[#This Row],[asofdate]]))</f>
        <v>40540</v>
      </c>
      <c r="E1404" s="48" t="s">
        <v>11</v>
      </c>
      <c r="F1404" s="55">
        <v>0.26062999999999997</v>
      </c>
    </row>
    <row r="1405" spans="2:6">
      <c r="B1405" s="48" t="s">
        <v>20</v>
      </c>
      <c r="C1405" s="48" t="s">
        <v>433</v>
      </c>
      <c r="D1405" s="48">
        <f>DATE(YEAR(OneWeekMtgRatesDataTable756[[#This Row],[asofdate]]),MONTH(OneWeekMtgRatesDataTable756[[#This Row],[asofdate]]),DAY(OneWeekMtgRatesDataTable756[[#This Row],[asofdate]]))</f>
        <v>40539</v>
      </c>
      <c r="E1405" s="48" t="s">
        <v>11</v>
      </c>
      <c r="F1405" s="55">
        <v>0.26062999999999997</v>
      </c>
    </row>
    <row r="1406" spans="2:6">
      <c r="B1406" s="48" t="s">
        <v>20</v>
      </c>
      <c r="C1406" s="48" t="s">
        <v>432</v>
      </c>
      <c r="D1406" s="48">
        <f>DATE(YEAR(OneWeekMtgRatesDataTable756[[#This Row],[asofdate]]),MONTH(OneWeekMtgRatesDataTable756[[#This Row],[asofdate]]),DAY(OneWeekMtgRatesDataTable756[[#This Row],[asofdate]]))</f>
        <v>40535</v>
      </c>
      <c r="E1406" s="48" t="s">
        <v>11</v>
      </c>
      <c r="F1406" s="55">
        <v>0.26062999999999997</v>
      </c>
    </row>
    <row r="1407" spans="2:6">
      <c r="B1407" s="48" t="s">
        <v>20</v>
      </c>
      <c r="C1407" s="48" t="s">
        <v>431</v>
      </c>
      <c r="D1407" s="48">
        <f>DATE(YEAR(OneWeekMtgRatesDataTable756[[#This Row],[asofdate]]),MONTH(OneWeekMtgRatesDataTable756[[#This Row],[asofdate]]),DAY(OneWeekMtgRatesDataTable756[[#This Row],[asofdate]]))</f>
        <v>40534</v>
      </c>
      <c r="E1407" s="48" t="s">
        <v>11</v>
      </c>
      <c r="F1407" s="55">
        <v>0.26062999999999997</v>
      </c>
    </row>
    <row r="1408" spans="2:6">
      <c r="B1408" s="48" t="s">
        <v>20</v>
      </c>
      <c r="C1408" s="48" t="s">
        <v>430</v>
      </c>
      <c r="D1408" s="48">
        <f>DATE(YEAR(OneWeekMtgRatesDataTable756[[#This Row],[asofdate]]),MONTH(OneWeekMtgRatesDataTable756[[#This Row],[asofdate]]),DAY(OneWeekMtgRatesDataTable756[[#This Row],[asofdate]]))</f>
        <v>40533</v>
      </c>
      <c r="E1408" s="48" t="s">
        <v>11</v>
      </c>
      <c r="F1408" s="55">
        <v>0.26062999999999997</v>
      </c>
    </row>
    <row r="1409" spans="2:6">
      <c r="B1409" s="48" t="s">
        <v>20</v>
      </c>
      <c r="C1409" s="48" t="s">
        <v>429</v>
      </c>
      <c r="D1409" s="48">
        <f>DATE(YEAR(OneWeekMtgRatesDataTable756[[#This Row],[asofdate]]),MONTH(OneWeekMtgRatesDataTable756[[#This Row],[asofdate]]),DAY(OneWeekMtgRatesDataTable756[[#This Row],[asofdate]]))</f>
        <v>40532</v>
      </c>
      <c r="E1409" s="48" t="s">
        <v>11</v>
      </c>
      <c r="F1409" s="55">
        <v>0.26062999999999997</v>
      </c>
    </row>
    <row r="1410" spans="2:6">
      <c r="B1410" s="48" t="s">
        <v>20</v>
      </c>
      <c r="C1410" s="48" t="s">
        <v>428</v>
      </c>
      <c r="D1410" s="48">
        <f>DATE(YEAR(OneWeekMtgRatesDataTable756[[#This Row],[asofdate]]),MONTH(OneWeekMtgRatesDataTable756[[#This Row],[asofdate]]),DAY(OneWeekMtgRatesDataTable756[[#This Row],[asofdate]]))</f>
        <v>40529</v>
      </c>
      <c r="E1410" s="48" t="s">
        <v>11</v>
      </c>
      <c r="F1410" s="55">
        <v>0.26062999999999997</v>
      </c>
    </row>
    <row r="1411" spans="2:6">
      <c r="B1411" s="48" t="s">
        <v>20</v>
      </c>
      <c r="C1411" s="48" t="s">
        <v>427</v>
      </c>
      <c r="D1411" s="48">
        <f>DATE(YEAR(OneWeekMtgRatesDataTable756[[#This Row],[asofdate]]),MONTH(OneWeekMtgRatesDataTable756[[#This Row],[asofdate]]),DAY(OneWeekMtgRatesDataTable756[[#This Row],[asofdate]]))</f>
        <v>40528</v>
      </c>
      <c r="E1411" s="48" t="s">
        <v>11</v>
      </c>
      <c r="F1411" s="55">
        <v>0.26062999999999997</v>
      </c>
    </row>
    <row r="1412" spans="2:6">
      <c r="B1412" s="48" t="s">
        <v>20</v>
      </c>
      <c r="C1412" s="48" t="s">
        <v>426</v>
      </c>
      <c r="D1412" s="48">
        <f>DATE(YEAR(OneWeekMtgRatesDataTable756[[#This Row],[asofdate]]),MONTH(OneWeekMtgRatesDataTable756[[#This Row],[asofdate]]),DAY(OneWeekMtgRatesDataTable756[[#This Row],[asofdate]]))</f>
        <v>40527</v>
      </c>
      <c r="E1412" s="48" t="s">
        <v>11</v>
      </c>
      <c r="F1412" s="55">
        <v>0.26062999999999997</v>
      </c>
    </row>
    <row r="1413" spans="2:6">
      <c r="B1413" s="48" t="s">
        <v>20</v>
      </c>
      <c r="C1413" s="48" t="s">
        <v>425</v>
      </c>
      <c r="D1413" s="48">
        <f>DATE(YEAR(OneWeekMtgRatesDataTable756[[#This Row],[asofdate]]),MONTH(OneWeekMtgRatesDataTable756[[#This Row],[asofdate]]),DAY(OneWeekMtgRatesDataTable756[[#This Row],[asofdate]]))</f>
        <v>40526</v>
      </c>
      <c r="E1413" s="48" t="s">
        <v>11</v>
      </c>
      <c r="F1413" s="55">
        <v>0.26062999999999997</v>
      </c>
    </row>
    <row r="1414" spans="2:6">
      <c r="B1414" s="48" t="s">
        <v>20</v>
      </c>
      <c r="C1414" s="48" t="s">
        <v>424</v>
      </c>
      <c r="D1414" s="48">
        <f>DATE(YEAR(OneWeekMtgRatesDataTable756[[#This Row],[asofdate]]),MONTH(OneWeekMtgRatesDataTable756[[#This Row],[asofdate]]),DAY(OneWeekMtgRatesDataTable756[[#This Row],[asofdate]]))</f>
        <v>40525</v>
      </c>
      <c r="E1414" s="48" t="s">
        <v>11</v>
      </c>
      <c r="F1414" s="55">
        <v>0.26030999999999999</v>
      </c>
    </row>
    <row r="1415" spans="2:6">
      <c r="B1415" s="48" t="s">
        <v>20</v>
      </c>
      <c r="C1415" s="48" t="s">
        <v>423</v>
      </c>
      <c r="D1415" s="48">
        <f>DATE(YEAR(OneWeekMtgRatesDataTable756[[#This Row],[asofdate]]),MONTH(OneWeekMtgRatesDataTable756[[#This Row],[asofdate]]),DAY(OneWeekMtgRatesDataTable756[[#This Row],[asofdate]]))</f>
        <v>40522</v>
      </c>
      <c r="E1415" s="48" t="s">
        <v>11</v>
      </c>
      <c r="F1415" s="55">
        <v>0.26030999999999999</v>
      </c>
    </row>
    <row r="1416" spans="2:6">
      <c r="B1416" s="48" t="s">
        <v>20</v>
      </c>
      <c r="C1416" s="48" t="s">
        <v>422</v>
      </c>
      <c r="D1416" s="48">
        <f>DATE(YEAR(OneWeekMtgRatesDataTable756[[#This Row],[asofdate]]),MONTH(OneWeekMtgRatesDataTable756[[#This Row],[asofdate]]),DAY(OneWeekMtgRatesDataTable756[[#This Row],[asofdate]]))</f>
        <v>40521</v>
      </c>
      <c r="E1416" s="48" t="s">
        <v>11</v>
      </c>
      <c r="F1416" s="55">
        <v>0.26218999999999998</v>
      </c>
    </row>
    <row r="1417" spans="2:6">
      <c r="B1417" s="48" t="s">
        <v>20</v>
      </c>
      <c r="C1417" s="48" t="s">
        <v>421</v>
      </c>
      <c r="D1417" s="48">
        <f>DATE(YEAR(OneWeekMtgRatesDataTable756[[#This Row],[asofdate]]),MONTH(OneWeekMtgRatesDataTable756[[#This Row],[asofdate]]),DAY(OneWeekMtgRatesDataTable756[[#This Row],[asofdate]]))</f>
        <v>40520</v>
      </c>
      <c r="E1417" s="48" t="s">
        <v>11</v>
      </c>
      <c r="F1417" s="55">
        <v>0.26250000000000001</v>
      </c>
    </row>
    <row r="1418" spans="2:6">
      <c r="B1418" s="48" t="s">
        <v>20</v>
      </c>
      <c r="C1418" s="48" t="s">
        <v>420</v>
      </c>
      <c r="D1418" s="48">
        <f>DATE(YEAR(OneWeekMtgRatesDataTable756[[#This Row],[asofdate]]),MONTH(OneWeekMtgRatesDataTable756[[#This Row],[asofdate]]),DAY(OneWeekMtgRatesDataTable756[[#This Row],[asofdate]]))</f>
        <v>40519</v>
      </c>
      <c r="E1418" s="48" t="s">
        <v>11</v>
      </c>
      <c r="F1418" s="55">
        <v>0.26374999999999998</v>
      </c>
    </row>
    <row r="1419" spans="2:6">
      <c r="B1419" s="48" t="s">
        <v>20</v>
      </c>
      <c r="C1419" s="48" t="s">
        <v>419</v>
      </c>
      <c r="D1419" s="48">
        <f>DATE(YEAR(OneWeekMtgRatesDataTable756[[#This Row],[asofdate]]),MONTH(OneWeekMtgRatesDataTable756[[#This Row],[asofdate]]),DAY(OneWeekMtgRatesDataTable756[[#This Row],[asofdate]]))</f>
        <v>40518</v>
      </c>
      <c r="E1419" s="48" t="s">
        <v>11</v>
      </c>
      <c r="F1419" s="55">
        <v>0.26500000000000001</v>
      </c>
    </row>
    <row r="1420" spans="2:6">
      <c r="B1420" s="48" t="s">
        <v>20</v>
      </c>
      <c r="C1420" s="48" t="s">
        <v>418</v>
      </c>
      <c r="D1420" s="48">
        <f>DATE(YEAR(OneWeekMtgRatesDataTable756[[#This Row],[asofdate]]),MONTH(OneWeekMtgRatesDataTable756[[#This Row],[asofdate]]),DAY(OneWeekMtgRatesDataTable756[[#This Row],[asofdate]]))</f>
        <v>40515</v>
      </c>
      <c r="E1420" s="48" t="s">
        <v>11</v>
      </c>
      <c r="F1420" s="55">
        <v>0.26500000000000001</v>
      </c>
    </row>
    <row r="1421" spans="2:6">
      <c r="B1421" s="48" t="s">
        <v>20</v>
      </c>
      <c r="C1421" s="48" t="s">
        <v>417</v>
      </c>
      <c r="D1421" s="48">
        <f>DATE(YEAR(OneWeekMtgRatesDataTable756[[#This Row],[asofdate]]),MONTH(OneWeekMtgRatesDataTable756[[#This Row],[asofdate]]),DAY(OneWeekMtgRatesDataTable756[[#This Row],[asofdate]]))</f>
        <v>40514</v>
      </c>
      <c r="E1421" s="48" t="s">
        <v>11</v>
      </c>
      <c r="F1421" s="55">
        <v>0.26562999999999998</v>
      </c>
    </row>
    <row r="1422" spans="2:6">
      <c r="B1422" s="48" t="s">
        <v>20</v>
      </c>
      <c r="C1422" s="48" t="s">
        <v>416</v>
      </c>
      <c r="D1422" s="48">
        <f>DATE(YEAR(OneWeekMtgRatesDataTable756[[#This Row],[asofdate]]),MONTH(OneWeekMtgRatesDataTable756[[#This Row],[asofdate]]),DAY(OneWeekMtgRatesDataTable756[[#This Row],[asofdate]]))</f>
        <v>40513</v>
      </c>
      <c r="E1422" s="48" t="s">
        <v>11</v>
      </c>
      <c r="F1422" s="55">
        <v>0.26530999999999999</v>
      </c>
    </row>
    <row r="1423" spans="2:6">
      <c r="B1423" s="48" t="s">
        <v>20</v>
      </c>
      <c r="C1423" s="48" t="s">
        <v>415</v>
      </c>
      <c r="D1423" s="48">
        <f>DATE(YEAR(OneWeekMtgRatesDataTable756[[#This Row],[asofdate]]),MONTH(OneWeekMtgRatesDataTable756[[#This Row],[asofdate]]),DAY(OneWeekMtgRatesDataTable756[[#This Row],[asofdate]]))</f>
        <v>40512</v>
      </c>
      <c r="E1423" s="48" t="s">
        <v>11</v>
      </c>
      <c r="F1423" s="55">
        <v>0.26062999999999997</v>
      </c>
    </row>
    <row r="1424" spans="2:6">
      <c r="B1424" s="48" t="s">
        <v>20</v>
      </c>
      <c r="C1424" s="48" t="s">
        <v>414</v>
      </c>
      <c r="D1424" s="48">
        <f>DATE(YEAR(OneWeekMtgRatesDataTable756[[#This Row],[asofdate]]),MONTH(OneWeekMtgRatesDataTable756[[#This Row],[asofdate]]),DAY(OneWeekMtgRatesDataTable756[[#This Row],[asofdate]]))</f>
        <v>40511</v>
      </c>
      <c r="E1424" s="48" t="s">
        <v>11</v>
      </c>
      <c r="F1424" s="55">
        <v>0.25750000000000001</v>
      </c>
    </row>
    <row r="1425" spans="2:6">
      <c r="B1425" s="48" t="s">
        <v>20</v>
      </c>
      <c r="C1425" s="48" t="s">
        <v>413</v>
      </c>
      <c r="D1425" s="48">
        <f>DATE(YEAR(OneWeekMtgRatesDataTable756[[#This Row],[asofdate]]),MONTH(OneWeekMtgRatesDataTable756[[#This Row],[asofdate]]),DAY(OneWeekMtgRatesDataTable756[[#This Row],[asofdate]]))</f>
        <v>40508</v>
      </c>
      <c r="E1425" s="48" t="s">
        <v>11</v>
      </c>
      <c r="F1425" s="55">
        <v>0.25624999999999998</v>
      </c>
    </row>
    <row r="1426" spans="2:6">
      <c r="B1426" s="48" t="s">
        <v>20</v>
      </c>
      <c r="C1426" s="48" t="s">
        <v>412</v>
      </c>
      <c r="D1426" s="48">
        <f>DATE(YEAR(OneWeekMtgRatesDataTable756[[#This Row],[asofdate]]),MONTH(OneWeekMtgRatesDataTable756[[#This Row],[asofdate]]),DAY(OneWeekMtgRatesDataTable756[[#This Row],[asofdate]]))</f>
        <v>40506</v>
      </c>
      <c r="E1426" s="48" t="s">
        <v>11</v>
      </c>
      <c r="F1426" s="55">
        <v>0.25344</v>
      </c>
    </row>
    <row r="1427" spans="2:6">
      <c r="B1427" s="48" t="s">
        <v>20</v>
      </c>
      <c r="C1427" s="48" t="s">
        <v>411</v>
      </c>
      <c r="D1427" s="48">
        <f>DATE(YEAR(OneWeekMtgRatesDataTable756[[#This Row],[asofdate]]),MONTH(OneWeekMtgRatesDataTable756[[#This Row],[asofdate]]),DAY(OneWeekMtgRatesDataTable756[[#This Row],[asofdate]]))</f>
        <v>40505</v>
      </c>
      <c r="E1427" s="48" t="s">
        <v>11</v>
      </c>
      <c r="F1427" s="55">
        <v>0.25344</v>
      </c>
    </row>
    <row r="1428" spans="2:6">
      <c r="B1428" s="48" t="s">
        <v>20</v>
      </c>
      <c r="C1428" s="48" t="s">
        <v>410</v>
      </c>
      <c r="D1428" s="48">
        <f>DATE(YEAR(OneWeekMtgRatesDataTable756[[#This Row],[asofdate]]),MONTH(OneWeekMtgRatesDataTable756[[#This Row],[asofdate]]),DAY(OneWeekMtgRatesDataTable756[[#This Row],[asofdate]]))</f>
        <v>40504</v>
      </c>
      <c r="E1428" s="48" t="s">
        <v>11</v>
      </c>
      <c r="F1428" s="55">
        <v>0.25344</v>
      </c>
    </row>
    <row r="1429" spans="2:6">
      <c r="B1429" s="48" t="s">
        <v>20</v>
      </c>
      <c r="C1429" s="48" t="s">
        <v>409</v>
      </c>
      <c r="D1429" s="48">
        <f>DATE(YEAR(OneWeekMtgRatesDataTable756[[#This Row],[asofdate]]),MONTH(OneWeekMtgRatesDataTable756[[#This Row],[asofdate]]),DAY(OneWeekMtgRatesDataTable756[[#This Row],[asofdate]]))</f>
        <v>40501</v>
      </c>
      <c r="E1429" s="48" t="s">
        <v>11</v>
      </c>
      <c r="F1429" s="55">
        <v>0.25344</v>
      </c>
    </row>
    <row r="1430" spans="2:6">
      <c r="B1430" s="48" t="s">
        <v>20</v>
      </c>
      <c r="C1430" s="48" t="s">
        <v>408</v>
      </c>
      <c r="D1430" s="48">
        <f>DATE(YEAR(OneWeekMtgRatesDataTable756[[#This Row],[asofdate]]),MONTH(OneWeekMtgRatesDataTable756[[#This Row],[asofdate]]),DAY(OneWeekMtgRatesDataTable756[[#This Row],[asofdate]]))</f>
        <v>40500</v>
      </c>
      <c r="E1430" s="48" t="s">
        <v>11</v>
      </c>
      <c r="F1430" s="55">
        <v>0.25344</v>
      </c>
    </row>
    <row r="1431" spans="2:6">
      <c r="B1431" s="48" t="s">
        <v>20</v>
      </c>
      <c r="C1431" s="48" t="s">
        <v>407</v>
      </c>
      <c r="D1431" s="48">
        <f>DATE(YEAR(OneWeekMtgRatesDataTable756[[#This Row],[asofdate]]),MONTH(OneWeekMtgRatesDataTable756[[#This Row],[asofdate]]),DAY(OneWeekMtgRatesDataTable756[[#This Row],[asofdate]]))</f>
        <v>40499</v>
      </c>
      <c r="E1431" s="48" t="s">
        <v>11</v>
      </c>
      <c r="F1431" s="55">
        <v>0.25344</v>
      </c>
    </row>
    <row r="1432" spans="2:6">
      <c r="B1432" s="48" t="s">
        <v>20</v>
      </c>
      <c r="C1432" s="48" t="s">
        <v>406</v>
      </c>
      <c r="D1432" s="48">
        <f>DATE(YEAR(OneWeekMtgRatesDataTable756[[#This Row],[asofdate]]),MONTH(OneWeekMtgRatesDataTable756[[#This Row],[asofdate]]),DAY(OneWeekMtgRatesDataTable756[[#This Row],[asofdate]]))</f>
        <v>40498</v>
      </c>
      <c r="E1432" s="48" t="s">
        <v>11</v>
      </c>
      <c r="F1432" s="55">
        <v>0.25344</v>
      </c>
    </row>
    <row r="1433" spans="2:6">
      <c r="B1433" s="48" t="s">
        <v>20</v>
      </c>
      <c r="C1433" s="48" t="s">
        <v>405</v>
      </c>
      <c r="D1433" s="48">
        <f>DATE(YEAR(OneWeekMtgRatesDataTable756[[#This Row],[asofdate]]),MONTH(OneWeekMtgRatesDataTable756[[#This Row],[asofdate]]),DAY(OneWeekMtgRatesDataTable756[[#This Row],[asofdate]]))</f>
        <v>40497</v>
      </c>
      <c r="E1433" s="48" t="s">
        <v>11</v>
      </c>
      <c r="F1433" s="55">
        <v>0.25344</v>
      </c>
    </row>
    <row r="1434" spans="2:6">
      <c r="B1434" s="48" t="s">
        <v>20</v>
      </c>
      <c r="C1434" s="48" t="s">
        <v>404</v>
      </c>
      <c r="D1434" s="48">
        <f>DATE(YEAR(OneWeekMtgRatesDataTable756[[#This Row],[asofdate]]),MONTH(OneWeekMtgRatesDataTable756[[#This Row],[asofdate]]),DAY(OneWeekMtgRatesDataTable756[[#This Row],[asofdate]]))</f>
        <v>40494</v>
      </c>
      <c r="E1434" s="48" t="s">
        <v>11</v>
      </c>
      <c r="F1434" s="55">
        <v>0.25344</v>
      </c>
    </row>
    <row r="1435" spans="2:6">
      <c r="B1435" s="48" t="s">
        <v>20</v>
      </c>
      <c r="C1435" s="48" t="s">
        <v>403</v>
      </c>
      <c r="D1435" s="48">
        <f>DATE(YEAR(OneWeekMtgRatesDataTable756[[#This Row],[asofdate]]),MONTH(OneWeekMtgRatesDataTable756[[#This Row],[asofdate]]),DAY(OneWeekMtgRatesDataTable756[[#This Row],[asofdate]]))</f>
        <v>40492</v>
      </c>
      <c r="E1435" s="48" t="s">
        <v>11</v>
      </c>
      <c r="F1435" s="55">
        <v>0.25344</v>
      </c>
    </row>
    <row r="1436" spans="2:6">
      <c r="B1436" s="48" t="s">
        <v>20</v>
      </c>
      <c r="C1436" s="48" t="s">
        <v>402</v>
      </c>
      <c r="D1436" s="48">
        <f>DATE(YEAR(OneWeekMtgRatesDataTable756[[#This Row],[asofdate]]),MONTH(OneWeekMtgRatesDataTable756[[#This Row],[asofdate]]),DAY(OneWeekMtgRatesDataTable756[[#This Row],[asofdate]]))</f>
        <v>40491</v>
      </c>
      <c r="E1436" s="48" t="s">
        <v>11</v>
      </c>
      <c r="F1436" s="55">
        <v>0.25344</v>
      </c>
    </row>
    <row r="1437" spans="2:6">
      <c r="B1437" s="48" t="s">
        <v>20</v>
      </c>
      <c r="C1437" s="48" t="s">
        <v>401</v>
      </c>
      <c r="D1437" s="48">
        <f>DATE(YEAR(OneWeekMtgRatesDataTable756[[#This Row],[asofdate]]),MONTH(OneWeekMtgRatesDataTable756[[#This Row],[asofdate]]),DAY(OneWeekMtgRatesDataTable756[[#This Row],[asofdate]]))</f>
        <v>40490</v>
      </c>
      <c r="E1437" s="48" t="s">
        <v>11</v>
      </c>
      <c r="F1437" s="55">
        <v>0.25344</v>
      </c>
    </row>
    <row r="1438" spans="2:6">
      <c r="B1438" s="48" t="s">
        <v>20</v>
      </c>
      <c r="C1438" s="48" t="s">
        <v>400</v>
      </c>
      <c r="D1438" s="48">
        <f>DATE(YEAR(OneWeekMtgRatesDataTable756[[#This Row],[asofdate]]),MONTH(OneWeekMtgRatesDataTable756[[#This Row],[asofdate]]),DAY(OneWeekMtgRatesDataTable756[[#This Row],[asofdate]]))</f>
        <v>40487</v>
      </c>
      <c r="E1438" s="48" t="s">
        <v>11</v>
      </c>
      <c r="F1438" s="55">
        <v>0.25344</v>
      </c>
    </row>
    <row r="1439" spans="2:6">
      <c r="B1439" s="48" t="s">
        <v>20</v>
      </c>
      <c r="C1439" s="48" t="s">
        <v>399</v>
      </c>
      <c r="D1439" s="48">
        <f>DATE(YEAR(OneWeekMtgRatesDataTable756[[#This Row],[asofdate]]),MONTH(OneWeekMtgRatesDataTable756[[#This Row],[asofdate]]),DAY(OneWeekMtgRatesDataTable756[[#This Row],[asofdate]]))</f>
        <v>40486</v>
      </c>
      <c r="E1439" s="48" t="s">
        <v>11</v>
      </c>
      <c r="F1439" s="55">
        <v>0.25344</v>
      </c>
    </row>
    <row r="1440" spans="2:6">
      <c r="B1440" s="48" t="s">
        <v>20</v>
      </c>
      <c r="C1440" s="48" t="s">
        <v>398</v>
      </c>
      <c r="D1440" s="48">
        <f>DATE(YEAR(OneWeekMtgRatesDataTable756[[#This Row],[asofdate]]),MONTH(OneWeekMtgRatesDataTable756[[#This Row],[asofdate]]),DAY(OneWeekMtgRatesDataTable756[[#This Row],[asofdate]]))</f>
        <v>40485</v>
      </c>
      <c r="E1440" s="48" t="s">
        <v>11</v>
      </c>
      <c r="F1440" s="55">
        <v>0.25374999999999998</v>
      </c>
    </row>
    <row r="1441" spans="2:6">
      <c r="B1441" s="48" t="s">
        <v>20</v>
      </c>
      <c r="C1441" s="48" t="s">
        <v>397</v>
      </c>
      <c r="D1441" s="48">
        <f>DATE(YEAR(OneWeekMtgRatesDataTable756[[#This Row],[asofdate]]),MONTH(OneWeekMtgRatesDataTable756[[#This Row],[asofdate]]),DAY(OneWeekMtgRatesDataTable756[[#This Row],[asofdate]]))</f>
        <v>40484</v>
      </c>
      <c r="E1441" s="48" t="s">
        <v>11</v>
      </c>
      <c r="F1441" s="55">
        <v>0.25374999999999998</v>
      </c>
    </row>
    <row r="1442" spans="2:6">
      <c r="B1442" s="48" t="s">
        <v>20</v>
      </c>
      <c r="C1442" s="48" t="s">
        <v>396</v>
      </c>
      <c r="D1442" s="48">
        <f>DATE(YEAR(OneWeekMtgRatesDataTable756[[#This Row],[asofdate]]),MONTH(OneWeekMtgRatesDataTable756[[#This Row],[asofdate]]),DAY(OneWeekMtgRatesDataTable756[[#This Row],[asofdate]]))</f>
        <v>40483</v>
      </c>
      <c r="E1442" s="48" t="s">
        <v>11</v>
      </c>
      <c r="F1442" s="55">
        <v>0.25374999999999998</v>
      </c>
    </row>
    <row r="1443" spans="2:6">
      <c r="B1443" s="48" t="s">
        <v>20</v>
      </c>
      <c r="C1443" s="48" t="s">
        <v>395</v>
      </c>
      <c r="D1443" s="48">
        <f>DATE(YEAR(OneWeekMtgRatesDataTable756[[#This Row],[asofdate]]),MONTH(OneWeekMtgRatesDataTable756[[#This Row],[asofdate]]),DAY(OneWeekMtgRatesDataTable756[[#This Row],[asofdate]]))</f>
        <v>40480</v>
      </c>
      <c r="E1443" s="48" t="s">
        <v>11</v>
      </c>
      <c r="F1443" s="55">
        <v>0.25374999999999998</v>
      </c>
    </row>
    <row r="1444" spans="2:6">
      <c r="B1444" s="48" t="s">
        <v>20</v>
      </c>
      <c r="C1444" s="48" t="s">
        <v>394</v>
      </c>
      <c r="D1444" s="48">
        <f>DATE(YEAR(OneWeekMtgRatesDataTable756[[#This Row],[asofdate]]),MONTH(OneWeekMtgRatesDataTable756[[#This Row],[asofdate]]),DAY(OneWeekMtgRatesDataTable756[[#This Row],[asofdate]]))</f>
        <v>40479</v>
      </c>
      <c r="E1444" s="48" t="s">
        <v>11</v>
      </c>
      <c r="F1444" s="55">
        <v>0.25406000000000001</v>
      </c>
    </row>
    <row r="1445" spans="2:6">
      <c r="B1445" s="48" t="s">
        <v>20</v>
      </c>
      <c r="C1445" s="48" t="s">
        <v>393</v>
      </c>
      <c r="D1445" s="48">
        <f>DATE(YEAR(OneWeekMtgRatesDataTable756[[#This Row],[asofdate]]),MONTH(OneWeekMtgRatesDataTable756[[#This Row],[asofdate]]),DAY(OneWeekMtgRatesDataTable756[[#This Row],[asofdate]]))</f>
        <v>40478</v>
      </c>
      <c r="E1445" s="48" t="s">
        <v>11</v>
      </c>
      <c r="F1445" s="55">
        <v>0.25530999999999998</v>
      </c>
    </row>
    <row r="1446" spans="2:6">
      <c r="B1446" s="48" t="s">
        <v>20</v>
      </c>
      <c r="C1446" s="48" t="s">
        <v>392</v>
      </c>
      <c r="D1446" s="48">
        <f>DATE(YEAR(OneWeekMtgRatesDataTable756[[#This Row],[asofdate]]),MONTH(OneWeekMtgRatesDataTable756[[#This Row],[asofdate]]),DAY(OneWeekMtgRatesDataTable756[[#This Row],[asofdate]]))</f>
        <v>40477</v>
      </c>
      <c r="E1446" s="48" t="s">
        <v>11</v>
      </c>
      <c r="F1446" s="55">
        <v>0.25530999999999998</v>
      </c>
    </row>
    <row r="1447" spans="2:6">
      <c r="B1447" s="48" t="s">
        <v>20</v>
      </c>
      <c r="C1447" s="48" t="s">
        <v>391</v>
      </c>
      <c r="D1447" s="48">
        <f>DATE(YEAR(OneWeekMtgRatesDataTable756[[#This Row],[asofdate]]),MONTH(OneWeekMtgRatesDataTable756[[#This Row],[asofdate]]),DAY(OneWeekMtgRatesDataTable756[[#This Row],[asofdate]]))</f>
        <v>40476</v>
      </c>
      <c r="E1447" s="48" t="s">
        <v>11</v>
      </c>
      <c r="F1447" s="55">
        <v>0.25624999999999998</v>
      </c>
    </row>
    <row r="1448" spans="2:6">
      <c r="B1448" s="48" t="s">
        <v>20</v>
      </c>
      <c r="C1448" s="48" t="s">
        <v>390</v>
      </c>
      <c r="D1448" s="48">
        <f>DATE(YEAR(OneWeekMtgRatesDataTable756[[#This Row],[asofdate]]),MONTH(OneWeekMtgRatesDataTable756[[#This Row],[asofdate]]),DAY(OneWeekMtgRatesDataTable756[[#This Row],[asofdate]]))</f>
        <v>40473</v>
      </c>
      <c r="E1448" s="48" t="s">
        <v>11</v>
      </c>
      <c r="F1448" s="55">
        <v>0.25624999999999998</v>
      </c>
    </row>
    <row r="1449" spans="2:6">
      <c r="B1449" s="48" t="s">
        <v>20</v>
      </c>
      <c r="C1449" s="48" t="s">
        <v>389</v>
      </c>
      <c r="D1449" s="48">
        <f>DATE(YEAR(OneWeekMtgRatesDataTable756[[#This Row],[asofdate]]),MONTH(OneWeekMtgRatesDataTable756[[#This Row],[asofdate]]),DAY(OneWeekMtgRatesDataTable756[[#This Row],[asofdate]]))</f>
        <v>40472</v>
      </c>
      <c r="E1449" s="48" t="s">
        <v>11</v>
      </c>
      <c r="F1449" s="55">
        <v>0.25624999999999998</v>
      </c>
    </row>
    <row r="1450" spans="2:6">
      <c r="B1450" s="48" t="s">
        <v>20</v>
      </c>
      <c r="C1450" s="48" t="s">
        <v>388</v>
      </c>
      <c r="D1450" s="48">
        <f>DATE(YEAR(OneWeekMtgRatesDataTable756[[#This Row],[asofdate]]),MONTH(OneWeekMtgRatesDataTable756[[#This Row],[asofdate]]),DAY(OneWeekMtgRatesDataTable756[[#This Row],[asofdate]]))</f>
        <v>40471</v>
      </c>
      <c r="E1450" s="48" t="s">
        <v>11</v>
      </c>
      <c r="F1450" s="55">
        <v>0.25624999999999998</v>
      </c>
    </row>
    <row r="1451" spans="2:6">
      <c r="B1451" s="48" t="s">
        <v>20</v>
      </c>
      <c r="C1451" s="48" t="s">
        <v>387</v>
      </c>
      <c r="D1451" s="48">
        <f>DATE(YEAR(OneWeekMtgRatesDataTable756[[#This Row],[asofdate]]),MONTH(OneWeekMtgRatesDataTable756[[#This Row],[asofdate]]),DAY(OneWeekMtgRatesDataTable756[[#This Row],[asofdate]]))</f>
        <v>40470</v>
      </c>
      <c r="E1451" s="48" t="s">
        <v>11</v>
      </c>
      <c r="F1451" s="55">
        <v>0.25624999999999998</v>
      </c>
    </row>
    <row r="1452" spans="2:6">
      <c r="B1452" s="48" t="s">
        <v>20</v>
      </c>
      <c r="C1452" s="48" t="s">
        <v>386</v>
      </c>
      <c r="D1452" s="48">
        <f>DATE(YEAR(OneWeekMtgRatesDataTable756[[#This Row],[asofdate]]),MONTH(OneWeekMtgRatesDataTable756[[#This Row],[asofdate]]),DAY(OneWeekMtgRatesDataTable756[[#This Row],[asofdate]]))</f>
        <v>40469</v>
      </c>
      <c r="E1452" s="48" t="s">
        <v>11</v>
      </c>
      <c r="F1452" s="55">
        <v>0.25624999999999998</v>
      </c>
    </row>
    <row r="1453" spans="2:6">
      <c r="B1453" s="48" t="s">
        <v>20</v>
      </c>
      <c r="C1453" s="48" t="s">
        <v>385</v>
      </c>
      <c r="D1453" s="48">
        <f>DATE(YEAR(OneWeekMtgRatesDataTable756[[#This Row],[asofdate]]),MONTH(OneWeekMtgRatesDataTable756[[#This Row],[asofdate]]),DAY(OneWeekMtgRatesDataTable756[[#This Row],[asofdate]]))</f>
        <v>40466</v>
      </c>
      <c r="E1453" s="48" t="s">
        <v>11</v>
      </c>
      <c r="F1453" s="55">
        <v>0.25624999999999998</v>
      </c>
    </row>
    <row r="1454" spans="2:6">
      <c r="B1454" s="48" t="s">
        <v>20</v>
      </c>
      <c r="C1454" s="48" t="s">
        <v>384</v>
      </c>
      <c r="D1454" s="48">
        <f>DATE(YEAR(OneWeekMtgRatesDataTable756[[#This Row],[asofdate]]),MONTH(OneWeekMtgRatesDataTable756[[#This Row],[asofdate]]),DAY(OneWeekMtgRatesDataTable756[[#This Row],[asofdate]]))</f>
        <v>40465</v>
      </c>
      <c r="E1454" s="48" t="s">
        <v>11</v>
      </c>
      <c r="F1454" s="55">
        <v>0.25624999999999998</v>
      </c>
    </row>
    <row r="1455" spans="2:6">
      <c r="B1455" s="48" t="s">
        <v>20</v>
      </c>
      <c r="C1455" s="48" t="s">
        <v>383</v>
      </c>
      <c r="D1455" s="48">
        <f>DATE(YEAR(OneWeekMtgRatesDataTable756[[#This Row],[asofdate]]),MONTH(OneWeekMtgRatesDataTable756[[#This Row],[asofdate]]),DAY(OneWeekMtgRatesDataTable756[[#This Row],[asofdate]]))</f>
        <v>40464</v>
      </c>
      <c r="E1455" s="48" t="s">
        <v>11</v>
      </c>
      <c r="F1455" s="55">
        <v>0.25624999999999998</v>
      </c>
    </row>
    <row r="1456" spans="2:6">
      <c r="B1456" s="48" t="s">
        <v>20</v>
      </c>
      <c r="C1456" s="48" t="s">
        <v>382</v>
      </c>
      <c r="D1456" s="48">
        <f>DATE(YEAR(OneWeekMtgRatesDataTable756[[#This Row],[asofdate]]),MONTH(OneWeekMtgRatesDataTable756[[#This Row],[asofdate]]),DAY(OneWeekMtgRatesDataTable756[[#This Row],[asofdate]]))</f>
        <v>40463</v>
      </c>
      <c r="E1456" s="48" t="s">
        <v>11</v>
      </c>
      <c r="F1456" s="55">
        <v>0.25624999999999998</v>
      </c>
    </row>
    <row r="1457" spans="2:6">
      <c r="B1457" s="48" t="s">
        <v>20</v>
      </c>
      <c r="C1457" s="48" t="s">
        <v>381</v>
      </c>
      <c r="D1457" s="48">
        <f>DATE(YEAR(OneWeekMtgRatesDataTable756[[#This Row],[asofdate]]),MONTH(OneWeekMtgRatesDataTable756[[#This Row],[asofdate]]),DAY(OneWeekMtgRatesDataTable756[[#This Row],[asofdate]]))</f>
        <v>40459</v>
      </c>
      <c r="E1457" s="48" t="s">
        <v>11</v>
      </c>
      <c r="F1457" s="55">
        <v>0.25624999999999998</v>
      </c>
    </row>
    <row r="1458" spans="2:6">
      <c r="B1458" s="48" t="s">
        <v>20</v>
      </c>
      <c r="C1458" s="48" t="s">
        <v>380</v>
      </c>
      <c r="D1458" s="48">
        <f>DATE(YEAR(OneWeekMtgRatesDataTable756[[#This Row],[asofdate]]),MONTH(OneWeekMtgRatesDataTable756[[#This Row],[asofdate]]),DAY(OneWeekMtgRatesDataTable756[[#This Row],[asofdate]]))</f>
        <v>40458</v>
      </c>
      <c r="E1458" s="48" t="s">
        <v>11</v>
      </c>
      <c r="F1458" s="55">
        <v>0.25624999999999998</v>
      </c>
    </row>
    <row r="1459" spans="2:6">
      <c r="B1459" s="48" t="s">
        <v>20</v>
      </c>
      <c r="C1459" s="48" t="s">
        <v>379</v>
      </c>
      <c r="D1459" s="48">
        <f>DATE(YEAR(OneWeekMtgRatesDataTable756[[#This Row],[asofdate]]),MONTH(OneWeekMtgRatesDataTable756[[#This Row],[asofdate]]),DAY(OneWeekMtgRatesDataTable756[[#This Row],[asofdate]]))</f>
        <v>40457</v>
      </c>
      <c r="E1459" s="48" t="s">
        <v>11</v>
      </c>
      <c r="F1459" s="55">
        <v>0.25688</v>
      </c>
    </row>
    <row r="1460" spans="2:6">
      <c r="B1460" s="48" t="s">
        <v>20</v>
      </c>
      <c r="C1460" s="48" t="s">
        <v>378</v>
      </c>
      <c r="D1460" s="48">
        <f>DATE(YEAR(OneWeekMtgRatesDataTable756[[#This Row],[asofdate]]),MONTH(OneWeekMtgRatesDataTable756[[#This Row],[asofdate]]),DAY(OneWeekMtgRatesDataTable756[[#This Row],[asofdate]]))</f>
        <v>40456</v>
      </c>
      <c r="E1460" s="48" t="s">
        <v>11</v>
      </c>
      <c r="F1460" s="55">
        <v>0.25688</v>
      </c>
    </row>
    <row r="1461" spans="2:6">
      <c r="B1461" s="48" t="s">
        <v>20</v>
      </c>
      <c r="C1461" s="48" t="s">
        <v>377</v>
      </c>
      <c r="D1461" s="48">
        <f>DATE(YEAR(OneWeekMtgRatesDataTable756[[#This Row],[asofdate]]),MONTH(OneWeekMtgRatesDataTable756[[#This Row],[asofdate]]),DAY(OneWeekMtgRatesDataTable756[[#This Row],[asofdate]]))</f>
        <v>40455</v>
      </c>
      <c r="E1461" s="48" t="s">
        <v>11</v>
      </c>
      <c r="F1461" s="55">
        <v>0.25688</v>
      </c>
    </row>
    <row r="1462" spans="2:6">
      <c r="B1462" s="48" t="s">
        <v>20</v>
      </c>
      <c r="C1462" s="48" t="s">
        <v>376</v>
      </c>
      <c r="D1462" s="48">
        <f>DATE(YEAR(OneWeekMtgRatesDataTable756[[#This Row],[asofdate]]),MONTH(OneWeekMtgRatesDataTable756[[#This Row],[asofdate]]),DAY(OneWeekMtgRatesDataTable756[[#This Row],[asofdate]]))</f>
        <v>40452</v>
      </c>
      <c r="E1462" s="48" t="s">
        <v>11</v>
      </c>
      <c r="F1462" s="55">
        <v>0.25688</v>
      </c>
    </row>
    <row r="1463" spans="2:6">
      <c r="B1463" s="48" t="s">
        <v>20</v>
      </c>
      <c r="C1463" s="48" t="s">
        <v>375</v>
      </c>
      <c r="D1463" s="48">
        <f>DATE(YEAR(OneWeekMtgRatesDataTable756[[#This Row],[asofdate]]),MONTH(OneWeekMtgRatesDataTable756[[#This Row],[asofdate]]),DAY(OneWeekMtgRatesDataTable756[[#This Row],[asofdate]]))</f>
        <v>40451</v>
      </c>
      <c r="E1463" s="48" t="s">
        <v>11</v>
      </c>
      <c r="F1463" s="55">
        <v>0.25624999999999998</v>
      </c>
    </row>
    <row r="1464" spans="2:6">
      <c r="B1464" s="48" t="s">
        <v>20</v>
      </c>
      <c r="C1464" s="48" t="s">
        <v>374</v>
      </c>
      <c r="D1464" s="48">
        <f>DATE(YEAR(OneWeekMtgRatesDataTable756[[#This Row],[asofdate]]),MONTH(OneWeekMtgRatesDataTable756[[#This Row],[asofdate]]),DAY(OneWeekMtgRatesDataTable756[[#This Row],[asofdate]]))</f>
        <v>40450</v>
      </c>
      <c r="E1464" s="48" t="s">
        <v>11</v>
      </c>
      <c r="F1464" s="55">
        <v>0.25624999999999998</v>
      </c>
    </row>
    <row r="1465" spans="2:6">
      <c r="B1465" s="48" t="s">
        <v>20</v>
      </c>
      <c r="C1465" s="48" t="s">
        <v>373</v>
      </c>
      <c r="D1465" s="48">
        <f>DATE(YEAR(OneWeekMtgRatesDataTable756[[#This Row],[asofdate]]),MONTH(OneWeekMtgRatesDataTable756[[#This Row],[asofdate]]),DAY(OneWeekMtgRatesDataTable756[[#This Row],[asofdate]]))</f>
        <v>40449</v>
      </c>
      <c r="E1465" s="48" t="s">
        <v>11</v>
      </c>
      <c r="F1465" s="55">
        <v>0.25624999999999998</v>
      </c>
    </row>
    <row r="1466" spans="2:6">
      <c r="B1466" s="48" t="s">
        <v>20</v>
      </c>
      <c r="C1466" s="48" t="s">
        <v>372</v>
      </c>
      <c r="D1466" s="48">
        <f>DATE(YEAR(OneWeekMtgRatesDataTable756[[#This Row],[asofdate]]),MONTH(OneWeekMtgRatesDataTable756[[#This Row],[asofdate]]),DAY(OneWeekMtgRatesDataTable756[[#This Row],[asofdate]]))</f>
        <v>40448</v>
      </c>
      <c r="E1466" s="48" t="s">
        <v>11</v>
      </c>
      <c r="F1466" s="55">
        <v>0.25624999999999998</v>
      </c>
    </row>
    <row r="1467" spans="2:6">
      <c r="B1467" s="48" t="s">
        <v>20</v>
      </c>
      <c r="C1467" s="48" t="s">
        <v>371</v>
      </c>
      <c r="D1467" s="48">
        <f>DATE(YEAR(OneWeekMtgRatesDataTable756[[#This Row],[asofdate]]),MONTH(OneWeekMtgRatesDataTable756[[#This Row],[asofdate]]),DAY(OneWeekMtgRatesDataTable756[[#This Row],[asofdate]]))</f>
        <v>40445</v>
      </c>
      <c r="E1467" s="48" t="s">
        <v>11</v>
      </c>
      <c r="F1467" s="55">
        <v>0.25624999999999998</v>
      </c>
    </row>
    <row r="1468" spans="2:6">
      <c r="B1468" s="48" t="s">
        <v>20</v>
      </c>
      <c r="C1468" s="48" t="s">
        <v>370</v>
      </c>
      <c r="D1468" s="48">
        <f>DATE(YEAR(OneWeekMtgRatesDataTable756[[#This Row],[asofdate]]),MONTH(OneWeekMtgRatesDataTable756[[#This Row],[asofdate]]),DAY(OneWeekMtgRatesDataTable756[[#This Row],[asofdate]]))</f>
        <v>40444</v>
      </c>
      <c r="E1468" s="48" t="s">
        <v>11</v>
      </c>
      <c r="F1468" s="55">
        <v>0.25624999999999998</v>
      </c>
    </row>
    <row r="1469" spans="2:6">
      <c r="B1469" s="48" t="s">
        <v>20</v>
      </c>
      <c r="C1469" s="48" t="s">
        <v>369</v>
      </c>
      <c r="D1469" s="48">
        <f>DATE(YEAR(OneWeekMtgRatesDataTable756[[#This Row],[asofdate]]),MONTH(OneWeekMtgRatesDataTable756[[#This Row],[asofdate]]),DAY(OneWeekMtgRatesDataTable756[[#This Row],[asofdate]]))</f>
        <v>40443</v>
      </c>
      <c r="E1469" s="48" t="s">
        <v>11</v>
      </c>
      <c r="F1469" s="55">
        <v>0.25624999999999998</v>
      </c>
    </row>
    <row r="1470" spans="2:6">
      <c r="B1470" s="48" t="s">
        <v>20</v>
      </c>
      <c r="C1470" s="48" t="s">
        <v>368</v>
      </c>
      <c r="D1470" s="48">
        <f>DATE(YEAR(OneWeekMtgRatesDataTable756[[#This Row],[asofdate]]),MONTH(OneWeekMtgRatesDataTable756[[#This Row],[asofdate]]),DAY(OneWeekMtgRatesDataTable756[[#This Row],[asofdate]]))</f>
        <v>40442</v>
      </c>
      <c r="E1470" s="48" t="s">
        <v>11</v>
      </c>
      <c r="F1470" s="55">
        <v>0.25624999999999998</v>
      </c>
    </row>
    <row r="1471" spans="2:6">
      <c r="B1471" s="48" t="s">
        <v>20</v>
      </c>
      <c r="C1471" s="48" t="s">
        <v>367</v>
      </c>
      <c r="D1471" s="48">
        <f>DATE(YEAR(OneWeekMtgRatesDataTable756[[#This Row],[asofdate]]),MONTH(OneWeekMtgRatesDataTable756[[#This Row],[asofdate]]),DAY(OneWeekMtgRatesDataTable756[[#This Row],[asofdate]]))</f>
        <v>40441</v>
      </c>
      <c r="E1471" s="48" t="s">
        <v>11</v>
      </c>
      <c r="F1471" s="55">
        <v>0.25624999999999998</v>
      </c>
    </row>
    <row r="1472" spans="2:6">
      <c r="B1472" s="48" t="s">
        <v>20</v>
      </c>
      <c r="C1472" s="48" t="s">
        <v>366</v>
      </c>
      <c r="D1472" s="48">
        <f>DATE(YEAR(OneWeekMtgRatesDataTable756[[#This Row],[asofdate]]),MONTH(OneWeekMtgRatesDataTable756[[#This Row],[asofdate]]),DAY(OneWeekMtgRatesDataTable756[[#This Row],[asofdate]]))</f>
        <v>40438</v>
      </c>
      <c r="E1472" s="48" t="s">
        <v>11</v>
      </c>
      <c r="F1472" s="55">
        <v>0.25750000000000001</v>
      </c>
    </row>
    <row r="1473" spans="2:6">
      <c r="B1473" s="48" t="s">
        <v>20</v>
      </c>
      <c r="C1473" s="48" t="s">
        <v>365</v>
      </c>
      <c r="D1473" s="48">
        <f>DATE(YEAR(OneWeekMtgRatesDataTable756[[#This Row],[asofdate]]),MONTH(OneWeekMtgRatesDataTable756[[#This Row],[asofdate]]),DAY(OneWeekMtgRatesDataTable756[[#This Row],[asofdate]]))</f>
        <v>40437</v>
      </c>
      <c r="E1473" s="48" t="s">
        <v>11</v>
      </c>
      <c r="F1473" s="55">
        <v>0.25734000000000001</v>
      </c>
    </row>
    <row r="1474" spans="2:6">
      <c r="B1474" s="48" t="s">
        <v>20</v>
      </c>
      <c r="C1474" s="48" t="s">
        <v>364</v>
      </c>
      <c r="D1474" s="48">
        <f>DATE(YEAR(OneWeekMtgRatesDataTable756[[#This Row],[asofdate]]),MONTH(OneWeekMtgRatesDataTable756[[#This Row],[asofdate]]),DAY(OneWeekMtgRatesDataTable756[[#This Row],[asofdate]]))</f>
        <v>40436</v>
      </c>
      <c r="E1474" s="48" t="s">
        <v>11</v>
      </c>
      <c r="F1474" s="55">
        <v>0.25734000000000001</v>
      </c>
    </row>
    <row r="1475" spans="2:6">
      <c r="B1475" s="48" t="s">
        <v>20</v>
      </c>
      <c r="C1475" s="48" t="s">
        <v>363</v>
      </c>
      <c r="D1475" s="48">
        <f>DATE(YEAR(OneWeekMtgRatesDataTable756[[#This Row],[asofdate]]),MONTH(OneWeekMtgRatesDataTable756[[#This Row],[asofdate]]),DAY(OneWeekMtgRatesDataTable756[[#This Row],[asofdate]]))</f>
        <v>40435</v>
      </c>
      <c r="E1475" s="48" t="s">
        <v>11</v>
      </c>
      <c r="F1475" s="55">
        <v>0.25734000000000001</v>
      </c>
    </row>
    <row r="1476" spans="2:6">
      <c r="B1476" s="48" t="s">
        <v>20</v>
      </c>
      <c r="C1476" s="48" t="s">
        <v>362</v>
      </c>
      <c r="D1476" s="48">
        <f>DATE(YEAR(OneWeekMtgRatesDataTable756[[#This Row],[asofdate]]),MONTH(OneWeekMtgRatesDataTable756[[#This Row],[asofdate]]),DAY(OneWeekMtgRatesDataTable756[[#This Row],[asofdate]]))</f>
        <v>40434</v>
      </c>
      <c r="E1476" s="48" t="s">
        <v>11</v>
      </c>
      <c r="F1476" s="55">
        <v>0.25734000000000001</v>
      </c>
    </row>
    <row r="1477" spans="2:6">
      <c r="B1477" s="48" t="s">
        <v>20</v>
      </c>
      <c r="C1477" s="48" t="s">
        <v>361</v>
      </c>
      <c r="D1477" s="48">
        <f>DATE(YEAR(OneWeekMtgRatesDataTable756[[#This Row],[asofdate]]),MONTH(OneWeekMtgRatesDataTable756[[#This Row],[asofdate]]),DAY(OneWeekMtgRatesDataTable756[[#This Row],[asofdate]]))</f>
        <v>40431</v>
      </c>
      <c r="E1477" s="48" t="s">
        <v>11</v>
      </c>
      <c r="F1477" s="55">
        <v>0.25734000000000001</v>
      </c>
    </row>
    <row r="1478" spans="2:6">
      <c r="B1478" s="48" t="s">
        <v>20</v>
      </c>
      <c r="C1478" s="48" t="s">
        <v>360</v>
      </c>
      <c r="D1478" s="48">
        <f>DATE(YEAR(OneWeekMtgRatesDataTable756[[#This Row],[asofdate]]),MONTH(OneWeekMtgRatesDataTable756[[#This Row],[asofdate]]),DAY(OneWeekMtgRatesDataTable756[[#This Row],[asofdate]]))</f>
        <v>40430</v>
      </c>
      <c r="E1478" s="48" t="s">
        <v>11</v>
      </c>
      <c r="F1478" s="55">
        <v>0.25734000000000001</v>
      </c>
    </row>
    <row r="1479" spans="2:6">
      <c r="B1479" s="48" t="s">
        <v>20</v>
      </c>
      <c r="C1479" s="48" t="s">
        <v>359</v>
      </c>
      <c r="D1479" s="48">
        <f>DATE(YEAR(OneWeekMtgRatesDataTable756[[#This Row],[asofdate]]),MONTH(OneWeekMtgRatesDataTable756[[#This Row],[asofdate]]),DAY(OneWeekMtgRatesDataTable756[[#This Row],[asofdate]]))</f>
        <v>40429</v>
      </c>
      <c r="E1479" s="48" t="s">
        <v>11</v>
      </c>
      <c r="F1479" s="55">
        <v>0.25734000000000001</v>
      </c>
    </row>
    <row r="1480" spans="2:6">
      <c r="B1480" s="48" t="s">
        <v>20</v>
      </c>
      <c r="C1480" s="48" t="s">
        <v>358</v>
      </c>
      <c r="D1480" s="48">
        <f>DATE(YEAR(OneWeekMtgRatesDataTable756[[#This Row],[asofdate]]),MONTH(OneWeekMtgRatesDataTable756[[#This Row],[asofdate]]),DAY(OneWeekMtgRatesDataTable756[[#This Row],[asofdate]]))</f>
        <v>40428</v>
      </c>
      <c r="E1480" s="48" t="s">
        <v>11</v>
      </c>
      <c r="F1480" s="55">
        <v>0.25766</v>
      </c>
    </row>
    <row r="1481" spans="2:6">
      <c r="B1481" s="48" t="s">
        <v>20</v>
      </c>
      <c r="C1481" s="48" t="s">
        <v>357</v>
      </c>
      <c r="D1481" s="48">
        <f>DATE(YEAR(OneWeekMtgRatesDataTable756[[#This Row],[asofdate]]),MONTH(OneWeekMtgRatesDataTable756[[#This Row],[asofdate]]),DAY(OneWeekMtgRatesDataTable756[[#This Row],[asofdate]]))</f>
        <v>40424</v>
      </c>
      <c r="E1481" s="48" t="s">
        <v>11</v>
      </c>
      <c r="F1481" s="55">
        <v>0.25780999999999998</v>
      </c>
    </row>
    <row r="1482" spans="2:6">
      <c r="B1482" s="48" t="s">
        <v>20</v>
      </c>
      <c r="C1482" s="48" t="s">
        <v>356</v>
      </c>
      <c r="D1482" s="48">
        <f>DATE(YEAR(OneWeekMtgRatesDataTable756[[#This Row],[asofdate]]),MONTH(OneWeekMtgRatesDataTable756[[#This Row],[asofdate]]),DAY(OneWeekMtgRatesDataTable756[[#This Row],[asofdate]]))</f>
        <v>40423</v>
      </c>
      <c r="E1482" s="48" t="s">
        <v>11</v>
      </c>
      <c r="F1482" s="55">
        <v>0.25780999999999998</v>
      </c>
    </row>
    <row r="1483" spans="2:6">
      <c r="B1483" s="48" t="s">
        <v>20</v>
      </c>
      <c r="C1483" s="48" t="s">
        <v>355</v>
      </c>
      <c r="D1483" s="48">
        <f>DATE(YEAR(OneWeekMtgRatesDataTable756[[#This Row],[asofdate]]),MONTH(OneWeekMtgRatesDataTable756[[#This Row],[asofdate]]),DAY(OneWeekMtgRatesDataTable756[[#This Row],[asofdate]]))</f>
        <v>40422</v>
      </c>
      <c r="E1483" s="48" t="s">
        <v>11</v>
      </c>
      <c r="F1483" s="55">
        <v>0.25780999999999998</v>
      </c>
    </row>
    <row r="1484" spans="2:6">
      <c r="B1484" s="48" t="s">
        <v>20</v>
      </c>
      <c r="C1484" s="48" t="s">
        <v>354</v>
      </c>
      <c r="D1484" s="48">
        <f>DATE(YEAR(OneWeekMtgRatesDataTable756[[#This Row],[asofdate]]),MONTH(OneWeekMtgRatesDataTable756[[#This Row],[asofdate]]),DAY(OneWeekMtgRatesDataTable756[[#This Row],[asofdate]]))</f>
        <v>40421</v>
      </c>
      <c r="E1484" s="48" t="s">
        <v>11</v>
      </c>
      <c r="F1484" s="55">
        <v>0.25780999999999998</v>
      </c>
    </row>
    <row r="1485" spans="2:6">
      <c r="B1485" s="48" t="s">
        <v>20</v>
      </c>
      <c r="C1485" s="48" t="s">
        <v>353</v>
      </c>
      <c r="D1485" s="48">
        <f>DATE(YEAR(OneWeekMtgRatesDataTable756[[#This Row],[asofdate]]),MONTH(OneWeekMtgRatesDataTable756[[#This Row],[asofdate]]),DAY(OneWeekMtgRatesDataTable756[[#This Row],[asofdate]]))</f>
        <v>40420</v>
      </c>
      <c r="E1485" s="48" t="s">
        <v>11</v>
      </c>
      <c r="F1485" s="55">
        <v>0.25938</v>
      </c>
    </row>
    <row r="1486" spans="2:6">
      <c r="B1486" s="48" t="s">
        <v>20</v>
      </c>
      <c r="C1486" s="48" t="s">
        <v>352</v>
      </c>
      <c r="D1486" s="48">
        <f>DATE(YEAR(OneWeekMtgRatesDataTable756[[#This Row],[asofdate]]),MONTH(OneWeekMtgRatesDataTable756[[#This Row],[asofdate]]),DAY(OneWeekMtgRatesDataTable756[[#This Row],[asofdate]]))</f>
        <v>40417</v>
      </c>
      <c r="E1486" s="48" t="s">
        <v>11</v>
      </c>
      <c r="F1486" s="55">
        <v>0.25938</v>
      </c>
    </row>
    <row r="1487" spans="2:6">
      <c r="B1487" s="48" t="s">
        <v>20</v>
      </c>
      <c r="C1487" s="48" t="s">
        <v>351</v>
      </c>
      <c r="D1487" s="48">
        <f>DATE(YEAR(OneWeekMtgRatesDataTable756[[#This Row],[asofdate]]),MONTH(OneWeekMtgRatesDataTable756[[#This Row],[asofdate]]),DAY(OneWeekMtgRatesDataTable756[[#This Row],[asofdate]]))</f>
        <v>40416</v>
      </c>
      <c r="E1487" s="48" t="s">
        <v>11</v>
      </c>
      <c r="F1487" s="55">
        <v>0.26030999999999999</v>
      </c>
    </row>
    <row r="1488" spans="2:6">
      <c r="B1488" s="48" t="s">
        <v>20</v>
      </c>
      <c r="C1488" s="48" t="s">
        <v>350</v>
      </c>
      <c r="D1488" s="48">
        <f>DATE(YEAR(OneWeekMtgRatesDataTable756[[#This Row],[asofdate]]),MONTH(OneWeekMtgRatesDataTable756[[#This Row],[asofdate]]),DAY(OneWeekMtgRatesDataTable756[[#This Row],[asofdate]]))</f>
        <v>40415</v>
      </c>
      <c r="E1488" s="48" t="s">
        <v>11</v>
      </c>
      <c r="F1488" s="55">
        <v>0.26156000000000001</v>
      </c>
    </row>
    <row r="1489" spans="2:6">
      <c r="B1489" s="48" t="s">
        <v>20</v>
      </c>
      <c r="C1489" s="48" t="s">
        <v>349</v>
      </c>
      <c r="D1489" s="48">
        <f>DATE(YEAR(OneWeekMtgRatesDataTable756[[#This Row],[asofdate]]),MONTH(OneWeekMtgRatesDataTable756[[#This Row],[asofdate]]),DAY(OneWeekMtgRatesDataTable756[[#This Row],[asofdate]]))</f>
        <v>40414</v>
      </c>
      <c r="E1489" s="48" t="s">
        <v>11</v>
      </c>
      <c r="F1489" s="55">
        <v>0.26156000000000001</v>
      </c>
    </row>
    <row r="1490" spans="2:6">
      <c r="B1490" s="48" t="s">
        <v>20</v>
      </c>
      <c r="C1490" s="48" t="s">
        <v>348</v>
      </c>
      <c r="D1490" s="48">
        <f>DATE(YEAR(OneWeekMtgRatesDataTable756[[#This Row],[asofdate]]),MONTH(OneWeekMtgRatesDataTable756[[#This Row],[asofdate]]),DAY(OneWeekMtgRatesDataTable756[[#This Row],[asofdate]]))</f>
        <v>40413</v>
      </c>
      <c r="E1490" s="48" t="s">
        <v>11</v>
      </c>
      <c r="F1490" s="55">
        <v>0.26374999999999998</v>
      </c>
    </row>
    <row r="1491" spans="2:6">
      <c r="B1491" s="48" t="s">
        <v>20</v>
      </c>
      <c r="C1491" s="48" t="s">
        <v>347</v>
      </c>
      <c r="D1491" s="48">
        <f>DATE(YEAR(OneWeekMtgRatesDataTable756[[#This Row],[asofdate]]),MONTH(OneWeekMtgRatesDataTable756[[#This Row],[asofdate]]),DAY(OneWeekMtgRatesDataTable756[[#This Row],[asofdate]]))</f>
        <v>40410</v>
      </c>
      <c r="E1491" s="48" t="s">
        <v>11</v>
      </c>
      <c r="F1491" s="55">
        <v>0.26438</v>
      </c>
    </row>
    <row r="1492" spans="2:6">
      <c r="B1492" s="48" t="s">
        <v>20</v>
      </c>
      <c r="C1492" s="48" t="s">
        <v>346</v>
      </c>
      <c r="D1492" s="48">
        <f>DATE(YEAR(OneWeekMtgRatesDataTable756[[#This Row],[asofdate]]),MONTH(OneWeekMtgRatesDataTable756[[#This Row],[asofdate]]),DAY(OneWeekMtgRatesDataTable756[[#This Row],[asofdate]]))</f>
        <v>40409</v>
      </c>
      <c r="E1492" s="48" t="s">
        <v>11</v>
      </c>
      <c r="F1492" s="55">
        <v>0.26468999999999998</v>
      </c>
    </row>
    <row r="1493" spans="2:6">
      <c r="B1493" s="48" t="s">
        <v>20</v>
      </c>
      <c r="C1493" s="48" t="s">
        <v>345</v>
      </c>
      <c r="D1493" s="48">
        <f>DATE(YEAR(OneWeekMtgRatesDataTable756[[#This Row],[asofdate]]),MONTH(OneWeekMtgRatesDataTable756[[#This Row],[asofdate]]),DAY(OneWeekMtgRatesDataTable756[[#This Row],[asofdate]]))</f>
        <v>40408</v>
      </c>
      <c r="E1493" s="48" t="s">
        <v>11</v>
      </c>
      <c r="F1493" s="55">
        <v>0.26624999999999999</v>
      </c>
    </row>
    <row r="1494" spans="2:6">
      <c r="B1494" s="48" t="s">
        <v>20</v>
      </c>
      <c r="C1494" s="48" t="s">
        <v>344</v>
      </c>
      <c r="D1494" s="48">
        <f>DATE(YEAR(OneWeekMtgRatesDataTable756[[#This Row],[asofdate]]),MONTH(OneWeekMtgRatesDataTable756[[#This Row],[asofdate]]),DAY(OneWeekMtgRatesDataTable756[[#This Row],[asofdate]]))</f>
        <v>40407</v>
      </c>
      <c r="E1494" s="48" t="s">
        <v>11</v>
      </c>
      <c r="F1494" s="55">
        <v>0.26656000000000002</v>
      </c>
    </row>
    <row r="1495" spans="2:6">
      <c r="B1495" s="48" t="s">
        <v>20</v>
      </c>
      <c r="C1495" s="48" t="s">
        <v>343</v>
      </c>
      <c r="D1495" s="48">
        <f>DATE(YEAR(OneWeekMtgRatesDataTable756[[#This Row],[asofdate]]),MONTH(OneWeekMtgRatesDataTable756[[#This Row],[asofdate]]),DAY(OneWeekMtgRatesDataTable756[[#This Row],[asofdate]]))</f>
        <v>40406</v>
      </c>
      <c r="E1495" s="48" t="s">
        <v>11</v>
      </c>
      <c r="F1495" s="55">
        <v>0.26938000000000001</v>
      </c>
    </row>
    <row r="1496" spans="2:6">
      <c r="B1496" s="48" t="s">
        <v>20</v>
      </c>
      <c r="C1496" s="48" t="s">
        <v>342</v>
      </c>
      <c r="D1496" s="48">
        <f>DATE(YEAR(OneWeekMtgRatesDataTable756[[#This Row],[asofdate]]),MONTH(OneWeekMtgRatesDataTable756[[#This Row],[asofdate]]),DAY(OneWeekMtgRatesDataTable756[[#This Row],[asofdate]]))</f>
        <v>40403</v>
      </c>
      <c r="E1496" s="48" t="s">
        <v>11</v>
      </c>
      <c r="F1496" s="55">
        <v>0.27188000000000001</v>
      </c>
    </row>
    <row r="1497" spans="2:6">
      <c r="B1497" s="48" t="s">
        <v>20</v>
      </c>
      <c r="C1497" s="48" t="s">
        <v>341</v>
      </c>
      <c r="D1497" s="48">
        <f>DATE(YEAR(OneWeekMtgRatesDataTable756[[#This Row],[asofdate]]),MONTH(OneWeekMtgRatesDataTable756[[#This Row],[asofdate]]),DAY(OneWeekMtgRatesDataTable756[[#This Row],[asofdate]]))</f>
        <v>40402</v>
      </c>
      <c r="E1497" s="48" t="s">
        <v>11</v>
      </c>
      <c r="F1497" s="55">
        <v>0.27594000000000002</v>
      </c>
    </row>
    <row r="1498" spans="2:6">
      <c r="B1498" s="48" t="s">
        <v>20</v>
      </c>
      <c r="C1498" s="48" t="s">
        <v>340</v>
      </c>
      <c r="D1498" s="48">
        <f>DATE(YEAR(OneWeekMtgRatesDataTable756[[#This Row],[asofdate]]),MONTH(OneWeekMtgRatesDataTable756[[#This Row],[asofdate]]),DAY(OneWeekMtgRatesDataTable756[[#This Row],[asofdate]]))</f>
        <v>40401</v>
      </c>
      <c r="E1498" s="48" t="s">
        <v>11</v>
      </c>
      <c r="F1498" s="55">
        <v>0.27938000000000002</v>
      </c>
    </row>
    <row r="1499" spans="2:6">
      <c r="B1499" s="48" t="s">
        <v>20</v>
      </c>
      <c r="C1499" s="48" t="s">
        <v>339</v>
      </c>
      <c r="D1499" s="48">
        <f>DATE(YEAR(OneWeekMtgRatesDataTable756[[#This Row],[asofdate]]),MONTH(OneWeekMtgRatesDataTable756[[#This Row],[asofdate]]),DAY(OneWeekMtgRatesDataTable756[[#This Row],[asofdate]]))</f>
        <v>40400</v>
      </c>
      <c r="E1499" s="48" t="s">
        <v>11</v>
      </c>
      <c r="F1499" s="55">
        <v>0.28563</v>
      </c>
    </row>
    <row r="1500" spans="2:6">
      <c r="B1500" s="48" t="s">
        <v>20</v>
      </c>
      <c r="C1500" s="48" t="s">
        <v>338</v>
      </c>
      <c r="D1500" s="48">
        <f>DATE(YEAR(OneWeekMtgRatesDataTable756[[#This Row],[asofdate]]),MONTH(OneWeekMtgRatesDataTable756[[#This Row],[asofdate]]),DAY(OneWeekMtgRatesDataTable756[[#This Row],[asofdate]]))</f>
        <v>40399</v>
      </c>
      <c r="E1500" s="48" t="s">
        <v>11</v>
      </c>
      <c r="F1500" s="55">
        <v>0.28999999999999998</v>
      </c>
    </row>
    <row r="1501" spans="2:6">
      <c r="B1501" s="48" t="s">
        <v>20</v>
      </c>
      <c r="C1501" s="48" t="s">
        <v>337</v>
      </c>
      <c r="D1501" s="48">
        <f>DATE(YEAR(OneWeekMtgRatesDataTable756[[#This Row],[asofdate]]),MONTH(OneWeekMtgRatesDataTable756[[#This Row],[asofdate]]),DAY(OneWeekMtgRatesDataTable756[[#This Row],[asofdate]]))</f>
        <v>40396</v>
      </c>
      <c r="E1501" s="48" t="s">
        <v>11</v>
      </c>
      <c r="F1501" s="55">
        <v>0.29343999999999998</v>
      </c>
    </row>
    <row r="1502" spans="2:6">
      <c r="B1502" s="48" t="s">
        <v>20</v>
      </c>
      <c r="C1502" s="48" t="s">
        <v>336</v>
      </c>
      <c r="D1502" s="48">
        <f>DATE(YEAR(OneWeekMtgRatesDataTable756[[#This Row],[asofdate]]),MONTH(OneWeekMtgRatesDataTable756[[#This Row],[asofdate]]),DAY(OneWeekMtgRatesDataTable756[[#This Row],[asofdate]]))</f>
        <v>40395</v>
      </c>
      <c r="E1502" s="48" t="s">
        <v>11</v>
      </c>
      <c r="F1502" s="55">
        <v>0.29469000000000001</v>
      </c>
    </row>
    <row r="1503" spans="2:6">
      <c r="B1503" s="48" t="s">
        <v>20</v>
      </c>
      <c r="C1503" s="48" t="s">
        <v>335</v>
      </c>
      <c r="D1503" s="48">
        <f>DATE(YEAR(OneWeekMtgRatesDataTable756[[#This Row],[asofdate]]),MONTH(OneWeekMtgRatesDataTable756[[#This Row],[asofdate]]),DAY(OneWeekMtgRatesDataTable756[[#This Row],[asofdate]]))</f>
        <v>40394</v>
      </c>
      <c r="E1503" s="48" t="s">
        <v>11</v>
      </c>
      <c r="F1503" s="55">
        <v>0.29531000000000002</v>
      </c>
    </row>
    <row r="1504" spans="2:6">
      <c r="B1504" s="48" t="s">
        <v>20</v>
      </c>
      <c r="C1504" s="48" t="s">
        <v>334</v>
      </c>
      <c r="D1504" s="48">
        <f>DATE(YEAR(OneWeekMtgRatesDataTable756[[#This Row],[asofdate]]),MONTH(OneWeekMtgRatesDataTable756[[#This Row],[asofdate]]),DAY(OneWeekMtgRatesDataTable756[[#This Row],[asofdate]]))</f>
        <v>40393</v>
      </c>
      <c r="E1504" s="48" t="s">
        <v>11</v>
      </c>
      <c r="F1504" s="55">
        <v>0.3</v>
      </c>
    </row>
    <row r="1505" spans="2:6">
      <c r="B1505" s="48" t="s">
        <v>20</v>
      </c>
      <c r="C1505" s="48" t="s">
        <v>333</v>
      </c>
      <c r="D1505" s="48">
        <f>DATE(YEAR(OneWeekMtgRatesDataTable756[[#This Row],[asofdate]]),MONTH(OneWeekMtgRatesDataTable756[[#This Row],[asofdate]]),DAY(OneWeekMtgRatesDataTable756[[#This Row],[asofdate]]))</f>
        <v>40392</v>
      </c>
      <c r="E1505" s="48" t="s">
        <v>11</v>
      </c>
      <c r="F1505" s="55">
        <v>0.30281000000000002</v>
      </c>
    </row>
    <row r="1506" spans="2:6">
      <c r="B1506" s="48" t="s">
        <v>20</v>
      </c>
      <c r="C1506" s="48" t="s">
        <v>332</v>
      </c>
      <c r="D1506" s="48">
        <f>DATE(YEAR(OneWeekMtgRatesDataTable756[[#This Row],[asofdate]]),MONTH(OneWeekMtgRatesDataTable756[[#This Row],[asofdate]]),DAY(OneWeekMtgRatesDataTable756[[#This Row],[asofdate]]))</f>
        <v>40389</v>
      </c>
      <c r="E1506" s="48" t="s">
        <v>11</v>
      </c>
      <c r="F1506" s="55">
        <v>0.30499999999999999</v>
      </c>
    </row>
    <row r="1507" spans="2:6">
      <c r="B1507" s="48" t="s">
        <v>20</v>
      </c>
      <c r="C1507" s="48" t="s">
        <v>331</v>
      </c>
      <c r="D1507" s="48">
        <f>DATE(YEAR(OneWeekMtgRatesDataTable756[[#This Row],[asofdate]]),MONTH(OneWeekMtgRatesDataTable756[[#This Row],[asofdate]]),DAY(OneWeekMtgRatesDataTable756[[#This Row],[asofdate]]))</f>
        <v>40388</v>
      </c>
      <c r="E1507" s="48" t="s">
        <v>11</v>
      </c>
      <c r="F1507" s="55">
        <v>0.31156</v>
      </c>
    </row>
    <row r="1508" spans="2:6">
      <c r="B1508" s="48" t="s">
        <v>20</v>
      </c>
      <c r="C1508" s="48" t="s">
        <v>330</v>
      </c>
      <c r="D1508" s="48">
        <f>DATE(YEAR(OneWeekMtgRatesDataTable756[[#This Row],[asofdate]]),MONTH(OneWeekMtgRatesDataTable756[[#This Row],[asofdate]]),DAY(OneWeekMtgRatesDataTable756[[#This Row],[asofdate]]))</f>
        <v>40387</v>
      </c>
      <c r="E1508" s="48" t="s">
        <v>11</v>
      </c>
      <c r="F1508" s="55">
        <v>0.31563000000000002</v>
      </c>
    </row>
    <row r="1509" spans="2:6">
      <c r="B1509" s="48" t="s">
        <v>20</v>
      </c>
      <c r="C1509" s="48" t="s">
        <v>329</v>
      </c>
      <c r="D1509" s="48">
        <f>DATE(YEAR(OneWeekMtgRatesDataTable756[[#This Row],[asofdate]]),MONTH(OneWeekMtgRatesDataTable756[[#This Row],[asofdate]]),DAY(OneWeekMtgRatesDataTable756[[#This Row],[asofdate]]))</f>
        <v>40386</v>
      </c>
      <c r="E1509" s="48" t="s">
        <v>11</v>
      </c>
      <c r="F1509" s="55">
        <v>0.32063000000000003</v>
      </c>
    </row>
    <row r="1510" spans="2:6">
      <c r="B1510" s="48" t="s">
        <v>20</v>
      </c>
      <c r="C1510" s="48" t="s">
        <v>328</v>
      </c>
      <c r="D1510" s="48">
        <f>DATE(YEAR(OneWeekMtgRatesDataTable756[[#This Row],[asofdate]]),MONTH(OneWeekMtgRatesDataTable756[[#This Row],[asofdate]]),DAY(OneWeekMtgRatesDataTable756[[#This Row],[asofdate]]))</f>
        <v>40385</v>
      </c>
      <c r="E1510" s="48" t="s">
        <v>11</v>
      </c>
      <c r="F1510" s="55">
        <v>0.32500000000000001</v>
      </c>
    </row>
    <row r="1511" spans="2:6">
      <c r="B1511" s="48" t="s">
        <v>20</v>
      </c>
      <c r="C1511" s="48" t="s">
        <v>327</v>
      </c>
      <c r="D1511" s="48">
        <f>DATE(YEAR(OneWeekMtgRatesDataTable756[[#This Row],[asofdate]]),MONTH(OneWeekMtgRatesDataTable756[[#This Row],[asofdate]]),DAY(OneWeekMtgRatesDataTable756[[#This Row],[asofdate]]))</f>
        <v>40382</v>
      </c>
      <c r="E1511" s="48" t="s">
        <v>11</v>
      </c>
      <c r="F1511" s="55">
        <v>0.32688</v>
      </c>
    </row>
    <row r="1512" spans="2:6">
      <c r="B1512" s="48" t="s">
        <v>20</v>
      </c>
      <c r="C1512" s="48" t="s">
        <v>326</v>
      </c>
      <c r="D1512" s="48">
        <f>DATE(YEAR(OneWeekMtgRatesDataTable756[[#This Row],[asofdate]]),MONTH(OneWeekMtgRatesDataTable756[[#This Row],[asofdate]]),DAY(OneWeekMtgRatesDataTable756[[#This Row],[asofdate]]))</f>
        <v>40381</v>
      </c>
      <c r="E1512" s="48" t="s">
        <v>11</v>
      </c>
      <c r="F1512" s="55">
        <v>0.32874999999999999</v>
      </c>
    </row>
    <row r="1513" spans="2:6">
      <c r="B1513" s="48" t="s">
        <v>20</v>
      </c>
      <c r="C1513" s="48" t="s">
        <v>325</v>
      </c>
      <c r="D1513" s="48">
        <f>DATE(YEAR(OneWeekMtgRatesDataTable756[[#This Row],[asofdate]]),MONTH(OneWeekMtgRatesDataTable756[[#This Row],[asofdate]]),DAY(OneWeekMtgRatesDataTable756[[#This Row],[asofdate]]))</f>
        <v>40380</v>
      </c>
      <c r="E1513" s="48" t="s">
        <v>11</v>
      </c>
      <c r="F1513" s="55">
        <v>0.33062999999999998</v>
      </c>
    </row>
    <row r="1514" spans="2:6">
      <c r="B1514" s="48" t="s">
        <v>20</v>
      </c>
      <c r="C1514" s="48" t="s">
        <v>324</v>
      </c>
      <c r="D1514" s="48">
        <f>DATE(YEAR(OneWeekMtgRatesDataTable756[[#This Row],[asofdate]]),MONTH(OneWeekMtgRatesDataTable756[[#This Row],[asofdate]]),DAY(OneWeekMtgRatesDataTable756[[#This Row],[asofdate]]))</f>
        <v>40379</v>
      </c>
      <c r="E1514" s="48" t="s">
        <v>11</v>
      </c>
      <c r="F1514" s="55">
        <v>0.33250000000000002</v>
      </c>
    </row>
    <row r="1515" spans="2:6">
      <c r="B1515" s="48" t="s">
        <v>20</v>
      </c>
      <c r="C1515" s="48" t="s">
        <v>323</v>
      </c>
      <c r="D1515" s="48">
        <f>DATE(YEAR(OneWeekMtgRatesDataTable756[[#This Row],[asofdate]]),MONTH(OneWeekMtgRatesDataTable756[[#This Row],[asofdate]]),DAY(OneWeekMtgRatesDataTable756[[#This Row],[asofdate]]))</f>
        <v>40378</v>
      </c>
      <c r="E1515" s="48" t="s">
        <v>11</v>
      </c>
      <c r="F1515" s="55">
        <v>0.33688000000000001</v>
      </c>
    </row>
    <row r="1516" spans="2:6">
      <c r="B1516" s="48" t="s">
        <v>20</v>
      </c>
      <c r="C1516" s="48" t="s">
        <v>322</v>
      </c>
      <c r="D1516" s="48">
        <f>DATE(YEAR(OneWeekMtgRatesDataTable756[[#This Row],[asofdate]]),MONTH(OneWeekMtgRatesDataTable756[[#This Row],[asofdate]]),DAY(OneWeekMtgRatesDataTable756[[#This Row],[asofdate]]))</f>
        <v>40375</v>
      </c>
      <c r="E1516" s="48" t="s">
        <v>11</v>
      </c>
      <c r="F1516" s="55">
        <v>0.33812999999999999</v>
      </c>
    </row>
    <row r="1517" spans="2:6">
      <c r="B1517" s="48" t="s">
        <v>20</v>
      </c>
      <c r="C1517" s="48" t="s">
        <v>321</v>
      </c>
      <c r="D1517" s="48">
        <f>DATE(YEAR(OneWeekMtgRatesDataTable756[[#This Row],[asofdate]]),MONTH(OneWeekMtgRatesDataTable756[[#This Row],[asofdate]]),DAY(OneWeekMtgRatesDataTable756[[#This Row],[asofdate]]))</f>
        <v>40374</v>
      </c>
      <c r="E1517" s="48" t="s">
        <v>11</v>
      </c>
      <c r="F1517" s="55">
        <v>0.34062999999999999</v>
      </c>
    </row>
    <row r="1518" spans="2:6">
      <c r="B1518" s="48" t="s">
        <v>20</v>
      </c>
      <c r="C1518" s="48" t="s">
        <v>320</v>
      </c>
      <c r="D1518" s="48">
        <f>DATE(YEAR(OneWeekMtgRatesDataTable756[[#This Row],[asofdate]]),MONTH(OneWeekMtgRatesDataTable756[[#This Row],[asofdate]]),DAY(OneWeekMtgRatesDataTable756[[#This Row],[asofdate]]))</f>
        <v>40373</v>
      </c>
      <c r="E1518" s="48" t="s">
        <v>11</v>
      </c>
      <c r="F1518" s="55">
        <v>0.34094000000000002</v>
      </c>
    </row>
    <row r="1519" spans="2:6">
      <c r="B1519" s="48" t="s">
        <v>20</v>
      </c>
      <c r="C1519" s="48" t="s">
        <v>319</v>
      </c>
      <c r="D1519" s="48">
        <f>DATE(YEAR(OneWeekMtgRatesDataTable756[[#This Row],[asofdate]]),MONTH(OneWeekMtgRatesDataTable756[[#This Row],[asofdate]]),DAY(OneWeekMtgRatesDataTable756[[#This Row],[asofdate]]))</f>
        <v>40372</v>
      </c>
      <c r="E1519" s="48" t="s">
        <v>11</v>
      </c>
      <c r="F1519" s="55">
        <v>0.34094000000000002</v>
      </c>
    </row>
    <row r="1520" spans="2:6">
      <c r="B1520" s="48" t="s">
        <v>20</v>
      </c>
      <c r="C1520" s="48" t="s">
        <v>318</v>
      </c>
      <c r="D1520" s="48">
        <f>DATE(YEAR(OneWeekMtgRatesDataTable756[[#This Row],[asofdate]]),MONTH(OneWeekMtgRatesDataTable756[[#This Row],[asofdate]]),DAY(OneWeekMtgRatesDataTable756[[#This Row],[asofdate]]))</f>
        <v>40371</v>
      </c>
      <c r="E1520" s="48" t="s">
        <v>11</v>
      </c>
      <c r="F1520" s="55">
        <v>0.34094000000000002</v>
      </c>
    </row>
    <row r="1521" spans="2:6">
      <c r="B1521" s="48" t="s">
        <v>20</v>
      </c>
      <c r="C1521" s="48" t="s">
        <v>317</v>
      </c>
      <c r="D1521" s="48">
        <f>DATE(YEAR(OneWeekMtgRatesDataTable756[[#This Row],[asofdate]]),MONTH(OneWeekMtgRatesDataTable756[[#This Row],[asofdate]]),DAY(OneWeekMtgRatesDataTable756[[#This Row],[asofdate]]))</f>
        <v>40368</v>
      </c>
      <c r="E1521" s="48" t="s">
        <v>11</v>
      </c>
      <c r="F1521" s="55">
        <v>0.34094000000000002</v>
      </c>
    </row>
    <row r="1522" spans="2:6">
      <c r="B1522" s="48" t="s">
        <v>20</v>
      </c>
      <c r="C1522" s="48" t="s">
        <v>316</v>
      </c>
      <c r="D1522" s="48">
        <f>DATE(YEAR(OneWeekMtgRatesDataTable756[[#This Row],[asofdate]]),MONTH(OneWeekMtgRatesDataTable756[[#This Row],[asofdate]]),DAY(OneWeekMtgRatesDataTable756[[#This Row],[asofdate]]))</f>
        <v>40367</v>
      </c>
      <c r="E1522" s="48" t="s">
        <v>11</v>
      </c>
      <c r="F1522" s="55">
        <v>0.34250000000000003</v>
      </c>
    </row>
    <row r="1523" spans="2:6">
      <c r="B1523" s="48" t="s">
        <v>20</v>
      </c>
      <c r="C1523" s="48" t="s">
        <v>315</v>
      </c>
      <c r="D1523" s="48">
        <f>DATE(YEAR(OneWeekMtgRatesDataTable756[[#This Row],[asofdate]]),MONTH(OneWeekMtgRatesDataTable756[[#This Row],[asofdate]]),DAY(OneWeekMtgRatesDataTable756[[#This Row],[asofdate]]))</f>
        <v>40366</v>
      </c>
      <c r="E1523" s="48" t="s">
        <v>11</v>
      </c>
      <c r="F1523" s="55">
        <v>0.34499999999999997</v>
      </c>
    </row>
    <row r="1524" spans="2:6">
      <c r="B1524" s="48" t="s">
        <v>20</v>
      </c>
      <c r="C1524" s="48" t="s">
        <v>314</v>
      </c>
      <c r="D1524" s="48">
        <f>DATE(YEAR(OneWeekMtgRatesDataTable756[[#This Row],[asofdate]]),MONTH(OneWeekMtgRatesDataTable756[[#This Row],[asofdate]]),DAY(OneWeekMtgRatesDataTable756[[#This Row],[asofdate]]))</f>
        <v>40365</v>
      </c>
      <c r="E1524" s="48" t="s">
        <v>11</v>
      </c>
      <c r="F1524" s="55">
        <v>0.34625</v>
      </c>
    </row>
    <row r="1525" spans="2:6">
      <c r="B1525" s="48" t="s">
        <v>20</v>
      </c>
      <c r="C1525" s="48" t="s">
        <v>313</v>
      </c>
      <c r="D1525" s="48">
        <f>DATE(YEAR(OneWeekMtgRatesDataTable756[[#This Row],[asofdate]]),MONTH(OneWeekMtgRatesDataTable756[[#This Row],[asofdate]]),DAY(OneWeekMtgRatesDataTable756[[#This Row],[asofdate]]))</f>
        <v>40361</v>
      </c>
      <c r="E1525" s="48" t="s">
        <v>11</v>
      </c>
      <c r="F1525" s="55">
        <v>0.34749999999999998</v>
      </c>
    </row>
    <row r="1526" spans="2:6">
      <c r="B1526" s="48" t="s">
        <v>20</v>
      </c>
      <c r="C1526" s="48" t="s">
        <v>312</v>
      </c>
      <c r="D1526" s="48">
        <f>DATE(YEAR(OneWeekMtgRatesDataTable756[[#This Row],[asofdate]]),MONTH(OneWeekMtgRatesDataTable756[[#This Row],[asofdate]]),DAY(OneWeekMtgRatesDataTable756[[#This Row],[asofdate]]))</f>
        <v>40360</v>
      </c>
      <c r="E1526" s="48" t="s">
        <v>11</v>
      </c>
      <c r="F1526" s="55">
        <v>0.34719</v>
      </c>
    </row>
    <row r="1527" spans="2:6">
      <c r="B1527" s="48" t="s">
        <v>20</v>
      </c>
      <c r="C1527" s="48" t="s">
        <v>311</v>
      </c>
      <c r="D1527" s="48">
        <f>DATE(YEAR(OneWeekMtgRatesDataTable756[[#This Row],[asofdate]]),MONTH(OneWeekMtgRatesDataTable756[[#This Row],[asofdate]]),DAY(OneWeekMtgRatesDataTable756[[#This Row],[asofdate]]))</f>
        <v>40359</v>
      </c>
      <c r="E1527" s="48" t="s">
        <v>11</v>
      </c>
      <c r="F1527" s="55">
        <v>0.34844000000000003</v>
      </c>
    </row>
    <row r="1528" spans="2:6">
      <c r="B1528" s="48" t="s">
        <v>20</v>
      </c>
      <c r="C1528" s="48" t="s">
        <v>310</v>
      </c>
      <c r="D1528" s="48">
        <f>DATE(YEAR(OneWeekMtgRatesDataTable756[[#This Row],[asofdate]]),MONTH(OneWeekMtgRatesDataTable756[[#This Row],[asofdate]]),DAY(OneWeekMtgRatesDataTable756[[#This Row],[asofdate]]))</f>
        <v>40358</v>
      </c>
      <c r="E1528" s="48" t="s">
        <v>11</v>
      </c>
      <c r="F1528" s="55">
        <v>0.34562999999999999</v>
      </c>
    </row>
    <row r="1529" spans="2:6">
      <c r="B1529" s="48" t="s">
        <v>20</v>
      </c>
      <c r="C1529" s="48" t="s">
        <v>309</v>
      </c>
      <c r="D1529" s="48">
        <f>DATE(YEAR(OneWeekMtgRatesDataTable756[[#This Row],[asofdate]]),MONTH(OneWeekMtgRatesDataTable756[[#This Row],[asofdate]]),DAY(OneWeekMtgRatesDataTable756[[#This Row],[asofdate]]))</f>
        <v>40357</v>
      </c>
      <c r="E1529" s="48" t="s">
        <v>11</v>
      </c>
      <c r="F1529" s="55">
        <v>0.34719</v>
      </c>
    </row>
    <row r="1530" spans="2:6">
      <c r="B1530" s="48" t="s">
        <v>20</v>
      </c>
      <c r="C1530" s="48" t="s">
        <v>308</v>
      </c>
      <c r="D1530" s="48">
        <f>DATE(YEAR(OneWeekMtgRatesDataTable756[[#This Row],[asofdate]]),MONTH(OneWeekMtgRatesDataTable756[[#This Row],[asofdate]]),DAY(OneWeekMtgRatesDataTable756[[#This Row],[asofdate]]))</f>
        <v>40354</v>
      </c>
      <c r="E1530" s="48" t="s">
        <v>11</v>
      </c>
      <c r="F1530" s="55">
        <v>0.34719</v>
      </c>
    </row>
    <row r="1531" spans="2:6">
      <c r="B1531" s="48" t="s">
        <v>20</v>
      </c>
      <c r="C1531" s="48" t="s">
        <v>307</v>
      </c>
      <c r="D1531" s="48">
        <f>DATE(YEAR(OneWeekMtgRatesDataTable756[[#This Row],[asofdate]]),MONTH(OneWeekMtgRatesDataTable756[[#This Row],[asofdate]]),DAY(OneWeekMtgRatesDataTable756[[#This Row],[asofdate]]))</f>
        <v>40353</v>
      </c>
      <c r="E1531" s="48" t="s">
        <v>11</v>
      </c>
      <c r="F1531" s="55">
        <v>0.34719</v>
      </c>
    </row>
    <row r="1532" spans="2:6">
      <c r="B1532" s="48" t="s">
        <v>20</v>
      </c>
      <c r="C1532" s="48" t="s">
        <v>306</v>
      </c>
      <c r="D1532" s="48">
        <f>DATE(YEAR(OneWeekMtgRatesDataTable756[[#This Row],[asofdate]]),MONTH(OneWeekMtgRatesDataTable756[[#This Row],[asofdate]]),DAY(OneWeekMtgRatesDataTable756[[#This Row],[asofdate]]))</f>
        <v>40352</v>
      </c>
      <c r="E1532" s="48" t="s">
        <v>11</v>
      </c>
      <c r="F1532" s="55">
        <v>0.34719</v>
      </c>
    </row>
    <row r="1533" spans="2:6">
      <c r="B1533" s="48" t="s">
        <v>20</v>
      </c>
      <c r="C1533" s="48" t="s">
        <v>305</v>
      </c>
      <c r="D1533" s="48">
        <f>DATE(YEAR(OneWeekMtgRatesDataTable756[[#This Row],[asofdate]]),MONTH(OneWeekMtgRatesDataTable756[[#This Row],[asofdate]]),DAY(OneWeekMtgRatesDataTable756[[#This Row],[asofdate]]))</f>
        <v>40351</v>
      </c>
      <c r="E1533" s="48" t="s">
        <v>11</v>
      </c>
      <c r="F1533" s="55">
        <v>0.34719</v>
      </c>
    </row>
    <row r="1534" spans="2:6">
      <c r="B1534" s="48" t="s">
        <v>20</v>
      </c>
      <c r="C1534" s="48" t="s">
        <v>304</v>
      </c>
      <c r="D1534" s="48">
        <f>DATE(YEAR(OneWeekMtgRatesDataTable756[[#This Row],[asofdate]]),MONTH(OneWeekMtgRatesDataTable756[[#This Row],[asofdate]]),DAY(OneWeekMtgRatesDataTable756[[#This Row],[asofdate]]))</f>
        <v>40350</v>
      </c>
      <c r="E1534" s="48" t="s">
        <v>11</v>
      </c>
      <c r="F1534" s="55">
        <v>0.34719</v>
      </c>
    </row>
    <row r="1535" spans="2:6">
      <c r="B1535" s="48" t="s">
        <v>20</v>
      </c>
      <c r="C1535" s="48" t="s">
        <v>303</v>
      </c>
      <c r="D1535" s="48">
        <f>DATE(YEAR(OneWeekMtgRatesDataTable756[[#This Row],[asofdate]]),MONTH(OneWeekMtgRatesDataTable756[[#This Row],[asofdate]]),DAY(OneWeekMtgRatesDataTable756[[#This Row],[asofdate]]))</f>
        <v>40347</v>
      </c>
      <c r="E1535" s="48" t="s">
        <v>11</v>
      </c>
      <c r="F1535" s="55">
        <v>0.34733999999999998</v>
      </c>
    </row>
    <row r="1536" spans="2:6">
      <c r="B1536" s="48" t="s">
        <v>20</v>
      </c>
      <c r="C1536" s="48" t="s">
        <v>302</v>
      </c>
      <c r="D1536" s="48">
        <f>DATE(YEAR(OneWeekMtgRatesDataTable756[[#This Row],[asofdate]]),MONTH(OneWeekMtgRatesDataTable756[[#This Row],[asofdate]]),DAY(OneWeekMtgRatesDataTable756[[#This Row],[asofdate]]))</f>
        <v>40346</v>
      </c>
      <c r="E1536" s="48" t="s">
        <v>11</v>
      </c>
      <c r="F1536" s="55">
        <v>0.34749999999999998</v>
      </c>
    </row>
    <row r="1537" spans="2:6">
      <c r="B1537" s="48" t="s">
        <v>20</v>
      </c>
      <c r="C1537" s="48" t="s">
        <v>301</v>
      </c>
      <c r="D1537" s="48">
        <f>DATE(YEAR(OneWeekMtgRatesDataTable756[[#This Row],[asofdate]]),MONTH(OneWeekMtgRatesDataTable756[[#This Row],[asofdate]]),DAY(OneWeekMtgRatesDataTable756[[#This Row],[asofdate]]))</f>
        <v>40345</v>
      </c>
      <c r="E1537" s="48" t="s">
        <v>11</v>
      </c>
      <c r="F1537" s="55">
        <v>0.34844000000000003</v>
      </c>
    </row>
    <row r="1538" spans="2:6">
      <c r="B1538" s="48" t="s">
        <v>20</v>
      </c>
      <c r="C1538" s="48" t="s">
        <v>300</v>
      </c>
      <c r="D1538" s="48">
        <f>DATE(YEAR(OneWeekMtgRatesDataTable756[[#This Row],[asofdate]]),MONTH(OneWeekMtgRatesDataTable756[[#This Row],[asofdate]]),DAY(OneWeekMtgRatesDataTable756[[#This Row],[asofdate]]))</f>
        <v>40344</v>
      </c>
      <c r="E1538" s="48" t="s">
        <v>11</v>
      </c>
      <c r="F1538" s="55">
        <v>0.34969</v>
      </c>
    </row>
    <row r="1539" spans="2:6">
      <c r="B1539" s="48" t="s">
        <v>20</v>
      </c>
      <c r="C1539" s="48" t="s">
        <v>299</v>
      </c>
      <c r="D1539" s="48">
        <f>DATE(YEAR(OneWeekMtgRatesDataTable756[[#This Row],[asofdate]]),MONTH(OneWeekMtgRatesDataTable756[[#This Row],[asofdate]]),DAY(OneWeekMtgRatesDataTable756[[#This Row],[asofdate]]))</f>
        <v>40343</v>
      </c>
      <c r="E1539" s="48" t="s">
        <v>11</v>
      </c>
      <c r="F1539" s="55">
        <v>0.34969</v>
      </c>
    </row>
    <row r="1540" spans="2:6">
      <c r="B1540" s="48" t="s">
        <v>20</v>
      </c>
      <c r="C1540" s="48" t="s">
        <v>298</v>
      </c>
      <c r="D1540" s="48">
        <f>DATE(YEAR(OneWeekMtgRatesDataTable756[[#This Row],[asofdate]]),MONTH(OneWeekMtgRatesDataTable756[[#This Row],[asofdate]]),DAY(OneWeekMtgRatesDataTable756[[#This Row],[asofdate]]))</f>
        <v>40340</v>
      </c>
      <c r="E1540" s="48" t="s">
        <v>11</v>
      </c>
      <c r="F1540" s="55">
        <v>0.34969</v>
      </c>
    </row>
    <row r="1541" spans="2:6">
      <c r="B1541" s="48" t="s">
        <v>20</v>
      </c>
      <c r="C1541" s="48" t="s">
        <v>297</v>
      </c>
      <c r="D1541" s="48">
        <f>DATE(YEAR(OneWeekMtgRatesDataTable756[[#This Row],[asofdate]]),MONTH(OneWeekMtgRatesDataTable756[[#This Row],[asofdate]]),DAY(OneWeekMtgRatesDataTable756[[#This Row],[asofdate]]))</f>
        <v>40339</v>
      </c>
      <c r="E1541" s="48" t="s">
        <v>11</v>
      </c>
      <c r="F1541" s="55">
        <v>0.34969</v>
      </c>
    </row>
    <row r="1542" spans="2:6">
      <c r="B1542" s="48" t="s">
        <v>20</v>
      </c>
      <c r="C1542" s="48" t="s">
        <v>296</v>
      </c>
      <c r="D1542" s="48">
        <f>DATE(YEAR(OneWeekMtgRatesDataTable756[[#This Row],[asofdate]]),MONTH(OneWeekMtgRatesDataTable756[[#This Row],[asofdate]]),DAY(OneWeekMtgRatesDataTable756[[#This Row],[asofdate]]))</f>
        <v>40338</v>
      </c>
      <c r="E1542" s="48" t="s">
        <v>11</v>
      </c>
      <c r="F1542" s="55">
        <v>0.35031000000000001</v>
      </c>
    </row>
    <row r="1543" spans="2:6">
      <c r="B1543" s="48" t="s">
        <v>20</v>
      </c>
      <c r="C1543" s="48" t="s">
        <v>295</v>
      </c>
      <c r="D1543" s="48">
        <f>DATE(YEAR(OneWeekMtgRatesDataTable756[[#This Row],[asofdate]]),MONTH(OneWeekMtgRatesDataTable756[[#This Row],[asofdate]]),DAY(OneWeekMtgRatesDataTable756[[#This Row],[asofdate]]))</f>
        <v>40337</v>
      </c>
      <c r="E1543" s="48" t="s">
        <v>11</v>
      </c>
      <c r="F1543" s="55">
        <v>0.35</v>
      </c>
    </row>
    <row r="1544" spans="2:6">
      <c r="B1544" s="48" t="s">
        <v>20</v>
      </c>
      <c r="C1544" s="48" t="s">
        <v>294</v>
      </c>
      <c r="D1544" s="48">
        <f>DATE(YEAR(OneWeekMtgRatesDataTable756[[#This Row],[asofdate]]),MONTH(OneWeekMtgRatesDataTable756[[#This Row],[asofdate]]),DAY(OneWeekMtgRatesDataTable756[[#This Row],[asofdate]]))</f>
        <v>40336</v>
      </c>
      <c r="E1544" s="48" t="s">
        <v>11</v>
      </c>
      <c r="F1544" s="55">
        <v>0.35</v>
      </c>
    </row>
    <row r="1545" spans="2:6">
      <c r="B1545" s="48" t="s">
        <v>20</v>
      </c>
      <c r="C1545" s="48" t="s">
        <v>293</v>
      </c>
      <c r="D1545" s="48">
        <f>DATE(YEAR(OneWeekMtgRatesDataTable756[[#This Row],[asofdate]]),MONTH(OneWeekMtgRatesDataTable756[[#This Row],[asofdate]]),DAY(OneWeekMtgRatesDataTable756[[#This Row],[asofdate]]))</f>
        <v>40333</v>
      </c>
      <c r="E1545" s="48" t="s">
        <v>11</v>
      </c>
      <c r="F1545" s="55">
        <v>0.35</v>
      </c>
    </row>
    <row r="1546" spans="2:6">
      <c r="B1546" s="48" t="s">
        <v>20</v>
      </c>
      <c r="C1546" s="48" t="s">
        <v>292</v>
      </c>
      <c r="D1546" s="48">
        <f>DATE(YEAR(OneWeekMtgRatesDataTable756[[#This Row],[asofdate]]),MONTH(OneWeekMtgRatesDataTable756[[#This Row],[asofdate]]),DAY(OneWeekMtgRatesDataTable756[[#This Row],[asofdate]]))</f>
        <v>40332</v>
      </c>
      <c r="E1546" s="48" t="s">
        <v>11</v>
      </c>
      <c r="F1546" s="55">
        <v>0.35088000000000003</v>
      </c>
    </row>
    <row r="1547" spans="2:6">
      <c r="B1547" s="48" t="s">
        <v>20</v>
      </c>
      <c r="C1547" s="48" t="s">
        <v>291</v>
      </c>
      <c r="D1547" s="48">
        <f>DATE(YEAR(OneWeekMtgRatesDataTable756[[#This Row],[asofdate]]),MONTH(OneWeekMtgRatesDataTable756[[#This Row],[asofdate]]),DAY(OneWeekMtgRatesDataTable756[[#This Row],[asofdate]]))</f>
        <v>40331</v>
      </c>
      <c r="E1547" s="48" t="s">
        <v>11</v>
      </c>
      <c r="F1547" s="55">
        <v>0.35088000000000003</v>
      </c>
    </row>
    <row r="1548" spans="2:6">
      <c r="B1548" s="48" t="s">
        <v>20</v>
      </c>
      <c r="C1548" s="48" t="s">
        <v>290</v>
      </c>
      <c r="D1548" s="48">
        <f>DATE(YEAR(OneWeekMtgRatesDataTable756[[#This Row],[asofdate]]),MONTH(OneWeekMtgRatesDataTable756[[#This Row],[asofdate]]),DAY(OneWeekMtgRatesDataTable756[[#This Row],[asofdate]]))</f>
        <v>40330</v>
      </c>
      <c r="E1548" s="48" t="s">
        <v>11</v>
      </c>
      <c r="F1548" s="55">
        <v>0.35088000000000003</v>
      </c>
    </row>
    <row r="1549" spans="2:6">
      <c r="B1549" s="48" t="s">
        <v>20</v>
      </c>
      <c r="C1549" s="48" t="s">
        <v>289</v>
      </c>
      <c r="D1549" s="48">
        <f>DATE(YEAR(OneWeekMtgRatesDataTable756[[#This Row],[asofdate]]),MONTH(OneWeekMtgRatesDataTable756[[#This Row],[asofdate]]),DAY(OneWeekMtgRatesDataTable756[[#This Row],[asofdate]]))</f>
        <v>40326</v>
      </c>
      <c r="E1549" s="48" t="s">
        <v>11</v>
      </c>
      <c r="F1549" s="55">
        <v>0.35125000000000001</v>
      </c>
    </row>
    <row r="1550" spans="2:6">
      <c r="B1550" s="48" t="s">
        <v>20</v>
      </c>
      <c r="C1550" s="48" t="s">
        <v>288</v>
      </c>
      <c r="D1550" s="48">
        <f>DATE(YEAR(OneWeekMtgRatesDataTable756[[#This Row],[asofdate]]),MONTH(OneWeekMtgRatesDataTable756[[#This Row],[asofdate]]),DAY(OneWeekMtgRatesDataTable756[[#This Row],[asofdate]]))</f>
        <v>40325</v>
      </c>
      <c r="E1550" s="48" t="s">
        <v>11</v>
      </c>
      <c r="F1550" s="55">
        <v>0.35375000000000001</v>
      </c>
    </row>
    <row r="1551" spans="2:6">
      <c r="B1551" s="48" t="s">
        <v>20</v>
      </c>
      <c r="C1551" s="48" t="s">
        <v>287</v>
      </c>
      <c r="D1551" s="48">
        <f>DATE(YEAR(OneWeekMtgRatesDataTable756[[#This Row],[asofdate]]),MONTH(OneWeekMtgRatesDataTable756[[#This Row],[asofdate]]),DAY(OneWeekMtgRatesDataTable756[[#This Row],[asofdate]]))</f>
        <v>40324</v>
      </c>
      <c r="E1551" s="48" t="s">
        <v>11</v>
      </c>
      <c r="F1551" s="55">
        <v>0.35405999999999999</v>
      </c>
    </row>
    <row r="1552" spans="2:6">
      <c r="B1552" s="48" t="s">
        <v>20</v>
      </c>
      <c r="C1552" s="48" t="s">
        <v>286</v>
      </c>
      <c r="D1552" s="48">
        <f>DATE(YEAR(OneWeekMtgRatesDataTable756[[#This Row],[asofdate]]),MONTH(OneWeekMtgRatesDataTable756[[#This Row],[asofdate]]),DAY(OneWeekMtgRatesDataTable756[[#This Row],[asofdate]]))</f>
        <v>40323</v>
      </c>
      <c r="E1552" s="48" t="s">
        <v>11</v>
      </c>
      <c r="F1552" s="55">
        <v>0.35399999999999998</v>
      </c>
    </row>
    <row r="1553" spans="2:6">
      <c r="B1553" s="48" t="s">
        <v>20</v>
      </c>
      <c r="C1553" s="48" t="s">
        <v>285</v>
      </c>
      <c r="D1553" s="48">
        <f>DATE(YEAR(OneWeekMtgRatesDataTable756[[#This Row],[asofdate]]),MONTH(OneWeekMtgRatesDataTable756[[#This Row],[asofdate]]),DAY(OneWeekMtgRatesDataTable756[[#This Row],[asofdate]]))</f>
        <v>40322</v>
      </c>
      <c r="E1553" s="48" t="s">
        <v>11</v>
      </c>
      <c r="F1553" s="55">
        <v>0.34525</v>
      </c>
    </row>
    <row r="1554" spans="2:6">
      <c r="B1554" s="48" t="s">
        <v>20</v>
      </c>
      <c r="C1554" s="48" t="s">
        <v>284</v>
      </c>
      <c r="D1554" s="48">
        <f>DATE(YEAR(OneWeekMtgRatesDataTable756[[#This Row],[asofdate]]),MONTH(OneWeekMtgRatesDataTable756[[#This Row],[asofdate]]),DAY(OneWeekMtgRatesDataTable756[[#This Row],[asofdate]]))</f>
        <v>40319</v>
      </c>
      <c r="E1554" s="48" t="s">
        <v>11</v>
      </c>
      <c r="F1554" s="55">
        <v>0.34281</v>
      </c>
    </row>
    <row r="1555" spans="2:6">
      <c r="B1555" s="48" t="s">
        <v>20</v>
      </c>
      <c r="C1555" s="48" t="s">
        <v>283</v>
      </c>
      <c r="D1555" s="48">
        <f>DATE(YEAR(OneWeekMtgRatesDataTable756[[#This Row],[asofdate]]),MONTH(OneWeekMtgRatesDataTable756[[#This Row],[asofdate]]),DAY(OneWeekMtgRatesDataTable756[[#This Row],[asofdate]]))</f>
        <v>40318</v>
      </c>
      <c r="E1555" s="48" t="s">
        <v>11</v>
      </c>
      <c r="F1555" s="55">
        <v>0.34131</v>
      </c>
    </row>
    <row r="1556" spans="2:6">
      <c r="B1556" s="48" t="s">
        <v>20</v>
      </c>
      <c r="C1556" s="48" t="s">
        <v>282</v>
      </c>
      <c r="D1556" s="48">
        <f>DATE(YEAR(OneWeekMtgRatesDataTable756[[#This Row],[asofdate]]),MONTH(OneWeekMtgRatesDataTable756[[#This Row],[asofdate]]),DAY(OneWeekMtgRatesDataTable756[[#This Row],[asofdate]]))</f>
        <v>40317</v>
      </c>
      <c r="E1556" s="48" t="s">
        <v>11</v>
      </c>
      <c r="F1556" s="55">
        <v>0.34105999999999997</v>
      </c>
    </row>
    <row r="1557" spans="2:6">
      <c r="B1557" s="48" t="s">
        <v>20</v>
      </c>
      <c r="C1557" s="48" t="s">
        <v>281</v>
      </c>
      <c r="D1557" s="48">
        <f>DATE(YEAR(OneWeekMtgRatesDataTable756[[#This Row],[asofdate]]),MONTH(OneWeekMtgRatesDataTable756[[#This Row],[asofdate]]),DAY(OneWeekMtgRatesDataTable756[[#This Row],[asofdate]]))</f>
        <v>40316</v>
      </c>
      <c r="E1557" s="48" t="s">
        <v>11</v>
      </c>
      <c r="F1557" s="55">
        <v>0.33968999999999999</v>
      </c>
    </row>
    <row r="1558" spans="2:6">
      <c r="B1558" s="48" t="s">
        <v>20</v>
      </c>
      <c r="C1558" s="48" t="s">
        <v>280</v>
      </c>
      <c r="D1558" s="48">
        <f>DATE(YEAR(OneWeekMtgRatesDataTable756[[#This Row],[asofdate]]),MONTH(OneWeekMtgRatesDataTable756[[#This Row],[asofdate]]),DAY(OneWeekMtgRatesDataTable756[[#This Row],[asofdate]]))</f>
        <v>40315</v>
      </c>
      <c r="E1558" s="48" t="s">
        <v>11</v>
      </c>
      <c r="F1558" s="55">
        <v>0.33894000000000002</v>
      </c>
    </row>
    <row r="1559" spans="2:6">
      <c r="B1559" s="48" t="s">
        <v>20</v>
      </c>
      <c r="C1559" s="48" t="s">
        <v>279</v>
      </c>
      <c r="D1559" s="48">
        <f>DATE(YEAR(OneWeekMtgRatesDataTable756[[#This Row],[asofdate]]),MONTH(OneWeekMtgRatesDataTable756[[#This Row],[asofdate]]),DAY(OneWeekMtgRatesDataTable756[[#This Row],[asofdate]]))</f>
        <v>40312</v>
      </c>
      <c r="E1559" s="48" t="s">
        <v>11</v>
      </c>
      <c r="F1559" s="55">
        <v>0.33774999999999999</v>
      </c>
    </row>
    <row r="1560" spans="2:6">
      <c r="B1560" s="48" t="s">
        <v>20</v>
      </c>
      <c r="C1560" s="48" t="s">
        <v>278</v>
      </c>
      <c r="D1560" s="48">
        <f>DATE(YEAR(OneWeekMtgRatesDataTable756[[#This Row],[asofdate]]),MONTH(OneWeekMtgRatesDataTable756[[#This Row],[asofdate]]),DAY(OneWeekMtgRatesDataTable756[[#This Row],[asofdate]]))</f>
        <v>40311</v>
      </c>
      <c r="E1560" s="48" t="s">
        <v>11</v>
      </c>
      <c r="F1560" s="55">
        <v>0.33688000000000001</v>
      </c>
    </row>
    <row r="1561" spans="2:6">
      <c r="B1561" s="48" t="s">
        <v>20</v>
      </c>
      <c r="C1561" s="48" t="s">
        <v>277</v>
      </c>
      <c r="D1561" s="48">
        <f>DATE(YEAR(OneWeekMtgRatesDataTable756[[#This Row],[asofdate]]),MONTH(OneWeekMtgRatesDataTable756[[#This Row],[asofdate]]),DAY(OneWeekMtgRatesDataTable756[[#This Row],[asofdate]]))</f>
        <v>40310</v>
      </c>
      <c r="E1561" s="48" t="s">
        <v>11</v>
      </c>
      <c r="F1561" s="55">
        <v>0.33812999999999999</v>
      </c>
    </row>
    <row r="1562" spans="2:6">
      <c r="B1562" s="48" t="s">
        <v>20</v>
      </c>
      <c r="C1562" s="48" t="s">
        <v>276</v>
      </c>
      <c r="D1562" s="48">
        <f>DATE(YEAR(OneWeekMtgRatesDataTable756[[#This Row],[asofdate]]),MONTH(OneWeekMtgRatesDataTable756[[#This Row],[asofdate]]),DAY(OneWeekMtgRatesDataTable756[[#This Row],[asofdate]]))</f>
        <v>40309</v>
      </c>
      <c r="E1562" s="48" t="s">
        <v>11</v>
      </c>
      <c r="F1562" s="55">
        <v>0.33750000000000002</v>
      </c>
    </row>
    <row r="1563" spans="2:6">
      <c r="B1563" s="48" t="s">
        <v>20</v>
      </c>
      <c r="C1563" s="48" t="s">
        <v>275</v>
      </c>
      <c r="D1563" s="48">
        <f>DATE(YEAR(OneWeekMtgRatesDataTable756[[#This Row],[asofdate]]),MONTH(OneWeekMtgRatesDataTable756[[#This Row],[asofdate]]),DAY(OneWeekMtgRatesDataTable756[[#This Row],[asofdate]]))</f>
        <v>40308</v>
      </c>
      <c r="E1563" s="48" t="s">
        <v>11</v>
      </c>
      <c r="F1563" s="55">
        <v>0.34</v>
      </c>
    </row>
    <row r="1564" spans="2:6">
      <c r="B1564" s="48" t="s">
        <v>20</v>
      </c>
      <c r="C1564" s="48" t="s">
        <v>274</v>
      </c>
      <c r="D1564" s="48">
        <f>DATE(YEAR(OneWeekMtgRatesDataTable756[[#This Row],[asofdate]]),MONTH(OneWeekMtgRatesDataTable756[[#This Row],[asofdate]]),DAY(OneWeekMtgRatesDataTable756[[#This Row],[asofdate]]))</f>
        <v>40305</v>
      </c>
      <c r="E1564" s="48" t="s">
        <v>11</v>
      </c>
      <c r="F1564" s="55">
        <v>0.34875</v>
      </c>
    </row>
    <row r="1565" spans="2:6">
      <c r="B1565" s="48" t="s">
        <v>20</v>
      </c>
      <c r="C1565" s="48" t="s">
        <v>273</v>
      </c>
      <c r="D1565" s="48">
        <f>DATE(YEAR(OneWeekMtgRatesDataTable756[[#This Row],[asofdate]]),MONTH(OneWeekMtgRatesDataTable756[[#This Row],[asofdate]]),DAY(OneWeekMtgRatesDataTable756[[#This Row],[asofdate]]))</f>
        <v>40304</v>
      </c>
      <c r="E1565" s="48" t="s">
        <v>11</v>
      </c>
      <c r="F1565" s="55">
        <v>0.29705999999999999</v>
      </c>
    </row>
    <row r="1566" spans="2:6">
      <c r="B1566" s="48" t="s">
        <v>20</v>
      </c>
      <c r="C1566" s="48" t="s">
        <v>272</v>
      </c>
      <c r="D1566" s="48">
        <f>DATE(YEAR(OneWeekMtgRatesDataTable756[[#This Row],[asofdate]]),MONTH(OneWeekMtgRatesDataTable756[[#This Row],[asofdate]]),DAY(OneWeekMtgRatesDataTable756[[#This Row],[asofdate]]))</f>
        <v>40303</v>
      </c>
      <c r="E1566" s="48" t="s">
        <v>11</v>
      </c>
      <c r="F1566" s="55">
        <v>0.29093999999999998</v>
      </c>
    </row>
    <row r="1567" spans="2:6">
      <c r="B1567" s="48" t="s">
        <v>20</v>
      </c>
      <c r="C1567" s="48" t="s">
        <v>271</v>
      </c>
      <c r="D1567" s="48">
        <f>DATE(YEAR(OneWeekMtgRatesDataTable756[[#This Row],[asofdate]]),MONTH(OneWeekMtgRatesDataTable756[[#This Row],[asofdate]]),DAY(OneWeekMtgRatesDataTable756[[#This Row],[asofdate]]))</f>
        <v>40302</v>
      </c>
      <c r="E1567" s="48" t="s">
        <v>11</v>
      </c>
      <c r="F1567" s="55">
        <v>0.28469</v>
      </c>
    </row>
    <row r="1568" spans="2:6">
      <c r="B1568" s="48" t="s">
        <v>20</v>
      </c>
      <c r="C1568" s="48" t="s">
        <v>270</v>
      </c>
      <c r="D1568" s="48">
        <f>DATE(YEAR(OneWeekMtgRatesDataTable756[[#This Row],[asofdate]]),MONTH(OneWeekMtgRatesDataTable756[[#This Row],[asofdate]]),DAY(OneWeekMtgRatesDataTable756[[#This Row],[asofdate]]))</f>
        <v>40301</v>
      </c>
      <c r="E1568" s="48" t="s">
        <v>11</v>
      </c>
      <c r="F1568" s="55">
        <v>0.28000000000000003</v>
      </c>
    </row>
    <row r="1569" spans="2:6">
      <c r="B1569" s="48" t="s">
        <v>20</v>
      </c>
      <c r="C1569" s="48" t="s">
        <v>269</v>
      </c>
      <c r="D1569" s="48">
        <f>DATE(YEAR(OneWeekMtgRatesDataTable756[[#This Row],[asofdate]]),MONTH(OneWeekMtgRatesDataTable756[[#This Row],[asofdate]]),DAY(OneWeekMtgRatesDataTable756[[#This Row],[asofdate]]))</f>
        <v>40298</v>
      </c>
      <c r="E1569" s="48" t="s">
        <v>11</v>
      </c>
      <c r="F1569" s="55">
        <v>0.28000000000000003</v>
      </c>
    </row>
    <row r="1570" spans="2:6">
      <c r="B1570" s="48" t="s">
        <v>20</v>
      </c>
      <c r="C1570" s="48" t="s">
        <v>268</v>
      </c>
      <c r="D1570" s="48">
        <f>DATE(YEAR(OneWeekMtgRatesDataTable756[[#This Row],[asofdate]]),MONTH(OneWeekMtgRatesDataTable756[[#This Row],[asofdate]]),DAY(OneWeekMtgRatesDataTable756[[#This Row],[asofdate]]))</f>
        <v>40297</v>
      </c>
      <c r="E1570" s="48" t="s">
        <v>11</v>
      </c>
      <c r="F1570" s="55">
        <v>0.27766000000000002</v>
      </c>
    </row>
    <row r="1571" spans="2:6">
      <c r="B1571" s="48" t="s">
        <v>20</v>
      </c>
      <c r="C1571" s="48" t="s">
        <v>267</v>
      </c>
      <c r="D1571" s="48">
        <f>DATE(YEAR(OneWeekMtgRatesDataTable756[[#This Row],[asofdate]]),MONTH(OneWeekMtgRatesDataTable756[[#This Row],[asofdate]]),DAY(OneWeekMtgRatesDataTable756[[#This Row],[asofdate]]))</f>
        <v>40296</v>
      </c>
      <c r="E1571" s="48" t="s">
        <v>11</v>
      </c>
      <c r="F1571" s="55">
        <v>0.27312999999999998</v>
      </c>
    </row>
    <row r="1572" spans="2:6">
      <c r="B1572" s="48" t="s">
        <v>20</v>
      </c>
      <c r="C1572" s="48" t="s">
        <v>266</v>
      </c>
      <c r="D1572" s="48">
        <f>DATE(YEAR(OneWeekMtgRatesDataTable756[[#This Row],[asofdate]]),MONTH(OneWeekMtgRatesDataTable756[[#This Row],[asofdate]]),DAY(OneWeekMtgRatesDataTable756[[#This Row],[asofdate]]))</f>
        <v>40295</v>
      </c>
      <c r="E1572" s="48" t="s">
        <v>11</v>
      </c>
      <c r="F1572" s="55">
        <v>0.26672000000000001</v>
      </c>
    </row>
    <row r="1573" spans="2:6">
      <c r="B1573" s="48" t="s">
        <v>20</v>
      </c>
      <c r="C1573" s="48" t="s">
        <v>265</v>
      </c>
      <c r="D1573" s="48">
        <f>DATE(YEAR(OneWeekMtgRatesDataTable756[[#This Row],[asofdate]]),MONTH(OneWeekMtgRatesDataTable756[[#This Row],[asofdate]]),DAY(OneWeekMtgRatesDataTable756[[#This Row],[asofdate]]))</f>
        <v>40294</v>
      </c>
      <c r="E1573" s="48" t="s">
        <v>11</v>
      </c>
      <c r="F1573" s="55">
        <v>0.26468999999999998</v>
      </c>
    </row>
    <row r="1574" spans="2:6">
      <c r="B1574" s="48" t="s">
        <v>20</v>
      </c>
      <c r="C1574" s="48" t="s">
        <v>264</v>
      </c>
      <c r="D1574" s="48">
        <f>DATE(YEAR(OneWeekMtgRatesDataTable756[[#This Row],[asofdate]]),MONTH(OneWeekMtgRatesDataTable756[[#This Row],[asofdate]]),DAY(OneWeekMtgRatesDataTable756[[#This Row],[asofdate]]))</f>
        <v>40291</v>
      </c>
      <c r="E1574" s="48" t="s">
        <v>11</v>
      </c>
      <c r="F1574" s="55">
        <v>0.26438</v>
      </c>
    </row>
    <row r="1575" spans="2:6">
      <c r="B1575" s="48" t="s">
        <v>20</v>
      </c>
      <c r="C1575" s="48" t="s">
        <v>263</v>
      </c>
      <c r="D1575" s="48">
        <f>DATE(YEAR(OneWeekMtgRatesDataTable756[[#This Row],[asofdate]]),MONTH(OneWeekMtgRatesDataTable756[[#This Row],[asofdate]]),DAY(OneWeekMtgRatesDataTable756[[#This Row],[asofdate]]))</f>
        <v>40290</v>
      </c>
      <c r="E1575" s="48" t="s">
        <v>11</v>
      </c>
      <c r="F1575" s="55">
        <v>0.26250000000000001</v>
      </c>
    </row>
    <row r="1576" spans="2:6">
      <c r="B1576" s="48" t="s">
        <v>20</v>
      </c>
      <c r="C1576" s="48" t="s">
        <v>262</v>
      </c>
      <c r="D1576" s="48">
        <f>DATE(YEAR(OneWeekMtgRatesDataTable756[[#This Row],[asofdate]]),MONTH(OneWeekMtgRatesDataTable756[[#This Row],[asofdate]]),DAY(OneWeekMtgRatesDataTable756[[#This Row],[asofdate]]))</f>
        <v>40289</v>
      </c>
      <c r="E1576" s="48" t="s">
        <v>11</v>
      </c>
      <c r="F1576" s="55">
        <v>0.26062999999999997</v>
      </c>
    </row>
    <row r="1577" spans="2:6">
      <c r="B1577" s="48" t="s">
        <v>20</v>
      </c>
      <c r="C1577" s="48" t="s">
        <v>261</v>
      </c>
      <c r="D1577" s="48">
        <f>DATE(YEAR(OneWeekMtgRatesDataTable756[[#This Row],[asofdate]]),MONTH(OneWeekMtgRatesDataTable756[[#This Row],[asofdate]]),DAY(OneWeekMtgRatesDataTable756[[#This Row],[asofdate]]))</f>
        <v>40288</v>
      </c>
      <c r="E1577" s="48" t="s">
        <v>11</v>
      </c>
      <c r="F1577" s="55">
        <v>0.25874999999999998</v>
      </c>
    </row>
    <row r="1578" spans="2:6">
      <c r="B1578" s="48" t="s">
        <v>20</v>
      </c>
      <c r="C1578" s="48" t="s">
        <v>260</v>
      </c>
      <c r="D1578" s="48">
        <f>DATE(YEAR(OneWeekMtgRatesDataTable756[[#This Row],[asofdate]]),MONTH(OneWeekMtgRatesDataTable756[[#This Row],[asofdate]]),DAY(OneWeekMtgRatesDataTable756[[#This Row],[asofdate]]))</f>
        <v>40287</v>
      </c>
      <c r="E1578" s="48" t="s">
        <v>11</v>
      </c>
      <c r="F1578" s="55">
        <v>0.25750000000000001</v>
      </c>
    </row>
    <row r="1579" spans="2:6">
      <c r="B1579" s="48" t="s">
        <v>20</v>
      </c>
      <c r="C1579" s="48" t="s">
        <v>259</v>
      </c>
      <c r="D1579" s="48">
        <f>DATE(YEAR(OneWeekMtgRatesDataTable756[[#This Row],[asofdate]]),MONTH(OneWeekMtgRatesDataTable756[[#This Row],[asofdate]]),DAY(OneWeekMtgRatesDataTable756[[#This Row],[asofdate]]))</f>
        <v>40284</v>
      </c>
      <c r="E1579" s="48" t="s">
        <v>11</v>
      </c>
      <c r="F1579" s="55">
        <v>0.25563000000000002</v>
      </c>
    </row>
    <row r="1580" spans="2:6">
      <c r="B1580" s="48" t="s">
        <v>20</v>
      </c>
      <c r="C1580" s="48" t="s">
        <v>258</v>
      </c>
      <c r="D1580" s="48">
        <f>DATE(YEAR(OneWeekMtgRatesDataTable756[[#This Row],[asofdate]]),MONTH(OneWeekMtgRatesDataTable756[[#This Row],[asofdate]]),DAY(OneWeekMtgRatesDataTable756[[#This Row],[asofdate]]))</f>
        <v>40283</v>
      </c>
      <c r="E1580" s="48" t="s">
        <v>11</v>
      </c>
      <c r="F1580" s="55">
        <v>0.25624999999999998</v>
      </c>
    </row>
    <row r="1581" spans="2:6">
      <c r="B1581" s="48" t="s">
        <v>20</v>
      </c>
      <c r="C1581" s="48" t="s">
        <v>257</v>
      </c>
      <c r="D1581" s="48">
        <f>DATE(YEAR(OneWeekMtgRatesDataTable756[[#This Row],[asofdate]]),MONTH(OneWeekMtgRatesDataTable756[[#This Row],[asofdate]]),DAY(OneWeekMtgRatesDataTable756[[#This Row],[asofdate]]))</f>
        <v>40282</v>
      </c>
      <c r="E1581" s="48" t="s">
        <v>11</v>
      </c>
      <c r="F1581" s="55">
        <v>0.25594</v>
      </c>
    </row>
    <row r="1582" spans="2:6">
      <c r="B1582" s="48" t="s">
        <v>20</v>
      </c>
      <c r="C1582" s="48" t="s">
        <v>256</v>
      </c>
      <c r="D1582" s="48">
        <f>DATE(YEAR(OneWeekMtgRatesDataTable756[[#This Row],[asofdate]]),MONTH(OneWeekMtgRatesDataTable756[[#This Row],[asofdate]]),DAY(OneWeekMtgRatesDataTable756[[#This Row],[asofdate]]))</f>
        <v>40281</v>
      </c>
      <c r="E1582" s="48" t="s">
        <v>11</v>
      </c>
      <c r="F1582" s="55">
        <v>0.25438</v>
      </c>
    </row>
    <row r="1583" spans="2:6">
      <c r="B1583" s="48" t="s">
        <v>20</v>
      </c>
      <c r="C1583" s="48" t="s">
        <v>255</v>
      </c>
      <c r="D1583" s="48">
        <f>DATE(YEAR(OneWeekMtgRatesDataTable756[[#This Row],[asofdate]]),MONTH(OneWeekMtgRatesDataTable756[[#This Row],[asofdate]]),DAY(OneWeekMtgRatesDataTable756[[#This Row],[asofdate]]))</f>
        <v>40280</v>
      </c>
      <c r="E1583" s="48" t="s">
        <v>11</v>
      </c>
      <c r="F1583" s="55">
        <v>0.25297999999999998</v>
      </c>
    </row>
    <row r="1584" spans="2:6">
      <c r="B1584" s="48" t="s">
        <v>20</v>
      </c>
      <c r="C1584" s="48" t="s">
        <v>254</v>
      </c>
      <c r="D1584" s="48">
        <f>DATE(YEAR(OneWeekMtgRatesDataTable756[[#This Row],[asofdate]]),MONTH(OneWeekMtgRatesDataTable756[[#This Row],[asofdate]]),DAY(OneWeekMtgRatesDataTable756[[#This Row],[asofdate]]))</f>
        <v>40277</v>
      </c>
      <c r="E1584" s="48" t="s">
        <v>11</v>
      </c>
      <c r="F1584" s="55">
        <v>0.25287999999999999</v>
      </c>
    </row>
    <row r="1585" spans="2:6">
      <c r="B1585" s="48" t="s">
        <v>20</v>
      </c>
      <c r="C1585" s="48" t="s">
        <v>253</v>
      </c>
      <c r="D1585" s="48">
        <f>DATE(YEAR(OneWeekMtgRatesDataTable756[[#This Row],[asofdate]]),MONTH(OneWeekMtgRatesDataTable756[[#This Row],[asofdate]]),DAY(OneWeekMtgRatesDataTable756[[#This Row],[asofdate]]))</f>
        <v>40276</v>
      </c>
      <c r="E1585" s="48" t="s">
        <v>11</v>
      </c>
      <c r="F1585" s="55">
        <v>0.25013000000000002</v>
      </c>
    </row>
    <row r="1586" spans="2:6">
      <c r="B1586" s="48" t="s">
        <v>20</v>
      </c>
      <c r="C1586" s="48" t="s">
        <v>252</v>
      </c>
      <c r="D1586" s="48">
        <f>DATE(YEAR(OneWeekMtgRatesDataTable756[[#This Row],[asofdate]]),MONTH(OneWeekMtgRatesDataTable756[[#This Row],[asofdate]]),DAY(OneWeekMtgRatesDataTable756[[#This Row],[asofdate]]))</f>
        <v>40275</v>
      </c>
      <c r="E1586" s="48" t="s">
        <v>11</v>
      </c>
      <c r="F1586" s="55">
        <v>0.25137999999999999</v>
      </c>
    </row>
    <row r="1587" spans="2:6">
      <c r="B1587" s="48" t="s">
        <v>20</v>
      </c>
      <c r="C1587" s="48" t="s">
        <v>251</v>
      </c>
      <c r="D1587" s="48">
        <f>DATE(YEAR(OneWeekMtgRatesDataTable756[[#This Row],[asofdate]]),MONTH(OneWeekMtgRatesDataTable756[[#This Row],[asofdate]]),DAY(OneWeekMtgRatesDataTable756[[#This Row],[asofdate]]))</f>
        <v>40274</v>
      </c>
      <c r="E1587" s="48" t="s">
        <v>11</v>
      </c>
      <c r="F1587" s="55">
        <v>0.25074999999999997</v>
      </c>
    </row>
    <row r="1588" spans="2:6">
      <c r="B1588" s="48" t="s">
        <v>20</v>
      </c>
      <c r="C1588" s="48" t="s">
        <v>250</v>
      </c>
      <c r="D1588" s="48">
        <f>DATE(YEAR(OneWeekMtgRatesDataTable756[[#This Row],[asofdate]]),MONTH(OneWeekMtgRatesDataTable756[[#This Row],[asofdate]]),DAY(OneWeekMtgRatesDataTable756[[#This Row],[asofdate]]))</f>
        <v>40273</v>
      </c>
      <c r="E1588" s="48" t="s">
        <v>11</v>
      </c>
      <c r="F1588" s="55">
        <v>0.24862999999999999</v>
      </c>
    </row>
    <row r="1589" spans="2:6">
      <c r="B1589" s="48" t="s">
        <v>20</v>
      </c>
      <c r="C1589" s="48" t="s">
        <v>249</v>
      </c>
      <c r="D1589" s="48">
        <f>DATE(YEAR(OneWeekMtgRatesDataTable756[[#This Row],[asofdate]]),MONTH(OneWeekMtgRatesDataTable756[[#This Row],[asofdate]]),DAY(OneWeekMtgRatesDataTable756[[#This Row],[asofdate]]))</f>
        <v>40269</v>
      </c>
      <c r="E1589" s="48" t="s">
        <v>11</v>
      </c>
      <c r="F1589" s="55">
        <v>0.24862999999999999</v>
      </c>
    </row>
    <row r="1590" spans="2:6">
      <c r="B1590" s="48" t="s">
        <v>20</v>
      </c>
      <c r="C1590" s="48" t="s">
        <v>248</v>
      </c>
      <c r="D1590" s="48">
        <f>DATE(YEAR(OneWeekMtgRatesDataTable756[[#This Row],[asofdate]]),MONTH(OneWeekMtgRatesDataTable756[[#This Row],[asofdate]]),DAY(OneWeekMtgRatesDataTable756[[#This Row],[asofdate]]))</f>
        <v>40268</v>
      </c>
      <c r="E1590" s="48" t="s">
        <v>11</v>
      </c>
      <c r="F1590" s="55">
        <v>0.24862999999999999</v>
      </c>
    </row>
    <row r="1591" spans="2:6">
      <c r="B1591" s="48" t="s">
        <v>20</v>
      </c>
      <c r="C1591" s="48" t="s">
        <v>247</v>
      </c>
      <c r="D1591" s="48">
        <f>DATE(YEAR(OneWeekMtgRatesDataTable756[[#This Row],[asofdate]]),MONTH(OneWeekMtgRatesDataTable756[[#This Row],[asofdate]]),DAY(OneWeekMtgRatesDataTable756[[#This Row],[asofdate]]))</f>
        <v>40267</v>
      </c>
      <c r="E1591" s="48" t="s">
        <v>11</v>
      </c>
      <c r="F1591" s="55">
        <v>0.24862999999999999</v>
      </c>
    </row>
    <row r="1592" spans="2:6">
      <c r="B1592" s="48" t="s">
        <v>20</v>
      </c>
      <c r="C1592" s="48" t="s">
        <v>246</v>
      </c>
      <c r="D1592" s="48">
        <f>DATE(YEAR(OneWeekMtgRatesDataTable756[[#This Row],[asofdate]]),MONTH(OneWeekMtgRatesDataTable756[[#This Row],[asofdate]]),DAY(OneWeekMtgRatesDataTable756[[#This Row],[asofdate]]))</f>
        <v>40266</v>
      </c>
      <c r="E1592" s="48" t="s">
        <v>11</v>
      </c>
      <c r="F1592" s="55">
        <v>0.24787999999999999</v>
      </c>
    </row>
    <row r="1593" spans="2:6">
      <c r="B1593" s="48" t="s">
        <v>20</v>
      </c>
      <c r="C1593" s="48" t="s">
        <v>245</v>
      </c>
      <c r="D1593" s="48">
        <f>DATE(YEAR(OneWeekMtgRatesDataTable756[[#This Row],[asofdate]]),MONTH(OneWeekMtgRatesDataTable756[[#This Row],[asofdate]]),DAY(OneWeekMtgRatesDataTable756[[#This Row],[asofdate]]))</f>
        <v>40263</v>
      </c>
      <c r="E1593" s="48" t="s">
        <v>11</v>
      </c>
      <c r="F1593" s="55">
        <v>0.24687999999999999</v>
      </c>
    </row>
    <row r="1594" spans="2:6">
      <c r="B1594" s="48" t="s">
        <v>20</v>
      </c>
      <c r="C1594" s="48" t="s">
        <v>244</v>
      </c>
      <c r="D1594" s="48">
        <f>DATE(YEAR(OneWeekMtgRatesDataTable756[[#This Row],[asofdate]]),MONTH(OneWeekMtgRatesDataTable756[[#This Row],[asofdate]]),DAY(OneWeekMtgRatesDataTable756[[#This Row],[asofdate]]))</f>
        <v>40262</v>
      </c>
      <c r="E1594" s="48" t="s">
        <v>11</v>
      </c>
      <c r="F1594" s="55">
        <v>0.24693999999999999</v>
      </c>
    </row>
    <row r="1595" spans="2:6">
      <c r="B1595" s="48" t="s">
        <v>20</v>
      </c>
      <c r="C1595" s="48" t="s">
        <v>243</v>
      </c>
      <c r="D1595" s="48">
        <f>DATE(YEAR(OneWeekMtgRatesDataTable756[[#This Row],[asofdate]]),MONTH(OneWeekMtgRatesDataTable756[[#This Row],[asofdate]]),DAY(OneWeekMtgRatesDataTable756[[#This Row],[asofdate]]))</f>
        <v>40261</v>
      </c>
      <c r="E1595" s="48" t="s">
        <v>11</v>
      </c>
      <c r="F1595" s="55">
        <v>0.24618999999999999</v>
      </c>
    </row>
    <row r="1596" spans="2:6">
      <c r="B1596" s="48" t="s">
        <v>20</v>
      </c>
      <c r="C1596" s="48" t="s">
        <v>242</v>
      </c>
      <c r="D1596" s="48">
        <f>DATE(YEAR(OneWeekMtgRatesDataTable756[[#This Row],[asofdate]]),MONTH(OneWeekMtgRatesDataTable756[[#This Row],[asofdate]]),DAY(OneWeekMtgRatesDataTable756[[#This Row],[asofdate]]))</f>
        <v>40260</v>
      </c>
      <c r="E1596" s="48" t="s">
        <v>11</v>
      </c>
      <c r="F1596" s="55">
        <v>0.24606</v>
      </c>
    </row>
    <row r="1597" spans="2:6">
      <c r="B1597" s="48" t="s">
        <v>20</v>
      </c>
      <c r="C1597" s="48" t="s">
        <v>241</v>
      </c>
      <c r="D1597" s="48">
        <f>DATE(YEAR(OneWeekMtgRatesDataTable756[[#This Row],[asofdate]]),MONTH(OneWeekMtgRatesDataTable756[[#This Row],[asofdate]]),DAY(OneWeekMtgRatesDataTable756[[#This Row],[asofdate]]))</f>
        <v>40259</v>
      </c>
      <c r="E1597" s="48" t="s">
        <v>11</v>
      </c>
      <c r="F1597" s="55">
        <v>0.24718999999999999</v>
      </c>
    </row>
    <row r="1598" spans="2:6">
      <c r="B1598" s="48" t="s">
        <v>20</v>
      </c>
      <c r="C1598" s="48" t="s">
        <v>240</v>
      </c>
      <c r="D1598" s="48">
        <f>DATE(YEAR(OneWeekMtgRatesDataTable756[[#This Row],[asofdate]]),MONTH(OneWeekMtgRatesDataTable756[[#This Row],[asofdate]]),DAY(OneWeekMtgRatesDataTable756[[#This Row],[asofdate]]))</f>
        <v>40256</v>
      </c>
      <c r="E1598" s="48" t="s">
        <v>11</v>
      </c>
      <c r="F1598" s="55">
        <v>0.24506</v>
      </c>
    </row>
    <row r="1599" spans="2:6">
      <c r="B1599" s="48" t="s">
        <v>20</v>
      </c>
      <c r="C1599" s="48" t="s">
        <v>239</v>
      </c>
      <c r="D1599" s="48">
        <f>DATE(YEAR(OneWeekMtgRatesDataTable756[[#This Row],[asofdate]]),MONTH(OneWeekMtgRatesDataTable756[[#This Row],[asofdate]]),DAY(OneWeekMtgRatesDataTable756[[#This Row],[asofdate]]))</f>
        <v>40255</v>
      </c>
      <c r="E1599" s="48" t="s">
        <v>11</v>
      </c>
      <c r="F1599" s="55">
        <v>0.23974999999999999</v>
      </c>
    </row>
    <row r="1600" spans="2:6">
      <c r="B1600" s="48" t="s">
        <v>20</v>
      </c>
      <c r="C1600" s="48" t="s">
        <v>238</v>
      </c>
      <c r="D1600" s="48">
        <f>DATE(YEAR(OneWeekMtgRatesDataTable756[[#This Row],[asofdate]]),MONTH(OneWeekMtgRatesDataTable756[[#This Row],[asofdate]]),DAY(OneWeekMtgRatesDataTable756[[#This Row],[asofdate]]))</f>
        <v>40254</v>
      </c>
      <c r="E1600" s="48" t="s">
        <v>11</v>
      </c>
      <c r="F1600" s="55">
        <v>0.23744000000000001</v>
      </c>
    </row>
    <row r="1601" spans="2:6">
      <c r="B1601" s="48" t="s">
        <v>20</v>
      </c>
      <c r="C1601" s="48" t="s">
        <v>237</v>
      </c>
      <c r="D1601" s="48">
        <f>DATE(YEAR(OneWeekMtgRatesDataTable756[[#This Row],[asofdate]]),MONTH(OneWeekMtgRatesDataTable756[[#This Row],[asofdate]]),DAY(OneWeekMtgRatesDataTable756[[#This Row],[asofdate]]))</f>
        <v>40253</v>
      </c>
      <c r="E1601" s="48" t="s">
        <v>11</v>
      </c>
      <c r="F1601" s="55">
        <v>0.23563000000000001</v>
      </c>
    </row>
    <row r="1602" spans="2:6">
      <c r="B1602" s="48" t="s">
        <v>20</v>
      </c>
      <c r="C1602" s="48" t="s">
        <v>236</v>
      </c>
      <c r="D1602" s="48">
        <f>DATE(YEAR(OneWeekMtgRatesDataTable756[[#This Row],[asofdate]]),MONTH(OneWeekMtgRatesDataTable756[[#This Row],[asofdate]]),DAY(OneWeekMtgRatesDataTable756[[#This Row],[asofdate]]))</f>
        <v>40252</v>
      </c>
      <c r="E1602" s="48" t="s">
        <v>11</v>
      </c>
      <c r="F1602" s="55">
        <v>0.23030999999999999</v>
      </c>
    </row>
    <row r="1603" spans="2:6">
      <c r="B1603" s="48" t="s">
        <v>20</v>
      </c>
      <c r="C1603" s="48" t="s">
        <v>235</v>
      </c>
      <c r="D1603" s="48">
        <f>DATE(YEAR(OneWeekMtgRatesDataTable756[[#This Row],[asofdate]]),MONTH(OneWeekMtgRatesDataTable756[[#This Row],[asofdate]]),DAY(OneWeekMtgRatesDataTable756[[#This Row],[asofdate]]))</f>
        <v>40249</v>
      </c>
      <c r="E1603" s="48" t="s">
        <v>11</v>
      </c>
      <c r="F1603" s="55">
        <v>0.23</v>
      </c>
    </row>
    <row r="1604" spans="2:6">
      <c r="B1604" s="48" t="s">
        <v>20</v>
      </c>
      <c r="C1604" s="48" t="s">
        <v>234</v>
      </c>
      <c r="D1604" s="48">
        <f>DATE(YEAR(OneWeekMtgRatesDataTable756[[#This Row],[asofdate]]),MONTH(OneWeekMtgRatesDataTable756[[#This Row],[asofdate]]),DAY(OneWeekMtgRatesDataTable756[[#This Row],[asofdate]]))</f>
        <v>40248</v>
      </c>
      <c r="E1604" s="48" t="s">
        <v>11</v>
      </c>
      <c r="F1604" s="55">
        <v>0.23</v>
      </c>
    </row>
    <row r="1605" spans="2:6">
      <c r="B1605" s="48" t="s">
        <v>20</v>
      </c>
      <c r="C1605" s="48" t="s">
        <v>233</v>
      </c>
      <c r="D1605" s="48">
        <f>DATE(YEAR(OneWeekMtgRatesDataTable756[[#This Row],[asofdate]]),MONTH(OneWeekMtgRatesDataTable756[[#This Row],[asofdate]]),DAY(OneWeekMtgRatesDataTable756[[#This Row],[asofdate]]))</f>
        <v>40247</v>
      </c>
      <c r="E1605" s="48" t="s">
        <v>11</v>
      </c>
      <c r="F1605" s="55">
        <v>0.23</v>
      </c>
    </row>
    <row r="1606" spans="2:6">
      <c r="B1606" s="48" t="s">
        <v>20</v>
      </c>
      <c r="C1606" s="48" t="s">
        <v>232</v>
      </c>
      <c r="D1606" s="48">
        <f>DATE(YEAR(OneWeekMtgRatesDataTable756[[#This Row],[asofdate]]),MONTH(OneWeekMtgRatesDataTable756[[#This Row],[asofdate]]),DAY(OneWeekMtgRatesDataTable756[[#This Row],[asofdate]]))</f>
        <v>40246</v>
      </c>
      <c r="E1606" s="48" t="s">
        <v>11</v>
      </c>
      <c r="F1606" s="55">
        <v>0.23</v>
      </c>
    </row>
    <row r="1607" spans="2:6">
      <c r="B1607" s="48" t="s">
        <v>20</v>
      </c>
      <c r="C1607" s="48" t="s">
        <v>231</v>
      </c>
      <c r="D1607" s="48">
        <f>DATE(YEAR(OneWeekMtgRatesDataTable756[[#This Row],[asofdate]]),MONTH(OneWeekMtgRatesDataTable756[[#This Row],[asofdate]]),DAY(OneWeekMtgRatesDataTable756[[#This Row],[asofdate]]))</f>
        <v>40245</v>
      </c>
      <c r="E1607" s="48" t="s">
        <v>11</v>
      </c>
      <c r="F1607" s="55">
        <v>0.23</v>
      </c>
    </row>
    <row r="1608" spans="2:6">
      <c r="B1608" s="48" t="s">
        <v>20</v>
      </c>
      <c r="C1608" s="48" t="s">
        <v>230</v>
      </c>
      <c r="D1608" s="48">
        <f>DATE(YEAR(OneWeekMtgRatesDataTable756[[#This Row],[asofdate]]),MONTH(OneWeekMtgRatesDataTable756[[#This Row],[asofdate]]),DAY(OneWeekMtgRatesDataTable756[[#This Row],[asofdate]]))</f>
        <v>40242</v>
      </c>
      <c r="E1608" s="48" t="s">
        <v>11</v>
      </c>
      <c r="F1608" s="55">
        <v>0.22906000000000001</v>
      </c>
    </row>
    <row r="1609" spans="2:6">
      <c r="B1609" s="48" t="s">
        <v>20</v>
      </c>
      <c r="C1609" s="48" t="s">
        <v>229</v>
      </c>
      <c r="D1609" s="48">
        <f>DATE(YEAR(OneWeekMtgRatesDataTable756[[#This Row],[asofdate]]),MONTH(OneWeekMtgRatesDataTable756[[#This Row],[asofdate]]),DAY(OneWeekMtgRatesDataTable756[[#This Row],[asofdate]]))</f>
        <v>40241</v>
      </c>
      <c r="E1609" s="48" t="s">
        <v>11</v>
      </c>
      <c r="F1609" s="55">
        <v>0.22813</v>
      </c>
    </row>
    <row r="1610" spans="2:6">
      <c r="B1610" s="48" t="s">
        <v>20</v>
      </c>
      <c r="C1610" s="48" t="s">
        <v>228</v>
      </c>
      <c r="D1610" s="48">
        <f>DATE(YEAR(OneWeekMtgRatesDataTable756[[#This Row],[asofdate]]),MONTH(OneWeekMtgRatesDataTable756[[#This Row],[asofdate]]),DAY(OneWeekMtgRatesDataTable756[[#This Row],[asofdate]]))</f>
        <v>40240</v>
      </c>
      <c r="E1610" s="48" t="s">
        <v>11</v>
      </c>
      <c r="F1610" s="55">
        <v>0.22813</v>
      </c>
    </row>
    <row r="1611" spans="2:6">
      <c r="B1611" s="48" t="s">
        <v>20</v>
      </c>
      <c r="C1611" s="48" t="s">
        <v>227</v>
      </c>
      <c r="D1611" s="48">
        <f>DATE(YEAR(OneWeekMtgRatesDataTable756[[#This Row],[asofdate]]),MONTH(OneWeekMtgRatesDataTable756[[#This Row],[asofdate]]),DAY(OneWeekMtgRatesDataTable756[[#This Row],[asofdate]]))</f>
        <v>40239</v>
      </c>
      <c r="E1611" s="48" t="s">
        <v>11</v>
      </c>
      <c r="F1611" s="55">
        <v>0.22813</v>
      </c>
    </row>
    <row r="1612" spans="2:6">
      <c r="B1612" s="48" t="s">
        <v>20</v>
      </c>
      <c r="C1612" s="48" t="s">
        <v>226</v>
      </c>
      <c r="D1612" s="48">
        <f>DATE(YEAR(OneWeekMtgRatesDataTable756[[#This Row],[asofdate]]),MONTH(OneWeekMtgRatesDataTable756[[#This Row],[asofdate]]),DAY(OneWeekMtgRatesDataTable756[[#This Row],[asofdate]]))</f>
        <v>40238</v>
      </c>
      <c r="E1612" s="48" t="s">
        <v>11</v>
      </c>
      <c r="F1612" s="55">
        <v>0.22813</v>
      </c>
    </row>
    <row r="1613" spans="2:6">
      <c r="B1613" s="48" t="s">
        <v>20</v>
      </c>
      <c r="C1613" s="48" t="s">
        <v>225</v>
      </c>
      <c r="D1613" s="48">
        <f>DATE(YEAR(OneWeekMtgRatesDataTable756[[#This Row],[asofdate]]),MONTH(OneWeekMtgRatesDataTable756[[#This Row],[asofdate]]),DAY(OneWeekMtgRatesDataTable756[[#This Row],[asofdate]]))</f>
        <v>40235</v>
      </c>
      <c r="E1613" s="48" t="s">
        <v>11</v>
      </c>
      <c r="F1613" s="55">
        <v>0.22875000000000001</v>
      </c>
    </row>
    <row r="1614" spans="2:6">
      <c r="B1614" s="48" t="s">
        <v>20</v>
      </c>
      <c r="C1614" s="48" t="s">
        <v>224</v>
      </c>
      <c r="D1614" s="48">
        <f>DATE(YEAR(OneWeekMtgRatesDataTable756[[#This Row],[asofdate]]),MONTH(OneWeekMtgRatesDataTable756[[#This Row],[asofdate]]),DAY(OneWeekMtgRatesDataTable756[[#This Row],[asofdate]]))</f>
        <v>40234</v>
      </c>
      <c r="E1614" s="48" t="s">
        <v>11</v>
      </c>
      <c r="F1614" s="55">
        <v>0.22875000000000001</v>
      </c>
    </row>
    <row r="1615" spans="2:6">
      <c r="B1615" s="48" t="s">
        <v>20</v>
      </c>
      <c r="C1615" s="48" t="s">
        <v>223</v>
      </c>
      <c r="D1615" s="48">
        <f>DATE(YEAR(OneWeekMtgRatesDataTable756[[#This Row],[asofdate]]),MONTH(OneWeekMtgRatesDataTable756[[#This Row],[asofdate]]),DAY(OneWeekMtgRatesDataTable756[[#This Row],[asofdate]]))</f>
        <v>40233</v>
      </c>
      <c r="E1615" s="48" t="s">
        <v>11</v>
      </c>
      <c r="F1615" s="55">
        <v>0.22875000000000001</v>
      </c>
    </row>
    <row r="1616" spans="2:6">
      <c r="B1616" s="48" t="s">
        <v>20</v>
      </c>
      <c r="C1616" s="48" t="s">
        <v>222</v>
      </c>
      <c r="D1616" s="48">
        <f>DATE(YEAR(OneWeekMtgRatesDataTable756[[#This Row],[asofdate]]),MONTH(OneWeekMtgRatesDataTable756[[#This Row],[asofdate]]),DAY(OneWeekMtgRatesDataTable756[[#This Row],[asofdate]]))</f>
        <v>40232</v>
      </c>
      <c r="E1616" s="48" t="s">
        <v>11</v>
      </c>
      <c r="F1616" s="55">
        <v>0.22875000000000001</v>
      </c>
    </row>
    <row r="1617" spans="2:6">
      <c r="B1617" s="48" t="s">
        <v>20</v>
      </c>
      <c r="C1617" s="48" t="s">
        <v>221</v>
      </c>
      <c r="D1617" s="48">
        <f>DATE(YEAR(OneWeekMtgRatesDataTable756[[#This Row],[asofdate]]),MONTH(OneWeekMtgRatesDataTable756[[#This Row],[asofdate]]),DAY(OneWeekMtgRatesDataTable756[[#This Row],[asofdate]]))</f>
        <v>40231</v>
      </c>
      <c r="E1617" s="48" t="s">
        <v>11</v>
      </c>
      <c r="F1617" s="55">
        <v>0.22875000000000001</v>
      </c>
    </row>
    <row r="1618" spans="2:6">
      <c r="B1618" s="48" t="s">
        <v>20</v>
      </c>
      <c r="C1618" s="48" t="s">
        <v>220</v>
      </c>
      <c r="D1618" s="48">
        <f>DATE(YEAR(OneWeekMtgRatesDataTable756[[#This Row],[asofdate]]),MONTH(OneWeekMtgRatesDataTable756[[#This Row],[asofdate]]),DAY(OneWeekMtgRatesDataTable756[[#This Row],[asofdate]]))</f>
        <v>40228</v>
      </c>
      <c r="E1618" s="48" t="s">
        <v>11</v>
      </c>
      <c r="F1618" s="55">
        <v>0.22875000000000001</v>
      </c>
    </row>
    <row r="1619" spans="2:6">
      <c r="B1619" s="48" t="s">
        <v>20</v>
      </c>
      <c r="C1619" s="48" t="s">
        <v>219</v>
      </c>
      <c r="D1619" s="48">
        <f>DATE(YEAR(OneWeekMtgRatesDataTable756[[#This Row],[asofdate]]),MONTH(OneWeekMtgRatesDataTable756[[#This Row],[asofdate]]),DAY(OneWeekMtgRatesDataTable756[[#This Row],[asofdate]]))</f>
        <v>40227</v>
      </c>
      <c r="E1619" s="48" t="s">
        <v>11</v>
      </c>
      <c r="F1619" s="55">
        <v>0.22875000000000001</v>
      </c>
    </row>
    <row r="1620" spans="2:6">
      <c r="B1620" s="48" t="s">
        <v>20</v>
      </c>
      <c r="C1620" s="48" t="s">
        <v>218</v>
      </c>
      <c r="D1620" s="48">
        <f>DATE(YEAR(OneWeekMtgRatesDataTable756[[#This Row],[asofdate]]),MONTH(OneWeekMtgRatesDataTable756[[#This Row],[asofdate]]),DAY(OneWeekMtgRatesDataTable756[[#This Row],[asofdate]]))</f>
        <v>40226</v>
      </c>
      <c r="E1620" s="48" t="s">
        <v>11</v>
      </c>
      <c r="F1620" s="55">
        <v>0.22875000000000001</v>
      </c>
    </row>
    <row r="1621" spans="2:6">
      <c r="B1621" s="48" t="s">
        <v>20</v>
      </c>
      <c r="C1621" s="48" t="s">
        <v>217</v>
      </c>
      <c r="D1621" s="48">
        <f>DATE(YEAR(OneWeekMtgRatesDataTable756[[#This Row],[asofdate]]),MONTH(OneWeekMtgRatesDataTable756[[#This Row],[asofdate]]),DAY(OneWeekMtgRatesDataTable756[[#This Row],[asofdate]]))</f>
        <v>40225</v>
      </c>
      <c r="E1621" s="48" t="s">
        <v>11</v>
      </c>
      <c r="F1621" s="55">
        <v>0.22875000000000001</v>
      </c>
    </row>
    <row r="1622" spans="2:6">
      <c r="B1622" s="48" t="s">
        <v>20</v>
      </c>
      <c r="C1622" s="48" t="s">
        <v>216</v>
      </c>
      <c r="D1622" s="48">
        <f>DATE(YEAR(OneWeekMtgRatesDataTable756[[#This Row],[asofdate]]),MONTH(OneWeekMtgRatesDataTable756[[#This Row],[asofdate]]),DAY(OneWeekMtgRatesDataTable756[[#This Row],[asofdate]]))</f>
        <v>40221</v>
      </c>
      <c r="E1622" s="48" t="s">
        <v>11</v>
      </c>
      <c r="F1622" s="55">
        <v>0.23188</v>
      </c>
    </row>
    <row r="1623" spans="2:6">
      <c r="B1623" s="48" t="s">
        <v>20</v>
      </c>
      <c r="C1623" s="48" t="s">
        <v>215</v>
      </c>
      <c r="D1623" s="48">
        <f>DATE(YEAR(OneWeekMtgRatesDataTable756[[#This Row],[asofdate]]),MONTH(OneWeekMtgRatesDataTable756[[#This Row],[asofdate]]),DAY(OneWeekMtgRatesDataTable756[[#This Row],[asofdate]]))</f>
        <v>40220</v>
      </c>
      <c r="E1623" s="48" t="s">
        <v>11</v>
      </c>
      <c r="F1623" s="55">
        <v>0.23063</v>
      </c>
    </row>
    <row r="1624" spans="2:6">
      <c r="B1624" s="48" t="s">
        <v>20</v>
      </c>
      <c r="C1624" s="48" t="s">
        <v>214</v>
      </c>
      <c r="D1624" s="48">
        <f>DATE(YEAR(OneWeekMtgRatesDataTable756[[#This Row],[asofdate]]),MONTH(OneWeekMtgRatesDataTable756[[#This Row],[asofdate]]),DAY(OneWeekMtgRatesDataTable756[[#This Row],[asofdate]]))</f>
        <v>40219</v>
      </c>
      <c r="E1624" s="48" t="s">
        <v>11</v>
      </c>
      <c r="F1624" s="55">
        <v>0.22844</v>
      </c>
    </row>
    <row r="1625" spans="2:6">
      <c r="B1625" s="48" t="s">
        <v>20</v>
      </c>
      <c r="C1625" s="48" t="s">
        <v>213</v>
      </c>
      <c r="D1625" s="48">
        <f>DATE(YEAR(OneWeekMtgRatesDataTable756[[#This Row],[asofdate]]),MONTH(OneWeekMtgRatesDataTable756[[#This Row],[asofdate]]),DAY(OneWeekMtgRatesDataTable756[[#This Row],[asofdate]]))</f>
        <v>40218</v>
      </c>
      <c r="E1625" s="48" t="s">
        <v>11</v>
      </c>
      <c r="F1625" s="55">
        <v>0.22844</v>
      </c>
    </row>
    <row r="1626" spans="2:6">
      <c r="B1626" s="48" t="s">
        <v>20</v>
      </c>
      <c r="C1626" s="48" t="s">
        <v>212</v>
      </c>
      <c r="D1626" s="48">
        <f>DATE(YEAR(OneWeekMtgRatesDataTable756[[#This Row],[asofdate]]),MONTH(OneWeekMtgRatesDataTable756[[#This Row],[asofdate]]),DAY(OneWeekMtgRatesDataTable756[[#This Row],[asofdate]]))</f>
        <v>40217</v>
      </c>
      <c r="E1626" s="48" t="s">
        <v>11</v>
      </c>
      <c r="F1626" s="55">
        <v>0.22844</v>
      </c>
    </row>
    <row r="1627" spans="2:6">
      <c r="B1627" s="48" t="s">
        <v>20</v>
      </c>
      <c r="C1627" s="48" t="s">
        <v>211</v>
      </c>
      <c r="D1627" s="48">
        <f>DATE(YEAR(OneWeekMtgRatesDataTable756[[#This Row],[asofdate]]),MONTH(OneWeekMtgRatesDataTable756[[#This Row],[asofdate]]),DAY(OneWeekMtgRatesDataTable756[[#This Row],[asofdate]]))</f>
        <v>40214</v>
      </c>
      <c r="E1627" s="48" t="s">
        <v>11</v>
      </c>
      <c r="F1627" s="55">
        <v>0.22844</v>
      </c>
    </row>
    <row r="1628" spans="2:6">
      <c r="B1628" s="48" t="s">
        <v>20</v>
      </c>
      <c r="C1628" s="48" t="s">
        <v>210</v>
      </c>
      <c r="D1628" s="48">
        <f>DATE(YEAR(OneWeekMtgRatesDataTable756[[#This Row],[asofdate]]),MONTH(OneWeekMtgRatesDataTable756[[#This Row],[asofdate]]),DAY(OneWeekMtgRatesDataTable756[[#This Row],[asofdate]]))</f>
        <v>40213</v>
      </c>
      <c r="E1628" s="48" t="s">
        <v>11</v>
      </c>
      <c r="F1628" s="55">
        <v>0.22844</v>
      </c>
    </row>
    <row r="1629" spans="2:6">
      <c r="B1629" s="48" t="s">
        <v>20</v>
      </c>
      <c r="C1629" s="48" t="s">
        <v>209</v>
      </c>
      <c r="D1629" s="48">
        <f>DATE(YEAR(OneWeekMtgRatesDataTable756[[#This Row],[asofdate]]),MONTH(OneWeekMtgRatesDataTable756[[#This Row],[asofdate]]),DAY(OneWeekMtgRatesDataTable756[[#This Row],[asofdate]]))</f>
        <v>40212</v>
      </c>
      <c r="E1629" s="48" t="s">
        <v>11</v>
      </c>
      <c r="F1629" s="55">
        <v>0.22906000000000001</v>
      </c>
    </row>
    <row r="1630" spans="2:6">
      <c r="B1630" s="48" t="s">
        <v>20</v>
      </c>
      <c r="C1630" s="48" t="s">
        <v>208</v>
      </c>
      <c r="D1630" s="48">
        <f>DATE(YEAR(OneWeekMtgRatesDataTable756[[#This Row],[asofdate]]),MONTH(OneWeekMtgRatesDataTable756[[#This Row],[asofdate]]),DAY(OneWeekMtgRatesDataTable756[[#This Row],[asofdate]]))</f>
        <v>40211</v>
      </c>
      <c r="E1630" s="48" t="s">
        <v>11</v>
      </c>
      <c r="F1630" s="55">
        <v>0.23094000000000001</v>
      </c>
    </row>
    <row r="1631" spans="2:6">
      <c r="B1631" s="48" t="s">
        <v>20</v>
      </c>
      <c r="C1631" s="48" t="s">
        <v>207</v>
      </c>
      <c r="D1631" s="48">
        <f>DATE(YEAR(OneWeekMtgRatesDataTable756[[#This Row],[asofdate]]),MONTH(OneWeekMtgRatesDataTable756[[#This Row],[asofdate]]),DAY(OneWeekMtgRatesDataTable756[[#This Row],[asofdate]]))</f>
        <v>40210</v>
      </c>
      <c r="E1631" s="48" t="s">
        <v>11</v>
      </c>
      <c r="F1631" s="55">
        <v>0.22906000000000001</v>
      </c>
    </row>
    <row r="1632" spans="2:6">
      <c r="B1632" s="48" t="s">
        <v>20</v>
      </c>
      <c r="C1632" s="48" t="s">
        <v>206</v>
      </c>
      <c r="D1632" s="48">
        <f>DATE(YEAR(OneWeekMtgRatesDataTable756[[#This Row],[asofdate]]),MONTH(OneWeekMtgRatesDataTable756[[#This Row],[asofdate]]),DAY(OneWeekMtgRatesDataTable756[[#This Row],[asofdate]]))</f>
        <v>40207</v>
      </c>
      <c r="E1632" s="48" t="s">
        <v>11</v>
      </c>
      <c r="F1632" s="55">
        <v>0.22906000000000001</v>
      </c>
    </row>
    <row r="1633" spans="2:6">
      <c r="B1633" s="48" t="s">
        <v>20</v>
      </c>
      <c r="C1633" s="48" t="s">
        <v>205</v>
      </c>
      <c r="D1633" s="48">
        <f>DATE(YEAR(OneWeekMtgRatesDataTable756[[#This Row],[asofdate]]),MONTH(OneWeekMtgRatesDataTable756[[#This Row],[asofdate]]),DAY(OneWeekMtgRatesDataTable756[[#This Row],[asofdate]]))</f>
        <v>40206</v>
      </c>
      <c r="E1633" s="48" t="s">
        <v>11</v>
      </c>
      <c r="F1633" s="55">
        <v>0.22875000000000001</v>
      </c>
    </row>
    <row r="1634" spans="2:6">
      <c r="B1634" s="48" t="s">
        <v>20</v>
      </c>
      <c r="C1634" s="48" t="s">
        <v>204</v>
      </c>
      <c r="D1634" s="48">
        <f>DATE(YEAR(OneWeekMtgRatesDataTable756[[#This Row],[asofdate]]),MONTH(OneWeekMtgRatesDataTable756[[#This Row],[asofdate]]),DAY(OneWeekMtgRatesDataTable756[[#This Row],[asofdate]]))</f>
        <v>40205</v>
      </c>
      <c r="E1634" s="48" t="s">
        <v>11</v>
      </c>
      <c r="F1634" s="55">
        <v>0.23063</v>
      </c>
    </row>
    <row r="1635" spans="2:6">
      <c r="B1635" s="48" t="s">
        <v>20</v>
      </c>
      <c r="C1635" s="48" t="s">
        <v>203</v>
      </c>
      <c r="D1635" s="48">
        <f>DATE(YEAR(OneWeekMtgRatesDataTable756[[#This Row],[asofdate]]),MONTH(OneWeekMtgRatesDataTable756[[#This Row],[asofdate]]),DAY(OneWeekMtgRatesDataTable756[[#This Row],[asofdate]]))</f>
        <v>40204</v>
      </c>
      <c r="E1635" s="48" t="s">
        <v>11</v>
      </c>
      <c r="F1635" s="55">
        <v>0.23063</v>
      </c>
    </row>
    <row r="1636" spans="2:6">
      <c r="B1636" s="48" t="s">
        <v>20</v>
      </c>
      <c r="C1636" s="48" t="s">
        <v>202</v>
      </c>
      <c r="D1636" s="48">
        <f>DATE(YEAR(OneWeekMtgRatesDataTable756[[#This Row],[asofdate]]),MONTH(OneWeekMtgRatesDataTable756[[#This Row],[asofdate]]),DAY(OneWeekMtgRatesDataTable756[[#This Row],[asofdate]]))</f>
        <v>40203</v>
      </c>
      <c r="E1636" s="48" t="s">
        <v>11</v>
      </c>
      <c r="F1636" s="55">
        <v>0.23063</v>
      </c>
    </row>
    <row r="1637" spans="2:6">
      <c r="B1637" s="48" t="s">
        <v>20</v>
      </c>
      <c r="C1637" s="48" t="s">
        <v>201</v>
      </c>
      <c r="D1637" s="48">
        <f>DATE(YEAR(OneWeekMtgRatesDataTable756[[#This Row],[asofdate]]),MONTH(OneWeekMtgRatesDataTable756[[#This Row],[asofdate]]),DAY(OneWeekMtgRatesDataTable756[[#This Row],[asofdate]]))</f>
        <v>40200</v>
      </c>
      <c r="E1637" s="48" t="s">
        <v>11</v>
      </c>
      <c r="F1637" s="55">
        <v>0.23063</v>
      </c>
    </row>
    <row r="1638" spans="2:6">
      <c r="B1638" s="48" t="s">
        <v>20</v>
      </c>
      <c r="C1638" s="48" t="s">
        <v>200</v>
      </c>
      <c r="D1638" s="48">
        <f>DATE(YEAR(OneWeekMtgRatesDataTable756[[#This Row],[asofdate]]),MONTH(OneWeekMtgRatesDataTable756[[#This Row],[asofdate]]),DAY(OneWeekMtgRatesDataTable756[[#This Row],[asofdate]]))</f>
        <v>40199</v>
      </c>
      <c r="E1638" s="48" t="s">
        <v>11</v>
      </c>
      <c r="F1638" s="55">
        <v>0.23063</v>
      </c>
    </row>
    <row r="1639" spans="2:6">
      <c r="B1639" s="48" t="s">
        <v>20</v>
      </c>
      <c r="C1639" s="48" t="s">
        <v>199</v>
      </c>
      <c r="D1639" s="48">
        <f>DATE(YEAR(OneWeekMtgRatesDataTable756[[#This Row],[asofdate]]),MONTH(OneWeekMtgRatesDataTable756[[#This Row],[asofdate]]),DAY(OneWeekMtgRatesDataTable756[[#This Row],[asofdate]]))</f>
        <v>40198</v>
      </c>
      <c r="E1639" s="48" t="s">
        <v>11</v>
      </c>
      <c r="F1639" s="55">
        <v>0.23063</v>
      </c>
    </row>
    <row r="1640" spans="2:6">
      <c r="B1640" s="48" t="s">
        <v>20</v>
      </c>
      <c r="C1640" s="48" t="s">
        <v>198</v>
      </c>
      <c r="D1640" s="48">
        <f>DATE(YEAR(OneWeekMtgRatesDataTable756[[#This Row],[asofdate]]),MONTH(OneWeekMtgRatesDataTable756[[#This Row],[asofdate]]),DAY(OneWeekMtgRatesDataTable756[[#This Row],[asofdate]]))</f>
        <v>40197</v>
      </c>
      <c r="E1640" s="48" t="s">
        <v>11</v>
      </c>
      <c r="F1640" s="55">
        <v>0.23063</v>
      </c>
    </row>
    <row r="1641" spans="2:6">
      <c r="B1641" s="48" t="s">
        <v>20</v>
      </c>
      <c r="C1641" s="48" t="s">
        <v>197</v>
      </c>
      <c r="D1641" s="48">
        <f>DATE(YEAR(OneWeekMtgRatesDataTable756[[#This Row],[asofdate]]),MONTH(OneWeekMtgRatesDataTable756[[#This Row],[asofdate]]),DAY(OneWeekMtgRatesDataTable756[[#This Row],[asofdate]]))</f>
        <v>40193</v>
      </c>
      <c r="E1641" s="48" t="s">
        <v>11</v>
      </c>
      <c r="F1641" s="55">
        <v>0.23313</v>
      </c>
    </row>
    <row r="1642" spans="2:6">
      <c r="B1642" s="48" t="s">
        <v>20</v>
      </c>
      <c r="C1642" s="48" t="s">
        <v>196</v>
      </c>
      <c r="D1642" s="48">
        <f>DATE(YEAR(OneWeekMtgRatesDataTable756[[#This Row],[asofdate]]),MONTH(OneWeekMtgRatesDataTable756[[#This Row],[asofdate]]),DAY(OneWeekMtgRatesDataTable756[[#This Row],[asofdate]]))</f>
        <v>40192</v>
      </c>
      <c r="E1642" s="48" t="s">
        <v>11</v>
      </c>
      <c r="F1642" s="55">
        <v>0.23313</v>
      </c>
    </row>
    <row r="1643" spans="2:6">
      <c r="B1643" s="48" t="s">
        <v>20</v>
      </c>
      <c r="C1643" s="48" t="s">
        <v>195</v>
      </c>
      <c r="D1643" s="48">
        <f>DATE(YEAR(OneWeekMtgRatesDataTable756[[#This Row],[asofdate]]),MONTH(OneWeekMtgRatesDataTable756[[#This Row],[asofdate]]),DAY(OneWeekMtgRatesDataTable756[[#This Row],[asofdate]]))</f>
        <v>40191</v>
      </c>
      <c r="E1643" s="48" t="s">
        <v>11</v>
      </c>
      <c r="F1643" s="55">
        <v>0.23313</v>
      </c>
    </row>
    <row r="1644" spans="2:6">
      <c r="B1644" s="48" t="s">
        <v>20</v>
      </c>
      <c r="C1644" s="48" t="s">
        <v>194</v>
      </c>
      <c r="D1644" s="48">
        <f>DATE(YEAR(OneWeekMtgRatesDataTable756[[#This Row],[asofdate]]),MONTH(OneWeekMtgRatesDataTable756[[#This Row],[asofdate]]),DAY(OneWeekMtgRatesDataTable756[[#This Row],[asofdate]]))</f>
        <v>40190</v>
      </c>
      <c r="E1644" s="48" t="s">
        <v>11</v>
      </c>
      <c r="F1644" s="55">
        <v>0.23313</v>
      </c>
    </row>
    <row r="1645" spans="2:6">
      <c r="B1645" s="48" t="s">
        <v>20</v>
      </c>
      <c r="C1645" s="48" t="s">
        <v>193</v>
      </c>
      <c r="D1645" s="48">
        <f>DATE(YEAR(OneWeekMtgRatesDataTable756[[#This Row],[asofdate]]),MONTH(OneWeekMtgRatesDataTable756[[#This Row],[asofdate]]),DAY(OneWeekMtgRatesDataTable756[[#This Row],[asofdate]]))</f>
        <v>40189</v>
      </c>
      <c r="E1645" s="48" t="s">
        <v>11</v>
      </c>
      <c r="F1645" s="55">
        <v>0.23313</v>
      </c>
    </row>
    <row r="1646" spans="2:6">
      <c r="B1646" s="48" t="s">
        <v>20</v>
      </c>
      <c r="C1646" s="48" t="s">
        <v>192</v>
      </c>
      <c r="D1646" s="48">
        <f>DATE(YEAR(OneWeekMtgRatesDataTable756[[#This Row],[asofdate]]),MONTH(OneWeekMtgRatesDataTable756[[#This Row],[asofdate]]),DAY(OneWeekMtgRatesDataTable756[[#This Row],[asofdate]]))</f>
        <v>40186</v>
      </c>
      <c r="E1646" s="48" t="s">
        <v>11</v>
      </c>
      <c r="F1646" s="55">
        <v>0.23313</v>
      </c>
    </row>
    <row r="1647" spans="2:6">
      <c r="B1647" s="48" t="s">
        <v>20</v>
      </c>
      <c r="C1647" s="48" t="s">
        <v>191</v>
      </c>
      <c r="D1647" s="48">
        <f>DATE(YEAR(OneWeekMtgRatesDataTable756[[#This Row],[asofdate]]),MONTH(OneWeekMtgRatesDataTable756[[#This Row],[asofdate]]),DAY(OneWeekMtgRatesDataTable756[[#This Row],[asofdate]]))</f>
        <v>40185</v>
      </c>
      <c r="E1647" s="48" t="s">
        <v>11</v>
      </c>
      <c r="F1647" s="55">
        <v>0.23125000000000001</v>
      </c>
    </row>
    <row r="1648" spans="2:6">
      <c r="B1648" s="48" t="s">
        <v>20</v>
      </c>
      <c r="C1648" s="48" t="s">
        <v>190</v>
      </c>
      <c r="D1648" s="48">
        <f>DATE(YEAR(OneWeekMtgRatesDataTable756[[#This Row],[asofdate]]),MONTH(OneWeekMtgRatesDataTable756[[#This Row],[asofdate]]),DAY(OneWeekMtgRatesDataTable756[[#This Row],[asofdate]]))</f>
        <v>40184</v>
      </c>
      <c r="E1648" s="48" t="s">
        <v>11</v>
      </c>
      <c r="F1648" s="55">
        <v>0.23219000000000001</v>
      </c>
    </row>
    <row r="1649" spans="2:6">
      <c r="B1649" s="48" t="s">
        <v>20</v>
      </c>
      <c r="C1649" s="48" t="s">
        <v>189</v>
      </c>
      <c r="D1649" s="48">
        <f>DATE(YEAR(OneWeekMtgRatesDataTable756[[#This Row],[asofdate]]),MONTH(OneWeekMtgRatesDataTable756[[#This Row],[asofdate]]),DAY(OneWeekMtgRatesDataTable756[[#This Row],[asofdate]]))</f>
        <v>40183</v>
      </c>
      <c r="E1649" s="48" t="s">
        <v>11</v>
      </c>
      <c r="F1649" s="55">
        <v>0.23344000000000001</v>
      </c>
    </row>
    <row r="1650" spans="2:6">
      <c r="B1650" s="48" t="s">
        <v>20</v>
      </c>
      <c r="C1650" s="48" t="s">
        <v>188</v>
      </c>
      <c r="D1650" s="48">
        <f>DATE(YEAR(OneWeekMtgRatesDataTable756[[#This Row],[asofdate]]),MONTH(OneWeekMtgRatesDataTable756[[#This Row],[asofdate]]),DAY(OneWeekMtgRatesDataTable756[[#This Row],[asofdate]]))</f>
        <v>40182</v>
      </c>
      <c r="E1650" s="48" t="s">
        <v>11</v>
      </c>
      <c r="F1650" s="55">
        <v>0.23344000000000001</v>
      </c>
    </row>
    <row r="1651" spans="2:6">
      <c r="B1651" s="48" t="s">
        <v>20</v>
      </c>
      <c r="C1651" s="48" t="s">
        <v>187</v>
      </c>
      <c r="D1651" s="48">
        <f>DATE(YEAR(OneWeekMtgRatesDataTable756[[#This Row],[asofdate]]),MONTH(OneWeekMtgRatesDataTable756[[#This Row],[asofdate]]),DAY(OneWeekMtgRatesDataTable756[[#This Row],[asofdate]]))</f>
        <v>40178</v>
      </c>
      <c r="E1651" s="48" t="s">
        <v>11</v>
      </c>
      <c r="F1651" s="55">
        <v>0.23094000000000001</v>
      </c>
    </row>
    <row r="1652" spans="2:6">
      <c r="B1652" s="48" t="s">
        <v>20</v>
      </c>
      <c r="C1652" s="48" t="s">
        <v>186</v>
      </c>
      <c r="D1652" s="48">
        <f>DATE(YEAR(OneWeekMtgRatesDataTable756[[#This Row],[asofdate]]),MONTH(OneWeekMtgRatesDataTable756[[#This Row],[asofdate]]),DAY(OneWeekMtgRatesDataTable756[[#This Row],[asofdate]]))</f>
        <v>40177</v>
      </c>
      <c r="E1652" s="48" t="s">
        <v>11</v>
      </c>
      <c r="F1652" s="55">
        <v>0.23094000000000001</v>
      </c>
    </row>
    <row r="1653" spans="2:6">
      <c r="B1653" s="48" t="s">
        <v>20</v>
      </c>
      <c r="C1653" s="48" t="s">
        <v>185</v>
      </c>
      <c r="D1653" s="48">
        <f>DATE(YEAR(OneWeekMtgRatesDataTable756[[#This Row],[asofdate]]),MONTH(OneWeekMtgRatesDataTable756[[#This Row],[asofdate]]),DAY(OneWeekMtgRatesDataTable756[[#This Row],[asofdate]]))</f>
        <v>40176</v>
      </c>
      <c r="E1653" s="48" t="s">
        <v>11</v>
      </c>
      <c r="F1653" s="55">
        <v>0.23094000000000001</v>
      </c>
    </row>
    <row r="1654" spans="2:6">
      <c r="B1654" s="48" t="s">
        <v>20</v>
      </c>
      <c r="C1654" s="48" t="s">
        <v>184</v>
      </c>
      <c r="D1654" s="48">
        <f>DATE(YEAR(OneWeekMtgRatesDataTable756[[#This Row],[asofdate]]),MONTH(OneWeekMtgRatesDataTable756[[#This Row],[asofdate]]),DAY(OneWeekMtgRatesDataTable756[[#This Row],[asofdate]]))</f>
        <v>40175</v>
      </c>
      <c r="E1654" s="48" t="s">
        <v>11</v>
      </c>
      <c r="F1654" s="55">
        <v>0.23125000000000001</v>
      </c>
    </row>
    <row r="1655" spans="2:6">
      <c r="B1655" s="48" t="s">
        <v>20</v>
      </c>
      <c r="C1655" s="48" t="s">
        <v>183</v>
      </c>
      <c r="D1655" s="48">
        <f>DATE(YEAR(OneWeekMtgRatesDataTable756[[#This Row],[asofdate]]),MONTH(OneWeekMtgRatesDataTable756[[#This Row],[asofdate]]),DAY(OneWeekMtgRatesDataTable756[[#This Row],[asofdate]]))</f>
        <v>40171</v>
      </c>
      <c r="E1655" s="48" t="s">
        <v>11</v>
      </c>
      <c r="F1655" s="55">
        <v>0.23125000000000001</v>
      </c>
    </row>
    <row r="1656" spans="2:6">
      <c r="B1656" s="48" t="s">
        <v>20</v>
      </c>
      <c r="C1656" s="48" t="s">
        <v>182</v>
      </c>
      <c r="D1656" s="48">
        <f>DATE(YEAR(OneWeekMtgRatesDataTable756[[#This Row],[asofdate]]),MONTH(OneWeekMtgRatesDataTable756[[#This Row],[asofdate]]),DAY(OneWeekMtgRatesDataTable756[[#This Row],[asofdate]]))</f>
        <v>40170</v>
      </c>
      <c r="E1656" s="48" t="s">
        <v>11</v>
      </c>
      <c r="F1656" s="55">
        <v>0.23125000000000001</v>
      </c>
    </row>
    <row r="1657" spans="2:6">
      <c r="B1657" s="48" t="s">
        <v>20</v>
      </c>
      <c r="C1657" s="48" t="s">
        <v>181</v>
      </c>
      <c r="D1657" s="48">
        <f>DATE(YEAR(OneWeekMtgRatesDataTable756[[#This Row],[asofdate]]),MONTH(OneWeekMtgRatesDataTable756[[#This Row],[asofdate]]),DAY(OneWeekMtgRatesDataTable756[[#This Row],[asofdate]]))</f>
        <v>40169</v>
      </c>
      <c r="E1657" s="48" t="s">
        <v>11</v>
      </c>
      <c r="F1657" s="55">
        <v>0.23188</v>
      </c>
    </row>
    <row r="1658" spans="2:6">
      <c r="B1658" s="48" t="s">
        <v>20</v>
      </c>
      <c r="C1658" s="48" t="s">
        <v>180</v>
      </c>
      <c r="D1658" s="48">
        <f>DATE(YEAR(OneWeekMtgRatesDataTable756[[#This Row],[asofdate]]),MONTH(OneWeekMtgRatesDataTable756[[#This Row],[asofdate]]),DAY(OneWeekMtgRatesDataTable756[[#This Row],[asofdate]]))</f>
        <v>40168</v>
      </c>
      <c r="E1658" s="48" t="s">
        <v>11</v>
      </c>
      <c r="F1658" s="55">
        <v>0.23188</v>
      </c>
    </row>
    <row r="1659" spans="2:6">
      <c r="B1659" s="48" t="s">
        <v>20</v>
      </c>
      <c r="C1659" s="48" t="s">
        <v>179</v>
      </c>
      <c r="D1659" s="48">
        <f>DATE(YEAR(OneWeekMtgRatesDataTable756[[#This Row],[asofdate]]),MONTH(OneWeekMtgRatesDataTable756[[#This Row],[asofdate]]),DAY(OneWeekMtgRatesDataTable756[[#This Row],[asofdate]]))</f>
        <v>40165</v>
      </c>
      <c r="E1659" s="48" t="s">
        <v>11</v>
      </c>
      <c r="F1659" s="55">
        <v>0.23188</v>
      </c>
    </row>
    <row r="1660" spans="2:6">
      <c r="B1660" s="48" t="s">
        <v>20</v>
      </c>
      <c r="C1660" s="48" t="s">
        <v>178</v>
      </c>
      <c r="D1660" s="48">
        <f>DATE(YEAR(OneWeekMtgRatesDataTable756[[#This Row],[asofdate]]),MONTH(OneWeekMtgRatesDataTable756[[#This Row],[asofdate]]),DAY(OneWeekMtgRatesDataTable756[[#This Row],[asofdate]]))</f>
        <v>40164</v>
      </c>
      <c r="E1660" s="48" t="s">
        <v>11</v>
      </c>
      <c r="F1660" s="55">
        <v>0.23313</v>
      </c>
    </row>
    <row r="1661" spans="2:6">
      <c r="B1661" s="48" t="s">
        <v>20</v>
      </c>
      <c r="C1661" s="48" t="s">
        <v>177</v>
      </c>
      <c r="D1661" s="48">
        <f>DATE(YEAR(OneWeekMtgRatesDataTable756[[#This Row],[asofdate]]),MONTH(OneWeekMtgRatesDataTable756[[#This Row],[asofdate]]),DAY(OneWeekMtgRatesDataTable756[[#This Row],[asofdate]]))</f>
        <v>40163</v>
      </c>
      <c r="E1661" s="48" t="s">
        <v>11</v>
      </c>
      <c r="F1661" s="55">
        <v>0.23250000000000001</v>
      </c>
    </row>
    <row r="1662" spans="2:6">
      <c r="B1662" s="48" t="s">
        <v>20</v>
      </c>
      <c r="C1662" s="48" t="s">
        <v>176</v>
      </c>
      <c r="D1662" s="48">
        <f>DATE(YEAR(OneWeekMtgRatesDataTable756[[#This Row],[asofdate]]),MONTH(OneWeekMtgRatesDataTable756[[#This Row],[asofdate]]),DAY(OneWeekMtgRatesDataTable756[[#This Row],[asofdate]]))</f>
        <v>40162</v>
      </c>
      <c r="E1662" s="48" t="s">
        <v>11</v>
      </c>
      <c r="F1662" s="55">
        <v>0.23250000000000001</v>
      </c>
    </row>
    <row r="1663" spans="2:6">
      <c r="B1663" s="48" t="s">
        <v>20</v>
      </c>
      <c r="C1663" s="48" t="s">
        <v>175</v>
      </c>
      <c r="D1663" s="48">
        <f>DATE(YEAR(OneWeekMtgRatesDataTable756[[#This Row],[asofdate]]),MONTH(OneWeekMtgRatesDataTable756[[#This Row],[asofdate]]),DAY(OneWeekMtgRatesDataTable756[[#This Row],[asofdate]]))</f>
        <v>40161</v>
      </c>
      <c r="E1663" s="48" t="s">
        <v>11</v>
      </c>
      <c r="F1663" s="55">
        <v>0.23250000000000001</v>
      </c>
    </row>
    <row r="1664" spans="2:6">
      <c r="B1664" s="48" t="s">
        <v>20</v>
      </c>
      <c r="C1664" s="48" t="s">
        <v>174</v>
      </c>
      <c r="D1664" s="48">
        <f>DATE(YEAR(OneWeekMtgRatesDataTable756[[#This Row],[asofdate]]),MONTH(OneWeekMtgRatesDataTable756[[#This Row],[asofdate]]),DAY(OneWeekMtgRatesDataTable756[[#This Row],[asofdate]]))</f>
        <v>40158</v>
      </c>
      <c r="E1664" s="48" t="s">
        <v>11</v>
      </c>
      <c r="F1664" s="55">
        <v>0.23313</v>
      </c>
    </row>
    <row r="1665" spans="2:6">
      <c r="B1665" s="48" t="s">
        <v>20</v>
      </c>
      <c r="C1665" s="48" t="s">
        <v>173</v>
      </c>
      <c r="D1665" s="48">
        <f>DATE(YEAR(OneWeekMtgRatesDataTable756[[#This Row],[asofdate]]),MONTH(OneWeekMtgRatesDataTable756[[#This Row],[asofdate]]),DAY(OneWeekMtgRatesDataTable756[[#This Row],[asofdate]]))</f>
        <v>40157</v>
      </c>
      <c r="E1665" s="48" t="s">
        <v>11</v>
      </c>
      <c r="F1665" s="55">
        <v>0.23405999999999999</v>
      </c>
    </row>
    <row r="1666" spans="2:6">
      <c r="B1666" s="48" t="s">
        <v>20</v>
      </c>
      <c r="C1666" s="48" t="s">
        <v>172</v>
      </c>
      <c r="D1666" s="48">
        <f>DATE(YEAR(OneWeekMtgRatesDataTable756[[#This Row],[asofdate]]),MONTH(OneWeekMtgRatesDataTable756[[#This Row],[asofdate]]),DAY(OneWeekMtgRatesDataTable756[[#This Row],[asofdate]]))</f>
        <v>40156</v>
      </c>
      <c r="E1666" s="48" t="s">
        <v>11</v>
      </c>
      <c r="F1666" s="55">
        <v>0.23405999999999999</v>
      </c>
    </row>
    <row r="1667" spans="2:6">
      <c r="B1667" s="48" t="s">
        <v>20</v>
      </c>
      <c r="C1667" s="48" t="s">
        <v>171</v>
      </c>
      <c r="D1667" s="48">
        <f>DATE(YEAR(OneWeekMtgRatesDataTable756[[#This Row],[asofdate]]),MONTH(OneWeekMtgRatesDataTable756[[#This Row],[asofdate]]),DAY(OneWeekMtgRatesDataTable756[[#This Row],[asofdate]]))</f>
        <v>40155</v>
      </c>
      <c r="E1667" s="48" t="s">
        <v>11</v>
      </c>
      <c r="F1667" s="55">
        <v>0.23469000000000001</v>
      </c>
    </row>
    <row r="1668" spans="2:6">
      <c r="B1668" s="48" t="s">
        <v>20</v>
      </c>
      <c r="C1668" s="48" t="s">
        <v>170</v>
      </c>
      <c r="D1668" s="48">
        <f>DATE(YEAR(OneWeekMtgRatesDataTable756[[#This Row],[asofdate]]),MONTH(OneWeekMtgRatesDataTable756[[#This Row],[asofdate]]),DAY(OneWeekMtgRatesDataTable756[[#This Row],[asofdate]]))</f>
        <v>40154</v>
      </c>
      <c r="E1668" s="48" t="s">
        <v>11</v>
      </c>
      <c r="F1668" s="55">
        <v>0.23469000000000001</v>
      </c>
    </row>
    <row r="1669" spans="2:6">
      <c r="B1669" s="48" t="s">
        <v>20</v>
      </c>
      <c r="C1669" s="48" t="s">
        <v>169</v>
      </c>
      <c r="D1669" s="48">
        <f>DATE(YEAR(OneWeekMtgRatesDataTable756[[#This Row],[asofdate]]),MONTH(OneWeekMtgRatesDataTable756[[#This Row],[asofdate]]),DAY(OneWeekMtgRatesDataTable756[[#This Row],[asofdate]]))</f>
        <v>40151</v>
      </c>
      <c r="E1669" s="48" t="s">
        <v>11</v>
      </c>
      <c r="F1669" s="55">
        <v>0.23469000000000001</v>
      </c>
    </row>
    <row r="1670" spans="2:6">
      <c r="B1670" s="48" t="s">
        <v>20</v>
      </c>
      <c r="C1670" s="48" t="s">
        <v>168</v>
      </c>
      <c r="D1670" s="48">
        <f>DATE(YEAR(OneWeekMtgRatesDataTable756[[#This Row],[asofdate]]),MONTH(OneWeekMtgRatesDataTable756[[#This Row],[asofdate]]),DAY(OneWeekMtgRatesDataTable756[[#This Row],[asofdate]]))</f>
        <v>40150</v>
      </c>
      <c r="E1670" s="48" t="s">
        <v>11</v>
      </c>
      <c r="F1670" s="55">
        <v>0.23469000000000001</v>
      </c>
    </row>
    <row r="1671" spans="2:6">
      <c r="B1671" s="48" t="s">
        <v>20</v>
      </c>
      <c r="C1671" s="48" t="s">
        <v>167</v>
      </c>
      <c r="D1671" s="48">
        <f>DATE(YEAR(OneWeekMtgRatesDataTable756[[#This Row],[asofdate]]),MONTH(OneWeekMtgRatesDataTable756[[#This Row],[asofdate]]),DAY(OneWeekMtgRatesDataTable756[[#This Row],[asofdate]]))</f>
        <v>40149</v>
      </c>
      <c r="E1671" s="48" t="s">
        <v>11</v>
      </c>
      <c r="F1671" s="55">
        <v>0.23438000000000001</v>
      </c>
    </row>
    <row r="1672" spans="2:6">
      <c r="B1672" s="48" t="s">
        <v>20</v>
      </c>
      <c r="C1672" s="48" t="s">
        <v>166</v>
      </c>
      <c r="D1672" s="48">
        <f>DATE(YEAR(OneWeekMtgRatesDataTable756[[#This Row],[asofdate]]),MONTH(OneWeekMtgRatesDataTable756[[#This Row],[asofdate]]),DAY(OneWeekMtgRatesDataTable756[[#This Row],[asofdate]]))</f>
        <v>40148</v>
      </c>
      <c r="E1672" s="48" t="s">
        <v>11</v>
      </c>
      <c r="F1672" s="55">
        <v>0.23469000000000001</v>
      </c>
    </row>
    <row r="1673" spans="2:6">
      <c r="B1673" s="48" t="s">
        <v>20</v>
      </c>
      <c r="C1673" s="48" t="s">
        <v>165</v>
      </c>
      <c r="D1673" s="48">
        <f>DATE(YEAR(OneWeekMtgRatesDataTable756[[#This Row],[asofdate]]),MONTH(OneWeekMtgRatesDataTable756[[#This Row],[asofdate]]),DAY(OneWeekMtgRatesDataTable756[[#This Row],[asofdate]]))</f>
        <v>40147</v>
      </c>
      <c r="E1673" s="48" t="s">
        <v>11</v>
      </c>
      <c r="F1673" s="55">
        <v>0.23530999999999999</v>
      </c>
    </row>
    <row r="1674" spans="2:6">
      <c r="B1674" s="48" t="s">
        <v>20</v>
      </c>
      <c r="C1674" s="48" t="s">
        <v>164</v>
      </c>
      <c r="D1674" s="48">
        <f>DATE(YEAR(OneWeekMtgRatesDataTable756[[#This Row],[asofdate]]),MONTH(OneWeekMtgRatesDataTable756[[#This Row],[asofdate]]),DAY(OneWeekMtgRatesDataTable756[[#This Row],[asofdate]]))</f>
        <v>40144</v>
      </c>
      <c r="E1674" s="48" t="s">
        <v>11</v>
      </c>
      <c r="F1674" s="55">
        <v>0.23530999999999999</v>
      </c>
    </row>
    <row r="1675" spans="2:6">
      <c r="B1675" s="48" t="s">
        <v>20</v>
      </c>
      <c r="C1675" s="48" t="s">
        <v>163</v>
      </c>
      <c r="D1675" s="48">
        <f>DATE(YEAR(OneWeekMtgRatesDataTable756[[#This Row],[asofdate]]),MONTH(OneWeekMtgRatesDataTable756[[#This Row],[asofdate]]),DAY(OneWeekMtgRatesDataTable756[[#This Row],[asofdate]]))</f>
        <v>40142</v>
      </c>
      <c r="E1675" s="48" t="s">
        <v>11</v>
      </c>
      <c r="F1675" s="55">
        <v>0.23405999999999999</v>
      </c>
    </row>
    <row r="1676" spans="2:6">
      <c r="B1676" s="48" t="s">
        <v>20</v>
      </c>
      <c r="C1676" s="48" t="s">
        <v>162</v>
      </c>
      <c r="D1676" s="48">
        <f>DATE(YEAR(OneWeekMtgRatesDataTable756[[#This Row],[asofdate]]),MONTH(OneWeekMtgRatesDataTable756[[#This Row],[asofdate]]),DAY(OneWeekMtgRatesDataTable756[[#This Row],[asofdate]]))</f>
        <v>40141</v>
      </c>
      <c r="E1676" s="48" t="s">
        <v>11</v>
      </c>
      <c r="F1676" s="55">
        <v>0.23594000000000001</v>
      </c>
    </row>
    <row r="1677" spans="2:6">
      <c r="B1677" s="48" t="s">
        <v>20</v>
      </c>
      <c r="C1677" s="48" t="s">
        <v>161</v>
      </c>
      <c r="D1677" s="48">
        <f>DATE(YEAR(OneWeekMtgRatesDataTable756[[#This Row],[asofdate]]),MONTH(OneWeekMtgRatesDataTable756[[#This Row],[asofdate]]),DAY(OneWeekMtgRatesDataTable756[[#This Row],[asofdate]]))</f>
        <v>40140</v>
      </c>
      <c r="E1677" s="48" t="s">
        <v>11</v>
      </c>
      <c r="F1677" s="55">
        <v>0.23594000000000001</v>
      </c>
    </row>
    <row r="1678" spans="2:6">
      <c r="B1678" s="48" t="s">
        <v>20</v>
      </c>
      <c r="C1678" s="48" t="s">
        <v>160</v>
      </c>
      <c r="D1678" s="48">
        <f>DATE(YEAR(OneWeekMtgRatesDataTable756[[#This Row],[asofdate]]),MONTH(OneWeekMtgRatesDataTable756[[#This Row],[asofdate]]),DAY(OneWeekMtgRatesDataTable756[[#This Row],[asofdate]]))</f>
        <v>40137</v>
      </c>
      <c r="E1678" s="48" t="s">
        <v>11</v>
      </c>
      <c r="F1678" s="55">
        <v>0.23594000000000001</v>
      </c>
    </row>
    <row r="1679" spans="2:6">
      <c r="B1679" s="48" t="s">
        <v>20</v>
      </c>
      <c r="C1679" s="48" t="s">
        <v>159</v>
      </c>
      <c r="D1679" s="48">
        <f>DATE(YEAR(OneWeekMtgRatesDataTable756[[#This Row],[asofdate]]),MONTH(OneWeekMtgRatesDataTable756[[#This Row],[asofdate]]),DAY(OneWeekMtgRatesDataTable756[[#This Row],[asofdate]]))</f>
        <v>40136</v>
      </c>
      <c r="E1679" s="48" t="s">
        <v>11</v>
      </c>
      <c r="F1679" s="55">
        <v>0.23655999999999999</v>
      </c>
    </row>
    <row r="1680" spans="2:6">
      <c r="B1680" s="48" t="s">
        <v>20</v>
      </c>
      <c r="C1680" s="48" t="s">
        <v>158</v>
      </c>
      <c r="D1680" s="48">
        <f>DATE(YEAR(OneWeekMtgRatesDataTable756[[#This Row],[asofdate]]),MONTH(OneWeekMtgRatesDataTable756[[#This Row],[asofdate]]),DAY(OneWeekMtgRatesDataTable756[[#This Row],[asofdate]]))</f>
        <v>40135</v>
      </c>
      <c r="E1680" s="48" t="s">
        <v>11</v>
      </c>
      <c r="F1680" s="55">
        <v>0.23655999999999999</v>
      </c>
    </row>
    <row r="1681" spans="2:6">
      <c r="B1681" s="48" t="s">
        <v>20</v>
      </c>
      <c r="C1681" s="48" t="s">
        <v>157</v>
      </c>
      <c r="D1681" s="48">
        <f>DATE(YEAR(OneWeekMtgRatesDataTable756[[#This Row],[asofdate]]),MONTH(OneWeekMtgRatesDataTable756[[#This Row],[asofdate]]),DAY(OneWeekMtgRatesDataTable756[[#This Row],[asofdate]]))</f>
        <v>40134</v>
      </c>
      <c r="E1681" s="48" t="s">
        <v>11</v>
      </c>
      <c r="F1681" s="55">
        <v>0.23688000000000001</v>
      </c>
    </row>
    <row r="1682" spans="2:6">
      <c r="B1682" s="48" t="s">
        <v>20</v>
      </c>
      <c r="C1682" s="48" t="s">
        <v>156</v>
      </c>
      <c r="D1682" s="48">
        <f>DATE(YEAR(OneWeekMtgRatesDataTable756[[#This Row],[asofdate]]),MONTH(OneWeekMtgRatesDataTable756[[#This Row],[asofdate]]),DAY(OneWeekMtgRatesDataTable756[[#This Row],[asofdate]]))</f>
        <v>40133</v>
      </c>
      <c r="E1682" s="48" t="s">
        <v>11</v>
      </c>
      <c r="F1682" s="55">
        <v>0.23749999999999999</v>
      </c>
    </row>
    <row r="1683" spans="2:6">
      <c r="B1683" s="48" t="s">
        <v>20</v>
      </c>
      <c r="C1683" s="48" t="s">
        <v>155</v>
      </c>
      <c r="D1683" s="48">
        <f>DATE(YEAR(OneWeekMtgRatesDataTable756[[#This Row],[asofdate]]),MONTH(OneWeekMtgRatesDataTable756[[#This Row],[asofdate]]),DAY(OneWeekMtgRatesDataTable756[[#This Row],[asofdate]]))</f>
        <v>40130</v>
      </c>
      <c r="E1683" s="48" t="s">
        <v>11</v>
      </c>
      <c r="F1683" s="55">
        <v>0.23749999999999999</v>
      </c>
    </row>
    <row r="1684" spans="2:6">
      <c r="B1684" s="48" t="s">
        <v>20</v>
      </c>
      <c r="C1684" s="48" t="s">
        <v>154</v>
      </c>
      <c r="D1684" s="48">
        <f>DATE(YEAR(OneWeekMtgRatesDataTable756[[#This Row],[asofdate]]),MONTH(OneWeekMtgRatesDataTable756[[#This Row],[asofdate]]),DAY(OneWeekMtgRatesDataTable756[[#This Row],[asofdate]]))</f>
        <v>40129</v>
      </c>
      <c r="E1684" s="48" t="s">
        <v>11</v>
      </c>
      <c r="F1684" s="55">
        <v>0.23874999999999999</v>
      </c>
    </row>
    <row r="1685" spans="2:6">
      <c r="B1685" s="48" t="s">
        <v>20</v>
      </c>
      <c r="C1685" s="48" t="s">
        <v>153</v>
      </c>
      <c r="D1685" s="48">
        <f>DATE(YEAR(OneWeekMtgRatesDataTable756[[#This Row],[asofdate]]),MONTH(OneWeekMtgRatesDataTable756[[#This Row],[asofdate]]),DAY(OneWeekMtgRatesDataTable756[[#This Row],[asofdate]]))</f>
        <v>40127</v>
      </c>
      <c r="E1685" s="48" t="s">
        <v>11</v>
      </c>
      <c r="F1685" s="55">
        <v>0.23874999999999999</v>
      </c>
    </row>
    <row r="1686" spans="2:6">
      <c r="B1686" s="48" t="s">
        <v>20</v>
      </c>
      <c r="C1686" s="48" t="s">
        <v>152</v>
      </c>
      <c r="D1686" s="48">
        <f>DATE(YEAR(OneWeekMtgRatesDataTable756[[#This Row],[asofdate]]),MONTH(OneWeekMtgRatesDataTable756[[#This Row],[asofdate]]),DAY(OneWeekMtgRatesDataTable756[[#This Row],[asofdate]]))</f>
        <v>40126</v>
      </c>
      <c r="E1686" s="48" t="s">
        <v>11</v>
      </c>
      <c r="F1686" s="55">
        <v>0.23905999999999999</v>
      </c>
    </row>
    <row r="1687" spans="2:6">
      <c r="B1687" s="48" t="s">
        <v>20</v>
      </c>
      <c r="C1687" s="48" t="s">
        <v>151</v>
      </c>
      <c r="D1687" s="48">
        <f>DATE(YEAR(OneWeekMtgRatesDataTable756[[#This Row],[asofdate]]),MONTH(OneWeekMtgRatesDataTable756[[#This Row],[asofdate]]),DAY(OneWeekMtgRatesDataTable756[[#This Row],[asofdate]]))</f>
        <v>40123</v>
      </c>
      <c r="E1687" s="48" t="s">
        <v>11</v>
      </c>
      <c r="F1687" s="55">
        <v>0.24156</v>
      </c>
    </row>
    <row r="1688" spans="2:6">
      <c r="B1688" s="48" t="s">
        <v>20</v>
      </c>
      <c r="C1688" s="48" t="s">
        <v>150</v>
      </c>
      <c r="D1688" s="48">
        <f>DATE(YEAR(OneWeekMtgRatesDataTable756[[#This Row],[asofdate]]),MONTH(OneWeekMtgRatesDataTable756[[#This Row],[asofdate]]),DAY(OneWeekMtgRatesDataTable756[[#This Row],[asofdate]]))</f>
        <v>40122</v>
      </c>
      <c r="E1688" s="48" t="s">
        <v>11</v>
      </c>
      <c r="F1688" s="55">
        <v>0.24156</v>
      </c>
    </row>
    <row r="1689" spans="2:6">
      <c r="B1689" s="48" t="s">
        <v>20</v>
      </c>
      <c r="C1689" s="48" t="s">
        <v>149</v>
      </c>
      <c r="D1689" s="48">
        <f>DATE(YEAR(OneWeekMtgRatesDataTable756[[#This Row],[asofdate]]),MONTH(OneWeekMtgRatesDataTable756[[#This Row],[asofdate]]),DAY(OneWeekMtgRatesDataTable756[[#This Row],[asofdate]]))</f>
        <v>40121</v>
      </c>
      <c r="E1689" s="48" t="s">
        <v>11</v>
      </c>
      <c r="F1689" s="55">
        <v>0.24156</v>
      </c>
    </row>
    <row r="1690" spans="2:6">
      <c r="B1690" s="48" t="s">
        <v>20</v>
      </c>
      <c r="C1690" s="48" t="s">
        <v>148</v>
      </c>
      <c r="D1690" s="48">
        <f>DATE(YEAR(OneWeekMtgRatesDataTable756[[#This Row],[asofdate]]),MONTH(OneWeekMtgRatesDataTable756[[#This Row],[asofdate]]),DAY(OneWeekMtgRatesDataTable756[[#This Row],[asofdate]]))</f>
        <v>40120</v>
      </c>
      <c r="E1690" s="48" t="s">
        <v>11</v>
      </c>
      <c r="F1690" s="55">
        <v>0.24156</v>
      </c>
    </row>
    <row r="1691" spans="2:6">
      <c r="B1691" s="62" t="s">
        <v>20</v>
      </c>
      <c r="C1691" s="62" t="s">
        <v>147</v>
      </c>
      <c r="D1691" s="62">
        <f>DATE(YEAR(OneWeekMtgRatesDataTable756[[#This Row],[asofdate]]),MONTH(OneWeekMtgRatesDataTable756[[#This Row],[asofdate]]),DAY(OneWeekMtgRatesDataTable756[[#This Row],[asofdate]]))</f>
        <v>40119</v>
      </c>
      <c r="E1691" s="62" t="s">
        <v>11</v>
      </c>
      <c r="F1691" s="64">
        <v>0.24124999999999999</v>
      </c>
    </row>
    <row r="1692" spans="2:6">
      <c r="B1692" s="62" t="s">
        <v>20</v>
      </c>
      <c r="C1692" s="62" t="s">
        <v>146</v>
      </c>
      <c r="D1692" s="62">
        <f>DATE(YEAR(OneWeekMtgRatesDataTable756[[#This Row],[asofdate]]),MONTH(OneWeekMtgRatesDataTable756[[#This Row],[asofdate]]),DAY(OneWeekMtgRatesDataTable756[[#This Row],[asofdate]]))</f>
        <v>40116</v>
      </c>
      <c r="E1692" s="62" t="s">
        <v>11</v>
      </c>
      <c r="F1692" s="64">
        <v>0.24349999999999999</v>
      </c>
    </row>
    <row r="1693" spans="2:6">
      <c r="B1693" s="62" t="s">
        <v>20</v>
      </c>
      <c r="C1693" s="62" t="s">
        <v>145</v>
      </c>
      <c r="D1693" s="62">
        <f>DATE(YEAR(OneWeekMtgRatesDataTable756[[#This Row],[asofdate]]),MONTH(OneWeekMtgRatesDataTable756[[#This Row],[asofdate]]),DAY(OneWeekMtgRatesDataTable756[[#This Row],[asofdate]]))</f>
        <v>40115</v>
      </c>
      <c r="E1693" s="62" t="s">
        <v>11</v>
      </c>
      <c r="F1693" s="64">
        <v>0.24349999999999999</v>
      </c>
    </row>
    <row r="1694" spans="2:6">
      <c r="B1694" s="62" t="s">
        <v>20</v>
      </c>
      <c r="C1694" s="62" t="s">
        <v>144</v>
      </c>
      <c r="D1694" s="62">
        <f>DATE(YEAR(OneWeekMtgRatesDataTable756[[#This Row],[asofdate]]),MONTH(OneWeekMtgRatesDataTable756[[#This Row],[asofdate]]),DAY(OneWeekMtgRatesDataTable756[[#This Row],[asofdate]]))</f>
        <v>40114</v>
      </c>
      <c r="E1694" s="62" t="s">
        <v>11</v>
      </c>
      <c r="F1694" s="64">
        <v>0.24288000000000001</v>
      </c>
    </row>
    <row r="1695" spans="2:6">
      <c r="B1695" s="62" t="s">
        <v>20</v>
      </c>
      <c r="C1695" s="62" t="s">
        <v>143</v>
      </c>
      <c r="D1695" s="62">
        <f>DATE(YEAR(OneWeekMtgRatesDataTable756[[#This Row],[asofdate]]),MONTH(OneWeekMtgRatesDataTable756[[#This Row],[asofdate]]),DAY(OneWeekMtgRatesDataTable756[[#This Row],[asofdate]]))</f>
        <v>40113</v>
      </c>
      <c r="E1695" s="62" t="s">
        <v>11</v>
      </c>
      <c r="F1695" s="64">
        <v>0.24349999999999999</v>
      </c>
    </row>
    <row r="1696" spans="2:6">
      <c r="B1696" s="62" t="s">
        <v>20</v>
      </c>
      <c r="C1696" s="62" t="s">
        <v>142</v>
      </c>
      <c r="D1696" s="62">
        <f>DATE(YEAR(OneWeekMtgRatesDataTable756[[#This Row],[asofdate]]),MONTH(OneWeekMtgRatesDataTable756[[#This Row],[asofdate]]),DAY(OneWeekMtgRatesDataTable756[[#This Row],[asofdate]]))</f>
        <v>40112</v>
      </c>
      <c r="E1696" s="62" t="s">
        <v>11</v>
      </c>
      <c r="F1696" s="64">
        <v>0.24374999999999999</v>
      </c>
    </row>
    <row r="1697" spans="2:6">
      <c r="B1697" s="62" t="s">
        <v>20</v>
      </c>
      <c r="C1697" s="62" t="s">
        <v>141</v>
      </c>
      <c r="D1697" s="62">
        <f>DATE(YEAR(OneWeekMtgRatesDataTable756[[#This Row],[asofdate]]),MONTH(OneWeekMtgRatesDataTable756[[#This Row],[asofdate]]),DAY(OneWeekMtgRatesDataTable756[[#This Row],[asofdate]]))</f>
        <v>40109</v>
      </c>
      <c r="E1697" s="62" t="s">
        <v>11</v>
      </c>
      <c r="F1697" s="64">
        <v>0.24374999999999999</v>
      </c>
    </row>
    <row r="1698" spans="2:6">
      <c r="B1698" s="62" t="s">
        <v>20</v>
      </c>
      <c r="C1698" s="62" t="s">
        <v>140</v>
      </c>
      <c r="D1698" s="62">
        <f>DATE(YEAR(OneWeekMtgRatesDataTable756[[#This Row],[asofdate]]),MONTH(OneWeekMtgRatesDataTable756[[#This Row],[asofdate]]),DAY(OneWeekMtgRatesDataTable756[[#This Row],[asofdate]]))</f>
        <v>40108</v>
      </c>
      <c r="E1698" s="62" t="s">
        <v>11</v>
      </c>
      <c r="F1698" s="64">
        <v>0.24374999999999999</v>
      </c>
    </row>
    <row r="1699" spans="2:6">
      <c r="B1699" s="62" t="s">
        <v>20</v>
      </c>
      <c r="C1699" s="62" t="s">
        <v>139</v>
      </c>
      <c r="D1699" s="62">
        <f>DATE(YEAR(OneWeekMtgRatesDataTable756[[#This Row],[asofdate]]),MONTH(OneWeekMtgRatesDataTable756[[#This Row],[asofdate]]),DAY(OneWeekMtgRatesDataTable756[[#This Row],[asofdate]]))</f>
        <v>40107</v>
      </c>
      <c r="E1699" s="62" t="s">
        <v>11</v>
      </c>
      <c r="F1699" s="64">
        <v>0.24374999999999999</v>
      </c>
    </row>
    <row r="1700" spans="2:6">
      <c r="B1700" s="62" t="s">
        <v>20</v>
      </c>
      <c r="C1700" s="62" t="s">
        <v>138</v>
      </c>
      <c r="D1700" s="62">
        <f>DATE(YEAR(OneWeekMtgRatesDataTable756[[#This Row],[asofdate]]),MONTH(OneWeekMtgRatesDataTable756[[#This Row],[asofdate]]),DAY(OneWeekMtgRatesDataTable756[[#This Row],[asofdate]]))</f>
        <v>40106</v>
      </c>
      <c r="E1700" s="62" t="s">
        <v>11</v>
      </c>
      <c r="F1700" s="64">
        <v>0.245</v>
      </c>
    </row>
    <row r="1701" spans="2:6">
      <c r="B1701" s="62" t="s">
        <v>20</v>
      </c>
      <c r="C1701" s="62" t="s">
        <v>137</v>
      </c>
      <c r="D1701" s="62">
        <f>DATE(YEAR(OneWeekMtgRatesDataTable756[[#This Row],[asofdate]]),MONTH(OneWeekMtgRatesDataTable756[[#This Row],[asofdate]]),DAY(OneWeekMtgRatesDataTable756[[#This Row],[asofdate]]))</f>
        <v>40105</v>
      </c>
      <c r="E1701" s="62" t="s">
        <v>11</v>
      </c>
      <c r="F1701" s="64">
        <v>0.245</v>
      </c>
    </row>
    <row r="1702" spans="2:6">
      <c r="B1702" s="62" t="s">
        <v>20</v>
      </c>
      <c r="C1702" s="62" t="s">
        <v>136</v>
      </c>
      <c r="D1702" s="62">
        <f>DATE(YEAR(OneWeekMtgRatesDataTable756[[#This Row],[asofdate]]),MONTH(OneWeekMtgRatesDataTable756[[#This Row],[asofdate]]),DAY(OneWeekMtgRatesDataTable756[[#This Row],[asofdate]]))</f>
        <v>40102</v>
      </c>
      <c r="E1702" s="62" t="s">
        <v>11</v>
      </c>
      <c r="F1702" s="64">
        <v>0.245</v>
      </c>
    </row>
    <row r="1703" spans="2:6">
      <c r="B1703" s="62" t="s">
        <v>20</v>
      </c>
      <c r="C1703" s="62" t="s">
        <v>135</v>
      </c>
      <c r="D1703" s="62">
        <f>DATE(YEAR(OneWeekMtgRatesDataTable756[[#This Row],[asofdate]]),MONTH(OneWeekMtgRatesDataTable756[[#This Row],[asofdate]]),DAY(OneWeekMtgRatesDataTable756[[#This Row],[asofdate]]))</f>
        <v>40101</v>
      </c>
      <c r="E1703" s="62" t="s">
        <v>11</v>
      </c>
      <c r="F1703" s="64">
        <v>0.245</v>
      </c>
    </row>
    <row r="1704" spans="2:6">
      <c r="B1704" s="62" t="s">
        <v>20</v>
      </c>
      <c r="C1704" s="62" t="s">
        <v>134</v>
      </c>
      <c r="D1704" s="62">
        <f>DATE(YEAR(OneWeekMtgRatesDataTable756[[#This Row],[asofdate]]),MONTH(OneWeekMtgRatesDataTable756[[#This Row],[asofdate]]),DAY(OneWeekMtgRatesDataTable756[[#This Row],[asofdate]]))</f>
        <v>40100</v>
      </c>
      <c r="E1704" s="62" t="s">
        <v>11</v>
      </c>
      <c r="F1704" s="64">
        <v>0.245</v>
      </c>
    </row>
    <row r="1705" spans="2:6">
      <c r="B1705" s="62" t="s">
        <v>20</v>
      </c>
      <c r="C1705" s="62" t="s">
        <v>133</v>
      </c>
      <c r="D1705" s="62">
        <f>DATE(YEAR(OneWeekMtgRatesDataTable756[[#This Row],[asofdate]]),MONTH(OneWeekMtgRatesDataTable756[[#This Row],[asofdate]]),DAY(OneWeekMtgRatesDataTable756[[#This Row],[asofdate]]))</f>
        <v>40099</v>
      </c>
      <c r="E1705" s="62" t="s">
        <v>11</v>
      </c>
      <c r="F1705" s="64">
        <v>0.245</v>
      </c>
    </row>
    <row r="1706" spans="2:6">
      <c r="B1706" s="62" t="s">
        <v>20</v>
      </c>
      <c r="C1706" s="62" t="s">
        <v>132</v>
      </c>
      <c r="D1706" s="62">
        <f>DATE(YEAR(OneWeekMtgRatesDataTable756[[#This Row],[asofdate]]),MONTH(OneWeekMtgRatesDataTable756[[#This Row],[asofdate]]),DAY(OneWeekMtgRatesDataTable756[[#This Row],[asofdate]]))</f>
        <v>40095</v>
      </c>
      <c r="E1706" s="62" t="s">
        <v>11</v>
      </c>
      <c r="F1706" s="64">
        <v>0.245</v>
      </c>
    </row>
    <row r="1707" spans="2:6">
      <c r="B1707" s="62" t="s">
        <v>20</v>
      </c>
      <c r="C1707" s="62" t="s">
        <v>131</v>
      </c>
      <c r="D1707" s="62">
        <f>DATE(YEAR(OneWeekMtgRatesDataTable756[[#This Row],[asofdate]]),MONTH(OneWeekMtgRatesDataTable756[[#This Row],[asofdate]]),DAY(OneWeekMtgRatesDataTable756[[#This Row],[asofdate]]))</f>
        <v>40094</v>
      </c>
      <c r="E1707" s="62" t="s">
        <v>11</v>
      </c>
      <c r="F1707" s="64">
        <v>0.24437999999999999</v>
      </c>
    </row>
    <row r="1708" spans="2:6">
      <c r="B1708" s="62" t="s">
        <v>20</v>
      </c>
      <c r="C1708" s="62" t="s">
        <v>130</v>
      </c>
      <c r="D1708" s="62">
        <f>DATE(YEAR(OneWeekMtgRatesDataTable756[[#This Row],[asofdate]]),MONTH(OneWeekMtgRatesDataTable756[[#This Row],[asofdate]]),DAY(OneWeekMtgRatesDataTable756[[#This Row],[asofdate]]))</f>
        <v>40093</v>
      </c>
      <c r="E1708" s="62" t="s">
        <v>11</v>
      </c>
      <c r="F1708" s="64">
        <v>0.24437999999999999</v>
      </c>
    </row>
    <row r="1709" spans="2:6">
      <c r="B1709" s="62" t="s">
        <v>20</v>
      </c>
      <c r="C1709" s="62" t="s">
        <v>129</v>
      </c>
      <c r="D1709" s="62">
        <f>DATE(YEAR(OneWeekMtgRatesDataTable756[[#This Row],[asofdate]]),MONTH(OneWeekMtgRatesDataTable756[[#This Row],[asofdate]]),DAY(OneWeekMtgRatesDataTable756[[#This Row],[asofdate]]))</f>
        <v>40092</v>
      </c>
      <c r="E1709" s="62" t="s">
        <v>11</v>
      </c>
      <c r="F1709" s="64">
        <v>0.24437999999999999</v>
      </c>
    </row>
    <row r="1710" spans="2:6">
      <c r="B1710" s="62" t="s">
        <v>20</v>
      </c>
      <c r="C1710" s="62" t="s">
        <v>128</v>
      </c>
      <c r="D1710" s="62">
        <f>DATE(YEAR(OneWeekMtgRatesDataTable756[[#This Row],[asofdate]]),MONTH(OneWeekMtgRatesDataTable756[[#This Row],[asofdate]]),DAY(OneWeekMtgRatesDataTable756[[#This Row],[asofdate]]))</f>
        <v>40091</v>
      </c>
      <c r="E1710" s="62" t="s">
        <v>11</v>
      </c>
      <c r="F1710" s="64">
        <v>0.24437999999999999</v>
      </c>
    </row>
    <row r="1711" spans="2:6">
      <c r="B1711" s="62" t="s">
        <v>20</v>
      </c>
      <c r="C1711" s="62" t="s">
        <v>127</v>
      </c>
      <c r="D1711" s="62">
        <f>DATE(YEAR(OneWeekMtgRatesDataTable756[[#This Row],[asofdate]]),MONTH(OneWeekMtgRatesDataTable756[[#This Row],[asofdate]]),DAY(OneWeekMtgRatesDataTable756[[#This Row],[asofdate]]))</f>
        <v>40088</v>
      </c>
      <c r="E1711" s="62" t="s">
        <v>11</v>
      </c>
      <c r="F1711" s="64">
        <v>0.24437999999999999</v>
      </c>
    </row>
    <row r="1712" spans="2:6">
      <c r="B1712" s="62" t="s">
        <v>20</v>
      </c>
      <c r="C1712" s="62" t="s">
        <v>126</v>
      </c>
      <c r="D1712" s="62">
        <f>DATE(YEAR(OneWeekMtgRatesDataTable756[[#This Row],[asofdate]]),MONTH(OneWeekMtgRatesDataTable756[[#This Row],[asofdate]]),DAY(OneWeekMtgRatesDataTable756[[#This Row],[asofdate]]))</f>
        <v>40087</v>
      </c>
      <c r="E1712" s="62" t="s">
        <v>11</v>
      </c>
      <c r="F1712" s="64">
        <v>0.24562999999999999</v>
      </c>
    </row>
    <row r="1713" spans="2:6">
      <c r="B1713" s="62" t="s">
        <v>20</v>
      </c>
      <c r="C1713" s="62" t="s">
        <v>125</v>
      </c>
      <c r="D1713" s="62">
        <f>DATE(YEAR(OneWeekMtgRatesDataTable756[[#This Row],[asofdate]]),MONTH(OneWeekMtgRatesDataTable756[[#This Row],[asofdate]]),DAY(OneWeekMtgRatesDataTable756[[#This Row],[asofdate]]))</f>
        <v>40086</v>
      </c>
      <c r="E1713" s="62" t="s">
        <v>11</v>
      </c>
      <c r="F1713" s="64">
        <v>0.24562999999999999</v>
      </c>
    </row>
    <row r="1714" spans="2:6">
      <c r="B1714" s="62" t="s">
        <v>20</v>
      </c>
      <c r="C1714" s="62" t="s">
        <v>124</v>
      </c>
      <c r="D1714" s="62">
        <f>DATE(YEAR(OneWeekMtgRatesDataTable756[[#This Row],[asofdate]]),MONTH(OneWeekMtgRatesDataTable756[[#This Row],[asofdate]]),DAY(OneWeekMtgRatesDataTable756[[#This Row],[asofdate]]))</f>
        <v>40085</v>
      </c>
      <c r="E1714" s="62" t="s">
        <v>11</v>
      </c>
      <c r="F1714" s="64">
        <v>0.24625</v>
      </c>
    </row>
    <row r="1715" spans="2:6">
      <c r="B1715" s="62" t="s">
        <v>20</v>
      </c>
      <c r="C1715" s="62" t="s">
        <v>123</v>
      </c>
      <c r="D1715" s="62">
        <f>DATE(YEAR(OneWeekMtgRatesDataTable756[[#This Row],[asofdate]]),MONTH(OneWeekMtgRatesDataTable756[[#This Row],[asofdate]]),DAY(OneWeekMtgRatesDataTable756[[#This Row],[asofdate]]))</f>
        <v>40084</v>
      </c>
      <c r="E1715" s="62" t="s">
        <v>11</v>
      </c>
      <c r="F1715" s="64">
        <v>0.24625</v>
      </c>
    </row>
    <row r="1716" spans="2:6">
      <c r="B1716" s="62" t="s">
        <v>20</v>
      </c>
      <c r="C1716" s="62" t="s">
        <v>122</v>
      </c>
      <c r="D1716" s="62">
        <f>DATE(YEAR(OneWeekMtgRatesDataTable756[[#This Row],[asofdate]]),MONTH(OneWeekMtgRatesDataTable756[[#This Row],[asofdate]]),DAY(OneWeekMtgRatesDataTable756[[#This Row],[asofdate]]))</f>
        <v>40081</v>
      </c>
      <c r="E1716" s="62" t="s">
        <v>11</v>
      </c>
      <c r="F1716" s="64">
        <v>0.24625</v>
      </c>
    </row>
    <row r="1717" spans="2:6">
      <c r="B1717" s="62" t="s">
        <v>20</v>
      </c>
      <c r="C1717" s="62" t="s">
        <v>121</v>
      </c>
      <c r="D1717" s="62">
        <f>DATE(YEAR(OneWeekMtgRatesDataTable756[[#This Row],[asofdate]]),MONTH(OneWeekMtgRatesDataTable756[[#This Row],[asofdate]]),DAY(OneWeekMtgRatesDataTable756[[#This Row],[asofdate]]))</f>
        <v>40080</v>
      </c>
      <c r="E1717" s="62" t="s">
        <v>11</v>
      </c>
      <c r="F1717" s="64">
        <v>0.24625</v>
      </c>
    </row>
    <row r="1718" spans="2:6">
      <c r="B1718" s="62" t="s">
        <v>20</v>
      </c>
      <c r="C1718" s="62" t="s">
        <v>120</v>
      </c>
      <c r="D1718" s="62">
        <f>DATE(YEAR(OneWeekMtgRatesDataTable756[[#This Row],[asofdate]]),MONTH(OneWeekMtgRatesDataTable756[[#This Row],[asofdate]]),DAY(OneWeekMtgRatesDataTable756[[#This Row],[asofdate]]))</f>
        <v>40079</v>
      </c>
      <c r="E1718" s="62" t="s">
        <v>11</v>
      </c>
      <c r="F1718" s="64">
        <v>0.24625</v>
      </c>
    </row>
    <row r="1719" spans="2:6">
      <c r="B1719" s="48" t="s">
        <v>20</v>
      </c>
      <c r="C1719" s="48" t="s">
        <v>119</v>
      </c>
      <c r="D1719" s="48">
        <f>DATE(YEAR(OneWeekMtgRatesDataTable756[[#This Row],[asofdate]]),MONTH(OneWeekMtgRatesDataTable756[[#This Row],[asofdate]]),DAY(OneWeekMtgRatesDataTable756[[#This Row],[asofdate]]))</f>
        <v>40078</v>
      </c>
      <c r="E1719" s="48" t="s">
        <v>11</v>
      </c>
      <c r="F1719" s="55">
        <v>0.24625</v>
      </c>
    </row>
    <row r="1720" spans="2:6">
      <c r="B1720" s="48" t="s">
        <v>20</v>
      </c>
      <c r="C1720" s="48" t="s">
        <v>118</v>
      </c>
      <c r="D1720" s="48">
        <f>DATE(YEAR(OneWeekMtgRatesDataTable756[[#This Row],[asofdate]]),MONTH(OneWeekMtgRatesDataTable756[[#This Row],[asofdate]]),DAY(OneWeekMtgRatesDataTable756[[#This Row],[asofdate]]))</f>
        <v>40077</v>
      </c>
      <c r="E1720" s="48" t="s">
        <v>11</v>
      </c>
      <c r="F1720" s="55">
        <v>0.24625</v>
      </c>
    </row>
    <row r="1721" spans="2:6">
      <c r="B1721" s="48" t="s">
        <v>20</v>
      </c>
      <c r="C1721" s="48" t="s">
        <v>117</v>
      </c>
      <c r="D1721" s="48">
        <f>DATE(YEAR(OneWeekMtgRatesDataTable756[[#This Row],[asofdate]]),MONTH(OneWeekMtgRatesDataTable756[[#This Row],[asofdate]]),DAY(OneWeekMtgRatesDataTable756[[#This Row],[asofdate]]))</f>
        <v>40074</v>
      </c>
      <c r="E1721" s="48" t="s">
        <v>11</v>
      </c>
      <c r="F1721" s="55">
        <v>0.24625</v>
      </c>
    </row>
    <row r="1722" spans="2:6">
      <c r="B1722" s="48" t="s">
        <v>20</v>
      </c>
      <c r="C1722" s="48" t="s">
        <v>116</v>
      </c>
      <c r="D1722" s="48">
        <f>DATE(YEAR(OneWeekMtgRatesDataTable756[[#This Row],[asofdate]]),MONTH(OneWeekMtgRatesDataTable756[[#This Row],[asofdate]]),DAY(OneWeekMtgRatesDataTable756[[#This Row],[asofdate]]))</f>
        <v>40073</v>
      </c>
      <c r="E1722" s="48" t="s">
        <v>11</v>
      </c>
      <c r="F1722" s="55">
        <v>0.24625</v>
      </c>
    </row>
    <row r="1723" spans="2:6">
      <c r="B1723" s="48" t="s">
        <v>20</v>
      </c>
      <c r="C1723" s="48" t="s">
        <v>115</v>
      </c>
      <c r="D1723" s="48">
        <f>DATE(YEAR(OneWeekMtgRatesDataTable756[[#This Row],[asofdate]]),MONTH(OneWeekMtgRatesDataTable756[[#This Row],[asofdate]]),DAY(OneWeekMtgRatesDataTable756[[#This Row],[asofdate]]))</f>
        <v>40072</v>
      </c>
      <c r="E1723" s="48" t="s">
        <v>11</v>
      </c>
      <c r="F1723" s="55">
        <v>0.24374999999999999</v>
      </c>
    </row>
    <row r="1724" spans="2:6">
      <c r="B1724" s="48" t="s">
        <v>20</v>
      </c>
      <c r="C1724" s="48" t="s">
        <v>114</v>
      </c>
      <c r="D1724" s="48">
        <f>DATE(YEAR(OneWeekMtgRatesDataTable756[[#This Row],[asofdate]]),MONTH(OneWeekMtgRatesDataTable756[[#This Row],[asofdate]]),DAY(OneWeekMtgRatesDataTable756[[#This Row],[asofdate]]))</f>
        <v>40071</v>
      </c>
      <c r="E1724" s="48" t="s">
        <v>11</v>
      </c>
      <c r="F1724" s="55">
        <v>0.24249999999999999</v>
      </c>
    </row>
    <row r="1725" spans="2:6">
      <c r="B1725" s="48" t="s">
        <v>20</v>
      </c>
      <c r="C1725" s="48" t="s">
        <v>113</v>
      </c>
      <c r="D1725" s="48">
        <f>DATE(YEAR(OneWeekMtgRatesDataTable756[[#This Row],[asofdate]]),MONTH(OneWeekMtgRatesDataTable756[[#This Row],[asofdate]]),DAY(OneWeekMtgRatesDataTable756[[#This Row],[asofdate]]))</f>
        <v>40070</v>
      </c>
      <c r="E1725" s="48" t="s">
        <v>11</v>
      </c>
      <c r="F1725" s="55">
        <v>0.24124999999999999</v>
      </c>
    </row>
    <row r="1726" spans="2:6">
      <c r="B1726" s="48" t="s">
        <v>20</v>
      </c>
      <c r="C1726" s="48" t="s">
        <v>112</v>
      </c>
      <c r="D1726" s="48">
        <f>DATE(YEAR(OneWeekMtgRatesDataTable756[[#This Row],[asofdate]]),MONTH(OneWeekMtgRatesDataTable756[[#This Row],[asofdate]]),DAY(OneWeekMtgRatesDataTable756[[#This Row],[asofdate]]))</f>
        <v>40067</v>
      </c>
      <c r="E1726" s="48" t="s">
        <v>11</v>
      </c>
      <c r="F1726" s="55">
        <v>0.24338000000000001</v>
      </c>
    </row>
    <row r="1727" spans="2:6">
      <c r="B1727" s="48" t="s">
        <v>20</v>
      </c>
      <c r="C1727" s="48" t="s">
        <v>111</v>
      </c>
      <c r="D1727" s="48">
        <f>DATE(YEAR(OneWeekMtgRatesDataTable756[[#This Row],[asofdate]]),MONTH(OneWeekMtgRatesDataTable756[[#This Row],[asofdate]]),DAY(OneWeekMtgRatesDataTable756[[#This Row],[asofdate]]))</f>
        <v>40066</v>
      </c>
      <c r="E1727" s="48" t="s">
        <v>11</v>
      </c>
      <c r="F1727" s="55">
        <v>0.24374999999999999</v>
      </c>
    </row>
    <row r="1728" spans="2:6">
      <c r="B1728" s="48" t="s">
        <v>20</v>
      </c>
      <c r="C1728" s="48" t="s">
        <v>110</v>
      </c>
      <c r="D1728" s="48">
        <f>DATE(YEAR(OneWeekMtgRatesDataTable756[[#This Row],[asofdate]]),MONTH(OneWeekMtgRatesDataTable756[[#This Row],[asofdate]]),DAY(OneWeekMtgRatesDataTable756[[#This Row],[asofdate]]))</f>
        <v>40065</v>
      </c>
      <c r="E1728" s="48" t="s">
        <v>11</v>
      </c>
      <c r="F1728" s="55">
        <v>0.24587999999999999</v>
      </c>
    </row>
    <row r="1729" spans="2:6">
      <c r="B1729" s="48" t="s">
        <v>20</v>
      </c>
      <c r="C1729" s="48" t="s">
        <v>109</v>
      </c>
      <c r="D1729" s="48">
        <f>DATE(YEAR(OneWeekMtgRatesDataTable756[[#This Row],[asofdate]]),MONTH(OneWeekMtgRatesDataTable756[[#This Row],[asofdate]]),DAY(OneWeekMtgRatesDataTable756[[#This Row],[asofdate]]))</f>
        <v>40064</v>
      </c>
      <c r="E1729" s="48" t="s">
        <v>11</v>
      </c>
      <c r="F1729" s="55">
        <v>0.24937999999999999</v>
      </c>
    </row>
    <row r="1730" spans="2:6">
      <c r="B1730" s="48" t="s">
        <v>20</v>
      </c>
      <c r="C1730" s="48" t="s">
        <v>108</v>
      </c>
      <c r="D1730" s="48">
        <f>DATE(YEAR(OneWeekMtgRatesDataTable756[[#This Row],[asofdate]]),MONTH(OneWeekMtgRatesDataTable756[[#This Row],[asofdate]]),DAY(OneWeekMtgRatesDataTable756[[#This Row],[asofdate]]))</f>
        <v>40060</v>
      </c>
      <c r="E1730" s="48" t="s">
        <v>11</v>
      </c>
      <c r="F1730" s="55">
        <v>0.25374999999999998</v>
      </c>
    </row>
    <row r="1731" spans="2:6">
      <c r="B1731" s="48" t="s">
        <v>20</v>
      </c>
      <c r="C1731" s="48" t="s">
        <v>107</v>
      </c>
      <c r="D1731" s="48">
        <f>DATE(YEAR(OneWeekMtgRatesDataTable756[[#This Row],[asofdate]]),MONTH(OneWeekMtgRatesDataTable756[[#This Row],[asofdate]]),DAY(OneWeekMtgRatesDataTable756[[#This Row],[asofdate]]))</f>
        <v>40059</v>
      </c>
      <c r="E1731" s="48" t="s">
        <v>11</v>
      </c>
      <c r="F1731" s="55">
        <v>0.25313000000000002</v>
      </c>
    </row>
    <row r="1732" spans="2:6">
      <c r="B1732" s="48" t="s">
        <v>20</v>
      </c>
      <c r="C1732" s="48" t="s">
        <v>106</v>
      </c>
      <c r="D1732" s="48">
        <f>DATE(YEAR(OneWeekMtgRatesDataTable756[[#This Row],[asofdate]]),MONTH(OneWeekMtgRatesDataTable756[[#This Row],[asofdate]]),DAY(OneWeekMtgRatesDataTable756[[#This Row],[asofdate]]))</f>
        <v>40058</v>
      </c>
      <c r="E1732" s="48" t="s">
        <v>11</v>
      </c>
      <c r="F1732" s="55">
        <v>0.25438</v>
      </c>
    </row>
    <row r="1733" spans="2:6">
      <c r="B1733" s="48" t="s">
        <v>20</v>
      </c>
      <c r="C1733" s="48" t="s">
        <v>105</v>
      </c>
      <c r="D1733" s="48">
        <f>DATE(YEAR(OneWeekMtgRatesDataTable756[[#This Row],[asofdate]]),MONTH(OneWeekMtgRatesDataTable756[[#This Row],[asofdate]]),DAY(OneWeekMtgRatesDataTable756[[#This Row],[asofdate]]))</f>
        <v>40057</v>
      </c>
      <c r="E1733" s="48" t="s">
        <v>11</v>
      </c>
      <c r="F1733" s="55">
        <v>0.25624999999999998</v>
      </c>
    </row>
    <row r="1734" spans="2:6">
      <c r="B1734" s="48" t="s">
        <v>20</v>
      </c>
      <c r="C1734" s="48" t="s">
        <v>104</v>
      </c>
      <c r="D1734" s="48">
        <f>DATE(YEAR(OneWeekMtgRatesDataTable756[[#This Row],[asofdate]]),MONTH(OneWeekMtgRatesDataTable756[[#This Row],[asofdate]]),DAY(OneWeekMtgRatesDataTable756[[#This Row],[asofdate]]))</f>
        <v>40056</v>
      </c>
      <c r="E1734" s="48" t="s">
        <v>11</v>
      </c>
      <c r="F1734" s="55">
        <v>0.25874999999999998</v>
      </c>
    </row>
    <row r="1735" spans="2:6">
      <c r="B1735" s="48" t="s">
        <v>20</v>
      </c>
      <c r="C1735" s="48" t="s">
        <v>103</v>
      </c>
      <c r="D1735" s="48">
        <f>DATE(YEAR(OneWeekMtgRatesDataTable756[[#This Row],[asofdate]]),MONTH(OneWeekMtgRatesDataTable756[[#This Row],[asofdate]]),DAY(OneWeekMtgRatesDataTable756[[#This Row],[asofdate]]))</f>
        <v>40053</v>
      </c>
      <c r="E1735" s="48" t="s">
        <v>11</v>
      </c>
      <c r="F1735" s="55">
        <v>0.25874999999999998</v>
      </c>
    </row>
    <row r="1736" spans="2:6">
      <c r="B1736" s="48" t="s">
        <v>20</v>
      </c>
      <c r="C1736" s="48" t="s">
        <v>102</v>
      </c>
      <c r="D1736" s="48">
        <f>DATE(YEAR(OneWeekMtgRatesDataTable756[[#This Row],[asofdate]]),MONTH(OneWeekMtgRatesDataTable756[[#This Row],[asofdate]]),DAY(OneWeekMtgRatesDataTable756[[#This Row],[asofdate]]))</f>
        <v>40052</v>
      </c>
      <c r="E1736" s="48" t="s">
        <v>11</v>
      </c>
      <c r="F1736" s="55">
        <v>0.26124999999999998</v>
      </c>
    </row>
    <row r="1737" spans="2:6">
      <c r="B1737" s="48" t="s">
        <v>20</v>
      </c>
      <c r="C1737" s="48" t="s">
        <v>101</v>
      </c>
      <c r="D1737" s="48">
        <f>DATE(YEAR(OneWeekMtgRatesDataTable756[[#This Row],[asofdate]]),MONTH(OneWeekMtgRatesDataTable756[[#This Row],[asofdate]]),DAY(OneWeekMtgRatesDataTable756[[#This Row],[asofdate]]))</f>
        <v>40051</v>
      </c>
      <c r="E1737" s="48" t="s">
        <v>11</v>
      </c>
      <c r="F1737" s="55">
        <v>0.26062999999999997</v>
      </c>
    </row>
    <row r="1738" spans="2:6">
      <c r="B1738" s="48" t="s">
        <v>20</v>
      </c>
      <c r="C1738" s="48" t="s">
        <v>100</v>
      </c>
      <c r="D1738" s="48">
        <f>DATE(YEAR(OneWeekMtgRatesDataTable756[[#This Row],[asofdate]]),MONTH(OneWeekMtgRatesDataTable756[[#This Row],[asofdate]]),DAY(OneWeekMtgRatesDataTable756[[#This Row],[asofdate]]))</f>
        <v>40050</v>
      </c>
      <c r="E1738" s="48" t="s">
        <v>11</v>
      </c>
      <c r="F1738" s="55">
        <v>0.26280999999999999</v>
      </c>
    </row>
    <row r="1739" spans="2:6">
      <c r="B1739" s="48" t="s">
        <v>20</v>
      </c>
      <c r="C1739" s="48" t="s">
        <v>99</v>
      </c>
      <c r="D1739" s="48">
        <f>DATE(YEAR(OneWeekMtgRatesDataTable756[[#This Row],[asofdate]]),MONTH(OneWeekMtgRatesDataTable756[[#This Row],[asofdate]]),DAY(OneWeekMtgRatesDataTable756[[#This Row],[asofdate]]))</f>
        <v>40049</v>
      </c>
      <c r="E1739" s="48" t="s">
        <v>11</v>
      </c>
      <c r="F1739" s="55">
        <v>0.26438</v>
      </c>
    </row>
    <row r="1740" spans="2:6">
      <c r="B1740" s="48" t="s">
        <v>20</v>
      </c>
      <c r="C1740" s="48" t="s">
        <v>98</v>
      </c>
      <c r="D1740" s="48">
        <f>DATE(YEAR(OneWeekMtgRatesDataTable756[[#This Row],[asofdate]]),MONTH(OneWeekMtgRatesDataTable756[[#This Row],[asofdate]]),DAY(OneWeekMtgRatesDataTable756[[#This Row],[asofdate]]))</f>
        <v>40046</v>
      </c>
      <c r="E1740" s="48" t="s">
        <v>11</v>
      </c>
      <c r="F1740" s="55">
        <v>0.26562999999999998</v>
      </c>
    </row>
    <row r="1741" spans="2:6">
      <c r="B1741" s="48" t="s">
        <v>20</v>
      </c>
      <c r="C1741" s="48" t="s">
        <v>97</v>
      </c>
      <c r="D1741" s="48">
        <f>DATE(YEAR(OneWeekMtgRatesDataTable756[[#This Row],[asofdate]]),MONTH(OneWeekMtgRatesDataTable756[[#This Row],[asofdate]]),DAY(OneWeekMtgRatesDataTable756[[#This Row],[asofdate]]))</f>
        <v>40045</v>
      </c>
      <c r="E1741" s="48" t="s">
        <v>11</v>
      </c>
      <c r="F1741" s="55">
        <v>0.26750000000000002</v>
      </c>
    </row>
    <row r="1742" spans="2:6">
      <c r="B1742" s="48" t="s">
        <v>20</v>
      </c>
      <c r="C1742" s="48" t="s">
        <v>96</v>
      </c>
      <c r="D1742" s="48">
        <f>DATE(YEAR(OneWeekMtgRatesDataTable756[[#This Row],[asofdate]]),MONTH(OneWeekMtgRatesDataTable756[[#This Row],[asofdate]]),DAY(OneWeekMtgRatesDataTable756[[#This Row],[asofdate]]))</f>
        <v>40044</v>
      </c>
      <c r="E1742" s="48" t="s">
        <v>11</v>
      </c>
      <c r="F1742" s="55">
        <v>0.26874999999999999</v>
      </c>
    </row>
    <row r="1743" spans="2:6">
      <c r="B1743" s="48" t="s">
        <v>20</v>
      </c>
      <c r="C1743" s="48" t="s">
        <v>95</v>
      </c>
      <c r="D1743" s="48">
        <f>DATE(YEAR(OneWeekMtgRatesDataTable756[[#This Row],[asofdate]]),MONTH(OneWeekMtgRatesDataTable756[[#This Row],[asofdate]]),DAY(OneWeekMtgRatesDataTable756[[#This Row],[asofdate]]))</f>
        <v>40043</v>
      </c>
      <c r="E1743" s="48" t="s">
        <v>11</v>
      </c>
      <c r="F1743" s="55">
        <v>0.27250000000000002</v>
      </c>
    </row>
    <row r="1744" spans="2:6">
      <c r="B1744" s="48" t="s">
        <v>20</v>
      </c>
      <c r="C1744" s="48" t="s">
        <v>94</v>
      </c>
      <c r="D1744" s="48">
        <f>DATE(YEAR(OneWeekMtgRatesDataTable756[[#This Row],[asofdate]]),MONTH(OneWeekMtgRatesDataTable756[[#This Row],[asofdate]]),DAY(OneWeekMtgRatesDataTable756[[#This Row],[asofdate]]))</f>
        <v>40042</v>
      </c>
      <c r="E1744" s="48" t="s">
        <v>11</v>
      </c>
      <c r="F1744" s="55">
        <v>0.27875</v>
      </c>
    </row>
    <row r="1745" spans="2:6">
      <c r="B1745" s="48" t="s">
        <v>20</v>
      </c>
      <c r="C1745" s="48" t="s">
        <v>93</v>
      </c>
      <c r="D1745" s="48">
        <f>DATE(YEAR(OneWeekMtgRatesDataTable756[[#This Row],[asofdate]]),MONTH(OneWeekMtgRatesDataTable756[[#This Row],[asofdate]]),DAY(OneWeekMtgRatesDataTable756[[#This Row],[asofdate]]))</f>
        <v>40039</v>
      </c>
      <c r="E1745" s="48" t="s">
        <v>11</v>
      </c>
      <c r="F1745" s="55">
        <v>0.27250000000000002</v>
      </c>
    </row>
    <row r="1746" spans="2:6">
      <c r="B1746" s="48" t="s">
        <v>20</v>
      </c>
      <c r="C1746" s="48" t="s">
        <v>92</v>
      </c>
      <c r="D1746" s="48">
        <f>DATE(YEAR(OneWeekMtgRatesDataTable756[[#This Row],[asofdate]]),MONTH(OneWeekMtgRatesDataTable756[[#This Row],[asofdate]]),DAY(OneWeekMtgRatesDataTable756[[#This Row],[asofdate]]))</f>
        <v>40038</v>
      </c>
      <c r="E1746" s="48" t="s">
        <v>11</v>
      </c>
      <c r="F1746" s="55">
        <v>0.27281</v>
      </c>
    </row>
    <row r="1747" spans="2:6">
      <c r="B1747" s="48" t="s">
        <v>20</v>
      </c>
      <c r="C1747" s="48" t="s">
        <v>91</v>
      </c>
      <c r="D1747" s="48">
        <f>DATE(YEAR(OneWeekMtgRatesDataTable756[[#This Row],[asofdate]]),MONTH(OneWeekMtgRatesDataTable756[[#This Row],[asofdate]]),DAY(OneWeekMtgRatesDataTable756[[#This Row],[asofdate]]))</f>
        <v>40037</v>
      </c>
      <c r="E1747" s="48" t="s">
        <v>11</v>
      </c>
      <c r="F1747" s="55">
        <v>0.27406000000000003</v>
      </c>
    </row>
    <row r="1748" spans="2:6">
      <c r="B1748" s="48" t="s">
        <v>20</v>
      </c>
      <c r="C1748" s="48" t="s">
        <v>90</v>
      </c>
      <c r="D1748" s="48">
        <f>DATE(YEAR(OneWeekMtgRatesDataTable756[[#This Row],[asofdate]]),MONTH(OneWeekMtgRatesDataTable756[[#This Row],[asofdate]]),DAY(OneWeekMtgRatesDataTable756[[#This Row],[asofdate]]))</f>
        <v>40036</v>
      </c>
      <c r="E1748" s="48" t="s">
        <v>11</v>
      </c>
      <c r="F1748" s="55">
        <v>0.27450000000000002</v>
      </c>
    </row>
    <row r="1749" spans="2:6">
      <c r="B1749" s="48" t="s">
        <v>20</v>
      </c>
      <c r="C1749" s="48" t="s">
        <v>89</v>
      </c>
      <c r="D1749" s="48">
        <f>DATE(YEAR(OneWeekMtgRatesDataTable756[[#This Row],[asofdate]]),MONTH(OneWeekMtgRatesDataTable756[[#This Row],[asofdate]]),DAY(OneWeekMtgRatesDataTable756[[#This Row],[asofdate]]))</f>
        <v>40035</v>
      </c>
      <c r="E1749" s="48" t="s">
        <v>11</v>
      </c>
      <c r="F1749" s="55">
        <v>0.27500000000000002</v>
      </c>
    </row>
    <row r="1750" spans="2:6">
      <c r="B1750" s="48" t="s">
        <v>20</v>
      </c>
      <c r="C1750" s="48" t="s">
        <v>88</v>
      </c>
      <c r="D1750" s="48">
        <f>DATE(YEAR(OneWeekMtgRatesDataTable756[[#This Row],[asofdate]]),MONTH(OneWeekMtgRatesDataTable756[[#This Row],[asofdate]]),DAY(OneWeekMtgRatesDataTable756[[#This Row],[asofdate]]))</f>
        <v>40032</v>
      </c>
      <c r="E1750" s="48" t="s">
        <v>11</v>
      </c>
      <c r="F1750" s="55">
        <v>0.27562999999999999</v>
      </c>
    </row>
    <row r="1751" spans="2:6">
      <c r="B1751" s="48" t="s">
        <v>20</v>
      </c>
      <c r="C1751" s="48" t="s">
        <v>87</v>
      </c>
      <c r="D1751" s="48">
        <f>DATE(YEAR(OneWeekMtgRatesDataTable756[[#This Row],[asofdate]]),MONTH(OneWeekMtgRatesDataTable756[[#This Row],[asofdate]]),DAY(OneWeekMtgRatesDataTable756[[#This Row],[asofdate]]))</f>
        <v>40031</v>
      </c>
      <c r="E1751" s="48" t="s">
        <v>11</v>
      </c>
      <c r="F1751" s="55">
        <v>0.27562999999999999</v>
      </c>
    </row>
    <row r="1752" spans="2:6">
      <c r="B1752" s="48" t="s">
        <v>20</v>
      </c>
      <c r="C1752" s="48" t="s">
        <v>86</v>
      </c>
      <c r="D1752" s="48">
        <f>DATE(YEAR(OneWeekMtgRatesDataTable756[[#This Row],[asofdate]]),MONTH(OneWeekMtgRatesDataTable756[[#This Row],[asofdate]]),DAY(OneWeekMtgRatesDataTable756[[#This Row],[asofdate]]))</f>
        <v>40030</v>
      </c>
      <c r="E1752" s="48" t="s">
        <v>11</v>
      </c>
      <c r="F1752" s="55">
        <v>0.27562999999999999</v>
      </c>
    </row>
    <row r="1753" spans="2:6">
      <c r="B1753" s="48" t="s">
        <v>20</v>
      </c>
      <c r="C1753" s="48" t="s">
        <v>85</v>
      </c>
      <c r="D1753" s="48">
        <f>DATE(YEAR(OneWeekMtgRatesDataTable756[[#This Row],[asofdate]]),MONTH(OneWeekMtgRatesDataTable756[[#This Row],[asofdate]]),DAY(OneWeekMtgRatesDataTable756[[#This Row],[asofdate]]))</f>
        <v>40029</v>
      </c>
      <c r="E1753" s="48" t="s">
        <v>11</v>
      </c>
      <c r="F1753" s="55">
        <v>0.27562999999999999</v>
      </c>
    </row>
    <row r="1754" spans="2:6">
      <c r="B1754" s="70" t="s">
        <v>20</v>
      </c>
      <c r="C1754" s="70" t="s">
        <v>84</v>
      </c>
      <c r="D1754" s="70">
        <f>DATE(YEAR(OneWeekMtgRatesDataTable756[[#This Row],[asofdate]]),MONTH(OneWeekMtgRatesDataTable756[[#This Row],[asofdate]]),DAY(OneWeekMtgRatesDataTable756[[#This Row],[asofdate]]))</f>
        <v>40028</v>
      </c>
      <c r="E1754" s="70" t="s">
        <v>11</v>
      </c>
      <c r="F1754" s="72">
        <v>0.27562999999999999</v>
      </c>
    </row>
    <row r="1755" spans="2:6">
      <c r="B1755" s="70" t="s">
        <v>20</v>
      </c>
      <c r="C1755" s="70" t="s">
        <v>83</v>
      </c>
      <c r="D1755" s="70">
        <f>DATE(YEAR(OneWeekMtgRatesDataTable756[[#This Row],[asofdate]]),MONTH(OneWeekMtgRatesDataTable756[[#This Row],[asofdate]]),DAY(OneWeekMtgRatesDataTable756[[#This Row],[asofdate]]))</f>
        <v>40025</v>
      </c>
      <c r="E1755" s="70" t="s">
        <v>11</v>
      </c>
      <c r="F1755" s="72">
        <v>0.27938000000000002</v>
      </c>
    </row>
    <row r="1756" spans="2:6">
      <c r="B1756" s="70" t="s">
        <v>20</v>
      </c>
      <c r="C1756" s="70" t="s">
        <v>82</v>
      </c>
      <c r="D1756" s="70">
        <f>DATE(YEAR(OneWeekMtgRatesDataTable756[[#This Row],[asofdate]]),MONTH(OneWeekMtgRatesDataTable756[[#This Row],[asofdate]]),DAY(OneWeekMtgRatesDataTable756[[#This Row],[asofdate]]))</f>
        <v>40024</v>
      </c>
      <c r="E1756" s="70" t="s">
        <v>11</v>
      </c>
      <c r="F1756" s="72">
        <v>0.28062999999999999</v>
      </c>
    </row>
    <row r="1757" spans="2:6">
      <c r="B1757" s="70" t="s">
        <v>20</v>
      </c>
      <c r="C1757" s="70" t="s">
        <v>81</v>
      </c>
      <c r="D1757" s="70">
        <f>DATE(YEAR(OneWeekMtgRatesDataTable756[[#This Row],[asofdate]]),MONTH(OneWeekMtgRatesDataTable756[[#This Row],[asofdate]]),DAY(OneWeekMtgRatesDataTable756[[#This Row],[asofdate]]))</f>
        <v>40023</v>
      </c>
      <c r="E1757" s="70" t="s">
        <v>11</v>
      </c>
      <c r="F1757" s="72">
        <v>0.28499999999999998</v>
      </c>
    </row>
    <row r="1758" spans="2:6">
      <c r="B1758" s="70" t="s">
        <v>20</v>
      </c>
      <c r="C1758" s="70" t="s">
        <v>80</v>
      </c>
      <c r="D1758" s="70">
        <f>DATE(YEAR(OneWeekMtgRatesDataTable756[[#This Row],[asofdate]]),MONTH(OneWeekMtgRatesDataTable756[[#This Row],[asofdate]]),DAY(OneWeekMtgRatesDataTable756[[#This Row],[asofdate]]))</f>
        <v>40022</v>
      </c>
      <c r="E1758" s="70" t="s">
        <v>11</v>
      </c>
      <c r="F1758" s="72">
        <v>0.28499999999999998</v>
      </c>
    </row>
    <row r="1759" spans="2:6">
      <c r="B1759" s="70" t="s">
        <v>20</v>
      </c>
      <c r="C1759" s="70" t="s">
        <v>79</v>
      </c>
      <c r="D1759" s="70">
        <f>DATE(YEAR(OneWeekMtgRatesDataTable756[[#This Row],[asofdate]]),MONTH(OneWeekMtgRatesDataTable756[[#This Row],[asofdate]]),DAY(OneWeekMtgRatesDataTable756[[#This Row],[asofdate]]))</f>
        <v>40021</v>
      </c>
      <c r="E1759" s="70" t="s">
        <v>11</v>
      </c>
      <c r="F1759" s="72">
        <v>0.28749999999999998</v>
      </c>
    </row>
    <row r="1760" spans="2:6">
      <c r="B1760" s="70" t="s">
        <v>20</v>
      </c>
      <c r="C1760" s="70" t="s">
        <v>78</v>
      </c>
      <c r="D1760" s="70">
        <f>DATE(YEAR(OneWeekMtgRatesDataTable756[[#This Row],[asofdate]]),MONTH(OneWeekMtgRatesDataTable756[[#This Row],[asofdate]]),DAY(OneWeekMtgRatesDataTable756[[#This Row],[asofdate]]))</f>
        <v>40018</v>
      </c>
      <c r="E1760" s="70" t="s">
        <v>11</v>
      </c>
      <c r="F1760" s="72">
        <v>0.28499999999999998</v>
      </c>
    </row>
    <row r="1761" spans="2:6">
      <c r="B1761" s="70" t="s">
        <v>20</v>
      </c>
      <c r="C1761" s="70" t="s">
        <v>77</v>
      </c>
      <c r="D1761" s="70">
        <f>DATE(YEAR(OneWeekMtgRatesDataTable756[[#This Row],[asofdate]]),MONTH(OneWeekMtgRatesDataTable756[[#This Row],[asofdate]]),DAY(OneWeekMtgRatesDataTable756[[#This Row],[asofdate]]))</f>
        <v>40017</v>
      </c>
      <c r="E1761" s="70" t="s">
        <v>11</v>
      </c>
      <c r="F1761" s="72">
        <v>0.28499999999999998</v>
      </c>
    </row>
    <row r="1762" spans="2:6">
      <c r="B1762" s="70" t="s">
        <v>20</v>
      </c>
      <c r="C1762" s="70" t="s">
        <v>76</v>
      </c>
      <c r="D1762" s="70">
        <f>DATE(YEAR(OneWeekMtgRatesDataTable756[[#This Row],[asofdate]]),MONTH(OneWeekMtgRatesDataTable756[[#This Row],[asofdate]]),DAY(OneWeekMtgRatesDataTable756[[#This Row],[asofdate]]))</f>
        <v>40016</v>
      </c>
      <c r="E1762" s="70" t="s">
        <v>11</v>
      </c>
      <c r="F1762" s="72">
        <v>0.28499999999999998</v>
      </c>
    </row>
    <row r="1763" spans="2:6">
      <c r="B1763" s="70" t="s">
        <v>20</v>
      </c>
      <c r="C1763" s="70" t="s">
        <v>75</v>
      </c>
      <c r="D1763" s="70">
        <f>DATE(YEAR(OneWeekMtgRatesDataTable756[[#This Row],[asofdate]]),MONTH(OneWeekMtgRatesDataTable756[[#This Row],[asofdate]]),DAY(OneWeekMtgRatesDataTable756[[#This Row],[asofdate]]))</f>
        <v>40015</v>
      </c>
      <c r="E1763" s="70" t="s">
        <v>11</v>
      </c>
      <c r="F1763" s="72">
        <v>0.28499999999999998</v>
      </c>
    </row>
    <row r="1764" spans="2:6">
      <c r="B1764" s="70" t="s">
        <v>20</v>
      </c>
      <c r="C1764" s="70" t="s">
        <v>74</v>
      </c>
      <c r="D1764" s="70">
        <f>DATE(YEAR(OneWeekMtgRatesDataTable756[[#This Row],[asofdate]]),MONTH(OneWeekMtgRatesDataTable756[[#This Row],[asofdate]]),DAY(OneWeekMtgRatesDataTable756[[#This Row],[asofdate]]))</f>
        <v>40014</v>
      </c>
      <c r="E1764" s="70" t="s">
        <v>11</v>
      </c>
      <c r="F1764" s="72">
        <v>0.28625</v>
      </c>
    </row>
    <row r="1765" spans="2:6">
      <c r="B1765" s="70" t="s">
        <v>20</v>
      </c>
      <c r="C1765" s="70" t="s">
        <v>73</v>
      </c>
      <c r="D1765" s="70">
        <f>DATE(YEAR(OneWeekMtgRatesDataTable756[[#This Row],[asofdate]]),MONTH(OneWeekMtgRatesDataTable756[[#This Row],[asofdate]]),DAY(OneWeekMtgRatesDataTable756[[#This Row],[asofdate]]))</f>
        <v>40011</v>
      </c>
      <c r="E1765" s="70" t="s">
        <v>11</v>
      </c>
      <c r="F1765" s="72">
        <v>0.28625</v>
      </c>
    </row>
    <row r="1766" spans="2:6">
      <c r="B1766" s="70" t="s">
        <v>20</v>
      </c>
      <c r="C1766" s="70" t="s">
        <v>72</v>
      </c>
      <c r="D1766" s="70">
        <f>DATE(YEAR(OneWeekMtgRatesDataTable756[[#This Row],[asofdate]]),MONTH(OneWeekMtgRatesDataTable756[[#This Row],[asofdate]]),DAY(OneWeekMtgRatesDataTable756[[#This Row],[asofdate]]))</f>
        <v>40010</v>
      </c>
      <c r="E1766" s="70" t="s">
        <v>11</v>
      </c>
      <c r="F1766" s="72">
        <v>0.28875000000000001</v>
      </c>
    </row>
    <row r="1767" spans="2:6">
      <c r="B1767" s="70" t="s">
        <v>20</v>
      </c>
      <c r="C1767" s="70" t="s">
        <v>71</v>
      </c>
      <c r="D1767" s="70">
        <f>DATE(YEAR(OneWeekMtgRatesDataTable756[[#This Row],[asofdate]]),MONTH(OneWeekMtgRatesDataTable756[[#This Row],[asofdate]]),DAY(OneWeekMtgRatesDataTable756[[#This Row],[asofdate]]))</f>
        <v>40009</v>
      </c>
      <c r="E1767" s="70" t="s">
        <v>11</v>
      </c>
      <c r="F1767" s="72">
        <v>0.28749999999999998</v>
      </c>
    </row>
    <row r="1768" spans="2:6">
      <c r="B1768" s="70" t="s">
        <v>20</v>
      </c>
      <c r="C1768" s="70" t="s">
        <v>70</v>
      </c>
      <c r="D1768" s="70">
        <f>DATE(YEAR(OneWeekMtgRatesDataTable756[[#This Row],[asofdate]]),MONTH(OneWeekMtgRatesDataTable756[[#This Row],[asofdate]]),DAY(OneWeekMtgRatesDataTable756[[#This Row],[asofdate]]))</f>
        <v>40008</v>
      </c>
      <c r="E1768" s="70" t="s">
        <v>11</v>
      </c>
      <c r="F1768" s="72">
        <v>0.28749999999999998</v>
      </c>
    </row>
    <row r="1769" spans="2:6">
      <c r="B1769" s="70" t="s">
        <v>20</v>
      </c>
      <c r="C1769" s="70" t="s">
        <v>69</v>
      </c>
      <c r="D1769" s="70">
        <f>DATE(YEAR(OneWeekMtgRatesDataTable756[[#This Row],[asofdate]]),MONTH(OneWeekMtgRatesDataTable756[[#This Row],[asofdate]]),DAY(OneWeekMtgRatesDataTable756[[#This Row],[asofdate]]))</f>
        <v>40007</v>
      </c>
      <c r="E1769" s="70" t="s">
        <v>11</v>
      </c>
      <c r="F1769" s="72">
        <v>0.28813</v>
      </c>
    </row>
    <row r="1770" spans="2:6">
      <c r="B1770" s="70" t="s">
        <v>20</v>
      </c>
      <c r="C1770" s="70" t="s">
        <v>68</v>
      </c>
      <c r="D1770" s="70">
        <f>DATE(YEAR(OneWeekMtgRatesDataTable756[[#This Row],[asofdate]]),MONTH(OneWeekMtgRatesDataTable756[[#This Row],[asofdate]]),DAY(OneWeekMtgRatesDataTable756[[#This Row],[asofdate]]))</f>
        <v>40004</v>
      </c>
      <c r="E1770" s="70" t="s">
        <v>11</v>
      </c>
      <c r="F1770" s="72">
        <v>0.29249999999999998</v>
      </c>
    </row>
    <row r="1771" spans="2:6">
      <c r="B1771" s="70" t="s">
        <v>20</v>
      </c>
      <c r="C1771" s="70" t="s">
        <v>67</v>
      </c>
      <c r="D1771" s="70">
        <f>DATE(YEAR(OneWeekMtgRatesDataTable756[[#This Row],[asofdate]]),MONTH(OneWeekMtgRatesDataTable756[[#This Row],[asofdate]]),DAY(OneWeekMtgRatesDataTable756[[#This Row],[asofdate]]))</f>
        <v>40003</v>
      </c>
      <c r="E1771" s="70" t="s">
        <v>11</v>
      </c>
      <c r="F1771" s="72">
        <v>0.29625000000000001</v>
      </c>
    </row>
    <row r="1772" spans="2:6">
      <c r="B1772" s="70" t="s">
        <v>20</v>
      </c>
      <c r="C1772" s="70" t="s">
        <v>66</v>
      </c>
      <c r="D1772" s="70">
        <f>DATE(YEAR(OneWeekMtgRatesDataTable756[[#This Row],[asofdate]]),MONTH(OneWeekMtgRatesDataTable756[[#This Row],[asofdate]]),DAY(OneWeekMtgRatesDataTable756[[#This Row],[asofdate]]))</f>
        <v>40002</v>
      </c>
      <c r="E1772" s="70" t="s">
        <v>11</v>
      </c>
      <c r="F1772" s="72">
        <v>0.3</v>
      </c>
    </row>
    <row r="1773" spans="2:6">
      <c r="B1773" s="91" t="s">
        <v>20</v>
      </c>
      <c r="C1773" s="91" t="s">
        <v>65</v>
      </c>
      <c r="D1773" s="91">
        <f>DATE(YEAR(OneWeekMtgRatesDataTable756[[#This Row],[asofdate]]),MONTH(OneWeekMtgRatesDataTable756[[#This Row],[asofdate]]),DAY(OneWeekMtgRatesDataTable756[[#This Row],[asofdate]]))</f>
        <v>40001</v>
      </c>
      <c r="E1773" s="91" t="s">
        <v>11</v>
      </c>
      <c r="F1773" s="93">
        <v>0.30187999999999998</v>
      </c>
    </row>
    <row r="1774" spans="2:6">
      <c r="B1774" s="91" t="s">
        <v>20</v>
      </c>
      <c r="C1774" s="91" t="s">
        <v>64</v>
      </c>
      <c r="D1774" s="91">
        <f>DATE(YEAR(OneWeekMtgRatesDataTable756[[#This Row],[asofdate]]),MONTH(OneWeekMtgRatesDataTable756[[#This Row],[asofdate]]),DAY(OneWeekMtgRatesDataTable756[[#This Row],[asofdate]]))</f>
        <v>40000</v>
      </c>
      <c r="E1774" s="91" t="s">
        <v>11</v>
      </c>
      <c r="F1774" s="93">
        <v>0.30187999999999998</v>
      </c>
    </row>
    <row r="1775" spans="2:6">
      <c r="B1775" s="91" t="s">
        <v>20</v>
      </c>
      <c r="C1775" s="91" t="s">
        <v>63</v>
      </c>
      <c r="D1775" s="91">
        <f>DATE(YEAR(OneWeekMtgRatesDataTable756[[#This Row],[asofdate]]),MONTH(OneWeekMtgRatesDataTable756[[#This Row],[asofdate]]),DAY(OneWeekMtgRatesDataTable756[[#This Row],[asofdate]]))</f>
        <v>39996</v>
      </c>
      <c r="E1775" s="91" t="s">
        <v>11</v>
      </c>
      <c r="F1775" s="93">
        <v>0.30437999999999998</v>
      </c>
    </row>
    <row r="1776" spans="2:6">
      <c r="B1776" s="91" t="s">
        <v>20</v>
      </c>
      <c r="C1776" s="91" t="s">
        <v>62</v>
      </c>
      <c r="D1776" s="91">
        <f>DATE(YEAR(OneWeekMtgRatesDataTable756[[#This Row],[asofdate]]),MONTH(OneWeekMtgRatesDataTable756[[#This Row],[asofdate]]),DAY(OneWeekMtgRatesDataTable756[[#This Row],[asofdate]]))</f>
        <v>39995</v>
      </c>
      <c r="E1776" s="91" t="s">
        <v>11</v>
      </c>
      <c r="F1776" s="93">
        <v>0.30625000000000002</v>
      </c>
    </row>
    <row r="1777" spans="2:6">
      <c r="B1777" s="91" t="s">
        <v>20</v>
      </c>
      <c r="C1777" s="91" t="s">
        <v>61</v>
      </c>
      <c r="D1777" s="91">
        <f>DATE(YEAR(OneWeekMtgRatesDataTable756[[#This Row],[asofdate]]),MONTH(OneWeekMtgRatesDataTable756[[#This Row],[asofdate]]),DAY(OneWeekMtgRatesDataTable756[[#This Row],[asofdate]]))</f>
        <v>39994</v>
      </c>
      <c r="E1777" s="91" t="s">
        <v>11</v>
      </c>
      <c r="F1777" s="93">
        <v>0.30875000000000002</v>
      </c>
    </row>
    <row r="1778" spans="2:6">
      <c r="B1778" s="91" t="s">
        <v>20</v>
      </c>
      <c r="C1778" s="91" t="s">
        <v>60</v>
      </c>
      <c r="D1778" s="91">
        <f>DATE(YEAR(OneWeekMtgRatesDataTable756[[#This Row],[asofdate]]),MONTH(OneWeekMtgRatesDataTable756[[#This Row],[asofdate]]),DAY(OneWeekMtgRatesDataTable756[[#This Row],[asofdate]]))</f>
        <v>39993</v>
      </c>
      <c r="E1778" s="91" t="s">
        <v>11</v>
      </c>
      <c r="F1778" s="93">
        <v>0.30875000000000002</v>
      </c>
    </row>
    <row r="1779" spans="2:6">
      <c r="B1779" s="91" t="s">
        <v>20</v>
      </c>
      <c r="C1779" s="91" t="s">
        <v>59</v>
      </c>
      <c r="D1779" s="91">
        <f>DATE(YEAR(OneWeekMtgRatesDataTable756[[#This Row],[asofdate]]),MONTH(OneWeekMtgRatesDataTable756[[#This Row],[asofdate]]),DAY(OneWeekMtgRatesDataTable756[[#This Row],[asofdate]]))</f>
        <v>39990</v>
      </c>
      <c r="E1779" s="91" t="s">
        <v>11</v>
      </c>
      <c r="F1779" s="93">
        <v>0.31</v>
      </c>
    </row>
    <row r="1780" spans="2:6">
      <c r="B1780" s="91" t="s">
        <v>20</v>
      </c>
      <c r="C1780" s="91" t="s">
        <v>58</v>
      </c>
      <c r="D1780" s="91">
        <f>DATE(YEAR(OneWeekMtgRatesDataTable756[[#This Row],[asofdate]]),MONTH(OneWeekMtgRatesDataTable756[[#This Row],[asofdate]]),DAY(OneWeekMtgRatesDataTable756[[#This Row],[asofdate]]))</f>
        <v>39989</v>
      </c>
      <c r="E1780" s="91" t="s">
        <v>11</v>
      </c>
      <c r="F1780" s="93">
        <v>0.3075</v>
      </c>
    </row>
    <row r="1781" spans="2:6">
      <c r="B1781" s="91" t="s">
        <v>20</v>
      </c>
      <c r="C1781" s="91" t="s">
        <v>57</v>
      </c>
      <c r="D1781" s="91">
        <f>DATE(YEAR(OneWeekMtgRatesDataTable756[[#This Row],[asofdate]]),MONTH(OneWeekMtgRatesDataTable756[[#This Row],[asofdate]]),DAY(OneWeekMtgRatesDataTable756[[#This Row],[asofdate]]))</f>
        <v>39988</v>
      </c>
      <c r="E1781" s="91" t="s">
        <v>11</v>
      </c>
      <c r="F1781" s="93">
        <v>0.31125000000000003</v>
      </c>
    </row>
    <row r="1782" spans="2:6">
      <c r="B1782" s="91" t="s">
        <v>20</v>
      </c>
      <c r="C1782" s="91" t="s">
        <v>56</v>
      </c>
      <c r="D1782" s="91">
        <f>DATE(YEAR(OneWeekMtgRatesDataTable756[[#This Row],[asofdate]]),MONTH(OneWeekMtgRatesDataTable756[[#This Row],[asofdate]]),DAY(OneWeekMtgRatesDataTable756[[#This Row],[asofdate]]))</f>
        <v>39987</v>
      </c>
      <c r="E1782" s="91" t="s">
        <v>11</v>
      </c>
      <c r="F1782" s="93">
        <v>0.31374999999999997</v>
      </c>
    </row>
    <row r="1783" spans="2:6">
      <c r="B1783" s="91" t="s">
        <v>20</v>
      </c>
      <c r="C1783" s="91" t="s">
        <v>55</v>
      </c>
      <c r="D1783" s="91">
        <f>DATE(YEAR(OneWeekMtgRatesDataTable756[[#This Row],[asofdate]]),MONTH(OneWeekMtgRatesDataTable756[[#This Row],[asofdate]]),DAY(OneWeekMtgRatesDataTable756[[#This Row],[asofdate]]))</f>
        <v>39986</v>
      </c>
      <c r="E1783" s="91" t="s">
        <v>11</v>
      </c>
      <c r="F1783" s="93">
        <v>0.315</v>
      </c>
    </row>
    <row r="1784" spans="2:6">
      <c r="B1784" s="91" t="s">
        <v>20</v>
      </c>
      <c r="C1784" s="91" t="s">
        <v>54</v>
      </c>
      <c r="D1784" s="91">
        <f>DATE(YEAR(OneWeekMtgRatesDataTable756[[#This Row],[asofdate]]),MONTH(OneWeekMtgRatesDataTable756[[#This Row],[asofdate]]),DAY(OneWeekMtgRatesDataTable756[[#This Row],[asofdate]]))</f>
        <v>39983</v>
      </c>
      <c r="E1784" s="91" t="s">
        <v>11</v>
      </c>
      <c r="F1784" s="93">
        <v>0.31688</v>
      </c>
    </row>
    <row r="1785" spans="2:6">
      <c r="B1785" s="91" t="s">
        <v>20</v>
      </c>
      <c r="C1785" s="91" t="s">
        <v>53</v>
      </c>
      <c r="D1785" s="91">
        <f>DATE(YEAR(OneWeekMtgRatesDataTable756[[#This Row],[asofdate]]),MONTH(OneWeekMtgRatesDataTable756[[#This Row],[asofdate]]),DAY(OneWeekMtgRatesDataTable756[[#This Row],[asofdate]]))</f>
        <v>39982</v>
      </c>
      <c r="E1785" s="91" t="s">
        <v>11</v>
      </c>
      <c r="F1785" s="93">
        <v>0.315</v>
      </c>
    </row>
    <row r="1786" spans="2:6">
      <c r="B1786" s="91" t="s">
        <v>20</v>
      </c>
      <c r="C1786" s="91" t="s">
        <v>52</v>
      </c>
      <c r="D1786" s="91">
        <f>DATE(YEAR(OneWeekMtgRatesDataTable756[[#This Row],[asofdate]]),MONTH(OneWeekMtgRatesDataTable756[[#This Row],[asofdate]]),DAY(OneWeekMtgRatesDataTable756[[#This Row],[asofdate]]))</f>
        <v>39981</v>
      </c>
      <c r="E1786" s="91" t="s">
        <v>11</v>
      </c>
      <c r="F1786" s="93">
        <v>0.31313000000000002</v>
      </c>
    </row>
    <row r="1787" spans="2:6">
      <c r="B1787" s="91" t="s">
        <v>20</v>
      </c>
      <c r="C1787" s="91" t="s">
        <v>51</v>
      </c>
      <c r="D1787" s="91">
        <f>DATE(YEAR(OneWeekMtgRatesDataTable756[[#This Row],[asofdate]]),MONTH(OneWeekMtgRatesDataTable756[[#This Row],[asofdate]]),DAY(OneWeekMtgRatesDataTable756[[#This Row],[asofdate]]))</f>
        <v>39980</v>
      </c>
      <c r="E1787" s="91" t="s">
        <v>11</v>
      </c>
      <c r="F1787" s="93">
        <v>0.31813000000000002</v>
      </c>
    </row>
    <row r="1788" spans="2:6">
      <c r="B1788" s="91" t="s">
        <v>20</v>
      </c>
      <c r="C1788" s="91" t="s">
        <v>50</v>
      </c>
      <c r="D1788" s="91">
        <f>DATE(YEAR(OneWeekMtgRatesDataTable756[[#This Row],[asofdate]]),MONTH(OneWeekMtgRatesDataTable756[[#This Row],[asofdate]]),DAY(OneWeekMtgRatesDataTable756[[#This Row],[asofdate]]))</f>
        <v>39979</v>
      </c>
      <c r="E1788" s="91" t="s">
        <v>11</v>
      </c>
      <c r="F1788" s="93">
        <v>0.31874999999999998</v>
      </c>
    </row>
    <row r="1789" spans="2:6">
      <c r="B1789" s="91" t="s">
        <v>20</v>
      </c>
      <c r="C1789" s="91" t="s">
        <v>49</v>
      </c>
      <c r="D1789" s="91">
        <f>DATE(YEAR(OneWeekMtgRatesDataTable756[[#This Row],[asofdate]]),MONTH(OneWeekMtgRatesDataTable756[[#This Row],[asofdate]]),DAY(OneWeekMtgRatesDataTable756[[#This Row],[asofdate]]))</f>
        <v>39976</v>
      </c>
      <c r="E1789" s="91" t="s">
        <v>11</v>
      </c>
      <c r="F1789" s="93">
        <v>0.31813000000000002</v>
      </c>
    </row>
    <row r="1790" spans="2:6">
      <c r="B1790" s="91" t="s">
        <v>20</v>
      </c>
      <c r="C1790" s="91" t="s">
        <v>48</v>
      </c>
      <c r="D1790" s="91">
        <f>DATE(YEAR(OneWeekMtgRatesDataTable756[[#This Row],[asofdate]]),MONTH(OneWeekMtgRatesDataTable756[[#This Row],[asofdate]]),DAY(OneWeekMtgRatesDataTable756[[#This Row],[asofdate]]))</f>
        <v>39975</v>
      </c>
      <c r="E1790" s="91" t="s">
        <v>11</v>
      </c>
      <c r="F1790" s="93">
        <v>0.31938</v>
      </c>
    </row>
    <row r="1791" spans="2:6">
      <c r="B1791" s="91" t="s">
        <v>20</v>
      </c>
      <c r="C1791" s="91" t="s">
        <v>47</v>
      </c>
      <c r="D1791" s="91">
        <f>DATE(YEAR(OneWeekMtgRatesDataTable756[[#This Row],[asofdate]]),MONTH(OneWeekMtgRatesDataTable756[[#This Row],[asofdate]]),DAY(OneWeekMtgRatesDataTable756[[#This Row],[asofdate]]))</f>
        <v>39974</v>
      </c>
      <c r="E1791" s="91" t="s">
        <v>11</v>
      </c>
      <c r="F1791" s="93">
        <v>0.32063000000000003</v>
      </c>
    </row>
    <row r="1792" spans="2:6">
      <c r="B1792" s="91" t="s">
        <v>20</v>
      </c>
      <c r="C1792" s="91" t="s">
        <v>46</v>
      </c>
      <c r="D1792" s="91">
        <f>DATE(YEAR(OneWeekMtgRatesDataTable756[[#This Row],[asofdate]]),MONTH(OneWeekMtgRatesDataTable756[[#This Row],[asofdate]]),DAY(OneWeekMtgRatesDataTable756[[#This Row],[asofdate]]))</f>
        <v>39973</v>
      </c>
      <c r="E1792" s="91" t="s">
        <v>11</v>
      </c>
      <c r="F1792" s="93">
        <v>0.32124999999999998</v>
      </c>
    </row>
    <row r="1793" spans="2:6">
      <c r="B1793" s="48" t="s">
        <v>20</v>
      </c>
      <c r="C1793" s="48" t="s">
        <v>45</v>
      </c>
      <c r="D1793" s="48">
        <f>DATE(YEAR(OneWeekMtgRatesDataTable756[[#This Row],[asofdate]]),MONTH(OneWeekMtgRatesDataTable756[[#This Row],[asofdate]]),DAY(OneWeekMtgRatesDataTable756[[#This Row],[asofdate]]))</f>
        <v>39972</v>
      </c>
      <c r="E1793" s="48" t="s">
        <v>11</v>
      </c>
      <c r="F1793" s="55">
        <v>0.32312999999999997</v>
      </c>
    </row>
    <row r="1794" spans="2:6">
      <c r="B1794" s="48" t="s">
        <v>20</v>
      </c>
      <c r="C1794" s="48" t="s">
        <v>44</v>
      </c>
      <c r="D1794" s="48">
        <f>DATE(YEAR(OneWeekMtgRatesDataTable756[[#This Row],[asofdate]]),MONTH(OneWeekMtgRatesDataTable756[[#This Row],[asofdate]]),DAY(OneWeekMtgRatesDataTable756[[#This Row],[asofdate]]))</f>
        <v>39969</v>
      </c>
      <c r="E1794" s="48" t="s">
        <v>11</v>
      </c>
      <c r="F1794" s="55">
        <v>0.32063000000000003</v>
      </c>
    </row>
    <row r="1795" spans="2:6">
      <c r="B1795" s="48" t="s">
        <v>20</v>
      </c>
      <c r="C1795" s="48" t="s">
        <v>43</v>
      </c>
      <c r="D1795" s="48">
        <f>DATE(YEAR(OneWeekMtgRatesDataTable756[[#This Row],[asofdate]]),MONTH(OneWeekMtgRatesDataTable756[[#This Row],[asofdate]]),DAY(OneWeekMtgRatesDataTable756[[#This Row],[asofdate]]))</f>
        <v>39968</v>
      </c>
      <c r="E1795" s="48" t="s">
        <v>11</v>
      </c>
      <c r="F1795" s="55">
        <v>0.3175</v>
      </c>
    </row>
    <row r="1796" spans="2:6">
      <c r="B1796" s="48" t="s">
        <v>20</v>
      </c>
      <c r="C1796" s="48" t="s">
        <v>42</v>
      </c>
      <c r="D1796" s="48">
        <f>DATE(YEAR(OneWeekMtgRatesDataTable756[[#This Row],[asofdate]]),MONTH(OneWeekMtgRatesDataTable756[[#This Row],[asofdate]]),DAY(OneWeekMtgRatesDataTable756[[#This Row],[asofdate]]))</f>
        <v>39967</v>
      </c>
      <c r="E1796" s="48" t="s">
        <v>11</v>
      </c>
      <c r="F1796" s="55">
        <v>0.31874999999999998</v>
      </c>
    </row>
    <row r="1797" spans="2:6">
      <c r="B1797" s="48" t="s">
        <v>20</v>
      </c>
      <c r="C1797" s="48" t="s">
        <v>41</v>
      </c>
      <c r="D1797" s="48">
        <f>DATE(YEAR(OneWeekMtgRatesDataTable756[[#This Row],[asofdate]]),MONTH(OneWeekMtgRatesDataTable756[[#This Row],[asofdate]]),DAY(OneWeekMtgRatesDataTable756[[#This Row],[asofdate]]))</f>
        <v>39966</v>
      </c>
      <c r="E1797" s="48" t="s">
        <v>11</v>
      </c>
      <c r="F1797" s="55">
        <v>0.32</v>
      </c>
    </row>
    <row r="1798" spans="2:6">
      <c r="B1798" s="48" t="s">
        <v>20</v>
      </c>
      <c r="C1798" s="48" t="s">
        <v>40</v>
      </c>
      <c r="D1798" s="48">
        <f>DATE(YEAR(OneWeekMtgRatesDataTable756[[#This Row],[asofdate]]),MONTH(OneWeekMtgRatesDataTable756[[#This Row],[asofdate]]),DAY(OneWeekMtgRatesDataTable756[[#This Row],[asofdate]]))</f>
        <v>39965</v>
      </c>
      <c r="E1798" s="48" t="s">
        <v>11</v>
      </c>
      <c r="F1798" s="55">
        <v>0.32</v>
      </c>
    </row>
    <row r="1799" spans="2:6">
      <c r="B1799" s="48" t="s">
        <v>20</v>
      </c>
      <c r="C1799" s="48" t="s">
        <v>39</v>
      </c>
      <c r="D1799" s="48">
        <f>DATE(YEAR(OneWeekMtgRatesDataTable756[[#This Row],[asofdate]]),MONTH(OneWeekMtgRatesDataTable756[[#This Row],[asofdate]]),DAY(OneWeekMtgRatesDataTable756[[#This Row],[asofdate]]))</f>
        <v>39962</v>
      </c>
      <c r="E1799" s="48" t="s">
        <v>11</v>
      </c>
      <c r="F1799" s="55">
        <v>0.31624999999999998</v>
      </c>
    </row>
    <row r="1800" spans="2:6">
      <c r="B1800" s="48" t="s">
        <v>20</v>
      </c>
      <c r="C1800" s="48" t="s">
        <v>38</v>
      </c>
      <c r="D1800" s="48">
        <f>DATE(YEAR(OneWeekMtgRatesDataTable756[[#This Row],[asofdate]]),MONTH(OneWeekMtgRatesDataTable756[[#This Row],[asofdate]]),DAY(OneWeekMtgRatesDataTable756[[#This Row],[asofdate]]))</f>
        <v>39961</v>
      </c>
      <c r="E1800" s="48" t="s">
        <v>11</v>
      </c>
      <c r="F1800" s="55">
        <v>0.32</v>
      </c>
    </row>
    <row r="1801" spans="2:6">
      <c r="B1801" s="48" t="s">
        <v>20</v>
      </c>
      <c r="C1801" s="48" t="s">
        <v>37</v>
      </c>
      <c r="D1801" s="48">
        <f>DATE(YEAR(OneWeekMtgRatesDataTable756[[#This Row],[asofdate]]),MONTH(OneWeekMtgRatesDataTable756[[#This Row],[asofdate]]),DAY(OneWeekMtgRatesDataTable756[[#This Row],[asofdate]]))</f>
        <v>39960</v>
      </c>
      <c r="E1801" s="48" t="s">
        <v>11</v>
      </c>
      <c r="F1801" s="55">
        <v>0.31874999999999998</v>
      </c>
    </row>
    <row r="1802" spans="2:6">
      <c r="B1802" s="48" t="s">
        <v>20</v>
      </c>
      <c r="C1802" s="48" t="s">
        <v>36</v>
      </c>
      <c r="D1802" s="48">
        <f>DATE(YEAR(OneWeekMtgRatesDataTable756[[#This Row],[asofdate]]),MONTH(OneWeekMtgRatesDataTable756[[#This Row],[asofdate]]),DAY(OneWeekMtgRatesDataTable756[[#This Row],[asofdate]]))</f>
        <v>39959</v>
      </c>
      <c r="E1802" s="48" t="s">
        <v>11</v>
      </c>
      <c r="F1802" s="55">
        <v>0.31624999999999998</v>
      </c>
    </row>
    <row r="1803" spans="2:6">
      <c r="B1803" s="48" t="s">
        <v>20</v>
      </c>
      <c r="C1803" s="48" t="s">
        <v>35</v>
      </c>
      <c r="D1803" s="48">
        <f>DATE(YEAR(OneWeekMtgRatesDataTable756[[#This Row],[asofdate]]),MONTH(OneWeekMtgRatesDataTable756[[#This Row],[asofdate]]),DAY(OneWeekMtgRatesDataTable756[[#This Row],[asofdate]]))</f>
        <v>39955</v>
      </c>
      <c r="E1803" s="48" t="s">
        <v>11</v>
      </c>
      <c r="F1803" s="55">
        <v>0.31313000000000002</v>
      </c>
    </row>
    <row r="1804" spans="2:6">
      <c r="B1804" s="48" t="s">
        <v>20</v>
      </c>
      <c r="C1804" s="48" t="s">
        <v>34</v>
      </c>
      <c r="D1804" s="48">
        <f>DATE(YEAR(OneWeekMtgRatesDataTable756[[#This Row],[asofdate]]),MONTH(OneWeekMtgRatesDataTable756[[#This Row],[asofdate]]),DAY(OneWeekMtgRatesDataTable756[[#This Row],[asofdate]]))</f>
        <v>39954</v>
      </c>
      <c r="E1804" s="48" t="s">
        <v>11</v>
      </c>
      <c r="F1804" s="55">
        <v>0.30875000000000002</v>
      </c>
    </row>
    <row r="1805" spans="2:6">
      <c r="B1805" s="48" t="s">
        <v>20</v>
      </c>
      <c r="C1805" s="48" t="s">
        <v>33</v>
      </c>
      <c r="D1805" s="48">
        <f>DATE(YEAR(OneWeekMtgRatesDataTable756[[#This Row],[asofdate]]),MONTH(OneWeekMtgRatesDataTable756[[#This Row],[asofdate]]),DAY(OneWeekMtgRatesDataTable756[[#This Row],[asofdate]]))</f>
        <v>39953</v>
      </c>
      <c r="E1805" s="48" t="s">
        <v>11</v>
      </c>
      <c r="F1805" s="55">
        <v>0.30813000000000001</v>
      </c>
    </row>
    <row r="1806" spans="2:6">
      <c r="B1806" s="48" t="s">
        <v>20</v>
      </c>
      <c r="C1806" s="48" t="s">
        <v>32</v>
      </c>
      <c r="D1806" s="48">
        <f>DATE(YEAR(OneWeekMtgRatesDataTable756[[#This Row],[asofdate]]),MONTH(OneWeekMtgRatesDataTable756[[#This Row],[asofdate]]),DAY(OneWeekMtgRatesDataTable756[[#This Row],[asofdate]]))</f>
        <v>39952</v>
      </c>
      <c r="E1806" s="48" t="s">
        <v>11</v>
      </c>
      <c r="F1806" s="55">
        <v>0.30937999999999999</v>
      </c>
    </row>
    <row r="1807" spans="2:6">
      <c r="B1807" s="48" t="s">
        <v>20</v>
      </c>
      <c r="C1807" s="48" t="s">
        <v>31</v>
      </c>
      <c r="D1807" s="48">
        <f>DATE(YEAR(OneWeekMtgRatesDataTable756[[#This Row],[asofdate]]),MONTH(OneWeekMtgRatesDataTable756[[#This Row],[asofdate]]),DAY(OneWeekMtgRatesDataTable756[[#This Row],[asofdate]]))</f>
        <v>39951</v>
      </c>
      <c r="E1807" s="48" t="s">
        <v>11</v>
      </c>
      <c r="F1807" s="55">
        <v>0.31624999999999998</v>
      </c>
    </row>
    <row r="1808" spans="2:6">
      <c r="B1808" s="48" t="s">
        <v>20</v>
      </c>
      <c r="C1808" s="48" t="s">
        <v>30</v>
      </c>
      <c r="D1808" s="48">
        <f>DATE(YEAR(OneWeekMtgRatesDataTable756[[#This Row],[asofdate]]),MONTH(OneWeekMtgRatesDataTable756[[#This Row],[asofdate]]),DAY(OneWeekMtgRatesDataTable756[[#This Row],[asofdate]]))</f>
        <v>39948</v>
      </c>
      <c r="E1808" s="48" t="s">
        <v>11</v>
      </c>
      <c r="F1808" s="55">
        <v>0.32812999999999998</v>
      </c>
    </row>
    <row r="1809" spans="2:6">
      <c r="B1809" s="48" t="s">
        <v>20</v>
      </c>
      <c r="C1809" s="48" t="s">
        <v>29</v>
      </c>
      <c r="D1809" s="48">
        <f>DATE(YEAR(OneWeekMtgRatesDataTable756[[#This Row],[asofdate]]),MONTH(OneWeekMtgRatesDataTable756[[#This Row],[asofdate]]),DAY(OneWeekMtgRatesDataTable756[[#This Row],[asofdate]]))</f>
        <v>39947</v>
      </c>
      <c r="E1809" s="48" t="s">
        <v>11</v>
      </c>
      <c r="F1809" s="55">
        <v>0.33500000000000002</v>
      </c>
    </row>
    <row r="1810" spans="2:6">
      <c r="B1810" s="48" t="s">
        <v>20</v>
      </c>
      <c r="C1810" s="48" t="s">
        <v>28</v>
      </c>
      <c r="D1810" s="48">
        <f>DATE(YEAR(OneWeekMtgRatesDataTable756[[#This Row],[asofdate]]),MONTH(OneWeekMtgRatesDataTable756[[#This Row],[asofdate]]),DAY(OneWeekMtgRatesDataTable756[[#This Row],[asofdate]]))</f>
        <v>39946</v>
      </c>
      <c r="E1810" s="48" t="s">
        <v>11</v>
      </c>
      <c r="F1810" s="55">
        <v>0.34438000000000002</v>
      </c>
    </row>
    <row r="1811" spans="2:6">
      <c r="B1811" s="48" t="s">
        <v>20</v>
      </c>
      <c r="C1811" s="48" t="s">
        <v>27</v>
      </c>
      <c r="D1811" s="48">
        <f>DATE(YEAR(OneWeekMtgRatesDataTable756[[#This Row],[asofdate]]),MONTH(OneWeekMtgRatesDataTable756[[#This Row],[asofdate]]),DAY(OneWeekMtgRatesDataTable756[[#This Row],[asofdate]]))</f>
        <v>39945</v>
      </c>
      <c r="E1811" s="48" t="s">
        <v>11</v>
      </c>
      <c r="F1811" s="55">
        <v>0.34875</v>
      </c>
    </row>
    <row r="1812" spans="2:6">
      <c r="B1812" s="48" t="s">
        <v>20</v>
      </c>
      <c r="C1812" s="48" t="s">
        <v>26</v>
      </c>
      <c r="D1812" s="48">
        <f>DATE(YEAR(OneWeekMtgRatesDataTable756[[#This Row],[asofdate]]),MONTH(OneWeekMtgRatesDataTable756[[#This Row],[asofdate]]),DAY(OneWeekMtgRatesDataTable756[[#This Row],[asofdate]]))</f>
        <v>39944</v>
      </c>
      <c r="E1812" s="48" t="s">
        <v>11</v>
      </c>
      <c r="F1812" s="55">
        <v>0.35375000000000001</v>
      </c>
    </row>
    <row r="1813" spans="2:6">
      <c r="B1813" s="48" t="s">
        <v>20</v>
      </c>
      <c r="C1813" s="48" t="s">
        <v>25</v>
      </c>
      <c r="D1813" s="48">
        <f>DATE(YEAR(OneWeekMtgRatesDataTable756[[#This Row],[asofdate]]),MONTH(OneWeekMtgRatesDataTable756[[#This Row],[asofdate]]),DAY(OneWeekMtgRatesDataTable756[[#This Row],[asofdate]]))</f>
        <v>39941</v>
      </c>
      <c r="E1813" s="48" t="s">
        <v>11</v>
      </c>
      <c r="F1813" s="55">
        <v>0.36749999999999999</v>
      </c>
    </row>
    <row r="1814" spans="2:6">
      <c r="B1814" s="48" t="s">
        <v>20</v>
      </c>
      <c r="C1814" s="48" t="s">
        <v>24</v>
      </c>
      <c r="D1814" s="48">
        <f>DATE(YEAR(OneWeekMtgRatesDataTable756[[#This Row],[asofdate]]),MONTH(OneWeekMtgRatesDataTable756[[#This Row],[asofdate]]),DAY(OneWeekMtgRatesDataTable756[[#This Row],[asofdate]]))</f>
        <v>39940</v>
      </c>
      <c r="E1814" s="48" t="s">
        <v>11</v>
      </c>
      <c r="F1814" s="55">
        <v>0.38188</v>
      </c>
    </row>
    <row r="1815" spans="2:6">
      <c r="B1815" s="48" t="s">
        <v>20</v>
      </c>
      <c r="C1815" s="48" t="s">
        <v>1649</v>
      </c>
      <c r="D1815" s="48">
        <f>DATE(YEAR(OneWeekMtgRatesDataTable756[[#This Row],[asofdate]]),MONTH(OneWeekMtgRatesDataTable756[[#This Row],[asofdate]]),DAY(OneWeekMtgRatesDataTable756[[#This Row],[asofdate]]))</f>
        <v>39939</v>
      </c>
      <c r="E1815" s="48" t="s">
        <v>11</v>
      </c>
      <c r="F1815" s="55">
        <v>0.39500000000000002</v>
      </c>
    </row>
    <row r="1816" spans="2:6">
      <c r="B1816" s="48" t="s">
        <v>20</v>
      </c>
      <c r="C1816" s="48" t="s">
        <v>1650</v>
      </c>
      <c r="D1816" s="48">
        <f>DATE(YEAR(OneWeekMtgRatesDataTable756[[#This Row],[asofdate]]),MONTH(OneWeekMtgRatesDataTable756[[#This Row],[asofdate]]),DAY(OneWeekMtgRatesDataTable756[[#This Row],[asofdate]]))</f>
        <v>39938</v>
      </c>
      <c r="E1816" s="48" t="s">
        <v>11</v>
      </c>
      <c r="F1816" s="55">
        <v>0.40125</v>
      </c>
    </row>
    <row r="1817" spans="2:6">
      <c r="B1817" s="48" t="s">
        <v>20</v>
      </c>
      <c r="C1817" s="48" t="s">
        <v>1651</v>
      </c>
      <c r="D1817" s="48">
        <f>DATE(YEAR(OneWeekMtgRatesDataTable756[[#This Row],[asofdate]]),MONTH(OneWeekMtgRatesDataTable756[[#This Row],[asofdate]]),DAY(OneWeekMtgRatesDataTable756[[#This Row],[asofdate]]))</f>
        <v>39937</v>
      </c>
      <c r="E1817" s="48" t="s">
        <v>11</v>
      </c>
      <c r="F1817" s="55">
        <v>0.41438000000000003</v>
      </c>
    </row>
    <row r="1818" spans="2:6">
      <c r="B1818" s="48" t="s">
        <v>20</v>
      </c>
      <c r="C1818" s="48" t="s">
        <v>1652</v>
      </c>
      <c r="D1818" s="48">
        <f>DATE(YEAR(OneWeekMtgRatesDataTable756[[#This Row],[asofdate]]),MONTH(OneWeekMtgRatesDataTable756[[#This Row],[asofdate]]),DAY(OneWeekMtgRatesDataTable756[[#This Row],[asofdate]]))</f>
        <v>39934</v>
      </c>
      <c r="E1818" s="48" t="s">
        <v>11</v>
      </c>
      <c r="F1818" s="55">
        <v>0.41438000000000003</v>
      </c>
    </row>
    <row r="1819" spans="2:6">
      <c r="B1819" s="48" t="s">
        <v>20</v>
      </c>
      <c r="C1819" s="48" t="s">
        <v>1653</v>
      </c>
      <c r="D1819" s="48">
        <f>DATE(YEAR(OneWeekMtgRatesDataTable756[[#This Row],[asofdate]]),MONTH(OneWeekMtgRatesDataTable756[[#This Row],[asofdate]]),DAY(OneWeekMtgRatesDataTable756[[#This Row],[asofdate]]))</f>
        <v>39933</v>
      </c>
      <c r="E1819" s="48" t="s">
        <v>11</v>
      </c>
      <c r="F1819" s="55">
        <v>0.41125</v>
      </c>
    </row>
    <row r="1820" spans="2:6">
      <c r="B1820" s="48" t="s">
        <v>20</v>
      </c>
      <c r="C1820" s="48" t="s">
        <v>1654</v>
      </c>
      <c r="D1820" s="48">
        <f>DATE(YEAR(OneWeekMtgRatesDataTable756[[#This Row],[asofdate]]),MONTH(OneWeekMtgRatesDataTable756[[#This Row],[asofdate]]),DAY(OneWeekMtgRatesDataTable756[[#This Row],[asofdate]]))</f>
        <v>39932</v>
      </c>
      <c r="E1820" s="48" t="s">
        <v>11</v>
      </c>
      <c r="F1820" s="55">
        <v>0.41813</v>
      </c>
    </row>
    <row r="1821" spans="2:6">
      <c r="B1821" s="48" t="s">
        <v>20</v>
      </c>
      <c r="C1821" s="48" t="s">
        <v>1655</v>
      </c>
      <c r="D1821" s="48">
        <f>DATE(YEAR(OneWeekMtgRatesDataTable756[[#This Row],[asofdate]]),MONTH(OneWeekMtgRatesDataTable756[[#This Row],[asofdate]]),DAY(OneWeekMtgRatesDataTable756[[#This Row],[asofdate]]))</f>
        <v>39931</v>
      </c>
      <c r="E1821" s="48" t="s">
        <v>11</v>
      </c>
      <c r="F1821" s="55">
        <v>0.42749999999999999</v>
      </c>
    </row>
    <row r="1822" spans="2:6">
      <c r="B1822" s="48" t="s">
        <v>20</v>
      </c>
      <c r="C1822" s="48" t="s">
        <v>1656</v>
      </c>
      <c r="D1822" s="48">
        <f>DATE(YEAR(OneWeekMtgRatesDataTable756[[#This Row],[asofdate]]),MONTH(OneWeekMtgRatesDataTable756[[#This Row],[asofdate]]),DAY(OneWeekMtgRatesDataTable756[[#This Row],[asofdate]]))</f>
        <v>39930</v>
      </c>
      <c r="E1822" s="48" t="s">
        <v>11</v>
      </c>
      <c r="F1822" s="55">
        <v>0.4325</v>
      </c>
    </row>
    <row r="1823" spans="2:6">
      <c r="B1823" s="48" t="s">
        <v>20</v>
      </c>
      <c r="C1823" s="48" t="s">
        <v>1657</v>
      </c>
      <c r="D1823" s="48">
        <f>DATE(YEAR(OneWeekMtgRatesDataTable756[[#This Row],[asofdate]]),MONTH(OneWeekMtgRatesDataTable756[[#This Row],[asofdate]]),DAY(OneWeekMtgRatesDataTable756[[#This Row],[asofdate]]))</f>
        <v>39927</v>
      </c>
      <c r="E1823" s="48" t="s">
        <v>11</v>
      </c>
      <c r="F1823" s="55">
        <v>0.435</v>
      </c>
    </row>
    <row r="1824" spans="2:6">
      <c r="B1824" s="48" t="s">
        <v>20</v>
      </c>
      <c r="C1824" s="48" t="s">
        <v>1658</v>
      </c>
      <c r="D1824" s="48">
        <f>DATE(YEAR(OneWeekMtgRatesDataTable756[[#This Row],[asofdate]]),MONTH(OneWeekMtgRatesDataTable756[[#This Row],[asofdate]]),DAY(OneWeekMtgRatesDataTable756[[#This Row],[asofdate]]))</f>
        <v>39926</v>
      </c>
      <c r="E1824" s="48" t="s">
        <v>11</v>
      </c>
      <c r="F1824" s="55">
        <v>0.4375</v>
      </c>
    </row>
    <row r="1825" spans="2:6">
      <c r="B1825" s="48" t="s">
        <v>20</v>
      </c>
      <c r="C1825" s="48" t="s">
        <v>1659</v>
      </c>
      <c r="D1825" s="48">
        <f>DATE(YEAR(OneWeekMtgRatesDataTable756[[#This Row],[asofdate]]),MONTH(OneWeekMtgRatesDataTable756[[#This Row],[asofdate]]),DAY(OneWeekMtgRatesDataTable756[[#This Row],[asofdate]]))</f>
        <v>39925</v>
      </c>
      <c r="E1825" s="48" t="s">
        <v>11</v>
      </c>
      <c r="F1825" s="55">
        <v>0.44</v>
      </c>
    </row>
    <row r="1826" spans="2:6">
      <c r="B1826" s="48" t="s">
        <v>20</v>
      </c>
      <c r="C1826" s="48" t="s">
        <v>1660</v>
      </c>
      <c r="D1826" s="48">
        <f>DATE(YEAR(OneWeekMtgRatesDataTable756[[#This Row],[asofdate]]),MONTH(OneWeekMtgRatesDataTable756[[#This Row],[asofdate]]),DAY(OneWeekMtgRatesDataTable756[[#This Row],[asofdate]]))</f>
        <v>39924</v>
      </c>
      <c r="E1826" s="48" t="s">
        <v>11</v>
      </c>
      <c r="F1826" s="55">
        <v>0.44124999999999998</v>
      </c>
    </row>
    <row r="1827" spans="2:6">
      <c r="B1827" s="48" t="s">
        <v>20</v>
      </c>
      <c r="C1827" s="48" t="s">
        <v>1661</v>
      </c>
      <c r="D1827" s="48">
        <f>DATE(YEAR(OneWeekMtgRatesDataTable756[[#This Row],[asofdate]]),MONTH(OneWeekMtgRatesDataTable756[[#This Row],[asofdate]]),DAY(OneWeekMtgRatesDataTable756[[#This Row],[asofdate]]))</f>
        <v>39923</v>
      </c>
      <c r="E1827" s="48" t="s">
        <v>11</v>
      </c>
      <c r="F1827" s="55">
        <v>0.4425</v>
      </c>
    </row>
    <row r="1828" spans="2:6">
      <c r="B1828" s="48" t="s">
        <v>20</v>
      </c>
      <c r="C1828" s="48" t="s">
        <v>1662</v>
      </c>
      <c r="D1828" s="48">
        <f>DATE(YEAR(OneWeekMtgRatesDataTable756[[#This Row],[asofdate]]),MONTH(OneWeekMtgRatesDataTable756[[#This Row],[asofdate]]),DAY(OneWeekMtgRatesDataTable756[[#This Row],[asofdate]]))</f>
        <v>39920</v>
      </c>
      <c r="E1828" s="48" t="s">
        <v>11</v>
      </c>
      <c r="F1828" s="55">
        <v>0.44750000000000001</v>
      </c>
    </row>
    <row r="1829" spans="2:6">
      <c r="B1829" s="48" t="s">
        <v>20</v>
      </c>
      <c r="C1829" s="48" t="s">
        <v>1663</v>
      </c>
      <c r="D1829" s="48">
        <f>DATE(YEAR(OneWeekMtgRatesDataTable756[[#This Row],[asofdate]]),MONTH(OneWeekMtgRatesDataTable756[[#This Row],[asofdate]]),DAY(OneWeekMtgRatesDataTable756[[#This Row],[asofdate]]))</f>
        <v>39919</v>
      </c>
      <c r="E1829" s="48" t="s">
        <v>11</v>
      </c>
      <c r="F1829" s="55">
        <v>0.44688</v>
      </c>
    </row>
    <row r="1830" spans="2:6">
      <c r="B1830" s="48" t="s">
        <v>20</v>
      </c>
      <c r="C1830" s="48" t="s">
        <v>1664</v>
      </c>
      <c r="D1830" s="48">
        <f>DATE(YEAR(OneWeekMtgRatesDataTable756[[#This Row],[asofdate]]),MONTH(OneWeekMtgRatesDataTable756[[#This Row],[asofdate]]),DAY(OneWeekMtgRatesDataTable756[[#This Row],[asofdate]]))</f>
        <v>39918</v>
      </c>
      <c r="E1830" s="48" t="s">
        <v>11</v>
      </c>
      <c r="F1830" s="55">
        <v>0.44812999999999997</v>
      </c>
    </row>
    <row r="1831" spans="2:6">
      <c r="B1831" s="48" t="s">
        <v>20</v>
      </c>
      <c r="C1831" s="48" t="s">
        <v>1665</v>
      </c>
      <c r="D1831" s="48">
        <f>DATE(YEAR(OneWeekMtgRatesDataTable756[[#This Row],[asofdate]]),MONTH(OneWeekMtgRatesDataTable756[[#This Row],[asofdate]]),DAY(OneWeekMtgRatesDataTable756[[#This Row],[asofdate]]))</f>
        <v>39917</v>
      </c>
      <c r="E1831" s="48" t="s">
        <v>11</v>
      </c>
      <c r="F1831" s="55">
        <v>0.45250000000000001</v>
      </c>
    </row>
    <row r="1832" spans="2:6">
      <c r="B1832" s="48" t="s">
        <v>20</v>
      </c>
      <c r="C1832" s="48" t="s">
        <v>1666</v>
      </c>
      <c r="D1832" s="48">
        <f>DATE(YEAR(OneWeekMtgRatesDataTable756[[#This Row],[asofdate]]),MONTH(OneWeekMtgRatesDataTable756[[#This Row],[asofdate]]),DAY(OneWeekMtgRatesDataTable756[[#This Row],[asofdate]]))</f>
        <v>39916</v>
      </c>
      <c r="E1832" s="48" t="s">
        <v>11</v>
      </c>
      <c r="F1832" s="55">
        <v>0.45124999999999998</v>
      </c>
    </row>
    <row r="1833" spans="2:6">
      <c r="B1833" s="48" t="s">
        <v>20</v>
      </c>
      <c r="C1833" s="48" t="s">
        <v>1667</v>
      </c>
      <c r="D1833" s="48">
        <f>DATE(YEAR(OneWeekMtgRatesDataTable756[[#This Row],[asofdate]]),MONTH(OneWeekMtgRatesDataTable756[[#This Row],[asofdate]]),DAY(OneWeekMtgRatesDataTable756[[#This Row],[asofdate]]))</f>
        <v>39912</v>
      </c>
      <c r="E1833" s="48" t="s">
        <v>11</v>
      </c>
      <c r="F1833" s="55">
        <v>0.45124999999999998</v>
      </c>
    </row>
    <row r="1834" spans="2:6">
      <c r="B1834" s="48" t="s">
        <v>20</v>
      </c>
      <c r="C1834" s="48" t="s">
        <v>1668</v>
      </c>
      <c r="D1834" s="48">
        <f>DATE(YEAR(OneWeekMtgRatesDataTable756[[#This Row],[asofdate]]),MONTH(OneWeekMtgRatesDataTable756[[#This Row],[asofdate]]),DAY(OneWeekMtgRatesDataTable756[[#This Row],[asofdate]]))</f>
        <v>39911</v>
      </c>
      <c r="E1834" s="48" t="s">
        <v>11</v>
      </c>
      <c r="F1834" s="55">
        <v>0.46</v>
      </c>
    </row>
    <row r="1835" spans="2:6">
      <c r="B1835" s="48" t="s">
        <v>20</v>
      </c>
      <c r="C1835" s="48" t="s">
        <v>1669</v>
      </c>
      <c r="D1835" s="48">
        <f>DATE(YEAR(OneWeekMtgRatesDataTable756[[#This Row],[asofdate]]),MONTH(OneWeekMtgRatesDataTable756[[#This Row],[asofdate]]),DAY(OneWeekMtgRatesDataTable756[[#This Row],[asofdate]]))</f>
        <v>39910</v>
      </c>
      <c r="E1835" s="48" t="s">
        <v>11</v>
      </c>
      <c r="F1835" s="55">
        <v>0.46938000000000002</v>
      </c>
    </row>
    <row r="1836" spans="2:6">
      <c r="B1836" s="48" t="s">
        <v>20</v>
      </c>
      <c r="C1836" s="48" t="s">
        <v>1670</v>
      </c>
      <c r="D1836" s="48">
        <f>DATE(YEAR(OneWeekMtgRatesDataTable756[[#This Row],[asofdate]]),MONTH(OneWeekMtgRatesDataTable756[[#This Row],[asofdate]]),DAY(OneWeekMtgRatesDataTable756[[#This Row],[asofdate]]))</f>
        <v>39909</v>
      </c>
      <c r="E1836" s="48" t="s">
        <v>11</v>
      </c>
      <c r="F1836" s="55">
        <v>0.47563</v>
      </c>
    </row>
    <row r="1837" spans="2:6">
      <c r="B1837" s="48" t="s">
        <v>20</v>
      </c>
      <c r="C1837" s="48" t="s">
        <v>1671</v>
      </c>
      <c r="D1837" s="48">
        <f>DATE(YEAR(OneWeekMtgRatesDataTable756[[#This Row],[asofdate]]),MONTH(OneWeekMtgRatesDataTable756[[#This Row],[asofdate]]),DAY(OneWeekMtgRatesDataTable756[[#This Row],[asofdate]]))</f>
        <v>39906</v>
      </c>
      <c r="E1837" s="48" t="s">
        <v>11</v>
      </c>
      <c r="F1837" s="55">
        <v>0.47813</v>
      </c>
    </row>
    <row r="1838" spans="2:6">
      <c r="B1838" s="48" t="s">
        <v>20</v>
      </c>
      <c r="C1838" s="48" t="s">
        <v>1672</v>
      </c>
      <c r="D1838" s="48">
        <f>DATE(YEAR(OneWeekMtgRatesDataTable756[[#This Row],[asofdate]]),MONTH(OneWeekMtgRatesDataTable756[[#This Row],[asofdate]]),DAY(OneWeekMtgRatesDataTable756[[#This Row],[asofdate]]))</f>
        <v>39905</v>
      </c>
      <c r="E1838" s="48" t="s">
        <v>11</v>
      </c>
      <c r="F1838" s="55">
        <v>0.48937999999999998</v>
      </c>
    </row>
    <row r="1839" spans="2:6">
      <c r="B1839" s="48" t="s">
        <v>20</v>
      </c>
      <c r="C1839" s="48" t="s">
        <v>1673</v>
      </c>
      <c r="D1839" s="48">
        <f>DATE(YEAR(OneWeekMtgRatesDataTable756[[#This Row],[asofdate]]),MONTH(OneWeekMtgRatesDataTable756[[#This Row],[asofdate]]),DAY(OneWeekMtgRatesDataTable756[[#This Row],[asofdate]]))</f>
        <v>39904</v>
      </c>
      <c r="E1839" s="48" t="s">
        <v>11</v>
      </c>
      <c r="F1839" s="55">
        <v>0.495</v>
      </c>
    </row>
    <row r="1840" spans="2:6">
      <c r="B1840" s="48" t="s">
        <v>20</v>
      </c>
      <c r="C1840" s="48" t="s">
        <v>1674</v>
      </c>
      <c r="D1840" s="48">
        <f>DATE(YEAR(OneWeekMtgRatesDataTable756[[#This Row],[asofdate]]),MONTH(OneWeekMtgRatesDataTable756[[#This Row],[asofdate]]),DAY(OneWeekMtgRatesDataTable756[[#This Row],[asofdate]]))</f>
        <v>39903</v>
      </c>
      <c r="E1840" s="48" t="s">
        <v>11</v>
      </c>
      <c r="F1840" s="55">
        <v>0.50063000000000002</v>
      </c>
    </row>
    <row r="1841" spans="2:6">
      <c r="B1841" s="48" t="s">
        <v>20</v>
      </c>
      <c r="C1841" s="48" t="s">
        <v>1675</v>
      </c>
      <c r="D1841" s="48">
        <f>DATE(YEAR(OneWeekMtgRatesDataTable756[[#This Row],[asofdate]]),MONTH(OneWeekMtgRatesDataTable756[[#This Row],[asofdate]]),DAY(OneWeekMtgRatesDataTable756[[#This Row],[asofdate]]))</f>
        <v>39902</v>
      </c>
      <c r="E1841" s="48" t="s">
        <v>11</v>
      </c>
      <c r="F1841" s="55">
        <v>0.50875000000000004</v>
      </c>
    </row>
    <row r="1842" spans="2:6">
      <c r="B1842" s="48" t="s">
        <v>20</v>
      </c>
      <c r="C1842" s="48" t="s">
        <v>1676</v>
      </c>
      <c r="D1842" s="48">
        <f>DATE(YEAR(OneWeekMtgRatesDataTable756[[#This Row],[asofdate]]),MONTH(OneWeekMtgRatesDataTable756[[#This Row],[asofdate]]),DAY(OneWeekMtgRatesDataTable756[[#This Row],[asofdate]]))</f>
        <v>39899</v>
      </c>
      <c r="E1842" s="48" t="s">
        <v>11</v>
      </c>
      <c r="F1842" s="55">
        <v>0.51812999999999998</v>
      </c>
    </row>
    <row r="1843" spans="2:6">
      <c r="B1843" s="48" t="s">
        <v>20</v>
      </c>
      <c r="C1843" s="48" t="s">
        <v>1677</v>
      </c>
      <c r="D1843" s="48">
        <f>DATE(YEAR(OneWeekMtgRatesDataTable756[[#This Row],[asofdate]]),MONTH(OneWeekMtgRatesDataTable756[[#This Row],[asofdate]]),DAY(OneWeekMtgRatesDataTable756[[#This Row],[asofdate]]))</f>
        <v>39898</v>
      </c>
      <c r="E1843" s="48" t="s">
        <v>11</v>
      </c>
      <c r="F1843" s="55">
        <v>0.52249999999999996</v>
      </c>
    </row>
    <row r="1844" spans="2:6">
      <c r="B1844" s="48" t="s">
        <v>20</v>
      </c>
      <c r="C1844" s="48" t="s">
        <v>1678</v>
      </c>
      <c r="D1844" s="48">
        <f>DATE(YEAR(OneWeekMtgRatesDataTable756[[#This Row],[asofdate]]),MONTH(OneWeekMtgRatesDataTable756[[#This Row],[asofdate]]),DAY(OneWeekMtgRatesDataTable756[[#This Row],[asofdate]]))</f>
        <v>39897</v>
      </c>
      <c r="E1844" s="48" t="s">
        <v>11</v>
      </c>
      <c r="F1844" s="55">
        <v>0.52</v>
      </c>
    </row>
    <row r="1845" spans="2:6">
      <c r="B1845" s="48" t="s">
        <v>20</v>
      </c>
      <c r="C1845" s="48" t="s">
        <v>1679</v>
      </c>
      <c r="D1845" s="48">
        <f>DATE(YEAR(OneWeekMtgRatesDataTable756[[#This Row],[asofdate]]),MONTH(OneWeekMtgRatesDataTable756[[#This Row],[asofdate]]),DAY(OneWeekMtgRatesDataTable756[[#This Row],[asofdate]]))</f>
        <v>39896</v>
      </c>
      <c r="E1845" s="48" t="s">
        <v>11</v>
      </c>
      <c r="F1845" s="55">
        <v>0.52093999999999996</v>
      </c>
    </row>
    <row r="1846" spans="2:6">
      <c r="B1846" s="48" t="s">
        <v>20</v>
      </c>
      <c r="C1846" s="48" t="s">
        <v>1680</v>
      </c>
      <c r="D1846" s="48">
        <f>DATE(YEAR(OneWeekMtgRatesDataTable756[[#This Row],[asofdate]]),MONTH(OneWeekMtgRatesDataTable756[[#This Row],[asofdate]]),DAY(OneWeekMtgRatesDataTable756[[#This Row],[asofdate]]))</f>
        <v>39895</v>
      </c>
      <c r="E1846" s="48" t="s">
        <v>11</v>
      </c>
      <c r="F1846" s="55">
        <v>0.52188000000000001</v>
      </c>
    </row>
    <row r="1847" spans="2:6">
      <c r="B1847" s="48" t="s">
        <v>20</v>
      </c>
      <c r="C1847" s="48" t="s">
        <v>1681</v>
      </c>
      <c r="D1847" s="48">
        <f>DATE(YEAR(OneWeekMtgRatesDataTable756[[#This Row],[asofdate]]),MONTH(OneWeekMtgRatesDataTable756[[#This Row],[asofdate]]),DAY(OneWeekMtgRatesDataTable756[[#This Row],[asofdate]]))</f>
        <v>39892</v>
      </c>
      <c r="E1847" s="48" t="s">
        <v>11</v>
      </c>
      <c r="F1847" s="55">
        <v>0.52188000000000001</v>
      </c>
    </row>
    <row r="1848" spans="2:6">
      <c r="B1848" s="48" t="s">
        <v>20</v>
      </c>
      <c r="C1848" s="48" t="s">
        <v>1682</v>
      </c>
      <c r="D1848" s="48">
        <f>DATE(YEAR(OneWeekMtgRatesDataTable756[[#This Row],[asofdate]]),MONTH(OneWeekMtgRatesDataTable756[[#This Row],[asofdate]]),DAY(OneWeekMtgRatesDataTable756[[#This Row],[asofdate]]))</f>
        <v>39891</v>
      </c>
      <c r="E1848" s="48" t="s">
        <v>11</v>
      </c>
      <c r="F1848" s="55">
        <v>0.52312999999999998</v>
      </c>
    </row>
    <row r="1849" spans="2:6">
      <c r="B1849" s="48" t="s">
        <v>20</v>
      </c>
      <c r="C1849" s="48" t="s">
        <v>1683</v>
      </c>
      <c r="D1849" s="48">
        <f>DATE(YEAR(OneWeekMtgRatesDataTable756[[#This Row],[asofdate]]),MONTH(OneWeekMtgRatesDataTable756[[#This Row],[asofdate]]),DAY(OneWeekMtgRatesDataTable756[[#This Row],[asofdate]]))</f>
        <v>39890</v>
      </c>
      <c r="E1849" s="48" t="s">
        <v>11</v>
      </c>
      <c r="F1849" s="55">
        <v>0.54500000000000004</v>
      </c>
    </row>
    <row r="1850" spans="2:6">
      <c r="B1850" s="48" t="s">
        <v>20</v>
      </c>
      <c r="C1850" s="48" t="s">
        <v>1684</v>
      </c>
      <c r="D1850" s="48">
        <f>DATE(YEAR(OneWeekMtgRatesDataTable756[[#This Row],[asofdate]]),MONTH(OneWeekMtgRatesDataTable756[[#This Row],[asofdate]]),DAY(OneWeekMtgRatesDataTable756[[#This Row],[asofdate]]))</f>
        <v>39889</v>
      </c>
      <c r="E1850" s="48" t="s">
        <v>11</v>
      </c>
      <c r="F1850" s="55">
        <v>0.55625000000000002</v>
      </c>
    </row>
    <row r="1851" spans="2:6">
      <c r="B1851" s="48" t="s">
        <v>20</v>
      </c>
      <c r="C1851" s="48" t="s">
        <v>1685</v>
      </c>
      <c r="D1851" s="48">
        <f>DATE(YEAR(OneWeekMtgRatesDataTable756[[#This Row],[asofdate]]),MONTH(OneWeekMtgRatesDataTable756[[#This Row],[asofdate]]),DAY(OneWeekMtgRatesDataTable756[[#This Row],[asofdate]]))</f>
        <v>39888</v>
      </c>
      <c r="E1851" s="48" t="s">
        <v>11</v>
      </c>
      <c r="F1851" s="55">
        <v>0.55562999999999996</v>
      </c>
    </row>
    <row r="1852" spans="2:6">
      <c r="B1852" s="48" t="s">
        <v>20</v>
      </c>
      <c r="C1852" s="48" t="s">
        <v>1686</v>
      </c>
      <c r="D1852" s="48">
        <f>DATE(YEAR(OneWeekMtgRatesDataTable756[[#This Row],[asofdate]]),MONTH(OneWeekMtgRatesDataTable756[[#This Row],[asofdate]]),DAY(OneWeekMtgRatesDataTable756[[#This Row],[asofdate]]))</f>
        <v>39885</v>
      </c>
      <c r="E1852" s="48" t="s">
        <v>11</v>
      </c>
      <c r="F1852" s="55">
        <v>0.55562999999999996</v>
      </c>
    </row>
    <row r="1853" spans="2:6">
      <c r="B1853" s="48" t="s">
        <v>20</v>
      </c>
      <c r="C1853" s="48" t="s">
        <v>1687</v>
      </c>
      <c r="D1853" s="48">
        <f>DATE(YEAR(OneWeekMtgRatesDataTable756[[#This Row],[asofdate]]),MONTH(OneWeekMtgRatesDataTable756[[#This Row],[asofdate]]),DAY(OneWeekMtgRatesDataTable756[[#This Row],[asofdate]]))</f>
        <v>39884</v>
      </c>
      <c r="E1853" s="48" t="s">
        <v>11</v>
      </c>
      <c r="F1853" s="55">
        <v>0.55625000000000002</v>
      </c>
    </row>
    <row r="1854" spans="2:6">
      <c r="B1854" s="48" t="s">
        <v>20</v>
      </c>
      <c r="C1854" s="48" t="s">
        <v>1688</v>
      </c>
      <c r="D1854" s="48">
        <f>DATE(YEAR(OneWeekMtgRatesDataTable756[[#This Row],[asofdate]]),MONTH(OneWeekMtgRatesDataTable756[[#This Row],[asofdate]]),DAY(OneWeekMtgRatesDataTable756[[#This Row],[asofdate]]))</f>
        <v>39883</v>
      </c>
      <c r="E1854" s="48" t="s">
        <v>11</v>
      </c>
      <c r="F1854" s="55">
        <v>0.55688000000000004</v>
      </c>
    </row>
    <row r="1855" spans="2:6">
      <c r="B1855" s="48" t="s">
        <v>20</v>
      </c>
      <c r="C1855" s="48" t="s">
        <v>1689</v>
      </c>
      <c r="D1855" s="48">
        <f>DATE(YEAR(OneWeekMtgRatesDataTable756[[#This Row],[asofdate]]),MONTH(OneWeekMtgRatesDataTable756[[#This Row],[asofdate]]),DAY(OneWeekMtgRatesDataTable756[[#This Row],[asofdate]]))</f>
        <v>39882</v>
      </c>
      <c r="E1855" s="48" t="s">
        <v>11</v>
      </c>
      <c r="F1855" s="55">
        <v>0.56437999999999999</v>
      </c>
    </row>
    <row r="1856" spans="2:6">
      <c r="B1856" s="48" t="s">
        <v>20</v>
      </c>
      <c r="C1856" s="48" t="s">
        <v>1690</v>
      </c>
      <c r="D1856" s="48">
        <f>DATE(YEAR(OneWeekMtgRatesDataTable756[[#This Row],[asofdate]]),MONTH(OneWeekMtgRatesDataTable756[[#This Row],[asofdate]]),DAY(OneWeekMtgRatesDataTable756[[#This Row],[asofdate]]))</f>
        <v>39881</v>
      </c>
      <c r="E1856" s="48" t="s">
        <v>11</v>
      </c>
      <c r="F1856" s="55">
        <v>0.56437999999999999</v>
      </c>
    </row>
    <row r="1857" spans="2:6">
      <c r="B1857" s="48" t="s">
        <v>20</v>
      </c>
      <c r="C1857" s="48" t="s">
        <v>1691</v>
      </c>
      <c r="D1857" s="48">
        <f>DATE(YEAR(OneWeekMtgRatesDataTable756[[#This Row],[asofdate]]),MONTH(OneWeekMtgRatesDataTable756[[#This Row],[asofdate]]),DAY(OneWeekMtgRatesDataTable756[[#This Row],[asofdate]]))</f>
        <v>39878</v>
      </c>
      <c r="E1857" s="48" t="s">
        <v>11</v>
      </c>
      <c r="F1857" s="55">
        <v>0.54625000000000001</v>
      </c>
    </row>
    <row r="1858" spans="2:6">
      <c r="B1858" s="48" t="s">
        <v>20</v>
      </c>
      <c r="C1858" s="48" t="s">
        <v>1692</v>
      </c>
      <c r="D1858" s="48">
        <f>DATE(YEAR(OneWeekMtgRatesDataTable756[[#This Row],[asofdate]]),MONTH(OneWeekMtgRatesDataTable756[[#This Row],[asofdate]]),DAY(OneWeekMtgRatesDataTable756[[#This Row],[asofdate]]))</f>
        <v>39877</v>
      </c>
      <c r="E1858" s="48" t="s">
        <v>11</v>
      </c>
      <c r="F1858" s="55">
        <v>0.53312999999999999</v>
      </c>
    </row>
    <row r="1859" spans="2:6">
      <c r="B1859" s="48" t="s">
        <v>20</v>
      </c>
      <c r="C1859" s="48" t="s">
        <v>1693</v>
      </c>
      <c r="D1859" s="48">
        <f>DATE(YEAR(OneWeekMtgRatesDataTable756[[#This Row],[asofdate]]),MONTH(OneWeekMtgRatesDataTable756[[#This Row],[asofdate]]),DAY(OneWeekMtgRatesDataTable756[[#This Row],[asofdate]]))</f>
        <v>39876</v>
      </c>
      <c r="E1859" s="48" t="s">
        <v>11</v>
      </c>
      <c r="F1859" s="55">
        <v>0.51812999999999998</v>
      </c>
    </row>
    <row r="1860" spans="2:6">
      <c r="B1860" s="48" t="s">
        <v>20</v>
      </c>
      <c r="C1860" s="48" t="s">
        <v>1694</v>
      </c>
      <c r="D1860" s="48">
        <f>DATE(YEAR(OneWeekMtgRatesDataTable756[[#This Row],[asofdate]]),MONTH(OneWeekMtgRatesDataTable756[[#This Row],[asofdate]]),DAY(OneWeekMtgRatesDataTable756[[#This Row],[asofdate]]))</f>
        <v>39875</v>
      </c>
      <c r="E1860" s="48" t="s">
        <v>11</v>
      </c>
      <c r="F1860" s="55">
        <v>0.50749999999999995</v>
      </c>
    </row>
    <row r="1861" spans="2:6">
      <c r="B1861" s="48" t="s">
        <v>20</v>
      </c>
      <c r="C1861" s="48" t="s">
        <v>1695</v>
      </c>
      <c r="D1861" s="48">
        <f>DATE(YEAR(OneWeekMtgRatesDataTable756[[#This Row],[asofdate]]),MONTH(OneWeekMtgRatesDataTable756[[#This Row],[asofdate]]),DAY(OneWeekMtgRatesDataTable756[[#This Row],[asofdate]]))</f>
        <v>39874</v>
      </c>
      <c r="E1861" s="48" t="s">
        <v>11</v>
      </c>
      <c r="F1861" s="55">
        <v>0.4975</v>
      </c>
    </row>
    <row r="1862" spans="2:6">
      <c r="B1862" s="48" t="s">
        <v>20</v>
      </c>
      <c r="C1862" s="48" t="s">
        <v>1696</v>
      </c>
      <c r="D1862" s="48">
        <f>DATE(YEAR(OneWeekMtgRatesDataTable756[[#This Row],[asofdate]]),MONTH(OneWeekMtgRatesDataTable756[[#This Row],[asofdate]]),DAY(OneWeekMtgRatesDataTable756[[#This Row],[asofdate]]))</f>
        <v>39871</v>
      </c>
      <c r="E1862" s="48" t="s">
        <v>11</v>
      </c>
      <c r="F1862" s="55">
        <v>0.49625000000000002</v>
      </c>
    </row>
    <row r="1863" spans="2:6">
      <c r="B1863" s="48" t="s">
        <v>20</v>
      </c>
      <c r="C1863" s="48" t="s">
        <v>1697</v>
      </c>
      <c r="D1863" s="48">
        <f>DATE(YEAR(OneWeekMtgRatesDataTable756[[#This Row],[asofdate]]),MONTH(OneWeekMtgRatesDataTable756[[#This Row],[asofdate]]),DAY(OneWeekMtgRatesDataTable756[[#This Row],[asofdate]]))</f>
        <v>39870</v>
      </c>
      <c r="E1863" s="48" t="s">
        <v>11</v>
      </c>
      <c r="F1863" s="55">
        <v>0.49687999999999999</v>
      </c>
    </row>
    <row r="1864" spans="2:6">
      <c r="B1864" s="48" t="s">
        <v>20</v>
      </c>
      <c r="C1864" s="48" t="s">
        <v>1698</v>
      </c>
      <c r="D1864" s="48">
        <f>DATE(YEAR(OneWeekMtgRatesDataTable756[[#This Row],[asofdate]]),MONTH(OneWeekMtgRatesDataTable756[[#This Row],[asofdate]]),DAY(OneWeekMtgRatesDataTable756[[#This Row],[asofdate]]))</f>
        <v>39869</v>
      </c>
      <c r="E1864" s="48" t="s">
        <v>11</v>
      </c>
      <c r="F1864" s="55">
        <v>0.47875000000000001</v>
      </c>
    </row>
    <row r="1865" spans="2:6">
      <c r="B1865" s="48" t="s">
        <v>20</v>
      </c>
      <c r="C1865" s="48" t="s">
        <v>1699</v>
      </c>
      <c r="D1865" s="48">
        <f>DATE(YEAR(OneWeekMtgRatesDataTable756[[#This Row],[asofdate]]),MONTH(OneWeekMtgRatesDataTable756[[#This Row],[asofdate]]),DAY(OneWeekMtgRatesDataTable756[[#This Row],[asofdate]]))</f>
        <v>39868</v>
      </c>
      <c r="E1865" s="48" t="s">
        <v>11</v>
      </c>
      <c r="F1865" s="55">
        <v>0.47688000000000003</v>
      </c>
    </row>
    <row r="1866" spans="2:6">
      <c r="B1866" s="48" t="s">
        <v>20</v>
      </c>
      <c r="C1866" s="48" t="s">
        <v>1700</v>
      </c>
      <c r="D1866" s="48">
        <f>DATE(YEAR(OneWeekMtgRatesDataTable756[[#This Row],[asofdate]]),MONTH(OneWeekMtgRatesDataTable756[[#This Row],[asofdate]]),DAY(OneWeekMtgRatesDataTable756[[#This Row],[asofdate]]))</f>
        <v>39867</v>
      </c>
      <c r="E1866" s="48" t="s">
        <v>11</v>
      </c>
      <c r="F1866" s="55">
        <v>0.47375</v>
      </c>
    </row>
    <row r="1867" spans="2:6">
      <c r="B1867" s="48" t="s">
        <v>20</v>
      </c>
      <c r="C1867" s="48" t="s">
        <v>1701</v>
      </c>
      <c r="D1867" s="48">
        <f>DATE(YEAR(OneWeekMtgRatesDataTable756[[#This Row],[asofdate]]),MONTH(OneWeekMtgRatesDataTable756[[#This Row],[asofdate]]),DAY(OneWeekMtgRatesDataTable756[[#This Row],[asofdate]]))</f>
        <v>39864</v>
      </c>
      <c r="E1867" s="48" t="s">
        <v>11</v>
      </c>
      <c r="F1867" s="55">
        <v>0.47249999999999998</v>
      </c>
    </row>
    <row r="1868" spans="2:6">
      <c r="B1868" s="48" t="s">
        <v>20</v>
      </c>
      <c r="C1868" s="48" t="s">
        <v>1702</v>
      </c>
      <c r="D1868" s="48">
        <f>DATE(YEAR(OneWeekMtgRatesDataTable756[[#This Row],[asofdate]]),MONTH(OneWeekMtgRatesDataTable756[[#This Row],[asofdate]]),DAY(OneWeekMtgRatesDataTable756[[#This Row],[asofdate]]))</f>
        <v>39863</v>
      </c>
      <c r="E1868" s="48" t="s">
        <v>11</v>
      </c>
      <c r="F1868" s="55">
        <v>0.47313</v>
      </c>
    </row>
    <row r="1869" spans="2:6">
      <c r="B1869" s="48" t="s">
        <v>20</v>
      </c>
      <c r="C1869" s="48" t="s">
        <v>1703</v>
      </c>
      <c r="D1869" s="48">
        <f>DATE(YEAR(OneWeekMtgRatesDataTable756[[#This Row],[asofdate]]),MONTH(OneWeekMtgRatesDataTable756[[#This Row],[asofdate]]),DAY(OneWeekMtgRatesDataTable756[[#This Row],[asofdate]]))</f>
        <v>39862</v>
      </c>
      <c r="E1869" s="48" t="s">
        <v>11</v>
      </c>
      <c r="F1869" s="55">
        <v>0.47</v>
      </c>
    </row>
    <row r="1870" spans="2:6">
      <c r="B1870" s="48" t="s">
        <v>20</v>
      </c>
      <c r="C1870" s="48" t="s">
        <v>1704</v>
      </c>
      <c r="D1870" s="48">
        <f>DATE(YEAR(OneWeekMtgRatesDataTable756[[#This Row],[asofdate]]),MONTH(OneWeekMtgRatesDataTable756[[#This Row],[asofdate]]),DAY(OneWeekMtgRatesDataTable756[[#This Row],[asofdate]]))</f>
        <v>39861</v>
      </c>
      <c r="E1870" s="48" t="s">
        <v>11</v>
      </c>
      <c r="F1870" s="55">
        <v>0.46625</v>
      </c>
    </row>
    <row r="1871" spans="2:6">
      <c r="B1871" s="48" t="s">
        <v>20</v>
      </c>
      <c r="C1871" s="48" t="s">
        <v>1705</v>
      </c>
      <c r="D1871" s="48">
        <f>DATE(YEAR(OneWeekMtgRatesDataTable756[[#This Row],[asofdate]]),MONTH(OneWeekMtgRatesDataTable756[[#This Row],[asofdate]]),DAY(OneWeekMtgRatesDataTable756[[#This Row],[asofdate]]))</f>
        <v>39857</v>
      </c>
      <c r="E1871" s="48" t="s">
        <v>11</v>
      </c>
      <c r="F1871" s="55">
        <v>0.46124999999999999</v>
      </c>
    </row>
    <row r="1872" spans="2:6">
      <c r="B1872" s="48" t="s">
        <v>20</v>
      </c>
      <c r="C1872" s="48" t="s">
        <v>1706</v>
      </c>
      <c r="D1872" s="48">
        <f>DATE(YEAR(OneWeekMtgRatesDataTable756[[#This Row],[asofdate]]),MONTH(OneWeekMtgRatesDataTable756[[#This Row],[asofdate]]),DAY(OneWeekMtgRatesDataTable756[[#This Row],[asofdate]]))</f>
        <v>39856</v>
      </c>
      <c r="E1872" s="48" t="s">
        <v>11</v>
      </c>
      <c r="F1872" s="55">
        <v>0.45500000000000002</v>
      </c>
    </row>
    <row r="1873" spans="2:6">
      <c r="B1873" s="48" t="s">
        <v>20</v>
      </c>
      <c r="C1873" s="48" t="s">
        <v>1707</v>
      </c>
      <c r="D1873" s="48">
        <f>DATE(YEAR(OneWeekMtgRatesDataTable756[[#This Row],[asofdate]]),MONTH(OneWeekMtgRatesDataTable756[[#This Row],[asofdate]]),DAY(OneWeekMtgRatesDataTable756[[#This Row],[asofdate]]))</f>
        <v>39855</v>
      </c>
      <c r="E1873" s="48" t="s">
        <v>11</v>
      </c>
      <c r="F1873" s="55">
        <v>0.45250000000000001</v>
      </c>
    </row>
    <row r="1874" spans="2:6">
      <c r="B1874" s="48" t="s">
        <v>20</v>
      </c>
      <c r="C1874" s="48" t="s">
        <v>1708</v>
      </c>
      <c r="D1874" s="48">
        <f>DATE(YEAR(OneWeekMtgRatesDataTable756[[#This Row],[asofdate]]),MONTH(OneWeekMtgRatesDataTable756[[#This Row],[asofdate]]),DAY(OneWeekMtgRatesDataTable756[[#This Row],[asofdate]]))</f>
        <v>39854</v>
      </c>
      <c r="E1874" s="48" t="s">
        <v>11</v>
      </c>
      <c r="F1874" s="55">
        <v>0.44688</v>
      </c>
    </row>
    <row r="1875" spans="2:6">
      <c r="B1875" s="48" t="s">
        <v>20</v>
      </c>
      <c r="C1875" s="48" t="s">
        <v>1709</v>
      </c>
      <c r="D1875" s="48">
        <f>DATE(YEAR(OneWeekMtgRatesDataTable756[[#This Row],[asofdate]]),MONTH(OneWeekMtgRatesDataTable756[[#This Row],[asofdate]]),DAY(OneWeekMtgRatesDataTable756[[#This Row],[asofdate]]))</f>
        <v>39853</v>
      </c>
      <c r="E1875" s="48" t="s">
        <v>11</v>
      </c>
      <c r="F1875" s="55">
        <v>0.44688</v>
      </c>
    </row>
    <row r="1876" spans="2:6">
      <c r="B1876" s="48" t="s">
        <v>20</v>
      </c>
      <c r="C1876" s="48" t="s">
        <v>1710</v>
      </c>
      <c r="D1876" s="48">
        <f>DATE(YEAR(OneWeekMtgRatesDataTable756[[#This Row],[asofdate]]),MONTH(OneWeekMtgRatesDataTable756[[#This Row],[asofdate]]),DAY(OneWeekMtgRatesDataTable756[[#This Row],[asofdate]]))</f>
        <v>39850</v>
      </c>
      <c r="E1876" s="48" t="s">
        <v>11</v>
      </c>
      <c r="F1876" s="55">
        <v>0.44874999999999998</v>
      </c>
    </row>
    <row r="1877" spans="2:6">
      <c r="B1877" s="48" t="s">
        <v>20</v>
      </c>
      <c r="C1877" s="48" t="s">
        <v>1711</v>
      </c>
      <c r="D1877" s="48">
        <f>DATE(YEAR(OneWeekMtgRatesDataTable756[[#This Row],[asofdate]]),MONTH(OneWeekMtgRatesDataTable756[[#This Row],[asofdate]]),DAY(OneWeekMtgRatesDataTable756[[#This Row],[asofdate]]))</f>
        <v>39849</v>
      </c>
      <c r="E1877" s="48" t="s">
        <v>11</v>
      </c>
      <c r="F1877" s="55">
        <v>0.44750000000000001</v>
      </c>
    </row>
    <row r="1878" spans="2:6">
      <c r="B1878" s="48" t="s">
        <v>20</v>
      </c>
      <c r="C1878" s="48" t="s">
        <v>1712</v>
      </c>
      <c r="D1878" s="48">
        <f>DATE(YEAR(OneWeekMtgRatesDataTable756[[#This Row],[asofdate]]),MONTH(OneWeekMtgRatesDataTable756[[#This Row],[asofdate]]),DAY(OneWeekMtgRatesDataTable756[[#This Row],[asofdate]]))</f>
        <v>39848</v>
      </c>
      <c r="E1878" s="48" t="s">
        <v>11</v>
      </c>
      <c r="F1878" s="55">
        <v>0.44500000000000001</v>
      </c>
    </row>
    <row r="1879" spans="2:6">
      <c r="B1879" s="48" t="s">
        <v>20</v>
      </c>
      <c r="C1879" s="48" t="s">
        <v>1713</v>
      </c>
      <c r="D1879" s="48">
        <f>DATE(YEAR(OneWeekMtgRatesDataTable756[[#This Row],[asofdate]]),MONTH(OneWeekMtgRatesDataTable756[[#This Row],[asofdate]]),DAY(OneWeekMtgRatesDataTable756[[#This Row],[asofdate]]))</f>
        <v>39847</v>
      </c>
      <c r="E1879" s="48" t="s">
        <v>11</v>
      </c>
      <c r="F1879" s="55">
        <v>0.44500000000000001</v>
      </c>
    </row>
    <row r="1880" spans="2:6">
      <c r="B1880" s="48" t="s">
        <v>20</v>
      </c>
      <c r="C1880" s="48" t="s">
        <v>1714</v>
      </c>
      <c r="D1880" s="48">
        <f>DATE(YEAR(OneWeekMtgRatesDataTable756[[#This Row],[asofdate]]),MONTH(OneWeekMtgRatesDataTable756[[#This Row],[asofdate]]),DAY(OneWeekMtgRatesDataTable756[[#This Row],[asofdate]]))</f>
        <v>39846</v>
      </c>
      <c r="E1880" s="48" t="s">
        <v>11</v>
      </c>
      <c r="F1880" s="55">
        <v>0.4375</v>
      </c>
    </row>
    <row r="1881" spans="2:6">
      <c r="B1881" s="48" t="s">
        <v>20</v>
      </c>
      <c r="C1881" s="48" t="s">
        <v>1715</v>
      </c>
      <c r="D1881" s="48">
        <f>DATE(YEAR(OneWeekMtgRatesDataTable756[[#This Row],[asofdate]]),MONTH(OneWeekMtgRatesDataTable756[[#This Row],[asofdate]]),DAY(OneWeekMtgRatesDataTable756[[#This Row],[asofdate]]))</f>
        <v>39843</v>
      </c>
      <c r="E1881" s="48" t="s">
        <v>11</v>
      </c>
      <c r="F1881" s="55">
        <v>0.41937999999999998</v>
      </c>
    </row>
    <row r="1882" spans="2:6">
      <c r="B1882" s="48" t="s">
        <v>20</v>
      </c>
      <c r="C1882" s="48" t="s">
        <v>1716</v>
      </c>
      <c r="D1882" s="48">
        <f>DATE(YEAR(OneWeekMtgRatesDataTable756[[#This Row],[asofdate]]),MONTH(OneWeekMtgRatesDataTable756[[#This Row],[asofdate]]),DAY(OneWeekMtgRatesDataTable756[[#This Row],[asofdate]]))</f>
        <v>39842</v>
      </c>
      <c r="E1882" s="48" t="s">
        <v>11</v>
      </c>
      <c r="F1882" s="55">
        <v>0.41249999999999998</v>
      </c>
    </row>
    <row r="1883" spans="2:6">
      <c r="B1883" s="48" t="s">
        <v>20</v>
      </c>
      <c r="C1883" s="48" t="s">
        <v>1717</v>
      </c>
      <c r="D1883" s="48">
        <f>DATE(YEAR(OneWeekMtgRatesDataTable756[[#This Row],[asofdate]]),MONTH(OneWeekMtgRatesDataTable756[[#This Row],[asofdate]]),DAY(OneWeekMtgRatesDataTable756[[#This Row],[asofdate]]))</f>
        <v>39841</v>
      </c>
      <c r="E1883" s="48" t="s">
        <v>11</v>
      </c>
      <c r="F1883" s="55">
        <v>0.40938000000000002</v>
      </c>
    </row>
    <row r="1884" spans="2:6">
      <c r="B1884" s="48" t="s">
        <v>20</v>
      </c>
      <c r="C1884" s="48" t="s">
        <v>1718</v>
      </c>
      <c r="D1884" s="48">
        <f>DATE(YEAR(OneWeekMtgRatesDataTable756[[#This Row],[asofdate]]),MONTH(OneWeekMtgRatesDataTable756[[#This Row],[asofdate]]),DAY(OneWeekMtgRatesDataTable756[[#This Row],[asofdate]]))</f>
        <v>39840</v>
      </c>
      <c r="E1884" s="48" t="s">
        <v>11</v>
      </c>
      <c r="F1884" s="55">
        <v>0.41125</v>
      </c>
    </row>
    <row r="1885" spans="2:6">
      <c r="B1885" s="48" t="s">
        <v>20</v>
      </c>
      <c r="C1885" s="48" t="s">
        <v>1719</v>
      </c>
      <c r="D1885" s="48">
        <f>DATE(YEAR(OneWeekMtgRatesDataTable756[[#This Row],[asofdate]]),MONTH(OneWeekMtgRatesDataTable756[[#This Row],[asofdate]]),DAY(OneWeekMtgRatesDataTable756[[#This Row],[asofdate]]))</f>
        <v>39839</v>
      </c>
      <c r="E1885" s="48" t="s">
        <v>11</v>
      </c>
      <c r="F1885" s="55">
        <v>0.40875</v>
      </c>
    </row>
    <row r="1886" spans="2:6">
      <c r="B1886" s="48" t="s">
        <v>20</v>
      </c>
      <c r="C1886" s="48" t="s">
        <v>1720</v>
      </c>
      <c r="D1886" s="48">
        <f>DATE(YEAR(OneWeekMtgRatesDataTable756[[#This Row],[asofdate]]),MONTH(OneWeekMtgRatesDataTable756[[#This Row],[asofdate]]),DAY(OneWeekMtgRatesDataTable756[[#This Row],[asofdate]]))</f>
        <v>39836</v>
      </c>
      <c r="E1886" s="48" t="s">
        <v>11</v>
      </c>
      <c r="F1886" s="55">
        <v>0.40125</v>
      </c>
    </row>
    <row r="1887" spans="2:6">
      <c r="B1887" s="48" t="s">
        <v>20</v>
      </c>
      <c r="C1887" s="48" t="s">
        <v>1721</v>
      </c>
      <c r="D1887" s="48">
        <f>DATE(YEAR(OneWeekMtgRatesDataTable756[[#This Row],[asofdate]]),MONTH(OneWeekMtgRatesDataTable756[[#This Row],[asofdate]]),DAY(OneWeekMtgRatesDataTable756[[#This Row],[asofdate]]))</f>
        <v>39835</v>
      </c>
      <c r="E1887" s="48" t="s">
        <v>11</v>
      </c>
      <c r="F1887" s="55">
        <v>0.38938</v>
      </c>
    </row>
    <row r="1888" spans="2:6">
      <c r="B1888" s="48" t="s">
        <v>20</v>
      </c>
      <c r="C1888" s="48" t="s">
        <v>1722</v>
      </c>
      <c r="D1888" s="48">
        <f>DATE(YEAR(OneWeekMtgRatesDataTable756[[#This Row],[asofdate]]),MONTH(OneWeekMtgRatesDataTable756[[#This Row],[asofdate]]),DAY(OneWeekMtgRatesDataTable756[[#This Row],[asofdate]]))</f>
        <v>39834</v>
      </c>
      <c r="E1888" s="48" t="s">
        <v>11</v>
      </c>
      <c r="F1888" s="55">
        <v>0.35625000000000001</v>
      </c>
    </row>
    <row r="1889" spans="2:6">
      <c r="B1889" s="48" t="s">
        <v>20</v>
      </c>
      <c r="C1889" s="48" t="s">
        <v>1723</v>
      </c>
      <c r="D1889" s="48">
        <f>DATE(YEAR(OneWeekMtgRatesDataTable756[[#This Row],[asofdate]]),MONTH(OneWeekMtgRatesDataTable756[[#This Row],[asofdate]]),DAY(OneWeekMtgRatesDataTable756[[#This Row],[asofdate]]))</f>
        <v>39833</v>
      </c>
      <c r="E1889" s="48" t="s">
        <v>11</v>
      </c>
      <c r="F1889" s="55">
        <v>0.35249999999999998</v>
      </c>
    </row>
    <row r="1890" spans="2:6">
      <c r="B1890" s="48" t="s">
        <v>20</v>
      </c>
      <c r="C1890" s="48" t="s">
        <v>1724</v>
      </c>
      <c r="D1890" s="48">
        <f>DATE(YEAR(OneWeekMtgRatesDataTable756[[#This Row],[asofdate]]),MONTH(OneWeekMtgRatesDataTable756[[#This Row],[asofdate]]),DAY(OneWeekMtgRatesDataTable756[[#This Row],[asofdate]]))</f>
        <v>39829</v>
      </c>
      <c r="E1890" s="48" t="s">
        <v>11</v>
      </c>
      <c r="F1890" s="55">
        <v>0.35937999999999998</v>
      </c>
    </row>
    <row r="1891" spans="2:6">
      <c r="B1891" s="48" t="s">
        <v>20</v>
      </c>
      <c r="C1891" s="48" t="s">
        <v>1725</v>
      </c>
      <c r="D1891" s="48">
        <f>DATE(YEAR(OneWeekMtgRatesDataTable756[[#This Row],[asofdate]]),MONTH(OneWeekMtgRatesDataTable756[[#This Row],[asofdate]]),DAY(OneWeekMtgRatesDataTable756[[#This Row],[asofdate]]))</f>
        <v>39828</v>
      </c>
      <c r="E1891" s="48" t="s">
        <v>11</v>
      </c>
      <c r="F1891" s="55">
        <v>0.33374999999999999</v>
      </c>
    </row>
    <row r="1892" spans="2:6">
      <c r="B1892" s="48" t="s">
        <v>20</v>
      </c>
      <c r="C1892" s="48" t="s">
        <v>1726</v>
      </c>
      <c r="D1892" s="48">
        <f>DATE(YEAR(OneWeekMtgRatesDataTable756[[#This Row],[asofdate]]),MONTH(OneWeekMtgRatesDataTable756[[#This Row],[asofdate]]),DAY(OneWeekMtgRatesDataTable756[[#This Row],[asofdate]]))</f>
        <v>39827</v>
      </c>
      <c r="E1892" s="48" t="s">
        <v>11</v>
      </c>
      <c r="F1892" s="55">
        <v>0.32874999999999999</v>
      </c>
    </row>
    <row r="1893" spans="2:6">
      <c r="B1893" s="48" t="s">
        <v>20</v>
      </c>
      <c r="C1893" s="48" t="s">
        <v>1727</v>
      </c>
      <c r="D1893" s="48">
        <f>DATE(YEAR(OneWeekMtgRatesDataTable756[[#This Row],[asofdate]]),MONTH(OneWeekMtgRatesDataTable756[[#This Row],[asofdate]]),DAY(OneWeekMtgRatesDataTable756[[#This Row],[asofdate]]))</f>
        <v>39826</v>
      </c>
      <c r="E1893" s="48" t="s">
        <v>11</v>
      </c>
      <c r="F1893" s="55">
        <v>0.33312999999999998</v>
      </c>
    </row>
    <row r="1894" spans="2:6">
      <c r="B1894" s="48" t="s">
        <v>20</v>
      </c>
      <c r="C1894" s="48" t="s">
        <v>1728</v>
      </c>
      <c r="D1894" s="48">
        <f>DATE(YEAR(OneWeekMtgRatesDataTable756[[#This Row],[asofdate]]),MONTH(OneWeekMtgRatesDataTable756[[#This Row],[asofdate]]),DAY(OneWeekMtgRatesDataTable756[[#This Row],[asofdate]]))</f>
        <v>39825</v>
      </c>
      <c r="E1894" s="48" t="s">
        <v>11</v>
      </c>
      <c r="F1894" s="55">
        <v>0.34250000000000003</v>
      </c>
    </row>
    <row r="1895" spans="2:6">
      <c r="B1895" s="48" t="s">
        <v>20</v>
      </c>
      <c r="C1895" s="48" t="s">
        <v>1729</v>
      </c>
      <c r="D1895" s="48">
        <f>DATE(YEAR(OneWeekMtgRatesDataTable756[[#This Row],[asofdate]]),MONTH(OneWeekMtgRatesDataTable756[[#This Row],[asofdate]]),DAY(OneWeekMtgRatesDataTable756[[#This Row],[asofdate]]))</f>
        <v>39822</v>
      </c>
      <c r="E1895" s="48" t="s">
        <v>11</v>
      </c>
      <c r="F1895" s="55">
        <v>0.36625000000000002</v>
      </c>
    </row>
    <row r="1896" spans="2:6">
      <c r="B1896" s="48" t="s">
        <v>20</v>
      </c>
      <c r="C1896" s="48" t="s">
        <v>1730</v>
      </c>
      <c r="D1896" s="48">
        <f>DATE(YEAR(OneWeekMtgRatesDataTable756[[#This Row],[asofdate]]),MONTH(OneWeekMtgRatesDataTable756[[#This Row],[asofdate]]),DAY(OneWeekMtgRatesDataTable756[[#This Row],[asofdate]]))</f>
        <v>39821</v>
      </c>
      <c r="E1896" s="48" t="s">
        <v>11</v>
      </c>
      <c r="F1896" s="55">
        <v>0.38624999999999998</v>
      </c>
    </row>
    <row r="1897" spans="2:6">
      <c r="B1897" s="48" t="s">
        <v>20</v>
      </c>
      <c r="C1897" s="48" t="s">
        <v>1731</v>
      </c>
      <c r="D1897" s="48">
        <f>DATE(YEAR(OneWeekMtgRatesDataTable756[[#This Row],[asofdate]]),MONTH(OneWeekMtgRatesDataTable756[[#This Row],[asofdate]]),DAY(OneWeekMtgRatesDataTable756[[#This Row],[asofdate]]))</f>
        <v>39820</v>
      </c>
      <c r="E1897" s="48" t="s">
        <v>11</v>
      </c>
      <c r="F1897" s="55">
        <v>0.40625</v>
      </c>
    </row>
    <row r="1898" spans="2:6">
      <c r="B1898" s="48" t="s">
        <v>20</v>
      </c>
      <c r="C1898" s="48" t="s">
        <v>1732</v>
      </c>
      <c r="D1898" s="48">
        <f>DATE(YEAR(OneWeekMtgRatesDataTable756[[#This Row],[asofdate]]),MONTH(OneWeekMtgRatesDataTable756[[#This Row],[asofdate]]),DAY(OneWeekMtgRatesDataTable756[[#This Row],[asofdate]]))</f>
        <v>39819</v>
      </c>
      <c r="E1898" s="48" t="s">
        <v>11</v>
      </c>
      <c r="F1898" s="55">
        <v>0.42063</v>
      </c>
    </row>
    <row r="1899" spans="2:6">
      <c r="B1899" s="48" t="s">
        <v>20</v>
      </c>
      <c r="C1899" s="48" t="s">
        <v>1733</v>
      </c>
      <c r="D1899" s="48">
        <f>DATE(YEAR(OneWeekMtgRatesDataTable756[[#This Row],[asofdate]]),MONTH(OneWeekMtgRatesDataTable756[[#This Row],[asofdate]]),DAY(OneWeekMtgRatesDataTable756[[#This Row],[asofdate]]))</f>
        <v>39818</v>
      </c>
      <c r="E1899" s="48" t="s">
        <v>11</v>
      </c>
      <c r="F1899" s="55">
        <v>0.42875000000000002</v>
      </c>
    </row>
    <row r="1900" spans="2:6">
      <c r="B1900" s="48" t="s">
        <v>20</v>
      </c>
      <c r="C1900" s="48" t="s">
        <v>1734</v>
      </c>
      <c r="D1900" s="48">
        <f>DATE(YEAR(OneWeekMtgRatesDataTable756[[#This Row],[asofdate]]),MONTH(OneWeekMtgRatesDataTable756[[#This Row],[asofdate]]),DAY(OneWeekMtgRatesDataTable756[[#This Row],[asofdate]]))</f>
        <v>39815</v>
      </c>
      <c r="E1900" s="48" t="s">
        <v>11</v>
      </c>
      <c r="F1900" s="55">
        <v>0.43</v>
      </c>
    </row>
    <row r="1901" spans="2:6">
      <c r="C1901" s="9"/>
      <c r="D1901" s="23"/>
    </row>
    <row r="1902" spans="2:6">
      <c r="C1902" s="9"/>
      <c r="D1902" s="23"/>
    </row>
    <row r="1903" spans="2:6">
      <c r="C1903" s="9"/>
      <c r="D1903" s="23"/>
    </row>
    <row r="1904" spans="2:6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398"/>
  <sheetViews>
    <sheetView topLeftCell="H1" workbookViewId="0">
      <selection activeCell="AH5" sqref="AH5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42584</v>
      </c>
      <c r="AF3" s="51">
        <v>0.77758804000000004</v>
      </c>
      <c r="AG3"/>
      <c r="AH3" s="70">
        <v>42584</v>
      </c>
      <c r="AI3" s="51">
        <v>0.72145946000000005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42583</v>
      </c>
      <c r="AF4" s="51">
        <v>0.79847385000000004</v>
      </c>
      <c r="AG4"/>
      <c r="AH4" s="70">
        <v>42583</v>
      </c>
      <c r="AI4" s="51">
        <v>0.74991295000000002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42580</v>
      </c>
      <c r="AF5" s="51">
        <v>0.82208102999999999</v>
      </c>
      <c r="AG5"/>
      <c r="AH5" s="70">
        <v>42580</v>
      </c>
      <c r="AI5" s="51">
        <v>0.75066686000000005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42579</v>
      </c>
      <c r="AF6" s="51">
        <v>0.78994845999999996</v>
      </c>
      <c r="AG6"/>
      <c r="AH6" s="70">
        <v>42579</v>
      </c>
      <c r="AI6" s="51">
        <v>0.74142288999999995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42578</v>
      </c>
      <c r="AF7" s="51">
        <v>0.78287079999999998</v>
      </c>
      <c r="AG7"/>
      <c r="AH7" s="70">
        <v>42578</v>
      </c>
      <c r="AI7" s="51">
        <v>0.71829909000000003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42577</v>
      </c>
      <c r="AF8" s="51">
        <v>0.76565563000000003</v>
      </c>
      <c r="AG8"/>
      <c r="AH8" s="70">
        <v>42577</v>
      </c>
      <c r="AI8" s="51">
        <v>0.67012950999999998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42576</v>
      </c>
      <c r="AF9" s="51">
        <v>0.76995939000000002</v>
      </c>
      <c r="AG9"/>
      <c r="AH9" s="70">
        <v>42576</v>
      </c>
      <c r="AI9" s="51">
        <v>0.70939355999999998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42573</v>
      </c>
      <c r="AF10" s="51">
        <v>0.7739511</v>
      </c>
      <c r="AG10"/>
      <c r="AH10" s="70">
        <v>42573</v>
      </c>
      <c r="AI10" s="51">
        <v>0.71218190999999997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42572</v>
      </c>
      <c r="AF11" s="51">
        <v>0.77993182000000005</v>
      </c>
      <c r="AG11"/>
      <c r="AH11" s="70">
        <v>42572</v>
      </c>
      <c r="AI11" s="51">
        <v>0.71793845999999995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42571</v>
      </c>
      <c r="AF12" s="51">
        <v>0.76210929000000005</v>
      </c>
      <c r="AG12"/>
      <c r="AH12" s="70">
        <v>42571</v>
      </c>
      <c r="AI12" s="51">
        <v>0.66935076999999998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42570</v>
      </c>
      <c r="AF13" s="51">
        <v>0.77099105999999995</v>
      </c>
      <c r="AG13"/>
      <c r="AH13" s="70">
        <v>42570</v>
      </c>
      <c r="AI13" s="51">
        <v>0.70940170000000002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42569</v>
      </c>
      <c r="AF14" s="51">
        <v>0.75904621000000005</v>
      </c>
      <c r="AG14"/>
      <c r="AH14" s="70">
        <v>42569</v>
      </c>
      <c r="AI14" s="51">
        <v>0.66656075999999997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42566</v>
      </c>
      <c r="AF15" s="51">
        <v>0.75739628000000003</v>
      </c>
      <c r="AG15"/>
      <c r="AH15" s="70">
        <v>42566</v>
      </c>
      <c r="AI15" s="51">
        <v>0.66567591999999998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42565</v>
      </c>
      <c r="AF16" s="51">
        <v>0.77538313999999997</v>
      </c>
      <c r="AG16"/>
      <c r="AH16" s="70">
        <v>42565</v>
      </c>
      <c r="AI16" s="51">
        <v>0.71273478000000001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42564</v>
      </c>
      <c r="AF17" s="51">
        <v>0.77538313999999997</v>
      </c>
      <c r="AG17"/>
      <c r="AH17" s="70">
        <v>42564</v>
      </c>
      <c r="AI17" s="51">
        <v>0.71272608999999998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42563</v>
      </c>
      <c r="AF18" s="51">
        <v>0.76504835999999998</v>
      </c>
      <c r="AG18"/>
      <c r="AH18" s="70">
        <v>42563</v>
      </c>
      <c r="AI18" s="51">
        <v>0.67012081999999995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42562</v>
      </c>
      <c r="AF19" s="51">
        <v>0.78337628000000004</v>
      </c>
      <c r="AG19"/>
      <c r="AH19" s="70">
        <v>42562</v>
      </c>
      <c r="AI19" s="51">
        <v>0.71868504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42558</v>
      </c>
      <c r="AF20" s="51">
        <v>0.79157356000000001</v>
      </c>
      <c r="AG20"/>
      <c r="AH20" s="70">
        <v>42558</v>
      </c>
      <c r="AI20" s="51">
        <v>0.75343450999999995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42557</v>
      </c>
      <c r="AF21" s="51">
        <v>0.85204285999999996</v>
      </c>
      <c r="AG21"/>
      <c r="AH21" s="70">
        <v>42557</v>
      </c>
      <c r="AI21" s="51">
        <v>0.80539779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42556</v>
      </c>
      <c r="AF22" s="51">
        <v>0.87172384999999997</v>
      </c>
      <c r="AG22"/>
      <c r="AH22" s="70">
        <v>42556</v>
      </c>
      <c r="AI22" s="51">
        <v>0.83069645999999997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42552</v>
      </c>
      <c r="AF23" s="51">
        <v>0.83904487999999999</v>
      </c>
      <c r="AG23"/>
      <c r="AH23" s="70">
        <v>42552</v>
      </c>
      <c r="AI23" s="51">
        <v>0.79873163999999996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42551</v>
      </c>
      <c r="AF24" s="51">
        <v>0.83531805999999997</v>
      </c>
      <c r="AG24"/>
      <c r="AH24" s="70">
        <v>42551</v>
      </c>
      <c r="AI24" s="51">
        <v>0.77887030999999995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42550</v>
      </c>
      <c r="AF25" s="51">
        <v>0.82400633000000001</v>
      </c>
      <c r="AG25"/>
      <c r="AH25" s="70">
        <v>42550</v>
      </c>
      <c r="AI25" s="51">
        <v>0.76820710000000003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42549</v>
      </c>
      <c r="AF26" s="51">
        <v>0.82242183000000002</v>
      </c>
      <c r="AG26"/>
      <c r="AH26" s="70">
        <v>42549</v>
      </c>
      <c r="AI26" s="51">
        <v>0.76744889999999999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42548</v>
      </c>
      <c r="AF27" s="51">
        <v>0.82328003000000005</v>
      </c>
      <c r="AG27"/>
      <c r="AH27" s="70">
        <v>42548</v>
      </c>
      <c r="AI27" s="51">
        <v>0.76808451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42545</v>
      </c>
      <c r="AF28" s="51">
        <v>0.76547255000000003</v>
      </c>
      <c r="AG28"/>
      <c r="AH28" s="70">
        <v>42545</v>
      </c>
      <c r="AI28" s="51">
        <v>0.68497275000000002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42544</v>
      </c>
      <c r="AF29" s="51">
        <v>0.66050016</v>
      </c>
      <c r="AG29"/>
      <c r="AH29" s="70">
        <v>42544</v>
      </c>
      <c r="AI29" s="51">
        <v>0.60378577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42543</v>
      </c>
      <c r="AF30" s="51">
        <v>0.71705357000000003</v>
      </c>
      <c r="AG30"/>
      <c r="AH30" s="70">
        <v>42543</v>
      </c>
      <c r="AI30" s="51">
        <v>0.63062680999999998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42542</v>
      </c>
      <c r="AF31" s="51">
        <v>0.71431606000000003</v>
      </c>
      <c r="AG31"/>
      <c r="AH31" s="70">
        <v>42542</v>
      </c>
      <c r="AI31" s="51">
        <v>0.65082127999999995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42541</v>
      </c>
      <c r="AF32" s="51">
        <v>0.72318055000000003</v>
      </c>
      <c r="AG32"/>
      <c r="AH32" s="70">
        <v>42541</v>
      </c>
      <c r="AI32" s="51">
        <v>0.65193935000000003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42538</v>
      </c>
      <c r="AF33" s="51">
        <v>0.74449575000000001</v>
      </c>
      <c r="AG33"/>
      <c r="AH33" s="70">
        <v>42538</v>
      </c>
      <c r="AI33" s="51">
        <v>0.67401794000000004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42537</v>
      </c>
      <c r="AF34" s="51">
        <v>0.77076904999999996</v>
      </c>
      <c r="AG34"/>
      <c r="AH34" s="70">
        <v>42537</v>
      </c>
      <c r="AI34" s="51">
        <v>0.68793629999999995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42536</v>
      </c>
      <c r="AF35" s="51">
        <v>0.76188202000000005</v>
      </c>
      <c r="AG35"/>
      <c r="AH35" s="70">
        <v>42536</v>
      </c>
      <c r="AI35" s="51">
        <v>0.68228763000000003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42535</v>
      </c>
      <c r="AF36" s="51">
        <v>0.74921442999999999</v>
      </c>
      <c r="AG36"/>
      <c r="AH36" s="70">
        <v>42535</v>
      </c>
      <c r="AI36" s="51">
        <v>0.67837716000000003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42534</v>
      </c>
      <c r="AF37" s="51">
        <v>0.75440320000000005</v>
      </c>
      <c r="AG37"/>
      <c r="AH37" s="70">
        <v>42534</v>
      </c>
      <c r="AI37" s="51">
        <v>0.67898621999999997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42531</v>
      </c>
      <c r="AF38" s="51">
        <v>0.74849681999999995</v>
      </c>
      <c r="AG38"/>
      <c r="AH38" s="70">
        <v>42531</v>
      </c>
      <c r="AI38" s="51">
        <v>0.65115937000000002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42530</v>
      </c>
      <c r="AF39" s="51">
        <v>0.73503867000000001</v>
      </c>
      <c r="AG39"/>
      <c r="AH39" s="70">
        <v>42530</v>
      </c>
      <c r="AI39" s="51">
        <v>0.64371992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42529</v>
      </c>
      <c r="AF40" s="51">
        <v>0.73685893999999996</v>
      </c>
      <c r="AG40"/>
      <c r="AH40" s="70">
        <v>42529</v>
      </c>
      <c r="AI40" s="51">
        <v>0.66187079999999998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42528</v>
      </c>
      <c r="AF41" s="51">
        <v>0.73032907999999996</v>
      </c>
      <c r="AG41"/>
      <c r="AH41" s="70">
        <v>42528</v>
      </c>
      <c r="AI41" s="51">
        <v>0.64164686000000004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42527</v>
      </c>
      <c r="AF42" s="51">
        <v>0.72899378999999997</v>
      </c>
      <c r="AG42"/>
      <c r="AH42" s="70">
        <v>42527</v>
      </c>
      <c r="AI42" s="51">
        <v>0.65170421999999995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42524</v>
      </c>
      <c r="AF43" s="51">
        <v>0.73618722999999997</v>
      </c>
      <c r="AG43"/>
      <c r="AH43" s="70">
        <v>42524</v>
      </c>
      <c r="AI43" s="51">
        <v>0.67212985999999997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42523</v>
      </c>
      <c r="AF44" s="51">
        <v>0.64038077999999998</v>
      </c>
      <c r="AG44"/>
      <c r="AH44" s="70">
        <v>42523</v>
      </c>
      <c r="AI44" s="51">
        <v>0.59638500999999999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42522</v>
      </c>
      <c r="AF45" s="51">
        <v>0.66593542999999999</v>
      </c>
      <c r="AG45"/>
      <c r="AH45" s="70">
        <v>42522</v>
      </c>
      <c r="AI45" s="51">
        <v>0.60247399000000001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42521</v>
      </c>
      <c r="AF46" s="51">
        <v>0.69065372999999997</v>
      </c>
      <c r="AG46"/>
      <c r="AH46" s="70">
        <v>42521</v>
      </c>
      <c r="AI46" s="51">
        <v>0.63006810000000002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42517</v>
      </c>
      <c r="AF47" s="51">
        <v>0.67548286000000002</v>
      </c>
      <c r="AG47"/>
      <c r="AH47" s="70">
        <v>42517</v>
      </c>
      <c r="AI47" s="51">
        <v>0.64531744999999996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42516</v>
      </c>
      <c r="AF48" s="51">
        <v>0.67964031000000003</v>
      </c>
      <c r="AG48"/>
      <c r="AH48" s="70">
        <v>42516</v>
      </c>
      <c r="AI48" s="51">
        <v>0.64563333999999994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42515</v>
      </c>
      <c r="AF49" s="51">
        <v>0.61734584000000003</v>
      </c>
      <c r="AG49"/>
      <c r="AH49" s="70">
        <v>42515</v>
      </c>
      <c r="AI49" s="51">
        <v>0.57360756999999996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42514</v>
      </c>
      <c r="AF50" s="51">
        <v>0.62984667000000005</v>
      </c>
      <c r="AG50"/>
      <c r="AH50" s="70">
        <v>42514</v>
      </c>
      <c r="AI50" s="51">
        <v>0.57922940999999994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42513</v>
      </c>
      <c r="AF51" s="51">
        <v>0.64166469000000004</v>
      </c>
      <c r="AG51"/>
      <c r="AH51" s="70">
        <v>42513</v>
      </c>
      <c r="AI51" s="51">
        <v>0.60035059000000002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42510</v>
      </c>
      <c r="AF52" s="51">
        <v>0.63638189999999994</v>
      </c>
      <c r="AG52"/>
      <c r="AH52" s="70">
        <v>42510</v>
      </c>
      <c r="AI52" s="51">
        <v>0.59943771999999995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42509</v>
      </c>
      <c r="AF53" s="51">
        <v>0.63933636000000005</v>
      </c>
      <c r="AG53"/>
      <c r="AH53" s="70">
        <v>42509</v>
      </c>
      <c r="AI53" s="51">
        <v>0.60006627000000001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42508</v>
      </c>
      <c r="AF54" s="51">
        <v>0.60838946000000005</v>
      </c>
      <c r="AG54"/>
      <c r="AH54" s="70">
        <v>42508</v>
      </c>
      <c r="AI54" s="51">
        <v>0.57190841000000003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42507</v>
      </c>
      <c r="AF55" s="51">
        <v>0.69560208999999995</v>
      </c>
      <c r="AG55"/>
      <c r="AH55" s="70">
        <v>42507</v>
      </c>
      <c r="AI55" s="51">
        <v>0.64998699000000004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42506</v>
      </c>
      <c r="AF56" s="51">
        <v>0.72664448000000004</v>
      </c>
      <c r="AG56"/>
      <c r="AH56" s="70">
        <v>42506</v>
      </c>
      <c r="AI56" s="51">
        <v>0.65700296000000002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42503</v>
      </c>
      <c r="AF57" s="51">
        <v>0.75938015999999997</v>
      </c>
      <c r="AG57"/>
      <c r="AH57" s="70">
        <v>42503</v>
      </c>
      <c r="AI57" s="51">
        <v>0.68377094999999999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42502</v>
      </c>
      <c r="AF58" s="51">
        <v>0.72488211999999996</v>
      </c>
      <c r="AG58"/>
      <c r="AH58" s="70">
        <v>42502</v>
      </c>
      <c r="AI58" s="51">
        <v>0.65697101999999996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42501</v>
      </c>
      <c r="AF59" s="51">
        <v>0.72894141000000001</v>
      </c>
      <c r="AG59"/>
      <c r="AH59" s="70">
        <v>42501</v>
      </c>
      <c r="AI59" s="51">
        <v>0.65697101999999996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42500</v>
      </c>
      <c r="AF60" s="51">
        <v>0.72488211999999996</v>
      </c>
      <c r="AG60"/>
      <c r="AH60" s="70">
        <v>42500</v>
      </c>
      <c r="AI60" s="51">
        <v>0.65697101999999996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42499</v>
      </c>
      <c r="AF61" s="51">
        <v>0.73857746000000002</v>
      </c>
      <c r="AG61"/>
      <c r="AH61" s="70">
        <v>42499</v>
      </c>
      <c r="AI61" s="51">
        <v>0.65697101999999996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42496</v>
      </c>
      <c r="AF62" s="51">
        <v>0.72664448000000004</v>
      </c>
      <c r="AG62"/>
      <c r="AH62" s="70">
        <v>42499</v>
      </c>
      <c r="AI62" s="51">
        <v>0.65697101999999996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42495</v>
      </c>
      <c r="AF63" s="51">
        <v>0.72664448000000004</v>
      </c>
      <c r="AG63"/>
      <c r="AH63" s="70">
        <v>42496</v>
      </c>
      <c r="AI63" s="51">
        <v>0.64501220999999997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42494</v>
      </c>
      <c r="AF64" s="51">
        <v>0.72365394000000005</v>
      </c>
      <c r="AG64"/>
      <c r="AH64" s="70">
        <v>42495</v>
      </c>
      <c r="AI64" s="51">
        <v>0.64501220999999997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42493</v>
      </c>
      <c r="AF65" s="51">
        <v>0.72772831000000004</v>
      </c>
      <c r="AG65"/>
      <c r="AH65" s="70">
        <v>42494</v>
      </c>
      <c r="AI65" s="51">
        <v>0.64475627999999996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42489</v>
      </c>
      <c r="AF66" s="51">
        <v>0.71527101000000004</v>
      </c>
      <c r="AG66"/>
      <c r="AH66" s="70">
        <v>42493</v>
      </c>
      <c r="AI66" s="51">
        <v>0.64530156999999999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42488</v>
      </c>
      <c r="AF67" s="51">
        <v>0.69084005999999998</v>
      </c>
      <c r="AG67"/>
      <c r="AH67" s="70">
        <v>42492</v>
      </c>
      <c r="AI67" s="51">
        <v>0.64530156999999999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42487</v>
      </c>
      <c r="AF68" s="51">
        <v>0.62194773999999997</v>
      </c>
      <c r="AG68"/>
      <c r="AH68" s="70">
        <v>42489</v>
      </c>
      <c r="AI68" s="51">
        <v>0.64269335999999999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42486</v>
      </c>
      <c r="AF69" s="51">
        <v>0.58441454000000004</v>
      </c>
      <c r="AG69"/>
      <c r="AH69" s="70">
        <v>42488</v>
      </c>
      <c r="AI69" s="51">
        <v>0.64071977000000002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42485</v>
      </c>
      <c r="AF70" s="51">
        <v>0.59607467000000003</v>
      </c>
      <c r="AG70"/>
      <c r="AH70" s="70">
        <v>42487</v>
      </c>
      <c r="AI70" s="51">
        <v>0.56603201999999997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42482</v>
      </c>
      <c r="AF71" s="51">
        <v>0.60438601000000003</v>
      </c>
      <c r="AG71"/>
      <c r="AH71" s="70">
        <v>42486</v>
      </c>
      <c r="AI71" s="51">
        <v>0.55677259999999995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42481</v>
      </c>
      <c r="AF72" s="51">
        <v>0.61555093999999999</v>
      </c>
      <c r="AG72"/>
      <c r="AH72" s="70">
        <v>42485</v>
      </c>
      <c r="AI72" s="51">
        <v>0.55822185999999996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42479</v>
      </c>
      <c r="AF73" s="51">
        <v>0.67089173000000002</v>
      </c>
      <c r="AG73"/>
      <c r="AH73" s="70">
        <v>42482</v>
      </c>
      <c r="AI73" s="51">
        <v>0.55915334999999999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42475</v>
      </c>
      <c r="AF74" s="51">
        <v>0.71882394999999999</v>
      </c>
      <c r="AG74"/>
      <c r="AH74" s="70">
        <v>42481</v>
      </c>
      <c r="AI74" s="51">
        <v>0.55915334999999999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42474</v>
      </c>
      <c r="AF75" s="51">
        <v>0.71206453000000003</v>
      </c>
      <c r="AG75"/>
      <c r="AH75" s="70">
        <v>42480</v>
      </c>
      <c r="AI75" s="51">
        <v>0.55915334999999999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42473</v>
      </c>
      <c r="AF76" s="51">
        <v>0.73430275</v>
      </c>
      <c r="AG76"/>
      <c r="AH76" s="70">
        <v>42479</v>
      </c>
      <c r="AI76" s="51">
        <v>0.55915334999999999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42472</v>
      </c>
      <c r="AF77" s="51">
        <v>0.72253873000000002</v>
      </c>
      <c r="AG77"/>
      <c r="AH77" s="70">
        <v>42478</v>
      </c>
      <c r="AI77" s="51">
        <v>0.55915334999999999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42471</v>
      </c>
      <c r="AF78" s="51">
        <v>0.76360198999999995</v>
      </c>
      <c r="AG78"/>
      <c r="AH78" s="70">
        <v>42475</v>
      </c>
      <c r="AI78" s="51">
        <v>0.64194932999999998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42468</v>
      </c>
      <c r="AF79" s="51">
        <v>0.76360198999999995</v>
      </c>
      <c r="AG79"/>
      <c r="AH79" s="70">
        <v>42474</v>
      </c>
      <c r="AI79" s="51">
        <v>0.64194932999999998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42467</v>
      </c>
      <c r="AF80" s="51">
        <v>0.76553625000000003</v>
      </c>
      <c r="AG80"/>
      <c r="AH80" s="70">
        <v>42473</v>
      </c>
      <c r="AI80" s="51">
        <v>0.64194932999999998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42466</v>
      </c>
      <c r="AF81" s="51">
        <v>0.72030947000000001</v>
      </c>
      <c r="AG81"/>
      <c r="AH81" s="70">
        <v>42472</v>
      </c>
      <c r="AI81" s="51">
        <v>0.64194932999999998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42465</v>
      </c>
      <c r="AF82" s="51">
        <v>0.74857565000000004</v>
      </c>
      <c r="AG82"/>
      <c r="AH82" s="70">
        <v>42471</v>
      </c>
      <c r="AI82" s="51">
        <v>0.64194932999999998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42464</v>
      </c>
      <c r="AF83" s="51">
        <v>0.71206453000000003</v>
      </c>
      <c r="AG83"/>
      <c r="AH83" s="70">
        <v>42468</v>
      </c>
      <c r="AI83" s="51">
        <v>0.68103849000000005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42461</v>
      </c>
      <c r="AF84" s="51">
        <v>0.70078898999999995</v>
      </c>
      <c r="AG84"/>
      <c r="AH84" s="70">
        <v>42467</v>
      </c>
      <c r="AI84" s="51">
        <v>0.68103849000000005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42460</v>
      </c>
      <c r="AF85" s="51">
        <v>0.69383998000000002</v>
      </c>
      <c r="AG85"/>
      <c r="AH85" s="70">
        <v>42466</v>
      </c>
      <c r="AI85" s="51">
        <v>0.64977023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42459</v>
      </c>
      <c r="AF86" s="51">
        <v>0.67677239</v>
      </c>
      <c r="AG86"/>
      <c r="AH86" s="70">
        <v>42465</v>
      </c>
      <c r="AI86" s="51">
        <v>0.65871983000000001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42458</v>
      </c>
      <c r="AF87" s="51">
        <v>0.68956079000000003</v>
      </c>
      <c r="AG87"/>
      <c r="AH87" s="70">
        <v>42464</v>
      </c>
      <c r="AI87" s="51">
        <v>0.64889909999999995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42457</v>
      </c>
      <c r="AF88" s="51">
        <v>0.61689755999999996</v>
      </c>
      <c r="AG88"/>
      <c r="AH88" s="70">
        <v>42461</v>
      </c>
      <c r="AI88" s="51">
        <v>0.64810387999999997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42452</v>
      </c>
      <c r="AF89" s="51">
        <v>0.64411647999999999</v>
      </c>
      <c r="AG89"/>
      <c r="AH89" s="70">
        <v>42460</v>
      </c>
      <c r="AI89" s="51">
        <v>0.65199251999999996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42451</v>
      </c>
      <c r="AF90" s="51">
        <v>0.60830410000000001</v>
      </c>
      <c r="AG90"/>
      <c r="AH90" s="70">
        <v>42459</v>
      </c>
      <c r="AI90" s="51">
        <v>0.61430220999999996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42450</v>
      </c>
      <c r="AF91" s="51">
        <v>0.62233154000000002</v>
      </c>
      <c r="AG91"/>
      <c r="AH91" s="70">
        <v>42458</v>
      </c>
      <c r="AI91" s="51">
        <v>0.64874697999999997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42447</v>
      </c>
      <c r="AF92" s="51">
        <v>0.65736103999999995</v>
      </c>
      <c r="AG92"/>
      <c r="AH92" s="70">
        <v>42457</v>
      </c>
      <c r="AI92" s="51">
        <v>0.57406478999999999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42446</v>
      </c>
      <c r="AF93" s="51">
        <v>0.65295318999999996</v>
      </c>
      <c r="AG93"/>
      <c r="AH93" s="70">
        <v>42453</v>
      </c>
      <c r="AI93" s="51">
        <v>0.60079293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42445</v>
      </c>
      <c r="AF94" s="51">
        <v>0.60607814999999998</v>
      </c>
      <c r="AG94"/>
      <c r="AH94" s="70">
        <v>42452</v>
      </c>
      <c r="AI94" s="51">
        <v>0.60079293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42444</v>
      </c>
      <c r="AF95" s="51">
        <v>0.56824863000000003</v>
      </c>
      <c r="AG95"/>
      <c r="AH95" s="70">
        <v>42451</v>
      </c>
      <c r="AI95" s="51">
        <v>0.57193671999999995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42443</v>
      </c>
      <c r="AF96" s="51">
        <v>0.57831770999999998</v>
      </c>
      <c r="AG96"/>
      <c r="AH96" s="70">
        <v>42450</v>
      </c>
      <c r="AI96" s="51">
        <v>0.57710744000000003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42440</v>
      </c>
      <c r="AF97" s="51">
        <v>0.57144903000000002</v>
      </c>
      <c r="AG97"/>
      <c r="AH97" s="70">
        <v>42447</v>
      </c>
      <c r="AI97" s="51">
        <v>0.61301395999999997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42439</v>
      </c>
      <c r="AF98" s="51">
        <v>0.59432430999999997</v>
      </c>
      <c r="AG98"/>
      <c r="AH98" s="70">
        <v>42446</v>
      </c>
      <c r="AI98" s="51">
        <v>0.61210995999999995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42438</v>
      </c>
      <c r="AF99" s="51">
        <v>0.56910388000000001</v>
      </c>
      <c r="AG99"/>
      <c r="AH99" s="70">
        <v>42445</v>
      </c>
      <c r="AI99" s="51">
        <v>0.62767092000000002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42437</v>
      </c>
      <c r="AF100" s="51">
        <v>0.62096764000000004</v>
      </c>
      <c r="AG100"/>
      <c r="AH100" s="70">
        <v>42444</v>
      </c>
      <c r="AI100" s="51">
        <v>0.53932431000000003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42436</v>
      </c>
      <c r="AF101" s="51">
        <v>0.58315185000000003</v>
      </c>
      <c r="AG101"/>
      <c r="AH101" s="70">
        <v>42443</v>
      </c>
      <c r="AI101" s="51">
        <v>0.54165810000000003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42433</v>
      </c>
      <c r="AF102" s="51">
        <v>0.61029120999999997</v>
      </c>
      <c r="AG102"/>
      <c r="AH102" s="70">
        <v>42440</v>
      </c>
      <c r="AI102" s="51">
        <v>0.54023907000000004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42432</v>
      </c>
      <c r="AF103" s="51">
        <v>0.63703244000000003</v>
      </c>
      <c r="AG103"/>
      <c r="AH103" s="70">
        <v>42439</v>
      </c>
      <c r="AI103" s="51">
        <v>0.57554987999999996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42431</v>
      </c>
      <c r="AF104" s="51">
        <v>0.58954857999999999</v>
      </c>
      <c r="AG104"/>
      <c r="AH104" s="70">
        <v>42438</v>
      </c>
      <c r="AI104" s="51">
        <v>0.53947831000000002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42430</v>
      </c>
      <c r="AF105" s="51">
        <v>0.60868164999999996</v>
      </c>
      <c r="AG105"/>
      <c r="AH105" s="70">
        <v>42437</v>
      </c>
      <c r="AI105" s="51">
        <v>0.58140057000000001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42429</v>
      </c>
      <c r="AF106" s="51">
        <v>0.66887903999999998</v>
      </c>
      <c r="AG106"/>
      <c r="AH106" s="70">
        <v>42436</v>
      </c>
      <c r="AI106" s="51">
        <v>0.54203120999999999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42426</v>
      </c>
      <c r="AF107" s="51">
        <v>0.64933876999999995</v>
      </c>
      <c r="AG107"/>
      <c r="AH107" s="70">
        <v>42433</v>
      </c>
      <c r="AI107" s="51">
        <v>0.58303041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42425</v>
      </c>
      <c r="AF108" s="51">
        <v>0.71465606999999998</v>
      </c>
      <c r="AG108"/>
      <c r="AH108" s="70">
        <v>42432</v>
      </c>
      <c r="AI108" s="51">
        <v>0.61797321999999999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42424</v>
      </c>
      <c r="AF109" s="51">
        <v>0.67354866999999996</v>
      </c>
      <c r="AG109"/>
      <c r="AH109" s="70">
        <v>42431</v>
      </c>
      <c r="AI109" s="51">
        <v>0.58049090999999997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42423</v>
      </c>
      <c r="AF110" s="51">
        <v>0.65680558</v>
      </c>
      <c r="AG110"/>
      <c r="AH110" s="70">
        <v>42430</v>
      </c>
      <c r="AI110" s="51">
        <v>0.58300154000000004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42422</v>
      </c>
      <c r="AF111" s="51">
        <v>0.64620805999999997</v>
      </c>
      <c r="AG111"/>
      <c r="AH111" s="70">
        <v>42429</v>
      </c>
      <c r="AI111" s="51">
        <v>0.62644641000000001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42419</v>
      </c>
      <c r="AF112" s="51">
        <v>0.65191341000000003</v>
      </c>
      <c r="AG112"/>
      <c r="AH112" s="70">
        <v>42426</v>
      </c>
      <c r="AI112" s="51">
        <v>0.62059200000000003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42418</v>
      </c>
      <c r="AF113" s="51">
        <v>0.65222623000000002</v>
      </c>
      <c r="AG113"/>
      <c r="AH113" s="70">
        <v>42425</v>
      </c>
      <c r="AI113" s="51">
        <v>0.66695844000000004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42417</v>
      </c>
      <c r="AF114" s="51">
        <v>0.62260472</v>
      </c>
      <c r="AG114"/>
      <c r="AH114" s="70">
        <v>42424</v>
      </c>
      <c r="AI114" s="51">
        <v>0.62671580999999998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42416</v>
      </c>
      <c r="AF115" s="51">
        <v>0.64863170000000003</v>
      </c>
      <c r="AG115"/>
      <c r="AH115" s="70">
        <v>42423</v>
      </c>
      <c r="AI115" s="51">
        <v>0.62461104999999995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42412</v>
      </c>
      <c r="AF116" s="51">
        <v>0.65222623000000002</v>
      </c>
      <c r="AG116"/>
      <c r="AH116" s="70">
        <v>42422</v>
      </c>
      <c r="AI116" s="51">
        <v>0.62039754000000003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42411</v>
      </c>
      <c r="AF117" s="51">
        <v>0.77575077000000003</v>
      </c>
      <c r="AG117"/>
      <c r="AH117" s="70">
        <v>42419</v>
      </c>
      <c r="AI117" s="51">
        <v>0.62082157000000004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42410</v>
      </c>
      <c r="AF118" s="51">
        <v>0.74538501999999995</v>
      </c>
      <c r="AG118"/>
      <c r="AH118" s="70">
        <v>42418</v>
      </c>
      <c r="AI118" s="51">
        <v>0.62082232999999998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42409</v>
      </c>
      <c r="AF119" s="51">
        <v>0.72648203</v>
      </c>
      <c r="AG119"/>
      <c r="AH119" s="70">
        <v>42417</v>
      </c>
      <c r="AI119" s="51">
        <v>0.58974674999999999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42408</v>
      </c>
      <c r="AF120" s="51">
        <v>0.68939402999999999</v>
      </c>
      <c r="AG120"/>
      <c r="AH120" s="70">
        <v>42416</v>
      </c>
      <c r="AI120" s="51">
        <v>0.62043510999999996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42405</v>
      </c>
      <c r="AF121" s="51">
        <v>0.62575740000000002</v>
      </c>
      <c r="AG121"/>
      <c r="AH121" s="70">
        <v>42412</v>
      </c>
      <c r="AI121" s="51">
        <v>0.62082364999999995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42404</v>
      </c>
      <c r="AF122" s="51">
        <v>0.62090383000000005</v>
      </c>
      <c r="AG122"/>
      <c r="AH122" s="70">
        <v>42411</v>
      </c>
      <c r="AI122" s="51">
        <v>0.70441505000000004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42403</v>
      </c>
      <c r="AF123" s="51">
        <v>0.64134849999999999</v>
      </c>
      <c r="AG123"/>
      <c r="AH123" s="70">
        <v>42410</v>
      </c>
      <c r="AI123" s="51">
        <v>0.67356110999999996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42402</v>
      </c>
      <c r="AF124" s="51">
        <v>0.64022367000000002</v>
      </c>
      <c r="AG124"/>
      <c r="AH124" s="70">
        <v>42409</v>
      </c>
      <c r="AI124" s="51">
        <v>0.67040396000000002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42401</v>
      </c>
      <c r="AF125" s="51">
        <v>0.57364006000000001</v>
      </c>
      <c r="AG125"/>
      <c r="AH125" s="70">
        <v>42408</v>
      </c>
      <c r="AI125" s="51">
        <v>0.66256015000000001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42398</v>
      </c>
      <c r="AF126" s="51">
        <v>0.62325063999999997</v>
      </c>
      <c r="AG126"/>
      <c r="AH126" s="70">
        <v>42405</v>
      </c>
      <c r="AI126" s="51">
        <v>0.59064981000000005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42397</v>
      </c>
      <c r="AF127" s="51">
        <v>0.57711681000000004</v>
      </c>
      <c r="AG127"/>
      <c r="AH127" s="70">
        <v>42404</v>
      </c>
      <c r="AI127" s="51">
        <v>0.58964808999999996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42396</v>
      </c>
      <c r="AF128" s="51">
        <v>0.56800748999999995</v>
      </c>
      <c r="AG128"/>
      <c r="AH128" s="70">
        <v>42403</v>
      </c>
      <c r="AI128" s="51">
        <v>0.62014212999999996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42395</v>
      </c>
      <c r="AF129" s="51">
        <v>0.56985235999999995</v>
      </c>
      <c r="AG129"/>
      <c r="AH129" s="70">
        <v>42402</v>
      </c>
      <c r="AI129" s="51">
        <v>0.61961471000000001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42394</v>
      </c>
      <c r="AF130" s="51">
        <v>0.54513613000000005</v>
      </c>
      <c r="AG130"/>
      <c r="AH130" s="70">
        <v>42401</v>
      </c>
      <c r="AI130" s="51">
        <v>0.54973638000000002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42391</v>
      </c>
      <c r="AF131" s="51">
        <v>0.53387094000000002</v>
      </c>
      <c r="AG131"/>
      <c r="AH131" s="70">
        <v>42398</v>
      </c>
      <c r="AI131" s="51">
        <v>0.59584331999999995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42390</v>
      </c>
      <c r="AF132" s="51">
        <v>0.54936136999999996</v>
      </c>
      <c r="AG132"/>
      <c r="AH132" s="70">
        <v>42397</v>
      </c>
      <c r="AI132" s="51">
        <v>0.55686236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42389</v>
      </c>
      <c r="AF133" s="51">
        <v>0.51737109000000003</v>
      </c>
      <c r="AG133"/>
      <c r="AH133" s="70">
        <v>42396</v>
      </c>
      <c r="AI133" s="51">
        <v>0.55127775999999995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42388</v>
      </c>
      <c r="AF134" s="51">
        <v>0.51856720000000001</v>
      </c>
      <c r="AG134"/>
      <c r="AH134" s="70">
        <v>42395</v>
      </c>
      <c r="AI134" s="51">
        <v>0.55131852999999997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42384</v>
      </c>
      <c r="AF135" s="51">
        <v>0.52107168000000004</v>
      </c>
      <c r="AG135"/>
      <c r="AH135" s="70">
        <v>42394</v>
      </c>
      <c r="AI135" s="51">
        <v>0.52311247000000005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42383</v>
      </c>
      <c r="AF136" s="51">
        <v>0.49594749999999999</v>
      </c>
      <c r="AG136"/>
      <c r="AH136" s="70">
        <v>42391</v>
      </c>
      <c r="AI136" s="51">
        <v>0.51968539999999996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42382</v>
      </c>
      <c r="AF137" s="51">
        <v>0.50384284000000001</v>
      </c>
      <c r="AG137"/>
      <c r="AH137" s="70">
        <v>42390</v>
      </c>
      <c r="AI137" s="51">
        <v>0.52755973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42381</v>
      </c>
      <c r="AF138" s="51">
        <v>0.52167472000000004</v>
      </c>
      <c r="AG138"/>
      <c r="AH138" s="70">
        <v>42389</v>
      </c>
      <c r="AI138" s="51">
        <v>0.51389351999999999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42380</v>
      </c>
      <c r="AF139" s="51">
        <v>0.49069705000000002</v>
      </c>
      <c r="AG139"/>
      <c r="AH139" s="70">
        <v>42388</v>
      </c>
      <c r="AI139" s="51">
        <v>0.51390113999999998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42377</v>
      </c>
      <c r="AF140" s="51">
        <v>0.49696595999999998</v>
      </c>
      <c r="AG140"/>
      <c r="AH140" s="70">
        <v>42384</v>
      </c>
      <c r="AI140" s="51">
        <v>0.51465267000000003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42376</v>
      </c>
      <c r="AF141" s="51">
        <v>0.48494499000000002</v>
      </c>
      <c r="AG141"/>
      <c r="AH141" s="70">
        <v>42383</v>
      </c>
      <c r="AI141" s="51">
        <v>0.47818712000000002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42375</v>
      </c>
      <c r="AF142" s="51">
        <v>0.47847035999999998</v>
      </c>
      <c r="AG142"/>
      <c r="AH142" s="70">
        <v>42382</v>
      </c>
      <c r="AI142" s="51">
        <v>0.47993015999999999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42374</v>
      </c>
      <c r="AF143" s="51">
        <v>0.46228602000000002</v>
      </c>
      <c r="AG143"/>
      <c r="AH143" s="70">
        <v>42381</v>
      </c>
      <c r="AI143" s="51">
        <v>0.51465629000000002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42373</v>
      </c>
      <c r="AF144" s="51">
        <v>0.46317427999999999</v>
      </c>
      <c r="AG144"/>
      <c r="AH144" s="70">
        <v>42380</v>
      </c>
      <c r="AI144" s="51">
        <v>0.47496196000000002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42369</v>
      </c>
      <c r="AF145" s="51">
        <v>0.46126540999999999</v>
      </c>
      <c r="AG145"/>
      <c r="AH145" s="70">
        <v>42377</v>
      </c>
      <c r="AI145" s="51">
        <v>0.47829148999999999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42368</v>
      </c>
      <c r="AF146" s="51">
        <v>0.42925727000000002</v>
      </c>
      <c r="AG146"/>
      <c r="AH146" s="70">
        <v>42376</v>
      </c>
      <c r="AI146" s="51">
        <v>0.47386609000000002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42367</v>
      </c>
      <c r="AF147" s="51">
        <v>0.43395194999999998</v>
      </c>
      <c r="AG147"/>
      <c r="AH147" s="70">
        <v>42375</v>
      </c>
      <c r="AI147" s="51">
        <v>0.45325587000000001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42366</v>
      </c>
      <c r="AF148" s="51">
        <v>0.47089364</v>
      </c>
      <c r="AG148"/>
      <c r="AH148" s="70">
        <v>42374</v>
      </c>
      <c r="AI148" s="51">
        <v>0.44304255999999997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42362</v>
      </c>
      <c r="AF149" s="51">
        <v>0.45615067999999998</v>
      </c>
      <c r="AG149"/>
      <c r="AH149" s="70">
        <v>42373</v>
      </c>
      <c r="AI149" s="51">
        <v>0.4431755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42361</v>
      </c>
      <c r="AF150" s="51">
        <v>0.44537185000000001</v>
      </c>
      <c r="AG150"/>
      <c r="AH150" s="70">
        <v>42369</v>
      </c>
      <c r="AI150" s="51">
        <v>0.41899544999999999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42360</v>
      </c>
      <c r="AF151" s="51">
        <v>0.45523454000000002</v>
      </c>
      <c r="AG151"/>
      <c r="AH151" s="70">
        <v>42368</v>
      </c>
      <c r="AI151" s="51">
        <v>0.41306271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42359</v>
      </c>
      <c r="AF152" s="51">
        <v>0.47717956</v>
      </c>
      <c r="AG152"/>
      <c r="AH152" s="70">
        <v>42367</v>
      </c>
      <c r="AI152" s="51">
        <v>0.41366633000000003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42356</v>
      </c>
      <c r="AF153" s="51">
        <v>0.47921917000000003</v>
      </c>
      <c r="AG153"/>
      <c r="AH153" s="70">
        <v>42366</v>
      </c>
      <c r="AI153" s="51">
        <v>0.44942407000000001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42355</v>
      </c>
      <c r="AF154" s="51">
        <v>0.4698406</v>
      </c>
      <c r="AG154"/>
      <c r="AH154" s="70">
        <v>42362</v>
      </c>
      <c r="AI154" s="51">
        <v>0.41836763999999999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42354</v>
      </c>
      <c r="AF155" s="51">
        <v>0.44349123000000001</v>
      </c>
      <c r="AG155"/>
      <c r="AH155" s="70">
        <v>42361</v>
      </c>
      <c r="AI155" s="51">
        <v>0.41579870000000002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42353</v>
      </c>
      <c r="AF156" s="51">
        <v>0.45523454000000002</v>
      </c>
      <c r="AG156"/>
      <c r="AH156" s="70">
        <v>42360</v>
      </c>
      <c r="AI156" s="51">
        <v>0.41773220999999999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42352</v>
      </c>
      <c r="AF157" s="51">
        <v>0.47264946000000002</v>
      </c>
      <c r="AG157"/>
      <c r="AH157" s="70">
        <v>42359</v>
      </c>
      <c r="AI157" s="51">
        <v>0.45131358999999999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42349</v>
      </c>
      <c r="AF158" s="51">
        <v>0.49263546000000003</v>
      </c>
      <c r="AG158"/>
      <c r="AH158" s="70">
        <v>42356</v>
      </c>
      <c r="AI158" s="51">
        <v>0.45453147999999999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42348</v>
      </c>
      <c r="AF159" s="51">
        <v>0.47195742000000002</v>
      </c>
      <c r="AG159"/>
      <c r="AH159" s="70">
        <v>42355</v>
      </c>
      <c r="AI159" s="51">
        <v>0.44878560000000001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42347</v>
      </c>
      <c r="AF160" s="51">
        <v>0.48373664</v>
      </c>
      <c r="AG160"/>
      <c r="AH160" s="70">
        <v>42354</v>
      </c>
      <c r="AI160" s="51">
        <v>0.41437013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42346</v>
      </c>
      <c r="AF161" s="51">
        <v>0.46573657000000002</v>
      </c>
      <c r="AG161"/>
      <c r="AH161" s="70">
        <v>42353</v>
      </c>
      <c r="AI161" s="51">
        <v>0.41773220999999999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42345</v>
      </c>
      <c r="AF162" s="51">
        <v>0.47633645000000002</v>
      </c>
      <c r="AG162"/>
      <c r="AH162" s="70">
        <v>42352</v>
      </c>
      <c r="AI162" s="51">
        <v>0.44957931000000001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42342</v>
      </c>
      <c r="AF163" s="51">
        <v>0.4507641</v>
      </c>
      <c r="AG163"/>
      <c r="AH163" s="70">
        <v>42349</v>
      </c>
      <c r="AI163" s="51">
        <v>0.47943594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42341</v>
      </c>
      <c r="AF164" s="51">
        <v>0.40747510999999997</v>
      </c>
      <c r="AG164"/>
      <c r="AH164" s="70">
        <v>42348</v>
      </c>
      <c r="AI164" s="51">
        <v>0.44947168999999998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42340</v>
      </c>
      <c r="AF165" s="51">
        <v>0.48488554</v>
      </c>
      <c r="AG165"/>
      <c r="AH165" s="70">
        <v>42347</v>
      </c>
      <c r="AI165" s="51">
        <v>0.45805622000000001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42339</v>
      </c>
      <c r="AF166" s="51">
        <v>0.56660074000000005</v>
      </c>
      <c r="AG166"/>
      <c r="AH166" s="70">
        <v>42346</v>
      </c>
      <c r="AI166" s="51">
        <v>0.44748464999999998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42338</v>
      </c>
      <c r="AF167" s="51">
        <v>0.48084427000000002</v>
      </c>
      <c r="AG167"/>
      <c r="AH167" s="70">
        <v>42345</v>
      </c>
      <c r="AI167" s="51">
        <v>0.45032044999999998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42335</v>
      </c>
      <c r="AF168" s="51">
        <v>0.47558492000000002</v>
      </c>
      <c r="AG168"/>
      <c r="AH168" s="70">
        <v>42342</v>
      </c>
      <c r="AI168" s="51">
        <v>0.41695945000000001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42333</v>
      </c>
      <c r="AF169" s="51">
        <v>0.47208881000000003</v>
      </c>
      <c r="AG169"/>
      <c r="AH169" s="70">
        <v>42341</v>
      </c>
      <c r="AI169" s="51">
        <v>0.39302736999999999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42332</v>
      </c>
      <c r="AF170" s="51">
        <v>0.48422739999999997</v>
      </c>
      <c r="AG170"/>
      <c r="AH170" s="70">
        <v>42340</v>
      </c>
      <c r="AI170" s="51">
        <v>0.45856784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42331</v>
      </c>
      <c r="AF171" s="51">
        <v>0.48276687000000001</v>
      </c>
      <c r="AG171"/>
      <c r="AH171" s="70">
        <v>42339</v>
      </c>
      <c r="AI171" s="51">
        <v>0.56660074000000005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42328</v>
      </c>
      <c r="AF172" s="51">
        <v>0.48276687000000001</v>
      </c>
      <c r="AG172"/>
      <c r="AH172" s="70">
        <v>42338</v>
      </c>
      <c r="AI172" s="51">
        <v>0.45629565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42327</v>
      </c>
      <c r="AF173" s="51">
        <v>0.48797668999999999</v>
      </c>
      <c r="AG173"/>
      <c r="AH173" s="70">
        <v>42335</v>
      </c>
      <c r="AI173" s="51">
        <v>0.45483011000000001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42326</v>
      </c>
      <c r="AF174" s="51">
        <v>0.48255048</v>
      </c>
      <c r="AG174"/>
      <c r="AH174" s="70">
        <v>42333</v>
      </c>
      <c r="AI174" s="51">
        <v>0.45354477999999998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42325</v>
      </c>
      <c r="AF175" s="51">
        <v>0.47802441000000001</v>
      </c>
      <c r="AG175"/>
      <c r="AH175" s="70">
        <v>42332</v>
      </c>
      <c r="AI175" s="51">
        <v>0.46020506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42324</v>
      </c>
      <c r="AF176" s="51">
        <v>0.47244762000000001</v>
      </c>
      <c r="AG176"/>
      <c r="AH176" s="70">
        <v>42331</v>
      </c>
      <c r="AI176" s="51">
        <v>0.45637801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42321</v>
      </c>
      <c r="AF177" s="51">
        <v>0.46793132999999998</v>
      </c>
      <c r="AG177"/>
      <c r="AH177" s="70">
        <v>42328</v>
      </c>
      <c r="AI177" s="51">
        <v>0.45736015000000002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42320</v>
      </c>
      <c r="AF178" s="51">
        <v>0.44028864000000001</v>
      </c>
      <c r="AG178"/>
      <c r="AH178" s="70">
        <v>42327</v>
      </c>
      <c r="AI178" s="51">
        <v>0.46406180000000002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42318</v>
      </c>
      <c r="AF179" s="51">
        <v>0.45419498000000003</v>
      </c>
      <c r="AG179"/>
      <c r="AH179" s="70">
        <v>42326</v>
      </c>
      <c r="AI179" s="51">
        <v>0.45637514000000001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42317</v>
      </c>
      <c r="AF180" s="51">
        <v>0.43414174</v>
      </c>
      <c r="AG180"/>
      <c r="AH180" s="70">
        <v>42325</v>
      </c>
      <c r="AI180" s="51">
        <v>0.45562933999999999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42314</v>
      </c>
      <c r="AF181" s="51">
        <v>0.45491517999999997</v>
      </c>
      <c r="AG181"/>
      <c r="AH181" s="70">
        <v>42324</v>
      </c>
      <c r="AI181" s="51">
        <v>0.45389929000000001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42313</v>
      </c>
      <c r="AF182" s="51">
        <v>0.48840109999999998</v>
      </c>
      <c r="AG182"/>
      <c r="AH182" s="70">
        <v>42321</v>
      </c>
      <c r="AI182" s="51">
        <v>0.42508973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42312</v>
      </c>
      <c r="AF183" s="51">
        <v>0.48993692</v>
      </c>
      <c r="AG183"/>
      <c r="AH183" s="70">
        <v>42320</v>
      </c>
      <c r="AI183" s="51">
        <v>0.41962992999999998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42311</v>
      </c>
      <c r="AF184" s="51">
        <v>0.49479933999999998</v>
      </c>
      <c r="AG184"/>
      <c r="AH184" s="70">
        <v>42318</v>
      </c>
      <c r="AI184" s="51">
        <v>0.42244228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42310</v>
      </c>
      <c r="AF185" s="51">
        <v>0.50891735999999999</v>
      </c>
      <c r="AG185"/>
      <c r="AH185" s="70">
        <v>42317</v>
      </c>
      <c r="AI185" s="51">
        <v>0.41885598000000002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42307</v>
      </c>
      <c r="AF186" s="51">
        <v>0.52637942999999998</v>
      </c>
      <c r="AG186"/>
      <c r="AH186" s="70">
        <v>42314</v>
      </c>
      <c r="AI186" s="51">
        <v>0.42259359000000002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42306</v>
      </c>
      <c r="AF187" s="51">
        <v>0.50746528000000002</v>
      </c>
      <c r="AG187"/>
      <c r="AH187" s="70">
        <v>42313</v>
      </c>
      <c r="AI187" s="51">
        <v>0.46406428999999999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42305</v>
      </c>
      <c r="AF188" s="51">
        <v>0.55113287</v>
      </c>
      <c r="AG188"/>
      <c r="AH188" s="70">
        <v>42312</v>
      </c>
      <c r="AI188" s="51">
        <v>0.46413897999999998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42304</v>
      </c>
      <c r="AF189" s="51">
        <v>0.57160407999999996</v>
      </c>
      <c r="AG189"/>
      <c r="AH189" s="70">
        <v>42311</v>
      </c>
      <c r="AI189" s="51">
        <v>0.48328975000000002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42303</v>
      </c>
      <c r="AF190" s="51">
        <v>0.55113287</v>
      </c>
      <c r="AG190"/>
      <c r="AH190" s="70">
        <v>42310</v>
      </c>
      <c r="AI190" s="51">
        <v>0.48923065999999998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42300</v>
      </c>
      <c r="AF191" s="51">
        <v>0.54362469000000002</v>
      </c>
      <c r="AG191"/>
      <c r="AH191" s="70">
        <v>42307</v>
      </c>
      <c r="AI191" s="51">
        <v>0.49795875000000001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42299</v>
      </c>
      <c r="AF192" s="51">
        <v>0.57587261000000001</v>
      </c>
      <c r="AG192"/>
      <c r="AH192" s="70">
        <v>42306</v>
      </c>
      <c r="AI192" s="51">
        <v>0.49215356999999998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42298</v>
      </c>
      <c r="AF193" s="51">
        <v>0.55860147999999998</v>
      </c>
      <c r="AG193"/>
      <c r="AH193" s="70">
        <v>42305</v>
      </c>
      <c r="AI193" s="51">
        <v>0.53804443999999996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42297</v>
      </c>
      <c r="AF194" s="51">
        <v>0.54682167000000004</v>
      </c>
      <c r="AG194"/>
      <c r="AH194" s="70">
        <v>42304</v>
      </c>
      <c r="AI194" s="51">
        <v>0.56562645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42296</v>
      </c>
      <c r="AF195" s="51">
        <v>0.56985229999999998</v>
      </c>
      <c r="AG195"/>
      <c r="AH195" s="70">
        <v>42303</v>
      </c>
      <c r="AI195" s="51">
        <v>0.53804463000000002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42293</v>
      </c>
      <c r="AF196" s="51">
        <v>0.57089999999999996</v>
      </c>
      <c r="AG196"/>
      <c r="AH196" s="70">
        <v>42300</v>
      </c>
      <c r="AI196" s="51">
        <v>0.53507565000000001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42292</v>
      </c>
      <c r="AF197" s="51">
        <v>0.57359285000000004</v>
      </c>
      <c r="AG197"/>
      <c r="AH197" s="70">
        <v>42299</v>
      </c>
      <c r="AI197" s="51">
        <v>0.56603923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42291</v>
      </c>
      <c r="AF198" s="51">
        <v>0.58353460999999995</v>
      </c>
      <c r="AG198"/>
      <c r="AH198" s="70">
        <v>42298</v>
      </c>
      <c r="AI198" s="51">
        <v>0.53919870000000003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42290</v>
      </c>
      <c r="AF199" s="51">
        <v>0.56100377000000001</v>
      </c>
      <c r="AG199"/>
      <c r="AH199" s="70">
        <v>42297</v>
      </c>
      <c r="AI199" s="51">
        <v>0.53718171999999997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42286</v>
      </c>
      <c r="AF200" s="51">
        <v>0.54440880999999997</v>
      </c>
      <c r="AG200"/>
      <c r="AH200" s="70">
        <v>42296</v>
      </c>
      <c r="AI200" s="51">
        <v>0.56516977999999995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42285</v>
      </c>
      <c r="AF201" s="51">
        <v>0.54491213000000005</v>
      </c>
      <c r="AG201"/>
      <c r="AH201" s="70">
        <v>42293</v>
      </c>
      <c r="AI201" s="51">
        <v>0.56561932999999998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42284</v>
      </c>
      <c r="AF202" s="51">
        <v>0.57359285000000004</v>
      </c>
      <c r="AG202"/>
      <c r="AH202" s="70">
        <v>42292</v>
      </c>
      <c r="AI202" s="51">
        <v>0.56590472000000003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42283</v>
      </c>
      <c r="AF203" s="51">
        <v>0.57890863999999997</v>
      </c>
      <c r="AG203"/>
      <c r="AH203" s="70">
        <v>42291</v>
      </c>
      <c r="AI203" s="51">
        <v>0.57018365000000004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42282</v>
      </c>
      <c r="AF204" s="51">
        <v>0.56743953999999996</v>
      </c>
      <c r="AG204"/>
      <c r="AH204" s="70">
        <v>42290</v>
      </c>
      <c r="AI204" s="51">
        <v>0.56368183000000005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42279</v>
      </c>
      <c r="AF205" s="51">
        <v>0.59206276000000002</v>
      </c>
      <c r="AG205"/>
      <c r="AH205" s="70">
        <v>42286</v>
      </c>
      <c r="AI205" s="51">
        <v>0.53549921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42278</v>
      </c>
      <c r="AF206" s="51">
        <v>0.56462911000000005</v>
      </c>
      <c r="AG206"/>
      <c r="AH206" s="70">
        <v>42285</v>
      </c>
      <c r="AI206" s="51">
        <v>0.53550286000000002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42277</v>
      </c>
      <c r="AF207" s="51">
        <v>0.55419123999999997</v>
      </c>
      <c r="AG207"/>
      <c r="AH207" s="70">
        <v>42284</v>
      </c>
      <c r="AI207" s="51">
        <v>0.56590472000000003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42276</v>
      </c>
      <c r="AF208" s="51">
        <v>0.54699834000000003</v>
      </c>
      <c r="AG208"/>
      <c r="AH208" s="70">
        <v>42283</v>
      </c>
      <c r="AI208" s="51">
        <v>0.56609253999999998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42275</v>
      </c>
      <c r="AF209" s="51">
        <v>0.52561398999999998</v>
      </c>
      <c r="AG209"/>
      <c r="AH209" s="70">
        <v>42282</v>
      </c>
      <c r="AI209" s="51">
        <v>0.56511666999999999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42272</v>
      </c>
      <c r="AF210" s="51">
        <v>0.50470086000000003</v>
      </c>
      <c r="AG210"/>
      <c r="AH210" s="70">
        <v>42279</v>
      </c>
      <c r="AI210" s="51">
        <v>0.57248717000000005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42271</v>
      </c>
      <c r="AF211" s="51">
        <v>0.51546252000000004</v>
      </c>
      <c r="AG211"/>
      <c r="AH211" s="70">
        <v>42278</v>
      </c>
      <c r="AI211" s="51">
        <v>0.56378536000000001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42270</v>
      </c>
      <c r="AF212" s="51">
        <v>0.51456749000000002</v>
      </c>
      <c r="AG212"/>
      <c r="AH212" s="70">
        <v>42277</v>
      </c>
      <c r="AI212" s="51">
        <v>0.54454895000000003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42269</v>
      </c>
      <c r="AF213" s="51">
        <v>0.54699834000000003</v>
      </c>
      <c r="AG213"/>
      <c r="AH213" s="70">
        <v>42276</v>
      </c>
      <c r="AI213" s="51">
        <v>0.53870216000000004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42268</v>
      </c>
      <c r="AF214" s="51">
        <v>0.51756157999999997</v>
      </c>
      <c r="AG214"/>
      <c r="AH214" s="70">
        <v>42275</v>
      </c>
      <c r="AI214" s="51">
        <v>0.50401874000000002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42265</v>
      </c>
      <c r="AF215" s="51">
        <v>0.55836633000000002</v>
      </c>
      <c r="AG215"/>
      <c r="AH215" s="70">
        <v>42272</v>
      </c>
      <c r="AI215" s="51">
        <v>0.49638163000000002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42264</v>
      </c>
      <c r="AF216" s="51">
        <v>0.52915392000000006</v>
      </c>
      <c r="AG216"/>
      <c r="AH216" s="70">
        <v>42271</v>
      </c>
      <c r="AI216" s="51">
        <v>0.50123916000000002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42263</v>
      </c>
      <c r="AF217" s="51">
        <v>0.49091327000000001</v>
      </c>
      <c r="AG217"/>
      <c r="AH217" s="70">
        <v>42270</v>
      </c>
      <c r="AI217" s="51">
        <v>0.49906235999999998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42262</v>
      </c>
      <c r="AF218" s="51">
        <v>0.47261544999999999</v>
      </c>
      <c r="AG218"/>
      <c r="AH218" s="70">
        <v>42269</v>
      </c>
      <c r="AI218" s="51">
        <v>0.53870313000000003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42261</v>
      </c>
      <c r="AF219" s="51">
        <v>0.50553360999999997</v>
      </c>
      <c r="AG219"/>
      <c r="AH219" s="70">
        <v>42268</v>
      </c>
      <c r="AI219" s="51">
        <v>0.50223501000000004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42258</v>
      </c>
      <c r="AF220" s="51">
        <v>0.50244840000000002</v>
      </c>
      <c r="AG220"/>
      <c r="AH220" s="70">
        <v>42265</v>
      </c>
      <c r="AI220" s="51">
        <v>0.54534788000000001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42257</v>
      </c>
      <c r="AF221" s="51">
        <v>0.49792618999999999</v>
      </c>
      <c r="AG221"/>
      <c r="AH221" s="70">
        <v>42264</v>
      </c>
      <c r="AI221" s="51">
        <v>0.50463024999999995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42256</v>
      </c>
      <c r="AF222" s="51">
        <v>0.50698535</v>
      </c>
      <c r="AG222"/>
      <c r="AH222" s="70">
        <v>42263</v>
      </c>
      <c r="AI222" s="51">
        <v>0.46996097999999997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42255</v>
      </c>
      <c r="AF223" s="51">
        <v>0.51178652000000002</v>
      </c>
      <c r="AG223"/>
      <c r="AH223" s="70">
        <v>42262</v>
      </c>
      <c r="AI223" s="51">
        <v>0.43805870000000002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42251</v>
      </c>
      <c r="AF224" s="51">
        <v>0.53448357999999996</v>
      </c>
      <c r="AG224"/>
      <c r="AH224" s="70">
        <v>42261</v>
      </c>
      <c r="AI224" s="51">
        <v>0.49650006000000002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42250</v>
      </c>
      <c r="AF225" s="51">
        <v>0.51889669999999999</v>
      </c>
      <c r="AG225"/>
      <c r="AH225" s="70">
        <v>42258</v>
      </c>
      <c r="AI225" s="51">
        <v>0.47838713999999999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42249</v>
      </c>
      <c r="AF226" s="51">
        <v>0.50599921999999997</v>
      </c>
      <c r="AG226"/>
      <c r="AH226" s="70">
        <v>42257</v>
      </c>
      <c r="AI226" s="51">
        <v>0.47700151000000002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42248</v>
      </c>
      <c r="AF227" s="51">
        <v>0.51178652000000002</v>
      </c>
      <c r="AG227"/>
      <c r="AH227" s="70">
        <v>42256</v>
      </c>
      <c r="AI227" s="51">
        <v>0.49789227000000003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42247</v>
      </c>
      <c r="AF228" s="51">
        <v>0.50869439000000005</v>
      </c>
      <c r="AG228"/>
      <c r="AH228" s="70">
        <v>42255</v>
      </c>
      <c r="AI228" s="51">
        <v>0.49888772999999997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42244</v>
      </c>
      <c r="AF229" s="51">
        <v>0.51574027</v>
      </c>
      <c r="AG229"/>
      <c r="AH229" s="70">
        <v>42251</v>
      </c>
      <c r="AI229" s="51">
        <v>0.53535681999999996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42243</v>
      </c>
      <c r="AF230" s="51">
        <v>0.51793573000000004</v>
      </c>
      <c r="AG230"/>
      <c r="AH230" s="70">
        <v>42250</v>
      </c>
      <c r="AI230" s="51">
        <v>0.50235693000000003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42242</v>
      </c>
      <c r="AF231" s="51">
        <v>0.51647642000000005</v>
      </c>
      <c r="AG231"/>
      <c r="AH231" s="70">
        <v>42249</v>
      </c>
      <c r="AI231" s="51">
        <v>0.49650741999999998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42241</v>
      </c>
      <c r="AF232" s="51">
        <v>0.51305791999999995</v>
      </c>
      <c r="AG232"/>
      <c r="AH232" s="70">
        <v>42248</v>
      </c>
      <c r="AI232" s="51">
        <v>0.49888579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42240</v>
      </c>
      <c r="AF233" s="51">
        <v>0.56736513</v>
      </c>
      <c r="AG233"/>
      <c r="AH233" s="70">
        <v>42247</v>
      </c>
      <c r="AI233" s="51">
        <v>0.47429075999999998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42237</v>
      </c>
      <c r="AF234" s="51">
        <v>0.54741704999999996</v>
      </c>
      <c r="AG234"/>
      <c r="AH234" s="70">
        <v>42244</v>
      </c>
      <c r="AI234" s="51">
        <v>0.50036926000000004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42236</v>
      </c>
      <c r="AF235" s="51">
        <v>0.53631419999999996</v>
      </c>
      <c r="AG235"/>
      <c r="AH235" s="70">
        <v>42243</v>
      </c>
      <c r="AI235" s="51">
        <v>0.50039562000000004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42235</v>
      </c>
      <c r="AF236" s="51">
        <v>0.52031886000000005</v>
      </c>
      <c r="AG236"/>
      <c r="AH236" s="70">
        <v>42242</v>
      </c>
      <c r="AI236" s="51">
        <v>0.50037218999999999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42234</v>
      </c>
      <c r="AF237" s="51">
        <v>0.49077204000000002</v>
      </c>
      <c r="AG237"/>
      <c r="AH237" s="70">
        <v>42241</v>
      </c>
      <c r="AI237" s="51">
        <v>0.49961074999999999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42233</v>
      </c>
      <c r="AF238" s="51">
        <v>0.50021404999999997</v>
      </c>
      <c r="AG238"/>
      <c r="AH238" s="70">
        <v>42240</v>
      </c>
      <c r="AI238" s="51">
        <v>0.56937399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42230</v>
      </c>
      <c r="AF239" s="51">
        <v>0.48956336</v>
      </c>
      <c r="AG239"/>
      <c r="AH239" s="70">
        <v>42237</v>
      </c>
      <c r="AI239" s="51">
        <v>0.53895782000000003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42229</v>
      </c>
      <c r="AF240" s="51">
        <v>0.49770785000000001</v>
      </c>
      <c r="AG240"/>
      <c r="AH240" s="70">
        <v>42236</v>
      </c>
      <c r="AI240" s="51">
        <v>0.50619954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42228</v>
      </c>
      <c r="AF241" s="51">
        <v>0.51406275000000001</v>
      </c>
      <c r="AG241"/>
      <c r="AH241" s="70">
        <v>42235</v>
      </c>
      <c r="AI241" s="51">
        <v>0.50141360000000001</v>
      </c>
      <c r="AJ241"/>
    </row>
    <row r="242" spans="3:36">
      <c r="W242" s="23">
        <v>40970</v>
      </c>
      <c r="X242" s="22">
        <v>4277.6000000000004</v>
      </c>
      <c r="AA242" s="23"/>
      <c r="AE242" s="70">
        <v>42227</v>
      </c>
      <c r="AF242" s="51">
        <v>0.54047655999999999</v>
      </c>
      <c r="AG242"/>
      <c r="AH242" s="70">
        <v>42234</v>
      </c>
      <c r="AI242" s="51">
        <v>0.46848820000000002</v>
      </c>
      <c r="AJ242"/>
    </row>
    <row r="243" spans="3:36">
      <c r="W243" s="23">
        <v>40977</v>
      </c>
      <c r="X243" s="22">
        <v>4063.4</v>
      </c>
      <c r="AA243" s="23"/>
      <c r="AE243" s="70">
        <v>42226</v>
      </c>
      <c r="AF243" s="51">
        <v>0.50362235</v>
      </c>
      <c r="AG243"/>
      <c r="AH243" s="70">
        <v>42233</v>
      </c>
      <c r="AI243" s="51">
        <v>0.47069422999999999</v>
      </c>
      <c r="AJ243"/>
    </row>
    <row r="244" spans="3:36">
      <c r="W244" s="23">
        <v>40984</v>
      </c>
      <c r="X244" s="22">
        <v>3715.2</v>
      </c>
      <c r="AA244" s="23"/>
      <c r="AE244" s="70">
        <v>42223</v>
      </c>
      <c r="AF244" s="51">
        <v>0.52122531999999999</v>
      </c>
      <c r="AG244"/>
      <c r="AH244" s="70">
        <v>42230</v>
      </c>
      <c r="AI244" s="51">
        <v>0.46840326999999998</v>
      </c>
      <c r="AJ244"/>
    </row>
    <row r="245" spans="3:36">
      <c r="W245" s="23">
        <v>40991</v>
      </c>
      <c r="X245" s="22">
        <v>3588.4</v>
      </c>
      <c r="AE245" s="70">
        <v>42222</v>
      </c>
      <c r="AF245" s="51">
        <v>0.50436276000000002</v>
      </c>
      <c r="AG245"/>
      <c r="AH245" s="70">
        <v>42229</v>
      </c>
      <c r="AI245" s="51">
        <v>0.47056516999999998</v>
      </c>
      <c r="AJ245"/>
    </row>
    <row r="246" spans="3:36">
      <c r="W246" s="23">
        <v>40998</v>
      </c>
      <c r="X246" s="22">
        <v>3699.5</v>
      </c>
      <c r="AE246" s="70">
        <v>42221</v>
      </c>
      <c r="AF246" s="51">
        <v>0.49262108999999998</v>
      </c>
      <c r="AG246"/>
      <c r="AH246" s="70">
        <v>42228</v>
      </c>
      <c r="AI246" s="51">
        <v>0.49984445</v>
      </c>
      <c r="AJ246"/>
    </row>
    <row r="247" spans="3:36">
      <c r="W247" s="23">
        <v>41005</v>
      </c>
      <c r="X247" s="22">
        <v>3549.3</v>
      </c>
      <c r="AE247" s="70">
        <v>42220</v>
      </c>
      <c r="AF247" s="51">
        <v>0.49985484000000002</v>
      </c>
      <c r="AG247"/>
      <c r="AH247" s="70">
        <v>42227</v>
      </c>
      <c r="AI247" s="51">
        <v>0.53674769</v>
      </c>
      <c r="AJ247"/>
    </row>
    <row r="248" spans="3:36">
      <c r="W248" s="23">
        <v>41012</v>
      </c>
      <c r="X248" s="22">
        <v>4144.3</v>
      </c>
      <c r="AE248" s="70">
        <v>42219</v>
      </c>
      <c r="AF248" s="51">
        <v>0.52361420000000003</v>
      </c>
      <c r="AG248"/>
      <c r="AH248" s="70">
        <v>42226</v>
      </c>
      <c r="AI248" s="51">
        <v>0.47260368000000003</v>
      </c>
      <c r="AJ248"/>
    </row>
    <row r="249" spans="3:36">
      <c r="W249" s="23">
        <v>41019</v>
      </c>
      <c r="X249" s="22">
        <v>3892.2</v>
      </c>
      <c r="AE249" s="70">
        <v>42216</v>
      </c>
      <c r="AF249" s="51">
        <v>0.51760958999999995</v>
      </c>
      <c r="AG249"/>
      <c r="AH249" s="70">
        <v>42223</v>
      </c>
      <c r="AI249" s="51">
        <v>0.50141809000000004</v>
      </c>
      <c r="AJ249"/>
    </row>
    <row r="250" spans="3:36">
      <c r="W250" s="23">
        <v>41026</v>
      </c>
      <c r="X250" s="22">
        <v>3856</v>
      </c>
      <c r="AE250" s="70">
        <v>42215</v>
      </c>
      <c r="AF250" s="51">
        <v>0.48860219999999999</v>
      </c>
      <c r="AG250"/>
      <c r="AH250" s="70">
        <v>42222</v>
      </c>
      <c r="AI250" s="51">
        <v>0.47271106000000002</v>
      </c>
      <c r="AJ250"/>
    </row>
    <row r="251" spans="3:36">
      <c r="W251" s="23">
        <v>41033</v>
      </c>
      <c r="X251" s="22">
        <v>3924.4</v>
      </c>
      <c r="AE251" s="70">
        <v>42214</v>
      </c>
      <c r="AF251" s="51">
        <v>0.48791089999999998</v>
      </c>
      <c r="AG251"/>
      <c r="AH251" s="70">
        <v>42221</v>
      </c>
      <c r="AI251" s="51">
        <v>0.46905966999999998</v>
      </c>
      <c r="AJ251"/>
    </row>
    <row r="252" spans="3:36">
      <c r="W252" s="23">
        <v>41040</v>
      </c>
      <c r="X252" s="22">
        <v>4482</v>
      </c>
      <c r="AE252" s="70">
        <v>42213</v>
      </c>
      <c r="AF252" s="51">
        <v>0.50078915000000002</v>
      </c>
      <c r="AG252"/>
      <c r="AH252" s="70">
        <v>42220</v>
      </c>
      <c r="AI252" s="51">
        <v>0.47064834999999999</v>
      </c>
      <c r="AJ252"/>
    </row>
    <row r="253" spans="3:36">
      <c r="W253" s="23">
        <v>41047</v>
      </c>
      <c r="X253" s="22">
        <v>4732</v>
      </c>
      <c r="AE253" s="70">
        <v>42212</v>
      </c>
      <c r="AF253" s="51">
        <v>0.49836355999999998</v>
      </c>
      <c r="AG253"/>
      <c r="AH253" s="70">
        <v>42219</v>
      </c>
      <c r="AI253" s="51">
        <v>0.50225313999999999</v>
      </c>
      <c r="AJ253"/>
    </row>
    <row r="254" spans="3:36">
      <c r="W254" s="23">
        <v>41054</v>
      </c>
      <c r="X254" s="22">
        <v>4675.8999999999996</v>
      </c>
      <c r="AE254" s="70">
        <v>42209</v>
      </c>
      <c r="AF254" s="51">
        <v>0.47806061999999999</v>
      </c>
      <c r="AG254"/>
      <c r="AH254" s="70">
        <v>42216</v>
      </c>
      <c r="AI254" s="51">
        <v>0.50352878999999995</v>
      </c>
      <c r="AJ254"/>
    </row>
    <row r="255" spans="3:36">
      <c r="W255" s="23">
        <v>41061</v>
      </c>
      <c r="X255" s="22">
        <v>4736</v>
      </c>
      <c r="AE255" s="70">
        <v>42208</v>
      </c>
      <c r="AF255" s="51">
        <v>0.48346902000000003</v>
      </c>
      <c r="AG255"/>
      <c r="AH255" s="70">
        <v>42215</v>
      </c>
      <c r="AI255" s="51">
        <v>0.44674950000000002</v>
      </c>
      <c r="AJ255"/>
    </row>
    <row r="256" spans="3:36">
      <c r="W256" s="23">
        <v>41068</v>
      </c>
      <c r="X256" s="22">
        <v>5590</v>
      </c>
      <c r="AE256" s="70">
        <v>42207</v>
      </c>
      <c r="AF256" s="51">
        <v>0.46379726999999998</v>
      </c>
      <c r="AG256"/>
      <c r="AH256" s="70">
        <v>42214</v>
      </c>
      <c r="AI256" s="51">
        <v>0.44674812000000003</v>
      </c>
      <c r="AJ256"/>
    </row>
    <row r="257" spans="23:36">
      <c r="W257" s="23">
        <v>41075</v>
      </c>
      <c r="X257" s="22">
        <v>4719.6000000000004</v>
      </c>
      <c r="AE257" s="70">
        <v>42206</v>
      </c>
      <c r="AF257" s="51">
        <v>0.45450624000000001</v>
      </c>
      <c r="AG257"/>
      <c r="AH257" s="70">
        <v>42213</v>
      </c>
      <c r="AI257" s="51">
        <v>0.47566345999999998</v>
      </c>
      <c r="AJ257"/>
    </row>
    <row r="258" spans="23:36">
      <c r="W258" s="23">
        <v>41082</v>
      </c>
      <c r="X258" s="22">
        <v>4585.8</v>
      </c>
      <c r="AE258" s="70">
        <v>42205</v>
      </c>
      <c r="AF258" s="51">
        <v>0.43253349000000002</v>
      </c>
      <c r="AG258"/>
      <c r="AH258" s="70">
        <v>42212</v>
      </c>
      <c r="AI258" s="51">
        <v>0.47471837</v>
      </c>
      <c r="AJ258"/>
    </row>
    <row r="259" spans="23:36">
      <c r="W259" s="23">
        <v>41089</v>
      </c>
      <c r="X259" s="22">
        <v>4372.2</v>
      </c>
      <c r="AE259" s="70">
        <v>42202</v>
      </c>
      <c r="AF259" s="51">
        <v>0.44583529999999999</v>
      </c>
      <c r="AG259"/>
      <c r="AH259" s="70">
        <v>42209</v>
      </c>
      <c r="AI259" s="51">
        <v>0.44526567</v>
      </c>
      <c r="AJ259"/>
    </row>
    <row r="260" spans="23:36">
      <c r="W260" s="23">
        <v>41096</v>
      </c>
      <c r="X260" s="22">
        <v>4267.8999999999996</v>
      </c>
      <c r="AE260" s="70">
        <v>42201</v>
      </c>
      <c r="AF260" s="51">
        <v>0.43721469000000002</v>
      </c>
      <c r="AG260"/>
      <c r="AH260" s="70">
        <v>42208</v>
      </c>
      <c r="AI260" s="51">
        <v>0.44598268000000002</v>
      </c>
      <c r="AJ260"/>
    </row>
    <row r="261" spans="23:36">
      <c r="W261" s="23">
        <v>41103</v>
      </c>
      <c r="X261" s="22">
        <v>5246.8</v>
      </c>
      <c r="AE261" s="70">
        <v>42200</v>
      </c>
      <c r="AF261" s="51">
        <v>0.43686424000000001</v>
      </c>
      <c r="AG261"/>
      <c r="AH261" s="70">
        <v>42207</v>
      </c>
      <c r="AI261" s="51">
        <v>0.44235567999999997</v>
      </c>
      <c r="AJ261"/>
    </row>
    <row r="262" spans="23:36">
      <c r="W262" s="23">
        <v>41110</v>
      </c>
      <c r="X262" s="22">
        <v>5383.1</v>
      </c>
      <c r="AE262" s="70">
        <v>42199</v>
      </c>
      <c r="AF262" s="51">
        <v>0.39714528999999998</v>
      </c>
      <c r="AG262"/>
      <c r="AH262" s="70">
        <v>42206</v>
      </c>
      <c r="AI262" s="51">
        <v>0.44056768000000002</v>
      </c>
      <c r="AJ262"/>
    </row>
    <row r="263" spans="23:36">
      <c r="W263" s="23">
        <v>41117</v>
      </c>
      <c r="X263" s="22">
        <v>5492.1</v>
      </c>
      <c r="AE263" s="70">
        <v>42198</v>
      </c>
      <c r="AF263" s="51">
        <v>0.36916188</v>
      </c>
      <c r="AG263"/>
      <c r="AH263" s="70">
        <v>42205</v>
      </c>
      <c r="AI263" s="51">
        <v>0.4140336</v>
      </c>
      <c r="AJ263"/>
    </row>
    <row r="264" spans="23:36">
      <c r="W264" s="23">
        <v>41124</v>
      </c>
      <c r="X264" s="22">
        <v>5444.3</v>
      </c>
      <c r="AE264" s="70">
        <v>42195</v>
      </c>
      <c r="AF264" s="51">
        <v>0.36671435000000002</v>
      </c>
      <c r="AG264"/>
      <c r="AH264" s="70">
        <v>42202</v>
      </c>
      <c r="AI264" s="51">
        <v>0.41594731000000001</v>
      </c>
      <c r="AJ264"/>
    </row>
    <row r="265" spans="23:36">
      <c r="W265" s="23">
        <v>41131</v>
      </c>
      <c r="X265" s="22">
        <v>5172.2</v>
      </c>
      <c r="AE265" s="70">
        <v>42194</v>
      </c>
      <c r="AF265" s="51">
        <v>0.43686424000000001</v>
      </c>
      <c r="AG265"/>
      <c r="AH265" s="70">
        <v>42201</v>
      </c>
      <c r="AI265" s="51">
        <v>0.41475904000000002</v>
      </c>
      <c r="AJ265"/>
    </row>
    <row r="266" spans="23:36">
      <c r="W266" s="23">
        <v>41138</v>
      </c>
      <c r="X266" s="22">
        <v>4671.1000000000004</v>
      </c>
      <c r="AE266" s="70">
        <v>42193</v>
      </c>
      <c r="AF266" s="51">
        <v>0.49109761000000002</v>
      </c>
      <c r="AG266"/>
      <c r="AH266" s="70">
        <v>42200</v>
      </c>
      <c r="AI266" s="51">
        <v>0.41475747000000002</v>
      </c>
      <c r="AJ266"/>
    </row>
    <row r="267" spans="23:36">
      <c r="W267" s="23">
        <v>41145</v>
      </c>
      <c r="X267" s="22">
        <v>4414.6000000000004</v>
      </c>
      <c r="AE267" s="70">
        <v>42192</v>
      </c>
      <c r="AF267" s="51">
        <v>0.50027485000000005</v>
      </c>
      <c r="AG267"/>
      <c r="AH267" s="70">
        <v>42199</v>
      </c>
      <c r="AI267" s="51">
        <v>0.38611748000000001</v>
      </c>
      <c r="AJ267"/>
    </row>
    <row r="268" spans="23:36">
      <c r="W268" s="23">
        <v>41152</v>
      </c>
      <c r="X268" s="22">
        <v>4274.8</v>
      </c>
      <c r="AE268" s="48">
        <v>42191</v>
      </c>
      <c r="AF268" s="51">
        <v>0.48204760000000002</v>
      </c>
      <c r="AH268" s="48">
        <v>42198</v>
      </c>
      <c r="AI268" s="51">
        <v>0.38115826000000003</v>
      </c>
    </row>
    <row r="269" spans="23:36">
      <c r="W269" s="23">
        <v>41159</v>
      </c>
      <c r="X269" s="22">
        <v>4779.1000000000004</v>
      </c>
      <c r="AE269" s="48">
        <v>42187</v>
      </c>
      <c r="AF269" s="51">
        <v>0.41464839999999997</v>
      </c>
      <c r="AH269" s="48">
        <v>42195</v>
      </c>
      <c r="AI269" s="51">
        <v>0.38088115</v>
      </c>
    </row>
    <row r="270" spans="23:36">
      <c r="W270" s="23">
        <v>41166</v>
      </c>
      <c r="X270" s="22">
        <v>4823.3</v>
      </c>
      <c r="AE270" s="48">
        <v>42186</v>
      </c>
      <c r="AF270" s="51">
        <v>0.39231037000000002</v>
      </c>
      <c r="AH270" s="48">
        <v>42194</v>
      </c>
      <c r="AI270" s="51">
        <v>0.41475785999999998</v>
      </c>
    </row>
    <row r="271" spans="23:36">
      <c r="W271" s="23">
        <v>41173</v>
      </c>
      <c r="X271" s="22">
        <v>4979</v>
      </c>
      <c r="AE271" s="48">
        <v>42185</v>
      </c>
      <c r="AF271" s="51">
        <v>0.4424227</v>
      </c>
      <c r="AH271" s="48">
        <v>42193</v>
      </c>
      <c r="AI271" s="51">
        <v>0.44716349999999999</v>
      </c>
    </row>
    <row r="272" spans="23:36">
      <c r="W272" s="23">
        <v>41180</v>
      </c>
      <c r="X272" s="22">
        <v>5965.5</v>
      </c>
      <c r="AE272" s="48">
        <v>42184</v>
      </c>
      <c r="AF272" s="51">
        <v>0.43423267999999998</v>
      </c>
      <c r="AH272" s="48">
        <v>42192</v>
      </c>
      <c r="AI272" s="51">
        <v>0.47528946999999999</v>
      </c>
    </row>
    <row r="273" spans="23:35">
      <c r="W273" s="23">
        <v>41187</v>
      </c>
      <c r="X273" s="22">
        <v>5892.5</v>
      </c>
      <c r="AE273" s="48">
        <v>42181</v>
      </c>
      <c r="AF273" s="51">
        <v>0.35438286000000002</v>
      </c>
      <c r="AH273" s="48">
        <v>42191</v>
      </c>
      <c r="AI273" s="51">
        <v>0.4458046</v>
      </c>
    </row>
    <row r="274" spans="23:35">
      <c r="W274" s="23">
        <v>41194</v>
      </c>
      <c r="X274" s="22">
        <v>5572.2</v>
      </c>
      <c r="AE274" s="48">
        <v>42180</v>
      </c>
      <c r="AF274" s="51">
        <v>0.41325156000000002</v>
      </c>
      <c r="AH274" s="48">
        <v>42187</v>
      </c>
      <c r="AI274" s="51">
        <v>0.41078708000000003</v>
      </c>
    </row>
    <row r="275" spans="23:35">
      <c r="W275" s="23">
        <v>41201</v>
      </c>
      <c r="X275" s="22">
        <v>4847.2</v>
      </c>
      <c r="AE275" s="48">
        <v>42179</v>
      </c>
      <c r="AF275" s="51">
        <v>0.43110091</v>
      </c>
      <c r="AH275" s="48">
        <v>42186</v>
      </c>
      <c r="AI275" s="51">
        <v>0.38561659999999998</v>
      </c>
    </row>
    <row r="276" spans="23:35">
      <c r="W276" s="23">
        <v>41208</v>
      </c>
      <c r="X276" s="22">
        <v>4550.7</v>
      </c>
      <c r="AE276" s="48">
        <v>42178</v>
      </c>
      <c r="AF276" s="51">
        <v>0.42691006999999997</v>
      </c>
      <c r="AH276" s="48">
        <v>42185</v>
      </c>
      <c r="AI276" s="51">
        <v>0.42167652</v>
      </c>
    </row>
    <row r="277" spans="23:35">
      <c r="W277" s="23">
        <v>41215</v>
      </c>
      <c r="X277" s="22">
        <v>4297.7</v>
      </c>
      <c r="AE277" s="48">
        <v>42177</v>
      </c>
      <c r="AF277" s="51">
        <v>0.45692780999999999</v>
      </c>
      <c r="AH277" s="48">
        <v>42184</v>
      </c>
      <c r="AI277" s="51">
        <v>0.41995948999999999</v>
      </c>
    </row>
    <row r="278" spans="23:35">
      <c r="W278" s="23">
        <v>41222</v>
      </c>
      <c r="X278" s="22">
        <v>4856.1000000000004</v>
      </c>
      <c r="AE278" s="48">
        <v>42174</v>
      </c>
      <c r="AF278" s="51">
        <v>0.51637186999999996</v>
      </c>
      <c r="AH278" s="48">
        <v>42181</v>
      </c>
      <c r="AI278" s="51">
        <v>0.36454134999999999</v>
      </c>
    </row>
    <row r="279" spans="23:35">
      <c r="W279" s="23">
        <v>41229</v>
      </c>
      <c r="X279" s="22">
        <v>4702.3999999999996</v>
      </c>
      <c r="AE279" s="48">
        <v>42173</v>
      </c>
      <c r="AF279" s="51">
        <v>0.48320742999999999</v>
      </c>
      <c r="AH279" s="48">
        <v>42180</v>
      </c>
      <c r="AI279" s="51">
        <v>0.41673293</v>
      </c>
    </row>
    <row r="280" spans="23:35">
      <c r="W280" s="23">
        <v>41236</v>
      </c>
      <c r="X280" s="22">
        <v>4666.8</v>
      </c>
      <c r="AE280" s="48">
        <v>42172</v>
      </c>
      <c r="AF280" s="51">
        <v>0.49291583999999999</v>
      </c>
      <c r="AH280" s="48">
        <v>42179</v>
      </c>
      <c r="AI280" s="51">
        <v>0.41947000000000001</v>
      </c>
    </row>
    <row r="281" spans="23:35">
      <c r="W281" s="23">
        <v>41243</v>
      </c>
      <c r="X281" s="22">
        <v>4943</v>
      </c>
      <c r="AE281" s="48">
        <v>42171</v>
      </c>
      <c r="AF281" s="51">
        <v>0.49552404999999999</v>
      </c>
      <c r="AH281" s="48">
        <v>42178</v>
      </c>
      <c r="AI281" s="51">
        <v>0.41923463999999999</v>
      </c>
    </row>
    <row r="282" spans="23:35">
      <c r="W282" s="23">
        <v>41250</v>
      </c>
      <c r="X282" s="22">
        <v>5368.1</v>
      </c>
      <c r="AE282" s="48">
        <v>42170</v>
      </c>
      <c r="AF282" s="51">
        <v>0.47166384</v>
      </c>
      <c r="AH282" s="48">
        <v>42177</v>
      </c>
      <c r="AI282" s="51">
        <v>0.44763765</v>
      </c>
    </row>
    <row r="283" spans="23:35">
      <c r="W283" s="23">
        <v>41257</v>
      </c>
      <c r="X283" s="22">
        <v>4564.3999999999996</v>
      </c>
      <c r="AE283" s="48">
        <v>42167</v>
      </c>
      <c r="AF283" s="51">
        <v>0.46608720999999997</v>
      </c>
      <c r="AH283" s="48">
        <v>42174</v>
      </c>
      <c r="AI283" s="51">
        <v>0.48529008000000001</v>
      </c>
    </row>
    <row r="284" spans="23:35">
      <c r="W284" s="23">
        <v>41264</v>
      </c>
      <c r="X284" s="22">
        <v>3983.2</v>
      </c>
      <c r="AE284" s="48">
        <v>42166</v>
      </c>
      <c r="AF284" s="51">
        <v>0.47962304</v>
      </c>
      <c r="AH284" s="48">
        <v>42173</v>
      </c>
      <c r="AI284" s="51">
        <v>0.45102552000000001</v>
      </c>
    </row>
    <row r="285" spans="23:35">
      <c r="W285" s="23">
        <v>41271</v>
      </c>
      <c r="X285" s="22">
        <v>3488.9</v>
      </c>
      <c r="AE285" s="48">
        <v>42165</v>
      </c>
      <c r="AF285" s="51">
        <v>0.40268363000000001</v>
      </c>
      <c r="AH285" s="48">
        <v>42172</v>
      </c>
      <c r="AI285" s="51">
        <v>0.45411247999999999</v>
      </c>
    </row>
    <row r="286" spans="23:35">
      <c r="W286" s="23">
        <v>41278</v>
      </c>
      <c r="X286" s="22">
        <v>3896.4</v>
      </c>
      <c r="AE286" s="48">
        <v>42164</v>
      </c>
      <c r="AF286" s="51">
        <v>0.42406532000000002</v>
      </c>
      <c r="AH286" s="48">
        <v>42171</v>
      </c>
      <c r="AI286" s="51">
        <v>0.45420430000000001</v>
      </c>
    </row>
    <row r="287" spans="23:35">
      <c r="W287" s="23">
        <v>41285</v>
      </c>
      <c r="X287" s="22">
        <v>4554.3999999999996</v>
      </c>
      <c r="AE287" s="48">
        <v>42163</v>
      </c>
      <c r="AF287" s="51">
        <v>0.45300783</v>
      </c>
      <c r="AH287" s="48">
        <v>42170</v>
      </c>
      <c r="AI287" s="51">
        <v>0.44977724000000002</v>
      </c>
    </row>
    <row r="288" spans="23:35">
      <c r="W288" s="23">
        <v>41292</v>
      </c>
      <c r="X288" s="22">
        <v>4937.3999999999996</v>
      </c>
      <c r="AE288" s="48">
        <v>42160</v>
      </c>
      <c r="AF288" s="51">
        <v>0.43004924</v>
      </c>
      <c r="AH288" s="48">
        <v>42167</v>
      </c>
      <c r="AI288" s="51">
        <v>0.44935232000000003</v>
      </c>
    </row>
    <row r="289" spans="23:35">
      <c r="W289" s="23">
        <v>41299</v>
      </c>
      <c r="X289" s="22">
        <v>4433.6000000000004</v>
      </c>
      <c r="AE289" s="48">
        <v>42159</v>
      </c>
      <c r="AF289" s="51">
        <v>0.49867202999999999</v>
      </c>
      <c r="AH289" s="48">
        <v>42166</v>
      </c>
      <c r="AI289" s="51">
        <v>0.45060712000000003</v>
      </c>
    </row>
    <row r="290" spans="23:35">
      <c r="W290" s="23">
        <v>41306</v>
      </c>
      <c r="X290" s="22">
        <v>4579</v>
      </c>
      <c r="AE290" s="48">
        <v>42158</v>
      </c>
      <c r="AF290" s="51">
        <v>0.46091277000000003</v>
      </c>
      <c r="AH290" s="48">
        <v>42165</v>
      </c>
      <c r="AI290" s="51">
        <v>0.39282095</v>
      </c>
    </row>
    <row r="291" spans="23:35">
      <c r="W291" s="23">
        <v>41313</v>
      </c>
      <c r="X291" s="22">
        <v>4284.3</v>
      </c>
      <c r="AE291" s="48">
        <v>42157</v>
      </c>
      <c r="AF291" s="51">
        <v>0.50560183999999997</v>
      </c>
      <c r="AH291" s="48">
        <v>42164</v>
      </c>
      <c r="AI291" s="51">
        <v>0.41867704</v>
      </c>
    </row>
    <row r="292" spans="23:35">
      <c r="W292" s="23">
        <v>41320</v>
      </c>
      <c r="X292" s="22">
        <v>4261.8</v>
      </c>
      <c r="AE292" s="48">
        <v>42156</v>
      </c>
      <c r="AF292" s="51">
        <v>0.52927780000000002</v>
      </c>
      <c r="AH292" s="48">
        <v>42163</v>
      </c>
      <c r="AI292" s="51">
        <v>0.42345536</v>
      </c>
    </row>
    <row r="293" spans="23:35">
      <c r="W293" s="23">
        <v>41327</v>
      </c>
      <c r="X293" s="22">
        <v>4136.3</v>
      </c>
      <c r="AE293" s="48">
        <v>42153</v>
      </c>
      <c r="AF293" s="51">
        <v>0.57203724</v>
      </c>
      <c r="AH293" s="48">
        <v>42160</v>
      </c>
      <c r="AI293" s="51">
        <v>0.41946842000000001</v>
      </c>
    </row>
    <row r="294" spans="23:35">
      <c r="W294" s="23">
        <v>41334</v>
      </c>
      <c r="X294" s="22">
        <v>4724.8999999999996</v>
      </c>
      <c r="AE294" s="48">
        <v>42152</v>
      </c>
      <c r="AF294" s="51">
        <v>0.56120232000000003</v>
      </c>
      <c r="AH294" s="48">
        <v>42159</v>
      </c>
      <c r="AI294" s="51">
        <v>0.45446334999999999</v>
      </c>
    </row>
    <row r="295" spans="23:35">
      <c r="W295" s="23">
        <v>41341</v>
      </c>
      <c r="X295" s="22">
        <v>4485.2</v>
      </c>
      <c r="AE295" s="48">
        <v>42151</v>
      </c>
      <c r="AF295" s="51">
        <v>0.55839386999999996</v>
      </c>
      <c r="AH295" s="48">
        <v>42158</v>
      </c>
      <c r="AI295" s="51">
        <v>0.44818538000000002</v>
      </c>
    </row>
    <row r="296" spans="23:35">
      <c r="W296" s="23">
        <v>41348</v>
      </c>
      <c r="X296" s="22">
        <v>4111.3</v>
      </c>
      <c r="AE296" s="48">
        <v>42150</v>
      </c>
      <c r="AF296" s="51">
        <v>0.57070580999999998</v>
      </c>
      <c r="AH296" s="48">
        <v>42157</v>
      </c>
      <c r="AI296" s="51">
        <v>0.48228032999999998</v>
      </c>
    </row>
    <row r="297" spans="23:35">
      <c r="W297" s="23">
        <v>41355</v>
      </c>
      <c r="X297" s="22">
        <v>4412.8999999999996</v>
      </c>
      <c r="AE297" s="48">
        <v>42146</v>
      </c>
      <c r="AF297" s="51">
        <v>0.55246136000000001</v>
      </c>
      <c r="AH297" s="48">
        <v>42156</v>
      </c>
      <c r="AI297" s="51">
        <v>0.51350432999999995</v>
      </c>
    </row>
    <row r="298" spans="23:35">
      <c r="W298" s="23">
        <v>41362</v>
      </c>
      <c r="X298" s="22">
        <v>4119.2</v>
      </c>
      <c r="AE298" s="48">
        <v>42145</v>
      </c>
      <c r="AF298" s="51">
        <v>0.56754351999999997</v>
      </c>
      <c r="AH298" s="48">
        <v>42153</v>
      </c>
      <c r="AI298" s="51">
        <v>0.55658019000000003</v>
      </c>
    </row>
    <row r="299" spans="23:35">
      <c r="W299" s="23">
        <v>41369</v>
      </c>
      <c r="X299" s="22">
        <v>4528.8999999999996</v>
      </c>
      <c r="AE299" s="48">
        <v>42144</v>
      </c>
      <c r="AF299" s="51">
        <v>0.54219410999999995</v>
      </c>
      <c r="AH299" s="48">
        <v>42152</v>
      </c>
      <c r="AI299" s="51">
        <v>0.55422442999999999</v>
      </c>
    </row>
    <row r="300" spans="23:35">
      <c r="W300" s="23">
        <v>41376</v>
      </c>
      <c r="X300" s="22">
        <v>4726.8999999999996</v>
      </c>
      <c r="AE300" s="48">
        <v>42143</v>
      </c>
      <c r="AF300" s="51">
        <v>0.54660865999999997</v>
      </c>
      <c r="AH300" s="48">
        <v>42151</v>
      </c>
      <c r="AI300" s="51">
        <v>0.52269208</v>
      </c>
    </row>
    <row r="301" spans="23:35">
      <c r="W301" s="23">
        <v>41383</v>
      </c>
      <c r="X301" s="22">
        <v>4672.1000000000004</v>
      </c>
      <c r="AE301" s="48">
        <v>42142</v>
      </c>
      <c r="AF301" s="51">
        <v>0.56506259999999997</v>
      </c>
      <c r="AH301" s="48">
        <v>42150</v>
      </c>
      <c r="AI301" s="51">
        <v>0.55656446000000004</v>
      </c>
    </row>
    <row r="302" spans="23:35">
      <c r="W302" s="23">
        <v>41390</v>
      </c>
      <c r="X302" s="22">
        <v>4854.1000000000004</v>
      </c>
      <c r="AE302" s="48">
        <v>42139</v>
      </c>
      <c r="AF302" s="51">
        <v>0.58997149000000004</v>
      </c>
      <c r="AH302" s="48">
        <v>42146</v>
      </c>
      <c r="AI302" s="51">
        <v>0.52174969999999998</v>
      </c>
    </row>
    <row r="303" spans="23:35">
      <c r="W303" s="23">
        <v>41397</v>
      </c>
      <c r="X303" s="22">
        <v>5279.9</v>
      </c>
      <c r="AE303" s="48">
        <v>42138</v>
      </c>
      <c r="AF303" s="51">
        <v>0.55462948999999995</v>
      </c>
      <c r="AH303" s="48">
        <v>42145</v>
      </c>
      <c r="AI303" s="51">
        <v>0.55582134999999999</v>
      </c>
    </row>
    <row r="304" spans="23:35">
      <c r="W304" s="23">
        <v>41404</v>
      </c>
      <c r="X304" s="22">
        <v>4797.2</v>
      </c>
      <c r="AE304" s="48">
        <v>42137</v>
      </c>
      <c r="AF304" s="51">
        <v>0.53282945000000004</v>
      </c>
      <c r="AH304" s="48">
        <v>42144</v>
      </c>
      <c r="AI304" s="51">
        <v>0.51914590000000005</v>
      </c>
    </row>
    <row r="305" spans="23:35">
      <c r="W305" s="23">
        <v>41411</v>
      </c>
      <c r="X305" s="22">
        <v>4241.5</v>
      </c>
      <c r="AE305" s="48">
        <v>42136</v>
      </c>
      <c r="AF305" s="51">
        <v>0.53697927999999995</v>
      </c>
      <c r="AH305" s="48">
        <v>42143</v>
      </c>
      <c r="AI305" s="51">
        <v>0.52099145000000002</v>
      </c>
    </row>
    <row r="306" spans="23:35">
      <c r="W306" s="23">
        <v>41418</v>
      </c>
      <c r="X306" s="22">
        <v>3709.4</v>
      </c>
      <c r="AE306" s="48">
        <v>42135</v>
      </c>
      <c r="AF306" s="51">
        <v>0.54383247000000001</v>
      </c>
      <c r="AH306" s="48">
        <v>42142</v>
      </c>
      <c r="AI306" s="51">
        <v>0.5546584</v>
      </c>
    </row>
    <row r="307" spans="23:35">
      <c r="W307" s="23">
        <v>41425</v>
      </c>
      <c r="X307" s="22">
        <v>3163.6</v>
      </c>
      <c r="AE307" s="48">
        <v>42132</v>
      </c>
      <c r="AF307" s="51">
        <v>0.59227565999999998</v>
      </c>
      <c r="AH307" s="48">
        <v>42139</v>
      </c>
      <c r="AI307" s="51">
        <v>0.58562322</v>
      </c>
    </row>
    <row r="308" spans="23:35">
      <c r="W308" s="23">
        <v>41432</v>
      </c>
      <c r="X308" s="22">
        <v>3339.8</v>
      </c>
      <c r="AE308" s="48">
        <v>42131</v>
      </c>
      <c r="AF308" s="51">
        <v>0.57105379999999994</v>
      </c>
      <c r="AH308" s="48">
        <v>42138</v>
      </c>
      <c r="AI308" s="51">
        <v>0.52239108999999995</v>
      </c>
    </row>
    <row r="309" spans="23:35">
      <c r="W309" s="23">
        <v>41439</v>
      </c>
      <c r="X309" s="22">
        <v>3214.4</v>
      </c>
      <c r="AE309" s="48">
        <v>42130</v>
      </c>
      <c r="AF309" s="51">
        <v>0.54383247000000001</v>
      </c>
      <c r="AH309" s="48">
        <v>42137</v>
      </c>
      <c r="AI309" s="51">
        <v>0.51613761000000002</v>
      </c>
    </row>
    <row r="310" spans="23:35">
      <c r="W310" s="23">
        <v>41446</v>
      </c>
      <c r="X310" s="22">
        <v>3040.1</v>
      </c>
      <c r="AE310" s="48">
        <v>42129</v>
      </c>
      <c r="AF310" s="51">
        <v>0.54434817000000002</v>
      </c>
      <c r="AH310" s="48">
        <v>42136</v>
      </c>
      <c r="AI310" s="51">
        <v>0.51791069000000001</v>
      </c>
    </row>
    <row r="311" spans="23:35">
      <c r="W311" s="23">
        <v>41453</v>
      </c>
      <c r="X311" s="22">
        <v>2573.4</v>
      </c>
      <c r="AE311" s="48">
        <v>42128</v>
      </c>
      <c r="AF311" s="51">
        <v>0.56343195999999995</v>
      </c>
      <c r="AH311" s="48">
        <v>42135</v>
      </c>
      <c r="AI311" s="51">
        <v>0.51920721999999997</v>
      </c>
    </row>
    <row r="312" spans="23:35">
      <c r="W312" s="23">
        <v>41460</v>
      </c>
      <c r="X312" s="22">
        <v>2417.8000000000002</v>
      </c>
      <c r="AE312" s="48">
        <v>42125</v>
      </c>
      <c r="AF312" s="51">
        <v>0.57527417999999997</v>
      </c>
      <c r="AH312" s="48">
        <v>42132</v>
      </c>
      <c r="AI312" s="51">
        <v>0.58676983999999999</v>
      </c>
    </row>
    <row r="313" spans="23:35">
      <c r="W313" s="23">
        <v>41467</v>
      </c>
      <c r="X313" s="22">
        <v>2242.1999999999998</v>
      </c>
      <c r="AE313" s="48">
        <v>42124</v>
      </c>
      <c r="AF313" s="51">
        <v>0.60856288999999997</v>
      </c>
      <c r="AH313" s="48">
        <v>42131</v>
      </c>
      <c r="AI313" s="51">
        <v>0.55656645000000005</v>
      </c>
    </row>
    <row r="314" spans="23:35">
      <c r="W314" s="23">
        <v>41474</v>
      </c>
      <c r="X314" s="22">
        <v>2288</v>
      </c>
      <c r="AE314" s="48">
        <v>42123</v>
      </c>
      <c r="AF314" s="51">
        <v>0.60890275999999999</v>
      </c>
      <c r="AH314" s="48">
        <v>42130</v>
      </c>
      <c r="AI314" s="51">
        <v>0.51920999999999995</v>
      </c>
    </row>
    <row r="315" spans="23:35">
      <c r="W315" s="23">
        <v>41481</v>
      </c>
      <c r="X315" s="22">
        <v>2218.3000000000002</v>
      </c>
      <c r="AE315" s="48">
        <v>42122</v>
      </c>
      <c r="AF315" s="51">
        <v>0.6113807</v>
      </c>
      <c r="AH315" s="48">
        <v>42129</v>
      </c>
      <c r="AI315" s="51">
        <v>0.51921139999999999</v>
      </c>
    </row>
    <row r="316" spans="23:35">
      <c r="W316" s="23">
        <v>41488</v>
      </c>
      <c r="X316" s="22">
        <v>2228.9</v>
      </c>
      <c r="AE316" s="48">
        <v>42121</v>
      </c>
      <c r="AF316" s="51">
        <v>0.63426943000000002</v>
      </c>
      <c r="AH316" s="48">
        <v>42128</v>
      </c>
      <c r="AI316" s="51">
        <v>0.55429371000000005</v>
      </c>
    </row>
    <row r="317" spans="23:35">
      <c r="W317" s="23">
        <v>41495</v>
      </c>
      <c r="X317" s="22">
        <v>2110.6</v>
      </c>
      <c r="AE317" s="48">
        <v>42118</v>
      </c>
      <c r="AF317" s="51">
        <v>0.63907605999999995</v>
      </c>
      <c r="AH317" s="48">
        <v>42125</v>
      </c>
      <c r="AI317" s="51">
        <v>0.55754923999999995</v>
      </c>
    </row>
    <row r="318" spans="23:35">
      <c r="W318" s="23">
        <v>41502</v>
      </c>
      <c r="X318" s="22">
        <v>1935.1</v>
      </c>
      <c r="AE318" s="48">
        <v>42117</v>
      </c>
      <c r="AF318" s="51">
        <v>0.62872844000000006</v>
      </c>
      <c r="AH318" s="48">
        <v>42124</v>
      </c>
      <c r="AI318" s="51">
        <v>0.59145745000000005</v>
      </c>
    </row>
    <row r="319" spans="23:35">
      <c r="W319" s="23">
        <v>41509</v>
      </c>
      <c r="X319" s="22">
        <v>1842.6</v>
      </c>
      <c r="AE319" s="48">
        <v>42116</v>
      </c>
      <c r="AF319" s="51">
        <v>0.61916736999999999</v>
      </c>
      <c r="AH319" s="48">
        <v>42123</v>
      </c>
      <c r="AI319" s="51">
        <v>0.59180867999999998</v>
      </c>
    </row>
    <row r="320" spans="23:35">
      <c r="W320" s="23">
        <v>41516</v>
      </c>
      <c r="X320" s="22">
        <v>1909</v>
      </c>
      <c r="AE320" s="48">
        <v>42115</v>
      </c>
      <c r="AF320" s="51">
        <v>0.63233556000000002</v>
      </c>
      <c r="AH320" s="48">
        <v>42122</v>
      </c>
      <c r="AI320" s="51">
        <v>0.59321942000000005</v>
      </c>
    </row>
    <row r="321" spans="23:35">
      <c r="W321" s="23">
        <v>41523</v>
      </c>
      <c r="X321" s="22">
        <v>1512.9</v>
      </c>
      <c r="AE321" s="48">
        <v>42114</v>
      </c>
      <c r="AF321" s="51">
        <v>0.64190619000000004</v>
      </c>
      <c r="AH321" s="48">
        <v>42121</v>
      </c>
      <c r="AI321" s="51">
        <v>0.62915354999999995</v>
      </c>
    </row>
    <row r="322" spans="23:35">
      <c r="W322" s="23">
        <v>41530</v>
      </c>
      <c r="X322" s="22">
        <v>1814</v>
      </c>
      <c r="AE322" s="48">
        <v>42111</v>
      </c>
      <c r="AF322" s="51">
        <v>0.65890435000000003</v>
      </c>
      <c r="AH322" s="48">
        <v>42118</v>
      </c>
      <c r="AI322" s="51">
        <v>0.63078155000000002</v>
      </c>
    </row>
    <row r="323" spans="23:35">
      <c r="W323" s="23">
        <v>41537</v>
      </c>
      <c r="X323" s="22">
        <v>1922.9</v>
      </c>
      <c r="AE323" s="48">
        <v>42110</v>
      </c>
      <c r="AF323" s="51">
        <v>0.65379001000000003</v>
      </c>
      <c r="AH323" s="48">
        <v>42117</v>
      </c>
      <c r="AI323" s="51">
        <v>0.62803777999999999</v>
      </c>
    </row>
    <row r="324" spans="23:35">
      <c r="W324" s="23">
        <v>41544</v>
      </c>
      <c r="X324" s="22">
        <v>1956.6</v>
      </c>
      <c r="AE324" s="48">
        <v>42109</v>
      </c>
      <c r="AF324" s="51">
        <v>0.64826311000000003</v>
      </c>
      <c r="AH324" s="48">
        <v>42116</v>
      </c>
      <c r="AI324" s="51">
        <v>0.62591858</v>
      </c>
    </row>
    <row r="325" spans="23:35">
      <c r="W325" s="23">
        <v>41551</v>
      </c>
      <c r="X325" s="22">
        <v>2025.3</v>
      </c>
      <c r="AE325" s="48">
        <v>42108</v>
      </c>
      <c r="AF325" s="51">
        <v>0.66014222</v>
      </c>
      <c r="AH325" s="48">
        <v>42115</v>
      </c>
      <c r="AI325" s="51">
        <v>0.62887921999999996</v>
      </c>
    </row>
    <row r="326" spans="23:35">
      <c r="W326" s="23">
        <v>41558</v>
      </c>
      <c r="X326" s="22">
        <v>2102.6999999999998</v>
      </c>
      <c r="AE326" s="48">
        <v>42107</v>
      </c>
      <c r="AF326" s="51">
        <v>0.63732171999999998</v>
      </c>
      <c r="AH326" s="48">
        <v>42114</v>
      </c>
      <c r="AI326" s="51">
        <v>0.63096978000000004</v>
      </c>
    </row>
    <row r="327" spans="23:35">
      <c r="W327" s="23">
        <v>41565</v>
      </c>
      <c r="X327" s="22">
        <v>2033.7</v>
      </c>
      <c r="AE327" s="48">
        <v>42104</v>
      </c>
      <c r="AF327" s="51">
        <v>0.62711605000000004</v>
      </c>
      <c r="AH327" s="48">
        <v>42111</v>
      </c>
      <c r="AI327" s="51">
        <v>0.65581049000000002</v>
      </c>
    </row>
    <row r="328" spans="23:35">
      <c r="W328" s="23">
        <v>41572</v>
      </c>
      <c r="X328" s="22">
        <v>2211.8000000000002</v>
      </c>
      <c r="AE328" s="48">
        <v>42103</v>
      </c>
      <c r="AF328" s="51">
        <v>0.63509870000000002</v>
      </c>
      <c r="AH328" s="48">
        <v>42110</v>
      </c>
      <c r="AI328" s="51">
        <v>0.65544605</v>
      </c>
    </row>
    <row r="329" spans="23:35">
      <c r="W329" s="23">
        <v>41579</v>
      </c>
      <c r="X329" s="22">
        <v>2105.6</v>
      </c>
      <c r="AE329" s="48">
        <v>42102</v>
      </c>
      <c r="AF329" s="51">
        <v>0.64690194999999995</v>
      </c>
      <c r="AH329" s="48">
        <v>42109</v>
      </c>
      <c r="AI329" s="51">
        <v>0.65478382999999996</v>
      </c>
    </row>
    <row r="330" spans="23:35">
      <c r="W330" s="23">
        <v>41586</v>
      </c>
      <c r="X330" s="22">
        <v>2056.9</v>
      </c>
      <c r="AE330" s="48">
        <v>42101</v>
      </c>
      <c r="AF330" s="51">
        <v>0.64951369999999997</v>
      </c>
      <c r="AH330" s="48">
        <v>42108</v>
      </c>
      <c r="AI330" s="51">
        <v>0.65587136999999995</v>
      </c>
    </row>
    <row r="331" spans="23:35">
      <c r="W331" s="23">
        <v>41593</v>
      </c>
      <c r="X331" s="22">
        <v>1903.5</v>
      </c>
      <c r="AE331" s="48">
        <v>42100</v>
      </c>
      <c r="AF331" s="51">
        <v>0.64741552000000002</v>
      </c>
      <c r="AH331" s="48">
        <v>42107</v>
      </c>
      <c r="AI331" s="51">
        <v>0.63034922000000004</v>
      </c>
    </row>
    <row r="332" spans="23:35">
      <c r="W332" s="23">
        <v>41600</v>
      </c>
      <c r="X332" s="22">
        <v>1917.2</v>
      </c>
      <c r="AE332" s="48">
        <v>42097</v>
      </c>
      <c r="AF332" s="51">
        <v>0.67304171000000002</v>
      </c>
      <c r="AH332" s="48">
        <v>42104</v>
      </c>
      <c r="AI332" s="51">
        <v>0.62791702999999999</v>
      </c>
    </row>
    <row r="333" spans="23:35">
      <c r="W333" s="23">
        <v>41607</v>
      </c>
      <c r="X333" s="22">
        <v>1561.6</v>
      </c>
      <c r="AE333" s="48">
        <v>42096</v>
      </c>
      <c r="AF333" s="51">
        <v>0.63871856000000005</v>
      </c>
      <c r="AH333" s="48">
        <v>42103</v>
      </c>
      <c r="AI333" s="51">
        <v>0.62940847</v>
      </c>
    </row>
    <row r="334" spans="23:35">
      <c r="W334" s="23">
        <v>41614</v>
      </c>
      <c r="X334" s="22">
        <v>1599.4</v>
      </c>
      <c r="AE334" s="48">
        <v>42095</v>
      </c>
      <c r="AF334" s="51">
        <v>0.66718633000000005</v>
      </c>
      <c r="AH334" s="48">
        <v>42102</v>
      </c>
      <c r="AI334" s="51">
        <v>0.65390716000000004</v>
      </c>
    </row>
    <row r="335" spans="23:35">
      <c r="W335" s="23">
        <v>41621</v>
      </c>
      <c r="X335" s="22">
        <v>1529.8</v>
      </c>
      <c r="AE335" s="48">
        <v>42094</v>
      </c>
      <c r="AF335" s="51">
        <v>0.64278259999999998</v>
      </c>
      <c r="AH335" s="48">
        <v>42101</v>
      </c>
      <c r="AI335" s="51">
        <v>0.65502293</v>
      </c>
    </row>
    <row r="336" spans="23:35">
      <c r="W336" s="23">
        <v>41628</v>
      </c>
      <c r="X336" s="22">
        <v>1426.7</v>
      </c>
      <c r="AE336" s="48">
        <v>42093</v>
      </c>
      <c r="AF336" s="51">
        <v>0.62881770999999997</v>
      </c>
      <c r="AH336" s="48">
        <v>42100</v>
      </c>
      <c r="AI336" s="51">
        <v>0.65404392</v>
      </c>
    </row>
    <row r="337" spans="23:35">
      <c r="W337" s="23">
        <v>41635</v>
      </c>
      <c r="X337" s="22">
        <v>1277.8</v>
      </c>
      <c r="AE337" s="48">
        <v>42090</v>
      </c>
      <c r="AF337" s="51">
        <v>0.62801742999999999</v>
      </c>
      <c r="AH337" s="48">
        <v>42097</v>
      </c>
      <c r="AI337" s="51">
        <v>0.65811673000000004</v>
      </c>
    </row>
    <row r="338" spans="23:35">
      <c r="W338" s="23">
        <v>41642</v>
      </c>
      <c r="X338" s="22">
        <v>1352.7</v>
      </c>
      <c r="AE338" s="48">
        <v>42089</v>
      </c>
      <c r="AF338" s="51">
        <v>0.60937196000000005</v>
      </c>
      <c r="AH338" s="48">
        <v>42096</v>
      </c>
      <c r="AI338" s="51">
        <v>0.63078055</v>
      </c>
    </row>
    <row r="339" spans="23:35">
      <c r="W339" s="23">
        <v>41649</v>
      </c>
      <c r="X339" s="22">
        <v>1507</v>
      </c>
      <c r="AE339" s="48">
        <v>42088</v>
      </c>
      <c r="AF339" s="51">
        <v>0.64140439000000005</v>
      </c>
      <c r="AH339" s="48">
        <v>42095</v>
      </c>
      <c r="AI339" s="51">
        <v>0.65712371000000003</v>
      </c>
    </row>
    <row r="340" spans="23:35">
      <c r="W340" s="23">
        <v>41656</v>
      </c>
      <c r="X340" s="22">
        <v>1675.8</v>
      </c>
      <c r="AE340" s="48">
        <v>42087</v>
      </c>
      <c r="AF340" s="51">
        <v>0.69357480999999999</v>
      </c>
      <c r="AH340" s="48">
        <v>42094</v>
      </c>
      <c r="AI340" s="51">
        <v>0.62973027999999998</v>
      </c>
    </row>
    <row r="341" spans="23:35">
      <c r="W341" s="23">
        <v>41663</v>
      </c>
      <c r="X341" s="22">
        <v>1601.2</v>
      </c>
      <c r="AE341" s="48">
        <v>42086</v>
      </c>
      <c r="AF341" s="51">
        <v>0.66015654000000001</v>
      </c>
      <c r="AH341" s="48">
        <v>42093</v>
      </c>
      <c r="AI341" s="51">
        <v>0.62624038000000004</v>
      </c>
    </row>
    <row r="342" spans="23:35">
      <c r="W342" s="23">
        <v>41670</v>
      </c>
      <c r="X342" s="22">
        <v>1667.5</v>
      </c>
      <c r="AE342" s="48">
        <v>42083</v>
      </c>
      <c r="AF342" s="51">
        <v>0.65412296000000003</v>
      </c>
      <c r="AH342" s="48">
        <v>42090</v>
      </c>
      <c r="AI342" s="51">
        <v>0.62616260000000001</v>
      </c>
    </row>
    <row r="343" spans="23:35">
      <c r="W343" s="23">
        <v>41677</v>
      </c>
      <c r="X343" s="22">
        <v>1674.2</v>
      </c>
      <c r="AE343" s="48">
        <v>42082</v>
      </c>
      <c r="AF343" s="51">
        <v>0.63880055000000002</v>
      </c>
      <c r="AH343" s="48">
        <v>42089</v>
      </c>
      <c r="AI343" s="51">
        <v>0.59102611999999999</v>
      </c>
    </row>
    <row r="344" spans="23:35">
      <c r="W344" s="23">
        <v>41684</v>
      </c>
      <c r="X344" s="22">
        <v>1650.6</v>
      </c>
      <c r="AE344" s="48">
        <v>42081</v>
      </c>
      <c r="AF344" s="51">
        <v>0.64537546000000001</v>
      </c>
      <c r="AH344" s="48">
        <v>42088</v>
      </c>
      <c r="AI344" s="51">
        <v>0.62940006000000004</v>
      </c>
    </row>
    <row r="345" spans="23:35">
      <c r="W345" s="23">
        <v>41691</v>
      </c>
      <c r="X345" s="22">
        <v>1442.3</v>
      </c>
      <c r="AE345" s="48">
        <v>42080</v>
      </c>
      <c r="AF345" s="51">
        <v>0.60466905000000004</v>
      </c>
      <c r="AH345" s="48">
        <v>42087</v>
      </c>
      <c r="AI345" s="51">
        <v>0.68774038000000004</v>
      </c>
    </row>
    <row r="346" spans="23:35">
      <c r="W346" s="23">
        <v>41698</v>
      </c>
      <c r="X346" s="22">
        <v>1600.6</v>
      </c>
      <c r="AE346" s="48">
        <v>42079</v>
      </c>
      <c r="AF346" s="51">
        <v>0.59252170000000004</v>
      </c>
      <c r="AH346" s="48">
        <v>42086</v>
      </c>
      <c r="AI346" s="51">
        <v>0.65538331000000005</v>
      </c>
    </row>
    <row r="347" spans="23:35">
      <c r="W347" s="23">
        <v>41705</v>
      </c>
      <c r="X347" s="22">
        <v>1528</v>
      </c>
      <c r="AE347" s="48">
        <v>42076</v>
      </c>
      <c r="AF347" s="51">
        <v>0.59032121000000004</v>
      </c>
      <c r="AH347" s="48">
        <v>42083</v>
      </c>
      <c r="AI347" s="51">
        <v>0.65355635999999995</v>
      </c>
    </row>
    <row r="348" spans="23:35">
      <c r="W348" s="23">
        <v>41712</v>
      </c>
      <c r="X348" s="22">
        <v>1552.1</v>
      </c>
      <c r="AE348" s="48">
        <v>42075</v>
      </c>
      <c r="AF348" s="51">
        <v>0.59610173</v>
      </c>
      <c r="AH348" s="48">
        <v>42082</v>
      </c>
      <c r="AI348" s="51">
        <v>0.62866164000000002</v>
      </c>
    </row>
    <row r="349" spans="23:35">
      <c r="W349" s="23">
        <v>41719</v>
      </c>
      <c r="X349" s="22">
        <v>1426.3</v>
      </c>
      <c r="AE349" s="48">
        <v>42074</v>
      </c>
      <c r="AF349" s="51">
        <v>0.59157618999999995</v>
      </c>
      <c r="AH349" s="48">
        <v>42081</v>
      </c>
      <c r="AI349" s="51">
        <v>0.63074604999999995</v>
      </c>
    </row>
    <row r="350" spans="23:35">
      <c r="W350" s="23">
        <v>41726</v>
      </c>
      <c r="X350" s="22">
        <v>1383.5</v>
      </c>
      <c r="AE350" s="48">
        <v>42073</v>
      </c>
      <c r="AF350" s="51">
        <v>0.59759189999999995</v>
      </c>
      <c r="AH350" s="48">
        <v>42080</v>
      </c>
      <c r="AI350" s="51">
        <v>0.56565023999999997</v>
      </c>
    </row>
    <row r="351" spans="23:35">
      <c r="W351" s="23">
        <v>41733</v>
      </c>
      <c r="X351" s="22">
        <v>1324.7</v>
      </c>
      <c r="AE351" s="48">
        <v>42072</v>
      </c>
      <c r="AF351" s="51">
        <v>0.5745268</v>
      </c>
      <c r="AH351" s="48">
        <v>42079</v>
      </c>
      <c r="AI351" s="51">
        <v>0.56296710000000005</v>
      </c>
    </row>
    <row r="352" spans="23:35">
      <c r="W352" s="23">
        <v>41740</v>
      </c>
      <c r="X352" s="22">
        <v>1429.9</v>
      </c>
      <c r="AE352" s="48">
        <v>42069</v>
      </c>
      <c r="AF352" s="51">
        <v>0.5608168</v>
      </c>
      <c r="AH352" s="48">
        <v>42076</v>
      </c>
      <c r="AI352" s="51">
        <v>0.56227934000000002</v>
      </c>
    </row>
    <row r="353" spans="23:35">
      <c r="W353" s="23">
        <v>41747</v>
      </c>
      <c r="X353" s="22">
        <v>1370.9</v>
      </c>
      <c r="AE353" s="48">
        <v>42068</v>
      </c>
      <c r="AF353" s="51">
        <v>0.61056266000000003</v>
      </c>
      <c r="AH353" s="48">
        <v>42075</v>
      </c>
      <c r="AI353" s="51">
        <v>0.56396077</v>
      </c>
    </row>
    <row r="354" spans="23:35">
      <c r="W354" s="23">
        <v>41754</v>
      </c>
      <c r="X354" s="22">
        <v>1298.0999999999999</v>
      </c>
      <c r="AE354" s="48">
        <v>42067</v>
      </c>
      <c r="AF354" s="51">
        <v>0.60724995999999998</v>
      </c>
      <c r="AH354" s="48">
        <v>42074</v>
      </c>
      <c r="AI354" s="51">
        <v>0.56253317999999997</v>
      </c>
    </row>
    <row r="355" spans="23:35">
      <c r="W355" s="23">
        <v>41761</v>
      </c>
      <c r="X355" s="22">
        <v>1323.9</v>
      </c>
      <c r="AE355" s="48">
        <v>42066</v>
      </c>
      <c r="AF355" s="51">
        <v>0.58614091000000001</v>
      </c>
      <c r="AH355" s="48">
        <v>42073</v>
      </c>
      <c r="AI355" s="51">
        <v>0.56440937000000002</v>
      </c>
    </row>
    <row r="356" spans="23:35">
      <c r="W356" s="23">
        <v>41768</v>
      </c>
      <c r="X356" s="22">
        <v>1400.9</v>
      </c>
      <c r="AE356" s="48">
        <v>42065</v>
      </c>
      <c r="AF356" s="51">
        <v>0.60068379999999999</v>
      </c>
      <c r="AH356" s="48">
        <v>42072</v>
      </c>
      <c r="AI356" s="51">
        <v>0.52721541000000005</v>
      </c>
    </row>
    <row r="357" spans="23:35">
      <c r="W357" s="23">
        <v>41775</v>
      </c>
      <c r="X357" s="22">
        <v>1460.6</v>
      </c>
      <c r="AE357" s="48">
        <v>42062</v>
      </c>
      <c r="AF357" s="51">
        <v>0.62925392000000002</v>
      </c>
      <c r="AH357" s="48">
        <v>42069</v>
      </c>
      <c r="AI357" s="51">
        <v>0.52453147</v>
      </c>
    </row>
    <row r="358" spans="23:35">
      <c r="W358" s="23">
        <v>41782</v>
      </c>
      <c r="X358" s="22">
        <v>1453.4</v>
      </c>
      <c r="AE358" s="48">
        <v>42061</v>
      </c>
      <c r="AF358" s="51">
        <v>0.62146232000000001</v>
      </c>
      <c r="AH358" s="48">
        <v>42068</v>
      </c>
      <c r="AI358" s="51">
        <v>0.59160234</v>
      </c>
    </row>
    <row r="359" spans="23:35">
      <c r="W359" s="23">
        <v>41789</v>
      </c>
      <c r="X359" s="22">
        <v>1382.6</v>
      </c>
      <c r="AE359" s="48">
        <v>42060</v>
      </c>
      <c r="AF359" s="51">
        <v>0.63216313999999996</v>
      </c>
      <c r="AH359" s="48">
        <v>42067</v>
      </c>
      <c r="AI359" s="51">
        <v>0.59086413000000004</v>
      </c>
    </row>
    <row r="360" spans="23:35">
      <c r="W360" s="23">
        <v>41796</v>
      </c>
      <c r="X360" s="22">
        <v>1516.9</v>
      </c>
      <c r="AE360" s="48">
        <v>42059</v>
      </c>
      <c r="AF360" s="51">
        <v>0.63591737999999998</v>
      </c>
      <c r="AH360" s="48">
        <v>42066</v>
      </c>
      <c r="AI360" s="51">
        <v>0.56023290999999997</v>
      </c>
    </row>
    <row r="361" spans="23:35">
      <c r="W361" s="23">
        <v>41803</v>
      </c>
      <c r="X361" s="22">
        <v>1321.3</v>
      </c>
      <c r="AE361" s="48">
        <v>42058</v>
      </c>
      <c r="AF361" s="51">
        <v>0.61867640999999995</v>
      </c>
      <c r="AH361" s="48">
        <v>42065</v>
      </c>
      <c r="AI361" s="51">
        <v>0.56487021999999998</v>
      </c>
    </row>
    <row r="362" spans="23:35">
      <c r="W362" s="23">
        <v>41810</v>
      </c>
      <c r="X362" s="22">
        <v>1333.5</v>
      </c>
      <c r="AE362" s="48">
        <v>42055</v>
      </c>
      <c r="AF362" s="51">
        <v>0.60118245999999997</v>
      </c>
      <c r="AH362" s="48">
        <v>42062</v>
      </c>
      <c r="AI362" s="51">
        <v>0.60067932999999996</v>
      </c>
    </row>
    <row r="363" spans="23:35">
      <c r="W363" s="23">
        <v>41817</v>
      </c>
      <c r="X363" s="22">
        <v>1341.8</v>
      </c>
      <c r="AE363" s="48">
        <v>42054</v>
      </c>
      <c r="AF363" s="51">
        <v>0.60779223000000004</v>
      </c>
      <c r="AH363" s="48">
        <v>42061</v>
      </c>
      <c r="AI363" s="51">
        <v>0.59883878999999995</v>
      </c>
    </row>
    <row r="364" spans="23:35">
      <c r="W364" s="23">
        <v>41824</v>
      </c>
      <c r="X364" s="22">
        <v>1346.8</v>
      </c>
      <c r="AE364" s="48">
        <v>42053</v>
      </c>
      <c r="AF364" s="51">
        <v>0.61774534000000003</v>
      </c>
      <c r="AH364" s="48">
        <v>42060</v>
      </c>
      <c r="AI364" s="51">
        <v>0.60204979999999997</v>
      </c>
    </row>
    <row r="365" spans="23:35">
      <c r="W365" s="23">
        <v>41831</v>
      </c>
      <c r="X365" s="22">
        <v>1329.7</v>
      </c>
      <c r="AE365" s="48">
        <v>42052</v>
      </c>
      <c r="AF365" s="51">
        <v>0.57876243000000005</v>
      </c>
      <c r="AH365" s="48">
        <v>42059</v>
      </c>
      <c r="AI365" s="51">
        <v>0.63275471999999999</v>
      </c>
    </row>
    <row r="366" spans="23:35">
      <c r="W366" s="23">
        <v>41838</v>
      </c>
      <c r="X366" s="22">
        <v>1400.7</v>
      </c>
      <c r="AE366" s="48">
        <v>42048</v>
      </c>
      <c r="AF366" s="51">
        <v>0.62768749999999995</v>
      </c>
      <c r="AH366" s="48">
        <v>42058</v>
      </c>
      <c r="AI366" s="51">
        <v>0.59752254000000005</v>
      </c>
    </row>
    <row r="367" spans="23:35">
      <c r="W367" s="23">
        <v>41845</v>
      </c>
      <c r="X367" s="22">
        <v>1327.5</v>
      </c>
      <c r="AE367" s="48">
        <v>42047</v>
      </c>
      <c r="AF367" s="51">
        <v>0.63304419999999995</v>
      </c>
      <c r="AH367" s="48">
        <v>42055</v>
      </c>
      <c r="AI367" s="51">
        <v>0.56873697000000001</v>
      </c>
    </row>
    <row r="368" spans="23:35">
      <c r="W368" s="23">
        <v>41852</v>
      </c>
      <c r="X368" s="22">
        <v>1373.9</v>
      </c>
      <c r="AE368" s="48">
        <v>42046</v>
      </c>
      <c r="AF368" s="51">
        <v>0.62854273999999999</v>
      </c>
      <c r="AH368" s="48">
        <v>42054</v>
      </c>
      <c r="AI368" s="51">
        <v>0.57087018</v>
      </c>
    </row>
    <row r="369" spans="23:35">
      <c r="W369" s="23">
        <v>41859</v>
      </c>
      <c r="X369" s="22">
        <v>1342.6</v>
      </c>
      <c r="AE369" s="48">
        <v>42045</v>
      </c>
      <c r="AF369" s="51">
        <v>0.58853548</v>
      </c>
      <c r="AH369" s="48">
        <v>42053</v>
      </c>
      <c r="AI369" s="51">
        <v>0.59751971999999998</v>
      </c>
    </row>
    <row r="370" spans="23:35">
      <c r="W370" s="23">
        <v>41866</v>
      </c>
      <c r="X370" s="22">
        <v>1404.9</v>
      </c>
      <c r="AE370" s="48">
        <v>42044</v>
      </c>
      <c r="AF370" s="51">
        <v>0.61306892999999996</v>
      </c>
      <c r="AH370" s="48">
        <v>42052</v>
      </c>
      <c r="AI370" s="51">
        <v>0.53197870000000003</v>
      </c>
    </row>
    <row r="371" spans="23:35">
      <c r="W371" s="23">
        <v>41873</v>
      </c>
      <c r="X371" s="22">
        <v>1439.4</v>
      </c>
      <c r="AE371" s="48">
        <v>42041</v>
      </c>
      <c r="AF371" s="51">
        <v>0.61649233999999997</v>
      </c>
      <c r="AH371" s="48">
        <v>42048</v>
      </c>
      <c r="AI371" s="51">
        <v>0.59986821000000001</v>
      </c>
    </row>
    <row r="372" spans="23:35">
      <c r="W372" s="23">
        <v>41880</v>
      </c>
      <c r="X372" s="22">
        <v>1436</v>
      </c>
      <c r="AE372" s="48">
        <v>42040</v>
      </c>
      <c r="AF372" s="51">
        <v>0.65571170999999995</v>
      </c>
      <c r="AH372" s="48">
        <v>42047</v>
      </c>
      <c r="AI372" s="51">
        <v>0.60211148000000003</v>
      </c>
    </row>
    <row r="373" spans="23:35">
      <c r="W373" s="23">
        <v>41887</v>
      </c>
      <c r="X373" s="22">
        <v>1275.8</v>
      </c>
      <c r="AE373" s="48">
        <v>42039</v>
      </c>
      <c r="AF373" s="51">
        <v>0.65356482999999999</v>
      </c>
      <c r="AH373" s="48">
        <v>42046</v>
      </c>
      <c r="AI373" s="51">
        <v>0.60054971999999995</v>
      </c>
    </row>
    <row r="374" spans="23:35">
      <c r="W374" s="23">
        <v>41894</v>
      </c>
      <c r="X374" s="22">
        <v>1398.4</v>
      </c>
      <c r="AE374" s="48">
        <v>42038</v>
      </c>
      <c r="AF374" s="51">
        <v>0.67780158999999995</v>
      </c>
      <c r="AH374" s="48">
        <v>42045</v>
      </c>
      <c r="AI374" s="51">
        <v>0.53328547999999998</v>
      </c>
    </row>
    <row r="375" spans="23:35">
      <c r="W375" s="23">
        <v>41901</v>
      </c>
      <c r="X375" s="22">
        <v>1335.1</v>
      </c>
      <c r="AE375" s="48">
        <v>42037</v>
      </c>
      <c r="AF375" s="51">
        <v>0.76793736999999995</v>
      </c>
      <c r="AH375" s="48">
        <v>42044</v>
      </c>
      <c r="AI375" s="51">
        <v>0.57186451999999999</v>
      </c>
    </row>
    <row r="376" spans="23:35">
      <c r="W376" s="23">
        <v>41908</v>
      </c>
      <c r="X376" s="22">
        <v>1326.2</v>
      </c>
      <c r="AE376" s="48">
        <v>42034</v>
      </c>
      <c r="AF376" s="51">
        <v>0.76666900999999998</v>
      </c>
      <c r="AH376" s="48">
        <v>42041</v>
      </c>
      <c r="AI376" s="51">
        <v>0.59705430000000004</v>
      </c>
    </row>
    <row r="377" spans="23:35">
      <c r="W377" s="23">
        <v>41915</v>
      </c>
      <c r="X377" s="22">
        <v>1387.1</v>
      </c>
      <c r="AE377" s="48">
        <v>42033</v>
      </c>
      <c r="AF377" s="51">
        <v>0.70072699999999999</v>
      </c>
      <c r="AH377" s="48">
        <v>42040</v>
      </c>
      <c r="AI377" s="51">
        <v>0.63836521999999996</v>
      </c>
    </row>
    <row r="378" spans="23:35">
      <c r="W378" s="23">
        <v>41922</v>
      </c>
      <c r="X378" s="22">
        <v>1560.6</v>
      </c>
      <c r="AE378" s="48">
        <v>42032</v>
      </c>
      <c r="AF378" s="51">
        <v>0.70869574000000002</v>
      </c>
      <c r="AH378" s="48">
        <v>42039</v>
      </c>
      <c r="AI378" s="51">
        <v>0.63782923999999996</v>
      </c>
    </row>
    <row r="379" spans="23:35">
      <c r="W379" s="23">
        <v>41929</v>
      </c>
      <c r="X379" s="22">
        <v>1898.2</v>
      </c>
      <c r="AE379" s="48">
        <v>42031</v>
      </c>
      <c r="AF379" s="51">
        <v>0.64752867000000003</v>
      </c>
      <c r="AH379" s="48">
        <v>42038</v>
      </c>
      <c r="AI379" s="51">
        <v>0.66330926999999995</v>
      </c>
    </row>
    <row r="380" spans="23:35">
      <c r="W380" s="23">
        <v>41936</v>
      </c>
      <c r="X380" s="22">
        <v>1713.6</v>
      </c>
      <c r="AE380" s="48">
        <v>42030</v>
      </c>
      <c r="AF380" s="51">
        <v>0.64299956000000003</v>
      </c>
      <c r="AH380" s="48">
        <v>42037</v>
      </c>
      <c r="AI380" s="51">
        <v>0.72286992000000005</v>
      </c>
    </row>
    <row r="381" spans="23:35">
      <c r="W381" s="23">
        <v>41943</v>
      </c>
      <c r="X381" s="22">
        <v>1604.8</v>
      </c>
      <c r="AE381" s="48">
        <v>42027</v>
      </c>
      <c r="AF381" s="51">
        <v>0.65375899999999998</v>
      </c>
      <c r="AH381" s="48">
        <v>42034</v>
      </c>
      <c r="AI381" s="51">
        <v>0.70593684000000001</v>
      </c>
    </row>
    <row r="382" spans="23:35">
      <c r="W382" s="23">
        <v>41950</v>
      </c>
      <c r="X382" s="22">
        <v>1565.3</v>
      </c>
      <c r="AE382" s="48">
        <v>42026</v>
      </c>
      <c r="AF382" s="51">
        <v>0.63573738000000002</v>
      </c>
      <c r="AH382" s="48">
        <v>42033</v>
      </c>
      <c r="AI382" s="51">
        <v>0.69661240999999996</v>
      </c>
    </row>
    <row r="383" spans="23:35">
      <c r="W383" s="23">
        <v>41957</v>
      </c>
      <c r="X383" s="22">
        <v>1563.2</v>
      </c>
      <c r="AE383" s="48">
        <v>42025</v>
      </c>
      <c r="AF383" s="51">
        <v>0.63813522</v>
      </c>
      <c r="AH383" s="48">
        <v>42032</v>
      </c>
      <c r="AI383" s="51">
        <v>0.69678454000000001</v>
      </c>
    </row>
    <row r="384" spans="23:35">
      <c r="W384" s="23">
        <v>41964</v>
      </c>
      <c r="X384" s="22">
        <v>1547.9</v>
      </c>
      <c r="AE384" s="48">
        <v>42024</v>
      </c>
      <c r="AF384" s="51">
        <v>0.68268572999999999</v>
      </c>
      <c r="AH384" s="48">
        <v>42031</v>
      </c>
      <c r="AI384" s="51">
        <v>0.64042339999999998</v>
      </c>
    </row>
    <row r="385" spans="23:35">
      <c r="W385" s="23">
        <v>41971</v>
      </c>
      <c r="X385" s="22">
        <v>1366.6</v>
      </c>
      <c r="AE385" s="48">
        <v>42020</v>
      </c>
      <c r="AF385" s="51">
        <v>0.69078755999999997</v>
      </c>
      <c r="AH385" s="48">
        <v>42030</v>
      </c>
      <c r="AI385" s="51">
        <v>0.63970634999999998</v>
      </c>
    </row>
    <row r="386" spans="23:35">
      <c r="W386" s="23">
        <v>41978</v>
      </c>
      <c r="X386" s="22">
        <v>1548.6</v>
      </c>
      <c r="AE386" s="48">
        <v>42019</v>
      </c>
      <c r="AF386" s="51">
        <v>0.77820301999999997</v>
      </c>
      <c r="AH386" s="48">
        <v>42027</v>
      </c>
      <c r="AI386" s="51">
        <v>0.64258859000000002</v>
      </c>
    </row>
    <row r="387" spans="23:35">
      <c r="W387" s="23">
        <v>41985</v>
      </c>
      <c r="X387" s="22">
        <v>1518.8</v>
      </c>
      <c r="AE387" s="48">
        <v>42018</v>
      </c>
      <c r="AF387" s="51">
        <v>0.75092638</v>
      </c>
      <c r="AH387" s="48">
        <v>42026</v>
      </c>
      <c r="AI387" s="51">
        <v>0.60804475999999996</v>
      </c>
    </row>
    <row r="388" spans="23:35">
      <c r="W388" s="23">
        <v>41992</v>
      </c>
      <c r="X388" s="22">
        <v>1538.7</v>
      </c>
      <c r="AE388" s="48">
        <v>42017</v>
      </c>
      <c r="AF388" s="51">
        <v>0.67716757999999999</v>
      </c>
      <c r="AH388" s="48">
        <v>42025</v>
      </c>
      <c r="AI388" s="51">
        <v>0.63781739000000004</v>
      </c>
    </row>
    <row r="389" spans="23:35">
      <c r="W389" s="23">
        <v>41998</v>
      </c>
      <c r="X389" s="22">
        <v>1164.2</v>
      </c>
      <c r="AE389" s="48">
        <v>42016</v>
      </c>
      <c r="AF389" s="51">
        <v>0.66995446999999997</v>
      </c>
      <c r="AH389" s="48">
        <v>42024</v>
      </c>
      <c r="AI389" s="51">
        <v>0.66807585999999997</v>
      </c>
    </row>
    <row r="390" spans="23:35">
      <c r="W390" s="23">
        <v>42005</v>
      </c>
      <c r="X390" s="22">
        <v>1347.6</v>
      </c>
      <c r="AE390" s="48">
        <v>42013</v>
      </c>
      <c r="AF390" s="51">
        <v>0.64879244000000003</v>
      </c>
      <c r="AH390" s="48">
        <v>42020</v>
      </c>
      <c r="AI390" s="51">
        <v>0.66900008</v>
      </c>
    </row>
    <row r="391" spans="23:35">
      <c r="W391" s="23">
        <v>42013</v>
      </c>
      <c r="X391" s="22">
        <v>2271.5</v>
      </c>
      <c r="AE391" s="48">
        <v>42012</v>
      </c>
      <c r="AF391" s="51">
        <v>0.63669825000000002</v>
      </c>
      <c r="AH391" s="48">
        <v>42019</v>
      </c>
      <c r="AI391" s="51">
        <v>0.72846080999999996</v>
      </c>
    </row>
    <row r="392" spans="23:35">
      <c r="W392" s="23">
        <v>42020</v>
      </c>
      <c r="X392" s="22">
        <v>2799.3</v>
      </c>
      <c r="AE392" s="48">
        <v>42011</v>
      </c>
      <c r="AF392" s="51">
        <v>0.65653189999999995</v>
      </c>
      <c r="AH392" s="48">
        <v>42018</v>
      </c>
      <c r="AI392" s="51">
        <v>0.70389407999999998</v>
      </c>
    </row>
    <row r="393" spans="23:35">
      <c r="W393" s="23">
        <v>42027</v>
      </c>
      <c r="X393" s="22">
        <v>2572.3000000000002</v>
      </c>
      <c r="AE393" s="48">
        <v>42010</v>
      </c>
      <c r="AF393" s="51">
        <v>0.67838461999999999</v>
      </c>
      <c r="AH393" s="48">
        <v>42017</v>
      </c>
      <c r="AI393" s="51">
        <v>0.66702921999999998</v>
      </c>
    </row>
    <row r="394" spans="23:35">
      <c r="W394" s="23">
        <v>42034</v>
      </c>
      <c r="X394" s="22">
        <v>2584.8000000000002</v>
      </c>
      <c r="AE394" s="48">
        <v>42009</v>
      </c>
      <c r="AF394" s="51">
        <v>0.64440816999999995</v>
      </c>
      <c r="AH394" s="48">
        <v>42016</v>
      </c>
      <c r="AI394" s="51">
        <v>0.66637756999999997</v>
      </c>
    </row>
    <row r="395" spans="23:35">
      <c r="W395" s="23">
        <v>42041</v>
      </c>
      <c r="X395" s="22">
        <v>2291.3000000000002</v>
      </c>
      <c r="AE395" s="48">
        <v>42006</v>
      </c>
      <c r="AF395" s="51">
        <v>0.61630004999999999</v>
      </c>
      <c r="AH395" s="48">
        <v>42013</v>
      </c>
      <c r="AI395" s="51">
        <v>0.64043826999999998</v>
      </c>
    </row>
    <row r="396" spans="23:35">
      <c r="W396" s="23">
        <v>42048</v>
      </c>
      <c r="X396" s="22">
        <v>1904.2</v>
      </c>
      <c r="AE396" s="48">
        <v>42004</v>
      </c>
      <c r="AF396" s="51">
        <v>0.60249396</v>
      </c>
      <c r="AH396" s="48">
        <v>42012</v>
      </c>
      <c r="AI396" s="51">
        <v>0.60822951999999997</v>
      </c>
    </row>
    <row r="397" spans="23:35">
      <c r="W397" s="23">
        <v>42055</v>
      </c>
      <c r="X397" s="22">
        <v>1703.1</v>
      </c>
      <c r="AE397" s="48">
        <v>42003</v>
      </c>
      <c r="AF397" s="51">
        <v>0.60957428000000002</v>
      </c>
      <c r="AH397" s="48">
        <v>42011</v>
      </c>
      <c r="AI397" s="51">
        <v>0.64349955999999997</v>
      </c>
    </row>
    <row r="398" spans="23:35">
      <c r="W398" s="23">
        <v>42062</v>
      </c>
      <c r="X398" s="22">
        <v>1740.3</v>
      </c>
      <c r="AE398" s="48">
        <v>42002</v>
      </c>
      <c r="AF398" s="51">
        <v>0.60730706999999995</v>
      </c>
      <c r="AH398" s="48">
        <v>42010</v>
      </c>
      <c r="AI398" s="51">
        <v>0.66730993000000005</v>
      </c>
    </row>
    <row r="399" spans="23:35">
      <c r="W399" s="23">
        <v>42069</v>
      </c>
      <c r="X399" s="22">
        <v>1685.7</v>
      </c>
      <c r="AE399" s="48">
        <v>41999</v>
      </c>
      <c r="AF399" s="51">
        <v>0.59844739000000002</v>
      </c>
      <c r="AH399" s="48">
        <v>42009</v>
      </c>
      <c r="AI399" s="51">
        <v>0.63991169000000003</v>
      </c>
    </row>
    <row r="400" spans="23:35">
      <c r="W400" s="23">
        <v>42076</v>
      </c>
      <c r="X400" s="22">
        <v>1623.6</v>
      </c>
      <c r="AE400" s="48">
        <v>41997</v>
      </c>
      <c r="AF400" s="51">
        <v>0.59024577</v>
      </c>
      <c r="AH400" s="48">
        <v>42006</v>
      </c>
      <c r="AI400" s="51">
        <v>0.57802441000000004</v>
      </c>
    </row>
    <row r="401" spans="23:35">
      <c r="W401" s="23">
        <v>42083</v>
      </c>
      <c r="X401" s="22">
        <v>1860.8</v>
      </c>
      <c r="AE401" s="48">
        <v>41996</v>
      </c>
      <c r="AF401" s="51">
        <v>0.58426213999999999</v>
      </c>
      <c r="AH401" s="48">
        <v>42004</v>
      </c>
      <c r="AI401" s="51">
        <v>0.55220027000000005</v>
      </c>
    </row>
    <row r="402" spans="23:35">
      <c r="W402" s="23">
        <v>42090</v>
      </c>
      <c r="X402" s="22">
        <v>1941.6</v>
      </c>
      <c r="AE402" s="48">
        <v>41995</v>
      </c>
      <c r="AF402" s="51">
        <v>0.61490803999999999</v>
      </c>
      <c r="AH402" s="48">
        <v>42003</v>
      </c>
      <c r="AI402" s="51">
        <v>0.55528524000000001</v>
      </c>
    </row>
    <row r="403" spans="23:35">
      <c r="W403" s="23">
        <v>42097</v>
      </c>
      <c r="X403" s="22">
        <v>1854.7</v>
      </c>
      <c r="AE403" s="48">
        <v>41992</v>
      </c>
      <c r="AF403" s="51">
        <v>0.61106543000000002</v>
      </c>
      <c r="AH403" s="48">
        <v>42002</v>
      </c>
      <c r="AI403" s="51">
        <v>0.55447095999999996</v>
      </c>
    </row>
    <row r="404" spans="23:35">
      <c r="W404" s="23">
        <v>42104</v>
      </c>
      <c r="X404" s="22">
        <v>1804.6</v>
      </c>
      <c r="AE404" s="48">
        <v>41991</v>
      </c>
      <c r="AF404" s="51">
        <v>0.60467766000000001</v>
      </c>
      <c r="AH404" s="48">
        <v>41999</v>
      </c>
      <c r="AI404" s="51">
        <v>0.52307972999999996</v>
      </c>
    </row>
    <row r="405" spans="23:35">
      <c r="W405" s="23">
        <v>42111</v>
      </c>
      <c r="X405" s="22">
        <v>1817</v>
      </c>
      <c r="AE405" s="48">
        <v>41990</v>
      </c>
      <c r="AF405" s="51">
        <v>0.60999000999999997</v>
      </c>
      <c r="AH405" s="48">
        <v>41997</v>
      </c>
      <c r="AI405" s="51">
        <v>0.52146691000000001</v>
      </c>
    </row>
    <row r="406" spans="23:35">
      <c r="W406" s="23">
        <v>42118</v>
      </c>
      <c r="X406" s="22">
        <v>1723</v>
      </c>
      <c r="AE406" s="48">
        <v>41989</v>
      </c>
      <c r="AF406" s="51">
        <v>0.61851102999999996</v>
      </c>
      <c r="AH406" s="48">
        <v>41996</v>
      </c>
      <c r="AI406" s="51">
        <v>0.52003257999999997</v>
      </c>
    </row>
    <row r="407" spans="23:35">
      <c r="W407" s="23">
        <v>42125</v>
      </c>
      <c r="X407" s="22">
        <v>1559.4</v>
      </c>
      <c r="AE407" s="48">
        <v>41988</v>
      </c>
      <c r="AF407" s="51">
        <v>0.60500788999999999</v>
      </c>
      <c r="AH407" s="48">
        <v>41995</v>
      </c>
      <c r="AI407" s="51">
        <v>0.55649285000000004</v>
      </c>
    </row>
    <row r="408" spans="23:35">
      <c r="W408" s="23">
        <v>42132</v>
      </c>
      <c r="X408" s="22">
        <v>1477.8</v>
      </c>
      <c r="AE408" s="48">
        <v>41985</v>
      </c>
      <c r="AF408" s="51">
        <v>0.61318455999999999</v>
      </c>
      <c r="AH408" s="48">
        <v>41992</v>
      </c>
      <c r="AI408" s="51">
        <v>0.55536598999999998</v>
      </c>
    </row>
    <row r="409" spans="23:35">
      <c r="W409" s="23">
        <v>42139</v>
      </c>
      <c r="X409" s="22">
        <v>1448.8</v>
      </c>
      <c r="AE409" s="48">
        <v>41984</v>
      </c>
      <c r="AF409" s="51">
        <v>0.59234335000000005</v>
      </c>
      <c r="AH409" s="48">
        <v>41991</v>
      </c>
      <c r="AI409" s="51">
        <v>0.55360516999999998</v>
      </c>
    </row>
    <row r="410" spans="23:35">
      <c r="W410" s="23">
        <v>42146</v>
      </c>
      <c r="X410" s="22">
        <v>1408.1</v>
      </c>
      <c r="AE410" s="48">
        <v>41983</v>
      </c>
      <c r="AF410" s="51">
        <v>0.59762468000000002</v>
      </c>
      <c r="AH410" s="48">
        <v>41990</v>
      </c>
      <c r="AI410" s="51">
        <v>0.55528728000000005</v>
      </c>
    </row>
    <row r="411" spans="23:35">
      <c r="W411" s="23">
        <v>42153</v>
      </c>
      <c r="X411" s="22">
        <v>1233.9000000000001</v>
      </c>
      <c r="AE411" s="48">
        <v>41982</v>
      </c>
      <c r="AF411" s="51">
        <v>0.59463946999999995</v>
      </c>
      <c r="AH411" s="48">
        <v>41989</v>
      </c>
      <c r="AI411" s="51">
        <v>0.55698329999999996</v>
      </c>
    </row>
    <row r="412" spans="23:35">
      <c r="W412" s="23">
        <v>42160</v>
      </c>
      <c r="X412" s="22">
        <v>1342.4</v>
      </c>
      <c r="AE412" s="48">
        <v>41981</v>
      </c>
      <c r="AF412" s="51">
        <v>0.58594712999999998</v>
      </c>
      <c r="AH412" s="48">
        <v>41988</v>
      </c>
      <c r="AI412" s="51">
        <v>0.55360885000000004</v>
      </c>
    </row>
    <row r="413" spans="23:35">
      <c r="W413" s="23">
        <v>42167</v>
      </c>
      <c r="X413" s="22">
        <v>1273.4000000000001</v>
      </c>
      <c r="AE413" s="48">
        <v>41978</v>
      </c>
      <c r="AF413" s="51">
        <v>0.57239673000000002</v>
      </c>
      <c r="AH413" s="48">
        <v>41985</v>
      </c>
      <c r="AI413" s="51">
        <v>0.55615245999999996</v>
      </c>
    </row>
    <row r="414" spans="23:35">
      <c r="W414" s="23">
        <v>42174</v>
      </c>
      <c r="X414" s="22">
        <v>1318.3</v>
      </c>
      <c r="AE414" s="48">
        <v>41977</v>
      </c>
      <c r="AF414" s="51">
        <v>0.58835028</v>
      </c>
      <c r="AH414" s="48">
        <v>41984</v>
      </c>
      <c r="AI414" s="51">
        <v>0.52183347000000002</v>
      </c>
    </row>
    <row r="415" spans="23:35">
      <c r="W415" s="23">
        <v>42181</v>
      </c>
      <c r="X415" s="22">
        <v>1246.0999999999999</v>
      </c>
      <c r="AE415" s="48">
        <v>41976</v>
      </c>
      <c r="AF415" s="51">
        <v>0.57867104999999996</v>
      </c>
      <c r="AH415" s="48">
        <v>41983</v>
      </c>
      <c r="AI415" s="51">
        <v>0.52288243999999995</v>
      </c>
    </row>
    <row r="416" spans="23:35">
      <c r="W416" s="23">
        <v>42215</v>
      </c>
      <c r="X416" s="22">
        <v>1339.9</v>
      </c>
      <c r="AE416" s="48">
        <v>41975</v>
      </c>
      <c r="AF416" s="51">
        <v>0.57114505000000004</v>
      </c>
      <c r="AH416" s="48">
        <v>41982</v>
      </c>
      <c r="AI416" s="51">
        <v>0.52278574</v>
      </c>
    </row>
    <row r="417" spans="31:35">
      <c r="AE417" s="48">
        <v>41974</v>
      </c>
      <c r="AF417" s="51">
        <v>0.59072795</v>
      </c>
      <c r="AH417" s="48">
        <v>41981</v>
      </c>
      <c r="AI417" s="51">
        <v>0.52033004000000005</v>
      </c>
    </row>
    <row r="418" spans="31:35">
      <c r="AE418" s="48">
        <v>41971</v>
      </c>
      <c r="AF418" s="51">
        <v>0.60133714000000005</v>
      </c>
      <c r="AH418" s="48">
        <v>41978</v>
      </c>
      <c r="AI418" s="51">
        <v>0.48999329000000003</v>
      </c>
    </row>
    <row r="419" spans="31:35">
      <c r="AE419" s="48">
        <v>41969</v>
      </c>
      <c r="AF419" s="51">
        <v>0.58658396999999995</v>
      </c>
      <c r="AH419" s="48">
        <v>41977</v>
      </c>
      <c r="AI419" s="51">
        <v>0.52093312999999997</v>
      </c>
    </row>
    <row r="420" spans="31:35">
      <c r="AE420" s="48">
        <v>41968</v>
      </c>
      <c r="AF420" s="51">
        <v>0.59653157000000001</v>
      </c>
      <c r="AH420" s="48">
        <v>41976</v>
      </c>
      <c r="AI420" s="51">
        <v>0.51731702999999996</v>
      </c>
    </row>
    <row r="421" spans="31:35">
      <c r="AE421" s="48">
        <v>41967</v>
      </c>
      <c r="AF421" s="51">
        <v>0.57921135000000001</v>
      </c>
      <c r="AH421" s="48">
        <v>41975</v>
      </c>
      <c r="AI421" s="51">
        <v>0.48947155999999997</v>
      </c>
    </row>
    <row r="422" spans="31:35">
      <c r="AE422" s="48">
        <v>41964</v>
      </c>
      <c r="AF422" s="51">
        <v>0.57608892</v>
      </c>
      <c r="AH422" s="48">
        <v>41974</v>
      </c>
      <c r="AI422" s="51">
        <v>0.52146875000000004</v>
      </c>
    </row>
    <row r="423" spans="31:35">
      <c r="AE423" s="48">
        <v>41963</v>
      </c>
      <c r="AF423" s="51">
        <v>0.57240922999999999</v>
      </c>
      <c r="AH423" s="48">
        <v>41971</v>
      </c>
      <c r="AI423" s="51">
        <v>0.52994185999999999</v>
      </c>
    </row>
    <row r="424" spans="31:35">
      <c r="AE424" s="48">
        <v>41962</v>
      </c>
      <c r="AF424" s="51">
        <v>0.56281760999999997</v>
      </c>
      <c r="AH424" s="48">
        <v>41969</v>
      </c>
      <c r="AI424" s="51">
        <v>0.52663397999999995</v>
      </c>
    </row>
    <row r="425" spans="31:35">
      <c r="AE425" s="48">
        <v>41961</v>
      </c>
      <c r="AF425" s="51">
        <v>0.57506597999999998</v>
      </c>
      <c r="AH425" s="48">
        <v>41968</v>
      </c>
      <c r="AI425" s="51">
        <v>0.52900599999999998</v>
      </c>
    </row>
    <row r="426" spans="31:35">
      <c r="AE426" s="48">
        <v>41960</v>
      </c>
      <c r="AF426" s="51">
        <v>0.57256868000000005</v>
      </c>
      <c r="AH426" s="48">
        <v>41967</v>
      </c>
      <c r="AI426" s="51">
        <v>0.49753599999999998</v>
      </c>
    </row>
    <row r="427" spans="31:35">
      <c r="AE427" s="48">
        <v>41957</v>
      </c>
      <c r="AF427" s="51">
        <v>0.57386685999999998</v>
      </c>
      <c r="AH427" s="48">
        <v>41964</v>
      </c>
      <c r="AI427" s="51">
        <v>0.49670615000000001</v>
      </c>
    </row>
    <row r="428" spans="31:35">
      <c r="AE428" s="48">
        <v>41956</v>
      </c>
      <c r="AF428" s="51">
        <v>0.55857886000000001</v>
      </c>
      <c r="AH428" s="48">
        <v>41963</v>
      </c>
      <c r="AI428" s="51">
        <v>0.49501563999999998</v>
      </c>
    </row>
    <row r="429" spans="31:35">
      <c r="AE429" s="48">
        <v>41955</v>
      </c>
      <c r="AF429" s="51">
        <v>0.55171208000000005</v>
      </c>
      <c r="AH429" s="48">
        <v>41962</v>
      </c>
      <c r="AI429" s="51">
        <v>0.4923186</v>
      </c>
    </row>
    <row r="430" spans="31:35">
      <c r="AE430" s="48">
        <v>41953</v>
      </c>
      <c r="AF430" s="51">
        <v>0.54089107999999997</v>
      </c>
      <c r="AH430" s="48">
        <v>41961</v>
      </c>
      <c r="AI430" s="51">
        <v>0.49602299999999999</v>
      </c>
    </row>
    <row r="431" spans="31:35">
      <c r="AE431" s="48">
        <v>41950</v>
      </c>
      <c r="AF431" s="51">
        <v>0.56332722000000002</v>
      </c>
      <c r="AH431" s="48">
        <v>41960</v>
      </c>
      <c r="AI431" s="51">
        <v>0.4950177</v>
      </c>
    </row>
    <row r="432" spans="31:35">
      <c r="AE432" s="48">
        <v>41949</v>
      </c>
      <c r="AF432" s="51">
        <v>0.52681778999999995</v>
      </c>
      <c r="AH432" s="48">
        <v>41957</v>
      </c>
      <c r="AI432" s="51">
        <v>0.49567578000000001</v>
      </c>
    </row>
    <row r="433" spans="31:35">
      <c r="AE433" s="48">
        <v>41948</v>
      </c>
      <c r="AF433" s="51">
        <v>0.53403869000000004</v>
      </c>
      <c r="AH433" s="48">
        <v>41956</v>
      </c>
      <c r="AI433" s="51">
        <v>0.46562282999999999</v>
      </c>
    </row>
    <row r="434" spans="31:35">
      <c r="AE434" s="48">
        <v>41947</v>
      </c>
      <c r="AF434" s="51">
        <v>0.52073263000000003</v>
      </c>
      <c r="AH434" s="48">
        <v>41955</v>
      </c>
      <c r="AI434" s="51">
        <v>0.46496967</v>
      </c>
    </row>
    <row r="435" spans="31:35">
      <c r="AE435" s="48">
        <v>41946</v>
      </c>
      <c r="AF435" s="51">
        <v>0.51669485000000004</v>
      </c>
      <c r="AH435" s="48">
        <v>41953</v>
      </c>
      <c r="AI435" s="51">
        <v>0.46314520999999997</v>
      </c>
    </row>
    <row r="436" spans="31:35">
      <c r="AE436" s="48">
        <v>41943</v>
      </c>
      <c r="AF436" s="51">
        <v>0.55191319999999999</v>
      </c>
      <c r="AH436" s="48">
        <v>41950</v>
      </c>
      <c r="AI436" s="51">
        <v>0.49248954</v>
      </c>
    </row>
    <row r="437" spans="31:35">
      <c r="AE437" s="48">
        <v>41942</v>
      </c>
      <c r="AF437" s="51">
        <v>0.56428913000000003</v>
      </c>
      <c r="AH437" s="48">
        <v>41949</v>
      </c>
      <c r="AI437" s="51">
        <v>0.46217051999999997</v>
      </c>
    </row>
    <row r="438" spans="31:35">
      <c r="AE438" s="48">
        <v>41941</v>
      </c>
      <c r="AF438" s="51">
        <v>0.55231045999999995</v>
      </c>
      <c r="AH438" s="48">
        <v>41948</v>
      </c>
      <c r="AI438" s="51">
        <v>0.46259766000000002</v>
      </c>
    </row>
    <row r="439" spans="31:35">
      <c r="AE439" s="48">
        <v>41940</v>
      </c>
      <c r="AF439" s="51">
        <v>0.56621257999999997</v>
      </c>
      <c r="AH439" s="48">
        <v>41947</v>
      </c>
      <c r="AI439" s="51">
        <v>0.46051699000000001</v>
      </c>
    </row>
    <row r="440" spans="31:35">
      <c r="AE440" s="48">
        <v>41939</v>
      </c>
      <c r="AF440" s="51">
        <v>0.57517284000000002</v>
      </c>
      <c r="AH440" s="48">
        <v>41946</v>
      </c>
      <c r="AI440" s="51">
        <v>0.46045063000000003</v>
      </c>
    </row>
    <row r="441" spans="31:35">
      <c r="AE441" s="48">
        <v>41936</v>
      </c>
      <c r="AF441" s="51">
        <v>0.56916891000000003</v>
      </c>
      <c r="AH441" s="48">
        <v>41943</v>
      </c>
      <c r="AI441" s="51">
        <v>0.47210258999999999</v>
      </c>
    </row>
    <row r="442" spans="31:35">
      <c r="AE442" s="48">
        <v>41935</v>
      </c>
      <c r="AF442" s="51">
        <v>0.57350184999999998</v>
      </c>
      <c r="AH442" s="48">
        <v>41942</v>
      </c>
      <c r="AI442" s="51">
        <v>0.49985557000000003</v>
      </c>
    </row>
    <row r="443" spans="31:35">
      <c r="AE443" s="48">
        <v>41934</v>
      </c>
      <c r="AF443" s="51">
        <v>0.58371083000000001</v>
      </c>
      <c r="AH443" s="48">
        <v>41941</v>
      </c>
      <c r="AI443" s="51">
        <v>0.47210299999999999</v>
      </c>
    </row>
    <row r="444" spans="31:35">
      <c r="AE444" s="48">
        <v>41933</v>
      </c>
      <c r="AF444" s="51">
        <v>0.58248991000000006</v>
      </c>
      <c r="AH444" s="48">
        <v>41940</v>
      </c>
      <c r="AI444" s="51">
        <v>0.50003394999999995</v>
      </c>
    </row>
    <row r="445" spans="31:35">
      <c r="AE445" s="48">
        <v>41932</v>
      </c>
      <c r="AF445" s="51">
        <v>0.58745733</v>
      </c>
      <c r="AH445" s="48">
        <v>41939</v>
      </c>
      <c r="AI445" s="51">
        <v>0.50262591000000001</v>
      </c>
    </row>
    <row r="446" spans="31:35">
      <c r="AE446" s="48">
        <v>41929</v>
      </c>
      <c r="AF446" s="51">
        <v>0.5809723</v>
      </c>
      <c r="AH446" s="48">
        <v>41936</v>
      </c>
      <c r="AI446" s="51">
        <v>0.50122286000000005</v>
      </c>
    </row>
    <row r="447" spans="31:35">
      <c r="AE447" s="48">
        <v>41928</v>
      </c>
      <c r="AF447" s="51">
        <v>0.58581174999999996</v>
      </c>
      <c r="AH447" s="48">
        <v>41935</v>
      </c>
      <c r="AI447" s="51">
        <v>0.50248267000000002</v>
      </c>
    </row>
    <row r="448" spans="31:35">
      <c r="AE448" s="48">
        <v>41927</v>
      </c>
      <c r="AF448" s="51">
        <v>0.61046866</v>
      </c>
      <c r="AH448" s="48">
        <v>41934</v>
      </c>
      <c r="AI448" s="51">
        <v>0.53122075000000002</v>
      </c>
    </row>
    <row r="449" spans="31:35">
      <c r="AE449" s="48">
        <v>41926</v>
      </c>
      <c r="AF449" s="51">
        <v>0.58185359999999997</v>
      </c>
      <c r="AH449" s="48">
        <v>41933</v>
      </c>
      <c r="AI449" s="51">
        <v>0.50513436</v>
      </c>
    </row>
    <row r="450" spans="31:35">
      <c r="AE450" s="48">
        <v>41922</v>
      </c>
      <c r="AF450" s="51">
        <v>0.54040732000000002</v>
      </c>
      <c r="AH450" s="48">
        <v>41932</v>
      </c>
      <c r="AI450" s="51">
        <v>0.53393838000000005</v>
      </c>
    </row>
    <row r="451" spans="31:35">
      <c r="AE451" s="48">
        <v>41921</v>
      </c>
      <c r="AF451" s="51">
        <v>0.53786215000000004</v>
      </c>
      <c r="AH451" s="48">
        <v>41929</v>
      </c>
      <c r="AI451" s="51">
        <v>0.50501364999999998</v>
      </c>
    </row>
    <row r="452" spans="31:35">
      <c r="AE452" s="48">
        <v>41920</v>
      </c>
      <c r="AF452" s="51">
        <v>0.53950783999999996</v>
      </c>
      <c r="AH452" s="48">
        <v>41928</v>
      </c>
      <c r="AI452" s="51">
        <v>0.53243096000000001</v>
      </c>
    </row>
    <row r="453" spans="31:35">
      <c r="AE453" s="48">
        <v>41919</v>
      </c>
      <c r="AF453" s="51">
        <v>0.53872109999999995</v>
      </c>
      <c r="AH453" s="48">
        <v>41927</v>
      </c>
      <c r="AI453" s="51">
        <v>0.56860263</v>
      </c>
    </row>
    <row r="454" spans="31:35">
      <c r="AE454" s="48">
        <v>41918</v>
      </c>
      <c r="AF454" s="51">
        <v>0.48395365000000001</v>
      </c>
      <c r="AH454" s="48">
        <v>41926</v>
      </c>
      <c r="AI454" s="51">
        <v>0.50506119000000005</v>
      </c>
    </row>
    <row r="455" spans="31:35">
      <c r="AE455" s="48">
        <v>41915</v>
      </c>
      <c r="AF455" s="51">
        <v>0.47165448999999998</v>
      </c>
      <c r="AH455" s="48">
        <v>41922</v>
      </c>
      <c r="AI455" s="51">
        <v>0.47037068999999998</v>
      </c>
    </row>
    <row r="456" spans="31:35">
      <c r="AE456" s="48">
        <v>41914</v>
      </c>
      <c r="AF456" s="51">
        <v>0.47555366999999998</v>
      </c>
      <c r="AH456" s="48">
        <v>41921</v>
      </c>
      <c r="AI456" s="51">
        <v>0.47029277000000003</v>
      </c>
    </row>
    <row r="457" spans="31:35">
      <c r="AE457" s="48">
        <v>41913</v>
      </c>
      <c r="AF457" s="51">
        <v>0.48681100999999999</v>
      </c>
      <c r="AH457" s="48">
        <v>41920</v>
      </c>
      <c r="AI457" s="51">
        <v>0.47037006999999997</v>
      </c>
    </row>
    <row r="458" spans="31:35">
      <c r="AE458" s="48">
        <v>41912</v>
      </c>
      <c r="AF458" s="51">
        <v>0.44080891</v>
      </c>
      <c r="AH458" s="48">
        <v>41919</v>
      </c>
      <c r="AI458" s="51">
        <v>0.47029441999999999</v>
      </c>
    </row>
    <row r="459" spans="31:35">
      <c r="AE459" s="48">
        <v>41911</v>
      </c>
      <c r="AF459" s="51">
        <v>0.45435885999999998</v>
      </c>
      <c r="AH459" s="48">
        <v>41918</v>
      </c>
      <c r="AI459" s="51">
        <v>0.44023575999999998</v>
      </c>
    </row>
    <row r="460" spans="31:35">
      <c r="AE460" s="48">
        <v>41908</v>
      </c>
      <c r="AF460" s="51">
        <v>0.43658808999999998</v>
      </c>
      <c r="AH460" s="48">
        <v>41915</v>
      </c>
      <c r="AI460" s="51">
        <v>0.43803797</v>
      </c>
    </row>
    <row r="461" spans="31:35">
      <c r="AE461" s="48">
        <v>41907</v>
      </c>
      <c r="AF461" s="51">
        <v>0.45034148000000002</v>
      </c>
      <c r="AH461" s="48">
        <v>41914</v>
      </c>
      <c r="AI461" s="51">
        <v>0.43859584000000001</v>
      </c>
    </row>
    <row r="462" spans="31:35">
      <c r="AE462" s="48">
        <v>41906</v>
      </c>
      <c r="AF462" s="51">
        <v>0.41973912000000002</v>
      </c>
      <c r="AH462" s="48">
        <v>41913</v>
      </c>
      <c r="AI462" s="51">
        <v>0.44027937</v>
      </c>
    </row>
    <row r="463" spans="31:35">
      <c r="AE463" s="48">
        <v>41905</v>
      </c>
      <c r="AF463" s="51">
        <v>0.43566015000000002</v>
      </c>
      <c r="AH463" s="48">
        <v>41912</v>
      </c>
      <c r="AI463" s="51">
        <v>0.42006175000000001</v>
      </c>
    </row>
    <row r="464" spans="31:35">
      <c r="AE464" s="48">
        <v>41904</v>
      </c>
      <c r="AF464" s="51">
        <v>0.41911308000000003</v>
      </c>
      <c r="AH464" s="48">
        <v>41911</v>
      </c>
      <c r="AI464" s="51">
        <v>0.42184825999999997</v>
      </c>
    </row>
    <row r="465" spans="31:35">
      <c r="AE465" s="48">
        <v>41901</v>
      </c>
      <c r="AF465" s="51">
        <v>0.40994187999999998</v>
      </c>
      <c r="AH465" s="48">
        <v>41908</v>
      </c>
      <c r="AI465" s="51">
        <v>0.41991706000000001</v>
      </c>
    </row>
    <row r="466" spans="31:35">
      <c r="AE466" s="48">
        <v>41900</v>
      </c>
      <c r="AF466" s="51">
        <v>0.38833265</v>
      </c>
      <c r="AH466" s="48">
        <v>41907</v>
      </c>
      <c r="AI466" s="51">
        <v>0.42139586000000001</v>
      </c>
    </row>
    <row r="467" spans="31:35">
      <c r="AE467" s="48">
        <v>41899</v>
      </c>
      <c r="AF467" s="51">
        <v>0.39334992000000002</v>
      </c>
      <c r="AH467" s="48">
        <v>41906</v>
      </c>
      <c r="AI467" s="51">
        <v>0.39848313000000002</v>
      </c>
    </row>
    <row r="468" spans="31:35">
      <c r="AE468" s="48">
        <v>41898</v>
      </c>
      <c r="AF468" s="51">
        <v>0.40479328999999997</v>
      </c>
      <c r="AH468" s="48">
        <v>41905</v>
      </c>
      <c r="AI468" s="51">
        <v>0.41974801</v>
      </c>
    </row>
    <row r="469" spans="31:35">
      <c r="AE469" s="48">
        <v>41897</v>
      </c>
      <c r="AF469" s="51">
        <v>0.40726297</v>
      </c>
      <c r="AH469" s="48">
        <v>41904</v>
      </c>
      <c r="AI469" s="51">
        <v>0.39846292999999999</v>
      </c>
    </row>
    <row r="470" spans="31:35">
      <c r="AE470" s="48">
        <v>41894</v>
      </c>
      <c r="AF470" s="51">
        <v>0.39612236000000001</v>
      </c>
      <c r="AH470" s="48">
        <v>41901</v>
      </c>
      <c r="AI470" s="51">
        <v>0.39709302000000002</v>
      </c>
    </row>
    <row r="471" spans="31:35">
      <c r="AE471" s="48">
        <v>41893</v>
      </c>
      <c r="AF471" s="51">
        <v>0.43119647999999999</v>
      </c>
      <c r="AH471" s="48">
        <v>41900</v>
      </c>
      <c r="AI471" s="51">
        <v>0.37662551999999999</v>
      </c>
    </row>
    <row r="472" spans="31:35">
      <c r="AE472" s="48">
        <v>41892</v>
      </c>
      <c r="AF472" s="51">
        <v>0.43049915999999999</v>
      </c>
      <c r="AH472" s="48">
        <v>41899</v>
      </c>
      <c r="AI472" s="51">
        <v>0.39455763999999999</v>
      </c>
    </row>
    <row r="473" spans="31:35">
      <c r="AE473" s="48">
        <v>41891</v>
      </c>
      <c r="AF473" s="51">
        <v>0.4137323</v>
      </c>
      <c r="AH473" s="48">
        <v>41898</v>
      </c>
      <c r="AI473" s="51">
        <v>0.39654589000000001</v>
      </c>
    </row>
    <row r="474" spans="31:35">
      <c r="AE474" s="48">
        <v>41890</v>
      </c>
      <c r="AF474" s="51">
        <v>0.43049915999999999</v>
      </c>
      <c r="AH474" s="48">
        <v>41897</v>
      </c>
      <c r="AI474" s="51">
        <v>0.39678781000000002</v>
      </c>
    </row>
    <row r="475" spans="31:35">
      <c r="AE475" s="48">
        <v>41887</v>
      </c>
      <c r="AF475" s="51">
        <v>0.43695918</v>
      </c>
      <c r="AH475" s="48">
        <v>41894</v>
      </c>
      <c r="AI475" s="51">
        <v>0.39536146999999999</v>
      </c>
    </row>
    <row r="476" spans="31:35">
      <c r="AE476" s="48">
        <v>41886</v>
      </c>
      <c r="AF476" s="51">
        <v>0.44790039999999998</v>
      </c>
      <c r="AH476" s="48">
        <v>41893</v>
      </c>
      <c r="AI476" s="51">
        <v>0.41963078999999998</v>
      </c>
    </row>
    <row r="477" spans="31:35">
      <c r="AE477" s="48">
        <v>41885</v>
      </c>
      <c r="AF477" s="51">
        <v>0.47231786999999997</v>
      </c>
      <c r="AH477" s="48">
        <v>41892</v>
      </c>
      <c r="AI477" s="51">
        <v>0.41963038000000003</v>
      </c>
    </row>
    <row r="478" spans="31:35">
      <c r="AE478" s="48">
        <v>41884</v>
      </c>
      <c r="AF478" s="51">
        <v>0.48863521999999998</v>
      </c>
      <c r="AH478" s="48">
        <v>41891</v>
      </c>
      <c r="AI478" s="51">
        <v>0.39831886</v>
      </c>
    </row>
    <row r="479" spans="31:35">
      <c r="AE479" s="48">
        <v>41880</v>
      </c>
      <c r="AF479" s="51">
        <v>0.53590711999999996</v>
      </c>
      <c r="AH479" s="48">
        <v>41890</v>
      </c>
      <c r="AI479" s="51">
        <v>0.41963017000000002</v>
      </c>
    </row>
    <row r="480" spans="31:35">
      <c r="AE480" s="48">
        <v>41879</v>
      </c>
      <c r="AF480" s="51">
        <v>0.53780130000000004</v>
      </c>
      <c r="AH480" s="48">
        <v>41887</v>
      </c>
      <c r="AI480" s="51">
        <v>0.41991768000000002</v>
      </c>
    </row>
    <row r="481" spans="31:35">
      <c r="AE481" s="48">
        <v>41878</v>
      </c>
      <c r="AF481" s="51">
        <v>0.51857653999999997</v>
      </c>
      <c r="AH481" s="48">
        <v>41886</v>
      </c>
      <c r="AI481" s="51">
        <v>0.42109877000000001</v>
      </c>
    </row>
    <row r="482" spans="31:35">
      <c r="AE482" s="48">
        <v>41877</v>
      </c>
      <c r="AF482" s="51">
        <v>0.50171093</v>
      </c>
      <c r="AH482" s="48">
        <v>41885</v>
      </c>
      <c r="AI482" s="51">
        <v>0.44608968999999998</v>
      </c>
    </row>
    <row r="483" spans="31:35">
      <c r="AE483" s="48">
        <v>41876</v>
      </c>
      <c r="AF483" s="51">
        <v>0.49504305999999998</v>
      </c>
      <c r="AH483" s="48">
        <v>41884</v>
      </c>
      <c r="AI483" s="51">
        <v>0.44849515000000001</v>
      </c>
    </row>
    <row r="484" spans="31:35">
      <c r="AE484" s="48">
        <v>41873</v>
      </c>
      <c r="AF484" s="51">
        <v>0.48718482000000002</v>
      </c>
      <c r="AH484" s="48">
        <v>41880</v>
      </c>
      <c r="AI484" s="51">
        <v>0.48351285999999999</v>
      </c>
    </row>
    <row r="485" spans="31:35">
      <c r="AE485" s="48">
        <v>41872</v>
      </c>
      <c r="AF485" s="51">
        <v>0.48298119</v>
      </c>
      <c r="AH485" s="48">
        <v>41879</v>
      </c>
      <c r="AI485" s="51">
        <v>0.48363371999999999</v>
      </c>
    </row>
    <row r="486" spans="31:35">
      <c r="AE486" s="48">
        <v>41871</v>
      </c>
      <c r="AF486" s="51">
        <v>0.46301792000000003</v>
      </c>
      <c r="AH486" s="48">
        <v>41878</v>
      </c>
      <c r="AI486" s="51">
        <v>0.45706305000000003</v>
      </c>
    </row>
    <row r="487" spans="31:35">
      <c r="AE487" s="48">
        <v>41870</v>
      </c>
      <c r="AF487" s="51">
        <v>0.46856598999999999</v>
      </c>
      <c r="AH487" s="48">
        <v>41877</v>
      </c>
      <c r="AI487" s="51">
        <v>0.45529130000000001</v>
      </c>
    </row>
    <row r="488" spans="31:35">
      <c r="AE488" s="48">
        <v>41869</v>
      </c>
      <c r="AF488" s="51">
        <v>0.48660392000000002</v>
      </c>
      <c r="AH488" s="48">
        <v>41876</v>
      </c>
      <c r="AI488" s="51">
        <v>0.45491949999999998</v>
      </c>
    </row>
    <row r="489" spans="31:35">
      <c r="AE489" s="48">
        <v>41866</v>
      </c>
      <c r="AF489" s="51">
        <v>0.52088334000000003</v>
      </c>
      <c r="AH489" s="48">
        <v>41873</v>
      </c>
      <c r="AI489" s="51">
        <v>0.45382170999999999</v>
      </c>
    </row>
    <row r="490" spans="31:35">
      <c r="AE490" s="48">
        <v>41865</v>
      </c>
      <c r="AF490" s="51">
        <v>0.48660392000000002</v>
      </c>
      <c r="AH490" s="48">
        <v>41872</v>
      </c>
      <c r="AI490" s="51">
        <v>0.45267397999999998</v>
      </c>
    </row>
    <row r="491" spans="31:35">
      <c r="AE491" s="48">
        <v>41864</v>
      </c>
      <c r="AF491" s="51">
        <v>0.47060174999999999</v>
      </c>
      <c r="AH491" s="48">
        <v>41871</v>
      </c>
      <c r="AI491" s="51">
        <v>0.42821244000000003</v>
      </c>
    </row>
    <row r="492" spans="31:35">
      <c r="AE492" s="48">
        <v>41863</v>
      </c>
      <c r="AF492" s="51">
        <v>0.44966915000000002</v>
      </c>
      <c r="AH492" s="48">
        <v>41870</v>
      </c>
      <c r="AI492" s="51">
        <v>0.42878651000000001</v>
      </c>
    </row>
    <row r="493" spans="31:35">
      <c r="AE493" s="48">
        <v>41862</v>
      </c>
      <c r="AF493" s="51">
        <v>0.45912554999999999</v>
      </c>
      <c r="AH493" s="48">
        <v>41869</v>
      </c>
      <c r="AI493" s="51">
        <v>0.45382107999999999</v>
      </c>
    </row>
    <row r="494" spans="31:35">
      <c r="AE494" s="48">
        <v>41859</v>
      </c>
      <c r="AF494" s="51">
        <v>0.46856598999999999</v>
      </c>
      <c r="AH494" s="48">
        <v>41866</v>
      </c>
      <c r="AI494" s="51">
        <v>0.48130909999999999</v>
      </c>
    </row>
    <row r="495" spans="31:35">
      <c r="AE495" s="48">
        <v>41858</v>
      </c>
      <c r="AF495" s="51">
        <v>0.46029262999999998</v>
      </c>
      <c r="AH495" s="48">
        <v>41865</v>
      </c>
      <c r="AI495" s="51">
        <v>0.45382107999999999</v>
      </c>
    </row>
    <row r="496" spans="31:35">
      <c r="AE496" s="48">
        <v>41857</v>
      </c>
      <c r="AF496" s="51">
        <v>0.43155733000000002</v>
      </c>
      <c r="AH496" s="48">
        <v>41864</v>
      </c>
      <c r="AI496" s="51">
        <v>0.42907292000000002</v>
      </c>
    </row>
    <row r="497" spans="31:35">
      <c r="AE497" s="48">
        <v>41856</v>
      </c>
      <c r="AF497" s="51">
        <v>0.45575253999999998</v>
      </c>
      <c r="AH497" s="48">
        <v>41863</v>
      </c>
      <c r="AI497" s="51">
        <v>0.42707982</v>
      </c>
    </row>
    <row r="498" spans="31:35">
      <c r="AE498" s="48">
        <v>41855</v>
      </c>
      <c r="AF498" s="51">
        <v>0.45464160999999997</v>
      </c>
      <c r="AH498" s="48">
        <v>41862</v>
      </c>
      <c r="AI498" s="51">
        <v>0.42800849000000002</v>
      </c>
    </row>
    <row r="499" spans="31:35">
      <c r="AE499" s="48">
        <v>41852</v>
      </c>
      <c r="AF499" s="51">
        <v>0.44509471</v>
      </c>
      <c r="AH499" s="48">
        <v>41859</v>
      </c>
      <c r="AI499" s="51">
        <v>0.42878714000000001</v>
      </c>
    </row>
    <row r="500" spans="31:35">
      <c r="AE500" s="48">
        <v>41851</v>
      </c>
      <c r="AF500" s="51">
        <v>0.41925241000000002</v>
      </c>
      <c r="AH500" s="48">
        <v>41858</v>
      </c>
      <c r="AI500" s="51">
        <v>0.42800996000000002</v>
      </c>
    </row>
    <row r="501" spans="31:35">
      <c r="AE501" s="48">
        <v>41850</v>
      </c>
      <c r="AF501" s="51">
        <v>0.42414057999999999</v>
      </c>
      <c r="AH501" s="48">
        <v>41857</v>
      </c>
      <c r="AI501" s="51">
        <v>0.42528603999999998</v>
      </c>
    </row>
    <row r="502" spans="31:35">
      <c r="AE502" s="48">
        <v>41849</v>
      </c>
      <c r="AF502" s="51">
        <v>0.44959285999999998</v>
      </c>
      <c r="AH502" s="48">
        <v>41856</v>
      </c>
      <c r="AI502" s="51">
        <v>0.42757079999999997</v>
      </c>
    </row>
    <row r="503" spans="31:35">
      <c r="AE503" s="48">
        <v>41848</v>
      </c>
      <c r="AF503" s="51">
        <v>0.43261189</v>
      </c>
      <c r="AH503" s="48">
        <v>41855</v>
      </c>
      <c r="AI503" s="51">
        <v>0.42756912000000002</v>
      </c>
    </row>
    <row r="504" spans="31:35">
      <c r="AE504" s="48">
        <v>41845</v>
      </c>
      <c r="AF504" s="51">
        <v>0.44317708</v>
      </c>
      <c r="AH504" s="48">
        <v>41852</v>
      </c>
      <c r="AI504" s="51">
        <v>0.42648581000000002</v>
      </c>
    </row>
    <row r="505" spans="31:35">
      <c r="AE505" s="48">
        <v>41844</v>
      </c>
      <c r="AF505" s="51">
        <v>0.41588460999999999</v>
      </c>
      <c r="AH505" s="48">
        <v>41851</v>
      </c>
      <c r="AI505" s="51">
        <v>0.41102446999999998</v>
      </c>
    </row>
    <row r="506" spans="31:35">
      <c r="AE506" s="48">
        <v>41843</v>
      </c>
      <c r="AF506" s="51">
        <v>0.44795372</v>
      </c>
      <c r="AH506" s="48">
        <v>41850</v>
      </c>
      <c r="AI506" s="51">
        <v>0.41165454000000001</v>
      </c>
    </row>
    <row r="507" spans="31:35">
      <c r="AE507" s="48">
        <v>41842</v>
      </c>
      <c r="AF507" s="51">
        <v>0.48811768</v>
      </c>
      <c r="AH507" s="48">
        <v>41849</v>
      </c>
      <c r="AI507" s="51">
        <v>0.43337641999999998</v>
      </c>
    </row>
    <row r="508" spans="31:35">
      <c r="AE508" s="48">
        <v>41841</v>
      </c>
      <c r="AF508" s="51">
        <v>0.48273333000000002</v>
      </c>
      <c r="AH508" s="48">
        <v>41848</v>
      </c>
      <c r="AI508" s="51">
        <v>0.43154252999999998</v>
      </c>
    </row>
    <row r="509" spans="31:35">
      <c r="AE509" s="48">
        <v>41838</v>
      </c>
      <c r="AF509" s="51">
        <v>0.47910324999999998</v>
      </c>
      <c r="AH509" s="48">
        <v>41845</v>
      </c>
      <c r="AI509" s="51">
        <v>0.43287892</v>
      </c>
    </row>
    <row r="510" spans="31:35">
      <c r="AE510" s="48">
        <v>41837</v>
      </c>
      <c r="AF510" s="51">
        <v>0.47910324999999998</v>
      </c>
      <c r="AH510" s="48">
        <v>41844</v>
      </c>
      <c r="AI510" s="51">
        <v>0.41032958000000003</v>
      </c>
    </row>
    <row r="511" spans="31:35">
      <c r="AE511" s="48">
        <v>41836</v>
      </c>
      <c r="AF511" s="51">
        <v>0.43663878</v>
      </c>
      <c r="AH511" s="48">
        <v>41843</v>
      </c>
      <c r="AI511" s="51">
        <v>0.43317457999999998</v>
      </c>
    </row>
    <row r="512" spans="31:35">
      <c r="AE512" s="48">
        <v>41835</v>
      </c>
      <c r="AF512" s="51">
        <v>0.43107715000000002</v>
      </c>
      <c r="AH512" s="48">
        <v>41842</v>
      </c>
      <c r="AI512" s="51">
        <v>0.46005504000000003</v>
      </c>
    </row>
    <row r="513" spans="31:35">
      <c r="AE513" s="48">
        <v>41834</v>
      </c>
      <c r="AF513" s="51">
        <v>0.43683656999999998</v>
      </c>
      <c r="AH513" s="48">
        <v>41841</v>
      </c>
      <c r="AI513" s="51">
        <v>0.45863689000000002</v>
      </c>
    </row>
    <row r="514" spans="31:35">
      <c r="AE514" s="48">
        <v>41831</v>
      </c>
      <c r="AF514" s="51">
        <v>0.46728881999999999</v>
      </c>
      <c r="AH514" s="48">
        <v>41838</v>
      </c>
      <c r="AI514" s="51">
        <v>0.45851024000000001</v>
      </c>
    </row>
    <row r="515" spans="31:35">
      <c r="AE515" s="48">
        <v>41830</v>
      </c>
      <c r="AF515" s="51">
        <v>0.45347109000000002</v>
      </c>
      <c r="AH515" s="48">
        <v>41837</v>
      </c>
      <c r="AI515" s="51">
        <v>0.45830544000000001</v>
      </c>
    </row>
    <row r="516" spans="31:35">
      <c r="AE516" s="48">
        <v>41829</v>
      </c>
      <c r="AF516" s="51">
        <v>0.44063657000000001</v>
      </c>
      <c r="AH516" s="48">
        <v>41836</v>
      </c>
      <c r="AI516" s="51">
        <v>0.43269318000000001</v>
      </c>
    </row>
    <row r="517" spans="31:35">
      <c r="AE517" s="48">
        <v>41828</v>
      </c>
      <c r="AF517" s="51">
        <v>0.44795372</v>
      </c>
      <c r="AH517" s="48">
        <v>41835</v>
      </c>
      <c r="AI517" s="51">
        <v>0.43136736999999997</v>
      </c>
    </row>
    <row r="518" spans="31:35">
      <c r="AE518" s="48">
        <v>41827</v>
      </c>
      <c r="AF518" s="51">
        <v>0.42606885999999999</v>
      </c>
      <c r="AH518" s="48">
        <v>41834</v>
      </c>
      <c r="AI518" s="51">
        <v>0.43269594</v>
      </c>
    </row>
    <row r="519" spans="31:35">
      <c r="AE519" s="48">
        <v>41823</v>
      </c>
      <c r="AF519" s="51">
        <v>0.41770215999999999</v>
      </c>
      <c r="AH519" s="48">
        <v>41831</v>
      </c>
      <c r="AI519" s="51">
        <v>0.43546383</v>
      </c>
    </row>
    <row r="520" spans="31:35">
      <c r="AE520" s="48">
        <v>41822</v>
      </c>
      <c r="AF520" s="51">
        <v>0.43030836</v>
      </c>
      <c r="AH520" s="48">
        <v>41830</v>
      </c>
      <c r="AI520" s="51">
        <v>0.43395355000000002</v>
      </c>
    </row>
    <row r="521" spans="31:35">
      <c r="AE521" s="48">
        <v>41821</v>
      </c>
      <c r="AF521" s="51">
        <v>0.47824238000000002</v>
      </c>
      <c r="AH521" s="48">
        <v>41829</v>
      </c>
      <c r="AI521" s="51">
        <v>0.43286685000000003</v>
      </c>
    </row>
    <row r="522" spans="31:35">
      <c r="AE522" s="48">
        <v>41820</v>
      </c>
      <c r="AF522" s="51">
        <v>0.51776922999999997</v>
      </c>
      <c r="AH522" s="48">
        <v>41828</v>
      </c>
      <c r="AI522" s="51">
        <v>0.43317457999999998</v>
      </c>
    </row>
    <row r="523" spans="31:35">
      <c r="AE523" s="48">
        <v>41817</v>
      </c>
      <c r="AF523" s="51">
        <v>0.50844522999999997</v>
      </c>
      <c r="AH523" s="48">
        <v>41827</v>
      </c>
      <c r="AI523" s="51">
        <v>0.41172782000000002</v>
      </c>
    </row>
    <row r="524" spans="31:35">
      <c r="AE524" s="48">
        <v>41816</v>
      </c>
      <c r="AF524" s="51">
        <v>0.51066940999999999</v>
      </c>
      <c r="AH524" s="48">
        <v>41823</v>
      </c>
      <c r="AI524" s="51">
        <v>0.41093170000000001</v>
      </c>
    </row>
    <row r="525" spans="31:35">
      <c r="AE525" s="48">
        <v>41815</v>
      </c>
      <c r="AF525" s="51">
        <v>0.49225047999999999</v>
      </c>
      <c r="AH525" s="48">
        <v>41822</v>
      </c>
      <c r="AI525" s="51">
        <v>0.43136674000000003</v>
      </c>
    </row>
    <row r="526" spans="31:35">
      <c r="AE526" s="48">
        <v>41814</v>
      </c>
      <c r="AF526" s="51">
        <v>0.45198268000000003</v>
      </c>
      <c r="AH526" s="48">
        <v>41821</v>
      </c>
      <c r="AI526" s="51">
        <v>0.45830459000000001</v>
      </c>
    </row>
    <row r="527" spans="31:35">
      <c r="AE527" s="48">
        <v>41813</v>
      </c>
      <c r="AF527" s="51">
        <v>0.43452885000000002</v>
      </c>
      <c r="AH527" s="48">
        <v>41820</v>
      </c>
      <c r="AI527" s="51">
        <v>0.46718468000000002</v>
      </c>
    </row>
    <row r="528" spans="31:35">
      <c r="AE528" s="48">
        <v>41810</v>
      </c>
      <c r="AF528" s="51">
        <v>0.43655733000000002</v>
      </c>
      <c r="AH528" s="48">
        <v>41817</v>
      </c>
      <c r="AI528" s="51">
        <v>0.46586493000000001</v>
      </c>
    </row>
    <row r="529" spans="31:35">
      <c r="AE529" s="48">
        <v>41809</v>
      </c>
      <c r="AF529" s="51">
        <v>0.43522570999999999</v>
      </c>
      <c r="AH529" s="48">
        <v>41816</v>
      </c>
      <c r="AI529" s="51">
        <v>0.46613589999999999</v>
      </c>
    </row>
    <row r="530" spans="31:35">
      <c r="AE530" s="48">
        <v>41808</v>
      </c>
      <c r="AF530" s="51">
        <v>0.42635938000000001</v>
      </c>
      <c r="AH530" s="48">
        <v>41815</v>
      </c>
      <c r="AI530" s="51">
        <v>0.46447392999999998</v>
      </c>
    </row>
    <row r="531" spans="31:35">
      <c r="AE531" s="48">
        <v>41807</v>
      </c>
      <c r="AF531" s="51">
        <v>0.39932106000000001</v>
      </c>
      <c r="AH531" s="48">
        <v>41814</v>
      </c>
      <c r="AI531" s="51">
        <v>0.43801151999999999</v>
      </c>
    </row>
    <row r="532" spans="31:35">
      <c r="AE532" s="48">
        <v>41806</v>
      </c>
      <c r="AF532" s="51">
        <v>0.42322926999999999</v>
      </c>
      <c r="AH532" s="48">
        <v>41813</v>
      </c>
      <c r="AI532" s="51">
        <v>0.43609218999999999</v>
      </c>
    </row>
    <row r="533" spans="31:35">
      <c r="AE533" s="48">
        <v>41803</v>
      </c>
      <c r="AF533" s="51">
        <v>0.41768483000000001</v>
      </c>
      <c r="AH533" s="48">
        <v>41810</v>
      </c>
      <c r="AI533" s="51">
        <v>0.43662115000000001</v>
      </c>
    </row>
    <row r="534" spans="31:35">
      <c r="AE534" s="48">
        <v>41802</v>
      </c>
      <c r="AF534" s="51">
        <v>0.42476902</v>
      </c>
      <c r="AH534" s="48">
        <v>41809</v>
      </c>
      <c r="AI534" s="51">
        <v>0.43610282</v>
      </c>
    </row>
    <row r="535" spans="31:35">
      <c r="AE535" s="48">
        <v>41801</v>
      </c>
      <c r="AF535" s="51">
        <v>0.40406526999999998</v>
      </c>
      <c r="AH535" s="48">
        <v>41808</v>
      </c>
      <c r="AI535" s="51">
        <v>0.41654564999999999</v>
      </c>
    </row>
    <row r="536" spans="31:35">
      <c r="AE536" s="48">
        <v>41800</v>
      </c>
      <c r="AF536" s="51">
        <v>0.41014107999999999</v>
      </c>
      <c r="AH536" s="48">
        <v>41807</v>
      </c>
      <c r="AI536" s="51">
        <v>0.39504319999999998</v>
      </c>
    </row>
    <row r="537" spans="31:35">
      <c r="AE537" s="48">
        <v>41799</v>
      </c>
      <c r="AF537" s="51">
        <v>0.42031565999999998</v>
      </c>
      <c r="AH537" s="48">
        <v>41806</v>
      </c>
      <c r="AI537" s="51">
        <v>0.41621597999999999</v>
      </c>
    </row>
    <row r="538" spans="31:35">
      <c r="AE538" s="48">
        <v>41796</v>
      </c>
      <c r="AF538" s="51">
        <v>0.42843293999999998</v>
      </c>
      <c r="AH538" s="48">
        <v>41803</v>
      </c>
      <c r="AI538" s="51">
        <v>0.41532458999999999</v>
      </c>
    </row>
    <row r="539" spans="31:35">
      <c r="AE539" s="48">
        <v>41795</v>
      </c>
      <c r="AF539" s="51">
        <v>0.43452885000000002</v>
      </c>
      <c r="AH539" s="48">
        <v>41802</v>
      </c>
      <c r="AI539" s="51">
        <v>0.41651821</v>
      </c>
    </row>
    <row r="540" spans="31:35">
      <c r="AE540" s="48">
        <v>41794</v>
      </c>
      <c r="AF540" s="51">
        <v>0.42071955</v>
      </c>
      <c r="AH540" s="48">
        <v>41801</v>
      </c>
      <c r="AI540" s="51">
        <v>0.41303836999999999</v>
      </c>
    </row>
    <row r="541" spans="31:35">
      <c r="AE541" s="48">
        <v>41793</v>
      </c>
      <c r="AF541" s="51">
        <v>0.41014107999999999</v>
      </c>
      <c r="AH541" s="48">
        <v>41800</v>
      </c>
      <c r="AI541" s="51">
        <v>0.41459803000000001</v>
      </c>
    </row>
    <row r="542" spans="31:35">
      <c r="AE542" s="48">
        <v>41792</v>
      </c>
      <c r="AF542" s="51">
        <v>0.43706715000000002</v>
      </c>
      <c r="AH542" s="48">
        <v>41799</v>
      </c>
      <c r="AI542" s="51">
        <v>0.41591012999999999</v>
      </c>
    </row>
    <row r="543" spans="31:35">
      <c r="AE543" s="48">
        <v>41789</v>
      </c>
      <c r="AF543" s="51">
        <v>0.49500455999999998</v>
      </c>
      <c r="AH543" s="48">
        <v>41796</v>
      </c>
      <c r="AI543" s="51">
        <v>0.41661881000000001</v>
      </c>
    </row>
    <row r="544" spans="31:35">
      <c r="AE544" s="48">
        <v>41788</v>
      </c>
      <c r="AF544" s="51">
        <v>0.50196399000000003</v>
      </c>
      <c r="AH544" s="48">
        <v>41795</v>
      </c>
      <c r="AI544" s="51">
        <v>0.43609239999999999</v>
      </c>
    </row>
    <row r="545" spans="31:35">
      <c r="AE545" s="48">
        <v>41787</v>
      </c>
      <c r="AF545" s="51">
        <v>0.52091710000000002</v>
      </c>
      <c r="AH545" s="48">
        <v>41794</v>
      </c>
      <c r="AI545" s="51">
        <v>0.41591458999999997</v>
      </c>
    </row>
    <row r="546" spans="31:35">
      <c r="AE546" s="48">
        <v>41786</v>
      </c>
      <c r="AF546" s="51">
        <v>0.45865688999999998</v>
      </c>
      <c r="AH546" s="48">
        <v>41793</v>
      </c>
      <c r="AI546" s="51">
        <v>0.41459803000000001</v>
      </c>
    </row>
    <row r="547" spans="31:35">
      <c r="AE547" s="48">
        <v>41782</v>
      </c>
      <c r="AF547" s="51">
        <v>0.44289145000000002</v>
      </c>
      <c r="AH547" s="48">
        <v>41792</v>
      </c>
      <c r="AI547" s="51">
        <v>0.43662137000000001</v>
      </c>
    </row>
    <row r="548" spans="31:35">
      <c r="AE548" s="48">
        <v>41781</v>
      </c>
      <c r="AF548" s="51">
        <v>0.43740635</v>
      </c>
      <c r="AH548" s="48">
        <v>41789</v>
      </c>
      <c r="AI548" s="51">
        <v>0.46433122999999998</v>
      </c>
    </row>
    <row r="549" spans="31:35">
      <c r="AE549" s="48">
        <v>41780</v>
      </c>
      <c r="AF549" s="51">
        <v>0.44799454</v>
      </c>
      <c r="AH549" s="48">
        <v>41788</v>
      </c>
      <c r="AI549" s="51">
        <v>0.46475169999999999</v>
      </c>
    </row>
    <row r="550" spans="31:35">
      <c r="AE550" s="48">
        <v>41779</v>
      </c>
      <c r="AF550" s="51">
        <v>0.44898321000000002</v>
      </c>
      <c r="AH550" s="48">
        <v>41787</v>
      </c>
      <c r="AI550" s="51">
        <v>0.46623008999999999</v>
      </c>
    </row>
    <row r="551" spans="31:35">
      <c r="AE551" s="48">
        <v>41778</v>
      </c>
      <c r="AF551" s="51">
        <v>0.42645669000000003</v>
      </c>
      <c r="AH551" s="48">
        <v>41786</v>
      </c>
      <c r="AI551" s="51">
        <v>0.43873972999999999</v>
      </c>
    </row>
    <row r="552" spans="31:35">
      <c r="AE552" s="48">
        <v>41775</v>
      </c>
      <c r="AF552" s="51">
        <v>0.43683117999999999</v>
      </c>
      <c r="AH552" s="48">
        <v>41782</v>
      </c>
      <c r="AI552" s="51">
        <v>0.43763584999999999</v>
      </c>
    </row>
    <row r="553" spans="31:35">
      <c r="AE553" s="48">
        <v>41774</v>
      </c>
      <c r="AF553" s="51">
        <v>0.45737897</v>
      </c>
      <c r="AH553" s="48">
        <v>41781</v>
      </c>
      <c r="AI553" s="51">
        <v>0.43618119999999999</v>
      </c>
    </row>
    <row r="554" spans="31:35">
      <c r="AE554" s="48">
        <v>41773</v>
      </c>
      <c r="AF554" s="51">
        <v>0.44368063000000002</v>
      </c>
      <c r="AH554" s="48">
        <v>41780</v>
      </c>
      <c r="AI554" s="51">
        <v>0.43787997000000001</v>
      </c>
    </row>
    <row r="555" spans="31:35">
      <c r="AE555" s="48">
        <v>41772</v>
      </c>
      <c r="AF555" s="51">
        <v>0.40866859999999999</v>
      </c>
      <c r="AH555" s="48">
        <v>41779</v>
      </c>
      <c r="AI555" s="51">
        <v>0.43788168</v>
      </c>
    </row>
    <row r="556" spans="31:35">
      <c r="AE556" s="48">
        <v>41771</v>
      </c>
      <c r="AF556" s="51">
        <v>0.40149435999999999</v>
      </c>
      <c r="AH556" s="48">
        <v>41778</v>
      </c>
      <c r="AI556" s="51">
        <v>0.4173367</v>
      </c>
    </row>
    <row r="557" spans="31:35">
      <c r="AE557" s="48">
        <v>41768</v>
      </c>
      <c r="AF557" s="51">
        <v>0.41122847000000001</v>
      </c>
      <c r="AH557" s="48">
        <v>41775</v>
      </c>
      <c r="AI557" s="51">
        <v>0.43618098</v>
      </c>
    </row>
    <row r="558" spans="31:35">
      <c r="AE558" s="48">
        <v>41767</v>
      </c>
      <c r="AF558" s="51">
        <v>0.42930450999999997</v>
      </c>
      <c r="AH558" s="48">
        <v>41774</v>
      </c>
      <c r="AI558" s="51">
        <v>0.43873416999999998</v>
      </c>
    </row>
    <row r="559" spans="31:35">
      <c r="AE559" s="48">
        <v>41766</v>
      </c>
      <c r="AF559" s="51">
        <v>0.42496286</v>
      </c>
      <c r="AH559" s="48">
        <v>41773</v>
      </c>
      <c r="AI559" s="51">
        <v>0.43773225999999998</v>
      </c>
    </row>
    <row r="560" spans="31:35">
      <c r="AE560" s="48">
        <v>41765</v>
      </c>
      <c r="AF560" s="51">
        <v>0.40250726999999997</v>
      </c>
      <c r="AH560" s="48">
        <v>41772</v>
      </c>
      <c r="AI560" s="51">
        <v>0.41505734</v>
      </c>
    </row>
    <row r="561" spans="31:35">
      <c r="AE561" s="48">
        <v>41764</v>
      </c>
      <c r="AF561" s="51">
        <v>0.39494004999999999</v>
      </c>
      <c r="AH561" s="48">
        <v>41771</v>
      </c>
      <c r="AI561" s="51">
        <v>0.39635221999999998</v>
      </c>
    </row>
    <row r="562" spans="31:35">
      <c r="AE562" s="48">
        <v>41761</v>
      </c>
      <c r="AF562" s="51">
        <v>0.40005795999999999</v>
      </c>
      <c r="AH562" s="48">
        <v>41768</v>
      </c>
      <c r="AI562" s="51">
        <v>0.41549448999999999</v>
      </c>
    </row>
    <row r="563" spans="31:35">
      <c r="AE563" s="48">
        <v>41760</v>
      </c>
      <c r="AF563" s="51">
        <v>0.39536387000000001</v>
      </c>
      <c r="AH563" s="48">
        <v>41767</v>
      </c>
      <c r="AI563" s="51">
        <v>0.41736319999999999</v>
      </c>
    </row>
    <row r="564" spans="31:35">
      <c r="AE564" s="48">
        <v>41759</v>
      </c>
      <c r="AF564" s="51">
        <v>0.38362900999999999</v>
      </c>
      <c r="AH564" s="48">
        <v>41766</v>
      </c>
      <c r="AI564" s="51">
        <v>0.41714666</v>
      </c>
    </row>
    <row r="565" spans="31:35">
      <c r="AE565" s="48">
        <v>41758</v>
      </c>
      <c r="AF565" s="51">
        <v>0.38065389999999999</v>
      </c>
      <c r="AH565" s="48">
        <v>41765</v>
      </c>
      <c r="AI565" s="51">
        <v>0.39637231000000001</v>
      </c>
    </row>
    <row r="566" spans="31:35">
      <c r="AE566" s="48">
        <v>41757</v>
      </c>
      <c r="AF566" s="51">
        <v>0.38804882000000002</v>
      </c>
      <c r="AH566" s="48">
        <v>41764</v>
      </c>
      <c r="AI566" s="51">
        <v>0.39542470000000002</v>
      </c>
    </row>
    <row r="567" spans="31:35">
      <c r="AE567" s="48">
        <v>41754</v>
      </c>
      <c r="AF567" s="51">
        <v>0.39074209999999998</v>
      </c>
      <c r="AH567" s="48">
        <v>41761</v>
      </c>
      <c r="AI567" s="51">
        <v>0.39612028999999999</v>
      </c>
    </row>
    <row r="568" spans="31:35">
      <c r="AE568" s="48">
        <v>41753</v>
      </c>
      <c r="AF568" s="51">
        <v>0.38310160999999998</v>
      </c>
      <c r="AH568" s="48">
        <v>41760</v>
      </c>
      <c r="AI568" s="51">
        <v>0.39542534000000001</v>
      </c>
    </row>
    <row r="569" spans="31:35">
      <c r="AE569" s="48">
        <v>41752</v>
      </c>
      <c r="AF569" s="51">
        <v>0.38124049999999998</v>
      </c>
      <c r="AH569" s="48">
        <v>41759</v>
      </c>
      <c r="AI569" s="51">
        <v>0.36817169999999999</v>
      </c>
    </row>
    <row r="570" spans="31:35">
      <c r="AE570" s="48">
        <v>41751</v>
      </c>
      <c r="AF570" s="51">
        <v>0.36404024000000001</v>
      </c>
      <c r="AH570" s="48">
        <v>41758</v>
      </c>
      <c r="AI570" s="51">
        <v>0.36782428</v>
      </c>
    </row>
    <row r="571" spans="31:35">
      <c r="AE571" s="48">
        <v>41750</v>
      </c>
      <c r="AF571" s="51">
        <v>0.36314741</v>
      </c>
      <c r="AH571" s="48">
        <v>41757</v>
      </c>
      <c r="AI571" s="51">
        <v>0.39371081000000002</v>
      </c>
    </row>
    <row r="572" spans="31:35">
      <c r="AE572" s="48">
        <v>41746</v>
      </c>
      <c r="AF572" s="51">
        <v>0.36524489999999998</v>
      </c>
      <c r="AH572" s="48">
        <v>41754</v>
      </c>
      <c r="AI572" s="51">
        <v>0.39419883</v>
      </c>
    </row>
    <row r="573" spans="31:35">
      <c r="AE573" s="48">
        <v>41745</v>
      </c>
      <c r="AF573" s="51">
        <v>0.37764312999999999</v>
      </c>
      <c r="AH573" s="48">
        <v>41753</v>
      </c>
      <c r="AI573" s="51">
        <v>0.36817148999999999</v>
      </c>
    </row>
    <row r="574" spans="31:35">
      <c r="AE574" s="48">
        <v>41744</v>
      </c>
      <c r="AF574" s="51">
        <v>0.38310160999999998</v>
      </c>
      <c r="AH574" s="48">
        <v>41752</v>
      </c>
      <c r="AI574" s="51">
        <v>0.36806024999999998</v>
      </c>
    </row>
    <row r="575" spans="31:35">
      <c r="AE575" s="48">
        <v>41743</v>
      </c>
      <c r="AF575" s="51">
        <v>0.38166971999999999</v>
      </c>
      <c r="AH575" s="48">
        <v>41751</v>
      </c>
      <c r="AI575" s="51">
        <v>0.33769555000000001</v>
      </c>
    </row>
    <row r="576" spans="31:35">
      <c r="AE576" s="48">
        <v>41740</v>
      </c>
      <c r="AF576" s="51">
        <v>0.39074209999999998</v>
      </c>
      <c r="AH576" s="48">
        <v>41750</v>
      </c>
      <c r="AI576" s="51">
        <v>0.33755259999999998</v>
      </c>
    </row>
    <row r="577" spans="31:35">
      <c r="AE577" s="48">
        <v>41739</v>
      </c>
      <c r="AF577" s="51">
        <v>0.39074209999999998</v>
      </c>
      <c r="AH577" s="48">
        <v>41746</v>
      </c>
      <c r="AI577" s="51">
        <v>0.33828131</v>
      </c>
    </row>
    <row r="578" spans="31:35">
      <c r="AE578" s="48">
        <v>41738</v>
      </c>
      <c r="AF578" s="51">
        <v>0.37418036999999998</v>
      </c>
      <c r="AH578" s="48">
        <v>41745</v>
      </c>
      <c r="AI578" s="51">
        <v>0.36705676999999998</v>
      </c>
    </row>
    <row r="579" spans="31:35">
      <c r="AE579" s="48">
        <v>41737</v>
      </c>
      <c r="AF579" s="51">
        <v>0.36809291999999999</v>
      </c>
      <c r="AH579" s="48">
        <v>41744</v>
      </c>
      <c r="AI579" s="51">
        <v>0.36817084999999999</v>
      </c>
    </row>
    <row r="580" spans="31:35">
      <c r="AE580" s="48">
        <v>41736</v>
      </c>
      <c r="AF580" s="51">
        <v>0.36410197</v>
      </c>
      <c r="AH580" s="48">
        <v>41743</v>
      </c>
      <c r="AI580" s="51">
        <v>0.36808211000000002</v>
      </c>
    </row>
    <row r="581" spans="31:35">
      <c r="AE581" s="48">
        <v>41733</v>
      </c>
      <c r="AF581" s="51">
        <v>0.35888523</v>
      </c>
      <c r="AH581" s="48">
        <v>41740</v>
      </c>
      <c r="AI581" s="51">
        <v>0.39419883</v>
      </c>
    </row>
    <row r="582" spans="31:35">
      <c r="AE582" s="48">
        <v>41732</v>
      </c>
      <c r="AF582" s="51">
        <v>0.34278551000000002</v>
      </c>
      <c r="AH582" s="48">
        <v>41739</v>
      </c>
      <c r="AI582" s="51">
        <v>0.39419926</v>
      </c>
    </row>
    <row r="583" spans="31:35">
      <c r="AE583" s="48">
        <v>41731</v>
      </c>
      <c r="AF583" s="51">
        <v>0.32510613999999999</v>
      </c>
      <c r="AH583" s="48">
        <v>41738</v>
      </c>
      <c r="AI583" s="51">
        <v>0.36632397999999999</v>
      </c>
    </row>
    <row r="584" spans="31:35">
      <c r="AE584" s="48">
        <v>41730</v>
      </c>
      <c r="AF584" s="51">
        <v>0.35763015999999997</v>
      </c>
      <c r="AH584" s="48">
        <v>41737</v>
      </c>
      <c r="AI584" s="51">
        <v>0.33884392000000002</v>
      </c>
    </row>
    <row r="585" spans="31:35">
      <c r="AE585" s="48">
        <v>41729</v>
      </c>
      <c r="AF585" s="51">
        <v>0.36629566000000002</v>
      </c>
      <c r="AH585" s="48">
        <v>41736</v>
      </c>
      <c r="AI585" s="51">
        <v>0.33769598000000001</v>
      </c>
    </row>
    <row r="586" spans="31:35">
      <c r="AE586" s="48">
        <v>41726</v>
      </c>
      <c r="AF586" s="51">
        <v>0.36821619999999999</v>
      </c>
      <c r="AH586" s="48">
        <v>41733</v>
      </c>
      <c r="AI586" s="51">
        <v>0.33611616999999999</v>
      </c>
    </row>
    <row r="587" spans="31:35">
      <c r="AE587" s="48">
        <v>41725</v>
      </c>
      <c r="AF587" s="51">
        <v>0.372867</v>
      </c>
      <c r="AH587" s="48">
        <v>41732</v>
      </c>
      <c r="AI587" s="51">
        <v>0.30673802</v>
      </c>
    </row>
    <row r="588" spans="31:35">
      <c r="AE588" s="48">
        <v>41724</v>
      </c>
      <c r="AF588" s="51">
        <v>0.36965078000000001</v>
      </c>
      <c r="AH588" s="48">
        <v>41731</v>
      </c>
      <c r="AI588" s="51">
        <v>0.27800821999999997</v>
      </c>
    </row>
    <row r="589" spans="31:35">
      <c r="AE589" s="48">
        <v>41723</v>
      </c>
      <c r="AF589" s="51">
        <v>0.36900695</v>
      </c>
      <c r="AH589" s="48">
        <v>41730</v>
      </c>
      <c r="AI589" s="51">
        <v>0.30911127999999999</v>
      </c>
    </row>
    <row r="590" spans="31:35">
      <c r="AE590" s="48">
        <v>41722</v>
      </c>
      <c r="AF590" s="51">
        <v>0.36875239999999998</v>
      </c>
      <c r="AH590" s="48">
        <v>41729</v>
      </c>
      <c r="AI590" s="51">
        <v>0.33571598000000002</v>
      </c>
    </row>
    <row r="591" spans="31:35">
      <c r="AE591" s="48">
        <v>41719</v>
      </c>
      <c r="AF591" s="51">
        <v>0.36875239999999998</v>
      </c>
      <c r="AH591" s="48">
        <v>41726</v>
      </c>
      <c r="AI591" s="51">
        <v>0.33622053000000002</v>
      </c>
    </row>
    <row r="592" spans="31:35">
      <c r="AE592" s="48">
        <v>41718</v>
      </c>
      <c r="AF592" s="51">
        <v>0.36442224000000001</v>
      </c>
      <c r="AH592" s="48">
        <v>41725</v>
      </c>
      <c r="AI592" s="51">
        <v>0.33798106999999999</v>
      </c>
    </row>
    <row r="593" spans="31:35">
      <c r="AE593" s="48">
        <v>41717</v>
      </c>
      <c r="AF593" s="51">
        <v>0.36629566000000002</v>
      </c>
      <c r="AH593" s="48">
        <v>41724</v>
      </c>
      <c r="AI593" s="51">
        <v>0.33689390000000002</v>
      </c>
    </row>
    <row r="594" spans="31:35">
      <c r="AE594" s="48">
        <v>41716</v>
      </c>
      <c r="AF594" s="51">
        <v>0.37829073000000002</v>
      </c>
      <c r="AH594" s="48">
        <v>41723</v>
      </c>
      <c r="AI594" s="51">
        <v>0.33669884</v>
      </c>
    </row>
    <row r="595" spans="31:35">
      <c r="AE595" s="48">
        <v>41715</v>
      </c>
      <c r="AF595" s="51">
        <v>0.37328842000000001</v>
      </c>
      <c r="AH595" s="48">
        <v>41722</v>
      </c>
      <c r="AI595" s="51">
        <v>0.33669884</v>
      </c>
    </row>
    <row r="596" spans="31:35">
      <c r="AE596" s="48">
        <v>41712</v>
      </c>
      <c r="AF596" s="51">
        <v>0.38471656999999998</v>
      </c>
      <c r="AH596" s="48">
        <v>41719</v>
      </c>
      <c r="AI596" s="51">
        <v>0.33669884</v>
      </c>
    </row>
    <row r="597" spans="31:35">
      <c r="AE597" s="48">
        <v>41711</v>
      </c>
      <c r="AF597" s="51">
        <v>0.39003900000000002</v>
      </c>
      <c r="AH597" s="48">
        <v>41718</v>
      </c>
      <c r="AI597" s="51">
        <v>0.33451268000000001</v>
      </c>
    </row>
    <row r="598" spans="31:35">
      <c r="AE598" s="48">
        <v>41710</v>
      </c>
      <c r="AF598" s="51">
        <v>0.37541637</v>
      </c>
      <c r="AH598" s="48">
        <v>41717</v>
      </c>
      <c r="AI598" s="51">
        <v>0.33571620000000002</v>
      </c>
    </row>
    <row r="599" spans="31:35">
      <c r="AE599" s="48">
        <v>41709</v>
      </c>
      <c r="AF599" s="51">
        <v>0.36705627000000002</v>
      </c>
      <c r="AH599" s="48">
        <v>41716</v>
      </c>
      <c r="AI599" s="51">
        <v>0.36469091999999997</v>
      </c>
    </row>
    <row r="600" spans="31:35">
      <c r="AE600" s="48">
        <v>41708</v>
      </c>
      <c r="AF600" s="51">
        <v>0.36689958</v>
      </c>
      <c r="AH600" s="48">
        <v>41715</v>
      </c>
      <c r="AI600" s="51">
        <v>0.33798192999999999</v>
      </c>
    </row>
    <row r="601" spans="31:35">
      <c r="AE601" s="48">
        <v>41705</v>
      </c>
      <c r="AF601" s="51">
        <v>0.36521861</v>
      </c>
      <c r="AH601" s="48">
        <v>41712</v>
      </c>
      <c r="AI601" s="51">
        <v>0.36572712000000002</v>
      </c>
    </row>
    <row r="602" spans="31:35">
      <c r="AE602" s="48">
        <v>41704</v>
      </c>
      <c r="AF602" s="51">
        <v>0.37076211999999997</v>
      </c>
      <c r="AH602" s="48">
        <v>41711</v>
      </c>
      <c r="AI602" s="51">
        <v>0.39189178000000002</v>
      </c>
    </row>
    <row r="603" spans="31:35">
      <c r="AE603" s="48">
        <v>41703</v>
      </c>
      <c r="AF603" s="51">
        <v>0.37511482000000002</v>
      </c>
      <c r="AH603" s="48">
        <v>41710</v>
      </c>
      <c r="AI603" s="51">
        <v>0.36397668999999999</v>
      </c>
    </row>
    <row r="604" spans="31:35">
      <c r="AE604" s="48">
        <v>41702</v>
      </c>
      <c r="AF604" s="51">
        <v>0.36705627000000002</v>
      </c>
      <c r="AH604" s="48">
        <v>41709</v>
      </c>
      <c r="AI604" s="51">
        <v>0.33595556999999998</v>
      </c>
    </row>
    <row r="605" spans="31:35">
      <c r="AE605" s="48">
        <v>41701</v>
      </c>
      <c r="AF605" s="51">
        <v>0.38146136000000003</v>
      </c>
      <c r="AH605" s="48">
        <v>41708</v>
      </c>
      <c r="AI605" s="51">
        <v>0.33579405000000001</v>
      </c>
    </row>
    <row r="606" spans="31:35">
      <c r="AE606" s="48">
        <v>41698</v>
      </c>
      <c r="AF606" s="51">
        <v>0.37864172000000001</v>
      </c>
      <c r="AH606" s="48">
        <v>41705</v>
      </c>
      <c r="AI606" s="51">
        <v>0.33453290000000002</v>
      </c>
    </row>
    <row r="607" spans="31:35">
      <c r="AE607" s="48">
        <v>41697</v>
      </c>
      <c r="AF607" s="51">
        <v>0.38166811</v>
      </c>
      <c r="AH607" s="48">
        <v>41704</v>
      </c>
      <c r="AI607" s="51">
        <v>0.33717735999999998</v>
      </c>
    </row>
    <row r="608" spans="31:35">
      <c r="AE608" s="48">
        <v>41696</v>
      </c>
      <c r="AF608" s="51">
        <v>0.37644865</v>
      </c>
      <c r="AH608" s="48">
        <v>41703</v>
      </c>
      <c r="AI608" s="51">
        <v>0.36378118999999998</v>
      </c>
    </row>
    <row r="609" spans="31:35">
      <c r="AE609" s="48">
        <v>41695</v>
      </c>
      <c r="AF609" s="51">
        <v>0.38281317999999998</v>
      </c>
      <c r="AH609" s="48">
        <v>41702</v>
      </c>
      <c r="AI609" s="51">
        <v>0.33595534999999999</v>
      </c>
    </row>
    <row r="610" spans="31:35">
      <c r="AE610" s="48">
        <v>41694</v>
      </c>
      <c r="AF610" s="51">
        <v>0.37197777999999998</v>
      </c>
      <c r="AH610" s="48">
        <v>41701</v>
      </c>
      <c r="AI610" s="51">
        <v>0.36528365000000002</v>
      </c>
    </row>
    <row r="611" spans="31:35">
      <c r="AE611" s="48">
        <v>41691</v>
      </c>
      <c r="AF611" s="51">
        <v>0.3734152</v>
      </c>
      <c r="AH611" s="48">
        <v>41698</v>
      </c>
      <c r="AI611" s="51">
        <v>0.36870499000000001</v>
      </c>
    </row>
    <row r="612" spans="31:35">
      <c r="AE612" s="48">
        <v>41690</v>
      </c>
      <c r="AF612" s="51">
        <v>0.37039466999999998</v>
      </c>
      <c r="AH612" s="48">
        <v>41697</v>
      </c>
      <c r="AI612" s="51">
        <v>0.36923760999999999</v>
      </c>
    </row>
    <row r="613" spans="31:35">
      <c r="AE613" s="48">
        <v>41689</v>
      </c>
      <c r="AF613" s="51">
        <v>0.37407465000000001</v>
      </c>
      <c r="AH613" s="48">
        <v>41696</v>
      </c>
      <c r="AI613" s="51">
        <v>0.34262599999999999</v>
      </c>
    </row>
    <row r="614" spans="31:35">
      <c r="AE614" s="48">
        <v>41688</v>
      </c>
      <c r="AF614" s="51">
        <v>0.38072624999999999</v>
      </c>
      <c r="AH614" s="48">
        <v>41695</v>
      </c>
      <c r="AI614" s="51">
        <v>0.36940803</v>
      </c>
    </row>
    <row r="615" spans="31:35">
      <c r="AE615" s="48">
        <v>41684</v>
      </c>
      <c r="AF615" s="51">
        <v>0.37644865</v>
      </c>
      <c r="AH615" s="48">
        <v>41694</v>
      </c>
      <c r="AI615" s="51">
        <v>0.34133232000000002</v>
      </c>
    </row>
    <row r="616" spans="31:35">
      <c r="AE616" s="48">
        <v>41683</v>
      </c>
      <c r="AF616" s="51">
        <v>0.38252577999999998</v>
      </c>
      <c r="AH616" s="48">
        <v>41691</v>
      </c>
      <c r="AI616" s="51">
        <v>0.34152969999999999</v>
      </c>
    </row>
    <row r="617" spans="31:35">
      <c r="AE617" s="48">
        <v>41682</v>
      </c>
      <c r="AF617" s="51">
        <v>0.37451881999999997</v>
      </c>
      <c r="AH617" s="48">
        <v>41690</v>
      </c>
      <c r="AI617" s="51">
        <v>0.34060015999999999</v>
      </c>
    </row>
    <row r="618" spans="31:35">
      <c r="AE618" s="48">
        <v>41681</v>
      </c>
      <c r="AF618" s="51">
        <v>0.38426450000000001</v>
      </c>
      <c r="AH618" s="48">
        <v>41689</v>
      </c>
      <c r="AI618" s="51">
        <v>0.34186493000000001</v>
      </c>
    </row>
    <row r="619" spans="31:35">
      <c r="AE619" s="48">
        <v>41680</v>
      </c>
      <c r="AF619" s="51">
        <v>0.39378672999999997</v>
      </c>
      <c r="AH619" s="48">
        <v>41688</v>
      </c>
      <c r="AI619" s="51">
        <v>0.36922854999999999</v>
      </c>
    </row>
    <row r="620" spans="31:35">
      <c r="AE620" s="48">
        <v>41677</v>
      </c>
      <c r="AF620" s="51">
        <v>0.39589350000000001</v>
      </c>
      <c r="AH620" s="48">
        <v>41684</v>
      </c>
      <c r="AI620" s="51">
        <v>0.34262599999999999</v>
      </c>
    </row>
    <row r="621" spans="31:35">
      <c r="AE621" s="48">
        <v>41676</v>
      </c>
      <c r="AF621" s="51">
        <v>0.38532630000000001</v>
      </c>
      <c r="AH621" s="48">
        <v>41683</v>
      </c>
      <c r="AI621" s="51">
        <v>0.36940695000000001</v>
      </c>
    </row>
    <row r="622" spans="31:35">
      <c r="AE622" s="48">
        <v>41675</v>
      </c>
      <c r="AF622" s="51">
        <v>0.39173230999999997</v>
      </c>
      <c r="AH622" s="48">
        <v>41682</v>
      </c>
      <c r="AI622" s="51">
        <v>0.34186665999999999</v>
      </c>
    </row>
    <row r="623" spans="31:35">
      <c r="AE623" s="48">
        <v>41674</v>
      </c>
      <c r="AF623" s="51">
        <v>0.40068102999999999</v>
      </c>
      <c r="AH623" s="48">
        <v>41681</v>
      </c>
      <c r="AI623" s="51">
        <v>0.36984162999999998</v>
      </c>
    </row>
    <row r="624" spans="31:35">
      <c r="AE624" s="48">
        <v>41673</v>
      </c>
      <c r="AF624" s="51">
        <v>0.41262241999999999</v>
      </c>
      <c r="AH624" s="48">
        <v>41680</v>
      </c>
      <c r="AI624" s="51">
        <v>0.39683592000000001</v>
      </c>
    </row>
    <row r="625" spans="31:35">
      <c r="AE625" s="48">
        <v>41670</v>
      </c>
      <c r="AF625" s="51">
        <v>0.39414626000000003</v>
      </c>
      <c r="AH625" s="48">
        <v>41677</v>
      </c>
      <c r="AI625" s="51">
        <v>0.39734373000000001</v>
      </c>
    </row>
    <row r="626" spans="31:35">
      <c r="AE626" s="48">
        <v>41669</v>
      </c>
      <c r="AF626" s="51">
        <v>0.38669977</v>
      </c>
      <c r="AH626" s="48">
        <v>41676</v>
      </c>
      <c r="AI626" s="51">
        <v>0.37009510000000001</v>
      </c>
    </row>
    <row r="627" spans="31:35">
      <c r="AE627" s="48">
        <v>41668</v>
      </c>
      <c r="AF627" s="51">
        <v>0.38811614</v>
      </c>
      <c r="AH627" s="48">
        <v>41675</v>
      </c>
      <c r="AI627" s="51">
        <v>0.39649293000000002</v>
      </c>
    </row>
    <row r="628" spans="31:35">
      <c r="AE628" s="48">
        <v>41667</v>
      </c>
      <c r="AF628" s="51">
        <v>0.37568222000000001</v>
      </c>
      <c r="AH628" s="48">
        <v>41674</v>
      </c>
      <c r="AI628" s="51">
        <v>0.3979182</v>
      </c>
    </row>
    <row r="629" spans="31:35">
      <c r="AE629" s="48">
        <v>41666</v>
      </c>
      <c r="AF629" s="51">
        <v>0.37460282</v>
      </c>
      <c r="AH629" s="48">
        <v>41673</v>
      </c>
      <c r="AI629" s="51">
        <v>0.41717069000000001</v>
      </c>
    </row>
    <row r="630" spans="31:35">
      <c r="AE630" s="48">
        <v>41663</v>
      </c>
      <c r="AF630" s="51">
        <v>0.38154102000000001</v>
      </c>
      <c r="AH630" s="48">
        <v>41670</v>
      </c>
      <c r="AI630" s="51">
        <v>0.40177810000000003</v>
      </c>
    </row>
    <row r="631" spans="31:35">
      <c r="AE631" s="48">
        <v>41662</v>
      </c>
      <c r="AF631" s="51">
        <v>0.37453638</v>
      </c>
      <c r="AH631" s="48">
        <v>41669</v>
      </c>
      <c r="AI631" s="51">
        <v>0.37503038</v>
      </c>
    </row>
    <row r="632" spans="31:35">
      <c r="AE632" s="48">
        <v>41661</v>
      </c>
      <c r="AF632" s="51">
        <v>0.36503538000000002</v>
      </c>
      <c r="AH632" s="48">
        <v>41668</v>
      </c>
      <c r="AI632" s="51">
        <v>0.3752894</v>
      </c>
    </row>
    <row r="633" spans="31:35">
      <c r="AE633" s="48">
        <v>41660</v>
      </c>
      <c r="AF633" s="51">
        <v>0.375996</v>
      </c>
      <c r="AH633" s="48">
        <v>41667</v>
      </c>
      <c r="AI633" s="51">
        <v>0.34616933</v>
      </c>
    </row>
    <row r="634" spans="31:35">
      <c r="AE634" s="48">
        <v>41656</v>
      </c>
      <c r="AF634" s="51">
        <v>0.37537902000000001</v>
      </c>
      <c r="AH634" s="48">
        <v>41666</v>
      </c>
      <c r="AI634" s="51">
        <v>0.34573177999999999</v>
      </c>
    </row>
    <row r="635" spans="31:35">
      <c r="AE635" s="48">
        <v>41655</v>
      </c>
      <c r="AF635" s="51">
        <v>0.37351021000000001</v>
      </c>
      <c r="AH635" s="48">
        <v>41663</v>
      </c>
      <c r="AI635" s="51">
        <v>0.37346389000000002</v>
      </c>
    </row>
    <row r="636" spans="31:35">
      <c r="AE636" s="48">
        <v>41654</v>
      </c>
      <c r="AF636" s="51">
        <v>0.36667421</v>
      </c>
      <c r="AH636" s="48">
        <v>41662</v>
      </c>
      <c r="AI636" s="51">
        <v>0.34573134999999999</v>
      </c>
    </row>
    <row r="637" spans="31:35">
      <c r="AE637" s="48">
        <v>41653</v>
      </c>
      <c r="AF637" s="51">
        <v>0.36774881999999998</v>
      </c>
      <c r="AH637" s="48">
        <v>41661</v>
      </c>
      <c r="AI637" s="51">
        <v>0.31594284</v>
      </c>
    </row>
    <row r="638" spans="31:35">
      <c r="AE638" s="48">
        <v>41652</v>
      </c>
      <c r="AF638" s="51">
        <v>0.37578397000000002</v>
      </c>
      <c r="AH638" s="48">
        <v>41660</v>
      </c>
      <c r="AI638" s="51">
        <v>0.34657139999999997</v>
      </c>
    </row>
    <row r="639" spans="31:35">
      <c r="AE639" s="48">
        <v>41649</v>
      </c>
      <c r="AF639" s="51">
        <v>0.36933837000000003</v>
      </c>
      <c r="AH639" s="48">
        <v>41656</v>
      </c>
      <c r="AI639" s="51">
        <v>0.34596591999999998</v>
      </c>
    </row>
    <row r="640" spans="31:35">
      <c r="AE640" s="48">
        <v>41648</v>
      </c>
      <c r="AF640" s="51">
        <v>0.30155963000000002</v>
      </c>
      <c r="AH640" s="48">
        <v>41655</v>
      </c>
      <c r="AI640" s="51">
        <v>0.3449586</v>
      </c>
    </row>
    <row r="641" spans="31:35">
      <c r="AE641" s="48">
        <v>41647</v>
      </c>
      <c r="AF641" s="51">
        <v>0.27876012999999999</v>
      </c>
      <c r="AH641" s="48">
        <v>41654</v>
      </c>
      <c r="AI641" s="51">
        <v>0.31633191999999999</v>
      </c>
    </row>
    <row r="642" spans="31:35">
      <c r="AE642" s="48">
        <v>41646</v>
      </c>
      <c r="AF642" s="51">
        <v>0.30341024</v>
      </c>
      <c r="AH642" s="48">
        <v>41653</v>
      </c>
      <c r="AI642" s="51">
        <v>0.31636805000000001</v>
      </c>
    </row>
    <row r="643" spans="31:35">
      <c r="AE643" s="48">
        <v>41645</v>
      </c>
      <c r="AF643" s="51">
        <v>0.27050189000000002</v>
      </c>
      <c r="AH643" s="48">
        <v>41652</v>
      </c>
      <c r="AI643" s="51">
        <v>0.34616954999999999</v>
      </c>
    </row>
    <row r="644" spans="31:35">
      <c r="AE644" s="48">
        <v>41642</v>
      </c>
      <c r="AF644" s="51">
        <v>0.25966006000000003</v>
      </c>
      <c r="AH644" s="48">
        <v>41649</v>
      </c>
      <c r="AI644" s="51">
        <v>0.31676492000000001</v>
      </c>
    </row>
    <row r="645" spans="31:35">
      <c r="AE645" s="48">
        <v>41641</v>
      </c>
      <c r="AF645" s="51">
        <v>0.26125130000000002</v>
      </c>
      <c r="AH645" s="48">
        <v>41648</v>
      </c>
      <c r="AI645" s="51">
        <v>0.28557439000000001</v>
      </c>
    </row>
    <row r="646" spans="31:35">
      <c r="AE646" s="48">
        <v>41639</v>
      </c>
      <c r="AF646" s="51">
        <v>0.26847971999999998</v>
      </c>
      <c r="AH646" s="48">
        <v>41647</v>
      </c>
      <c r="AI646" s="51">
        <v>0.26866332999999998</v>
      </c>
    </row>
    <row r="647" spans="31:35">
      <c r="AE647" s="48">
        <v>41638</v>
      </c>
      <c r="AF647" s="51">
        <v>0.32171274</v>
      </c>
      <c r="AH647" s="48">
        <v>41646</v>
      </c>
      <c r="AI647" s="51">
        <v>0.28557460000000001</v>
      </c>
    </row>
    <row r="648" spans="31:35">
      <c r="AE648" s="48">
        <v>41635</v>
      </c>
      <c r="AF648" s="51">
        <v>0.28295542000000001</v>
      </c>
      <c r="AH648" s="48">
        <v>41645</v>
      </c>
      <c r="AI648" s="51">
        <v>0.26811022000000001</v>
      </c>
    </row>
    <row r="649" spans="31:35">
      <c r="AE649" s="48">
        <v>41634</v>
      </c>
      <c r="AF649" s="51">
        <v>0.28170294000000001</v>
      </c>
      <c r="AH649" s="48">
        <v>41642</v>
      </c>
      <c r="AI649" s="51">
        <v>0.26732493000000002</v>
      </c>
    </row>
    <row r="650" spans="31:35">
      <c r="AE650" s="48">
        <v>41632</v>
      </c>
      <c r="AF650" s="51">
        <v>0.28242096999999999</v>
      </c>
      <c r="AH650" s="48">
        <v>41641</v>
      </c>
      <c r="AI650" s="51">
        <v>0.26737772999999998</v>
      </c>
    </row>
    <row r="651" spans="31:35">
      <c r="AE651" s="48">
        <v>41631</v>
      </c>
      <c r="AF651" s="51">
        <v>0.32708043999999997</v>
      </c>
      <c r="AH651" s="48">
        <v>41639</v>
      </c>
      <c r="AI651" s="51">
        <v>0.27328176999999998</v>
      </c>
    </row>
    <row r="652" spans="31:35">
      <c r="AE652" s="48">
        <v>41628</v>
      </c>
      <c r="AF652" s="51">
        <v>0.34672830999999998</v>
      </c>
      <c r="AH652" s="48">
        <v>41638</v>
      </c>
      <c r="AI652" s="51">
        <v>0.29220773</v>
      </c>
    </row>
    <row r="653" spans="31:35">
      <c r="AE653" s="48">
        <v>41627</v>
      </c>
      <c r="AF653" s="51">
        <v>0.27857630999999999</v>
      </c>
      <c r="AH653" s="48">
        <v>41635</v>
      </c>
      <c r="AI653" s="51">
        <v>0.27431678999999998</v>
      </c>
    </row>
    <row r="654" spans="31:35">
      <c r="AE654" s="48">
        <v>41626</v>
      </c>
      <c r="AF654" s="51">
        <v>0.32708043999999997</v>
      </c>
      <c r="AH654" s="48">
        <v>41634</v>
      </c>
      <c r="AI654" s="51">
        <v>0.27410233000000001</v>
      </c>
    </row>
    <row r="655" spans="31:35">
      <c r="AE655" s="48">
        <v>41625</v>
      </c>
      <c r="AF655" s="51">
        <v>0.37416398000000001</v>
      </c>
      <c r="AH655" s="48">
        <v>41632</v>
      </c>
      <c r="AI655" s="51">
        <v>0.27431678999999998</v>
      </c>
    </row>
    <row r="656" spans="31:35">
      <c r="AE656" s="48">
        <v>41624</v>
      </c>
      <c r="AF656" s="51">
        <v>0.36327559999999998</v>
      </c>
      <c r="AH656" s="48">
        <v>41631</v>
      </c>
      <c r="AI656" s="51">
        <v>0.29246253</v>
      </c>
    </row>
    <row r="657" spans="31:35">
      <c r="AE657" s="48">
        <v>41621</v>
      </c>
      <c r="AF657" s="51">
        <v>0.36453579000000003</v>
      </c>
      <c r="AH657" s="48">
        <v>41628</v>
      </c>
      <c r="AI657" s="51">
        <v>0.2939872</v>
      </c>
    </row>
    <row r="658" spans="31:35">
      <c r="AE658" s="48">
        <v>41620</v>
      </c>
      <c r="AF658" s="51">
        <v>0.35777890000000001</v>
      </c>
      <c r="AH658" s="48">
        <v>41627</v>
      </c>
      <c r="AI658" s="51">
        <v>0.27402860000000001</v>
      </c>
    </row>
    <row r="659" spans="31:35">
      <c r="AE659" s="48">
        <v>41619</v>
      </c>
      <c r="AF659" s="51">
        <v>0.37034011999999999</v>
      </c>
      <c r="AH659" s="48">
        <v>41626</v>
      </c>
      <c r="AI659" s="51">
        <v>0.29246253</v>
      </c>
    </row>
    <row r="660" spans="31:35">
      <c r="AE660" s="48">
        <v>41618</v>
      </c>
      <c r="AF660" s="51">
        <v>0.37537373000000002</v>
      </c>
      <c r="AH660" s="48">
        <v>41625</v>
      </c>
      <c r="AI660" s="51">
        <v>0.32250592</v>
      </c>
    </row>
    <row r="661" spans="31:35">
      <c r="AE661" s="48">
        <v>41617</v>
      </c>
      <c r="AF661" s="51">
        <v>0.36453579000000003</v>
      </c>
      <c r="AH661" s="48">
        <v>41624</v>
      </c>
      <c r="AI661" s="51">
        <v>0.32134512999999998</v>
      </c>
    </row>
    <row r="662" spans="31:35">
      <c r="AE662" s="48">
        <v>41614</v>
      </c>
      <c r="AF662" s="51">
        <v>0.34216846000000001</v>
      </c>
      <c r="AH662" s="48">
        <v>41621</v>
      </c>
      <c r="AI662" s="51">
        <v>0.32141278000000001</v>
      </c>
    </row>
    <row r="663" spans="31:35">
      <c r="AE663" s="48">
        <v>41613</v>
      </c>
      <c r="AF663" s="51">
        <v>0.32814632999999999</v>
      </c>
      <c r="AH663" s="48">
        <v>41620</v>
      </c>
      <c r="AI663" s="51">
        <v>0.32063103999999998</v>
      </c>
    </row>
    <row r="664" spans="31:35">
      <c r="AE664" s="48">
        <v>41612</v>
      </c>
      <c r="AF664" s="51">
        <v>0.34044994000000001</v>
      </c>
      <c r="AH664" s="48">
        <v>41619</v>
      </c>
      <c r="AI664" s="51">
        <v>0.32188550999999999</v>
      </c>
    </row>
    <row r="665" spans="31:35">
      <c r="AE665" s="48">
        <v>41611</v>
      </c>
      <c r="AF665" s="51">
        <v>0.37704095999999998</v>
      </c>
      <c r="AH665" s="48">
        <v>41618</v>
      </c>
      <c r="AI665" s="51">
        <v>0.32270629000000001</v>
      </c>
    </row>
    <row r="666" spans="31:35">
      <c r="AE666" s="48">
        <v>41610</v>
      </c>
      <c r="AF666" s="51">
        <v>0.37676027000000001</v>
      </c>
      <c r="AH666" s="48">
        <v>41617</v>
      </c>
      <c r="AI666" s="51">
        <v>0.32141278000000001</v>
      </c>
    </row>
    <row r="667" spans="31:35">
      <c r="AE667" s="48">
        <v>41607</v>
      </c>
      <c r="AF667" s="51">
        <v>0.39248038000000002</v>
      </c>
      <c r="AH667" s="48">
        <v>41614</v>
      </c>
      <c r="AI667" s="51">
        <v>0.29357517999999999</v>
      </c>
    </row>
    <row r="668" spans="31:35">
      <c r="AE668" s="48">
        <v>41605</v>
      </c>
      <c r="AF668" s="51">
        <v>0.39288242000000001</v>
      </c>
      <c r="AH668" s="48">
        <v>41613</v>
      </c>
      <c r="AI668" s="51">
        <v>0.29246253</v>
      </c>
    </row>
    <row r="669" spans="31:35">
      <c r="AE669" s="48">
        <v>41604</v>
      </c>
      <c r="AF669" s="51">
        <v>0.40444497000000001</v>
      </c>
      <c r="AH669" s="48">
        <v>41612</v>
      </c>
      <c r="AI669" s="51">
        <v>0.29344420999999998</v>
      </c>
    </row>
    <row r="670" spans="31:35">
      <c r="AE670" s="48">
        <v>41603</v>
      </c>
      <c r="AF670" s="51">
        <v>0.40159792999999999</v>
      </c>
      <c r="AH670" s="48">
        <v>41611</v>
      </c>
      <c r="AI670" s="51">
        <v>0.35056883</v>
      </c>
    </row>
    <row r="671" spans="31:35">
      <c r="AE671" s="48">
        <v>41600</v>
      </c>
      <c r="AF671" s="51">
        <v>0.40216698000000001</v>
      </c>
      <c r="AH671" s="48">
        <v>41610</v>
      </c>
      <c r="AI671" s="51">
        <v>0.32309315</v>
      </c>
    </row>
    <row r="672" spans="31:35">
      <c r="AE672" s="48">
        <v>41599</v>
      </c>
      <c r="AF672" s="51">
        <v>0.39857682999999999</v>
      </c>
      <c r="AH672" s="48">
        <v>41607</v>
      </c>
      <c r="AI672" s="51">
        <v>0.40197292000000001</v>
      </c>
    </row>
    <row r="673" spans="31:35">
      <c r="AE673" s="48">
        <v>41598</v>
      </c>
      <c r="AF673" s="51">
        <v>0.39806186999999998</v>
      </c>
      <c r="AH673" s="48">
        <v>41605</v>
      </c>
      <c r="AI673" s="51">
        <v>0.40210531999999999</v>
      </c>
    </row>
    <row r="674" spans="31:35">
      <c r="AE674" s="48">
        <v>41597</v>
      </c>
      <c r="AF674" s="51">
        <v>0.39630022999999998</v>
      </c>
      <c r="AH674" s="48">
        <v>41604</v>
      </c>
      <c r="AI674" s="51">
        <v>0.42938123</v>
      </c>
    </row>
    <row r="675" spans="31:35">
      <c r="AE675" s="48">
        <v>41596</v>
      </c>
      <c r="AF675" s="51">
        <v>0.40298490999999997</v>
      </c>
      <c r="AH675" s="48">
        <v>41603</v>
      </c>
      <c r="AI675" s="51">
        <v>0.40426440000000002</v>
      </c>
    </row>
    <row r="676" spans="31:35">
      <c r="AE676" s="48">
        <v>41593</v>
      </c>
      <c r="AF676" s="51">
        <v>0.39599199000000002</v>
      </c>
      <c r="AH676" s="48">
        <v>41600</v>
      </c>
      <c r="AI676" s="51">
        <v>0.42892626</v>
      </c>
    </row>
    <row r="677" spans="31:35">
      <c r="AE677" s="48">
        <v>41592</v>
      </c>
      <c r="AF677" s="51">
        <v>0.39450030000000003</v>
      </c>
      <c r="AH677" s="48">
        <v>41599</v>
      </c>
      <c r="AI677" s="51">
        <v>0.40381294000000001</v>
      </c>
    </row>
    <row r="678" spans="31:35">
      <c r="AE678" s="48">
        <v>41591</v>
      </c>
      <c r="AF678" s="51">
        <v>0.38690331</v>
      </c>
      <c r="AH678" s="48">
        <v>41598</v>
      </c>
      <c r="AI678" s="51">
        <v>0.40354309999999999</v>
      </c>
    </row>
    <row r="679" spans="31:35">
      <c r="AE679" s="48">
        <v>41590</v>
      </c>
      <c r="AF679" s="51">
        <v>0.38747167999999999</v>
      </c>
      <c r="AH679" s="48">
        <v>41597</v>
      </c>
      <c r="AI679" s="51">
        <v>0.40295880000000001</v>
      </c>
    </row>
    <row r="680" spans="31:35">
      <c r="AE680" s="48">
        <v>41586</v>
      </c>
      <c r="AF680" s="51">
        <v>0.38823085000000002</v>
      </c>
      <c r="AH680" s="48">
        <v>41596</v>
      </c>
      <c r="AI680" s="51">
        <v>0.42901488999999998</v>
      </c>
    </row>
    <row r="681" spans="31:35">
      <c r="AE681" s="48">
        <v>41585</v>
      </c>
      <c r="AF681" s="51">
        <v>0.41435673000000001</v>
      </c>
      <c r="AH681" s="48">
        <v>41593</v>
      </c>
      <c r="AI681" s="51">
        <v>0.40294720000000001</v>
      </c>
    </row>
    <row r="682" spans="31:35">
      <c r="AE682" s="48">
        <v>41584</v>
      </c>
      <c r="AF682" s="51">
        <v>0.41274392999999998</v>
      </c>
      <c r="AH682" s="48">
        <v>41592</v>
      </c>
      <c r="AI682" s="51">
        <v>0.40274018</v>
      </c>
    </row>
    <row r="683" spans="31:35">
      <c r="AE683" s="48">
        <v>41583</v>
      </c>
      <c r="AF683" s="51">
        <v>0.40444497000000001</v>
      </c>
      <c r="AH683" s="48">
        <v>41591</v>
      </c>
      <c r="AI683" s="51">
        <v>0.37277558</v>
      </c>
    </row>
    <row r="684" spans="31:35">
      <c r="AE684" s="48">
        <v>41582</v>
      </c>
      <c r="AF684" s="51">
        <v>0.42327273999999998</v>
      </c>
      <c r="AH684" s="48">
        <v>41590</v>
      </c>
      <c r="AI684" s="51">
        <v>0.37341898000000001</v>
      </c>
    </row>
    <row r="685" spans="31:35">
      <c r="AE685" s="48">
        <v>41579</v>
      </c>
      <c r="AF685" s="51">
        <v>0.41875307000000001</v>
      </c>
      <c r="AH685" s="48">
        <v>41586</v>
      </c>
      <c r="AI685" s="51">
        <v>0.37347413000000002</v>
      </c>
    </row>
    <row r="686" spans="31:35">
      <c r="AE686" s="48">
        <v>41578</v>
      </c>
      <c r="AF686" s="51">
        <v>0.44816967000000002</v>
      </c>
      <c r="AH686" s="48">
        <v>41585</v>
      </c>
      <c r="AI686" s="51">
        <v>0.43132519000000002</v>
      </c>
    </row>
    <row r="687" spans="31:35">
      <c r="AE687" s="48">
        <v>41577</v>
      </c>
      <c r="AF687" s="51">
        <v>0.46022834000000001</v>
      </c>
      <c r="AH687" s="48">
        <v>41584</v>
      </c>
      <c r="AI687" s="51">
        <v>0.43103828999999999</v>
      </c>
    </row>
    <row r="688" spans="31:35">
      <c r="AE688" s="48">
        <v>41576</v>
      </c>
      <c r="AF688" s="51">
        <v>0.47251102</v>
      </c>
      <c r="AH688" s="48">
        <v>41583</v>
      </c>
      <c r="AI688" s="51">
        <v>0.42938123</v>
      </c>
    </row>
    <row r="689" spans="31:35">
      <c r="AE689" s="48">
        <v>41575</v>
      </c>
      <c r="AF689" s="51">
        <v>0.47004080999999998</v>
      </c>
      <c r="AH689" s="48">
        <v>41582</v>
      </c>
      <c r="AI689" s="51">
        <v>0.45014092999999999</v>
      </c>
    </row>
    <row r="690" spans="31:35">
      <c r="AE690" s="48">
        <v>41572</v>
      </c>
      <c r="AF690" s="51">
        <v>0.47335920999999997</v>
      </c>
      <c r="AH690" s="48">
        <v>41579</v>
      </c>
      <c r="AI690" s="51">
        <v>0.44917146000000002</v>
      </c>
    </row>
    <row r="691" spans="31:35">
      <c r="AE691" s="48">
        <v>41571</v>
      </c>
      <c r="AF691" s="51">
        <v>0.45620115</v>
      </c>
      <c r="AH691" s="48">
        <v>41578</v>
      </c>
      <c r="AI691" s="51">
        <v>0.47446090000000002</v>
      </c>
    </row>
    <row r="692" spans="31:35">
      <c r="AE692" s="48">
        <v>41570</v>
      </c>
      <c r="AF692" s="51">
        <v>0.47251102</v>
      </c>
      <c r="AH692" s="48">
        <v>41577</v>
      </c>
      <c r="AI692" s="51">
        <v>0.47567180999999997</v>
      </c>
    </row>
    <row r="693" spans="31:35">
      <c r="AE693" s="48">
        <v>41569</v>
      </c>
      <c r="AF693" s="51">
        <v>0.45559037000000002</v>
      </c>
      <c r="AH693" s="48">
        <v>41576</v>
      </c>
      <c r="AI693" s="51">
        <v>0.47681517000000001</v>
      </c>
    </row>
    <row r="694" spans="31:35">
      <c r="AE694" s="48">
        <v>41568</v>
      </c>
      <c r="AF694" s="51">
        <v>0.41834654999999998</v>
      </c>
      <c r="AH694" s="48">
        <v>41575</v>
      </c>
      <c r="AI694" s="51">
        <v>0.47629287999999997</v>
      </c>
    </row>
    <row r="695" spans="31:35">
      <c r="AE695" s="48">
        <v>41565</v>
      </c>
      <c r="AF695" s="51">
        <v>0.42308899</v>
      </c>
      <c r="AH695" s="48">
        <v>41572</v>
      </c>
      <c r="AI695" s="51">
        <v>0.47688953000000001</v>
      </c>
    </row>
    <row r="696" spans="31:35">
      <c r="AE696" s="48">
        <v>41564</v>
      </c>
      <c r="AF696" s="51">
        <v>0.42440229000000002</v>
      </c>
      <c r="AH696" s="48">
        <v>41571</v>
      </c>
      <c r="AI696" s="51">
        <v>0.47518955000000002</v>
      </c>
    </row>
    <row r="697" spans="31:35">
      <c r="AE697" s="48">
        <v>41563</v>
      </c>
      <c r="AF697" s="51">
        <v>0.40419688999999998</v>
      </c>
      <c r="AH697" s="48">
        <v>41570</v>
      </c>
      <c r="AI697" s="51">
        <v>0.47681517000000001</v>
      </c>
    </row>
    <row r="698" spans="31:35">
      <c r="AE698" s="48">
        <v>41562</v>
      </c>
      <c r="AF698" s="51">
        <v>0.39927588000000003</v>
      </c>
      <c r="AH698" s="48">
        <v>41569</v>
      </c>
      <c r="AI698" s="51">
        <v>0.47518911000000003</v>
      </c>
    </row>
    <row r="699" spans="31:35">
      <c r="AE699" s="48">
        <v>41558</v>
      </c>
      <c r="AF699" s="51">
        <v>0.40564359</v>
      </c>
      <c r="AH699" s="48">
        <v>41568</v>
      </c>
      <c r="AI699" s="51">
        <v>0.43986573000000001</v>
      </c>
    </row>
    <row r="700" spans="31:35">
      <c r="AE700" s="48">
        <v>41557</v>
      </c>
      <c r="AF700" s="51">
        <v>0.40641392999999998</v>
      </c>
      <c r="AH700" s="48">
        <v>41565</v>
      </c>
      <c r="AI700" s="51">
        <v>0.45685520000000002</v>
      </c>
    </row>
    <row r="701" spans="31:35">
      <c r="AE701" s="48">
        <v>41556</v>
      </c>
      <c r="AF701" s="51">
        <v>0.40868282</v>
      </c>
      <c r="AH701" s="48">
        <v>41564</v>
      </c>
      <c r="AI701" s="51">
        <v>0.45694407999999997</v>
      </c>
    </row>
    <row r="702" spans="31:35">
      <c r="AE702" s="48">
        <v>41555</v>
      </c>
      <c r="AF702" s="51">
        <v>0.40977889000000001</v>
      </c>
      <c r="AH702" s="48">
        <v>41563</v>
      </c>
      <c r="AI702" s="51">
        <v>0.41138164999999999</v>
      </c>
    </row>
    <row r="703" spans="31:35">
      <c r="AE703" s="48">
        <v>41554</v>
      </c>
      <c r="AF703" s="51">
        <v>0.41384989999999999</v>
      </c>
      <c r="AH703" s="48">
        <v>41562</v>
      </c>
      <c r="AI703" s="51">
        <v>0.41015533999999998</v>
      </c>
    </row>
    <row r="704" spans="31:35">
      <c r="AE704" s="48">
        <v>41551</v>
      </c>
      <c r="AF704" s="51">
        <v>0.41384989999999999</v>
      </c>
      <c r="AH704" s="48">
        <v>41558</v>
      </c>
      <c r="AI704" s="51">
        <v>0.41170681999999997</v>
      </c>
    </row>
    <row r="705" spans="31:35">
      <c r="AE705" s="48">
        <v>41550</v>
      </c>
      <c r="AF705" s="51">
        <v>0.42005614000000002</v>
      </c>
      <c r="AH705" s="48">
        <v>41557</v>
      </c>
      <c r="AI705" s="51">
        <v>0.43646554999999998</v>
      </c>
    </row>
    <row r="706" spans="31:35">
      <c r="AE706" s="48">
        <v>41549</v>
      </c>
      <c r="AF706" s="51">
        <v>0.41492382</v>
      </c>
      <c r="AH706" s="48">
        <v>41556</v>
      </c>
      <c r="AI706" s="51">
        <v>0.43697574</v>
      </c>
    </row>
    <row r="707" spans="31:35">
      <c r="AE707" s="48">
        <v>41548</v>
      </c>
      <c r="AF707" s="51">
        <v>0.40735265999999998</v>
      </c>
      <c r="AH707" s="48">
        <v>41555</v>
      </c>
      <c r="AI707" s="51">
        <v>0.43763113999999997</v>
      </c>
    </row>
    <row r="708" spans="31:35">
      <c r="AE708" s="48">
        <v>41547</v>
      </c>
      <c r="AF708" s="51">
        <v>0.41213623999999999</v>
      </c>
      <c r="AH708" s="48">
        <v>41554</v>
      </c>
      <c r="AI708" s="51">
        <v>0.43833251000000001</v>
      </c>
    </row>
    <row r="709" spans="31:35">
      <c r="AE709" s="48">
        <v>41544</v>
      </c>
      <c r="AF709" s="51">
        <v>0.41228937999999998</v>
      </c>
      <c r="AH709" s="48">
        <v>41551</v>
      </c>
      <c r="AI709" s="51">
        <v>0.43857474000000002</v>
      </c>
    </row>
    <row r="710" spans="31:35">
      <c r="AE710" s="48">
        <v>41543</v>
      </c>
      <c r="AF710" s="51">
        <v>0.40892709999999999</v>
      </c>
      <c r="AH710" s="48">
        <v>41550</v>
      </c>
      <c r="AI710" s="51">
        <v>0.45596548999999997</v>
      </c>
    </row>
    <row r="711" spans="31:35">
      <c r="AE711" s="48">
        <v>41542</v>
      </c>
      <c r="AF711" s="51">
        <v>0.41205318000000002</v>
      </c>
      <c r="AH711" s="48">
        <v>41549</v>
      </c>
      <c r="AI711" s="51">
        <v>0.43865658000000002</v>
      </c>
    </row>
    <row r="712" spans="31:35">
      <c r="AE712" s="48">
        <v>41541</v>
      </c>
      <c r="AF712" s="51">
        <v>0.40942932999999998</v>
      </c>
      <c r="AH712" s="48">
        <v>41548</v>
      </c>
      <c r="AI712" s="51">
        <v>0.43656851000000002</v>
      </c>
    </row>
    <row r="713" spans="31:35">
      <c r="AE713" s="48">
        <v>41540</v>
      </c>
      <c r="AF713" s="51">
        <v>0.40442292000000002</v>
      </c>
      <c r="AH713" s="48">
        <v>41547</v>
      </c>
      <c r="AI713" s="51">
        <v>0.44262186999999997</v>
      </c>
    </row>
    <row r="714" spans="31:35">
      <c r="AE714" s="48">
        <v>41537</v>
      </c>
      <c r="AF714" s="51">
        <v>0.40062763000000001</v>
      </c>
      <c r="AH714" s="48">
        <v>41544</v>
      </c>
      <c r="AI714" s="51">
        <v>0.44262274000000001</v>
      </c>
    </row>
    <row r="715" spans="31:35">
      <c r="AE715" s="48">
        <v>41536</v>
      </c>
      <c r="AF715" s="51">
        <v>0.40169234999999998</v>
      </c>
      <c r="AH715" s="48">
        <v>41543</v>
      </c>
      <c r="AI715" s="51">
        <v>0.41673353000000002</v>
      </c>
    </row>
    <row r="716" spans="31:35">
      <c r="AE716" s="48">
        <v>41535</v>
      </c>
      <c r="AF716" s="51">
        <v>0.40430395000000002</v>
      </c>
      <c r="AH716" s="48">
        <v>41542</v>
      </c>
      <c r="AI716" s="51">
        <v>0.44262164999999998</v>
      </c>
    </row>
    <row r="717" spans="31:35">
      <c r="AE717" s="48">
        <v>41534</v>
      </c>
      <c r="AF717" s="51">
        <v>0.35600051999999999</v>
      </c>
      <c r="AH717" s="48">
        <v>41541</v>
      </c>
      <c r="AI717" s="51">
        <v>0.44143574000000002</v>
      </c>
    </row>
    <row r="718" spans="31:35">
      <c r="AE718" s="48">
        <v>41533</v>
      </c>
      <c r="AF718" s="51">
        <v>0.33935362000000002</v>
      </c>
      <c r="AH718" s="48">
        <v>41540</v>
      </c>
      <c r="AI718" s="51">
        <v>0.41441415999999998</v>
      </c>
    </row>
    <row r="719" spans="31:35">
      <c r="AE719" s="48">
        <v>41530</v>
      </c>
      <c r="AF719" s="51">
        <v>0.2925217</v>
      </c>
      <c r="AH719" s="48">
        <v>41537</v>
      </c>
      <c r="AI719" s="51">
        <v>0.38665048000000002</v>
      </c>
    </row>
    <row r="720" spans="31:35">
      <c r="AE720" s="48">
        <v>41529</v>
      </c>
      <c r="AF720" s="51">
        <v>0.28637426999999999</v>
      </c>
      <c r="AH720" s="48">
        <v>41536</v>
      </c>
      <c r="AI720" s="51">
        <v>0.3870731</v>
      </c>
    </row>
    <row r="721" spans="31:35">
      <c r="AE721" s="48">
        <v>41528</v>
      </c>
      <c r="AF721" s="51">
        <v>0.28595882</v>
      </c>
      <c r="AH721" s="48">
        <v>41535</v>
      </c>
      <c r="AI721" s="51">
        <v>0.41441349999999999</v>
      </c>
    </row>
    <row r="722" spans="31:35">
      <c r="AE722" s="48">
        <v>41527</v>
      </c>
      <c r="AF722" s="51">
        <v>0.26296286000000002</v>
      </c>
      <c r="AH722" s="48">
        <v>41534</v>
      </c>
      <c r="AI722" s="51">
        <v>0.32275990999999998</v>
      </c>
    </row>
    <row r="723" spans="31:35">
      <c r="AE723" s="48">
        <v>41526</v>
      </c>
      <c r="AF723" s="51">
        <v>0.26769354000000001</v>
      </c>
      <c r="AH723" s="48">
        <v>41533</v>
      </c>
      <c r="AI723" s="51">
        <v>0.32167298999999999</v>
      </c>
    </row>
    <row r="724" spans="31:35">
      <c r="AE724" s="48">
        <v>41523</v>
      </c>
      <c r="AF724" s="51">
        <v>0.26194300999999998</v>
      </c>
      <c r="AH724" s="48">
        <v>41530</v>
      </c>
      <c r="AI724" s="51">
        <v>0.30221309000000002</v>
      </c>
    </row>
    <row r="725" spans="31:35">
      <c r="AE725" s="48">
        <v>41522</v>
      </c>
      <c r="AF725" s="51">
        <v>0.25826391999999998</v>
      </c>
      <c r="AH725" s="48">
        <v>41529</v>
      </c>
      <c r="AI725" s="51">
        <v>0.30189951999999998</v>
      </c>
    </row>
    <row r="726" spans="31:35">
      <c r="AE726" s="48">
        <v>41521</v>
      </c>
      <c r="AF726" s="51">
        <v>0.26443326</v>
      </c>
      <c r="AH726" s="48">
        <v>41528</v>
      </c>
      <c r="AI726" s="51">
        <v>0.30189885999999999</v>
      </c>
    </row>
    <row r="727" spans="31:35">
      <c r="AE727" s="48">
        <v>41520</v>
      </c>
      <c r="AF727" s="51">
        <v>0.29002791</v>
      </c>
      <c r="AH727" s="48">
        <v>41527</v>
      </c>
      <c r="AI727" s="51">
        <v>0.26791893</v>
      </c>
    </row>
    <row r="728" spans="31:35">
      <c r="AE728" s="48">
        <v>41516</v>
      </c>
      <c r="AF728" s="51">
        <v>0.39522167000000002</v>
      </c>
      <c r="AH728" s="48">
        <v>41526</v>
      </c>
      <c r="AI728" s="51">
        <v>0.28345355</v>
      </c>
    </row>
    <row r="729" spans="31:35">
      <c r="AE729" s="48">
        <v>41515</v>
      </c>
      <c r="AF729" s="51">
        <v>0.39563315999999998</v>
      </c>
      <c r="AH729" s="48">
        <v>41523</v>
      </c>
      <c r="AI729" s="51">
        <v>0.25633407000000002</v>
      </c>
    </row>
    <row r="730" spans="31:35">
      <c r="AE730" s="48">
        <v>41514</v>
      </c>
      <c r="AF730" s="51">
        <v>0.35578878000000003</v>
      </c>
      <c r="AH730" s="48">
        <v>41522</v>
      </c>
      <c r="AI730" s="51">
        <v>0.23873225000000001</v>
      </c>
    </row>
    <row r="731" spans="31:35">
      <c r="AE731" s="48">
        <v>41513</v>
      </c>
      <c r="AF731" s="51">
        <v>0.38014408</v>
      </c>
      <c r="AH731" s="48">
        <v>41521</v>
      </c>
      <c r="AI731" s="51">
        <v>0.26854915000000001</v>
      </c>
    </row>
    <row r="732" spans="31:35">
      <c r="AE732" s="48">
        <v>41512</v>
      </c>
      <c r="AF732" s="51">
        <v>0.30800234999999998</v>
      </c>
      <c r="AH732" s="48">
        <v>41520</v>
      </c>
      <c r="AI732" s="51">
        <v>0.30215976999999999</v>
      </c>
    </row>
    <row r="733" spans="31:35">
      <c r="AE733" s="48">
        <v>41509</v>
      </c>
      <c r="AF733" s="51">
        <v>0.29198242000000002</v>
      </c>
      <c r="AH733" s="48">
        <v>41516</v>
      </c>
      <c r="AI733" s="51">
        <v>0.36106342000000002</v>
      </c>
    </row>
    <row r="734" spans="31:35">
      <c r="AE734" s="48">
        <v>41508</v>
      </c>
      <c r="AF734" s="51">
        <v>0.27358157</v>
      </c>
      <c r="AH734" s="48">
        <v>41515</v>
      </c>
      <c r="AI734" s="51">
        <v>0.36142307000000001</v>
      </c>
    </row>
    <row r="735" spans="31:35">
      <c r="AE735" s="48">
        <v>41507</v>
      </c>
      <c r="AF735" s="51">
        <v>0.27644807999999998</v>
      </c>
      <c r="AH735" s="48">
        <v>41514</v>
      </c>
      <c r="AI735" s="51">
        <v>0.33028247999999999</v>
      </c>
    </row>
    <row r="736" spans="31:35">
      <c r="AE736" s="48">
        <v>41506</v>
      </c>
      <c r="AF736" s="51">
        <v>0.28096123000000001</v>
      </c>
      <c r="AH736" s="48">
        <v>41513</v>
      </c>
      <c r="AI736" s="51">
        <v>0.33197515999999999</v>
      </c>
    </row>
    <row r="737" spans="31:35">
      <c r="AE737" s="48">
        <v>41505</v>
      </c>
      <c r="AF737" s="51">
        <v>0.27263881000000001</v>
      </c>
      <c r="AH737" s="48">
        <v>41512</v>
      </c>
      <c r="AI737" s="51">
        <v>0.31086620999999998</v>
      </c>
    </row>
    <row r="738" spans="31:35">
      <c r="AE738" s="48">
        <v>41502</v>
      </c>
      <c r="AF738" s="51">
        <v>0.28031014999999998</v>
      </c>
      <c r="AH738" s="48">
        <v>41509</v>
      </c>
      <c r="AI738" s="51">
        <v>0.30896501999999998</v>
      </c>
    </row>
    <row r="739" spans="31:35">
      <c r="AE739" s="48">
        <v>41501</v>
      </c>
      <c r="AF739" s="51">
        <v>0.31455759999999999</v>
      </c>
      <c r="AH739" s="48">
        <v>41508</v>
      </c>
      <c r="AI739" s="51">
        <v>0.27592389</v>
      </c>
    </row>
    <row r="740" spans="31:35">
      <c r="AE740" s="48">
        <v>41500</v>
      </c>
      <c r="AF740" s="51">
        <v>0.37743947</v>
      </c>
      <c r="AH740" s="48">
        <v>41507</v>
      </c>
      <c r="AI740" s="51">
        <v>0.27719427000000002</v>
      </c>
    </row>
    <row r="741" spans="31:35">
      <c r="AE741" s="48">
        <v>41499</v>
      </c>
      <c r="AF741" s="51">
        <v>0.39312795</v>
      </c>
      <c r="AH741" s="48">
        <v>41506</v>
      </c>
      <c r="AI741" s="51">
        <v>0.29255429999999999</v>
      </c>
    </row>
    <row r="742" spans="31:35">
      <c r="AE742" s="48">
        <v>41498</v>
      </c>
      <c r="AF742" s="51">
        <v>0.41321912</v>
      </c>
      <c r="AH742" s="48">
        <v>41505</v>
      </c>
      <c r="AI742" s="51">
        <v>0.27549568000000002</v>
      </c>
    </row>
    <row r="743" spans="31:35">
      <c r="AE743" s="48">
        <v>41495</v>
      </c>
      <c r="AF743" s="51">
        <v>0.41576205999999999</v>
      </c>
      <c r="AH743" s="48">
        <v>41502</v>
      </c>
      <c r="AI743" s="51">
        <v>0.29240864</v>
      </c>
    </row>
    <row r="744" spans="31:35">
      <c r="AE744" s="48">
        <v>41494</v>
      </c>
      <c r="AF744" s="51">
        <v>0.41331764999999998</v>
      </c>
      <c r="AH744" s="48">
        <v>41501</v>
      </c>
      <c r="AI744" s="51">
        <v>0.31132267000000002</v>
      </c>
    </row>
    <row r="745" spans="31:35">
      <c r="AE745" s="48">
        <v>41493</v>
      </c>
      <c r="AF745" s="51">
        <v>0.41115397999999997</v>
      </c>
      <c r="AH745" s="48">
        <v>41500</v>
      </c>
      <c r="AI745" s="51">
        <v>0.33157871</v>
      </c>
    </row>
    <row r="746" spans="31:35">
      <c r="AE746" s="48">
        <v>41492</v>
      </c>
      <c r="AF746" s="51">
        <v>0.40437019000000002</v>
      </c>
      <c r="AH746" s="48">
        <v>41499</v>
      </c>
      <c r="AI746" s="51">
        <v>0.36088382000000002</v>
      </c>
    </row>
    <row r="747" spans="31:35">
      <c r="AE747" s="48">
        <v>41491</v>
      </c>
      <c r="AF747" s="51">
        <v>0.40903135000000002</v>
      </c>
      <c r="AH747" s="48">
        <v>41498</v>
      </c>
      <c r="AI747" s="51">
        <v>0.3956807</v>
      </c>
    </row>
    <row r="748" spans="31:35">
      <c r="AE748" s="48">
        <v>41488</v>
      </c>
      <c r="AF748" s="51">
        <v>0.41078564000000001</v>
      </c>
      <c r="AH748" s="48">
        <v>41495</v>
      </c>
      <c r="AI748" s="51">
        <v>0.42325764999999999</v>
      </c>
    </row>
    <row r="749" spans="31:35">
      <c r="AE749" s="48">
        <v>41487</v>
      </c>
      <c r="AF749" s="51">
        <v>0.33232054999999999</v>
      </c>
      <c r="AH749" s="48">
        <v>41494</v>
      </c>
      <c r="AI749" s="51">
        <v>0.39588834000000001</v>
      </c>
    </row>
    <row r="750" spans="31:35">
      <c r="AE750" s="48">
        <v>41486</v>
      </c>
      <c r="AF750" s="51">
        <v>0.42516652999999999</v>
      </c>
      <c r="AH750" s="48">
        <v>41493</v>
      </c>
      <c r="AI750" s="51">
        <v>0.39443265999999999</v>
      </c>
    </row>
    <row r="751" spans="31:35">
      <c r="AE751" s="48">
        <v>41485</v>
      </c>
      <c r="AF751" s="51">
        <v>0.42348314999999997</v>
      </c>
      <c r="AH751" s="48">
        <v>41492</v>
      </c>
      <c r="AI751" s="51">
        <v>0.3620449</v>
      </c>
    </row>
    <row r="752" spans="31:35">
      <c r="AE752" s="48">
        <v>41484</v>
      </c>
      <c r="AF752" s="51">
        <v>0.42603953</v>
      </c>
      <c r="AH752" s="48">
        <v>41491</v>
      </c>
      <c r="AI752" s="51">
        <v>0.36311771999999998</v>
      </c>
    </row>
    <row r="753" spans="31:35">
      <c r="AE753" s="48">
        <v>41481</v>
      </c>
      <c r="AF753" s="51">
        <v>0.42646224999999999</v>
      </c>
      <c r="AH753" s="48">
        <v>41488</v>
      </c>
      <c r="AI753" s="51">
        <v>0.39358479000000002</v>
      </c>
    </row>
    <row r="754" spans="31:35">
      <c r="AE754" s="48">
        <v>41480</v>
      </c>
      <c r="AF754" s="51">
        <v>0.42186098999999999</v>
      </c>
      <c r="AH754" s="48">
        <v>41487</v>
      </c>
      <c r="AI754" s="51">
        <v>0.32795199000000003</v>
      </c>
    </row>
    <row r="755" spans="31:35">
      <c r="AE755" s="48">
        <v>41479</v>
      </c>
      <c r="AF755" s="51">
        <v>0.42334037000000002</v>
      </c>
      <c r="AH755" s="48">
        <v>41486</v>
      </c>
      <c r="AI755" s="51">
        <v>0.40693110999999998</v>
      </c>
    </row>
    <row r="756" spans="31:35">
      <c r="AE756" s="48">
        <v>41478</v>
      </c>
      <c r="AF756" s="51">
        <v>0.43127566000000001</v>
      </c>
      <c r="AH756" s="48">
        <v>41485</v>
      </c>
      <c r="AI756" s="51">
        <v>0.37622872000000002</v>
      </c>
    </row>
    <row r="757" spans="31:35">
      <c r="AE757" s="48">
        <v>41477</v>
      </c>
      <c r="AF757" s="51">
        <v>0.43375761000000002</v>
      </c>
      <c r="AH757" s="48">
        <v>41484</v>
      </c>
      <c r="AI757" s="51">
        <v>0.40771123999999997</v>
      </c>
    </row>
    <row r="758" spans="31:35">
      <c r="AE758" s="48">
        <v>41474</v>
      </c>
      <c r="AF758" s="51">
        <v>0.43340129999999999</v>
      </c>
      <c r="AH758" s="48">
        <v>41481</v>
      </c>
      <c r="AI758" s="51">
        <v>0.40865384999999999</v>
      </c>
    </row>
    <row r="759" spans="31:35">
      <c r="AE759" s="48">
        <v>41473</v>
      </c>
      <c r="AF759" s="51">
        <v>0.42837238</v>
      </c>
      <c r="AH759" s="48">
        <v>41480</v>
      </c>
      <c r="AI759" s="51">
        <v>0.37566072</v>
      </c>
    </row>
    <row r="760" spans="31:35">
      <c r="AE760" s="48">
        <v>41472</v>
      </c>
      <c r="AF760" s="51">
        <v>0.43264901</v>
      </c>
      <c r="AH760" s="48">
        <v>41479</v>
      </c>
      <c r="AI760" s="51">
        <v>0.37622828000000003</v>
      </c>
    </row>
    <row r="761" spans="31:35">
      <c r="AE761" s="48">
        <v>41471</v>
      </c>
      <c r="AF761" s="51">
        <v>0.42713065</v>
      </c>
      <c r="AH761" s="48">
        <v>41478</v>
      </c>
      <c r="AI761" s="51">
        <v>0.43854961999999997</v>
      </c>
    </row>
    <row r="762" spans="31:35">
      <c r="AE762" s="48">
        <v>41470</v>
      </c>
      <c r="AF762" s="51">
        <v>0.42632069</v>
      </c>
      <c r="AH762" s="48">
        <v>41477</v>
      </c>
      <c r="AI762" s="51">
        <v>0.44031915999999999</v>
      </c>
    </row>
    <row r="763" spans="31:35">
      <c r="AE763" s="48">
        <v>41467</v>
      </c>
      <c r="AF763" s="51">
        <v>0.41215266</v>
      </c>
      <c r="AH763" s="48">
        <v>41474</v>
      </c>
      <c r="AI763" s="51">
        <v>0.43992555999999999</v>
      </c>
    </row>
    <row r="764" spans="31:35">
      <c r="AE764" s="48">
        <v>41466</v>
      </c>
      <c r="AF764" s="51">
        <v>0.41506283999999999</v>
      </c>
      <c r="AH764" s="48">
        <v>41473</v>
      </c>
      <c r="AI764" s="51">
        <v>0.41002252</v>
      </c>
    </row>
    <row r="765" spans="31:35">
      <c r="AE765" s="48">
        <v>41465</v>
      </c>
      <c r="AF765" s="51">
        <v>0.31225017999999999</v>
      </c>
      <c r="AH765" s="48">
        <v>41472</v>
      </c>
      <c r="AI765" s="51">
        <v>0.43945447999999998</v>
      </c>
    </row>
    <row r="766" spans="31:35">
      <c r="AE766" s="48">
        <v>41464</v>
      </c>
      <c r="AF766" s="51">
        <v>0.39961025999999999</v>
      </c>
      <c r="AH766" s="48">
        <v>41471</v>
      </c>
      <c r="AI766" s="51">
        <v>0.40922428</v>
      </c>
    </row>
    <row r="767" spans="31:35">
      <c r="AE767" s="48">
        <v>41463</v>
      </c>
      <c r="AF767" s="51">
        <v>0.33666590000000002</v>
      </c>
      <c r="AH767" s="48">
        <v>41470</v>
      </c>
      <c r="AI767" s="51">
        <v>0.40860352</v>
      </c>
    </row>
    <row r="768" spans="31:35">
      <c r="AE768" s="48">
        <v>41460</v>
      </c>
      <c r="AF768" s="51">
        <v>0.28872759999999997</v>
      </c>
      <c r="AH768" s="48">
        <v>41467</v>
      </c>
      <c r="AI768" s="51">
        <v>0.37461127</v>
      </c>
    </row>
    <row r="769" spans="31:35">
      <c r="AE769" s="48">
        <v>41458</v>
      </c>
      <c r="AF769" s="51">
        <v>0.42879772999999999</v>
      </c>
      <c r="AH769" s="48">
        <v>41466</v>
      </c>
      <c r="AI769" s="51">
        <v>0.37494019000000001</v>
      </c>
    </row>
    <row r="770" spans="31:35">
      <c r="AE770" s="48">
        <v>41457</v>
      </c>
      <c r="AF770" s="51">
        <v>0.42614523999999998</v>
      </c>
      <c r="AH770" s="48">
        <v>41465</v>
      </c>
      <c r="AI770" s="51">
        <v>0.32219704999999998</v>
      </c>
    </row>
    <row r="771" spans="31:35">
      <c r="AE771" s="48">
        <v>41456</v>
      </c>
      <c r="AF771" s="51">
        <v>0.42692645000000001</v>
      </c>
      <c r="AH771" s="48">
        <v>41464</v>
      </c>
      <c r="AI771" s="51">
        <v>0.34506980999999998</v>
      </c>
    </row>
    <row r="772" spans="31:35">
      <c r="AE772" s="48">
        <v>41453</v>
      </c>
      <c r="AF772" s="51">
        <v>0.44439106</v>
      </c>
      <c r="AH772" s="48">
        <v>41463</v>
      </c>
      <c r="AI772" s="51">
        <v>0.32360787000000002</v>
      </c>
    </row>
    <row r="773" spans="31:35">
      <c r="AE773" s="48">
        <v>41452</v>
      </c>
      <c r="AF773" s="51">
        <v>0.44367911999999998</v>
      </c>
      <c r="AH773" s="48">
        <v>41460</v>
      </c>
      <c r="AI773" s="51">
        <v>0.28819507999999999</v>
      </c>
    </row>
    <row r="774" spans="31:35">
      <c r="AE774" s="48">
        <v>41451</v>
      </c>
      <c r="AF774" s="51">
        <v>0.36913066</v>
      </c>
      <c r="AH774" s="48">
        <v>41458</v>
      </c>
      <c r="AI774" s="51">
        <v>0.41017594000000002</v>
      </c>
    </row>
    <row r="775" spans="31:35">
      <c r="AE775" s="48">
        <v>41450</v>
      </c>
      <c r="AF775" s="51">
        <v>0.41918834999999999</v>
      </c>
      <c r="AH775" s="48">
        <v>41457</v>
      </c>
      <c r="AI775" s="51">
        <v>0.40771587999999997</v>
      </c>
    </row>
    <row r="776" spans="31:35">
      <c r="AE776" s="48">
        <v>41449</v>
      </c>
      <c r="AF776" s="51">
        <v>0.42893935</v>
      </c>
      <c r="AH776" s="48">
        <v>41456</v>
      </c>
      <c r="AI776" s="51">
        <v>0.40886665999999999</v>
      </c>
    </row>
    <row r="777" spans="31:35">
      <c r="AE777" s="48">
        <v>41446</v>
      </c>
      <c r="AF777" s="51">
        <v>0.44323100999999998</v>
      </c>
      <c r="AH777" s="48">
        <v>41453</v>
      </c>
      <c r="AI777" s="51">
        <v>0.42100630999999999</v>
      </c>
    </row>
    <row r="778" spans="31:35">
      <c r="AE778" s="48">
        <v>41445</v>
      </c>
      <c r="AF778" s="51">
        <v>0.45672223000000001</v>
      </c>
      <c r="AH778" s="48">
        <v>41452</v>
      </c>
      <c r="AI778" s="51">
        <v>0.41931100999999998</v>
      </c>
    </row>
    <row r="779" spans="31:35">
      <c r="AE779" s="48">
        <v>41444</v>
      </c>
      <c r="AF779" s="51">
        <v>0.50423591999999995</v>
      </c>
      <c r="AH779" s="48">
        <v>41451</v>
      </c>
      <c r="AI779" s="51">
        <v>0.35232893999999998</v>
      </c>
    </row>
    <row r="780" spans="31:35">
      <c r="AE780" s="48">
        <v>41443</v>
      </c>
      <c r="AF780" s="51">
        <v>0.57834057000000005</v>
      </c>
      <c r="AH780" s="48">
        <v>41450</v>
      </c>
      <c r="AI780" s="51">
        <v>0.35612642</v>
      </c>
    </row>
    <row r="781" spans="31:35">
      <c r="AE781" s="48">
        <v>41442</v>
      </c>
      <c r="AF781" s="51">
        <v>0.57679937999999997</v>
      </c>
      <c r="AH781" s="48">
        <v>41449</v>
      </c>
      <c r="AI781" s="51">
        <v>0.38613859</v>
      </c>
    </row>
    <row r="782" spans="31:35">
      <c r="AE782" s="48">
        <v>41439</v>
      </c>
      <c r="AF782" s="51">
        <v>0.60357554000000002</v>
      </c>
      <c r="AH782" s="48">
        <v>41446</v>
      </c>
      <c r="AI782" s="51">
        <v>0.41926648999999999</v>
      </c>
    </row>
    <row r="783" spans="31:35">
      <c r="AE783" s="48">
        <v>41438</v>
      </c>
      <c r="AF783" s="51">
        <v>0.58616818000000004</v>
      </c>
      <c r="AH783" s="48">
        <v>41445</v>
      </c>
      <c r="AI783" s="51">
        <v>0.48302408000000002</v>
      </c>
    </row>
    <row r="784" spans="31:35">
      <c r="AE784" s="48">
        <v>41437</v>
      </c>
      <c r="AF784" s="51">
        <v>0.55153556000000004</v>
      </c>
      <c r="AH784" s="48">
        <v>41444</v>
      </c>
      <c r="AI784" s="51">
        <v>0.52118739000000003</v>
      </c>
    </row>
    <row r="785" spans="31:35">
      <c r="AE785" s="48">
        <v>41436</v>
      </c>
      <c r="AF785" s="51">
        <v>0.59643793000000001</v>
      </c>
      <c r="AH785" s="48">
        <v>41443</v>
      </c>
      <c r="AI785" s="51">
        <v>0.55890348999999995</v>
      </c>
    </row>
    <row r="786" spans="31:35">
      <c r="AE786" s="48">
        <v>41435</v>
      </c>
      <c r="AF786" s="51">
        <v>0.57834057000000005</v>
      </c>
      <c r="AH786" s="48">
        <v>41442</v>
      </c>
      <c r="AI786" s="51">
        <v>0.55888777000000001</v>
      </c>
    </row>
    <row r="787" spans="31:35">
      <c r="AE787" s="48">
        <v>41432</v>
      </c>
      <c r="AF787" s="51">
        <v>0.59389106999999997</v>
      </c>
      <c r="AH787" s="48">
        <v>41439</v>
      </c>
      <c r="AI787" s="51">
        <v>0.57870487999999998</v>
      </c>
    </row>
    <row r="788" spans="31:35">
      <c r="AE788" s="48">
        <v>41431</v>
      </c>
      <c r="AF788" s="51">
        <v>0.60807341999999998</v>
      </c>
      <c r="AH788" s="48">
        <v>41438</v>
      </c>
      <c r="AI788" s="51">
        <v>0.55993853000000005</v>
      </c>
    </row>
    <row r="789" spans="31:35">
      <c r="AE789" s="48">
        <v>41430</v>
      </c>
      <c r="AF789" s="51">
        <v>0.60259748000000002</v>
      </c>
      <c r="AH789" s="48">
        <v>41437</v>
      </c>
      <c r="AI789" s="51">
        <v>0.5557685</v>
      </c>
    </row>
    <row r="790" spans="31:35">
      <c r="AE790" s="48">
        <v>41429</v>
      </c>
      <c r="AF790" s="51">
        <v>0.59229140999999996</v>
      </c>
      <c r="AH790" s="48">
        <v>41436</v>
      </c>
      <c r="AI790" s="51">
        <v>0.57758390999999998</v>
      </c>
    </row>
    <row r="791" spans="31:35">
      <c r="AE791" s="48">
        <v>41428</v>
      </c>
      <c r="AF791" s="51">
        <v>0.60388423000000002</v>
      </c>
      <c r="AH791" s="48">
        <v>41435</v>
      </c>
      <c r="AI791" s="51">
        <v>0.55890326999999995</v>
      </c>
    </row>
    <row r="792" spans="31:35">
      <c r="AE792" s="48">
        <v>41425</v>
      </c>
      <c r="AF792" s="51">
        <v>0.62532821000000005</v>
      </c>
      <c r="AH792" s="48">
        <v>41432</v>
      </c>
      <c r="AI792" s="51">
        <v>0.57743308000000004</v>
      </c>
    </row>
    <row r="793" spans="31:35">
      <c r="AE793" s="48">
        <v>41424</v>
      </c>
      <c r="AF793" s="51">
        <v>0.63071074000000005</v>
      </c>
      <c r="AH793" s="48">
        <v>41431</v>
      </c>
      <c r="AI793" s="51">
        <v>0.57975120999999996</v>
      </c>
    </row>
    <row r="794" spans="31:35">
      <c r="AE794" s="48">
        <v>41423</v>
      </c>
      <c r="AF794" s="51">
        <v>0.62947549999999997</v>
      </c>
      <c r="AH794" s="48">
        <v>41430</v>
      </c>
      <c r="AI794" s="51">
        <v>0.57839989000000003</v>
      </c>
    </row>
    <row r="795" spans="31:35">
      <c r="AE795" s="48">
        <v>41422</v>
      </c>
      <c r="AF795" s="51">
        <v>0.63160108999999998</v>
      </c>
      <c r="AH795" s="48">
        <v>41429</v>
      </c>
      <c r="AI795" s="51">
        <v>0.57734514000000003</v>
      </c>
    </row>
    <row r="796" spans="31:35">
      <c r="AE796" s="48">
        <v>41418</v>
      </c>
      <c r="AF796" s="51">
        <v>0.64577068999999998</v>
      </c>
      <c r="AH796" s="48">
        <v>41428</v>
      </c>
      <c r="AI796" s="51">
        <v>0.57870533000000002</v>
      </c>
    </row>
    <row r="797" spans="31:35">
      <c r="AE797" s="48">
        <v>41417</v>
      </c>
      <c r="AF797" s="51">
        <v>0.64488252000000001</v>
      </c>
      <c r="AH797" s="48">
        <v>41425</v>
      </c>
      <c r="AI797" s="51">
        <v>0.59469521000000003</v>
      </c>
    </row>
    <row r="798" spans="31:35">
      <c r="AE798" s="48">
        <v>41416</v>
      </c>
      <c r="AF798" s="51">
        <v>0.65091405000000002</v>
      </c>
      <c r="AH798" s="48">
        <v>41424</v>
      </c>
      <c r="AI798" s="51">
        <v>0.61452996999999998</v>
      </c>
    </row>
    <row r="799" spans="31:35">
      <c r="AE799" s="48">
        <v>41415</v>
      </c>
      <c r="AF799" s="51">
        <v>0.72319169000000005</v>
      </c>
      <c r="AH799" s="48">
        <v>41423</v>
      </c>
      <c r="AI799" s="51">
        <v>0.61301700000000003</v>
      </c>
    </row>
    <row r="800" spans="31:35">
      <c r="AE800" s="48">
        <v>41414</v>
      </c>
      <c r="AF800" s="51">
        <v>0.67816416000000002</v>
      </c>
      <c r="AH800" s="48">
        <v>41422</v>
      </c>
      <c r="AI800" s="51">
        <v>0.61545939999999999</v>
      </c>
    </row>
    <row r="801" spans="31:35">
      <c r="AE801" s="48">
        <v>41411</v>
      </c>
      <c r="AF801" s="51">
        <v>0.69528027999999997</v>
      </c>
      <c r="AH801" s="48">
        <v>41418</v>
      </c>
      <c r="AI801" s="51">
        <v>0.65548549</v>
      </c>
    </row>
    <row r="802" spans="31:35">
      <c r="AE802" s="48">
        <v>41410</v>
      </c>
      <c r="AF802" s="51">
        <v>0.79431673999999997</v>
      </c>
      <c r="AH802" s="48">
        <v>41417</v>
      </c>
      <c r="AI802" s="51">
        <v>0.65513469999999996</v>
      </c>
    </row>
    <row r="803" spans="31:35">
      <c r="AE803" s="48">
        <v>41409</v>
      </c>
      <c r="AF803" s="51">
        <v>0.72537130999999999</v>
      </c>
      <c r="AH803" s="48">
        <v>41416</v>
      </c>
      <c r="AI803" s="51">
        <v>0.66836276999999999</v>
      </c>
    </row>
    <row r="804" spans="31:35">
      <c r="AE804" s="48">
        <v>41408</v>
      </c>
      <c r="AF804" s="51">
        <v>0.66956373000000002</v>
      </c>
      <c r="AH804" s="48">
        <v>41415</v>
      </c>
      <c r="AI804" s="51">
        <v>0.70229423000000002</v>
      </c>
    </row>
    <row r="805" spans="31:35">
      <c r="AE805" s="48">
        <v>41407</v>
      </c>
      <c r="AF805" s="51">
        <v>0.69142342000000001</v>
      </c>
      <c r="AH805" s="48">
        <v>41414</v>
      </c>
      <c r="AI805" s="51">
        <v>0.68413190999999995</v>
      </c>
    </row>
    <row r="806" spans="31:35">
      <c r="AE806" s="48">
        <v>41404</v>
      </c>
      <c r="AF806" s="51">
        <v>0.73210434000000002</v>
      </c>
      <c r="AH806" s="48">
        <v>41411</v>
      </c>
      <c r="AI806" s="51">
        <v>0.68621416000000002</v>
      </c>
    </row>
    <row r="807" spans="31:35">
      <c r="AE807" s="48">
        <v>41403</v>
      </c>
      <c r="AF807" s="51">
        <v>0.79380801000000001</v>
      </c>
      <c r="AH807" s="48">
        <v>41410</v>
      </c>
      <c r="AI807" s="51">
        <v>0.72739642000000004</v>
      </c>
    </row>
    <row r="808" spans="31:35">
      <c r="AE808" s="48">
        <v>41402</v>
      </c>
      <c r="AF808" s="51">
        <v>0.80403139000000001</v>
      </c>
      <c r="AH808" s="48">
        <v>41409</v>
      </c>
      <c r="AI808" s="51">
        <v>0.7024802</v>
      </c>
    </row>
    <row r="809" spans="31:35">
      <c r="AE809" s="48">
        <v>41401</v>
      </c>
      <c r="AF809" s="51">
        <v>0.79431673999999997</v>
      </c>
      <c r="AH809" s="48">
        <v>41408</v>
      </c>
      <c r="AI809" s="51">
        <v>0.68233118000000004</v>
      </c>
    </row>
    <row r="810" spans="31:35">
      <c r="AE810" s="48">
        <v>41400</v>
      </c>
      <c r="AF810" s="51">
        <v>0.80165001999999996</v>
      </c>
      <c r="AH810" s="48">
        <v>41407</v>
      </c>
      <c r="AI810" s="51">
        <v>0.68594177000000001</v>
      </c>
    </row>
    <row r="811" spans="31:35">
      <c r="AE811" s="48">
        <v>41397</v>
      </c>
      <c r="AF811" s="51">
        <v>0.80593608999999999</v>
      </c>
      <c r="AH811" s="48">
        <v>41404</v>
      </c>
      <c r="AI811" s="51">
        <v>0.70373302999999998</v>
      </c>
    </row>
    <row r="812" spans="31:35">
      <c r="AE812" s="48">
        <v>41396</v>
      </c>
      <c r="AF812" s="51">
        <v>0.82159804000000003</v>
      </c>
      <c r="AH812" s="48">
        <v>41403</v>
      </c>
      <c r="AI812" s="51">
        <v>0.72738128000000002</v>
      </c>
    </row>
    <row r="813" spans="31:35">
      <c r="AE813" s="48">
        <v>41395</v>
      </c>
      <c r="AF813" s="51">
        <v>0.82752897000000003</v>
      </c>
      <c r="AH813" s="48">
        <v>41402</v>
      </c>
      <c r="AI813" s="51">
        <v>0.75056537000000001</v>
      </c>
    </row>
    <row r="814" spans="31:35">
      <c r="AE814" s="48">
        <v>41394</v>
      </c>
      <c r="AF814" s="51">
        <v>0.83356730999999995</v>
      </c>
      <c r="AH814" s="48">
        <v>41401</v>
      </c>
      <c r="AI814" s="51">
        <v>0.72739620000000005</v>
      </c>
    </row>
    <row r="815" spans="31:35">
      <c r="AE815" s="48">
        <v>41393</v>
      </c>
      <c r="AF815" s="51">
        <v>0.83156322999999999</v>
      </c>
      <c r="AH815" s="48">
        <v>41400</v>
      </c>
      <c r="AI815" s="51">
        <v>0.72952901000000003</v>
      </c>
    </row>
    <row r="816" spans="31:35">
      <c r="AE816" s="48">
        <v>41390</v>
      </c>
      <c r="AF816" s="51">
        <v>0.83113250999999999</v>
      </c>
      <c r="AH816" s="48">
        <v>41397</v>
      </c>
      <c r="AI816" s="51">
        <v>0.75174669999999999</v>
      </c>
    </row>
    <row r="817" spans="31:35">
      <c r="AE817" s="48">
        <v>41389</v>
      </c>
      <c r="AF817" s="51">
        <v>0.82574130999999995</v>
      </c>
      <c r="AH817" s="48">
        <v>41396</v>
      </c>
      <c r="AI817" s="51">
        <v>0.79840844</v>
      </c>
    </row>
    <row r="818" spans="31:35">
      <c r="AE818" s="48">
        <v>41388</v>
      </c>
      <c r="AF818" s="51">
        <v>0.82574130999999995</v>
      </c>
      <c r="AH818" s="48">
        <v>41395</v>
      </c>
      <c r="AI818" s="51">
        <v>0.79983053000000004</v>
      </c>
    </row>
    <row r="819" spans="31:35">
      <c r="AE819" s="48">
        <v>41387</v>
      </c>
      <c r="AF819" s="51">
        <v>0.82856768000000003</v>
      </c>
      <c r="AH819" s="48">
        <v>41394</v>
      </c>
      <c r="AI819" s="51">
        <v>0.78570359000000001</v>
      </c>
    </row>
    <row r="820" spans="31:35">
      <c r="AE820" s="48">
        <v>41386</v>
      </c>
      <c r="AF820" s="51">
        <v>0.82804226999999997</v>
      </c>
      <c r="AH820" s="48">
        <v>41393</v>
      </c>
      <c r="AI820" s="51">
        <v>0.78430559</v>
      </c>
    </row>
    <row r="821" spans="31:35">
      <c r="AE821" s="48">
        <v>41383</v>
      </c>
      <c r="AF821" s="51">
        <v>0.82800551</v>
      </c>
      <c r="AH821" s="48">
        <v>41390</v>
      </c>
      <c r="AI821" s="51">
        <v>0.78425414000000004</v>
      </c>
    </row>
    <row r="822" spans="31:35">
      <c r="AE822" s="48">
        <v>41382</v>
      </c>
      <c r="AF822" s="51">
        <v>0.82956596000000005</v>
      </c>
      <c r="AH822" s="48">
        <v>41389</v>
      </c>
      <c r="AI822" s="51">
        <v>0.76283091999999997</v>
      </c>
    </row>
    <row r="823" spans="31:35">
      <c r="AE823" s="48">
        <v>41381</v>
      </c>
      <c r="AF823" s="51">
        <v>0.82774426000000001</v>
      </c>
      <c r="AH823" s="48">
        <v>41388</v>
      </c>
      <c r="AI823" s="51">
        <v>0.76283091999999997</v>
      </c>
    </row>
    <row r="824" spans="31:35">
      <c r="AE824" s="48">
        <v>41380</v>
      </c>
      <c r="AF824" s="51">
        <v>0.82470003999999997</v>
      </c>
      <c r="AH824" s="48">
        <v>41387</v>
      </c>
      <c r="AI824" s="51">
        <v>0.78260624999999995</v>
      </c>
    </row>
    <row r="825" spans="31:35">
      <c r="AE825" s="48">
        <v>41379</v>
      </c>
      <c r="AF825" s="51">
        <v>0.82715181999999998</v>
      </c>
      <c r="AH825" s="48">
        <v>41386</v>
      </c>
      <c r="AI825" s="51">
        <v>0.76399618000000002</v>
      </c>
    </row>
    <row r="826" spans="31:35">
      <c r="AE826" s="48">
        <v>41376</v>
      </c>
      <c r="AF826" s="51">
        <v>0.82477339000000005</v>
      </c>
      <c r="AH826" s="48">
        <v>41383</v>
      </c>
      <c r="AI826" s="51">
        <v>0.76394317</v>
      </c>
    </row>
    <row r="827" spans="31:35">
      <c r="AE827" s="48">
        <v>41375</v>
      </c>
      <c r="AF827" s="51">
        <v>0.80849727999999998</v>
      </c>
      <c r="AH827" s="48">
        <v>41382</v>
      </c>
      <c r="AI827" s="51">
        <v>0.78264255999999999</v>
      </c>
    </row>
    <row r="828" spans="31:35">
      <c r="AE828" s="48">
        <v>41374</v>
      </c>
      <c r="AF828" s="51">
        <v>0.79452882999999996</v>
      </c>
      <c r="AH828" s="48">
        <v>41381</v>
      </c>
      <c r="AI828" s="51">
        <v>0.76393827999999997</v>
      </c>
    </row>
    <row r="829" spans="31:35">
      <c r="AE829" s="48">
        <v>41373</v>
      </c>
      <c r="AF829" s="51">
        <v>0.81850336999999995</v>
      </c>
      <c r="AH829" s="48">
        <v>41380</v>
      </c>
      <c r="AI829" s="51">
        <v>0.76251177000000003</v>
      </c>
    </row>
    <row r="830" spans="31:35">
      <c r="AE830" s="48">
        <v>41372</v>
      </c>
      <c r="AF830" s="51">
        <v>0.82265425999999997</v>
      </c>
      <c r="AH830" s="48">
        <v>41379</v>
      </c>
      <c r="AI830" s="51">
        <v>0.76329952000000001</v>
      </c>
    </row>
    <row r="831" spans="31:35">
      <c r="AE831" s="48">
        <v>41369</v>
      </c>
      <c r="AF831" s="51">
        <v>0.82856768000000003</v>
      </c>
      <c r="AH831" s="48">
        <v>41376</v>
      </c>
      <c r="AI831" s="51">
        <v>0.76251354999999998</v>
      </c>
    </row>
    <row r="832" spans="31:35">
      <c r="AE832" s="48">
        <v>41368</v>
      </c>
      <c r="AF832" s="51">
        <v>0.81980116999999997</v>
      </c>
      <c r="AH832" s="48">
        <v>41375</v>
      </c>
      <c r="AI832" s="51">
        <v>0.73589455000000004</v>
      </c>
    </row>
    <row r="833" spans="31:35">
      <c r="AE833" s="48">
        <v>41367</v>
      </c>
      <c r="AF833" s="51">
        <v>0.77887764000000004</v>
      </c>
      <c r="AH833" s="48">
        <v>41374</v>
      </c>
      <c r="AI833" s="51">
        <v>0.71814350000000005</v>
      </c>
    </row>
    <row r="834" spans="31:35">
      <c r="AE834" s="48">
        <v>41366</v>
      </c>
      <c r="AF834" s="51">
        <v>0.74944891000000002</v>
      </c>
      <c r="AH834" s="48">
        <v>41373</v>
      </c>
      <c r="AI834" s="51">
        <v>0.73961905999999999</v>
      </c>
    </row>
    <row r="835" spans="31:35">
      <c r="AE835" s="48">
        <v>41365</v>
      </c>
      <c r="AF835" s="51">
        <v>0.76571301000000003</v>
      </c>
      <c r="AH835" s="48">
        <v>41372</v>
      </c>
      <c r="AI835" s="51">
        <v>0.76063603999999996</v>
      </c>
    </row>
    <row r="836" spans="31:35">
      <c r="AE836" s="48">
        <v>41361</v>
      </c>
      <c r="AF836" s="51">
        <v>0.76515105000000005</v>
      </c>
      <c r="AH836" s="48">
        <v>41369</v>
      </c>
      <c r="AI836" s="51">
        <v>0.78260624999999995</v>
      </c>
    </row>
    <row r="837" spans="31:35">
      <c r="AE837" s="48">
        <v>41360</v>
      </c>
      <c r="AF837" s="51">
        <v>0.77084069</v>
      </c>
      <c r="AH837" s="48">
        <v>41368</v>
      </c>
      <c r="AI837" s="51">
        <v>0.73974222000000001</v>
      </c>
    </row>
    <row r="838" spans="31:35">
      <c r="AE838" s="48">
        <v>41359</v>
      </c>
      <c r="AF838" s="51">
        <v>0.77702022999999998</v>
      </c>
      <c r="AH838" s="48">
        <v>41367</v>
      </c>
      <c r="AI838" s="51">
        <v>0.71681209000000001</v>
      </c>
    </row>
    <row r="839" spans="31:35">
      <c r="AE839" s="48">
        <v>41358</v>
      </c>
      <c r="AF839" s="51">
        <v>0.77926318999999999</v>
      </c>
      <c r="AH839" s="48">
        <v>41366</v>
      </c>
      <c r="AI839" s="51">
        <v>0.71547400999999999</v>
      </c>
    </row>
    <row r="840" spans="31:35">
      <c r="AE840" s="48">
        <v>41355</v>
      </c>
      <c r="AF840" s="51">
        <v>0.77786171000000004</v>
      </c>
      <c r="AH840" s="48">
        <v>41365</v>
      </c>
      <c r="AI840" s="51">
        <v>0.71643369999999995</v>
      </c>
    </row>
    <row r="841" spans="31:35">
      <c r="AE841" s="48">
        <v>41354</v>
      </c>
      <c r="AF841" s="51">
        <v>0.73465606999999999</v>
      </c>
      <c r="AH841" s="48">
        <v>41361</v>
      </c>
      <c r="AI841" s="51">
        <v>0.72944016</v>
      </c>
    </row>
    <row r="842" spans="31:35">
      <c r="AE842" s="48">
        <v>41353</v>
      </c>
      <c r="AF842" s="51">
        <v>0.77084069</v>
      </c>
      <c r="AH842" s="48">
        <v>41360</v>
      </c>
      <c r="AI842" s="51">
        <v>0.73061710000000002</v>
      </c>
    </row>
    <row r="843" spans="31:35">
      <c r="AE843" s="48">
        <v>41352</v>
      </c>
      <c r="AF843" s="51">
        <v>0.78695435999999996</v>
      </c>
      <c r="AH843" s="48">
        <v>41359</v>
      </c>
      <c r="AI843" s="51">
        <v>0.73120534000000004</v>
      </c>
    </row>
    <row r="844" spans="31:35">
      <c r="AE844" s="48">
        <v>41351</v>
      </c>
      <c r="AF844" s="51">
        <v>0.76202199999999998</v>
      </c>
      <c r="AH844" s="48">
        <v>41358</v>
      </c>
      <c r="AI844" s="51">
        <v>0.73149576999999999</v>
      </c>
    </row>
    <row r="845" spans="31:35">
      <c r="AE845" s="48">
        <v>41348</v>
      </c>
      <c r="AF845" s="51">
        <v>0.72532763</v>
      </c>
      <c r="AH845" s="48">
        <v>41355</v>
      </c>
      <c r="AI845" s="51">
        <v>0.73120668</v>
      </c>
    </row>
    <row r="846" spans="31:35">
      <c r="AE846" s="48">
        <v>41347</v>
      </c>
      <c r="AF846" s="51">
        <v>0.70558498000000003</v>
      </c>
      <c r="AH846" s="48">
        <v>41354</v>
      </c>
      <c r="AI846" s="51">
        <v>0.71353610000000001</v>
      </c>
    </row>
    <row r="847" spans="31:35">
      <c r="AE847" s="48">
        <v>41346</v>
      </c>
      <c r="AF847" s="51">
        <v>0.70688881999999997</v>
      </c>
      <c r="AH847" s="48">
        <v>41353</v>
      </c>
      <c r="AI847" s="51">
        <v>0.73061710000000002</v>
      </c>
    </row>
    <row r="848" spans="31:35">
      <c r="AE848" s="48">
        <v>41345</v>
      </c>
      <c r="AF848" s="51">
        <v>0.69888139000000005</v>
      </c>
      <c r="AH848" s="48">
        <v>41352</v>
      </c>
      <c r="AI848" s="51">
        <v>0.73195312000000001</v>
      </c>
    </row>
    <row r="849" spans="31:35">
      <c r="AE849" s="48">
        <v>41344</v>
      </c>
      <c r="AF849" s="51">
        <v>0.69041534999999998</v>
      </c>
      <c r="AH849" s="48">
        <v>41351</v>
      </c>
      <c r="AI849" s="51">
        <v>0.72941107000000005</v>
      </c>
    </row>
    <row r="850" spans="31:35">
      <c r="AE850" s="48">
        <v>41341</v>
      </c>
      <c r="AF850" s="51">
        <v>0.68844536999999995</v>
      </c>
      <c r="AH850" s="48">
        <v>41348</v>
      </c>
      <c r="AI850" s="51">
        <v>0.71286461999999995</v>
      </c>
    </row>
    <row r="851" spans="31:35">
      <c r="AE851" s="48">
        <v>41340</v>
      </c>
      <c r="AF851" s="51">
        <v>0.71013143999999995</v>
      </c>
      <c r="AH851" s="48">
        <v>41347</v>
      </c>
      <c r="AI851" s="51">
        <v>0.69930749000000003</v>
      </c>
    </row>
    <row r="852" spans="31:35">
      <c r="AE852" s="48">
        <v>41339</v>
      </c>
      <c r="AF852" s="51">
        <v>0.75669235000000001</v>
      </c>
      <c r="AH852" s="48">
        <v>41346</v>
      </c>
      <c r="AI852" s="51">
        <v>0.69936902000000001</v>
      </c>
    </row>
    <row r="853" spans="31:35">
      <c r="AE853" s="48">
        <v>41338</v>
      </c>
      <c r="AF853" s="51">
        <v>0.81743252</v>
      </c>
      <c r="AH853" s="48">
        <v>41345</v>
      </c>
      <c r="AI853" s="51">
        <v>0.69864965999999995</v>
      </c>
    </row>
    <row r="854" spans="31:35">
      <c r="AE854" s="48">
        <v>41337</v>
      </c>
      <c r="AF854" s="51">
        <v>0.82448531000000003</v>
      </c>
      <c r="AH854" s="48">
        <v>41344</v>
      </c>
      <c r="AI854" s="51">
        <v>0.68443940000000003</v>
      </c>
    </row>
    <row r="855" spans="31:35">
      <c r="AE855" s="48">
        <v>41334</v>
      </c>
      <c r="AF855" s="51">
        <v>0.83067533000000005</v>
      </c>
      <c r="AH855" s="48">
        <v>41341</v>
      </c>
      <c r="AI855" s="51">
        <v>0.68345601</v>
      </c>
    </row>
    <row r="856" spans="31:35">
      <c r="AE856" s="48">
        <v>41333</v>
      </c>
      <c r="AF856" s="51">
        <v>0.84309752999999998</v>
      </c>
      <c r="AH856" s="48">
        <v>41340</v>
      </c>
      <c r="AI856" s="51">
        <v>0.71001424000000002</v>
      </c>
    </row>
    <row r="857" spans="31:35">
      <c r="AE857" s="48">
        <v>41332</v>
      </c>
      <c r="AF857" s="51">
        <v>0.82756768000000003</v>
      </c>
      <c r="AH857" s="48">
        <v>41339</v>
      </c>
      <c r="AI857" s="51">
        <v>0.72939204999999996</v>
      </c>
    </row>
    <row r="858" spans="31:35">
      <c r="AE858" s="48">
        <v>41331</v>
      </c>
      <c r="AF858" s="51">
        <v>0.84215019999999996</v>
      </c>
      <c r="AH858" s="48">
        <v>41338</v>
      </c>
      <c r="AI858" s="51">
        <v>0.74699417000000001</v>
      </c>
    </row>
    <row r="859" spans="31:35">
      <c r="AE859" s="48">
        <v>41330</v>
      </c>
      <c r="AF859" s="51">
        <v>0.83204617000000003</v>
      </c>
      <c r="AH859" s="48">
        <v>41337</v>
      </c>
      <c r="AI859" s="51">
        <v>0.74881529000000002</v>
      </c>
    </row>
    <row r="860" spans="31:35">
      <c r="AE860" s="48">
        <v>41327</v>
      </c>
      <c r="AF860" s="51">
        <v>0.76181047000000002</v>
      </c>
      <c r="AH860" s="48">
        <v>41334</v>
      </c>
      <c r="AI860" s="51">
        <v>0.75117385999999997</v>
      </c>
    </row>
    <row r="861" spans="31:35">
      <c r="AE861" s="48">
        <v>41326</v>
      </c>
      <c r="AF861" s="51">
        <v>0.75956073000000002</v>
      </c>
      <c r="AH861" s="48">
        <v>41333</v>
      </c>
      <c r="AI861" s="51">
        <v>0.77122979999999997</v>
      </c>
    </row>
    <row r="862" spans="31:35">
      <c r="AE862" s="48">
        <v>41325</v>
      </c>
      <c r="AF862" s="51">
        <v>0.74910363000000002</v>
      </c>
      <c r="AH862" s="48">
        <v>41332</v>
      </c>
      <c r="AI862" s="51">
        <v>0.75600491999999997</v>
      </c>
    </row>
    <row r="863" spans="31:35">
      <c r="AE863" s="48">
        <v>41324</v>
      </c>
      <c r="AF863" s="51">
        <v>0.74506516</v>
      </c>
      <c r="AH863" s="48">
        <v>41331</v>
      </c>
      <c r="AI863" s="51">
        <v>0.77121832999999995</v>
      </c>
    </row>
    <row r="864" spans="31:35">
      <c r="AE864" s="48">
        <v>41320</v>
      </c>
      <c r="AF864" s="51">
        <v>0.75767121000000004</v>
      </c>
      <c r="AH864" s="48">
        <v>41330</v>
      </c>
      <c r="AI864" s="51">
        <v>0.75608094000000003</v>
      </c>
    </row>
    <row r="865" spans="31:35">
      <c r="AE865" s="48">
        <v>41319</v>
      </c>
      <c r="AF865" s="51">
        <v>0.77547370000000004</v>
      </c>
      <c r="AH865" s="48">
        <v>41327</v>
      </c>
      <c r="AI865" s="51">
        <v>0.73694188000000005</v>
      </c>
    </row>
    <row r="866" spans="31:35">
      <c r="AE866" s="48">
        <v>41318</v>
      </c>
      <c r="AF866" s="51">
        <v>0.73648318000000002</v>
      </c>
      <c r="AH866" s="48">
        <v>41326</v>
      </c>
      <c r="AI866" s="51">
        <v>0.73694165</v>
      </c>
    </row>
    <row r="867" spans="31:35">
      <c r="AE867" s="48">
        <v>41317</v>
      </c>
      <c r="AF867" s="51">
        <v>0.75767121000000004</v>
      </c>
      <c r="AH867" s="48">
        <v>41325</v>
      </c>
      <c r="AI867" s="51">
        <v>0.73575073000000002</v>
      </c>
    </row>
    <row r="868" spans="31:35">
      <c r="AE868" s="48">
        <v>41316</v>
      </c>
      <c r="AF868" s="51">
        <v>0.80855876999999998</v>
      </c>
      <c r="AH868" s="48">
        <v>41324</v>
      </c>
      <c r="AI868" s="51">
        <v>0.73538749999999997</v>
      </c>
    </row>
    <row r="869" spans="31:35">
      <c r="AE869" s="48">
        <v>41313</v>
      </c>
      <c r="AF869" s="51">
        <v>0.79899058000000001</v>
      </c>
      <c r="AH869" s="48">
        <v>41320</v>
      </c>
      <c r="AI869" s="51">
        <v>0.73621046000000001</v>
      </c>
    </row>
    <row r="870" spans="31:35">
      <c r="AE870" s="48">
        <v>41312</v>
      </c>
      <c r="AF870" s="51">
        <v>0.82222097000000005</v>
      </c>
      <c r="AH870" s="48">
        <v>41319</v>
      </c>
      <c r="AI870" s="51">
        <v>0.75202236</v>
      </c>
    </row>
    <row r="871" spans="31:35">
      <c r="AE871" s="48">
        <v>41311</v>
      </c>
      <c r="AF871" s="51">
        <v>0.81304865000000004</v>
      </c>
      <c r="AH871" s="48">
        <v>41318</v>
      </c>
      <c r="AI871" s="51">
        <v>0.73400697000000004</v>
      </c>
    </row>
    <row r="872" spans="31:35">
      <c r="AE872" s="48">
        <v>41310</v>
      </c>
      <c r="AF872" s="51">
        <v>0.73569048000000004</v>
      </c>
      <c r="AH872" s="48">
        <v>41317</v>
      </c>
      <c r="AI872" s="51">
        <v>0.73621046000000001</v>
      </c>
    </row>
    <row r="873" spans="31:35">
      <c r="AE873" s="48">
        <v>41309</v>
      </c>
      <c r="AF873" s="51">
        <v>0.77338823999999995</v>
      </c>
      <c r="AH873" s="48">
        <v>41316</v>
      </c>
      <c r="AI873" s="51">
        <v>0.75464644000000003</v>
      </c>
    </row>
    <row r="874" spans="31:35">
      <c r="AE874" s="48">
        <v>41306</v>
      </c>
      <c r="AF874" s="51">
        <v>0.74042772999999995</v>
      </c>
      <c r="AH874" s="48">
        <v>41313</v>
      </c>
      <c r="AI874" s="51">
        <v>0.75418580999999996</v>
      </c>
    </row>
    <row r="875" spans="31:35">
      <c r="AE875" s="48">
        <v>41305</v>
      </c>
      <c r="AF875" s="51">
        <v>0.77474962999999997</v>
      </c>
      <c r="AH875" s="48">
        <v>41312</v>
      </c>
      <c r="AI875" s="51">
        <v>0.75482727000000005</v>
      </c>
    </row>
    <row r="876" spans="31:35">
      <c r="AE876" s="48">
        <v>41304</v>
      </c>
      <c r="AF876" s="51">
        <v>0.77275377999999995</v>
      </c>
      <c r="AH876" s="48">
        <v>41311</v>
      </c>
      <c r="AI876" s="51">
        <v>0.75473033</v>
      </c>
    </row>
    <row r="877" spans="31:35">
      <c r="AE877" s="48">
        <v>41303</v>
      </c>
      <c r="AF877" s="51">
        <v>0.75705208999999996</v>
      </c>
      <c r="AH877" s="48">
        <v>41310</v>
      </c>
      <c r="AI877" s="51">
        <v>0.73284349000000004</v>
      </c>
    </row>
    <row r="878" spans="31:35">
      <c r="AE878" s="48">
        <v>41302</v>
      </c>
      <c r="AF878" s="51">
        <v>0.76767467</v>
      </c>
      <c r="AH878" s="48">
        <v>41309</v>
      </c>
      <c r="AI878" s="51">
        <v>0.73714745000000004</v>
      </c>
    </row>
    <row r="879" spans="31:35">
      <c r="AE879" s="48">
        <v>41299</v>
      </c>
      <c r="AF879" s="51">
        <v>0.80504880000000001</v>
      </c>
      <c r="AH879" s="48">
        <v>41306</v>
      </c>
      <c r="AI879" s="51">
        <v>0.73427732000000001</v>
      </c>
    </row>
    <row r="880" spans="31:35">
      <c r="AE880" s="48">
        <v>41298</v>
      </c>
      <c r="AF880" s="51">
        <v>0.88296931999999995</v>
      </c>
      <c r="AH880" s="48">
        <v>41305</v>
      </c>
      <c r="AI880" s="51">
        <v>0.75499759</v>
      </c>
    </row>
    <row r="881" spans="31:35">
      <c r="AE881" s="48">
        <v>41297</v>
      </c>
      <c r="AF881" s="51">
        <v>0.88439003000000005</v>
      </c>
      <c r="AH881" s="48">
        <v>41304</v>
      </c>
      <c r="AI881" s="51">
        <v>0.75491936999999998</v>
      </c>
    </row>
    <row r="882" spans="31:35">
      <c r="AE882" s="48">
        <v>41296</v>
      </c>
      <c r="AF882" s="51">
        <v>0.88215476000000004</v>
      </c>
      <c r="AH882" s="48">
        <v>41303</v>
      </c>
      <c r="AI882" s="51">
        <v>0.75192210000000004</v>
      </c>
    </row>
    <row r="883" spans="31:35">
      <c r="AE883" s="48">
        <v>41292</v>
      </c>
      <c r="AF883" s="51">
        <v>0.88249445999999998</v>
      </c>
      <c r="AH883" s="48">
        <v>41302</v>
      </c>
      <c r="AI883" s="51">
        <v>0.75447496999999997</v>
      </c>
    </row>
    <row r="884" spans="31:35">
      <c r="AE884" s="48">
        <v>41291</v>
      </c>
      <c r="AF884" s="51">
        <v>0.87804391999999998</v>
      </c>
      <c r="AH884" s="48">
        <v>41299</v>
      </c>
      <c r="AI884" s="51">
        <v>0.77123507000000002</v>
      </c>
    </row>
    <row r="885" spans="31:35">
      <c r="AE885" s="48">
        <v>41290</v>
      </c>
      <c r="AF885" s="51">
        <v>0.88589474999999995</v>
      </c>
      <c r="AH885" s="48">
        <v>41298</v>
      </c>
      <c r="AI885" s="51">
        <v>0.81776464000000004</v>
      </c>
    </row>
    <row r="886" spans="31:35">
      <c r="AE886" s="48">
        <v>41289</v>
      </c>
      <c r="AF886" s="51">
        <v>0.88589474999999995</v>
      </c>
      <c r="AH886" s="48">
        <v>41297</v>
      </c>
      <c r="AI886" s="51">
        <v>0.81873593</v>
      </c>
    </row>
    <row r="887" spans="31:35">
      <c r="AE887" s="48">
        <v>41288</v>
      </c>
      <c r="AF887" s="51">
        <v>0.88696178000000003</v>
      </c>
      <c r="AH887" s="48">
        <v>41296</v>
      </c>
      <c r="AI887" s="51">
        <v>0.81624936999999997</v>
      </c>
    </row>
    <row r="888" spans="31:35">
      <c r="AE888" s="48">
        <v>41285</v>
      </c>
      <c r="AF888" s="51">
        <v>0.88689883999999997</v>
      </c>
      <c r="AH888" s="48">
        <v>41292</v>
      </c>
      <c r="AI888" s="51">
        <v>0.81738295000000005</v>
      </c>
    </row>
    <row r="889" spans="31:35">
      <c r="AE889" s="48">
        <v>41284</v>
      </c>
      <c r="AF889" s="51">
        <v>0.88539641000000002</v>
      </c>
      <c r="AH889" s="48">
        <v>41291</v>
      </c>
      <c r="AI889" s="51">
        <v>0.79533953999999996</v>
      </c>
    </row>
    <row r="890" spans="31:35">
      <c r="AE890" s="48">
        <v>41283</v>
      </c>
      <c r="AF890" s="51">
        <v>0.88797930000000003</v>
      </c>
      <c r="AH890" s="48">
        <v>41290</v>
      </c>
      <c r="AI890" s="51">
        <v>0.83632165999999997</v>
      </c>
    </row>
    <row r="891" spans="31:35">
      <c r="AE891" s="48">
        <v>41282</v>
      </c>
      <c r="AF891" s="51">
        <v>0.87519625000000001</v>
      </c>
      <c r="AH891" s="48">
        <v>41289</v>
      </c>
      <c r="AI891" s="51">
        <v>0.83632165999999997</v>
      </c>
    </row>
    <row r="892" spans="31:35">
      <c r="AE892" s="48">
        <v>41281</v>
      </c>
      <c r="AF892" s="51">
        <v>0.86736603000000001</v>
      </c>
      <c r="AH892" s="48">
        <v>41288</v>
      </c>
      <c r="AI892" s="51">
        <v>0.83767058999999999</v>
      </c>
    </row>
    <row r="893" spans="31:35">
      <c r="AE893" s="48">
        <v>41278</v>
      </c>
      <c r="AF893" s="51">
        <v>0.83571636000000005</v>
      </c>
      <c r="AH893" s="48">
        <v>41285</v>
      </c>
      <c r="AI893" s="51">
        <v>0.83689486000000002</v>
      </c>
    </row>
    <row r="894" spans="31:35">
      <c r="AE894" s="48">
        <v>41277</v>
      </c>
      <c r="AF894" s="51">
        <v>0.85458392999999999</v>
      </c>
      <c r="AH894" s="48">
        <v>41284</v>
      </c>
      <c r="AI894" s="51">
        <v>0.81989962999999999</v>
      </c>
    </row>
    <row r="895" spans="31:35">
      <c r="AE895" s="48">
        <v>41276</v>
      </c>
      <c r="AF895" s="51">
        <v>0.88507237000000005</v>
      </c>
      <c r="AH895" s="48">
        <v>41283</v>
      </c>
      <c r="AI895" s="51">
        <v>0.83886711000000003</v>
      </c>
    </row>
    <row r="896" spans="31:35">
      <c r="AE896" s="48">
        <v>41274</v>
      </c>
      <c r="AF896" s="51">
        <v>0.91103829999999997</v>
      </c>
      <c r="AH896" s="48">
        <v>41282</v>
      </c>
      <c r="AI896" s="51">
        <v>0.79314430000000002</v>
      </c>
    </row>
    <row r="897" spans="31:35">
      <c r="AE897" s="48">
        <v>41271</v>
      </c>
      <c r="AF897" s="51">
        <v>0.91245498999999997</v>
      </c>
      <c r="AH897" s="48">
        <v>41281</v>
      </c>
      <c r="AI897" s="51">
        <v>0.79025290000000004</v>
      </c>
    </row>
    <row r="898" spans="31:35">
      <c r="AE898" s="48">
        <v>41270</v>
      </c>
      <c r="AF898" s="51">
        <v>0.91356859000000001</v>
      </c>
      <c r="AH898" s="48">
        <v>41278</v>
      </c>
      <c r="AI898" s="51">
        <v>0.77391135</v>
      </c>
    </row>
    <row r="899" spans="31:35">
      <c r="AE899" s="48">
        <v>41269</v>
      </c>
      <c r="AF899" s="51">
        <v>0.91054997000000004</v>
      </c>
      <c r="AH899" s="48">
        <v>41277</v>
      </c>
      <c r="AI899" s="51">
        <v>0.77527219000000003</v>
      </c>
    </row>
    <row r="900" spans="31:35">
      <c r="AE900" s="48">
        <v>41267</v>
      </c>
      <c r="AF900" s="51">
        <v>0.91023827000000002</v>
      </c>
      <c r="AH900" s="48">
        <v>41276</v>
      </c>
      <c r="AI900" s="51">
        <v>0.81988704999999995</v>
      </c>
    </row>
    <row r="901" spans="31:35">
      <c r="AE901" s="48">
        <v>41264</v>
      </c>
      <c r="AF901" s="51">
        <v>0.91263181000000004</v>
      </c>
      <c r="AH901" s="48">
        <v>41274</v>
      </c>
      <c r="AI901" s="51">
        <v>0.85940830000000001</v>
      </c>
    </row>
    <row r="902" spans="31:35">
      <c r="AE902" s="48">
        <v>41263</v>
      </c>
      <c r="AF902" s="51">
        <v>0.90996273999999999</v>
      </c>
      <c r="AH902" s="48">
        <v>41271</v>
      </c>
      <c r="AI902" s="51">
        <v>0.87615363999999996</v>
      </c>
    </row>
    <row r="903" spans="31:35">
      <c r="AE903" s="48">
        <v>41262</v>
      </c>
      <c r="AF903" s="51">
        <v>0.90929634999999998</v>
      </c>
      <c r="AH903" s="48">
        <v>41270</v>
      </c>
      <c r="AI903" s="51">
        <v>0.87731868999999996</v>
      </c>
    </row>
    <row r="904" spans="31:35">
      <c r="AE904" s="48">
        <v>41261</v>
      </c>
      <c r="AF904" s="51">
        <v>0.90632723999999998</v>
      </c>
      <c r="AH904" s="48">
        <v>41269</v>
      </c>
      <c r="AI904" s="51">
        <v>0.85844514000000005</v>
      </c>
    </row>
    <row r="905" spans="31:35">
      <c r="AE905" s="48">
        <v>41260</v>
      </c>
      <c r="AF905" s="51">
        <v>0.90980081999999995</v>
      </c>
      <c r="AH905" s="48">
        <v>41267</v>
      </c>
      <c r="AI905" s="51">
        <v>0.85790555999999996</v>
      </c>
    </row>
    <row r="906" spans="31:35">
      <c r="AE906" s="48">
        <v>41257</v>
      </c>
      <c r="AF906" s="51">
        <v>0.91004114000000003</v>
      </c>
      <c r="AH906" s="48">
        <v>41264</v>
      </c>
      <c r="AI906" s="51">
        <v>0.87616083</v>
      </c>
    </row>
    <row r="907" spans="31:35">
      <c r="AE907" s="48">
        <v>41256</v>
      </c>
      <c r="AF907" s="51">
        <v>0.90995208000000005</v>
      </c>
      <c r="AH907" s="48">
        <v>41263</v>
      </c>
      <c r="AI907" s="51">
        <v>0.85746310000000003</v>
      </c>
    </row>
    <row r="908" spans="31:35">
      <c r="AE908" s="48">
        <v>41255</v>
      </c>
      <c r="AF908" s="51">
        <v>0.91013454000000005</v>
      </c>
      <c r="AH908" s="48">
        <v>41262</v>
      </c>
      <c r="AI908" s="51">
        <v>0.85545382000000003</v>
      </c>
    </row>
    <row r="909" spans="31:35">
      <c r="AE909" s="48">
        <v>41254</v>
      </c>
      <c r="AF909" s="51">
        <v>0.90824320000000003</v>
      </c>
      <c r="AH909" s="48">
        <v>41261</v>
      </c>
      <c r="AI909" s="51">
        <v>0.83695012000000002</v>
      </c>
    </row>
    <row r="910" spans="31:35">
      <c r="AE910" s="48">
        <v>41253</v>
      </c>
      <c r="AF910" s="51">
        <v>0.90822765000000005</v>
      </c>
      <c r="AH910" s="48">
        <v>41260</v>
      </c>
      <c r="AI910" s="51">
        <v>0.85705458999999995</v>
      </c>
    </row>
    <row r="911" spans="31:35">
      <c r="AE911" s="48">
        <v>41250</v>
      </c>
      <c r="AF911" s="51">
        <v>0.90648165999999997</v>
      </c>
      <c r="AH911" s="48">
        <v>41257</v>
      </c>
      <c r="AI911" s="51">
        <v>0.85774278999999998</v>
      </c>
    </row>
    <row r="912" spans="31:35">
      <c r="AE912" s="48">
        <v>41249</v>
      </c>
      <c r="AF912" s="51">
        <v>0.90949672000000004</v>
      </c>
      <c r="AH912" s="48">
        <v>41256</v>
      </c>
      <c r="AI912" s="51">
        <v>0.85712069000000002</v>
      </c>
    </row>
    <row r="913" spans="31:35">
      <c r="AE913" s="48">
        <v>41248</v>
      </c>
      <c r="AF913" s="51">
        <v>0.91038313999999998</v>
      </c>
      <c r="AH913" s="48">
        <v>41255</v>
      </c>
      <c r="AI913" s="51">
        <v>0.85780168999999995</v>
      </c>
    </row>
    <row r="914" spans="31:35">
      <c r="AE914" s="48">
        <v>41247</v>
      </c>
      <c r="AF914" s="51">
        <v>0.91340927999999999</v>
      </c>
      <c r="AH914" s="48">
        <v>41254</v>
      </c>
      <c r="AI914" s="51">
        <v>0.83968761000000003</v>
      </c>
    </row>
    <row r="915" spans="31:35">
      <c r="AE915" s="48">
        <v>41246</v>
      </c>
      <c r="AF915" s="51">
        <v>0.91182074000000002</v>
      </c>
      <c r="AH915" s="48">
        <v>41253</v>
      </c>
      <c r="AI915" s="51">
        <v>0.83956934999999999</v>
      </c>
    </row>
    <row r="916" spans="31:35">
      <c r="AE916" s="48">
        <v>41243</v>
      </c>
      <c r="AF916" s="51">
        <v>0.92988565999999995</v>
      </c>
      <c r="AH916" s="48">
        <v>41250</v>
      </c>
      <c r="AI916" s="51">
        <v>0.83749757000000002</v>
      </c>
    </row>
    <row r="917" spans="31:35">
      <c r="AE917" s="48">
        <v>41242</v>
      </c>
      <c r="AF917" s="51">
        <v>0.92988565999999995</v>
      </c>
      <c r="AH917" s="48">
        <v>41249</v>
      </c>
      <c r="AI917" s="51">
        <v>0.85595653999999999</v>
      </c>
    </row>
    <row r="918" spans="31:35">
      <c r="AE918" s="48">
        <v>41241</v>
      </c>
      <c r="AF918" s="51">
        <v>0.93272887999999998</v>
      </c>
      <c r="AH918" s="48">
        <v>41248</v>
      </c>
      <c r="AI918" s="51">
        <v>0.85795591999999998</v>
      </c>
    </row>
    <row r="919" spans="31:35">
      <c r="AE919" s="48">
        <v>41240</v>
      </c>
      <c r="AF919" s="51">
        <v>0.94132097000000003</v>
      </c>
      <c r="AH919" s="48">
        <v>41247</v>
      </c>
      <c r="AI919" s="51">
        <v>0.87700460999999996</v>
      </c>
    </row>
    <row r="920" spans="31:35">
      <c r="AE920" s="48">
        <v>41239</v>
      </c>
      <c r="AF920" s="51">
        <v>0.92791716999999996</v>
      </c>
      <c r="AH920" s="48">
        <v>41246</v>
      </c>
      <c r="AI920" s="51">
        <v>0.87614937000000004</v>
      </c>
    </row>
    <row r="921" spans="31:35">
      <c r="AE921" s="48">
        <v>41236</v>
      </c>
      <c r="AF921" s="51">
        <v>0.92490912999999997</v>
      </c>
      <c r="AH921" s="48">
        <v>41243</v>
      </c>
      <c r="AI921" s="51">
        <v>0.89026059000000002</v>
      </c>
    </row>
    <row r="922" spans="31:35">
      <c r="AE922" s="48">
        <v>41234</v>
      </c>
      <c r="AF922" s="51">
        <v>0.92549680000000001</v>
      </c>
      <c r="AH922" s="48">
        <v>41242</v>
      </c>
      <c r="AI922" s="51">
        <v>0.89026059000000002</v>
      </c>
    </row>
    <row r="923" spans="31:35">
      <c r="AE923" s="48">
        <v>41233</v>
      </c>
      <c r="AF923" s="51">
        <v>0.92526991000000003</v>
      </c>
      <c r="AH923" s="48">
        <v>41241</v>
      </c>
      <c r="AI923" s="51">
        <v>0.89156137000000002</v>
      </c>
    </row>
    <row r="924" spans="31:35">
      <c r="AE924" s="48">
        <v>41232</v>
      </c>
      <c r="AF924" s="51">
        <v>0.92854455999999996</v>
      </c>
      <c r="AH924" s="48">
        <v>41240</v>
      </c>
      <c r="AI924" s="51">
        <v>0.90125754000000002</v>
      </c>
    </row>
    <row r="925" spans="31:35">
      <c r="AE925" s="48">
        <v>41229</v>
      </c>
      <c r="AF925" s="51">
        <v>0.93163985000000005</v>
      </c>
      <c r="AH925" s="48">
        <v>41239</v>
      </c>
      <c r="AI925" s="51">
        <v>0.87267976999999997</v>
      </c>
    </row>
    <row r="926" spans="31:35">
      <c r="AE926" s="48">
        <v>41228</v>
      </c>
      <c r="AF926" s="51">
        <v>0.92732130000000002</v>
      </c>
      <c r="AH926" s="48">
        <v>41236</v>
      </c>
      <c r="AI926" s="51">
        <v>0.85324957000000001</v>
      </c>
    </row>
    <row r="927" spans="31:35">
      <c r="AE927" s="48">
        <v>41227</v>
      </c>
      <c r="AF927" s="51">
        <v>0.92562493000000001</v>
      </c>
      <c r="AH927" s="48">
        <v>41234</v>
      </c>
      <c r="AI927" s="51">
        <v>0.85407281000000002</v>
      </c>
    </row>
    <row r="928" spans="31:35">
      <c r="AE928" s="48">
        <v>41226</v>
      </c>
      <c r="AF928" s="51">
        <v>0.93089803000000004</v>
      </c>
      <c r="AH928" s="48">
        <v>41233</v>
      </c>
      <c r="AI928" s="51">
        <v>0.85326895000000003</v>
      </c>
    </row>
    <row r="929" spans="31:35">
      <c r="AE929" s="48">
        <v>41222</v>
      </c>
      <c r="AF929" s="51">
        <v>0.93539373000000003</v>
      </c>
      <c r="AH929" s="48">
        <v>41232</v>
      </c>
      <c r="AI929" s="51">
        <v>0.87352861999999998</v>
      </c>
    </row>
    <row r="930" spans="31:35">
      <c r="AE930" s="48">
        <v>41221</v>
      </c>
      <c r="AF930" s="51">
        <v>0.93733515999999995</v>
      </c>
      <c r="AH930" s="48">
        <v>41229</v>
      </c>
      <c r="AI930" s="51">
        <v>0.89150189999999996</v>
      </c>
    </row>
    <row r="931" spans="31:35">
      <c r="AE931" s="48">
        <v>41220</v>
      </c>
      <c r="AF931" s="51">
        <v>0.93010998</v>
      </c>
      <c r="AH931" s="48">
        <v>41228</v>
      </c>
      <c r="AI931" s="51">
        <v>0.87189240000000001</v>
      </c>
    </row>
    <row r="932" spans="31:35">
      <c r="AE932" s="48">
        <v>41219</v>
      </c>
      <c r="AF932" s="51">
        <v>0.92380282000000002</v>
      </c>
      <c r="AH932" s="48">
        <v>41227</v>
      </c>
      <c r="AI932" s="51">
        <v>0.85409685999999996</v>
      </c>
    </row>
    <row r="933" spans="31:35">
      <c r="AE933" s="48">
        <v>41218</v>
      </c>
      <c r="AF933" s="51">
        <v>0.92775901999999999</v>
      </c>
      <c r="AH933" s="48">
        <v>41226</v>
      </c>
      <c r="AI933" s="51">
        <v>0.89124130000000001</v>
      </c>
    </row>
    <row r="934" spans="31:35">
      <c r="AE934" s="48">
        <v>41215</v>
      </c>
      <c r="AF934" s="51">
        <v>0.92607404999999998</v>
      </c>
      <c r="AH934" s="48">
        <v>41222</v>
      </c>
      <c r="AI934" s="51">
        <v>0.89188500999999998</v>
      </c>
    </row>
    <row r="935" spans="31:35">
      <c r="AE935" s="48">
        <v>41214</v>
      </c>
      <c r="AF935" s="51">
        <v>0.92433999</v>
      </c>
      <c r="AH935" s="48">
        <v>41221</v>
      </c>
      <c r="AI935" s="51">
        <v>0.89197678000000002</v>
      </c>
    </row>
    <row r="936" spans="31:35">
      <c r="AE936" s="48">
        <v>41213</v>
      </c>
      <c r="AF936" s="51">
        <v>0.95372451000000003</v>
      </c>
      <c r="AH936" s="48">
        <v>41220</v>
      </c>
      <c r="AI936" s="51">
        <v>0.89071542000000004</v>
      </c>
    </row>
    <row r="937" spans="31:35">
      <c r="AE937" s="48">
        <v>41211</v>
      </c>
      <c r="AF937" s="51">
        <v>0.95225641000000005</v>
      </c>
      <c r="AH937" s="48">
        <v>41219</v>
      </c>
      <c r="AI937" s="51">
        <v>0.85151178000000005</v>
      </c>
    </row>
    <row r="938" spans="31:35">
      <c r="AE938" s="48">
        <v>41208</v>
      </c>
      <c r="AF938" s="51">
        <v>0.95078607000000004</v>
      </c>
      <c r="AH938" s="48">
        <v>41218</v>
      </c>
      <c r="AI938" s="51">
        <v>0.87267910999999998</v>
      </c>
    </row>
    <row r="939" spans="31:35">
      <c r="AE939" s="48">
        <v>41207</v>
      </c>
      <c r="AF939" s="51">
        <v>0.94293229999999995</v>
      </c>
      <c r="AH939" s="48">
        <v>41215</v>
      </c>
      <c r="AI939" s="51">
        <v>0.86962026999999997</v>
      </c>
    </row>
    <row r="940" spans="31:35">
      <c r="AE940" s="48">
        <v>41206</v>
      </c>
      <c r="AF940" s="51">
        <v>0.95035082999999998</v>
      </c>
      <c r="AH940" s="48">
        <v>41214</v>
      </c>
      <c r="AI940" s="51">
        <v>0.85273505000000005</v>
      </c>
    </row>
    <row r="941" spans="31:35">
      <c r="AE941" s="48">
        <v>41205</v>
      </c>
      <c r="AF941" s="51">
        <v>0.94267858999999998</v>
      </c>
      <c r="AH941" s="48">
        <v>41213</v>
      </c>
      <c r="AI941" s="51">
        <v>0.89827016000000004</v>
      </c>
    </row>
    <row r="942" spans="31:35">
      <c r="AE942" s="48">
        <v>41204</v>
      </c>
      <c r="AF942" s="51">
        <v>0.93645276</v>
      </c>
      <c r="AH942" s="48">
        <v>41211</v>
      </c>
      <c r="AI942" s="51">
        <v>0.89451453000000003</v>
      </c>
    </row>
    <row r="943" spans="31:35">
      <c r="AE943" s="48">
        <v>41201</v>
      </c>
      <c r="AF943" s="51">
        <v>0.94491190999999997</v>
      </c>
      <c r="AH943" s="48">
        <v>41208</v>
      </c>
      <c r="AI943" s="51">
        <v>0.87864578999999998</v>
      </c>
    </row>
    <row r="944" spans="31:35">
      <c r="AE944" s="48">
        <v>41200</v>
      </c>
      <c r="AF944" s="51">
        <v>0.91462215999999996</v>
      </c>
      <c r="AH944" s="48">
        <v>41207</v>
      </c>
      <c r="AI944" s="51">
        <v>0.85334756</v>
      </c>
    </row>
    <row r="945" spans="31:35">
      <c r="AE945" s="48">
        <v>41199</v>
      </c>
      <c r="AF945" s="51">
        <v>0.93914913</v>
      </c>
      <c r="AH945" s="48">
        <v>41206</v>
      </c>
      <c r="AI945" s="51">
        <v>0.87805053</v>
      </c>
    </row>
    <row r="946" spans="31:35">
      <c r="AE946" s="48">
        <v>41198</v>
      </c>
      <c r="AF946" s="51">
        <v>0.95139426999999999</v>
      </c>
      <c r="AH946" s="48">
        <v>41205</v>
      </c>
      <c r="AI946" s="51">
        <v>0.85289437999999995</v>
      </c>
    </row>
    <row r="947" spans="31:35">
      <c r="AE947" s="48">
        <v>41197</v>
      </c>
      <c r="AF947" s="51">
        <v>0.95308886000000004</v>
      </c>
      <c r="AH947" s="48">
        <v>41204</v>
      </c>
      <c r="AI947" s="51">
        <v>0.85086169</v>
      </c>
    </row>
    <row r="948" spans="31:35">
      <c r="AE948" s="48">
        <v>41194</v>
      </c>
      <c r="AF948" s="51">
        <v>0.95492847000000003</v>
      </c>
      <c r="AH948" s="48">
        <v>41201</v>
      </c>
      <c r="AI948" s="51">
        <v>0.85368918999999999</v>
      </c>
    </row>
    <row r="949" spans="31:35">
      <c r="AE949" s="48">
        <v>41193</v>
      </c>
      <c r="AF949" s="51">
        <v>0.95398616999999997</v>
      </c>
      <c r="AH949" s="48">
        <v>41200</v>
      </c>
      <c r="AI949" s="51">
        <v>0.83597809999999995</v>
      </c>
    </row>
    <row r="950" spans="31:35">
      <c r="AE950" s="48">
        <v>41192</v>
      </c>
      <c r="AF950" s="51">
        <v>0.95291117000000003</v>
      </c>
      <c r="AH950" s="48">
        <v>41199</v>
      </c>
      <c r="AI950" s="51">
        <v>0.85097953000000004</v>
      </c>
    </row>
    <row r="951" spans="31:35">
      <c r="AE951" s="48">
        <v>41191</v>
      </c>
      <c r="AF951" s="51">
        <v>0.94675193999999996</v>
      </c>
      <c r="AH951" s="48">
        <v>41198</v>
      </c>
      <c r="AI951" s="51">
        <v>0.87979748000000002</v>
      </c>
    </row>
    <row r="952" spans="31:35">
      <c r="AE952" s="48">
        <v>41187</v>
      </c>
      <c r="AF952" s="51">
        <v>0.94919237000000001</v>
      </c>
      <c r="AH952" s="48">
        <v>41197</v>
      </c>
      <c r="AI952" s="51">
        <v>0.89675349999999998</v>
      </c>
    </row>
    <row r="953" spans="31:35">
      <c r="AE953" s="48">
        <v>41186</v>
      </c>
      <c r="AF953" s="51">
        <v>0.95072444</v>
      </c>
      <c r="AH953" s="48">
        <v>41194</v>
      </c>
      <c r="AI953" s="51">
        <v>0.91345138999999997</v>
      </c>
    </row>
    <row r="954" spans="31:35">
      <c r="AE954" s="48">
        <v>41185</v>
      </c>
      <c r="AF954" s="51">
        <v>0.95493826999999998</v>
      </c>
      <c r="AH954" s="48">
        <v>41193</v>
      </c>
      <c r="AI954" s="51">
        <v>0.89831101000000002</v>
      </c>
    </row>
    <row r="955" spans="31:35">
      <c r="AE955" s="48">
        <v>41184</v>
      </c>
      <c r="AF955" s="51">
        <v>0.97003647000000004</v>
      </c>
      <c r="AH955" s="48">
        <v>41192</v>
      </c>
      <c r="AI955" s="51">
        <v>0.89600694999999997</v>
      </c>
    </row>
    <row r="956" spans="31:35">
      <c r="AE956" s="48">
        <v>41183</v>
      </c>
      <c r="AF956" s="51">
        <v>0.95609193999999997</v>
      </c>
      <c r="AH956" s="48">
        <v>41191</v>
      </c>
      <c r="AI956" s="51">
        <v>0.85587765999999998</v>
      </c>
    </row>
    <row r="957" spans="31:35">
      <c r="AE957" s="48">
        <v>41180</v>
      </c>
      <c r="AF957" s="51">
        <v>0.96488792999999995</v>
      </c>
      <c r="AH957" s="48">
        <v>41187</v>
      </c>
      <c r="AI957" s="51">
        <v>0.87600818000000003</v>
      </c>
    </row>
    <row r="958" spans="31:35">
      <c r="AE958" s="48">
        <v>41179</v>
      </c>
      <c r="AF958" s="51">
        <v>0.96460067999999999</v>
      </c>
      <c r="AH958" s="48">
        <v>41186</v>
      </c>
      <c r="AI958" s="51">
        <v>0.87864264999999997</v>
      </c>
    </row>
    <row r="959" spans="31:35">
      <c r="AE959" s="48">
        <v>41178</v>
      </c>
      <c r="AF959" s="51">
        <v>0.96777427999999999</v>
      </c>
      <c r="AH959" s="48">
        <v>41185</v>
      </c>
      <c r="AI959" s="51">
        <v>0.91345160999999997</v>
      </c>
    </row>
    <row r="960" spans="31:35">
      <c r="AE960" s="48">
        <v>41177</v>
      </c>
      <c r="AF960" s="51">
        <v>0.98245824000000004</v>
      </c>
      <c r="AH960" s="48">
        <v>41184</v>
      </c>
      <c r="AI960" s="51">
        <v>0.92459124000000004</v>
      </c>
    </row>
    <row r="961" spans="31:35">
      <c r="AE961" s="48">
        <v>41176</v>
      </c>
      <c r="AF961" s="51">
        <v>0.97373162000000002</v>
      </c>
      <c r="AH961" s="48">
        <v>41183</v>
      </c>
      <c r="AI961" s="51">
        <v>0.91466683000000004</v>
      </c>
    </row>
    <row r="962" spans="31:35">
      <c r="AE962" s="48">
        <v>41173</v>
      </c>
      <c r="AF962" s="51">
        <v>0.96624732000000002</v>
      </c>
      <c r="AH962" s="48">
        <v>41180</v>
      </c>
      <c r="AI962" s="51">
        <v>0.91497223999999999</v>
      </c>
    </row>
    <row r="963" spans="31:35">
      <c r="AE963" s="48">
        <v>41172</v>
      </c>
      <c r="AF963" s="51">
        <v>0.96376908999999999</v>
      </c>
      <c r="AH963" s="48">
        <v>41179</v>
      </c>
      <c r="AI963" s="51">
        <v>0.91397086999999999</v>
      </c>
    </row>
    <row r="964" spans="31:35">
      <c r="AE964" s="48">
        <v>41171</v>
      </c>
      <c r="AF964" s="51">
        <v>0.96309924999999996</v>
      </c>
      <c r="AH964" s="48">
        <v>41178</v>
      </c>
      <c r="AI964" s="51">
        <v>0.93239919000000004</v>
      </c>
    </row>
    <row r="965" spans="31:35">
      <c r="AE965" s="48">
        <v>41170</v>
      </c>
      <c r="AF965" s="51">
        <v>0.96375869999999997</v>
      </c>
      <c r="AH965" s="48">
        <v>41177</v>
      </c>
      <c r="AI965" s="51">
        <v>0.94795260000000003</v>
      </c>
    </row>
    <row r="966" spans="31:35">
      <c r="AE966" s="48">
        <v>41169</v>
      </c>
      <c r="AF966" s="51">
        <v>0.96360314999999996</v>
      </c>
      <c r="AH966" s="48">
        <v>41176</v>
      </c>
      <c r="AI966" s="51">
        <v>0.93958332</v>
      </c>
    </row>
    <row r="967" spans="31:35">
      <c r="AE967" s="48">
        <v>41166</v>
      </c>
      <c r="AF967" s="51">
        <v>0.96376908999999999</v>
      </c>
      <c r="AH967" s="48">
        <v>41173</v>
      </c>
      <c r="AI967" s="51">
        <v>0.93117989000000001</v>
      </c>
    </row>
    <row r="968" spans="31:35">
      <c r="AE968" s="48">
        <v>41165</v>
      </c>
      <c r="AF968" s="51">
        <v>0.96609250999999996</v>
      </c>
      <c r="AH968" s="48">
        <v>41172</v>
      </c>
      <c r="AI968" s="51">
        <v>0.89972527999999996</v>
      </c>
    </row>
    <row r="969" spans="31:35">
      <c r="AE969" s="48">
        <v>41164</v>
      </c>
      <c r="AF969" s="51">
        <v>0.91912300000000002</v>
      </c>
      <c r="AH969" s="48">
        <v>41171</v>
      </c>
      <c r="AI969" s="51">
        <v>0.89786792000000004</v>
      </c>
    </row>
    <row r="970" spans="31:35">
      <c r="AE970" s="48">
        <v>41163</v>
      </c>
      <c r="AF970" s="51">
        <v>0.91912300000000002</v>
      </c>
      <c r="AH970" s="48">
        <v>41170</v>
      </c>
      <c r="AI970" s="51">
        <v>0.89971741999999999</v>
      </c>
    </row>
    <row r="971" spans="31:35">
      <c r="AE971" s="48">
        <v>41162</v>
      </c>
      <c r="AF971" s="51">
        <v>0.93394480999999996</v>
      </c>
      <c r="AH971" s="48">
        <v>41169</v>
      </c>
      <c r="AI971" s="51">
        <v>0.89881580999999999</v>
      </c>
    </row>
    <row r="972" spans="31:35">
      <c r="AE972" s="48">
        <v>41159</v>
      </c>
      <c r="AF972" s="51">
        <v>0.93681486000000003</v>
      </c>
      <c r="AH972" s="48">
        <v>41166</v>
      </c>
      <c r="AI972" s="51">
        <v>0.91347794000000004</v>
      </c>
    </row>
    <row r="973" spans="31:35">
      <c r="AE973" s="48">
        <v>41158</v>
      </c>
      <c r="AF973" s="51">
        <v>0.85375016000000004</v>
      </c>
      <c r="AH973" s="48">
        <v>41165</v>
      </c>
      <c r="AI973" s="51">
        <v>0.93089792999999998</v>
      </c>
    </row>
    <row r="974" spans="31:35">
      <c r="AE974" s="48">
        <v>41157</v>
      </c>
      <c r="AF974" s="51">
        <v>0.91761037000000001</v>
      </c>
      <c r="AH974" s="48">
        <v>41164</v>
      </c>
      <c r="AI974" s="51">
        <v>0.85693819000000004</v>
      </c>
    </row>
    <row r="975" spans="31:35">
      <c r="AE975" s="48">
        <v>41156</v>
      </c>
      <c r="AF975" s="51">
        <v>0.95103079999999995</v>
      </c>
      <c r="AH975" s="48">
        <v>41163</v>
      </c>
      <c r="AI975" s="51">
        <v>0.85693819000000004</v>
      </c>
    </row>
    <row r="976" spans="31:35">
      <c r="AE976" s="48">
        <v>41152</v>
      </c>
      <c r="AF976" s="51">
        <v>0.97362866999999997</v>
      </c>
      <c r="AH976" s="48">
        <v>41162</v>
      </c>
      <c r="AI976" s="51">
        <v>0.85747605999999998</v>
      </c>
    </row>
    <row r="977" spans="31:35">
      <c r="AE977" s="48">
        <v>41151</v>
      </c>
      <c r="AF977" s="51">
        <v>0.93752537999999996</v>
      </c>
      <c r="AH977" s="48">
        <v>41159</v>
      </c>
      <c r="AI977" s="51">
        <v>0.85782857000000001</v>
      </c>
    </row>
    <row r="978" spans="31:35">
      <c r="AE978" s="48">
        <v>41150</v>
      </c>
      <c r="AF978" s="51">
        <v>0.89613767</v>
      </c>
      <c r="AH978" s="48">
        <v>41158</v>
      </c>
      <c r="AI978" s="51">
        <v>0.83789000000000002</v>
      </c>
    </row>
    <row r="979" spans="31:35">
      <c r="AE979" s="48">
        <v>41149</v>
      </c>
      <c r="AF979" s="51">
        <v>0.97623548000000004</v>
      </c>
      <c r="AH979" s="48">
        <v>41157</v>
      </c>
      <c r="AI979" s="51">
        <v>0.85693370000000002</v>
      </c>
    </row>
    <row r="980" spans="31:35">
      <c r="AE980" s="48">
        <v>41148</v>
      </c>
      <c r="AF980" s="51">
        <v>0.97332927999999996</v>
      </c>
      <c r="AH980" s="48">
        <v>41156</v>
      </c>
      <c r="AI980" s="51">
        <v>0.87178860000000002</v>
      </c>
    </row>
    <row r="981" spans="31:35">
      <c r="AE981" s="48">
        <v>41145</v>
      </c>
      <c r="AF981" s="51">
        <v>0.96075451000000001</v>
      </c>
      <c r="AH981" s="48">
        <v>41152</v>
      </c>
      <c r="AI981" s="51">
        <v>0.88562576000000004</v>
      </c>
    </row>
    <row r="982" spans="31:35">
      <c r="AE982" s="48">
        <v>41144</v>
      </c>
      <c r="AF982" s="51">
        <v>0.97284862999999999</v>
      </c>
      <c r="AH982" s="48">
        <v>41151</v>
      </c>
      <c r="AI982" s="51">
        <v>0.86983712000000002</v>
      </c>
    </row>
    <row r="983" spans="31:35">
      <c r="AE983" s="48">
        <v>41143</v>
      </c>
      <c r="AF983" s="51">
        <v>0.92849970000000004</v>
      </c>
      <c r="AH983" s="48">
        <v>41150</v>
      </c>
      <c r="AI983" s="51">
        <v>0.85313271999999996</v>
      </c>
    </row>
    <row r="984" spans="31:35">
      <c r="AE984" s="48">
        <v>41142</v>
      </c>
      <c r="AF984" s="51">
        <v>0.84653082999999996</v>
      </c>
      <c r="AH984" s="48">
        <v>41149</v>
      </c>
      <c r="AI984" s="51">
        <v>0.88902285999999997</v>
      </c>
    </row>
    <row r="985" spans="31:35">
      <c r="AE985" s="48">
        <v>41141</v>
      </c>
      <c r="AF985" s="51">
        <v>0.84702736999999995</v>
      </c>
      <c r="AH985" s="48">
        <v>41148</v>
      </c>
      <c r="AI985" s="51">
        <v>0.88560996000000003</v>
      </c>
    </row>
    <row r="986" spans="31:35">
      <c r="AE986" s="48">
        <v>41138</v>
      </c>
      <c r="AF986" s="51">
        <v>0.84552031000000005</v>
      </c>
      <c r="AH986" s="48">
        <v>41145</v>
      </c>
      <c r="AI986" s="51">
        <v>0.87160720999999997</v>
      </c>
    </row>
    <row r="987" spans="31:35">
      <c r="AE987" s="48">
        <v>41137</v>
      </c>
      <c r="AF987" s="51">
        <v>0.84291780999999999</v>
      </c>
      <c r="AH987" s="48">
        <v>41144</v>
      </c>
      <c r="AI987" s="51">
        <v>0.88559326999999999</v>
      </c>
    </row>
    <row r="988" spans="31:35">
      <c r="AE988" s="48">
        <v>41136</v>
      </c>
      <c r="AF988" s="51">
        <v>0.84554792000000001</v>
      </c>
      <c r="AH988" s="48">
        <v>41143</v>
      </c>
      <c r="AI988" s="51">
        <v>0.86927096999999998</v>
      </c>
    </row>
    <row r="989" spans="31:35">
      <c r="AE989" s="48">
        <v>41135</v>
      </c>
      <c r="AF989" s="51">
        <v>0.85987332000000005</v>
      </c>
      <c r="AH989" s="48">
        <v>41142</v>
      </c>
      <c r="AI989" s="51">
        <v>0.82110300000000003</v>
      </c>
    </row>
    <row r="990" spans="31:35">
      <c r="AE990" s="48">
        <v>41134</v>
      </c>
      <c r="AF990" s="51">
        <v>0.90519167</v>
      </c>
      <c r="AH990" s="48">
        <v>41141</v>
      </c>
      <c r="AI990" s="51">
        <v>0.82133800000000001</v>
      </c>
    </row>
    <row r="991" spans="31:35">
      <c r="AE991" s="48">
        <v>41131</v>
      </c>
      <c r="AF991" s="51">
        <v>0.90059957999999996</v>
      </c>
      <c r="AH991" s="48">
        <v>41138</v>
      </c>
      <c r="AI991" s="51">
        <v>0.81998939999999998</v>
      </c>
    </row>
    <row r="992" spans="31:35">
      <c r="AE992" s="48">
        <v>41130</v>
      </c>
      <c r="AF992" s="51">
        <v>0.87997017</v>
      </c>
      <c r="AH992" s="48">
        <v>41137</v>
      </c>
      <c r="AI992" s="51">
        <v>0.80158388999999997</v>
      </c>
    </row>
    <row r="993" spans="31:35">
      <c r="AE993" s="48">
        <v>41129</v>
      </c>
      <c r="AF993" s="51">
        <v>0.88188845000000005</v>
      </c>
      <c r="AH993" s="48">
        <v>41136</v>
      </c>
      <c r="AI993" s="51">
        <v>0.82000231000000001</v>
      </c>
    </row>
    <row r="994" spans="31:35">
      <c r="AE994" s="48">
        <v>41128</v>
      </c>
      <c r="AF994" s="51">
        <v>0.85676613000000001</v>
      </c>
      <c r="AH994" s="48">
        <v>41135</v>
      </c>
      <c r="AI994" s="51">
        <v>0.83966183999999999</v>
      </c>
    </row>
    <row r="995" spans="31:35">
      <c r="AE995" s="48">
        <v>41127</v>
      </c>
      <c r="AF995" s="51">
        <v>0.87914780000000003</v>
      </c>
      <c r="AH995" s="48">
        <v>41134</v>
      </c>
      <c r="AI995" s="51">
        <v>0.85415684999999997</v>
      </c>
    </row>
    <row r="996" spans="31:35">
      <c r="AE996" s="48">
        <v>41124</v>
      </c>
      <c r="AF996" s="51">
        <v>0.87064797000000005</v>
      </c>
      <c r="AH996" s="48">
        <v>41131</v>
      </c>
      <c r="AI996" s="51">
        <v>0.85396969</v>
      </c>
    </row>
    <row r="997" spans="31:35">
      <c r="AE997" s="48">
        <v>41123</v>
      </c>
      <c r="AF997" s="51">
        <v>0.95403947</v>
      </c>
      <c r="AH997" s="48">
        <v>41130</v>
      </c>
      <c r="AI997" s="51">
        <v>0.85242792999999994</v>
      </c>
    </row>
    <row r="998" spans="31:35">
      <c r="AE998" s="48">
        <v>41122</v>
      </c>
      <c r="AF998" s="51">
        <v>0.92603561999999995</v>
      </c>
      <c r="AH998" s="48">
        <v>41129</v>
      </c>
      <c r="AI998" s="51">
        <v>0.85243928000000002</v>
      </c>
    </row>
    <row r="999" spans="31:35">
      <c r="AE999" s="48">
        <v>41121</v>
      </c>
      <c r="AF999" s="51">
        <v>0.98007849999999996</v>
      </c>
      <c r="AH999" s="48">
        <v>41128</v>
      </c>
      <c r="AI999" s="51">
        <v>0.83909657999999998</v>
      </c>
    </row>
    <row r="1000" spans="31:35">
      <c r="AE1000" s="48">
        <v>41120</v>
      </c>
      <c r="AF1000" s="51">
        <v>0.97455305999999997</v>
      </c>
      <c r="AH1000" s="48">
        <v>41127</v>
      </c>
      <c r="AI1000" s="51">
        <v>0.85230329999999999</v>
      </c>
    </row>
    <row r="1001" spans="31:35">
      <c r="AE1001" s="48">
        <v>41117</v>
      </c>
      <c r="AF1001" s="51">
        <v>0.87809594999999996</v>
      </c>
      <c r="AH1001" s="48">
        <v>41124</v>
      </c>
      <c r="AI1001" s="51">
        <v>0.84982597000000004</v>
      </c>
    </row>
    <row r="1002" spans="31:35">
      <c r="AE1002" s="48">
        <v>41116</v>
      </c>
      <c r="AF1002" s="51">
        <v>0.98586468999999999</v>
      </c>
      <c r="AH1002" s="48">
        <v>41123</v>
      </c>
      <c r="AI1002" s="51">
        <v>0.87054213000000003</v>
      </c>
    </row>
    <row r="1003" spans="31:35">
      <c r="AE1003" s="48">
        <v>41115</v>
      </c>
      <c r="AF1003" s="51">
        <v>0.98728897999999998</v>
      </c>
      <c r="AH1003" s="48">
        <v>41122</v>
      </c>
      <c r="AI1003" s="51">
        <v>0.86876759000000003</v>
      </c>
    </row>
    <row r="1004" spans="31:35">
      <c r="AE1004" s="48">
        <v>41114</v>
      </c>
      <c r="AF1004" s="51">
        <v>0.98959233999999996</v>
      </c>
      <c r="AH1004" s="48">
        <v>41121</v>
      </c>
      <c r="AI1004" s="51">
        <v>0.89684644000000002</v>
      </c>
    </row>
    <row r="1005" spans="31:35">
      <c r="AE1005" s="48">
        <v>41113</v>
      </c>
      <c r="AF1005" s="51">
        <v>0.98850773000000003</v>
      </c>
      <c r="AH1005" s="48">
        <v>41120</v>
      </c>
      <c r="AI1005" s="51">
        <v>0.88594238000000003</v>
      </c>
    </row>
    <row r="1006" spans="31:35">
      <c r="AE1006" s="48">
        <v>41110</v>
      </c>
      <c r="AF1006" s="51">
        <v>0.98785926000000002</v>
      </c>
      <c r="AH1006" s="48">
        <v>41117</v>
      </c>
      <c r="AI1006" s="51">
        <v>0.85531802000000001</v>
      </c>
    </row>
    <row r="1007" spans="31:35">
      <c r="AE1007" s="48">
        <v>41109</v>
      </c>
      <c r="AF1007" s="51">
        <v>0.97879925999999995</v>
      </c>
      <c r="AH1007" s="48">
        <v>41116</v>
      </c>
      <c r="AI1007" s="51">
        <v>0.90055384000000005</v>
      </c>
    </row>
    <row r="1008" spans="31:35">
      <c r="AE1008" s="48">
        <v>41108</v>
      </c>
      <c r="AF1008" s="51">
        <v>0.98441588000000002</v>
      </c>
      <c r="AH1008" s="48">
        <v>41115</v>
      </c>
      <c r="AI1008" s="51">
        <v>0.90309391999999999</v>
      </c>
    </row>
    <row r="1009" spans="31:35">
      <c r="AE1009" s="48">
        <v>41107</v>
      </c>
      <c r="AF1009" s="51">
        <v>0.97010662999999997</v>
      </c>
      <c r="AH1009" s="48">
        <v>41114</v>
      </c>
      <c r="AI1009" s="51">
        <v>0.93560021000000004</v>
      </c>
    </row>
    <row r="1010" spans="31:35">
      <c r="AE1010" s="48">
        <v>41106</v>
      </c>
      <c r="AF1010" s="51">
        <v>0.98415346000000004</v>
      </c>
      <c r="AH1010" s="48">
        <v>41113</v>
      </c>
      <c r="AI1010" s="51">
        <v>0.92284334000000001</v>
      </c>
    </row>
    <row r="1011" spans="31:35">
      <c r="AE1011" s="48">
        <v>41103</v>
      </c>
      <c r="AF1011" s="51">
        <v>0.95144748999999995</v>
      </c>
      <c r="AH1011" s="48">
        <v>41110</v>
      </c>
      <c r="AI1011" s="51">
        <v>0.91935363000000003</v>
      </c>
    </row>
    <row r="1012" spans="31:35">
      <c r="AE1012" s="48">
        <v>41102</v>
      </c>
      <c r="AF1012" s="51">
        <v>0.98075705000000002</v>
      </c>
      <c r="AH1012" s="48">
        <v>41109</v>
      </c>
      <c r="AI1012" s="51">
        <v>0.89675928000000005</v>
      </c>
    </row>
    <row r="1013" spans="31:35">
      <c r="AE1013" s="48">
        <v>41101</v>
      </c>
      <c r="AF1013" s="51">
        <v>0.97879925999999995</v>
      </c>
      <c r="AH1013" s="48">
        <v>41108</v>
      </c>
      <c r="AI1013" s="51">
        <v>0.89950991999999996</v>
      </c>
    </row>
    <row r="1014" spans="31:35">
      <c r="AE1014" s="48">
        <v>41100</v>
      </c>
      <c r="AF1014" s="51">
        <v>0.98419075</v>
      </c>
      <c r="AH1014" s="48">
        <v>41107</v>
      </c>
      <c r="AI1014" s="51">
        <v>0.88545410999999996</v>
      </c>
    </row>
    <row r="1015" spans="31:35">
      <c r="AE1015" s="48">
        <v>41099</v>
      </c>
      <c r="AF1015" s="51">
        <v>0.97662514</v>
      </c>
      <c r="AH1015" s="48">
        <v>41106</v>
      </c>
      <c r="AI1015" s="51">
        <v>0.89915438999999997</v>
      </c>
    </row>
    <row r="1016" spans="31:35">
      <c r="AE1016" s="48">
        <v>41096</v>
      </c>
      <c r="AF1016" s="51">
        <v>0.95815527</v>
      </c>
      <c r="AH1016" s="48">
        <v>41103</v>
      </c>
      <c r="AI1016" s="51">
        <v>0.88440063000000002</v>
      </c>
    </row>
    <row r="1017" spans="31:35">
      <c r="AE1017" s="48">
        <v>41095</v>
      </c>
      <c r="AF1017" s="51">
        <v>0.88929053000000002</v>
      </c>
      <c r="AH1017" s="48">
        <v>41102</v>
      </c>
      <c r="AI1017" s="51">
        <v>0.89782187000000002</v>
      </c>
    </row>
    <row r="1018" spans="31:35">
      <c r="AE1018" s="48">
        <v>41093</v>
      </c>
      <c r="AF1018" s="51">
        <v>0.87981558999999998</v>
      </c>
      <c r="AH1018" s="48">
        <v>41101</v>
      </c>
      <c r="AI1018" s="51">
        <v>0.89675950999999998</v>
      </c>
    </row>
    <row r="1019" spans="31:35">
      <c r="AE1019" s="48">
        <v>41092</v>
      </c>
      <c r="AF1019" s="51">
        <v>0.90455958999999997</v>
      </c>
      <c r="AH1019" s="48">
        <v>41100</v>
      </c>
      <c r="AI1019" s="51">
        <v>0.89950947999999997</v>
      </c>
    </row>
    <row r="1020" spans="31:35">
      <c r="AE1020" s="48">
        <v>41089</v>
      </c>
      <c r="AF1020" s="51">
        <v>0.89196945999999999</v>
      </c>
      <c r="AH1020" s="48">
        <v>41099</v>
      </c>
      <c r="AI1020" s="51">
        <v>0.88663588000000004</v>
      </c>
    </row>
    <row r="1021" spans="31:35">
      <c r="AE1021" s="48">
        <v>41088</v>
      </c>
      <c r="AF1021" s="51">
        <v>0.91764312000000003</v>
      </c>
      <c r="AH1021" s="48">
        <v>41096</v>
      </c>
      <c r="AI1021" s="51">
        <v>0.88529957999999997</v>
      </c>
    </row>
    <row r="1022" spans="31:35">
      <c r="AE1022" s="48">
        <v>41087</v>
      </c>
      <c r="AF1022" s="51">
        <v>0.90152438999999995</v>
      </c>
      <c r="AH1022" s="48">
        <v>41095</v>
      </c>
      <c r="AI1022" s="51">
        <v>0.86539562000000003</v>
      </c>
    </row>
    <row r="1023" spans="31:35">
      <c r="AE1023" s="48">
        <v>41086</v>
      </c>
      <c r="AF1023" s="51">
        <v>0.89395577999999998</v>
      </c>
      <c r="AH1023" s="48">
        <v>41093</v>
      </c>
      <c r="AI1023" s="51">
        <v>0.85570400999999996</v>
      </c>
    </row>
    <row r="1024" spans="31:35">
      <c r="AE1024" s="48">
        <v>41085</v>
      </c>
      <c r="AF1024" s="51">
        <v>0.90621494000000002</v>
      </c>
      <c r="AH1024" s="48">
        <v>41092</v>
      </c>
      <c r="AI1024" s="51">
        <v>0.86874193</v>
      </c>
    </row>
    <row r="1025" spans="31:35">
      <c r="AE1025" s="48">
        <v>41082</v>
      </c>
      <c r="AF1025" s="51">
        <v>0.88643691000000002</v>
      </c>
      <c r="AH1025" s="48">
        <v>41089</v>
      </c>
      <c r="AI1025" s="51">
        <v>0.86325673000000003</v>
      </c>
    </row>
    <row r="1026" spans="31:35">
      <c r="AE1026" s="48">
        <v>41081</v>
      </c>
      <c r="AF1026" s="51">
        <v>0.89465777999999996</v>
      </c>
      <c r="AH1026" s="48">
        <v>41088</v>
      </c>
      <c r="AI1026" s="51">
        <v>0.87619142999999999</v>
      </c>
    </row>
    <row r="1027" spans="31:35">
      <c r="AE1027" s="48">
        <v>41080</v>
      </c>
      <c r="AF1027" s="51">
        <v>0.89007672000000004</v>
      </c>
      <c r="AH1027" s="48">
        <v>41087</v>
      </c>
      <c r="AI1027" s="51">
        <v>0.87293883999999999</v>
      </c>
    </row>
    <row r="1028" spans="31:35">
      <c r="AE1028" s="48">
        <v>41079</v>
      </c>
      <c r="AF1028" s="51">
        <v>0.90024616000000002</v>
      </c>
      <c r="AH1028" s="48">
        <v>41086</v>
      </c>
      <c r="AI1028" s="51">
        <v>0.86345411000000005</v>
      </c>
    </row>
    <row r="1029" spans="31:35">
      <c r="AE1029" s="48">
        <v>41078</v>
      </c>
      <c r="AF1029" s="51">
        <v>0.90129705000000004</v>
      </c>
      <c r="AH1029" s="48">
        <v>41085</v>
      </c>
      <c r="AI1029" s="51">
        <v>0.87327385999999996</v>
      </c>
    </row>
    <row r="1030" spans="31:35">
      <c r="AE1030" s="48">
        <v>41075</v>
      </c>
      <c r="AF1030" s="51">
        <v>0.89594238999999998</v>
      </c>
      <c r="AH1030" s="48">
        <v>41082</v>
      </c>
      <c r="AI1030" s="51">
        <v>0.84598116000000001</v>
      </c>
    </row>
    <row r="1031" spans="31:35">
      <c r="AE1031" s="48">
        <v>41074</v>
      </c>
      <c r="AF1031" s="51">
        <v>0.89171836999999998</v>
      </c>
      <c r="AH1031" s="48">
        <v>41081</v>
      </c>
      <c r="AI1031" s="51">
        <v>0.86347534999999997</v>
      </c>
    </row>
    <row r="1032" spans="31:35">
      <c r="AE1032" s="48">
        <v>41073</v>
      </c>
      <c r="AF1032" s="51">
        <v>0.88955698999999999</v>
      </c>
      <c r="AH1032" s="48">
        <v>41080</v>
      </c>
      <c r="AI1032" s="51">
        <v>0.86116873000000005</v>
      </c>
    </row>
    <row r="1033" spans="31:35">
      <c r="AE1033" s="48">
        <v>41072</v>
      </c>
      <c r="AF1033" s="51">
        <v>0.88507773000000001</v>
      </c>
      <c r="AH1033" s="48">
        <v>41079</v>
      </c>
      <c r="AI1033" s="51">
        <v>0.86423678000000004</v>
      </c>
    </row>
    <row r="1034" spans="31:35">
      <c r="AE1034" s="48">
        <v>41071</v>
      </c>
      <c r="AF1034" s="51">
        <v>0.89143002999999998</v>
      </c>
      <c r="AH1034" s="48">
        <v>41078</v>
      </c>
      <c r="AI1034" s="51">
        <v>0.87293883999999999</v>
      </c>
    </row>
    <row r="1035" spans="31:35">
      <c r="AE1035" s="48">
        <v>41068</v>
      </c>
      <c r="AF1035" s="51">
        <v>0.88642206999999995</v>
      </c>
      <c r="AH1035" s="48">
        <v>41075</v>
      </c>
      <c r="AI1035" s="51">
        <v>0.86398164</v>
      </c>
    </row>
    <row r="1036" spans="31:35">
      <c r="AE1036" s="48">
        <v>41067</v>
      </c>
      <c r="AF1036" s="51">
        <v>0.88658915999999999</v>
      </c>
      <c r="AH1036" s="48">
        <v>41074</v>
      </c>
      <c r="AI1036" s="51">
        <v>0.86325428999999998</v>
      </c>
    </row>
    <row r="1037" spans="31:35">
      <c r="AE1037" s="48">
        <v>41066</v>
      </c>
      <c r="AF1037" s="51">
        <v>0.88432498999999998</v>
      </c>
      <c r="AH1037" s="48">
        <v>41073</v>
      </c>
      <c r="AI1037" s="51">
        <v>0.86098350999999995</v>
      </c>
    </row>
    <row r="1038" spans="31:35">
      <c r="AE1038" s="48">
        <v>41065</v>
      </c>
      <c r="AF1038" s="51">
        <v>0.88786379000000004</v>
      </c>
      <c r="AH1038" s="48">
        <v>41072</v>
      </c>
      <c r="AI1038" s="51">
        <v>0.84481634999999999</v>
      </c>
    </row>
    <row r="1039" spans="31:35">
      <c r="AE1039" s="48">
        <v>41064</v>
      </c>
      <c r="AF1039" s="51">
        <v>0.89625674</v>
      </c>
      <c r="AH1039" s="48">
        <v>41071</v>
      </c>
      <c r="AI1039" s="51">
        <v>0.86285621000000001</v>
      </c>
    </row>
    <row r="1040" spans="31:35">
      <c r="AE1040" s="48">
        <v>41061</v>
      </c>
      <c r="AF1040" s="51">
        <v>0.95412836999999995</v>
      </c>
      <c r="AH1040" s="48">
        <v>41068</v>
      </c>
      <c r="AI1040" s="51">
        <v>0.84595416999999995</v>
      </c>
    </row>
    <row r="1041" spans="31:35">
      <c r="AE1041" s="48">
        <v>41060</v>
      </c>
      <c r="AF1041" s="51">
        <v>0.90149771000000001</v>
      </c>
      <c r="AH1041" s="48">
        <v>41067</v>
      </c>
      <c r="AI1041" s="51">
        <v>0.84598139000000006</v>
      </c>
    </row>
    <row r="1042" spans="31:35">
      <c r="AE1042" s="48">
        <v>41059</v>
      </c>
      <c r="AF1042" s="51">
        <v>0.89845090000000005</v>
      </c>
      <c r="AH1042" s="48">
        <v>41066</v>
      </c>
      <c r="AI1042" s="51">
        <v>0.84380244000000004</v>
      </c>
    </row>
    <row r="1043" spans="31:35">
      <c r="AE1043" s="48">
        <v>41058</v>
      </c>
      <c r="AF1043" s="51">
        <v>0.89258269999999995</v>
      </c>
      <c r="AH1043" s="48">
        <v>41065</v>
      </c>
      <c r="AI1043" s="51">
        <v>0.84736593999999998</v>
      </c>
    </row>
    <row r="1044" spans="31:35">
      <c r="AE1044" s="48">
        <v>41054</v>
      </c>
      <c r="AF1044" s="51">
        <v>0.89290855000000002</v>
      </c>
      <c r="AH1044" s="48">
        <v>41064</v>
      </c>
      <c r="AI1044" s="51">
        <v>0.86399778999999999</v>
      </c>
    </row>
    <row r="1045" spans="31:35">
      <c r="AE1045" s="48">
        <v>41053</v>
      </c>
      <c r="AF1045" s="51">
        <v>0.89292742000000003</v>
      </c>
      <c r="AH1045" s="48">
        <v>41061</v>
      </c>
      <c r="AI1045" s="51">
        <v>0.89088199999999995</v>
      </c>
    </row>
    <row r="1046" spans="31:35">
      <c r="AE1046" s="48">
        <v>41052</v>
      </c>
      <c r="AF1046" s="51">
        <v>0.89398533999999996</v>
      </c>
      <c r="AH1046" s="48">
        <v>41060</v>
      </c>
      <c r="AI1046" s="51">
        <v>0.86801002000000005</v>
      </c>
    </row>
    <row r="1047" spans="31:35">
      <c r="AE1047" s="48">
        <v>41051</v>
      </c>
      <c r="AF1047" s="51">
        <v>0.89508783999999997</v>
      </c>
      <c r="AH1047" s="48">
        <v>41059</v>
      </c>
      <c r="AI1047" s="51">
        <v>0.85131955999999998</v>
      </c>
    </row>
    <row r="1048" spans="31:35">
      <c r="AE1048" s="48">
        <v>41050</v>
      </c>
      <c r="AF1048" s="51">
        <v>0.89692227999999996</v>
      </c>
      <c r="AH1048" s="48">
        <v>41058</v>
      </c>
      <c r="AI1048" s="51">
        <v>0.80281411000000003</v>
      </c>
    </row>
    <row r="1049" spans="31:35">
      <c r="AE1049" s="48">
        <v>41047</v>
      </c>
      <c r="AF1049" s="51">
        <v>0.90049995000000005</v>
      </c>
      <c r="AH1049" s="48">
        <v>41054</v>
      </c>
      <c r="AI1049" s="51">
        <v>0.80373079999999997</v>
      </c>
    </row>
    <row r="1050" spans="31:35">
      <c r="AE1050" s="48">
        <v>41046</v>
      </c>
      <c r="AF1050" s="51">
        <v>0.90122015</v>
      </c>
      <c r="AH1050" s="48">
        <v>41053</v>
      </c>
      <c r="AI1050" s="51">
        <v>0.80379319000000005</v>
      </c>
    </row>
    <row r="1051" spans="31:35">
      <c r="AE1051" s="48">
        <v>41045</v>
      </c>
      <c r="AF1051" s="51">
        <v>0.89645978000000004</v>
      </c>
      <c r="AH1051" s="48">
        <v>41052</v>
      </c>
      <c r="AI1051" s="51">
        <v>0.82808550999999997</v>
      </c>
    </row>
    <row r="1052" spans="31:35">
      <c r="AE1052" s="48">
        <v>41044</v>
      </c>
      <c r="AF1052" s="51">
        <v>0.89656175000000005</v>
      </c>
      <c r="AH1052" s="48">
        <v>41051</v>
      </c>
      <c r="AI1052" s="51">
        <v>0.83173965999999999</v>
      </c>
    </row>
    <row r="1053" spans="31:35">
      <c r="AE1053" s="48">
        <v>41043</v>
      </c>
      <c r="AF1053" s="51">
        <v>0.89630202000000003</v>
      </c>
      <c r="AH1053" s="48">
        <v>41050</v>
      </c>
      <c r="AI1053" s="51">
        <v>0.84875995000000004</v>
      </c>
    </row>
    <row r="1054" spans="31:35">
      <c r="AE1054" s="48">
        <v>41040</v>
      </c>
      <c r="AF1054" s="51">
        <v>0.89503811</v>
      </c>
      <c r="AH1054" s="48">
        <v>41047</v>
      </c>
      <c r="AI1054" s="51">
        <v>0.86636908999999995</v>
      </c>
    </row>
    <row r="1055" spans="31:35">
      <c r="AE1055" s="48">
        <v>41039</v>
      </c>
      <c r="AF1055" s="51">
        <v>0.89447244000000004</v>
      </c>
      <c r="AH1055" s="48">
        <v>41046</v>
      </c>
      <c r="AI1055" s="51">
        <v>0.86795825999999998</v>
      </c>
    </row>
    <row r="1056" spans="31:35">
      <c r="AE1056" s="48">
        <v>41038</v>
      </c>
      <c r="AF1056" s="51">
        <v>0.89434619999999998</v>
      </c>
      <c r="AH1056" s="48">
        <v>41045</v>
      </c>
      <c r="AI1056" s="51">
        <v>0.84688321</v>
      </c>
    </row>
    <row r="1057" spans="31:35">
      <c r="AE1057" s="48">
        <v>41037</v>
      </c>
      <c r="AF1057" s="51">
        <v>0.89332922000000003</v>
      </c>
      <c r="AH1057" s="48">
        <v>41044</v>
      </c>
      <c r="AI1057" s="51">
        <v>0.84688386999999998</v>
      </c>
    </row>
    <row r="1058" spans="31:35">
      <c r="AE1058" s="48">
        <v>41036</v>
      </c>
      <c r="AF1058" s="51">
        <v>0.89293347999999995</v>
      </c>
      <c r="AH1058" s="48">
        <v>41043</v>
      </c>
      <c r="AI1058" s="51">
        <v>0.84684360999999997</v>
      </c>
    </row>
    <row r="1059" spans="31:35">
      <c r="AE1059" s="48">
        <v>41033</v>
      </c>
      <c r="AF1059" s="51">
        <v>0.89320864</v>
      </c>
      <c r="AH1059" s="48">
        <v>41040</v>
      </c>
      <c r="AI1059" s="51">
        <v>0.83081589</v>
      </c>
    </row>
    <row r="1060" spans="31:35">
      <c r="AE1060" s="48">
        <v>41032</v>
      </c>
      <c r="AF1060" s="51">
        <v>0.89178466999999995</v>
      </c>
      <c r="AH1060" s="48">
        <v>41039</v>
      </c>
      <c r="AI1060" s="51">
        <v>0.82943310999999997</v>
      </c>
    </row>
    <row r="1061" spans="31:35">
      <c r="AE1061" s="48">
        <v>41031</v>
      </c>
      <c r="AF1061" s="51">
        <v>0.89242913999999995</v>
      </c>
      <c r="AH1061" s="48">
        <v>41038</v>
      </c>
      <c r="AI1061" s="51">
        <v>0.82883340999999999</v>
      </c>
    </row>
    <row r="1062" spans="31:35">
      <c r="AE1062" s="48">
        <v>41030</v>
      </c>
      <c r="AF1062" s="51">
        <v>0.89172037999999998</v>
      </c>
      <c r="AH1062" s="48">
        <v>41037</v>
      </c>
      <c r="AI1062" s="51">
        <v>0.80707328</v>
      </c>
    </row>
    <row r="1063" spans="31:35">
      <c r="AE1063" s="48">
        <v>41029</v>
      </c>
      <c r="AF1063" s="51">
        <v>0.91020621000000002</v>
      </c>
      <c r="AH1063" s="48">
        <v>41036</v>
      </c>
      <c r="AI1063" s="51">
        <v>0.80381000000000002</v>
      </c>
    </row>
    <row r="1064" spans="31:35">
      <c r="AE1064" s="48">
        <v>41026</v>
      </c>
      <c r="AF1064" s="51">
        <v>0.90994850999999999</v>
      </c>
      <c r="AH1064" s="48">
        <v>41033</v>
      </c>
      <c r="AI1064" s="51">
        <v>0.80515318000000002</v>
      </c>
    </row>
    <row r="1065" spans="31:35">
      <c r="AE1065" s="48">
        <v>41025</v>
      </c>
      <c r="AF1065" s="51">
        <v>0.90862149000000003</v>
      </c>
      <c r="AH1065" s="48">
        <v>41032</v>
      </c>
      <c r="AI1065" s="51">
        <v>0.80187861999999999</v>
      </c>
    </row>
    <row r="1066" spans="31:35">
      <c r="AE1066" s="48">
        <v>41024</v>
      </c>
      <c r="AF1066" s="51">
        <v>0.90652851000000001</v>
      </c>
      <c r="AH1066" s="48">
        <v>41031</v>
      </c>
      <c r="AI1066" s="51">
        <v>0.80244269999999995</v>
      </c>
    </row>
    <row r="1067" spans="31:35">
      <c r="AE1067" s="48">
        <v>41023</v>
      </c>
      <c r="AF1067" s="51">
        <v>0.90828774000000001</v>
      </c>
      <c r="AH1067" s="48">
        <v>41030</v>
      </c>
      <c r="AI1067" s="51">
        <v>0.79865206</v>
      </c>
    </row>
    <row r="1068" spans="31:35">
      <c r="AE1068" s="48">
        <v>41022</v>
      </c>
      <c r="AF1068" s="51">
        <v>0.90994850999999999</v>
      </c>
      <c r="AH1068" s="48">
        <v>41029</v>
      </c>
      <c r="AI1068" s="51">
        <v>0.8016259</v>
      </c>
    </row>
    <row r="1069" spans="31:35">
      <c r="AE1069" s="48">
        <v>41019</v>
      </c>
      <c r="AF1069" s="51">
        <v>0.90806520999999996</v>
      </c>
      <c r="AH1069" s="48">
        <v>41026</v>
      </c>
      <c r="AI1069" s="51">
        <v>0.80019392</v>
      </c>
    </row>
    <row r="1070" spans="31:35">
      <c r="AE1070" s="48">
        <v>41018</v>
      </c>
      <c r="AF1070" s="51">
        <v>0.90885141000000003</v>
      </c>
      <c r="AH1070" s="48">
        <v>41025</v>
      </c>
      <c r="AI1070" s="51">
        <v>0.79327705999999998</v>
      </c>
    </row>
    <row r="1071" spans="31:35">
      <c r="AE1071" s="48">
        <v>41017</v>
      </c>
      <c r="AF1071" s="51">
        <v>0.90536366999999995</v>
      </c>
      <c r="AH1071" s="48">
        <v>41024</v>
      </c>
      <c r="AI1071" s="51">
        <v>0.77616885999999996</v>
      </c>
    </row>
    <row r="1072" spans="31:35">
      <c r="AE1072" s="48">
        <v>41016</v>
      </c>
      <c r="AF1072" s="51">
        <v>0.90800420000000004</v>
      </c>
      <c r="AH1072" s="48">
        <v>41023</v>
      </c>
      <c r="AI1072" s="51">
        <v>0.79307839000000002</v>
      </c>
    </row>
    <row r="1073" spans="31:35">
      <c r="AE1073" s="48">
        <v>41015</v>
      </c>
      <c r="AF1073" s="51">
        <v>0.90998736000000002</v>
      </c>
      <c r="AH1073" s="48">
        <v>41022</v>
      </c>
      <c r="AI1073" s="51">
        <v>0.80019392</v>
      </c>
    </row>
    <row r="1074" spans="31:35">
      <c r="AE1074" s="48">
        <v>41012</v>
      </c>
      <c r="AF1074" s="51">
        <v>0.90933154999999999</v>
      </c>
      <c r="AH1074" s="48">
        <v>41019</v>
      </c>
      <c r="AI1074" s="51">
        <v>0.79306719000000003</v>
      </c>
    </row>
    <row r="1075" spans="31:35">
      <c r="AE1075" s="48">
        <v>41011</v>
      </c>
      <c r="AF1075" s="51">
        <v>0.90710064000000001</v>
      </c>
      <c r="AH1075" s="48">
        <v>41018</v>
      </c>
      <c r="AI1075" s="51">
        <v>0.79384558999999999</v>
      </c>
    </row>
    <row r="1076" spans="31:35">
      <c r="AE1076" s="48">
        <v>41010</v>
      </c>
      <c r="AF1076" s="51">
        <v>0.90933637</v>
      </c>
      <c r="AH1076" s="48">
        <v>41017</v>
      </c>
      <c r="AI1076" s="51">
        <v>0.77595943000000001</v>
      </c>
    </row>
    <row r="1077" spans="31:35">
      <c r="AE1077" s="48">
        <v>41009</v>
      </c>
      <c r="AF1077" s="51">
        <v>0.91121001999999995</v>
      </c>
      <c r="AH1077" s="48">
        <v>41016</v>
      </c>
      <c r="AI1077" s="51">
        <v>0.77828607000000005</v>
      </c>
    </row>
    <row r="1078" spans="31:35">
      <c r="AE1078" s="48">
        <v>41008</v>
      </c>
      <c r="AF1078" s="51">
        <v>0.91119961999999999</v>
      </c>
      <c r="AH1078" s="48">
        <v>41015</v>
      </c>
      <c r="AI1078" s="51">
        <v>0.80027413000000003</v>
      </c>
    </row>
    <row r="1079" spans="31:35">
      <c r="AE1079" s="48">
        <v>41005</v>
      </c>
      <c r="AF1079" s="51">
        <v>0.9104373</v>
      </c>
      <c r="AH1079" s="48">
        <v>41012</v>
      </c>
      <c r="AI1079" s="51">
        <v>0.79862831999999995</v>
      </c>
    </row>
    <row r="1080" spans="31:35">
      <c r="AE1080" s="48">
        <v>41004</v>
      </c>
      <c r="AF1080" s="51">
        <v>0.88736484000000004</v>
      </c>
      <c r="AH1080" s="48">
        <v>41011</v>
      </c>
      <c r="AI1080" s="51">
        <v>0.77808564000000002</v>
      </c>
    </row>
    <row r="1081" spans="31:35">
      <c r="AE1081" s="48">
        <v>41003</v>
      </c>
      <c r="AF1081" s="51">
        <v>0.84304774000000005</v>
      </c>
      <c r="AH1081" s="48">
        <v>41010</v>
      </c>
      <c r="AI1081" s="51">
        <v>0.79862984999999997</v>
      </c>
    </row>
    <row r="1082" spans="31:35">
      <c r="AE1082" s="48">
        <v>41002</v>
      </c>
      <c r="AF1082" s="51">
        <v>0.80623690999999997</v>
      </c>
      <c r="AH1082" s="48">
        <v>41009</v>
      </c>
      <c r="AI1082" s="51">
        <v>0.82478485999999995</v>
      </c>
    </row>
    <row r="1083" spans="31:35">
      <c r="AE1083" s="48">
        <v>41001</v>
      </c>
      <c r="AF1083" s="51">
        <v>0.89829537000000004</v>
      </c>
      <c r="AH1083" s="48">
        <v>41008</v>
      </c>
      <c r="AI1083" s="51">
        <v>0.82416007000000002</v>
      </c>
    </row>
    <row r="1084" spans="31:35">
      <c r="AE1084" s="48">
        <v>40998</v>
      </c>
      <c r="AF1084" s="51">
        <v>0.89832186999999997</v>
      </c>
      <c r="AH1084" s="48">
        <v>41005</v>
      </c>
      <c r="AI1084" s="51">
        <v>0.80483225999999997</v>
      </c>
    </row>
    <row r="1085" spans="31:35">
      <c r="AE1085" s="48">
        <v>40997</v>
      </c>
      <c r="AF1085" s="51">
        <v>0.91831567999999997</v>
      </c>
      <c r="AH1085" s="48">
        <v>41004</v>
      </c>
      <c r="AI1085" s="51">
        <v>0.75207062999999996</v>
      </c>
    </row>
    <row r="1086" spans="31:35">
      <c r="AE1086" s="48">
        <v>40996</v>
      </c>
      <c r="AF1086" s="51">
        <v>0.90486840999999996</v>
      </c>
      <c r="AH1086" s="48">
        <v>41003</v>
      </c>
      <c r="AI1086" s="51">
        <v>0.73989393999999997</v>
      </c>
    </row>
    <row r="1087" spans="31:35">
      <c r="AE1087" s="48">
        <v>40995</v>
      </c>
      <c r="AF1087" s="51">
        <v>0.89567198000000003</v>
      </c>
      <c r="AH1087" s="48">
        <v>41002</v>
      </c>
      <c r="AI1087" s="51">
        <v>0.72198315999999996</v>
      </c>
    </row>
    <row r="1088" spans="31:35">
      <c r="AE1088" s="48">
        <v>40994</v>
      </c>
      <c r="AF1088" s="51">
        <v>0.83154335000000001</v>
      </c>
      <c r="AH1088" s="48">
        <v>41001</v>
      </c>
      <c r="AI1088" s="51">
        <v>0.77410944999999998</v>
      </c>
    </row>
    <row r="1089" spans="31:35">
      <c r="AE1089" s="48">
        <v>40991</v>
      </c>
      <c r="AF1089" s="51">
        <v>0.8216253</v>
      </c>
      <c r="AH1089" s="48">
        <v>40998</v>
      </c>
      <c r="AI1089" s="51">
        <v>0.74902453000000002</v>
      </c>
    </row>
    <row r="1090" spans="31:35">
      <c r="AE1090" s="48">
        <v>40990</v>
      </c>
      <c r="AF1090" s="51">
        <v>0.80795808999999996</v>
      </c>
      <c r="AH1090" s="48">
        <v>40997</v>
      </c>
      <c r="AI1090" s="51">
        <v>0.77179993000000002</v>
      </c>
    </row>
    <row r="1091" spans="31:35">
      <c r="AE1091" s="48">
        <v>40989</v>
      </c>
      <c r="AF1091" s="51">
        <v>0.80795808999999996</v>
      </c>
      <c r="AH1091" s="48">
        <v>40996</v>
      </c>
      <c r="AI1091" s="51">
        <v>0.76907639000000005</v>
      </c>
    </row>
    <row r="1092" spans="31:35">
      <c r="AE1092" s="48">
        <v>40988</v>
      </c>
      <c r="AF1092" s="51">
        <v>0.74634694000000001</v>
      </c>
      <c r="AH1092" s="48">
        <v>40995</v>
      </c>
      <c r="AI1092" s="51">
        <v>0.74882210999999999</v>
      </c>
    </row>
    <row r="1093" spans="31:35">
      <c r="AE1093" s="48">
        <v>40987</v>
      </c>
      <c r="AF1093" s="51">
        <v>0.74698810999999998</v>
      </c>
      <c r="AH1093" s="48">
        <v>40994</v>
      </c>
      <c r="AI1093" s="51">
        <v>0.71908229999999995</v>
      </c>
    </row>
    <row r="1094" spans="31:35">
      <c r="AE1094" s="48">
        <v>40984</v>
      </c>
      <c r="AF1094" s="51">
        <v>0.80057159</v>
      </c>
      <c r="AH1094" s="48">
        <v>40991</v>
      </c>
      <c r="AI1094" s="51">
        <v>0.71798969000000001</v>
      </c>
    </row>
    <row r="1095" spans="31:35">
      <c r="AE1095" s="48">
        <v>40983</v>
      </c>
      <c r="AF1095" s="51">
        <v>0.77902583999999997</v>
      </c>
      <c r="AH1095" s="48">
        <v>40990</v>
      </c>
      <c r="AI1095" s="51">
        <v>0.69728833999999995</v>
      </c>
    </row>
    <row r="1096" spans="31:35">
      <c r="AE1096" s="48">
        <v>40982</v>
      </c>
      <c r="AF1096" s="51">
        <v>0.77113012000000003</v>
      </c>
      <c r="AH1096" s="48">
        <v>40989</v>
      </c>
      <c r="AI1096" s="51">
        <v>0.69728833999999995</v>
      </c>
    </row>
    <row r="1097" spans="31:35">
      <c r="AE1097" s="48">
        <v>40981</v>
      </c>
      <c r="AF1097" s="51">
        <v>0.86420087999999995</v>
      </c>
      <c r="AH1097" s="48">
        <v>40988</v>
      </c>
      <c r="AI1097" s="51">
        <v>0.66688612999999997</v>
      </c>
    </row>
    <row r="1098" spans="31:35">
      <c r="AE1098" s="48">
        <v>40980</v>
      </c>
      <c r="AF1098" s="51">
        <v>0.91615384</v>
      </c>
      <c r="AH1098" s="48">
        <v>40987</v>
      </c>
      <c r="AI1098" s="51">
        <v>0.66691546000000002</v>
      </c>
    </row>
    <row r="1099" spans="31:35">
      <c r="AE1099" s="48">
        <v>40977</v>
      </c>
      <c r="AF1099" s="51">
        <v>0.91488800000000003</v>
      </c>
      <c r="AH1099" s="48">
        <v>40984</v>
      </c>
      <c r="AI1099" s="51">
        <v>0.69538016000000002</v>
      </c>
    </row>
    <row r="1100" spans="31:35">
      <c r="AE1100" s="48">
        <v>40976</v>
      </c>
      <c r="AF1100" s="51">
        <v>0.90661466999999996</v>
      </c>
      <c r="AH1100" s="48">
        <v>40983</v>
      </c>
      <c r="AI1100" s="51">
        <v>0.69155418000000002</v>
      </c>
    </row>
    <row r="1101" spans="31:35">
      <c r="AE1101" s="48">
        <v>40975</v>
      </c>
      <c r="AF1101" s="51">
        <v>0.91867080999999995</v>
      </c>
      <c r="AH1101" s="48">
        <v>40982</v>
      </c>
      <c r="AI1101" s="51">
        <v>0.68724370000000001</v>
      </c>
    </row>
    <row r="1102" spans="31:35">
      <c r="AE1102" s="48">
        <v>40974</v>
      </c>
      <c r="AF1102" s="51">
        <v>0.90010062000000002</v>
      </c>
      <c r="AH1102" s="48">
        <v>40981</v>
      </c>
      <c r="AI1102" s="51">
        <v>0.73571651000000005</v>
      </c>
    </row>
    <row r="1103" spans="31:35">
      <c r="AE1103" s="48">
        <v>40973</v>
      </c>
      <c r="AF1103" s="51">
        <v>0.87754933999999996</v>
      </c>
      <c r="AH1103" s="48">
        <v>40980</v>
      </c>
      <c r="AI1103" s="51">
        <v>0.77116247999999998</v>
      </c>
    </row>
    <row r="1104" spans="31:35">
      <c r="AE1104" s="48">
        <v>40970</v>
      </c>
      <c r="AF1104" s="51">
        <v>0.88433985999999998</v>
      </c>
      <c r="AH1104" s="48">
        <v>40977</v>
      </c>
      <c r="AI1104" s="51">
        <v>0.77061716000000002</v>
      </c>
    </row>
    <row r="1105" spans="31:35">
      <c r="AE1105" s="48">
        <v>40969</v>
      </c>
      <c r="AF1105" s="51">
        <v>0.85102255000000004</v>
      </c>
      <c r="AH1105" s="48">
        <v>40976</v>
      </c>
      <c r="AI1105" s="51">
        <v>0.76914051000000005</v>
      </c>
    </row>
    <row r="1106" spans="31:35">
      <c r="AE1106" s="48">
        <v>40968</v>
      </c>
      <c r="AF1106" s="51">
        <v>0.91287035999999999</v>
      </c>
      <c r="AH1106" s="48">
        <v>40975</v>
      </c>
      <c r="AI1106" s="51">
        <v>0.77187148000000005</v>
      </c>
    </row>
    <row r="1107" spans="31:35">
      <c r="AE1107" s="48">
        <v>40967</v>
      </c>
      <c r="AF1107" s="51">
        <v>0.93960624999999998</v>
      </c>
      <c r="AH1107" s="48">
        <v>40974</v>
      </c>
      <c r="AI1107" s="51">
        <v>0.74946897000000001</v>
      </c>
    </row>
    <row r="1108" spans="31:35">
      <c r="AE1108" s="48">
        <v>40966</v>
      </c>
      <c r="AF1108" s="51">
        <v>0.93817786999999997</v>
      </c>
      <c r="AH1108" s="48">
        <v>40973</v>
      </c>
      <c r="AI1108" s="51">
        <v>0.74335251000000002</v>
      </c>
    </row>
    <row r="1109" spans="31:35">
      <c r="AE1109" s="48">
        <v>40963</v>
      </c>
      <c r="AF1109" s="51">
        <v>0.92626867999999996</v>
      </c>
      <c r="AH1109" s="48">
        <v>40970</v>
      </c>
      <c r="AI1109" s="51">
        <v>0.74577318000000004</v>
      </c>
    </row>
    <row r="1110" spans="31:35">
      <c r="AE1110" s="48">
        <v>40962</v>
      </c>
      <c r="AF1110" s="51">
        <v>0.93221748000000004</v>
      </c>
      <c r="AH1110" s="48">
        <v>40969</v>
      </c>
      <c r="AI1110" s="51">
        <v>0.72107909999999997</v>
      </c>
    </row>
    <row r="1111" spans="31:35">
      <c r="AE1111" s="48">
        <v>40961</v>
      </c>
      <c r="AF1111" s="51">
        <v>0.90921328999999995</v>
      </c>
      <c r="AH1111" s="48">
        <v>40968</v>
      </c>
      <c r="AI1111" s="51">
        <v>0.75098984999999996</v>
      </c>
    </row>
    <row r="1112" spans="31:35">
      <c r="AE1112" s="48">
        <v>40960</v>
      </c>
      <c r="AF1112" s="51">
        <v>0.87658771000000002</v>
      </c>
      <c r="AH1112" s="48">
        <v>40967</v>
      </c>
      <c r="AI1112" s="51">
        <v>0.77469617999999996</v>
      </c>
    </row>
    <row r="1113" spans="31:35">
      <c r="AE1113" s="48">
        <v>40956</v>
      </c>
      <c r="AF1113" s="51">
        <v>0.91906602999999998</v>
      </c>
      <c r="AH1113" s="48">
        <v>40966</v>
      </c>
      <c r="AI1113" s="51">
        <v>0.77443565000000003</v>
      </c>
    </row>
    <row r="1114" spans="31:35">
      <c r="AE1114" s="48">
        <v>40955</v>
      </c>
      <c r="AF1114" s="51">
        <v>0.93815767000000005</v>
      </c>
      <c r="AH1114" s="48">
        <v>40963</v>
      </c>
      <c r="AI1114" s="51">
        <v>0.77234480000000005</v>
      </c>
    </row>
    <row r="1115" spans="31:35">
      <c r="AE1115" s="48">
        <v>40954</v>
      </c>
      <c r="AF1115" s="51">
        <v>0.94226847000000002</v>
      </c>
      <c r="AH1115" s="48">
        <v>40962</v>
      </c>
      <c r="AI1115" s="51">
        <v>0.77245870000000005</v>
      </c>
    </row>
    <row r="1116" spans="31:35">
      <c r="AE1116" s="48">
        <v>40953</v>
      </c>
      <c r="AF1116" s="51">
        <v>0.94156269999999997</v>
      </c>
      <c r="AH1116" s="48">
        <v>40961</v>
      </c>
      <c r="AI1116" s="51">
        <v>0.75071098000000003</v>
      </c>
    </row>
    <row r="1117" spans="31:35">
      <c r="AE1117" s="48">
        <v>40952</v>
      </c>
      <c r="AF1117" s="51">
        <v>0.92851982</v>
      </c>
      <c r="AH1117" s="48">
        <v>40960</v>
      </c>
      <c r="AI1117" s="51">
        <v>0.73214754999999998</v>
      </c>
    </row>
    <row r="1118" spans="31:35">
      <c r="AE1118" s="48">
        <v>40949</v>
      </c>
      <c r="AF1118" s="51">
        <v>0.93276685999999998</v>
      </c>
      <c r="AH1118" s="48">
        <v>40956</v>
      </c>
      <c r="AI1118" s="51">
        <v>0.75217928999999994</v>
      </c>
    </row>
    <row r="1119" spans="31:35">
      <c r="AE1119" s="48">
        <v>40948</v>
      </c>
      <c r="AF1119" s="51">
        <v>0.91185605000000003</v>
      </c>
      <c r="AH1119" s="48">
        <v>40955</v>
      </c>
      <c r="AI1119" s="51">
        <v>0.77443521000000004</v>
      </c>
    </row>
    <row r="1120" spans="31:35">
      <c r="AE1120" s="48">
        <v>40947</v>
      </c>
      <c r="AF1120" s="51">
        <v>0.94154565999999995</v>
      </c>
      <c r="AH1120" s="48">
        <v>40954</v>
      </c>
      <c r="AI1120" s="51">
        <v>0.79870560000000002</v>
      </c>
    </row>
    <row r="1121" spans="31:35">
      <c r="AE1121" s="48">
        <v>40946</v>
      </c>
      <c r="AF1121" s="51">
        <v>0.94164957999999999</v>
      </c>
      <c r="AH1121" s="48">
        <v>40953</v>
      </c>
      <c r="AI1121" s="51">
        <v>0.78448032000000001</v>
      </c>
    </row>
    <row r="1122" spans="31:35">
      <c r="AE1122" s="48">
        <v>40945</v>
      </c>
      <c r="AF1122" s="51">
        <v>0.94331547000000004</v>
      </c>
      <c r="AH1122" s="48">
        <v>40952</v>
      </c>
      <c r="AI1122" s="51">
        <v>0.77235942000000002</v>
      </c>
    </row>
    <row r="1123" spans="31:35">
      <c r="AE1123" s="48">
        <v>40942</v>
      </c>
      <c r="AF1123" s="51">
        <v>0.94026103000000005</v>
      </c>
      <c r="AH1123" s="48">
        <v>40949</v>
      </c>
      <c r="AI1123" s="51">
        <v>0.77260773000000005</v>
      </c>
    </row>
    <row r="1124" spans="31:35">
      <c r="AE1124" s="48">
        <v>40941</v>
      </c>
      <c r="AF1124" s="51">
        <v>0.94442683999999999</v>
      </c>
      <c r="AH1124" s="48">
        <v>40948</v>
      </c>
      <c r="AI1124" s="51">
        <v>0.75073586000000003</v>
      </c>
    </row>
    <row r="1125" spans="31:35">
      <c r="AE1125" s="48">
        <v>40940</v>
      </c>
      <c r="AF1125" s="51">
        <v>0.94277608000000002</v>
      </c>
      <c r="AH1125" s="48">
        <v>40947</v>
      </c>
      <c r="AI1125" s="51">
        <v>0.78447988000000002</v>
      </c>
    </row>
    <row r="1126" spans="31:35">
      <c r="AE1126" s="48">
        <v>40939</v>
      </c>
      <c r="AF1126" s="51">
        <v>0.95587728000000005</v>
      </c>
      <c r="AH1126" s="48">
        <v>40946</v>
      </c>
      <c r="AI1126" s="51">
        <v>0.7849235</v>
      </c>
    </row>
    <row r="1127" spans="31:35">
      <c r="AE1127" s="48">
        <v>40938</v>
      </c>
      <c r="AF1127" s="51">
        <v>0.95519228</v>
      </c>
      <c r="AH1127" s="48">
        <v>40945</v>
      </c>
      <c r="AI1127" s="51">
        <v>0.80291131000000004</v>
      </c>
    </row>
    <row r="1128" spans="31:35">
      <c r="AE1128" s="48">
        <v>40935</v>
      </c>
      <c r="AF1128" s="51">
        <v>0.95520771000000004</v>
      </c>
      <c r="AH1128" s="48">
        <v>40942</v>
      </c>
      <c r="AI1128" s="51">
        <v>0.78398760999999995</v>
      </c>
    </row>
    <row r="1129" spans="31:35">
      <c r="AE1129" s="48">
        <v>40934</v>
      </c>
      <c r="AF1129" s="51">
        <v>0.95396824999999996</v>
      </c>
      <c r="AH1129" s="48">
        <v>40941</v>
      </c>
      <c r="AI1129" s="51">
        <v>0.82346302999999998</v>
      </c>
    </row>
    <row r="1130" spans="31:35">
      <c r="AE1130" s="48">
        <v>40933</v>
      </c>
      <c r="AF1130" s="51">
        <v>0.94870708999999998</v>
      </c>
      <c r="AH1130" s="48">
        <v>40940</v>
      </c>
      <c r="AI1130" s="51">
        <v>0.79938662999999999</v>
      </c>
    </row>
    <row r="1131" spans="31:35">
      <c r="AE1131" s="48">
        <v>40932</v>
      </c>
      <c r="AF1131" s="51">
        <v>0.89611079000000005</v>
      </c>
      <c r="AH1131" s="48">
        <v>40939</v>
      </c>
      <c r="AI1131" s="51">
        <v>0.83949010000000002</v>
      </c>
    </row>
    <row r="1132" spans="31:35">
      <c r="AE1132" s="48">
        <v>40931</v>
      </c>
      <c r="AF1132" s="51">
        <v>0.88732091000000002</v>
      </c>
      <c r="AH1132" s="48">
        <v>40938</v>
      </c>
      <c r="AI1132" s="51">
        <v>0.82124496000000002</v>
      </c>
    </row>
    <row r="1133" spans="31:35">
      <c r="AE1133" s="48">
        <v>40928</v>
      </c>
      <c r="AF1133" s="51">
        <v>0.88538640000000002</v>
      </c>
      <c r="AH1133" s="48">
        <v>40935</v>
      </c>
      <c r="AI1133" s="51">
        <v>0.82124540000000001</v>
      </c>
    </row>
    <row r="1134" spans="31:35">
      <c r="AE1134" s="48">
        <v>40927</v>
      </c>
      <c r="AF1134" s="51">
        <v>0.89227334999999997</v>
      </c>
      <c r="AH1134" s="48">
        <v>40934</v>
      </c>
      <c r="AI1134" s="51">
        <v>0.81472493999999995</v>
      </c>
    </row>
    <row r="1135" spans="31:35">
      <c r="AE1135" s="48">
        <v>40926</v>
      </c>
      <c r="AF1135" s="51">
        <v>0.93659367999999998</v>
      </c>
      <c r="AH1135" s="48">
        <v>40933</v>
      </c>
      <c r="AI1135" s="51">
        <v>0.79034892000000001</v>
      </c>
    </row>
    <row r="1136" spans="31:35">
      <c r="AE1136" s="48">
        <v>40925</v>
      </c>
      <c r="AF1136" s="51">
        <v>0.95436023999999997</v>
      </c>
      <c r="AH1136" s="48">
        <v>40932</v>
      </c>
      <c r="AI1136" s="51">
        <v>0.76293575999999996</v>
      </c>
    </row>
    <row r="1137" spans="31:35">
      <c r="AE1137" s="48">
        <v>40921</v>
      </c>
      <c r="AF1137" s="51">
        <v>0.95582394000000004</v>
      </c>
      <c r="AH1137" s="48">
        <v>40931</v>
      </c>
      <c r="AI1137" s="51">
        <v>0.74847394</v>
      </c>
    </row>
    <row r="1138" spans="31:35">
      <c r="AE1138" s="48">
        <v>40920</v>
      </c>
      <c r="AF1138" s="51">
        <v>0.95488927999999995</v>
      </c>
      <c r="AH1138" s="48">
        <v>40928</v>
      </c>
      <c r="AI1138" s="51">
        <v>0.74740678999999999</v>
      </c>
    </row>
    <row r="1139" spans="31:35">
      <c r="AE1139" s="48">
        <v>40919</v>
      </c>
      <c r="AF1139" s="51">
        <v>0.95327545000000002</v>
      </c>
      <c r="AH1139" s="48">
        <v>40927</v>
      </c>
      <c r="AI1139" s="51">
        <v>0.76289839999999998</v>
      </c>
    </row>
    <row r="1140" spans="31:35">
      <c r="AE1140" s="48">
        <v>40918</v>
      </c>
      <c r="AF1140" s="51">
        <v>0.95494785000000004</v>
      </c>
      <c r="AH1140" s="48">
        <v>40926</v>
      </c>
      <c r="AI1140" s="51">
        <v>0.78877812999999997</v>
      </c>
    </row>
    <row r="1141" spans="31:35">
      <c r="AE1141" s="48">
        <v>40917</v>
      </c>
      <c r="AF1141" s="51">
        <v>0.95587529999999998</v>
      </c>
      <c r="AH1141" s="48">
        <v>40925</v>
      </c>
      <c r="AI1141" s="51">
        <v>0.81571386000000001</v>
      </c>
    </row>
    <row r="1142" spans="31:35">
      <c r="AE1142" s="48">
        <v>40914</v>
      </c>
      <c r="AF1142" s="51">
        <v>0.95598488999999998</v>
      </c>
      <c r="AH1142" s="48">
        <v>40921</v>
      </c>
      <c r="AI1142" s="51">
        <v>0.83813539999999997</v>
      </c>
    </row>
    <row r="1143" spans="31:35">
      <c r="AE1143" s="48">
        <v>40913</v>
      </c>
      <c r="AF1143" s="51">
        <v>0.95518174</v>
      </c>
      <c r="AH1143" s="48">
        <v>40920</v>
      </c>
      <c r="AI1143" s="51">
        <v>0.81882617000000002</v>
      </c>
    </row>
    <row r="1144" spans="31:35">
      <c r="AE1144" s="48">
        <v>40912</v>
      </c>
      <c r="AF1144" s="51">
        <v>0.94976475000000005</v>
      </c>
      <c r="AH1144" s="48">
        <v>40919</v>
      </c>
      <c r="AI1144" s="51">
        <v>0.81444154000000002</v>
      </c>
    </row>
    <row r="1145" spans="31:35">
      <c r="AE1145" s="48">
        <v>40911</v>
      </c>
      <c r="AF1145" s="51">
        <v>0.95525888999999997</v>
      </c>
      <c r="AH1145" s="48">
        <v>40918</v>
      </c>
      <c r="AI1145" s="51">
        <v>0.81941699000000001</v>
      </c>
    </row>
    <row r="1146" spans="31:35">
      <c r="AE1146" s="48">
        <v>40907</v>
      </c>
      <c r="AF1146" s="51">
        <v>0.96357256000000002</v>
      </c>
      <c r="AH1146" s="48">
        <v>40917</v>
      </c>
      <c r="AI1146" s="51">
        <v>0.83948944000000003</v>
      </c>
    </row>
    <row r="1147" spans="31:35">
      <c r="AE1147" s="48">
        <v>40906</v>
      </c>
      <c r="AF1147" s="51">
        <v>0.96316809000000003</v>
      </c>
      <c r="AH1147" s="48">
        <v>40914</v>
      </c>
      <c r="AI1147" s="51">
        <v>0.84024982000000004</v>
      </c>
    </row>
    <row r="1148" spans="31:35">
      <c r="AE1148" s="48">
        <v>40905</v>
      </c>
      <c r="AF1148" s="51">
        <v>0.96203097000000004</v>
      </c>
      <c r="AH1148" s="48">
        <v>40913</v>
      </c>
      <c r="AI1148" s="51">
        <v>0.82122463999999995</v>
      </c>
    </row>
    <row r="1149" spans="31:35">
      <c r="AE1149" s="48">
        <v>40904</v>
      </c>
      <c r="AF1149" s="51">
        <v>0.90153247000000003</v>
      </c>
      <c r="AH1149" s="48">
        <v>40912</v>
      </c>
      <c r="AI1149" s="51">
        <v>0.79087441000000003</v>
      </c>
    </row>
    <row r="1150" spans="31:35">
      <c r="AE1150" s="48">
        <v>40900</v>
      </c>
      <c r="AF1150" s="51">
        <v>0.88768075999999996</v>
      </c>
      <c r="AH1150" s="48">
        <v>40911</v>
      </c>
      <c r="AI1150" s="51">
        <v>0.82143067999999997</v>
      </c>
    </row>
    <row r="1151" spans="31:35">
      <c r="AE1151" s="48">
        <v>40899</v>
      </c>
      <c r="AF1151" s="51">
        <v>0.94145855000000001</v>
      </c>
      <c r="AH1151" s="48">
        <v>40907</v>
      </c>
      <c r="AI1151" s="51">
        <v>0.83026537</v>
      </c>
    </row>
    <row r="1152" spans="31:35">
      <c r="AE1152" s="48">
        <v>40898</v>
      </c>
      <c r="AF1152" s="51">
        <v>0.93509511000000001</v>
      </c>
      <c r="AH1152" s="48">
        <v>40906</v>
      </c>
      <c r="AI1152" s="51">
        <v>0.82701853000000003</v>
      </c>
    </row>
    <row r="1153" spans="31:35">
      <c r="AE1153" s="48">
        <v>40897</v>
      </c>
      <c r="AF1153" s="51">
        <v>0.94762259999999998</v>
      </c>
      <c r="AH1153" s="48">
        <v>40905</v>
      </c>
      <c r="AI1153" s="51">
        <v>0.82565732999999997</v>
      </c>
    </row>
    <row r="1154" spans="31:35">
      <c r="AE1154" s="48">
        <v>40896</v>
      </c>
      <c r="AF1154" s="51">
        <v>0.96248904999999996</v>
      </c>
      <c r="AH1154" s="48">
        <v>40904</v>
      </c>
      <c r="AI1154" s="51">
        <v>0.76052481000000005</v>
      </c>
    </row>
    <row r="1155" spans="31:35">
      <c r="AE1155" s="48">
        <v>40893</v>
      </c>
      <c r="AF1155" s="51">
        <v>0.96201596</v>
      </c>
      <c r="AH1155" s="48">
        <v>40900</v>
      </c>
      <c r="AI1155" s="51">
        <v>0.75397696999999997</v>
      </c>
    </row>
    <row r="1156" spans="31:35">
      <c r="AE1156" s="48">
        <v>40892</v>
      </c>
      <c r="AF1156" s="51">
        <v>0.95734724999999998</v>
      </c>
      <c r="AH1156" s="48">
        <v>40899</v>
      </c>
      <c r="AI1156" s="51">
        <v>0.78087872000000003</v>
      </c>
    </row>
    <row r="1157" spans="31:35">
      <c r="AE1157" s="48">
        <v>40891</v>
      </c>
      <c r="AF1157" s="51">
        <v>0.96184685999999997</v>
      </c>
      <c r="AH1157" s="48">
        <v>40898</v>
      </c>
      <c r="AI1157" s="51">
        <v>0.77941484999999999</v>
      </c>
    </row>
    <row r="1158" spans="31:35">
      <c r="AE1158" s="48">
        <v>40890</v>
      </c>
      <c r="AF1158" s="51">
        <v>0.95934121999999999</v>
      </c>
      <c r="AH1158" s="48">
        <v>40897</v>
      </c>
      <c r="AI1158" s="51">
        <v>0.80016290000000001</v>
      </c>
    </row>
    <row r="1159" spans="31:35">
      <c r="AE1159" s="48">
        <v>40889</v>
      </c>
      <c r="AF1159" s="51">
        <v>0.94007459000000004</v>
      </c>
      <c r="AH1159" s="48">
        <v>40896</v>
      </c>
      <c r="AI1159" s="51">
        <v>0.82586179000000004</v>
      </c>
    </row>
    <row r="1160" spans="31:35">
      <c r="AE1160" s="48">
        <v>40886</v>
      </c>
      <c r="AF1160" s="51">
        <v>0.93509511000000001</v>
      </c>
      <c r="AH1160" s="48">
        <v>40893</v>
      </c>
      <c r="AI1160" s="51">
        <v>0.82564232000000004</v>
      </c>
    </row>
    <row r="1161" spans="31:35">
      <c r="AE1161" s="48">
        <v>40885</v>
      </c>
      <c r="AF1161" s="51">
        <v>0.96150404</v>
      </c>
      <c r="AH1161" s="48">
        <v>40892</v>
      </c>
      <c r="AI1161" s="51">
        <v>0.80040672999999996</v>
      </c>
    </row>
    <row r="1162" spans="31:35">
      <c r="AE1162" s="48">
        <v>40884</v>
      </c>
      <c r="AF1162" s="51">
        <v>0.95843502000000003</v>
      </c>
      <c r="AH1162" s="48">
        <v>40891</v>
      </c>
      <c r="AI1162" s="51">
        <v>0.81248182000000002</v>
      </c>
    </row>
    <row r="1163" spans="31:35">
      <c r="AE1163" s="48">
        <v>40883</v>
      </c>
      <c r="AF1163" s="51">
        <v>0.93255030000000005</v>
      </c>
      <c r="AH1163" s="48">
        <v>40890</v>
      </c>
      <c r="AI1163" s="51">
        <v>0.80237022999999996</v>
      </c>
    </row>
    <row r="1164" spans="31:35">
      <c r="AE1164" s="48">
        <v>40882</v>
      </c>
      <c r="AF1164" s="51">
        <v>0.94007459000000004</v>
      </c>
      <c r="AH1164" s="48">
        <v>40889</v>
      </c>
      <c r="AI1164" s="51">
        <v>0.78085914000000001</v>
      </c>
    </row>
    <row r="1165" spans="31:35">
      <c r="AE1165" s="48">
        <v>40879</v>
      </c>
      <c r="AF1165" s="51">
        <v>0.94642669999999995</v>
      </c>
      <c r="AH1165" s="48">
        <v>40886</v>
      </c>
      <c r="AI1165" s="51">
        <v>0.77941484999999999</v>
      </c>
    </row>
    <row r="1166" spans="31:35">
      <c r="AE1166" s="48">
        <v>40878</v>
      </c>
      <c r="AF1166" s="51">
        <v>0.90299746999999997</v>
      </c>
      <c r="AH1166" s="48">
        <v>40885</v>
      </c>
      <c r="AI1166" s="51">
        <v>0.81247508000000002</v>
      </c>
    </row>
    <row r="1167" spans="31:35">
      <c r="AE1167" s="48">
        <v>40877</v>
      </c>
      <c r="AF1167" s="51">
        <v>0.94713698999999996</v>
      </c>
      <c r="AH1167" s="48">
        <v>40884</v>
      </c>
      <c r="AI1167" s="51">
        <v>0.80185863999999996</v>
      </c>
    </row>
    <row r="1168" spans="31:35">
      <c r="AE1168" s="48">
        <v>40876</v>
      </c>
      <c r="AF1168" s="51">
        <v>0.94248140999999996</v>
      </c>
      <c r="AH1168" s="48">
        <v>40883</v>
      </c>
      <c r="AI1168" s="51">
        <v>0.77929499999999996</v>
      </c>
    </row>
    <row r="1169" spans="31:35">
      <c r="AE1169" s="48">
        <v>40875</v>
      </c>
      <c r="AF1169" s="51">
        <v>0.93485322999999998</v>
      </c>
      <c r="AH1169" s="48">
        <v>40882</v>
      </c>
      <c r="AI1169" s="51">
        <v>0.78085914000000001</v>
      </c>
    </row>
    <row r="1170" spans="31:35">
      <c r="AE1170" s="48">
        <v>40872</v>
      </c>
      <c r="AF1170" s="51">
        <v>0.91044426999999994</v>
      </c>
      <c r="AH1170" s="48">
        <v>40879</v>
      </c>
      <c r="AI1170" s="51">
        <v>0.78119302999999995</v>
      </c>
    </row>
    <row r="1171" spans="31:35">
      <c r="AE1171" s="48">
        <v>40870</v>
      </c>
      <c r="AF1171" s="51">
        <v>0.96192434999999998</v>
      </c>
      <c r="AH1171" s="48">
        <v>40878</v>
      </c>
      <c r="AI1171" s="51">
        <v>0.76053873000000005</v>
      </c>
    </row>
    <row r="1172" spans="31:35">
      <c r="AE1172" s="48">
        <v>40869</v>
      </c>
      <c r="AF1172" s="51">
        <v>0.96795673000000004</v>
      </c>
      <c r="AH1172" s="48">
        <v>40877</v>
      </c>
      <c r="AI1172" s="51">
        <v>0.79059241000000002</v>
      </c>
    </row>
    <row r="1173" spans="31:35">
      <c r="AE1173" s="48">
        <v>40868</v>
      </c>
      <c r="AF1173" s="51">
        <v>0.95301842999999997</v>
      </c>
      <c r="AH1173" s="48">
        <v>40876</v>
      </c>
      <c r="AI1173" s="51">
        <v>0.78813977000000002</v>
      </c>
    </row>
    <row r="1174" spans="31:35">
      <c r="AE1174" s="48">
        <v>40865</v>
      </c>
      <c r="AF1174" s="51">
        <v>0.92694175999999995</v>
      </c>
      <c r="AH1174" s="48">
        <v>40875</v>
      </c>
      <c r="AI1174" s="51">
        <v>0.78806127999999998</v>
      </c>
    </row>
    <row r="1175" spans="31:35">
      <c r="AE1175" s="48">
        <v>40864</v>
      </c>
      <c r="AF1175" s="51">
        <v>0.95968770000000003</v>
      </c>
      <c r="AH1175" s="48">
        <v>40872</v>
      </c>
      <c r="AI1175" s="51">
        <v>0.76728026999999999</v>
      </c>
    </row>
    <row r="1176" spans="31:35">
      <c r="AE1176" s="48">
        <v>40863</v>
      </c>
      <c r="AF1176" s="51">
        <v>0.93630206999999999</v>
      </c>
      <c r="AH1176" s="48">
        <v>40870</v>
      </c>
      <c r="AI1176" s="51">
        <v>0.79405612000000003</v>
      </c>
    </row>
    <row r="1177" spans="31:35">
      <c r="AE1177" s="48">
        <v>40862</v>
      </c>
      <c r="AF1177" s="51">
        <v>0.89809116</v>
      </c>
      <c r="AH1177" s="48">
        <v>40869</v>
      </c>
      <c r="AI1177" s="51">
        <v>0.81312483999999996</v>
      </c>
    </row>
    <row r="1178" spans="31:35">
      <c r="AE1178" s="48">
        <v>40861</v>
      </c>
      <c r="AF1178" s="51">
        <v>0.91741673999999995</v>
      </c>
      <c r="AH1178" s="48">
        <v>40868</v>
      </c>
      <c r="AI1178" s="51">
        <v>0.79240533000000002</v>
      </c>
    </row>
    <row r="1179" spans="31:35">
      <c r="AE1179" s="48">
        <v>40857</v>
      </c>
      <c r="AF1179" s="51">
        <v>0.91368415000000003</v>
      </c>
      <c r="AH1179" s="48">
        <v>40865</v>
      </c>
      <c r="AI1179" s="51">
        <v>0.78789527999999998</v>
      </c>
    </row>
    <row r="1180" spans="31:35">
      <c r="AE1180" s="48">
        <v>40856</v>
      </c>
      <c r="AF1180" s="51">
        <v>0.95279994000000001</v>
      </c>
      <c r="AH1180" s="48">
        <v>40864</v>
      </c>
      <c r="AI1180" s="51">
        <v>0.79386323999999997</v>
      </c>
    </row>
    <row r="1181" spans="31:35">
      <c r="AE1181" s="48">
        <v>40855</v>
      </c>
      <c r="AF1181" s="51">
        <v>0.97103322000000003</v>
      </c>
      <c r="AH1181" s="48">
        <v>40863</v>
      </c>
      <c r="AI1181" s="51">
        <v>0.78806235999999996</v>
      </c>
    </row>
    <row r="1182" spans="31:35">
      <c r="AE1182" s="48">
        <v>40854</v>
      </c>
      <c r="AF1182" s="51">
        <v>0.97592325999999996</v>
      </c>
      <c r="AH1182" s="48">
        <v>40862</v>
      </c>
      <c r="AI1182" s="51">
        <v>0.76612318999999995</v>
      </c>
    </row>
    <row r="1183" spans="31:35">
      <c r="AE1183" s="48">
        <v>40851</v>
      </c>
      <c r="AF1183" s="51">
        <v>0.97438150000000001</v>
      </c>
      <c r="AH1183" s="48">
        <v>40861</v>
      </c>
      <c r="AI1183" s="51">
        <v>0.77261347000000002</v>
      </c>
    </row>
    <row r="1184" spans="31:35">
      <c r="AE1184" s="48">
        <v>40850</v>
      </c>
      <c r="AF1184" s="51">
        <v>0.97161434999999996</v>
      </c>
      <c r="AH1184" s="48">
        <v>40857</v>
      </c>
      <c r="AI1184" s="51">
        <v>0.76735768000000004</v>
      </c>
    </row>
    <row r="1185" spans="31:35">
      <c r="AE1185" s="48">
        <v>40849</v>
      </c>
      <c r="AF1185" s="51">
        <v>0.97461584000000001</v>
      </c>
      <c r="AH1185" s="48">
        <v>40856</v>
      </c>
      <c r="AI1185" s="51">
        <v>0.79240447000000003</v>
      </c>
    </row>
    <row r="1186" spans="31:35">
      <c r="AE1186" s="48">
        <v>40848</v>
      </c>
      <c r="AF1186" s="51">
        <v>0.97060621000000002</v>
      </c>
      <c r="AH1186" s="48">
        <v>40855</v>
      </c>
      <c r="AI1186" s="51">
        <v>0.81469778999999998</v>
      </c>
    </row>
    <row r="1187" spans="31:35">
      <c r="AE1187" s="48">
        <v>40847</v>
      </c>
      <c r="AF1187" s="51">
        <v>0.91081164000000003</v>
      </c>
      <c r="AH1187" s="48">
        <v>40854</v>
      </c>
      <c r="AI1187" s="51">
        <v>0.84229441999999999</v>
      </c>
    </row>
    <row r="1188" spans="31:35">
      <c r="AE1188" s="48">
        <v>40844</v>
      </c>
      <c r="AF1188" s="51">
        <v>0.84286576999999996</v>
      </c>
      <c r="AH1188" s="48">
        <v>40851</v>
      </c>
      <c r="AI1188" s="51">
        <v>0.83793209000000002</v>
      </c>
    </row>
    <row r="1189" spans="31:35">
      <c r="AE1189" s="48">
        <v>40843</v>
      </c>
      <c r="AF1189" s="51">
        <v>0.82771581000000005</v>
      </c>
      <c r="AH1189" s="48">
        <v>40850</v>
      </c>
      <c r="AI1189" s="51">
        <v>0.81511065000000005</v>
      </c>
    </row>
    <row r="1190" spans="31:35">
      <c r="AE1190" s="48">
        <v>40842</v>
      </c>
      <c r="AF1190" s="51">
        <v>0.86459914999999998</v>
      </c>
      <c r="AH1190" s="48">
        <v>40849</v>
      </c>
      <c r="AI1190" s="51">
        <v>0.83808455000000004</v>
      </c>
    </row>
    <row r="1191" spans="31:35">
      <c r="AE1191" s="48">
        <v>40841</v>
      </c>
      <c r="AF1191" s="51">
        <v>0.89465903000000002</v>
      </c>
      <c r="AH1191" s="48">
        <v>40848</v>
      </c>
      <c r="AI1191" s="51">
        <v>0.81332289000000002</v>
      </c>
    </row>
    <row r="1192" spans="31:35">
      <c r="AE1192" s="48">
        <v>40840</v>
      </c>
      <c r="AF1192" s="51">
        <v>0.83822136000000003</v>
      </c>
      <c r="AH1192" s="48">
        <v>40847</v>
      </c>
      <c r="AI1192" s="51">
        <v>0.78009742999999998</v>
      </c>
    </row>
    <row r="1193" spans="31:35">
      <c r="AE1193" s="48">
        <v>40837</v>
      </c>
      <c r="AF1193" s="51">
        <v>0.8463716</v>
      </c>
      <c r="AH1193" s="48">
        <v>40844</v>
      </c>
      <c r="AI1193" s="51">
        <v>0.73250733000000001</v>
      </c>
    </row>
    <row r="1194" spans="31:35">
      <c r="AE1194" s="48">
        <v>40836</v>
      </c>
      <c r="AF1194" s="51">
        <v>0.84735875999999999</v>
      </c>
      <c r="AH1194" s="48">
        <v>40843</v>
      </c>
      <c r="AI1194" s="51">
        <v>0.69692237000000001</v>
      </c>
    </row>
    <row r="1195" spans="31:35">
      <c r="AE1195" s="48">
        <v>40835</v>
      </c>
      <c r="AF1195" s="51">
        <v>0.86681474000000003</v>
      </c>
      <c r="AH1195" s="48">
        <v>40842</v>
      </c>
      <c r="AI1195" s="51">
        <v>0.75480650000000005</v>
      </c>
    </row>
    <row r="1196" spans="31:35">
      <c r="AE1196" s="48">
        <v>40834</v>
      </c>
      <c r="AF1196" s="51">
        <v>0.84441679000000003</v>
      </c>
      <c r="AH1196" s="48">
        <v>40841</v>
      </c>
      <c r="AI1196" s="51">
        <v>0.75981483999999999</v>
      </c>
    </row>
    <row r="1197" spans="31:35">
      <c r="AE1197" s="48">
        <v>40833</v>
      </c>
      <c r="AF1197" s="51">
        <v>0.84306073000000004</v>
      </c>
      <c r="AH1197" s="48">
        <v>40840</v>
      </c>
      <c r="AI1197" s="51">
        <v>0.73089588999999999</v>
      </c>
    </row>
    <row r="1198" spans="31:35">
      <c r="AE1198" s="48">
        <v>40830</v>
      </c>
      <c r="AF1198" s="51">
        <v>0.83013197000000005</v>
      </c>
      <c r="AH1198" s="48">
        <v>40837</v>
      </c>
      <c r="AI1198" s="51">
        <v>0.73684552999999997</v>
      </c>
    </row>
    <row r="1199" spans="31:35">
      <c r="AE1199" s="48">
        <v>40829</v>
      </c>
      <c r="AF1199" s="51">
        <v>0.84078129000000001</v>
      </c>
      <c r="AH1199" s="48">
        <v>40836</v>
      </c>
      <c r="AI1199" s="51">
        <v>0.73691709999999999</v>
      </c>
    </row>
    <row r="1200" spans="31:35">
      <c r="AE1200" s="48">
        <v>40828</v>
      </c>
      <c r="AF1200" s="51">
        <v>0.83542744999999996</v>
      </c>
      <c r="AH1200" s="48">
        <v>40835</v>
      </c>
      <c r="AI1200" s="51">
        <v>0.75481863999999999</v>
      </c>
    </row>
    <row r="1201" spans="31:35">
      <c r="AE1201" s="48">
        <v>40827</v>
      </c>
      <c r="AF1201" s="51">
        <v>0.82950210999999996</v>
      </c>
      <c r="AH1201" s="48">
        <v>40834</v>
      </c>
      <c r="AI1201" s="51">
        <v>0.73274994999999998</v>
      </c>
    </row>
    <row r="1202" spans="31:35">
      <c r="AE1202" s="48">
        <v>40823</v>
      </c>
      <c r="AF1202" s="51">
        <v>0.83613196000000001</v>
      </c>
      <c r="AH1202" s="48">
        <v>40833</v>
      </c>
      <c r="AI1202" s="51">
        <v>0.73252627999999997</v>
      </c>
    </row>
    <row r="1203" spans="31:35">
      <c r="AE1203" s="48">
        <v>40822</v>
      </c>
      <c r="AF1203" s="51">
        <v>0.88478330999999999</v>
      </c>
      <c r="AH1203" s="48">
        <v>40830</v>
      </c>
      <c r="AI1203" s="51">
        <v>0.69953049</v>
      </c>
    </row>
    <row r="1204" spans="31:35">
      <c r="AE1204" s="48">
        <v>40821</v>
      </c>
      <c r="AF1204" s="51">
        <v>0.92342051999999997</v>
      </c>
      <c r="AH1204" s="48">
        <v>40829</v>
      </c>
      <c r="AI1204" s="51">
        <v>0.73232775999999999</v>
      </c>
    </row>
    <row r="1205" spans="31:35">
      <c r="AE1205" s="48">
        <v>40820</v>
      </c>
      <c r="AF1205" s="51">
        <v>0.94663377999999998</v>
      </c>
      <c r="AH1205" s="48">
        <v>40828</v>
      </c>
      <c r="AI1205" s="51">
        <v>0.70129870999999999</v>
      </c>
    </row>
    <row r="1206" spans="31:35">
      <c r="AE1206" s="48">
        <v>40819</v>
      </c>
      <c r="AF1206" s="51">
        <v>0.97810912000000005</v>
      </c>
      <c r="AH1206" s="48">
        <v>40827</v>
      </c>
      <c r="AI1206" s="51">
        <v>0.69925187</v>
      </c>
    </row>
    <row r="1207" spans="31:35">
      <c r="AE1207" s="48">
        <v>40816</v>
      </c>
      <c r="AF1207" s="51">
        <v>0.95732165999999996</v>
      </c>
      <c r="AH1207" s="48">
        <v>40823</v>
      </c>
      <c r="AI1207" s="51">
        <v>0.73073357000000005</v>
      </c>
    </row>
    <row r="1208" spans="31:35">
      <c r="AE1208" s="48">
        <v>40815</v>
      </c>
      <c r="AF1208" s="51">
        <v>0.92916330000000003</v>
      </c>
      <c r="AH1208" s="48">
        <v>40822</v>
      </c>
      <c r="AI1208" s="51">
        <v>0.75862090999999998</v>
      </c>
    </row>
    <row r="1209" spans="31:35">
      <c r="AE1209" s="48">
        <v>40814</v>
      </c>
      <c r="AF1209" s="51">
        <v>0.87701468999999999</v>
      </c>
      <c r="AH1209" s="48">
        <v>40821</v>
      </c>
      <c r="AI1209" s="51">
        <v>0.78213553000000002</v>
      </c>
    </row>
    <row r="1210" spans="31:35">
      <c r="AE1210" s="48">
        <v>40813</v>
      </c>
      <c r="AF1210" s="51">
        <v>0.92916330000000003</v>
      </c>
      <c r="AH1210" s="48">
        <v>40820</v>
      </c>
      <c r="AI1210" s="51">
        <v>0.80257745000000003</v>
      </c>
    </row>
    <row r="1211" spans="31:35">
      <c r="AE1211" s="48">
        <v>40812</v>
      </c>
      <c r="AF1211" s="51">
        <v>0.98181251999999997</v>
      </c>
      <c r="AH1211" s="48">
        <v>40819</v>
      </c>
      <c r="AI1211" s="51">
        <v>0.82897178000000005</v>
      </c>
    </row>
    <row r="1212" spans="31:35">
      <c r="AE1212" s="48">
        <v>40809</v>
      </c>
      <c r="AF1212" s="51">
        <v>0.98557090000000003</v>
      </c>
      <c r="AH1212" s="48">
        <v>40816</v>
      </c>
      <c r="AI1212" s="51">
        <v>0.81810634000000004</v>
      </c>
    </row>
    <row r="1213" spans="31:35">
      <c r="AE1213" s="48">
        <v>40808</v>
      </c>
      <c r="AF1213" s="51">
        <v>0.98718243000000006</v>
      </c>
      <c r="AH1213" s="48">
        <v>40815</v>
      </c>
      <c r="AI1213" s="51">
        <v>0.79816575999999995</v>
      </c>
    </row>
    <row r="1214" spans="31:35">
      <c r="AE1214" s="48">
        <v>40807</v>
      </c>
      <c r="AF1214" s="51">
        <v>0.98438846000000002</v>
      </c>
      <c r="AH1214" s="48">
        <v>40814</v>
      </c>
      <c r="AI1214" s="51">
        <v>0.77097026999999996</v>
      </c>
    </row>
    <row r="1215" spans="31:35">
      <c r="AE1215" s="48">
        <v>40806</v>
      </c>
      <c r="AF1215" s="51">
        <v>0.90939444999999997</v>
      </c>
      <c r="AH1215" s="48">
        <v>40813</v>
      </c>
      <c r="AI1215" s="51">
        <v>0.79816575999999995</v>
      </c>
    </row>
    <row r="1216" spans="31:35">
      <c r="AE1216" s="48">
        <v>40805</v>
      </c>
      <c r="AF1216" s="51">
        <v>0.91915827999999999</v>
      </c>
      <c r="AH1216" s="48">
        <v>40812</v>
      </c>
      <c r="AI1216" s="51">
        <v>0.84420607999999997</v>
      </c>
    </row>
    <row r="1217" spans="31:35">
      <c r="AE1217" s="48">
        <v>40802</v>
      </c>
      <c r="AF1217" s="51">
        <v>0.85253478000000005</v>
      </c>
      <c r="AH1217" s="48">
        <v>40809</v>
      </c>
      <c r="AI1217" s="51">
        <v>0.87077696000000004</v>
      </c>
    </row>
    <row r="1218" spans="31:35">
      <c r="AE1218" s="48">
        <v>40801</v>
      </c>
      <c r="AF1218" s="51">
        <v>0.85233175999999999</v>
      </c>
      <c r="AH1218" s="48">
        <v>40808</v>
      </c>
      <c r="AI1218" s="51">
        <v>0.91632873000000004</v>
      </c>
    </row>
    <row r="1219" spans="31:35">
      <c r="AE1219" s="48">
        <v>40800</v>
      </c>
      <c r="AF1219" s="51">
        <v>0.88148886000000004</v>
      </c>
      <c r="AH1219" s="48">
        <v>40807</v>
      </c>
      <c r="AI1219" s="51">
        <v>0.86559301</v>
      </c>
    </row>
    <row r="1220" spans="31:35">
      <c r="AE1220" s="48">
        <v>40799</v>
      </c>
      <c r="AF1220" s="51">
        <v>0.87859103000000005</v>
      </c>
      <c r="AH1220" s="48">
        <v>40806</v>
      </c>
      <c r="AI1220" s="51">
        <v>0.77601542000000001</v>
      </c>
    </row>
    <row r="1221" spans="31:35">
      <c r="AE1221" s="48">
        <v>40798</v>
      </c>
      <c r="AF1221" s="51">
        <v>0.90497623000000005</v>
      </c>
      <c r="AH1221" s="48">
        <v>40805</v>
      </c>
      <c r="AI1221" s="51">
        <v>0.79719671000000003</v>
      </c>
    </row>
    <row r="1222" spans="31:35">
      <c r="AE1222" s="48">
        <v>40795</v>
      </c>
      <c r="AF1222" s="51">
        <v>0.93021054999999997</v>
      </c>
      <c r="AH1222" s="48">
        <v>40802</v>
      </c>
      <c r="AI1222" s="51">
        <v>0.74882778999999999</v>
      </c>
    </row>
    <row r="1223" spans="31:35">
      <c r="AE1223" s="48">
        <v>40794</v>
      </c>
      <c r="AF1223" s="51">
        <v>0.89313180000000003</v>
      </c>
      <c r="AH1223" s="48">
        <v>40801</v>
      </c>
      <c r="AI1223" s="51">
        <v>0.74882588000000005</v>
      </c>
    </row>
    <row r="1224" spans="31:35">
      <c r="AE1224" s="48">
        <v>40793</v>
      </c>
      <c r="AF1224" s="51">
        <v>0.86973243</v>
      </c>
      <c r="AH1224" s="48">
        <v>40800</v>
      </c>
      <c r="AI1224" s="51">
        <v>0.77122451999999997</v>
      </c>
    </row>
    <row r="1225" spans="31:35">
      <c r="AE1225" s="48">
        <v>40792</v>
      </c>
      <c r="AF1225" s="51">
        <v>0.90259902999999997</v>
      </c>
      <c r="AH1225" s="48">
        <v>40799</v>
      </c>
      <c r="AI1225" s="51">
        <v>0.77104030999999995</v>
      </c>
    </row>
    <row r="1226" spans="31:35">
      <c r="AE1226" s="48">
        <v>40788</v>
      </c>
      <c r="AF1226" s="51">
        <v>0.90242288999999998</v>
      </c>
      <c r="AH1226" s="48">
        <v>40798</v>
      </c>
      <c r="AI1226" s="51">
        <v>0.77577921000000005</v>
      </c>
    </row>
    <row r="1227" spans="31:35">
      <c r="AE1227" s="48">
        <v>40787</v>
      </c>
      <c r="AF1227" s="51">
        <v>0.84721122000000004</v>
      </c>
      <c r="AH1227" s="48">
        <v>40795</v>
      </c>
      <c r="AI1227" s="51">
        <v>0.79817678999999997</v>
      </c>
    </row>
    <row r="1228" spans="31:35">
      <c r="AE1228" s="48">
        <v>40786</v>
      </c>
      <c r="AF1228" s="51">
        <v>0.84239131</v>
      </c>
      <c r="AH1228" s="48">
        <v>40794</v>
      </c>
      <c r="AI1228" s="51">
        <v>0.77457841000000005</v>
      </c>
    </row>
    <row r="1229" spans="31:35">
      <c r="AE1229" s="48">
        <v>40785</v>
      </c>
      <c r="AF1229" s="51">
        <v>0.83828232000000003</v>
      </c>
      <c r="AH1229" s="48">
        <v>40793</v>
      </c>
      <c r="AI1229" s="51">
        <v>0.77079114999999998</v>
      </c>
    </row>
    <row r="1230" spans="31:35">
      <c r="AE1230" s="48">
        <v>40784</v>
      </c>
      <c r="AF1230" s="51">
        <v>0.82673280999999998</v>
      </c>
      <c r="AH1230" s="48">
        <v>40792</v>
      </c>
      <c r="AI1230" s="51">
        <v>0.77574971000000004</v>
      </c>
    </row>
    <row r="1231" spans="31:35">
      <c r="AE1231" s="48">
        <v>40781</v>
      </c>
      <c r="AF1231" s="51">
        <v>0.83931259999999996</v>
      </c>
      <c r="AH1231" s="48">
        <v>40788</v>
      </c>
      <c r="AI1231" s="51">
        <v>0.77574929000000004</v>
      </c>
    </row>
    <row r="1232" spans="31:35">
      <c r="AE1232" s="48">
        <v>40780</v>
      </c>
      <c r="AF1232" s="51">
        <v>0.83470208999999995</v>
      </c>
      <c r="AH1232" s="48">
        <v>40787</v>
      </c>
      <c r="AI1232" s="51">
        <v>0.74727193000000003</v>
      </c>
    </row>
    <row r="1233" spans="31:35">
      <c r="AE1233" s="48">
        <v>40779</v>
      </c>
      <c r="AF1233" s="51">
        <v>0.84607922999999996</v>
      </c>
      <c r="AH1233" s="48">
        <v>40786</v>
      </c>
      <c r="AI1233" s="51">
        <v>0.71579101000000001</v>
      </c>
    </row>
    <row r="1234" spans="31:35">
      <c r="AE1234" s="48">
        <v>40778</v>
      </c>
      <c r="AF1234" s="51">
        <v>0.85332171000000001</v>
      </c>
      <c r="AH1234" s="48">
        <v>40785</v>
      </c>
      <c r="AI1234" s="51">
        <v>0.68460235999999997</v>
      </c>
    </row>
    <row r="1235" spans="31:35">
      <c r="AE1235" s="48">
        <v>40777</v>
      </c>
      <c r="AF1235" s="51">
        <v>0.88061953999999998</v>
      </c>
      <c r="AH1235" s="48">
        <v>40784</v>
      </c>
      <c r="AI1235" s="51">
        <v>0.62723158999999995</v>
      </c>
    </row>
    <row r="1236" spans="31:35">
      <c r="AE1236" s="48">
        <v>40774</v>
      </c>
      <c r="AF1236" s="51">
        <v>0.89684797999999999</v>
      </c>
      <c r="AH1236" s="48">
        <v>40781</v>
      </c>
      <c r="AI1236" s="51">
        <v>0.68466899000000003</v>
      </c>
    </row>
    <row r="1237" spans="31:35">
      <c r="AE1237" s="48">
        <v>40773</v>
      </c>
      <c r="AF1237" s="51">
        <v>0.91565848999999999</v>
      </c>
      <c r="AH1237" s="48">
        <v>40780</v>
      </c>
      <c r="AI1237" s="51">
        <v>0.67840681999999997</v>
      </c>
    </row>
    <row r="1238" spans="31:35">
      <c r="AE1238" s="48">
        <v>40772</v>
      </c>
      <c r="AF1238" s="51">
        <v>0.90548150000000005</v>
      </c>
      <c r="AH1238" s="48">
        <v>40779</v>
      </c>
      <c r="AI1238" s="51">
        <v>0.71875957000000001</v>
      </c>
    </row>
    <row r="1239" spans="31:35">
      <c r="AE1239" s="48">
        <v>40771</v>
      </c>
      <c r="AF1239" s="51">
        <v>0.85342719</v>
      </c>
      <c r="AH1239" s="48">
        <v>40778</v>
      </c>
      <c r="AI1239" s="51">
        <v>0.75002460000000004</v>
      </c>
    </row>
    <row r="1240" spans="31:35">
      <c r="AE1240" s="48">
        <v>40770</v>
      </c>
      <c r="AF1240" s="51">
        <v>0.84267753999999995</v>
      </c>
      <c r="AH1240" s="48">
        <v>40777</v>
      </c>
      <c r="AI1240" s="51">
        <v>0.77303681999999996</v>
      </c>
    </row>
    <row r="1241" spans="31:35">
      <c r="AE1241" s="48">
        <v>40767</v>
      </c>
      <c r="AF1241" s="51">
        <v>0.85297997000000003</v>
      </c>
      <c r="AH1241" s="48">
        <v>40774</v>
      </c>
      <c r="AI1241" s="51">
        <v>0.77683349999999995</v>
      </c>
    </row>
    <row r="1242" spans="31:35">
      <c r="AE1242" s="48">
        <v>40766</v>
      </c>
      <c r="AF1242" s="51">
        <v>0.84420832000000001</v>
      </c>
      <c r="AH1242" s="48">
        <v>40773</v>
      </c>
      <c r="AI1242" s="51">
        <v>0.79667898999999998</v>
      </c>
    </row>
    <row r="1243" spans="31:35">
      <c r="AE1243" s="48">
        <v>40765</v>
      </c>
      <c r="AF1243" s="51">
        <v>0.89709355000000002</v>
      </c>
      <c r="AH1243" s="48">
        <v>40772</v>
      </c>
      <c r="AI1243" s="51">
        <v>0.77805371999999995</v>
      </c>
    </row>
    <row r="1244" spans="31:35">
      <c r="AE1244" s="48">
        <v>40764</v>
      </c>
      <c r="AF1244" s="51">
        <v>0.94222729999999999</v>
      </c>
      <c r="AH1244" s="48">
        <v>40771</v>
      </c>
      <c r="AI1244" s="51">
        <v>0.75004857000000003</v>
      </c>
    </row>
    <row r="1245" spans="31:35">
      <c r="AE1245" s="48">
        <v>40763</v>
      </c>
      <c r="AF1245" s="51">
        <v>0.85290482000000001</v>
      </c>
      <c r="AH1245" s="48">
        <v>40770</v>
      </c>
      <c r="AI1245" s="51">
        <v>0.71594186999999998</v>
      </c>
    </row>
    <row r="1246" spans="31:35">
      <c r="AE1246" s="48">
        <v>40760</v>
      </c>
      <c r="AF1246" s="51">
        <v>0.83473637999999994</v>
      </c>
      <c r="AH1246" s="48">
        <v>40767</v>
      </c>
      <c r="AI1246" s="51">
        <v>0.74996348999999995</v>
      </c>
    </row>
    <row r="1247" spans="31:35">
      <c r="AE1247" s="48">
        <v>40759</v>
      </c>
      <c r="AF1247" s="51">
        <v>0.86172420000000005</v>
      </c>
      <c r="AH1247" s="48">
        <v>40766</v>
      </c>
      <c r="AI1247" s="51">
        <v>0.71606344</v>
      </c>
    </row>
    <row r="1248" spans="31:35">
      <c r="AE1248" s="48">
        <v>40758</v>
      </c>
      <c r="AF1248" s="51">
        <v>0.83842037000000003</v>
      </c>
      <c r="AH1248" s="48">
        <v>40765</v>
      </c>
      <c r="AI1248" s="51">
        <v>0.77689248</v>
      </c>
    </row>
    <row r="1249" spans="31:35">
      <c r="AE1249" s="48">
        <v>40757</v>
      </c>
      <c r="AF1249" s="51">
        <v>0.83759457000000004</v>
      </c>
      <c r="AH1249" s="48">
        <v>40764</v>
      </c>
      <c r="AI1249" s="51">
        <v>0.80403705000000003</v>
      </c>
    </row>
    <row r="1250" spans="31:35">
      <c r="AE1250" s="48">
        <v>40756</v>
      </c>
      <c r="AF1250" s="51">
        <v>0.82326312000000001</v>
      </c>
      <c r="AH1250" s="48">
        <v>40763</v>
      </c>
      <c r="AI1250" s="51">
        <v>0.74996094000000002</v>
      </c>
    </row>
    <row r="1251" spans="31:35">
      <c r="AE1251" s="48">
        <v>40753</v>
      </c>
      <c r="AF1251" s="51">
        <v>0.81158019000000003</v>
      </c>
      <c r="AH1251" s="48">
        <v>40760</v>
      </c>
      <c r="AI1251" s="51">
        <v>0.67846410000000001</v>
      </c>
    </row>
    <row r="1252" spans="31:35">
      <c r="AE1252" s="48">
        <v>40752</v>
      </c>
      <c r="AF1252" s="51">
        <v>0.62533603999999998</v>
      </c>
      <c r="AH1252" s="48">
        <v>40759</v>
      </c>
      <c r="AI1252" s="51">
        <v>0.75580831000000004</v>
      </c>
    </row>
    <row r="1253" spans="31:35">
      <c r="AE1253" s="48">
        <v>40751</v>
      </c>
      <c r="AF1253" s="51">
        <v>0.60373120999999996</v>
      </c>
      <c r="AH1253" s="48">
        <v>40758</v>
      </c>
      <c r="AI1253" s="51">
        <v>0.68465370999999997</v>
      </c>
    </row>
    <row r="1254" spans="31:35">
      <c r="AE1254" s="48">
        <v>40750</v>
      </c>
      <c r="AF1254" s="51">
        <v>0.63153959999999998</v>
      </c>
      <c r="AH1254" s="48">
        <v>40757</v>
      </c>
      <c r="AI1254" s="51">
        <v>0.67988864999999998</v>
      </c>
    </row>
    <row r="1255" spans="31:35">
      <c r="AE1255" s="48">
        <v>40749</v>
      </c>
      <c r="AF1255" s="51">
        <v>0.61502153000000004</v>
      </c>
      <c r="AH1255" s="48">
        <v>40756</v>
      </c>
      <c r="AI1255" s="51">
        <v>0.59268589000000005</v>
      </c>
    </row>
    <row r="1256" spans="31:35">
      <c r="AE1256" s="48">
        <v>40746</v>
      </c>
      <c r="AF1256" s="51">
        <v>0.63756215999999999</v>
      </c>
      <c r="AH1256" s="48">
        <v>40753</v>
      </c>
      <c r="AI1256" s="51">
        <v>0.58823829999999999</v>
      </c>
    </row>
    <row r="1257" spans="31:35">
      <c r="AE1257" s="48">
        <v>40745</v>
      </c>
      <c r="AF1257" s="51">
        <v>0.62002716000000002</v>
      </c>
      <c r="AH1257" s="48">
        <v>40752</v>
      </c>
      <c r="AI1257" s="51">
        <v>0.52256044999999995</v>
      </c>
    </row>
    <row r="1258" spans="31:35">
      <c r="AE1258" s="48">
        <v>40744</v>
      </c>
      <c r="AF1258" s="51">
        <v>0.64717546999999997</v>
      </c>
      <c r="AH1258" s="48">
        <v>40751</v>
      </c>
      <c r="AI1258" s="51">
        <v>0.49950674</v>
      </c>
    </row>
    <row r="1259" spans="31:35">
      <c r="AE1259" s="48">
        <v>40743</v>
      </c>
      <c r="AF1259" s="51">
        <v>0.76129506000000002</v>
      </c>
      <c r="AH1259" s="48">
        <v>40750</v>
      </c>
      <c r="AI1259" s="51">
        <v>0.52317548000000003</v>
      </c>
    </row>
    <row r="1260" spans="31:35">
      <c r="AE1260" s="48">
        <v>40742</v>
      </c>
      <c r="AF1260" s="51">
        <v>0.74490188999999996</v>
      </c>
      <c r="AH1260" s="48">
        <v>40749</v>
      </c>
      <c r="AI1260" s="51">
        <v>0.50012051000000002</v>
      </c>
    </row>
    <row r="1261" spans="31:35">
      <c r="AE1261" s="48">
        <v>40739</v>
      </c>
      <c r="AF1261" s="51">
        <v>0.79244053999999997</v>
      </c>
      <c r="AH1261" s="48">
        <v>40746</v>
      </c>
      <c r="AI1261" s="51">
        <v>0.52325273000000005</v>
      </c>
    </row>
    <row r="1262" spans="31:35">
      <c r="AE1262" s="48">
        <v>40738</v>
      </c>
      <c r="AF1262" s="51">
        <v>0.76763572000000002</v>
      </c>
      <c r="AH1262" s="48">
        <v>40745</v>
      </c>
      <c r="AI1262" s="51">
        <v>0.52166506000000001</v>
      </c>
    </row>
    <row r="1263" spans="31:35">
      <c r="AE1263" s="48">
        <v>40737</v>
      </c>
      <c r="AF1263" s="51">
        <v>0.81113716999999996</v>
      </c>
      <c r="AH1263" s="48">
        <v>40744</v>
      </c>
      <c r="AI1263" s="51">
        <v>0.52352845999999997</v>
      </c>
    </row>
    <row r="1264" spans="31:35">
      <c r="AE1264" s="48">
        <v>40736</v>
      </c>
      <c r="AF1264" s="51">
        <v>0.75550598999999996</v>
      </c>
      <c r="AH1264" s="48">
        <v>40743</v>
      </c>
      <c r="AI1264" s="51">
        <v>0.54623803000000004</v>
      </c>
    </row>
    <row r="1265" spans="31:35">
      <c r="AE1265" s="48">
        <v>40735</v>
      </c>
      <c r="AF1265" s="51">
        <v>0.73745605000000003</v>
      </c>
      <c r="AH1265" s="48">
        <v>40742</v>
      </c>
      <c r="AI1265" s="51">
        <v>0.54544619000000005</v>
      </c>
    </row>
    <row r="1266" spans="31:35">
      <c r="AE1266" s="48">
        <v>40732</v>
      </c>
      <c r="AF1266" s="51">
        <v>0.64318423000000002</v>
      </c>
      <c r="AH1266" s="48">
        <v>40739</v>
      </c>
      <c r="AI1266" s="51">
        <v>0.54715678000000001</v>
      </c>
    </row>
    <row r="1267" spans="31:35">
      <c r="AE1267" s="48">
        <v>40731</v>
      </c>
      <c r="AF1267" s="51">
        <v>0.59328561000000002</v>
      </c>
      <c r="AH1267" s="48">
        <v>40738</v>
      </c>
      <c r="AI1267" s="51">
        <v>0.54633485000000004</v>
      </c>
    </row>
    <row r="1268" spans="31:35">
      <c r="AE1268" s="48">
        <v>40730</v>
      </c>
      <c r="AF1268" s="51">
        <v>0.61325107999999995</v>
      </c>
      <c r="AH1268" s="48">
        <v>40737</v>
      </c>
      <c r="AI1268" s="51">
        <v>0.58823703999999999</v>
      </c>
    </row>
    <row r="1269" spans="31:35">
      <c r="AE1269" s="91">
        <v>40729</v>
      </c>
      <c r="AF1269" s="92">
        <v>0.59769616999999997</v>
      </c>
      <c r="AH1269" s="48">
        <v>40736</v>
      </c>
      <c r="AI1269" s="51">
        <v>0.54621255999999996</v>
      </c>
    </row>
    <row r="1270" spans="31:35">
      <c r="AE1270" s="91">
        <v>40725</v>
      </c>
      <c r="AF1270" s="92">
        <v>0.58820852000000001</v>
      </c>
      <c r="AH1270" s="48">
        <v>40735</v>
      </c>
      <c r="AI1270" s="51">
        <v>0.54510331999999995</v>
      </c>
    </row>
    <row r="1271" spans="31:35">
      <c r="AE1271" s="91">
        <v>40724</v>
      </c>
      <c r="AF1271" s="92">
        <v>0.60136347999999995</v>
      </c>
      <c r="AH1271" s="91">
        <v>40732</v>
      </c>
      <c r="AI1271" s="92">
        <v>0.52333313000000004</v>
      </c>
    </row>
    <row r="1272" spans="31:35">
      <c r="AE1272" s="91">
        <v>40723</v>
      </c>
      <c r="AF1272" s="92">
        <v>0.61234429999999995</v>
      </c>
      <c r="AH1272" s="91">
        <v>40731</v>
      </c>
      <c r="AI1272" s="92">
        <v>0.49819206999999999</v>
      </c>
    </row>
    <row r="1273" spans="31:35">
      <c r="AE1273" s="91">
        <v>40722</v>
      </c>
      <c r="AF1273" s="92">
        <v>0.62099919000000003</v>
      </c>
      <c r="AH1273" s="91">
        <v>40730</v>
      </c>
      <c r="AI1273" s="92">
        <v>0.49985299</v>
      </c>
    </row>
    <row r="1274" spans="31:35">
      <c r="AE1274" s="91">
        <v>40721</v>
      </c>
      <c r="AF1274" s="92">
        <v>0.72719493999999996</v>
      </c>
      <c r="AH1274" s="91">
        <v>40729</v>
      </c>
      <c r="AI1274" s="92">
        <v>0.49869322999999999</v>
      </c>
    </row>
    <row r="1275" spans="31:35">
      <c r="AE1275" s="91">
        <v>40718</v>
      </c>
      <c r="AF1275" s="92">
        <v>0.79623065000000004</v>
      </c>
      <c r="AH1275" s="91">
        <v>40725</v>
      </c>
      <c r="AI1275" s="92">
        <v>0.48256460000000001</v>
      </c>
    </row>
    <row r="1276" spans="31:35">
      <c r="AE1276" s="91">
        <v>40717</v>
      </c>
      <c r="AF1276" s="92">
        <v>0.79592470000000004</v>
      </c>
      <c r="AH1276" s="91">
        <v>40724</v>
      </c>
      <c r="AI1276" s="92">
        <v>0.50471571000000004</v>
      </c>
    </row>
    <row r="1277" spans="31:35">
      <c r="AE1277" s="91">
        <v>40716</v>
      </c>
      <c r="AF1277" s="92">
        <v>0.66686383999999999</v>
      </c>
      <c r="AH1277" s="91">
        <v>40723</v>
      </c>
      <c r="AI1277" s="92">
        <v>0.50583771</v>
      </c>
    </row>
    <row r="1278" spans="31:35">
      <c r="AE1278" s="91">
        <v>40715</v>
      </c>
      <c r="AF1278" s="92">
        <v>0.67585764999999998</v>
      </c>
      <c r="AH1278" s="91">
        <v>40722</v>
      </c>
      <c r="AI1278" s="92">
        <v>0.50637301999999995</v>
      </c>
    </row>
    <row r="1279" spans="31:35">
      <c r="AE1279" s="91">
        <v>40714</v>
      </c>
      <c r="AF1279" s="92">
        <v>0.69050447000000004</v>
      </c>
      <c r="AH1279" s="91">
        <v>40721</v>
      </c>
      <c r="AI1279" s="92">
        <v>0.55037365999999999</v>
      </c>
    </row>
    <row r="1280" spans="31:35">
      <c r="AE1280" s="91">
        <v>40711</v>
      </c>
      <c r="AF1280" s="92">
        <v>0.74517188999999995</v>
      </c>
      <c r="AH1280" s="91">
        <v>40718</v>
      </c>
      <c r="AI1280" s="92">
        <v>0.55282467999999996</v>
      </c>
    </row>
    <row r="1281" spans="31:35">
      <c r="AE1281" s="91">
        <v>40710</v>
      </c>
      <c r="AF1281" s="92">
        <v>0.77727851000000003</v>
      </c>
      <c r="AH1281" s="91">
        <v>40717</v>
      </c>
      <c r="AI1281" s="92">
        <v>0.55273687000000005</v>
      </c>
    </row>
    <row r="1282" spans="31:35">
      <c r="AE1282" s="91">
        <v>40709</v>
      </c>
      <c r="AF1282" s="92">
        <v>0.74517188999999995</v>
      </c>
      <c r="AH1282" s="91">
        <v>40716</v>
      </c>
      <c r="AI1282" s="92">
        <v>0.53103694999999995</v>
      </c>
    </row>
    <row r="1283" spans="31:35">
      <c r="AE1283" s="91">
        <v>40708</v>
      </c>
      <c r="AF1283" s="92">
        <v>0.62299667999999997</v>
      </c>
      <c r="AH1283" s="91">
        <v>40715</v>
      </c>
      <c r="AI1283" s="92">
        <v>0.53136441000000001</v>
      </c>
    </row>
    <row r="1284" spans="31:35">
      <c r="AE1284" s="91">
        <v>40707</v>
      </c>
      <c r="AF1284" s="92">
        <v>0.70826939</v>
      </c>
      <c r="AH1284" s="91">
        <v>40714</v>
      </c>
      <c r="AI1284" s="92">
        <v>0.54935948000000001</v>
      </c>
    </row>
    <row r="1285" spans="31:35">
      <c r="AE1285" s="91">
        <v>40704</v>
      </c>
      <c r="AF1285" s="92">
        <v>0.73871514999999999</v>
      </c>
      <c r="AH1285" s="91">
        <v>40711</v>
      </c>
      <c r="AI1285" s="92">
        <v>0.55086939000000001</v>
      </c>
    </row>
    <row r="1286" spans="31:35">
      <c r="AE1286" s="91">
        <v>40703</v>
      </c>
      <c r="AF1286" s="92">
        <v>0.74020900999999995</v>
      </c>
      <c r="AH1286" s="91">
        <v>40710</v>
      </c>
      <c r="AI1286" s="92">
        <v>0.55197180999999995</v>
      </c>
    </row>
    <row r="1287" spans="31:35">
      <c r="AE1287" s="91">
        <v>40702</v>
      </c>
      <c r="AF1287" s="92">
        <v>0.79623065000000004</v>
      </c>
      <c r="AH1287" s="91">
        <v>40709</v>
      </c>
      <c r="AI1287" s="92">
        <v>0.55086939000000001</v>
      </c>
    </row>
    <row r="1288" spans="31:35">
      <c r="AE1288" s="91">
        <v>40701</v>
      </c>
      <c r="AF1288" s="92">
        <v>0.68885443999999996</v>
      </c>
      <c r="AH1288" s="91">
        <v>40708</v>
      </c>
      <c r="AI1288" s="92">
        <v>0.52747087000000004</v>
      </c>
    </row>
    <row r="1289" spans="31:35">
      <c r="AE1289" s="91">
        <v>40700</v>
      </c>
      <c r="AF1289" s="92">
        <v>0.68036317000000002</v>
      </c>
      <c r="AH1289" s="91">
        <v>40707</v>
      </c>
      <c r="AI1289" s="92">
        <v>0.54950226000000002</v>
      </c>
    </row>
    <row r="1290" spans="31:35">
      <c r="AE1290" s="91">
        <v>40697</v>
      </c>
      <c r="AF1290" s="92">
        <v>0.69546646999999995</v>
      </c>
      <c r="AH1290" s="91">
        <v>40704</v>
      </c>
      <c r="AI1290" s="92">
        <v>0.55067164000000002</v>
      </c>
    </row>
    <row r="1291" spans="31:35">
      <c r="AE1291" s="91">
        <v>40696</v>
      </c>
      <c r="AF1291" s="92">
        <v>0.65772775999999999</v>
      </c>
      <c r="AH1291" s="48">
        <v>40703</v>
      </c>
      <c r="AI1291" s="51">
        <v>0.55067248999999996</v>
      </c>
    </row>
    <row r="1292" spans="31:35">
      <c r="AE1292" s="48">
        <v>40695</v>
      </c>
      <c r="AF1292" s="51">
        <v>0.75998626000000002</v>
      </c>
      <c r="AH1292" s="48">
        <v>40702</v>
      </c>
      <c r="AI1292" s="51">
        <v>0.55282467999999996</v>
      </c>
    </row>
    <row r="1293" spans="31:35">
      <c r="AE1293" s="48">
        <v>40694</v>
      </c>
      <c r="AF1293" s="51">
        <v>0.64966367000000003</v>
      </c>
      <c r="AH1293" s="48">
        <v>40701</v>
      </c>
      <c r="AI1293" s="51">
        <v>0.54934874</v>
      </c>
    </row>
    <row r="1294" spans="31:35">
      <c r="AE1294" s="48">
        <v>40690</v>
      </c>
      <c r="AF1294" s="51">
        <v>0.64911578000000003</v>
      </c>
      <c r="AH1294" s="48">
        <v>40700</v>
      </c>
      <c r="AI1294" s="51">
        <v>0.53136567999999995</v>
      </c>
    </row>
    <row r="1295" spans="31:35">
      <c r="AE1295" s="48">
        <v>40689</v>
      </c>
      <c r="AF1295" s="51">
        <v>0.67825385000000005</v>
      </c>
      <c r="AH1295" s="48">
        <v>40697</v>
      </c>
      <c r="AI1295" s="51">
        <v>0.54936010999999996</v>
      </c>
    </row>
    <row r="1296" spans="31:35">
      <c r="AE1296" s="48">
        <v>40688</v>
      </c>
      <c r="AF1296" s="51">
        <v>0.61919310000000005</v>
      </c>
      <c r="AH1296" s="48">
        <v>40696</v>
      </c>
      <c r="AI1296" s="51">
        <v>0.53074023000000004</v>
      </c>
    </row>
    <row r="1297" spans="31:35">
      <c r="AE1297" s="48">
        <v>40687</v>
      </c>
      <c r="AF1297" s="51">
        <v>0.61190235000000004</v>
      </c>
      <c r="AH1297" s="48">
        <v>40695</v>
      </c>
      <c r="AI1297" s="51">
        <v>0.55179807000000003</v>
      </c>
    </row>
    <row r="1298" spans="31:35">
      <c r="AE1298" s="48">
        <v>40686</v>
      </c>
      <c r="AF1298" s="51">
        <v>0.60791371999999999</v>
      </c>
      <c r="AH1298" s="48">
        <v>40694</v>
      </c>
      <c r="AI1298" s="51">
        <v>0.52390303999999999</v>
      </c>
    </row>
    <row r="1299" spans="31:35">
      <c r="AE1299" s="48">
        <v>40683</v>
      </c>
      <c r="AF1299" s="51">
        <v>0.60913379999999995</v>
      </c>
      <c r="AH1299" s="48">
        <v>40690</v>
      </c>
      <c r="AI1299" s="51">
        <v>0.52390283000000004</v>
      </c>
    </row>
    <row r="1300" spans="31:35">
      <c r="AE1300" s="48">
        <v>40682</v>
      </c>
      <c r="AF1300" s="51">
        <v>0.60650216000000001</v>
      </c>
      <c r="AH1300" s="48">
        <v>40689</v>
      </c>
      <c r="AI1300" s="51">
        <v>0.52597855000000004</v>
      </c>
    </row>
    <row r="1301" spans="31:35">
      <c r="AE1301" s="48">
        <v>40681</v>
      </c>
      <c r="AF1301" s="51">
        <v>0.60756730999999997</v>
      </c>
      <c r="AH1301" s="48">
        <v>40688</v>
      </c>
      <c r="AI1301" s="51">
        <v>0.50209694999999999</v>
      </c>
    </row>
    <row r="1302" spans="31:35">
      <c r="AE1302" s="48">
        <v>40680</v>
      </c>
      <c r="AF1302" s="51">
        <v>0.61572481999999995</v>
      </c>
      <c r="AH1302" s="48">
        <v>40687</v>
      </c>
      <c r="AI1302" s="51">
        <v>0.50135222999999995</v>
      </c>
    </row>
    <row r="1303" spans="31:35">
      <c r="AE1303" s="48">
        <v>40679</v>
      </c>
      <c r="AF1303" s="51">
        <v>0.61009265000000001</v>
      </c>
      <c r="AH1303" s="48">
        <v>40686</v>
      </c>
      <c r="AI1303" s="51">
        <v>0.50091876999999996</v>
      </c>
    </row>
    <row r="1304" spans="31:35">
      <c r="AE1304" s="48">
        <v>40676</v>
      </c>
      <c r="AF1304" s="51">
        <v>0.60620629999999998</v>
      </c>
      <c r="AH1304" s="48">
        <v>40683</v>
      </c>
      <c r="AI1304" s="51">
        <v>0.50109324</v>
      </c>
    </row>
    <row r="1305" spans="31:35">
      <c r="AE1305" s="48">
        <v>40675</v>
      </c>
      <c r="AF1305" s="51">
        <v>0.60131517999999995</v>
      </c>
      <c r="AH1305" s="48">
        <v>40682</v>
      </c>
      <c r="AI1305" s="51">
        <v>0.50083195000000003</v>
      </c>
    </row>
    <row r="1306" spans="31:35">
      <c r="AE1306" s="48">
        <v>40674</v>
      </c>
      <c r="AF1306" s="51">
        <v>0.60725342000000004</v>
      </c>
      <c r="AH1306" s="48">
        <v>40681</v>
      </c>
      <c r="AI1306" s="51">
        <v>0.50091065000000001</v>
      </c>
    </row>
    <row r="1307" spans="31:35">
      <c r="AE1307" s="48">
        <v>40673</v>
      </c>
      <c r="AF1307" s="51">
        <v>0.60476870999999999</v>
      </c>
      <c r="AH1307" s="48">
        <v>40680</v>
      </c>
      <c r="AI1307" s="51">
        <v>0.50182983000000003</v>
      </c>
    </row>
    <row r="1308" spans="31:35">
      <c r="AE1308" s="48">
        <v>40672</v>
      </c>
      <c r="AF1308" s="51">
        <v>0.61802575999999998</v>
      </c>
      <c r="AH1308" s="48">
        <v>40679</v>
      </c>
      <c r="AI1308" s="51">
        <v>0.50110739000000004</v>
      </c>
    </row>
    <row r="1309" spans="31:35">
      <c r="AE1309" s="48">
        <v>40669</v>
      </c>
      <c r="AF1309" s="51">
        <v>0.61279925000000002</v>
      </c>
      <c r="AH1309" s="48">
        <v>40676</v>
      </c>
      <c r="AI1309" s="51">
        <v>0.50083153000000002</v>
      </c>
    </row>
    <row r="1310" spans="31:35">
      <c r="AE1310" s="48">
        <v>40668</v>
      </c>
      <c r="AF1310" s="51">
        <v>0.60970157999999997</v>
      </c>
      <c r="AH1310" s="48">
        <v>40675</v>
      </c>
      <c r="AI1310" s="51">
        <v>0.48620906000000003</v>
      </c>
    </row>
    <row r="1311" spans="31:35">
      <c r="AE1311" s="48">
        <v>40667</v>
      </c>
      <c r="AF1311" s="51">
        <v>0.59849596999999999</v>
      </c>
      <c r="AH1311" s="48">
        <v>40674</v>
      </c>
      <c r="AI1311" s="51">
        <v>0.50089607000000003</v>
      </c>
    </row>
    <row r="1312" spans="31:35">
      <c r="AE1312" s="48">
        <v>40666</v>
      </c>
      <c r="AF1312" s="51">
        <v>0.59809005999999998</v>
      </c>
      <c r="AH1312" s="48">
        <v>40673</v>
      </c>
      <c r="AI1312" s="51">
        <v>0.48651697999999999</v>
      </c>
    </row>
    <row r="1313" spans="31:35">
      <c r="AE1313" s="48">
        <v>40665</v>
      </c>
      <c r="AF1313" s="51">
        <v>0.59420903000000003</v>
      </c>
      <c r="AH1313" s="48">
        <v>40672</v>
      </c>
      <c r="AI1313" s="51">
        <v>0.50191478</v>
      </c>
    </row>
    <row r="1314" spans="31:35">
      <c r="AE1314" s="48">
        <v>40662</v>
      </c>
      <c r="AF1314" s="51">
        <v>0.60214741999999999</v>
      </c>
      <c r="AH1314" s="48">
        <v>40669</v>
      </c>
      <c r="AI1314" s="51">
        <v>0.50154398</v>
      </c>
    </row>
    <row r="1315" spans="31:35">
      <c r="AE1315" s="48">
        <v>40661</v>
      </c>
      <c r="AF1315" s="51">
        <v>0.59958840999999996</v>
      </c>
      <c r="AH1315" s="48">
        <v>40668</v>
      </c>
      <c r="AI1315" s="51">
        <v>0.50110697999999998</v>
      </c>
    </row>
    <row r="1316" spans="31:35">
      <c r="AE1316" s="48">
        <v>40660</v>
      </c>
      <c r="AF1316" s="51">
        <v>0.59476454999999995</v>
      </c>
      <c r="AH1316" s="48">
        <v>40667</v>
      </c>
      <c r="AI1316" s="51">
        <v>0.48538147999999998</v>
      </c>
    </row>
    <row r="1317" spans="31:35">
      <c r="AE1317" s="48">
        <v>40659</v>
      </c>
      <c r="AF1317" s="51">
        <v>0.59816915999999998</v>
      </c>
      <c r="AH1317" s="48">
        <v>40666</v>
      </c>
      <c r="AI1317" s="51">
        <v>0.48533172000000002</v>
      </c>
    </row>
    <row r="1318" spans="31:35">
      <c r="AE1318" s="48">
        <v>40658</v>
      </c>
      <c r="AF1318" s="51">
        <v>0.59596400999999999</v>
      </c>
      <c r="AH1318" s="48">
        <v>40665</v>
      </c>
      <c r="AI1318" s="51">
        <v>0.46807221999999998</v>
      </c>
    </row>
    <row r="1319" spans="31:35">
      <c r="AE1319" s="48">
        <v>40654</v>
      </c>
      <c r="AF1319" s="51">
        <v>0.59386766000000002</v>
      </c>
      <c r="AH1319" s="48">
        <v>40662</v>
      </c>
      <c r="AI1319" s="51">
        <v>0.46921691999999998</v>
      </c>
    </row>
    <row r="1320" spans="31:35">
      <c r="AE1320" s="48">
        <v>40653</v>
      </c>
      <c r="AF1320" s="51">
        <v>0.59394553000000005</v>
      </c>
      <c r="AH1320" s="48">
        <v>40661</v>
      </c>
      <c r="AI1320" s="51">
        <v>0.45374013000000002</v>
      </c>
    </row>
    <row r="1321" spans="31:35">
      <c r="AE1321" s="48">
        <v>40652</v>
      </c>
      <c r="AF1321" s="51">
        <v>0.59807111999999996</v>
      </c>
      <c r="AH1321" s="48">
        <v>40660</v>
      </c>
      <c r="AI1321" s="51">
        <v>0.43912464000000001</v>
      </c>
    </row>
    <row r="1322" spans="31:35">
      <c r="AE1322" s="48">
        <v>40651</v>
      </c>
      <c r="AF1322" s="51">
        <v>0.59752002000000004</v>
      </c>
      <c r="AH1322" s="48">
        <v>40659</v>
      </c>
      <c r="AI1322" s="51">
        <v>0.45350610000000002</v>
      </c>
    </row>
    <row r="1323" spans="31:35">
      <c r="AE1323" s="48">
        <v>40648</v>
      </c>
      <c r="AF1323" s="51">
        <v>0.59459154000000003</v>
      </c>
      <c r="AH1323" s="48">
        <v>40658</v>
      </c>
      <c r="AI1323" s="51">
        <v>0.45252938999999998</v>
      </c>
    </row>
    <row r="1324" spans="31:35">
      <c r="AE1324" s="48">
        <v>40647</v>
      </c>
      <c r="AF1324" s="51">
        <v>0.58773812999999997</v>
      </c>
      <c r="AH1324" s="48">
        <v>40654</v>
      </c>
      <c r="AI1324" s="51">
        <v>0.43866958</v>
      </c>
    </row>
    <row r="1325" spans="31:35">
      <c r="AE1325" s="48">
        <v>40646</v>
      </c>
      <c r="AF1325" s="51">
        <v>0.58820517000000005</v>
      </c>
      <c r="AH1325" s="48">
        <v>40653</v>
      </c>
      <c r="AI1325" s="51">
        <v>0.43867378000000001</v>
      </c>
    </row>
    <row r="1326" spans="31:35">
      <c r="AE1326" s="48">
        <v>40645</v>
      </c>
      <c r="AF1326" s="51">
        <v>0.58436579</v>
      </c>
      <c r="AH1326" s="48">
        <v>40652</v>
      </c>
      <c r="AI1326" s="51">
        <v>0.45337409000000001</v>
      </c>
    </row>
    <row r="1327" spans="31:35">
      <c r="AE1327" s="48">
        <v>40644</v>
      </c>
      <c r="AF1327" s="51">
        <v>0.55462959000000001</v>
      </c>
      <c r="AH1327" s="48">
        <v>40651</v>
      </c>
      <c r="AI1327" s="51">
        <v>0.45308884999999999</v>
      </c>
    </row>
    <row r="1328" spans="31:35">
      <c r="AE1328" s="48">
        <v>40641</v>
      </c>
      <c r="AF1328" s="51">
        <v>0.55076780000000003</v>
      </c>
      <c r="AH1328" s="48">
        <v>40648</v>
      </c>
      <c r="AI1328" s="51">
        <v>0.43912464000000001</v>
      </c>
    </row>
    <row r="1329" spans="31:35">
      <c r="AE1329" s="48">
        <v>40640</v>
      </c>
      <c r="AF1329" s="51">
        <v>0.55713210000000002</v>
      </c>
      <c r="AH1329" s="48">
        <v>40647</v>
      </c>
      <c r="AI1329" s="51">
        <v>0.42416569999999998</v>
      </c>
    </row>
    <row r="1330" spans="31:35">
      <c r="AE1330" s="48">
        <v>40639</v>
      </c>
      <c r="AF1330" s="51">
        <v>0.55462959000000001</v>
      </c>
      <c r="AH1330" s="48">
        <v>40646</v>
      </c>
      <c r="AI1330" s="51">
        <v>0.42427152000000001</v>
      </c>
    </row>
    <row r="1331" spans="31:35">
      <c r="AE1331" s="48">
        <v>40638</v>
      </c>
      <c r="AF1331" s="51">
        <v>0.56064663999999997</v>
      </c>
      <c r="AH1331" s="48">
        <v>40645</v>
      </c>
      <c r="AI1331" s="51">
        <v>0.42377826000000002</v>
      </c>
    </row>
    <row r="1332" spans="31:35">
      <c r="AE1332" s="48">
        <v>40637</v>
      </c>
      <c r="AF1332" s="51">
        <v>0.58600547000000003</v>
      </c>
      <c r="AH1332" s="48">
        <v>40644</v>
      </c>
      <c r="AI1332" s="51">
        <v>0.41152464</v>
      </c>
    </row>
    <row r="1333" spans="31:35">
      <c r="AE1333" s="48">
        <v>40634</v>
      </c>
      <c r="AF1333" s="51">
        <v>0.58564293999999995</v>
      </c>
      <c r="AH1333" s="48">
        <v>40641</v>
      </c>
      <c r="AI1333" s="51">
        <v>0.41149723999999999</v>
      </c>
    </row>
    <row r="1334" spans="31:35">
      <c r="AE1334" s="48">
        <v>40633</v>
      </c>
      <c r="AF1334" s="51">
        <v>0.59330693000000001</v>
      </c>
      <c r="AH1334" s="48">
        <v>40640</v>
      </c>
      <c r="AI1334" s="51">
        <v>0.41153044</v>
      </c>
    </row>
    <row r="1335" spans="31:35">
      <c r="AE1335" s="48">
        <v>40632</v>
      </c>
      <c r="AF1335" s="51">
        <v>0.59292115999999995</v>
      </c>
      <c r="AH1335" s="48">
        <v>40639</v>
      </c>
      <c r="AI1335" s="51">
        <v>0.41152464</v>
      </c>
    </row>
    <row r="1336" spans="31:35">
      <c r="AE1336" s="48">
        <v>40631</v>
      </c>
      <c r="AF1336" s="51">
        <v>0.54296453</v>
      </c>
      <c r="AH1336" s="48">
        <v>40638</v>
      </c>
      <c r="AI1336" s="51">
        <v>0</v>
      </c>
    </row>
    <row r="1337" spans="31:35">
      <c r="AE1337" s="48">
        <v>40630</v>
      </c>
      <c r="AF1337" s="51">
        <v>0.57025108000000002</v>
      </c>
      <c r="AH1337" s="48">
        <v>40637</v>
      </c>
      <c r="AI1337" s="51">
        <v>0.42393428</v>
      </c>
    </row>
    <row r="1338" spans="31:35">
      <c r="AE1338" s="48">
        <v>40627</v>
      </c>
      <c r="AF1338" s="51">
        <v>0.57229280000000005</v>
      </c>
      <c r="AH1338" s="48">
        <v>40634</v>
      </c>
      <c r="AI1338" s="51">
        <v>0.42393007999999999</v>
      </c>
    </row>
    <row r="1339" spans="31:35">
      <c r="AE1339" s="48">
        <v>40626</v>
      </c>
      <c r="AF1339" s="51">
        <v>0.59047442999999999</v>
      </c>
      <c r="AH1339" s="48">
        <v>40633</v>
      </c>
      <c r="AI1339" s="51">
        <v>0.42787865000000003</v>
      </c>
    </row>
    <row r="1340" spans="31:35">
      <c r="AE1340" s="48">
        <v>40625</v>
      </c>
      <c r="AF1340" s="51">
        <v>0.59292115999999995</v>
      </c>
      <c r="AH1340" s="48">
        <v>40632</v>
      </c>
      <c r="AI1340" s="51">
        <v>0.42781614000000001</v>
      </c>
    </row>
    <row r="1341" spans="31:35">
      <c r="AE1341" s="48">
        <v>40624</v>
      </c>
      <c r="AF1341" s="51">
        <v>0.60101419</v>
      </c>
      <c r="AH1341" s="48">
        <v>40631</v>
      </c>
      <c r="AI1341" s="51">
        <v>0.40544264000000002</v>
      </c>
    </row>
    <row r="1342" spans="31:35">
      <c r="AE1342" s="48">
        <v>40623</v>
      </c>
      <c r="AF1342" s="51">
        <v>0.60312644999999998</v>
      </c>
      <c r="AH1342" s="48">
        <v>40630</v>
      </c>
      <c r="AI1342" s="51">
        <v>0.41571658</v>
      </c>
    </row>
    <row r="1343" spans="31:35">
      <c r="AE1343" s="48">
        <v>40620</v>
      </c>
      <c r="AF1343" s="51">
        <v>0.60703149000000001</v>
      </c>
      <c r="AH1343" s="48">
        <v>40627</v>
      </c>
      <c r="AI1343" s="51">
        <v>0.41572194000000001</v>
      </c>
    </row>
    <row r="1344" spans="31:35">
      <c r="AE1344" s="48">
        <v>40619</v>
      </c>
      <c r="AF1344" s="51">
        <v>0.60804641999999998</v>
      </c>
      <c r="AH1344" s="48">
        <v>40626</v>
      </c>
      <c r="AI1344" s="51">
        <v>0.42768158000000001</v>
      </c>
    </row>
    <row r="1345" spans="31:35">
      <c r="AE1345" s="48">
        <v>40618</v>
      </c>
      <c r="AF1345" s="51">
        <v>0.61038948999999998</v>
      </c>
      <c r="AH1345" s="48">
        <v>40625</v>
      </c>
      <c r="AI1345" s="51">
        <v>0.42781614000000001</v>
      </c>
    </row>
    <row r="1346" spans="31:35">
      <c r="AE1346" s="48">
        <v>40617</v>
      </c>
      <c r="AF1346" s="51">
        <v>0.60247856</v>
      </c>
      <c r="AH1346" s="48">
        <v>40624</v>
      </c>
      <c r="AI1346" s="51">
        <v>0.4420114</v>
      </c>
    </row>
    <row r="1347" spans="31:35">
      <c r="AE1347" s="48">
        <v>40616</v>
      </c>
      <c r="AF1347" s="51">
        <v>0.60217085000000004</v>
      </c>
      <c r="AH1347" s="48">
        <v>40623</v>
      </c>
      <c r="AI1347" s="51">
        <v>0.45555474000000001</v>
      </c>
    </row>
    <row r="1348" spans="31:35">
      <c r="AE1348" s="48">
        <v>40613</v>
      </c>
      <c r="AF1348" s="51">
        <v>0.60004701999999999</v>
      </c>
      <c r="AH1348" s="48">
        <v>40620</v>
      </c>
      <c r="AI1348" s="51">
        <v>0.45662005999999999</v>
      </c>
    </row>
    <row r="1349" spans="31:35">
      <c r="AE1349" s="48">
        <v>40612</v>
      </c>
      <c r="AF1349" s="51">
        <v>0.60077108000000001</v>
      </c>
      <c r="AH1349" s="48">
        <v>40619</v>
      </c>
      <c r="AI1349" s="51">
        <v>0.47056168999999998</v>
      </c>
    </row>
    <row r="1350" spans="31:35">
      <c r="AE1350" s="48">
        <v>40611</v>
      </c>
      <c r="AF1350" s="51">
        <v>0.59508150000000004</v>
      </c>
      <c r="AH1350" s="48">
        <v>40618</v>
      </c>
      <c r="AI1350" s="51">
        <v>0.47118146999999999</v>
      </c>
    </row>
    <row r="1351" spans="31:35">
      <c r="AE1351" s="48">
        <v>40610</v>
      </c>
      <c r="AF1351" s="51">
        <v>0.56167012999999999</v>
      </c>
      <c r="AH1351" s="48">
        <v>40617</v>
      </c>
      <c r="AI1351" s="51">
        <v>0.45510324000000002</v>
      </c>
    </row>
    <row r="1352" spans="31:35">
      <c r="AE1352" s="48">
        <v>40609</v>
      </c>
      <c r="AF1352" s="51">
        <v>0.58586853000000005</v>
      </c>
      <c r="AH1352" s="48">
        <v>40616</v>
      </c>
      <c r="AI1352" s="51">
        <v>0.44236228</v>
      </c>
    </row>
    <row r="1353" spans="31:35">
      <c r="AE1353" s="48">
        <v>40606</v>
      </c>
      <c r="AF1353" s="51">
        <v>0.59023831000000004</v>
      </c>
      <c r="AH1353" s="48">
        <v>40613</v>
      </c>
      <c r="AI1353" s="51">
        <v>0.44165061</v>
      </c>
    </row>
    <row r="1354" spans="31:35">
      <c r="AE1354" s="48">
        <v>40605</v>
      </c>
      <c r="AF1354" s="51">
        <v>0.53234148000000003</v>
      </c>
      <c r="AH1354" s="48">
        <v>40612</v>
      </c>
      <c r="AI1354" s="51">
        <v>0.44188180999999999</v>
      </c>
    </row>
    <row r="1355" spans="31:35">
      <c r="AE1355" s="48">
        <v>40604</v>
      </c>
      <c r="AF1355" s="51">
        <v>0.58351578000000004</v>
      </c>
      <c r="AH1355" s="48">
        <v>40611</v>
      </c>
      <c r="AI1355" s="51">
        <v>0.42809636000000001</v>
      </c>
    </row>
    <row r="1356" spans="31:35">
      <c r="AE1356" s="48">
        <v>40603</v>
      </c>
      <c r="AF1356" s="51">
        <v>0.59558513000000002</v>
      </c>
      <c r="AH1356" s="48">
        <v>40610</v>
      </c>
      <c r="AI1356" s="51">
        <v>0.41560861999999998</v>
      </c>
    </row>
    <row r="1357" spans="31:35">
      <c r="AE1357" s="48">
        <v>40602</v>
      </c>
      <c r="AF1357" s="51">
        <v>0.61003046000000005</v>
      </c>
      <c r="AH1357" s="48">
        <v>40609</v>
      </c>
      <c r="AI1357" s="51">
        <v>0.41601725000000001</v>
      </c>
    </row>
    <row r="1358" spans="31:35">
      <c r="AE1358" s="48">
        <v>40599</v>
      </c>
      <c r="AF1358" s="51">
        <v>0.60606985000000002</v>
      </c>
      <c r="AH1358" s="48">
        <v>40606</v>
      </c>
      <c r="AI1358" s="51">
        <v>0.42711855999999998</v>
      </c>
    </row>
    <row r="1359" spans="31:35">
      <c r="AE1359" s="48">
        <v>40598</v>
      </c>
      <c r="AF1359" s="51">
        <v>0.60476841999999997</v>
      </c>
      <c r="AH1359" s="48">
        <v>40605</v>
      </c>
      <c r="AI1359" s="51">
        <v>0.40532078999999999</v>
      </c>
    </row>
    <row r="1360" spans="31:35">
      <c r="AE1360" s="48">
        <v>40597</v>
      </c>
      <c r="AF1360" s="51">
        <v>0.59292308999999999</v>
      </c>
      <c r="AH1360" s="48">
        <v>40604</v>
      </c>
      <c r="AI1360" s="51">
        <v>0.41599461999999998</v>
      </c>
    </row>
    <row r="1361" spans="31:35">
      <c r="AE1361" s="48">
        <v>40596</v>
      </c>
      <c r="AF1361" s="51">
        <v>0.60264123999999997</v>
      </c>
      <c r="AH1361" s="48">
        <v>40603</v>
      </c>
      <c r="AI1361" s="51">
        <v>0.42811303000000001</v>
      </c>
    </row>
    <row r="1362" spans="31:35">
      <c r="AE1362" s="48">
        <v>40592</v>
      </c>
      <c r="AF1362" s="51">
        <v>0.56400059000000002</v>
      </c>
      <c r="AH1362" s="48">
        <v>40602</v>
      </c>
      <c r="AI1362" s="51">
        <v>0.41896169</v>
      </c>
    </row>
    <row r="1363" spans="31:35">
      <c r="AE1363" s="48">
        <v>40591</v>
      </c>
      <c r="AF1363" s="51">
        <v>0.57526359999999999</v>
      </c>
      <c r="AH1363" s="48">
        <v>40599</v>
      </c>
      <c r="AI1363" s="51">
        <v>0.40631909999999999</v>
      </c>
    </row>
    <row r="1364" spans="31:35">
      <c r="AE1364" s="48">
        <v>40590</v>
      </c>
      <c r="AF1364" s="51">
        <v>0.54280907</v>
      </c>
      <c r="AH1364" s="48">
        <v>40598</v>
      </c>
      <c r="AI1364" s="51">
        <v>0.40615958000000002</v>
      </c>
    </row>
    <row r="1365" spans="31:35">
      <c r="AE1365" s="48">
        <v>40589</v>
      </c>
      <c r="AF1365" s="51">
        <v>0.52073837999999995</v>
      </c>
      <c r="AH1365" s="48">
        <v>40597</v>
      </c>
      <c r="AI1365" s="51">
        <v>0.39485303999999999</v>
      </c>
    </row>
    <row r="1366" spans="31:35">
      <c r="AE1366" s="48">
        <v>40588</v>
      </c>
      <c r="AF1366" s="51">
        <v>0.51758932000000002</v>
      </c>
      <c r="AH1366" s="48">
        <v>40596</v>
      </c>
      <c r="AI1366" s="51">
        <v>0.40597253999999999</v>
      </c>
    </row>
    <row r="1367" spans="31:35">
      <c r="AE1367" s="48">
        <v>40585</v>
      </c>
      <c r="AF1367" s="51">
        <v>0.50149840000000001</v>
      </c>
      <c r="AH1367" s="48">
        <v>40592</v>
      </c>
      <c r="AI1367" s="51">
        <v>0.39445274000000002</v>
      </c>
    </row>
    <row r="1368" spans="31:35">
      <c r="AE1368" s="48">
        <v>40584</v>
      </c>
      <c r="AF1368" s="51">
        <v>0.47335128999999998</v>
      </c>
      <c r="AH1368" s="48">
        <v>40591</v>
      </c>
      <c r="AI1368" s="51">
        <v>0.39449687</v>
      </c>
    </row>
    <row r="1369" spans="31:35">
      <c r="AE1369" s="48">
        <v>40583</v>
      </c>
      <c r="AF1369" s="51">
        <v>0.49256091000000002</v>
      </c>
      <c r="AH1369" s="48">
        <v>40590</v>
      </c>
      <c r="AI1369" s="51">
        <v>0.38453948999999998</v>
      </c>
    </row>
    <row r="1370" spans="31:35">
      <c r="AE1370" s="48">
        <v>40582</v>
      </c>
      <c r="AF1370" s="51">
        <v>0.47964870999999998</v>
      </c>
      <c r="AH1370" s="48">
        <v>40589</v>
      </c>
      <c r="AI1370" s="51">
        <v>0.37473701999999998</v>
      </c>
    </row>
    <row r="1371" spans="31:35">
      <c r="AE1371" s="48">
        <v>40581</v>
      </c>
      <c r="AF1371" s="51">
        <v>0.51165344999999995</v>
      </c>
      <c r="AH1371" s="48">
        <v>40588</v>
      </c>
      <c r="AI1371" s="51">
        <v>0.37471376000000001</v>
      </c>
    </row>
    <row r="1372" spans="31:35">
      <c r="AE1372" s="48">
        <v>40578</v>
      </c>
      <c r="AF1372" s="51">
        <v>0.51847262000000005</v>
      </c>
      <c r="AH1372" s="48">
        <v>40585</v>
      </c>
      <c r="AI1372" s="51">
        <v>0.37446929000000001</v>
      </c>
    </row>
    <row r="1373" spans="31:35">
      <c r="AE1373" s="48">
        <v>40577</v>
      </c>
      <c r="AF1373" s="51">
        <v>0.55486214</v>
      </c>
      <c r="AH1373" s="48">
        <v>40584</v>
      </c>
      <c r="AI1373" s="51">
        <v>0.36614190000000002</v>
      </c>
    </row>
    <row r="1374" spans="31:35">
      <c r="AE1374" s="48">
        <v>40576</v>
      </c>
      <c r="AF1374" s="51">
        <v>0.58304511999999997</v>
      </c>
      <c r="AH1374" s="48">
        <v>40583</v>
      </c>
      <c r="AI1374" s="51">
        <v>0.36652170000000001</v>
      </c>
    </row>
    <row r="1375" spans="31:35">
      <c r="AE1375" s="48">
        <v>40575</v>
      </c>
      <c r="AF1375" s="51">
        <v>0.60627326999999998</v>
      </c>
      <c r="AH1375" s="48">
        <v>40582</v>
      </c>
      <c r="AI1375" s="51">
        <v>0.36641017999999997</v>
      </c>
    </row>
    <row r="1376" spans="31:35">
      <c r="AE1376" s="48">
        <v>40574</v>
      </c>
      <c r="AF1376" s="51">
        <v>0.62499473999999999</v>
      </c>
      <c r="AH1376" s="48">
        <v>40581</v>
      </c>
      <c r="AI1376" s="51">
        <v>0.37455958</v>
      </c>
    </row>
    <row r="1377" spans="31:35">
      <c r="AE1377" s="48">
        <v>40571</v>
      </c>
      <c r="AF1377" s="51">
        <v>0.62672625999999998</v>
      </c>
      <c r="AH1377" s="48">
        <v>40578</v>
      </c>
      <c r="AI1377" s="51">
        <v>0.37471559999999998</v>
      </c>
    </row>
    <row r="1378" spans="31:35">
      <c r="AE1378" s="48">
        <v>40570</v>
      </c>
      <c r="AF1378" s="51">
        <v>0.62455685000000005</v>
      </c>
      <c r="AH1378" s="48">
        <v>40577</v>
      </c>
      <c r="AI1378" s="51">
        <v>0.38462478999999999</v>
      </c>
    </row>
    <row r="1379" spans="31:35">
      <c r="AE1379" s="48">
        <v>40569</v>
      </c>
      <c r="AF1379" s="51">
        <v>0.61885564999999998</v>
      </c>
      <c r="AH1379" s="48">
        <v>40576</v>
      </c>
      <c r="AI1379" s="51">
        <v>0.39460266999999999</v>
      </c>
    </row>
    <row r="1380" spans="31:35">
      <c r="AE1380" s="48">
        <v>40568</v>
      </c>
      <c r="AF1380" s="51">
        <v>0.62309117999999997</v>
      </c>
      <c r="AH1380" s="48">
        <v>40575</v>
      </c>
      <c r="AI1380" s="51">
        <v>0.40638649999999998</v>
      </c>
    </row>
    <row r="1381" spans="31:35">
      <c r="AE1381" s="48">
        <v>40567</v>
      </c>
      <c r="AF1381" s="51">
        <v>0.61714575000000005</v>
      </c>
      <c r="AH1381" s="48">
        <v>40574</v>
      </c>
      <c r="AI1381" s="51">
        <v>0.47507767000000001</v>
      </c>
    </row>
    <row r="1382" spans="31:35">
      <c r="AE1382" s="48">
        <v>40564</v>
      </c>
      <c r="AF1382" s="51">
        <v>0.61842282000000004</v>
      </c>
      <c r="AH1382" s="48">
        <v>40571</v>
      </c>
      <c r="AI1382" s="51">
        <v>0.48947844000000001</v>
      </c>
    </row>
    <row r="1383" spans="31:35">
      <c r="AE1383" s="48">
        <v>40563</v>
      </c>
      <c r="AF1383" s="51">
        <v>0.61496306000000001</v>
      </c>
      <c r="AH1383" s="48">
        <v>40570</v>
      </c>
      <c r="AI1383" s="51">
        <v>0.47469988000000002</v>
      </c>
    </row>
    <row r="1384" spans="31:35">
      <c r="AE1384" s="48">
        <v>40562</v>
      </c>
      <c r="AF1384" s="51">
        <v>0.62516853999999999</v>
      </c>
      <c r="AH1384" s="48">
        <v>40569</v>
      </c>
      <c r="AI1384" s="51">
        <v>0.45929620999999998</v>
      </c>
    </row>
    <row r="1385" spans="31:35">
      <c r="AE1385" s="48">
        <v>40561</v>
      </c>
      <c r="AF1385" s="51">
        <v>0.62729840000000003</v>
      </c>
      <c r="AH1385" s="48">
        <v>40568</v>
      </c>
      <c r="AI1385" s="51">
        <v>0.47421418999999998</v>
      </c>
    </row>
    <row r="1386" spans="31:35">
      <c r="AE1386" s="48">
        <v>40557</v>
      </c>
      <c r="AF1386" s="51">
        <v>0.63236365000000005</v>
      </c>
      <c r="AH1386" s="48">
        <v>40567</v>
      </c>
      <c r="AI1386" s="51">
        <v>0.45902878000000003</v>
      </c>
    </row>
    <row r="1387" spans="31:35">
      <c r="AE1387" s="48">
        <v>40556</v>
      </c>
      <c r="AF1387" s="51">
        <v>0.63372353999999997</v>
      </c>
      <c r="AH1387" s="48">
        <v>40564</v>
      </c>
      <c r="AI1387" s="51">
        <v>0.45921127</v>
      </c>
    </row>
    <row r="1388" spans="31:35">
      <c r="AE1388" s="48">
        <v>40555</v>
      </c>
      <c r="AF1388" s="51">
        <v>0.62811490000000003</v>
      </c>
      <c r="AH1388" s="48">
        <v>40563</v>
      </c>
      <c r="AI1388" s="51">
        <v>0.45875463</v>
      </c>
    </row>
    <row r="1389" spans="31:35">
      <c r="AE1389" s="48">
        <v>40554</v>
      </c>
      <c r="AF1389" s="51">
        <v>0.62592524999999999</v>
      </c>
      <c r="AH1389" s="48">
        <v>40562</v>
      </c>
      <c r="AI1389" s="51">
        <v>0.47508681000000003</v>
      </c>
    </row>
    <row r="1390" spans="31:35">
      <c r="AE1390" s="48">
        <v>40553</v>
      </c>
      <c r="AF1390" s="51">
        <v>0.62991810000000004</v>
      </c>
      <c r="AH1390" s="48">
        <v>40561</v>
      </c>
      <c r="AI1390" s="51">
        <v>0.48949714</v>
      </c>
    </row>
    <row r="1391" spans="31:35">
      <c r="AE1391" s="48">
        <v>40550</v>
      </c>
      <c r="AF1391" s="51">
        <v>0.62793781999999998</v>
      </c>
      <c r="AH1391" s="48">
        <v>40557</v>
      </c>
      <c r="AI1391" s="51">
        <v>0.50629082999999997</v>
      </c>
    </row>
    <row r="1392" spans="31:35">
      <c r="AE1392" s="48">
        <v>40549</v>
      </c>
      <c r="AF1392" s="51">
        <v>0.61885564999999998</v>
      </c>
      <c r="AH1392" s="48">
        <v>40556</v>
      </c>
      <c r="AI1392" s="51">
        <v>0.5063898</v>
      </c>
    </row>
    <row r="1393" spans="31:35">
      <c r="AE1393" s="48">
        <v>40548</v>
      </c>
      <c r="AF1393" s="51">
        <v>0.61432783999999996</v>
      </c>
      <c r="AH1393" s="48">
        <v>40555</v>
      </c>
      <c r="AI1393" s="51">
        <v>0.48977291000000001</v>
      </c>
    </row>
    <row r="1394" spans="31:35">
      <c r="AE1394" s="48">
        <v>40207</v>
      </c>
      <c r="AF1394" s="51">
        <v>0.70311758999999996</v>
      </c>
      <c r="AH1394" s="48">
        <v>40554</v>
      </c>
      <c r="AI1394" s="51">
        <v>0.47527397999999998</v>
      </c>
    </row>
    <row r="1395" spans="31:35">
      <c r="AH1395" s="48">
        <v>40553</v>
      </c>
      <c r="AI1395" s="51">
        <v>0.49035309999999999</v>
      </c>
    </row>
    <row r="1396" spans="31:35">
      <c r="AH1396" s="48">
        <v>40550</v>
      </c>
      <c r="AI1396" s="51">
        <v>0.48970402000000002</v>
      </c>
    </row>
    <row r="1397" spans="31:35">
      <c r="AH1397" s="48">
        <v>40549</v>
      </c>
      <c r="AI1397" s="51">
        <v>0.45929620999999998</v>
      </c>
    </row>
    <row r="1398" spans="31:35">
      <c r="AH1398" s="48">
        <v>40548</v>
      </c>
      <c r="AI1398" s="51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2016-08-03T16:28:13Z</dcterms:modified>
</cp:coreProperties>
</file>